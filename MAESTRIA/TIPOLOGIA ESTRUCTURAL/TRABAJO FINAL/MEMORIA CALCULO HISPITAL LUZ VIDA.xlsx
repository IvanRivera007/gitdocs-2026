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TIPOLOGIA ESTRUCTURAL\TRABAJO FINAL\"/>
    </mc:Choice>
  </mc:AlternateContent>
  <xr:revisionPtr revIDLastSave="0" documentId="13_ncr:1_{C0D68F81-E333-45E3-9652-0C9AA4AC571B}" xr6:coauthVersionLast="47" xr6:coauthVersionMax="47" xr10:uidLastSave="{00000000-0000-0000-0000-000000000000}"/>
  <bookViews>
    <workbookView xWindow="-108" yWindow="-108" windowWidth="23256" windowHeight="12576" activeTab="1" xr2:uid="{A6F4C03D-0FB8-4EB4-81C4-6D3248E700FE}"/>
  </bookViews>
  <sheets>
    <sheet name="PREDIMENCIONAMIENTO" sheetId="1" r:id="rId1"/>
    <sheet name="ESPECTRO" sheetId="2" r:id="rId2"/>
    <sheet name="CALCULO DE ACER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1" i="2" l="1"/>
  <c r="P251" i="2"/>
  <c r="O252" i="2"/>
  <c r="P252" i="2"/>
  <c r="E217" i="2"/>
  <c r="F217" i="2"/>
  <c r="H217" i="2"/>
  <c r="I217" i="2"/>
  <c r="E218" i="2"/>
  <c r="H218" i="2" s="1"/>
  <c r="F218" i="2"/>
  <c r="I218" i="2"/>
  <c r="E201" i="2"/>
  <c r="F201" i="2"/>
  <c r="I201" i="2"/>
  <c r="E202" i="2"/>
  <c r="F202" i="2"/>
  <c r="H202" i="2" s="1"/>
  <c r="I202" i="2" l="1"/>
  <c r="H201" i="2"/>
  <c r="B21" i="3" l="1"/>
  <c r="B13" i="3"/>
  <c r="C34" i="3"/>
  <c r="B22" i="3"/>
  <c r="B14" i="3"/>
  <c r="B62" i="3"/>
  <c r="B69" i="3"/>
  <c r="B61" i="3"/>
  <c r="B51" i="3"/>
  <c r="B41" i="3"/>
  <c r="B33" i="3"/>
  <c r="B32" i="3"/>
  <c r="B25" i="3"/>
  <c r="B11" i="3"/>
  <c r="F323" i="2"/>
  <c r="H323" i="2" s="1"/>
  <c r="E325" i="2"/>
  <c r="G325" i="2" s="1"/>
  <c r="E323" i="2"/>
  <c r="G323" i="2" s="1"/>
  <c r="N324" i="2"/>
  <c r="N325" i="2"/>
  <c r="N326" i="2"/>
  <c r="N323" i="2"/>
  <c r="G326" i="2"/>
  <c r="I326" i="2" s="1"/>
  <c r="K326" i="2" s="1"/>
  <c r="H326" i="2"/>
  <c r="J326" i="2" s="1"/>
  <c r="L326" i="2" s="1"/>
  <c r="F325" i="2"/>
  <c r="H325" i="2" s="1"/>
  <c r="F324" i="2"/>
  <c r="H324" i="2" s="1"/>
  <c r="E324" i="2"/>
  <c r="G324" i="2" s="1"/>
  <c r="G291" i="2"/>
  <c r="D291" i="2"/>
  <c r="J291" i="2" s="1"/>
  <c r="G290" i="2"/>
  <c r="D290" i="2"/>
  <c r="J290" i="2" s="1"/>
  <c r="G270" i="2"/>
  <c r="G269" i="2"/>
  <c r="D270" i="2"/>
  <c r="J270" i="2" s="1"/>
  <c r="D269" i="2"/>
  <c r="J269" i="2" s="1"/>
  <c r="O249" i="2"/>
  <c r="P249" i="2"/>
  <c r="O250" i="2"/>
  <c r="P250" i="2"/>
  <c r="P248" i="2"/>
  <c r="O248" i="2"/>
  <c r="F216" i="2"/>
  <c r="I216" i="2" s="1"/>
  <c r="F215" i="2"/>
  <c r="I215" i="2" s="1"/>
  <c r="F214" i="2"/>
  <c r="I214" i="2" s="1"/>
  <c r="E216" i="2"/>
  <c r="E215" i="2"/>
  <c r="E214" i="2"/>
  <c r="I199" i="2"/>
  <c r="F200" i="2"/>
  <c r="I200" i="2" s="1"/>
  <c r="F198" i="2"/>
  <c r="I198" i="2" s="1"/>
  <c r="E199" i="2"/>
  <c r="H199" i="2" s="1"/>
  <c r="E200" i="2"/>
  <c r="E198" i="2"/>
  <c r="B188" i="2"/>
  <c r="C177" i="2"/>
  <c r="C181" i="2" s="1"/>
  <c r="C182" i="2" s="1"/>
  <c r="C68" i="2"/>
  <c r="C38" i="2"/>
  <c r="C59" i="2" s="1"/>
  <c r="C37" i="2"/>
  <c r="C58" i="2" s="1"/>
  <c r="D14" i="2"/>
  <c r="C6" i="2"/>
  <c r="C8" i="2" s="1"/>
  <c r="C151" i="1"/>
  <c r="C152" i="1" s="1"/>
  <c r="C154" i="1" s="1"/>
  <c r="C172" i="1"/>
  <c r="C144" i="1"/>
  <c r="C137" i="1"/>
  <c r="C138" i="1" s="1"/>
  <c r="C140" i="1" s="1"/>
  <c r="C128" i="1"/>
  <c r="C129" i="1" s="1"/>
  <c r="C131" i="1" s="1"/>
  <c r="C117" i="1"/>
  <c r="C120" i="1" s="1"/>
  <c r="C108" i="1"/>
  <c r="C112" i="1" s="1"/>
  <c r="B97" i="1"/>
  <c r="A99" i="1"/>
  <c r="B95" i="1"/>
  <c r="B93" i="1"/>
  <c r="B92" i="1"/>
  <c r="B91" i="1"/>
  <c r="B81" i="1"/>
  <c r="B80" i="1"/>
  <c r="B84" i="1" s="1"/>
  <c r="A78" i="1"/>
  <c r="A72" i="1"/>
  <c r="A73" i="1" s="1"/>
  <c r="A74" i="1" s="1"/>
  <c r="F64" i="1"/>
  <c r="F65" i="1" s="1"/>
  <c r="D64" i="1"/>
  <c r="D65" i="1" s="1"/>
  <c r="B64" i="1"/>
  <c r="B65" i="1" s="1"/>
  <c r="A52" i="1"/>
  <c r="E50" i="1"/>
  <c r="C50" i="1"/>
  <c r="A50" i="1"/>
  <c r="C47" i="1"/>
  <c r="A47" i="1"/>
  <c r="A37" i="1"/>
  <c r="E35" i="1"/>
  <c r="C35" i="1"/>
  <c r="A35" i="1"/>
  <c r="C32" i="1"/>
  <c r="A32" i="1"/>
  <c r="B9" i="1"/>
  <c r="C23" i="1"/>
  <c r="B53" i="1" s="1"/>
  <c r="C22" i="1"/>
  <c r="I203" i="2" l="1"/>
  <c r="D207" i="2" s="1"/>
  <c r="C146" i="1"/>
  <c r="B94" i="1"/>
  <c r="I325" i="2"/>
  <c r="K325" i="2" s="1"/>
  <c r="J323" i="2"/>
  <c r="L323" i="2" s="1"/>
  <c r="J325" i="2"/>
  <c r="L325" i="2" s="1"/>
  <c r="H200" i="2"/>
  <c r="H216" i="2"/>
  <c r="N269" i="2"/>
  <c r="N290" i="2"/>
  <c r="I324" i="2"/>
  <c r="K324" i="2" s="1"/>
  <c r="J324" i="2"/>
  <c r="L324" i="2" s="1"/>
  <c r="I323" i="2"/>
  <c r="K323" i="2" s="1"/>
  <c r="N291" i="2"/>
  <c r="N270" i="2"/>
  <c r="H198" i="2"/>
  <c r="H215" i="2"/>
  <c r="C61" i="2"/>
  <c r="C60" i="2"/>
  <c r="C41" i="2"/>
  <c r="C42" i="2" s="1"/>
  <c r="D67" i="2" s="1"/>
  <c r="C69" i="2"/>
  <c r="G177" i="2"/>
  <c r="I219" i="2"/>
  <c r="D223" i="2" s="1"/>
  <c r="H214" i="2"/>
  <c r="B39" i="1"/>
  <c r="B40" i="1" s="1"/>
  <c r="B68" i="1"/>
  <c r="B71" i="1" s="1"/>
  <c r="D68" i="1"/>
  <c r="D71" i="1" s="1"/>
  <c r="F68" i="1"/>
  <c r="F71" i="1" s="1"/>
  <c r="B38" i="1"/>
  <c r="E22" i="1"/>
  <c r="B54" i="1"/>
  <c r="B55" i="1" s="1"/>
  <c r="H219" i="2" l="1"/>
  <c r="D222" i="2" s="1"/>
  <c r="C225" i="2" s="1"/>
  <c r="H203" i="2"/>
  <c r="D206" i="2" s="1"/>
  <c r="C209" i="2" s="1"/>
  <c r="D182" i="2"/>
  <c r="B184" i="2" s="1"/>
  <c r="B190" i="2" s="1"/>
  <c r="D69" i="2"/>
  <c r="C70" i="2"/>
  <c r="D68" i="2"/>
  <c r="B72" i="1"/>
  <c r="B73" i="1"/>
  <c r="B74" i="1"/>
  <c r="C71" i="2" l="1"/>
  <c r="D70" i="2"/>
  <c r="C72" i="2" l="1"/>
  <c r="D71" i="2"/>
  <c r="C73" i="2" l="1"/>
  <c r="D72" i="2"/>
  <c r="C74" i="2" l="1"/>
  <c r="D73" i="2"/>
  <c r="C75" i="2" l="1"/>
  <c r="D74" i="2"/>
  <c r="C76" i="2" l="1"/>
  <c r="D75" i="2"/>
  <c r="C77" i="2" l="1"/>
  <c r="D76" i="2"/>
  <c r="C78" i="2" l="1"/>
  <c r="D77" i="2"/>
  <c r="C79" i="2" l="1"/>
  <c r="D78" i="2"/>
  <c r="C80" i="2" l="1"/>
  <c r="D79" i="2"/>
  <c r="C81" i="2" l="1"/>
  <c r="D80" i="2"/>
  <c r="C82" i="2" l="1"/>
  <c r="D81" i="2"/>
  <c r="C83" i="2" l="1"/>
  <c r="D82" i="2"/>
  <c r="C84" i="2" l="1"/>
  <c r="D83" i="2"/>
  <c r="C85" i="2" l="1"/>
  <c r="D84" i="2"/>
  <c r="C86" i="2" l="1"/>
  <c r="D85" i="2"/>
  <c r="C87" i="2" l="1"/>
  <c r="D86" i="2"/>
  <c r="C88" i="2" l="1"/>
  <c r="D87" i="2"/>
  <c r="C89" i="2" l="1"/>
  <c r="D88" i="2"/>
  <c r="C90" i="2" l="1"/>
  <c r="D89" i="2"/>
  <c r="C91" i="2" l="1"/>
  <c r="D90" i="2"/>
  <c r="C92" i="2" l="1"/>
  <c r="D91" i="2"/>
  <c r="C93" i="2" l="1"/>
  <c r="D92" i="2"/>
  <c r="C94" i="2" l="1"/>
  <c r="D93" i="2"/>
  <c r="C95" i="2" l="1"/>
  <c r="D94" i="2"/>
  <c r="C96" i="2" l="1"/>
  <c r="D95" i="2"/>
  <c r="C97" i="2" l="1"/>
  <c r="D96" i="2"/>
  <c r="C98" i="2" l="1"/>
  <c r="D97" i="2"/>
  <c r="C99" i="2" l="1"/>
  <c r="D98" i="2"/>
  <c r="C100" i="2" l="1"/>
  <c r="D99" i="2"/>
  <c r="C101" i="2" l="1"/>
  <c r="D100" i="2"/>
  <c r="C102" i="2" l="1"/>
  <c r="D101" i="2"/>
  <c r="C103" i="2" l="1"/>
  <c r="D102" i="2"/>
  <c r="C104" i="2" l="1"/>
  <c r="D103" i="2"/>
  <c r="C105" i="2" l="1"/>
  <c r="D104" i="2"/>
  <c r="C106" i="2" l="1"/>
  <c r="D105" i="2"/>
  <c r="C107" i="2" l="1"/>
  <c r="D106" i="2"/>
  <c r="C108" i="2" l="1"/>
  <c r="D107" i="2"/>
  <c r="C109" i="2" l="1"/>
  <c r="D108" i="2"/>
  <c r="C110" i="2" l="1"/>
  <c r="D109" i="2"/>
  <c r="C111" i="2" l="1"/>
  <c r="D110" i="2"/>
  <c r="C112" i="2" l="1"/>
  <c r="D111" i="2"/>
  <c r="D112" i="2" l="1"/>
  <c r="C113" i="2"/>
  <c r="D113" i="2" l="1"/>
  <c r="C114" i="2"/>
  <c r="C115" i="2" l="1"/>
  <c r="D114" i="2"/>
  <c r="C116" i="2" l="1"/>
  <c r="D115" i="2"/>
  <c r="C117" i="2" l="1"/>
  <c r="D116" i="2"/>
  <c r="C118" i="2" l="1"/>
  <c r="D117" i="2"/>
  <c r="C119" i="2" l="1"/>
  <c r="D118" i="2"/>
  <c r="C120" i="2" l="1"/>
  <c r="D119" i="2"/>
  <c r="C121" i="2" l="1"/>
  <c r="D120" i="2"/>
  <c r="C122" i="2" l="1"/>
  <c r="D121" i="2"/>
  <c r="C123" i="2" l="1"/>
  <c r="D122" i="2"/>
  <c r="C124" i="2" l="1"/>
  <c r="D123" i="2"/>
  <c r="C125" i="2" l="1"/>
  <c r="D124" i="2"/>
  <c r="C126" i="2" l="1"/>
  <c r="D125" i="2"/>
  <c r="C127" i="2" l="1"/>
  <c r="D126" i="2"/>
  <c r="C128" i="2" l="1"/>
  <c r="D127" i="2"/>
  <c r="C129" i="2" l="1"/>
  <c r="D128" i="2"/>
  <c r="C130" i="2" l="1"/>
  <c r="D129" i="2"/>
  <c r="C131" i="2" l="1"/>
  <c r="D130" i="2"/>
  <c r="C132" i="2" l="1"/>
  <c r="D131" i="2"/>
  <c r="C133" i="2" l="1"/>
  <c r="D132" i="2"/>
  <c r="C134" i="2" l="1"/>
  <c r="D133" i="2"/>
  <c r="C135" i="2" l="1"/>
  <c r="D134" i="2"/>
  <c r="D135" i="2" l="1"/>
  <c r="C136" i="2"/>
  <c r="C137" i="2" l="1"/>
  <c r="D136" i="2"/>
  <c r="C138" i="2" l="1"/>
  <c r="D137" i="2"/>
  <c r="C139" i="2" l="1"/>
  <c r="D138" i="2"/>
  <c r="C140" i="2" l="1"/>
  <c r="D139" i="2"/>
  <c r="C141" i="2" l="1"/>
  <c r="D140" i="2"/>
  <c r="C142" i="2" l="1"/>
  <c r="D141" i="2"/>
  <c r="C143" i="2" l="1"/>
  <c r="D142" i="2"/>
  <c r="C144" i="2" l="1"/>
  <c r="D143" i="2"/>
  <c r="C145" i="2" l="1"/>
  <c r="D144" i="2"/>
  <c r="C146" i="2" l="1"/>
  <c r="D145" i="2"/>
  <c r="C147" i="2" l="1"/>
  <c r="D146" i="2"/>
  <c r="C148" i="2" l="1"/>
  <c r="D147" i="2"/>
  <c r="C149" i="2" l="1"/>
  <c r="D148" i="2"/>
  <c r="C150" i="2" l="1"/>
  <c r="D149" i="2"/>
  <c r="C151" i="2" l="1"/>
  <c r="D150" i="2"/>
  <c r="C152" i="2" l="1"/>
  <c r="D151" i="2"/>
  <c r="C153" i="2" l="1"/>
  <c r="D152" i="2"/>
  <c r="C154" i="2" l="1"/>
  <c r="D153" i="2"/>
  <c r="C155" i="2" l="1"/>
  <c r="D154" i="2"/>
  <c r="C156" i="2" l="1"/>
  <c r="D155" i="2"/>
  <c r="C157" i="2" l="1"/>
  <c r="D156" i="2"/>
  <c r="C158" i="2" l="1"/>
  <c r="D157" i="2"/>
  <c r="D158" i="2" l="1"/>
  <c r="C159" i="2"/>
  <c r="C160" i="2" l="1"/>
  <c r="D159" i="2"/>
  <c r="C161" i="2" l="1"/>
  <c r="D160" i="2"/>
  <c r="C162" i="2" l="1"/>
  <c r="D161" i="2"/>
  <c r="C163" i="2" l="1"/>
  <c r="D162" i="2"/>
  <c r="C164" i="2" l="1"/>
  <c r="D163" i="2"/>
  <c r="C165" i="2" l="1"/>
  <c r="D164" i="2"/>
  <c r="C166" i="2" l="1"/>
  <c r="D165" i="2"/>
  <c r="C167" i="2" l="1"/>
  <c r="D167" i="2" s="1"/>
  <c r="D166" i="2"/>
</calcChain>
</file>

<file path=xl/sharedStrings.xml><?xml version="1.0" encoding="utf-8"?>
<sst xmlns="http://schemas.openxmlformats.org/spreadsheetml/2006/main" count="572" uniqueCount="348">
  <si>
    <t xml:space="preserve">Uso: </t>
  </si>
  <si>
    <t>Ubicación:</t>
  </si>
  <si>
    <t>Clasificacion de obra:</t>
  </si>
  <si>
    <t>MATERIALES</t>
  </si>
  <si>
    <t>Concreto f'c:</t>
  </si>
  <si>
    <t>Acero fy:</t>
  </si>
  <si>
    <t>No. Niveles:</t>
  </si>
  <si>
    <t>Area por nivel:</t>
  </si>
  <si>
    <t>Altura total</t>
  </si>
  <si>
    <t>Area total:</t>
  </si>
  <si>
    <t>f'm:</t>
  </si>
  <si>
    <t>No estructural</t>
  </si>
  <si>
    <t>Ec=</t>
  </si>
  <si>
    <t>Es=</t>
  </si>
  <si>
    <t>Concreto premezclado ASTM C685 ó ASTM C94</t>
  </si>
  <si>
    <t>Acero de refuerzo ASTM A706 (barras SI)</t>
  </si>
  <si>
    <t>Bloque clase C NTG 41054 + mortero tipo "S" NTG 41050</t>
  </si>
  <si>
    <t>VIGAS</t>
  </si>
  <si>
    <t>PREDIMENSIONAMIENTO</t>
  </si>
  <si>
    <t>Direccion X-X</t>
  </si>
  <si>
    <t>L=</t>
  </si>
  <si>
    <t>L/14</t>
  </si>
  <si>
    <t>h</t>
  </si>
  <si>
    <t>L/10</t>
  </si>
  <si>
    <t>b</t>
  </si>
  <si>
    <t>h/2</t>
  </si>
  <si>
    <t>2h/3</t>
  </si>
  <si>
    <t>bmin=</t>
  </si>
  <si>
    <t>Asmin=</t>
  </si>
  <si>
    <t>ρmax=</t>
  </si>
  <si>
    <t>Asmax=</t>
  </si>
  <si>
    <t>Direccion Y-Y</t>
  </si>
  <si>
    <t>COLUMNAS</t>
  </si>
  <si>
    <t>CV=</t>
  </si>
  <si>
    <t>CM=</t>
  </si>
  <si>
    <t>No. Pisos</t>
  </si>
  <si>
    <t>At central=</t>
  </si>
  <si>
    <t>At perimetral=</t>
  </si>
  <si>
    <t>At esquina=</t>
  </si>
  <si>
    <t>Pg=</t>
  </si>
  <si>
    <t>λ=</t>
  </si>
  <si>
    <t>η=</t>
  </si>
  <si>
    <t>Acol=</t>
  </si>
  <si>
    <t>Cantidad=</t>
  </si>
  <si>
    <t>As=</t>
  </si>
  <si>
    <t>#6=2.85 cm2</t>
  </si>
  <si>
    <t>LOSAS</t>
  </si>
  <si>
    <t>a=</t>
  </si>
  <si>
    <t>b=</t>
  </si>
  <si>
    <t>t=</t>
  </si>
  <si>
    <t>fy=</t>
  </si>
  <si>
    <t>β=</t>
  </si>
  <si>
    <t>tmin=</t>
  </si>
  <si>
    <t>l/t=</t>
  </si>
  <si>
    <t>Shell thin</t>
  </si>
  <si>
    <t>INTEGRACION DE CARGAS</t>
  </si>
  <si>
    <t>SOBRECARGA ENTREPISO</t>
  </si>
  <si>
    <t>Cielo falso=</t>
  </si>
  <si>
    <t>Contrapiso=</t>
  </si>
  <si>
    <t>Piso=</t>
  </si>
  <si>
    <t>Instalaciones=</t>
  </si>
  <si>
    <t>50mm*1.7</t>
  </si>
  <si>
    <t>25.4mm*0.8</t>
  </si>
  <si>
    <t>SOBRECARGA TECHO</t>
  </si>
  <si>
    <t>Pañuelos=</t>
  </si>
  <si>
    <t>70mm*1.7</t>
  </si>
  <si>
    <t>SOBRECARGA EN LOSA</t>
  </si>
  <si>
    <t>SOBRECARGA LINEAL</t>
  </si>
  <si>
    <t>MURO COMPLETO</t>
  </si>
  <si>
    <t>h=</t>
  </si>
  <si>
    <t>Block=</t>
  </si>
  <si>
    <t>Repello=</t>
  </si>
  <si>
    <t>Bloque clase "C" 14x19x39 cm, pin #3 @ 80 cm</t>
  </si>
  <si>
    <t>Acabado 1 cm, γa= 2000 kg/m3, t*γa (2 caras)</t>
  </si>
  <si>
    <t>MURO + VENTANA</t>
  </si>
  <si>
    <t>h sillar=</t>
  </si>
  <si>
    <t>h ventana=</t>
  </si>
  <si>
    <t>Peso muro + ventana=</t>
  </si>
  <si>
    <t>CARGA VIVA</t>
  </si>
  <si>
    <t>Pasillos =</t>
  </si>
  <si>
    <t>Particiones</t>
  </si>
  <si>
    <t>VIVA DE TECHO</t>
  </si>
  <si>
    <t>Viva de techo=</t>
  </si>
  <si>
    <t>Tefra volcanica=</t>
  </si>
  <si>
    <t>Carga de lluvia=</t>
  </si>
  <si>
    <t>Vt Losas I,II,III,IV,V y VI</t>
  </si>
  <si>
    <t>Ar Losas I,II,III,IV,V y VI</t>
  </si>
  <si>
    <t>Pl Losas I,II,III,IV,V y VI</t>
  </si>
  <si>
    <t>Nota: elegir la mayor(solo se aplica una)</t>
  </si>
  <si>
    <t>MURO CENEFA</t>
  </si>
  <si>
    <t>CARGA DE UBICACIÓN</t>
  </si>
  <si>
    <t>Area bruta de piso=</t>
  </si>
  <si>
    <t>No. Niveles=</t>
  </si>
  <si>
    <t>Σarea bruta de piso=</t>
  </si>
  <si>
    <t>Factor de carga de ocupacion=</t>
  </si>
  <si>
    <t>Carga de ocupacion=</t>
  </si>
  <si>
    <t>NSE1</t>
  </si>
  <si>
    <t>Clasificacion de obra=</t>
  </si>
  <si>
    <t>Clasificacion de sitio</t>
  </si>
  <si>
    <t>Cu=Sv=</t>
  </si>
  <si>
    <t>Suelo tipo "E"</t>
  </si>
  <si>
    <t>NSE 2.1</t>
  </si>
  <si>
    <t>Lugar</t>
  </si>
  <si>
    <t>Uso</t>
  </si>
  <si>
    <t>ACELERACIONES ESPECTRALES (NSE2)</t>
  </si>
  <si>
    <t>Scr=</t>
  </si>
  <si>
    <t>S1r=</t>
  </si>
  <si>
    <t>TL=</t>
  </si>
  <si>
    <t>Io=</t>
  </si>
  <si>
    <t>Tabla A1 NSE2</t>
  </si>
  <si>
    <t>Ajustes por clase de sitio</t>
  </si>
  <si>
    <t>Fa=</t>
  </si>
  <si>
    <t>Fv=</t>
  </si>
  <si>
    <t>Ajuste por intensidades sismicas especiales</t>
  </si>
  <si>
    <t>Na=</t>
  </si>
  <si>
    <t>Nv=</t>
  </si>
  <si>
    <t>Scs=</t>
  </si>
  <si>
    <t>S1s=</t>
  </si>
  <si>
    <t>Periodos de vibracion por transicion</t>
  </si>
  <si>
    <t>Ts=</t>
  </si>
  <si>
    <t>T0=</t>
  </si>
  <si>
    <t>Factor Kd</t>
  </si>
  <si>
    <t>Sismo de diseño=</t>
  </si>
  <si>
    <t>Kd=</t>
  </si>
  <si>
    <t>Calibracion de aceleraciones espectrales</t>
  </si>
  <si>
    <t>Scd=</t>
  </si>
  <si>
    <t>S1d=</t>
  </si>
  <si>
    <t>AMSd=</t>
  </si>
  <si>
    <t>Aceleracion maxima del suelo de diseño</t>
  </si>
  <si>
    <t>Componente vertical del sismo de diseño</t>
  </si>
  <si>
    <t>Svd=</t>
  </si>
  <si>
    <t>T</t>
  </si>
  <si>
    <t>Sa(T)</t>
  </si>
  <si>
    <t>Periodo empirico de vibracion</t>
  </si>
  <si>
    <t>KT=</t>
  </si>
  <si>
    <t>X=</t>
  </si>
  <si>
    <t>hn</t>
  </si>
  <si>
    <t>Ta=</t>
  </si>
  <si>
    <t>NSE3</t>
  </si>
  <si>
    <t>Coeficiente sismico</t>
  </si>
  <si>
    <t>Sa (T) =</t>
  </si>
  <si>
    <t>Pseudo aceleracion</t>
  </si>
  <si>
    <t>Periodo aproximado</t>
  </si>
  <si>
    <t>R=</t>
  </si>
  <si>
    <t>ξ=</t>
  </si>
  <si>
    <t>βd=</t>
  </si>
  <si>
    <t>Cs=</t>
  </si>
  <si>
    <t>K=</t>
  </si>
  <si>
    <t>Periodo Natural de Vibracion</t>
  </si>
  <si>
    <t>Wi=</t>
  </si>
  <si>
    <t>Story</t>
  </si>
  <si>
    <t>Diaphragm</t>
  </si>
  <si>
    <t>Mass X</t>
  </si>
  <si>
    <t>tonf-s²/m</t>
  </si>
  <si>
    <t>Story1</t>
  </si>
  <si>
    <t>D1</t>
  </si>
  <si>
    <t>Story2</t>
  </si>
  <si>
    <t>Story3</t>
  </si>
  <si>
    <t>D3</t>
  </si>
  <si>
    <t>Wi/g</t>
  </si>
  <si>
    <t>Sale del centro de masa y rigidez (etabs)</t>
  </si>
  <si>
    <t>U1</t>
  </si>
  <si>
    <t>Fi</t>
  </si>
  <si>
    <t>Wi*Ui^2</t>
  </si>
  <si>
    <t>Σwi*Ui^2/g=</t>
  </si>
  <si>
    <t>Fi*Ui</t>
  </si>
  <si>
    <t>Σfi*Ui=</t>
  </si>
  <si>
    <t>TfX=</t>
  </si>
  <si>
    <t>TfY=</t>
  </si>
  <si>
    <t>U2</t>
  </si>
  <si>
    <t>1.4 Ta =</t>
  </si>
  <si>
    <t>CONSTRUCCION DEL ESPECTRO ELASTICO</t>
  </si>
  <si>
    <t>PARTICIPACION DE MASA</t>
  </si>
  <si>
    <t>Case</t>
  </si>
  <si>
    <t>Mode</t>
  </si>
  <si>
    <t>Period</t>
  </si>
  <si>
    <t>sec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</si>
  <si>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</si>
  <si>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</si>
  <si>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</si>
  <si>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</si>
  <si>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</si>
  <si>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</si>
  <si>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</si>
  <si>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</si>
  <si>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</si>
  <si>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</si>
  <si>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</si>
  <si>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</si>
  <si>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>Modal</t>
  </si>
  <si>
    <t>CENTRO DE MASA, RIGIDEZ Y EXCENTRICIDADES</t>
  </si>
  <si>
    <t>kgf-s²/m</t>
  </si>
  <si>
    <t>Mass Y</t>
  </si>
  <si>
    <t>XCM</t>
  </si>
  <si>
    <t>m</t>
  </si>
  <si>
    <t>YCM</t>
  </si>
  <si>
    <t>Cum Mass X</t>
  </si>
  <si>
    <t>Cum Mass Y</t>
  </si>
  <si>
    <t>XCCM</t>
  </si>
  <si>
    <t>YCCM</t>
  </si>
  <si>
    <t>XCR</t>
  </si>
  <si>
    <t>YCR</t>
  </si>
  <si>
    <t>eix</t>
  </si>
  <si>
    <t>eiy</t>
  </si>
  <si>
    <t>CALIBRACION</t>
  </si>
  <si>
    <t>Output Case</t>
  </si>
  <si>
    <t>Case Type</t>
  </si>
  <si>
    <t>Step Type</t>
  </si>
  <si>
    <t>Step Number</t>
  </si>
  <si>
    <t>Step Label</t>
  </si>
  <si>
    <t>FX</t>
  </si>
  <si>
    <t>tonf</t>
  </si>
  <si>
    <t>FY</t>
  </si>
  <si>
    <t>FZ</t>
  </si>
  <si>
    <t>MX</t>
  </si>
  <si>
    <t>tonf-m</t>
  </si>
  <si>
    <t>MY</t>
  </si>
  <si>
    <t>MZ</t>
  </si>
  <si>
    <t>X</t>
  </si>
  <si>
    <t>Y</t>
  </si>
  <si>
    <t>Z</t>
  </si>
  <si>
    <t>LinStatic</t>
  </si>
  <si>
    <t>Sismo estatico</t>
  </si>
  <si>
    <t>Step By Step</t>
  </si>
  <si>
    <t>Sx Modal</t>
  </si>
  <si>
    <t>LinRespSpec</t>
  </si>
  <si>
    <t>Max</t>
  </si>
  <si>
    <t>Sy Modal</t>
  </si>
  <si>
    <t>VEX (corte basal==</t>
  </si>
  <si>
    <t>VEY =</t>
  </si>
  <si>
    <t>V1X (modal)=</t>
  </si>
  <si>
    <t>V1Y (modal)=</t>
  </si>
  <si>
    <t>VDX (diseño)=</t>
  </si>
  <si>
    <t>VDY (diseño)=</t>
  </si>
  <si>
    <t>F1X (correccion)=</t>
  </si>
  <si>
    <t>F1Y (correccion)=</t>
  </si>
  <si>
    <t>F1X=</t>
  </si>
  <si>
    <t>VDX/ V1X</t>
  </si>
  <si>
    <t>CALIBRACION CON SECCION AGRIETADA</t>
  </si>
  <si>
    <t>Label</t>
  </si>
  <si>
    <t>Unique Name</t>
  </si>
  <si>
    <t>Ux</t>
  </si>
  <si>
    <t>cm</t>
  </si>
  <si>
    <t>Uy</t>
  </si>
  <si>
    <t>Uz</t>
  </si>
  <si>
    <t>Rx</t>
  </si>
  <si>
    <t>rad</t>
  </si>
  <si>
    <t>Ry</t>
  </si>
  <si>
    <t>Rz</t>
  </si>
  <si>
    <t>Cd=</t>
  </si>
  <si>
    <t>Nivel</t>
  </si>
  <si>
    <t>base</t>
  </si>
  <si>
    <t>Altura</t>
  </si>
  <si>
    <t>desplazamiento cedente</t>
  </si>
  <si>
    <t>δcx</t>
  </si>
  <si>
    <t>δcy</t>
  </si>
  <si>
    <t>Tabla desplazamiento de puntos</t>
  </si>
  <si>
    <t>δux</t>
  </si>
  <si>
    <t>δuy</t>
  </si>
  <si>
    <t>desplazamiento ultimo</t>
  </si>
  <si>
    <t>deriva</t>
  </si>
  <si>
    <t>Δux</t>
  </si>
  <si>
    <t>Δuy</t>
  </si>
  <si>
    <t>θux</t>
  </si>
  <si>
    <t>θuy</t>
  </si>
  <si>
    <t>distorcion</t>
  </si>
  <si>
    <t>θp</t>
  </si>
  <si>
    <t>Δp</t>
  </si>
  <si>
    <t>Svd= o.193</t>
  </si>
  <si>
    <t>CR5X-=</t>
  </si>
  <si>
    <t>0.9M-(Svd*M)-Sx modal</t>
  </si>
  <si>
    <t>0.9M-0.193M-Sx modal</t>
  </si>
  <si>
    <t>0.707M-Sx modal</t>
  </si>
  <si>
    <t>DISEÑO DE VIGAS</t>
  </si>
  <si>
    <t># de varillas=</t>
  </si>
  <si>
    <t>No varilla</t>
  </si>
  <si>
    <t>Area</t>
  </si>
  <si>
    <t># varillas=</t>
  </si>
  <si>
    <t>Varillas #5</t>
  </si>
  <si>
    <t>Dato mayor Etabs=</t>
  </si>
  <si>
    <t>Dato a comparar=</t>
  </si>
  <si>
    <t>As minimo=</t>
  </si>
  <si>
    <t>Nota: elegir el mayor entre As minimo y dato a comparar para hallar numero de varillas</t>
  </si>
  <si>
    <t>dato elegido/ A varilla</t>
  </si>
  <si>
    <t>Varillas #6</t>
  </si>
  <si>
    <t>Nota: del numero mayor de etabs, restarle el As total varillas</t>
  </si>
  <si>
    <t>As tot varillas=</t>
  </si>
  <si>
    <t>As bastones=</t>
  </si>
  <si>
    <t>As bastones/ A varilla</t>
  </si>
  <si>
    <t>Longitud baston=</t>
  </si>
  <si>
    <t>Armado Transversal por corte y torsion (estribos)</t>
  </si>
  <si>
    <t>Nota: Etabs muestra cuantia de acero (tomar el mayor)</t>
  </si>
  <si>
    <t>Cuantia de acero=</t>
  </si>
  <si>
    <t>As estribo=</t>
  </si>
  <si>
    <t>Separacion de estr=</t>
  </si>
  <si>
    <t>Acero #3</t>
  </si>
  <si>
    <t>L confinamiento=</t>
  </si>
  <si>
    <t>L confinamiento extremos=</t>
  </si>
  <si>
    <t>h viga=</t>
  </si>
  <si>
    <t>L viga mayor del eje=</t>
  </si>
  <si>
    <t>b viga=</t>
  </si>
  <si>
    <t>Nota: Repetir el procedimiento para cada cuantia de acero. Cambia la separacion en la longitud de confinamiento</t>
  </si>
  <si>
    <t>Armado longitudinal por torsión</t>
  </si>
  <si>
    <t>Nota: El programa muestra area de acero necesario, elegir el mayor.</t>
  </si>
  <si>
    <t>As necesario=</t>
  </si>
  <si>
    <t># de varillas</t>
  </si>
  <si>
    <t>Nota: Este refuerzo se coloca entre el refuerzo superior y el inferior, a ambos lados de la viga. Mitad para un lado y la otra mitad para el otro lado.</t>
  </si>
  <si>
    <t>DISEÑO DE COLUMNAS</t>
  </si>
  <si>
    <t>El armado de las columnas es el que se tiene propuesto en etabs, siempre y cuando cumpla con todos los chequeos.</t>
  </si>
  <si>
    <t>Longitud de confinamiento</t>
  </si>
  <si>
    <t>DISEÑO DE LOSAS</t>
  </si>
  <si>
    <t>Cama superior (bastones)</t>
  </si>
  <si>
    <t># barras</t>
  </si>
  <si>
    <t>Luz libre=</t>
  </si>
  <si>
    <t>Separacion=</t>
  </si>
  <si>
    <t>Tomar el numero mayor de lo que muestre el programa (color amarillo)</t>
  </si>
  <si>
    <t>Tomar el numero mayor de lo que muestre el programa (color rojo)</t>
  </si>
  <si>
    <t>Nota: realizar el diseño para cada eje.</t>
  </si>
  <si>
    <t>Cama inferior (tensiones)</t>
  </si>
  <si>
    <t>Longitud=</t>
  </si>
  <si>
    <t>Armado longitudinal (flexion)</t>
  </si>
  <si>
    <t>Armado para bastones (flexion)</t>
  </si>
  <si>
    <t>HOSPITAL</t>
  </si>
  <si>
    <t>San Juan ostuncalco Quetzaltenango.</t>
  </si>
  <si>
    <t>PROYECTO HOSPITAL LUZ VIDA</t>
  </si>
  <si>
    <t>Clínicas=</t>
  </si>
  <si>
    <t>ESENCIAL</t>
  </si>
  <si>
    <t>NIVEL 4 a 5</t>
  </si>
  <si>
    <t>Quirófano</t>
  </si>
  <si>
    <t>Losa  VI,VII,VIII,IX,X,XI,XII,XIII,XIV,XV,VI,VII,VIII,VIX,XX</t>
  </si>
  <si>
    <t>NIVEL 1</t>
  </si>
  <si>
    <t>Losa XII, XVI</t>
  </si>
  <si>
    <t>Cafetería</t>
  </si>
  <si>
    <t>Losa I, II, III, IV</t>
  </si>
  <si>
    <t>Losas I,II, III, IV, VI, VIII, IX, XII, XIII, XVI,XVII,XVIII, XIX, XX</t>
  </si>
  <si>
    <t>Losas VI, VII, X ,XI, XIV, XIV</t>
  </si>
  <si>
    <t>Dormitorios</t>
  </si>
  <si>
    <t>Losas IV</t>
  </si>
  <si>
    <t>Losas I,II, III, VI, VIII, IX, XII, XIII, XVI,XVII,XVIII, XIX, XX</t>
  </si>
  <si>
    <t>San Juan Ostuncalco, Quetzaltenango</t>
  </si>
  <si>
    <t>5% en 50 años / sismo severo</t>
  </si>
  <si>
    <t>NIVEL 2 a 3</t>
  </si>
  <si>
    <t>D5</t>
  </si>
  <si>
    <t>Nivel1</t>
  </si>
  <si>
    <t>Nivel4</t>
  </si>
  <si>
    <t>Nivel3</t>
  </si>
  <si>
    <t>Nivel2</t>
  </si>
  <si>
    <t>Nivel5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</si>
</sst>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&quot;PSI&quot;"/>
    <numFmt numFmtId="165" formatCode="0.00&quot;kg/cm2&quot;"/>
    <numFmt numFmtId="166" formatCode="0.00&quot;m2&quot;"/>
    <numFmt numFmtId="167" formatCode="0.00&quot;m&quot;"/>
    <numFmt numFmtId="168" formatCode="0.00&quot;cm2&quot;"/>
    <numFmt numFmtId="169" formatCode="0.00&quot;kg/m2&quot;"/>
    <numFmt numFmtId="170" formatCode="0.00&quot;kg&quot;"/>
    <numFmt numFmtId="171" formatCode="0.00&quot;cm&quot;"/>
    <numFmt numFmtId="172" formatCode="0&quot;cm2&quot;"/>
    <numFmt numFmtId="173" formatCode="0.00&quot;kg/m&quot;"/>
    <numFmt numFmtId="174" formatCode="0\ &quot;personas&quot;"/>
    <numFmt numFmtId="175" formatCode="0.00&quot;kpa&quot;"/>
    <numFmt numFmtId="176" formatCode="0.000\ &quot;s&quot;"/>
    <numFmt numFmtId="177" formatCode="0.000"/>
    <numFmt numFmtId="178" formatCode="0.000&quot;cm&quot;"/>
    <numFmt numFmtId="179" formatCode="0.00\ &quot;cm2&quot;"/>
    <numFmt numFmtId="180" formatCode="0.0000"/>
    <numFmt numFmtId="181" formatCode="0\ &quot;superior&quot;"/>
    <numFmt numFmtId="182" formatCode="0\ &quot;inferior&quot;"/>
  </numFmts>
  <fonts count="5" x14ac:knownFonts="1"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24"/>
      <color theme="1"/>
      <name val="Arial Narrow"/>
      <family val="2"/>
    </font>
    <font>
      <sz val="8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/>
    <xf numFmtId="16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6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0" fontId="0" fillId="0" borderId="1" xfId="0" applyNumberFormat="1" applyBorder="1"/>
    <xf numFmtId="171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71" fontId="0" fillId="2" borderId="0" xfId="0" applyNumberFormat="1" applyFill="1" applyAlignment="1">
      <alignment horizontal="center"/>
    </xf>
    <xf numFmtId="17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1" fontId="0" fillId="2" borderId="1" xfId="0" applyNumberFormat="1" applyFill="1" applyBorder="1"/>
    <xf numFmtId="2" fontId="0" fillId="0" borderId="1" xfId="0" applyNumberFormat="1" applyBorder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/>
    <xf numFmtId="169" fontId="0" fillId="2" borderId="1" xfId="0" applyNumberFormat="1" applyFill="1" applyBorder="1"/>
    <xf numFmtId="169" fontId="0" fillId="4" borderId="0" xfId="0" applyNumberFormat="1" applyFill="1"/>
    <xf numFmtId="169" fontId="0" fillId="9" borderId="1" xfId="0" applyNumberFormat="1" applyFill="1" applyBorder="1"/>
    <xf numFmtId="173" fontId="0" fillId="10" borderId="1" xfId="0" applyNumberFormat="1" applyFill="1" applyBorder="1"/>
    <xf numFmtId="167" fontId="0" fillId="2" borderId="1" xfId="0" applyNumberFormat="1" applyFill="1" applyBorder="1"/>
    <xf numFmtId="173" fontId="0" fillId="11" borderId="1" xfId="0" applyNumberFormat="1" applyFill="1" applyBorder="1"/>
    <xf numFmtId="0" fontId="0" fillId="0" borderId="4" xfId="0" applyBorder="1" applyAlignment="1">
      <alignment horizontal="center"/>
    </xf>
    <xf numFmtId="169" fontId="0" fillId="2" borderId="4" xfId="0" applyNumberFormat="1" applyFill="1" applyBorder="1"/>
    <xf numFmtId="0" fontId="1" fillId="0" borderId="0" xfId="0" applyFont="1"/>
    <xf numFmtId="174" fontId="0" fillId="1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75" fontId="0" fillId="0" borderId="0" xfId="0" applyNumberFormat="1"/>
    <xf numFmtId="165" fontId="0" fillId="2" borderId="1" xfId="0" applyNumberFormat="1" applyFill="1" applyBorder="1"/>
    <xf numFmtId="0" fontId="1" fillId="0" borderId="1" xfId="0" applyFont="1" applyBorder="1" applyAlignment="1">
      <alignment horizontal="center"/>
    </xf>
    <xf numFmtId="176" fontId="0" fillId="0" borderId="1" xfId="0" applyNumberFormat="1" applyBorder="1"/>
    <xf numFmtId="0" fontId="1" fillId="1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14" borderId="1" xfId="0" applyFill="1" applyBorder="1" applyAlignment="1">
      <alignment horizontal="center"/>
    </xf>
    <xf numFmtId="177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12" borderId="1" xfId="0" applyNumberForma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1" fontId="0" fillId="2" borderId="0" xfId="0" applyNumberFormat="1" applyFill="1" applyAlignment="1">
      <alignment vertical="center" wrapText="1"/>
    </xf>
    <xf numFmtId="177" fontId="0" fillId="13" borderId="0" xfId="0" applyNumberFormat="1" applyFill="1"/>
    <xf numFmtId="2" fontId="0" fillId="1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78" fontId="0" fillId="0" borderId="1" xfId="0" applyNumberFormat="1" applyBorder="1" applyAlignment="1">
      <alignment horizontal="center"/>
    </xf>
    <xf numFmtId="177" fontId="1" fillId="1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179" fontId="0" fillId="0" borderId="1" xfId="0" applyNumberFormat="1" applyBorder="1" applyAlignment="1">
      <alignment horizontal="center"/>
    </xf>
    <xf numFmtId="179" fontId="0" fillId="15" borderId="1" xfId="0" applyNumberFormat="1" applyFill="1" applyBorder="1" applyAlignment="1">
      <alignment horizontal="center"/>
    </xf>
    <xf numFmtId="182" fontId="0" fillId="3" borderId="0" xfId="0" applyNumberFormat="1" applyFill="1"/>
    <xf numFmtId="181" fontId="0" fillId="6" borderId="1" xfId="0" applyNumberFormat="1" applyFill="1" applyBorder="1"/>
    <xf numFmtId="182" fontId="0" fillId="6" borderId="1" xfId="0" applyNumberFormat="1" applyFill="1" applyBorder="1"/>
    <xf numFmtId="180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71" fontId="0" fillId="15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9" fontId="0" fillId="2" borderId="1" xfId="0" applyNumberFormat="1" applyFill="1" applyBorder="1" applyAlignment="1">
      <alignment vertical="center"/>
    </xf>
    <xf numFmtId="169" fontId="0" fillId="2" borderId="1" xfId="0" applyNumberForma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169" fontId="0" fillId="10" borderId="1" xfId="0" applyNumberForma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ESPECTRO!$D$66</c:f>
              <c:strCache>
                <c:ptCount val="1"/>
                <c:pt idx="0">
                  <c:v>Sa(T)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ESPECTRO!$C$67:$C$167</c:f>
              <c:numCache>
                <c:formatCode>0.00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xVal>
          <c:yVal>
            <c:numRef>
              <c:f>ESPECTRO!$D$67:$D$167</c:f>
              <c:numCache>
                <c:formatCode>General</c:formatCode>
                <c:ptCount val="101"/>
                <c:pt idx="0">
                  <c:v>0.54400000000000004</c:v>
                </c:pt>
                <c:pt idx="1">
                  <c:v>1.36</c:v>
                </c:pt>
                <c:pt idx="2">
                  <c:v>1.36</c:v>
                </c:pt>
                <c:pt idx="3">
                  <c:v>1.36</c:v>
                </c:pt>
                <c:pt idx="4">
                  <c:v>1.36</c:v>
                </c:pt>
                <c:pt idx="5">
                  <c:v>1.3280000000000001</c:v>
                </c:pt>
                <c:pt idx="6">
                  <c:v>1.1066666666666667</c:v>
                </c:pt>
                <c:pt idx="7">
                  <c:v>0.94857142857142873</c:v>
                </c:pt>
                <c:pt idx="8">
                  <c:v>0.83000000000000007</c:v>
                </c:pt>
                <c:pt idx="9">
                  <c:v>0.73777777777777787</c:v>
                </c:pt>
                <c:pt idx="10">
                  <c:v>0.66400000000000015</c:v>
                </c:pt>
                <c:pt idx="11">
                  <c:v>0.60363636363636375</c:v>
                </c:pt>
                <c:pt idx="12">
                  <c:v>0.55333333333333334</c:v>
                </c:pt>
                <c:pt idx="13">
                  <c:v>0.51076923076923075</c:v>
                </c:pt>
                <c:pt idx="14">
                  <c:v>0.47428571428571425</c:v>
                </c:pt>
                <c:pt idx="15">
                  <c:v>0.4426666666666666</c:v>
                </c:pt>
                <c:pt idx="16">
                  <c:v>0.41499999999999992</c:v>
                </c:pt>
                <c:pt idx="17">
                  <c:v>0.39058823529411757</c:v>
                </c:pt>
                <c:pt idx="18">
                  <c:v>0.36888888888888882</c:v>
                </c:pt>
                <c:pt idx="19">
                  <c:v>0.34947368421052621</c:v>
                </c:pt>
                <c:pt idx="20">
                  <c:v>0.33199999999999996</c:v>
                </c:pt>
                <c:pt idx="21">
                  <c:v>0.31619047619047613</c:v>
                </c:pt>
                <c:pt idx="22">
                  <c:v>0.30181818181818176</c:v>
                </c:pt>
                <c:pt idx="23">
                  <c:v>0.28869565217391296</c:v>
                </c:pt>
                <c:pt idx="24">
                  <c:v>0.27666666666666662</c:v>
                </c:pt>
                <c:pt idx="25">
                  <c:v>0.26559999999999995</c:v>
                </c:pt>
                <c:pt idx="26">
                  <c:v>0.25538461538461532</c:v>
                </c:pt>
                <c:pt idx="27">
                  <c:v>0.24592592592592585</c:v>
                </c:pt>
                <c:pt idx="28">
                  <c:v>0.23714285714285704</c:v>
                </c:pt>
                <c:pt idx="29">
                  <c:v>0.22896551724137923</c:v>
                </c:pt>
                <c:pt idx="30">
                  <c:v>0.22133333333333324</c:v>
                </c:pt>
                <c:pt idx="31">
                  <c:v>0.2141935483870967</c:v>
                </c:pt>
                <c:pt idx="32">
                  <c:v>0.20749999999999991</c:v>
                </c:pt>
                <c:pt idx="33">
                  <c:v>0.20121212121212112</c:v>
                </c:pt>
                <c:pt idx="34">
                  <c:v>0.19414532871972301</c:v>
                </c:pt>
                <c:pt idx="35">
                  <c:v>0.18320979591836717</c:v>
                </c:pt>
                <c:pt idx="36">
                  <c:v>0.17317283950617268</c:v>
                </c:pt>
                <c:pt idx="37">
                  <c:v>0.16393864134404659</c:v>
                </c:pt>
                <c:pt idx="38">
                  <c:v>0.15542382271468128</c:v>
                </c:pt>
                <c:pt idx="39">
                  <c:v>0.14755555555555541</c:v>
                </c:pt>
                <c:pt idx="40">
                  <c:v>0.14026999999999989</c:v>
                </c:pt>
                <c:pt idx="41">
                  <c:v>0.13351100535395588</c:v>
                </c:pt>
                <c:pt idx="42">
                  <c:v>0.12722902494331062</c:v>
                </c:pt>
                <c:pt idx="43">
                  <c:v>0.12138020551649537</c:v>
                </c:pt>
                <c:pt idx="44">
                  <c:v>0.11592561983471072</c:v>
                </c:pt>
                <c:pt idx="45">
                  <c:v>0.11083061728395062</c:v>
                </c:pt>
                <c:pt idx="46">
                  <c:v>0.10606427221172025</c:v>
                </c:pt>
                <c:pt idx="47">
                  <c:v>0.10159891353553648</c:v>
                </c:pt>
                <c:pt idx="48">
                  <c:v>9.7409722222222273E-2</c:v>
                </c:pt>
                <c:pt idx="49">
                  <c:v>9.3474385672636454E-2</c:v>
                </c:pt>
                <c:pt idx="50">
                  <c:v>8.9772800000000069E-2</c:v>
                </c:pt>
                <c:pt idx="51">
                  <c:v>8.6286812764321499E-2</c:v>
                </c:pt>
                <c:pt idx="52">
                  <c:v>8.3000000000000088E-2</c:v>
                </c:pt>
                <c:pt idx="53">
                  <c:v>7.9897472410110443E-2</c:v>
                </c:pt>
                <c:pt idx="54">
                  <c:v>7.6965706447188031E-2</c:v>
                </c:pt>
                <c:pt idx="55">
                  <c:v>7.4192396694214971E-2</c:v>
                </c:pt>
                <c:pt idx="56">
                  <c:v>7.1566326530612345E-2</c:v>
                </c:pt>
                <c:pt idx="57">
                  <c:v>6.9077254539858524E-2</c:v>
                </c:pt>
                <c:pt idx="58">
                  <c:v>6.6715814506539947E-2</c:v>
                </c:pt>
                <c:pt idx="59">
                  <c:v>6.4473427176098941E-2</c:v>
                </c:pt>
                <c:pt idx="60">
                  <c:v>6.2342222222222334E-2</c:v>
                </c:pt>
                <c:pt idx="61">
                  <c:v>6.0314969094329596E-2</c:v>
                </c:pt>
                <c:pt idx="62">
                  <c:v>5.8385015608741007E-2</c:v>
                </c:pt>
                <c:pt idx="63">
                  <c:v>5.654623330813819E-2</c:v>
                </c:pt>
                <c:pt idx="64">
                  <c:v>5.4792968750000115E-2</c:v>
                </c:pt>
                <c:pt idx="65">
                  <c:v>5.3120000000000119E-2</c:v>
                </c:pt>
                <c:pt idx="66">
                  <c:v>5.1522497704316002E-2</c:v>
                </c:pt>
                <c:pt idx="67">
                  <c:v>4.9995990198262542E-2</c:v>
                </c:pt>
                <c:pt idx="68">
                  <c:v>4.8536332179930912E-2</c:v>
                </c:pt>
                <c:pt idx="69">
                  <c:v>4.7139676538542438E-2</c:v>
                </c:pt>
                <c:pt idx="70">
                  <c:v>4.5802448979591959E-2</c:v>
                </c:pt>
                <c:pt idx="71">
                  <c:v>4.4521325133902119E-2</c:v>
                </c:pt>
                <c:pt idx="72">
                  <c:v>4.329320987654333E-2</c:v>
                </c:pt>
                <c:pt idx="73">
                  <c:v>4.2115218615124905E-2</c:v>
                </c:pt>
                <c:pt idx="74">
                  <c:v>4.0984660336011801E-2</c:v>
                </c:pt>
                <c:pt idx="75">
                  <c:v>3.9899022222222337E-2</c:v>
                </c:pt>
                <c:pt idx="76">
                  <c:v>3.8855955678670472E-2</c:v>
                </c:pt>
                <c:pt idx="77">
                  <c:v>3.78532636194975E-2</c:v>
                </c:pt>
                <c:pt idx="78">
                  <c:v>3.6888888888888999E-2</c:v>
                </c:pt>
                <c:pt idx="79">
                  <c:v>3.5960903701330024E-2</c:v>
                </c:pt>
                <c:pt idx="80">
                  <c:v>3.5067500000000112E-2</c:v>
                </c:pt>
                <c:pt idx="81">
                  <c:v>3.4206980643194745E-2</c:v>
                </c:pt>
                <c:pt idx="82">
                  <c:v>3.3377751338489102E-2</c:v>
                </c:pt>
                <c:pt idx="83">
                  <c:v>3.2578313253012157E-2</c:v>
                </c:pt>
                <c:pt idx="84">
                  <c:v>3.1807256235827773E-2</c:v>
                </c:pt>
                <c:pt idx="85">
                  <c:v>3.1063252595155813E-2</c:v>
                </c:pt>
                <c:pt idx="86">
                  <c:v>3.0345051379123952E-2</c:v>
                </c:pt>
                <c:pt idx="87">
                  <c:v>2.9651473114017807E-2</c:v>
                </c:pt>
                <c:pt idx="88">
                  <c:v>2.8981404958677789E-2</c:v>
                </c:pt>
                <c:pt idx="89">
                  <c:v>2.8333796237848857E-2</c:v>
                </c:pt>
                <c:pt idx="90">
                  <c:v>2.7707654320987752E-2</c:v>
                </c:pt>
                <c:pt idx="91">
                  <c:v>2.7102040816326629E-2</c:v>
                </c:pt>
                <c:pt idx="92">
                  <c:v>2.6516068052930157E-2</c:v>
                </c:pt>
                <c:pt idx="93">
                  <c:v>2.5948895826107161E-2</c:v>
                </c:pt>
                <c:pt idx="94">
                  <c:v>2.5399728383884206E-2</c:v>
                </c:pt>
                <c:pt idx="95">
                  <c:v>2.4867811634349125E-2</c:v>
                </c:pt>
                <c:pt idx="96">
                  <c:v>2.4352430555555648E-2</c:v>
                </c:pt>
                <c:pt idx="97">
                  <c:v>2.3852906791370056E-2</c:v>
                </c:pt>
                <c:pt idx="98">
                  <c:v>2.336859641815919E-2</c:v>
                </c:pt>
                <c:pt idx="99">
                  <c:v>2.2898887868584929E-2</c:v>
                </c:pt>
                <c:pt idx="100">
                  <c:v>2.244320000000009E-2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B-4E66-9494-1E98983B300C}"/>
            </c:ext>
          </c:extLst>
        </c:ser>
        <c:ser>
          <c:idx val="1"/>
          <c:order val="1"/>
          <c:tx>
            <c:strRef>
              <c:f>ESPECTRO!$A$179</c:f>
              <c:strCache>
                <c:ptCount val="1"/>
                <c:pt idx="0">
                  <c:v>Coeficiente sismico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ESPECTRO!$C$181:$C$182</c:f>
              <c:numCache>
                <c:formatCode>0.000\ "s"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ESPECTRO!$D$181:$D$182</c:f>
              <c:numCache>
                <c:formatCode>General</c:formatCode>
                <c:ptCount val="2"/>
                <c:pt idx="0">
                  <c:v>0</c:v>
                </c:pt>
                <c:pt idx="1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64-439D-B387-C0B85951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445967"/>
        <c:axId val="280456527"/>
      </c:scatterChart>
      <c:valAx>
        <c:axId val="280445967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Periodo en segundos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56527"/>
        <c:crosses val="autoZero"/>
        <c:crossBetween val="midCat"/>
        <c:majorUnit val="1"/>
      </c:valAx>
      <c:valAx>
        <c:axId val="2804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Sa(T) en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4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Distorciones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ESPECTRO!$K$322</c:f>
              <c:strCache>
                <c:ptCount val="1"/>
                <c:pt idx="0">
                  <c:v>θux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ESPECTRO!$K$323:$K$326</c:f>
              <c:numCache>
                <c:formatCode>General</c:formatCode>
                <c:ptCount val="4"/>
                <c:pt idx="0">
                  <c:v>7.0784999999999963E-3</c:v>
                </c:pt>
                <c:pt idx="1">
                  <c:v>1.0578333333333334E-2</c:v>
                </c:pt>
                <c:pt idx="2">
                  <c:v>7.6798333333333328E-3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B3-4F95-82B2-BDF6B8DA94C5}"/>
            </c:ext>
          </c:extLst>
        </c:ser>
        <c:ser>
          <c:idx val="1"/>
          <c:order val="1"/>
          <c:tx>
            <c:strRef>
              <c:f>ESPECTRO!$L$322</c:f>
              <c:strCache>
                <c:ptCount val="1"/>
                <c:pt idx="0">
                  <c:v>θuy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ESPECTRO!$L$323:$L$326</c:f>
              <c:numCache>
                <c:formatCode>General</c:formatCode>
                <c:ptCount val="4"/>
                <c:pt idx="0">
                  <c:v>8.0281666666666678E-3</c:v>
                </c:pt>
                <c:pt idx="1">
                  <c:v>1.1647166666666669E-2</c:v>
                </c:pt>
                <c:pt idx="2">
                  <c:v>8.2279999999999992E-3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B3-4F95-82B2-BDF6B8DA94C5}"/>
            </c:ext>
          </c:extLst>
        </c:ser>
        <c:ser>
          <c:idx val="2"/>
          <c:order val="2"/>
          <c:tx>
            <c:strRef>
              <c:f>ESPECTRO!$M$322</c:f>
              <c:strCache>
                <c:ptCount val="1"/>
                <c:pt idx="0">
                  <c:v>θp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ESPECTRO!$M$323:$M$326</c:f>
              <c:numCache>
                <c:formatCode>General</c:formatCode>
                <c:ptCount val="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B3-4F95-82B2-BDF6B8DA9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ESPECTRO!$I$322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ESPECTRO!$I$323:$I$326</c:f>
              <c:numCache>
                <c:formatCode>0.000"cm"</c:formatCode>
                <c:ptCount val="4"/>
                <c:pt idx="0">
                  <c:v>2.1235499999999989</c:v>
                </c:pt>
                <c:pt idx="1">
                  <c:v>3.1735000000000002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F0-4361-8962-8639D510DE70}"/>
            </c:ext>
          </c:extLst>
        </c:ser>
        <c:ser>
          <c:idx val="1"/>
          <c:order val="1"/>
          <c:tx>
            <c:strRef>
              <c:f>ESPECTRO!$J$322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ESPECTRO!$J$323:$J$326</c:f>
              <c:numCache>
                <c:formatCode>0.000"cm"</c:formatCode>
                <c:ptCount val="4"/>
                <c:pt idx="0">
                  <c:v>2.4084500000000002</c:v>
                </c:pt>
                <c:pt idx="1">
                  <c:v>3.4941500000000003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F0-4361-8962-8639D510DE70}"/>
            </c:ext>
          </c:extLst>
        </c:ser>
        <c:ser>
          <c:idx val="2"/>
          <c:order val="2"/>
          <c:tx>
            <c:strRef>
              <c:f>ESPECTRO!$N$322</c:f>
              <c:strCache>
                <c:ptCount val="1"/>
                <c:pt idx="0">
                  <c:v>Δp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ESPECTRO!$N$323:$N$326</c:f>
              <c:numCache>
                <c:formatCode>0.000"cm"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F0-4361-8962-8639D510D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Desplazamientos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ESPECTRO!$G$322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ESPECTRO!$G$323:$G$326</c:f>
              <c:numCache>
                <c:formatCode>0.000"cm"</c:formatCode>
                <c:ptCount val="4"/>
                <c:pt idx="0">
                  <c:v>7.6009999999999991</c:v>
                </c:pt>
                <c:pt idx="1">
                  <c:v>5.4774500000000002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F-452A-9581-9B46E01FDD9B}"/>
            </c:ext>
          </c:extLst>
        </c:ser>
        <c:ser>
          <c:idx val="1"/>
          <c:order val="1"/>
          <c:tx>
            <c:strRef>
              <c:f>ESPECTRO!$H$322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ESPECTRO!$H$323:$H$326</c:f>
              <c:numCache>
                <c:formatCode>0.000"cm"</c:formatCode>
                <c:ptCount val="4"/>
                <c:pt idx="0">
                  <c:v>8.3710000000000004</c:v>
                </c:pt>
                <c:pt idx="1">
                  <c:v>5.9625500000000002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ESPECTRO!$D$323:$D$326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8F-452A-9581-9B46E01FD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2.png"/><Relationship Id="rId21" Type="http://schemas.openxmlformats.org/officeDocument/2006/relationships/image" Target="../media/image29.png"/><Relationship Id="rId7" Type="http://schemas.openxmlformats.org/officeDocument/2006/relationships/image" Target="../media/image16.png"/><Relationship Id="rId12" Type="http://schemas.openxmlformats.org/officeDocument/2006/relationships/chart" Target="../charts/chart1.xml"/><Relationship Id="rId17" Type="http://schemas.openxmlformats.org/officeDocument/2006/relationships/image" Target="../media/image25.png"/><Relationship Id="rId25" Type="http://schemas.openxmlformats.org/officeDocument/2006/relationships/image" Target="../media/image30.png"/><Relationship Id="rId2" Type="http://schemas.openxmlformats.org/officeDocument/2006/relationships/image" Target="../media/image11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chart" Target="../charts/chart4.xml"/><Relationship Id="rId5" Type="http://schemas.openxmlformats.org/officeDocument/2006/relationships/image" Target="../media/image14.png"/><Relationship Id="rId15" Type="http://schemas.openxmlformats.org/officeDocument/2006/relationships/image" Target="../media/image23.png"/><Relationship Id="rId23" Type="http://schemas.openxmlformats.org/officeDocument/2006/relationships/chart" Target="../charts/chart3.xml"/><Relationship Id="rId10" Type="http://schemas.openxmlformats.org/officeDocument/2006/relationships/image" Target="../media/image19.png"/><Relationship Id="rId19" Type="http://schemas.openxmlformats.org/officeDocument/2006/relationships/image" Target="../media/image27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2.png"/><Relationship Id="rId2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58</xdr:row>
      <xdr:rowOff>19050</xdr:rowOff>
    </xdr:from>
    <xdr:to>
      <xdr:col>3</xdr:col>
      <xdr:colOff>776272</xdr:colOff>
      <xdr:row>62</xdr:row>
      <xdr:rowOff>1185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E1F26-71BC-661B-5B94-4A148BB18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0591800"/>
          <a:ext cx="1371791" cy="790685"/>
        </a:xfrm>
        <a:prstGeom prst="rect">
          <a:avLst/>
        </a:prstGeom>
      </xdr:spPr>
    </xdr:pic>
    <xdr:clientData/>
  </xdr:twoCellAnchor>
  <xdr:twoCellAnchor editAs="oneCell">
    <xdr:from>
      <xdr:col>4</xdr:col>
      <xdr:colOff>704850</xdr:colOff>
      <xdr:row>86</xdr:row>
      <xdr:rowOff>123825</xdr:rowOff>
    </xdr:from>
    <xdr:to>
      <xdr:col>9</xdr:col>
      <xdr:colOff>120386</xdr:colOff>
      <xdr:row>92</xdr:row>
      <xdr:rowOff>85894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333214-7644-76BC-D7D8-70A231D5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4775" y="16611600"/>
          <a:ext cx="5029902" cy="121937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752476</xdr:colOff>
      <xdr:row>106</xdr:row>
      <xdr:rowOff>114300</xdr:rowOff>
    </xdr:from>
    <xdr:to>
      <xdr:col>7</xdr:col>
      <xdr:colOff>6791</xdr:colOff>
      <xdr:row>107</xdr:row>
      <xdr:rowOff>131883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093ED8-84B9-456B-D73A-F11EEA03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6" y="207645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107</xdr:row>
      <xdr:rowOff>180975</xdr:rowOff>
    </xdr:from>
    <xdr:to>
      <xdr:col>6</xdr:col>
      <xdr:colOff>695739</xdr:colOff>
      <xdr:row>109</xdr:row>
      <xdr:rowOff>6624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F3FCC1-6158-F287-B6A7-8600C158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5651" y="21040725"/>
          <a:ext cx="3343274" cy="2447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28575</xdr:rowOff>
    </xdr:from>
    <xdr:to>
      <xdr:col>7</xdr:col>
      <xdr:colOff>258831</xdr:colOff>
      <xdr:row>110</xdr:row>
      <xdr:rowOff>38621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D005AA3-3A21-3F5E-5A4A-147E6D54E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7550" y="21307425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7</xdr:col>
      <xdr:colOff>144530</xdr:colOff>
      <xdr:row>117</xdr:row>
      <xdr:rowOff>17583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9F9543-B343-488E-864F-61CAF354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57550" y="227457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7</xdr:col>
      <xdr:colOff>258831</xdr:colOff>
      <xdr:row>118</xdr:row>
      <xdr:rowOff>10046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3912F5-3288-4923-BAD5-150476C6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7550" y="22955250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124</xdr:row>
      <xdr:rowOff>190500</xdr:rowOff>
    </xdr:from>
    <xdr:to>
      <xdr:col>8</xdr:col>
      <xdr:colOff>395976</xdr:colOff>
      <xdr:row>132</xdr:row>
      <xdr:rowOff>161925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CA2154-8269-54BB-BAC3-2264F6C86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57825" y="25031700"/>
          <a:ext cx="2312572" cy="164782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140</xdr:row>
      <xdr:rowOff>133350</xdr:rowOff>
    </xdr:from>
    <xdr:to>
      <xdr:col>7</xdr:col>
      <xdr:colOff>306456</xdr:colOff>
      <xdr:row>142</xdr:row>
      <xdr:rowOff>35426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D1EDAE6-ED9C-3285-DD84-DA12F891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0" y="28327350"/>
          <a:ext cx="4848225" cy="321176"/>
        </a:xfrm>
        <a:prstGeom prst="rect">
          <a:avLst/>
        </a:prstGeom>
      </xdr:spPr>
    </xdr:pic>
    <xdr:clientData/>
  </xdr:twoCellAnchor>
  <xdr:twoCellAnchor editAs="oneCell">
    <xdr:from>
      <xdr:col>4</xdr:col>
      <xdr:colOff>975361</xdr:colOff>
      <xdr:row>0</xdr:row>
      <xdr:rowOff>0</xdr:rowOff>
    </xdr:from>
    <xdr:to>
      <xdr:col>8</xdr:col>
      <xdr:colOff>182550</xdr:colOff>
      <xdr:row>17</xdr:row>
      <xdr:rowOff>140332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38F75-85AE-0F1C-161B-1EA031AF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9101" y="0"/>
          <a:ext cx="3505200" cy="3295012"/>
        </a:xfrm>
        <a:prstGeom prst="rect">
          <a:avLst/>
        </a:prstGeom>
      </xdr:spPr>
    </xdr:pic>
    <xdr:clientData/>
  </xdr:twoCellAnchor>
  <xdr:twoCellAnchor editAs="oneCell">
    <xdr:from>
      <xdr:col>8</xdr:col>
      <xdr:colOff>528919</xdr:colOff>
      <xdr:row>1</xdr:row>
      <xdr:rowOff>116542</xdr:rowOff>
    </xdr:from>
    <xdr:to>
      <xdr:col>14</xdr:col>
      <xdr:colOff>210899</xdr:colOff>
      <xdr:row>17</xdr:row>
      <xdr:rowOff>71719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B03CBA1-51D3-6252-265D-AC7ECD48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33013" y="295836"/>
          <a:ext cx="4262945" cy="2994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384749</xdr:colOff>
      <xdr:row>5</xdr:row>
      <xdr:rowOff>38101</xdr:rowOff>
    </xdr:from>
    <xdr:to>
      <xdr:col>11</xdr:col>
      <xdr:colOff>380958</xdr:colOff>
      <xdr:row>7</xdr:row>
      <xdr:rowOff>173429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CC587-FBAB-9A6C-A482-E67A30A9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7449" y="1085851"/>
          <a:ext cx="6092209" cy="562048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9</xdr:row>
      <xdr:rowOff>110633</xdr:rowOff>
    </xdr:from>
    <xdr:to>
      <xdr:col>10</xdr:col>
      <xdr:colOff>372410</xdr:colOff>
      <xdr:row>18</xdr:row>
      <xdr:rowOff>160225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A738E-A9F3-8A50-48A2-4CED6282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996583"/>
          <a:ext cx="4049060" cy="215681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34</xdr:row>
      <xdr:rowOff>128827</xdr:rowOff>
    </xdr:from>
    <xdr:to>
      <xdr:col>7</xdr:col>
      <xdr:colOff>668215</xdr:colOff>
      <xdr:row>37</xdr:row>
      <xdr:rowOff>173509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AC44FA-C5B1-6125-20BE-D5B21E4A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49" y="7253527"/>
          <a:ext cx="2952751" cy="6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39</xdr:row>
      <xdr:rowOff>47625</xdr:rowOff>
    </xdr:from>
    <xdr:to>
      <xdr:col>5</xdr:col>
      <xdr:colOff>371475</xdr:colOff>
      <xdr:row>40</xdr:row>
      <xdr:rowOff>116967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58DDCA-52B8-C95E-9ABC-57D32A89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5" y="8220075"/>
          <a:ext cx="1162050" cy="278892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40</xdr:row>
      <xdr:rowOff>142875</xdr:rowOff>
    </xdr:from>
    <xdr:to>
      <xdr:col>5</xdr:col>
      <xdr:colOff>238125</xdr:colOff>
      <xdr:row>41</xdr:row>
      <xdr:rowOff>156981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167ECD-828B-2364-49D4-682B0704F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8524875"/>
          <a:ext cx="1009650" cy="22365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44</xdr:row>
      <xdr:rowOff>68613</xdr:rowOff>
    </xdr:from>
    <xdr:to>
      <xdr:col>4</xdr:col>
      <xdr:colOff>414300</xdr:colOff>
      <xdr:row>52</xdr:row>
      <xdr:rowOff>9917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EE1D12-E42C-2ED3-F9E1-7F119460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9288813"/>
          <a:ext cx="3772815" cy="1617704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45</xdr:row>
      <xdr:rowOff>135770</xdr:rowOff>
    </xdr:from>
    <xdr:to>
      <xdr:col>11</xdr:col>
      <xdr:colOff>868</xdr:colOff>
      <xdr:row>52</xdr:row>
      <xdr:rowOff>152680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5ECB6D-D591-30C2-72DD-CEDA2D8C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7650" y="9565520"/>
          <a:ext cx="4591918" cy="1483760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600074</xdr:colOff>
      <xdr:row>55</xdr:row>
      <xdr:rowOff>66676</xdr:rowOff>
    </xdr:from>
    <xdr:to>
      <xdr:col>5</xdr:col>
      <xdr:colOff>238125</xdr:colOff>
      <xdr:row>58</xdr:row>
      <xdr:rowOff>165837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90E225-F6B8-11A2-797A-BD904EFD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2774" y="11591926"/>
          <a:ext cx="1162051" cy="72781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58</xdr:row>
      <xdr:rowOff>123826</xdr:rowOff>
    </xdr:from>
    <xdr:to>
      <xdr:col>5</xdr:col>
      <xdr:colOff>333375</xdr:colOff>
      <xdr:row>60</xdr:row>
      <xdr:rowOff>1959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CF2444A-1D80-0284-D57E-AE3E1175A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09925" y="12277726"/>
          <a:ext cx="1200150" cy="297233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59</xdr:row>
      <xdr:rowOff>180975</xdr:rowOff>
    </xdr:from>
    <xdr:to>
      <xdr:col>5</xdr:col>
      <xdr:colOff>349172</xdr:colOff>
      <xdr:row>61</xdr:row>
      <xdr:rowOff>28574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BD56B1-5FF8-D9BA-B323-9E5D45D6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28975" y="12544425"/>
          <a:ext cx="1196897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64</xdr:row>
      <xdr:rowOff>176818</xdr:rowOff>
    </xdr:from>
    <xdr:to>
      <xdr:col>10</xdr:col>
      <xdr:colOff>315047</xdr:colOff>
      <xdr:row>73</xdr:row>
      <xdr:rowOff>67014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0F5E035-EEC7-C129-0679-53F3315AC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19600" y="13588018"/>
          <a:ext cx="3782147" cy="1776146"/>
        </a:xfrm>
        <a:prstGeom prst="rect">
          <a:avLst/>
        </a:prstGeom>
      </xdr:spPr>
    </xdr:pic>
    <xdr:clientData/>
  </xdr:twoCellAnchor>
  <xdr:twoCellAnchor>
    <xdr:from>
      <xdr:col>4</xdr:col>
      <xdr:colOff>619125</xdr:colOff>
      <xdr:row>151</xdr:row>
      <xdr:rowOff>152399</xdr:rowOff>
    </xdr:from>
    <xdr:to>
      <xdr:col>12</xdr:col>
      <xdr:colOff>523875</xdr:colOff>
      <xdr:row>169</xdr:row>
      <xdr:rowOff>142874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A2BEFEA-54FB-3C84-1E45-081EF514C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257175</xdr:colOff>
      <xdr:row>170</xdr:row>
      <xdr:rowOff>104775</xdr:rowOff>
    </xdr:from>
    <xdr:to>
      <xdr:col>7</xdr:col>
      <xdr:colOff>214170</xdr:colOff>
      <xdr:row>172</xdr:row>
      <xdr:rowOff>142938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2F3BEF-97DF-8D2A-7F03-55989478A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175" y="35728275"/>
          <a:ext cx="5801535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172</xdr:row>
      <xdr:rowOff>142875</xdr:rowOff>
    </xdr:from>
    <xdr:to>
      <xdr:col>5</xdr:col>
      <xdr:colOff>314510</xdr:colOff>
      <xdr:row>175</xdr:row>
      <xdr:rowOff>47700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B5A87BB-4A6C-E1CE-62D7-0717AB63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67050" y="36185475"/>
          <a:ext cx="1324160" cy="533474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180</xdr:row>
      <xdr:rowOff>19050</xdr:rowOff>
    </xdr:from>
    <xdr:to>
      <xdr:col>9</xdr:col>
      <xdr:colOff>495300</xdr:colOff>
      <xdr:row>187</xdr:row>
      <xdr:rowOff>142626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A25EBE0-9DF0-DF7A-41CB-0A7A7247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29050" y="37738050"/>
          <a:ext cx="3790950" cy="1590426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186</xdr:row>
      <xdr:rowOff>74222</xdr:rowOff>
    </xdr:from>
    <xdr:to>
      <xdr:col>3</xdr:col>
      <xdr:colOff>232583</xdr:colOff>
      <xdr:row>188</xdr:row>
      <xdr:rowOff>57228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D8DA7A7-1FCF-980F-9439-D2B06A0F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43125" y="39050522"/>
          <a:ext cx="885998" cy="402106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189</xdr:row>
      <xdr:rowOff>0</xdr:rowOff>
    </xdr:from>
    <xdr:to>
      <xdr:col>7</xdr:col>
      <xdr:colOff>495699</xdr:colOff>
      <xdr:row>191</xdr:row>
      <xdr:rowOff>38163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93BFFDA-1AE3-FB02-79AB-EDAD5BF8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238500" y="39604950"/>
          <a:ext cx="2857899" cy="45726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188</xdr:row>
      <xdr:rowOff>140196</xdr:rowOff>
    </xdr:from>
    <xdr:to>
      <xdr:col>2</xdr:col>
      <xdr:colOff>870755</xdr:colOff>
      <xdr:row>190</xdr:row>
      <xdr:rowOff>152492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D40AD14-FA36-05F4-994B-4D992EB3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52625" y="39535596"/>
          <a:ext cx="800270" cy="431396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204</xdr:row>
      <xdr:rowOff>38101</xdr:rowOff>
    </xdr:from>
    <xdr:to>
      <xdr:col>8</xdr:col>
      <xdr:colOff>590779</xdr:colOff>
      <xdr:row>208</xdr:row>
      <xdr:rowOff>142875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A7B1AE6-2874-2191-A801-E3AB6DCD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590552</xdr:colOff>
      <xdr:row>190</xdr:row>
      <xdr:rowOff>28575</xdr:rowOff>
    </xdr:from>
    <xdr:to>
      <xdr:col>16</xdr:col>
      <xdr:colOff>542505</xdr:colOff>
      <xdr:row>195</xdr:row>
      <xdr:rowOff>19050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500EC8D-58F5-B5B0-752B-9493747A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2" y="39843075"/>
          <a:ext cx="5352628" cy="1038225"/>
        </a:xfrm>
        <a:prstGeom prst="rect">
          <a:avLst/>
        </a:prstGeom>
      </xdr:spPr>
    </xdr:pic>
    <xdr:clientData/>
  </xdr:twoCellAnchor>
  <xdr:oneCellAnchor>
    <xdr:from>
      <xdr:col>5</xdr:col>
      <xdr:colOff>323850</xdr:colOff>
      <xdr:row>220</xdr:row>
      <xdr:rowOff>38101</xdr:rowOff>
    </xdr:from>
    <xdr:ext cx="2552929" cy="942974"/>
    <xdr:pic>
      <xdr:nvPicPr>
        <xdr:cNvPr id="22" name="Imagen 21">
          <a:extLst>
            <a:ext uri="{FF2B5EF4-FFF2-40B4-BE49-F238E27FC236}">
              <a16:creationId xmlns:a16="http://schemas.microsoft.com/office/drawing/2014/main" id="{A8BB7536-B126-4F30-BD41-21507430F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292</xdr:row>
      <xdr:rowOff>0</xdr:rowOff>
    </xdr:from>
    <xdr:to>
      <xdr:col>5</xdr:col>
      <xdr:colOff>551131</xdr:colOff>
      <xdr:row>302</xdr:row>
      <xdr:rowOff>47924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11FAFE4-6F76-4369-63F0-09919456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62000" y="63912750"/>
          <a:ext cx="4201111" cy="2143424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329</xdr:row>
      <xdr:rowOff>85725</xdr:rowOff>
    </xdr:from>
    <xdr:to>
      <xdr:col>8</xdr:col>
      <xdr:colOff>352425</xdr:colOff>
      <xdr:row>342</xdr:row>
      <xdr:rowOff>104775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4AC3359-D263-C604-7045-D289580A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0</xdr:colOff>
      <xdr:row>329</xdr:row>
      <xdr:rowOff>0</xdr:rowOff>
    </xdr:from>
    <xdr:to>
      <xdr:col>15</xdr:col>
      <xdr:colOff>695325</xdr:colOff>
      <xdr:row>342</xdr:row>
      <xdr:rowOff>19050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22CE62E-06BB-4DDE-8755-0447947AC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0</xdr:colOff>
      <xdr:row>345</xdr:row>
      <xdr:rowOff>0</xdr:rowOff>
    </xdr:from>
    <xdr:to>
      <xdr:col>8</xdr:col>
      <xdr:colOff>0</xdr:colOff>
      <xdr:row>358</xdr:row>
      <xdr:rowOff>19050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DC45A76-D88E-4B81-A2A8-F29546701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24</xdr:col>
      <xdr:colOff>386466</xdr:colOff>
      <xdr:row>33</xdr:row>
      <xdr:rowOff>26992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1FE7F83-86F6-44BB-B63A-BDB39C3A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04460" y="3695700"/>
          <a:ext cx="11869806" cy="2305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E3D5-2639-4096-AE8F-149D3809AF4D}">
  <dimension ref="A2:L172"/>
  <sheetViews>
    <sheetView topLeftCell="A149" zoomScale="85" zoomScaleNormal="85" workbookViewId="0">
      <selection activeCell="H168" sqref="H168"/>
    </sheetView>
  </sheetViews>
  <sheetFormatPr baseColWidth="10" defaultRowHeight="13.8" x14ac:dyDescent="0.25"/>
  <cols>
    <col min="1" max="1" width="14" customWidth="1"/>
    <col min="2" max="2" width="14.5" customWidth="1"/>
    <col min="3" max="3" width="19.375" customWidth="1"/>
    <col min="4" max="4" width="14.5" customWidth="1"/>
    <col min="5" max="5" width="23.75" customWidth="1"/>
    <col min="6" max="6" width="14.125" customWidth="1"/>
    <col min="7" max="7" width="15.75" customWidth="1"/>
    <col min="8" max="8" width="16.75" customWidth="1"/>
    <col min="11" max="11" width="14" customWidth="1"/>
    <col min="12" max="12" width="17.125" customWidth="1"/>
  </cols>
  <sheetData>
    <row r="2" spans="1:4" x14ac:dyDescent="0.25">
      <c r="A2" s="87" t="s">
        <v>324</v>
      </c>
      <c r="B2" s="87"/>
      <c r="C2" s="87"/>
      <c r="D2" s="87"/>
    </row>
    <row r="3" spans="1:4" x14ac:dyDescent="0.25">
      <c r="A3" s="86" t="s">
        <v>0</v>
      </c>
      <c r="B3" s="2" t="s">
        <v>322</v>
      </c>
      <c r="C3" s="1"/>
      <c r="D3" s="1"/>
    </row>
    <row r="4" spans="1:4" x14ac:dyDescent="0.25">
      <c r="A4" s="86" t="s">
        <v>1</v>
      </c>
      <c r="B4" s="96" t="s">
        <v>323</v>
      </c>
      <c r="C4" s="96"/>
      <c r="D4" s="96"/>
    </row>
    <row r="5" spans="1:4" ht="27.6" x14ac:dyDescent="0.25">
      <c r="A5" s="58" t="s">
        <v>2</v>
      </c>
      <c r="B5" s="4" t="s">
        <v>326</v>
      </c>
      <c r="C5" s="1"/>
      <c r="D5" s="1"/>
    </row>
    <row r="6" spans="1:4" x14ac:dyDescent="0.25">
      <c r="A6" s="86" t="s">
        <v>6</v>
      </c>
      <c r="B6" s="2">
        <v>5</v>
      </c>
      <c r="C6" s="1"/>
      <c r="D6" s="1"/>
    </row>
    <row r="7" spans="1:4" x14ac:dyDescent="0.25">
      <c r="A7" s="86" t="s">
        <v>7</v>
      </c>
      <c r="B7" s="5">
        <v>750</v>
      </c>
      <c r="C7" s="1"/>
      <c r="D7" s="1"/>
    </row>
    <row r="8" spans="1:4" x14ac:dyDescent="0.25">
      <c r="A8" s="86" t="s">
        <v>8</v>
      </c>
      <c r="B8" s="6">
        <v>15.5</v>
      </c>
      <c r="C8" s="1"/>
      <c r="D8" s="1"/>
    </row>
    <row r="9" spans="1:4" x14ac:dyDescent="0.25">
      <c r="A9" s="86" t="s">
        <v>9</v>
      </c>
      <c r="B9" s="5">
        <f>B6*B7</f>
        <v>3750</v>
      </c>
      <c r="C9" s="1"/>
      <c r="D9" s="1"/>
    </row>
    <row r="21" spans="1:10" x14ac:dyDescent="0.25">
      <c r="A21" s="95" t="s">
        <v>3</v>
      </c>
      <c r="B21" s="95"/>
    </row>
    <row r="22" spans="1:10" x14ac:dyDescent="0.25">
      <c r="A22" s="1" t="s">
        <v>4</v>
      </c>
      <c r="B22" s="7">
        <v>4000</v>
      </c>
      <c r="C22" s="8">
        <f>B22/14.22</f>
        <v>281.2939521800281</v>
      </c>
      <c r="D22" s="1" t="s">
        <v>12</v>
      </c>
      <c r="E22" s="8">
        <f>15100*SQRT(C22)</f>
        <v>253254.48473140257</v>
      </c>
      <c r="F22" s="100" t="s">
        <v>14</v>
      </c>
      <c r="G22" s="100"/>
      <c r="H22" s="100"/>
      <c r="I22" s="100"/>
      <c r="J22" s="100"/>
    </row>
    <row r="23" spans="1:10" x14ac:dyDescent="0.25">
      <c r="A23" s="1" t="s">
        <v>5</v>
      </c>
      <c r="B23" s="7">
        <v>60000</v>
      </c>
      <c r="C23" s="8">
        <f>B23/14.22</f>
        <v>4219.4092827004215</v>
      </c>
      <c r="D23" s="1" t="s">
        <v>13</v>
      </c>
      <c r="E23" s="8">
        <v>2039321.85</v>
      </c>
      <c r="F23" s="100" t="s">
        <v>15</v>
      </c>
      <c r="G23" s="100"/>
      <c r="H23" s="100"/>
      <c r="I23" s="100"/>
      <c r="J23" s="100"/>
    </row>
    <row r="24" spans="1:10" x14ac:dyDescent="0.25">
      <c r="A24" s="3" t="s">
        <v>10</v>
      </c>
      <c r="B24" s="9">
        <v>66</v>
      </c>
      <c r="C24" s="8" t="s">
        <v>11</v>
      </c>
      <c r="D24" s="1"/>
      <c r="E24" s="1"/>
      <c r="F24" s="100" t="s">
        <v>16</v>
      </c>
      <c r="G24" s="100"/>
      <c r="H24" s="100"/>
      <c r="I24" s="100"/>
      <c r="J24" s="100"/>
    </row>
    <row r="26" spans="1:10" ht="30" x14ac:dyDescent="0.5">
      <c r="A26" s="93" t="s">
        <v>18</v>
      </c>
      <c r="B26" s="93"/>
      <c r="C26" s="93"/>
      <c r="D26" s="93"/>
      <c r="E26" s="93"/>
      <c r="F26" s="93"/>
    </row>
    <row r="27" spans="1:10" x14ac:dyDescent="0.25">
      <c r="A27" s="15" t="s">
        <v>17</v>
      </c>
      <c r="B27" s="10"/>
      <c r="C27" s="10"/>
      <c r="D27" s="10"/>
      <c r="E27" s="10"/>
    </row>
    <row r="28" spans="1:10" x14ac:dyDescent="0.25">
      <c r="A28" s="98" t="s">
        <v>19</v>
      </c>
      <c r="B28" s="98"/>
      <c r="C28" s="10"/>
      <c r="D28" s="10"/>
      <c r="E28" s="10"/>
    </row>
    <row r="29" spans="1:10" x14ac:dyDescent="0.25">
      <c r="A29" s="11" t="s">
        <v>20</v>
      </c>
      <c r="B29" s="13">
        <v>5.5</v>
      </c>
      <c r="C29" s="10"/>
      <c r="D29" s="10"/>
      <c r="E29" s="10"/>
    </row>
    <row r="30" spans="1:10" x14ac:dyDescent="0.25">
      <c r="A30" s="10"/>
      <c r="B30" s="10"/>
      <c r="C30" s="10"/>
      <c r="D30" s="10"/>
      <c r="E30" s="10"/>
    </row>
    <row r="31" spans="1:10" x14ac:dyDescent="0.25">
      <c r="A31" s="11" t="s">
        <v>21</v>
      </c>
      <c r="B31" s="11" t="s">
        <v>22</v>
      </c>
      <c r="C31" s="11" t="s">
        <v>23</v>
      </c>
      <c r="D31" s="10"/>
      <c r="E31" s="10"/>
    </row>
    <row r="32" spans="1:10" x14ac:dyDescent="0.25">
      <c r="A32" s="14">
        <f>B29/14</f>
        <v>0.39285714285714285</v>
      </c>
      <c r="B32" s="13">
        <v>0.5</v>
      </c>
      <c r="C32" s="14">
        <f>B29/10</f>
        <v>0.55000000000000004</v>
      </c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1" t="s">
        <v>25</v>
      </c>
      <c r="B34" s="11" t="s">
        <v>24</v>
      </c>
      <c r="C34" s="11" t="s">
        <v>26</v>
      </c>
      <c r="D34" s="10"/>
      <c r="E34" s="10"/>
    </row>
    <row r="35" spans="1:5" x14ac:dyDescent="0.25">
      <c r="A35" s="14">
        <f>B32/2</f>
        <v>0.25</v>
      </c>
      <c r="B35" s="13">
        <v>0.3</v>
      </c>
      <c r="C35" s="14">
        <f>2*B32/3</f>
        <v>0.33333333333333331</v>
      </c>
      <c r="D35" s="11" t="s">
        <v>27</v>
      </c>
      <c r="E35" s="14">
        <f>MAX(0.3*B32,0.25)</f>
        <v>0.25</v>
      </c>
    </row>
    <row r="36" spans="1:5" x14ac:dyDescent="0.25">
      <c r="A36" s="10"/>
      <c r="B36" s="10"/>
      <c r="C36" s="10"/>
      <c r="D36" s="10"/>
      <c r="E36" s="10"/>
    </row>
    <row r="37" spans="1:5" ht="20.399999999999999" x14ac:dyDescent="0.35">
      <c r="A37" s="97" t="str">
        <f>CONCATENATE("VX ",B32*100,"cmX",B35*100,"cm")</f>
        <v>VX 50cmX30cm</v>
      </c>
      <c r="B37" s="97"/>
      <c r="C37" s="97"/>
      <c r="D37" s="10"/>
      <c r="E37" s="30"/>
    </row>
    <row r="38" spans="1:5" x14ac:dyDescent="0.25">
      <c r="A38" s="11" t="s">
        <v>28</v>
      </c>
      <c r="B38" s="12">
        <f>(14/$C$23)*B35*100*(B32-0.06)*100</f>
        <v>4.3797600000000001</v>
      </c>
      <c r="C38" s="10"/>
      <c r="D38" s="10"/>
      <c r="E38" s="10"/>
    </row>
    <row r="39" spans="1:5" x14ac:dyDescent="0.25">
      <c r="A39" s="11" t="s">
        <v>29</v>
      </c>
      <c r="B39" s="11">
        <f>(0.85*0.85*$C$22/$C$23)*(0.003/(0.003+($C$23/$E$23)+0.003))</f>
        <v>1.7907986129220434E-2</v>
      </c>
      <c r="C39" s="10"/>
      <c r="D39" s="10"/>
      <c r="E39" s="10"/>
    </row>
    <row r="40" spans="1:5" x14ac:dyDescent="0.25">
      <c r="A40" s="11" t="s">
        <v>30</v>
      </c>
      <c r="B40" s="12">
        <f>+B39*B35*100*(B32-0.06)*100</f>
        <v>23.638541690570971</v>
      </c>
      <c r="C40" s="10"/>
      <c r="D40" s="10"/>
      <c r="E40" s="10"/>
    </row>
    <row r="43" spans="1:5" x14ac:dyDescent="0.25">
      <c r="A43" s="98" t="s">
        <v>31</v>
      </c>
      <c r="B43" s="98"/>
      <c r="C43" s="10"/>
      <c r="D43" s="10"/>
      <c r="E43" s="10"/>
    </row>
    <row r="44" spans="1:5" x14ac:dyDescent="0.25">
      <c r="A44" s="11" t="s">
        <v>20</v>
      </c>
      <c r="B44" s="13">
        <v>7.5</v>
      </c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1" t="s">
        <v>21</v>
      </c>
      <c r="B46" s="11" t="s">
        <v>22</v>
      </c>
      <c r="C46" s="11" t="s">
        <v>23</v>
      </c>
      <c r="D46" s="10"/>
      <c r="E46" s="10"/>
    </row>
    <row r="47" spans="1:5" x14ac:dyDescent="0.25">
      <c r="A47" s="14">
        <f>B44/14</f>
        <v>0.5357142857142857</v>
      </c>
      <c r="B47" s="13">
        <v>0.45</v>
      </c>
      <c r="C47" s="14">
        <f>B44/10</f>
        <v>0.75</v>
      </c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6" x14ac:dyDescent="0.25">
      <c r="A49" s="11" t="s">
        <v>25</v>
      </c>
      <c r="B49" s="11" t="s">
        <v>24</v>
      </c>
      <c r="C49" s="11" t="s">
        <v>26</v>
      </c>
      <c r="D49" s="10"/>
      <c r="E49" s="10"/>
    </row>
    <row r="50" spans="1:6" x14ac:dyDescent="0.25">
      <c r="A50" s="14">
        <f>B47/2</f>
        <v>0.22500000000000001</v>
      </c>
      <c r="B50" s="13">
        <v>0.25</v>
      </c>
      <c r="C50" s="14">
        <f>2*B47/3</f>
        <v>0.3</v>
      </c>
      <c r="D50" s="11" t="s">
        <v>27</v>
      </c>
      <c r="E50" s="14">
        <f>MAX(0.3*B47,0.25)</f>
        <v>0.25</v>
      </c>
    </row>
    <row r="51" spans="1:6" x14ac:dyDescent="0.25">
      <c r="A51" s="10"/>
      <c r="B51" s="10"/>
      <c r="C51" s="10"/>
      <c r="D51" s="10"/>
      <c r="E51" s="10"/>
    </row>
    <row r="52" spans="1:6" ht="20.399999999999999" x14ac:dyDescent="0.35">
      <c r="A52" s="97" t="str">
        <f>CONCATENATE("VY ",B47*100,"cmX",B50*100,"cm")</f>
        <v>VY 45cmX25cm</v>
      </c>
      <c r="B52" s="97"/>
      <c r="C52" s="97"/>
      <c r="D52" s="10"/>
      <c r="E52" s="31"/>
    </row>
    <row r="53" spans="1:6" x14ac:dyDescent="0.25">
      <c r="A53" s="11" t="s">
        <v>28</v>
      </c>
      <c r="B53" s="12">
        <f>(14/$C$23)*B50*100*(B47-0.06)*100</f>
        <v>3.2350500000000002</v>
      </c>
      <c r="C53" s="10"/>
      <c r="D53" s="10"/>
      <c r="E53" s="10"/>
    </row>
    <row r="54" spans="1:6" x14ac:dyDescent="0.25">
      <c r="A54" s="11" t="s">
        <v>29</v>
      </c>
      <c r="B54" s="11">
        <f>(0.85*0.85*$C$22/$C$23)*(0.003/(0.003+($C$23/$E$23)+0.003))</f>
        <v>1.7907986129220434E-2</v>
      </c>
      <c r="C54" s="10"/>
      <c r="D54" s="10"/>
      <c r="E54" s="10"/>
    </row>
    <row r="55" spans="1:6" x14ac:dyDescent="0.25">
      <c r="A55" s="11" t="s">
        <v>30</v>
      </c>
      <c r="B55" s="12">
        <f>+B54*B50*100*(B47-0.06)*100</f>
        <v>17.460286475989925</v>
      </c>
      <c r="C55" s="10"/>
      <c r="D55" s="10"/>
      <c r="E55" s="10"/>
    </row>
    <row r="58" spans="1:6" x14ac:dyDescent="0.25">
      <c r="A58" s="99" t="s">
        <v>32</v>
      </c>
      <c r="B58" s="99"/>
    </row>
    <row r="60" spans="1:6" x14ac:dyDescent="0.25">
      <c r="A60" s="1" t="s">
        <v>33</v>
      </c>
      <c r="B60" s="17">
        <v>500</v>
      </c>
    </row>
    <row r="61" spans="1:6" x14ac:dyDescent="0.25">
      <c r="A61" s="1" t="s">
        <v>34</v>
      </c>
      <c r="B61" s="17">
        <v>400</v>
      </c>
    </row>
    <row r="62" spans="1:6" x14ac:dyDescent="0.25">
      <c r="A62" s="1" t="s">
        <v>35</v>
      </c>
      <c r="B62" s="18">
        <v>5</v>
      </c>
    </row>
    <row r="64" spans="1:6" x14ac:dyDescent="0.25">
      <c r="A64" s="1" t="s">
        <v>36</v>
      </c>
      <c r="B64" s="20">
        <f>6*5</f>
        <v>30</v>
      </c>
      <c r="C64" s="11" t="s">
        <v>37</v>
      </c>
      <c r="D64" s="20">
        <f>6*2.5</f>
        <v>15</v>
      </c>
      <c r="E64" s="21" t="s">
        <v>38</v>
      </c>
      <c r="F64" s="20">
        <f>3*2.5</f>
        <v>7.5</v>
      </c>
    </row>
    <row r="65" spans="1:6" x14ac:dyDescent="0.25">
      <c r="A65" s="1" t="s">
        <v>39</v>
      </c>
      <c r="B65" s="22">
        <f>(1.2*$B$61+1.6*$B$60)*B64*$B$62</f>
        <v>192000</v>
      </c>
      <c r="C65" s="1" t="s">
        <v>39</v>
      </c>
      <c r="D65" s="22">
        <f>(1.2*$B$61+1.6*$B$60)*D64*$B$62</f>
        <v>96000</v>
      </c>
      <c r="E65" s="1" t="s">
        <v>39</v>
      </c>
      <c r="F65" s="22">
        <f>(1.2*$B$61+1.6*$B$60)*F64*$B$62</f>
        <v>48000</v>
      </c>
    </row>
    <row r="66" spans="1:6" x14ac:dyDescent="0.25">
      <c r="A66" s="11" t="s">
        <v>40</v>
      </c>
      <c r="B66" s="11">
        <v>1.1000000000000001</v>
      </c>
      <c r="C66" s="11" t="s">
        <v>40</v>
      </c>
      <c r="D66" s="11">
        <v>1.25</v>
      </c>
      <c r="E66" s="11" t="s">
        <v>40</v>
      </c>
      <c r="F66" s="11">
        <v>1.5</v>
      </c>
    </row>
    <row r="67" spans="1:6" x14ac:dyDescent="0.25">
      <c r="A67" s="11" t="s">
        <v>41</v>
      </c>
      <c r="B67" s="11">
        <v>0.3</v>
      </c>
      <c r="C67" s="11" t="s">
        <v>41</v>
      </c>
      <c r="D67" s="11">
        <v>0.25</v>
      </c>
      <c r="E67" s="11" t="s">
        <v>41</v>
      </c>
      <c r="F67" s="11">
        <v>0.2</v>
      </c>
    </row>
    <row r="68" spans="1:6" x14ac:dyDescent="0.25">
      <c r="A68" s="11" t="s">
        <v>42</v>
      </c>
      <c r="B68" s="12">
        <f>B66*B65/(B67*$C$22)</f>
        <v>2502.7200000000007</v>
      </c>
      <c r="C68" s="11" t="s">
        <v>42</v>
      </c>
      <c r="D68" s="12">
        <f>D66*D65/(D67*$C$22)</f>
        <v>1706.4</v>
      </c>
      <c r="E68" s="11" t="s">
        <v>42</v>
      </c>
      <c r="F68" s="12">
        <f>F66*F65/(F67*$C$22)</f>
        <v>1279.8</v>
      </c>
    </row>
    <row r="69" spans="1:6" x14ac:dyDescent="0.25">
      <c r="A69" s="11"/>
      <c r="B69" s="12"/>
      <c r="C69" s="10"/>
      <c r="D69" s="24"/>
      <c r="E69" s="10"/>
      <c r="F69" s="24"/>
    </row>
    <row r="70" spans="1:6" x14ac:dyDescent="0.25">
      <c r="A70" s="11" t="s">
        <v>24</v>
      </c>
      <c r="B70" s="11" t="s">
        <v>22</v>
      </c>
      <c r="C70" s="11" t="s">
        <v>24</v>
      </c>
      <c r="D70" s="11" t="s">
        <v>22</v>
      </c>
      <c r="E70" s="11" t="s">
        <v>24</v>
      </c>
      <c r="F70" s="11" t="s">
        <v>22</v>
      </c>
    </row>
    <row r="71" spans="1:6" x14ac:dyDescent="0.25">
      <c r="A71" s="23">
        <v>30</v>
      </c>
      <c r="B71" s="23">
        <f>$B$68/A71</f>
        <v>83.424000000000021</v>
      </c>
      <c r="C71" s="23">
        <v>30</v>
      </c>
      <c r="D71" s="23">
        <f>D68/C71</f>
        <v>56.88</v>
      </c>
      <c r="E71" s="23">
        <v>30</v>
      </c>
      <c r="F71" s="23">
        <f>F68/E71</f>
        <v>42.66</v>
      </c>
    </row>
    <row r="72" spans="1:6" x14ac:dyDescent="0.25">
      <c r="A72" s="23">
        <f>A71+5</f>
        <v>35</v>
      </c>
      <c r="B72" s="23">
        <f t="shared" ref="B72:B74" si="0">$B$68/A72</f>
        <v>71.506285714285738</v>
      </c>
    </row>
    <row r="73" spans="1:6" x14ac:dyDescent="0.25">
      <c r="A73" s="23">
        <f t="shared" ref="A73:A74" si="1">A72+5</f>
        <v>40</v>
      </c>
      <c r="B73" s="23">
        <f t="shared" si="0"/>
        <v>62.568000000000019</v>
      </c>
    </row>
    <row r="74" spans="1:6" x14ac:dyDescent="0.25">
      <c r="A74" s="23">
        <f t="shared" si="1"/>
        <v>45</v>
      </c>
      <c r="B74" s="23">
        <f t="shared" si="0"/>
        <v>55.616000000000014</v>
      </c>
    </row>
    <row r="76" spans="1:6" x14ac:dyDescent="0.25">
      <c r="A76" s="25">
        <v>45</v>
      </c>
      <c r="B76" s="25">
        <v>55</v>
      </c>
    </row>
    <row r="78" spans="1:6" ht="20.399999999999999" x14ac:dyDescent="0.35">
      <c r="A78" s="97" t="str">
        <f>CONCATENATE("C ",A76,"cmX",B76,"cm")</f>
        <v>C 45cmX55cm</v>
      </c>
      <c r="B78" s="97"/>
      <c r="C78" s="97"/>
      <c r="E78" s="32"/>
    </row>
    <row r="80" spans="1:6" x14ac:dyDescent="0.25">
      <c r="A80" s="11" t="s">
        <v>28</v>
      </c>
      <c r="B80" s="12">
        <f>1%*A76*B76</f>
        <v>24.75</v>
      </c>
    </row>
    <row r="81" spans="1:3" x14ac:dyDescent="0.25">
      <c r="A81" s="11" t="s">
        <v>30</v>
      </c>
      <c r="B81" s="12">
        <f>6%*A76*B76</f>
        <v>148.49999999999997</v>
      </c>
    </row>
    <row r="83" spans="1:3" x14ac:dyDescent="0.25">
      <c r="A83" s="19" t="s">
        <v>43</v>
      </c>
      <c r="B83" s="19">
        <v>8</v>
      </c>
    </row>
    <row r="84" spans="1:3" x14ac:dyDescent="0.25">
      <c r="A84" s="19" t="s">
        <v>44</v>
      </c>
      <c r="B84" s="12">
        <f>B80/B83</f>
        <v>3.09375</v>
      </c>
      <c r="C84" s="26" t="s">
        <v>45</v>
      </c>
    </row>
    <row r="87" spans="1:3" x14ac:dyDescent="0.25">
      <c r="A87" s="99" t="s">
        <v>46</v>
      </c>
      <c r="B87" s="99"/>
    </row>
    <row r="88" spans="1:3" x14ac:dyDescent="0.25">
      <c r="A88" s="11" t="s">
        <v>47</v>
      </c>
      <c r="B88" s="13">
        <v>5.5</v>
      </c>
    </row>
    <row r="89" spans="1:3" x14ac:dyDescent="0.25">
      <c r="A89" s="11" t="s">
        <v>48</v>
      </c>
      <c r="B89" s="13">
        <v>7.5</v>
      </c>
    </row>
    <row r="91" spans="1:3" x14ac:dyDescent="0.25">
      <c r="A91" s="11" t="s">
        <v>49</v>
      </c>
      <c r="B91" s="14">
        <f>(2*B88+2*B89)/180</f>
        <v>0.14444444444444443</v>
      </c>
    </row>
    <row r="92" spans="1:3" x14ac:dyDescent="0.25">
      <c r="A92" s="11" t="s">
        <v>50</v>
      </c>
      <c r="B92" s="27">
        <f>B23</f>
        <v>60000</v>
      </c>
    </row>
    <row r="93" spans="1:3" x14ac:dyDescent="0.25">
      <c r="A93" s="11" t="s">
        <v>51</v>
      </c>
      <c r="B93" s="11">
        <f>B89/B88</f>
        <v>1.3636363636363635</v>
      </c>
    </row>
    <row r="94" spans="1:3" x14ac:dyDescent="0.25">
      <c r="A94" s="11" t="s">
        <v>49</v>
      </c>
      <c r="B94" s="14">
        <f>B89*(0.8+B92/200000)/(36+9*B93)</f>
        <v>0.17090395480225989</v>
      </c>
    </row>
    <row r="95" spans="1:3" x14ac:dyDescent="0.25">
      <c r="A95" s="11" t="s">
        <v>52</v>
      </c>
      <c r="B95" s="14">
        <f>3.5*2.54/100</f>
        <v>8.8900000000000007E-2</v>
      </c>
    </row>
    <row r="96" spans="1:3" x14ac:dyDescent="0.25">
      <c r="A96" s="11" t="s">
        <v>49</v>
      </c>
      <c r="B96" s="28">
        <v>14</v>
      </c>
    </row>
    <row r="97" spans="1:6" x14ac:dyDescent="0.25">
      <c r="A97" s="11" t="s">
        <v>53</v>
      </c>
      <c r="B97" s="29">
        <f>B88/(B96/100)</f>
        <v>39.285714285714285</v>
      </c>
      <c r="C97" t="s">
        <v>54</v>
      </c>
    </row>
    <row r="99" spans="1:6" ht="20.399999999999999" x14ac:dyDescent="0.35">
      <c r="A99" s="97" t="str">
        <f>CONCATENATE("Losa ",B96," cm")</f>
        <v>Losa 14 cm</v>
      </c>
      <c r="B99" s="97"/>
      <c r="C99" s="97"/>
      <c r="E99" s="16"/>
    </row>
    <row r="102" spans="1:6" ht="30" x14ac:dyDescent="0.5">
      <c r="A102" s="93" t="s">
        <v>55</v>
      </c>
      <c r="B102" s="93"/>
      <c r="C102" s="93"/>
      <c r="D102" s="93"/>
      <c r="E102" s="93"/>
      <c r="F102" s="93"/>
    </row>
    <row r="104" spans="1:6" x14ac:dyDescent="0.25">
      <c r="C104" s="92" t="s">
        <v>66</v>
      </c>
      <c r="D104" s="92"/>
      <c r="E104" s="92"/>
    </row>
    <row r="105" spans="1:6" x14ac:dyDescent="0.25">
      <c r="C105" s="94"/>
      <c r="D105" s="94"/>
      <c r="E105" s="94"/>
    </row>
    <row r="106" spans="1:6" x14ac:dyDescent="0.25">
      <c r="A106" s="88" t="s">
        <v>56</v>
      </c>
      <c r="B106" s="88"/>
      <c r="C106" s="88"/>
    </row>
    <row r="108" spans="1:6" x14ac:dyDescent="0.25">
      <c r="B108" s="19" t="s">
        <v>58</v>
      </c>
      <c r="C108" s="33">
        <f>50*1.7</f>
        <v>85</v>
      </c>
      <c r="D108" t="s">
        <v>61</v>
      </c>
    </row>
    <row r="109" spans="1:6" x14ac:dyDescent="0.25">
      <c r="B109" s="19" t="s">
        <v>59</v>
      </c>
      <c r="C109" s="33">
        <v>77</v>
      </c>
    </row>
    <row r="110" spans="1:6" x14ac:dyDescent="0.25">
      <c r="B110" s="19" t="s">
        <v>57</v>
      </c>
      <c r="C110" s="33">
        <v>20</v>
      </c>
      <c r="D110" t="s">
        <v>62</v>
      </c>
    </row>
    <row r="111" spans="1:6" x14ac:dyDescent="0.25">
      <c r="B111" s="19" t="s">
        <v>60</v>
      </c>
      <c r="C111" s="33">
        <v>30</v>
      </c>
    </row>
    <row r="112" spans="1:6" x14ac:dyDescent="0.25">
      <c r="C112" s="34">
        <f>SUM(C108:C111)</f>
        <v>212</v>
      </c>
    </row>
    <row r="115" spans="1:6" x14ac:dyDescent="0.25">
      <c r="A115" s="88" t="s">
        <v>63</v>
      </c>
      <c r="B115" s="88"/>
      <c r="C115" s="88"/>
    </row>
    <row r="117" spans="1:6" x14ac:dyDescent="0.25">
      <c r="B117" s="19" t="s">
        <v>64</v>
      </c>
      <c r="C117" s="33">
        <f>70*1.7</f>
        <v>119</v>
      </c>
      <c r="D117" t="s">
        <v>65</v>
      </c>
    </row>
    <row r="118" spans="1:6" x14ac:dyDescent="0.25">
      <c r="B118" s="19" t="s">
        <v>57</v>
      </c>
      <c r="C118" s="33">
        <v>20</v>
      </c>
      <c r="D118" t="s">
        <v>62</v>
      </c>
    </row>
    <row r="119" spans="1:6" x14ac:dyDescent="0.25">
      <c r="B119" s="19" t="s">
        <v>60</v>
      </c>
      <c r="C119" s="33">
        <v>30</v>
      </c>
    </row>
    <row r="120" spans="1:6" x14ac:dyDescent="0.25">
      <c r="C120" s="34">
        <f>SUM(C117:C119)</f>
        <v>169</v>
      </c>
    </row>
    <row r="123" spans="1:6" x14ac:dyDescent="0.25">
      <c r="C123" s="92" t="s">
        <v>67</v>
      </c>
      <c r="D123" s="92"/>
      <c r="E123" s="92"/>
    </row>
    <row r="125" spans="1:6" x14ac:dyDescent="0.25">
      <c r="A125" s="88" t="s">
        <v>68</v>
      </c>
      <c r="B125" s="88"/>
      <c r="C125" s="88"/>
    </row>
    <row r="127" spans="1:6" x14ac:dyDescent="0.25">
      <c r="B127" s="11" t="s">
        <v>70</v>
      </c>
      <c r="C127" s="33">
        <v>163</v>
      </c>
      <c r="D127" s="89" t="s">
        <v>72</v>
      </c>
      <c r="E127" s="90"/>
      <c r="F127" s="90"/>
    </row>
    <row r="128" spans="1:6" x14ac:dyDescent="0.25">
      <c r="B128" s="11" t="s">
        <v>71</v>
      </c>
      <c r="C128" s="33">
        <f>0.01*2000</f>
        <v>20</v>
      </c>
      <c r="D128" s="89" t="s">
        <v>73</v>
      </c>
      <c r="E128" s="90"/>
      <c r="F128" s="90"/>
    </row>
    <row r="129" spans="1:6" x14ac:dyDescent="0.25">
      <c r="B129" s="19"/>
      <c r="C129" s="35">
        <f>SUM(C127:C128)</f>
        <v>183</v>
      </c>
    </row>
    <row r="130" spans="1:6" x14ac:dyDescent="0.25">
      <c r="B130" s="11" t="s">
        <v>69</v>
      </c>
      <c r="C130" s="37">
        <v>2.5</v>
      </c>
    </row>
    <row r="131" spans="1:6" x14ac:dyDescent="0.25">
      <c r="B131" s="19"/>
      <c r="C131" s="36">
        <f>C129*C130</f>
        <v>457.5</v>
      </c>
    </row>
    <row r="134" spans="1:6" x14ac:dyDescent="0.25">
      <c r="A134" s="88" t="s">
        <v>74</v>
      </c>
      <c r="B134" s="88"/>
      <c r="C134" s="88"/>
    </row>
    <row r="136" spans="1:6" x14ac:dyDescent="0.25">
      <c r="B136" s="11" t="s">
        <v>70</v>
      </c>
      <c r="C136" s="33">
        <v>163</v>
      </c>
      <c r="D136" s="89" t="s">
        <v>72</v>
      </c>
      <c r="E136" s="90"/>
      <c r="F136" s="90"/>
    </row>
    <row r="137" spans="1:6" x14ac:dyDescent="0.25">
      <c r="B137" s="11" t="s">
        <v>71</v>
      </c>
      <c r="C137" s="33">
        <f>0.01*2000</f>
        <v>20</v>
      </c>
      <c r="D137" s="89" t="s">
        <v>73</v>
      </c>
      <c r="E137" s="90"/>
      <c r="F137" s="90"/>
    </row>
    <row r="138" spans="1:6" x14ac:dyDescent="0.25">
      <c r="B138" s="19"/>
      <c r="C138" s="35">
        <f>SUM(C136:C137)</f>
        <v>183</v>
      </c>
    </row>
    <row r="139" spans="1:6" x14ac:dyDescent="0.25">
      <c r="B139" s="11" t="s">
        <v>75</v>
      </c>
      <c r="C139" s="37">
        <v>1</v>
      </c>
    </row>
    <row r="140" spans="1:6" x14ac:dyDescent="0.25">
      <c r="B140" s="19"/>
      <c r="C140" s="38">
        <f>C138*C139</f>
        <v>183</v>
      </c>
    </row>
    <row r="142" spans="1:6" x14ac:dyDescent="0.25">
      <c r="B142" s="19"/>
      <c r="C142" s="35">
        <v>38</v>
      </c>
    </row>
    <row r="143" spans="1:6" x14ac:dyDescent="0.25">
      <c r="B143" s="11" t="s">
        <v>76</v>
      </c>
      <c r="C143" s="37">
        <v>1.5</v>
      </c>
    </row>
    <row r="144" spans="1:6" x14ac:dyDescent="0.25">
      <c r="B144" s="19"/>
      <c r="C144" s="38">
        <f>C142*C143</f>
        <v>57</v>
      </c>
    </row>
    <row r="146" spans="1:12" x14ac:dyDescent="0.25">
      <c r="A146" s="91" t="s">
        <v>77</v>
      </c>
      <c r="B146" s="91"/>
      <c r="C146" s="36">
        <f>C140+C144</f>
        <v>240</v>
      </c>
    </row>
    <row r="149" spans="1:12" x14ac:dyDescent="0.25">
      <c r="A149" s="88" t="s">
        <v>89</v>
      </c>
      <c r="B149" s="88"/>
      <c r="C149" s="88"/>
    </row>
    <row r="150" spans="1:12" x14ac:dyDescent="0.25">
      <c r="B150" s="39" t="s">
        <v>70</v>
      </c>
      <c r="C150" s="40">
        <v>163</v>
      </c>
      <c r="D150" s="89" t="s">
        <v>72</v>
      </c>
      <c r="E150" s="90"/>
      <c r="F150" s="90"/>
    </row>
    <row r="151" spans="1:12" x14ac:dyDescent="0.25">
      <c r="B151" s="11" t="s">
        <v>71</v>
      </c>
      <c r="C151" s="33">
        <f>0.01*2000</f>
        <v>20</v>
      </c>
      <c r="D151" s="89" t="s">
        <v>73</v>
      </c>
      <c r="E151" s="90"/>
      <c r="F151" s="90"/>
    </row>
    <row r="152" spans="1:12" x14ac:dyDescent="0.25">
      <c r="B152" s="19"/>
      <c r="C152" s="35">
        <f>SUM(C150:C151)</f>
        <v>183</v>
      </c>
    </row>
    <row r="153" spans="1:12" x14ac:dyDescent="0.25">
      <c r="B153" s="11" t="s">
        <v>75</v>
      </c>
      <c r="C153" s="37">
        <v>1</v>
      </c>
    </row>
    <row r="154" spans="1:12" x14ac:dyDescent="0.25">
      <c r="B154" s="19"/>
      <c r="C154" s="38">
        <f>C152*C153</f>
        <v>183</v>
      </c>
    </row>
    <row r="157" spans="1:12" x14ac:dyDescent="0.25">
      <c r="C157" s="92" t="s">
        <v>78</v>
      </c>
      <c r="D157" s="92"/>
      <c r="E157" s="92"/>
    </row>
    <row r="159" spans="1:12" x14ac:dyDescent="0.25">
      <c r="B159" s="123" t="s">
        <v>330</v>
      </c>
      <c r="C159" s="123"/>
      <c r="D159" s="123"/>
      <c r="E159" s="119"/>
      <c r="F159" s="123" t="s">
        <v>341</v>
      </c>
      <c r="G159" s="123"/>
      <c r="H159" s="123"/>
      <c r="I159" s="119"/>
      <c r="J159" s="123" t="s">
        <v>327</v>
      </c>
      <c r="K159" s="123"/>
      <c r="L159" s="123"/>
    </row>
    <row r="160" spans="1:12" ht="55.2" x14ac:dyDescent="0.25">
      <c r="B160" s="120" t="s">
        <v>325</v>
      </c>
      <c r="C160" s="121">
        <v>250</v>
      </c>
      <c r="D160" s="119" t="s">
        <v>333</v>
      </c>
      <c r="E160" s="119"/>
      <c r="F160" s="120" t="s">
        <v>325</v>
      </c>
      <c r="G160" s="121">
        <v>250</v>
      </c>
      <c r="H160" s="117" t="s">
        <v>334</v>
      </c>
      <c r="I160" s="119"/>
      <c r="J160" s="120" t="s">
        <v>328</v>
      </c>
      <c r="K160" s="121">
        <v>500</v>
      </c>
      <c r="L160" s="117" t="s">
        <v>337</v>
      </c>
    </row>
    <row r="161" spans="1:12" ht="55.2" x14ac:dyDescent="0.25">
      <c r="B161" s="120"/>
      <c r="C161" s="121">
        <v>75</v>
      </c>
      <c r="D161" s="119" t="s">
        <v>80</v>
      </c>
      <c r="E161" s="119"/>
      <c r="F161" s="120"/>
      <c r="G161" s="121">
        <v>75</v>
      </c>
      <c r="H161" s="119" t="s">
        <v>80</v>
      </c>
      <c r="I161" s="119"/>
      <c r="J161" s="120" t="s">
        <v>336</v>
      </c>
      <c r="K161" s="121">
        <v>250</v>
      </c>
      <c r="L161" s="117" t="s">
        <v>338</v>
      </c>
    </row>
    <row r="162" spans="1:12" x14ac:dyDescent="0.25">
      <c r="B162" s="120"/>
      <c r="C162" s="124">
        <v>500</v>
      </c>
      <c r="D162" s="119"/>
      <c r="E162" s="119"/>
      <c r="F162" s="120"/>
      <c r="G162" s="124">
        <v>325</v>
      </c>
      <c r="H162" s="119"/>
      <c r="I162" s="119"/>
      <c r="J162" s="120"/>
      <c r="K162" s="121">
        <v>75</v>
      </c>
      <c r="L162" s="119" t="s">
        <v>80</v>
      </c>
    </row>
    <row r="163" spans="1:12" ht="55.2" x14ac:dyDescent="0.25">
      <c r="B163" s="114" t="s">
        <v>79</v>
      </c>
      <c r="C163" s="122">
        <v>500</v>
      </c>
      <c r="D163" s="112" t="s">
        <v>329</v>
      </c>
      <c r="E163" s="119"/>
      <c r="F163" s="120" t="s">
        <v>79</v>
      </c>
      <c r="G163" s="121">
        <v>500</v>
      </c>
      <c r="H163" s="117" t="s">
        <v>335</v>
      </c>
      <c r="I163" s="119"/>
      <c r="J163" s="120"/>
      <c r="K163" s="124">
        <v>825</v>
      </c>
      <c r="L163" s="119"/>
    </row>
    <row r="164" spans="1:12" ht="34.200000000000003" customHeight="1" x14ac:dyDescent="0.25">
      <c r="B164" s="120" t="s">
        <v>332</v>
      </c>
      <c r="C164" s="121">
        <v>500</v>
      </c>
      <c r="D164" s="119" t="s">
        <v>331</v>
      </c>
      <c r="E164" s="119"/>
      <c r="F164" s="119"/>
      <c r="G164" s="119"/>
      <c r="H164" s="119"/>
      <c r="I164" s="119"/>
      <c r="J164" s="120" t="s">
        <v>79</v>
      </c>
      <c r="K164" s="121">
        <v>300</v>
      </c>
      <c r="L164" s="117" t="s">
        <v>335</v>
      </c>
    </row>
    <row r="165" spans="1:12" ht="13.2" customHeight="1" x14ac:dyDescent="0.25">
      <c r="B165" s="120"/>
      <c r="C165" s="121"/>
      <c r="D165" s="112"/>
      <c r="E165" s="119"/>
      <c r="F165" s="119"/>
      <c r="G165" s="119"/>
      <c r="H165" s="119"/>
      <c r="I165" s="119"/>
      <c r="J165" s="119"/>
      <c r="K165" s="119"/>
      <c r="L165" s="119"/>
    </row>
    <row r="169" spans="1:12" x14ac:dyDescent="0.25">
      <c r="B169" s="94" t="s">
        <v>81</v>
      </c>
      <c r="C169" s="94"/>
      <c r="D169" s="90" t="s">
        <v>88</v>
      </c>
      <c r="E169" s="90"/>
      <c r="F169" s="90"/>
    </row>
    <row r="170" spans="1:12" x14ac:dyDescent="0.25">
      <c r="A170" s="91" t="s">
        <v>82</v>
      </c>
      <c r="B170" s="91"/>
      <c r="C170" s="33">
        <v>200</v>
      </c>
      <c r="D170" s="89" t="s">
        <v>85</v>
      </c>
      <c r="E170" s="90"/>
    </row>
    <row r="171" spans="1:12" x14ac:dyDescent="0.25">
      <c r="A171" s="91" t="s">
        <v>83</v>
      </c>
      <c r="B171" s="91"/>
      <c r="C171" s="33">
        <v>85</v>
      </c>
      <c r="D171" s="89" t="s">
        <v>86</v>
      </c>
      <c r="E171" s="90"/>
    </row>
    <row r="172" spans="1:12" x14ac:dyDescent="0.25">
      <c r="A172" s="91" t="s">
        <v>84</v>
      </c>
      <c r="B172" s="91"/>
      <c r="C172" s="33">
        <f>10*14</f>
        <v>140</v>
      </c>
      <c r="D172" s="89" t="s">
        <v>87</v>
      </c>
      <c r="E172" s="90"/>
    </row>
  </sheetData>
  <mergeCells count="43">
    <mergeCell ref="A171:B171"/>
    <mergeCell ref="A172:B172"/>
    <mergeCell ref="D170:E170"/>
    <mergeCell ref="D171:E171"/>
    <mergeCell ref="D172:E172"/>
    <mergeCell ref="F22:J22"/>
    <mergeCell ref="F23:J23"/>
    <mergeCell ref="F24:J24"/>
    <mergeCell ref="B169:C169"/>
    <mergeCell ref="A170:B170"/>
    <mergeCell ref="D169:F169"/>
    <mergeCell ref="B159:D159"/>
    <mergeCell ref="F159:H159"/>
    <mergeCell ref="J159:L159"/>
    <mergeCell ref="A26:F26"/>
    <mergeCell ref="A58:B58"/>
    <mergeCell ref="A78:C78"/>
    <mergeCell ref="A87:B87"/>
    <mergeCell ref="A99:C99"/>
    <mergeCell ref="C157:E157"/>
    <mergeCell ref="D150:F150"/>
    <mergeCell ref="D151:F151"/>
    <mergeCell ref="A149:C149"/>
    <mergeCell ref="C123:E123"/>
    <mergeCell ref="A125:C125"/>
    <mergeCell ref="D127:F127"/>
    <mergeCell ref="D128:F128"/>
    <mergeCell ref="A2:D2"/>
    <mergeCell ref="A134:C134"/>
    <mergeCell ref="D136:F136"/>
    <mergeCell ref="D137:F137"/>
    <mergeCell ref="A146:B146"/>
    <mergeCell ref="A102:F102"/>
    <mergeCell ref="A106:C106"/>
    <mergeCell ref="A115:C115"/>
    <mergeCell ref="C105:E105"/>
    <mergeCell ref="C104:E104"/>
    <mergeCell ref="A21:B21"/>
    <mergeCell ref="B4:D4"/>
    <mergeCell ref="A52:C52"/>
    <mergeCell ref="A37:C37"/>
    <mergeCell ref="A28:B28"/>
    <mergeCell ref="A43:B43"/>
  </mergeCells>
  <dataValidations disablePrompts="1" count="1">
    <dataValidation type="decimal" operator="greaterThanOrEqual" allowBlank="1" showInputMessage="1" showErrorMessage="1" sqref="B35 B50" xr:uid="{328BDB17-1174-4B69-8810-57AED7F9974B}">
      <formula1>E35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8E82-9B81-4431-A442-69E8B4266069}">
  <dimension ref="A2:R326"/>
  <sheetViews>
    <sheetView tabSelected="1" topLeftCell="A324" zoomScaleNormal="100" workbookViewId="0">
      <selection activeCell="B198" sqref="B198:B202"/>
    </sheetView>
  </sheetViews>
  <sheetFormatPr baseColWidth="10" defaultRowHeight="13.8" x14ac:dyDescent="0.25"/>
  <cols>
    <col min="2" max="2" width="15.375" customWidth="1"/>
    <col min="3" max="3" width="15" customWidth="1"/>
    <col min="14" max="14" width="12.375" bestFit="1" customWidth="1"/>
  </cols>
  <sheetData>
    <row r="2" spans="1:12" x14ac:dyDescent="0.25">
      <c r="A2" s="41" t="s">
        <v>90</v>
      </c>
    </row>
    <row r="4" spans="1:12" x14ac:dyDescent="0.25">
      <c r="A4" s="91" t="s">
        <v>91</v>
      </c>
      <c r="B4" s="91"/>
      <c r="C4" s="115">
        <v>750</v>
      </c>
    </row>
    <row r="5" spans="1:12" x14ac:dyDescent="0.25">
      <c r="A5" s="91" t="s">
        <v>92</v>
      </c>
      <c r="B5" s="91"/>
      <c r="C5" s="18">
        <v>5</v>
      </c>
      <c r="F5" s="41" t="s">
        <v>96</v>
      </c>
    </row>
    <row r="6" spans="1:12" x14ac:dyDescent="0.25">
      <c r="A6" s="91" t="s">
        <v>93</v>
      </c>
      <c r="B6" s="91"/>
      <c r="C6" s="21">
        <f>C4*C5</f>
        <v>3750</v>
      </c>
    </row>
    <row r="7" spans="1:12" x14ac:dyDescent="0.25">
      <c r="A7" s="91" t="s">
        <v>94</v>
      </c>
      <c r="B7" s="91"/>
      <c r="C7" s="18">
        <v>11</v>
      </c>
    </row>
    <row r="8" spans="1:12" x14ac:dyDescent="0.25">
      <c r="A8" s="108" t="s">
        <v>95</v>
      </c>
      <c r="B8" s="108"/>
      <c r="C8" s="42">
        <f>ROUNDUP(C6/C7,0)</f>
        <v>341</v>
      </c>
    </row>
    <row r="9" spans="1:12" x14ac:dyDescent="0.25">
      <c r="A9" s="106" t="s">
        <v>103</v>
      </c>
      <c r="B9" s="106"/>
      <c r="C9" s="125" t="s">
        <v>322</v>
      </c>
    </row>
    <row r="10" spans="1:12" x14ac:dyDescent="0.25">
      <c r="A10" s="90" t="s">
        <v>97</v>
      </c>
      <c r="B10" s="90"/>
      <c r="C10" s="43" t="s">
        <v>326</v>
      </c>
    </row>
    <row r="12" spans="1:12" x14ac:dyDescent="0.25">
      <c r="A12" s="88" t="s">
        <v>98</v>
      </c>
      <c r="B12" s="88"/>
      <c r="L12" s="41" t="s">
        <v>101</v>
      </c>
    </row>
    <row r="14" spans="1:12" x14ac:dyDescent="0.25">
      <c r="A14" s="91" t="s">
        <v>99</v>
      </c>
      <c r="B14" s="91"/>
      <c r="C14" s="45">
        <v>0.16</v>
      </c>
      <c r="D14" s="44">
        <f>(C14*100*100*9.81)/1000</f>
        <v>15.696</v>
      </c>
    </row>
    <row r="15" spans="1:12" x14ac:dyDescent="0.25">
      <c r="A15" s="107" t="s">
        <v>100</v>
      </c>
      <c r="B15" s="107"/>
      <c r="C15" s="19"/>
    </row>
    <row r="17" spans="1:6" x14ac:dyDescent="0.25">
      <c r="A17" s="88" t="s">
        <v>102</v>
      </c>
      <c r="B17" s="88"/>
    </row>
    <row r="18" spans="1:6" ht="28.8" customHeight="1" x14ac:dyDescent="0.25">
      <c r="A18" s="126" t="s">
        <v>339</v>
      </c>
      <c r="B18" s="126"/>
    </row>
    <row r="22" spans="1:6" x14ac:dyDescent="0.25">
      <c r="A22" s="94" t="s">
        <v>104</v>
      </c>
      <c r="B22" s="94"/>
      <c r="C22" s="94"/>
    </row>
    <row r="24" spans="1:6" x14ac:dyDescent="0.25">
      <c r="B24" s="11" t="s">
        <v>105</v>
      </c>
      <c r="C24" s="18">
        <v>1.7</v>
      </c>
      <c r="E24" s="90" t="s">
        <v>109</v>
      </c>
      <c r="F24" s="90"/>
    </row>
    <row r="25" spans="1:6" x14ac:dyDescent="0.25">
      <c r="B25" s="11" t="s">
        <v>106</v>
      </c>
      <c r="C25" s="18">
        <v>0.83</v>
      </c>
    </row>
    <row r="26" spans="1:6" x14ac:dyDescent="0.25">
      <c r="B26" s="11" t="s">
        <v>107</v>
      </c>
      <c r="C26" s="18">
        <v>3.38</v>
      </c>
    </row>
    <row r="27" spans="1:6" x14ac:dyDescent="0.25">
      <c r="B27" s="11" t="s">
        <v>108</v>
      </c>
      <c r="C27" s="18">
        <v>4.0999999999999996</v>
      </c>
    </row>
    <row r="29" spans="1:6" x14ac:dyDescent="0.25">
      <c r="A29" s="94" t="s">
        <v>110</v>
      </c>
      <c r="B29" s="94"/>
    </row>
    <row r="30" spans="1:6" x14ac:dyDescent="0.25">
      <c r="B30" s="11" t="s">
        <v>111</v>
      </c>
      <c r="C30" s="18">
        <v>1</v>
      </c>
    </row>
    <row r="31" spans="1:6" x14ac:dyDescent="0.25">
      <c r="B31" s="11" t="s">
        <v>112</v>
      </c>
      <c r="C31" s="18">
        <v>1</v>
      </c>
    </row>
    <row r="33" spans="1:4" x14ac:dyDescent="0.25">
      <c r="A33" s="94" t="s">
        <v>113</v>
      </c>
      <c r="B33" s="94"/>
      <c r="C33" s="94"/>
      <c r="D33" s="94"/>
    </row>
    <row r="34" spans="1:4" x14ac:dyDescent="0.25">
      <c r="B34" s="11" t="s">
        <v>114</v>
      </c>
      <c r="C34" s="18">
        <v>1</v>
      </c>
    </row>
    <row r="35" spans="1:4" x14ac:dyDescent="0.25">
      <c r="B35" s="11" t="s">
        <v>115</v>
      </c>
      <c r="C35" s="18">
        <v>1</v>
      </c>
    </row>
    <row r="37" spans="1:4" x14ac:dyDescent="0.25">
      <c r="B37" s="11" t="s">
        <v>116</v>
      </c>
      <c r="C37" s="11">
        <f>C24*C30*C34</f>
        <v>1.7</v>
      </c>
    </row>
    <row r="38" spans="1:4" x14ac:dyDescent="0.25">
      <c r="B38" s="11" t="s">
        <v>117</v>
      </c>
      <c r="C38" s="11">
        <f>C25*C31*C35</f>
        <v>0.83</v>
      </c>
    </row>
    <row r="40" spans="1:4" x14ac:dyDescent="0.25">
      <c r="A40" s="94" t="s">
        <v>118</v>
      </c>
      <c r="B40" s="94"/>
      <c r="C40" s="94"/>
    </row>
    <row r="41" spans="1:4" x14ac:dyDescent="0.25">
      <c r="B41" s="19" t="s">
        <v>119</v>
      </c>
      <c r="C41" s="47">
        <f>C38/C37</f>
        <v>0.48823529411764705</v>
      </c>
    </row>
    <row r="42" spans="1:4" x14ac:dyDescent="0.25">
      <c r="B42" s="19" t="s">
        <v>120</v>
      </c>
      <c r="C42" s="47">
        <f>0.2*C41</f>
        <v>9.764705882352942E-2</v>
      </c>
    </row>
    <row r="44" spans="1:4" x14ac:dyDescent="0.25">
      <c r="A44" s="94" t="s">
        <v>121</v>
      </c>
      <c r="B44" s="94"/>
    </row>
    <row r="54" spans="1:14" x14ac:dyDescent="0.25">
      <c r="A54" s="91" t="s">
        <v>122</v>
      </c>
      <c r="B54" s="91"/>
      <c r="C54" s="107" t="s">
        <v>340</v>
      </c>
      <c r="D54" s="107"/>
      <c r="E54" s="107"/>
    </row>
    <row r="55" spans="1:14" x14ac:dyDescent="0.25">
      <c r="B55" s="11" t="s">
        <v>123</v>
      </c>
      <c r="C55" s="18">
        <v>0.8</v>
      </c>
      <c r="K55" s="72" t="s">
        <v>269</v>
      </c>
      <c r="L55" s="88" t="s">
        <v>270</v>
      </c>
      <c r="M55" s="88"/>
    </row>
    <row r="57" spans="1:14" x14ac:dyDescent="0.25">
      <c r="A57" s="94" t="s">
        <v>124</v>
      </c>
      <c r="B57" s="94"/>
      <c r="C57" s="94"/>
      <c r="K57" s="72" t="s">
        <v>269</v>
      </c>
      <c r="L57" s="91" t="s">
        <v>271</v>
      </c>
      <c r="M57" s="91"/>
      <c r="N57" t="s">
        <v>268</v>
      </c>
    </row>
    <row r="58" spans="1:14" x14ac:dyDescent="0.25">
      <c r="B58" s="48" t="s">
        <v>125</v>
      </c>
      <c r="C58" s="48">
        <f>C55*C37</f>
        <v>1.36</v>
      </c>
      <c r="K58" s="72" t="s">
        <v>269</v>
      </c>
      <c r="L58" s="88" t="s">
        <v>272</v>
      </c>
      <c r="M58" s="88"/>
    </row>
    <row r="59" spans="1:14" x14ac:dyDescent="0.25">
      <c r="B59" s="48" t="s">
        <v>126</v>
      </c>
      <c r="C59" s="48">
        <f>C55*C38</f>
        <v>0.66400000000000003</v>
      </c>
    </row>
    <row r="60" spans="1:14" x14ac:dyDescent="0.25">
      <c r="B60" s="48" t="s">
        <v>127</v>
      </c>
      <c r="C60" s="48">
        <f>0.4*C58</f>
        <v>0.54400000000000004</v>
      </c>
      <c r="H60" t="s">
        <v>128</v>
      </c>
    </row>
    <row r="61" spans="1:14" x14ac:dyDescent="0.25">
      <c r="B61" s="48" t="s">
        <v>130</v>
      </c>
      <c r="C61" s="71">
        <f>0.2*C58</f>
        <v>0.27200000000000002</v>
      </c>
      <c r="H61" t="s">
        <v>129</v>
      </c>
    </row>
    <row r="64" spans="1:14" x14ac:dyDescent="0.25">
      <c r="A64" s="94" t="s">
        <v>171</v>
      </c>
      <c r="B64" s="94"/>
      <c r="C64" s="94"/>
      <c r="D64" s="94"/>
    </row>
    <row r="66" spans="3:4" x14ac:dyDescent="0.25">
      <c r="C66" s="46" t="s">
        <v>131</v>
      </c>
      <c r="D66" s="46" t="s">
        <v>132</v>
      </c>
    </row>
    <row r="67" spans="3:4" x14ac:dyDescent="0.25">
      <c r="C67" s="49">
        <v>0</v>
      </c>
      <c r="D67" s="19">
        <f>IF(C67&lt;$C$42,$C$58*(0.4+0.6*C67/$C$42),IF(AND(C67&gt;=$C$42,C67&lt;=$C$41),$C$58,IF(C67&gt;=$C$26,$C$59*$C$26/C67^2,$C$59/C67)))</f>
        <v>0.54400000000000004</v>
      </c>
    </row>
    <row r="68" spans="3:4" x14ac:dyDescent="0.25">
      <c r="C68" s="49">
        <f>C67+0.1</f>
        <v>0.1</v>
      </c>
      <c r="D68" s="19">
        <f t="shared" ref="D68:D131" si="0">IF(C68&lt;$C$42,$C$58*(0.4+0.6*C68/$C$42),IF(AND(C68&gt;=$C$42,C68&lt;=$C$41),$C$58,IF(C68&gt;=$C$26,$C$59*$C$26/C68^2,$C$59/C68)))</f>
        <v>1.36</v>
      </c>
    </row>
    <row r="69" spans="3:4" x14ac:dyDescent="0.25">
      <c r="C69" s="49">
        <f t="shared" ref="C69:C132" si="1">C68+0.1</f>
        <v>0.2</v>
      </c>
      <c r="D69" s="19">
        <f t="shared" si="0"/>
        <v>1.36</v>
      </c>
    </row>
    <row r="70" spans="3:4" x14ac:dyDescent="0.25">
      <c r="C70" s="49">
        <f t="shared" si="1"/>
        <v>0.30000000000000004</v>
      </c>
      <c r="D70" s="19">
        <f t="shared" si="0"/>
        <v>1.36</v>
      </c>
    </row>
    <row r="71" spans="3:4" x14ac:dyDescent="0.25">
      <c r="C71" s="49">
        <f t="shared" si="1"/>
        <v>0.4</v>
      </c>
      <c r="D71" s="19">
        <f t="shared" si="0"/>
        <v>1.36</v>
      </c>
    </row>
    <row r="72" spans="3:4" x14ac:dyDescent="0.25">
      <c r="C72" s="49">
        <f t="shared" si="1"/>
        <v>0.5</v>
      </c>
      <c r="D72" s="19">
        <f t="shared" si="0"/>
        <v>1.3280000000000001</v>
      </c>
    </row>
    <row r="73" spans="3:4" x14ac:dyDescent="0.25">
      <c r="C73" s="49">
        <f t="shared" si="1"/>
        <v>0.6</v>
      </c>
      <c r="D73" s="19">
        <f t="shared" si="0"/>
        <v>1.1066666666666667</v>
      </c>
    </row>
    <row r="74" spans="3:4" x14ac:dyDescent="0.25">
      <c r="C74" s="49">
        <f t="shared" si="1"/>
        <v>0.7</v>
      </c>
      <c r="D74" s="19">
        <f t="shared" si="0"/>
        <v>0.94857142857142873</v>
      </c>
    </row>
    <row r="75" spans="3:4" x14ac:dyDescent="0.25">
      <c r="C75" s="49">
        <f t="shared" si="1"/>
        <v>0.79999999999999993</v>
      </c>
      <c r="D75" s="19">
        <f t="shared" si="0"/>
        <v>0.83000000000000007</v>
      </c>
    </row>
    <row r="76" spans="3:4" x14ac:dyDescent="0.25">
      <c r="C76" s="49">
        <f t="shared" si="1"/>
        <v>0.89999999999999991</v>
      </c>
      <c r="D76" s="19">
        <f t="shared" si="0"/>
        <v>0.73777777777777787</v>
      </c>
    </row>
    <row r="77" spans="3:4" x14ac:dyDescent="0.25">
      <c r="C77" s="49">
        <f t="shared" si="1"/>
        <v>0.99999999999999989</v>
      </c>
      <c r="D77" s="19">
        <f t="shared" si="0"/>
        <v>0.66400000000000015</v>
      </c>
    </row>
    <row r="78" spans="3:4" x14ac:dyDescent="0.25">
      <c r="C78" s="49">
        <f t="shared" si="1"/>
        <v>1.0999999999999999</v>
      </c>
      <c r="D78" s="19">
        <f t="shared" si="0"/>
        <v>0.60363636363636375</v>
      </c>
    </row>
    <row r="79" spans="3:4" x14ac:dyDescent="0.25">
      <c r="C79" s="49">
        <f t="shared" si="1"/>
        <v>1.2</v>
      </c>
      <c r="D79" s="19">
        <f t="shared" si="0"/>
        <v>0.55333333333333334</v>
      </c>
    </row>
    <row r="80" spans="3:4" x14ac:dyDescent="0.25">
      <c r="C80" s="49">
        <f t="shared" si="1"/>
        <v>1.3</v>
      </c>
      <c r="D80" s="19">
        <f t="shared" si="0"/>
        <v>0.51076923076923075</v>
      </c>
    </row>
    <row r="81" spans="3:4" x14ac:dyDescent="0.25">
      <c r="C81" s="49">
        <f t="shared" si="1"/>
        <v>1.4000000000000001</v>
      </c>
      <c r="D81" s="19">
        <f t="shared" si="0"/>
        <v>0.47428571428571425</v>
      </c>
    </row>
    <row r="82" spans="3:4" x14ac:dyDescent="0.25">
      <c r="C82" s="49">
        <f t="shared" si="1"/>
        <v>1.5000000000000002</v>
      </c>
      <c r="D82" s="19">
        <f t="shared" si="0"/>
        <v>0.4426666666666666</v>
      </c>
    </row>
    <row r="83" spans="3:4" x14ac:dyDescent="0.25">
      <c r="C83" s="49">
        <f t="shared" si="1"/>
        <v>1.6000000000000003</v>
      </c>
      <c r="D83" s="19">
        <f t="shared" si="0"/>
        <v>0.41499999999999992</v>
      </c>
    </row>
    <row r="84" spans="3:4" x14ac:dyDescent="0.25">
      <c r="C84" s="49">
        <f t="shared" si="1"/>
        <v>1.7000000000000004</v>
      </c>
      <c r="D84" s="19">
        <f t="shared" si="0"/>
        <v>0.39058823529411757</v>
      </c>
    </row>
    <row r="85" spans="3:4" x14ac:dyDescent="0.25">
      <c r="C85" s="49">
        <f t="shared" si="1"/>
        <v>1.8000000000000005</v>
      </c>
      <c r="D85" s="19">
        <f t="shared" si="0"/>
        <v>0.36888888888888882</v>
      </c>
    </row>
    <row r="86" spans="3:4" x14ac:dyDescent="0.25">
      <c r="C86" s="49">
        <f t="shared" si="1"/>
        <v>1.9000000000000006</v>
      </c>
      <c r="D86" s="19">
        <f t="shared" si="0"/>
        <v>0.34947368421052621</v>
      </c>
    </row>
    <row r="87" spans="3:4" x14ac:dyDescent="0.25">
      <c r="C87" s="49">
        <f t="shared" si="1"/>
        <v>2.0000000000000004</v>
      </c>
      <c r="D87" s="19">
        <f t="shared" si="0"/>
        <v>0.33199999999999996</v>
      </c>
    </row>
    <row r="88" spans="3:4" x14ac:dyDescent="0.25">
      <c r="C88" s="49">
        <f>C87+0.1</f>
        <v>2.1000000000000005</v>
      </c>
      <c r="D88" s="19">
        <f t="shared" si="0"/>
        <v>0.31619047619047613</v>
      </c>
    </row>
    <row r="89" spans="3:4" x14ac:dyDescent="0.25">
      <c r="C89" s="49">
        <f t="shared" si="1"/>
        <v>2.2000000000000006</v>
      </c>
      <c r="D89" s="19">
        <f t="shared" si="0"/>
        <v>0.30181818181818176</v>
      </c>
    </row>
    <row r="90" spans="3:4" x14ac:dyDescent="0.25">
      <c r="C90" s="49">
        <f t="shared" si="1"/>
        <v>2.3000000000000007</v>
      </c>
      <c r="D90" s="19">
        <f t="shared" si="0"/>
        <v>0.28869565217391296</v>
      </c>
    </row>
    <row r="91" spans="3:4" x14ac:dyDescent="0.25">
      <c r="C91" s="49">
        <f t="shared" si="1"/>
        <v>2.4000000000000008</v>
      </c>
      <c r="D91" s="19">
        <f t="shared" si="0"/>
        <v>0.27666666666666662</v>
      </c>
    </row>
    <row r="92" spans="3:4" x14ac:dyDescent="0.25">
      <c r="C92" s="49">
        <f t="shared" si="1"/>
        <v>2.5000000000000009</v>
      </c>
      <c r="D92" s="19">
        <f t="shared" si="0"/>
        <v>0.26559999999999995</v>
      </c>
    </row>
    <row r="93" spans="3:4" x14ac:dyDescent="0.25">
      <c r="C93" s="49">
        <f t="shared" si="1"/>
        <v>2.600000000000001</v>
      </c>
      <c r="D93" s="19">
        <f t="shared" si="0"/>
        <v>0.25538461538461532</v>
      </c>
    </row>
    <row r="94" spans="3:4" x14ac:dyDescent="0.25">
      <c r="C94" s="49">
        <f t="shared" si="1"/>
        <v>2.7000000000000011</v>
      </c>
      <c r="D94" s="19">
        <f t="shared" si="0"/>
        <v>0.24592592592592585</v>
      </c>
    </row>
    <row r="95" spans="3:4" x14ac:dyDescent="0.25">
      <c r="C95" s="49">
        <f t="shared" si="1"/>
        <v>2.8000000000000012</v>
      </c>
      <c r="D95" s="19">
        <f t="shared" si="0"/>
        <v>0.23714285714285704</v>
      </c>
    </row>
    <row r="96" spans="3:4" x14ac:dyDescent="0.25">
      <c r="C96" s="49">
        <f t="shared" si="1"/>
        <v>2.9000000000000012</v>
      </c>
      <c r="D96" s="19">
        <f t="shared" si="0"/>
        <v>0.22896551724137923</v>
      </c>
    </row>
    <row r="97" spans="3:4" x14ac:dyDescent="0.25">
      <c r="C97" s="49">
        <f t="shared" si="1"/>
        <v>3.0000000000000013</v>
      </c>
      <c r="D97" s="19">
        <f t="shared" si="0"/>
        <v>0.22133333333333324</v>
      </c>
    </row>
    <row r="98" spans="3:4" x14ac:dyDescent="0.25">
      <c r="C98" s="49">
        <f t="shared" si="1"/>
        <v>3.1000000000000014</v>
      </c>
      <c r="D98" s="19">
        <f t="shared" si="0"/>
        <v>0.2141935483870967</v>
      </c>
    </row>
    <row r="99" spans="3:4" x14ac:dyDescent="0.25">
      <c r="C99" s="49">
        <f t="shared" si="1"/>
        <v>3.2000000000000015</v>
      </c>
      <c r="D99" s="19">
        <f t="shared" si="0"/>
        <v>0.20749999999999991</v>
      </c>
    </row>
    <row r="100" spans="3:4" x14ac:dyDescent="0.25">
      <c r="C100" s="49">
        <f t="shared" si="1"/>
        <v>3.3000000000000016</v>
      </c>
      <c r="D100" s="19">
        <f t="shared" si="0"/>
        <v>0.20121212121212112</v>
      </c>
    </row>
    <row r="101" spans="3:4" x14ac:dyDescent="0.25">
      <c r="C101" s="49">
        <f>C100+0.1</f>
        <v>3.4000000000000017</v>
      </c>
      <c r="D101" s="19">
        <f t="shared" si="0"/>
        <v>0.19414532871972301</v>
      </c>
    </row>
    <row r="102" spans="3:4" x14ac:dyDescent="0.25">
      <c r="C102" s="49">
        <f t="shared" si="1"/>
        <v>3.5000000000000018</v>
      </c>
      <c r="D102" s="19">
        <f t="shared" si="0"/>
        <v>0.18320979591836717</v>
      </c>
    </row>
    <row r="103" spans="3:4" x14ac:dyDescent="0.25">
      <c r="C103" s="49">
        <f t="shared" si="1"/>
        <v>3.6000000000000019</v>
      </c>
      <c r="D103" s="19">
        <f t="shared" si="0"/>
        <v>0.17317283950617268</v>
      </c>
    </row>
    <row r="104" spans="3:4" x14ac:dyDescent="0.25">
      <c r="C104" s="49">
        <f t="shared" si="1"/>
        <v>3.700000000000002</v>
      </c>
      <c r="D104" s="19">
        <f t="shared" si="0"/>
        <v>0.16393864134404659</v>
      </c>
    </row>
    <row r="105" spans="3:4" x14ac:dyDescent="0.25">
      <c r="C105" s="49">
        <f t="shared" si="1"/>
        <v>3.800000000000002</v>
      </c>
      <c r="D105" s="19">
        <f t="shared" si="0"/>
        <v>0.15542382271468128</v>
      </c>
    </row>
    <row r="106" spans="3:4" x14ac:dyDescent="0.25">
      <c r="C106" s="49">
        <f t="shared" si="1"/>
        <v>3.9000000000000021</v>
      </c>
      <c r="D106" s="19">
        <f t="shared" si="0"/>
        <v>0.14755555555555541</v>
      </c>
    </row>
    <row r="107" spans="3:4" x14ac:dyDescent="0.25">
      <c r="C107" s="49">
        <f t="shared" si="1"/>
        <v>4.0000000000000018</v>
      </c>
      <c r="D107" s="19">
        <f t="shared" si="0"/>
        <v>0.14026999999999989</v>
      </c>
    </row>
    <row r="108" spans="3:4" x14ac:dyDescent="0.25">
      <c r="C108" s="49">
        <f t="shared" si="1"/>
        <v>4.1000000000000014</v>
      </c>
      <c r="D108" s="19">
        <f t="shared" si="0"/>
        <v>0.13351100535395588</v>
      </c>
    </row>
    <row r="109" spans="3:4" x14ac:dyDescent="0.25">
      <c r="C109" s="49">
        <f t="shared" si="1"/>
        <v>4.2000000000000011</v>
      </c>
      <c r="D109" s="19">
        <f t="shared" si="0"/>
        <v>0.12722902494331062</v>
      </c>
    </row>
    <row r="110" spans="3:4" x14ac:dyDescent="0.25">
      <c r="C110" s="49">
        <f t="shared" si="1"/>
        <v>4.3000000000000007</v>
      </c>
      <c r="D110" s="19">
        <f t="shared" si="0"/>
        <v>0.12138020551649537</v>
      </c>
    </row>
    <row r="111" spans="3:4" x14ac:dyDescent="0.25">
      <c r="C111" s="49">
        <f t="shared" si="1"/>
        <v>4.4000000000000004</v>
      </c>
      <c r="D111" s="19">
        <f t="shared" si="0"/>
        <v>0.11592561983471072</v>
      </c>
    </row>
    <row r="112" spans="3:4" x14ac:dyDescent="0.25">
      <c r="C112" s="49">
        <f t="shared" si="1"/>
        <v>4.5</v>
      </c>
      <c r="D112" s="19">
        <f t="shared" si="0"/>
        <v>0.11083061728395062</v>
      </c>
    </row>
    <row r="113" spans="3:4" x14ac:dyDescent="0.25">
      <c r="C113" s="49">
        <f>C112+0.1</f>
        <v>4.5999999999999996</v>
      </c>
      <c r="D113" s="19">
        <f t="shared" si="0"/>
        <v>0.10606427221172025</v>
      </c>
    </row>
    <row r="114" spans="3:4" x14ac:dyDescent="0.25">
      <c r="C114" s="49">
        <f t="shared" si="1"/>
        <v>4.6999999999999993</v>
      </c>
      <c r="D114" s="19">
        <f t="shared" si="0"/>
        <v>0.10159891353553648</v>
      </c>
    </row>
    <row r="115" spans="3:4" x14ac:dyDescent="0.25">
      <c r="C115" s="49">
        <f t="shared" si="1"/>
        <v>4.7999999999999989</v>
      </c>
      <c r="D115" s="19">
        <f t="shared" si="0"/>
        <v>9.7409722222222273E-2</v>
      </c>
    </row>
    <row r="116" spans="3:4" x14ac:dyDescent="0.25">
      <c r="C116" s="49">
        <f t="shared" si="1"/>
        <v>4.8999999999999986</v>
      </c>
      <c r="D116" s="19">
        <f t="shared" si="0"/>
        <v>9.3474385672636454E-2</v>
      </c>
    </row>
    <row r="117" spans="3:4" x14ac:dyDescent="0.25">
      <c r="C117" s="49">
        <f t="shared" si="1"/>
        <v>4.9999999999999982</v>
      </c>
      <c r="D117" s="19">
        <f t="shared" si="0"/>
        <v>8.9772800000000069E-2</v>
      </c>
    </row>
    <row r="118" spans="3:4" x14ac:dyDescent="0.25">
      <c r="C118" s="49">
        <f t="shared" si="1"/>
        <v>5.0999999999999979</v>
      </c>
      <c r="D118" s="19">
        <f t="shared" si="0"/>
        <v>8.6286812764321499E-2</v>
      </c>
    </row>
    <row r="119" spans="3:4" x14ac:dyDescent="0.25">
      <c r="C119" s="49">
        <f t="shared" si="1"/>
        <v>5.1999999999999975</v>
      </c>
      <c r="D119" s="19">
        <f t="shared" si="0"/>
        <v>8.3000000000000088E-2</v>
      </c>
    </row>
    <row r="120" spans="3:4" x14ac:dyDescent="0.25">
      <c r="C120" s="49">
        <f t="shared" si="1"/>
        <v>5.2999999999999972</v>
      </c>
      <c r="D120" s="19">
        <f t="shared" si="0"/>
        <v>7.9897472410110443E-2</v>
      </c>
    </row>
    <row r="121" spans="3:4" x14ac:dyDescent="0.25">
      <c r="C121" s="49">
        <f t="shared" si="1"/>
        <v>5.3999999999999968</v>
      </c>
      <c r="D121" s="19">
        <f t="shared" si="0"/>
        <v>7.6965706447188031E-2</v>
      </c>
    </row>
    <row r="122" spans="3:4" x14ac:dyDescent="0.25">
      <c r="C122" s="49">
        <f t="shared" si="1"/>
        <v>5.4999999999999964</v>
      </c>
      <c r="D122" s="19">
        <f t="shared" si="0"/>
        <v>7.4192396694214971E-2</v>
      </c>
    </row>
    <row r="123" spans="3:4" x14ac:dyDescent="0.25">
      <c r="C123" s="49">
        <f t="shared" si="1"/>
        <v>5.5999999999999961</v>
      </c>
      <c r="D123" s="19">
        <f t="shared" si="0"/>
        <v>7.1566326530612345E-2</v>
      </c>
    </row>
    <row r="124" spans="3:4" x14ac:dyDescent="0.25">
      <c r="C124" s="49">
        <f t="shared" si="1"/>
        <v>5.6999999999999957</v>
      </c>
      <c r="D124" s="19">
        <f t="shared" si="0"/>
        <v>6.9077254539858524E-2</v>
      </c>
    </row>
    <row r="125" spans="3:4" x14ac:dyDescent="0.25">
      <c r="C125" s="49">
        <f t="shared" si="1"/>
        <v>5.7999999999999954</v>
      </c>
      <c r="D125" s="19">
        <f t="shared" si="0"/>
        <v>6.6715814506539947E-2</v>
      </c>
    </row>
    <row r="126" spans="3:4" x14ac:dyDescent="0.25">
      <c r="C126" s="49">
        <f t="shared" si="1"/>
        <v>5.899999999999995</v>
      </c>
      <c r="D126" s="19">
        <f t="shared" si="0"/>
        <v>6.4473427176098941E-2</v>
      </c>
    </row>
    <row r="127" spans="3:4" x14ac:dyDescent="0.25">
      <c r="C127" s="49">
        <f t="shared" si="1"/>
        <v>5.9999999999999947</v>
      </c>
      <c r="D127" s="19">
        <f t="shared" si="0"/>
        <v>6.2342222222222334E-2</v>
      </c>
    </row>
    <row r="128" spans="3:4" x14ac:dyDescent="0.25">
      <c r="C128" s="49">
        <f t="shared" si="1"/>
        <v>6.0999999999999943</v>
      </c>
      <c r="D128" s="19">
        <f t="shared" si="0"/>
        <v>6.0314969094329596E-2</v>
      </c>
    </row>
    <row r="129" spans="3:4" x14ac:dyDescent="0.25">
      <c r="C129" s="49">
        <f t="shared" si="1"/>
        <v>6.199999999999994</v>
      </c>
      <c r="D129" s="19">
        <f t="shared" si="0"/>
        <v>5.8385015608741007E-2</v>
      </c>
    </row>
    <row r="130" spans="3:4" x14ac:dyDescent="0.25">
      <c r="C130" s="49">
        <f t="shared" si="1"/>
        <v>6.2999999999999936</v>
      </c>
      <c r="D130" s="19">
        <f t="shared" si="0"/>
        <v>5.654623330813819E-2</v>
      </c>
    </row>
    <row r="131" spans="3:4" x14ac:dyDescent="0.25">
      <c r="C131" s="49">
        <f t="shared" si="1"/>
        <v>6.3999999999999932</v>
      </c>
      <c r="D131" s="19">
        <f t="shared" si="0"/>
        <v>5.4792968750000115E-2</v>
      </c>
    </row>
    <row r="132" spans="3:4" x14ac:dyDescent="0.25">
      <c r="C132" s="49">
        <f t="shared" si="1"/>
        <v>6.4999999999999929</v>
      </c>
      <c r="D132" s="19">
        <f t="shared" ref="D132:D167" si="2">IF(C132&lt;$C$42,$C$58*(0.4+0.6*C132/$C$42),IF(AND(C132&gt;=$C$42,C132&lt;=$C$41),$C$58,IF(C132&gt;=$C$26,$C$59*$C$26/C132^2,$C$59/C132)))</f>
        <v>5.3120000000000119E-2</v>
      </c>
    </row>
    <row r="133" spans="3:4" x14ac:dyDescent="0.25">
      <c r="C133" s="49">
        <f>C132+0.1</f>
        <v>6.5999999999999925</v>
      </c>
      <c r="D133" s="19">
        <f t="shared" si="2"/>
        <v>5.1522497704316002E-2</v>
      </c>
    </row>
    <row r="134" spans="3:4" x14ac:dyDescent="0.25">
      <c r="C134" s="49">
        <f t="shared" ref="C134:C135" si="3">C133+0.1</f>
        <v>6.6999999999999922</v>
      </c>
      <c r="D134" s="19">
        <f t="shared" si="2"/>
        <v>4.9995990198262542E-2</v>
      </c>
    </row>
    <row r="135" spans="3:4" x14ac:dyDescent="0.25">
      <c r="C135" s="49">
        <f t="shared" si="3"/>
        <v>6.7999999999999918</v>
      </c>
      <c r="D135" s="19">
        <f t="shared" si="2"/>
        <v>4.8536332179930912E-2</v>
      </c>
    </row>
    <row r="136" spans="3:4" x14ac:dyDescent="0.25">
      <c r="C136" s="49">
        <f>C135+0.1</f>
        <v>6.8999999999999915</v>
      </c>
      <c r="D136" s="19">
        <f t="shared" si="2"/>
        <v>4.7139676538542438E-2</v>
      </c>
    </row>
    <row r="137" spans="3:4" x14ac:dyDescent="0.25">
      <c r="C137" s="49">
        <f t="shared" ref="C137:C158" si="4">C136+0.1</f>
        <v>6.9999999999999911</v>
      </c>
      <c r="D137" s="19">
        <f t="shared" si="2"/>
        <v>4.5802448979591959E-2</v>
      </c>
    </row>
    <row r="138" spans="3:4" x14ac:dyDescent="0.25">
      <c r="C138" s="49">
        <f t="shared" si="4"/>
        <v>7.0999999999999908</v>
      </c>
      <c r="D138" s="19">
        <f t="shared" si="2"/>
        <v>4.4521325133902119E-2</v>
      </c>
    </row>
    <row r="139" spans="3:4" x14ac:dyDescent="0.25">
      <c r="C139" s="49">
        <f t="shared" si="4"/>
        <v>7.1999999999999904</v>
      </c>
      <c r="D139" s="19">
        <f t="shared" si="2"/>
        <v>4.329320987654333E-2</v>
      </c>
    </row>
    <row r="140" spans="3:4" x14ac:dyDescent="0.25">
      <c r="C140" s="49">
        <f t="shared" si="4"/>
        <v>7.2999999999999901</v>
      </c>
      <c r="D140" s="19">
        <f t="shared" si="2"/>
        <v>4.2115218615124905E-2</v>
      </c>
    </row>
    <row r="141" spans="3:4" x14ac:dyDescent="0.25">
      <c r="C141" s="49">
        <f t="shared" si="4"/>
        <v>7.3999999999999897</v>
      </c>
      <c r="D141" s="19">
        <f t="shared" si="2"/>
        <v>4.0984660336011801E-2</v>
      </c>
    </row>
    <row r="142" spans="3:4" x14ac:dyDescent="0.25">
      <c r="C142" s="49">
        <f t="shared" si="4"/>
        <v>7.4999999999999893</v>
      </c>
      <c r="D142" s="19">
        <f t="shared" si="2"/>
        <v>3.9899022222222337E-2</v>
      </c>
    </row>
    <row r="143" spans="3:4" x14ac:dyDescent="0.25">
      <c r="C143" s="49">
        <f t="shared" si="4"/>
        <v>7.599999999999989</v>
      </c>
      <c r="D143" s="19">
        <f t="shared" si="2"/>
        <v>3.8855955678670472E-2</v>
      </c>
    </row>
    <row r="144" spans="3:4" x14ac:dyDescent="0.25">
      <c r="C144" s="49">
        <f t="shared" si="4"/>
        <v>7.6999999999999886</v>
      </c>
      <c r="D144" s="19">
        <f t="shared" si="2"/>
        <v>3.78532636194975E-2</v>
      </c>
    </row>
    <row r="145" spans="3:4" x14ac:dyDescent="0.25">
      <c r="C145" s="49">
        <f t="shared" si="4"/>
        <v>7.7999999999999883</v>
      </c>
      <c r="D145" s="19">
        <f t="shared" si="2"/>
        <v>3.6888888888888999E-2</v>
      </c>
    </row>
    <row r="146" spans="3:4" x14ac:dyDescent="0.25">
      <c r="C146" s="49">
        <f t="shared" si="4"/>
        <v>7.8999999999999879</v>
      </c>
      <c r="D146" s="19">
        <f t="shared" si="2"/>
        <v>3.5960903701330024E-2</v>
      </c>
    </row>
    <row r="147" spans="3:4" x14ac:dyDescent="0.25">
      <c r="C147" s="49">
        <f t="shared" si="4"/>
        <v>7.9999999999999876</v>
      </c>
      <c r="D147" s="19">
        <f t="shared" si="2"/>
        <v>3.5067500000000112E-2</v>
      </c>
    </row>
    <row r="148" spans="3:4" x14ac:dyDescent="0.25">
      <c r="C148" s="49">
        <f t="shared" si="4"/>
        <v>8.0999999999999872</v>
      </c>
      <c r="D148" s="19">
        <f t="shared" si="2"/>
        <v>3.4206980643194745E-2</v>
      </c>
    </row>
    <row r="149" spans="3:4" x14ac:dyDescent="0.25">
      <c r="C149" s="49">
        <f t="shared" si="4"/>
        <v>8.1999999999999869</v>
      </c>
      <c r="D149" s="19">
        <f t="shared" si="2"/>
        <v>3.3377751338489102E-2</v>
      </c>
    </row>
    <row r="150" spans="3:4" x14ac:dyDescent="0.25">
      <c r="C150" s="49">
        <f t="shared" si="4"/>
        <v>8.2999999999999865</v>
      </c>
      <c r="D150" s="19">
        <f t="shared" si="2"/>
        <v>3.2578313253012157E-2</v>
      </c>
    </row>
    <row r="151" spans="3:4" x14ac:dyDescent="0.25">
      <c r="C151" s="49">
        <f t="shared" si="4"/>
        <v>8.3999999999999861</v>
      </c>
      <c r="D151" s="19">
        <f t="shared" si="2"/>
        <v>3.1807256235827773E-2</v>
      </c>
    </row>
    <row r="152" spans="3:4" x14ac:dyDescent="0.25">
      <c r="C152" s="49">
        <f t="shared" si="4"/>
        <v>8.4999999999999858</v>
      </c>
      <c r="D152" s="19">
        <f t="shared" si="2"/>
        <v>3.1063252595155813E-2</v>
      </c>
    </row>
    <row r="153" spans="3:4" x14ac:dyDescent="0.25">
      <c r="C153" s="49">
        <f t="shared" si="4"/>
        <v>8.5999999999999854</v>
      </c>
      <c r="D153" s="19">
        <f t="shared" si="2"/>
        <v>3.0345051379123952E-2</v>
      </c>
    </row>
    <row r="154" spans="3:4" x14ac:dyDescent="0.25">
      <c r="C154" s="49">
        <f t="shared" si="4"/>
        <v>8.6999999999999851</v>
      </c>
      <c r="D154" s="19">
        <f t="shared" si="2"/>
        <v>2.9651473114017807E-2</v>
      </c>
    </row>
    <row r="155" spans="3:4" x14ac:dyDescent="0.25">
      <c r="C155" s="49">
        <f t="shared" si="4"/>
        <v>8.7999999999999847</v>
      </c>
      <c r="D155" s="19">
        <f t="shared" si="2"/>
        <v>2.8981404958677789E-2</v>
      </c>
    </row>
    <row r="156" spans="3:4" x14ac:dyDescent="0.25">
      <c r="C156" s="49">
        <f>C155+0.1</f>
        <v>8.8999999999999844</v>
      </c>
      <c r="D156" s="19">
        <f t="shared" si="2"/>
        <v>2.8333796237848857E-2</v>
      </c>
    </row>
    <row r="157" spans="3:4" x14ac:dyDescent="0.25">
      <c r="C157" s="49">
        <f t="shared" si="4"/>
        <v>8.999999999999984</v>
      </c>
      <c r="D157" s="19">
        <f t="shared" si="2"/>
        <v>2.7707654320987752E-2</v>
      </c>
    </row>
    <row r="158" spans="3:4" x14ac:dyDescent="0.25">
      <c r="C158" s="49">
        <f t="shared" si="4"/>
        <v>9.0999999999999837</v>
      </c>
      <c r="D158" s="19">
        <f t="shared" si="2"/>
        <v>2.7102040816326629E-2</v>
      </c>
    </row>
    <row r="159" spans="3:4" x14ac:dyDescent="0.25">
      <c r="C159" s="49">
        <f>C158+0.1</f>
        <v>9.1999999999999833</v>
      </c>
      <c r="D159" s="19">
        <f t="shared" si="2"/>
        <v>2.6516068052930157E-2</v>
      </c>
    </row>
    <row r="160" spans="3:4" x14ac:dyDescent="0.25">
      <c r="C160" s="49">
        <f t="shared" ref="C160:C165" si="5">C159+0.1</f>
        <v>9.2999999999999829</v>
      </c>
      <c r="D160" s="19">
        <f t="shared" si="2"/>
        <v>2.5948895826107161E-2</v>
      </c>
    </row>
    <row r="161" spans="1:4" x14ac:dyDescent="0.25">
      <c r="C161" s="49">
        <f t="shared" si="5"/>
        <v>9.3999999999999826</v>
      </c>
      <c r="D161" s="19">
        <f t="shared" si="2"/>
        <v>2.5399728383884206E-2</v>
      </c>
    </row>
    <row r="162" spans="1:4" x14ac:dyDescent="0.25">
      <c r="C162" s="49">
        <f t="shared" si="5"/>
        <v>9.4999999999999822</v>
      </c>
      <c r="D162" s="19">
        <f t="shared" si="2"/>
        <v>2.4867811634349125E-2</v>
      </c>
    </row>
    <row r="163" spans="1:4" x14ac:dyDescent="0.25">
      <c r="C163" s="49">
        <f t="shared" si="5"/>
        <v>9.5999999999999819</v>
      </c>
      <c r="D163" s="19">
        <f t="shared" si="2"/>
        <v>2.4352430555555648E-2</v>
      </c>
    </row>
    <row r="164" spans="1:4" x14ac:dyDescent="0.25">
      <c r="C164" s="49">
        <f t="shared" si="5"/>
        <v>9.6999999999999815</v>
      </c>
      <c r="D164" s="19">
        <f t="shared" si="2"/>
        <v>2.3852906791370056E-2</v>
      </c>
    </row>
    <row r="165" spans="1:4" x14ac:dyDescent="0.25">
      <c r="C165" s="49">
        <f t="shared" si="5"/>
        <v>9.7999999999999812</v>
      </c>
      <c r="D165" s="19">
        <f t="shared" si="2"/>
        <v>2.336859641815919E-2</v>
      </c>
    </row>
    <row r="166" spans="1:4" x14ac:dyDescent="0.25">
      <c r="C166" s="49">
        <f>C165+0.1</f>
        <v>9.8999999999999808</v>
      </c>
      <c r="D166" s="19">
        <f t="shared" si="2"/>
        <v>2.2898887868584929E-2</v>
      </c>
    </row>
    <row r="167" spans="1:4" x14ac:dyDescent="0.25">
      <c r="C167" s="49">
        <f t="shared" ref="C167" si="6">C166+0.1</f>
        <v>9.9999999999999805</v>
      </c>
      <c r="D167" s="19">
        <f t="shared" si="2"/>
        <v>2.244320000000009E-2</v>
      </c>
    </row>
    <row r="170" spans="1:4" x14ac:dyDescent="0.25">
      <c r="A170" s="88" t="s">
        <v>133</v>
      </c>
      <c r="B170" s="88"/>
      <c r="D170" s="41" t="s">
        <v>138</v>
      </c>
    </row>
    <row r="174" spans="1:4" x14ac:dyDescent="0.25">
      <c r="B174" s="11" t="s">
        <v>134</v>
      </c>
      <c r="C174" s="50">
        <v>4.7E-2</v>
      </c>
    </row>
    <row r="175" spans="1:4" x14ac:dyDescent="0.25">
      <c r="B175" s="11" t="s">
        <v>135</v>
      </c>
      <c r="C175" s="18">
        <v>0.85</v>
      </c>
    </row>
    <row r="176" spans="1:4" x14ac:dyDescent="0.25">
      <c r="B176" s="11" t="s">
        <v>136</v>
      </c>
      <c r="C176" s="13">
        <v>9</v>
      </c>
    </row>
    <row r="177" spans="1:7" x14ac:dyDescent="0.25">
      <c r="B177" s="11" t="s">
        <v>137</v>
      </c>
      <c r="C177" s="60">
        <f>C174*(C176)^C175</f>
        <v>0.30423136847641769</v>
      </c>
      <c r="D177" s="105" t="s">
        <v>142</v>
      </c>
      <c r="E177" s="94"/>
      <c r="F177" s="61" t="s">
        <v>170</v>
      </c>
      <c r="G177" s="61">
        <f>1.4*C177</f>
        <v>0.42592391586698475</v>
      </c>
    </row>
    <row r="179" spans="1:7" x14ac:dyDescent="0.25">
      <c r="A179" s="88" t="s">
        <v>139</v>
      </c>
      <c r="B179" s="88"/>
    </row>
    <row r="181" spans="1:7" x14ac:dyDescent="0.25">
      <c r="C181" s="51">
        <f>C177</f>
        <v>0.30423136847641769</v>
      </c>
      <c r="D181" s="11">
        <v>0</v>
      </c>
    </row>
    <row r="182" spans="1:7" x14ac:dyDescent="0.25">
      <c r="C182" s="51">
        <f>C181</f>
        <v>0.30423136847641769</v>
      </c>
      <c r="D182" s="11">
        <f t="shared" ref="D182" si="7">IF(C182&lt;$C$42,$C$58*(0.4+0.6*C182/$C$42),IF(AND(C182&gt;=$C$42,C182&lt;=$C$41),$C$58,IF(C182&gt;=$C$26,$C$59*$C$26/C182^2,$C$59/C182)))</f>
        <v>1.36</v>
      </c>
    </row>
    <row r="184" spans="1:7" x14ac:dyDescent="0.25">
      <c r="A184" s="11" t="s">
        <v>140</v>
      </c>
      <c r="B184" s="53">
        <f>D182</f>
        <v>1.36</v>
      </c>
      <c r="C184" s="105" t="s">
        <v>141</v>
      </c>
      <c r="D184" s="94"/>
    </row>
    <row r="186" spans="1:7" x14ac:dyDescent="0.25">
      <c r="A186" s="11" t="s">
        <v>143</v>
      </c>
      <c r="B186" s="11">
        <v>8</v>
      </c>
    </row>
    <row r="187" spans="1:7" x14ac:dyDescent="0.25">
      <c r="A187" s="11" t="s">
        <v>144</v>
      </c>
      <c r="B187" s="52">
        <v>0.05</v>
      </c>
    </row>
    <row r="188" spans="1:7" x14ac:dyDescent="0.25">
      <c r="A188" s="11" t="s">
        <v>145</v>
      </c>
      <c r="B188" s="11">
        <f>4/(1-LN(B187))</f>
        <v>1.0010680711703974</v>
      </c>
    </row>
    <row r="190" spans="1:7" x14ac:dyDescent="0.25">
      <c r="A190" s="11" t="s">
        <v>146</v>
      </c>
      <c r="B190" s="54">
        <f>B184/(B186*B188)</f>
        <v>0.16981862162604461</v>
      </c>
    </row>
    <row r="191" spans="1:7" x14ac:dyDescent="0.25">
      <c r="A191" s="11" t="s">
        <v>147</v>
      </c>
      <c r="B191" s="55">
        <v>1</v>
      </c>
    </row>
    <row r="194" spans="1:13" x14ac:dyDescent="0.25">
      <c r="A194" s="88" t="s">
        <v>148</v>
      </c>
      <c r="B194" s="88"/>
    </row>
    <row r="195" spans="1:13" x14ac:dyDescent="0.25">
      <c r="C195" s="98" t="s">
        <v>160</v>
      </c>
      <c r="D195" s="98"/>
      <c r="E195" s="98"/>
    </row>
    <row r="196" spans="1:13" x14ac:dyDescent="0.25">
      <c r="A196" t="s">
        <v>149</v>
      </c>
      <c r="B196" s="104" t="s">
        <v>150</v>
      </c>
      <c r="C196" s="104" t="s">
        <v>151</v>
      </c>
      <c r="D196" s="58" t="s">
        <v>152</v>
      </c>
      <c r="E196" s="101" t="s">
        <v>159</v>
      </c>
      <c r="F196" s="103" t="s">
        <v>161</v>
      </c>
      <c r="G196" s="103" t="s">
        <v>162</v>
      </c>
      <c r="H196" s="101" t="s">
        <v>163</v>
      </c>
      <c r="I196" s="103" t="s">
        <v>165</v>
      </c>
    </row>
    <row r="197" spans="1:13" x14ac:dyDescent="0.25">
      <c r="B197" s="104"/>
      <c r="C197" s="104"/>
      <c r="D197" s="58" t="s">
        <v>153</v>
      </c>
      <c r="E197" s="102"/>
      <c r="F197" s="103"/>
      <c r="G197" s="103"/>
      <c r="H197" s="102"/>
      <c r="I197" s="103"/>
    </row>
    <row r="198" spans="1:13" x14ac:dyDescent="0.25">
      <c r="B198" s="127" t="s">
        <v>343</v>
      </c>
      <c r="C198" s="127" t="s">
        <v>155</v>
      </c>
      <c r="D198" s="113">
        <v>572588.47</v>
      </c>
      <c r="E198" s="19">
        <f>D198</f>
        <v>572588.47</v>
      </c>
      <c r="F198" s="59">
        <f>M200</f>
        <v>2.4229999999999998E-3</v>
      </c>
      <c r="G198" s="19">
        <v>11.87</v>
      </c>
      <c r="H198" s="59">
        <f>E198*F198^2</f>
        <v>3.3616262535886294</v>
      </c>
      <c r="I198" s="19">
        <f>G198*F198</f>
        <v>2.8761009999999997E-2</v>
      </c>
      <c r="M198" s="57">
        <v>7.4320000000000002E-3</v>
      </c>
    </row>
    <row r="199" spans="1:13" x14ac:dyDescent="0.25">
      <c r="B199" s="127" t="s">
        <v>344</v>
      </c>
      <c r="C199" s="127" t="s">
        <v>158</v>
      </c>
      <c r="D199" s="113">
        <v>545649.48</v>
      </c>
      <c r="E199" s="19">
        <f t="shared" ref="E199:E200" si="8">D199</f>
        <v>545649.48</v>
      </c>
      <c r="F199" s="59">
        <v>5.496E-3</v>
      </c>
      <c r="G199" s="19">
        <v>23.73</v>
      </c>
      <c r="H199" s="59">
        <f t="shared" ref="H199:H200" si="9">E199*F199^2</f>
        <v>16.48189692327168</v>
      </c>
      <c r="I199" s="19">
        <f t="shared" ref="I199:I200" si="10">G199*F199</f>
        <v>0.13042007999999999</v>
      </c>
      <c r="M199" s="57">
        <v>5.496E-3</v>
      </c>
    </row>
    <row r="200" spans="1:13" x14ac:dyDescent="0.25">
      <c r="B200" s="127" t="s">
        <v>345</v>
      </c>
      <c r="C200" s="127" t="s">
        <v>158</v>
      </c>
      <c r="D200" s="113">
        <v>545649.48</v>
      </c>
      <c r="E200" s="19">
        <f t="shared" si="8"/>
        <v>545649.48</v>
      </c>
      <c r="F200" s="59">
        <f>M198</f>
        <v>7.4320000000000002E-3</v>
      </c>
      <c r="G200" s="19">
        <v>27.4</v>
      </c>
      <c r="H200" s="59">
        <f t="shared" si="9"/>
        <v>30.138743863595518</v>
      </c>
      <c r="I200" s="19">
        <f t="shared" si="10"/>
        <v>0.20363680000000001</v>
      </c>
      <c r="M200" s="57">
        <v>2.4229999999999998E-3</v>
      </c>
    </row>
    <row r="201" spans="1:13" s="113" customFormat="1" x14ac:dyDescent="0.25">
      <c r="B201" s="127" t="s">
        <v>346</v>
      </c>
      <c r="C201" s="127" t="s">
        <v>158</v>
      </c>
      <c r="D201" s="113">
        <v>545649.48</v>
      </c>
      <c r="E201" s="116">
        <f t="shared" ref="E201:E202" si="11">D201</f>
        <v>545649.48</v>
      </c>
      <c r="F201" s="118">
        <f t="shared" ref="F201:F202" si="12">M199</f>
        <v>5.496E-3</v>
      </c>
      <c r="G201" s="116">
        <v>28.4</v>
      </c>
      <c r="H201" s="118">
        <f t="shared" ref="H201:H202" si="13">E201*F201^2</f>
        <v>16.48189692327168</v>
      </c>
      <c r="I201" s="116">
        <f t="shared" ref="I201:I202" si="14">G201*F201</f>
        <v>0.15608639999999999</v>
      </c>
      <c r="M201" s="117"/>
    </row>
    <row r="202" spans="1:13" s="113" customFormat="1" x14ac:dyDescent="0.25">
      <c r="B202" s="127" t="s">
        <v>347</v>
      </c>
      <c r="C202" s="127" t="s">
        <v>342</v>
      </c>
      <c r="D202" s="113">
        <v>411519.3</v>
      </c>
      <c r="E202" s="116">
        <f t="shared" si="11"/>
        <v>411519.3</v>
      </c>
      <c r="F202" s="118">
        <f t="shared" si="12"/>
        <v>2.4229999999999998E-3</v>
      </c>
      <c r="G202" s="116">
        <v>29.4</v>
      </c>
      <c r="H202" s="118">
        <f t="shared" si="13"/>
        <v>2.4160005924296994</v>
      </c>
      <c r="I202" s="116">
        <f t="shared" si="14"/>
        <v>7.1236199999999986E-2</v>
      </c>
      <c r="M202" s="117"/>
    </row>
    <row r="203" spans="1:13" x14ac:dyDescent="0.25">
      <c r="G203" t="s">
        <v>164</v>
      </c>
      <c r="H203">
        <f>SUM(H198:H202)</f>
        <v>68.880164556157197</v>
      </c>
      <c r="I203">
        <f>SUM(I198:I202)</f>
        <v>0.59014048999999991</v>
      </c>
    </row>
    <row r="206" spans="1:13" x14ac:dyDescent="0.25">
      <c r="C206" s="19" t="s">
        <v>164</v>
      </c>
      <c r="D206" s="19">
        <f>H203</f>
        <v>68.880164556157197</v>
      </c>
    </row>
    <row r="207" spans="1:13" x14ac:dyDescent="0.25">
      <c r="C207" s="19" t="s">
        <v>166</v>
      </c>
      <c r="D207" s="19">
        <f>I203</f>
        <v>0.59014048999999991</v>
      </c>
    </row>
    <row r="209" spans="1:12" x14ac:dyDescent="0.25">
      <c r="B209" s="46" t="s">
        <v>167</v>
      </c>
      <c r="C209" s="56">
        <f>2*PI()*SQRT(D206/D207)</f>
        <v>67.881159163191768</v>
      </c>
    </row>
    <row r="212" spans="1:12" x14ac:dyDescent="0.25">
      <c r="A212" t="s">
        <v>149</v>
      </c>
      <c r="B212" s="104" t="s">
        <v>150</v>
      </c>
      <c r="C212" s="104" t="s">
        <v>151</v>
      </c>
      <c r="D212" s="58" t="s">
        <v>192</v>
      </c>
      <c r="E212" s="101" t="s">
        <v>159</v>
      </c>
      <c r="F212" s="103" t="s">
        <v>169</v>
      </c>
      <c r="G212" s="103" t="s">
        <v>162</v>
      </c>
      <c r="H212" s="101" t="s">
        <v>163</v>
      </c>
      <c r="I212" s="103" t="s">
        <v>165</v>
      </c>
    </row>
    <row r="213" spans="1:12" x14ac:dyDescent="0.25">
      <c r="B213" s="104"/>
      <c r="C213" s="104"/>
      <c r="D213" s="58" t="s">
        <v>153</v>
      </c>
      <c r="E213" s="102"/>
      <c r="F213" s="103"/>
      <c r="G213" s="103"/>
      <c r="H213" s="102"/>
      <c r="I213" s="103"/>
    </row>
    <row r="214" spans="1:12" x14ac:dyDescent="0.25">
      <c r="B214" s="127" t="s">
        <v>343</v>
      </c>
      <c r="C214" s="127" t="s">
        <v>155</v>
      </c>
      <c r="D214" s="113">
        <v>572588.47</v>
      </c>
      <c r="E214" s="19">
        <f>D214</f>
        <v>572588.47</v>
      </c>
      <c r="F214" s="59">
        <f>L216</f>
        <v>2.748E-3</v>
      </c>
      <c r="G214" s="19">
        <v>11.87</v>
      </c>
      <c r="H214" s="59">
        <f>E214*F214^2</f>
        <v>4.32390412155888</v>
      </c>
      <c r="I214" s="19">
        <f>G214*F214</f>
        <v>3.2618759999999997E-2</v>
      </c>
      <c r="L214" s="57">
        <v>8.8369999999999994E-3</v>
      </c>
    </row>
    <row r="215" spans="1:12" x14ac:dyDescent="0.25">
      <c r="B215" s="127" t="s">
        <v>344</v>
      </c>
      <c r="C215" s="127" t="s">
        <v>158</v>
      </c>
      <c r="D215" s="113">
        <v>545649.48</v>
      </c>
      <c r="E215" s="19">
        <f t="shared" ref="E215:E216" si="15">D215</f>
        <v>545649.48</v>
      </c>
      <c r="F215" s="59">
        <f>L215</f>
        <v>6.4140000000000004E-3</v>
      </c>
      <c r="G215" s="19">
        <v>23.73</v>
      </c>
      <c r="H215" s="59">
        <f t="shared" ref="H215:H216" si="16">E215*F215^2</f>
        <v>22.447690034914082</v>
      </c>
      <c r="I215" s="19">
        <f t="shared" ref="I215:I216" si="17">G215*F215</f>
        <v>0.15220422</v>
      </c>
      <c r="L215" s="57">
        <v>6.4140000000000004E-3</v>
      </c>
    </row>
    <row r="216" spans="1:12" x14ac:dyDescent="0.25">
      <c r="B216" s="127" t="s">
        <v>345</v>
      </c>
      <c r="C216" s="127" t="s">
        <v>158</v>
      </c>
      <c r="D216" s="113">
        <v>545649.48</v>
      </c>
      <c r="E216" s="19">
        <f t="shared" si="15"/>
        <v>545649.48</v>
      </c>
      <c r="F216" s="59">
        <f>L214</f>
        <v>8.8369999999999994E-3</v>
      </c>
      <c r="G216" s="19">
        <v>27.4</v>
      </c>
      <c r="H216" s="59">
        <f t="shared" si="16"/>
        <v>42.611169666714112</v>
      </c>
      <c r="I216" s="19">
        <f t="shared" si="17"/>
        <v>0.24213379999999998</v>
      </c>
      <c r="L216" s="57">
        <v>2.748E-3</v>
      </c>
    </row>
    <row r="217" spans="1:12" s="113" customFormat="1" x14ac:dyDescent="0.25">
      <c r="B217" s="127" t="s">
        <v>346</v>
      </c>
      <c r="C217" s="127" t="s">
        <v>158</v>
      </c>
      <c r="D217" s="113">
        <v>545649.48</v>
      </c>
      <c r="E217" s="116">
        <f t="shared" ref="E217:E218" si="18">D217</f>
        <v>545649.48</v>
      </c>
      <c r="F217" s="118">
        <f t="shared" ref="F217:F218" si="19">L215</f>
        <v>6.4140000000000004E-3</v>
      </c>
      <c r="G217" s="116">
        <v>28.4</v>
      </c>
      <c r="H217" s="118">
        <f t="shared" ref="H217:H218" si="20">E217*F217^2</f>
        <v>22.447690034914082</v>
      </c>
      <c r="I217" s="116">
        <f t="shared" ref="I217:I218" si="21">G217*F217</f>
        <v>0.1821576</v>
      </c>
      <c r="L217" s="117"/>
    </row>
    <row r="218" spans="1:12" s="113" customFormat="1" x14ac:dyDescent="0.25">
      <c r="B218" s="127" t="s">
        <v>347</v>
      </c>
      <c r="C218" s="127" t="s">
        <v>342</v>
      </c>
      <c r="D218" s="113">
        <v>411519.3</v>
      </c>
      <c r="E218" s="116">
        <f t="shared" si="18"/>
        <v>411519.3</v>
      </c>
      <c r="F218" s="118">
        <f t="shared" si="19"/>
        <v>2.748E-3</v>
      </c>
      <c r="G218" s="116">
        <v>29.4</v>
      </c>
      <c r="H218" s="118">
        <f t="shared" si="20"/>
        <v>3.1075896400271996</v>
      </c>
      <c r="I218" s="116">
        <f t="shared" si="21"/>
        <v>8.0791199999999994E-2</v>
      </c>
      <c r="L218" s="117"/>
    </row>
    <row r="219" spans="1:12" x14ac:dyDescent="0.25">
      <c r="G219" t="s">
        <v>164</v>
      </c>
      <c r="H219">
        <f>SUM(H214:H216)</f>
        <v>69.382763823187076</v>
      </c>
      <c r="I219">
        <f>SUM(I214:I216)</f>
        <v>0.42695677999999998</v>
      </c>
    </row>
    <row r="222" spans="1:12" x14ac:dyDescent="0.25">
      <c r="C222" s="19" t="s">
        <v>164</v>
      </c>
      <c r="D222" s="19">
        <f>H219</f>
        <v>69.382763823187076</v>
      </c>
    </row>
    <row r="223" spans="1:12" x14ac:dyDescent="0.25">
      <c r="C223" s="19" t="s">
        <v>166</v>
      </c>
      <c r="D223" s="19">
        <f>I219</f>
        <v>0.42695677999999998</v>
      </c>
    </row>
    <row r="225" spans="1:17" x14ac:dyDescent="0.25">
      <c r="B225" s="46" t="s">
        <v>168</v>
      </c>
      <c r="C225" s="56">
        <f>2*PI()*SQRT(D222/D223)</f>
        <v>80.096531349208377</v>
      </c>
    </row>
    <row r="228" spans="1:17" x14ac:dyDescent="0.25">
      <c r="A228" s="88" t="s">
        <v>172</v>
      </c>
      <c r="B228" s="88"/>
    </row>
    <row r="230" spans="1:17" x14ac:dyDescent="0.25">
      <c r="C230" s="109" t="s">
        <v>173</v>
      </c>
      <c r="D230" s="109" t="s">
        <v>174</v>
      </c>
      <c r="E230" s="63" t="s">
        <v>175</v>
      </c>
      <c r="F230" s="109" t="s">
        <v>177</v>
      </c>
      <c r="G230" s="109" t="s">
        <v>178</v>
      </c>
      <c r="H230" s="109" t="s">
        <v>179</v>
      </c>
      <c r="I230" s="109" t="s">
        <v>180</v>
      </c>
      <c r="J230" s="109" t="s">
        <v>181</v>
      </c>
      <c r="K230" s="109" t="s">
        <v>182</v>
      </c>
      <c r="L230" s="109" t="s">
        <v>183</v>
      </c>
      <c r="M230" s="109" t="s">
        <v>184</v>
      </c>
      <c r="N230" s="109" t="s">
        <v>185</v>
      </c>
      <c r="O230" s="109" t="s">
        <v>186</v>
      </c>
      <c r="P230" s="109" t="s">
        <v>187</v>
      </c>
      <c r="Q230" s="109" t="s">
        <v>188</v>
      </c>
    </row>
    <row r="231" spans="1:17" x14ac:dyDescent="0.25">
      <c r="C231" s="109"/>
      <c r="D231" s="109"/>
      <c r="E231" s="63" t="s">
        <v>176</v>
      </c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</row>
    <row r="232" spans="1:17" x14ac:dyDescent="0.25">
      <c r="C232" s="57" t="s">
        <v>189</v>
      </c>
      <c r="D232" s="57">
        <v>1</v>
      </c>
      <c r="E232" s="57">
        <v>0.441</v>
      </c>
      <c r="F232" s="57">
        <v>0</v>
      </c>
      <c r="G232" s="57">
        <v>0.84589999999999999</v>
      </c>
      <c r="H232" s="57">
        <v>0</v>
      </c>
      <c r="I232" s="57">
        <v>0</v>
      </c>
      <c r="J232" s="57">
        <v>0.84589999999999999</v>
      </c>
      <c r="K232" s="57">
        <v>0</v>
      </c>
      <c r="L232" s="57">
        <v>0.18110000000000001</v>
      </c>
      <c r="M232" s="57">
        <v>0</v>
      </c>
      <c r="N232" s="64">
        <v>2.5230000000000001E-5</v>
      </c>
      <c r="O232" s="57">
        <v>0.18110000000000001</v>
      </c>
      <c r="P232" s="57">
        <v>0</v>
      </c>
      <c r="Q232" s="64">
        <v>2.5230000000000001E-5</v>
      </c>
    </row>
    <row r="233" spans="1:17" x14ac:dyDescent="0.25">
      <c r="C233" s="57" t="s">
        <v>189</v>
      </c>
      <c r="D233" s="57">
        <v>2</v>
      </c>
      <c r="E233" s="57">
        <v>0.40699999999999997</v>
      </c>
      <c r="F233" s="57">
        <v>0.85570000000000002</v>
      </c>
      <c r="G233" s="57">
        <v>0</v>
      </c>
      <c r="H233" s="57">
        <v>0</v>
      </c>
      <c r="I233" s="57">
        <v>0.85570000000000002</v>
      </c>
      <c r="J233" s="57">
        <v>0.84589999999999999</v>
      </c>
      <c r="K233" s="57">
        <v>0</v>
      </c>
      <c r="L233" s="57">
        <v>0</v>
      </c>
      <c r="M233" s="57">
        <v>0.1701</v>
      </c>
      <c r="N233" s="64">
        <v>6.5849999999999996E-6</v>
      </c>
      <c r="O233" s="57">
        <v>0.18110000000000001</v>
      </c>
      <c r="P233" s="57">
        <v>0.1701</v>
      </c>
      <c r="Q233" s="64">
        <v>3.1819999999999997E-5</v>
      </c>
    </row>
    <row r="234" spans="1:17" x14ac:dyDescent="0.25">
      <c r="C234" s="57" t="s">
        <v>189</v>
      </c>
      <c r="D234" s="57">
        <v>3</v>
      </c>
      <c r="E234" s="57">
        <v>0.35799999999999998</v>
      </c>
      <c r="F234" s="64">
        <v>6.4559999999999997E-6</v>
      </c>
      <c r="G234" s="64">
        <v>2.3419999999999999E-5</v>
      </c>
      <c r="H234" s="57">
        <v>0</v>
      </c>
      <c r="I234" s="57">
        <v>0.85570000000000002</v>
      </c>
      <c r="J234" s="57">
        <v>0.84589999999999999</v>
      </c>
      <c r="K234" s="57">
        <v>0</v>
      </c>
      <c r="L234" s="64">
        <v>2.9600000000000001E-5</v>
      </c>
      <c r="M234" s="64">
        <v>3.726E-6</v>
      </c>
      <c r="N234" s="57">
        <v>0.84830000000000005</v>
      </c>
      <c r="O234" s="57">
        <v>0.18110000000000001</v>
      </c>
      <c r="P234" s="57">
        <v>0.1701</v>
      </c>
      <c r="Q234" s="57">
        <v>0.84840000000000004</v>
      </c>
    </row>
    <row r="235" spans="1:17" x14ac:dyDescent="0.25">
      <c r="C235" s="57" t="s">
        <v>189</v>
      </c>
      <c r="D235" s="57">
        <v>4</v>
      </c>
      <c r="E235" s="57">
        <v>0.13300000000000001</v>
      </c>
      <c r="F235" s="57">
        <v>0</v>
      </c>
      <c r="G235" s="57">
        <v>0.1201</v>
      </c>
      <c r="H235" s="57">
        <v>0</v>
      </c>
      <c r="I235" s="57">
        <v>0.85570000000000002</v>
      </c>
      <c r="J235" s="57">
        <v>0.96599999999999997</v>
      </c>
      <c r="K235" s="57">
        <v>0</v>
      </c>
      <c r="L235" s="57">
        <v>0.72230000000000005</v>
      </c>
      <c r="M235" s="57">
        <v>0</v>
      </c>
      <c r="N235" s="64">
        <v>7.9780000000000005E-6</v>
      </c>
      <c r="O235" s="57">
        <v>0.90339999999999998</v>
      </c>
      <c r="P235" s="57">
        <v>0.1701</v>
      </c>
      <c r="Q235" s="57">
        <v>0.84840000000000004</v>
      </c>
    </row>
    <row r="236" spans="1:17" x14ac:dyDescent="0.25">
      <c r="C236" s="65" t="s">
        <v>189</v>
      </c>
      <c r="D236" s="65">
        <v>5</v>
      </c>
      <c r="E236" s="65">
        <v>0.126</v>
      </c>
      <c r="F236" s="65">
        <v>0.11360000000000001</v>
      </c>
      <c r="G236" s="65">
        <v>0</v>
      </c>
      <c r="H236" s="65">
        <v>0</v>
      </c>
      <c r="I236" s="65">
        <v>0.96930000000000005</v>
      </c>
      <c r="J236" s="65">
        <v>0.96599999999999997</v>
      </c>
      <c r="K236" s="65">
        <v>0</v>
      </c>
      <c r="L236" s="65">
        <v>0</v>
      </c>
      <c r="M236" s="65">
        <v>0.74519999999999997</v>
      </c>
      <c r="N236" s="66">
        <v>1.345E-6</v>
      </c>
      <c r="O236" s="65">
        <v>0.90339999999999998</v>
      </c>
      <c r="P236" s="65">
        <v>0.91520000000000001</v>
      </c>
      <c r="Q236" s="65">
        <v>0.84840000000000004</v>
      </c>
    </row>
    <row r="237" spans="1:17" x14ac:dyDescent="0.25">
      <c r="C237" s="57" t="s">
        <v>189</v>
      </c>
      <c r="D237" s="57">
        <v>6</v>
      </c>
      <c r="E237" s="57">
        <v>0.109</v>
      </c>
      <c r="F237" s="64">
        <v>1.353E-6</v>
      </c>
      <c r="G237" s="64">
        <v>9.054E-6</v>
      </c>
      <c r="H237" s="57">
        <v>0</v>
      </c>
      <c r="I237" s="57">
        <v>0.96930000000000005</v>
      </c>
      <c r="J237" s="57">
        <v>0.96599999999999997</v>
      </c>
      <c r="K237" s="57">
        <v>0</v>
      </c>
      <c r="L237" s="57">
        <v>1E-4</v>
      </c>
      <c r="M237" s="64">
        <v>8.2840000000000006E-6</v>
      </c>
      <c r="N237" s="57">
        <v>0.1181</v>
      </c>
      <c r="O237" s="57">
        <v>0.90349999999999997</v>
      </c>
      <c r="P237" s="57">
        <v>0.91520000000000001</v>
      </c>
      <c r="Q237" s="57">
        <v>0.96650000000000003</v>
      </c>
    </row>
    <row r="238" spans="1:17" x14ac:dyDescent="0.25">
      <c r="C238" s="57" t="s">
        <v>189</v>
      </c>
      <c r="D238" s="57">
        <v>7</v>
      </c>
      <c r="E238" s="57">
        <v>7.2999999999999995E-2</v>
      </c>
      <c r="F238" s="57">
        <v>0</v>
      </c>
      <c r="G238" s="57">
        <v>3.4000000000000002E-2</v>
      </c>
      <c r="H238" s="57">
        <v>0</v>
      </c>
      <c r="I238" s="57">
        <v>0.96930000000000005</v>
      </c>
      <c r="J238" s="57">
        <v>1</v>
      </c>
      <c r="K238" s="57">
        <v>0</v>
      </c>
      <c r="L238" s="57">
        <v>9.6500000000000002E-2</v>
      </c>
      <c r="M238" s="57">
        <v>0</v>
      </c>
      <c r="N238" s="64">
        <v>6.4160000000000001E-6</v>
      </c>
      <c r="O238" s="57">
        <v>1</v>
      </c>
      <c r="P238" s="57">
        <v>0.91520000000000001</v>
      </c>
      <c r="Q238" s="57">
        <v>0.96650000000000003</v>
      </c>
    </row>
    <row r="239" spans="1:17" x14ac:dyDescent="0.25">
      <c r="C239" s="57" t="s">
        <v>189</v>
      </c>
      <c r="D239" s="57">
        <v>8</v>
      </c>
      <c r="E239" s="57">
        <v>7.1999999999999995E-2</v>
      </c>
      <c r="F239" s="57">
        <v>3.0700000000000002E-2</v>
      </c>
      <c r="G239" s="57">
        <v>0</v>
      </c>
      <c r="H239" s="57">
        <v>0</v>
      </c>
      <c r="I239" s="57">
        <v>1</v>
      </c>
      <c r="J239" s="57">
        <v>1</v>
      </c>
      <c r="K239" s="57">
        <v>0</v>
      </c>
      <c r="L239" s="57">
        <v>0</v>
      </c>
      <c r="M239" s="57">
        <v>8.48E-2</v>
      </c>
      <c r="N239" s="64">
        <v>5.6830000000000003E-7</v>
      </c>
      <c r="O239" s="57">
        <v>1</v>
      </c>
      <c r="P239" s="57">
        <v>1</v>
      </c>
      <c r="Q239" s="57">
        <v>0.96650000000000003</v>
      </c>
    </row>
    <row r="240" spans="1:17" x14ac:dyDescent="0.25">
      <c r="C240" s="57" t="s">
        <v>189</v>
      </c>
      <c r="D240" s="57">
        <v>9</v>
      </c>
      <c r="E240" s="57">
        <v>0.06</v>
      </c>
      <c r="F240" s="64">
        <v>5.4199999999999996E-7</v>
      </c>
      <c r="G240" s="64">
        <v>7.092E-6</v>
      </c>
      <c r="H240" s="57">
        <v>0</v>
      </c>
      <c r="I240" s="57">
        <v>1</v>
      </c>
      <c r="J240" s="57">
        <v>1</v>
      </c>
      <c r="K240" s="57">
        <v>0</v>
      </c>
      <c r="L240" s="64">
        <v>2.1440000000000001E-5</v>
      </c>
      <c r="M240" s="64">
        <v>1.6220000000000001E-6</v>
      </c>
      <c r="N240" s="57">
        <v>3.3500000000000002E-2</v>
      </c>
      <c r="O240" s="57">
        <v>1</v>
      </c>
      <c r="P240" s="57">
        <v>1</v>
      </c>
      <c r="Q240" s="57">
        <v>1</v>
      </c>
    </row>
    <row r="244" spans="1:16" x14ac:dyDescent="0.25">
      <c r="A244" s="88" t="s">
        <v>190</v>
      </c>
      <c r="B244" s="88"/>
      <c r="C244" s="88"/>
      <c r="D244" s="88"/>
    </row>
    <row r="246" spans="1:16" ht="27.6" x14ac:dyDescent="0.25">
      <c r="C246" s="109" t="s">
        <v>150</v>
      </c>
      <c r="D246" s="109" t="s">
        <v>151</v>
      </c>
      <c r="E246" s="63" t="s">
        <v>152</v>
      </c>
      <c r="F246" s="63" t="s">
        <v>192</v>
      </c>
      <c r="G246" s="63" t="s">
        <v>193</v>
      </c>
      <c r="H246" s="63" t="s">
        <v>195</v>
      </c>
      <c r="I246" s="63" t="s">
        <v>196</v>
      </c>
      <c r="J246" s="63" t="s">
        <v>197</v>
      </c>
      <c r="K246" s="63" t="s">
        <v>198</v>
      </c>
      <c r="L246" s="63" t="s">
        <v>199</v>
      </c>
      <c r="M246" s="63" t="s">
        <v>200</v>
      </c>
      <c r="N246" s="63" t="s">
        <v>201</v>
      </c>
      <c r="O246" s="63" t="s">
        <v>202</v>
      </c>
      <c r="P246" s="63" t="s">
        <v>203</v>
      </c>
    </row>
    <row r="247" spans="1:16" x14ac:dyDescent="0.25">
      <c r="C247" s="109"/>
      <c r="D247" s="109"/>
      <c r="E247" s="63" t="s">
        <v>191</v>
      </c>
      <c r="F247" s="63" t="s">
        <v>191</v>
      </c>
      <c r="G247" s="63" t="s">
        <v>194</v>
      </c>
      <c r="H247" s="63" t="s">
        <v>194</v>
      </c>
      <c r="I247" s="63" t="s">
        <v>191</v>
      </c>
      <c r="J247" s="63" t="s">
        <v>191</v>
      </c>
      <c r="K247" s="63" t="s">
        <v>194</v>
      </c>
      <c r="L247" s="63" t="s">
        <v>194</v>
      </c>
      <c r="M247" s="63" t="s">
        <v>194</v>
      </c>
      <c r="N247" s="63" t="s">
        <v>194</v>
      </c>
    </row>
    <row r="248" spans="1:16" x14ac:dyDescent="0.25">
      <c r="C248" s="127" t="s">
        <v>343</v>
      </c>
      <c r="D248" s="127" t="s">
        <v>155</v>
      </c>
      <c r="E248" s="113">
        <v>572588.47</v>
      </c>
      <c r="F248" s="113">
        <v>572588.47</v>
      </c>
      <c r="G248" s="113">
        <v>12.2493</v>
      </c>
      <c r="H248" s="113">
        <v>16.093</v>
      </c>
      <c r="I248" s="113">
        <v>572588.47</v>
      </c>
      <c r="J248" s="113">
        <v>572588.47</v>
      </c>
      <c r="K248" s="113">
        <v>12.2493</v>
      </c>
      <c r="L248" s="113">
        <v>16.093</v>
      </c>
      <c r="M248" s="113">
        <v>11.520099999999999</v>
      </c>
      <c r="N248" s="113">
        <v>14.9198</v>
      </c>
      <c r="O248">
        <f>K248-M248</f>
        <v>0.72920000000000051</v>
      </c>
      <c r="P248">
        <f>L248-N248</f>
        <v>1.1731999999999996</v>
      </c>
    </row>
    <row r="249" spans="1:16" x14ac:dyDescent="0.25">
      <c r="C249" s="127" t="s">
        <v>344</v>
      </c>
      <c r="D249" s="127" t="s">
        <v>158</v>
      </c>
      <c r="E249" s="113">
        <v>545649.48</v>
      </c>
      <c r="F249" s="113">
        <v>545649.48</v>
      </c>
      <c r="G249" s="113">
        <v>12.2958</v>
      </c>
      <c r="H249" s="113">
        <v>15.9674</v>
      </c>
      <c r="I249" s="113">
        <v>545649.48</v>
      </c>
      <c r="J249" s="113">
        <v>545649.48</v>
      </c>
      <c r="K249" s="113">
        <v>12.2958</v>
      </c>
      <c r="L249" s="113">
        <v>15.9674</v>
      </c>
      <c r="M249" s="113">
        <v>11.5733</v>
      </c>
      <c r="N249" s="113">
        <v>14.925000000000001</v>
      </c>
      <c r="O249">
        <f t="shared" ref="O249:O250" si="22">K249-M249</f>
        <v>0.72250000000000014</v>
      </c>
      <c r="P249">
        <f t="shared" ref="P249:P250" si="23">L249-N249</f>
        <v>1.0423999999999989</v>
      </c>
    </row>
    <row r="250" spans="1:16" x14ac:dyDescent="0.25">
      <c r="C250" s="127" t="s">
        <v>345</v>
      </c>
      <c r="D250" s="127" t="s">
        <v>158</v>
      </c>
      <c r="E250" s="113">
        <v>545649.48</v>
      </c>
      <c r="F250" s="113">
        <v>545649.48</v>
      </c>
      <c r="G250" s="113">
        <v>12.2958</v>
      </c>
      <c r="H250" s="113">
        <v>15.9674</v>
      </c>
      <c r="I250" s="113">
        <v>1091298.95</v>
      </c>
      <c r="J250" s="113">
        <v>1091298.95</v>
      </c>
      <c r="K250" s="113">
        <v>12.2958</v>
      </c>
      <c r="L250" s="113">
        <v>15.9674</v>
      </c>
      <c r="M250" s="113">
        <v>11.560499999999999</v>
      </c>
      <c r="N250" s="113">
        <v>14.924300000000001</v>
      </c>
      <c r="O250">
        <f t="shared" si="22"/>
        <v>0.73530000000000051</v>
      </c>
      <c r="P250">
        <f t="shared" si="23"/>
        <v>1.043099999999999</v>
      </c>
    </row>
    <row r="251" spans="1:16" x14ac:dyDescent="0.25">
      <c r="C251" s="127" t="s">
        <v>346</v>
      </c>
      <c r="D251" s="127" t="s">
        <v>158</v>
      </c>
      <c r="E251" s="113">
        <v>545649.48</v>
      </c>
      <c r="F251" s="113">
        <v>545649.48</v>
      </c>
      <c r="G251" s="113">
        <v>12.2958</v>
      </c>
      <c r="H251" s="113">
        <v>15.9674</v>
      </c>
      <c r="I251" s="113">
        <v>1636948.43</v>
      </c>
      <c r="J251" s="113">
        <v>1636948.43</v>
      </c>
      <c r="K251" s="113">
        <v>12.2958</v>
      </c>
      <c r="L251" s="113">
        <v>15.9674</v>
      </c>
      <c r="M251" s="113">
        <v>11.543900000000001</v>
      </c>
      <c r="N251" s="113">
        <v>14.9229</v>
      </c>
      <c r="O251" s="113">
        <f t="shared" ref="O251:O252" si="24">K251-M251</f>
        <v>0.75189999999999912</v>
      </c>
      <c r="P251" s="113">
        <f t="shared" ref="P251:P252" si="25">L251-N251</f>
        <v>1.0444999999999993</v>
      </c>
    </row>
    <row r="252" spans="1:16" s="113" customFormat="1" x14ac:dyDescent="0.25">
      <c r="C252" s="127" t="s">
        <v>347</v>
      </c>
      <c r="D252" s="127" t="s">
        <v>342</v>
      </c>
      <c r="E252" s="113">
        <v>411519.3</v>
      </c>
      <c r="F252" s="113">
        <v>411519.3</v>
      </c>
      <c r="G252" s="113">
        <v>12.2906</v>
      </c>
      <c r="H252" s="113">
        <v>16.139099999999999</v>
      </c>
      <c r="I252" s="113">
        <v>411519.3</v>
      </c>
      <c r="J252" s="113">
        <v>411519.3</v>
      </c>
      <c r="K252" s="113">
        <v>12.2906</v>
      </c>
      <c r="L252" s="113">
        <v>16.139099999999999</v>
      </c>
      <c r="M252" s="113">
        <v>11.5869</v>
      </c>
      <c r="N252" s="113">
        <v>14.925599999999999</v>
      </c>
      <c r="O252" s="113">
        <f t="shared" si="24"/>
        <v>0.70369999999999955</v>
      </c>
      <c r="P252" s="113">
        <f t="shared" si="25"/>
        <v>1.2134999999999998</v>
      </c>
    </row>
    <row r="253" spans="1:16" s="113" customFormat="1" x14ac:dyDescent="0.25"/>
    <row r="255" spans="1:16" x14ac:dyDescent="0.25">
      <c r="A255" s="88" t="s">
        <v>204</v>
      </c>
      <c r="B255" s="88"/>
      <c r="C255" s="88"/>
      <c r="D255" s="88"/>
    </row>
    <row r="257" spans="3:18" ht="16.5" customHeight="1" x14ac:dyDescent="0.25">
      <c r="C257" s="109" t="s">
        <v>205</v>
      </c>
      <c r="D257" s="109" t="s">
        <v>206</v>
      </c>
      <c r="E257" s="109" t="s">
        <v>207</v>
      </c>
      <c r="F257" s="109" t="s">
        <v>208</v>
      </c>
      <c r="G257" s="109" t="s">
        <v>209</v>
      </c>
      <c r="H257" s="63" t="s">
        <v>210</v>
      </c>
      <c r="I257" s="63" t="s">
        <v>212</v>
      </c>
      <c r="J257" s="63" t="s">
        <v>213</v>
      </c>
      <c r="K257" s="63" t="s">
        <v>214</v>
      </c>
      <c r="L257" s="63" t="s">
        <v>216</v>
      </c>
      <c r="M257" s="63" t="s">
        <v>217</v>
      </c>
      <c r="N257" s="63" t="s">
        <v>218</v>
      </c>
      <c r="O257" s="63" t="s">
        <v>219</v>
      </c>
      <c r="P257" s="63" t="s">
        <v>220</v>
      </c>
    </row>
    <row r="258" spans="3:18" x14ac:dyDescent="0.25">
      <c r="C258" s="109"/>
      <c r="D258" s="109"/>
      <c r="E258" s="109"/>
      <c r="F258" s="109"/>
      <c r="G258" s="109"/>
      <c r="H258" s="63" t="s">
        <v>211</v>
      </c>
      <c r="I258" s="63" t="s">
        <v>211</v>
      </c>
      <c r="J258" s="63" t="s">
        <v>211</v>
      </c>
      <c r="K258" s="63" t="s">
        <v>215</v>
      </c>
      <c r="L258" s="63" t="s">
        <v>215</v>
      </c>
      <c r="M258" s="63" t="s">
        <v>215</v>
      </c>
      <c r="N258" s="63" t="s">
        <v>194</v>
      </c>
      <c r="O258" s="63" t="s">
        <v>194</v>
      </c>
      <c r="P258" s="63" t="s">
        <v>194</v>
      </c>
    </row>
    <row r="259" spans="3:18" ht="27.6" x14ac:dyDescent="0.25">
      <c r="C259" s="57" t="s">
        <v>222</v>
      </c>
      <c r="D259" s="57" t="s">
        <v>221</v>
      </c>
      <c r="E259" s="57" t="s">
        <v>223</v>
      </c>
      <c r="F259" s="57">
        <v>1</v>
      </c>
      <c r="G259" s="57"/>
      <c r="H259" s="57">
        <v>-63.003500000000003</v>
      </c>
      <c r="I259" s="57">
        <v>0</v>
      </c>
      <c r="J259" s="57">
        <v>0</v>
      </c>
      <c r="K259" s="57">
        <v>0</v>
      </c>
      <c r="L259" s="57">
        <v>-424.63380000000001</v>
      </c>
      <c r="M259" s="57">
        <v>314.57729999999998</v>
      </c>
      <c r="N259" s="57">
        <v>0</v>
      </c>
      <c r="O259" s="57">
        <v>0</v>
      </c>
      <c r="P259" s="57">
        <v>0</v>
      </c>
    </row>
    <row r="260" spans="3:18" ht="27.6" x14ac:dyDescent="0.25">
      <c r="C260" s="57" t="s">
        <v>222</v>
      </c>
      <c r="D260" s="57" t="s">
        <v>221</v>
      </c>
      <c r="E260" s="57" t="s">
        <v>223</v>
      </c>
      <c r="F260" s="57">
        <v>2</v>
      </c>
      <c r="G260" s="57"/>
      <c r="H260" s="57">
        <v>0</v>
      </c>
      <c r="I260" s="57">
        <v>-63.003500000000003</v>
      </c>
      <c r="J260" s="57">
        <v>0</v>
      </c>
      <c r="K260" s="57">
        <v>424.63380000000001</v>
      </c>
      <c r="L260" s="57">
        <v>0</v>
      </c>
      <c r="M260" s="57">
        <v>-565.34119999999996</v>
      </c>
      <c r="N260" s="57">
        <v>0</v>
      </c>
      <c r="O260" s="57">
        <v>0</v>
      </c>
      <c r="P260" s="57">
        <v>0</v>
      </c>
    </row>
    <row r="261" spans="3:18" ht="27.6" x14ac:dyDescent="0.25">
      <c r="C261" s="57" t="s">
        <v>222</v>
      </c>
      <c r="D261" s="57" t="s">
        <v>221</v>
      </c>
      <c r="E261" s="57" t="s">
        <v>223</v>
      </c>
      <c r="F261" s="57">
        <v>3</v>
      </c>
      <c r="G261" s="57"/>
      <c r="H261" s="57">
        <v>-63.003500000000003</v>
      </c>
      <c r="I261" s="57">
        <v>0</v>
      </c>
      <c r="J261" s="57">
        <v>0</v>
      </c>
      <c r="K261" s="57">
        <v>0</v>
      </c>
      <c r="L261" s="57">
        <v>-424.63380000000001</v>
      </c>
      <c r="M261" s="57">
        <v>346.07909999999998</v>
      </c>
      <c r="N261" s="57">
        <v>0</v>
      </c>
      <c r="O261" s="57">
        <v>0</v>
      </c>
      <c r="P261" s="57">
        <v>0</v>
      </c>
    </row>
    <row r="262" spans="3:18" ht="27.6" x14ac:dyDescent="0.25">
      <c r="C262" s="57" t="s">
        <v>222</v>
      </c>
      <c r="D262" s="57" t="s">
        <v>221</v>
      </c>
      <c r="E262" s="57" t="s">
        <v>223</v>
      </c>
      <c r="F262" s="57">
        <v>4</v>
      </c>
      <c r="G262" s="57"/>
      <c r="H262" s="57">
        <v>0</v>
      </c>
      <c r="I262" s="57">
        <v>-63.003500000000003</v>
      </c>
      <c r="J262" s="57">
        <v>0</v>
      </c>
      <c r="K262" s="57">
        <v>424.63380000000001</v>
      </c>
      <c r="L262" s="57">
        <v>0</v>
      </c>
      <c r="M262" s="57">
        <v>-622.0444</v>
      </c>
      <c r="N262" s="57">
        <v>0</v>
      </c>
      <c r="O262" s="57">
        <v>0</v>
      </c>
      <c r="P262" s="57">
        <v>0</v>
      </c>
    </row>
    <row r="263" spans="3:18" ht="27.6" x14ac:dyDescent="0.25">
      <c r="C263" s="57" t="s">
        <v>222</v>
      </c>
      <c r="D263" s="57" t="s">
        <v>221</v>
      </c>
      <c r="E263" s="57" t="s">
        <v>223</v>
      </c>
      <c r="F263" s="57">
        <v>5</v>
      </c>
      <c r="G263" s="57"/>
      <c r="H263" s="57">
        <v>-63.003500000000003</v>
      </c>
      <c r="I263" s="57">
        <v>0</v>
      </c>
      <c r="J263" s="57">
        <v>0</v>
      </c>
      <c r="K263" s="57">
        <v>0</v>
      </c>
      <c r="L263" s="57">
        <v>-424.63380000000001</v>
      </c>
      <c r="M263" s="57">
        <v>283.07560000000001</v>
      </c>
      <c r="N263" s="57">
        <v>0</v>
      </c>
      <c r="O263" s="57">
        <v>0</v>
      </c>
      <c r="P263" s="57">
        <v>0</v>
      </c>
    </row>
    <row r="264" spans="3:18" ht="27.6" x14ac:dyDescent="0.25">
      <c r="C264" s="57" t="s">
        <v>222</v>
      </c>
      <c r="D264" s="57" t="s">
        <v>221</v>
      </c>
      <c r="E264" s="57" t="s">
        <v>223</v>
      </c>
      <c r="F264" s="57">
        <v>6</v>
      </c>
      <c r="G264" s="57"/>
      <c r="H264" s="57">
        <v>0</v>
      </c>
      <c r="I264" s="57">
        <v>-63.003500000000003</v>
      </c>
      <c r="J264" s="57">
        <v>0</v>
      </c>
      <c r="K264" s="57">
        <v>424.63380000000001</v>
      </c>
      <c r="L264" s="57">
        <v>0</v>
      </c>
      <c r="M264" s="57">
        <v>-508.63810000000001</v>
      </c>
      <c r="N264" s="57">
        <v>0</v>
      </c>
      <c r="O264" s="57">
        <v>0</v>
      </c>
      <c r="P264" s="57">
        <v>0</v>
      </c>
    </row>
    <row r="265" spans="3:18" ht="27.6" x14ac:dyDescent="0.25">
      <c r="C265" s="57" t="s">
        <v>224</v>
      </c>
      <c r="D265" s="57" t="s">
        <v>225</v>
      </c>
      <c r="E265" s="57" t="s">
        <v>226</v>
      </c>
      <c r="F265" s="57"/>
      <c r="G265" s="57"/>
      <c r="H265" s="57">
        <v>54.459400000000002</v>
      </c>
      <c r="I265" s="57">
        <v>16.1694</v>
      </c>
      <c r="J265" s="57">
        <v>0</v>
      </c>
      <c r="K265" s="57">
        <v>108.4914</v>
      </c>
      <c r="L265" s="57">
        <v>363.66210000000001</v>
      </c>
      <c r="M265" s="57">
        <v>334.52280000000002</v>
      </c>
      <c r="N265" s="57">
        <v>0</v>
      </c>
      <c r="O265" s="57">
        <v>0</v>
      </c>
      <c r="P265" s="57">
        <v>0</v>
      </c>
    </row>
    <row r="266" spans="3:18" ht="27.6" x14ac:dyDescent="0.25">
      <c r="C266" s="57" t="s">
        <v>227</v>
      </c>
      <c r="D266" s="57" t="s">
        <v>225</v>
      </c>
      <c r="E266" s="57" t="s">
        <v>226</v>
      </c>
      <c r="F266" s="57"/>
      <c r="G266" s="57"/>
      <c r="H266" s="57">
        <v>16.337800000000001</v>
      </c>
      <c r="I266" s="57">
        <v>53.898099999999999</v>
      </c>
      <c r="J266" s="57">
        <v>0</v>
      </c>
      <c r="K266" s="57">
        <v>361.63799999999998</v>
      </c>
      <c r="L266" s="57">
        <v>109.0986</v>
      </c>
      <c r="M266" s="57">
        <v>537.02359999999999</v>
      </c>
      <c r="N266" s="57">
        <v>0</v>
      </c>
      <c r="O266" s="57">
        <v>0</v>
      </c>
      <c r="P266" s="57">
        <v>0</v>
      </c>
    </row>
    <row r="269" spans="3:18" ht="27.6" x14ac:dyDescent="0.25">
      <c r="C269" s="57" t="s">
        <v>228</v>
      </c>
      <c r="D269">
        <f>ABS(H259)</f>
        <v>63.003500000000003</v>
      </c>
      <c r="F269" t="s">
        <v>230</v>
      </c>
      <c r="G269">
        <f>ABS(H265)</f>
        <v>54.459400000000002</v>
      </c>
      <c r="I269" t="s">
        <v>232</v>
      </c>
      <c r="J269">
        <f>D269</f>
        <v>63.003500000000003</v>
      </c>
      <c r="L269" s="110" t="s">
        <v>234</v>
      </c>
      <c r="M269" s="110"/>
      <c r="N269" s="67">
        <f>J269/G269</f>
        <v>1.156889352435025</v>
      </c>
      <c r="Q269" t="s">
        <v>236</v>
      </c>
      <c r="R269" t="s">
        <v>237</v>
      </c>
    </row>
    <row r="270" spans="3:18" x14ac:dyDescent="0.25">
      <c r="C270" s="57" t="s">
        <v>229</v>
      </c>
      <c r="D270">
        <f>ABS(I260)</f>
        <v>63.003500000000003</v>
      </c>
      <c r="F270" t="s">
        <v>231</v>
      </c>
      <c r="G270">
        <f>ABS(I266)</f>
        <v>53.898099999999999</v>
      </c>
      <c r="I270" t="s">
        <v>233</v>
      </c>
      <c r="J270">
        <f>D270</f>
        <v>63.003500000000003</v>
      </c>
      <c r="L270" s="110" t="s">
        <v>235</v>
      </c>
      <c r="M270" s="110"/>
      <c r="N270" s="67">
        <f>J270/G270</f>
        <v>1.1689373094784419</v>
      </c>
    </row>
    <row r="277" spans="1:16" x14ac:dyDescent="0.25">
      <c r="A277" s="88" t="s">
        <v>238</v>
      </c>
      <c r="B277" s="88"/>
      <c r="C277" s="88"/>
      <c r="D277" s="88"/>
    </row>
    <row r="278" spans="1:16" x14ac:dyDescent="0.25">
      <c r="C278" s="109" t="s">
        <v>205</v>
      </c>
      <c r="D278" s="109" t="s">
        <v>206</v>
      </c>
      <c r="E278" s="109" t="s">
        <v>207</v>
      </c>
      <c r="F278" s="109" t="s">
        <v>208</v>
      </c>
      <c r="G278" s="109" t="s">
        <v>209</v>
      </c>
      <c r="H278" s="63" t="s">
        <v>210</v>
      </c>
      <c r="I278" s="63" t="s">
        <v>212</v>
      </c>
      <c r="J278" s="63" t="s">
        <v>213</v>
      </c>
      <c r="K278" s="63" t="s">
        <v>214</v>
      </c>
      <c r="L278" s="63" t="s">
        <v>216</v>
      </c>
      <c r="M278" s="63" t="s">
        <v>217</v>
      </c>
      <c r="N278" s="63" t="s">
        <v>218</v>
      </c>
      <c r="O278" s="63" t="s">
        <v>219</v>
      </c>
      <c r="P278" s="63" t="s">
        <v>220</v>
      </c>
    </row>
    <row r="279" spans="1:16" x14ac:dyDescent="0.25">
      <c r="C279" s="109"/>
      <c r="D279" s="109"/>
      <c r="E279" s="109"/>
      <c r="F279" s="109"/>
      <c r="G279" s="109"/>
      <c r="H279" s="63" t="s">
        <v>211</v>
      </c>
      <c r="I279" s="63" t="s">
        <v>211</v>
      </c>
      <c r="J279" s="63" t="s">
        <v>211</v>
      </c>
      <c r="K279" s="63" t="s">
        <v>215</v>
      </c>
      <c r="L279" s="63" t="s">
        <v>215</v>
      </c>
      <c r="M279" s="63" t="s">
        <v>215</v>
      </c>
      <c r="N279" s="63" t="s">
        <v>194</v>
      </c>
      <c r="O279" s="63" t="s">
        <v>194</v>
      </c>
      <c r="P279" s="63" t="s">
        <v>194</v>
      </c>
    </row>
    <row r="280" spans="1:16" ht="27.6" x14ac:dyDescent="0.25">
      <c r="C280" s="57" t="s">
        <v>222</v>
      </c>
      <c r="D280" s="57" t="s">
        <v>221</v>
      </c>
      <c r="E280" s="57" t="s">
        <v>223</v>
      </c>
      <c r="F280" s="57">
        <v>1</v>
      </c>
      <c r="G280" s="57"/>
      <c r="H280" s="57">
        <v>-63.003500000000003</v>
      </c>
      <c r="I280" s="57">
        <v>0</v>
      </c>
      <c r="J280" s="57">
        <v>0</v>
      </c>
      <c r="K280" s="57">
        <v>0</v>
      </c>
      <c r="L280" s="57">
        <v>-424.63380000000001</v>
      </c>
      <c r="M280" s="57">
        <v>314.57729999999998</v>
      </c>
      <c r="N280" s="57">
        <v>0</v>
      </c>
      <c r="O280" s="57">
        <v>0</v>
      </c>
      <c r="P280" s="57">
        <v>0</v>
      </c>
    </row>
    <row r="281" spans="1:16" ht="27.6" x14ac:dyDescent="0.25">
      <c r="C281" s="57" t="s">
        <v>222</v>
      </c>
      <c r="D281" s="57" t="s">
        <v>221</v>
      </c>
      <c r="E281" s="57" t="s">
        <v>223</v>
      </c>
      <c r="F281" s="57">
        <v>2</v>
      </c>
      <c r="G281" s="57"/>
      <c r="H281" s="57">
        <v>0</v>
      </c>
      <c r="I281" s="57">
        <v>-63.003500000000003</v>
      </c>
      <c r="J281" s="57">
        <v>0</v>
      </c>
      <c r="K281" s="57">
        <v>424.63380000000001</v>
      </c>
      <c r="L281" s="57">
        <v>0</v>
      </c>
      <c r="M281" s="57">
        <v>-565.34119999999996</v>
      </c>
      <c r="N281" s="57">
        <v>0</v>
      </c>
      <c r="O281" s="57">
        <v>0</v>
      </c>
      <c r="P281" s="57">
        <v>0</v>
      </c>
    </row>
    <row r="282" spans="1:16" ht="27.6" x14ac:dyDescent="0.25">
      <c r="C282" s="57" t="s">
        <v>222</v>
      </c>
      <c r="D282" s="57" t="s">
        <v>221</v>
      </c>
      <c r="E282" s="57" t="s">
        <v>223</v>
      </c>
      <c r="F282" s="57">
        <v>3</v>
      </c>
      <c r="G282" s="57"/>
      <c r="H282" s="57">
        <v>-63.003500000000003</v>
      </c>
      <c r="I282" s="57">
        <v>0</v>
      </c>
      <c r="J282" s="57">
        <v>0</v>
      </c>
      <c r="K282" s="57">
        <v>0</v>
      </c>
      <c r="L282" s="57">
        <v>-424.63380000000001</v>
      </c>
      <c r="M282" s="57">
        <v>346.07909999999998</v>
      </c>
      <c r="N282" s="57">
        <v>0</v>
      </c>
      <c r="O282" s="57">
        <v>0</v>
      </c>
      <c r="P282" s="57">
        <v>0</v>
      </c>
    </row>
    <row r="283" spans="1:16" ht="27.6" x14ac:dyDescent="0.25">
      <c r="C283" s="57" t="s">
        <v>222</v>
      </c>
      <c r="D283" s="57" t="s">
        <v>221</v>
      </c>
      <c r="E283" s="57" t="s">
        <v>223</v>
      </c>
      <c r="F283" s="57">
        <v>4</v>
      </c>
      <c r="G283" s="57"/>
      <c r="H283" s="57">
        <v>0</v>
      </c>
      <c r="I283" s="57">
        <v>-63.003500000000003</v>
      </c>
      <c r="J283" s="57">
        <v>0</v>
      </c>
      <c r="K283" s="57">
        <v>424.63380000000001</v>
      </c>
      <c r="L283" s="57">
        <v>0</v>
      </c>
      <c r="M283" s="57">
        <v>-622.0444</v>
      </c>
      <c r="N283" s="57">
        <v>0</v>
      </c>
      <c r="O283" s="57">
        <v>0</v>
      </c>
      <c r="P283" s="57">
        <v>0</v>
      </c>
    </row>
    <row r="284" spans="1:16" ht="27.6" x14ac:dyDescent="0.25">
      <c r="C284" s="57" t="s">
        <v>222</v>
      </c>
      <c r="D284" s="57" t="s">
        <v>221</v>
      </c>
      <c r="E284" s="57" t="s">
        <v>223</v>
      </c>
      <c r="F284" s="57">
        <v>5</v>
      </c>
      <c r="G284" s="57"/>
      <c r="H284" s="57">
        <v>-63.003500000000003</v>
      </c>
      <c r="I284" s="57">
        <v>0</v>
      </c>
      <c r="J284" s="57">
        <v>0</v>
      </c>
      <c r="K284" s="57">
        <v>0</v>
      </c>
      <c r="L284" s="57">
        <v>-424.63380000000001</v>
      </c>
      <c r="M284" s="57">
        <v>283.07560000000001</v>
      </c>
      <c r="N284" s="57">
        <v>0</v>
      </c>
      <c r="O284" s="57">
        <v>0</v>
      </c>
      <c r="P284" s="57">
        <v>0</v>
      </c>
    </row>
    <row r="285" spans="1:16" ht="27.6" x14ac:dyDescent="0.25">
      <c r="C285" s="57" t="s">
        <v>222</v>
      </c>
      <c r="D285" s="57" t="s">
        <v>221</v>
      </c>
      <c r="E285" s="57" t="s">
        <v>223</v>
      </c>
      <c r="F285" s="57">
        <v>6</v>
      </c>
      <c r="G285" s="57"/>
      <c r="H285" s="57">
        <v>0</v>
      </c>
      <c r="I285" s="57">
        <v>-63.003500000000003</v>
      </c>
      <c r="J285" s="57">
        <v>0</v>
      </c>
      <c r="K285" s="57">
        <v>424.63380000000001</v>
      </c>
      <c r="L285" s="57">
        <v>0</v>
      </c>
      <c r="M285" s="57">
        <v>-508.63810000000001</v>
      </c>
      <c r="N285" s="57">
        <v>0</v>
      </c>
      <c r="O285" s="57">
        <v>0</v>
      </c>
      <c r="P285" s="57">
        <v>0</v>
      </c>
    </row>
    <row r="286" spans="1:16" ht="27.6" x14ac:dyDescent="0.25">
      <c r="C286" s="57" t="s">
        <v>224</v>
      </c>
      <c r="D286" s="57" t="s">
        <v>225</v>
      </c>
      <c r="E286" s="57" t="s">
        <v>226</v>
      </c>
      <c r="F286" s="57"/>
      <c r="G286" s="57"/>
      <c r="H286" s="57">
        <v>53.688299999999998</v>
      </c>
      <c r="I286" s="57">
        <v>16.0183</v>
      </c>
      <c r="J286" s="57">
        <v>0</v>
      </c>
      <c r="K286" s="57">
        <v>108.4914</v>
      </c>
      <c r="L286" s="57">
        <v>363.66210000000001</v>
      </c>
      <c r="M286" s="57">
        <v>334.52280000000002</v>
      </c>
      <c r="N286" s="57">
        <v>0</v>
      </c>
      <c r="O286" s="57">
        <v>0</v>
      </c>
      <c r="P286" s="57">
        <v>0</v>
      </c>
    </row>
    <row r="287" spans="1:16" ht="27.6" x14ac:dyDescent="0.25">
      <c r="C287" s="57" t="s">
        <v>227</v>
      </c>
      <c r="D287" s="57" t="s">
        <v>225</v>
      </c>
      <c r="E287" s="57" t="s">
        <v>226</v>
      </c>
      <c r="F287" s="57"/>
      <c r="G287" s="57"/>
      <c r="H287" s="57">
        <v>16.1065</v>
      </c>
      <c r="I287" s="57">
        <v>53.394399999999997</v>
      </c>
      <c r="J287" s="57">
        <v>0</v>
      </c>
      <c r="K287" s="57">
        <v>361.63799999999998</v>
      </c>
      <c r="L287" s="57">
        <v>109.0986</v>
      </c>
      <c r="M287" s="57">
        <v>537.02359999999999</v>
      </c>
      <c r="N287" s="57">
        <v>0</v>
      </c>
      <c r="O287" s="57">
        <v>0</v>
      </c>
      <c r="P287" s="57">
        <v>0</v>
      </c>
    </row>
    <row r="290" spans="3:18" ht="27.6" x14ac:dyDescent="0.25">
      <c r="C290" s="57" t="s">
        <v>228</v>
      </c>
      <c r="D290">
        <f>ABS(H280)</f>
        <v>63.003500000000003</v>
      </c>
      <c r="F290" t="s">
        <v>230</v>
      </c>
      <c r="G290">
        <f>ABS(H286)</f>
        <v>53.688299999999998</v>
      </c>
      <c r="I290" t="s">
        <v>232</v>
      </c>
      <c r="J290">
        <f>D290</f>
        <v>63.003500000000003</v>
      </c>
      <c r="L290" s="110" t="s">
        <v>234</v>
      </c>
      <c r="M290" s="110"/>
      <c r="N290" s="67">
        <f>J290/G290</f>
        <v>1.1735052143576907</v>
      </c>
      <c r="Q290" t="s">
        <v>236</v>
      </c>
      <c r="R290" t="s">
        <v>237</v>
      </c>
    </row>
    <row r="291" spans="3:18" x14ac:dyDescent="0.25">
      <c r="C291" s="57" t="s">
        <v>229</v>
      </c>
      <c r="D291">
        <f>ABS(I281)</f>
        <v>63.003500000000003</v>
      </c>
      <c r="F291" t="s">
        <v>231</v>
      </c>
      <c r="G291">
        <f>ABS(I287)</f>
        <v>53.394399999999997</v>
      </c>
      <c r="I291" t="s">
        <v>233</v>
      </c>
      <c r="J291">
        <f>D291</f>
        <v>63.003500000000003</v>
      </c>
      <c r="L291" s="110" t="s">
        <v>235</v>
      </c>
      <c r="M291" s="110"/>
      <c r="N291" s="67">
        <f>J291/G291</f>
        <v>1.1799645655724196</v>
      </c>
    </row>
    <row r="308" spans="2:15" x14ac:dyDescent="0.25">
      <c r="C308" s="91" t="s">
        <v>256</v>
      </c>
      <c r="D308" s="91"/>
      <c r="E308" s="91"/>
    </row>
    <row r="309" spans="2:15" ht="16.5" customHeight="1" x14ac:dyDescent="0.25">
      <c r="B309" s="109" t="s">
        <v>150</v>
      </c>
      <c r="C309" s="109" t="s">
        <v>239</v>
      </c>
      <c r="D309" s="109" t="s">
        <v>240</v>
      </c>
      <c r="E309" s="109" t="s">
        <v>205</v>
      </c>
      <c r="F309" s="109" t="s">
        <v>206</v>
      </c>
      <c r="G309" s="109" t="s">
        <v>207</v>
      </c>
      <c r="H309" s="109" t="s">
        <v>208</v>
      </c>
      <c r="I309" s="109" t="s">
        <v>209</v>
      </c>
      <c r="J309" s="63" t="s">
        <v>241</v>
      </c>
      <c r="K309" s="63" t="s">
        <v>243</v>
      </c>
      <c r="L309" s="63" t="s">
        <v>244</v>
      </c>
      <c r="M309" s="63" t="s">
        <v>245</v>
      </c>
      <c r="N309" s="63" t="s">
        <v>247</v>
      </c>
      <c r="O309" s="63" t="s">
        <v>248</v>
      </c>
    </row>
    <row r="310" spans="2:15" x14ac:dyDescent="0.25">
      <c r="B310" s="109"/>
      <c r="C310" s="109"/>
      <c r="D310" s="109"/>
      <c r="E310" s="109"/>
      <c r="F310" s="109"/>
      <c r="G310" s="109"/>
      <c r="H310" s="109"/>
      <c r="I310" s="109"/>
      <c r="J310" s="63" t="s">
        <v>242</v>
      </c>
      <c r="K310" s="63" t="s">
        <v>242</v>
      </c>
      <c r="L310" s="63" t="s">
        <v>242</v>
      </c>
      <c r="M310" s="63" t="s">
        <v>246</v>
      </c>
      <c r="N310" s="63" t="s">
        <v>246</v>
      </c>
      <c r="O310" s="63" t="s">
        <v>246</v>
      </c>
    </row>
    <row r="311" spans="2:15" ht="27.6" x14ac:dyDescent="0.25">
      <c r="B311" s="57" t="s">
        <v>157</v>
      </c>
      <c r="C311" s="57">
        <v>13</v>
      </c>
      <c r="D311" s="57">
        <v>49</v>
      </c>
      <c r="E311" s="57" t="s">
        <v>224</v>
      </c>
      <c r="F311" s="57" t="s">
        <v>225</v>
      </c>
      <c r="G311" s="57" t="s">
        <v>226</v>
      </c>
      <c r="H311" s="57"/>
      <c r="I311" s="57"/>
      <c r="J311" s="59">
        <v>1.3819999999999999</v>
      </c>
      <c r="K311" s="59">
        <v>0.45429999999999998</v>
      </c>
      <c r="L311" s="57">
        <v>0</v>
      </c>
      <c r="M311" s="57">
        <v>0</v>
      </c>
      <c r="N311" s="57">
        <v>0</v>
      </c>
      <c r="O311" s="57">
        <v>1.3200000000000001E-4</v>
      </c>
    </row>
    <row r="312" spans="2:15" ht="27.6" x14ac:dyDescent="0.25">
      <c r="B312" s="57" t="s">
        <v>157</v>
      </c>
      <c r="C312" s="57">
        <v>13</v>
      </c>
      <c r="D312" s="57">
        <v>49</v>
      </c>
      <c r="E312" s="57" t="s">
        <v>227</v>
      </c>
      <c r="F312" s="57" t="s">
        <v>225</v>
      </c>
      <c r="G312" s="57" t="s">
        <v>226</v>
      </c>
      <c r="H312" s="57"/>
      <c r="I312" s="57"/>
      <c r="J312" s="59">
        <v>0.41670000000000001</v>
      </c>
      <c r="K312" s="59">
        <v>1.522</v>
      </c>
      <c r="L312" s="57">
        <v>0</v>
      </c>
      <c r="M312" s="57">
        <v>0</v>
      </c>
      <c r="N312" s="57">
        <v>0</v>
      </c>
      <c r="O312" s="57">
        <v>2.42E-4</v>
      </c>
    </row>
    <row r="313" spans="2:15" ht="27.6" x14ac:dyDescent="0.25">
      <c r="B313" s="57" t="s">
        <v>156</v>
      </c>
      <c r="C313" s="57">
        <v>14</v>
      </c>
      <c r="D313" s="57">
        <v>50</v>
      </c>
      <c r="E313" s="57" t="s">
        <v>224</v>
      </c>
      <c r="F313" s="57" t="s">
        <v>225</v>
      </c>
      <c r="G313" s="57" t="s">
        <v>226</v>
      </c>
      <c r="H313" s="57"/>
      <c r="I313" s="57"/>
      <c r="J313" s="59">
        <v>0.99590000000000001</v>
      </c>
      <c r="K313" s="59">
        <v>0.32379999999999998</v>
      </c>
      <c r="L313" s="57">
        <v>0</v>
      </c>
      <c r="M313" s="57">
        <v>0</v>
      </c>
      <c r="N313" s="57">
        <v>0</v>
      </c>
      <c r="O313" s="64">
        <v>9.3999999999999994E-5</v>
      </c>
    </row>
    <row r="314" spans="2:15" ht="27.6" x14ac:dyDescent="0.25">
      <c r="B314" s="57" t="s">
        <v>156</v>
      </c>
      <c r="C314" s="57">
        <v>14</v>
      </c>
      <c r="D314" s="57">
        <v>50</v>
      </c>
      <c r="E314" s="57" t="s">
        <v>227</v>
      </c>
      <c r="F314" s="57" t="s">
        <v>225</v>
      </c>
      <c r="G314" s="57" t="s">
        <v>226</v>
      </c>
      <c r="H314" s="57"/>
      <c r="I314" s="57"/>
      <c r="J314" s="59">
        <v>0.30049999999999999</v>
      </c>
      <c r="K314" s="59">
        <v>1.0841000000000001</v>
      </c>
      <c r="L314" s="57">
        <v>0</v>
      </c>
      <c r="M314" s="57">
        <v>0</v>
      </c>
      <c r="N314" s="57">
        <v>0</v>
      </c>
      <c r="O314" s="57">
        <v>1.7200000000000001E-4</v>
      </c>
    </row>
    <row r="315" spans="2:15" ht="27.6" x14ac:dyDescent="0.25">
      <c r="B315" s="57" t="s">
        <v>154</v>
      </c>
      <c r="C315" s="57">
        <v>15</v>
      </c>
      <c r="D315" s="57">
        <v>51</v>
      </c>
      <c r="E315" s="57" t="s">
        <v>224</v>
      </c>
      <c r="F315" s="57" t="s">
        <v>225</v>
      </c>
      <c r="G315" s="57" t="s">
        <v>226</v>
      </c>
      <c r="H315" s="57"/>
      <c r="I315" s="57"/>
      <c r="J315" s="59">
        <v>0.41889999999999999</v>
      </c>
      <c r="K315" s="59">
        <v>0.13400000000000001</v>
      </c>
      <c r="L315" s="57">
        <v>0</v>
      </c>
      <c r="M315" s="57">
        <v>0</v>
      </c>
      <c r="N315" s="57">
        <v>0</v>
      </c>
      <c r="O315" s="64">
        <v>3.8999999999999999E-5</v>
      </c>
    </row>
    <row r="316" spans="2:15" ht="27.6" x14ac:dyDescent="0.25">
      <c r="B316" s="57" t="s">
        <v>154</v>
      </c>
      <c r="C316" s="57">
        <v>15</v>
      </c>
      <c r="D316" s="57">
        <v>51</v>
      </c>
      <c r="E316" s="57" t="s">
        <v>227</v>
      </c>
      <c r="F316" s="57" t="s">
        <v>225</v>
      </c>
      <c r="G316" s="57" t="s">
        <v>226</v>
      </c>
      <c r="H316" s="57"/>
      <c r="I316" s="57"/>
      <c r="J316" s="59">
        <v>0.12640000000000001</v>
      </c>
      <c r="K316" s="59">
        <v>0.44879999999999998</v>
      </c>
      <c r="L316" s="57">
        <v>0</v>
      </c>
      <c r="M316" s="57">
        <v>0</v>
      </c>
      <c r="N316" s="57">
        <v>0</v>
      </c>
      <c r="O316" s="64">
        <v>7.1000000000000005E-5</v>
      </c>
    </row>
    <row r="319" spans="2:15" x14ac:dyDescent="0.25">
      <c r="F319" s="62" t="s">
        <v>249</v>
      </c>
      <c r="G319" s="68">
        <v>5.5</v>
      </c>
    </row>
    <row r="320" spans="2:15" x14ac:dyDescent="0.25">
      <c r="F320" s="62"/>
      <c r="G320" s="69"/>
    </row>
    <row r="321" spans="3:14" x14ac:dyDescent="0.25">
      <c r="E321" s="88" t="s">
        <v>253</v>
      </c>
      <c r="F321" s="88"/>
      <c r="G321" s="88" t="s">
        <v>259</v>
      </c>
      <c r="H321" s="88"/>
      <c r="I321" s="88" t="s">
        <v>260</v>
      </c>
      <c r="J321" s="88"/>
      <c r="K321" s="88" t="s">
        <v>265</v>
      </c>
      <c r="L321" s="88"/>
    </row>
    <row r="322" spans="3:14" x14ac:dyDescent="0.25">
      <c r="C322" s="46" t="s">
        <v>250</v>
      </c>
      <c r="D322" s="46" t="s">
        <v>252</v>
      </c>
      <c r="E322" s="46" t="s">
        <v>254</v>
      </c>
      <c r="F322" s="46" t="s">
        <v>255</v>
      </c>
      <c r="G322" s="46" t="s">
        <v>257</v>
      </c>
      <c r="H322" s="46" t="s">
        <v>258</v>
      </c>
      <c r="I322" s="46" t="s">
        <v>261</v>
      </c>
      <c r="J322" s="46" t="s">
        <v>262</v>
      </c>
      <c r="K322" s="46" t="s">
        <v>263</v>
      </c>
      <c r="L322" s="46" t="s">
        <v>264</v>
      </c>
      <c r="M322" s="46" t="s">
        <v>266</v>
      </c>
      <c r="N322" s="46" t="s">
        <v>267</v>
      </c>
    </row>
    <row r="323" spans="3:14" x14ac:dyDescent="0.25">
      <c r="C323" s="11">
        <v>3</v>
      </c>
      <c r="D323" s="14">
        <v>9</v>
      </c>
      <c r="E323" s="70">
        <f>J311</f>
        <v>1.3819999999999999</v>
      </c>
      <c r="F323" s="70">
        <f>K312</f>
        <v>1.522</v>
      </c>
      <c r="G323" s="70">
        <f>E323*$G$319</f>
        <v>7.6009999999999991</v>
      </c>
      <c r="H323" s="70">
        <f>F323*$G$319</f>
        <v>8.3710000000000004</v>
      </c>
      <c r="I323" s="70">
        <f>G323-G324</f>
        <v>2.1235499999999989</v>
      </c>
      <c r="J323" s="70">
        <f>H323-H324</f>
        <v>2.4084500000000002</v>
      </c>
      <c r="K323" s="11">
        <f>I323/300</f>
        <v>7.0784999999999963E-3</v>
      </c>
      <c r="L323" s="11">
        <f>J323/300</f>
        <v>8.0281666666666678E-3</v>
      </c>
      <c r="M323" s="11">
        <v>0.02</v>
      </c>
      <c r="N323" s="70">
        <f>M323*300</f>
        <v>6</v>
      </c>
    </row>
    <row r="324" spans="3:14" x14ac:dyDescent="0.25">
      <c r="C324" s="11">
        <v>2</v>
      </c>
      <c r="D324" s="14">
        <v>6</v>
      </c>
      <c r="E324" s="70">
        <f>J313</f>
        <v>0.99590000000000001</v>
      </c>
      <c r="F324" s="70">
        <f>K314</f>
        <v>1.0841000000000001</v>
      </c>
      <c r="G324" s="70">
        <f t="shared" ref="G324:G326" si="26">E324*$G$319</f>
        <v>5.4774500000000002</v>
      </c>
      <c r="H324" s="70">
        <f t="shared" ref="H324:H326" si="27">F324*$G$319</f>
        <v>5.9625500000000002</v>
      </c>
      <c r="I324" s="70">
        <f>G324-G325</f>
        <v>3.1735000000000002</v>
      </c>
      <c r="J324" s="70">
        <f t="shared" ref="J324:J326" si="28">H324-H325</f>
        <v>3.4941500000000003</v>
      </c>
      <c r="K324" s="11">
        <f t="shared" ref="K324:K326" si="29">I324/300</f>
        <v>1.0578333333333334E-2</v>
      </c>
      <c r="L324" s="11">
        <f t="shared" ref="L324:L326" si="30">J324/300</f>
        <v>1.1647166666666669E-2</v>
      </c>
      <c r="M324" s="11">
        <v>0.02</v>
      </c>
      <c r="N324" s="70">
        <f t="shared" ref="N324:N326" si="31">M324*300</f>
        <v>6</v>
      </c>
    </row>
    <row r="325" spans="3:14" x14ac:dyDescent="0.25">
      <c r="C325" s="11">
        <v>1</v>
      </c>
      <c r="D325" s="14">
        <v>3</v>
      </c>
      <c r="E325" s="70">
        <f>J315</f>
        <v>0.41889999999999999</v>
      </c>
      <c r="F325" s="70">
        <f>K316</f>
        <v>0.44879999999999998</v>
      </c>
      <c r="G325" s="70">
        <f t="shared" si="26"/>
        <v>2.3039499999999999</v>
      </c>
      <c r="H325" s="70">
        <f t="shared" si="27"/>
        <v>2.4683999999999999</v>
      </c>
      <c r="I325" s="70">
        <f t="shared" ref="I325:I326" si="32">G325-G326</f>
        <v>2.3039499999999999</v>
      </c>
      <c r="J325" s="70">
        <f t="shared" si="28"/>
        <v>2.4683999999999999</v>
      </c>
      <c r="K325" s="11">
        <f t="shared" si="29"/>
        <v>7.6798333333333328E-3</v>
      </c>
      <c r="L325" s="11">
        <f t="shared" si="30"/>
        <v>8.2279999999999992E-3</v>
      </c>
      <c r="M325" s="11">
        <v>0.02</v>
      </c>
      <c r="N325" s="70">
        <f t="shared" si="31"/>
        <v>6</v>
      </c>
    </row>
    <row r="326" spans="3:14" x14ac:dyDescent="0.25">
      <c r="C326" s="11" t="s">
        <v>251</v>
      </c>
      <c r="D326" s="14">
        <v>0</v>
      </c>
      <c r="E326" s="70">
        <v>0</v>
      </c>
      <c r="F326" s="70">
        <v>0</v>
      </c>
      <c r="G326" s="70">
        <f t="shared" si="26"/>
        <v>0</v>
      </c>
      <c r="H326" s="70">
        <f t="shared" si="27"/>
        <v>0</v>
      </c>
      <c r="I326" s="70">
        <f t="shared" si="32"/>
        <v>0</v>
      </c>
      <c r="J326" s="70">
        <f t="shared" si="28"/>
        <v>0</v>
      </c>
      <c r="K326" s="11">
        <f t="shared" si="29"/>
        <v>0</v>
      </c>
      <c r="L326" s="11">
        <f t="shared" si="30"/>
        <v>0</v>
      </c>
      <c r="M326" s="11">
        <v>0.02</v>
      </c>
      <c r="N326" s="70">
        <f t="shared" si="31"/>
        <v>6</v>
      </c>
    </row>
  </sheetData>
  <mergeCells count="92">
    <mergeCell ref="L55:M55"/>
    <mergeCell ref="L58:M58"/>
    <mergeCell ref="L57:M57"/>
    <mergeCell ref="E321:F321"/>
    <mergeCell ref="C308:E308"/>
    <mergeCell ref="G321:H321"/>
    <mergeCell ref="I321:J321"/>
    <mergeCell ref="K321:L321"/>
    <mergeCell ref="L290:M290"/>
    <mergeCell ref="L291:M291"/>
    <mergeCell ref="A277:D277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L269:M269"/>
    <mergeCell ref="L270:M270"/>
    <mergeCell ref="C278:C279"/>
    <mergeCell ref="D278:D279"/>
    <mergeCell ref="E278:E279"/>
    <mergeCell ref="F278:F279"/>
    <mergeCell ref="G278:G279"/>
    <mergeCell ref="C257:C258"/>
    <mergeCell ref="D257:D258"/>
    <mergeCell ref="E257:E258"/>
    <mergeCell ref="F257:F258"/>
    <mergeCell ref="G257:G258"/>
    <mergeCell ref="A244:D244"/>
    <mergeCell ref="C246:C247"/>
    <mergeCell ref="D246:D247"/>
    <mergeCell ref="A255:D255"/>
    <mergeCell ref="M230:M231"/>
    <mergeCell ref="N230:N231"/>
    <mergeCell ref="O230:O231"/>
    <mergeCell ref="P230:P231"/>
    <mergeCell ref="Q230:Q231"/>
    <mergeCell ref="H230:H231"/>
    <mergeCell ref="I230:I231"/>
    <mergeCell ref="J230:J231"/>
    <mergeCell ref="K230:K231"/>
    <mergeCell ref="L230:L231"/>
    <mergeCell ref="A228:B228"/>
    <mergeCell ref="C230:C231"/>
    <mergeCell ref="D230:D231"/>
    <mergeCell ref="F230:F231"/>
    <mergeCell ref="G230:G231"/>
    <mergeCell ref="F196:F197"/>
    <mergeCell ref="G196:G197"/>
    <mergeCell ref="H196:H197"/>
    <mergeCell ref="I196:I197"/>
    <mergeCell ref="A194:B194"/>
    <mergeCell ref="B196:B197"/>
    <mergeCell ref="C196:C197"/>
    <mergeCell ref="E196:E197"/>
    <mergeCell ref="C195:E195"/>
    <mergeCell ref="A15:B15"/>
    <mergeCell ref="A17:B17"/>
    <mergeCell ref="A18:B18"/>
    <mergeCell ref="A170:B170"/>
    <mergeCell ref="A64:D64"/>
    <mergeCell ref="A4:B4"/>
    <mergeCell ref="A5:B5"/>
    <mergeCell ref="A6:B6"/>
    <mergeCell ref="A7:B7"/>
    <mergeCell ref="A8:B8"/>
    <mergeCell ref="C184:D184"/>
    <mergeCell ref="D177:E177"/>
    <mergeCell ref="A10:B10"/>
    <mergeCell ref="A9:B9"/>
    <mergeCell ref="A22:C22"/>
    <mergeCell ref="A57:C57"/>
    <mergeCell ref="A33:D33"/>
    <mergeCell ref="A40:C40"/>
    <mergeCell ref="A44:B44"/>
    <mergeCell ref="A54:B54"/>
    <mergeCell ref="C54:E54"/>
    <mergeCell ref="A179:B179"/>
    <mergeCell ref="E24:F24"/>
    <mergeCell ref="A29:B29"/>
    <mergeCell ref="A12:B12"/>
    <mergeCell ref="A14:B14"/>
    <mergeCell ref="H212:H213"/>
    <mergeCell ref="I212:I213"/>
    <mergeCell ref="B212:B213"/>
    <mergeCell ref="C212:C213"/>
    <mergeCell ref="E212:E213"/>
    <mergeCell ref="F212:F213"/>
    <mergeCell ref="G212:G21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D8A4-EC37-474C-9F74-F8B41F6395C1}">
  <dimension ref="A4:N72"/>
  <sheetViews>
    <sheetView topLeftCell="A34" workbookViewId="0">
      <selection activeCell="B7" sqref="B7"/>
    </sheetView>
  </sheetViews>
  <sheetFormatPr baseColWidth="10" defaultRowHeight="13.8" x14ac:dyDescent="0.25"/>
  <cols>
    <col min="1" max="1" width="17.625" customWidth="1"/>
  </cols>
  <sheetData>
    <row r="4" spans="1:12" x14ac:dyDescent="0.25">
      <c r="A4" s="99" t="s">
        <v>273</v>
      </c>
      <c r="B4" s="99"/>
    </row>
    <row r="6" spans="1:12" x14ac:dyDescent="0.25">
      <c r="A6" t="s">
        <v>298</v>
      </c>
      <c r="B6" s="80">
        <v>50</v>
      </c>
    </row>
    <row r="7" spans="1:12" x14ac:dyDescent="0.25">
      <c r="A7" t="s">
        <v>300</v>
      </c>
      <c r="B7" s="80">
        <v>35</v>
      </c>
    </row>
    <row r="9" spans="1:12" x14ac:dyDescent="0.25">
      <c r="A9" s="94" t="s">
        <v>320</v>
      </c>
      <c r="B9" s="94"/>
      <c r="C9" s="90" t="s">
        <v>282</v>
      </c>
      <c r="D9" s="90"/>
      <c r="E9" s="90"/>
      <c r="F9" s="90"/>
      <c r="G9" s="90"/>
      <c r="H9" s="90"/>
    </row>
    <row r="10" spans="1:12" x14ac:dyDescent="0.25">
      <c r="A10" s="19" t="s">
        <v>279</v>
      </c>
      <c r="B10" s="74">
        <v>14.34</v>
      </c>
      <c r="K10" s="46" t="s">
        <v>275</v>
      </c>
      <c r="L10" s="46" t="s">
        <v>276</v>
      </c>
    </row>
    <row r="11" spans="1:12" x14ac:dyDescent="0.25">
      <c r="A11" s="19" t="s">
        <v>280</v>
      </c>
      <c r="B11" s="74">
        <f>B10/2</f>
        <v>7.17</v>
      </c>
      <c r="F11" t="s">
        <v>277</v>
      </c>
      <c r="G11" s="90" t="s">
        <v>283</v>
      </c>
      <c r="H11" s="90"/>
      <c r="K11" s="11"/>
      <c r="L11" s="11"/>
    </row>
    <row r="12" spans="1:12" x14ac:dyDescent="0.25">
      <c r="A12" s="19" t="s">
        <v>281</v>
      </c>
      <c r="B12" s="74">
        <v>7.7</v>
      </c>
      <c r="K12" s="11">
        <v>3</v>
      </c>
      <c r="L12" s="73">
        <v>0.71</v>
      </c>
    </row>
    <row r="13" spans="1:12" x14ac:dyDescent="0.25">
      <c r="A13" s="19" t="s">
        <v>274</v>
      </c>
      <c r="B13" s="78">
        <f>B12/L15</f>
        <v>2.7017543859649122</v>
      </c>
      <c r="C13" t="s">
        <v>284</v>
      </c>
      <c r="D13" s="76">
        <v>3</v>
      </c>
      <c r="F13" s="75"/>
      <c r="K13" s="11">
        <v>4</v>
      </c>
      <c r="L13" s="73">
        <v>1.27</v>
      </c>
    </row>
    <row r="14" spans="1:12" x14ac:dyDescent="0.25">
      <c r="A14" s="19" t="s">
        <v>286</v>
      </c>
      <c r="B14" s="74">
        <f>3*L15</f>
        <v>8.5500000000000007</v>
      </c>
      <c r="D14" s="77">
        <v>3</v>
      </c>
      <c r="K14" s="11">
        <v>5</v>
      </c>
      <c r="L14" s="73">
        <v>1.99</v>
      </c>
    </row>
    <row r="15" spans="1:12" x14ac:dyDescent="0.25">
      <c r="K15" s="11">
        <v>6</v>
      </c>
      <c r="L15" s="73">
        <v>2.85</v>
      </c>
    </row>
    <row r="16" spans="1:12" x14ac:dyDescent="0.25">
      <c r="K16" s="11">
        <v>7</v>
      </c>
      <c r="L16" s="73">
        <v>3.88</v>
      </c>
    </row>
    <row r="17" spans="1:13" x14ac:dyDescent="0.25">
      <c r="K17" s="11">
        <v>8</v>
      </c>
      <c r="L17" s="73">
        <v>5.0999999999999996</v>
      </c>
    </row>
    <row r="18" spans="1:13" x14ac:dyDescent="0.25">
      <c r="A18" s="94" t="s">
        <v>321</v>
      </c>
      <c r="B18" s="94"/>
      <c r="K18" s="11">
        <v>10</v>
      </c>
      <c r="L18" s="73">
        <v>8.19</v>
      </c>
    </row>
    <row r="19" spans="1:13" x14ac:dyDescent="0.25">
      <c r="A19" s="90" t="s">
        <v>285</v>
      </c>
      <c r="B19" s="90"/>
      <c r="C19" s="90"/>
      <c r="D19" s="90"/>
    </row>
    <row r="21" spans="1:13" x14ac:dyDescent="0.25">
      <c r="A21" s="19" t="s">
        <v>287</v>
      </c>
      <c r="B21" s="74">
        <f>B10-B14</f>
        <v>5.7899999999999991</v>
      </c>
      <c r="F21" t="s">
        <v>277</v>
      </c>
      <c r="G21" s="90" t="s">
        <v>288</v>
      </c>
      <c r="H21" s="90"/>
    </row>
    <row r="22" spans="1:13" x14ac:dyDescent="0.25">
      <c r="A22" s="19" t="s">
        <v>274</v>
      </c>
      <c r="B22" s="79">
        <f>B21/L15</f>
        <v>2.0315789473684207</v>
      </c>
      <c r="C22" t="s">
        <v>284</v>
      </c>
      <c r="D22" s="76">
        <v>2</v>
      </c>
    </row>
    <row r="24" spans="1:13" x14ac:dyDescent="0.25">
      <c r="A24" s="19" t="s">
        <v>299</v>
      </c>
      <c r="B24" s="80">
        <v>525</v>
      </c>
    </row>
    <row r="25" spans="1:13" x14ac:dyDescent="0.25">
      <c r="A25" s="19" t="s">
        <v>289</v>
      </c>
      <c r="B25" s="81">
        <f>B24/4</f>
        <v>131.25</v>
      </c>
    </row>
    <row r="28" spans="1:13" x14ac:dyDescent="0.25">
      <c r="A28" s="41" t="s">
        <v>290</v>
      </c>
      <c r="B28" s="41"/>
    </row>
    <row r="29" spans="1:13" x14ac:dyDescent="0.25">
      <c r="A29" t="s">
        <v>291</v>
      </c>
    </row>
    <row r="30" spans="1:13" x14ac:dyDescent="0.25">
      <c r="E30" s="90" t="s">
        <v>301</v>
      </c>
      <c r="F30" s="90"/>
      <c r="G30" s="90"/>
      <c r="H30" s="90"/>
      <c r="I30" s="90"/>
      <c r="J30" s="90"/>
      <c r="K30" s="90"/>
      <c r="L30" s="90"/>
      <c r="M30" s="90"/>
    </row>
    <row r="31" spans="1:13" x14ac:dyDescent="0.25">
      <c r="A31" s="19" t="s">
        <v>292</v>
      </c>
      <c r="B31" s="82">
        <v>0.20630000000000001</v>
      </c>
    </row>
    <row r="32" spans="1:13" x14ac:dyDescent="0.25">
      <c r="A32" s="19" t="s">
        <v>293</v>
      </c>
      <c r="B32" s="74">
        <f>2*L12</f>
        <v>1.42</v>
      </c>
      <c r="C32" t="s">
        <v>295</v>
      </c>
    </row>
    <row r="33" spans="1:14" x14ac:dyDescent="0.25">
      <c r="A33" s="19" t="s">
        <v>294</v>
      </c>
      <c r="B33" s="81">
        <f>B32/B31</f>
        <v>6.8831798351914681</v>
      </c>
    </row>
    <row r="34" spans="1:14" x14ac:dyDescent="0.25">
      <c r="A34" s="91" t="s">
        <v>297</v>
      </c>
      <c r="B34" s="91"/>
      <c r="C34" s="81">
        <f>B6*2</f>
        <v>100</v>
      </c>
    </row>
    <row r="37" spans="1:14" x14ac:dyDescent="0.25">
      <c r="A37" s="94" t="s">
        <v>302</v>
      </c>
      <c r="B37" s="94"/>
    </row>
    <row r="38" spans="1:14" x14ac:dyDescent="0.25">
      <c r="A38" s="90" t="s">
        <v>303</v>
      </c>
      <c r="B38" s="90"/>
      <c r="C38" s="90"/>
      <c r="D38" s="90"/>
      <c r="E38" s="90"/>
    </row>
    <row r="40" spans="1:14" x14ac:dyDescent="0.25">
      <c r="A40" s="19" t="s">
        <v>304</v>
      </c>
      <c r="B40" s="74">
        <v>11.95</v>
      </c>
      <c r="E40" s="90" t="s">
        <v>306</v>
      </c>
      <c r="F40" s="90"/>
      <c r="G40" s="90"/>
      <c r="H40" s="90"/>
      <c r="I40" s="90"/>
      <c r="J40" s="90"/>
      <c r="K40" s="90"/>
      <c r="L40" s="90"/>
      <c r="M40" s="90"/>
      <c r="N40" s="90"/>
    </row>
    <row r="41" spans="1:14" x14ac:dyDescent="0.25">
      <c r="A41" s="19" t="s">
        <v>305</v>
      </c>
      <c r="B41" s="83">
        <f>B40/L14</f>
        <v>6.0050251256281406</v>
      </c>
      <c r="C41" t="s">
        <v>278</v>
      </c>
    </row>
    <row r="45" spans="1:14" x14ac:dyDescent="0.25">
      <c r="A45" s="99" t="s">
        <v>307</v>
      </c>
      <c r="B45" s="99"/>
    </row>
    <row r="47" spans="1:14" x14ac:dyDescent="0.25">
      <c r="A47" s="90" t="s">
        <v>308</v>
      </c>
      <c r="B47" s="90"/>
      <c r="C47" s="90"/>
      <c r="D47" s="90"/>
      <c r="E47" s="90"/>
      <c r="F47" s="90"/>
      <c r="G47" s="90"/>
      <c r="H47" s="90"/>
    </row>
    <row r="49" spans="1:6" x14ac:dyDescent="0.25">
      <c r="A49" s="94" t="s">
        <v>309</v>
      </c>
      <c r="B49" s="94"/>
    </row>
    <row r="50" spans="1:6" x14ac:dyDescent="0.25">
      <c r="A50" s="11" t="s">
        <v>20</v>
      </c>
      <c r="B50" s="80">
        <v>300</v>
      </c>
    </row>
    <row r="51" spans="1:6" x14ac:dyDescent="0.25">
      <c r="A51" s="11" t="s">
        <v>296</v>
      </c>
      <c r="B51" s="81">
        <f>B50/6</f>
        <v>50</v>
      </c>
    </row>
    <row r="54" spans="1:6" x14ac:dyDescent="0.25">
      <c r="A54" s="99" t="s">
        <v>310</v>
      </c>
      <c r="B54" s="99"/>
    </row>
    <row r="55" spans="1:6" x14ac:dyDescent="0.25">
      <c r="D55" s="90" t="s">
        <v>317</v>
      </c>
      <c r="E55" s="90"/>
      <c r="F55" s="90"/>
    </row>
    <row r="56" spans="1:6" x14ac:dyDescent="0.25">
      <c r="A56" s="94" t="s">
        <v>311</v>
      </c>
      <c r="B56" s="94"/>
    </row>
    <row r="57" spans="1:6" x14ac:dyDescent="0.25">
      <c r="A57" s="111" t="s">
        <v>315</v>
      </c>
      <c r="B57" s="111"/>
      <c r="C57" s="111"/>
      <c r="D57" s="111"/>
      <c r="E57" s="111"/>
      <c r="F57" s="111"/>
    </row>
    <row r="59" spans="1:6" x14ac:dyDescent="0.25">
      <c r="A59" s="11" t="s">
        <v>312</v>
      </c>
      <c r="B59" s="82">
        <v>32</v>
      </c>
    </row>
    <row r="60" spans="1:6" x14ac:dyDescent="0.25">
      <c r="A60" s="11" t="s">
        <v>313</v>
      </c>
      <c r="B60" s="80">
        <v>425</v>
      </c>
    </row>
    <row r="61" spans="1:6" x14ac:dyDescent="0.25">
      <c r="A61" s="11" t="s">
        <v>314</v>
      </c>
      <c r="B61" s="81">
        <f>B60/(B59-1)</f>
        <v>13.709677419354838</v>
      </c>
    </row>
    <row r="62" spans="1:6" x14ac:dyDescent="0.25">
      <c r="A62" s="11" t="s">
        <v>319</v>
      </c>
      <c r="B62" s="81">
        <f>B60/4</f>
        <v>106.25</v>
      </c>
    </row>
    <row r="64" spans="1:6" x14ac:dyDescent="0.25">
      <c r="A64" s="94" t="s">
        <v>318</v>
      </c>
      <c r="B64" s="94"/>
    </row>
    <row r="65" spans="1:7" x14ac:dyDescent="0.25">
      <c r="A65" s="111" t="s">
        <v>316</v>
      </c>
      <c r="B65" s="111"/>
      <c r="C65" s="111"/>
      <c r="D65" s="111"/>
      <c r="E65" s="111"/>
      <c r="F65" s="111"/>
    </row>
    <row r="66" spans="1:7" x14ac:dyDescent="0.25">
      <c r="G66" s="84"/>
    </row>
    <row r="67" spans="1:7" x14ac:dyDescent="0.25">
      <c r="A67" s="11" t="s">
        <v>312</v>
      </c>
      <c r="B67" s="82">
        <v>18</v>
      </c>
      <c r="G67" s="84"/>
    </row>
    <row r="68" spans="1:7" x14ac:dyDescent="0.25">
      <c r="A68" s="11" t="s">
        <v>313</v>
      </c>
      <c r="B68" s="80">
        <v>525</v>
      </c>
      <c r="G68" s="84"/>
    </row>
    <row r="69" spans="1:7" x14ac:dyDescent="0.25">
      <c r="A69" s="11" t="s">
        <v>314</v>
      </c>
      <c r="B69" s="81">
        <f>B68/(B67-1)</f>
        <v>30.882352941176471</v>
      </c>
      <c r="G69" s="84"/>
    </row>
    <row r="70" spans="1:7" x14ac:dyDescent="0.25">
      <c r="G70" s="84"/>
    </row>
    <row r="71" spans="1:7" x14ac:dyDescent="0.25">
      <c r="G71" s="84"/>
    </row>
    <row r="72" spans="1:7" x14ac:dyDescent="0.25">
      <c r="G72" s="85"/>
    </row>
  </sheetData>
  <mergeCells count="21">
    <mergeCell ref="A64:B64"/>
    <mergeCell ref="A57:F57"/>
    <mergeCell ref="A65:F65"/>
    <mergeCell ref="D55:F55"/>
    <mergeCell ref="G21:H21"/>
    <mergeCell ref="E30:M30"/>
    <mergeCell ref="A34:B34"/>
    <mergeCell ref="A4:B4"/>
    <mergeCell ref="A9:B9"/>
    <mergeCell ref="C9:H9"/>
    <mergeCell ref="G11:H11"/>
    <mergeCell ref="A18:B18"/>
    <mergeCell ref="A19:D19"/>
    <mergeCell ref="A54:B54"/>
    <mergeCell ref="A56:B56"/>
    <mergeCell ref="A37:B37"/>
    <mergeCell ref="A38:E38"/>
    <mergeCell ref="E40:N40"/>
    <mergeCell ref="A45:B45"/>
    <mergeCell ref="A47:H47"/>
    <mergeCell ref="A49:B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PREDIMENCIONAMIENTO</vt:lpstr>
      <vt:lpstr>ESPECTRO</vt:lpstr>
      <vt:lpstr>CALCULO DE ACERO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Francisco Tzunun</dc:creator>
  <cp:lastModifiedBy>Ivan Rivera</cp:lastModifiedBy>
  <dcterms:created xsi:type="dcterms:W3CDTF">2025-03-03T16:16:31Z</dcterms:created>
  <dcterms:modified xsi:type="dcterms:W3CDTF">2026-05-21T11:18:09Z</dcterms:modified>
</cp:coreProperties>
</file>