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docs-2026\MAESTRIA\Analisis Estructural Lineal y no Lineal\ASIGNAICON 2\"/>
    </mc:Choice>
  </mc:AlternateContent>
  <xr:revisionPtr revIDLastSave="0" documentId="13_ncr:1_{6905824A-DE52-4604-95F1-694742D51BFC}" xr6:coauthVersionLast="47" xr6:coauthVersionMax="47" xr10:uidLastSave="{00000000-0000-0000-0000-000000000000}"/>
  <bookViews>
    <workbookView xWindow="-120" yWindow="-120" windowWidth="20730" windowHeight="11160" xr2:uid="{7F94BADD-C052-4D7B-975E-F0C8373E1FC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4" i="1" l="1"/>
  <c r="A140" i="1"/>
  <c r="A136" i="1"/>
  <c r="A132" i="1"/>
  <c r="A128" i="1"/>
  <c r="A124" i="1"/>
  <c r="A120" i="1"/>
  <c r="A118" i="1" a="1"/>
  <c r="A143" i="1" s="1"/>
  <c r="A111" i="1"/>
  <c r="A109" i="1" a="1"/>
  <c r="A114" i="1" s="1"/>
  <c r="B102" i="1"/>
  <c r="B101" i="1"/>
  <c r="C85" i="1"/>
  <c r="G92" i="1" s="1"/>
  <c r="F103" i="1" s="1"/>
  <c r="B80" i="1"/>
  <c r="C84" i="1" s="1"/>
  <c r="B78" i="1"/>
  <c r="B46" i="1" a="1"/>
  <c r="C48" i="1" s="1"/>
  <c r="A46" i="1" a="1"/>
  <c r="A72" i="1" s="1"/>
  <c r="D39" i="1"/>
  <c r="C39" i="1"/>
  <c r="B39" i="1"/>
  <c r="D38" i="1"/>
  <c r="C38" i="1"/>
  <c r="B38" i="1"/>
  <c r="D37" i="1"/>
  <c r="C37" i="1"/>
  <c r="B37" i="1"/>
  <c r="A37" i="1" a="1"/>
  <c r="A39" i="1" s="1"/>
  <c r="J32" i="1"/>
  <c r="H32" i="1"/>
  <c r="F32" i="1"/>
  <c r="D32" i="1"/>
  <c r="J31" i="1"/>
  <c r="H31" i="1"/>
  <c r="F31" i="1"/>
  <c r="D31" i="1"/>
  <c r="J30" i="1"/>
  <c r="H30" i="1"/>
  <c r="F30" i="1"/>
  <c r="D30" i="1"/>
  <c r="B30" i="1"/>
  <c r="J29" i="1"/>
  <c r="H29" i="1"/>
  <c r="F29" i="1"/>
  <c r="D29" i="1"/>
  <c r="B29" i="1"/>
  <c r="J28" i="1"/>
  <c r="H28" i="1"/>
  <c r="F28" i="1"/>
  <c r="D28" i="1"/>
  <c r="G24" i="1"/>
  <c r="F24" i="1"/>
  <c r="D24" i="1"/>
  <c r="C24" i="1"/>
  <c r="G23" i="1"/>
  <c r="F23" i="1"/>
  <c r="D23" i="1"/>
  <c r="C23" i="1"/>
  <c r="E22" i="1"/>
  <c r="B22" i="1"/>
  <c r="G21" i="1"/>
  <c r="F21" i="1"/>
  <c r="D21" i="1"/>
  <c r="C21" i="1"/>
  <c r="G20" i="1"/>
  <c r="F20" i="1"/>
  <c r="D20" i="1"/>
  <c r="C20" i="1"/>
  <c r="E19" i="1"/>
  <c r="B19" i="1"/>
  <c r="C15" i="1"/>
  <c r="C14" i="1"/>
  <c r="C13" i="1"/>
  <c r="C12" i="1"/>
  <c r="C11" i="1"/>
  <c r="B8" i="1"/>
  <c r="B6" i="1"/>
  <c r="C96" i="1" l="1"/>
  <c r="H104" i="1" s="1"/>
  <c r="F93" i="1"/>
  <c r="F104" i="1" s="1"/>
  <c r="G95" i="1"/>
  <c r="J103" i="1" s="1"/>
  <c r="D92" i="1"/>
  <c r="D103" i="1" s="1"/>
  <c r="F96" i="1"/>
  <c r="J104" i="1" s="1"/>
  <c r="C93" i="1"/>
  <c r="D104" i="1" s="1"/>
  <c r="D95" i="1"/>
  <c r="H103" i="1" s="1"/>
  <c r="C95" i="1"/>
  <c r="H101" i="1" s="1"/>
  <c r="F92" i="1"/>
  <c r="F101" i="1" s="1"/>
  <c r="F95" i="1"/>
  <c r="J101" i="1" s="1"/>
  <c r="C92" i="1"/>
  <c r="D101" i="1" s="1"/>
  <c r="C86" i="1"/>
  <c r="A112" i="1"/>
  <c r="A121" i="1"/>
  <c r="A125" i="1"/>
  <c r="A129" i="1"/>
  <c r="A133" i="1"/>
  <c r="A137" i="1"/>
  <c r="A141" i="1"/>
  <c r="C83" i="1"/>
  <c r="C87" i="1"/>
  <c r="A109" i="1"/>
  <c r="A113" i="1"/>
  <c r="A118" i="1"/>
  <c r="A122" i="1"/>
  <c r="A126" i="1"/>
  <c r="A130" i="1"/>
  <c r="A134" i="1"/>
  <c r="A138" i="1"/>
  <c r="A142" i="1"/>
  <c r="A110" i="1"/>
  <c r="A119" i="1"/>
  <c r="A123" i="1"/>
  <c r="A127" i="1"/>
  <c r="A131" i="1"/>
  <c r="A135" i="1"/>
  <c r="A139" i="1"/>
  <c r="A53" i="1"/>
  <c r="A61" i="1"/>
  <c r="A69" i="1"/>
  <c r="A50" i="1"/>
  <c r="A54" i="1"/>
  <c r="A58" i="1"/>
  <c r="A62" i="1"/>
  <c r="A66" i="1"/>
  <c r="A70" i="1"/>
  <c r="B46" i="1"/>
  <c r="C47" i="1"/>
  <c r="D48" i="1"/>
  <c r="A47" i="1"/>
  <c r="A51" i="1"/>
  <c r="A55" i="1"/>
  <c r="A59" i="1"/>
  <c r="A63" i="1"/>
  <c r="A67" i="1"/>
  <c r="A71" i="1"/>
  <c r="C46" i="1"/>
  <c r="D47" i="1"/>
  <c r="A49" i="1"/>
  <c r="A57" i="1"/>
  <c r="A65" i="1"/>
  <c r="A46" i="1"/>
  <c r="A48" i="1"/>
  <c r="A52" i="1"/>
  <c r="A56" i="1"/>
  <c r="A60" i="1"/>
  <c r="A64" i="1"/>
  <c r="A68" i="1"/>
  <c r="D46" i="1"/>
  <c r="B48" i="1"/>
  <c r="B47" i="1"/>
  <c r="A37" i="1"/>
  <c r="A41" i="1"/>
  <c r="A40" i="1"/>
  <c r="A38" i="1"/>
  <c r="A42" i="1"/>
  <c r="B91" i="1" l="1"/>
  <c r="D100" i="1" s="1"/>
  <c r="E94" i="1"/>
  <c r="J100" i="1" s="1"/>
  <c r="B94" i="1"/>
  <c r="H100" i="1" s="1"/>
  <c r="E91" i="1"/>
  <c r="F100" i="1" s="1"/>
  <c r="D109" i="1"/>
  <c r="D110" i="1"/>
  <c r="G96" i="1"/>
  <c r="J102" i="1" s="1"/>
  <c r="D111" i="1" s="1"/>
  <c r="D93" i="1"/>
  <c r="D102" i="1" s="1"/>
  <c r="D96" i="1"/>
  <c r="H102" i="1" s="1"/>
  <c r="G93" i="1"/>
  <c r="F102" i="1" s="1"/>
  <c r="C111" i="1"/>
  <c r="B111" i="1"/>
  <c r="B110" i="1" l="1"/>
  <c r="C109" i="1"/>
  <c r="C110" i="1"/>
  <c r="B109" i="1"/>
  <c r="B118" i="1" s="1" a="1"/>
  <c r="D119" i="1" l="1"/>
  <c r="C118" i="1"/>
  <c r="D120" i="1"/>
  <c r="C119" i="1"/>
  <c r="B118" i="1"/>
  <c r="C120" i="1"/>
  <c r="B119" i="1"/>
  <c r="B120" i="1"/>
  <c r="D118" i="1"/>
</calcChain>
</file>

<file path=xl/sharedStrings.xml><?xml version="1.0" encoding="utf-8"?>
<sst xmlns="http://schemas.openxmlformats.org/spreadsheetml/2006/main" count="197" uniqueCount="60">
  <si>
    <t xml:space="preserve">EJEMPLO DE ANALISIS MATRICIAL DE UN MARCO CON VIGA COLUMNA BIDIMENSIONAL </t>
  </si>
  <si>
    <t>ELEMENTO 1, COLUMNA</t>
  </si>
  <si>
    <t>A:</t>
  </si>
  <si>
    <t>I:</t>
  </si>
  <si>
    <t>E:</t>
  </si>
  <si>
    <t>L:</t>
  </si>
  <si>
    <t>I</t>
  </si>
  <si>
    <t xml:space="preserve">COEFICIENTES </t>
  </si>
  <si>
    <t>raz</t>
  </si>
  <si>
    <t>raax</t>
  </si>
  <si>
    <t>r=abx=rbax</t>
  </si>
  <si>
    <t>r11x= r22x</t>
  </si>
  <si>
    <t>r12x=r21x</t>
  </si>
  <si>
    <t>EI</t>
  </si>
  <si>
    <t>cm2</t>
  </si>
  <si>
    <t xml:space="preserve">cm </t>
  </si>
  <si>
    <t>Kgf/cm2</t>
  </si>
  <si>
    <t>MATRIZ DE RIGIDEZ LOCAL DEL ELEMENTO 1</t>
  </si>
  <si>
    <t>k1</t>
  </si>
  <si>
    <t>1x</t>
  </si>
  <si>
    <t>1z</t>
  </si>
  <si>
    <t>ϴ 1</t>
  </si>
  <si>
    <t>ax</t>
  </si>
  <si>
    <t>az</t>
  </si>
  <si>
    <t>ϴ a</t>
  </si>
  <si>
    <t>MATRIZ DE RIGIDEZ GLOBAL DEL ELEMENTO 1</t>
  </si>
  <si>
    <t>CUADR 1</t>
  </si>
  <si>
    <t>CUADR 2</t>
  </si>
  <si>
    <t>CUADR 3</t>
  </si>
  <si>
    <t>CUADR 4</t>
  </si>
  <si>
    <t>ϴ=</t>
  </si>
  <si>
    <t>Sen ϴ=</t>
  </si>
  <si>
    <t>Cos ϴ=</t>
  </si>
  <si>
    <t>B:</t>
  </si>
  <si>
    <t>C:</t>
  </si>
  <si>
    <t>D:</t>
  </si>
  <si>
    <t>Se usa el cuarto cuadrante porque suma fuerzas y resta cortantes (signo negativo).</t>
  </si>
  <si>
    <t>K1</t>
  </si>
  <si>
    <t>2x</t>
  </si>
  <si>
    <t>2z</t>
  </si>
  <si>
    <t>ϴ 2</t>
  </si>
  <si>
    <t>3x</t>
  </si>
  <si>
    <t>3z</t>
  </si>
  <si>
    <t>ϴ 3</t>
  </si>
  <si>
    <t>4x</t>
  </si>
  <si>
    <t>4z</t>
  </si>
  <si>
    <t>ϴ 4</t>
  </si>
  <si>
    <t>5x</t>
  </si>
  <si>
    <t>5z</t>
  </si>
  <si>
    <t>ϴ 5</t>
  </si>
  <si>
    <t>6x</t>
  </si>
  <si>
    <t>6z</t>
  </si>
  <si>
    <t>ϴ 6</t>
  </si>
  <si>
    <t>bx</t>
  </si>
  <si>
    <t>bz</t>
  </si>
  <si>
    <t>ϴ b</t>
  </si>
  <si>
    <t>cx</t>
  </si>
  <si>
    <t>cz</t>
  </si>
  <si>
    <t>ϴ c</t>
  </si>
  <si>
    <t>ELEMENTO 2, COLUMNA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</si>
</sst>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7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164" fontId="0" fillId="2" borderId="0" xfId="0" applyNumberFormat="1" applyFill="1"/>
    <xf numFmtId="164" fontId="0" fillId="6" borderId="0" xfId="0" applyNumberFormat="1" applyFill="1"/>
    <xf numFmtId="164" fontId="2" fillId="0" borderId="0" xfId="0" applyNumberFormat="1" applyFont="1" applyAlignment="1">
      <alignment horizontal="center"/>
    </xf>
    <xf numFmtId="164" fontId="0" fillId="8" borderId="0" xfId="0" applyNumberFormat="1" applyFill="1" applyAlignment="1">
      <alignment horizontal="center"/>
    </xf>
    <xf numFmtId="164" fontId="0" fillId="8" borderId="0" xfId="0" applyNumberFormat="1" applyFill="1"/>
    <xf numFmtId="164" fontId="0" fillId="5" borderId="0" xfId="0" applyNumberFormat="1" applyFill="1" applyAlignment="1">
      <alignment horizontal="center"/>
    </xf>
    <xf numFmtId="164" fontId="1" fillId="9" borderId="0" xfId="0" applyNumberFormat="1" applyFont="1" applyFill="1" applyAlignment="1">
      <alignment horizontal="center"/>
    </xf>
    <xf numFmtId="164" fontId="1" fillId="10" borderId="0" xfId="0" applyNumberFormat="1" applyFon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64" fontId="3" fillId="0" borderId="0" xfId="0" applyNumberFormat="1" applyFont="1" applyAlignment="1">
      <alignment horizontal="center" vertical="center" wrapText="1"/>
    </xf>
    <xf numFmtId="164" fontId="0" fillId="7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28576</xdr:colOff>
      <xdr:row>3</xdr:row>
      <xdr:rowOff>152400</xdr:rowOff>
    </xdr:from>
    <xdr:to>
      <xdr:col>11</xdr:col>
      <xdr:colOff>212206</xdr:colOff>
      <xdr:row>14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7BEDC45-A68A-6FC3-09D4-E8367E4C0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6" y="723900"/>
          <a:ext cx="3384030" cy="2047875"/>
        </a:xfrm>
        <a:prstGeom prst="rect">
          <a:avLst/>
        </a:prstGeom>
      </xdr:spPr>
    </xdr:pic>
    <xdr:clientData/>
  </xdr:twoCellAnchor>
  <xdr:twoCellAnchor editAs="oneCell">
    <xdr:from>
      <xdr:col>4</xdr:col>
      <xdr:colOff>409576</xdr:colOff>
      <xdr:row>4</xdr:row>
      <xdr:rowOff>57150</xdr:rowOff>
    </xdr:from>
    <xdr:to>
      <xdr:col>6</xdr:col>
      <xdr:colOff>190501</xdr:colOff>
      <xdr:row>12</xdr:row>
      <xdr:rowOff>108003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E477C9-1074-429F-895A-77CD38724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9501" y="819150"/>
          <a:ext cx="1428750" cy="1574853"/>
        </a:xfrm>
        <a:prstGeom prst="rect">
          <a:avLst/>
        </a:prstGeom>
      </xdr:spPr>
    </xdr:pic>
    <xdr:clientData/>
  </xdr:twoCellAnchor>
  <xdr:twoCellAnchor editAs="oneCell">
    <xdr:from>
      <xdr:col>10</xdr:col>
      <xdr:colOff>328332</xdr:colOff>
      <xdr:row>26</xdr:row>
      <xdr:rowOff>183216</xdr:rowOff>
    </xdr:from>
    <xdr:to>
      <xdr:col>12</xdr:col>
      <xdr:colOff>452387</xdr:colOff>
      <xdr:row>33</xdr:row>
      <xdr:rowOff>30981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6F7F3FE-F084-0EF0-43EA-41DC4ED9C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75008" y="5136216"/>
          <a:ext cx="1648055" cy="1181265"/>
        </a:xfrm>
        <a:prstGeom prst="rect">
          <a:avLst/>
        </a:prstGeom>
      </xdr:spPr>
    </xdr:pic>
    <xdr:clientData/>
  </xdr:twoCellAnchor>
  <xdr:twoCellAnchor editAs="oneCell">
    <xdr:from>
      <xdr:col>7</xdr:col>
      <xdr:colOff>314325</xdr:colOff>
      <xdr:row>34</xdr:row>
      <xdr:rowOff>104774</xdr:rowOff>
    </xdr:from>
    <xdr:to>
      <xdr:col>13</xdr:col>
      <xdr:colOff>443399</xdr:colOff>
      <xdr:row>42</xdr:row>
      <xdr:rowOff>95249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EBDAC2C-EF76-1662-81C2-07B44909C8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10275" y="6581774"/>
          <a:ext cx="4853474" cy="1514475"/>
        </a:xfrm>
        <a:prstGeom prst="rect">
          <a:avLst/>
        </a:prstGeom>
      </xdr:spPr>
    </xdr:pic>
    <xdr:clientData/>
  </xdr:twoCellAnchor>
  <xdr:oneCellAnchor>
    <xdr:from>
      <xdr:col>7</xdr:col>
      <xdr:colOff>28576</xdr:colOff>
      <xdr:row>75</xdr:row>
      <xdr:rowOff>152400</xdr:rowOff>
    </xdr:from>
    <xdr:ext cx="3370175" cy="2047875"/>
    <xdr:pic>
      <xdr:nvPicPr>
        <xdr:cNvPr id="7" name="Imagen 6">
          <a:extLst>
            <a:ext uri="{FF2B5EF4-FFF2-40B4-BE49-F238E27FC236}">
              <a16:creationId xmlns:a16="http://schemas.microsoft.com/office/drawing/2014/main" id="{442B768E-2AB4-4849-BA32-A055D2A0A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8940" y="723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76</xdr:row>
      <xdr:rowOff>57150</xdr:rowOff>
    </xdr:from>
    <xdr:ext cx="1426152" cy="1574853"/>
    <xdr:pic>
      <xdr:nvPicPr>
        <xdr:cNvPr id="8" name="Imagen 7">
          <a:extLst>
            <a:ext uri="{FF2B5EF4-FFF2-40B4-BE49-F238E27FC236}">
              <a16:creationId xmlns:a16="http://schemas.microsoft.com/office/drawing/2014/main" id="{3E5D986E-CE9A-44E5-913D-06A413882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3440" y="819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98</xdr:row>
      <xdr:rowOff>183216</xdr:rowOff>
    </xdr:from>
    <xdr:ext cx="1648055" cy="1181265"/>
    <xdr:pic>
      <xdr:nvPicPr>
        <xdr:cNvPr id="9" name="Imagen 8">
          <a:extLst>
            <a:ext uri="{FF2B5EF4-FFF2-40B4-BE49-F238E27FC236}">
              <a16:creationId xmlns:a16="http://schemas.microsoft.com/office/drawing/2014/main" id="{D7E683D0-4D61-49E1-8D62-F27285DC7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3241" y="5136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106</xdr:row>
      <xdr:rowOff>104774</xdr:rowOff>
    </xdr:from>
    <xdr:ext cx="4839619" cy="1514475"/>
    <xdr:pic>
      <xdr:nvPicPr>
        <xdr:cNvPr id="10" name="Imagen 9">
          <a:extLst>
            <a:ext uri="{FF2B5EF4-FFF2-40B4-BE49-F238E27FC236}">
              <a16:creationId xmlns:a16="http://schemas.microsoft.com/office/drawing/2014/main" id="{9D4122B1-1931-4A96-8B5A-B7015FC94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94689" y="6581774"/>
          <a:ext cx="4839619" cy="15144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EEF42-2ACD-482D-8DFE-3F8C8E9FC543}">
  <dimension ref="A1:AB144"/>
  <sheetViews>
    <sheetView tabSelected="1" topLeftCell="A79" zoomScaleNormal="100" workbookViewId="0">
      <selection activeCell="E48" sqref="E48"/>
    </sheetView>
  </sheetViews>
  <sheetFormatPr baseColWidth="10" defaultRowHeight="15" x14ac:dyDescent="0.25"/>
  <cols>
    <col min="1" max="1" width="11.42578125" style="1"/>
    <col min="2" max="2" width="11.5703125" style="1" bestFit="1" customWidth="1"/>
    <col min="3" max="4" width="12.5703125" style="1" bestFit="1" customWidth="1"/>
    <col min="5" max="5" width="12.140625" style="1" bestFit="1" customWidth="1"/>
    <col min="6" max="6" width="12.5703125" style="1" customWidth="1"/>
    <col min="7" max="8" width="12.5703125" style="1" bestFit="1" customWidth="1"/>
    <col min="9" max="9" width="11.42578125" style="1"/>
    <col min="10" max="10" width="12.5703125" style="1" bestFit="1" customWidth="1"/>
    <col min="11" max="16384" width="11.42578125" style="1"/>
  </cols>
  <sheetData>
    <row r="1" spans="1:10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3" spans="1:10" x14ac:dyDescent="0.25">
      <c r="A3" s="13" t="s">
        <v>1</v>
      </c>
      <c r="B3" s="13"/>
      <c r="C3" s="13"/>
      <c r="D3" s="13"/>
      <c r="E3" s="13"/>
      <c r="F3" s="13"/>
      <c r="G3" s="13"/>
      <c r="H3" s="13"/>
      <c r="I3" s="13"/>
      <c r="J3" s="13"/>
    </row>
    <row r="5" spans="1:10" x14ac:dyDescent="0.25">
      <c r="A5" s="1" t="s">
        <v>2</v>
      </c>
      <c r="B5" s="1">
        <v>625</v>
      </c>
      <c r="C5" s="1" t="s">
        <v>14</v>
      </c>
    </row>
    <row r="6" spans="1:10" x14ac:dyDescent="0.25">
      <c r="A6" s="1" t="s">
        <v>3</v>
      </c>
      <c r="B6" s="1">
        <f>POWER(25,4)/12</f>
        <v>32552.083333333332</v>
      </c>
      <c r="C6" s="1" t="s">
        <v>6</v>
      </c>
    </row>
    <row r="7" spans="1:10" x14ac:dyDescent="0.25">
      <c r="A7" s="1" t="s">
        <v>5</v>
      </c>
      <c r="B7" s="1">
        <v>400</v>
      </c>
      <c r="C7" s="1" t="s">
        <v>15</v>
      </c>
    </row>
    <row r="8" spans="1:10" x14ac:dyDescent="0.25">
      <c r="A8" s="1" t="s">
        <v>4</v>
      </c>
      <c r="B8" s="1">
        <f>15100*SQRT(210)</f>
        <v>218819.78886746051</v>
      </c>
      <c r="C8" s="2" t="s">
        <v>16</v>
      </c>
    </row>
    <row r="10" spans="1:10" x14ac:dyDescent="0.25">
      <c r="B10" s="1" t="s">
        <v>7</v>
      </c>
    </row>
    <row r="11" spans="1:10" x14ac:dyDescent="0.25">
      <c r="B11" s="1" t="s">
        <v>8</v>
      </c>
      <c r="C11" s="3">
        <f>(B8*B5)/B7</f>
        <v>341905.92010540701</v>
      </c>
      <c r="D11" s="1" t="s">
        <v>13</v>
      </c>
    </row>
    <row r="12" spans="1:10" x14ac:dyDescent="0.25">
      <c r="B12" s="1" t="s">
        <v>9</v>
      </c>
      <c r="C12" s="3">
        <f>(12*B8*B6)/(B7^3)</f>
        <v>1335.5700004117459</v>
      </c>
      <c r="D12" s="1" t="s">
        <v>13</v>
      </c>
    </row>
    <row r="13" spans="1:10" x14ac:dyDescent="0.25">
      <c r="B13" s="1" t="s">
        <v>10</v>
      </c>
      <c r="C13" s="3">
        <f>(6*B8*B6)/(B7^2)</f>
        <v>267114.00008234923</v>
      </c>
      <c r="D13" s="1" t="s">
        <v>13</v>
      </c>
    </row>
    <row r="14" spans="1:10" x14ac:dyDescent="0.25">
      <c r="B14" s="1" t="s">
        <v>11</v>
      </c>
      <c r="C14" s="3">
        <f>+(4*B8*B6)/(B7)</f>
        <v>71230400.021959797</v>
      </c>
      <c r="D14" s="1" t="s">
        <v>13</v>
      </c>
    </row>
    <row r="15" spans="1:10" x14ac:dyDescent="0.25">
      <c r="B15" s="1" t="s">
        <v>12</v>
      </c>
      <c r="C15" s="3">
        <f>+(2*B8*B6)/B7</f>
        <v>35615200.010979898</v>
      </c>
      <c r="D15" s="1" t="s">
        <v>13</v>
      </c>
    </row>
    <row r="16" spans="1:10" x14ac:dyDescent="0.25">
      <c r="C16" s="4"/>
    </row>
    <row r="17" spans="1:10" x14ac:dyDescent="0.25">
      <c r="A17" s="15" t="s">
        <v>17</v>
      </c>
      <c r="B17" s="15"/>
      <c r="C17" s="15"/>
      <c r="D17" s="15"/>
      <c r="E17" s="15"/>
      <c r="F17" s="15"/>
      <c r="G17" s="15"/>
    </row>
    <row r="18" spans="1:10" x14ac:dyDescent="0.25">
      <c r="A18" s="1" t="s">
        <v>18</v>
      </c>
      <c r="B18" s="5" t="s">
        <v>19</v>
      </c>
      <c r="C18" s="5" t="s">
        <v>20</v>
      </c>
      <c r="D18" s="5" t="s">
        <v>21</v>
      </c>
      <c r="E18" s="5" t="s">
        <v>22</v>
      </c>
      <c r="F18" s="5" t="s">
        <v>23</v>
      </c>
      <c r="G18" s="5" t="s">
        <v>24</v>
      </c>
    </row>
    <row r="19" spans="1:10" x14ac:dyDescent="0.25">
      <c r="A19" s="5" t="s">
        <v>19</v>
      </c>
      <c r="B19" s="6">
        <f>+C11</f>
        <v>341905.92010540701</v>
      </c>
      <c r="C19" s="6">
        <v>0</v>
      </c>
      <c r="D19" s="6">
        <v>0</v>
      </c>
      <c r="E19" s="7">
        <f>+-C11</f>
        <v>-341905.92010540701</v>
      </c>
      <c r="F19" s="7">
        <v>0</v>
      </c>
      <c r="G19" s="7">
        <v>0</v>
      </c>
      <c r="H19" s="17" t="s">
        <v>36</v>
      </c>
      <c r="I19" s="17"/>
    </row>
    <row r="20" spans="1:10" x14ac:dyDescent="0.25">
      <c r="A20" s="5" t="s">
        <v>20</v>
      </c>
      <c r="B20" s="6">
        <v>0</v>
      </c>
      <c r="C20" s="6">
        <f>+C12</f>
        <v>1335.5700004117459</v>
      </c>
      <c r="D20" s="6">
        <f>+C13</f>
        <v>267114.00008234923</v>
      </c>
      <c r="E20" s="7">
        <v>0</v>
      </c>
      <c r="F20" s="7">
        <f>-C12</f>
        <v>-1335.5700004117459</v>
      </c>
      <c r="G20" s="7">
        <f>+C13</f>
        <v>267114.00008234923</v>
      </c>
      <c r="H20" s="17"/>
      <c r="I20" s="17"/>
    </row>
    <row r="21" spans="1:10" x14ac:dyDescent="0.25">
      <c r="A21" s="5" t="s">
        <v>21</v>
      </c>
      <c r="B21" s="6">
        <v>0</v>
      </c>
      <c r="C21" s="6">
        <f>+C13</f>
        <v>267114.00008234923</v>
      </c>
      <c r="D21" s="6">
        <f>+C14</f>
        <v>71230400.021959797</v>
      </c>
      <c r="E21" s="7">
        <v>0</v>
      </c>
      <c r="F21" s="7">
        <f>+-C13</f>
        <v>-267114.00008234923</v>
      </c>
      <c r="G21" s="7">
        <f>+C15</f>
        <v>35615200.010979898</v>
      </c>
      <c r="H21" s="17"/>
      <c r="I21" s="17"/>
    </row>
    <row r="22" spans="1:10" x14ac:dyDescent="0.25">
      <c r="A22" s="5" t="s">
        <v>22</v>
      </c>
      <c r="B22" s="8">
        <f>-C11</f>
        <v>-341905.92010540701</v>
      </c>
      <c r="C22" s="8">
        <v>0</v>
      </c>
      <c r="D22" s="8">
        <v>0</v>
      </c>
      <c r="E22" s="9">
        <f>+C11</f>
        <v>341905.92010540701</v>
      </c>
      <c r="F22" s="9">
        <v>0</v>
      </c>
      <c r="G22" s="9">
        <v>0</v>
      </c>
      <c r="H22" s="17"/>
      <c r="I22" s="17"/>
    </row>
    <row r="23" spans="1:10" ht="15" customHeight="1" x14ac:dyDescent="0.25">
      <c r="A23" s="5" t="s">
        <v>23</v>
      </c>
      <c r="B23" s="8">
        <v>0</v>
      </c>
      <c r="C23" s="8">
        <f>-C12</f>
        <v>-1335.5700004117459</v>
      </c>
      <c r="D23" s="8">
        <f>-C13</f>
        <v>-267114.00008234923</v>
      </c>
      <c r="E23" s="9">
        <v>0</v>
      </c>
      <c r="F23" s="9">
        <f>C12</f>
        <v>1335.5700004117459</v>
      </c>
      <c r="G23" s="9">
        <f>-C13</f>
        <v>-267114.00008234923</v>
      </c>
      <c r="H23" s="17"/>
      <c r="I23" s="17"/>
    </row>
    <row r="24" spans="1:10" ht="15" customHeight="1" x14ac:dyDescent="0.25">
      <c r="A24" s="5" t="s">
        <v>24</v>
      </c>
      <c r="B24" s="8">
        <v>0</v>
      </c>
      <c r="C24" s="8">
        <f>+C13</f>
        <v>267114.00008234923</v>
      </c>
      <c r="D24" s="8">
        <f>+C15</f>
        <v>35615200.010979898</v>
      </c>
      <c r="E24" s="9">
        <v>0</v>
      </c>
      <c r="F24" s="9">
        <f>-C13</f>
        <v>-267114.00008234923</v>
      </c>
      <c r="G24" s="9">
        <f>C14</f>
        <v>71230400.021959797</v>
      </c>
      <c r="H24" s="17"/>
      <c r="I24" s="17"/>
    </row>
    <row r="26" spans="1:10" x14ac:dyDescent="0.25">
      <c r="A26" s="15" t="s">
        <v>25</v>
      </c>
      <c r="B26" s="15"/>
      <c r="C26" s="15"/>
      <c r="D26" s="15"/>
      <c r="E26" s="15"/>
      <c r="F26" s="15"/>
      <c r="G26" s="15"/>
      <c r="H26" s="15"/>
      <c r="I26" s="15"/>
      <c r="J26" s="15"/>
    </row>
    <row r="27" spans="1:10" x14ac:dyDescent="0.25">
      <c r="A27" s="4"/>
      <c r="B27" s="4"/>
      <c r="C27" s="16" t="s">
        <v>26</v>
      </c>
      <c r="D27" s="16"/>
      <c r="E27" s="16" t="s">
        <v>27</v>
      </c>
      <c r="F27" s="16"/>
      <c r="G27" s="16" t="s">
        <v>28</v>
      </c>
      <c r="H27" s="16"/>
      <c r="I27" s="16" t="s">
        <v>29</v>
      </c>
      <c r="J27" s="16"/>
    </row>
    <row r="28" spans="1:10" x14ac:dyDescent="0.25">
      <c r="A28" s="4" t="s">
        <v>30</v>
      </c>
      <c r="B28" s="10">
        <v>90</v>
      </c>
      <c r="C28" s="4" t="s">
        <v>2</v>
      </c>
      <c r="D28" s="11">
        <f>+B19</f>
        <v>341905.92010540701</v>
      </c>
      <c r="E28" s="4" t="s">
        <v>2</v>
      </c>
      <c r="F28" s="11">
        <f>+E19</f>
        <v>-341905.92010540701</v>
      </c>
      <c r="G28" s="4" t="s">
        <v>2</v>
      </c>
      <c r="H28" s="11">
        <f>+B22</f>
        <v>-341905.92010540701</v>
      </c>
      <c r="I28" s="4" t="s">
        <v>2</v>
      </c>
      <c r="J28" s="12">
        <f>+E22</f>
        <v>341905.92010540701</v>
      </c>
    </row>
    <row r="29" spans="1:10" x14ac:dyDescent="0.25">
      <c r="A29" s="4" t="s">
        <v>31</v>
      </c>
      <c r="B29" s="4">
        <f>SIN(RADIANS(B28))</f>
        <v>1</v>
      </c>
      <c r="C29" s="4" t="s">
        <v>33</v>
      </c>
      <c r="D29" s="11">
        <f>+C20</f>
        <v>1335.5700004117459</v>
      </c>
      <c r="E29" s="4" t="s">
        <v>33</v>
      </c>
      <c r="F29" s="11">
        <f>+F20</f>
        <v>-1335.5700004117459</v>
      </c>
      <c r="G29" s="4" t="s">
        <v>33</v>
      </c>
      <c r="H29" s="11">
        <f>+C23</f>
        <v>-1335.5700004117459</v>
      </c>
      <c r="I29" s="4" t="s">
        <v>33</v>
      </c>
      <c r="J29" s="12">
        <f>+F23</f>
        <v>1335.5700004117459</v>
      </c>
    </row>
    <row r="30" spans="1:10" x14ac:dyDescent="0.25">
      <c r="A30" s="4" t="s">
        <v>32</v>
      </c>
      <c r="B30" s="4">
        <f>COS(RADIANS(B28))</f>
        <v>6.1257422745431001E-17</v>
      </c>
      <c r="C30" s="4" t="s">
        <v>34</v>
      </c>
      <c r="D30" s="11">
        <f>+D21</f>
        <v>71230400.021959797</v>
      </c>
      <c r="E30" s="4" t="s">
        <v>34</v>
      </c>
      <c r="F30" s="11">
        <f>+G21</f>
        <v>35615200.010979898</v>
      </c>
      <c r="G30" s="4" t="s">
        <v>34</v>
      </c>
      <c r="H30" s="11">
        <f>+D24</f>
        <v>35615200.010979898</v>
      </c>
      <c r="I30" s="4" t="s">
        <v>34</v>
      </c>
      <c r="J30" s="12">
        <f>+G24</f>
        <v>71230400.021959797</v>
      </c>
    </row>
    <row r="31" spans="1:10" x14ac:dyDescent="0.25">
      <c r="A31" s="4"/>
      <c r="B31" s="4"/>
      <c r="C31" s="4" t="s">
        <v>35</v>
      </c>
      <c r="D31" s="11">
        <f>+D20</f>
        <v>267114.00008234923</v>
      </c>
      <c r="E31" s="4" t="s">
        <v>35</v>
      </c>
      <c r="F31" s="11">
        <f>+G20</f>
        <v>267114.00008234923</v>
      </c>
      <c r="G31" s="4" t="s">
        <v>35</v>
      </c>
      <c r="H31" s="11">
        <f>+D23</f>
        <v>-267114.00008234923</v>
      </c>
      <c r="I31" s="4" t="s">
        <v>35</v>
      </c>
      <c r="J31" s="12">
        <f>+G23</f>
        <v>-267114.00008234923</v>
      </c>
    </row>
    <row r="32" spans="1:10" x14ac:dyDescent="0.25">
      <c r="C32" s="4" t="s">
        <v>4</v>
      </c>
      <c r="D32" s="11">
        <f>+C21</f>
        <v>267114.00008234923</v>
      </c>
      <c r="E32" s="4" t="s">
        <v>4</v>
      </c>
      <c r="F32" s="11">
        <f>+F21</f>
        <v>-267114.00008234923</v>
      </c>
      <c r="G32" s="4" t="s">
        <v>4</v>
      </c>
      <c r="H32" s="11">
        <f>+C24</f>
        <v>267114.00008234923</v>
      </c>
      <c r="I32" s="4" t="s">
        <v>4</v>
      </c>
      <c r="J32" s="12">
        <f>+F24</f>
        <v>-267114.00008234923</v>
      </c>
    </row>
    <row r="36" spans="1:28" x14ac:dyDescent="0.25">
      <c r="A36" s="1" t="s">
        <v>18</v>
      </c>
      <c r="B36" s="5" t="s">
        <v>19</v>
      </c>
      <c r="C36" s="5" t="s">
        <v>20</v>
      </c>
      <c r="D36" s="5" t="s">
        <v>21</v>
      </c>
      <c r="E36" s="5" t="s">
        <v>22</v>
      </c>
      <c r="F36" s="5" t="s">
        <v>23</v>
      </c>
      <c r="G36" s="5" t="s">
        <v>24</v>
      </c>
    </row>
    <row r="37" spans="1:28" x14ac:dyDescent="0.25">
      <c r="A37" s="5" t="str">
        <f t="array" ref="A37:A42">+TRANSPOSE(B36:G36)</f>
        <v>1x</v>
      </c>
      <c r="B37" s="6">
        <f>(J28*B30*B30)+(J29*B29*B29)</f>
        <v>1335.5700004117459</v>
      </c>
      <c r="C37" s="6">
        <f>(J28-J29)*B30*B29</f>
        <v>2.0862461910941136E-11</v>
      </c>
      <c r="D37" s="6">
        <f>-J31*B29</f>
        <v>267114.00008234923</v>
      </c>
      <c r="E37" s="7">
        <v>0</v>
      </c>
      <c r="F37" s="7">
        <v>0</v>
      </c>
      <c r="G37" s="7">
        <v>0</v>
      </c>
    </row>
    <row r="38" spans="1:28" x14ac:dyDescent="0.25">
      <c r="A38" s="5" t="str">
        <v>1z</v>
      </c>
      <c r="B38" s="6">
        <f>(J28-J29)*B30*B29</f>
        <v>2.0862461910941136E-11</v>
      </c>
      <c r="C38" s="6">
        <f>+(J28*B29*B29)+(J29*B30*B30)</f>
        <v>341905.92010540701</v>
      </c>
      <c r="D38" s="6">
        <f>J31*B30</f>
        <v>-1.6362715224267559E-11</v>
      </c>
      <c r="E38" s="7">
        <v>0</v>
      </c>
      <c r="F38" s="7">
        <v>0</v>
      </c>
      <c r="G38" s="7">
        <v>0</v>
      </c>
    </row>
    <row r="39" spans="1:28" x14ac:dyDescent="0.25">
      <c r="A39" s="5" t="str">
        <v>ϴ 1</v>
      </c>
      <c r="B39" s="6">
        <f>-J32*B29</f>
        <v>267114.00008234923</v>
      </c>
      <c r="C39" s="6">
        <f>J32*B30</f>
        <v>-1.6362715224267559E-11</v>
      </c>
      <c r="D39" s="6">
        <f>+J30</f>
        <v>71230400.021959797</v>
      </c>
      <c r="E39" s="7">
        <v>0</v>
      </c>
      <c r="F39" s="7">
        <v>0</v>
      </c>
      <c r="G39" s="7">
        <v>0</v>
      </c>
    </row>
    <row r="40" spans="1:28" x14ac:dyDescent="0.25">
      <c r="A40" s="5" t="str">
        <v>ax</v>
      </c>
      <c r="B40" s="8">
        <v>0</v>
      </c>
      <c r="C40" s="8">
        <v>0</v>
      </c>
      <c r="D40" s="8">
        <v>0</v>
      </c>
      <c r="E40" s="9">
        <v>0</v>
      </c>
      <c r="F40" s="9">
        <v>0</v>
      </c>
      <c r="G40" s="9">
        <v>0</v>
      </c>
    </row>
    <row r="41" spans="1:28" x14ac:dyDescent="0.25">
      <c r="A41" s="5" t="str">
        <v>az</v>
      </c>
      <c r="B41" s="8">
        <v>0</v>
      </c>
      <c r="C41" s="8">
        <v>0</v>
      </c>
      <c r="D41" s="8">
        <v>0</v>
      </c>
      <c r="E41" s="9">
        <v>0</v>
      </c>
      <c r="F41" s="9">
        <v>0</v>
      </c>
      <c r="G41" s="9">
        <v>0</v>
      </c>
    </row>
    <row r="42" spans="1:28" x14ac:dyDescent="0.25">
      <c r="A42" s="5" t="str">
        <v>ϴ a</v>
      </c>
      <c r="B42" s="8">
        <v>0</v>
      </c>
      <c r="C42" s="8">
        <v>0</v>
      </c>
      <c r="D42" s="8">
        <v>0</v>
      </c>
      <c r="E42" s="9">
        <v>0</v>
      </c>
      <c r="F42" s="9">
        <v>0</v>
      </c>
      <c r="G42" s="9">
        <v>0</v>
      </c>
    </row>
    <row r="45" spans="1:28" x14ac:dyDescent="0.25">
      <c r="A45" s="1" t="s">
        <v>37</v>
      </c>
      <c r="B45" s="18" t="s">
        <v>19</v>
      </c>
      <c r="C45" s="18" t="s">
        <v>20</v>
      </c>
      <c r="D45" s="18" t="s">
        <v>21</v>
      </c>
      <c r="E45" s="18" t="s">
        <v>38</v>
      </c>
      <c r="F45" s="18" t="s">
        <v>39</v>
      </c>
      <c r="G45" s="18" t="s">
        <v>40</v>
      </c>
      <c r="H45" s="18" t="s">
        <v>41</v>
      </c>
      <c r="I45" s="18" t="s">
        <v>42</v>
      </c>
      <c r="J45" s="18" t="s">
        <v>43</v>
      </c>
      <c r="K45" s="18" t="s">
        <v>44</v>
      </c>
      <c r="L45" s="18" t="s">
        <v>45</v>
      </c>
      <c r="M45" s="18" t="s">
        <v>46</v>
      </c>
      <c r="N45" s="18" t="s">
        <v>47</v>
      </c>
      <c r="O45" s="18" t="s">
        <v>48</v>
      </c>
      <c r="P45" s="18" t="s">
        <v>49</v>
      </c>
      <c r="Q45" s="18" t="s">
        <v>50</v>
      </c>
      <c r="R45" s="18" t="s">
        <v>51</v>
      </c>
      <c r="S45" s="18" t="s">
        <v>52</v>
      </c>
      <c r="T45" s="18" t="s">
        <v>22</v>
      </c>
      <c r="U45" s="18" t="s">
        <v>23</v>
      </c>
      <c r="V45" s="18" t="s">
        <v>24</v>
      </c>
      <c r="W45" s="18" t="s">
        <v>53</v>
      </c>
      <c r="X45" s="18" t="s">
        <v>54</v>
      </c>
      <c r="Y45" s="18" t="s">
        <v>55</v>
      </c>
      <c r="Z45" s="18" t="s">
        <v>56</v>
      </c>
      <c r="AA45" s="18" t="s">
        <v>57</v>
      </c>
      <c r="AB45" s="18" t="s">
        <v>58</v>
      </c>
    </row>
    <row r="46" spans="1:28" x14ac:dyDescent="0.25">
      <c r="A46" s="18" t="str">
        <f t="array" ref="A46:A72">TRANSPOSE(B45:AB45)</f>
        <v>1x</v>
      </c>
      <c r="B46" s="1">
        <f t="array" ref="B46:D48">B37:D39</f>
        <v>1335.5700004117459</v>
      </c>
      <c r="C46" s="1">
        <v>2.0862461910941136E-11</v>
      </c>
      <c r="D46" s="1">
        <v>267114.00008234923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</row>
    <row r="47" spans="1:28" x14ac:dyDescent="0.25">
      <c r="A47" s="18" t="str">
        <v>1z</v>
      </c>
      <c r="B47" s="1">
        <v>2.0862461910941136E-11</v>
      </c>
      <c r="C47" s="1">
        <v>341905.92010540701</v>
      </c>
      <c r="D47" s="1">
        <v>-1.6362715224267559E-11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</row>
    <row r="48" spans="1:28" x14ac:dyDescent="0.25">
      <c r="A48" s="18" t="str">
        <v>ϴ 1</v>
      </c>
      <c r="B48" s="1">
        <v>267114.00008234923</v>
      </c>
      <c r="C48" s="1">
        <v>-1.6362715224267559E-11</v>
      </c>
      <c r="D48" s="1">
        <v>71230400.021959797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</row>
    <row r="49" spans="1:28" x14ac:dyDescent="0.25">
      <c r="A49" s="18" t="str">
        <v>2x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</row>
    <row r="50" spans="1:28" x14ac:dyDescent="0.25">
      <c r="A50" s="18" t="str">
        <v>2z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</row>
    <row r="51" spans="1:28" x14ac:dyDescent="0.25">
      <c r="A51" s="18" t="str">
        <v>ϴ 2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</row>
    <row r="52" spans="1:28" x14ac:dyDescent="0.25">
      <c r="A52" s="18" t="str">
        <v>3x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</row>
    <row r="53" spans="1:28" x14ac:dyDescent="0.25">
      <c r="A53" s="18" t="str">
        <v>3z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spans="1:28" x14ac:dyDescent="0.25">
      <c r="A54" s="18" t="str">
        <v>ϴ 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spans="1:28" x14ac:dyDescent="0.25">
      <c r="A55" s="18" t="str">
        <v>4x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spans="1:28" x14ac:dyDescent="0.25">
      <c r="A56" s="18" t="str">
        <v>4z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spans="1:28" x14ac:dyDescent="0.25">
      <c r="A57" s="18" t="str">
        <v>ϴ 4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spans="1:28" x14ac:dyDescent="0.25">
      <c r="A58" s="18" t="str">
        <v>5x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</row>
    <row r="59" spans="1:28" x14ac:dyDescent="0.25">
      <c r="A59" s="18" t="str">
        <v>5z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</row>
    <row r="60" spans="1:28" x14ac:dyDescent="0.25">
      <c r="A60" s="18" t="str">
        <v>ϴ 5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</row>
    <row r="61" spans="1:28" x14ac:dyDescent="0.25">
      <c r="A61" s="18" t="str">
        <v>6x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</row>
    <row r="62" spans="1:28" x14ac:dyDescent="0.25">
      <c r="A62" s="18" t="str">
        <v>6z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</row>
    <row r="63" spans="1:28" x14ac:dyDescent="0.25">
      <c r="A63" s="18" t="str">
        <v>ϴ 6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</row>
    <row r="64" spans="1:28" x14ac:dyDescent="0.25">
      <c r="A64" s="18" t="str">
        <v>ax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</row>
    <row r="65" spans="1:28" x14ac:dyDescent="0.25">
      <c r="A65" s="18" t="str">
        <v>az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</row>
    <row r="66" spans="1:28" x14ac:dyDescent="0.25">
      <c r="A66" s="18" t="str">
        <v>ϴ a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</row>
    <row r="67" spans="1:28" x14ac:dyDescent="0.25">
      <c r="A67" s="18" t="str">
        <v>bx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</row>
    <row r="68" spans="1:28" x14ac:dyDescent="0.25">
      <c r="A68" s="18" t="str">
        <v>bz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</row>
    <row r="69" spans="1:28" x14ac:dyDescent="0.25">
      <c r="A69" s="18" t="str">
        <v>ϴ b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</row>
    <row r="70" spans="1:28" x14ac:dyDescent="0.25">
      <c r="A70" s="18" t="str">
        <v>cx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</row>
    <row r="71" spans="1:28" x14ac:dyDescent="0.25">
      <c r="A71" s="18" t="str">
        <v>cz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</row>
    <row r="72" spans="1:28" x14ac:dyDescent="0.25">
      <c r="A72" s="18" t="str">
        <v>ϴ c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</row>
    <row r="75" spans="1:28" x14ac:dyDescent="0.25">
      <c r="A75" s="13" t="s">
        <v>59</v>
      </c>
      <c r="B75" s="13"/>
      <c r="C75" s="13"/>
      <c r="D75" s="13"/>
      <c r="E75" s="13"/>
      <c r="F75" s="13"/>
      <c r="G75" s="13"/>
      <c r="H75" s="13"/>
      <c r="I75" s="13"/>
      <c r="J75" s="13"/>
    </row>
    <row r="77" spans="1:28" x14ac:dyDescent="0.25">
      <c r="A77" s="1" t="s">
        <v>2</v>
      </c>
      <c r="B77" s="1">
        <v>625</v>
      </c>
      <c r="C77" s="1" t="s">
        <v>14</v>
      </c>
    </row>
    <row r="78" spans="1:28" x14ac:dyDescent="0.25">
      <c r="A78" s="1" t="s">
        <v>3</v>
      </c>
      <c r="B78" s="1">
        <f>POWER(25,4)/12</f>
        <v>32552.083333333332</v>
      </c>
      <c r="C78" s="1" t="s">
        <v>6</v>
      </c>
    </row>
    <row r="79" spans="1:28" x14ac:dyDescent="0.25">
      <c r="A79" s="1" t="s">
        <v>5</v>
      </c>
      <c r="B79" s="1">
        <v>400</v>
      </c>
      <c r="C79" s="1" t="s">
        <v>15</v>
      </c>
    </row>
    <row r="80" spans="1:28" x14ac:dyDescent="0.25">
      <c r="A80" s="1" t="s">
        <v>4</v>
      </c>
      <c r="B80" s="1">
        <f>15100*SQRT(210)</f>
        <v>218819.78886746051</v>
      </c>
      <c r="C80" s="2" t="s">
        <v>16</v>
      </c>
    </row>
    <row r="82" spans="1:9" x14ac:dyDescent="0.25">
      <c r="B82" s="1" t="s">
        <v>7</v>
      </c>
    </row>
    <row r="83" spans="1:9" x14ac:dyDescent="0.25">
      <c r="B83" s="1" t="s">
        <v>8</v>
      </c>
      <c r="C83" s="3">
        <f>(B80*B77)/B79</f>
        <v>341905.92010540701</v>
      </c>
      <c r="D83" s="1" t="s">
        <v>13</v>
      </c>
    </row>
    <row r="84" spans="1:9" x14ac:dyDescent="0.25">
      <c r="B84" s="1" t="s">
        <v>9</v>
      </c>
      <c r="C84" s="3">
        <f>(12*B80*B78)/(B79^3)</f>
        <v>1335.5700004117459</v>
      </c>
      <c r="D84" s="1" t="s">
        <v>13</v>
      </c>
    </row>
    <row r="85" spans="1:9" x14ac:dyDescent="0.25">
      <c r="B85" s="1" t="s">
        <v>10</v>
      </c>
      <c r="C85" s="3">
        <f>(6*B80*B78)/(B79^2)</f>
        <v>267114.00008234923</v>
      </c>
      <c r="D85" s="1" t="s">
        <v>13</v>
      </c>
    </row>
    <row r="86" spans="1:9" x14ac:dyDescent="0.25">
      <c r="B86" s="1" t="s">
        <v>11</v>
      </c>
      <c r="C86" s="3">
        <f>+(4*B80*B78)/(B79)</f>
        <v>71230400.021959797</v>
      </c>
      <c r="D86" s="1" t="s">
        <v>13</v>
      </c>
    </row>
    <row r="87" spans="1:9" x14ac:dyDescent="0.25">
      <c r="B87" s="1" t="s">
        <v>12</v>
      </c>
      <c r="C87" s="3">
        <f>+(2*B80*B78)/B79</f>
        <v>35615200.010979898</v>
      </c>
      <c r="D87" s="1" t="s">
        <v>13</v>
      </c>
    </row>
    <row r="88" spans="1:9" x14ac:dyDescent="0.25">
      <c r="C88" s="4"/>
    </row>
    <row r="89" spans="1:9" x14ac:dyDescent="0.25">
      <c r="A89" s="15" t="s">
        <v>17</v>
      </c>
      <c r="B89" s="15"/>
      <c r="C89" s="15"/>
      <c r="D89" s="15"/>
      <c r="E89" s="15"/>
      <c r="F89" s="15"/>
      <c r="G89" s="15"/>
    </row>
    <row r="90" spans="1:9" x14ac:dyDescent="0.25">
      <c r="A90" s="1" t="s">
        <v>18</v>
      </c>
      <c r="B90" s="5" t="s">
        <v>19</v>
      </c>
      <c r="C90" s="5" t="s">
        <v>20</v>
      </c>
      <c r="D90" s="5" t="s">
        <v>21</v>
      </c>
      <c r="E90" s="5" t="s">
        <v>22</v>
      </c>
      <c r="F90" s="5" t="s">
        <v>23</v>
      </c>
      <c r="G90" s="5" t="s">
        <v>24</v>
      </c>
    </row>
    <row r="91" spans="1:9" x14ac:dyDescent="0.25">
      <c r="A91" s="5" t="s">
        <v>19</v>
      </c>
      <c r="B91" s="6">
        <f>+C83</f>
        <v>341905.92010540701</v>
      </c>
      <c r="C91" s="6">
        <v>0</v>
      </c>
      <c r="D91" s="6">
        <v>0</v>
      </c>
      <c r="E91" s="7">
        <f>+-C83</f>
        <v>-341905.92010540701</v>
      </c>
      <c r="F91" s="7">
        <v>0</v>
      </c>
      <c r="G91" s="7">
        <v>0</v>
      </c>
      <c r="H91" s="17" t="s">
        <v>36</v>
      </c>
      <c r="I91" s="17"/>
    </row>
    <row r="92" spans="1:9" x14ac:dyDescent="0.25">
      <c r="A92" s="5" t="s">
        <v>20</v>
      </c>
      <c r="B92" s="6">
        <v>0</v>
      </c>
      <c r="C92" s="6">
        <f>+C84</f>
        <v>1335.5700004117459</v>
      </c>
      <c r="D92" s="6">
        <f>+C85</f>
        <v>267114.00008234923</v>
      </c>
      <c r="E92" s="7">
        <v>0</v>
      </c>
      <c r="F92" s="7">
        <f>-C84</f>
        <v>-1335.5700004117459</v>
      </c>
      <c r="G92" s="7">
        <f>+C85</f>
        <v>267114.00008234923</v>
      </c>
      <c r="H92" s="17"/>
      <c r="I92" s="17"/>
    </row>
    <row r="93" spans="1:9" x14ac:dyDescent="0.25">
      <c r="A93" s="5" t="s">
        <v>21</v>
      </c>
      <c r="B93" s="6">
        <v>0</v>
      </c>
      <c r="C93" s="6">
        <f>+C85</f>
        <v>267114.00008234923</v>
      </c>
      <c r="D93" s="6">
        <f>+C86</f>
        <v>71230400.021959797</v>
      </c>
      <c r="E93" s="7">
        <v>0</v>
      </c>
      <c r="F93" s="7">
        <f>+-C85</f>
        <v>-267114.00008234923</v>
      </c>
      <c r="G93" s="7">
        <f>+C87</f>
        <v>35615200.010979898</v>
      </c>
      <c r="H93" s="17"/>
      <c r="I93" s="17"/>
    </row>
    <row r="94" spans="1:9" x14ac:dyDescent="0.25">
      <c r="A94" s="5" t="s">
        <v>22</v>
      </c>
      <c r="B94" s="8">
        <f>-C83</f>
        <v>-341905.92010540701</v>
      </c>
      <c r="C94" s="8">
        <v>0</v>
      </c>
      <c r="D94" s="8">
        <v>0</v>
      </c>
      <c r="E94" s="9">
        <f>+C83</f>
        <v>341905.92010540701</v>
      </c>
      <c r="F94" s="9">
        <v>0</v>
      </c>
      <c r="G94" s="9">
        <v>0</v>
      </c>
      <c r="H94" s="17"/>
      <c r="I94" s="17"/>
    </row>
    <row r="95" spans="1:9" x14ac:dyDescent="0.25">
      <c r="A95" s="5" t="s">
        <v>23</v>
      </c>
      <c r="B95" s="8">
        <v>0</v>
      </c>
      <c r="C95" s="8">
        <f>-C84</f>
        <v>-1335.5700004117459</v>
      </c>
      <c r="D95" s="8">
        <f>-C85</f>
        <v>-267114.00008234923</v>
      </c>
      <c r="E95" s="9">
        <v>0</v>
      </c>
      <c r="F95" s="9">
        <f>C84</f>
        <v>1335.5700004117459</v>
      </c>
      <c r="G95" s="9">
        <f>-C85</f>
        <v>-267114.00008234923</v>
      </c>
      <c r="H95" s="17"/>
      <c r="I95" s="17"/>
    </row>
    <row r="96" spans="1:9" x14ac:dyDescent="0.25">
      <c r="A96" s="5" t="s">
        <v>24</v>
      </c>
      <c r="B96" s="8">
        <v>0</v>
      </c>
      <c r="C96" s="8">
        <f>+C85</f>
        <v>267114.00008234923</v>
      </c>
      <c r="D96" s="8">
        <f>+C87</f>
        <v>35615200.010979898</v>
      </c>
      <c r="E96" s="9">
        <v>0</v>
      </c>
      <c r="F96" s="9">
        <f>-C85</f>
        <v>-267114.00008234923</v>
      </c>
      <c r="G96" s="9">
        <f>C86</f>
        <v>71230400.021959797</v>
      </c>
      <c r="H96" s="17"/>
      <c r="I96" s="17"/>
    </row>
    <row r="98" spans="1:10" x14ac:dyDescent="0.25">
      <c r="A98" s="15" t="s">
        <v>25</v>
      </c>
      <c r="B98" s="15"/>
      <c r="C98" s="15"/>
      <c r="D98" s="15"/>
      <c r="E98" s="15"/>
      <c r="F98" s="15"/>
      <c r="G98" s="15"/>
      <c r="H98" s="15"/>
      <c r="I98" s="15"/>
      <c r="J98" s="15"/>
    </row>
    <row r="99" spans="1:10" x14ac:dyDescent="0.25">
      <c r="A99" s="4"/>
      <c r="B99" s="4"/>
      <c r="C99" s="16" t="s">
        <v>26</v>
      </c>
      <c r="D99" s="16"/>
      <c r="E99" s="16" t="s">
        <v>27</v>
      </c>
      <c r="F99" s="16"/>
      <c r="G99" s="16" t="s">
        <v>28</v>
      </c>
      <c r="H99" s="16"/>
      <c r="I99" s="16" t="s">
        <v>29</v>
      </c>
      <c r="J99" s="16"/>
    </row>
    <row r="100" spans="1:10" x14ac:dyDescent="0.25">
      <c r="A100" s="4" t="s">
        <v>30</v>
      </c>
      <c r="B100" s="10">
        <v>90</v>
      </c>
      <c r="C100" s="4" t="s">
        <v>2</v>
      </c>
      <c r="D100" s="11">
        <f>+B91</f>
        <v>341905.92010540701</v>
      </c>
      <c r="E100" s="4" t="s">
        <v>2</v>
      </c>
      <c r="F100" s="11">
        <f>+E91</f>
        <v>-341905.92010540701</v>
      </c>
      <c r="G100" s="4" t="s">
        <v>2</v>
      </c>
      <c r="H100" s="11">
        <f>+B94</f>
        <v>-341905.92010540701</v>
      </c>
      <c r="I100" s="4" t="s">
        <v>2</v>
      </c>
      <c r="J100" s="12">
        <f>+E94</f>
        <v>341905.92010540701</v>
      </c>
    </row>
    <row r="101" spans="1:10" x14ac:dyDescent="0.25">
      <c r="A101" s="4" t="s">
        <v>31</v>
      </c>
      <c r="B101" s="4">
        <f>SIN(RADIANS(B100))</f>
        <v>1</v>
      </c>
      <c r="C101" s="4" t="s">
        <v>33</v>
      </c>
      <c r="D101" s="11">
        <f>+C92</f>
        <v>1335.5700004117459</v>
      </c>
      <c r="E101" s="4" t="s">
        <v>33</v>
      </c>
      <c r="F101" s="11">
        <f>+F92</f>
        <v>-1335.5700004117459</v>
      </c>
      <c r="G101" s="4" t="s">
        <v>33</v>
      </c>
      <c r="H101" s="11">
        <f>+C95</f>
        <v>-1335.5700004117459</v>
      </c>
      <c r="I101" s="4" t="s">
        <v>33</v>
      </c>
      <c r="J101" s="12">
        <f>+F95</f>
        <v>1335.5700004117459</v>
      </c>
    </row>
    <row r="102" spans="1:10" x14ac:dyDescent="0.25">
      <c r="A102" s="4" t="s">
        <v>32</v>
      </c>
      <c r="B102" s="4">
        <f>COS(RADIANS(B100))</f>
        <v>6.1257422745431001E-17</v>
      </c>
      <c r="C102" s="4" t="s">
        <v>34</v>
      </c>
      <c r="D102" s="11">
        <f>+D93</f>
        <v>71230400.021959797</v>
      </c>
      <c r="E102" s="4" t="s">
        <v>34</v>
      </c>
      <c r="F102" s="11">
        <f>+G93</f>
        <v>35615200.010979898</v>
      </c>
      <c r="G102" s="4" t="s">
        <v>34</v>
      </c>
      <c r="H102" s="11">
        <f>+D96</f>
        <v>35615200.010979898</v>
      </c>
      <c r="I102" s="4" t="s">
        <v>34</v>
      </c>
      <c r="J102" s="12">
        <f>+G96</f>
        <v>71230400.021959797</v>
      </c>
    </row>
    <row r="103" spans="1:10" x14ac:dyDescent="0.25">
      <c r="A103" s="4"/>
      <c r="B103" s="4"/>
      <c r="C103" s="4" t="s">
        <v>35</v>
      </c>
      <c r="D103" s="11">
        <f>+D92</f>
        <v>267114.00008234923</v>
      </c>
      <c r="E103" s="4" t="s">
        <v>35</v>
      </c>
      <c r="F103" s="11">
        <f>+G92</f>
        <v>267114.00008234923</v>
      </c>
      <c r="G103" s="4" t="s">
        <v>35</v>
      </c>
      <c r="H103" s="11">
        <f>+D95</f>
        <v>-267114.00008234923</v>
      </c>
      <c r="I103" s="4" t="s">
        <v>35</v>
      </c>
      <c r="J103" s="12">
        <f>+G95</f>
        <v>-267114.00008234923</v>
      </c>
    </row>
    <row r="104" spans="1:10" x14ac:dyDescent="0.25">
      <c r="C104" s="4" t="s">
        <v>4</v>
      </c>
      <c r="D104" s="11">
        <f>+C93</f>
        <v>267114.00008234923</v>
      </c>
      <c r="E104" s="4" t="s">
        <v>4</v>
      </c>
      <c r="F104" s="11">
        <f>+F93</f>
        <v>-267114.00008234923</v>
      </c>
      <c r="G104" s="4" t="s">
        <v>4</v>
      </c>
      <c r="H104" s="11">
        <f>+C96</f>
        <v>267114.00008234923</v>
      </c>
      <c r="I104" s="4" t="s">
        <v>4</v>
      </c>
      <c r="J104" s="12">
        <f>+F96</f>
        <v>-267114.00008234923</v>
      </c>
    </row>
    <row r="108" spans="1:10" x14ac:dyDescent="0.25">
      <c r="A108" s="1" t="s">
        <v>18</v>
      </c>
      <c r="B108" s="5" t="s">
        <v>19</v>
      </c>
      <c r="C108" s="5" t="s">
        <v>20</v>
      </c>
      <c r="D108" s="5" t="s">
        <v>21</v>
      </c>
      <c r="E108" s="5" t="s">
        <v>22</v>
      </c>
      <c r="F108" s="5" t="s">
        <v>23</v>
      </c>
      <c r="G108" s="5" t="s">
        <v>24</v>
      </c>
    </row>
    <row r="109" spans="1:10" x14ac:dyDescent="0.25">
      <c r="A109" s="5" t="str">
        <f t="array" ref="A109:A114">+TRANSPOSE(B108:G108)</f>
        <v>1x</v>
      </c>
      <c r="B109" s="6">
        <f>(J100*B102*B102)+(J101*B101*B101)</f>
        <v>1335.5700004117459</v>
      </c>
      <c r="C109" s="6">
        <f>(J100-J101)*B102*B101</f>
        <v>2.0862461910941136E-11</v>
      </c>
      <c r="D109" s="6">
        <f>-J103*B101</f>
        <v>267114.00008234923</v>
      </c>
      <c r="E109" s="7">
        <v>0</v>
      </c>
      <c r="F109" s="7">
        <v>0</v>
      </c>
      <c r="G109" s="7">
        <v>0</v>
      </c>
    </row>
    <row r="110" spans="1:10" x14ac:dyDescent="0.25">
      <c r="A110" s="5" t="str">
        <v>1z</v>
      </c>
      <c r="B110" s="6">
        <f>(J100-J101)*B102*B101</f>
        <v>2.0862461910941136E-11</v>
      </c>
      <c r="C110" s="6">
        <f>+(J100*B101*B101)+(J101*B102*B102)</f>
        <v>341905.92010540701</v>
      </c>
      <c r="D110" s="6">
        <f>J103*B102</f>
        <v>-1.6362715224267559E-11</v>
      </c>
      <c r="E110" s="7">
        <v>0</v>
      </c>
      <c r="F110" s="7">
        <v>0</v>
      </c>
      <c r="G110" s="7">
        <v>0</v>
      </c>
    </row>
    <row r="111" spans="1:10" x14ac:dyDescent="0.25">
      <c r="A111" s="5" t="str">
        <v>ϴ 1</v>
      </c>
      <c r="B111" s="6">
        <f>-J104*B101</f>
        <v>267114.00008234923</v>
      </c>
      <c r="C111" s="6">
        <f>J104*B102</f>
        <v>-1.6362715224267559E-11</v>
      </c>
      <c r="D111" s="6">
        <f>+J102</f>
        <v>71230400.021959797</v>
      </c>
      <c r="E111" s="7">
        <v>0</v>
      </c>
      <c r="F111" s="7">
        <v>0</v>
      </c>
      <c r="G111" s="7">
        <v>0</v>
      </c>
    </row>
    <row r="112" spans="1:10" x14ac:dyDescent="0.25">
      <c r="A112" s="5" t="str">
        <v>ax</v>
      </c>
      <c r="B112" s="8">
        <v>0</v>
      </c>
      <c r="C112" s="8">
        <v>0</v>
      </c>
      <c r="D112" s="8">
        <v>0</v>
      </c>
      <c r="E112" s="9">
        <v>0</v>
      </c>
      <c r="F112" s="9">
        <v>0</v>
      </c>
      <c r="G112" s="9">
        <v>0</v>
      </c>
    </row>
    <row r="113" spans="1:28" x14ac:dyDescent="0.25">
      <c r="A113" s="5" t="str">
        <v>az</v>
      </c>
      <c r="B113" s="8">
        <v>0</v>
      </c>
      <c r="C113" s="8">
        <v>0</v>
      </c>
      <c r="D113" s="8">
        <v>0</v>
      </c>
      <c r="E113" s="9">
        <v>0</v>
      </c>
      <c r="F113" s="9">
        <v>0</v>
      </c>
      <c r="G113" s="9">
        <v>0</v>
      </c>
    </row>
    <row r="114" spans="1:28" x14ac:dyDescent="0.25">
      <c r="A114" s="5" t="str">
        <v>ϴ a</v>
      </c>
      <c r="B114" s="8">
        <v>0</v>
      </c>
      <c r="C114" s="8">
        <v>0</v>
      </c>
      <c r="D114" s="8">
        <v>0</v>
      </c>
      <c r="E114" s="9">
        <v>0</v>
      </c>
      <c r="F114" s="9">
        <v>0</v>
      </c>
      <c r="G114" s="9">
        <v>0</v>
      </c>
    </row>
    <row r="117" spans="1:28" x14ac:dyDescent="0.25">
      <c r="A117" s="1" t="s">
        <v>37</v>
      </c>
      <c r="B117" s="18" t="s">
        <v>19</v>
      </c>
      <c r="C117" s="18" t="s">
        <v>20</v>
      </c>
      <c r="D117" s="18" t="s">
        <v>21</v>
      </c>
      <c r="E117" s="18" t="s">
        <v>38</v>
      </c>
      <c r="F117" s="18" t="s">
        <v>39</v>
      </c>
      <c r="G117" s="18" t="s">
        <v>40</v>
      </c>
      <c r="H117" s="18" t="s">
        <v>41</v>
      </c>
      <c r="I117" s="18" t="s">
        <v>42</v>
      </c>
      <c r="J117" s="18" t="s">
        <v>43</v>
      </c>
      <c r="K117" s="18" t="s">
        <v>44</v>
      </c>
      <c r="L117" s="18" t="s">
        <v>45</v>
      </c>
      <c r="M117" s="18" t="s">
        <v>46</v>
      </c>
      <c r="N117" s="18" t="s">
        <v>47</v>
      </c>
      <c r="O117" s="18" t="s">
        <v>48</v>
      </c>
      <c r="P117" s="18" t="s">
        <v>49</v>
      </c>
      <c r="Q117" s="18" t="s">
        <v>50</v>
      </c>
      <c r="R117" s="18" t="s">
        <v>51</v>
      </c>
      <c r="S117" s="18" t="s">
        <v>52</v>
      </c>
      <c r="T117" s="18" t="s">
        <v>22</v>
      </c>
      <c r="U117" s="18" t="s">
        <v>23</v>
      </c>
      <c r="V117" s="18" t="s">
        <v>24</v>
      </c>
      <c r="W117" s="18" t="s">
        <v>53</v>
      </c>
      <c r="X117" s="18" t="s">
        <v>54</v>
      </c>
      <c r="Y117" s="18" t="s">
        <v>55</v>
      </c>
      <c r="Z117" s="18" t="s">
        <v>56</v>
      </c>
      <c r="AA117" s="18" t="s">
        <v>57</v>
      </c>
      <c r="AB117" s="18" t="s">
        <v>58</v>
      </c>
    </row>
    <row r="118" spans="1:28" x14ac:dyDescent="0.25">
      <c r="A118" s="18" t="str">
        <f t="array" ref="A118:A144">TRANSPOSE(B117:AB117)</f>
        <v>1x</v>
      </c>
      <c r="B118" s="1">
        <f t="array" ref="B118:D120">B109:D111</f>
        <v>1335.5700004117459</v>
      </c>
      <c r="C118" s="1">
        <v>2.0862461910941136E-11</v>
      </c>
      <c r="D118" s="1">
        <v>267114.00008234923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</row>
    <row r="119" spans="1:28" x14ac:dyDescent="0.25">
      <c r="A119" s="18" t="str">
        <v>1z</v>
      </c>
      <c r="B119" s="1">
        <v>2.0862461910941136E-11</v>
      </c>
      <c r="C119" s="1">
        <v>341905.92010540701</v>
      </c>
      <c r="D119" s="1">
        <v>-1.6362715224267559E-11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</row>
    <row r="120" spans="1:28" x14ac:dyDescent="0.25">
      <c r="A120" s="18" t="str">
        <v>ϴ 1</v>
      </c>
      <c r="B120" s="1">
        <v>267114.00008234923</v>
      </c>
      <c r="C120" s="1">
        <v>-1.6362715224267559E-11</v>
      </c>
      <c r="D120" s="1">
        <v>71230400.021959797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</row>
    <row r="121" spans="1:28" x14ac:dyDescent="0.25">
      <c r="A121" s="18" t="str">
        <v>2x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</row>
    <row r="122" spans="1:28" x14ac:dyDescent="0.25">
      <c r="A122" s="18" t="str">
        <v>2z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</row>
    <row r="123" spans="1:28" x14ac:dyDescent="0.25">
      <c r="A123" s="18" t="str">
        <v>ϴ 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</row>
    <row r="124" spans="1:28" x14ac:dyDescent="0.25">
      <c r="A124" s="18" t="str">
        <v>3x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</row>
    <row r="125" spans="1:28" x14ac:dyDescent="0.25">
      <c r="A125" s="18" t="str">
        <v>3z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</row>
    <row r="126" spans="1:28" x14ac:dyDescent="0.25">
      <c r="A126" s="18" t="str">
        <v>ϴ 3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</row>
    <row r="127" spans="1:28" x14ac:dyDescent="0.25">
      <c r="A127" s="18" t="str">
        <v>4x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</row>
    <row r="128" spans="1:28" x14ac:dyDescent="0.25">
      <c r="A128" s="18" t="str">
        <v>4z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</row>
    <row r="129" spans="1:28" x14ac:dyDescent="0.25">
      <c r="A129" s="18" t="str">
        <v>ϴ 4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</row>
    <row r="130" spans="1:28" x14ac:dyDescent="0.25">
      <c r="A130" s="18" t="str">
        <v>5x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</row>
    <row r="131" spans="1:28" x14ac:dyDescent="0.25">
      <c r="A131" s="18" t="str">
        <v>5z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</row>
    <row r="132" spans="1:28" x14ac:dyDescent="0.25">
      <c r="A132" s="18" t="str">
        <v>ϴ 5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</row>
    <row r="133" spans="1:28" x14ac:dyDescent="0.25">
      <c r="A133" s="18" t="str">
        <v>6x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</row>
    <row r="134" spans="1:28" x14ac:dyDescent="0.25">
      <c r="A134" s="18" t="str">
        <v>6z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</row>
    <row r="135" spans="1:28" x14ac:dyDescent="0.25">
      <c r="A135" s="18" t="str">
        <v>ϴ 6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</row>
    <row r="136" spans="1:28" x14ac:dyDescent="0.25">
      <c r="A136" s="18" t="str">
        <v>ax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</row>
    <row r="137" spans="1:28" x14ac:dyDescent="0.25">
      <c r="A137" s="18" t="str">
        <v>az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</row>
    <row r="138" spans="1:28" x14ac:dyDescent="0.25">
      <c r="A138" s="18" t="str">
        <v>ϴ a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</row>
    <row r="139" spans="1:28" x14ac:dyDescent="0.25">
      <c r="A139" s="18" t="str">
        <v>bx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</row>
    <row r="140" spans="1:28" x14ac:dyDescent="0.25">
      <c r="A140" s="18" t="str">
        <v>bz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</row>
    <row r="141" spans="1:28" x14ac:dyDescent="0.25">
      <c r="A141" s="18" t="str">
        <v>ϴ b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</row>
    <row r="142" spans="1:28" x14ac:dyDescent="0.25">
      <c r="A142" s="18" t="str">
        <v>cx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</row>
    <row r="143" spans="1:28" x14ac:dyDescent="0.25">
      <c r="A143" s="18" t="str">
        <v>cz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</row>
    <row r="144" spans="1:28" x14ac:dyDescent="0.25">
      <c r="A144" s="18" t="str">
        <v>ϴ c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</row>
  </sheetData>
  <mergeCells count="17">
    <mergeCell ref="A75:J75"/>
    <mergeCell ref="A89:G89"/>
    <mergeCell ref="H91:I96"/>
    <mergeCell ref="A98:J98"/>
    <mergeCell ref="C99:D99"/>
    <mergeCell ref="E99:F99"/>
    <mergeCell ref="G99:H99"/>
    <mergeCell ref="I99:J99"/>
    <mergeCell ref="A26:J26"/>
    <mergeCell ref="C27:D27"/>
    <mergeCell ref="E27:F27"/>
    <mergeCell ref="G27:H27"/>
    <mergeCell ref="I27:J27"/>
    <mergeCell ref="A3:J3"/>
    <mergeCell ref="A1:J1"/>
    <mergeCell ref="A17:G17"/>
    <mergeCell ref="H19:I24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Carreto</dc:creator>
  <cp:lastModifiedBy>Ivan Carreto</cp:lastModifiedBy>
  <dcterms:created xsi:type="dcterms:W3CDTF">2026-04-11T20:35:56Z</dcterms:created>
  <dcterms:modified xsi:type="dcterms:W3CDTF">2026-04-13T00:14:01Z</dcterms:modified>
</cp:coreProperties>
</file>