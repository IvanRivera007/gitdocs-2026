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gitdocs-2026\MAESTRIA\Analisis Estructural Lineal y no Lineal\ASIGNAICON 2\WERNER RAFAEL OROZCO MIRANDA\"/>
    </mc:Choice>
  </mc:AlternateContent>
  <xr:revisionPtr revIDLastSave="0" documentId="13_ncr:1_{7CC56E89-2242-4664-A4B0-ACF5F2CE9464}" xr6:coauthVersionLast="47" xr6:coauthVersionMax="47" xr10:uidLastSave="{00000000-0000-0000-0000-000000000000}"/>
  <bookViews>
    <workbookView xWindow="-120" yWindow="-120" windowWidth="20730" windowHeight="11160" xr2:uid="{DB67CA74-42EE-45C9-B8C9-B1E62D9F5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86" i="1" l="1"/>
  <c r="A385" i="1"/>
  <c r="A382" i="1"/>
  <c r="A381" i="1"/>
  <c r="A378" i="1"/>
  <c r="A377" i="1"/>
  <c r="A374" i="1"/>
  <c r="A373" i="1"/>
  <c r="A370" i="1"/>
  <c r="A369" i="1"/>
  <c r="A366" i="1"/>
  <c r="A365" i="1"/>
  <c r="A362" i="1"/>
  <c r="A361" i="1"/>
  <c r="A360" i="1" a="1"/>
  <c r="A384" i="1" s="1"/>
  <c r="G350" i="1"/>
  <c r="F350" i="1"/>
  <c r="E350" i="1"/>
  <c r="D350" i="1"/>
  <c r="C350" i="1"/>
  <c r="B350" i="1"/>
  <c r="A351" i="1" s="1" a="1"/>
  <c r="B343" i="1"/>
  <c r="H342" i="1"/>
  <c r="F342" i="1"/>
  <c r="B342" i="1"/>
  <c r="F335" i="1"/>
  <c r="J342" i="1" s="1"/>
  <c r="C335" i="1"/>
  <c r="E334" i="1"/>
  <c r="J341" i="1" s="1"/>
  <c r="B334" i="1"/>
  <c r="H341" i="1" s="1"/>
  <c r="F332" i="1"/>
  <c r="C332" i="1"/>
  <c r="D342" i="1" s="1"/>
  <c r="A336" i="1"/>
  <c r="A335" i="1"/>
  <c r="A333" i="1"/>
  <c r="A332" i="1"/>
  <c r="A331" i="1"/>
  <c r="A331" i="1" a="1"/>
  <c r="A334" i="1" s="1"/>
  <c r="C324" i="1"/>
  <c r="D336" i="1" s="1"/>
  <c r="H343" i="1" s="1"/>
  <c r="C323" i="1"/>
  <c r="G336" i="1" s="1"/>
  <c r="J343" i="1" s="1"/>
  <c r="D353" i="1" s="1"/>
  <c r="C322" i="1"/>
  <c r="D335" i="1" s="1"/>
  <c r="H344" i="1" s="1"/>
  <c r="C321" i="1"/>
  <c r="C320" i="1"/>
  <c r="E331" i="1" s="1"/>
  <c r="F341" i="1" s="1"/>
  <c r="Q295" i="1" a="1"/>
  <c r="Q295" i="1" s="1"/>
  <c r="S295" i="1"/>
  <c r="Q296" i="1"/>
  <c r="Q297" i="1"/>
  <c r="R297" i="1"/>
  <c r="A306" i="1"/>
  <c r="A305" i="1"/>
  <c r="A302" i="1"/>
  <c r="A301" i="1"/>
  <c r="A298" i="1"/>
  <c r="A297" i="1"/>
  <c r="A294" i="1"/>
  <c r="A293" i="1"/>
  <c r="A290" i="1"/>
  <c r="A289" i="1"/>
  <c r="A286" i="1"/>
  <c r="A285" i="1"/>
  <c r="A282" i="1"/>
  <c r="A281" i="1"/>
  <c r="A280" i="1" a="1"/>
  <c r="A304" i="1" s="1"/>
  <c r="G270" i="1"/>
  <c r="F270" i="1"/>
  <c r="E270" i="1"/>
  <c r="D270" i="1"/>
  <c r="C270" i="1"/>
  <c r="B270" i="1"/>
  <c r="B263" i="1"/>
  <c r="H262" i="1"/>
  <c r="F262" i="1"/>
  <c r="B262" i="1"/>
  <c r="F255" i="1"/>
  <c r="J262" i="1" s="1"/>
  <c r="C255" i="1"/>
  <c r="E254" i="1"/>
  <c r="J261" i="1" s="1"/>
  <c r="B254" i="1"/>
  <c r="H261" i="1" s="1"/>
  <c r="F252" i="1"/>
  <c r="C252" i="1"/>
  <c r="D262" i="1" s="1"/>
  <c r="A251" i="1" a="1"/>
  <c r="A254" i="1" s="1"/>
  <c r="C244" i="1"/>
  <c r="D256" i="1" s="1"/>
  <c r="H263" i="1" s="1"/>
  <c r="C243" i="1"/>
  <c r="G256" i="1" s="1"/>
  <c r="J263" i="1" s="1"/>
  <c r="D273" i="1" s="1"/>
  <c r="C242" i="1"/>
  <c r="D255" i="1" s="1"/>
  <c r="H264" i="1" s="1"/>
  <c r="C241" i="1"/>
  <c r="C240" i="1"/>
  <c r="E251" i="1" s="1"/>
  <c r="F261" i="1" s="1"/>
  <c r="E203" i="1" a="1"/>
  <c r="E203" i="1" s="1"/>
  <c r="F203" i="1"/>
  <c r="G203" i="1"/>
  <c r="E204" i="1"/>
  <c r="G204" i="1"/>
  <c r="E205" i="1"/>
  <c r="F205" i="1"/>
  <c r="C190" i="1"/>
  <c r="D190" i="1"/>
  <c r="E190" i="1"/>
  <c r="F190" i="1"/>
  <c r="A191" i="1" s="1" a="1"/>
  <c r="A195" i="1" s="1"/>
  <c r="G190" i="1"/>
  <c r="B190" i="1"/>
  <c r="A225" i="1"/>
  <c r="A221" i="1"/>
  <c r="A217" i="1"/>
  <c r="A213" i="1"/>
  <c r="A209" i="1"/>
  <c r="A205" i="1"/>
  <c r="A201" i="1"/>
  <c r="A200" i="1" a="1"/>
  <c r="A224" i="1" s="1"/>
  <c r="B183" i="1"/>
  <c r="J182" i="1"/>
  <c r="B182" i="1"/>
  <c r="C176" i="1"/>
  <c r="H185" i="1" s="1"/>
  <c r="F175" i="1"/>
  <c r="C175" i="1"/>
  <c r="H182" i="1" s="1"/>
  <c r="F173" i="1"/>
  <c r="F185" i="1" s="1"/>
  <c r="F172" i="1"/>
  <c r="F182" i="1" s="1"/>
  <c r="C172" i="1"/>
  <c r="D182" i="1" s="1"/>
  <c r="A171" i="1" a="1"/>
  <c r="A176" i="1" s="1"/>
  <c r="C164" i="1"/>
  <c r="D176" i="1" s="1"/>
  <c r="H183" i="1" s="1"/>
  <c r="C163" i="1"/>
  <c r="G176" i="1" s="1"/>
  <c r="J183" i="1" s="1"/>
  <c r="D193" i="1" s="1"/>
  <c r="C162" i="1"/>
  <c r="G175" i="1" s="1"/>
  <c r="J184" i="1" s="1"/>
  <c r="C161" i="1"/>
  <c r="C160" i="1"/>
  <c r="E174" i="1" s="1"/>
  <c r="J181" i="1" s="1"/>
  <c r="B120" i="1" a="1"/>
  <c r="C120" i="1" s="1"/>
  <c r="C352" i="1" l="1"/>
  <c r="B352" i="1"/>
  <c r="C351" i="1"/>
  <c r="B351" i="1"/>
  <c r="A355" i="1"/>
  <c r="A351" i="1"/>
  <c r="A353" i="1"/>
  <c r="A356" i="1"/>
  <c r="A352" i="1"/>
  <c r="A354" i="1"/>
  <c r="B331" i="1"/>
  <c r="D341" i="1" s="1"/>
  <c r="F333" i="1"/>
  <c r="F345" i="1" s="1"/>
  <c r="C336" i="1"/>
  <c r="H345" i="1" s="1"/>
  <c r="A363" i="1"/>
  <c r="A367" i="1"/>
  <c r="A371" i="1"/>
  <c r="A375" i="1"/>
  <c r="A379" i="1"/>
  <c r="A383" i="1"/>
  <c r="C333" i="1"/>
  <c r="D345" i="1" s="1"/>
  <c r="F336" i="1"/>
  <c r="J345" i="1" s="1"/>
  <c r="D332" i="1"/>
  <c r="D344" i="1" s="1"/>
  <c r="D333" i="1"/>
  <c r="D343" i="1" s="1"/>
  <c r="G335" i="1"/>
  <c r="J344" i="1" s="1"/>
  <c r="G332" i="1"/>
  <c r="F344" i="1" s="1"/>
  <c r="G333" i="1"/>
  <c r="F343" i="1" s="1"/>
  <c r="A360" i="1"/>
  <c r="A364" i="1"/>
  <c r="A368" i="1"/>
  <c r="A372" i="1"/>
  <c r="A376" i="1"/>
  <c r="A380" i="1"/>
  <c r="S296" i="1"/>
  <c r="R295" i="1"/>
  <c r="S297" i="1"/>
  <c r="R296" i="1"/>
  <c r="A271" i="1" a="1"/>
  <c r="A251" i="1"/>
  <c r="A256" i="1"/>
  <c r="A252" i="1"/>
  <c r="A253" i="1"/>
  <c r="A255" i="1"/>
  <c r="C271" i="1"/>
  <c r="C272" i="1"/>
  <c r="B271" i="1"/>
  <c r="B272" i="1"/>
  <c r="A275" i="1"/>
  <c r="A271" i="1"/>
  <c r="A276" i="1"/>
  <c r="A272" i="1"/>
  <c r="A274" i="1"/>
  <c r="A273" i="1"/>
  <c r="C253" i="1"/>
  <c r="D265" i="1" s="1"/>
  <c r="G255" i="1"/>
  <c r="J264" i="1" s="1"/>
  <c r="B251" i="1"/>
  <c r="D261" i="1" s="1"/>
  <c r="F253" i="1"/>
  <c r="F265" i="1" s="1"/>
  <c r="C256" i="1"/>
  <c r="H265" i="1" s="1"/>
  <c r="A283" i="1"/>
  <c r="A287" i="1"/>
  <c r="A291" i="1"/>
  <c r="A295" i="1"/>
  <c r="A299" i="1"/>
  <c r="A303" i="1"/>
  <c r="F256" i="1"/>
  <c r="J265" i="1" s="1"/>
  <c r="D252" i="1"/>
  <c r="D264" i="1" s="1"/>
  <c r="D253" i="1"/>
  <c r="D263" i="1" s="1"/>
  <c r="G252" i="1"/>
  <c r="F264" i="1" s="1"/>
  <c r="G253" i="1"/>
  <c r="F263" i="1" s="1"/>
  <c r="A280" i="1"/>
  <c r="A284" i="1"/>
  <c r="A288" i="1"/>
  <c r="A292" i="1"/>
  <c r="A296" i="1"/>
  <c r="A300" i="1"/>
  <c r="G205" i="1"/>
  <c r="F204" i="1"/>
  <c r="A192" i="1"/>
  <c r="A196" i="1"/>
  <c r="A171" i="1"/>
  <c r="A173" i="1"/>
  <c r="A175" i="1"/>
  <c r="D191" i="1"/>
  <c r="D192" i="1"/>
  <c r="C191" i="1"/>
  <c r="C192" i="1"/>
  <c r="B191" i="1"/>
  <c r="B192" i="1"/>
  <c r="B171" i="1"/>
  <c r="D181" i="1" s="1"/>
  <c r="A174" i="1"/>
  <c r="E171" i="1"/>
  <c r="F181" i="1" s="1"/>
  <c r="G172" i="1"/>
  <c r="F184" i="1" s="1"/>
  <c r="G173" i="1"/>
  <c r="F183" i="1" s="1"/>
  <c r="D175" i="1"/>
  <c r="H184" i="1" s="1"/>
  <c r="A193" i="1"/>
  <c r="A202" i="1"/>
  <c r="A206" i="1"/>
  <c r="A210" i="1"/>
  <c r="A214" i="1"/>
  <c r="A218" i="1"/>
  <c r="A222" i="1"/>
  <c r="A226" i="1"/>
  <c r="C173" i="1"/>
  <c r="D185" i="1" s="1"/>
  <c r="B174" i="1"/>
  <c r="H181" i="1" s="1"/>
  <c r="F176" i="1"/>
  <c r="J185" i="1" s="1"/>
  <c r="A194" i="1"/>
  <c r="A203" i="1"/>
  <c r="A207" i="1"/>
  <c r="A211" i="1"/>
  <c r="A215" i="1"/>
  <c r="A219" i="1"/>
  <c r="A223" i="1"/>
  <c r="A172" i="1"/>
  <c r="D172" i="1"/>
  <c r="D184" i="1" s="1"/>
  <c r="D173" i="1"/>
  <c r="D183" i="1" s="1"/>
  <c r="A191" i="1"/>
  <c r="A200" i="1"/>
  <c r="A204" i="1"/>
  <c r="A208" i="1"/>
  <c r="A212" i="1"/>
  <c r="A216" i="1"/>
  <c r="A220" i="1"/>
  <c r="B122" i="1"/>
  <c r="D120" i="1"/>
  <c r="D122" i="1"/>
  <c r="C121" i="1"/>
  <c r="B120" i="1"/>
  <c r="C122" i="1"/>
  <c r="B121" i="1"/>
  <c r="D121" i="1"/>
  <c r="D351" i="1" l="1"/>
  <c r="Q375" i="1" s="1" a="1"/>
  <c r="D352" i="1"/>
  <c r="B353" i="1"/>
  <c r="C353" i="1"/>
  <c r="B273" i="1"/>
  <c r="C273" i="1"/>
  <c r="D271" i="1"/>
  <c r="D272" i="1"/>
  <c r="B193" i="1"/>
  <c r="C193" i="1"/>
  <c r="S377" i="1" l="1"/>
  <c r="R376" i="1"/>
  <c r="Q375" i="1"/>
  <c r="S375" i="1"/>
  <c r="S376" i="1"/>
  <c r="R375" i="1"/>
  <c r="R377" i="1"/>
  <c r="Q376" i="1"/>
  <c r="Q377" i="1"/>
  <c r="A120" i="1" l="1" a="1"/>
  <c r="A120" i="1" s="1"/>
  <c r="B103" i="1"/>
  <c r="B102" i="1"/>
  <c r="A111" i="1" a="1"/>
  <c r="A116" i="1" s="1"/>
  <c r="A91" i="1" a="1"/>
  <c r="A91" i="1" s="1"/>
  <c r="C84" i="1"/>
  <c r="G93" i="1" s="1"/>
  <c r="F103" i="1" s="1"/>
  <c r="C83" i="1"/>
  <c r="D93" i="1" s="1"/>
  <c r="D103" i="1" s="1"/>
  <c r="C82" i="1"/>
  <c r="F96" i="1" s="1"/>
  <c r="J105" i="1" s="1"/>
  <c r="C81" i="1"/>
  <c r="F92" i="1" s="1"/>
  <c r="F102" i="1" s="1"/>
  <c r="C80" i="1"/>
  <c r="B91" i="1" s="1"/>
  <c r="D101" i="1" s="1"/>
  <c r="A143" i="1" l="1"/>
  <c r="A139" i="1"/>
  <c r="A135" i="1"/>
  <c r="A131" i="1"/>
  <c r="A127" i="1"/>
  <c r="A123" i="1"/>
  <c r="A145" i="1"/>
  <c r="A141" i="1"/>
  <c r="A137" i="1"/>
  <c r="A133" i="1"/>
  <c r="A129" i="1"/>
  <c r="A125" i="1"/>
  <c r="A121" i="1"/>
  <c r="A146" i="1"/>
  <c r="A142" i="1"/>
  <c r="A138" i="1"/>
  <c r="A134" i="1"/>
  <c r="A130" i="1"/>
  <c r="A126" i="1"/>
  <c r="A122" i="1"/>
  <c r="A144" i="1"/>
  <c r="A140" i="1"/>
  <c r="A136" i="1"/>
  <c r="A132" i="1"/>
  <c r="A128" i="1"/>
  <c r="A124" i="1"/>
  <c r="B113" i="1"/>
  <c r="C113" i="1"/>
  <c r="A113" i="1"/>
  <c r="A114" i="1"/>
  <c r="A111" i="1"/>
  <c r="A115" i="1"/>
  <c r="A112" i="1"/>
  <c r="E91" i="1"/>
  <c r="C96" i="1"/>
  <c r="D96" i="1"/>
  <c r="A96" i="1"/>
  <c r="A95" i="1"/>
  <c r="A94" i="1"/>
  <c r="E94" i="1"/>
  <c r="A92" i="1"/>
  <c r="B94" i="1"/>
  <c r="G95" i="1"/>
  <c r="C92" i="1"/>
  <c r="C93" i="1"/>
  <c r="G92" i="1"/>
  <c r="C95" i="1"/>
  <c r="G96" i="1"/>
  <c r="A93" i="1"/>
  <c r="F93" i="1"/>
  <c r="D95" i="1"/>
  <c r="F95" i="1"/>
  <c r="D92" i="1"/>
  <c r="H104" i="1" l="1"/>
  <c r="H102" i="1"/>
  <c r="H105" i="1"/>
  <c r="F105" i="1"/>
  <c r="F104" i="1"/>
  <c r="H101" i="1"/>
  <c r="F101" i="1"/>
  <c r="J104" i="1"/>
  <c r="D111" i="1" s="1"/>
  <c r="D104" i="1"/>
  <c r="D105" i="1"/>
  <c r="J102" i="1"/>
  <c r="J103" i="1"/>
  <c r="D113" i="1" s="1"/>
  <c r="D102" i="1"/>
  <c r="J101" i="1"/>
  <c r="H103" i="1"/>
  <c r="C112" i="1" l="1"/>
  <c r="D112" i="1"/>
  <c r="B111" i="1"/>
  <c r="C111" i="1"/>
  <c r="B112" i="1"/>
</calcChain>
</file>

<file path=xl/sharedStrings.xml><?xml version="1.0" encoding="utf-8"?>
<sst xmlns="http://schemas.openxmlformats.org/spreadsheetml/2006/main" count="412" uniqueCount="91">
  <si>
    <t>ELEMENTO 1, COLUMNA</t>
  </si>
  <si>
    <t>A=</t>
  </si>
  <si>
    <t>I=</t>
  </si>
  <si>
    <t>L=</t>
  </si>
  <si>
    <t>E=</t>
  </si>
  <si>
    <t>COEFICIENTES</t>
  </si>
  <si>
    <t>raz=</t>
  </si>
  <si>
    <t>raax=</t>
  </si>
  <si>
    <t>rabx=rbax</t>
  </si>
  <si>
    <t>r11x=r22x=</t>
  </si>
  <si>
    <t>r12x=r21x=</t>
  </si>
  <si>
    <t>IMAGEN 2</t>
  </si>
  <si>
    <t>IMAGEN1</t>
  </si>
  <si>
    <t>MATRIZ DE RIGIDEZ LOCAL DEL ELEMENTO 1</t>
  </si>
  <si>
    <t>k1</t>
  </si>
  <si>
    <t>1x</t>
  </si>
  <si>
    <t>1z</t>
  </si>
  <si>
    <t>Ө1</t>
  </si>
  <si>
    <t>ax</t>
  </si>
  <si>
    <t>az</t>
  </si>
  <si>
    <t>Өa</t>
  </si>
  <si>
    <t>IMAGEN 1</t>
  </si>
  <si>
    <t>MATRIZ DE RIGIDEZ GLOBAL DEL ELEMENTO 1</t>
  </si>
  <si>
    <t>K1</t>
  </si>
  <si>
    <t>2x</t>
  </si>
  <si>
    <t>2z</t>
  </si>
  <si>
    <t>Ө2</t>
  </si>
  <si>
    <t>3x</t>
  </si>
  <si>
    <t>3z</t>
  </si>
  <si>
    <t>Ө3</t>
  </si>
  <si>
    <t>4x</t>
  </si>
  <si>
    <t>4z</t>
  </si>
  <si>
    <t>Ө4</t>
  </si>
  <si>
    <t>bx</t>
  </si>
  <si>
    <t>bz</t>
  </si>
  <si>
    <t>Өb</t>
  </si>
  <si>
    <t>imagen min47</t>
  </si>
  <si>
    <t>Ө=</t>
  </si>
  <si>
    <t>sen Ө=</t>
  </si>
  <si>
    <t>cos Ө=</t>
  </si>
  <si>
    <t>A:</t>
  </si>
  <si>
    <t>B:</t>
  </si>
  <si>
    <t>C:</t>
  </si>
  <si>
    <t>D:</t>
  </si>
  <si>
    <t>E:</t>
  </si>
  <si>
    <t>CUADRANTE 1</t>
  </si>
  <si>
    <t>CUADRANTE 2</t>
  </si>
  <si>
    <t>CUADRANTE 3</t>
  </si>
  <si>
    <t>CUADRANTE 4</t>
  </si>
  <si>
    <t>LOS CUADRANTES RESTRINGIDOS NO APORTAN RIGIDEZ</t>
  </si>
  <si>
    <t>z</t>
  </si>
  <si>
    <t>Es axial</t>
  </si>
  <si>
    <t xml:space="preserve">ab yaa </t>
  </si>
  <si>
    <t>Furza flexion</t>
  </si>
  <si>
    <t>ABC</t>
  </si>
  <si>
    <t>Fuerza axial</t>
  </si>
  <si>
    <t>DE</t>
  </si>
  <si>
    <t>Fuerza cortante</t>
  </si>
  <si>
    <t>Diagonal principal</t>
  </si>
  <si>
    <t>Se usa el 4to cuadrante porque suma fuerzas la diagonal principal y resta cortantes la otra o sea tiene signo negativo</t>
  </si>
  <si>
    <t>ELEMENTO 2, COLUMNA</t>
  </si>
  <si>
    <t>MATRIZ DE RIGIDEZ LOCAL DEL ELEMENTO 2</t>
  </si>
  <si>
    <t>ELEMENTO 3, COLUMNA</t>
  </si>
  <si>
    <t>k2</t>
  </si>
  <si>
    <t>K2</t>
  </si>
  <si>
    <t>k3</t>
  </si>
  <si>
    <t>MATRIZ DE RIGIDEZ LOCAL DEL ELEMENTO 3</t>
  </si>
  <si>
    <t>K3</t>
  </si>
  <si>
    <t>UNIVERSIDAD DE SAN CARLOS DE GUATEMALA</t>
  </si>
  <si>
    <t>CENTRO UNIVERSITARIO DE OCCIDENTE</t>
  </si>
  <si>
    <t>DEPARTAMENTO DE ESTUDIOS DE POSTGRADOS</t>
  </si>
  <si>
    <t>MAESTRÍA EN INGENIERÍA ESTRUCTURAL Y SISMO RESISTENTE</t>
  </si>
  <si>
    <t>NOMRE: WERNER RAFAEL OROZCO MIRANDA</t>
  </si>
  <si>
    <t>CARNE: 201531829</t>
  </si>
  <si>
    <t>cm</t>
  </si>
  <si>
    <t>kg/cm2</t>
  </si>
  <si>
    <t>kg/cm3</t>
  </si>
  <si>
    <t>kg/cm4</t>
  </si>
  <si>
    <t>kg/cm5</t>
  </si>
  <si>
    <t>kg/cm6</t>
  </si>
  <si>
    <t>5x</t>
  </si>
  <si>
    <t>5z</t>
  </si>
  <si>
    <t>Ө5</t>
  </si>
  <si>
    <t>6x</t>
  </si>
  <si>
    <t>6z</t>
  </si>
  <si>
    <t>Ө6</t>
  </si>
  <si>
    <t>cx</t>
  </si>
  <si>
    <t>cz</t>
  </si>
  <si>
    <t>Өc</t>
  </si>
  <si>
    <t>MATRIZ DE RIGIDEZ GLOBAL DEL ELEMENTO 2</t>
  </si>
  <si>
    <t>MATRIZ DE RIGIDEZ GLOBAL DEL ELEMENTO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</si>
</sst>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4" xfId="0" applyBorder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1" fontId="0" fillId="0" borderId="0" xfId="0" applyNumberFormat="1" applyAlignment="1">
      <alignment horizontal="center"/>
    </xf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64" fontId="0" fillId="0" borderId="5" xfId="0" applyNumberForma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476250</xdr:colOff>
      <xdr:row>8</xdr:row>
      <xdr:rowOff>31750</xdr:rowOff>
    </xdr:from>
    <xdr:to>
      <xdr:col>31</xdr:col>
      <xdr:colOff>640277</xdr:colOff>
      <xdr:row>61</xdr:row>
      <xdr:rowOff>18924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25D516-1704-43E3-A156-561C1377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0" y="1555750"/>
          <a:ext cx="7784027" cy="10083674"/>
        </a:xfrm>
        <a:prstGeom prst="rect">
          <a:avLst/>
        </a:prstGeom>
      </xdr:spPr>
    </xdr:pic>
    <xdr:clientData/>
  </xdr:twoCellAnchor>
  <xdr:twoCellAnchor editAs="oneCell">
    <xdr:from>
      <xdr:col>10</xdr:col>
      <xdr:colOff>658000</xdr:colOff>
      <xdr:row>8</xdr:row>
      <xdr:rowOff>23000</xdr:rowOff>
    </xdr:from>
    <xdr:to>
      <xdr:col>20</xdr:col>
      <xdr:colOff>655340</xdr:colOff>
      <xdr:row>60</xdr:row>
      <xdr:rowOff>165330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ACF9D3-3413-4FE0-877B-DA981CEC4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8500" y="1547000"/>
          <a:ext cx="7784027" cy="10048330"/>
        </a:xfrm>
        <a:prstGeom prst="rect">
          <a:avLst/>
        </a:prstGeom>
      </xdr:spPr>
    </xdr:pic>
    <xdr:clientData/>
  </xdr:twoCellAnchor>
  <xdr:twoCellAnchor editAs="oneCell">
    <xdr:from>
      <xdr:col>0</xdr:col>
      <xdr:colOff>369103</xdr:colOff>
      <xdr:row>7</xdr:row>
      <xdr:rowOff>128992</xdr:rowOff>
    </xdr:from>
    <xdr:to>
      <xdr:col>10</xdr:col>
      <xdr:colOff>78008</xdr:colOff>
      <xdr:row>60</xdr:row>
      <xdr:rowOff>54550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1A4745C-E599-4D13-9365-16E64AD93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103" y="1462492"/>
          <a:ext cx="7754729" cy="10022058"/>
        </a:xfrm>
        <a:prstGeom prst="rect">
          <a:avLst/>
        </a:prstGeom>
      </xdr:spPr>
    </xdr:pic>
    <xdr:clientData/>
  </xdr:twoCellAnchor>
  <xdr:twoCellAnchor>
    <xdr:from>
      <xdr:col>23</xdr:col>
      <xdr:colOff>533400</xdr:colOff>
      <xdr:row>21</xdr:row>
      <xdr:rowOff>57151</xdr:rowOff>
    </xdr:from>
    <xdr:to>
      <xdr:col>23</xdr:col>
      <xdr:colOff>704850</xdr:colOff>
      <xdr:row>22</xdr:row>
      <xdr:rowOff>114301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BE3D078-14CD-874E-2C26-788FA1E79622}"/>
            </a:ext>
          </a:extLst>
        </xdr:cNvPr>
        <xdr:cNvSpPr txBox="1"/>
      </xdr:nvSpPr>
      <xdr:spPr>
        <a:xfrm>
          <a:off x="18640425" y="4057651"/>
          <a:ext cx="171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1</a:t>
          </a:r>
        </a:p>
      </xdr:txBody>
    </xdr:sp>
    <xdr:clientData/>
  </xdr:twoCellAnchor>
  <xdr:twoCellAnchor editAs="oneCell">
    <xdr:from>
      <xdr:col>21</xdr:col>
      <xdr:colOff>86967</xdr:colOff>
      <xdr:row>8</xdr:row>
      <xdr:rowOff>31750</xdr:rowOff>
    </xdr:from>
    <xdr:to>
      <xdr:col>31</xdr:col>
      <xdr:colOff>250994</xdr:colOff>
      <xdr:row>61</xdr:row>
      <xdr:rowOff>18924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55C957-9029-4F28-9B1E-D0FAFB18C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0" y="1555750"/>
          <a:ext cx="7784027" cy="10083674"/>
        </a:xfrm>
        <a:prstGeom prst="rect">
          <a:avLst/>
        </a:prstGeom>
      </xdr:spPr>
    </xdr:pic>
    <xdr:clientData/>
  </xdr:twoCellAnchor>
  <xdr:twoCellAnchor>
    <xdr:from>
      <xdr:col>23</xdr:col>
      <xdr:colOff>144117</xdr:colOff>
      <xdr:row>21</xdr:row>
      <xdr:rowOff>57151</xdr:rowOff>
    </xdr:from>
    <xdr:to>
      <xdr:col>23</xdr:col>
      <xdr:colOff>315567</xdr:colOff>
      <xdr:row>22</xdr:row>
      <xdr:rowOff>114301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29A12A5-BAD8-4B9A-90B0-710B756510E4}"/>
            </a:ext>
          </a:extLst>
        </xdr:cNvPr>
        <xdr:cNvSpPr txBox="1"/>
      </xdr:nvSpPr>
      <xdr:spPr>
        <a:xfrm>
          <a:off x="18249900" y="4057651"/>
          <a:ext cx="171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1</a:t>
          </a:r>
        </a:p>
      </xdr:txBody>
    </xdr:sp>
    <xdr:clientData/>
  </xdr:twoCellAnchor>
  <xdr:twoCellAnchor>
    <xdr:from>
      <xdr:col>25</xdr:col>
      <xdr:colOff>213691</xdr:colOff>
      <xdr:row>21</xdr:row>
      <xdr:rowOff>60464</xdr:rowOff>
    </xdr:from>
    <xdr:to>
      <xdr:col>25</xdr:col>
      <xdr:colOff>385141</xdr:colOff>
      <xdr:row>22</xdr:row>
      <xdr:rowOff>117614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10B5835-68DE-4B0A-8E05-ADDAA653DDFA}"/>
            </a:ext>
          </a:extLst>
        </xdr:cNvPr>
        <xdr:cNvSpPr txBox="1"/>
      </xdr:nvSpPr>
      <xdr:spPr>
        <a:xfrm>
          <a:off x="19843474" y="4060964"/>
          <a:ext cx="171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2</a:t>
          </a:r>
        </a:p>
      </xdr:txBody>
    </xdr:sp>
    <xdr:clientData/>
  </xdr:twoCellAnchor>
  <xdr:twoCellAnchor>
    <xdr:from>
      <xdr:col>26</xdr:col>
      <xdr:colOff>482048</xdr:colOff>
      <xdr:row>21</xdr:row>
      <xdr:rowOff>130038</xdr:rowOff>
    </xdr:from>
    <xdr:to>
      <xdr:col>26</xdr:col>
      <xdr:colOff>653498</xdr:colOff>
      <xdr:row>22</xdr:row>
      <xdr:rowOff>187188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9F31C7C-A70E-4EDC-A56B-2BA926B562D3}"/>
            </a:ext>
          </a:extLst>
        </xdr:cNvPr>
        <xdr:cNvSpPr txBox="1"/>
      </xdr:nvSpPr>
      <xdr:spPr>
        <a:xfrm>
          <a:off x="20873831" y="4130538"/>
          <a:ext cx="171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3</a:t>
          </a:r>
        </a:p>
      </xdr:txBody>
    </xdr:sp>
    <xdr:clientData/>
  </xdr:twoCellAnchor>
  <xdr:twoCellAnchor>
    <xdr:from>
      <xdr:col>23</xdr:col>
      <xdr:colOff>154057</xdr:colOff>
      <xdr:row>15</xdr:row>
      <xdr:rowOff>141633</xdr:rowOff>
    </xdr:from>
    <xdr:to>
      <xdr:col>23</xdr:col>
      <xdr:colOff>325507</xdr:colOff>
      <xdr:row>17</xdr:row>
      <xdr:rowOff>8283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375F5C36-7316-4AEB-B9FB-702B7C134B8E}"/>
            </a:ext>
          </a:extLst>
        </xdr:cNvPr>
        <xdr:cNvSpPr txBox="1"/>
      </xdr:nvSpPr>
      <xdr:spPr>
        <a:xfrm>
          <a:off x="18259840" y="2999133"/>
          <a:ext cx="171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4</a:t>
          </a:r>
        </a:p>
      </xdr:txBody>
    </xdr:sp>
    <xdr:clientData/>
  </xdr:twoCellAnchor>
  <xdr:twoCellAnchor>
    <xdr:from>
      <xdr:col>25</xdr:col>
      <xdr:colOff>149088</xdr:colOff>
      <xdr:row>15</xdr:row>
      <xdr:rowOff>136663</xdr:rowOff>
    </xdr:from>
    <xdr:to>
      <xdr:col>25</xdr:col>
      <xdr:colOff>320538</xdr:colOff>
      <xdr:row>17</xdr:row>
      <xdr:rowOff>3313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59C1E86-3673-4A10-88FB-B80D9EB3DBE8}"/>
            </a:ext>
          </a:extLst>
        </xdr:cNvPr>
        <xdr:cNvSpPr txBox="1"/>
      </xdr:nvSpPr>
      <xdr:spPr>
        <a:xfrm>
          <a:off x="19778871" y="2994163"/>
          <a:ext cx="171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5</a:t>
          </a:r>
        </a:p>
      </xdr:txBody>
    </xdr:sp>
    <xdr:clientData/>
  </xdr:twoCellAnchor>
  <xdr:twoCellAnchor>
    <xdr:from>
      <xdr:col>26</xdr:col>
      <xdr:colOff>607944</xdr:colOff>
      <xdr:row>15</xdr:row>
      <xdr:rowOff>115128</xdr:rowOff>
    </xdr:from>
    <xdr:to>
      <xdr:col>27</xdr:col>
      <xdr:colOff>17394</xdr:colOff>
      <xdr:row>16</xdr:row>
      <xdr:rowOff>172278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D105E8E-5BDF-479F-8B37-CAB541B6CB30}"/>
            </a:ext>
          </a:extLst>
        </xdr:cNvPr>
        <xdr:cNvSpPr txBox="1"/>
      </xdr:nvSpPr>
      <xdr:spPr>
        <a:xfrm>
          <a:off x="20999727" y="2972628"/>
          <a:ext cx="1714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/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995F-A0C2-4143-8CD1-F005ADBF21C8}">
  <dimension ref="A2:AB387"/>
  <sheetViews>
    <sheetView tabSelected="1" topLeftCell="O13" zoomScale="85" zoomScaleNormal="85" workbookViewId="0">
      <selection activeCell="AG42" sqref="AG42"/>
    </sheetView>
  </sheetViews>
  <sheetFormatPr baseColWidth="10" defaultRowHeight="15" x14ac:dyDescent="0.25"/>
  <cols>
    <col min="1" max="1" width="9.42578125" customWidth="1"/>
    <col min="2" max="2" width="12" bestFit="1" customWidth="1"/>
    <col min="3" max="3" width="12.7109375" bestFit="1" customWidth="1"/>
    <col min="4" max="4" width="14.140625" customWidth="1"/>
    <col min="5" max="5" width="11.5703125" bestFit="1" customWidth="1"/>
    <col min="6" max="6" width="12.85546875" bestFit="1" customWidth="1"/>
    <col min="7" max="7" width="13.5703125" bestFit="1" customWidth="1"/>
    <col min="17" max="18" width="11.5703125" bestFit="1" customWidth="1"/>
    <col min="19" max="19" width="13.5703125" bestFit="1" customWidth="1"/>
  </cols>
  <sheetData>
    <row r="2" spans="2:2" x14ac:dyDescent="0.25">
      <c r="B2" t="s">
        <v>68</v>
      </c>
    </row>
    <row r="3" spans="2:2" x14ac:dyDescent="0.25">
      <c r="B3" t="s">
        <v>69</v>
      </c>
    </row>
    <row r="4" spans="2:2" x14ac:dyDescent="0.25">
      <c r="B4" t="s">
        <v>70</v>
      </c>
    </row>
    <row r="5" spans="2:2" x14ac:dyDescent="0.25">
      <c r="B5" t="s">
        <v>71</v>
      </c>
    </row>
    <row r="6" spans="2:2" x14ac:dyDescent="0.25">
      <c r="B6" t="s">
        <v>72</v>
      </c>
    </row>
    <row r="7" spans="2:2" x14ac:dyDescent="0.25">
      <c r="B7" t="s">
        <v>73</v>
      </c>
    </row>
    <row r="68" spans="1:28" ht="15.75" thickBot="1" x14ac:dyDescent="0.3"/>
    <row r="69" spans="1:28" x14ac:dyDescent="0.25">
      <c r="A69" s="1"/>
      <c r="B69" s="32" t="s">
        <v>0</v>
      </c>
      <c r="C69" s="32"/>
      <c r="D69" s="32"/>
      <c r="E69" s="32"/>
      <c r="F69" s="32"/>
      <c r="G69" s="32"/>
      <c r="H69" s="3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"/>
    </row>
    <row r="70" spans="1:28" x14ac:dyDescent="0.25">
      <c r="A70" s="4"/>
      <c r="AB70" s="5"/>
    </row>
    <row r="71" spans="1:28" x14ac:dyDescent="0.25">
      <c r="A71" s="4"/>
      <c r="AB71" s="5"/>
    </row>
    <row r="72" spans="1:28" x14ac:dyDescent="0.25">
      <c r="A72" s="4"/>
      <c r="B72" s="26" t="s">
        <v>1</v>
      </c>
      <c r="C72">
        <v>625</v>
      </c>
      <c r="D72" t="s">
        <v>74</v>
      </c>
      <c r="G72" t="s">
        <v>12</v>
      </c>
      <c r="AB72" s="5"/>
    </row>
    <row r="73" spans="1:28" x14ac:dyDescent="0.25">
      <c r="A73" s="4"/>
      <c r="B73" s="26" t="s">
        <v>2</v>
      </c>
      <c r="C73">
        <v>32552.080000000002</v>
      </c>
      <c r="D73" t="s">
        <v>74</v>
      </c>
      <c r="AB73" s="5"/>
    </row>
    <row r="74" spans="1:28" x14ac:dyDescent="0.25">
      <c r="A74" s="4"/>
      <c r="B74" s="26" t="s">
        <v>3</v>
      </c>
      <c r="C74">
        <v>400</v>
      </c>
      <c r="D74" t="s">
        <v>74</v>
      </c>
      <c r="AB74" s="5"/>
    </row>
    <row r="75" spans="1:28" x14ac:dyDescent="0.25">
      <c r="A75" s="4"/>
      <c r="B75" s="26" t="s">
        <v>4</v>
      </c>
      <c r="C75">
        <v>218820.6</v>
      </c>
      <c r="D75" t="s">
        <v>75</v>
      </c>
      <c r="AB75" s="5"/>
    </row>
    <row r="76" spans="1:28" x14ac:dyDescent="0.25">
      <c r="A76" s="4"/>
      <c r="AB76" s="5"/>
    </row>
    <row r="77" spans="1:28" x14ac:dyDescent="0.25">
      <c r="A77" s="4"/>
      <c r="AB77" s="5"/>
    </row>
    <row r="78" spans="1:28" x14ac:dyDescent="0.25">
      <c r="A78" s="31" t="s">
        <v>5</v>
      </c>
      <c r="B78" s="30"/>
      <c r="C78" s="30"/>
      <c r="D78" s="30"/>
      <c r="AB78" s="5"/>
    </row>
    <row r="79" spans="1:28" x14ac:dyDescent="0.25">
      <c r="A79" s="4"/>
      <c r="AB79" s="5"/>
    </row>
    <row r="80" spans="1:28" x14ac:dyDescent="0.25">
      <c r="A80" s="4"/>
      <c r="B80" t="s">
        <v>6</v>
      </c>
      <c r="C80">
        <f>(C75*C72)/C74</f>
        <v>341907.1875</v>
      </c>
      <c r="D80" t="s">
        <v>75</v>
      </c>
      <c r="G80" t="s">
        <v>11</v>
      </c>
      <c r="AB80" s="5"/>
    </row>
    <row r="81" spans="1:28" x14ac:dyDescent="0.25">
      <c r="A81" s="4"/>
      <c r="B81" t="s">
        <v>7</v>
      </c>
      <c r="C81">
        <f>(12*C75*C73)/(C74^3)</f>
        <v>1335.5748144090001</v>
      </c>
      <c r="D81" t="s">
        <v>76</v>
      </c>
      <c r="AB81" s="5"/>
    </row>
    <row r="82" spans="1:28" x14ac:dyDescent="0.25">
      <c r="A82" s="4"/>
      <c r="B82" t="s">
        <v>8</v>
      </c>
      <c r="C82">
        <f>(6*C75*C73)/(C74^2)</f>
        <v>267114.96288180002</v>
      </c>
      <c r="D82" t="s">
        <v>77</v>
      </c>
      <c r="AB82" s="5"/>
    </row>
    <row r="83" spans="1:28" x14ac:dyDescent="0.25">
      <c r="A83" s="4"/>
      <c r="B83" t="s">
        <v>9</v>
      </c>
      <c r="C83">
        <f>(4*C75*C73)/C74</f>
        <v>71230656.768480003</v>
      </c>
      <c r="D83" t="s">
        <v>78</v>
      </c>
      <c r="AB83" s="5"/>
    </row>
    <row r="84" spans="1:28" x14ac:dyDescent="0.25">
      <c r="A84" s="4"/>
      <c r="B84" t="s">
        <v>10</v>
      </c>
      <c r="C84">
        <f>(2*C75*C73)/C74</f>
        <v>35615328.384240001</v>
      </c>
      <c r="D84" t="s">
        <v>79</v>
      </c>
      <c r="AB84" s="5"/>
    </row>
    <row r="85" spans="1:28" x14ac:dyDescent="0.25">
      <c r="A85" s="4"/>
      <c r="AB85" s="5"/>
    </row>
    <row r="86" spans="1:28" x14ac:dyDescent="0.25">
      <c r="A86" s="4"/>
      <c r="AB86" s="5"/>
    </row>
    <row r="87" spans="1:28" x14ac:dyDescent="0.25">
      <c r="A87" s="4"/>
      <c r="AB87" s="5"/>
    </row>
    <row r="88" spans="1:28" x14ac:dyDescent="0.25">
      <c r="A88" s="4"/>
      <c r="B88" s="30" t="s">
        <v>13</v>
      </c>
      <c r="C88" s="30"/>
      <c r="D88" s="30"/>
      <c r="E88" s="30"/>
      <c r="AB88" s="5"/>
    </row>
    <row r="89" spans="1:28" x14ac:dyDescent="0.25">
      <c r="A89" s="4"/>
      <c r="AB89" s="5"/>
    </row>
    <row r="90" spans="1:28" x14ac:dyDescent="0.25">
      <c r="A90" s="4" t="s">
        <v>14</v>
      </c>
      <c r="B90" s="6" t="s">
        <v>15</v>
      </c>
      <c r="C90" s="6" t="s">
        <v>16</v>
      </c>
      <c r="D90" s="7" t="s">
        <v>17</v>
      </c>
      <c r="E90" s="6" t="s">
        <v>18</v>
      </c>
      <c r="F90" s="6" t="s">
        <v>19</v>
      </c>
      <c r="G90" s="7" t="s">
        <v>20</v>
      </c>
      <c r="AB90" s="5"/>
    </row>
    <row r="91" spans="1:28" x14ac:dyDescent="0.25">
      <c r="A91" s="8" t="str">
        <f t="array" ref="A91:A96">TRANSPOSE(B90:G90)</f>
        <v>1x</v>
      </c>
      <c r="B91" s="9">
        <f>C80</f>
        <v>341907.1875</v>
      </c>
      <c r="C91" s="9">
        <v>0</v>
      </c>
      <c r="D91" s="9">
        <v>0</v>
      </c>
      <c r="E91" s="10">
        <f>-C80</f>
        <v>-341907.1875</v>
      </c>
      <c r="F91" s="10">
        <v>0</v>
      </c>
      <c r="G91" s="10">
        <v>0</v>
      </c>
      <c r="J91" t="s">
        <v>21</v>
      </c>
      <c r="AB91" s="5"/>
    </row>
    <row r="92" spans="1:28" x14ac:dyDescent="0.25">
      <c r="A92" s="8" t="str">
        <v>1z</v>
      </c>
      <c r="B92" s="9">
        <v>0</v>
      </c>
      <c r="C92" s="9">
        <f>C81</f>
        <v>1335.5748144090001</v>
      </c>
      <c r="D92" s="9">
        <f>C82</f>
        <v>267114.96288180002</v>
      </c>
      <c r="E92" s="10">
        <v>0</v>
      </c>
      <c r="F92" s="10">
        <f>-C81</f>
        <v>-1335.5748144090001</v>
      </c>
      <c r="G92" s="10">
        <f>C82</f>
        <v>267114.96288180002</v>
      </c>
      <c r="AB92" s="5"/>
    </row>
    <row r="93" spans="1:28" x14ac:dyDescent="0.25">
      <c r="A93" s="8" t="str">
        <v>Ө1</v>
      </c>
      <c r="B93" s="9">
        <v>0</v>
      </c>
      <c r="C93" s="9">
        <f>C82</f>
        <v>267114.96288180002</v>
      </c>
      <c r="D93" s="9">
        <f>C83</f>
        <v>71230656.768480003</v>
      </c>
      <c r="E93" s="10">
        <v>0</v>
      </c>
      <c r="F93" s="10">
        <f>-C82</f>
        <v>-267114.96288180002</v>
      </c>
      <c r="G93" s="10">
        <f>C84</f>
        <v>35615328.384240001</v>
      </c>
      <c r="AB93" s="5"/>
    </row>
    <row r="94" spans="1:28" x14ac:dyDescent="0.25">
      <c r="A94" s="8" t="str">
        <v>ax</v>
      </c>
      <c r="B94" s="11">
        <f>-C80</f>
        <v>-341907.1875</v>
      </c>
      <c r="C94" s="11">
        <v>0</v>
      </c>
      <c r="D94" s="11">
        <v>0</v>
      </c>
      <c r="E94" s="12">
        <f>C80</f>
        <v>341907.1875</v>
      </c>
      <c r="F94" s="12">
        <v>0</v>
      </c>
      <c r="G94" s="12">
        <v>0</v>
      </c>
      <c r="AB94" s="5"/>
    </row>
    <row r="95" spans="1:28" x14ac:dyDescent="0.25">
      <c r="A95" s="8" t="str">
        <v>az</v>
      </c>
      <c r="B95" s="11">
        <v>0</v>
      </c>
      <c r="C95" s="11">
        <f>-C81</f>
        <v>-1335.5748144090001</v>
      </c>
      <c r="D95" s="11">
        <f>-C82</f>
        <v>-267114.96288180002</v>
      </c>
      <c r="E95" s="12">
        <v>0</v>
      </c>
      <c r="F95" s="12">
        <f>C81</f>
        <v>1335.5748144090001</v>
      </c>
      <c r="G95" s="12">
        <f>-C82</f>
        <v>-267114.96288180002</v>
      </c>
      <c r="I95" t="s">
        <v>59</v>
      </c>
      <c r="AB95" s="5"/>
    </row>
    <row r="96" spans="1:28" x14ac:dyDescent="0.25">
      <c r="A96" s="8" t="str">
        <v>Өa</v>
      </c>
      <c r="B96" s="11">
        <v>0</v>
      </c>
      <c r="C96" s="11">
        <f>C82</f>
        <v>267114.96288180002</v>
      </c>
      <c r="D96" s="11">
        <f>C84</f>
        <v>35615328.384240001</v>
      </c>
      <c r="E96" s="12">
        <v>0</v>
      </c>
      <c r="F96" s="12">
        <f>-C82</f>
        <v>-267114.96288180002</v>
      </c>
      <c r="G96" s="12">
        <f>C83</f>
        <v>71230656.768480003</v>
      </c>
      <c r="AB96" s="5"/>
    </row>
    <row r="97" spans="1:28" x14ac:dyDescent="0.25">
      <c r="A97" s="4"/>
      <c r="AB97" s="5"/>
    </row>
    <row r="98" spans="1:28" x14ac:dyDescent="0.25">
      <c r="A98" s="31" t="s">
        <v>22</v>
      </c>
      <c r="B98" s="30"/>
      <c r="C98" s="30"/>
      <c r="D98" s="30"/>
      <c r="E98" s="30"/>
      <c r="F98" s="30"/>
      <c r="G98" s="30"/>
      <c r="H98" s="30"/>
      <c r="I98" s="30"/>
      <c r="AB98" s="5"/>
    </row>
    <row r="99" spans="1:28" x14ac:dyDescent="0.25">
      <c r="A99" s="25"/>
      <c r="B99" s="26"/>
      <c r="C99" s="26"/>
      <c r="D99" s="26"/>
      <c r="E99" s="26"/>
      <c r="F99" s="26"/>
      <c r="G99" s="26"/>
      <c r="H99" s="26"/>
      <c r="I99" s="26"/>
      <c r="AB99" s="5"/>
    </row>
    <row r="100" spans="1:28" x14ac:dyDescent="0.25">
      <c r="A100" s="25"/>
      <c r="B100" s="26"/>
      <c r="C100" s="30" t="s">
        <v>45</v>
      </c>
      <c r="D100" s="30"/>
      <c r="E100" s="30" t="s">
        <v>46</v>
      </c>
      <c r="F100" s="30"/>
      <c r="G100" s="30" t="s">
        <v>47</v>
      </c>
      <c r="H100" s="30"/>
      <c r="I100" s="30" t="s">
        <v>48</v>
      </c>
      <c r="J100" s="30"/>
      <c r="AB100" s="5"/>
    </row>
    <row r="101" spans="1:28" x14ac:dyDescent="0.25">
      <c r="A101" s="13" t="s">
        <v>37</v>
      </c>
      <c r="B101" s="26">
        <v>90</v>
      </c>
      <c r="C101" s="26" t="s">
        <v>40</v>
      </c>
      <c r="D101" s="14">
        <f>B91</f>
        <v>341907.1875</v>
      </c>
      <c r="E101" s="26" t="s">
        <v>40</v>
      </c>
      <c r="F101" s="14">
        <f>E91</f>
        <v>-341907.1875</v>
      </c>
      <c r="G101" s="26" t="s">
        <v>40</v>
      </c>
      <c r="H101" s="14">
        <f>B94</f>
        <v>-341907.1875</v>
      </c>
      <c r="I101" s="26" t="s">
        <v>40</v>
      </c>
      <c r="J101" s="15">
        <f>E94</f>
        <v>341907.1875</v>
      </c>
      <c r="AB101" s="5"/>
    </row>
    <row r="102" spans="1:28" x14ac:dyDescent="0.25">
      <c r="A102" s="13" t="s">
        <v>38</v>
      </c>
      <c r="B102" s="26">
        <f>SIN(RADIANS(B101))</f>
        <v>1</v>
      </c>
      <c r="C102" s="26" t="s">
        <v>41</v>
      </c>
      <c r="D102" s="14">
        <f>C92</f>
        <v>1335.5748144090001</v>
      </c>
      <c r="E102" s="26" t="s">
        <v>41</v>
      </c>
      <c r="F102" s="14">
        <f>F92</f>
        <v>-1335.5748144090001</v>
      </c>
      <c r="G102" s="26" t="s">
        <v>41</v>
      </c>
      <c r="H102" s="14">
        <f>C95</f>
        <v>-1335.5748144090001</v>
      </c>
      <c r="I102" s="26" t="s">
        <v>41</v>
      </c>
      <c r="J102" s="15">
        <f>F95</f>
        <v>1335.5748144090001</v>
      </c>
      <c r="AB102" s="5"/>
    </row>
    <row r="103" spans="1:28" x14ac:dyDescent="0.25">
      <c r="A103" s="13" t="s">
        <v>39</v>
      </c>
      <c r="B103" s="16">
        <f>COS(RADIANS(B101))</f>
        <v>6.1257422745431001E-17</v>
      </c>
      <c r="C103" s="26" t="s">
        <v>42</v>
      </c>
      <c r="D103" s="14">
        <f>D93</f>
        <v>71230656.768480003</v>
      </c>
      <c r="E103" s="26" t="s">
        <v>42</v>
      </c>
      <c r="F103" s="14">
        <f>G93</f>
        <v>35615328.384240001</v>
      </c>
      <c r="G103" s="26" t="s">
        <v>42</v>
      </c>
      <c r="H103" s="14">
        <f>D96</f>
        <v>35615328.384240001</v>
      </c>
      <c r="I103" s="26" t="s">
        <v>42</v>
      </c>
      <c r="J103" s="15">
        <f>G96</f>
        <v>71230656.768480003</v>
      </c>
      <c r="AB103" s="5"/>
    </row>
    <row r="104" spans="1:28" x14ac:dyDescent="0.25">
      <c r="A104" s="25"/>
      <c r="B104" s="26"/>
      <c r="C104" s="26" t="s">
        <v>43</v>
      </c>
      <c r="D104" s="14">
        <f>D92</f>
        <v>267114.96288180002</v>
      </c>
      <c r="E104" s="26" t="s">
        <v>43</v>
      </c>
      <c r="F104" s="14">
        <f>G92</f>
        <v>267114.96288180002</v>
      </c>
      <c r="G104" s="26" t="s">
        <v>43</v>
      </c>
      <c r="H104" s="14">
        <f>D95</f>
        <v>-267114.96288180002</v>
      </c>
      <c r="I104" s="26" t="s">
        <v>43</v>
      </c>
      <c r="J104" s="15">
        <f>G95</f>
        <v>-267114.96288180002</v>
      </c>
      <c r="AB104" s="5"/>
    </row>
    <row r="105" spans="1:28" x14ac:dyDescent="0.25">
      <c r="A105" s="25"/>
      <c r="B105" s="26"/>
      <c r="C105" s="26" t="s">
        <v>44</v>
      </c>
      <c r="D105" s="14">
        <f>C93</f>
        <v>267114.96288180002</v>
      </c>
      <c r="E105" s="26" t="s">
        <v>44</v>
      </c>
      <c r="F105" s="14">
        <f>F93</f>
        <v>-267114.96288180002</v>
      </c>
      <c r="G105" s="26" t="s">
        <v>44</v>
      </c>
      <c r="H105" s="14">
        <f>C96</f>
        <v>267114.96288180002</v>
      </c>
      <c r="I105" s="26" t="s">
        <v>44</v>
      </c>
      <c r="J105" s="15">
        <f>F96</f>
        <v>-267114.96288180002</v>
      </c>
      <c r="AB105" s="5"/>
    </row>
    <row r="106" spans="1:28" x14ac:dyDescent="0.25">
      <c r="A106" s="25"/>
      <c r="B106" s="26"/>
      <c r="C106" s="26"/>
      <c r="D106" s="26"/>
      <c r="E106" s="26"/>
      <c r="F106" s="26"/>
      <c r="G106" s="26"/>
      <c r="H106" s="26"/>
      <c r="I106" s="26"/>
      <c r="AB106" s="5"/>
    </row>
    <row r="107" spans="1:28" x14ac:dyDescent="0.25">
      <c r="A107" s="25"/>
      <c r="B107" s="26"/>
      <c r="C107" s="26"/>
      <c r="D107" s="26"/>
      <c r="E107" s="26"/>
      <c r="F107" s="26"/>
      <c r="G107" s="26"/>
      <c r="H107" s="26"/>
      <c r="I107" s="26"/>
      <c r="AB107" s="5"/>
    </row>
    <row r="108" spans="1:28" x14ac:dyDescent="0.25">
      <c r="A108" s="25"/>
      <c r="B108" s="26"/>
      <c r="C108" s="26"/>
      <c r="D108" s="26"/>
      <c r="E108" s="26"/>
      <c r="F108" s="26"/>
      <c r="G108" s="26"/>
      <c r="H108" s="26"/>
      <c r="I108" s="26"/>
      <c r="AB108" s="5"/>
    </row>
    <row r="109" spans="1:28" x14ac:dyDescent="0.25">
      <c r="A109" s="25"/>
      <c r="B109" s="26"/>
      <c r="C109" s="26"/>
      <c r="D109" s="26"/>
      <c r="E109" s="26"/>
      <c r="F109" s="26"/>
      <c r="G109" s="26"/>
      <c r="H109" s="26"/>
      <c r="I109" s="26"/>
      <c r="AB109" s="5"/>
    </row>
    <row r="110" spans="1:28" x14ac:dyDescent="0.25">
      <c r="A110" s="4" t="s">
        <v>14</v>
      </c>
      <c r="B110" s="6" t="s">
        <v>15</v>
      </c>
      <c r="C110" s="6" t="s">
        <v>16</v>
      </c>
      <c r="D110" s="7" t="s">
        <v>17</v>
      </c>
      <c r="E110" s="6" t="s">
        <v>18</v>
      </c>
      <c r="F110" s="6" t="s">
        <v>19</v>
      </c>
      <c r="G110" s="7" t="s">
        <v>20</v>
      </c>
      <c r="H110" s="26"/>
      <c r="I110" s="26"/>
      <c r="AB110" s="5"/>
    </row>
    <row r="111" spans="1:28" x14ac:dyDescent="0.25">
      <c r="A111" s="8" t="str">
        <f t="array" ref="A111:A116">TRANSPOSE(B110:G110)</f>
        <v>1x</v>
      </c>
      <c r="B111" s="17">
        <f>(J101*B103*B103)+(J102*B102*B102)</f>
        <v>1335.5748144090001</v>
      </c>
      <c r="C111" s="17">
        <f>(J101-J102)*B103*B102</f>
        <v>2.0862539253374438E-11</v>
      </c>
      <c r="D111" s="17">
        <f>-J104*B102</f>
        <v>267114.96288180002</v>
      </c>
      <c r="E111" s="18">
        <v>0</v>
      </c>
      <c r="F111" s="18">
        <v>0</v>
      </c>
      <c r="G111" s="18">
        <v>0</v>
      </c>
      <c r="H111" s="26"/>
      <c r="I111" s="26"/>
      <c r="AB111" s="5"/>
    </row>
    <row r="112" spans="1:28" x14ac:dyDescent="0.25">
      <c r="A112" s="8" t="str">
        <v>1z</v>
      </c>
      <c r="B112" s="17">
        <f>(J101-J102)*B102*B103</f>
        <v>2.0862539253374438E-11</v>
      </c>
      <c r="C112" s="17">
        <f>(J101*B102*B102)+(J102*B103*B103)</f>
        <v>341907.1875</v>
      </c>
      <c r="D112" s="17">
        <f>J104*B103</f>
        <v>-1.6362774202880535E-11</v>
      </c>
      <c r="E112" s="18">
        <v>0</v>
      </c>
      <c r="F112" s="18">
        <v>0</v>
      </c>
      <c r="G112" s="18">
        <v>0</v>
      </c>
      <c r="H112" s="26"/>
      <c r="I112" s="26"/>
      <c r="J112" t="s">
        <v>36</v>
      </c>
      <c r="AB112" s="5"/>
    </row>
    <row r="113" spans="1:28" x14ac:dyDescent="0.25">
      <c r="A113" s="8" t="str">
        <v>Ө1</v>
      </c>
      <c r="B113" s="17">
        <f>-J105*B102</f>
        <v>267114.96288180002</v>
      </c>
      <c r="C113" s="17">
        <f>J105*B103</f>
        <v>-1.6362774202880535E-11</v>
      </c>
      <c r="D113" s="17">
        <f>J103</f>
        <v>71230656.768480003</v>
      </c>
      <c r="E113" s="18">
        <v>0</v>
      </c>
      <c r="F113" s="18">
        <v>0</v>
      </c>
      <c r="G113" s="18">
        <v>0</v>
      </c>
      <c r="H113" s="26"/>
      <c r="I113" s="26"/>
      <c r="AB113" s="5"/>
    </row>
    <row r="114" spans="1:28" x14ac:dyDescent="0.25">
      <c r="A114" s="8" t="str">
        <v>ax</v>
      </c>
      <c r="B114" s="19">
        <v>0</v>
      </c>
      <c r="C114" s="19">
        <v>0</v>
      </c>
      <c r="D114" s="19">
        <v>0</v>
      </c>
      <c r="E114" s="20">
        <v>0</v>
      </c>
      <c r="F114" s="20">
        <v>0</v>
      </c>
      <c r="G114" s="20">
        <v>0</v>
      </c>
      <c r="H114" s="26"/>
      <c r="I114" s="26" t="s">
        <v>49</v>
      </c>
      <c r="AB114" s="5"/>
    </row>
    <row r="115" spans="1:28" x14ac:dyDescent="0.25">
      <c r="A115" s="8" t="str">
        <v>az</v>
      </c>
      <c r="B115" s="19">
        <v>0</v>
      </c>
      <c r="C115" s="19">
        <v>0</v>
      </c>
      <c r="D115" s="19">
        <v>0</v>
      </c>
      <c r="E115" s="20">
        <v>0</v>
      </c>
      <c r="F115" s="20">
        <v>0</v>
      </c>
      <c r="G115" s="20">
        <v>0</v>
      </c>
      <c r="H115" s="26" t="s">
        <v>50</v>
      </c>
      <c r="I115" s="26" t="s">
        <v>51</v>
      </c>
      <c r="K115" t="s">
        <v>54</v>
      </c>
      <c r="L115" t="s">
        <v>55</v>
      </c>
      <c r="M115" t="s">
        <v>58</v>
      </c>
      <c r="AB115" s="5"/>
    </row>
    <row r="116" spans="1:28" x14ac:dyDescent="0.25">
      <c r="A116" s="8" t="str">
        <v>Өa</v>
      </c>
      <c r="B116" s="19">
        <v>0</v>
      </c>
      <c r="C116" s="19">
        <v>0</v>
      </c>
      <c r="D116" s="19">
        <v>0</v>
      </c>
      <c r="E116" s="20">
        <v>0</v>
      </c>
      <c r="F116" s="20">
        <v>0</v>
      </c>
      <c r="G116" s="20">
        <v>0</v>
      </c>
      <c r="H116" s="26" t="s">
        <v>52</v>
      </c>
      <c r="I116" s="26" t="s">
        <v>53</v>
      </c>
      <c r="K116" t="s">
        <v>56</v>
      </c>
      <c r="L116" t="s">
        <v>57</v>
      </c>
      <c r="AB116" s="5"/>
    </row>
    <row r="117" spans="1:28" x14ac:dyDescent="0.25">
      <c r="A117" s="4"/>
      <c r="AB117" s="5"/>
    </row>
    <row r="118" spans="1:28" x14ac:dyDescent="0.25">
      <c r="A118" s="4"/>
      <c r="AB118" s="5"/>
    </row>
    <row r="119" spans="1:28" x14ac:dyDescent="0.25">
      <c r="A119" s="4" t="s">
        <v>23</v>
      </c>
      <c r="B119" s="6" t="s">
        <v>15</v>
      </c>
      <c r="C119" s="6" t="s">
        <v>16</v>
      </c>
      <c r="D119" s="7" t="s">
        <v>17</v>
      </c>
      <c r="E119" s="6" t="s">
        <v>24</v>
      </c>
      <c r="F119" s="6" t="s">
        <v>25</v>
      </c>
      <c r="G119" s="7" t="s">
        <v>26</v>
      </c>
      <c r="H119" s="6" t="s">
        <v>27</v>
      </c>
      <c r="I119" s="6" t="s">
        <v>28</v>
      </c>
      <c r="J119" s="7" t="s">
        <v>29</v>
      </c>
      <c r="K119" s="6" t="s">
        <v>30</v>
      </c>
      <c r="L119" s="6" t="s">
        <v>31</v>
      </c>
      <c r="M119" s="7" t="s">
        <v>32</v>
      </c>
      <c r="N119" s="6" t="s">
        <v>80</v>
      </c>
      <c r="O119" s="6" t="s">
        <v>81</v>
      </c>
      <c r="P119" s="7" t="s">
        <v>82</v>
      </c>
      <c r="Q119" s="6" t="s">
        <v>83</v>
      </c>
      <c r="R119" s="6" t="s">
        <v>84</v>
      </c>
      <c r="S119" s="7" t="s">
        <v>85</v>
      </c>
      <c r="T119" s="6" t="s">
        <v>18</v>
      </c>
      <c r="U119" s="6" t="s">
        <v>19</v>
      </c>
      <c r="V119" s="7" t="s">
        <v>20</v>
      </c>
      <c r="W119" s="6" t="s">
        <v>33</v>
      </c>
      <c r="X119" s="6" t="s">
        <v>34</v>
      </c>
      <c r="Y119" s="7" t="s">
        <v>35</v>
      </c>
      <c r="Z119" s="6" t="s">
        <v>86</v>
      </c>
      <c r="AA119" s="6" t="s">
        <v>87</v>
      </c>
      <c r="AB119" s="27" t="s">
        <v>88</v>
      </c>
    </row>
    <row r="120" spans="1:28" x14ac:dyDescent="0.25">
      <c r="A120" s="28" t="str">
        <f t="array" ref="A120:A146">TRANSPOSE(B119:AB119)</f>
        <v>1x</v>
      </c>
      <c r="B120" s="21">
        <f t="array" ref="B120:D122">B111:D113</f>
        <v>1335.5748144090001</v>
      </c>
      <c r="C120" s="21">
        <v>2.0862539253374438E-11</v>
      </c>
      <c r="D120" s="21">
        <v>267114.96288180002</v>
      </c>
      <c r="E120" s="21">
        <v>0</v>
      </c>
      <c r="F120" s="21">
        <v>0</v>
      </c>
      <c r="G120" s="21">
        <v>0</v>
      </c>
      <c r="H120" s="21">
        <v>0</v>
      </c>
      <c r="I120" s="21">
        <v>0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9">
        <v>0</v>
      </c>
    </row>
    <row r="121" spans="1:28" x14ac:dyDescent="0.25">
      <c r="A121" s="28" t="str">
        <v>1z</v>
      </c>
      <c r="B121" s="21">
        <v>2.0862539253374438E-11</v>
      </c>
      <c r="C121" s="21">
        <v>341907.1875</v>
      </c>
      <c r="D121" s="21">
        <v>-1.6362774202880535E-11</v>
      </c>
      <c r="E121" s="21">
        <v>0</v>
      </c>
      <c r="F121" s="21">
        <v>0</v>
      </c>
      <c r="G121" s="21">
        <v>0</v>
      </c>
      <c r="H121" s="21">
        <v>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9">
        <v>0</v>
      </c>
    </row>
    <row r="122" spans="1:28" x14ac:dyDescent="0.25">
      <c r="A122" s="28" t="str">
        <v>Ө1</v>
      </c>
      <c r="B122" s="21">
        <v>267114.96288180002</v>
      </c>
      <c r="C122" s="21">
        <v>-1.6362774202880535E-11</v>
      </c>
      <c r="D122" s="21">
        <v>71230656.768480003</v>
      </c>
      <c r="E122" s="21">
        <v>0</v>
      </c>
      <c r="F122" s="21">
        <v>0</v>
      </c>
      <c r="G122" s="21">
        <v>0</v>
      </c>
      <c r="H122" s="21">
        <v>0</v>
      </c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0</v>
      </c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9">
        <v>0</v>
      </c>
    </row>
    <row r="123" spans="1:28" x14ac:dyDescent="0.25">
      <c r="A123" s="28" t="str">
        <v>2x</v>
      </c>
      <c r="B123" s="21">
        <v>0</v>
      </c>
      <c r="C123" s="21">
        <v>0</v>
      </c>
      <c r="D123" s="21">
        <v>0</v>
      </c>
      <c r="E123" s="21">
        <v>0</v>
      </c>
      <c r="F123" s="21">
        <v>0</v>
      </c>
      <c r="G123" s="21">
        <v>0</v>
      </c>
      <c r="H123" s="21">
        <v>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9">
        <v>0</v>
      </c>
    </row>
    <row r="124" spans="1:28" x14ac:dyDescent="0.25">
      <c r="A124" s="28" t="str">
        <v>2z</v>
      </c>
      <c r="B124" s="21">
        <v>0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9">
        <v>0</v>
      </c>
    </row>
    <row r="125" spans="1:28" x14ac:dyDescent="0.25">
      <c r="A125" s="28" t="str">
        <v>Ө2</v>
      </c>
      <c r="B125" s="21">
        <v>0</v>
      </c>
      <c r="C125" s="21">
        <v>0</v>
      </c>
      <c r="D125" s="21">
        <v>0</v>
      </c>
      <c r="E125" s="21">
        <v>0</v>
      </c>
      <c r="F125" s="21">
        <v>0</v>
      </c>
      <c r="G125" s="21">
        <v>0</v>
      </c>
      <c r="H125" s="21">
        <v>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9">
        <v>0</v>
      </c>
    </row>
    <row r="126" spans="1:28" x14ac:dyDescent="0.25">
      <c r="A126" s="28" t="str">
        <v>3x</v>
      </c>
      <c r="B126" s="21">
        <v>0</v>
      </c>
      <c r="C126" s="21">
        <v>0</v>
      </c>
      <c r="D126" s="21">
        <v>0</v>
      </c>
      <c r="E126" s="21">
        <v>0</v>
      </c>
      <c r="F126" s="21">
        <v>0</v>
      </c>
      <c r="G126" s="21">
        <v>0</v>
      </c>
      <c r="H126" s="21">
        <v>0</v>
      </c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0</v>
      </c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9">
        <v>0</v>
      </c>
    </row>
    <row r="127" spans="1:28" x14ac:dyDescent="0.25">
      <c r="A127" s="28" t="str">
        <v>3z</v>
      </c>
      <c r="B127" s="21">
        <v>0</v>
      </c>
      <c r="C127" s="21">
        <v>0</v>
      </c>
      <c r="D127" s="21">
        <v>0</v>
      </c>
      <c r="E127" s="21">
        <v>0</v>
      </c>
      <c r="F127" s="21">
        <v>0</v>
      </c>
      <c r="G127" s="21">
        <v>0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9">
        <v>0</v>
      </c>
    </row>
    <row r="128" spans="1:28" x14ac:dyDescent="0.25">
      <c r="A128" s="28" t="str">
        <v>Ө3</v>
      </c>
      <c r="B128" s="21">
        <v>0</v>
      </c>
      <c r="C128" s="21">
        <v>0</v>
      </c>
      <c r="D128" s="21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9">
        <v>0</v>
      </c>
    </row>
    <row r="129" spans="1:28" x14ac:dyDescent="0.25">
      <c r="A129" s="28" t="str">
        <v>4x</v>
      </c>
      <c r="B129" s="21">
        <v>0</v>
      </c>
      <c r="C129" s="21">
        <v>0</v>
      </c>
      <c r="D129" s="21">
        <v>0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9">
        <v>0</v>
      </c>
    </row>
    <row r="130" spans="1:28" x14ac:dyDescent="0.25">
      <c r="A130" s="28" t="str">
        <v>4z</v>
      </c>
      <c r="B130" s="21">
        <v>0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9">
        <v>0</v>
      </c>
    </row>
    <row r="131" spans="1:28" x14ac:dyDescent="0.25">
      <c r="A131" s="28" t="str">
        <v>Ө4</v>
      </c>
      <c r="B131" s="21">
        <v>0</v>
      </c>
      <c r="C131" s="21">
        <v>0</v>
      </c>
      <c r="D131" s="21">
        <v>0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9">
        <v>0</v>
      </c>
    </row>
    <row r="132" spans="1:28" x14ac:dyDescent="0.25">
      <c r="A132" s="28" t="str">
        <v>5x</v>
      </c>
      <c r="B132" s="21">
        <v>0</v>
      </c>
      <c r="C132" s="21">
        <v>0</v>
      </c>
      <c r="D132" s="21">
        <v>0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9">
        <v>0</v>
      </c>
    </row>
    <row r="133" spans="1:28" x14ac:dyDescent="0.25">
      <c r="A133" s="28" t="str">
        <v>5z</v>
      </c>
      <c r="B133" s="21">
        <v>0</v>
      </c>
      <c r="C133" s="21">
        <v>0</v>
      </c>
      <c r="D133" s="21">
        <v>0</v>
      </c>
      <c r="E133" s="21">
        <v>0</v>
      </c>
      <c r="F133" s="21">
        <v>0</v>
      </c>
      <c r="G133" s="21">
        <v>0</v>
      </c>
      <c r="H133" s="21">
        <v>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9">
        <v>0</v>
      </c>
    </row>
    <row r="134" spans="1:28" x14ac:dyDescent="0.25">
      <c r="A134" s="28" t="str">
        <v>Ө5</v>
      </c>
      <c r="B134" s="21">
        <v>0</v>
      </c>
      <c r="C134" s="21">
        <v>0</v>
      </c>
      <c r="D134" s="21">
        <v>0</v>
      </c>
      <c r="E134" s="21">
        <v>0</v>
      </c>
      <c r="F134" s="21">
        <v>0</v>
      </c>
      <c r="G134" s="21">
        <v>0</v>
      </c>
      <c r="H134" s="21">
        <v>0</v>
      </c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0</v>
      </c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9">
        <v>0</v>
      </c>
    </row>
    <row r="135" spans="1:28" x14ac:dyDescent="0.25">
      <c r="A135" s="28" t="str">
        <v>6x</v>
      </c>
      <c r="B135" s="21">
        <v>0</v>
      </c>
      <c r="C135" s="21">
        <v>0</v>
      </c>
      <c r="D135" s="21">
        <v>0</v>
      </c>
      <c r="E135" s="21">
        <v>0</v>
      </c>
      <c r="F135" s="21">
        <v>0</v>
      </c>
      <c r="G135" s="21">
        <v>0</v>
      </c>
      <c r="H135" s="21">
        <v>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9">
        <v>0</v>
      </c>
    </row>
    <row r="136" spans="1:28" x14ac:dyDescent="0.25">
      <c r="A136" s="28" t="str">
        <v>6z</v>
      </c>
      <c r="B136" s="21">
        <v>0</v>
      </c>
      <c r="C136" s="21">
        <v>0</v>
      </c>
      <c r="D136" s="21">
        <v>0</v>
      </c>
      <c r="E136" s="21">
        <v>0</v>
      </c>
      <c r="F136" s="21">
        <v>0</v>
      </c>
      <c r="G136" s="21">
        <v>0</v>
      </c>
      <c r="H136" s="21">
        <v>0</v>
      </c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9">
        <v>0</v>
      </c>
    </row>
    <row r="137" spans="1:28" x14ac:dyDescent="0.25">
      <c r="A137" s="28" t="str">
        <v>Ө6</v>
      </c>
      <c r="B137" s="21">
        <v>0</v>
      </c>
      <c r="C137" s="21">
        <v>0</v>
      </c>
      <c r="D137" s="21">
        <v>0</v>
      </c>
      <c r="E137" s="21">
        <v>0</v>
      </c>
      <c r="F137" s="21">
        <v>0</v>
      </c>
      <c r="G137" s="21">
        <v>0</v>
      </c>
      <c r="H137" s="21">
        <v>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9">
        <v>0</v>
      </c>
    </row>
    <row r="138" spans="1:28" x14ac:dyDescent="0.25">
      <c r="A138" s="28" t="str">
        <v>ax</v>
      </c>
      <c r="B138" s="21">
        <v>0</v>
      </c>
      <c r="C138" s="21">
        <v>0</v>
      </c>
      <c r="D138" s="21">
        <v>0</v>
      </c>
      <c r="E138" s="21">
        <v>0</v>
      </c>
      <c r="F138" s="21">
        <v>0</v>
      </c>
      <c r="G138" s="21">
        <v>0</v>
      </c>
      <c r="H138" s="21">
        <v>0</v>
      </c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0</v>
      </c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9">
        <v>0</v>
      </c>
    </row>
    <row r="139" spans="1:28" x14ac:dyDescent="0.25">
      <c r="A139" s="28" t="str">
        <v>az</v>
      </c>
      <c r="B139" s="21">
        <v>0</v>
      </c>
      <c r="C139" s="21">
        <v>0</v>
      </c>
      <c r="D139" s="21">
        <v>0</v>
      </c>
      <c r="E139" s="21">
        <v>0</v>
      </c>
      <c r="F139" s="21">
        <v>0</v>
      </c>
      <c r="G139" s="21">
        <v>0</v>
      </c>
      <c r="H139" s="21">
        <v>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0</v>
      </c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9">
        <v>0</v>
      </c>
    </row>
    <row r="140" spans="1:28" x14ac:dyDescent="0.25">
      <c r="A140" s="28" t="str">
        <v>Өa</v>
      </c>
      <c r="B140" s="21">
        <v>0</v>
      </c>
      <c r="C140" s="21">
        <v>0</v>
      </c>
      <c r="D140" s="21">
        <v>0</v>
      </c>
      <c r="E140" s="21">
        <v>0</v>
      </c>
      <c r="F140" s="21">
        <v>0</v>
      </c>
      <c r="G140" s="21">
        <v>0</v>
      </c>
      <c r="H140" s="21">
        <v>0</v>
      </c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0</v>
      </c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9">
        <v>0</v>
      </c>
    </row>
    <row r="141" spans="1:28" x14ac:dyDescent="0.25">
      <c r="A141" s="28" t="str">
        <v>bx</v>
      </c>
      <c r="B141" s="21">
        <v>0</v>
      </c>
      <c r="C141" s="21">
        <v>0</v>
      </c>
      <c r="D141" s="21">
        <v>0</v>
      </c>
      <c r="E141" s="21">
        <v>0</v>
      </c>
      <c r="F141" s="21">
        <v>0</v>
      </c>
      <c r="G141" s="21">
        <v>0</v>
      </c>
      <c r="H141" s="21">
        <v>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9">
        <v>0</v>
      </c>
    </row>
    <row r="142" spans="1:28" x14ac:dyDescent="0.25">
      <c r="A142" s="28" t="str">
        <v>bz</v>
      </c>
      <c r="B142" s="21">
        <v>0</v>
      </c>
      <c r="C142" s="21">
        <v>0</v>
      </c>
      <c r="D142" s="21">
        <v>0</v>
      </c>
      <c r="E142" s="21">
        <v>0</v>
      </c>
      <c r="F142" s="21">
        <v>0</v>
      </c>
      <c r="G142" s="21">
        <v>0</v>
      </c>
      <c r="H142" s="21">
        <v>0</v>
      </c>
      <c r="I142" s="21">
        <v>0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0</v>
      </c>
      <c r="T142" s="21">
        <v>0</v>
      </c>
      <c r="U142" s="21">
        <v>0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9">
        <v>0</v>
      </c>
    </row>
    <row r="143" spans="1:28" x14ac:dyDescent="0.25">
      <c r="A143" s="28" t="str">
        <v>Өb</v>
      </c>
      <c r="B143" s="21">
        <v>0</v>
      </c>
      <c r="C143" s="21">
        <v>0</v>
      </c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9">
        <v>0</v>
      </c>
    </row>
    <row r="144" spans="1:28" x14ac:dyDescent="0.25">
      <c r="A144" s="28" t="str">
        <v>cx</v>
      </c>
      <c r="B144" s="21">
        <v>0</v>
      </c>
      <c r="C144" s="21">
        <v>0</v>
      </c>
      <c r="D144" s="21">
        <v>0</v>
      </c>
      <c r="E144" s="21">
        <v>0</v>
      </c>
      <c r="F144" s="21">
        <v>0</v>
      </c>
      <c r="G144" s="21">
        <v>0</v>
      </c>
      <c r="H144" s="21">
        <v>0</v>
      </c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9">
        <v>0</v>
      </c>
    </row>
    <row r="145" spans="1:28" x14ac:dyDescent="0.25">
      <c r="A145" s="28" t="str">
        <v>cz</v>
      </c>
      <c r="B145" s="21">
        <v>0</v>
      </c>
      <c r="C145" s="21">
        <v>0</v>
      </c>
      <c r="D145" s="21">
        <v>0</v>
      </c>
      <c r="E145" s="21">
        <v>0</v>
      </c>
      <c r="F145" s="21">
        <v>0</v>
      </c>
      <c r="G145" s="21">
        <v>0</v>
      </c>
      <c r="H145" s="21">
        <v>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9">
        <v>0</v>
      </c>
    </row>
    <row r="146" spans="1:28" x14ac:dyDescent="0.25">
      <c r="A146" s="28" t="str">
        <v>Өc</v>
      </c>
      <c r="B146" s="21">
        <v>0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9">
        <v>0</v>
      </c>
    </row>
    <row r="147" spans="1:28" ht="15.75" thickBot="1" x14ac:dyDescent="0.3">
      <c r="A147" s="22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4"/>
    </row>
    <row r="148" spans="1:28" ht="15.75" thickBot="1" x14ac:dyDescent="0.3"/>
    <row r="149" spans="1:28" x14ac:dyDescent="0.25">
      <c r="A149" s="1"/>
      <c r="B149" s="32" t="s">
        <v>60</v>
      </c>
      <c r="C149" s="32"/>
      <c r="D149" s="32"/>
      <c r="E149" s="32"/>
      <c r="F149" s="32"/>
      <c r="G149" s="32"/>
      <c r="H149" s="3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"/>
    </row>
    <row r="150" spans="1:28" x14ac:dyDescent="0.25">
      <c r="A150" s="4"/>
      <c r="AB150" s="5"/>
    </row>
    <row r="151" spans="1:28" x14ac:dyDescent="0.25">
      <c r="A151" s="4"/>
      <c r="AB151" s="5"/>
    </row>
    <row r="152" spans="1:28" x14ac:dyDescent="0.25">
      <c r="A152" s="4"/>
      <c r="B152" s="26" t="s">
        <v>1</v>
      </c>
      <c r="C152">
        <v>625</v>
      </c>
      <c r="D152" t="s">
        <v>74</v>
      </c>
      <c r="G152" t="s">
        <v>12</v>
      </c>
      <c r="AB152" s="5"/>
    </row>
    <row r="153" spans="1:28" x14ac:dyDescent="0.25">
      <c r="A153" s="4"/>
      <c r="B153" s="26" t="s">
        <v>2</v>
      </c>
      <c r="C153">
        <v>32552.080000000002</v>
      </c>
      <c r="D153" t="s">
        <v>74</v>
      </c>
      <c r="AB153" s="5"/>
    </row>
    <row r="154" spans="1:28" x14ac:dyDescent="0.25">
      <c r="A154" s="4"/>
      <c r="B154" s="26" t="s">
        <v>3</v>
      </c>
      <c r="C154">
        <v>400</v>
      </c>
      <c r="D154" t="s">
        <v>74</v>
      </c>
      <c r="AB154" s="5"/>
    </row>
    <row r="155" spans="1:28" x14ac:dyDescent="0.25">
      <c r="A155" s="4"/>
      <c r="B155" s="26" t="s">
        <v>4</v>
      </c>
      <c r="C155">
        <v>218820.6</v>
      </c>
      <c r="D155" t="s">
        <v>75</v>
      </c>
      <c r="AB155" s="5"/>
    </row>
    <row r="156" spans="1:28" x14ac:dyDescent="0.25">
      <c r="A156" s="4"/>
      <c r="AB156" s="5"/>
    </row>
    <row r="157" spans="1:28" x14ac:dyDescent="0.25">
      <c r="A157" s="4"/>
      <c r="AB157" s="5"/>
    </row>
    <row r="158" spans="1:28" x14ac:dyDescent="0.25">
      <c r="A158" s="31" t="s">
        <v>5</v>
      </c>
      <c r="B158" s="30"/>
      <c r="C158" s="30"/>
      <c r="D158" s="30"/>
      <c r="AB158" s="5"/>
    </row>
    <row r="159" spans="1:28" x14ac:dyDescent="0.25">
      <c r="A159" s="4"/>
      <c r="AB159" s="5"/>
    </row>
    <row r="160" spans="1:28" x14ac:dyDescent="0.25">
      <c r="A160" s="4"/>
      <c r="B160" t="s">
        <v>6</v>
      </c>
      <c r="C160">
        <f>(C155*C152)/C154</f>
        <v>341907.1875</v>
      </c>
      <c r="D160" t="s">
        <v>75</v>
      </c>
      <c r="G160" t="s">
        <v>11</v>
      </c>
      <c r="AB160" s="5"/>
    </row>
    <row r="161" spans="1:28" x14ac:dyDescent="0.25">
      <c r="A161" s="4"/>
      <c r="B161" t="s">
        <v>7</v>
      </c>
      <c r="C161">
        <f>(12*C155*C153)/(C154^3)</f>
        <v>1335.5748144090001</v>
      </c>
      <c r="D161" t="s">
        <v>76</v>
      </c>
      <c r="AB161" s="5"/>
    </row>
    <row r="162" spans="1:28" x14ac:dyDescent="0.25">
      <c r="A162" s="4"/>
      <c r="B162" t="s">
        <v>8</v>
      </c>
      <c r="C162">
        <f>(6*C155*C153)/(C154^2)</f>
        <v>267114.96288180002</v>
      </c>
      <c r="D162" t="s">
        <v>77</v>
      </c>
      <c r="AB162" s="5"/>
    </row>
    <row r="163" spans="1:28" x14ac:dyDescent="0.25">
      <c r="A163" s="4"/>
      <c r="B163" t="s">
        <v>9</v>
      </c>
      <c r="C163">
        <f>(4*C155*C153)/C154</f>
        <v>71230656.768480003</v>
      </c>
      <c r="D163" t="s">
        <v>78</v>
      </c>
      <c r="AB163" s="5"/>
    </row>
    <row r="164" spans="1:28" x14ac:dyDescent="0.25">
      <c r="A164" s="4"/>
      <c r="B164" t="s">
        <v>10</v>
      </c>
      <c r="C164">
        <f>(2*C155*C153)/C154</f>
        <v>35615328.384240001</v>
      </c>
      <c r="D164" t="s">
        <v>79</v>
      </c>
      <c r="AB164" s="5"/>
    </row>
    <row r="165" spans="1:28" x14ac:dyDescent="0.25">
      <c r="A165" s="4"/>
      <c r="AB165" s="5"/>
    </row>
    <row r="166" spans="1:28" x14ac:dyDescent="0.25">
      <c r="A166" s="4"/>
      <c r="AB166" s="5"/>
    </row>
    <row r="167" spans="1:28" x14ac:dyDescent="0.25">
      <c r="A167" s="4"/>
      <c r="AB167" s="5"/>
    </row>
    <row r="168" spans="1:28" x14ac:dyDescent="0.25">
      <c r="A168" s="4"/>
      <c r="B168" s="30" t="s">
        <v>61</v>
      </c>
      <c r="C168" s="30"/>
      <c r="D168" s="30"/>
      <c r="E168" s="30"/>
      <c r="AB168" s="5"/>
    </row>
    <row r="169" spans="1:28" x14ac:dyDescent="0.25">
      <c r="A169" s="4"/>
      <c r="AB169" s="5"/>
    </row>
    <row r="170" spans="1:28" x14ac:dyDescent="0.25">
      <c r="A170" s="4" t="s">
        <v>63</v>
      </c>
      <c r="B170" s="6" t="s">
        <v>24</v>
      </c>
      <c r="C170" s="6" t="s">
        <v>25</v>
      </c>
      <c r="D170" s="7" t="s">
        <v>26</v>
      </c>
      <c r="E170" s="6" t="s">
        <v>33</v>
      </c>
      <c r="F170" s="6" t="s">
        <v>34</v>
      </c>
      <c r="G170" s="7" t="s">
        <v>35</v>
      </c>
      <c r="AB170" s="5"/>
    </row>
    <row r="171" spans="1:28" x14ac:dyDescent="0.25">
      <c r="A171" s="8" t="str">
        <f t="array" ref="A171:A176">TRANSPOSE(B170:G170)</f>
        <v>2x</v>
      </c>
      <c r="B171" s="9">
        <f>C160</f>
        <v>341907.1875</v>
      </c>
      <c r="C171" s="9">
        <v>0</v>
      </c>
      <c r="D171" s="9">
        <v>0</v>
      </c>
      <c r="E171" s="10">
        <f>-C160</f>
        <v>-341907.1875</v>
      </c>
      <c r="F171" s="10">
        <v>0</v>
      </c>
      <c r="G171" s="10">
        <v>0</v>
      </c>
      <c r="J171" t="s">
        <v>21</v>
      </c>
      <c r="AB171" s="5"/>
    </row>
    <row r="172" spans="1:28" x14ac:dyDescent="0.25">
      <c r="A172" s="8" t="str">
        <v>2z</v>
      </c>
      <c r="B172" s="9">
        <v>0</v>
      </c>
      <c r="C172" s="9">
        <f>C161</f>
        <v>1335.5748144090001</v>
      </c>
      <c r="D172" s="9">
        <f>C162</f>
        <v>267114.96288180002</v>
      </c>
      <c r="E172" s="10">
        <v>0</v>
      </c>
      <c r="F172" s="10">
        <f>-C161</f>
        <v>-1335.5748144090001</v>
      </c>
      <c r="G172" s="10">
        <f>C162</f>
        <v>267114.96288180002</v>
      </c>
      <c r="AB172" s="5"/>
    </row>
    <row r="173" spans="1:28" x14ac:dyDescent="0.25">
      <c r="A173" s="8" t="str">
        <v>Ө2</v>
      </c>
      <c r="B173" s="9">
        <v>0</v>
      </c>
      <c r="C173" s="9">
        <f>C162</f>
        <v>267114.96288180002</v>
      </c>
      <c r="D173" s="9">
        <f>C163</f>
        <v>71230656.768480003</v>
      </c>
      <c r="E173" s="10">
        <v>0</v>
      </c>
      <c r="F173" s="10">
        <f>-C162</f>
        <v>-267114.96288180002</v>
      </c>
      <c r="G173" s="10">
        <f>C164</f>
        <v>35615328.384240001</v>
      </c>
      <c r="AB173" s="5"/>
    </row>
    <row r="174" spans="1:28" x14ac:dyDescent="0.25">
      <c r="A174" s="8" t="str">
        <v>bx</v>
      </c>
      <c r="B174" s="11">
        <f>-C160</f>
        <v>-341907.1875</v>
      </c>
      <c r="C174" s="11">
        <v>0</v>
      </c>
      <c r="D174" s="11">
        <v>0</v>
      </c>
      <c r="E174" s="12">
        <f>C160</f>
        <v>341907.1875</v>
      </c>
      <c r="F174" s="12">
        <v>0</v>
      </c>
      <c r="G174" s="12">
        <v>0</v>
      </c>
      <c r="AB174" s="5"/>
    </row>
    <row r="175" spans="1:28" x14ac:dyDescent="0.25">
      <c r="A175" s="8" t="str">
        <v>bz</v>
      </c>
      <c r="B175" s="11">
        <v>0</v>
      </c>
      <c r="C175" s="11">
        <f>-C161</f>
        <v>-1335.5748144090001</v>
      </c>
      <c r="D175" s="11">
        <f>-C162</f>
        <v>-267114.96288180002</v>
      </c>
      <c r="E175" s="12">
        <v>0</v>
      </c>
      <c r="F175" s="12">
        <f>C161</f>
        <v>1335.5748144090001</v>
      </c>
      <c r="G175" s="12">
        <f>-C162</f>
        <v>-267114.96288180002</v>
      </c>
      <c r="I175" t="s">
        <v>59</v>
      </c>
      <c r="AB175" s="5"/>
    </row>
    <row r="176" spans="1:28" x14ac:dyDescent="0.25">
      <c r="A176" s="8" t="str">
        <v>Өb</v>
      </c>
      <c r="B176" s="11">
        <v>0</v>
      </c>
      <c r="C176" s="11">
        <f>C162</f>
        <v>267114.96288180002</v>
      </c>
      <c r="D176" s="11">
        <f>C164</f>
        <v>35615328.384240001</v>
      </c>
      <c r="E176" s="12">
        <v>0</v>
      </c>
      <c r="F176" s="12">
        <f>-C162</f>
        <v>-267114.96288180002</v>
      </c>
      <c r="G176" s="12">
        <f>C163</f>
        <v>71230656.768480003</v>
      </c>
      <c r="AB176" s="5"/>
    </row>
    <row r="177" spans="1:28" x14ac:dyDescent="0.25">
      <c r="A177" s="4"/>
      <c r="AB177" s="5"/>
    </row>
    <row r="178" spans="1:28" x14ac:dyDescent="0.25">
      <c r="A178" s="31" t="s">
        <v>89</v>
      </c>
      <c r="B178" s="30"/>
      <c r="C178" s="30"/>
      <c r="D178" s="30"/>
      <c r="E178" s="30"/>
      <c r="F178" s="30"/>
      <c r="G178" s="30"/>
      <c r="H178" s="30"/>
      <c r="I178" s="30"/>
      <c r="AB178" s="5"/>
    </row>
    <row r="179" spans="1:28" x14ac:dyDescent="0.25">
      <c r="A179" s="25"/>
      <c r="B179" s="26"/>
      <c r="C179" s="26"/>
      <c r="D179" s="26"/>
      <c r="E179" s="26"/>
      <c r="F179" s="26"/>
      <c r="G179" s="26"/>
      <c r="H179" s="26"/>
      <c r="I179" s="26"/>
      <c r="AB179" s="5"/>
    </row>
    <row r="180" spans="1:28" x14ac:dyDescent="0.25">
      <c r="A180" s="25"/>
      <c r="B180" s="26"/>
      <c r="C180" s="30" t="s">
        <v>45</v>
      </c>
      <c r="D180" s="30"/>
      <c r="E180" s="30" t="s">
        <v>46</v>
      </c>
      <c r="F180" s="30"/>
      <c r="G180" s="30" t="s">
        <v>47</v>
      </c>
      <c r="H180" s="30"/>
      <c r="I180" s="30" t="s">
        <v>48</v>
      </c>
      <c r="J180" s="30"/>
      <c r="AB180" s="5"/>
    </row>
    <row r="181" spans="1:28" x14ac:dyDescent="0.25">
      <c r="A181" s="13" t="s">
        <v>37</v>
      </c>
      <c r="B181" s="26">
        <v>90</v>
      </c>
      <c r="C181" s="26" t="s">
        <v>40</v>
      </c>
      <c r="D181" s="14">
        <f>B171</f>
        <v>341907.1875</v>
      </c>
      <c r="E181" s="26" t="s">
        <v>40</v>
      </c>
      <c r="F181" s="14">
        <f>E171</f>
        <v>-341907.1875</v>
      </c>
      <c r="G181" s="26" t="s">
        <v>40</v>
      </c>
      <c r="H181" s="14">
        <f>B174</f>
        <v>-341907.1875</v>
      </c>
      <c r="I181" s="26" t="s">
        <v>40</v>
      </c>
      <c r="J181" s="15">
        <f>E174</f>
        <v>341907.1875</v>
      </c>
      <c r="AB181" s="5"/>
    </row>
    <row r="182" spans="1:28" x14ac:dyDescent="0.25">
      <c r="A182" s="13" t="s">
        <v>38</v>
      </c>
      <c r="B182" s="26">
        <f>SIN(RADIANS(B181))</f>
        <v>1</v>
      </c>
      <c r="C182" s="26" t="s">
        <v>41</v>
      </c>
      <c r="D182" s="14">
        <f>C172</f>
        <v>1335.5748144090001</v>
      </c>
      <c r="E182" s="26" t="s">
        <v>41</v>
      </c>
      <c r="F182" s="14">
        <f>F172</f>
        <v>-1335.5748144090001</v>
      </c>
      <c r="G182" s="26" t="s">
        <v>41</v>
      </c>
      <c r="H182" s="14">
        <f>C175</f>
        <v>-1335.5748144090001</v>
      </c>
      <c r="I182" s="26" t="s">
        <v>41</v>
      </c>
      <c r="J182" s="15">
        <f>F175</f>
        <v>1335.5748144090001</v>
      </c>
      <c r="AB182" s="5"/>
    </row>
    <row r="183" spans="1:28" x14ac:dyDescent="0.25">
      <c r="A183" s="13" t="s">
        <v>39</v>
      </c>
      <c r="B183" s="16">
        <f>COS(RADIANS(B181))</f>
        <v>6.1257422745431001E-17</v>
      </c>
      <c r="C183" s="26" t="s">
        <v>42</v>
      </c>
      <c r="D183" s="14">
        <f>D173</f>
        <v>71230656.768480003</v>
      </c>
      <c r="E183" s="26" t="s">
        <v>42</v>
      </c>
      <c r="F183" s="14">
        <f>G173</f>
        <v>35615328.384240001</v>
      </c>
      <c r="G183" s="26" t="s">
        <v>42</v>
      </c>
      <c r="H183" s="14">
        <f>D176</f>
        <v>35615328.384240001</v>
      </c>
      <c r="I183" s="26" t="s">
        <v>42</v>
      </c>
      <c r="J183" s="15">
        <f>G176</f>
        <v>71230656.768480003</v>
      </c>
      <c r="AB183" s="5"/>
    </row>
    <row r="184" spans="1:28" x14ac:dyDescent="0.25">
      <c r="A184" s="25"/>
      <c r="B184" s="26"/>
      <c r="C184" s="26" t="s">
        <v>43</v>
      </c>
      <c r="D184" s="14">
        <f>D172</f>
        <v>267114.96288180002</v>
      </c>
      <c r="E184" s="26" t="s">
        <v>43</v>
      </c>
      <c r="F184" s="14">
        <f>G172</f>
        <v>267114.96288180002</v>
      </c>
      <c r="G184" s="26" t="s">
        <v>43</v>
      </c>
      <c r="H184" s="14">
        <f>D175</f>
        <v>-267114.96288180002</v>
      </c>
      <c r="I184" s="26" t="s">
        <v>43</v>
      </c>
      <c r="J184" s="15">
        <f>G175</f>
        <v>-267114.96288180002</v>
      </c>
      <c r="AB184" s="5"/>
    </row>
    <row r="185" spans="1:28" x14ac:dyDescent="0.25">
      <c r="A185" s="25"/>
      <c r="B185" s="26"/>
      <c r="C185" s="26" t="s">
        <v>44</v>
      </c>
      <c r="D185" s="14">
        <f>C173</f>
        <v>267114.96288180002</v>
      </c>
      <c r="E185" s="26" t="s">
        <v>44</v>
      </c>
      <c r="F185" s="14">
        <f>F173</f>
        <v>-267114.96288180002</v>
      </c>
      <c r="G185" s="26" t="s">
        <v>44</v>
      </c>
      <c r="H185" s="14">
        <f>C176</f>
        <v>267114.96288180002</v>
      </c>
      <c r="I185" s="26" t="s">
        <v>44</v>
      </c>
      <c r="J185" s="15">
        <f>F176</f>
        <v>-267114.96288180002</v>
      </c>
      <c r="AB185" s="5"/>
    </row>
    <row r="186" spans="1:28" x14ac:dyDescent="0.25">
      <c r="A186" s="25"/>
      <c r="B186" s="26"/>
      <c r="C186" s="26"/>
      <c r="D186" s="26"/>
      <c r="E186" s="26"/>
      <c r="F186" s="26"/>
      <c r="G186" s="26"/>
      <c r="H186" s="26"/>
      <c r="I186" s="26"/>
      <c r="AB186" s="5"/>
    </row>
    <row r="187" spans="1:28" x14ac:dyDescent="0.25">
      <c r="A187" s="25"/>
      <c r="B187" s="26"/>
      <c r="C187" s="26"/>
      <c r="D187" s="26"/>
      <c r="E187" s="26"/>
      <c r="F187" s="26"/>
      <c r="G187" s="26"/>
      <c r="H187" s="26"/>
      <c r="I187" s="26"/>
      <c r="AB187" s="5"/>
    </row>
    <row r="188" spans="1:28" x14ac:dyDescent="0.25">
      <c r="A188" s="25"/>
      <c r="B188" s="26"/>
      <c r="C188" s="26"/>
      <c r="D188" s="26"/>
      <c r="E188" s="26"/>
      <c r="F188" s="26"/>
      <c r="G188" s="26"/>
      <c r="H188" s="26"/>
      <c r="I188" s="26"/>
      <c r="AB188" s="5"/>
    </row>
    <row r="189" spans="1:28" x14ac:dyDescent="0.25">
      <c r="A189" s="25"/>
      <c r="B189" s="26"/>
      <c r="C189" s="26"/>
      <c r="D189" s="26"/>
      <c r="E189" s="26"/>
      <c r="F189" s="26"/>
      <c r="G189" s="26"/>
      <c r="H189" s="26"/>
      <c r="I189" s="26"/>
      <c r="AB189" s="5"/>
    </row>
    <row r="190" spans="1:28" x14ac:dyDescent="0.25">
      <c r="A190" s="4" t="s">
        <v>63</v>
      </c>
      <c r="B190" s="6" t="str">
        <f>B170</f>
        <v>2x</v>
      </c>
      <c r="C190" s="6" t="str">
        <f t="shared" ref="C190:G190" si="0">C170</f>
        <v>2z</v>
      </c>
      <c r="D190" s="6" t="str">
        <f t="shared" si="0"/>
        <v>Ө2</v>
      </c>
      <c r="E190" s="6" t="str">
        <f t="shared" si="0"/>
        <v>bx</v>
      </c>
      <c r="F190" s="6" t="str">
        <f t="shared" si="0"/>
        <v>bz</v>
      </c>
      <c r="G190" s="6" t="str">
        <f t="shared" si="0"/>
        <v>Өb</v>
      </c>
      <c r="H190" s="26"/>
      <c r="I190" s="26"/>
      <c r="AB190" s="5"/>
    </row>
    <row r="191" spans="1:28" x14ac:dyDescent="0.25">
      <c r="A191" s="8" t="str">
        <f t="array" ref="A191:A196">TRANSPOSE(B190:G190)</f>
        <v>2x</v>
      </c>
      <c r="B191" s="17">
        <f>(J181*B183*B183)+(J182*B182*B182)</f>
        <v>1335.5748144090001</v>
      </c>
      <c r="C191" s="17">
        <f>(J181-J182)*B183*B182</f>
        <v>2.0862539253374438E-11</v>
      </c>
      <c r="D191" s="17">
        <f>-J184*B182</f>
        <v>267114.96288180002</v>
      </c>
      <c r="E191" s="18">
        <v>0</v>
      </c>
      <c r="F191" s="18">
        <v>0</v>
      </c>
      <c r="G191" s="18">
        <v>0</v>
      </c>
      <c r="H191" s="26"/>
      <c r="I191" s="26"/>
      <c r="AB191" s="5"/>
    </row>
    <row r="192" spans="1:28" x14ac:dyDescent="0.25">
      <c r="A192" s="8" t="str">
        <v>2z</v>
      </c>
      <c r="B192" s="17">
        <f>(J181-J182)*B182*B183</f>
        <v>2.0862539253374438E-11</v>
      </c>
      <c r="C192" s="17">
        <f>(J181*B182*B182)+(J182*B183*B183)</f>
        <v>341907.1875</v>
      </c>
      <c r="D192" s="17">
        <f>J184*B183</f>
        <v>-1.6362774202880535E-11</v>
      </c>
      <c r="E192" s="18">
        <v>0</v>
      </c>
      <c r="F192" s="18">
        <v>0</v>
      </c>
      <c r="G192" s="18">
        <v>0</v>
      </c>
      <c r="H192" s="26"/>
      <c r="I192" s="26"/>
      <c r="J192" t="s">
        <v>36</v>
      </c>
      <c r="AB192" s="5"/>
    </row>
    <row r="193" spans="1:28" x14ac:dyDescent="0.25">
      <c r="A193" s="8" t="str">
        <v>Ө2</v>
      </c>
      <c r="B193" s="17">
        <f>-J185*B182</f>
        <v>267114.96288180002</v>
      </c>
      <c r="C193" s="17">
        <f>J185*B183</f>
        <v>-1.6362774202880535E-11</v>
      </c>
      <c r="D193" s="17">
        <f>J183</f>
        <v>71230656.768480003</v>
      </c>
      <c r="E193" s="18">
        <v>0</v>
      </c>
      <c r="F193" s="18">
        <v>0</v>
      </c>
      <c r="G193" s="18">
        <v>0</v>
      </c>
      <c r="H193" s="26"/>
      <c r="I193" s="26"/>
      <c r="AB193" s="5"/>
    </row>
    <row r="194" spans="1:28" x14ac:dyDescent="0.25">
      <c r="A194" s="8" t="str">
        <v>bx</v>
      </c>
      <c r="B194" s="19">
        <v>0</v>
      </c>
      <c r="C194" s="19">
        <v>0</v>
      </c>
      <c r="D194" s="19">
        <v>0</v>
      </c>
      <c r="E194" s="20">
        <v>0</v>
      </c>
      <c r="F194" s="20">
        <v>0</v>
      </c>
      <c r="G194" s="20">
        <v>0</v>
      </c>
      <c r="H194" s="26"/>
      <c r="I194" s="26" t="s">
        <v>49</v>
      </c>
      <c r="AB194" s="5"/>
    </row>
    <row r="195" spans="1:28" x14ac:dyDescent="0.25">
      <c r="A195" s="8" t="str">
        <v>bz</v>
      </c>
      <c r="B195" s="19">
        <v>0</v>
      </c>
      <c r="C195" s="19">
        <v>0</v>
      </c>
      <c r="D195" s="19">
        <v>0</v>
      </c>
      <c r="E195" s="20">
        <v>0</v>
      </c>
      <c r="F195" s="20">
        <v>0</v>
      </c>
      <c r="G195" s="20">
        <v>0</v>
      </c>
      <c r="H195" s="26" t="s">
        <v>50</v>
      </c>
      <c r="I195" s="26" t="s">
        <v>51</v>
      </c>
      <c r="K195" t="s">
        <v>54</v>
      </c>
      <c r="L195" t="s">
        <v>55</v>
      </c>
      <c r="M195" t="s">
        <v>58</v>
      </c>
      <c r="AB195" s="5"/>
    </row>
    <row r="196" spans="1:28" x14ac:dyDescent="0.25">
      <c r="A196" s="8" t="str">
        <v>Өb</v>
      </c>
      <c r="B196" s="19">
        <v>0</v>
      </c>
      <c r="C196" s="19">
        <v>0</v>
      </c>
      <c r="D196" s="19">
        <v>0</v>
      </c>
      <c r="E196" s="20">
        <v>0</v>
      </c>
      <c r="F196" s="20">
        <v>0</v>
      </c>
      <c r="G196" s="20">
        <v>0</v>
      </c>
      <c r="H196" s="26" t="s">
        <v>52</v>
      </c>
      <c r="I196" s="26" t="s">
        <v>53</v>
      </c>
      <c r="K196" t="s">
        <v>56</v>
      </c>
      <c r="L196" t="s">
        <v>57</v>
      </c>
      <c r="AB196" s="5"/>
    </row>
    <row r="197" spans="1:28" x14ac:dyDescent="0.25">
      <c r="A197" s="4"/>
      <c r="AB197" s="5"/>
    </row>
    <row r="198" spans="1:28" x14ac:dyDescent="0.25">
      <c r="A198" s="4"/>
      <c r="AB198" s="5"/>
    </row>
    <row r="199" spans="1:28" x14ac:dyDescent="0.25">
      <c r="A199" s="4" t="s">
        <v>64</v>
      </c>
      <c r="B199" s="6" t="s">
        <v>15</v>
      </c>
      <c r="C199" s="6" t="s">
        <v>16</v>
      </c>
      <c r="D199" s="7" t="s">
        <v>17</v>
      </c>
      <c r="E199" s="6" t="s">
        <v>24</v>
      </c>
      <c r="F199" s="6" t="s">
        <v>25</v>
      </c>
      <c r="G199" s="7" t="s">
        <v>26</v>
      </c>
      <c r="H199" s="6" t="s">
        <v>27</v>
      </c>
      <c r="I199" s="6" t="s">
        <v>28</v>
      </c>
      <c r="J199" s="7" t="s">
        <v>29</v>
      </c>
      <c r="K199" s="6" t="s">
        <v>30</v>
      </c>
      <c r="L199" s="6" t="s">
        <v>31</v>
      </c>
      <c r="M199" s="7" t="s">
        <v>32</v>
      </c>
      <c r="N199" s="6" t="s">
        <v>80</v>
      </c>
      <c r="O199" s="6" t="s">
        <v>81</v>
      </c>
      <c r="P199" s="7" t="s">
        <v>82</v>
      </c>
      <c r="Q199" s="6" t="s">
        <v>83</v>
      </c>
      <c r="R199" s="6" t="s">
        <v>84</v>
      </c>
      <c r="S199" s="7" t="s">
        <v>85</v>
      </c>
      <c r="T199" s="6" t="s">
        <v>18</v>
      </c>
      <c r="U199" s="6" t="s">
        <v>19</v>
      </c>
      <c r="V199" s="7" t="s">
        <v>20</v>
      </c>
      <c r="W199" s="6" t="s">
        <v>33</v>
      </c>
      <c r="X199" s="6" t="s">
        <v>34</v>
      </c>
      <c r="Y199" s="7" t="s">
        <v>35</v>
      </c>
      <c r="Z199" s="6" t="s">
        <v>86</v>
      </c>
      <c r="AA199" s="6" t="s">
        <v>87</v>
      </c>
      <c r="AB199" s="27" t="s">
        <v>88</v>
      </c>
    </row>
    <row r="200" spans="1:28" x14ac:dyDescent="0.25">
      <c r="A200" s="28" t="str">
        <f t="array" ref="A200:A226">TRANSPOSE(B199:AB199)</f>
        <v>1x</v>
      </c>
      <c r="B200" s="21">
        <v>0</v>
      </c>
      <c r="C200" s="21">
        <v>0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0</v>
      </c>
      <c r="U200" s="21">
        <v>0</v>
      </c>
      <c r="V200" s="21">
        <v>0</v>
      </c>
      <c r="W200" s="21">
        <v>0</v>
      </c>
      <c r="X200" s="21">
        <v>0</v>
      </c>
      <c r="Y200" s="21">
        <v>0</v>
      </c>
      <c r="Z200" s="21">
        <v>0</v>
      </c>
      <c r="AA200" s="21">
        <v>0</v>
      </c>
      <c r="AB200" s="29">
        <v>0</v>
      </c>
    </row>
    <row r="201" spans="1:28" x14ac:dyDescent="0.25">
      <c r="A201" s="28" t="str">
        <v>1z</v>
      </c>
      <c r="B201" s="21">
        <v>0</v>
      </c>
      <c r="C201" s="21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0</v>
      </c>
      <c r="X201" s="21">
        <v>0</v>
      </c>
      <c r="Y201" s="21">
        <v>0</v>
      </c>
      <c r="Z201" s="21">
        <v>0</v>
      </c>
      <c r="AA201" s="21">
        <v>0</v>
      </c>
      <c r="AB201" s="29">
        <v>0</v>
      </c>
    </row>
    <row r="202" spans="1:28" x14ac:dyDescent="0.25">
      <c r="A202" s="28" t="str">
        <v>Ө1</v>
      </c>
      <c r="B202" s="21">
        <v>0</v>
      </c>
      <c r="C202" s="21">
        <v>0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0</v>
      </c>
      <c r="Z202" s="21">
        <v>0</v>
      </c>
      <c r="AA202" s="21">
        <v>0</v>
      </c>
      <c r="AB202" s="29">
        <v>0</v>
      </c>
    </row>
    <row r="203" spans="1:28" x14ac:dyDescent="0.25">
      <c r="A203" s="28" t="str">
        <v>2x</v>
      </c>
      <c r="B203" s="21">
        <v>0</v>
      </c>
      <c r="C203" s="21">
        <v>0</v>
      </c>
      <c r="D203" s="21">
        <v>0</v>
      </c>
      <c r="E203" s="21">
        <f t="array" ref="E203:G205">B191:D193</f>
        <v>1335.5748144090001</v>
      </c>
      <c r="F203" s="21">
        <v>2.0862539253374438E-11</v>
      </c>
      <c r="G203" s="21">
        <v>267114.96288180002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>
        <v>0</v>
      </c>
      <c r="X203" s="21">
        <v>0</v>
      </c>
      <c r="Y203" s="21">
        <v>0</v>
      </c>
      <c r="Z203" s="21">
        <v>0</v>
      </c>
      <c r="AA203" s="21">
        <v>0</v>
      </c>
      <c r="AB203" s="29">
        <v>0</v>
      </c>
    </row>
    <row r="204" spans="1:28" x14ac:dyDescent="0.25">
      <c r="A204" s="28" t="str">
        <v>2z</v>
      </c>
      <c r="B204" s="21">
        <v>0</v>
      </c>
      <c r="C204" s="21">
        <v>0</v>
      </c>
      <c r="D204" s="21">
        <v>0</v>
      </c>
      <c r="E204" s="21">
        <v>2.0862539253374438E-11</v>
      </c>
      <c r="F204" s="21">
        <v>341907.1875</v>
      </c>
      <c r="G204" s="21">
        <v>-1.6362774202880535E-11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9">
        <v>0</v>
      </c>
    </row>
    <row r="205" spans="1:28" x14ac:dyDescent="0.25">
      <c r="A205" s="28" t="str">
        <v>Ө2</v>
      </c>
      <c r="B205" s="21">
        <v>0</v>
      </c>
      <c r="C205" s="21">
        <v>0</v>
      </c>
      <c r="D205" s="21">
        <v>0</v>
      </c>
      <c r="E205" s="21">
        <v>267114.96288180002</v>
      </c>
      <c r="F205" s="21">
        <v>-1.6362774202880535E-11</v>
      </c>
      <c r="G205" s="21">
        <v>71230656.768480003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>
        <v>0</v>
      </c>
      <c r="X205" s="21">
        <v>0</v>
      </c>
      <c r="Y205" s="21">
        <v>0</v>
      </c>
      <c r="Z205" s="21">
        <v>0</v>
      </c>
      <c r="AA205" s="21">
        <v>0</v>
      </c>
      <c r="AB205" s="29">
        <v>0</v>
      </c>
    </row>
    <row r="206" spans="1:28" x14ac:dyDescent="0.25">
      <c r="A206" s="28" t="str">
        <v>3x</v>
      </c>
      <c r="B206" s="21">
        <v>0</v>
      </c>
      <c r="C206" s="21">
        <v>0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0</v>
      </c>
      <c r="U206" s="21">
        <v>0</v>
      </c>
      <c r="V206" s="21">
        <v>0</v>
      </c>
      <c r="W206" s="21">
        <v>0</v>
      </c>
      <c r="X206" s="21">
        <v>0</v>
      </c>
      <c r="Y206" s="21">
        <v>0</v>
      </c>
      <c r="Z206" s="21">
        <v>0</v>
      </c>
      <c r="AA206" s="21">
        <v>0</v>
      </c>
      <c r="AB206" s="29">
        <v>0</v>
      </c>
    </row>
    <row r="207" spans="1:28" x14ac:dyDescent="0.25">
      <c r="A207" s="28" t="str">
        <v>3z</v>
      </c>
      <c r="B207" s="21">
        <v>0</v>
      </c>
      <c r="C207" s="21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>
        <v>0</v>
      </c>
      <c r="X207" s="21">
        <v>0</v>
      </c>
      <c r="Y207" s="21">
        <v>0</v>
      </c>
      <c r="Z207" s="21">
        <v>0</v>
      </c>
      <c r="AA207" s="21">
        <v>0</v>
      </c>
      <c r="AB207" s="29">
        <v>0</v>
      </c>
    </row>
    <row r="208" spans="1:28" x14ac:dyDescent="0.25">
      <c r="A208" s="28" t="str">
        <v>Ө3</v>
      </c>
      <c r="B208" s="21">
        <v>0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>
        <v>0</v>
      </c>
      <c r="X208" s="21">
        <v>0</v>
      </c>
      <c r="Y208" s="21">
        <v>0</v>
      </c>
      <c r="Z208" s="21">
        <v>0</v>
      </c>
      <c r="AA208" s="21">
        <v>0</v>
      </c>
      <c r="AB208" s="29">
        <v>0</v>
      </c>
    </row>
    <row r="209" spans="1:28" x14ac:dyDescent="0.25">
      <c r="A209" s="28" t="str">
        <v>4x</v>
      </c>
      <c r="B209" s="21">
        <v>0</v>
      </c>
      <c r="C209" s="21">
        <v>0</v>
      </c>
      <c r="D209" s="21">
        <v>0</v>
      </c>
      <c r="E209" s="21">
        <v>0</v>
      </c>
      <c r="F209" s="21">
        <v>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>
        <v>0</v>
      </c>
      <c r="X209" s="21">
        <v>0</v>
      </c>
      <c r="Y209" s="21">
        <v>0</v>
      </c>
      <c r="Z209" s="21">
        <v>0</v>
      </c>
      <c r="AA209" s="21">
        <v>0</v>
      </c>
      <c r="AB209" s="29">
        <v>0</v>
      </c>
    </row>
    <row r="210" spans="1:28" x14ac:dyDescent="0.25">
      <c r="A210" s="28" t="str">
        <v>4z</v>
      </c>
      <c r="B210" s="21">
        <v>0</v>
      </c>
      <c r="C210" s="21">
        <v>0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0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>
        <v>0</v>
      </c>
      <c r="X210" s="21">
        <v>0</v>
      </c>
      <c r="Y210" s="21">
        <v>0</v>
      </c>
      <c r="Z210" s="21">
        <v>0</v>
      </c>
      <c r="AA210" s="21">
        <v>0</v>
      </c>
      <c r="AB210" s="29">
        <v>0</v>
      </c>
    </row>
    <row r="211" spans="1:28" x14ac:dyDescent="0.25">
      <c r="A211" s="28" t="str">
        <v>Ө4</v>
      </c>
      <c r="B211" s="21">
        <v>0</v>
      </c>
      <c r="C211" s="21">
        <v>0</v>
      </c>
      <c r="D211" s="21">
        <v>0</v>
      </c>
      <c r="E211" s="21">
        <v>0</v>
      </c>
      <c r="F211" s="21">
        <v>0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>
        <v>0</v>
      </c>
      <c r="X211" s="21">
        <v>0</v>
      </c>
      <c r="Y211" s="21">
        <v>0</v>
      </c>
      <c r="Z211" s="21">
        <v>0</v>
      </c>
      <c r="AA211" s="21">
        <v>0</v>
      </c>
      <c r="AB211" s="29">
        <v>0</v>
      </c>
    </row>
    <row r="212" spans="1:28" x14ac:dyDescent="0.25">
      <c r="A212" s="28" t="str">
        <v>5x</v>
      </c>
      <c r="B212" s="21">
        <v>0</v>
      </c>
      <c r="C212" s="21">
        <v>0</v>
      </c>
      <c r="D212" s="21">
        <v>0</v>
      </c>
      <c r="E212" s="21">
        <v>0</v>
      </c>
      <c r="F212" s="21">
        <v>0</v>
      </c>
      <c r="G212" s="21">
        <v>0</v>
      </c>
      <c r="H212" s="21">
        <v>0</v>
      </c>
      <c r="I212" s="21">
        <v>0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0</v>
      </c>
      <c r="T212" s="21">
        <v>0</v>
      </c>
      <c r="U212" s="21">
        <v>0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0</v>
      </c>
      <c r="AB212" s="29">
        <v>0</v>
      </c>
    </row>
    <row r="213" spans="1:28" x14ac:dyDescent="0.25">
      <c r="A213" s="28" t="str">
        <v>5z</v>
      </c>
      <c r="B213" s="21">
        <v>0</v>
      </c>
      <c r="C213" s="21">
        <v>0</v>
      </c>
      <c r="D213" s="21">
        <v>0</v>
      </c>
      <c r="E213" s="21">
        <v>0</v>
      </c>
      <c r="F213" s="21">
        <v>0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0</v>
      </c>
      <c r="T213" s="21">
        <v>0</v>
      </c>
      <c r="U213" s="21">
        <v>0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9">
        <v>0</v>
      </c>
    </row>
    <row r="214" spans="1:28" x14ac:dyDescent="0.25">
      <c r="A214" s="28" t="str">
        <v>Ө5</v>
      </c>
      <c r="B214" s="21">
        <v>0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1">
        <v>0</v>
      </c>
      <c r="AB214" s="29">
        <v>0</v>
      </c>
    </row>
    <row r="215" spans="1:28" x14ac:dyDescent="0.25">
      <c r="A215" s="28" t="str">
        <v>6x</v>
      </c>
      <c r="B215" s="21">
        <v>0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>
        <v>0</v>
      </c>
      <c r="X215" s="21">
        <v>0</v>
      </c>
      <c r="Y215" s="21">
        <v>0</v>
      </c>
      <c r="Z215" s="21">
        <v>0</v>
      </c>
      <c r="AA215" s="21">
        <v>0</v>
      </c>
      <c r="AB215" s="29">
        <v>0</v>
      </c>
    </row>
    <row r="216" spans="1:28" x14ac:dyDescent="0.25">
      <c r="A216" s="28" t="str">
        <v>6z</v>
      </c>
      <c r="B216" s="21">
        <v>0</v>
      </c>
      <c r="C216" s="21">
        <v>0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>
        <v>0</v>
      </c>
      <c r="X216" s="21">
        <v>0</v>
      </c>
      <c r="Y216" s="21">
        <v>0</v>
      </c>
      <c r="Z216" s="21">
        <v>0</v>
      </c>
      <c r="AA216" s="21">
        <v>0</v>
      </c>
      <c r="AB216" s="29">
        <v>0</v>
      </c>
    </row>
    <row r="217" spans="1:28" x14ac:dyDescent="0.25">
      <c r="A217" s="28" t="str">
        <v>Ө6</v>
      </c>
      <c r="B217" s="21">
        <v>0</v>
      </c>
      <c r="C217" s="21">
        <v>0</v>
      </c>
      <c r="D217" s="21">
        <v>0</v>
      </c>
      <c r="E217" s="21">
        <v>0</v>
      </c>
      <c r="F217" s="21">
        <v>0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>
        <v>0</v>
      </c>
      <c r="X217" s="21">
        <v>0</v>
      </c>
      <c r="Y217" s="21">
        <v>0</v>
      </c>
      <c r="Z217" s="21">
        <v>0</v>
      </c>
      <c r="AA217" s="21">
        <v>0</v>
      </c>
      <c r="AB217" s="29">
        <v>0</v>
      </c>
    </row>
    <row r="218" spans="1:28" x14ac:dyDescent="0.25">
      <c r="A218" s="28" t="str">
        <v>ax</v>
      </c>
      <c r="B218" s="21">
        <v>0</v>
      </c>
      <c r="C218" s="21">
        <v>0</v>
      </c>
      <c r="D218" s="21">
        <v>0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>
        <v>0</v>
      </c>
      <c r="X218" s="21">
        <v>0</v>
      </c>
      <c r="Y218" s="21">
        <v>0</v>
      </c>
      <c r="Z218" s="21">
        <v>0</v>
      </c>
      <c r="AA218" s="21">
        <v>0</v>
      </c>
      <c r="AB218" s="29">
        <v>0</v>
      </c>
    </row>
    <row r="219" spans="1:28" x14ac:dyDescent="0.25">
      <c r="A219" s="28" t="str">
        <v>az</v>
      </c>
      <c r="B219" s="21">
        <v>0</v>
      </c>
      <c r="C219" s="21">
        <v>0</v>
      </c>
      <c r="D219" s="21">
        <v>0</v>
      </c>
      <c r="E219" s="21">
        <v>0</v>
      </c>
      <c r="F219" s="21"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  <c r="W219" s="21">
        <v>0</v>
      </c>
      <c r="X219" s="21">
        <v>0</v>
      </c>
      <c r="Y219" s="21">
        <v>0</v>
      </c>
      <c r="Z219" s="21">
        <v>0</v>
      </c>
      <c r="AA219" s="21">
        <v>0</v>
      </c>
      <c r="AB219" s="29">
        <v>0</v>
      </c>
    </row>
    <row r="220" spans="1:28" x14ac:dyDescent="0.25">
      <c r="A220" s="28" t="str">
        <v>Өa</v>
      </c>
      <c r="B220" s="21">
        <v>0</v>
      </c>
      <c r="C220" s="21">
        <v>0</v>
      </c>
      <c r="D220" s="21">
        <v>0</v>
      </c>
      <c r="E220" s="21">
        <v>0</v>
      </c>
      <c r="F220" s="21"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>
        <v>0</v>
      </c>
      <c r="X220" s="21">
        <v>0</v>
      </c>
      <c r="Y220" s="21">
        <v>0</v>
      </c>
      <c r="Z220" s="21">
        <v>0</v>
      </c>
      <c r="AA220" s="21">
        <v>0</v>
      </c>
      <c r="AB220" s="29">
        <v>0</v>
      </c>
    </row>
    <row r="221" spans="1:28" x14ac:dyDescent="0.25">
      <c r="A221" s="28" t="str">
        <v>bx</v>
      </c>
      <c r="B221" s="21">
        <v>0</v>
      </c>
      <c r="C221" s="21">
        <v>0</v>
      </c>
      <c r="D221" s="21">
        <v>0</v>
      </c>
      <c r="E221" s="21">
        <v>0</v>
      </c>
      <c r="F221" s="21"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21">
        <v>0</v>
      </c>
      <c r="AB221" s="29">
        <v>0</v>
      </c>
    </row>
    <row r="222" spans="1:28" x14ac:dyDescent="0.25">
      <c r="A222" s="28" t="str">
        <v>bz</v>
      </c>
      <c r="B222" s="21">
        <v>0</v>
      </c>
      <c r="C222" s="21">
        <v>0</v>
      </c>
      <c r="D222" s="21">
        <v>0</v>
      </c>
      <c r="E222" s="21">
        <v>0</v>
      </c>
      <c r="F222" s="21"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>
        <v>0</v>
      </c>
      <c r="X222" s="21">
        <v>0</v>
      </c>
      <c r="Y222" s="21">
        <v>0</v>
      </c>
      <c r="Z222" s="21">
        <v>0</v>
      </c>
      <c r="AA222" s="21">
        <v>0</v>
      </c>
      <c r="AB222" s="29">
        <v>0</v>
      </c>
    </row>
    <row r="223" spans="1:28" x14ac:dyDescent="0.25">
      <c r="A223" s="28" t="str">
        <v>Өb</v>
      </c>
      <c r="B223" s="21">
        <v>0</v>
      </c>
      <c r="C223" s="21">
        <v>0</v>
      </c>
      <c r="D223" s="21">
        <v>0</v>
      </c>
      <c r="E223" s="21">
        <v>0</v>
      </c>
      <c r="F223" s="21">
        <v>0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21">
        <v>0</v>
      </c>
      <c r="AB223" s="29">
        <v>0</v>
      </c>
    </row>
    <row r="224" spans="1:28" x14ac:dyDescent="0.25">
      <c r="A224" s="28" t="str">
        <v>cx</v>
      </c>
      <c r="B224" s="21">
        <v>0</v>
      </c>
      <c r="C224" s="21">
        <v>0</v>
      </c>
      <c r="D224" s="21">
        <v>0</v>
      </c>
      <c r="E224" s="21">
        <v>0</v>
      </c>
      <c r="F224" s="21"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>
        <v>0</v>
      </c>
      <c r="X224" s="21">
        <v>0</v>
      </c>
      <c r="Y224" s="21">
        <v>0</v>
      </c>
      <c r="Z224" s="21">
        <v>0</v>
      </c>
      <c r="AA224" s="21">
        <v>0</v>
      </c>
      <c r="AB224" s="29">
        <v>0</v>
      </c>
    </row>
    <row r="225" spans="1:28" x14ac:dyDescent="0.25">
      <c r="A225" s="28" t="str">
        <v>cz</v>
      </c>
      <c r="B225" s="21">
        <v>0</v>
      </c>
      <c r="C225" s="21">
        <v>0</v>
      </c>
      <c r="D225" s="21">
        <v>0</v>
      </c>
      <c r="E225" s="21">
        <v>0</v>
      </c>
      <c r="F225" s="21">
        <v>0</v>
      </c>
      <c r="G225" s="21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21">
        <v>0</v>
      </c>
      <c r="AB225" s="29">
        <v>0</v>
      </c>
    </row>
    <row r="226" spans="1:28" x14ac:dyDescent="0.25">
      <c r="A226" s="28" t="str">
        <v>Өc</v>
      </c>
      <c r="B226" s="21">
        <v>0</v>
      </c>
      <c r="C226" s="21">
        <v>0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1">
        <v>0</v>
      </c>
      <c r="AA226" s="21">
        <v>0</v>
      </c>
      <c r="AB226" s="29">
        <v>0</v>
      </c>
    </row>
    <row r="227" spans="1:28" ht="15.75" thickBot="1" x14ac:dyDescent="0.3">
      <c r="A227" s="22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4"/>
    </row>
    <row r="228" spans="1:28" ht="15.75" thickBot="1" x14ac:dyDescent="0.3"/>
    <row r="229" spans="1:28" x14ac:dyDescent="0.25">
      <c r="A229" s="1"/>
      <c r="B229" s="32" t="s">
        <v>62</v>
      </c>
      <c r="C229" s="32"/>
      <c r="D229" s="32"/>
      <c r="E229" s="32"/>
      <c r="F229" s="32"/>
      <c r="G229" s="32"/>
      <c r="H229" s="3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"/>
    </row>
    <row r="230" spans="1:28" x14ac:dyDescent="0.25">
      <c r="A230" s="4"/>
      <c r="AB230" s="5"/>
    </row>
    <row r="231" spans="1:28" x14ac:dyDescent="0.25">
      <c r="A231" s="4"/>
      <c r="AB231" s="5"/>
    </row>
    <row r="232" spans="1:28" x14ac:dyDescent="0.25">
      <c r="A232" s="4"/>
      <c r="B232" s="26" t="s">
        <v>1</v>
      </c>
      <c r="C232">
        <v>625</v>
      </c>
      <c r="D232" t="s">
        <v>74</v>
      </c>
      <c r="G232" t="s">
        <v>12</v>
      </c>
      <c r="AB232" s="5"/>
    </row>
    <row r="233" spans="1:28" x14ac:dyDescent="0.25">
      <c r="A233" s="4"/>
      <c r="B233" s="26" t="s">
        <v>2</v>
      </c>
      <c r="C233">
        <v>32552.080000000002</v>
      </c>
      <c r="D233" t="s">
        <v>74</v>
      </c>
      <c r="AB233" s="5"/>
    </row>
    <row r="234" spans="1:28" x14ac:dyDescent="0.25">
      <c r="A234" s="4"/>
      <c r="B234" s="26" t="s">
        <v>3</v>
      </c>
      <c r="C234">
        <v>400</v>
      </c>
      <c r="D234" t="s">
        <v>74</v>
      </c>
      <c r="AB234" s="5"/>
    </row>
    <row r="235" spans="1:28" x14ac:dyDescent="0.25">
      <c r="A235" s="4"/>
      <c r="B235" s="26" t="s">
        <v>4</v>
      </c>
      <c r="C235">
        <v>218820.6</v>
      </c>
      <c r="D235" t="s">
        <v>75</v>
      </c>
      <c r="AB235" s="5"/>
    </row>
    <row r="236" spans="1:28" x14ac:dyDescent="0.25">
      <c r="A236" s="4"/>
      <c r="AB236" s="5"/>
    </row>
    <row r="237" spans="1:28" x14ac:dyDescent="0.25">
      <c r="A237" s="4"/>
      <c r="AB237" s="5"/>
    </row>
    <row r="238" spans="1:28" x14ac:dyDescent="0.25">
      <c r="A238" s="31" t="s">
        <v>5</v>
      </c>
      <c r="B238" s="30"/>
      <c r="C238" s="30"/>
      <c r="D238" s="30"/>
      <c r="AB238" s="5"/>
    </row>
    <row r="239" spans="1:28" x14ac:dyDescent="0.25">
      <c r="A239" s="4"/>
      <c r="AB239" s="5"/>
    </row>
    <row r="240" spans="1:28" x14ac:dyDescent="0.25">
      <c r="A240" s="4"/>
      <c r="B240" t="s">
        <v>6</v>
      </c>
      <c r="C240">
        <f>(C235*C232)/C234</f>
        <v>341907.1875</v>
      </c>
      <c r="D240" t="s">
        <v>75</v>
      </c>
      <c r="G240" t="s">
        <v>11</v>
      </c>
      <c r="AB240" s="5"/>
    </row>
    <row r="241" spans="1:28" x14ac:dyDescent="0.25">
      <c r="A241" s="4"/>
      <c r="B241" t="s">
        <v>7</v>
      </c>
      <c r="C241">
        <f>(12*C235*C233)/(C234^3)</f>
        <v>1335.5748144090001</v>
      </c>
      <c r="D241" t="s">
        <v>76</v>
      </c>
      <c r="AB241" s="5"/>
    </row>
    <row r="242" spans="1:28" x14ac:dyDescent="0.25">
      <c r="A242" s="4"/>
      <c r="B242" t="s">
        <v>8</v>
      </c>
      <c r="C242">
        <f>(6*C235*C233)/(C234^2)</f>
        <v>267114.96288180002</v>
      </c>
      <c r="D242" t="s">
        <v>77</v>
      </c>
      <c r="AB242" s="5"/>
    </row>
    <row r="243" spans="1:28" x14ac:dyDescent="0.25">
      <c r="A243" s="4"/>
      <c r="B243" t="s">
        <v>9</v>
      </c>
      <c r="C243">
        <f>(4*C235*C233)/C234</f>
        <v>71230656.768480003</v>
      </c>
      <c r="D243" t="s">
        <v>78</v>
      </c>
      <c r="AB243" s="5"/>
    </row>
    <row r="244" spans="1:28" x14ac:dyDescent="0.25">
      <c r="A244" s="4"/>
      <c r="B244" t="s">
        <v>10</v>
      </c>
      <c r="C244">
        <f>(2*C235*C233)/C234</f>
        <v>35615328.384240001</v>
      </c>
      <c r="D244" t="s">
        <v>79</v>
      </c>
      <c r="AB244" s="5"/>
    </row>
    <row r="245" spans="1:28" x14ac:dyDescent="0.25">
      <c r="A245" s="4"/>
      <c r="AB245" s="5"/>
    </row>
    <row r="246" spans="1:28" x14ac:dyDescent="0.25">
      <c r="A246" s="4"/>
      <c r="AB246" s="5"/>
    </row>
    <row r="247" spans="1:28" x14ac:dyDescent="0.25">
      <c r="A247" s="4"/>
      <c r="AB247" s="5"/>
    </row>
    <row r="248" spans="1:28" x14ac:dyDescent="0.25">
      <c r="A248" s="4"/>
      <c r="B248" s="30" t="s">
        <v>66</v>
      </c>
      <c r="C248" s="30"/>
      <c r="D248" s="30"/>
      <c r="E248" s="30"/>
      <c r="AB248" s="5"/>
    </row>
    <row r="249" spans="1:28" x14ac:dyDescent="0.25">
      <c r="A249" s="4"/>
      <c r="AB249" s="5"/>
    </row>
    <row r="250" spans="1:28" x14ac:dyDescent="0.25">
      <c r="A250" s="4" t="s">
        <v>65</v>
      </c>
      <c r="B250" s="6" t="s">
        <v>83</v>
      </c>
      <c r="C250" s="6" t="s">
        <v>84</v>
      </c>
      <c r="D250" s="7" t="s">
        <v>85</v>
      </c>
      <c r="E250" s="6" t="s">
        <v>86</v>
      </c>
      <c r="F250" s="6" t="s">
        <v>87</v>
      </c>
      <c r="G250" s="7" t="s">
        <v>88</v>
      </c>
      <c r="AB250" s="5"/>
    </row>
    <row r="251" spans="1:28" x14ac:dyDescent="0.25">
      <c r="A251" s="8" t="str">
        <f t="array" ref="A251:A256">TRANSPOSE(B250:G250)</f>
        <v>6x</v>
      </c>
      <c r="B251" s="9">
        <f>C240</f>
        <v>341907.1875</v>
      </c>
      <c r="C251" s="9">
        <v>0</v>
      </c>
      <c r="D251" s="9">
        <v>0</v>
      </c>
      <c r="E251" s="10">
        <f>-C240</f>
        <v>-341907.1875</v>
      </c>
      <c r="F251" s="10">
        <v>0</v>
      </c>
      <c r="G251" s="10">
        <v>0</v>
      </c>
      <c r="J251" t="s">
        <v>21</v>
      </c>
      <c r="AB251" s="5"/>
    </row>
    <row r="252" spans="1:28" x14ac:dyDescent="0.25">
      <c r="A252" s="8" t="str">
        <v>6z</v>
      </c>
      <c r="B252" s="9">
        <v>0</v>
      </c>
      <c r="C252" s="9">
        <f>C241</f>
        <v>1335.5748144090001</v>
      </c>
      <c r="D252" s="9">
        <f>C242</f>
        <v>267114.96288180002</v>
      </c>
      <c r="E252" s="10">
        <v>0</v>
      </c>
      <c r="F252" s="10">
        <f>-C241</f>
        <v>-1335.5748144090001</v>
      </c>
      <c r="G252" s="10">
        <f>C242</f>
        <v>267114.96288180002</v>
      </c>
      <c r="AB252" s="5"/>
    </row>
    <row r="253" spans="1:28" x14ac:dyDescent="0.25">
      <c r="A253" s="8" t="str">
        <v>Ө6</v>
      </c>
      <c r="B253" s="9">
        <v>0</v>
      </c>
      <c r="C253" s="9">
        <f>C242</f>
        <v>267114.96288180002</v>
      </c>
      <c r="D253" s="9">
        <f>C243</f>
        <v>71230656.768480003</v>
      </c>
      <c r="E253" s="10">
        <v>0</v>
      </c>
      <c r="F253" s="10">
        <f>-C242</f>
        <v>-267114.96288180002</v>
      </c>
      <c r="G253" s="10">
        <f>C244</f>
        <v>35615328.384240001</v>
      </c>
      <c r="AB253" s="5"/>
    </row>
    <row r="254" spans="1:28" x14ac:dyDescent="0.25">
      <c r="A254" s="8" t="str">
        <v>cx</v>
      </c>
      <c r="B254" s="11">
        <f>-C240</f>
        <v>-341907.1875</v>
      </c>
      <c r="C254" s="11">
        <v>0</v>
      </c>
      <c r="D254" s="11">
        <v>0</v>
      </c>
      <c r="E254" s="12">
        <f>C240</f>
        <v>341907.1875</v>
      </c>
      <c r="F254" s="12">
        <v>0</v>
      </c>
      <c r="G254" s="12">
        <v>0</v>
      </c>
      <c r="AB254" s="5"/>
    </row>
    <row r="255" spans="1:28" x14ac:dyDescent="0.25">
      <c r="A255" s="8" t="str">
        <v>cz</v>
      </c>
      <c r="B255" s="11">
        <v>0</v>
      </c>
      <c r="C255" s="11">
        <f>-C241</f>
        <v>-1335.5748144090001</v>
      </c>
      <c r="D255" s="11">
        <f>-C242</f>
        <v>-267114.96288180002</v>
      </c>
      <c r="E255" s="12">
        <v>0</v>
      </c>
      <c r="F255" s="12">
        <f>C241</f>
        <v>1335.5748144090001</v>
      </c>
      <c r="G255" s="12">
        <f>-C242</f>
        <v>-267114.96288180002</v>
      </c>
      <c r="I255" t="s">
        <v>59</v>
      </c>
      <c r="AB255" s="5"/>
    </row>
    <row r="256" spans="1:28" x14ac:dyDescent="0.25">
      <c r="A256" s="8" t="str">
        <v>Өc</v>
      </c>
      <c r="B256" s="11">
        <v>0</v>
      </c>
      <c r="C256" s="11">
        <f>C242</f>
        <v>267114.96288180002</v>
      </c>
      <c r="D256" s="11">
        <f>C244</f>
        <v>35615328.384240001</v>
      </c>
      <c r="E256" s="12">
        <v>0</v>
      </c>
      <c r="F256" s="12">
        <f>-C242</f>
        <v>-267114.96288180002</v>
      </c>
      <c r="G256" s="12">
        <f>C243</f>
        <v>71230656.768480003</v>
      </c>
      <c r="AB256" s="5"/>
    </row>
    <row r="257" spans="1:28" x14ac:dyDescent="0.25">
      <c r="A257" s="4"/>
      <c r="AB257" s="5"/>
    </row>
    <row r="258" spans="1:28" x14ac:dyDescent="0.25">
      <c r="A258" s="31" t="s">
        <v>90</v>
      </c>
      <c r="B258" s="30"/>
      <c r="C258" s="30"/>
      <c r="D258" s="30"/>
      <c r="E258" s="30"/>
      <c r="F258" s="30"/>
      <c r="G258" s="30"/>
      <c r="H258" s="30"/>
      <c r="I258" s="30"/>
      <c r="AB258" s="5"/>
    </row>
    <row r="259" spans="1:28" x14ac:dyDescent="0.25">
      <c r="A259" s="25"/>
      <c r="B259" s="26"/>
      <c r="C259" s="26"/>
      <c r="D259" s="26"/>
      <c r="E259" s="26"/>
      <c r="F259" s="26"/>
      <c r="G259" s="26"/>
      <c r="H259" s="26"/>
      <c r="I259" s="26"/>
      <c r="AB259" s="5"/>
    </row>
    <row r="260" spans="1:28" x14ac:dyDescent="0.25">
      <c r="A260" s="25"/>
      <c r="B260" s="26"/>
      <c r="C260" s="30" t="s">
        <v>45</v>
      </c>
      <c r="D260" s="30"/>
      <c r="E260" s="30" t="s">
        <v>46</v>
      </c>
      <c r="F260" s="30"/>
      <c r="G260" s="30" t="s">
        <v>47</v>
      </c>
      <c r="H260" s="30"/>
      <c r="I260" s="30" t="s">
        <v>48</v>
      </c>
      <c r="J260" s="30"/>
      <c r="AB260" s="5"/>
    </row>
    <row r="261" spans="1:28" x14ac:dyDescent="0.25">
      <c r="A261" s="13" t="s">
        <v>37</v>
      </c>
      <c r="B261" s="26">
        <v>90</v>
      </c>
      <c r="C261" s="26" t="s">
        <v>40</v>
      </c>
      <c r="D261" s="14">
        <f>B251</f>
        <v>341907.1875</v>
      </c>
      <c r="E261" s="26" t="s">
        <v>40</v>
      </c>
      <c r="F261" s="14">
        <f>E251</f>
        <v>-341907.1875</v>
      </c>
      <c r="G261" s="26" t="s">
        <v>40</v>
      </c>
      <c r="H261" s="14">
        <f>B254</f>
        <v>-341907.1875</v>
      </c>
      <c r="I261" s="26" t="s">
        <v>40</v>
      </c>
      <c r="J261" s="15">
        <f>E254</f>
        <v>341907.1875</v>
      </c>
      <c r="AB261" s="5"/>
    </row>
    <row r="262" spans="1:28" x14ac:dyDescent="0.25">
      <c r="A262" s="13" t="s">
        <v>38</v>
      </c>
      <c r="B262" s="26">
        <f>SIN(RADIANS(B261))</f>
        <v>1</v>
      </c>
      <c r="C262" s="26" t="s">
        <v>41</v>
      </c>
      <c r="D262" s="14">
        <f>C252</f>
        <v>1335.5748144090001</v>
      </c>
      <c r="E262" s="26" t="s">
        <v>41</v>
      </c>
      <c r="F262" s="14">
        <f>F252</f>
        <v>-1335.5748144090001</v>
      </c>
      <c r="G262" s="26" t="s">
        <v>41</v>
      </c>
      <c r="H262" s="14">
        <f>C255</f>
        <v>-1335.5748144090001</v>
      </c>
      <c r="I262" s="26" t="s">
        <v>41</v>
      </c>
      <c r="J262" s="15">
        <f>F255</f>
        <v>1335.5748144090001</v>
      </c>
      <c r="AB262" s="5"/>
    </row>
    <row r="263" spans="1:28" x14ac:dyDescent="0.25">
      <c r="A263" s="13" t="s">
        <v>39</v>
      </c>
      <c r="B263" s="16">
        <f>COS(RADIANS(B261))</f>
        <v>6.1257422745431001E-17</v>
      </c>
      <c r="C263" s="26" t="s">
        <v>42</v>
      </c>
      <c r="D263" s="14">
        <f>D253</f>
        <v>71230656.768480003</v>
      </c>
      <c r="E263" s="26" t="s">
        <v>42</v>
      </c>
      <c r="F263" s="14">
        <f>G253</f>
        <v>35615328.384240001</v>
      </c>
      <c r="G263" s="26" t="s">
        <v>42</v>
      </c>
      <c r="H263" s="14">
        <f>D256</f>
        <v>35615328.384240001</v>
      </c>
      <c r="I263" s="26" t="s">
        <v>42</v>
      </c>
      <c r="J263" s="15">
        <f>G256</f>
        <v>71230656.768480003</v>
      </c>
      <c r="AB263" s="5"/>
    </row>
    <row r="264" spans="1:28" x14ac:dyDescent="0.25">
      <c r="A264" s="25"/>
      <c r="B264" s="26"/>
      <c r="C264" s="26" t="s">
        <v>43</v>
      </c>
      <c r="D264" s="14">
        <f>D252</f>
        <v>267114.96288180002</v>
      </c>
      <c r="E264" s="26" t="s">
        <v>43</v>
      </c>
      <c r="F264" s="14">
        <f>G252</f>
        <v>267114.96288180002</v>
      </c>
      <c r="G264" s="26" t="s">
        <v>43</v>
      </c>
      <c r="H264" s="14">
        <f>D255</f>
        <v>-267114.96288180002</v>
      </c>
      <c r="I264" s="26" t="s">
        <v>43</v>
      </c>
      <c r="J264" s="15">
        <f>G255</f>
        <v>-267114.96288180002</v>
      </c>
      <c r="AB264" s="5"/>
    </row>
    <row r="265" spans="1:28" x14ac:dyDescent="0.25">
      <c r="A265" s="25"/>
      <c r="B265" s="26"/>
      <c r="C265" s="26" t="s">
        <v>44</v>
      </c>
      <c r="D265" s="14">
        <f>C253</f>
        <v>267114.96288180002</v>
      </c>
      <c r="E265" s="26" t="s">
        <v>44</v>
      </c>
      <c r="F265" s="14">
        <f>F253</f>
        <v>-267114.96288180002</v>
      </c>
      <c r="G265" s="26" t="s">
        <v>44</v>
      </c>
      <c r="H265" s="14">
        <f>C256</f>
        <v>267114.96288180002</v>
      </c>
      <c r="I265" s="26" t="s">
        <v>44</v>
      </c>
      <c r="J265" s="15">
        <f>F256</f>
        <v>-267114.96288180002</v>
      </c>
      <c r="AB265" s="5"/>
    </row>
    <row r="266" spans="1:28" x14ac:dyDescent="0.25">
      <c r="A266" s="25"/>
      <c r="B266" s="26"/>
      <c r="C266" s="26"/>
      <c r="D266" s="26"/>
      <c r="E266" s="26"/>
      <c r="F266" s="26"/>
      <c r="G266" s="26"/>
      <c r="H266" s="26"/>
      <c r="I266" s="26"/>
      <c r="AB266" s="5"/>
    </row>
    <row r="267" spans="1:28" x14ac:dyDescent="0.25">
      <c r="A267" s="25"/>
      <c r="B267" s="26"/>
      <c r="C267" s="26"/>
      <c r="D267" s="26"/>
      <c r="E267" s="26"/>
      <c r="F267" s="26"/>
      <c r="G267" s="26"/>
      <c r="H267" s="26"/>
      <c r="I267" s="26"/>
      <c r="AB267" s="5"/>
    </row>
    <row r="268" spans="1:28" x14ac:dyDescent="0.25">
      <c r="A268" s="25"/>
      <c r="B268" s="26"/>
      <c r="C268" s="26"/>
      <c r="D268" s="26"/>
      <c r="E268" s="26"/>
      <c r="F268" s="26"/>
      <c r="G268" s="26"/>
      <c r="H268" s="26"/>
      <c r="I268" s="26"/>
      <c r="AB268" s="5"/>
    </row>
    <row r="269" spans="1:28" x14ac:dyDescent="0.25">
      <c r="A269" s="25"/>
      <c r="B269" s="26"/>
      <c r="C269" s="26"/>
      <c r="D269" s="26"/>
      <c r="E269" s="26"/>
      <c r="F269" s="26"/>
      <c r="G269" s="26"/>
      <c r="H269" s="26"/>
      <c r="I269" s="26"/>
      <c r="AB269" s="5"/>
    </row>
    <row r="270" spans="1:28" x14ac:dyDescent="0.25">
      <c r="A270" s="4" t="s">
        <v>65</v>
      </c>
      <c r="B270" s="6" t="str">
        <f>B250</f>
        <v>6x</v>
      </c>
      <c r="C270" s="6" t="str">
        <f t="shared" ref="C270:G270" si="1">C250</f>
        <v>6z</v>
      </c>
      <c r="D270" s="6" t="str">
        <f t="shared" si="1"/>
        <v>Ө6</v>
      </c>
      <c r="E270" s="6" t="str">
        <f t="shared" si="1"/>
        <v>cx</v>
      </c>
      <c r="F270" s="6" t="str">
        <f t="shared" si="1"/>
        <v>cz</v>
      </c>
      <c r="G270" s="6" t="str">
        <f t="shared" si="1"/>
        <v>Өc</v>
      </c>
      <c r="H270" s="26"/>
      <c r="I270" s="26"/>
      <c r="AB270" s="5"/>
    </row>
    <row r="271" spans="1:28" x14ac:dyDescent="0.25">
      <c r="A271" s="8" t="str">
        <f t="array" ref="A271:A276">TRANSPOSE(B270:G270)</f>
        <v>6x</v>
      </c>
      <c r="B271" s="17">
        <f>(J261*B263*B263)+(J262*B262*B262)</f>
        <v>1335.5748144090001</v>
      </c>
      <c r="C271" s="17">
        <f>(J261-J262)*B263*B262</f>
        <v>2.0862539253374438E-11</v>
      </c>
      <c r="D271" s="17">
        <f>-J264*B262</f>
        <v>267114.96288180002</v>
      </c>
      <c r="E271" s="18">
        <v>0</v>
      </c>
      <c r="F271" s="18">
        <v>0</v>
      </c>
      <c r="G271" s="18">
        <v>0</v>
      </c>
      <c r="H271" s="26"/>
      <c r="I271" s="26"/>
      <c r="AB271" s="5"/>
    </row>
    <row r="272" spans="1:28" x14ac:dyDescent="0.25">
      <c r="A272" s="8" t="str">
        <v>6z</v>
      </c>
      <c r="B272" s="17">
        <f>(J261-J262)*B262*B263</f>
        <v>2.0862539253374438E-11</v>
      </c>
      <c r="C272" s="17">
        <f>(J261*B262*B262)+(J262*B263*B263)</f>
        <v>341907.1875</v>
      </c>
      <c r="D272" s="17">
        <f>J264*B263</f>
        <v>-1.6362774202880535E-11</v>
      </c>
      <c r="E272" s="18">
        <v>0</v>
      </c>
      <c r="F272" s="18">
        <v>0</v>
      </c>
      <c r="G272" s="18">
        <v>0</v>
      </c>
      <c r="H272" s="26"/>
      <c r="I272" s="26"/>
      <c r="J272" t="s">
        <v>36</v>
      </c>
      <c r="AB272" s="5"/>
    </row>
    <row r="273" spans="1:28" x14ac:dyDescent="0.25">
      <c r="A273" s="8" t="str">
        <v>Ө6</v>
      </c>
      <c r="B273" s="17">
        <f>-J265*B262</f>
        <v>267114.96288180002</v>
      </c>
      <c r="C273" s="17">
        <f>J265*B263</f>
        <v>-1.6362774202880535E-11</v>
      </c>
      <c r="D273" s="17">
        <f>J263</f>
        <v>71230656.768480003</v>
      </c>
      <c r="E273" s="18">
        <v>0</v>
      </c>
      <c r="F273" s="18">
        <v>0</v>
      </c>
      <c r="G273" s="18">
        <v>0</v>
      </c>
      <c r="H273" s="26"/>
      <c r="I273" s="26"/>
      <c r="AB273" s="5"/>
    </row>
    <row r="274" spans="1:28" x14ac:dyDescent="0.25">
      <c r="A274" s="8" t="str">
        <v>cx</v>
      </c>
      <c r="B274" s="19">
        <v>0</v>
      </c>
      <c r="C274" s="19">
        <v>0</v>
      </c>
      <c r="D274" s="19">
        <v>0</v>
      </c>
      <c r="E274" s="20">
        <v>0</v>
      </c>
      <c r="F274" s="20">
        <v>0</v>
      </c>
      <c r="G274" s="20">
        <v>0</v>
      </c>
      <c r="H274" s="26"/>
      <c r="I274" s="26" t="s">
        <v>49</v>
      </c>
      <c r="AB274" s="5"/>
    </row>
    <row r="275" spans="1:28" x14ac:dyDescent="0.25">
      <c r="A275" s="8" t="str">
        <v>cz</v>
      </c>
      <c r="B275" s="19">
        <v>0</v>
      </c>
      <c r="C275" s="19">
        <v>0</v>
      </c>
      <c r="D275" s="19">
        <v>0</v>
      </c>
      <c r="E275" s="20">
        <v>0</v>
      </c>
      <c r="F275" s="20">
        <v>0</v>
      </c>
      <c r="G275" s="20">
        <v>0</v>
      </c>
      <c r="H275" s="26" t="s">
        <v>50</v>
      </c>
      <c r="I275" s="26" t="s">
        <v>51</v>
      </c>
      <c r="K275" t="s">
        <v>54</v>
      </c>
      <c r="L275" t="s">
        <v>55</v>
      </c>
      <c r="M275" t="s">
        <v>58</v>
      </c>
      <c r="AB275" s="5"/>
    </row>
    <row r="276" spans="1:28" x14ac:dyDescent="0.25">
      <c r="A276" s="8" t="str">
        <v>Өc</v>
      </c>
      <c r="B276" s="19">
        <v>0</v>
      </c>
      <c r="C276" s="19">
        <v>0</v>
      </c>
      <c r="D276" s="19">
        <v>0</v>
      </c>
      <c r="E276" s="20">
        <v>0</v>
      </c>
      <c r="F276" s="20">
        <v>0</v>
      </c>
      <c r="G276" s="20">
        <v>0</v>
      </c>
      <c r="H276" s="26" t="s">
        <v>52</v>
      </c>
      <c r="I276" s="26" t="s">
        <v>53</v>
      </c>
      <c r="K276" t="s">
        <v>56</v>
      </c>
      <c r="L276" t="s">
        <v>57</v>
      </c>
      <c r="AB276" s="5"/>
    </row>
    <row r="277" spans="1:28" x14ac:dyDescent="0.25">
      <c r="A277" s="4"/>
      <c r="AB277" s="5"/>
    </row>
    <row r="278" spans="1:28" x14ac:dyDescent="0.25">
      <c r="A278" s="4"/>
      <c r="AB278" s="5"/>
    </row>
    <row r="279" spans="1:28" x14ac:dyDescent="0.25">
      <c r="A279" s="4" t="s">
        <v>67</v>
      </c>
      <c r="B279" s="6" t="s">
        <v>15</v>
      </c>
      <c r="C279" s="6" t="s">
        <v>16</v>
      </c>
      <c r="D279" s="7" t="s">
        <v>17</v>
      </c>
      <c r="E279" s="6" t="s">
        <v>24</v>
      </c>
      <c r="F279" s="6" t="s">
        <v>25</v>
      </c>
      <c r="G279" s="7" t="s">
        <v>26</v>
      </c>
      <c r="H279" s="6" t="s">
        <v>27</v>
      </c>
      <c r="I279" s="6" t="s">
        <v>28</v>
      </c>
      <c r="J279" s="7" t="s">
        <v>29</v>
      </c>
      <c r="K279" s="6" t="s">
        <v>30</v>
      </c>
      <c r="L279" s="6" t="s">
        <v>31</v>
      </c>
      <c r="M279" s="7" t="s">
        <v>32</v>
      </c>
      <c r="N279" s="6" t="s">
        <v>80</v>
      </c>
      <c r="O279" s="6" t="s">
        <v>81</v>
      </c>
      <c r="P279" s="7" t="s">
        <v>82</v>
      </c>
      <c r="Q279" s="6" t="s">
        <v>83</v>
      </c>
      <c r="R279" s="6" t="s">
        <v>84</v>
      </c>
      <c r="S279" s="7" t="s">
        <v>85</v>
      </c>
      <c r="T279" s="6" t="s">
        <v>18</v>
      </c>
      <c r="U279" s="6" t="s">
        <v>19</v>
      </c>
      <c r="V279" s="7" t="s">
        <v>20</v>
      </c>
      <c r="W279" s="6" t="s">
        <v>33</v>
      </c>
      <c r="X279" s="6" t="s">
        <v>34</v>
      </c>
      <c r="Y279" s="7" t="s">
        <v>35</v>
      </c>
      <c r="Z279" s="6" t="s">
        <v>86</v>
      </c>
      <c r="AA279" s="6" t="s">
        <v>87</v>
      </c>
      <c r="AB279" s="27" t="s">
        <v>88</v>
      </c>
    </row>
    <row r="280" spans="1:28" x14ac:dyDescent="0.25">
      <c r="A280" s="28" t="str">
        <f t="array" ref="A280:A306">TRANSPOSE(B279:AB279)</f>
        <v>1x</v>
      </c>
      <c r="B280" s="21">
        <v>0</v>
      </c>
      <c r="C280" s="21">
        <v>0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1">
        <v>0</v>
      </c>
      <c r="AB280" s="29">
        <v>0</v>
      </c>
    </row>
    <row r="281" spans="1:28" x14ac:dyDescent="0.25">
      <c r="A281" s="28" t="str">
        <v>1z</v>
      </c>
      <c r="B281" s="21">
        <v>0</v>
      </c>
      <c r="C281" s="21">
        <v>0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9">
        <v>0</v>
      </c>
    </row>
    <row r="282" spans="1:28" x14ac:dyDescent="0.25">
      <c r="A282" s="28" t="str">
        <v>Ө1</v>
      </c>
      <c r="B282" s="21">
        <v>0</v>
      </c>
      <c r="C282" s="21">
        <v>0</v>
      </c>
      <c r="D282" s="21">
        <v>0</v>
      </c>
      <c r="E282" s="21">
        <v>0</v>
      </c>
      <c r="F282" s="21">
        <v>0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>
        <v>0</v>
      </c>
      <c r="X282" s="21">
        <v>0</v>
      </c>
      <c r="Y282" s="21">
        <v>0</v>
      </c>
      <c r="Z282" s="21">
        <v>0</v>
      </c>
      <c r="AA282" s="21">
        <v>0</v>
      </c>
      <c r="AB282" s="29">
        <v>0</v>
      </c>
    </row>
    <row r="283" spans="1:28" x14ac:dyDescent="0.25">
      <c r="A283" s="28" t="str">
        <v>2x</v>
      </c>
      <c r="B283" s="21">
        <v>0</v>
      </c>
      <c r="C283" s="21">
        <v>0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1">
        <v>0</v>
      </c>
      <c r="AB283" s="29">
        <v>0</v>
      </c>
    </row>
    <row r="284" spans="1:28" x14ac:dyDescent="0.25">
      <c r="A284" s="28" t="str">
        <v>2z</v>
      </c>
      <c r="B284" s="21">
        <v>0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>
        <v>0</v>
      </c>
      <c r="X284" s="21">
        <v>0</v>
      </c>
      <c r="Y284" s="21">
        <v>0</v>
      </c>
      <c r="Z284" s="21">
        <v>0</v>
      </c>
      <c r="AA284" s="21">
        <v>0</v>
      </c>
      <c r="AB284" s="29">
        <v>0</v>
      </c>
    </row>
    <row r="285" spans="1:28" x14ac:dyDescent="0.25">
      <c r="A285" s="28" t="str">
        <v>Ө2</v>
      </c>
      <c r="B285" s="21">
        <v>0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9">
        <v>0</v>
      </c>
    </row>
    <row r="286" spans="1:28" x14ac:dyDescent="0.25">
      <c r="A286" s="28" t="str">
        <v>3x</v>
      </c>
      <c r="B286" s="21">
        <v>0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21">
        <v>0</v>
      </c>
      <c r="AB286" s="29">
        <v>0</v>
      </c>
    </row>
    <row r="287" spans="1:28" x14ac:dyDescent="0.25">
      <c r="A287" s="28" t="str">
        <v>3z</v>
      </c>
      <c r="B287" s="21">
        <v>0</v>
      </c>
      <c r="C287" s="21">
        <v>0</v>
      </c>
      <c r="D287" s="21">
        <v>0</v>
      </c>
      <c r="E287" s="21">
        <v>0</v>
      </c>
      <c r="F287" s="21"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>
        <v>0</v>
      </c>
      <c r="X287" s="21">
        <v>0</v>
      </c>
      <c r="Y287" s="21">
        <v>0</v>
      </c>
      <c r="Z287" s="21">
        <v>0</v>
      </c>
      <c r="AA287" s="21">
        <v>0</v>
      </c>
      <c r="AB287" s="29">
        <v>0</v>
      </c>
    </row>
    <row r="288" spans="1:28" x14ac:dyDescent="0.25">
      <c r="A288" s="28" t="str">
        <v>Ө3</v>
      </c>
      <c r="B288" s="21">
        <v>0</v>
      </c>
      <c r="C288" s="21">
        <v>0</v>
      </c>
      <c r="D288" s="21">
        <v>0</v>
      </c>
      <c r="E288" s="21">
        <v>0</v>
      </c>
      <c r="F288" s="21"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1">
        <v>0</v>
      </c>
      <c r="AA288" s="21">
        <v>0</v>
      </c>
      <c r="AB288" s="29">
        <v>0</v>
      </c>
    </row>
    <row r="289" spans="1:28" x14ac:dyDescent="0.25">
      <c r="A289" s="28" t="str">
        <v>4x</v>
      </c>
      <c r="B289" s="21">
        <v>0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9">
        <v>0</v>
      </c>
    </row>
    <row r="290" spans="1:28" x14ac:dyDescent="0.25">
      <c r="A290" s="28" t="str">
        <v>4z</v>
      </c>
      <c r="B290" s="21">
        <v>0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9">
        <v>0</v>
      </c>
    </row>
    <row r="291" spans="1:28" x14ac:dyDescent="0.25">
      <c r="A291" s="28" t="str">
        <v>Ө4</v>
      </c>
      <c r="B291" s="21">
        <v>0</v>
      </c>
      <c r="C291" s="21">
        <v>0</v>
      </c>
      <c r="D291" s="21">
        <v>0</v>
      </c>
      <c r="E291" s="21">
        <v>0</v>
      </c>
      <c r="F291" s="21"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>
        <v>0</v>
      </c>
      <c r="X291" s="21">
        <v>0</v>
      </c>
      <c r="Y291" s="21">
        <v>0</v>
      </c>
      <c r="Z291" s="21">
        <v>0</v>
      </c>
      <c r="AA291" s="21">
        <v>0</v>
      </c>
      <c r="AB291" s="29">
        <v>0</v>
      </c>
    </row>
    <row r="292" spans="1:28" x14ac:dyDescent="0.25">
      <c r="A292" s="28" t="str">
        <v>5x</v>
      </c>
      <c r="B292" s="21">
        <v>0</v>
      </c>
      <c r="C292" s="21">
        <v>0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21">
        <v>0</v>
      </c>
      <c r="AB292" s="29">
        <v>0</v>
      </c>
    </row>
    <row r="293" spans="1:28" x14ac:dyDescent="0.25">
      <c r="A293" s="28" t="str">
        <v>5z</v>
      </c>
      <c r="B293" s="21">
        <v>0</v>
      </c>
      <c r="C293" s="21">
        <v>0</v>
      </c>
      <c r="D293" s="21">
        <v>0</v>
      </c>
      <c r="E293" s="21">
        <v>0</v>
      </c>
      <c r="F293" s="21"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1">
        <v>0</v>
      </c>
      <c r="AB293" s="29">
        <v>0</v>
      </c>
    </row>
    <row r="294" spans="1:28" x14ac:dyDescent="0.25">
      <c r="A294" s="28" t="str">
        <v>Ө5</v>
      </c>
      <c r="B294" s="21">
        <v>0</v>
      </c>
      <c r="C294" s="21">
        <v>0</v>
      </c>
      <c r="D294" s="21">
        <v>0</v>
      </c>
      <c r="E294" s="21">
        <v>0</v>
      </c>
      <c r="F294" s="21"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0</v>
      </c>
      <c r="Y294" s="21">
        <v>0</v>
      </c>
      <c r="Z294" s="21">
        <v>0</v>
      </c>
      <c r="AA294" s="21">
        <v>0</v>
      </c>
      <c r="AB294" s="29">
        <v>0</v>
      </c>
    </row>
    <row r="295" spans="1:28" x14ac:dyDescent="0.25">
      <c r="A295" s="28" t="str">
        <v>6x</v>
      </c>
      <c r="B295" s="21">
        <v>0</v>
      </c>
      <c r="C295" s="21">
        <v>0</v>
      </c>
      <c r="D295" s="21">
        <v>0</v>
      </c>
      <c r="E295" s="21">
        <v>0</v>
      </c>
      <c r="F295" s="21"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f t="array" ref="Q295:S297">B271:D273</f>
        <v>1335.5748144090001</v>
      </c>
      <c r="R295" s="21">
        <v>2.0862539253374438E-11</v>
      </c>
      <c r="S295" s="21">
        <v>267114.96288180002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21">
        <v>0</v>
      </c>
      <c r="AB295" s="29">
        <v>0</v>
      </c>
    </row>
    <row r="296" spans="1:28" x14ac:dyDescent="0.25">
      <c r="A296" s="28" t="str">
        <v>6z</v>
      </c>
      <c r="B296" s="21">
        <v>0</v>
      </c>
      <c r="C296" s="21">
        <v>0</v>
      </c>
      <c r="D296" s="21">
        <v>0</v>
      </c>
      <c r="E296" s="21">
        <v>0</v>
      </c>
      <c r="F296" s="21">
        <v>0</v>
      </c>
      <c r="G296" s="21">
        <v>0</v>
      </c>
      <c r="H296" s="21">
        <v>0</v>
      </c>
      <c r="I296" s="21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2.0862539253374438E-11</v>
      </c>
      <c r="R296" s="21">
        <v>341907.1875</v>
      </c>
      <c r="S296" s="21">
        <v>-1.6362774202880535E-11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1">
        <v>0</v>
      </c>
      <c r="AB296" s="29">
        <v>0</v>
      </c>
    </row>
    <row r="297" spans="1:28" x14ac:dyDescent="0.25">
      <c r="A297" s="28" t="str">
        <v>Ө6</v>
      </c>
      <c r="B297" s="21">
        <v>0</v>
      </c>
      <c r="C297" s="21">
        <v>0</v>
      </c>
      <c r="D297" s="21">
        <v>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267114.96288180002</v>
      </c>
      <c r="R297" s="21">
        <v>-1.6362774202880535E-11</v>
      </c>
      <c r="S297" s="21">
        <v>71230656.768480003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9">
        <v>0</v>
      </c>
    </row>
    <row r="298" spans="1:28" x14ac:dyDescent="0.25">
      <c r="A298" s="28" t="str">
        <v>ax</v>
      </c>
      <c r="B298" s="21">
        <v>0</v>
      </c>
      <c r="C298" s="21">
        <v>0</v>
      </c>
      <c r="D298" s="21">
        <v>0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0</v>
      </c>
      <c r="K298" s="21">
        <v>0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9">
        <v>0</v>
      </c>
    </row>
    <row r="299" spans="1:28" x14ac:dyDescent="0.25">
      <c r="A299" s="28" t="str">
        <v>az</v>
      </c>
      <c r="B299" s="21">
        <v>0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9">
        <v>0</v>
      </c>
    </row>
    <row r="300" spans="1:28" x14ac:dyDescent="0.25">
      <c r="A300" s="28" t="str">
        <v>Өa</v>
      </c>
      <c r="B300" s="21">
        <v>0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1">
        <v>0</v>
      </c>
      <c r="AA300" s="21">
        <v>0</v>
      </c>
      <c r="AB300" s="29">
        <v>0</v>
      </c>
    </row>
    <row r="301" spans="1:28" x14ac:dyDescent="0.25">
      <c r="A301" s="28" t="str">
        <v>bx</v>
      </c>
      <c r="B301" s="21">
        <v>0</v>
      </c>
      <c r="C301" s="21">
        <v>0</v>
      </c>
      <c r="D301" s="21">
        <v>0</v>
      </c>
      <c r="E301" s="21">
        <v>0</v>
      </c>
      <c r="F301" s="21">
        <v>0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9">
        <v>0</v>
      </c>
    </row>
    <row r="302" spans="1:28" x14ac:dyDescent="0.25">
      <c r="A302" s="28" t="str">
        <v>bz</v>
      </c>
      <c r="B302" s="21">
        <v>0</v>
      </c>
      <c r="C302" s="21">
        <v>0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9">
        <v>0</v>
      </c>
    </row>
    <row r="303" spans="1:28" x14ac:dyDescent="0.25">
      <c r="A303" s="28" t="str">
        <v>Өb</v>
      </c>
      <c r="B303" s="21">
        <v>0</v>
      </c>
      <c r="C303" s="21">
        <v>0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9">
        <v>0</v>
      </c>
    </row>
    <row r="304" spans="1:28" x14ac:dyDescent="0.25">
      <c r="A304" s="28" t="str">
        <v>cx</v>
      </c>
      <c r="B304" s="21">
        <v>0</v>
      </c>
      <c r="C304" s="21">
        <v>0</v>
      </c>
      <c r="D304" s="21">
        <v>0</v>
      </c>
      <c r="E304" s="21">
        <v>0</v>
      </c>
      <c r="F304" s="21">
        <v>0</v>
      </c>
      <c r="G304" s="21">
        <v>0</v>
      </c>
      <c r="H304" s="21">
        <v>0</v>
      </c>
      <c r="I304" s="21">
        <v>0</v>
      </c>
      <c r="J304" s="21">
        <v>0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0</v>
      </c>
      <c r="Z304" s="21">
        <v>0</v>
      </c>
      <c r="AA304" s="21">
        <v>0</v>
      </c>
      <c r="AB304" s="29">
        <v>0</v>
      </c>
    </row>
    <row r="305" spans="1:28" x14ac:dyDescent="0.25">
      <c r="A305" s="28" t="str">
        <v>cz</v>
      </c>
      <c r="B305" s="21">
        <v>0</v>
      </c>
      <c r="C305" s="21">
        <v>0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0</v>
      </c>
      <c r="Z305" s="21">
        <v>0</v>
      </c>
      <c r="AA305" s="21">
        <v>0</v>
      </c>
      <c r="AB305" s="29">
        <v>0</v>
      </c>
    </row>
    <row r="306" spans="1:28" x14ac:dyDescent="0.25">
      <c r="A306" s="28" t="str">
        <v>Өc</v>
      </c>
      <c r="B306" s="21">
        <v>0</v>
      </c>
      <c r="C306" s="21">
        <v>0</v>
      </c>
      <c r="D306" s="21">
        <v>0</v>
      </c>
      <c r="E306" s="21">
        <v>0</v>
      </c>
      <c r="F306" s="21">
        <v>0</v>
      </c>
      <c r="G306" s="21">
        <v>0</v>
      </c>
      <c r="H306" s="21">
        <v>0</v>
      </c>
      <c r="I306" s="21">
        <v>0</v>
      </c>
      <c r="J306" s="21">
        <v>0</v>
      </c>
      <c r="K306" s="21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0</v>
      </c>
      <c r="S306" s="21">
        <v>0</v>
      </c>
      <c r="T306" s="21">
        <v>0</v>
      </c>
      <c r="U306" s="21">
        <v>0</v>
      </c>
      <c r="V306" s="21">
        <v>0</v>
      </c>
      <c r="W306" s="21">
        <v>0</v>
      </c>
      <c r="X306" s="21">
        <v>0</v>
      </c>
      <c r="Y306" s="21">
        <v>0</v>
      </c>
      <c r="Z306" s="21">
        <v>0</v>
      </c>
      <c r="AA306" s="21">
        <v>0</v>
      </c>
      <c r="AB306" s="29">
        <v>0</v>
      </c>
    </row>
    <row r="307" spans="1:28" ht="15.75" thickBot="1" x14ac:dyDescent="0.3">
      <c r="A307" s="22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4"/>
    </row>
    <row r="308" spans="1:28" ht="15.75" thickBot="1" x14ac:dyDescent="0.3"/>
    <row r="309" spans="1:28" x14ac:dyDescent="0.25">
      <c r="A309" s="1"/>
      <c r="B309" s="32" t="s">
        <v>62</v>
      </c>
      <c r="C309" s="32"/>
      <c r="D309" s="32"/>
      <c r="E309" s="32"/>
      <c r="F309" s="32"/>
      <c r="G309" s="32"/>
      <c r="H309" s="3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"/>
    </row>
    <row r="310" spans="1:28" x14ac:dyDescent="0.25">
      <c r="A310" s="4"/>
      <c r="AB310" s="5"/>
    </row>
    <row r="311" spans="1:28" x14ac:dyDescent="0.25">
      <c r="A311" s="4"/>
      <c r="AB311" s="5"/>
    </row>
    <row r="312" spans="1:28" x14ac:dyDescent="0.25">
      <c r="A312" s="4"/>
      <c r="B312" s="26" t="s">
        <v>1</v>
      </c>
      <c r="C312">
        <v>625</v>
      </c>
      <c r="D312" t="s">
        <v>74</v>
      </c>
      <c r="G312" t="s">
        <v>12</v>
      </c>
      <c r="AB312" s="5"/>
    </row>
    <row r="313" spans="1:28" x14ac:dyDescent="0.25">
      <c r="A313" s="4"/>
      <c r="B313" s="26" t="s">
        <v>2</v>
      </c>
      <c r="C313">
        <v>32552.080000000002</v>
      </c>
      <c r="D313" t="s">
        <v>74</v>
      </c>
      <c r="AB313" s="5"/>
    </row>
    <row r="314" spans="1:28" x14ac:dyDescent="0.25">
      <c r="A314" s="4"/>
      <c r="B314" s="26" t="s">
        <v>3</v>
      </c>
      <c r="C314">
        <v>400</v>
      </c>
      <c r="D314" t="s">
        <v>74</v>
      </c>
      <c r="AB314" s="5"/>
    </row>
    <row r="315" spans="1:28" x14ac:dyDescent="0.25">
      <c r="A315" s="4"/>
      <c r="B315" s="26" t="s">
        <v>4</v>
      </c>
      <c r="C315">
        <v>218820.6</v>
      </c>
      <c r="D315" t="s">
        <v>75</v>
      </c>
      <c r="AB315" s="5"/>
    </row>
    <row r="316" spans="1:28" x14ac:dyDescent="0.25">
      <c r="A316" s="4"/>
      <c r="AB316" s="5"/>
    </row>
    <row r="317" spans="1:28" x14ac:dyDescent="0.25">
      <c r="A317" s="4"/>
      <c r="AB317" s="5"/>
    </row>
    <row r="318" spans="1:28" x14ac:dyDescent="0.25">
      <c r="A318" s="31" t="s">
        <v>5</v>
      </c>
      <c r="B318" s="30"/>
      <c r="C318" s="30"/>
      <c r="D318" s="30"/>
      <c r="AB318" s="5"/>
    </row>
    <row r="319" spans="1:28" x14ac:dyDescent="0.25">
      <c r="A319" s="4"/>
      <c r="AB319" s="5"/>
    </row>
    <row r="320" spans="1:28" x14ac:dyDescent="0.25">
      <c r="A320" s="4"/>
      <c r="B320" t="s">
        <v>6</v>
      </c>
      <c r="C320">
        <f>(C315*C312)/C314</f>
        <v>341907.1875</v>
      </c>
      <c r="D320" t="s">
        <v>75</v>
      </c>
      <c r="G320" t="s">
        <v>11</v>
      </c>
      <c r="AB320" s="5"/>
    </row>
    <row r="321" spans="1:28" x14ac:dyDescent="0.25">
      <c r="A321" s="4"/>
      <c r="B321" t="s">
        <v>7</v>
      </c>
      <c r="C321">
        <f>(12*C315*C313)/(C314^3)</f>
        <v>1335.5748144090001</v>
      </c>
      <c r="D321" t="s">
        <v>76</v>
      </c>
      <c r="AB321" s="5"/>
    </row>
    <row r="322" spans="1:28" x14ac:dyDescent="0.25">
      <c r="A322" s="4"/>
      <c r="B322" t="s">
        <v>8</v>
      </c>
      <c r="C322">
        <f>(6*C315*C313)/(C314^2)</f>
        <v>267114.96288180002</v>
      </c>
      <c r="D322" t="s">
        <v>77</v>
      </c>
      <c r="AB322" s="5"/>
    </row>
    <row r="323" spans="1:28" x14ac:dyDescent="0.25">
      <c r="A323" s="4"/>
      <c r="B323" t="s">
        <v>9</v>
      </c>
      <c r="C323">
        <f>(4*C315*C313)/C314</f>
        <v>71230656.768480003</v>
      </c>
      <c r="D323" t="s">
        <v>78</v>
      </c>
      <c r="AB323" s="5"/>
    </row>
    <row r="324" spans="1:28" x14ac:dyDescent="0.25">
      <c r="A324" s="4"/>
      <c r="B324" t="s">
        <v>10</v>
      </c>
      <c r="C324">
        <f>(2*C315*C313)/C314</f>
        <v>35615328.384240001</v>
      </c>
      <c r="D324" t="s">
        <v>79</v>
      </c>
      <c r="AB324" s="5"/>
    </row>
    <row r="325" spans="1:28" x14ac:dyDescent="0.25">
      <c r="A325" s="4"/>
      <c r="AB325" s="5"/>
    </row>
    <row r="326" spans="1:28" x14ac:dyDescent="0.25">
      <c r="A326" s="4"/>
      <c r="AB326" s="5"/>
    </row>
    <row r="327" spans="1:28" x14ac:dyDescent="0.25">
      <c r="A327" s="4"/>
      <c r="AB327" s="5"/>
    </row>
    <row r="328" spans="1:28" x14ac:dyDescent="0.25">
      <c r="A328" s="4"/>
      <c r="B328" s="30" t="s">
        <v>66</v>
      </c>
      <c r="C328" s="30"/>
      <c r="D328" s="30"/>
      <c r="E328" s="30"/>
      <c r="AB328" s="5"/>
    </row>
    <row r="329" spans="1:28" x14ac:dyDescent="0.25">
      <c r="A329" s="4"/>
      <c r="AB329" s="5"/>
    </row>
    <row r="330" spans="1:28" x14ac:dyDescent="0.25">
      <c r="A330" s="4" t="s">
        <v>65</v>
      </c>
      <c r="B330" s="6" t="s">
        <v>83</v>
      </c>
      <c r="C330" s="6" t="s">
        <v>84</v>
      </c>
      <c r="D330" s="7" t="s">
        <v>85</v>
      </c>
      <c r="E330" s="6" t="s">
        <v>86</v>
      </c>
      <c r="F330" s="6" t="s">
        <v>87</v>
      </c>
      <c r="G330" s="7" t="s">
        <v>88</v>
      </c>
      <c r="AB330" s="5"/>
    </row>
    <row r="331" spans="1:28" x14ac:dyDescent="0.25">
      <c r="A331" s="8" t="str">
        <f t="array" ref="A331:A336">TRANSPOSE(B330:G330)</f>
        <v>6x</v>
      </c>
      <c r="B331" s="9">
        <f>C320</f>
        <v>341907.1875</v>
      </c>
      <c r="C331" s="9">
        <v>0</v>
      </c>
      <c r="D331" s="9">
        <v>0</v>
      </c>
      <c r="E331" s="10">
        <f>-C320</f>
        <v>-341907.1875</v>
      </c>
      <c r="F331" s="10">
        <v>0</v>
      </c>
      <c r="G331" s="10">
        <v>0</v>
      </c>
      <c r="J331" t="s">
        <v>21</v>
      </c>
      <c r="AB331" s="5"/>
    </row>
    <row r="332" spans="1:28" x14ac:dyDescent="0.25">
      <c r="A332" s="8" t="str">
        <v>6z</v>
      </c>
      <c r="B332" s="9">
        <v>0</v>
      </c>
      <c r="C332" s="9">
        <f>C321</f>
        <v>1335.5748144090001</v>
      </c>
      <c r="D332" s="9">
        <f>C322</f>
        <v>267114.96288180002</v>
      </c>
      <c r="E332" s="10">
        <v>0</v>
      </c>
      <c r="F332" s="10">
        <f>-C321</f>
        <v>-1335.5748144090001</v>
      </c>
      <c r="G332" s="10">
        <f>C322</f>
        <v>267114.96288180002</v>
      </c>
      <c r="AB332" s="5"/>
    </row>
    <row r="333" spans="1:28" x14ac:dyDescent="0.25">
      <c r="A333" s="8" t="str">
        <v>Ө6</v>
      </c>
      <c r="B333" s="9">
        <v>0</v>
      </c>
      <c r="C333" s="9">
        <f>C322</f>
        <v>267114.96288180002</v>
      </c>
      <c r="D333" s="9">
        <f>C323</f>
        <v>71230656.768480003</v>
      </c>
      <c r="E333" s="10">
        <v>0</v>
      </c>
      <c r="F333" s="10">
        <f>-C322</f>
        <v>-267114.96288180002</v>
      </c>
      <c r="G333" s="10">
        <f>C324</f>
        <v>35615328.384240001</v>
      </c>
      <c r="AB333" s="5"/>
    </row>
    <row r="334" spans="1:28" x14ac:dyDescent="0.25">
      <c r="A334" s="8" t="str">
        <v>cx</v>
      </c>
      <c r="B334" s="11">
        <f>-C320</f>
        <v>-341907.1875</v>
      </c>
      <c r="C334" s="11">
        <v>0</v>
      </c>
      <c r="D334" s="11">
        <v>0</v>
      </c>
      <c r="E334" s="12">
        <f>C320</f>
        <v>341907.1875</v>
      </c>
      <c r="F334" s="12">
        <v>0</v>
      </c>
      <c r="G334" s="12">
        <v>0</v>
      </c>
      <c r="AB334" s="5"/>
    </row>
    <row r="335" spans="1:28" x14ac:dyDescent="0.25">
      <c r="A335" s="8" t="str">
        <v>cz</v>
      </c>
      <c r="B335" s="11">
        <v>0</v>
      </c>
      <c r="C335" s="11">
        <f>-C321</f>
        <v>-1335.5748144090001</v>
      </c>
      <c r="D335" s="11">
        <f>-C322</f>
        <v>-267114.96288180002</v>
      </c>
      <c r="E335" s="12">
        <v>0</v>
      </c>
      <c r="F335" s="12">
        <f>C321</f>
        <v>1335.5748144090001</v>
      </c>
      <c r="G335" s="12">
        <f>-C322</f>
        <v>-267114.96288180002</v>
      </c>
      <c r="I335" t="s">
        <v>59</v>
      </c>
      <c r="AB335" s="5"/>
    </row>
    <row r="336" spans="1:28" x14ac:dyDescent="0.25">
      <c r="A336" s="8" t="str">
        <v>Өc</v>
      </c>
      <c r="B336" s="11">
        <v>0</v>
      </c>
      <c r="C336" s="11">
        <f>C322</f>
        <v>267114.96288180002</v>
      </c>
      <c r="D336" s="11">
        <f>C324</f>
        <v>35615328.384240001</v>
      </c>
      <c r="E336" s="12">
        <v>0</v>
      </c>
      <c r="F336" s="12">
        <f>-C322</f>
        <v>-267114.96288180002</v>
      </c>
      <c r="G336" s="12">
        <f>C323</f>
        <v>71230656.768480003</v>
      </c>
      <c r="AB336" s="5"/>
    </row>
    <row r="337" spans="1:28" x14ac:dyDescent="0.25">
      <c r="A337" s="4"/>
      <c r="AB337" s="5"/>
    </row>
    <row r="338" spans="1:28" x14ac:dyDescent="0.25">
      <c r="A338" s="31" t="s">
        <v>90</v>
      </c>
      <c r="B338" s="30"/>
      <c r="C338" s="30"/>
      <c r="D338" s="30"/>
      <c r="E338" s="30"/>
      <c r="F338" s="30"/>
      <c r="G338" s="30"/>
      <c r="H338" s="30"/>
      <c r="I338" s="30"/>
      <c r="AB338" s="5"/>
    </row>
    <row r="339" spans="1:28" x14ac:dyDescent="0.25">
      <c r="A339" s="25"/>
      <c r="B339" s="26"/>
      <c r="C339" s="26"/>
      <c r="D339" s="26"/>
      <c r="E339" s="26"/>
      <c r="F339" s="26"/>
      <c r="G339" s="26"/>
      <c r="H339" s="26"/>
      <c r="I339" s="26"/>
      <c r="AB339" s="5"/>
    </row>
    <row r="340" spans="1:28" x14ac:dyDescent="0.25">
      <c r="A340" s="25"/>
      <c r="B340" s="26"/>
      <c r="C340" s="30" t="s">
        <v>45</v>
      </c>
      <c r="D340" s="30"/>
      <c r="E340" s="30" t="s">
        <v>46</v>
      </c>
      <c r="F340" s="30"/>
      <c r="G340" s="30" t="s">
        <v>47</v>
      </c>
      <c r="H340" s="30"/>
      <c r="I340" s="30" t="s">
        <v>48</v>
      </c>
      <c r="J340" s="30"/>
      <c r="AB340" s="5"/>
    </row>
    <row r="341" spans="1:28" x14ac:dyDescent="0.25">
      <c r="A341" s="13" t="s">
        <v>37</v>
      </c>
      <c r="B341" s="26">
        <v>90</v>
      </c>
      <c r="C341" s="26" t="s">
        <v>40</v>
      </c>
      <c r="D341" s="14">
        <f>B331</f>
        <v>341907.1875</v>
      </c>
      <c r="E341" s="26" t="s">
        <v>40</v>
      </c>
      <c r="F341" s="14">
        <f>E331</f>
        <v>-341907.1875</v>
      </c>
      <c r="G341" s="26" t="s">
        <v>40</v>
      </c>
      <c r="H341" s="14">
        <f>B334</f>
        <v>-341907.1875</v>
      </c>
      <c r="I341" s="26" t="s">
        <v>40</v>
      </c>
      <c r="J341" s="15">
        <f>E334</f>
        <v>341907.1875</v>
      </c>
      <c r="AB341" s="5"/>
    </row>
    <row r="342" spans="1:28" x14ac:dyDescent="0.25">
      <c r="A342" s="13" t="s">
        <v>38</v>
      </c>
      <c r="B342" s="26">
        <f>SIN(RADIANS(B341))</f>
        <v>1</v>
      </c>
      <c r="C342" s="26" t="s">
        <v>41</v>
      </c>
      <c r="D342" s="14">
        <f>C332</f>
        <v>1335.5748144090001</v>
      </c>
      <c r="E342" s="26" t="s">
        <v>41</v>
      </c>
      <c r="F342" s="14">
        <f>F332</f>
        <v>-1335.5748144090001</v>
      </c>
      <c r="G342" s="26" t="s">
        <v>41</v>
      </c>
      <c r="H342" s="14">
        <f>C335</f>
        <v>-1335.5748144090001</v>
      </c>
      <c r="I342" s="26" t="s">
        <v>41</v>
      </c>
      <c r="J342" s="15">
        <f>F335</f>
        <v>1335.5748144090001</v>
      </c>
      <c r="AB342" s="5"/>
    </row>
    <row r="343" spans="1:28" x14ac:dyDescent="0.25">
      <c r="A343" s="13" t="s">
        <v>39</v>
      </c>
      <c r="B343" s="16">
        <f>COS(RADIANS(B341))</f>
        <v>6.1257422745431001E-17</v>
      </c>
      <c r="C343" s="26" t="s">
        <v>42</v>
      </c>
      <c r="D343" s="14">
        <f>D333</f>
        <v>71230656.768480003</v>
      </c>
      <c r="E343" s="26" t="s">
        <v>42</v>
      </c>
      <c r="F343" s="14">
        <f>G333</f>
        <v>35615328.384240001</v>
      </c>
      <c r="G343" s="26" t="s">
        <v>42</v>
      </c>
      <c r="H343" s="14">
        <f>D336</f>
        <v>35615328.384240001</v>
      </c>
      <c r="I343" s="26" t="s">
        <v>42</v>
      </c>
      <c r="J343" s="15">
        <f>G336</f>
        <v>71230656.768480003</v>
      </c>
      <c r="AB343" s="5"/>
    </row>
    <row r="344" spans="1:28" x14ac:dyDescent="0.25">
      <c r="A344" s="25"/>
      <c r="B344" s="26"/>
      <c r="C344" s="26" t="s">
        <v>43</v>
      </c>
      <c r="D344" s="14">
        <f>D332</f>
        <v>267114.96288180002</v>
      </c>
      <c r="E344" s="26" t="s">
        <v>43</v>
      </c>
      <c r="F344" s="14">
        <f>G332</f>
        <v>267114.96288180002</v>
      </c>
      <c r="G344" s="26" t="s">
        <v>43</v>
      </c>
      <c r="H344" s="14">
        <f>D335</f>
        <v>-267114.96288180002</v>
      </c>
      <c r="I344" s="26" t="s">
        <v>43</v>
      </c>
      <c r="J344" s="15">
        <f>G335</f>
        <v>-267114.96288180002</v>
      </c>
      <c r="AB344" s="5"/>
    </row>
    <row r="345" spans="1:28" x14ac:dyDescent="0.25">
      <c r="A345" s="25"/>
      <c r="B345" s="26"/>
      <c r="C345" s="26" t="s">
        <v>44</v>
      </c>
      <c r="D345" s="14">
        <f>C333</f>
        <v>267114.96288180002</v>
      </c>
      <c r="E345" s="26" t="s">
        <v>44</v>
      </c>
      <c r="F345" s="14">
        <f>F333</f>
        <v>-267114.96288180002</v>
      </c>
      <c r="G345" s="26" t="s">
        <v>44</v>
      </c>
      <c r="H345" s="14">
        <f>C336</f>
        <v>267114.96288180002</v>
      </c>
      <c r="I345" s="26" t="s">
        <v>44</v>
      </c>
      <c r="J345" s="15">
        <f>F336</f>
        <v>-267114.96288180002</v>
      </c>
      <c r="AB345" s="5"/>
    </row>
    <row r="346" spans="1:28" x14ac:dyDescent="0.25">
      <c r="A346" s="25"/>
      <c r="B346" s="26"/>
      <c r="C346" s="26"/>
      <c r="D346" s="26"/>
      <c r="E346" s="26"/>
      <c r="F346" s="26"/>
      <c r="G346" s="26"/>
      <c r="H346" s="26"/>
      <c r="I346" s="26"/>
      <c r="AB346" s="5"/>
    </row>
    <row r="347" spans="1:28" x14ac:dyDescent="0.25">
      <c r="A347" s="25"/>
      <c r="B347" s="26"/>
      <c r="C347" s="26"/>
      <c r="D347" s="26"/>
      <c r="E347" s="26"/>
      <c r="F347" s="26"/>
      <c r="G347" s="26"/>
      <c r="H347" s="26"/>
      <c r="I347" s="26"/>
      <c r="AB347" s="5"/>
    </row>
    <row r="348" spans="1:28" x14ac:dyDescent="0.25">
      <c r="A348" s="25"/>
      <c r="B348" s="26"/>
      <c r="C348" s="26"/>
      <c r="D348" s="26"/>
      <c r="E348" s="26"/>
      <c r="F348" s="26"/>
      <c r="G348" s="26"/>
      <c r="H348" s="26"/>
      <c r="I348" s="26"/>
      <c r="AB348" s="5"/>
    </row>
    <row r="349" spans="1:28" x14ac:dyDescent="0.25">
      <c r="A349" s="25"/>
      <c r="B349" s="26"/>
      <c r="C349" s="26"/>
      <c r="D349" s="26"/>
      <c r="E349" s="26"/>
      <c r="F349" s="26"/>
      <c r="G349" s="26"/>
      <c r="H349" s="26"/>
      <c r="I349" s="26"/>
      <c r="AB349" s="5"/>
    </row>
    <row r="350" spans="1:28" x14ac:dyDescent="0.25">
      <c r="A350" s="4" t="s">
        <v>65</v>
      </c>
      <c r="B350" s="6" t="str">
        <f>B330</f>
        <v>6x</v>
      </c>
      <c r="C350" s="6" t="str">
        <f t="shared" ref="C350:G350" si="2">C330</f>
        <v>6z</v>
      </c>
      <c r="D350" s="6" t="str">
        <f t="shared" si="2"/>
        <v>Ө6</v>
      </c>
      <c r="E350" s="6" t="str">
        <f t="shared" si="2"/>
        <v>cx</v>
      </c>
      <c r="F350" s="6" t="str">
        <f t="shared" si="2"/>
        <v>cz</v>
      </c>
      <c r="G350" s="6" t="str">
        <f t="shared" si="2"/>
        <v>Өc</v>
      </c>
      <c r="H350" s="26"/>
      <c r="I350" s="26"/>
      <c r="AB350" s="5"/>
    </row>
    <row r="351" spans="1:28" x14ac:dyDescent="0.25">
      <c r="A351" s="8" t="str">
        <f t="array" ref="A351:A356">TRANSPOSE(B350:G350)</f>
        <v>6x</v>
      </c>
      <c r="B351" s="17">
        <f>(J341*B343*B343)+(J342*B342*B342)</f>
        <v>1335.5748144090001</v>
      </c>
      <c r="C351" s="17">
        <f>(J341-J342)*B343*B342</f>
        <v>2.0862539253374438E-11</v>
      </c>
      <c r="D351" s="17">
        <f>-J344*B342</f>
        <v>267114.96288180002</v>
      </c>
      <c r="E351" s="18">
        <v>0</v>
      </c>
      <c r="F351" s="18">
        <v>0</v>
      </c>
      <c r="G351" s="18">
        <v>0</v>
      </c>
      <c r="H351" s="26"/>
      <c r="I351" s="26"/>
      <c r="AB351" s="5"/>
    </row>
    <row r="352" spans="1:28" x14ac:dyDescent="0.25">
      <c r="A352" s="8" t="str">
        <v>6z</v>
      </c>
      <c r="B352" s="17">
        <f>(J341-J342)*B342*B343</f>
        <v>2.0862539253374438E-11</v>
      </c>
      <c r="C352" s="17">
        <f>(J341*B342*B342)+(J342*B343*B343)</f>
        <v>341907.1875</v>
      </c>
      <c r="D352" s="17">
        <f>J344*B343</f>
        <v>-1.6362774202880535E-11</v>
      </c>
      <c r="E352" s="18">
        <v>0</v>
      </c>
      <c r="F352" s="18">
        <v>0</v>
      </c>
      <c r="G352" s="18">
        <v>0</v>
      </c>
      <c r="H352" s="26"/>
      <c r="I352" s="26"/>
      <c r="J352" t="s">
        <v>36</v>
      </c>
      <c r="AB352" s="5"/>
    </row>
    <row r="353" spans="1:28" x14ac:dyDescent="0.25">
      <c r="A353" s="8" t="str">
        <v>Ө6</v>
      </c>
      <c r="B353" s="17">
        <f>-J345*B342</f>
        <v>267114.96288180002</v>
      </c>
      <c r="C353" s="17">
        <f>J345*B343</f>
        <v>-1.6362774202880535E-11</v>
      </c>
      <c r="D353" s="17">
        <f>J343</f>
        <v>71230656.768480003</v>
      </c>
      <c r="E353" s="18">
        <v>0</v>
      </c>
      <c r="F353" s="18">
        <v>0</v>
      </c>
      <c r="G353" s="18">
        <v>0</v>
      </c>
      <c r="H353" s="26"/>
      <c r="I353" s="26"/>
      <c r="AB353" s="5"/>
    </row>
    <row r="354" spans="1:28" x14ac:dyDescent="0.25">
      <c r="A354" s="8" t="str">
        <v>cx</v>
      </c>
      <c r="B354" s="19">
        <v>0</v>
      </c>
      <c r="C354" s="19">
        <v>0</v>
      </c>
      <c r="D354" s="19">
        <v>0</v>
      </c>
      <c r="E354" s="20">
        <v>0</v>
      </c>
      <c r="F354" s="20">
        <v>0</v>
      </c>
      <c r="G354" s="20">
        <v>0</v>
      </c>
      <c r="H354" s="26"/>
      <c r="I354" s="26" t="s">
        <v>49</v>
      </c>
      <c r="AB354" s="5"/>
    </row>
    <row r="355" spans="1:28" x14ac:dyDescent="0.25">
      <c r="A355" s="8" t="str">
        <v>cz</v>
      </c>
      <c r="B355" s="19">
        <v>0</v>
      </c>
      <c r="C355" s="19">
        <v>0</v>
      </c>
      <c r="D355" s="19">
        <v>0</v>
      </c>
      <c r="E355" s="20">
        <v>0</v>
      </c>
      <c r="F355" s="20">
        <v>0</v>
      </c>
      <c r="G355" s="20">
        <v>0</v>
      </c>
      <c r="H355" s="26" t="s">
        <v>50</v>
      </c>
      <c r="I355" s="26" t="s">
        <v>51</v>
      </c>
      <c r="K355" t="s">
        <v>54</v>
      </c>
      <c r="L355" t="s">
        <v>55</v>
      </c>
      <c r="M355" t="s">
        <v>58</v>
      </c>
      <c r="AB355" s="5"/>
    </row>
    <row r="356" spans="1:28" x14ac:dyDescent="0.25">
      <c r="A356" s="8" t="str">
        <v>Өc</v>
      </c>
      <c r="B356" s="19">
        <v>0</v>
      </c>
      <c r="C356" s="19">
        <v>0</v>
      </c>
      <c r="D356" s="19">
        <v>0</v>
      </c>
      <c r="E356" s="20">
        <v>0</v>
      </c>
      <c r="F356" s="20">
        <v>0</v>
      </c>
      <c r="G356" s="20">
        <v>0</v>
      </c>
      <c r="H356" s="26" t="s">
        <v>52</v>
      </c>
      <c r="I356" s="26" t="s">
        <v>53</v>
      </c>
      <c r="K356" t="s">
        <v>56</v>
      </c>
      <c r="L356" t="s">
        <v>57</v>
      </c>
      <c r="AB356" s="5"/>
    </row>
    <row r="357" spans="1:28" x14ac:dyDescent="0.25">
      <c r="A357" s="4"/>
      <c r="AB357" s="5"/>
    </row>
    <row r="358" spans="1:28" x14ac:dyDescent="0.25">
      <c r="A358" s="4"/>
      <c r="AB358" s="5"/>
    </row>
    <row r="359" spans="1:28" x14ac:dyDescent="0.25">
      <c r="A359" s="4" t="s">
        <v>67</v>
      </c>
      <c r="B359" s="6" t="s">
        <v>15</v>
      </c>
      <c r="C359" s="6" t="s">
        <v>16</v>
      </c>
      <c r="D359" s="7" t="s">
        <v>17</v>
      </c>
      <c r="E359" s="6" t="s">
        <v>24</v>
      </c>
      <c r="F359" s="6" t="s">
        <v>25</v>
      </c>
      <c r="G359" s="7" t="s">
        <v>26</v>
      </c>
      <c r="H359" s="6" t="s">
        <v>27</v>
      </c>
      <c r="I359" s="6" t="s">
        <v>28</v>
      </c>
      <c r="J359" s="7" t="s">
        <v>29</v>
      </c>
      <c r="K359" s="6" t="s">
        <v>30</v>
      </c>
      <c r="L359" s="6" t="s">
        <v>31</v>
      </c>
      <c r="M359" s="7" t="s">
        <v>32</v>
      </c>
      <c r="N359" s="6" t="s">
        <v>80</v>
      </c>
      <c r="O359" s="6" t="s">
        <v>81</v>
      </c>
      <c r="P359" s="7" t="s">
        <v>82</v>
      </c>
      <c r="Q359" s="6" t="s">
        <v>83</v>
      </c>
      <c r="R359" s="6" t="s">
        <v>84</v>
      </c>
      <c r="S359" s="7" t="s">
        <v>85</v>
      </c>
      <c r="T359" s="6" t="s">
        <v>18</v>
      </c>
      <c r="U359" s="6" t="s">
        <v>19</v>
      </c>
      <c r="V359" s="7" t="s">
        <v>20</v>
      </c>
      <c r="W359" s="6" t="s">
        <v>33</v>
      </c>
      <c r="X359" s="6" t="s">
        <v>34</v>
      </c>
      <c r="Y359" s="7" t="s">
        <v>35</v>
      </c>
      <c r="Z359" s="6" t="s">
        <v>86</v>
      </c>
      <c r="AA359" s="6" t="s">
        <v>87</v>
      </c>
      <c r="AB359" s="27" t="s">
        <v>88</v>
      </c>
    </row>
    <row r="360" spans="1:28" x14ac:dyDescent="0.25">
      <c r="A360" s="28" t="str">
        <f t="array" ref="A360:A386">TRANSPOSE(B359:AB359)</f>
        <v>1x</v>
      </c>
      <c r="B360" s="21">
        <v>0</v>
      </c>
      <c r="C360" s="21">
        <v>0</v>
      </c>
      <c r="D360" s="21">
        <v>0</v>
      </c>
      <c r="E360" s="21">
        <v>0</v>
      </c>
      <c r="F360" s="21">
        <v>0</v>
      </c>
      <c r="G360" s="21">
        <v>0</v>
      </c>
      <c r="H360" s="21">
        <v>0</v>
      </c>
      <c r="I360" s="21">
        <v>0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  <c r="W360" s="21">
        <v>0</v>
      </c>
      <c r="X360" s="21">
        <v>0</v>
      </c>
      <c r="Y360" s="21">
        <v>0</v>
      </c>
      <c r="Z360" s="21">
        <v>0</v>
      </c>
      <c r="AA360" s="21">
        <v>0</v>
      </c>
      <c r="AB360" s="29">
        <v>0</v>
      </c>
    </row>
    <row r="361" spans="1:28" x14ac:dyDescent="0.25">
      <c r="A361" s="28" t="str">
        <v>1z</v>
      </c>
      <c r="B361" s="21">
        <v>0</v>
      </c>
      <c r="C361" s="21">
        <v>0</v>
      </c>
      <c r="D361" s="21">
        <v>0</v>
      </c>
      <c r="E361" s="21">
        <v>0</v>
      </c>
      <c r="F361" s="21">
        <v>0</v>
      </c>
      <c r="G361" s="21">
        <v>0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  <c r="W361" s="21">
        <v>0</v>
      </c>
      <c r="X361" s="21">
        <v>0</v>
      </c>
      <c r="Y361" s="21">
        <v>0</v>
      </c>
      <c r="Z361" s="21">
        <v>0</v>
      </c>
      <c r="AA361" s="21">
        <v>0</v>
      </c>
      <c r="AB361" s="29">
        <v>0</v>
      </c>
    </row>
    <row r="362" spans="1:28" x14ac:dyDescent="0.25">
      <c r="A362" s="28" t="str">
        <v>Ө1</v>
      </c>
      <c r="B362" s="21">
        <v>0</v>
      </c>
      <c r="C362" s="21">
        <v>0</v>
      </c>
      <c r="D362" s="21">
        <v>0</v>
      </c>
      <c r="E362" s="21">
        <v>0</v>
      </c>
      <c r="F362" s="21"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21">
        <v>0</v>
      </c>
      <c r="AB362" s="29">
        <v>0</v>
      </c>
    </row>
    <row r="363" spans="1:28" x14ac:dyDescent="0.25">
      <c r="A363" s="28" t="str">
        <v>2x</v>
      </c>
      <c r="B363" s="21">
        <v>0</v>
      </c>
      <c r="C363" s="21">
        <v>0</v>
      </c>
      <c r="D363" s="21">
        <v>0</v>
      </c>
      <c r="E363" s="21">
        <v>0</v>
      </c>
      <c r="F363" s="21">
        <v>0</v>
      </c>
      <c r="G363" s="21">
        <v>0</v>
      </c>
      <c r="H363" s="21">
        <v>0</v>
      </c>
      <c r="I363" s="21">
        <v>0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  <c r="W363" s="21">
        <v>0</v>
      </c>
      <c r="X363" s="21">
        <v>0</v>
      </c>
      <c r="Y363" s="21">
        <v>0</v>
      </c>
      <c r="Z363" s="21">
        <v>0</v>
      </c>
      <c r="AA363" s="21">
        <v>0</v>
      </c>
      <c r="AB363" s="29">
        <v>0</v>
      </c>
    </row>
    <row r="364" spans="1:28" x14ac:dyDescent="0.25">
      <c r="A364" s="28" t="str">
        <v>2z</v>
      </c>
      <c r="B364" s="21">
        <v>0</v>
      </c>
      <c r="C364" s="21">
        <v>0</v>
      </c>
      <c r="D364" s="21">
        <v>0</v>
      </c>
      <c r="E364" s="21">
        <v>0</v>
      </c>
      <c r="F364" s="21">
        <v>0</v>
      </c>
      <c r="G364" s="21">
        <v>0</v>
      </c>
      <c r="H364" s="21">
        <v>0</v>
      </c>
      <c r="I364" s="21">
        <v>0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21">
        <v>0</v>
      </c>
      <c r="AB364" s="29">
        <v>0</v>
      </c>
    </row>
    <row r="365" spans="1:28" x14ac:dyDescent="0.25">
      <c r="A365" s="28" t="str">
        <v>Ө2</v>
      </c>
      <c r="B365" s="21">
        <v>0</v>
      </c>
      <c r="C365" s="21">
        <v>0</v>
      </c>
      <c r="D365" s="21">
        <v>0</v>
      </c>
      <c r="E365" s="21">
        <v>0</v>
      </c>
      <c r="F365" s="21">
        <v>0</v>
      </c>
      <c r="G365" s="21">
        <v>0</v>
      </c>
      <c r="H365" s="21">
        <v>0</v>
      </c>
      <c r="I365" s="21">
        <v>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0</v>
      </c>
      <c r="X365" s="21">
        <v>0</v>
      </c>
      <c r="Y365" s="21">
        <v>0</v>
      </c>
      <c r="Z365" s="21">
        <v>0</v>
      </c>
      <c r="AA365" s="21">
        <v>0</v>
      </c>
      <c r="AB365" s="29">
        <v>0</v>
      </c>
    </row>
    <row r="366" spans="1:28" x14ac:dyDescent="0.25">
      <c r="A366" s="28" t="str">
        <v>3x</v>
      </c>
      <c r="B366" s="21">
        <v>0</v>
      </c>
      <c r="C366" s="21">
        <v>0</v>
      </c>
      <c r="D366" s="21">
        <v>0</v>
      </c>
      <c r="E366" s="21">
        <v>0</v>
      </c>
      <c r="F366" s="21">
        <v>0</v>
      </c>
      <c r="G366" s="21">
        <v>0</v>
      </c>
      <c r="H366" s="21">
        <v>0</v>
      </c>
      <c r="I366" s="21">
        <v>0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21">
        <v>0</v>
      </c>
      <c r="AB366" s="29">
        <v>0</v>
      </c>
    </row>
    <row r="367" spans="1:28" x14ac:dyDescent="0.25">
      <c r="A367" s="28" t="str">
        <v>3z</v>
      </c>
      <c r="B367" s="21">
        <v>0</v>
      </c>
      <c r="C367" s="21">
        <v>0</v>
      </c>
      <c r="D367" s="21">
        <v>0</v>
      </c>
      <c r="E367" s="21">
        <v>0</v>
      </c>
      <c r="F367" s="21">
        <v>0</v>
      </c>
      <c r="G367" s="21">
        <v>0</v>
      </c>
      <c r="H367" s="21">
        <v>0</v>
      </c>
      <c r="I367" s="21">
        <v>0</v>
      </c>
      <c r="J367" s="21">
        <v>0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1">
        <v>0</v>
      </c>
      <c r="AB367" s="29">
        <v>0</v>
      </c>
    </row>
    <row r="368" spans="1:28" x14ac:dyDescent="0.25">
      <c r="A368" s="28" t="str">
        <v>Ө3</v>
      </c>
      <c r="B368" s="21">
        <v>0</v>
      </c>
      <c r="C368" s="21">
        <v>0</v>
      </c>
      <c r="D368" s="21">
        <v>0</v>
      </c>
      <c r="E368" s="21">
        <v>0</v>
      </c>
      <c r="F368" s="21">
        <v>0</v>
      </c>
      <c r="G368" s="21">
        <v>0</v>
      </c>
      <c r="H368" s="21">
        <v>0</v>
      </c>
      <c r="I368" s="21">
        <v>0</v>
      </c>
      <c r="J368" s="21">
        <v>0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0</v>
      </c>
      <c r="X368" s="21">
        <v>0</v>
      </c>
      <c r="Y368" s="21">
        <v>0</v>
      </c>
      <c r="Z368" s="21">
        <v>0</v>
      </c>
      <c r="AA368" s="21">
        <v>0</v>
      </c>
      <c r="AB368" s="29">
        <v>0</v>
      </c>
    </row>
    <row r="369" spans="1:28" x14ac:dyDescent="0.25">
      <c r="A369" s="28" t="str">
        <v>4x</v>
      </c>
      <c r="B369" s="21">
        <v>0</v>
      </c>
      <c r="C369" s="21">
        <v>0</v>
      </c>
      <c r="D369" s="21">
        <v>0</v>
      </c>
      <c r="E369" s="21">
        <v>0</v>
      </c>
      <c r="F369" s="21">
        <v>0</v>
      </c>
      <c r="G369" s="21">
        <v>0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  <c r="W369" s="21">
        <v>0</v>
      </c>
      <c r="X369" s="21">
        <v>0</v>
      </c>
      <c r="Y369" s="21">
        <v>0</v>
      </c>
      <c r="Z369" s="21">
        <v>0</v>
      </c>
      <c r="AA369" s="21">
        <v>0</v>
      </c>
      <c r="AB369" s="29">
        <v>0</v>
      </c>
    </row>
    <row r="370" spans="1:28" x14ac:dyDescent="0.25">
      <c r="A370" s="28" t="str">
        <v>4z</v>
      </c>
      <c r="B370" s="21">
        <v>0</v>
      </c>
      <c r="C370" s="21">
        <v>0</v>
      </c>
      <c r="D370" s="21">
        <v>0</v>
      </c>
      <c r="E370" s="21">
        <v>0</v>
      </c>
      <c r="F370" s="21">
        <v>0</v>
      </c>
      <c r="G370" s="21">
        <v>0</v>
      </c>
      <c r="H370" s="21">
        <v>0</v>
      </c>
      <c r="I370" s="21">
        <v>0</v>
      </c>
      <c r="J370" s="21">
        <v>0</v>
      </c>
      <c r="K370" s="21">
        <v>0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1">
        <v>0</v>
      </c>
      <c r="AB370" s="29">
        <v>0</v>
      </c>
    </row>
    <row r="371" spans="1:28" x14ac:dyDescent="0.25">
      <c r="A371" s="28" t="str">
        <v>Ө4</v>
      </c>
      <c r="B371" s="21">
        <v>0</v>
      </c>
      <c r="C371" s="21">
        <v>0</v>
      </c>
      <c r="D371" s="21">
        <v>0</v>
      </c>
      <c r="E371" s="21">
        <v>0</v>
      </c>
      <c r="F371" s="21">
        <v>0</v>
      </c>
      <c r="G371" s="21">
        <v>0</v>
      </c>
      <c r="H371" s="21">
        <v>0</v>
      </c>
      <c r="I371" s="21">
        <v>0</v>
      </c>
      <c r="J371" s="21">
        <v>0</v>
      </c>
      <c r="K371" s="21">
        <v>0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0</v>
      </c>
      <c r="S371" s="21">
        <v>0</v>
      </c>
      <c r="T371" s="21">
        <v>0</v>
      </c>
      <c r="U371" s="21">
        <v>0</v>
      </c>
      <c r="V371" s="21">
        <v>0</v>
      </c>
      <c r="W371" s="21">
        <v>0</v>
      </c>
      <c r="X371" s="21">
        <v>0</v>
      </c>
      <c r="Y371" s="21">
        <v>0</v>
      </c>
      <c r="Z371" s="21">
        <v>0</v>
      </c>
      <c r="AA371" s="21">
        <v>0</v>
      </c>
      <c r="AB371" s="29">
        <v>0</v>
      </c>
    </row>
    <row r="372" spans="1:28" x14ac:dyDescent="0.25">
      <c r="A372" s="28" t="str">
        <v>5x</v>
      </c>
      <c r="B372" s="21">
        <v>0</v>
      </c>
      <c r="C372" s="21">
        <v>0</v>
      </c>
      <c r="D372" s="21">
        <v>0</v>
      </c>
      <c r="E372" s="21">
        <v>0</v>
      </c>
      <c r="F372" s="21">
        <v>0</v>
      </c>
      <c r="G372" s="21">
        <v>0</v>
      </c>
      <c r="H372" s="21">
        <v>0</v>
      </c>
      <c r="I372" s="21">
        <v>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21">
        <v>0</v>
      </c>
      <c r="AB372" s="29">
        <v>0</v>
      </c>
    </row>
    <row r="373" spans="1:28" x14ac:dyDescent="0.25">
      <c r="A373" s="28" t="str">
        <v>5z</v>
      </c>
      <c r="B373" s="21">
        <v>0</v>
      </c>
      <c r="C373" s="21">
        <v>0</v>
      </c>
      <c r="D373" s="21">
        <v>0</v>
      </c>
      <c r="E373" s="21">
        <v>0</v>
      </c>
      <c r="F373" s="21">
        <v>0</v>
      </c>
      <c r="G373" s="21">
        <v>0</v>
      </c>
      <c r="H373" s="21">
        <v>0</v>
      </c>
      <c r="I373" s="21">
        <v>0</v>
      </c>
      <c r="J373" s="21">
        <v>0</v>
      </c>
      <c r="K373" s="21">
        <v>0</v>
      </c>
      <c r="L373" s="21">
        <v>0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1">
        <v>0</v>
      </c>
      <c r="S373" s="21">
        <v>0</v>
      </c>
      <c r="T373" s="21">
        <v>0</v>
      </c>
      <c r="U373" s="21">
        <v>0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21">
        <v>0</v>
      </c>
      <c r="AB373" s="29">
        <v>0</v>
      </c>
    </row>
    <row r="374" spans="1:28" x14ac:dyDescent="0.25">
      <c r="A374" s="28" t="str">
        <v>Ө5</v>
      </c>
      <c r="B374" s="21">
        <v>0</v>
      </c>
      <c r="C374" s="21">
        <v>0</v>
      </c>
      <c r="D374" s="21">
        <v>0</v>
      </c>
      <c r="E374" s="21">
        <v>0</v>
      </c>
      <c r="F374" s="21">
        <v>0</v>
      </c>
      <c r="G374" s="21">
        <v>0</v>
      </c>
      <c r="H374" s="21">
        <v>0</v>
      </c>
      <c r="I374" s="21">
        <v>0</v>
      </c>
      <c r="J374" s="21">
        <v>0</v>
      </c>
      <c r="K374" s="21">
        <v>0</v>
      </c>
      <c r="L374" s="21">
        <v>0</v>
      </c>
      <c r="M374" s="21">
        <v>0</v>
      </c>
      <c r="N374" s="21">
        <v>0</v>
      </c>
      <c r="O374" s="21">
        <v>0</v>
      </c>
      <c r="P374" s="21">
        <v>0</v>
      </c>
      <c r="Q374" s="21">
        <v>0</v>
      </c>
      <c r="R374" s="21">
        <v>0</v>
      </c>
      <c r="S374" s="21">
        <v>0</v>
      </c>
      <c r="T374" s="21">
        <v>0</v>
      </c>
      <c r="U374" s="21">
        <v>0</v>
      </c>
      <c r="V374" s="21">
        <v>0</v>
      </c>
      <c r="W374" s="21">
        <v>0</v>
      </c>
      <c r="X374" s="21">
        <v>0</v>
      </c>
      <c r="Y374" s="21">
        <v>0</v>
      </c>
      <c r="Z374" s="21">
        <v>0</v>
      </c>
      <c r="AA374" s="21">
        <v>0</v>
      </c>
      <c r="AB374" s="29">
        <v>0</v>
      </c>
    </row>
    <row r="375" spans="1:28" x14ac:dyDescent="0.25">
      <c r="A375" s="28" t="str">
        <v>6x</v>
      </c>
      <c r="B375" s="21">
        <v>0</v>
      </c>
      <c r="C375" s="21">
        <v>0</v>
      </c>
      <c r="D375" s="21">
        <v>0</v>
      </c>
      <c r="E375" s="21">
        <v>0</v>
      </c>
      <c r="F375" s="21">
        <v>0</v>
      </c>
      <c r="G375" s="21">
        <v>0</v>
      </c>
      <c r="H375" s="21">
        <v>0</v>
      </c>
      <c r="I375" s="21">
        <v>0</v>
      </c>
      <c r="J375" s="21">
        <v>0</v>
      </c>
      <c r="K375" s="21">
        <v>0</v>
      </c>
      <c r="L375" s="21">
        <v>0</v>
      </c>
      <c r="M375" s="21">
        <v>0</v>
      </c>
      <c r="N375" s="21">
        <v>0</v>
      </c>
      <c r="O375" s="21">
        <v>0</v>
      </c>
      <c r="P375" s="21">
        <v>0</v>
      </c>
      <c r="Q375" s="21">
        <f t="array" ref="Q375:S377">B351:D353</f>
        <v>1335.5748144090001</v>
      </c>
      <c r="R375" s="21">
        <v>2.0862539253374438E-11</v>
      </c>
      <c r="S375" s="21">
        <v>267114.96288180002</v>
      </c>
      <c r="T375" s="21">
        <v>0</v>
      </c>
      <c r="U375" s="21">
        <v>0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9">
        <v>0</v>
      </c>
    </row>
    <row r="376" spans="1:28" x14ac:dyDescent="0.25">
      <c r="A376" s="28" t="str">
        <v>6z</v>
      </c>
      <c r="B376" s="21">
        <v>0</v>
      </c>
      <c r="C376" s="21">
        <v>0</v>
      </c>
      <c r="D376" s="21">
        <v>0</v>
      </c>
      <c r="E376" s="21">
        <v>0</v>
      </c>
      <c r="F376" s="21">
        <v>0</v>
      </c>
      <c r="G376" s="21">
        <v>0</v>
      </c>
      <c r="H376" s="21">
        <v>0</v>
      </c>
      <c r="I376" s="21">
        <v>0</v>
      </c>
      <c r="J376" s="21">
        <v>0</v>
      </c>
      <c r="K376" s="21">
        <v>0</v>
      </c>
      <c r="L376" s="21">
        <v>0</v>
      </c>
      <c r="M376" s="21">
        <v>0</v>
      </c>
      <c r="N376" s="21">
        <v>0</v>
      </c>
      <c r="O376" s="21">
        <v>0</v>
      </c>
      <c r="P376" s="21">
        <v>0</v>
      </c>
      <c r="Q376" s="21">
        <v>2.0862539253374438E-11</v>
      </c>
      <c r="R376" s="21">
        <v>341907.1875</v>
      </c>
      <c r="S376" s="21">
        <v>-1.6362774202880535E-11</v>
      </c>
      <c r="T376" s="21">
        <v>0</v>
      </c>
      <c r="U376" s="21">
        <v>0</v>
      </c>
      <c r="V376" s="21">
        <v>0</v>
      </c>
      <c r="W376" s="21">
        <v>0</v>
      </c>
      <c r="X376" s="21">
        <v>0</v>
      </c>
      <c r="Y376" s="21">
        <v>0</v>
      </c>
      <c r="Z376" s="21">
        <v>0</v>
      </c>
      <c r="AA376" s="21">
        <v>0</v>
      </c>
      <c r="AB376" s="29">
        <v>0</v>
      </c>
    </row>
    <row r="377" spans="1:28" x14ac:dyDescent="0.25">
      <c r="A377" s="28" t="str">
        <v>Ө6</v>
      </c>
      <c r="B377" s="21">
        <v>0</v>
      </c>
      <c r="C377" s="21">
        <v>0</v>
      </c>
      <c r="D377" s="21">
        <v>0</v>
      </c>
      <c r="E377" s="21">
        <v>0</v>
      </c>
      <c r="F377" s="21">
        <v>0</v>
      </c>
      <c r="G377" s="21">
        <v>0</v>
      </c>
      <c r="H377" s="21">
        <v>0</v>
      </c>
      <c r="I377" s="21">
        <v>0</v>
      </c>
      <c r="J377" s="21">
        <v>0</v>
      </c>
      <c r="K377" s="21">
        <v>0</v>
      </c>
      <c r="L377" s="21">
        <v>0</v>
      </c>
      <c r="M377" s="21">
        <v>0</v>
      </c>
      <c r="N377" s="21">
        <v>0</v>
      </c>
      <c r="O377" s="21">
        <v>0</v>
      </c>
      <c r="P377" s="21">
        <v>0</v>
      </c>
      <c r="Q377" s="21">
        <v>267114.96288180002</v>
      </c>
      <c r="R377" s="21">
        <v>-1.6362774202880535E-11</v>
      </c>
      <c r="S377" s="21">
        <v>71230656.768480003</v>
      </c>
      <c r="T377" s="21">
        <v>0</v>
      </c>
      <c r="U377" s="21">
        <v>0</v>
      </c>
      <c r="V377" s="21">
        <v>0</v>
      </c>
      <c r="W377" s="21">
        <v>0</v>
      </c>
      <c r="X377" s="21">
        <v>0</v>
      </c>
      <c r="Y377" s="21">
        <v>0</v>
      </c>
      <c r="Z377" s="21">
        <v>0</v>
      </c>
      <c r="AA377" s="21">
        <v>0</v>
      </c>
      <c r="AB377" s="29">
        <v>0</v>
      </c>
    </row>
    <row r="378" spans="1:28" x14ac:dyDescent="0.25">
      <c r="A378" s="28" t="str">
        <v>ax</v>
      </c>
      <c r="B378" s="21">
        <v>0</v>
      </c>
      <c r="C378" s="21">
        <v>0</v>
      </c>
      <c r="D378" s="21">
        <v>0</v>
      </c>
      <c r="E378" s="21">
        <v>0</v>
      </c>
      <c r="F378" s="21">
        <v>0</v>
      </c>
      <c r="G378" s="21">
        <v>0</v>
      </c>
      <c r="H378" s="21">
        <v>0</v>
      </c>
      <c r="I378" s="21">
        <v>0</v>
      </c>
      <c r="J378" s="21">
        <v>0</v>
      </c>
      <c r="K378" s="21">
        <v>0</v>
      </c>
      <c r="L378" s="21">
        <v>0</v>
      </c>
      <c r="M378" s="21">
        <v>0</v>
      </c>
      <c r="N378" s="21">
        <v>0</v>
      </c>
      <c r="O378" s="21">
        <v>0</v>
      </c>
      <c r="P378" s="21">
        <v>0</v>
      </c>
      <c r="Q378" s="21">
        <v>0</v>
      </c>
      <c r="R378" s="21">
        <v>0</v>
      </c>
      <c r="S378" s="21">
        <v>0</v>
      </c>
      <c r="T378" s="21">
        <v>0</v>
      </c>
      <c r="U378" s="21">
        <v>0</v>
      </c>
      <c r="V378" s="21">
        <v>0</v>
      </c>
      <c r="W378" s="21">
        <v>0</v>
      </c>
      <c r="X378" s="21">
        <v>0</v>
      </c>
      <c r="Y378" s="21">
        <v>0</v>
      </c>
      <c r="Z378" s="21">
        <v>0</v>
      </c>
      <c r="AA378" s="21">
        <v>0</v>
      </c>
      <c r="AB378" s="29">
        <v>0</v>
      </c>
    </row>
    <row r="379" spans="1:28" x14ac:dyDescent="0.25">
      <c r="A379" s="28" t="str">
        <v>az</v>
      </c>
      <c r="B379" s="21">
        <v>0</v>
      </c>
      <c r="C379" s="21">
        <v>0</v>
      </c>
      <c r="D379" s="21">
        <v>0</v>
      </c>
      <c r="E379" s="21">
        <v>0</v>
      </c>
      <c r="F379" s="21">
        <v>0</v>
      </c>
      <c r="G379" s="21">
        <v>0</v>
      </c>
      <c r="H379" s="21">
        <v>0</v>
      </c>
      <c r="I379" s="21">
        <v>0</v>
      </c>
      <c r="J379" s="21">
        <v>0</v>
      </c>
      <c r="K379" s="21">
        <v>0</v>
      </c>
      <c r="L379" s="21">
        <v>0</v>
      </c>
      <c r="M379" s="21">
        <v>0</v>
      </c>
      <c r="N379" s="21">
        <v>0</v>
      </c>
      <c r="O379" s="21">
        <v>0</v>
      </c>
      <c r="P379" s="21">
        <v>0</v>
      </c>
      <c r="Q379" s="21">
        <v>0</v>
      </c>
      <c r="R379" s="21">
        <v>0</v>
      </c>
      <c r="S379" s="21">
        <v>0</v>
      </c>
      <c r="T379" s="21">
        <v>0</v>
      </c>
      <c r="U379" s="21">
        <v>0</v>
      </c>
      <c r="V379" s="21">
        <v>0</v>
      </c>
      <c r="W379" s="21">
        <v>0</v>
      </c>
      <c r="X379" s="21">
        <v>0</v>
      </c>
      <c r="Y379" s="21">
        <v>0</v>
      </c>
      <c r="Z379" s="21">
        <v>0</v>
      </c>
      <c r="AA379" s="21">
        <v>0</v>
      </c>
      <c r="AB379" s="29">
        <v>0</v>
      </c>
    </row>
    <row r="380" spans="1:28" x14ac:dyDescent="0.25">
      <c r="A380" s="28" t="str">
        <v>Өa</v>
      </c>
      <c r="B380" s="21">
        <v>0</v>
      </c>
      <c r="C380" s="21">
        <v>0</v>
      </c>
      <c r="D380" s="21">
        <v>0</v>
      </c>
      <c r="E380" s="21">
        <v>0</v>
      </c>
      <c r="F380" s="21">
        <v>0</v>
      </c>
      <c r="G380" s="21">
        <v>0</v>
      </c>
      <c r="H380" s="21">
        <v>0</v>
      </c>
      <c r="I380" s="21">
        <v>0</v>
      </c>
      <c r="J380" s="21">
        <v>0</v>
      </c>
      <c r="K380" s="21">
        <v>0</v>
      </c>
      <c r="L380" s="21">
        <v>0</v>
      </c>
      <c r="M380" s="21">
        <v>0</v>
      </c>
      <c r="N380" s="21">
        <v>0</v>
      </c>
      <c r="O380" s="21">
        <v>0</v>
      </c>
      <c r="P380" s="21">
        <v>0</v>
      </c>
      <c r="Q380" s="21">
        <v>0</v>
      </c>
      <c r="R380" s="21">
        <v>0</v>
      </c>
      <c r="S380" s="21">
        <v>0</v>
      </c>
      <c r="T380" s="21">
        <v>0</v>
      </c>
      <c r="U380" s="21">
        <v>0</v>
      </c>
      <c r="V380" s="21">
        <v>0</v>
      </c>
      <c r="W380" s="21">
        <v>0</v>
      </c>
      <c r="X380" s="21">
        <v>0</v>
      </c>
      <c r="Y380" s="21">
        <v>0</v>
      </c>
      <c r="Z380" s="21">
        <v>0</v>
      </c>
      <c r="AA380" s="21">
        <v>0</v>
      </c>
      <c r="AB380" s="29">
        <v>0</v>
      </c>
    </row>
    <row r="381" spans="1:28" x14ac:dyDescent="0.25">
      <c r="A381" s="28" t="str">
        <v>bx</v>
      </c>
      <c r="B381" s="21">
        <v>0</v>
      </c>
      <c r="C381" s="21">
        <v>0</v>
      </c>
      <c r="D381" s="21">
        <v>0</v>
      </c>
      <c r="E381" s="21">
        <v>0</v>
      </c>
      <c r="F381" s="21">
        <v>0</v>
      </c>
      <c r="G381" s="21">
        <v>0</v>
      </c>
      <c r="H381" s="21">
        <v>0</v>
      </c>
      <c r="I381" s="21">
        <v>0</v>
      </c>
      <c r="J381" s="21">
        <v>0</v>
      </c>
      <c r="K381" s="21">
        <v>0</v>
      </c>
      <c r="L381" s="21">
        <v>0</v>
      </c>
      <c r="M381" s="21">
        <v>0</v>
      </c>
      <c r="N381" s="21">
        <v>0</v>
      </c>
      <c r="O381" s="21">
        <v>0</v>
      </c>
      <c r="P381" s="21">
        <v>0</v>
      </c>
      <c r="Q381" s="21">
        <v>0</v>
      </c>
      <c r="R381" s="21">
        <v>0</v>
      </c>
      <c r="S381" s="21">
        <v>0</v>
      </c>
      <c r="T381" s="21">
        <v>0</v>
      </c>
      <c r="U381" s="21">
        <v>0</v>
      </c>
      <c r="V381" s="21">
        <v>0</v>
      </c>
      <c r="W381" s="21">
        <v>0</v>
      </c>
      <c r="X381" s="21">
        <v>0</v>
      </c>
      <c r="Y381" s="21">
        <v>0</v>
      </c>
      <c r="Z381" s="21">
        <v>0</v>
      </c>
      <c r="AA381" s="21">
        <v>0</v>
      </c>
      <c r="AB381" s="29">
        <v>0</v>
      </c>
    </row>
    <row r="382" spans="1:28" x14ac:dyDescent="0.25">
      <c r="A382" s="28" t="str">
        <v>bz</v>
      </c>
      <c r="B382" s="21">
        <v>0</v>
      </c>
      <c r="C382" s="21">
        <v>0</v>
      </c>
      <c r="D382" s="21">
        <v>0</v>
      </c>
      <c r="E382" s="21">
        <v>0</v>
      </c>
      <c r="F382" s="21">
        <v>0</v>
      </c>
      <c r="G382" s="21">
        <v>0</v>
      </c>
      <c r="H382" s="21">
        <v>0</v>
      </c>
      <c r="I382" s="21">
        <v>0</v>
      </c>
      <c r="J382" s="21">
        <v>0</v>
      </c>
      <c r="K382" s="21">
        <v>0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  <c r="Q382" s="21">
        <v>0</v>
      </c>
      <c r="R382" s="21">
        <v>0</v>
      </c>
      <c r="S382" s="21">
        <v>0</v>
      </c>
      <c r="T382" s="21">
        <v>0</v>
      </c>
      <c r="U382" s="21">
        <v>0</v>
      </c>
      <c r="V382" s="21">
        <v>0</v>
      </c>
      <c r="W382" s="21">
        <v>0</v>
      </c>
      <c r="X382" s="21">
        <v>0</v>
      </c>
      <c r="Y382" s="21">
        <v>0</v>
      </c>
      <c r="Z382" s="21">
        <v>0</v>
      </c>
      <c r="AA382" s="21">
        <v>0</v>
      </c>
      <c r="AB382" s="29">
        <v>0</v>
      </c>
    </row>
    <row r="383" spans="1:28" x14ac:dyDescent="0.25">
      <c r="A383" s="28" t="str">
        <v>Өb</v>
      </c>
      <c r="B383" s="21">
        <v>0</v>
      </c>
      <c r="C383" s="21">
        <v>0</v>
      </c>
      <c r="D383" s="21">
        <v>0</v>
      </c>
      <c r="E383" s="21">
        <v>0</v>
      </c>
      <c r="F383" s="21">
        <v>0</v>
      </c>
      <c r="G383" s="21">
        <v>0</v>
      </c>
      <c r="H383" s="21">
        <v>0</v>
      </c>
      <c r="I383" s="21">
        <v>0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  <c r="Q383" s="21">
        <v>0</v>
      </c>
      <c r="R383" s="21">
        <v>0</v>
      </c>
      <c r="S383" s="21">
        <v>0</v>
      </c>
      <c r="T383" s="21">
        <v>0</v>
      </c>
      <c r="U383" s="21">
        <v>0</v>
      </c>
      <c r="V383" s="21">
        <v>0</v>
      </c>
      <c r="W383" s="21">
        <v>0</v>
      </c>
      <c r="X383" s="21">
        <v>0</v>
      </c>
      <c r="Y383" s="21">
        <v>0</v>
      </c>
      <c r="Z383" s="21">
        <v>0</v>
      </c>
      <c r="AA383" s="21">
        <v>0</v>
      </c>
      <c r="AB383" s="29">
        <v>0</v>
      </c>
    </row>
    <row r="384" spans="1:28" x14ac:dyDescent="0.25">
      <c r="A384" s="28" t="str">
        <v>cx</v>
      </c>
      <c r="B384" s="21">
        <v>0</v>
      </c>
      <c r="C384" s="21">
        <v>0</v>
      </c>
      <c r="D384" s="21">
        <v>0</v>
      </c>
      <c r="E384" s="21">
        <v>0</v>
      </c>
      <c r="F384" s="21">
        <v>0</v>
      </c>
      <c r="G384" s="21">
        <v>0</v>
      </c>
      <c r="H384" s="21">
        <v>0</v>
      </c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  <c r="Q384" s="21">
        <v>0</v>
      </c>
      <c r="R384" s="21">
        <v>0</v>
      </c>
      <c r="S384" s="21">
        <v>0</v>
      </c>
      <c r="T384" s="21">
        <v>0</v>
      </c>
      <c r="U384" s="21">
        <v>0</v>
      </c>
      <c r="V384" s="21">
        <v>0</v>
      </c>
      <c r="W384" s="21">
        <v>0</v>
      </c>
      <c r="X384" s="21">
        <v>0</v>
      </c>
      <c r="Y384" s="21">
        <v>0</v>
      </c>
      <c r="Z384" s="21">
        <v>0</v>
      </c>
      <c r="AA384" s="21">
        <v>0</v>
      </c>
      <c r="AB384" s="29">
        <v>0</v>
      </c>
    </row>
    <row r="385" spans="1:28" x14ac:dyDescent="0.25">
      <c r="A385" s="28" t="str">
        <v>cz</v>
      </c>
      <c r="B385" s="21">
        <v>0</v>
      </c>
      <c r="C385" s="21">
        <v>0</v>
      </c>
      <c r="D385" s="21">
        <v>0</v>
      </c>
      <c r="E385" s="21">
        <v>0</v>
      </c>
      <c r="F385" s="21">
        <v>0</v>
      </c>
      <c r="G385" s="21">
        <v>0</v>
      </c>
      <c r="H385" s="21">
        <v>0</v>
      </c>
      <c r="I385" s="21">
        <v>0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0</v>
      </c>
      <c r="S385" s="21">
        <v>0</v>
      </c>
      <c r="T385" s="21">
        <v>0</v>
      </c>
      <c r="U385" s="21">
        <v>0</v>
      </c>
      <c r="V385" s="21">
        <v>0</v>
      </c>
      <c r="W385" s="21">
        <v>0</v>
      </c>
      <c r="X385" s="21">
        <v>0</v>
      </c>
      <c r="Y385" s="21">
        <v>0</v>
      </c>
      <c r="Z385" s="21">
        <v>0</v>
      </c>
      <c r="AA385" s="21">
        <v>0</v>
      </c>
      <c r="AB385" s="29">
        <v>0</v>
      </c>
    </row>
    <row r="386" spans="1:28" x14ac:dyDescent="0.25">
      <c r="A386" s="28" t="str">
        <v>Өc</v>
      </c>
      <c r="B386" s="21">
        <v>0</v>
      </c>
      <c r="C386" s="21">
        <v>0</v>
      </c>
      <c r="D386" s="21">
        <v>0</v>
      </c>
      <c r="E386" s="21">
        <v>0</v>
      </c>
      <c r="F386" s="21">
        <v>0</v>
      </c>
      <c r="G386" s="21">
        <v>0</v>
      </c>
      <c r="H386" s="21">
        <v>0</v>
      </c>
      <c r="I386" s="21">
        <v>0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>
        <v>0</v>
      </c>
      <c r="T386" s="21">
        <v>0</v>
      </c>
      <c r="U386" s="21">
        <v>0</v>
      </c>
      <c r="V386" s="21">
        <v>0</v>
      </c>
      <c r="W386" s="21">
        <v>0</v>
      </c>
      <c r="X386" s="21">
        <v>0</v>
      </c>
      <c r="Y386" s="21">
        <v>0</v>
      </c>
      <c r="Z386" s="21">
        <v>0</v>
      </c>
      <c r="AA386" s="21">
        <v>0</v>
      </c>
      <c r="AB386" s="29">
        <v>0</v>
      </c>
    </row>
    <row r="387" spans="1:28" ht="15.75" thickBot="1" x14ac:dyDescent="0.3">
      <c r="A387" s="22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4"/>
    </row>
  </sheetData>
  <mergeCells count="32">
    <mergeCell ref="B69:H69"/>
    <mergeCell ref="A78:D78"/>
    <mergeCell ref="B88:E88"/>
    <mergeCell ref="A98:I98"/>
    <mergeCell ref="C100:D100"/>
    <mergeCell ref="E100:F100"/>
    <mergeCell ref="G100:H100"/>
    <mergeCell ref="I100:J100"/>
    <mergeCell ref="B149:H149"/>
    <mergeCell ref="A158:D158"/>
    <mergeCell ref="B309:H309"/>
    <mergeCell ref="A318:D318"/>
    <mergeCell ref="B229:H229"/>
    <mergeCell ref="A238:D238"/>
    <mergeCell ref="B248:E248"/>
    <mergeCell ref="B168:E168"/>
    <mergeCell ref="A178:I178"/>
    <mergeCell ref="C180:D180"/>
    <mergeCell ref="E180:F180"/>
    <mergeCell ref="G180:H180"/>
    <mergeCell ref="I180:J180"/>
    <mergeCell ref="A258:I258"/>
    <mergeCell ref="C260:D260"/>
    <mergeCell ref="E260:F260"/>
    <mergeCell ref="G260:H260"/>
    <mergeCell ref="I260:J260"/>
    <mergeCell ref="B328:E328"/>
    <mergeCell ref="A338:I338"/>
    <mergeCell ref="C340:D340"/>
    <mergeCell ref="E340:F340"/>
    <mergeCell ref="G340:H340"/>
    <mergeCell ref="I340:J340"/>
  </mergeCells>
  <phoneticPr fontId="2" type="noConversion"/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Ivan Carreto</cp:lastModifiedBy>
  <dcterms:created xsi:type="dcterms:W3CDTF">2026-04-09T00:47:10Z</dcterms:created>
  <dcterms:modified xsi:type="dcterms:W3CDTF">2026-04-14T00:28:30Z</dcterms:modified>
</cp:coreProperties>
</file>