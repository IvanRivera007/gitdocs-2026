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bicacion C a D\Documentos\gitdocs-2026\MAESTRIA\Analisis Estructural Lineal y no Lineal\ASIGNAICON 2\"/>
    </mc:Choice>
  </mc:AlternateContent>
  <xr:revisionPtr revIDLastSave="0" documentId="13_ncr:1_{952AD283-111A-40DA-87A1-B6C7489A2D30}" xr6:coauthVersionLast="47" xr6:coauthVersionMax="47" xr10:uidLastSave="{00000000-0000-0000-0000-000000000000}"/>
  <bookViews>
    <workbookView xWindow="-108" yWindow="-108" windowWidth="23256" windowHeight="12576" tabRatio="591" xr2:uid="{7F94BADD-C052-4D7B-975E-F0C8373E1F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51" i="1" l="1" a="1"/>
  <c r="C955" i="1" s="1"/>
  <c r="C924" i="1" a="1"/>
  <c r="C928" i="1" s="1"/>
  <c r="C897" i="1" a="1"/>
  <c r="C901" i="1" s="1"/>
  <c r="C870" i="1" a="1"/>
  <c r="C873" i="1" s="1"/>
  <c r="C952" i="1" l="1"/>
  <c r="C956" i="1"/>
  <c r="C953" i="1"/>
  <c r="C954" i="1"/>
  <c r="C951" i="1"/>
  <c r="C925" i="1"/>
  <c r="C929" i="1"/>
  <c r="C926" i="1"/>
  <c r="C927" i="1"/>
  <c r="C924" i="1"/>
  <c r="C898" i="1"/>
  <c r="C899" i="1"/>
  <c r="C902" i="1"/>
  <c r="C900" i="1"/>
  <c r="C897" i="1"/>
  <c r="C870" i="1"/>
  <c r="C872" i="1"/>
  <c r="C874" i="1"/>
  <c r="C871" i="1"/>
  <c r="C875" i="1"/>
  <c r="C843" i="1" a="1"/>
  <c r="C846" i="1" s="1"/>
  <c r="C816" i="1" a="1"/>
  <c r="C816" i="1" s="1"/>
  <c r="A782" i="1" a="1"/>
  <c r="A798" i="1" s="1"/>
  <c r="A790" i="1" l="1"/>
  <c r="C847" i="1"/>
  <c r="C843" i="1"/>
  <c r="C844" i="1"/>
  <c r="C848" i="1"/>
  <c r="C845" i="1"/>
  <c r="C818" i="1"/>
  <c r="C819" i="1"/>
  <c r="C821" i="1"/>
  <c r="C817" i="1"/>
  <c r="C820" i="1"/>
  <c r="A795" i="1"/>
  <c r="A784" i="1"/>
  <c r="A786" i="1"/>
  <c r="A796" i="1"/>
  <c r="A782" i="1"/>
  <c r="A787" i="1"/>
  <c r="A792" i="1"/>
  <c r="A797" i="1"/>
  <c r="A793" i="1"/>
  <c r="A789" i="1"/>
  <c r="A785" i="1"/>
  <c r="A791" i="1"/>
  <c r="A783" i="1"/>
  <c r="A788" i="1"/>
  <c r="A794" i="1"/>
  <c r="A799" i="1"/>
  <c r="A727" i="1" l="1" a="1"/>
  <c r="A752" i="1" s="1"/>
  <c r="A694" i="1" a="1"/>
  <c r="A717" i="1" s="1"/>
  <c r="B684" i="1" a="1"/>
  <c r="G684" i="1" s="1"/>
  <c r="B678" i="1"/>
  <c r="B677" i="1"/>
  <c r="A667" i="1" a="1"/>
  <c r="B656" i="1"/>
  <c r="B654" i="1"/>
  <c r="A622" i="1" a="1"/>
  <c r="A645" i="1" s="1"/>
  <c r="B612" i="1" a="1"/>
  <c r="G612" i="1" s="1"/>
  <c r="B606" i="1"/>
  <c r="B605" i="1"/>
  <c r="A595" i="1" a="1"/>
  <c r="A597" i="1" s="1"/>
  <c r="C587" i="1"/>
  <c r="B595" i="1" s="1"/>
  <c r="D604" i="1" s="1"/>
  <c r="B584" i="1"/>
  <c r="B582" i="1"/>
  <c r="C591" i="1" s="1"/>
  <c r="A550" i="1" a="1"/>
  <c r="A575" i="1" s="1"/>
  <c r="C540" i="1"/>
  <c r="B540" i="1" a="1"/>
  <c r="E540" i="1" s="1"/>
  <c r="B534" i="1"/>
  <c r="B533" i="1"/>
  <c r="A523" i="1" a="1"/>
  <c r="A526" i="1" s="1"/>
  <c r="B512" i="1"/>
  <c r="B510" i="1"/>
  <c r="B366" i="1"/>
  <c r="B438" i="1"/>
  <c r="A478" i="1" a="1"/>
  <c r="A504" i="1" s="1"/>
  <c r="B468" i="1" a="1"/>
  <c r="F468" i="1" s="1"/>
  <c r="B462" i="1"/>
  <c r="B461" i="1"/>
  <c r="A451" i="1" a="1"/>
  <c r="A453" i="1" s="1"/>
  <c r="B440" i="1"/>
  <c r="C443" i="1" s="1"/>
  <c r="A406" i="1" a="1"/>
  <c r="A417" i="1" s="1"/>
  <c r="B396" i="1" a="1"/>
  <c r="F396" i="1" s="1"/>
  <c r="B390" i="1"/>
  <c r="B389" i="1"/>
  <c r="E944" i="1" s="1" a="1"/>
  <c r="A379" i="1" a="1"/>
  <c r="B368" i="1"/>
  <c r="B294" i="1"/>
  <c r="A694" i="1" l="1"/>
  <c r="G468" i="1"/>
  <c r="C396" i="1"/>
  <c r="E944" i="1"/>
  <c r="F945" i="1"/>
  <c r="E945" i="1"/>
  <c r="F944" i="1"/>
  <c r="A486" i="1"/>
  <c r="A646" i="1"/>
  <c r="A502" i="1"/>
  <c r="A622" i="1"/>
  <c r="A710" i="1"/>
  <c r="C374" i="1"/>
  <c r="A630" i="1"/>
  <c r="C588" i="1"/>
  <c r="C599" i="1" s="1"/>
  <c r="H605" i="1" s="1"/>
  <c r="C616" i="1" s="1"/>
  <c r="A638" i="1"/>
  <c r="C663" i="1"/>
  <c r="C660" i="1"/>
  <c r="C668" i="1" s="1"/>
  <c r="D677" i="1" s="1"/>
  <c r="D396" i="1"/>
  <c r="A490" i="1"/>
  <c r="C445" i="1"/>
  <c r="C518" i="1"/>
  <c r="A623" i="1"/>
  <c r="A631" i="1"/>
  <c r="A639" i="1"/>
  <c r="A647" i="1"/>
  <c r="C662" i="1"/>
  <c r="G672" i="1" s="1"/>
  <c r="J678" i="1" s="1"/>
  <c r="G690" i="1" s="1"/>
  <c r="A698" i="1"/>
  <c r="A714" i="1"/>
  <c r="C371" i="1"/>
  <c r="E379" i="1" s="1"/>
  <c r="F388" i="1" s="1"/>
  <c r="G396" i="1"/>
  <c r="C468" i="1"/>
  <c r="A478" i="1"/>
  <c r="A494" i="1"/>
  <c r="C375" i="1"/>
  <c r="D384" i="1" s="1"/>
  <c r="H390" i="1" s="1"/>
  <c r="D402" i="1" s="1"/>
  <c r="B540" i="1"/>
  <c r="C590" i="1"/>
  <c r="E595" i="1"/>
  <c r="F604" i="1" s="1"/>
  <c r="A626" i="1"/>
  <c r="A634" i="1"/>
  <c r="A642" i="1"/>
  <c r="C659" i="1"/>
  <c r="B670" i="1" s="1"/>
  <c r="H676" i="1" s="1"/>
  <c r="D684" i="1"/>
  <c r="A702" i="1"/>
  <c r="A718" i="1"/>
  <c r="D468" i="1"/>
  <c r="A482" i="1"/>
  <c r="A498" i="1"/>
  <c r="B598" i="1"/>
  <c r="H604" i="1" s="1"/>
  <c r="A627" i="1"/>
  <c r="A635" i="1"/>
  <c r="A643" i="1"/>
  <c r="A706" i="1"/>
  <c r="A729" i="1"/>
  <c r="A733" i="1"/>
  <c r="A737" i="1"/>
  <c r="A741" i="1"/>
  <c r="A745" i="1"/>
  <c r="A749" i="1"/>
  <c r="A753" i="1"/>
  <c r="A727" i="1"/>
  <c r="A731" i="1"/>
  <c r="A735" i="1"/>
  <c r="A739" i="1"/>
  <c r="A743" i="1"/>
  <c r="A747" i="1"/>
  <c r="A751" i="1"/>
  <c r="A730" i="1"/>
  <c r="A734" i="1"/>
  <c r="A738" i="1"/>
  <c r="A742" i="1"/>
  <c r="A746" i="1"/>
  <c r="A750" i="1"/>
  <c r="A728" i="1"/>
  <c r="A732" i="1"/>
  <c r="A736" i="1"/>
  <c r="A740" i="1"/>
  <c r="A744" i="1"/>
  <c r="A748" i="1"/>
  <c r="A669" i="1"/>
  <c r="A672" i="1"/>
  <c r="A668" i="1"/>
  <c r="A671" i="1"/>
  <c r="A667" i="1"/>
  <c r="F668" i="1"/>
  <c r="F677" i="1" s="1"/>
  <c r="F671" i="1"/>
  <c r="J677" i="1" s="1"/>
  <c r="A670" i="1"/>
  <c r="C661" i="1"/>
  <c r="E684" i="1"/>
  <c r="A695" i="1"/>
  <c r="A699" i="1"/>
  <c r="A703" i="1"/>
  <c r="A707" i="1"/>
  <c r="A711" i="1"/>
  <c r="A715" i="1"/>
  <c r="A719" i="1"/>
  <c r="E670" i="1"/>
  <c r="J676" i="1" s="1"/>
  <c r="B684" i="1"/>
  <c r="F684" i="1"/>
  <c r="A696" i="1"/>
  <c r="A700" i="1"/>
  <c r="A704" i="1"/>
  <c r="A708" i="1"/>
  <c r="A712" i="1"/>
  <c r="A716" i="1"/>
  <c r="A720" i="1"/>
  <c r="C684" i="1"/>
  <c r="A697" i="1"/>
  <c r="A701" i="1"/>
  <c r="A705" i="1"/>
  <c r="A709" i="1"/>
  <c r="A713" i="1"/>
  <c r="G600" i="1"/>
  <c r="J606" i="1" s="1"/>
  <c r="G618" i="1" s="1"/>
  <c r="D597" i="1"/>
  <c r="D606" i="1" s="1"/>
  <c r="D615" i="1" s="1"/>
  <c r="D600" i="1"/>
  <c r="H606" i="1" s="1"/>
  <c r="D618" i="1" s="1"/>
  <c r="G597" i="1"/>
  <c r="F606" i="1" s="1"/>
  <c r="G615" i="1" s="1"/>
  <c r="E612" i="1"/>
  <c r="A596" i="1"/>
  <c r="A600" i="1"/>
  <c r="E598" i="1"/>
  <c r="J604" i="1" s="1"/>
  <c r="B612" i="1"/>
  <c r="F612" i="1"/>
  <c r="A624" i="1"/>
  <c r="A628" i="1"/>
  <c r="A632" i="1"/>
  <c r="A636" i="1"/>
  <c r="A640" i="1"/>
  <c r="A644" i="1"/>
  <c r="A648" i="1"/>
  <c r="A598" i="1"/>
  <c r="D612" i="1"/>
  <c r="C589" i="1"/>
  <c r="A595" i="1"/>
  <c r="A599" i="1"/>
  <c r="C612" i="1"/>
  <c r="A625" i="1"/>
  <c r="A629" i="1"/>
  <c r="A633" i="1"/>
  <c r="A637" i="1"/>
  <c r="A641" i="1"/>
  <c r="A552" i="1"/>
  <c r="A568" i="1"/>
  <c r="F540" i="1"/>
  <c r="A556" i="1"/>
  <c r="A572" i="1"/>
  <c r="G540" i="1"/>
  <c r="A560" i="1"/>
  <c r="A576" i="1"/>
  <c r="A564" i="1"/>
  <c r="A523" i="1"/>
  <c r="A528" i="1"/>
  <c r="A524" i="1"/>
  <c r="A525" i="1"/>
  <c r="A527" i="1"/>
  <c r="G528" i="1"/>
  <c r="J534" i="1" s="1"/>
  <c r="G546" i="1" s="1"/>
  <c r="D525" i="1"/>
  <c r="D534" i="1" s="1"/>
  <c r="D543" i="1" s="1"/>
  <c r="C517" i="1"/>
  <c r="C519" i="1"/>
  <c r="C515" i="1"/>
  <c r="C516" i="1"/>
  <c r="A553" i="1"/>
  <c r="A557" i="1"/>
  <c r="A561" i="1"/>
  <c r="A565" i="1"/>
  <c r="A569" i="1"/>
  <c r="A573" i="1"/>
  <c r="D540" i="1"/>
  <c r="A550" i="1"/>
  <c r="A554" i="1"/>
  <c r="A558" i="1"/>
  <c r="A562" i="1"/>
  <c r="A566" i="1"/>
  <c r="A570" i="1"/>
  <c r="A574" i="1"/>
  <c r="A551" i="1"/>
  <c r="A555" i="1"/>
  <c r="A559" i="1"/>
  <c r="A563" i="1"/>
  <c r="A567" i="1"/>
  <c r="A571" i="1"/>
  <c r="A454" i="1"/>
  <c r="C372" i="1"/>
  <c r="C380" i="1" s="1"/>
  <c r="D389" i="1" s="1"/>
  <c r="C373" i="1"/>
  <c r="F381" i="1" s="1"/>
  <c r="F392" i="1" s="1"/>
  <c r="G452" i="1"/>
  <c r="F463" i="1" s="1"/>
  <c r="G470" i="1" s="1"/>
  <c r="D455" i="1"/>
  <c r="H463" i="1" s="1"/>
  <c r="D472" i="1" s="1"/>
  <c r="C444" i="1"/>
  <c r="E454" i="1"/>
  <c r="J460" i="1" s="1"/>
  <c r="B454" i="1"/>
  <c r="H460" i="1" s="1"/>
  <c r="D473" i="1"/>
  <c r="F455" i="1"/>
  <c r="J461" i="1" s="1"/>
  <c r="G455" i="1"/>
  <c r="J463" i="1" s="1"/>
  <c r="D452" i="1"/>
  <c r="D463" i="1" s="1"/>
  <c r="F456" i="1"/>
  <c r="J464" i="1" s="1"/>
  <c r="C453" i="1"/>
  <c r="D464" i="1" s="1"/>
  <c r="C447" i="1"/>
  <c r="B451" i="1"/>
  <c r="D460" i="1" s="1"/>
  <c r="F453" i="1"/>
  <c r="F464" i="1" s="1"/>
  <c r="C456" i="1"/>
  <c r="H464" i="1" s="1"/>
  <c r="C446" i="1"/>
  <c r="A456" i="1"/>
  <c r="A452" i="1"/>
  <c r="A455" i="1"/>
  <c r="A451" i="1"/>
  <c r="E451" i="1"/>
  <c r="F460" i="1" s="1"/>
  <c r="A481" i="1"/>
  <c r="A485" i="1"/>
  <c r="A489" i="1"/>
  <c r="A493" i="1"/>
  <c r="A497" i="1"/>
  <c r="A501" i="1"/>
  <c r="E468" i="1"/>
  <c r="A479" i="1"/>
  <c r="A483" i="1"/>
  <c r="A487" i="1"/>
  <c r="A491" i="1"/>
  <c r="A495" i="1"/>
  <c r="A499" i="1"/>
  <c r="A503" i="1"/>
  <c r="B468" i="1"/>
  <c r="A469" i="1" s="1" a="1"/>
  <c r="A480" i="1"/>
  <c r="A484" i="1"/>
  <c r="A488" i="1"/>
  <c r="A492" i="1"/>
  <c r="A496" i="1"/>
  <c r="A500" i="1"/>
  <c r="A384" i="1"/>
  <c r="A380" i="1"/>
  <c r="A383" i="1"/>
  <c r="A379" i="1"/>
  <c r="E382" i="1"/>
  <c r="J388" i="1" s="1"/>
  <c r="B382" i="1"/>
  <c r="H388" i="1" s="1"/>
  <c r="A381" i="1"/>
  <c r="A409" i="1"/>
  <c r="A425" i="1"/>
  <c r="F383" i="1"/>
  <c r="J389" i="1" s="1"/>
  <c r="A382" i="1"/>
  <c r="A413" i="1"/>
  <c r="A429" i="1"/>
  <c r="G384" i="1"/>
  <c r="J390" i="1" s="1"/>
  <c r="G402" i="1" s="1"/>
  <c r="D381" i="1"/>
  <c r="D390" i="1" s="1"/>
  <c r="D399" i="1" s="1"/>
  <c r="A432" i="1"/>
  <c r="A428" i="1"/>
  <c r="A424" i="1"/>
  <c r="A420" i="1"/>
  <c r="A416" i="1"/>
  <c r="A412" i="1"/>
  <c r="A408" i="1"/>
  <c r="A419" i="1"/>
  <c r="A411" i="1"/>
  <c r="A430" i="1"/>
  <c r="A422" i="1"/>
  <c r="A414" i="1"/>
  <c r="A406" i="1"/>
  <c r="A431" i="1"/>
  <c r="A427" i="1"/>
  <c r="A423" i="1"/>
  <c r="A415" i="1"/>
  <c r="A407" i="1"/>
  <c r="A426" i="1"/>
  <c r="A418" i="1"/>
  <c r="A410" i="1"/>
  <c r="A421" i="1"/>
  <c r="E396" i="1"/>
  <c r="B396" i="1"/>
  <c r="A334" i="1" a="1"/>
  <c r="A360" i="1" s="1"/>
  <c r="B324" i="1" a="1"/>
  <c r="F324" i="1" s="1"/>
  <c r="B318" i="1"/>
  <c r="B317" i="1"/>
  <c r="A307" i="1" a="1"/>
  <c r="A312" i="1" s="1"/>
  <c r="B296" i="1"/>
  <c r="C302" i="1" s="1"/>
  <c r="A262" i="1" a="1"/>
  <c r="A286" i="1" s="1"/>
  <c r="B252" i="1" a="1"/>
  <c r="E252" i="1" s="1"/>
  <c r="B246" i="1"/>
  <c r="B245" i="1"/>
  <c r="E890" i="1" s="1" a="1"/>
  <c r="A235" i="1" a="1"/>
  <c r="A239" i="1" s="1"/>
  <c r="B224" i="1"/>
  <c r="B222" i="1"/>
  <c r="A271" i="1" l="1"/>
  <c r="C617" i="1"/>
  <c r="G469" i="1"/>
  <c r="A287" i="1"/>
  <c r="B379" i="1"/>
  <c r="D388" i="1" s="1"/>
  <c r="C398" i="1" s="1"/>
  <c r="G381" i="1"/>
  <c r="F390" i="1" s="1"/>
  <c r="G399" i="1" s="1"/>
  <c r="F596" i="1"/>
  <c r="F605" i="1" s="1"/>
  <c r="F613" i="1" s="1"/>
  <c r="C671" i="1"/>
  <c r="H677" i="1" s="1"/>
  <c r="B688" i="1" s="1"/>
  <c r="B252" i="1"/>
  <c r="F599" i="1"/>
  <c r="J605" i="1" s="1"/>
  <c r="E616" i="1" s="1"/>
  <c r="B617" i="1"/>
  <c r="D669" i="1"/>
  <c r="D678" i="1" s="1"/>
  <c r="D687" i="1" s="1"/>
  <c r="A275" i="1"/>
  <c r="F384" i="1"/>
  <c r="J392" i="1" s="1"/>
  <c r="C596" i="1"/>
  <c r="D605" i="1" s="1"/>
  <c r="C613" i="1" s="1"/>
  <c r="B616" i="1"/>
  <c r="J945" i="1"/>
  <c r="I944" i="1"/>
  <c r="G252" i="1"/>
  <c r="I945" i="1"/>
  <c r="J944" i="1"/>
  <c r="F890" i="1"/>
  <c r="E891" i="1"/>
  <c r="E890" i="1"/>
  <c r="F891" i="1"/>
  <c r="C252" i="1"/>
  <c r="A263" i="1"/>
  <c r="A279" i="1"/>
  <c r="D252" i="1"/>
  <c r="A267" i="1"/>
  <c r="A283" i="1"/>
  <c r="E917" i="1" a="1"/>
  <c r="A397" i="1" a="1"/>
  <c r="A401" i="1" s="1"/>
  <c r="A541" i="1" a="1"/>
  <c r="A545" i="1" s="1"/>
  <c r="A268" i="1"/>
  <c r="A276" i="1"/>
  <c r="A284" i="1"/>
  <c r="C299" i="1"/>
  <c r="B307" i="1" s="1"/>
  <c r="D316" i="1" s="1"/>
  <c r="C324" i="1"/>
  <c r="A345" i="1"/>
  <c r="C300" i="1"/>
  <c r="F311" i="1" s="1"/>
  <c r="J317" i="1" s="1"/>
  <c r="D324" i="1"/>
  <c r="F614" i="1"/>
  <c r="B667" i="1"/>
  <c r="D676" i="1" s="1"/>
  <c r="E667" i="1"/>
  <c r="F676" i="1" s="1"/>
  <c r="E686" i="1" s="1"/>
  <c r="C229" i="1"/>
  <c r="F237" i="1" s="1"/>
  <c r="F248" i="1" s="1"/>
  <c r="F252" i="1"/>
  <c r="A264" i="1"/>
  <c r="A272" i="1"/>
  <c r="A280" i="1"/>
  <c r="A288" i="1"/>
  <c r="C301" i="1"/>
  <c r="F309" i="1" s="1"/>
  <c r="F320" i="1" s="1"/>
  <c r="E327" i="1" s="1"/>
  <c r="C303" i="1"/>
  <c r="D312" i="1" s="1"/>
  <c r="H318" i="1" s="1"/>
  <c r="D330" i="1" s="1"/>
  <c r="G324" i="1"/>
  <c r="G669" i="1"/>
  <c r="F678" i="1" s="1"/>
  <c r="G687" i="1" s="1"/>
  <c r="D672" i="1"/>
  <c r="H678" i="1" s="1"/>
  <c r="D690" i="1" s="1"/>
  <c r="A685" i="1" a="1"/>
  <c r="A687" i="1" s="1"/>
  <c r="C688" i="1"/>
  <c r="C686" i="1"/>
  <c r="E685" i="1"/>
  <c r="F689" i="1"/>
  <c r="E689" i="1"/>
  <c r="F688" i="1"/>
  <c r="E688" i="1"/>
  <c r="C672" i="1"/>
  <c r="H680" i="1" s="1"/>
  <c r="F669" i="1"/>
  <c r="F680" i="1" s="1"/>
  <c r="G671" i="1"/>
  <c r="J679" i="1" s="1"/>
  <c r="D668" i="1"/>
  <c r="D679" i="1" s="1"/>
  <c r="F672" i="1"/>
  <c r="J680" i="1" s="1"/>
  <c r="C669" i="1"/>
  <c r="D680" i="1" s="1"/>
  <c r="D671" i="1"/>
  <c r="H679" i="1" s="1"/>
  <c r="G668" i="1"/>
  <c r="F679" i="1" s="1"/>
  <c r="C600" i="1"/>
  <c r="H608" i="1" s="1"/>
  <c r="F597" i="1"/>
  <c r="F608" i="1" s="1"/>
  <c r="F600" i="1"/>
  <c r="J608" i="1" s="1"/>
  <c r="C597" i="1"/>
  <c r="D608" i="1" s="1"/>
  <c r="D599" i="1"/>
  <c r="H607" i="1" s="1"/>
  <c r="G596" i="1"/>
  <c r="F607" i="1" s="1"/>
  <c r="G599" i="1"/>
  <c r="J607" i="1" s="1"/>
  <c r="D596" i="1"/>
  <c r="D607" i="1" s="1"/>
  <c r="F617" i="1"/>
  <c r="F616" i="1"/>
  <c r="C614" i="1"/>
  <c r="E613" i="1"/>
  <c r="E614" i="1"/>
  <c r="A613" i="1" a="1"/>
  <c r="A543" i="1"/>
  <c r="A546" i="1"/>
  <c r="B526" i="1"/>
  <c r="H532" i="1" s="1"/>
  <c r="B523" i="1"/>
  <c r="D532" i="1" s="1"/>
  <c r="E523" i="1"/>
  <c r="F532" i="1" s="1"/>
  <c r="E526" i="1"/>
  <c r="J532" i="1" s="1"/>
  <c r="F528" i="1"/>
  <c r="J536" i="1" s="1"/>
  <c r="C525" i="1"/>
  <c r="D536" i="1" s="1"/>
  <c r="C528" i="1"/>
  <c r="H536" i="1" s="1"/>
  <c r="F525" i="1"/>
  <c r="F536" i="1" s="1"/>
  <c r="D527" i="1"/>
  <c r="H535" i="1" s="1"/>
  <c r="G524" i="1"/>
  <c r="F535" i="1" s="1"/>
  <c r="D524" i="1"/>
  <c r="D535" i="1" s="1"/>
  <c r="G527" i="1"/>
  <c r="J535" i="1" s="1"/>
  <c r="F527" i="1"/>
  <c r="J533" i="1" s="1"/>
  <c r="C524" i="1"/>
  <c r="D533" i="1" s="1"/>
  <c r="C527" i="1"/>
  <c r="H533" i="1" s="1"/>
  <c r="F524" i="1"/>
  <c r="F533" i="1" s="1"/>
  <c r="D528" i="1"/>
  <c r="H534" i="1" s="1"/>
  <c r="D546" i="1" s="1"/>
  <c r="G525" i="1"/>
  <c r="F534" i="1" s="1"/>
  <c r="G543" i="1" s="1"/>
  <c r="G380" i="1"/>
  <c r="F391" i="1" s="1"/>
  <c r="C384" i="1"/>
  <c r="H392" i="1" s="1"/>
  <c r="D380" i="1"/>
  <c r="D391" i="1" s="1"/>
  <c r="D398" i="1" s="1"/>
  <c r="F380" i="1"/>
  <c r="F389" i="1" s="1"/>
  <c r="C383" i="1"/>
  <c r="H389" i="1" s="1"/>
  <c r="B401" i="1" s="1"/>
  <c r="D383" i="1"/>
  <c r="H391" i="1" s="1"/>
  <c r="D401" i="1" s="1"/>
  <c r="G383" i="1"/>
  <c r="J391" i="1" s="1"/>
  <c r="G401" i="1" s="1"/>
  <c r="C381" i="1"/>
  <c r="D392" i="1" s="1"/>
  <c r="C399" i="1" s="1"/>
  <c r="C455" i="1"/>
  <c r="H461" i="1" s="1"/>
  <c r="C473" i="1" s="1"/>
  <c r="F452" i="1"/>
  <c r="F461" i="1" s="1"/>
  <c r="F469" i="1" s="1"/>
  <c r="C452" i="1"/>
  <c r="D461" i="1" s="1"/>
  <c r="B469" i="1" s="1"/>
  <c r="E471" i="1"/>
  <c r="F471" i="1"/>
  <c r="F474" i="1"/>
  <c r="E474" i="1"/>
  <c r="B472" i="1"/>
  <c r="D456" i="1"/>
  <c r="H462" i="1" s="1"/>
  <c r="G453" i="1"/>
  <c r="F462" i="1" s="1"/>
  <c r="G471" i="1" s="1"/>
  <c r="G472" i="1"/>
  <c r="G473" i="1"/>
  <c r="C474" i="1"/>
  <c r="B474" i="1"/>
  <c r="B471" i="1"/>
  <c r="C471" i="1"/>
  <c r="A474" i="1"/>
  <c r="A470" i="1"/>
  <c r="A473" i="1"/>
  <c r="A469" i="1"/>
  <c r="A472" i="1"/>
  <c r="A471" i="1"/>
  <c r="G456" i="1"/>
  <c r="J462" i="1" s="1"/>
  <c r="G474" i="1" s="1"/>
  <c r="D453" i="1"/>
  <c r="D462" i="1" s="1"/>
  <c r="D471" i="1" s="1"/>
  <c r="B470" i="1"/>
  <c r="D469" i="1"/>
  <c r="D470" i="1"/>
  <c r="E473" i="1"/>
  <c r="F472" i="1"/>
  <c r="F473" i="1"/>
  <c r="E472" i="1"/>
  <c r="E401" i="1"/>
  <c r="F400" i="1"/>
  <c r="E400" i="1"/>
  <c r="F401" i="1"/>
  <c r="A398" i="1"/>
  <c r="A399" i="1"/>
  <c r="D397" i="1"/>
  <c r="B400" i="1"/>
  <c r="C401" i="1"/>
  <c r="G400" i="1"/>
  <c r="E399" i="1"/>
  <c r="F399" i="1"/>
  <c r="F402" i="1"/>
  <c r="E402" i="1"/>
  <c r="A309" i="1"/>
  <c r="C311" i="1"/>
  <c r="H317" i="1" s="1"/>
  <c r="G309" i="1"/>
  <c r="F318" i="1" s="1"/>
  <c r="G327" i="1" s="1"/>
  <c r="G312" i="1"/>
  <c r="J318" i="1" s="1"/>
  <c r="G330" i="1" s="1"/>
  <c r="D309" i="1"/>
  <c r="D318" i="1" s="1"/>
  <c r="D327" i="1" s="1"/>
  <c r="G311" i="1"/>
  <c r="J319" i="1" s="1"/>
  <c r="D308" i="1"/>
  <c r="D319" i="1" s="1"/>
  <c r="C309" i="1"/>
  <c r="D320" i="1" s="1"/>
  <c r="D311" i="1"/>
  <c r="H319" i="1" s="1"/>
  <c r="E307" i="1"/>
  <c r="F316" i="1" s="1"/>
  <c r="A337" i="1"/>
  <c r="A341" i="1"/>
  <c r="A349" i="1"/>
  <c r="A353" i="1"/>
  <c r="A357" i="1"/>
  <c r="A338" i="1"/>
  <c r="A346" i="1"/>
  <c r="A354" i="1"/>
  <c r="A307" i="1"/>
  <c r="A311" i="1"/>
  <c r="E324" i="1"/>
  <c r="A339" i="1"/>
  <c r="A347" i="1"/>
  <c r="A355" i="1"/>
  <c r="A310" i="1"/>
  <c r="A334" i="1"/>
  <c r="A342" i="1"/>
  <c r="A350" i="1"/>
  <c r="A358" i="1"/>
  <c r="A335" i="1"/>
  <c r="A343" i="1"/>
  <c r="A351" i="1"/>
  <c r="A359" i="1"/>
  <c r="A308" i="1"/>
  <c r="B324" i="1"/>
  <c r="A336" i="1"/>
  <c r="A340" i="1"/>
  <c r="A344" i="1"/>
  <c r="A348" i="1"/>
  <c r="A352" i="1"/>
  <c r="A356" i="1"/>
  <c r="A240" i="1"/>
  <c r="A236" i="1"/>
  <c r="C237" i="1"/>
  <c r="D248" i="1" s="1"/>
  <c r="C240" i="1"/>
  <c r="H248" i="1" s="1"/>
  <c r="D236" i="1"/>
  <c r="D247" i="1" s="1"/>
  <c r="D239" i="1"/>
  <c r="H247" i="1" s="1"/>
  <c r="A238" i="1"/>
  <c r="A265" i="1"/>
  <c r="A269" i="1"/>
  <c r="A273" i="1"/>
  <c r="A277" i="1"/>
  <c r="A281" i="1"/>
  <c r="A285" i="1"/>
  <c r="C230" i="1"/>
  <c r="C227" i="1"/>
  <c r="C231" i="1"/>
  <c r="A237" i="1"/>
  <c r="C228" i="1"/>
  <c r="A235" i="1"/>
  <c r="A262" i="1"/>
  <c r="A266" i="1"/>
  <c r="A270" i="1"/>
  <c r="A274" i="1"/>
  <c r="A278" i="1"/>
  <c r="A282" i="1"/>
  <c r="F308" i="1" l="1"/>
  <c r="F317" i="1" s="1"/>
  <c r="A400" i="1"/>
  <c r="A402" i="1"/>
  <c r="F686" i="1"/>
  <c r="F312" i="1"/>
  <c r="J320" i="1" s="1"/>
  <c r="F327" i="1"/>
  <c r="C400" i="1"/>
  <c r="A397" i="1"/>
  <c r="C472" i="1"/>
  <c r="C689" i="1"/>
  <c r="A689" i="1"/>
  <c r="A253" i="1" a="1"/>
  <c r="A255" i="1" s="1"/>
  <c r="B397" i="1"/>
  <c r="B398" i="1"/>
  <c r="C397" i="1"/>
  <c r="C308" i="1"/>
  <c r="D317" i="1" s="1"/>
  <c r="C325" i="1" s="1"/>
  <c r="C312" i="1"/>
  <c r="H320" i="1" s="1"/>
  <c r="G308" i="1"/>
  <c r="F319" i="1" s="1"/>
  <c r="A690" i="1"/>
  <c r="F240" i="1"/>
  <c r="J248" i="1" s="1"/>
  <c r="F258" i="1" s="1"/>
  <c r="B310" i="1"/>
  <c r="H316" i="1" s="1"/>
  <c r="C470" i="1"/>
  <c r="A544" i="1"/>
  <c r="A541" i="1"/>
  <c r="E617" i="1"/>
  <c r="I890" i="1"/>
  <c r="J891" i="1"/>
  <c r="F950" i="1" a="1"/>
  <c r="B613" i="1"/>
  <c r="B614" i="1"/>
  <c r="I891" i="1"/>
  <c r="J890" i="1"/>
  <c r="G239" i="1"/>
  <c r="J247" i="1" s="1"/>
  <c r="G236" i="1"/>
  <c r="F247" i="1" s="1"/>
  <c r="G253" i="1" s="1"/>
  <c r="E310" i="1"/>
  <c r="J316" i="1" s="1"/>
  <c r="E328" i="1" s="1"/>
  <c r="A542" i="1"/>
  <c r="A688" i="1"/>
  <c r="E917" i="1"/>
  <c r="F918" i="1"/>
  <c r="E918" i="1"/>
  <c r="F917" i="1"/>
  <c r="A256" i="1"/>
  <c r="A257" i="1"/>
  <c r="D257" i="1"/>
  <c r="D256" i="1"/>
  <c r="E470" i="1"/>
  <c r="C685" i="1"/>
  <c r="B686" i="1"/>
  <c r="D253" i="1"/>
  <c r="D254" i="1"/>
  <c r="C255" i="1"/>
  <c r="B255" i="1"/>
  <c r="D400" i="1"/>
  <c r="F470" i="1"/>
  <c r="B685" i="1"/>
  <c r="E469" i="1"/>
  <c r="F685" i="1"/>
  <c r="B258" i="1"/>
  <c r="C258" i="1"/>
  <c r="G257" i="1"/>
  <c r="G256" i="1"/>
  <c r="Q421" i="1" a="1"/>
  <c r="S423" i="1" s="1"/>
  <c r="G254" i="1"/>
  <c r="E255" i="1"/>
  <c r="F255" i="1"/>
  <c r="S422" i="1"/>
  <c r="A686" i="1"/>
  <c r="B689" i="1"/>
  <c r="A685" i="1"/>
  <c r="D688" i="1"/>
  <c r="D689" i="1"/>
  <c r="B687" i="1"/>
  <c r="C687" i="1"/>
  <c r="F687" i="1"/>
  <c r="E687" i="1"/>
  <c r="F690" i="1"/>
  <c r="E690" i="1"/>
  <c r="C690" i="1"/>
  <c r="B690" i="1"/>
  <c r="G688" i="1"/>
  <c r="G689" i="1"/>
  <c r="G686" i="1"/>
  <c r="G685" i="1"/>
  <c r="D686" i="1"/>
  <c r="D685" i="1"/>
  <c r="G617" i="1"/>
  <c r="G616" i="1"/>
  <c r="E618" i="1"/>
  <c r="F618" i="1"/>
  <c r="G613" i="1"/>
  <c r="G614" i="1"/>
  <c r="F615" i="1"/>
  <c r="E615" i="1"/>
  <c r="A615" i="1"/>
  <c r="A616" i="1"/>
  <c r="A618" i="1"/>
  <c r="A614" i="1"/>
  <c r="A617" i="1"/>
  <c r="A613" i="1"/>
  <c r="D616" i="1"/>
  <c r="D617" i="1"/>
  <c r="C618" i="1"/>
  <c r="B618" i="1"/>
  <c r="D614" i="1"/>
  <c r="D613" i="1"/>
  <c r="B615" i="1"/>
  <c r="C615" i="1"/>
  <c r="B543" i="1"/>
  <c r="C543" i="1"/>
  <c r="F546" i="1"/>
  <c r="E546" i="1"/>
  <c r="G544" i="1"/>
  <c r="G545" i="1"/>
  <c r="F543" i="1"/>
  <c r="E543" i="1"/>
  <c r="F544" i="1"/>
  <c r="F545" i="1"/>
  <c r="E545" i="1"/>
  <c r="E544" i="1"/>
  <c r="G542" i="1"/>
  <c r="G541" i="1"/>
  <c r="B542" i="1"/>
  <c r="B541" i="1"/>
  <c r="C542" i="1"/>
  <c r="C541" i="1"/>
  <c r="D545" i="1"/>
  <c r="D544" i="1"/>
  <c r="B544" i="1"/>
  <c r="C545" i="1"/>
  <c r="C544" i="1"/>
  <c r="B545" i="1"/>
  <c r="D541" i="1"/>
  <c r="D542" i="1"/>
  <c r="B546" i="1"/>
  <c r="C546" i="1"/>
  <c r="F542" i="1"/>
  <c r="F541" i="1"/>
  <c r="E541" i="1"/>
  <c r="E542" i="1"/>
  <c r="B399" i="1"/>
  <c r="E398" i="1"/>
  <c r="F398" i="1"/>
  <c r="E397" i="1"/>
  <c r="F397" i="1"/>
  <c r="C402" i="1"/>
  <c r="B402" i="1"/>
  <c r="G398" i="1"/>
  <c r="G397" i="1"/>
  <c r="C469" i="1"/>
  <c r="D474" i="1"/>
  <c r="B473" i="1"/>
  <c r="A325" i="1" a="1"/>
  <c r="A330" i="1" s="1"/>
  <c r="C328" i="1"/>
  <c r="B328" i="1"/>
  <c r="C329" i="1"/>
  <c r="G328" i="1"/>
  <c r="G329" i="1"/>
  <c r="F330" i="1"/>
  <c r="E330" i="1"/>
  <c r="E325" i="1"/>
  <c r="F326" i="1"/>
  <c r="E326" i="1"/>
  <c r="F325" i="1"/>
  <c r="D329" i="1"/>
  <c r="D328" i="1"/>
  <c r="D325" i="1"/>
  <c r="D326" i="1"/>
  <c r="C327" i="1"/>
  <c r="B327" i="1"/>
  <c r="B329" i="1"/>
  <c r="C330" i="1"/>
  <c r="B330" i="1"/>
  <c r="G326" i="1"/>
  <c r="G325" i="1"/>
  <c r="D240" i="1"/>
  <c r="H246" i="1" s="1"/>
  <c r="D258" i="1" s="1"/>
  <c r="G237" i="1"/>
  <c r="F246" i="1" s="1"/>
  <c r="G255" i="1" s="1"/>
  <c r="B238" i="1"/>
  <c r="H244" i="1" s="1"/>
  <c r="B235" i="1"/>
  <c r="D244" i="1" s="1"/>
  <c r="E238" i="1"/>
  <c r="J244" i="1" s="1"/>
  <c r="E235" i="1"/>
  <c r="F244" i="1" s="1"/>
  <c r="F239" i="1"/>
  <c r="J245" i="1" s="1"/>
  <c r="C236" i="1"/>
  <c r="D245" i="1" s="1"/>
  <c r="C239" i="1"/>
  <c r="H245" i="1" s="1"/>
  <c r="B257" i="1" s="1"/>
  <c r="F236" i="1"/>
  <c r="F245" i="1" s="1"/>
  <c r="G240" i="1"/>
  <c r="J246" i="1" s="1"/>
  <c r="G258" i="1" s="1"/>
  <c r="D237" i="1"/>
  <c r="D246" i="1" s="1"/>
  <c r="D255" i="1" s="1"/>
  <c r="B326" i="1" l="1"/>
  <c r="A253" i="1"/>
  <c r="B325" i="1"/>
  <c r="C326" i="1"/>
  <c r="E337" i="1" s="1" a="1"/>
  <c r="E258" i="1"/>
  <c r="A254" i="1"/>
  <c r="E329" i="1"/>
  <c r="A258" i="1"/>
  <c r="F923" i="1" a="1"/>
  <c r="F329" i="1"/>
  <c r="F950" i="1"/>
  <c r="K956" i="1"/>
  <c r="G952" i="1"/>
  <c r="H954" i="1"/>
  <c r="H950" i="1"/>
  <c r="K954" i="1"/>
  <c r="I952" i="1"/>
  <c r="G950" i="1"/>
  <c r="K952" i="1"/>
  <c r="L954" i="1"/>
  <c r="L956" i="1"/>
  <c r="J954" i="1"/>
  <c r="H952" i="1"/>
  <c r="I951" i="1"/>
  <c r="J955" i="1"/>
  <c r="F951" i="1"/>
  <c r="K953" i="1"/>
  <c r="I956" i="1"/>
  <c r="G954" i="1"/>
  <c r="L951" i="1"/>
  <c r="G956" i="1"/>
  <c r="J951" i="1"/>
  <c r="G953" i="1"/>
  <c r="H956" i="1"/>
  <c r="F954" i="1"/>
  <c r="K951" i="1"/>
  <c r="I954" i="1"/>
  <c r="J956" i="1"/>
  <c r="J952" i="1"/>
  <c r="L955" i="1"/>
  <c r="J953" i="1"/>
  <c r="H951" i="1"/>
  <c r="F955" i="1"/>
  <c r="I950" i="1"/>
  <c r="F952" i="1"/>
  <c r="K955" i="1"/>
  <c r="I953" i="1"/>
  <c r="G951" i="1"/>
  <c r="H953" i="1"/>
  <c r="I955" i="1"/>
  <c r="H955" i="1"/>
  <c r="F953" i="1"/>
  <c r="K950" i="1"/>
  <c r="L953" i="1"/>
  <c r="F956" i="1"/>
  <c r="L950" i="1"/>
  <c r="G955" i="1"/>
  <c r="L952" i="1"/>
  <c r="J950" i="1"/>
  <c r="J918" i="1"/>
  <c r="I917" i="1"/>
  <c r="F328" i="1"/>
  <c r="B478" i="1" a="1"/>
  <c r="F483" i="1" s="1"/>
  <c r="K631" i="1" a="1"/>
  <c r="L636" i="1" s="1"/>
  <c r="J917" i="1"/>
  <c r="I918" i="1"/>
  <c r="Q421" i="1"/>
  <c r="F896" i="1" a="1"/>
  <c r="C483" i="1"/>
  <c r="E480" i="1"/>
  <c r="D478" i="1"/>
  <c r="E481" i="1"/>
  <c r="D479" i="1"/>
  <c r="E482" i="1"/>
  <c r="D480" i="1"/>
  <c r="E483" i="1"/>
  <c r="D481" i="1"/>
  <c r="F478" i="1"/>
  <c r="D482" i="1"/>
  <c r="F479" i="1"/>
  <c r="D483" i="1"/>
  <c r="F480" i="1"/>
  <c r="E478" i="1"/>
  <c r="F481" i="1"/>
  <c r="E479" i="1"/>
  <c r="F482" i="1"/>
  <c r="B256" i="1"/>
  <c r="C256" i="1"/>
  <c r="C257" i="1"/>
  <c r="N346" i="1" a="1"/>
  <c r="R412" i="1"/>
  <c r="Q423" i="1"/>
  <c r="Q412" i="1" a="1"/>
  <c r="S412" i="1" s="1"/>
  <c r="E553" i="1" a="1"/>
  <c r="J556" i="1" s="1"/>
  <c r="R421" i="1"/>
  <c r="Q422" i="1"/>
  <c r="B254" i="1"/>
  <c r="C253" i="1"/>
  <c r="C254" i="1"/>
  <c r="B253" i="1"/>
  <c r="N706" i="1" a="1"/>
  <c r="F254" i="1"/>
  <c r="E253" i="1"/>
  <c r="E254" i="1"/>
  <c r="F253" i="1"/>
  <c r="F256" i="1"/>
  <c r="E256" i="1"/>
  <c r="E257" i="1"/>
  <c r="F257" i="1"/>
  <c r="N337" i="1" a="1"/>
  <c r="E346" i="1" a="1"/>
  <c r="R413" i="1"/>
  <c r="H412" i="1" a="1"/>
  <c r="S421" i="1"/>
  <c r="R422" i="1"/>
  <c r="R423" i="1"/>
  <c r="H421" i="1" a="1"/>
  <c r="I423" i="1" s="1"/>
  <c r="A328" i="1"/>
  <c r="A325" i="1"/>
  <c r="A327" i="1"/>
  <c r="A326" i="1"/>
  <c r="A329" i="1"/>
  <c r="E338" i="1" l="1"/>
  <c r="G339" i="1"/>
  <c r="G338" i="1"/>
  <c r="C482" i="1"/>
  <c r="C481" i="1"/>
  <c r="C480" i="1"/>
  <c r="C479" i="1"/>
  <c r="C478" i="1"/>
  <c r="B483" i="1"/>
  <c r="B482" i="1"/>
  <c r="B481" i="1"/>
  <c r="B478" i="1"/>
  <c r="B480" i="1"/>
  <c r="B479" i="1"/>
  <c r="G483" i="1"/>
  <c r="G482" i="1"/>
  <c r="G481" i="1"/>
  <c r="G480" i="1"/>
  <c r="G479" i="1"/>
  <c r="G478" i="1"/>
  <c r="O636" i="1"/>
  <c r="M636" i="1"/>
  <c r="N632" i="1"/>
  <c r="P636" i="1"/>
  <c r="N633" i="1"/>
  <c r="J555" i="1"/>
  <c r="J558" i="1"/>
  <c r="E556" i="1"/>
  <c r="G337" i="1"/>
  <c r="F338" i="1"/>
  <c r="F337" i="1"/>
  <c r="L633" i="1"/>
  <c r="K633" i="1"/>
  <c r="N636" i="1"/>
  <c r="P631" i="1"/>
  <c r="O631" i="1"/>
  <c r="L635" i="1"/>
  <c r="P632" i="1"/>
  <c r="L634" i="1"/>
  <c r="K631" i="1"/>
  <c r="F558" i="1"/>
  <c r="H554" i="1"/>
  <c r="E554" i="1"/>
  <c r="E557" i="1"/>
  <c r="I555" i="1"/>
  <c r="J557" i="1"/>
  <c r="E553" i="1"/>
  <c r="G555" i="1"/>
  <c r="F557" i="1"/>
  <c r="F553" i="1"/>
  <c r="J553" i="1"/>
  <c r="G558" i="1"/>
  <c r="G557" i="1"/>
  <c r="H556" i="1"/>
  <c r="I557" i="1"/>
  <c r="I554" i="1"/>
  <c r="I553" i="1"/>
  <c r="H558" i="1"/>
  <c r="G553" i="1"/>
  <c r="E558" i="1"/>
  <c r="F554" i="1"/>
  <c r="S413" i="1"/>
  <c r="E337" i="1"/>
  <c r="F339" i="1"/>
  <c r="M632" i="1"/>
  <c r="P635" i="1"/>
  <c r="O635" i="1"/>
  <c r="K634" i="1"/>
  <c r="N634" i="1"/>
  <c r="M634" i="1"/>
  <c r="O632" i="1"/>
  <c r="P634" i="1"/>
  <c r="N631" i="1"/>
  <c r="F896" i="1"/>
  <c r="G902" i="1"/>
  <c r="J897" i="1"/>
  <c r="H900" i="1"/>
  <c r="H896" i="1"/>
  <c r="K900" i="1"/>
  <c r="I898" i="1"/>
  <c r="G896" i="1"/>
  <c r="H899" i="1"/>
  <c r="L900" i="1"/>
  <c r="L902" i="1"/>
  <c r="J900" i="1"/>
  <c r="H898" i="1"/>
  <c r="K898" i="1"/>
  <c r="K896" i="1"/>
  <c r="I900" i="1"/>
  <c r="F902" i="1"/>
  <c r="L896" i="1"/>
  <c r="F901" i="1"/>
  <c r="I896" i="1"/>
  <c r="G899" i="1"/>
  <c r="I902" i="1"/>
  <c r="G900" i="1"/>
  <c r="L897" i="1"/>
  <c r="K902" i="1"/>
  <c r="G898" i="1"/>
  <c r="K899" i="1"/>
  <c r="H902" i="1"/>
  <c r="F900" i="1"/>
  <c r="K897" i="1"/>
  <c r="H901" i="1"/>
  <c r="L899" i="1"/>
  <c r="J902" i="1"/>
  <c r="F898" i="1"/>
  <c r="L901" i="1"/>
  <c r="J899" i="1"/>
  <c r="H897" i="1"/>
  <c r="J901" i="1"/>
  <c r="F897" i="1"/>
  <c r="J898" i="1"/>
  <c r="K901" i="1"/>
  <c r="I899" i="1"/>
  <c r="G897" i="1"/>
  <c r="I901" i="1"/>
  <c r="I897" i="1"/>
  <c r="L898" i="1"/>
  <c r="G901" i="1"/>
  <c r="J896" i="1"/>
  <c r="F899" i="1"/>
  <c r="G554" i="1"/>
  <c r="F556" i="1"/>
  <c r="K636" i="1"/>
  <c r="P633" i="1"/>
  <c r="O634" i="1"/>
  <c r="N635" i="1"/>
  <c r="E555" i="1"/>
  <c r="H557" i="1"/>
  <c r="I558" i="1"/>
  <c r="I556" i="1"/>
  <c r="H553" i="1"/>
  <c r="G556" i="1"/>
  <c r="J554" i="1"/>
  <c r="H555" i="1"/>
  <c r="F555" i="1"/>
  <c r="E339" i="1"/>
  <c r="K635" i="1"/>
  <c r="M633" i="1"/>
  <c r="L631" i="1"/>
  <c r="O633" i="1"/>
  <c r="M631" i="1"/>
  <c r="K632" i="1"/>
  <c r="M635" i="1"/>
  <c r="L632" i="1"/>
  <c r="F923" i="1"/>
  <c r="K925" i="1"/>
  <c r="I928" i="1"/>
  <c r="I924" i="1"/>
  <c r="H928" i="1"/>
  <c r="F926" i="1"/>
  <c r="K923" i="1"/>
  <c r="I927" i="1"/>
  <c r="F929" i="1"/>
  <c r="L923" i="1"/>
  <c r="G928" i="1"/>
  <c r="L925" i="1"/>
  <c r="J923" i="1"/>
  <c r="J926" i="1"/>
  <c r="F925" i="1"/>
  <c r="I926" i="1"/>
  <c r="K929" i="1"/>
  <c r="J924" i="1"/>
  <c r="H927" i="1"/>
  <c r="H923" i="1"/>
  <c r="K927" i="1"/>
  <c r="I925" i="1"/>
  <c r="G923" i="1"/>
  <c r="H926" i="1"/>
  <c r="L927" i="1"/>
  <c r="L929" i="1"/>
  <c r="J927" i="1"/>
  <c r="H925" i="1"/>
  <c r="F928" i="1"/>
  <c r="F924" i="1"/>
  <c r="K926" i="1"/>
  <c r="I929" i="1"/>
  <c r="G927" i="1"/>
  <c r="L924" i="1"/>
  <c r="G929" i="1"/>
  <c r="G925" i="1"/>
  <c r="G926" i="1"/>
  <c r="H929" i="1"/>
  <c r="F927" i="1"/>
  <c r="K924" i="1"/>
  <c r="L926" i="1"/>
  <c r="J929" i="1"/>
  <c r="J925" i="1"/>
  <c r="L928" i="1"/>
  <c r="H924" i="1"/>
  <c r="J928" i="1"/>
  <c r="I923" i="1"/>
  <c r="K928" i="1"/>
  <c r="G924" i="1"/>
  <c r="N337" i="1"/>
  <c r="P338" i="1"/>
  <c r="P339" i="1"/>
  <c r="P337" i="1"/>
  <c r="O337" i="1"/>
  <c r="O338" i="1"/>
  <c r="O339" i="1"/>
  <c r="N338" i="1"/>
  <c r="N339" i="1"/>
  <c r="N706" i="1"/>
  <c r="S707" i="1"/>
  <c r="Q710" i="1"/>
  <c r="S711" i="1"/>
  <c r="Q706" i="1"/>
  <c r="Q708" i="1"/>
  <c r="N711" i="1"/>
  <c r="N707" i="1"/>
  <c r="O709" i="1"/>
  <c r="O711" i="1"/>
  <c r="O707" i="1"/>
  <c r="S709" i="1"/>
  <c r="R711" i="1"/>
  <c r="R709" i="1"/>
  <c r="P706" i="1"/>
  <c r="Q709" i="1"/>
  <c r="S706" i="1"/>
  <c r="N710" i="1"/>
  <c r="P707" i="1"/>
  <c r="N709" i="1"/>
  <c r="Q711" i="1"/>
  <c r="S708" i="1"/>
  <c r="O706" i="1"/>
  <c r="P709" i="1"/>
  <c r="R706" i="1"/>
  <c r="P708" i="1"/>
  <c r="S710" i="1"/>
  <c r="O708" i="1"/>
  <c r="P711" i="1"/>
  <c r="R708" i="1"/>
  <c r="P710" i="1"/>
  <c r="R707" i="1"/>
  <c r="O710" i="1"/>
  <c r="Q707" i="1"/>
  <c r="R710" i="1"/>
  <c r="N708" i="1"/>
  <c r="B271" i="1" a="1"/>
  <c r="J423" i="1"/>
  <c r="J422" i="1"/>
  <c r="H421" i="1"/>
  <c r="I421" i="1"/>
  <c r="H422" i="1"/>
  <c r="I422" i="1"/>
  <c r="H423" i="1"/>
  <c r="B262" i="1" a="1"/>
  <c r="J421" i="1"/>
  <c r="S414" i="1"/>
  <c r="R414" i="1"/>
  <c r="Q414" i="1"/>
  <c r="N346" i="1"/>
  <c r="P347" i="1"/>
  <c r="P348" i="1"/>
  <c r="N348" i="1"/>
  <c r="O346" i="1"/>
  <c r="O347" i="1"/>
  <c r="O348" i="1"/>
  <c r="N347" i="1"/>
  <c r="P346" i="1"/>
  <c r="Q413" i="1"/>
  <c r="J414" i="1"/>
  <c r="J413" i="1"/>
  <c r="J412" i="1"/>
  <c r="H412" i="1"/>
  <c r="I413" i="1"/>
  <c r="I412" i="1"/>
  <c r="I414" i="1"/>
  <c r="H413" i="1"/>
  <c r="E346" i="1"/>
  <c r="E348" i="1"/>
  <c r="G348" i="1"/>
  <c r="F346" i="1"/>
  <c r="G346" i="1"/>
  <c r="F347" i="1"/>
  <c r="F348" i="1"/>
  <c r="G347" i="1"/>
  <c r="E347" i="1"/>
  <c r="K271" i="1" a="1"/>
  <c r="K262" i="1" a="1"/>
  <c r="Q412" i="1"/>
  <c r="H414" i="1"/>
  <c r="B150" i="1"/>
  <c r="A190" i="1" a="1"/>
  <c r="A214" i="1" s="1"/>
  <c r="B180" i="1" a="1"/>
  <c r="E180" i="1" s="1"/>
  <c r="B174" i="1"/>
  <c r="B173" i="1"/>
  <c r="A163" i="1" a="1"/>
  <c r="A168" i="1" s="1"/>
  <c r="B152" i="1"/>
  <c r="C155" i="1" s="1"/>
  <c r="B108" i="1" a="1"/>
  <c r="E108" i="1" s="1"/>
  <c r="A91" i="1" a="1"/>
  <c r="A94" i="1" s="1"/>
  <c r="E863" i="1" l="1" a="1"/>
  <c r="F863" i="1" s="1"/>
  <c r="E864" i="1"/>
  <c r="E863" i="1"/>
  <c r="F864" i="1"/>
  <c r="E163" i="1"/>
  <c r="F172" i="1" s="1"/>
  <c r="B166" i="1"/>
  <c r="H172" i="1" s="1"/>
  <c r="E166" i="1"/>
  <c r="J172" i="1" s="1"/>
  <c r="C108" i="1"/>
  <c r="B108" i="1"/>
  <c r="C159" i="1"/>
  <c r="G165" i="1" s="1"/>
  <c r="F174" i="1" s="1"/>
  <c r="K262" i="1"/>
  <c r="K263" i="1"/>
  <c r="L264" i="1"/>
  <c r="M263" i="1"/>
  <c r="L263" i="1"/>
  <c r="L262" i="1"/>
  <c r="M264" i="1"/>
  <c r="K264" i="1"/>
  <c r="M262" i="1"/>
  <c r="K271" i="1"/>
  <c r="L273" i="1"/>
  <c r="K272" i="1"/>
  <c r="M272" i="1"/>
  <c r="L272" i="1"/>
  <c r="M273" i="1"/>
  <c r="L271" i="1"/>
  <c r="K273" i="1"/>
  <c r="M271" i="1"/>
  <c r="B262" i="1"/>
  <c r="B263" i="1"/>
  <c r="C263" i="1"/>
  <c r="B264" i="1"/>
  <c r="D264" i="1"/>
  <c r="D263" i="1"/>
  <c r="C264" i="1"/>
  <c r="D262" i="1"/>
  <c r="C262" i="1"/>
  <c r="B271" i="1"/>
  <c r="B272" i="1"/>
  <c r="C273" i="1"/>
  <c r="D271" i="1"/>
  <c r="B273" i="1"/>
  <c r="D273" i="1"/>
  <c r="C271" i="1"/>
  <c r="D272" i="1"/>
  <c r="C272" i="1"/>
  <c r="D108" i="1"/>
  <c r="C157" i="1"/>
  <c r="C168" i="1" s="1"/>
  <c r="H176" i="1" s="1"/>
  <c r="A163" i="1"/>
  <c r="A164" i="1"/>
  <c r="B180" i="1"/>
  <c r="A191" i="1"/>
  <c r="A203" i="1"/>
  <c r="A215" i="1"/>
  <c r="A165" i="1"/>
  <c r="C180" i="1"/>
  <c r="A192" i="1"/>
  <c r="A204" i="1"/>
  <c r="A216" i="1"/>
  <c r="A166" i="1"/>
  <c r="D180" i="1"/>
  <c r="A193" i="1"/>
  <c r="A194" i="1"/>
  <c r="A206" i="1"/>
  <c r="A167" i="1"/>
  <c r="F180" i="1"/>
  <c r="A195" i="1"/>
  <c r="A207" i="1"/>
  <c r="G180" i="1"/>
  <c r="A196" i="1"/>
  <c r="A208" i="1"/>
  <c r="A205" i="1"/>
  <c r="B163" i="1"/>
  <c r="D172" i="1" s="1"/>
  <c r="C156" i="1"/>
  <c r="A197" i="1"/>
  <c r="A209" i="1"/>
  <c r="A198" i="1"/>
  <c r="A210" i="1"/>
  <c r="A199" i="1"/>
  <c r="A211" i="1"/>
  <c r="C158" i="1"/>
  <c r="A200" i="1"/>
  <c r="A212" i="1"/>
  <c r="A201" i="1"/>
  <c r="A213" i="1"/>
  <c r="A190" i="1"/>
  <c r="A202" i="1"/>
  <c r="G108" i="1"/>
  <c r="F108" i="1"/>
  <c r="A93" i="1"/>
  <c r="A92" i="1"/>
  <c r="A91" i="1"/>
  <c r="A96" i="1"/>
  <c r="A95" i="1"/>
  <c r="D168" i="1" l="1"/>
  <c r="H174" i="1" s="1"/>
  <c r="I864" i="1"/>
  <c r="J863" i="1"/>
  <c r="I863" i="1"/>
  <c r="J864" i="1"/>
  <c r="A181" i="1" a="1"/>
  <c r="A185" i="1" s="1"/>
  <c r="G167" i="1"/>
  <c r="J175" i="1" s="1"/>
  <c r="D181" i="1" s="1"/>
  <c r="C165" i="1"/>
  <c r="D176" i="1" s="1"/>
  <c r="F168" i="1"/>
  <c r="J176" i="1" s="1"/>
  <c r="B183" i="1" s="1"/>
  <c r="D164" i="1"/>
  <c r="D175" i="1" s="1"/>
  <c r="G164" i="1"/>
  <c r="F175" i="1" s="1"/>
  <c r="F165" i="1"/>
  <c r="F176" i="1" s="1"/>
  <c r="D167" i="1"/>
  <c r="H175" i="1" s="1"/>
  <c r="G168" i="1"/>
  <c r="J174" i="1" s="1"/>
  <c r="D183" i="1" s="1"/>
  <c r="D165" i="1"/>
  <c r="D174" i="1" s="1"/>
  <c r="F164" i="1"/>
  <c r="F173" i="1" s="1"/>
  <c r="F167" i="1"/>
  <c r="J173" i="1" s="1"/>
  <c r="C182" i="1" s="1"/>
  <c r="C164" i="1"/>
  <c r="D173" i="1" s="1"/>
  <c r="C167" i="1"/>
  <c r="H173" i="1" s="1"/>
  <c r="D870" i="1" l="1" a="1"/>
  <c r="D870" i="1" s="1"/>
  <c r="F869" i="1" a="1"/>
  <c r="B181" i="1"/>
  <c r="C181" i="1"/>
  <c r="B182" i="1"/>
  <c r="C183" i="1"/>
  <c r="D182" i="1"/>
  <c r="A184" i="1"/>
  <c r="A183" i="1"/>
  <c r="A186" i="1"/>
  <c r="A181" i="1"/>
  <c r="A182" i="1"/>
  <c r="D872" i="1" l="1"/>
  <c r="D871" i="1"/>
  <c r="G869" i="1"/>
  <c r="J875" i="1"/>
  <c r="H873" i="1"/>
  <c r="F871" i="1"/>
  <c r="L875" i="1"/>
  <c r="J873" i="1"/>
  <c r="H871" i="1"/>
  <c r="F869" i="1"/>
  <c r="F874" i="1"/>
  <c r="K871" i="1"/>
  <c r="I869" i="1"/>
  <c r="K873" i="1"/>
  <c r="I871" i="1"/>
  <c r="F875" i="1"/>
  <c r="K872" i="1"/>
  <c r="I870" i="1"/>
  <c r="H875" i="1"/>
  <c r="F873" i="1"/>
  <c r="K870" i="1"/>
  <c r="K875" i="1"/>
  <c r="I873" i="1"/>
  <c r="G871" i="1"/>
  <c r="I875" i="1"/>
  <c r="G873" i="1"/>
  <c r="L870" i="1"/>
  <c r="I874" i="1"/>
  <c r="G872" i="1"/>
  <c r="L869" i="1"/>
  <c r="K874" i="1"/>
  <c r="I872" i="1"/>
  <c r="G870" i="1"/>
  <c r="G875" i="1"/>
  <c r="L872" i="1"/>
  <c r="J870" i="1"/>
  <c r="L874" i="1"/>
  <c r="J872" i="1"/>
  <c r="H870" i="1"/>
  <c r="G874" i="1"/>
  <c r="H872" i="1"/>
  <c r="K869" i="1"/>
  <c r="J874" i="1"/>
  <c r="L873" i="1"/>
  <c r="L871" i="1"/>
  <c r="F870" i="1"/>
  <c r="H869" i="1"/>
  <c r="F872" i="1"/>
  <c r="J871" i="1"/>
  <c r="J869" i="1"/>
  <c r="H874" i="1"/>
  <c r="H196" i="1" a="1"/>
  <c r="I198" i="1" s="1"/>
  <c r="A118" i="1" a="1"/>
  <c r="A143" i="1" s="1"/>
  <c r="A109" i="1" a="1"/>
  <c r="A114" i="1" s="1"/>
  <c r="B102" i="1"/>
  <c r="B101" i="1"/>
  <c r="E836" i="1" s="1" a="1"/>
  <c r="B80" i="1"/>
  <c r="C85" i="1" s="1"/>
  <c r="G92" i="1" s="1"/>
  <c r="F103" i="1" s="1"/>
  <c r="B78" i="1"/>
  <c r="A46" i="1" a="1"/>
  <c r="A72" i="1" s="1"/>
  <c r="A37" i="1" a="1"/>
  <c r="A39" i="1" s="1"/>
  <c r="B30" i="1"/>
  <c r="B29" i="1"/>
  <c r="B8" i="1"/>
  <c r="B6" i="1"/>
  <c r="C13" i="1" l="1"/>
  <c r="C12" i="1"/>
  <c r="C23" i="1" s="1"/>
  <c r="H29" i="1" s="1"/>
  <c r="E836" i="1"/>
  <c r="F837" i="1"/>
  <c r="E837" i="1"/>
  <c r="F836" i="1"/>
  <c r="E809" i="1" a="1"/>
  <c r="D23" i="1"/>
  <c r="H31" i="1" s="1"/>
  <c r="G20" i="1"/>
  <c r="F31" i="1" s="1"/>
  <c r="C24" i="1"/>
  <c r="H32" i="1" s="1"/>
  <c r="F21" i="1"/>
  <c r="F32" i="1" s="1"/>
  <c r="G23" i="1"/>
  <c r="J31" i="1" s="1"/>
  <c r="D20" i="1"/>
  <c r="D31" i="1" s="1"/>
  <c r="F24" i="1"/>
  <c r="J32" i="1" s="1"/>
  <c r="C21" i="1"/>
  <c r="D32" i="1" s="1"/>
  <c r="C14" i="1"/>
  <c r="A124" i="1"/>
  <c r="A140" i="1"/>
  <c r="J197" i="1"/>
  <c r="C11" i="1"/>
  <c r="C15" i="1"/>
  <c r="C84" i="1"/>
  <c r="C95" i="1" s="1"/>
  <c r="H101" i="1" s="1"/>
  <c r="A128" i="1"/>
  <c r="A144" i="1"/>
  <c r="F20" i="1"/>
  <c r="F29" i="1" s="1"/>
  <c r="A132" i="1"/>
  <c r="I197" i="1"/>
  <c r="J198" i="1"/>
  <c r="J196" i="1"/>
  <c r="H198" i="1"/>
  <c r="I196" i="1"/>
  <c r="A120" i="1"/>
  <c r="A136" i="1"/>
  <c r="H196" i="1"/>
  <c r="H197" i="1"/>
  <c r="A111" i="1"/>
  <c r="C96" i="1"/>
  <c r="H104" i="1" s="1"/>
  <c r="F93" i="1"/>
  <c r="F104" i="1" s="1"/>
  <c r="G95" i="1"/>
  <c r="J103" i="1" s="1"/>
  <c r="D92" i="1"/>
  <c r="D103" i="1" s="1"/>
  <c r="F96" i="1"/>
  <c r="J104" i="1" s="1"/>
  <c r="C93" i="1"/>
  <c r="D104" i="1" s="1"/>
  <c r="D95" i="1"/>
  <c r="H103" i="1" s="1"/>
  <c r="F95" i="1"/>
  <c r="J101" i="1" s="1"/>
  <c r="C92" i="1"/>
  <c r="D101" i="1" s="1"/>
  <c r="C86" i="1"/>
  <c r="A112" i="1"/>
  <c r="A121" i="1"/>
  <c r="A125" i="1"/>
  <c r="A129" i="1"/>
  <c r="A133" i="1"/>
  <c r="A137" i="1"/>
  <c r="A141" i="1"/>
  <c r="C83" i="1"/>
  <c r="C87" i="1"/>
  <c r="A109" i="1"/>
  <c r="A113" i="1"/>
  <c r="A118" i="1"/>
  <c r="A122" i="1"/>
  <c r="A126" i="1"/>
  <c r="A130" i="1"/>
  <c r="A134" i="1"/>
  <c r="A138" i="1"/>
  <c r="A142" i="1"/>
  <c r="A110" i="1"/>
  <c r="A119" i="1"/>
  <c r="A123" i="1"/>
  <c r="A127" i="1"/>
  <c r="A131" i="1"/>
  <c r="A135" i="1"/>
  <c r="A139" i="1"/>
  <c r="A53" i="1"/>
  <c r="A61" i="1"/>
  <c r="A69" i="1"/>
  <c r="A50" i="1"/>
  <c r="A54" i="1"/>
  <c r="A58" i="1"/>
  <c r="A62" i="1"/>
  <c r="A66" i="1"/>
  <c r="A70" i="1"/>
  <c r="A47" i="1"/>
  <c r="A51" i="1"/>
  <c r="A55" i="1"/>
  <c r="A59" i="1"/>
  <c r="A63" i="1"/>
  <c r="A67" i="1"/>
  <c r="A71" i="1"/>
  <c r="A49" i="1"/>
  <c r="A57" i="1"/>
  <c r="A65" i="1"/>
  <c r="A46" i="1"/>
  <c r="A48" i="1"/>
  <c r="A52" i="1"/>
  <c r="A56" i="1"/>
  <c r="A60" i="1"/>
  <c r="A64" i="1"/>
  <c r="A68" i="1"/>
  <c r="A37" i="1"/>
  <c r="A41" i="1"/>
  <c r="A40" i="1"/>
  <c r="A38" i="1"/>
  <c r="A42" i="1"/>
  <c r="F92" i="1" l="1"/>
  <c r="F101" i="1" s="1"/>
  <c r="F23" i="1"/>
  <c r="J29" i="1" s="1"/>
  <c r="I837" i="1"/>
  <c r="J836" i="1"/>
  <c r="C20" i="1"/>
  <c r="D29" i="1" s="1"/>
  <c r="E809" i="1"/>
  <c r="E810" i="1"/>
  <c r="F809" i="1"/>
  <c r="F810" i="1"/>
  <c r="J837" i="1"/>
  <c r="I836" i="1"/>
  <c r="D24" i="1"/>
  <c r="H30" i="1" s="1"/>
  <c r="G21" i="1"/>
  <c r="F30" i="1" s="1"/>
  <c r="E19" i="1"/>
  <c r="F28" i="1" s="1"/>
  <c r="B19" i="1"/>
  <c r="D28" i="1" s="1"/>
  <c r="E22" i="1"/>
  <c r="J28" i="1" s="1"/>
  <c r="B22" i="1"/>
  <c r="H28" i="1" s="1"/>
  <c r="B39" i="1"/>
  <c r="C39" i="1"/>
  <c r="G24" i="1"/>
  <c r="J30" i="1" s="1"/>
  <c r="D39" i="1" s="1"/>
  <c r="D21" i="1"/>
  <c r="D30" i="1" s="1"/>
  <c r="D37" i="1"/>
  <c r="D38" i="1"/>
  <c r="B91" i="1"/>
  <c r="E94" i="1"/>
  <c r="J100" i="1" s="1"/>
  <c r="B94" i="1"/>
  <c r="H100" i="1" s="1"/>
  <c r="E91" i="1"/>
  <c r="F100" i="1" s="1"/>
  <c r="D109" i="1"/>
  <c r="D110" i="1"/>
  <c r="G96" i="1"/>
  <c r="J102" i="1" s="1"/>
  <c r="D111" i="1" s="1"/>
  <c r="D93" i="1"/>
  <c r="D102" i="1" s="1"/>
  <c r="D96" i="1"/>
  <c r="H102" i="1" s="1"/>
  <c r="G93" i="1"/>
  <c r="F102" i="1" s="1"/>
  <c r="C111" i="1"/>
  <c r="B111" i="1"/>
  <c r="I809" i="1" l="1"/>
  <c r="J810" i="1"/>
  <c r="D100" i="1"/>
  <c r="F842" i="1" a="1"/>
  <c r="I810" i="1"/>
  <c r="J809" i="1"/>
  <c r="D843" i="1" a="1"/>
  <c r="C37" i="1"/>
  <c r="C38" i="1"/>
  <c r="B37" i="1"/>
  <c r="B38" i="1"/>
  <c r="B110" i="1"/>
  <c r="C109" i="1"/>
  <c r="C110" i="1"/>
  <c r="B109" i="1"/>
  <c r="E121" i="1" l="1" a="1"/>
  <c r="D844" i="1"/>
  <c r="D843" i="1"/>
  <c r="D845" i="1"/>
  <c r="F842" i="1"/>
  <c r="J843" i="1"/>
  <c r="L845" i="1"/>
  <c r="G848" i="1"/>
  <c r="G844" i="1"/>
  <c r="I846" i="1"/>
  <c r="K848" i="1"/>
  <c r="I842" i="1"/>
  <c r="K844" i="1"/>
  <c r="F847" i="1"/>
  <c r="F843" i="1"/>
  <c r="H845" i="1"/>
  <c r="J847" i="1"/>
  <c r="L846" i="1"/>
  <c r="F844" i="1"/>
  <c r="L847" i="1"/>
  <c r="J845" i="1"/>
  <c r="H843" i="1"/>
  <c r="H846" i="1"/>
  <c r="K847" i="1"/>
  <c r="I845" i="1"/>
  <c r="G843" i="1"/>
  <c r="G845" i="1"/>
  <c r="K846" i="1"/>
  <c r="J846" i="1"/>
  <c r="F846" i="1"/>
  <c r="K845" i="1"/>
  <c r="I843" i="1"/>
  <c r="H847" i="1"/>
  <c r="F845" i="1"/>
  <c r="K842" i="1"/>
  <c r="L842" i="1"/>
  <c r="G847" i="1"/>
  <c r="L844" i="1"/>
  <c r="J842" i="1"/>
  <c r="F848" i="1"/>
  <c r="I844" i="1"/>
  <c r="L848" i="1"/>
  <c r="H844" i="1"/>
  <c r="H848" i="1"/>
  <c r="H842" i="1"/>
  <c r="G842" i="1"/>
  <c r="I847" i="1"/>
  <c r="J844" i="1"/>
  <c r="I848" i="1"/>
  <c r="G846" i="1"/>
  <c r="L843" i="1"/>
  <c r="J848" i="1"/>
  <c r="K843" i="1"/>
  <c r="D816" i="1" a="1"/>
  <c r="B46" i="1" a="1"/>
  <c r="E122" i="1"/>
  <c r="G122" i="1"/>
  <c r="E123" i="1"/>
  <c r="G121" i="1"/>
  <c r="E121" i="1"/>
  <c r="F121" i="1"/>
  <c r="G123" i="1"/>
  <c r="F123" i="1"/>
  <c r="F122" i="1"/>
  <c r="D816" i="1" l="1"/>
  <c r="D818" i="1"/>
  <c r="D817" i="1"/>
  <c r="C48" i="1"/>
  <c r="D47" i="1"/>
  <c r="B48" i="1"/>
  <c r="B46" i="1"/>
  <c r="B727" i="1" s="1" a="1"/>
  <c r="B47" i="1"/>
  <c r="C46" i="1"/>
  <c r="D46" i="1"/>
  <c r="C47" i="1"/>
  <c r="D48" i="1"/>
  <c r="B727" i="1" l="1"/>
  <c r="I727" i="1"/>
  <c r="Q727" i="1"/>
  <c r="Y727" i="1"/>
  <c r="F728" i="1"/>
  <c r="N728" i="1"/>
  <c r="V728" i="1"/>
  <c r="C729" i="1"/>
  <c r="K729" i="1"/>
  <c r="S729" i="1"/>
  <c r="AA729" i="1"/>
  <c r="H730" i="1"/>
  <c r="P730" i="1"/>
  <c r="X730" i="1"/>
  <c r="E731" i="1"/>
  <c r="M731" i="1"/>
  <c r="U731" i="1"/>
  <c r="B732" i="1"/>
  <c r="J732" i="1"/>
  <c r="R732" i="1"/>
  <c r="Z732" i="1"/>
  <c r="G733" i="1"/>
  <c r="N733" i="1"/>
  <c r="S733" i="1"/>
  <c r="X733" i="1"/>
  <c r="C734" i="1"/>
  <c r="H734" i="1"/>
  <c r="M734" i="1"/>
  <c r="S734" i="1"/>
  <c r="X734" i="1"/>
  <c r="B735" i="1"/>
  <c r="H735" i="1"/>
  <c r="M735" i="1"/>
  <c r="R735" i="1"/>
  <c r="X735" i="1"/>
  <c r="B736" i="1"/>
  <c r="G736" i="1"/>
  <c r="M736" i="1"/>
  <c r="R736" i="1"/>
  <c r="W736" i="1"/>
  <c r="B737" i="1"/>
  <c r="G737" i="1"/>
  <c r="L737" i="1"/>
  <c r="R737" i="1"/>
  <c r="W737" i="1"/>
  <c r="AB737" i="1"/>
  <c r="G738" i="1"/>
  <c r="L738" i="1"/>
  <c r="Q738" i="1"/>
  <c r="W738" i="1"/>
  <c r="AB738" i="1"/>
  <c r="F739" i="1"/>
  <c r="L739" i="1"/>
  <c r="Q739" i="1"/>
  <c r="U739" i="1"/>
  <c r="Y739" i="1"/>
  <c r="B740" i="1"/>
  <c r="F740" i="1"/>
  <c r="J740" i="1"/>
  <c r="N740" i="1"/>
  <c r="R740" i="1"/>
  <c r="V740" i="1"/>
  <c r="Z740" i="1"/>
  <c r="C741" i="1"/>
  <c r="G741" i="1"/>
  <c r="K741" i="1"/>
  <c r="O741" i="1"/>
  <c r="S741" i="1"/>
  <c r="W741" i="1"/>
  <c r="AA741" i="1"/>
  <c r="D742" i="1"/>
  <c r="H742" i="1"/>
  <c r="L742" i="1"/>
  <c r="P742" i="1"/>
  <c r="T742" i="1"/>
  <c r="X742" i="1"/>
  <c r="AB742" i="1"/>
  <c r="E743" i="1"/>
  <c r="I743" i="1"/>
  <c r="M743" i="1"/>
  <c r="Q743" i="1"/>
  <c r="U743" i="1"/>
  <c r="Y743" i="1"/>
  <c r="B744" i="1"/>
  <c r="F744" i="1"/>
  <c r="J744" i="1"/>
  <c r="E727" i="1"/>
  <c r="M727" i="1"/>
  <c r="U727" i="1"/>
  <c r="B728" i="1"/>
  <c r="J728" i="1"/>
  <c r="R728" i="1"/>
  <c r="Z728" i="1"/>
  <c r="G729" i="1"/>
  <c r="O729" i="1"/>
  <c r="W729" i="1"/>
  <c r="D730" i="1"/>
  <c r="L730" i="1"/>
  <c r="T730" i="1"/>
  <c r="AB730" i="1"/>
  <c r="I731" i="1"/>
  <c r="Q731" i="1"/>
  <c r="Y731" i="1"/>
  <c r="F732" i="1"/>
  <c r="N732" i="1"/>
  <c r="V732" i="1"/>
  <c r="C733" i="1"/>
  <c r="K733" i="1"/>
  <c r="P733" i="1"/>
  <c r="V733" i="1"/>
  <c r="AA733" i="1"/>
  <c r="E734" i="1"/>
  <c r="K734" i="1"/>
  <c r="P734" i="1"/>
  <c r="U734" i="1"/>
  <c r="AA734" i="1"/>
  <c r="E735" i="1"/>
  <c r="J735" i="1"/>
  <c r="P735" i="1"/>
  <c r="U735" i="1"/>
  <c r="Z735" i="1"/>
  <c r="E736" i="1"/>
  <c r="J736" i="1"/>
  <c r="O736" i="1"/>
  <c r="U736" i="1"/>
  <c r="Z736" i="1"/>
  <c r="D737" i="1"/>
  <c r="J737" i="1"/>
  <c r="O737" i="1"/>
  <c r="T737" i="1"/>
  <c r="Z737" i="1"/>
  <c r="D738" i="1"/>
  <c r="I738" i="1"/>
  <c r="O738" i="1"/>
  <c r="T738" i="1"/>
  <c r="Y738" i="1"/>
  <c r="D739" i="1"/>
  <c r="I739" i="1"/>
  <c r="N739" i="1"/>
  <c r="S739" i="1"/>
  <c r="W739" i="1"/>
  <c r="AA739" i="1"/>
  <c r="D740" i="1"/>
  <c r="H740" i="1"/>
  <c r="L740" i="1"/>
  <c r="P740" i="1"/>
  <c r="T740" i="1"/>
  <c r="X740" i="1"/>
  <c r="AB740" i="1"/>
  <c r="E741" i="1"/>
  <c r="I741" i="1"/>
  <c r="M741" i="1"/>
  <c r="Q741" i="1"/>
  <c r="U741" i="1"/>
  <c r="Y741" i="1"/>
  <c r="B742" i="1"/>
  <c r="F742" i="1"/>
  <c r="J742" i="1"/>
  <c r="N742" i="1"/>
  <c r="R742" i="1"/>
  <c r="V742" i="1"/>
  <c r="Z742" i="1"/>
  <c r="C743" i="1"/>
  <c r="G743" i="1"/>
  <c r="K743" i="1"/>
  <c r="O743" i="1"/>
  <c r="S743" i="1"/>
  <c r="W743" i="1"/>
  <c r="AA743" i="1"/>
  <c r="D744" i="1"/>
  <c r="H744" i="1"/>
  <c r="T727" i="1"/>
  <c r="I728" i="1"/>
  <c r="Y728" i="1"/>
  <c r="N729" i="1"/>
  <c r="C730" i="1"/>
  <c r="S730" i="1"/>
  <c r="H731" i="1"/>
  <c r="X731" i="1"/>
  <c r="M732" i="1"/>
  <c r="B733" i="1"/>
  <c r="O733" i="1"/>
  <c r="Z733" i="1"/>
  <c r="I734" i="1"/>
  <c r="T734" i="1"/>
  <c r="D735" i="1"/>
  <c r="N735" i="1"/>
  <c r="Y735" i="1"/>
  <c r="I736" i="1"/>
  <c r="S736" i="1"/>
  <c r="C737" i="1"/>
  <c r="N737" i="1"/>
  <c r="X737" i="1"/>
  <c r="H738" i="1"/>
  <c r="S738" i="1"/>
  <c r="B739" i="1"/>
  <c r="M739" i="1"/>
  <c r="V739" i="1"/>
  <c r="C740" i="1"/>
  <c r="K740" i="1"/>
  <c r="S740" i="1"/>
  <c r="AA740" i="1"/>
  <c r="H741" i="1"/>
  <c r="P741" i="1"/>
  <c r="X741" i="1"/>
  <c r="E742" i="1"/>
  <c r="M742" i="1"/>
  <c r="U742" i="1"/>
  <c r="B743" i="1"/>
  <c r="J743" i="1"/>
  <c r="R743" i="1"/>
  <c r="Z743" i="1"/>
  <c r="G744" i="1"/>
  <c r="M744" i="1"/>
  <c r="Q744" i="1"/>
  <c r="U744" i="1"/>
  <c r="Y744" i="1"/>
  <c r="B745" i="1"/>
  <c r="F745" i="1"/>
  <c r="J745" i="1"/>
  <c r="N745" i="1"/>
  <c r="R745" i="1"/>
  <c r="V745" i="1"/>
  <c r="Z745" i="1"/>
  <c r="C746" i="1"/>
  <c r="G746" i="1"/>
  <c r="K746" i="1"/>
  <c r="O746" i="1"/>
  <c r="S746" i="1"/>
  <c r="W746" i="1"/>
  <c r="AA746" i="1"/>
  <c r="D747" i="1"/>
  <c r="H747" i="1"/>
  <c r="L747" i="1"/>
  <c r="P747" i="1"/>
  <c r="T747" i="1"/>
  <c r="X747" i="1"/>
  <c r="AB747" i="1"/>
  <c r="E748" i="1"/>
  <c r="I748" i="1"/>
  <c r="M748" i="1"/>
  <c r="Q748" i="1"/>
  <c r="U748" i="1"/>
  <c r="Y748" i="1"/>
  <c r="B749" i="1"/>
  <c r="F749" i="1"/>
  <c r="J749" i="1"/>
  <c r="N749" i="1"/>
  <c r="R749" i="1"/>
  <c r="V749" i="1"/>
  <c r="Z749" i="1"/>
  <c r="C750" i="1"/>
  <c r="G750" i="1"/>
  <c r="K750" i="1"/>
  <c r="O750" i="1"/>
  <c r="S750" i="1"/>
  <c r="W750" i="1"/>
  <c r="AA750" i="1"/>
  <c r="D751" i="1"/>
  <c r="H751" i="1"/>
  <c r="L751" i="1"/>
  <c r="P751" i="1"/>
  <c r="T751" i="1"/>
  <c r="X751" i="1"/>
  <c r="AB751" i="1"/>
  <c r="E752" i="1"/>
  <c r="I752" i="1"/>
  <c r="M752" i="1"/>
  <c r="Q752" i="1"/>
  <c r="U752" i="1"/>
  <c r="Y752" i="1"/>
  <c r="B753" i="1"/>
  <c r="F753" i="1"/>
  <c r="J753" i="1"/>
  <c r="N753" i="1"/>
  <c r="R753" i="1"/>
  <c r="V753" i="1"/>
  <c r="Z753" i="1"/>
  <c r="H727" i="1"/>
  <c r="X727" i="1"/>
  <c r="M728" i="1"/>
  <c r="B729" i="1"/>
  <c r="R729" i="1"/>
  <c r="G730" i="1"/>
  <c r="W730" i="1"/>
  <c r="L731" i="1"/>
  <c r="AB731" i="1"/>
  <c r="Q732" i="1"/>
  <c r="F733" i="1"/>
  <c r="R733" i="1"/>
  <c r="AB733" i="1"/>
  <c r="L734" i="1"/>
  <c r="W734" i="1"/>
  <c r="F735" i="1"/>
  <c r="Q735" i="1"/>
  <c r="AB735" i="1"/>
  <c r="K736" i="1"/>
  <c r="V736" i="1"/>
  <c r="F737" i="1"/>
  <c r="P737" i="1"/>
  <c r="AA737" i="1"/>
  <c r="K738" i="1"/>
  <c r="U738" i="1"/>
  <c r="E739" i="1"/>
  <c r="P739" i="1"/>
  <c r="X739" i="1"/>
  <c r="E740" i="1"/>
  <c r="M740" i="1"/>
  <c r="U740" i="1"/>
  <c r="B741" i="1"/>
  <c r="J741" i="1"/>
  <c r="R741" i="1"/>
  <c r="Z741" i="1"/>
  <c r="G742" i="1"/>
  <c r="O742" i="1"/>
  <c r="W742" i="1"/>
  <c r="D743" i="1"/>
  <c r="L743" i="1"/>
  <c r="T743" i="1"/>
  <c r="AB743" i="1"/>
  <c r="I744" i="1"/>
  <c r="N744" i="1"/>
  <c r="R744" i="1"/>
  <c r="V744" i="1"/>
  <c r="Z744" i="1"/>
  <c r="C745" i="1"/>
  <c r="G745" i="1"/>
  <c r="K745" i="1"/>
  <c r="O745" i="1"/>
  <c r="S745" i="1"/>
  <c r="W745" i="1"/>
  <c r="AA745" i="1"/>
  <c r="D746" i="1"/>
  <c r="H746" i="1"/>
  <c r="L746" i="1"/>
  <c r="P746" i="1"/>
  <c r="T746" i="1"/>
  <c r="X746" i="1"/>
  <c r="AB746" i="1"/>
  <c r="E747" i="1"/>
  <c r="I747" i="1"/>
  <c r="M747" i="1"/>
  <c r="Q747" i="1"/>
  <c r="U747" i="1"/>
  <c r="Y747" i="1"/>
  <c r="B748" i="1"/>
  <c r="F748" i="1"/>
  <c r="J748" i="1"/>
  <c r="N748" i="1"/>
  <c r="R748" i="1"/>
  <c r="V748" i="1"/>
  <c r="Z748" i="1"/>
  <c r="C749" i="1"/>
  <c r="G749" i="1"/>
  <c r="K749" i="1"/>
  <c r="O749" i="1"/>
  <c r="S749" i="1"/>
  <c r="W749" i="1"/>
  <c r="AA749" i="1"/>
  <c r="D750" i="1"/>
  <c r="H750" i="1"/>
  <c r="L750" i="1"/>
  <c r="P750" i="1"/>
  <c r="T750" i="1"/>
  <c r="X750" i="1"/>
  <c r="AB750" i="1"/>
  <c r="E751" i="1"/>
  <c r="I751" i="1"/>
  <c r="M751" i="1"/>
  <c r="Q751" i="1"/>
  <c r="U751" i="1"/>
  <c r="Y751" i="1"/>
  <c r="B752" i="1"/>
  <c r="F752" i="1"/>
  <c r="J752" i="1"/>
  <c r="N752" i="1"/>
  <c r="R752" i="1"/>
  <c r="V752" i="1"/>
  <c r="Z752" i="1"/>
  <c r="C753" i="1"/>
  <c r="G753" i="1"/>
  <c r="K753" i="1"/>
  <c r="O753" i="1"/>
  <c r="S753" i="1"/>
  <c r="W753" i="1"/>
  <c r="AA753" i="1"/>
  <c r="Z729" i="1"/>
  <c r="D731" i="1"/>
  <c r="I732" i="1"/>
  <c r="L733" i="1"/>
  <c r="G734" i="1"/>
  <c r="AB734" i="1"/>
  <c r="V735" i="1"/>
  <c r="Q736" i="1"/>
  <c r="K737" i="1"/>
  <c r="E738" i="1"/>
  <c r="AA738" i="1"/>
  <c r="T739" i="1"/>
  <c r="I740" i="1"/>
  <c r="Y740" i="1"/>
  <c r="F741" i="1"/>
  <c r="V741" i="1"/>
  <c r="K742" i="1"/>
  <c r="AA742" i="1"/>
  <c r="P743" i="1"/>
  <c r="E744" i="1"/>
  <c r="T744" i="1"/>
  <c r="AB744" i="1"/>
  <c r="I745" i="1"/>
  <c r="Q745" i="1"/>
  <c r="Y745" i="1"/>
  <c r="F746" i="1"/>
  <c r="N746" i="1"/>
  <c r="V746" i="1"/>
  <c r="Z746" i="1"/>
  <c r="G747" i="1"/>
  <c r="O747" i="1"/>
  <c r="W747" i="1"/>
  <c r="D748" i="1"/>
  <c r="L748" i="1"/>
  <c r="T748" i="1"/>
  <c r="L727" i="1"/>
  <c r="AB727" i="1"/>
  <c r="Q728" i="1"/>
  <c r="F729" i="1"/>
  <c r="V729" i="1"/>
  <c r="K730" i="1"/>
  <c r="AA730" i="1"/>
  <c r="P731" i="1"/>
  <c r="E732" i="1"/>
  <c r="U732" i="1"/>
  <c r="J733" i="1"/>
  <c r="T733" i="1"/>
  <c r="D734" i="1"/>
  <c r="O734" i="1"/>
  <c r="Y734" i="1"/>
  <c r="I735" i="1"/>
  <c r="T735" i="1"/>
  <c r="C736" i="1"/>
  <c r="N736" i="1"/>
  <c r="Y736" i="1"/>
  <c r="H737" i="1"/>
  <c r="S737" i="1"/>
  <c r="C738" i="1"/>
  <c r="M738" i="1"/>
  <c r="X738" i="1"/>
  <c r="H739" i="1"/>
  <c r="R739" i="1"/>
  <c r="Z739" i="1"/>
  <c r="G740" i="1"/>
  <c r="O740" i="1"/>
  <c r="W740" i="1"/>
  <c r="D741" i="1"/>
  <c r="L741" i="1"/>
  <c r="T741" i="1"/>
  <c r="AB741" i="1"/>
  <c r="I742" i="1"/>
  <c r="Q742" i="1"/>
  <c r="Y742" i="1"/>
  <c r="F743" i="1"/>
  <c r="N743" i="1"/>
  <c r="V743" i="1"/>
  <c r="C744" i="1"/>
  <c r="K744" i="1"/>
  <c r="O744" i="1"/>
  <c r="S744" i="1"/>
  <c r="W744" i="1"/>
  <c r="AA744" i="1"/>
  <c r="D745" i="1"/>
  <c r="H745" i="1"/>
  <c r="L745" i="1"/>
  <c r="P745" i="1"/>
  <c r="T745" i="1"/>
  <c r="X745" i="1"/>
  <c r="AB745" i="1"/>
  <c r="E746" i="1"/>
  <c r="I746" i="1"/>
  <c r="M746" i="1"/>
  <c r="Q746" i="1"/>
  <c r="U746" i="1"/>
  <c r="Y746" i="1"/>
  <c r="B747" i="1"/>
  <c r="F747" i="1"/>
  <c r="J747" i="1"/>
  <c r="N747" i="1"/>
  <c r="R747" i="1"/>
  <c r="V747" i="1"/>
  <c r="Z747" i="1"/>
  <c r="C748" i="1"/>
  <c r="G748" i="1"/>
  <c r="K748" i="1"/>
  <c r="O748" i="1"/>
  <c r="S748" i="1"/>
  <c r="W748" i="1"/>
  <c r="AA748" i="1"/>
  <c r="D749" i="1"/>
  <c r="H749" i="1"/>
  <c r="L749" i="1"/>
  <c r="P749" i="1"/>
  <c r="T749" i="1"/>
  <c r="X749" i="1"/>
  <c r="AB749" i="1"/>
  <c r="E750" i="1"/>
  <c r="I750" i="1"/>
  <c r="M750" i="1"/>
  <c r="Q750" i="1"/>
  <c r="U750" i="1"/>
  <c r="Y750" i="1"/>
  <c r="B751" i="1"/>
  <c r="F751" i="1"/>
  <c r="J751" i="1"/>
  <c r="N751" i="1"/>
  <c r="R751" i="1"/>
  <c r="V751" i="1"/>
  <c r="Z751" i="1"/>
  <c r="C752" i="1"/>
  <c r="G752" i="1"/>
  <c r="K752" i="1"/>
  <c r="O752" i="1"/>
  <c r="S752" i="1"/>
  <c r="W752" i="1"/>
  <c r="AA752" i="1"/>
  <c r="D753" i="1"/>
  <c r="H753" i="1"/>
  <c r="L753" i="1"/>
  <c r="P753" i="1"/>
  <c r="T753" i="1"/>
  <c r="X753" i="1"/>
  <c r="AB753" i="1"/>
  <c r="P727" i="1"/>
  <c r="E728" i="1"/>
  <c r="U728" i="1"/>
  <c r="J729" i="1"/>
  <c r="O730" i="1"/>
  <c r="T731" i="1"/>
  <c r="Y732" i="1"/>
  <c r="W733" i="1"/>
  <c r="Q734" i="1"/>
  <c r="L735" i="1"/>
  <c r="F736" i="1"/>
  <c r="AA736" i="1"/>
  <c r="V737" i="1"/>
  <c r="P738" i="1"/>
  <c r="J739" i="1"/>
  <c r="AB739" i="1"/>
  <c r="Q740" i="1"/>
  <c r="N741" i="1"/>
  <c r="C742" i="1"/>
  <c r="S742" i="1"/>
  <c r="H743" i="1"/>
  <c r="X743" i="1"/>
  <c r="L744" i="1"/>
  <c r="P744" i="1"/>
  <c r="X744" i="1"/>
  <c r="E745" i="1"/>
  <c r="M745" i="1"/>
  <c r="U745" i="1"/>
  <c r="B746" i="1"/>
  <c r="J746" i="1"/>
  <c r="R746" i="1"/>
  <c r="C747" i="1"/>
  <c r="K747" i="1"/>
  <c r="S747" i="1"/>
  <c r="AA747" i="1"/>
  <c r="H748" i="1"/>
  <c r="P748" i="1"/>
  <c r="X748" i="1"/>
  <c r="M749" i="1"/>
  <c r="B750" i="1"/>
  <c r="R750" i="1"/>
  <c r="G751" i="1"/>
  <c r="W751" i="1"/>
  <c r="L752" i="1"/>
  <c r="AB752" i="1"/>
  <c r="Q753" i="1"/>
  <c r="AB748" i="1"/>
  <c r="Q749" i="1"/>
  <c r="F750" i="1"/>
  <c r="V750" i="1"/>
  <c r="K751" i="1"/>
  <c r="AA751" i="1"/>
  <c r="P752" i="1"/>
  <c r="E753" i="1"/>
  <c r="U753" i="1"/>
  <c r="E749" i="1"/>
  <c r="U749" i="1"/>
  <c r="J750" i="1"/>
  <c r="Z750" i="1"/>
  <c r="O751" i="1"/>
  <c r="D752" i="1"/>
  <c r="T752" i="1"/>
  <c r="I753" i="1"/>
  <c r="Y753" i="1"/>
  <c r="I749" i="1"/>
  <c r="Y749" i="1"/>
  <c r="N750" i="1"/>
  <c r="C751" i="1"/>
  <c r="S751" i="1"/>
  <c r="H752" i="1"/>
  <c r="X752" i="1"/>
  <c r="M753" i="1"/>
  <c r="G739" i="1"/>
  <c r="R738" i="1"/>
  <c r="B738" i="1"/>
  <c r="M737" i="1"/>
  <c r="X736" i="1"/>
  <c r="H736" i="1"/>
  <c r="S735" i="1"/>
  <c r="C735" i="1"/>
  <c r="N734" i="1"/>
  <c r="Y733" i="1"/>
  <c r="I733" i="1"/>
  <c r="T732" i="1"/>
  <c r="D732" i="1"/>
  <c r="O731" i="1"/>
  <c r="Z730" i="1"/>
  <c r="J730" i="1"/>
  <c r="U729" i="1"/>
  <c r="E729" i="1"/>
  <c r="P728" i="1"/>
  <c r="AA727" i="1"/>
  <c r="K727" i="1"/>
  <c r="D733" i="1"/>
  <c r="O732" i="1"/>
  <c r="Z731" i="1"/>
  <c r="J731" i="1"/>
  <c r="U730" i="1"/>
  <c r="E730" i="1"/>
  <c r="P729" i="1"/>
  <c r="AA728" i="1"/>
  <c r="K728" i="1"/>
  <c r="V727" i="1"/>
  <c r="F727" i="1"/>
  <c r="D727" i="1"/>
  <c r="C739" i="1"/>
  <c r="N738" i="1"/>
  <c r="Y737" i="1"/>
  <c r="I737" i="1"/>
  <c r="T736" i="1"/>
  <c r="D736" i="1"/>
  <c r="O735" i="1"/>
  <c r="Z734" i="1"/>
  <c r="J734" i="1"/>
  <c r="U733" i="1"/>
  <c r="E733" i="1"/>
  <c r="P732" i="1"/>
  <c r="AA731" i="1"/>
  <c r="K731" i="1"/>
  <c r="V730" i="1"/>
  <c r="F730" i="1"/>
  <c r="Q729" i="1"/>
  <c r="AB728" i="1"/>
  <c r="L728" i="1"/>
  <c r="W727" i="1"/>
  <c r="G727" i="1"/>
  <c r="AA732" i="1"/>
  <c r="K732" i="1"/>
  <c r="V731" i="1"/>
  <c r="F731" i="1"/>
  <c r="Q730" i="1"/>
  <c r="AB729" i="1"/>
  <c r="L729" i="1"/>
  <c r="W728" i="1"/>
  <c r="G728" i="1"/>
  <c r="R727" i="1"/>
  <c r="O739" i="1"/>
  <c r="Z738" i="1"/>
  <c r="J738" i="1"/>
  <c r="U737" i="1"/>
  <c r="E737" i="1"/>
  <c r="P736" i="1"/>
  <c r="AA735" i="1"/>
  <c r="K735" i="1"/>
  <c r="V734" i="1"/>
  <c r="F734" i="1"/>
  <c r="Q733" i="1"/>
  <c r="AB732" i="1"/>
  <c r="L732" i="1"/>
  <c r="W731" i="1"/>
  <c r="G731" i="1"/>
  <c r="R730" i="1"/>
  <c r="B730" i="1"/>
  <c r="M729" i="1"/>
  <c r="X728" i="1"/>
  <c r="H728" i="1"/>
  <c r="S727" i="1"/>
  <c r="C727" i="1"/>
  <c r="W732" i="1"/>
  <c r="G732" i="1"/>
  <c r="R731" i="1"/>
  <c r="B731" i="1"/>
  <c r="M730" i="1"/>
  <c r="X729" i="1"/>
  <c r="H729" i="1"/>
  <c r="S728" i="1"/>
  <c r="C728" i="1"/>
  <c r="N727" i="1"/>
  <c r="K739" i="1"/>
  <c r="V738" i="1"/>
  <c r="F738" i="1"/>
  <c r="Q737" i="1"/>
  <c r="AB736" i="1"/>
  <c r="L736" i="1"/>
  <c r="W735" i="1"/>
  <c r="G735" i="1"/>
  <c r="R734" i="1"/>
  <c r="B734" i="1"/>
  <c r="M733" i="1"/>
  <c r="X732" i="1"/>
  <c r="H732" i="1"/>
  <c r="S731" i="1"/>
  <c r="C731" i="1"/>
  <c r="N730" i="1"/>
  <c r="Y729" i="1"/>
  <c r="I729" i="1"/>
  <c r="T728" i="1"/>
  <c r="D728" i="1"/>
  <c r="O727" i="1"/>
  <c r="H733" i="1"/>
  <c r="S732" i="1"/>
  <c r="C732" i="1"/>
  <c r="N731" i="1"/>
  <c r="Y730" i="1"/>
  <c r="I730" i="1"/>
  <c r="T729" i="1"/>
  <c r="D729" i="1"/>
  <c r="O728" i="1"/>
  <c r="Z727" i="1"/>
  <c r="J727" i="1"/>
  <c r="B782" i="1" l="1" a="1"/>
  <c r="B782" i="1" l="1"/>
  <c r="E782" i="1"/>
  <c r="B783" i="1"/>
  <c r="J783" i="1"/>
  <c r="R783" i="1"/>
  <c r="H784" i="1"/>
  <c r="P784" i="1"/>
  <c r="F785" i="1"/>
  <c r="N785" i="1"/>
  <c r="D786" i="1"/>
  <c r="L786" i="1"/>
  <c r="B787" i="1"/>
  <c r="J787" i="1"/>
  <c r="R787" i="1"/>
  <c r="H788" i="1"/>
  <c r="P788" i="1"/>
  <c r="F789" i="1"/>
  <c r="N789" i="1"/>
  <c r="D790" i="1"/>
  <c r="L790" i="1"/>
  <c r="B791" i="1"/>
  <c r="J791" i="1"/>
  <c r="R791" i="1"/>
  <c r="H792" i="1"/>
  <c r="P792" i="1"/>
  <c r="F793" i="1"/>
  <c r="N793" i="1"/>
  <c r="D794" i="1"/>
  <c r="L794" i="1"/>
  <c r="B795" i="1"/>
  <c r="J795" i="1"/>
  <c r="R795" i="1"/>
  <c r="H796" i="1"/>
  <c r="M796" i="1"/>
  <c r="R796" i="1"/>
  <c r="F797" i="1"/>
  <c r="K797" i="1"/>
  <c r="P797" i="1"/>
  <c r="D798" i="1"/>
  <c r="I798" i="1"/>
  <c r="N798" i="1"/>
  <c r="B799" i="1"/>
  <c r="G799" i="1"/>
  <c r="L799" i="1"/>
  <c r="R799" i="1"/>
  <c r="Q782" i="1"/>
  <c r="G783" i="1"/>
  <c r="O783" i="1"/>
  <c r="E784" i="1"/>
  <c r="M784" i="1"/>
  <c r="C785" i="1"/>
  <c r="K785" i="1"/>
  <c r="S785" i="1"/>
  <c r="I786" i="1"/>
  <c r="Q786" i="1"/>
  <c r="G787" i="1"/>
  <c r="O787" i="1"/>
  <c r="E788" i="1"/>
  <c r="M788" i="1"/>
  <c r="C789" i="1"/>
  <c r="K789" i="1"/>
  <c r="S789" i="1"/>
  <c r="I790" i="1"/>
  <c r="Q790" i="1"/>
  <c r="G791" i="1"/>
  <c r="O791" i="1"/>
  <c r="E792" i="1"/>
  <c r="M792" i="1"/>
  <c r="C793" i="1"/>
  <c r="K793" i="1"/>
  <c r="S793" i="1"/>
  <c r="I794" i="1"/>
  <c r="Q794" i="1"/>
  <c r="G795" i="1"/>
  <c r="O795" i="1"/>
  <c r="E796" i="1"/>
  <c r="L796" i="1"/>
  <c r="Q796" i="1"/>
  <c r="D797" i="1"/>
  <c r="J797" i="1"/>
  <c r="O797" i="1"/>
  <c r="B798" i="1"/>
  <c r="H798" i="1"/>
  <c r="M798" i="1"/>
  <c r="R798" i="1"/>
  <c r="I782" i="1"/>
  <c r="C783" i="1"/>
  <c r="K783" i="1"/>
  <c r="S783" i="1"/>
  <c r="I784" i="1"/>
  <c r="Q784" i="1"/>
  <c r="G785" i="1"/>
  <c r="O785" i="1"/>
  <c r="E786" i="1"/>
  <c r="M786" i="1"/>
  <c r="C787" i="1"/>
  <c r="K787" i="1"/>
  <c r="S787" i="1"/>
  <c r="I788" i="1"/>
  <c r="Q788" i="1"/>
  <c r="G789" i="1"/>
  <c r="O789" i="1"/>
  <c r="E790" i="1"/>
  <c r="M790" i="1"/>
  <c r="C791" i="1"/>
  <c r="K791" i="1"/>
  <c r="S791" i="1"/>
  <c r="I792" i="1"/>
  <c r="Q792" i="1"/>
  <c r="G793" i="1"/>
  <c r="O793" i="1"/>
  <c r="E794" i="1"/>
  <c r="M794" i="1"/>
  <c r="C795" i="1"/>
  <c r="K795" i="1"/>
  <c r="S795" i="1"/>
  <c r="I796" i="1"/>
  <c r="N796" i="1"/>
  <c r="B797" i="1"/>
  <c r="G797" i="1"/>
  <c r="L797" i="1"/>
  <c r="R797" i="1"/>
  <c r="E798" i="1"/>
  <c r="J798" i="1"/>
  <c r="P798" i="1"/>
  <c r="C799" i="1"/>
  <c r="H799" i="1"/>
  <c r="N799" i="1"/>
  <c r="S799" i="1"/>
  <c r="M782" i="1"/>
  <c r="F783" i="1"/>
  <c r="N783" i="1"/>
  <c r="D784" i="1"/>
  <c r="L784" i="1"/>
  <c r="B785" i="1"/>
  <c r="J785" i="1"/>
  <c r="R785" i="1"/>
  <c r="H786" i="1"/>
  <c r="P786" i="1"/>
  <c r="F787" i="1"/>
  <c r="N787" i="1"/>
  <c r="D788" i="1"/>
  <c r="L788" i="1"/>
  <c r="B789" i="1"/>
  <c r="J789" i="1"/>
  <c r="R789" i="1"/>
  <c r="H790" i="1"/>
  <c r="P790" i="1"/>
  <c r="F791" i="1"/>
  <c r="N791" i="1"/>
  <c r="D792" i="1"/>
  <c r="L792" i="1"/>
  <c r="B793" i="1"/>
  <c r="J793" i="1"/>
  <c r="R793" i="1"/>
  <c r="H794" i="1"/>
  <c r="P794" i="1"/>
  <c r="F795" i="1"/>
  <c r="N795" i="1"/>
  <c r="D796" i="1"/>
  <c r="J796" i="1"/>
  <c r="P796" i="1"/>
  <c r="C797" i="1"/>
  <c r="H797" i="1"/>
  <c r="N797" i="1"/>
  <c r="S797" i="1"/>
  <c r="F798" i="1"/>
  <c r="L798" i="1"/>
  <c r="Q798" i="1"/>
  <c r="D799" i="1"/>
  <c r="J799" i="1"/>
  <c r="O799" i="1"/>
  <c r="F799" i="1"/>
  <c r="K799" i="1"/>
  <c r="P799" i="1"/>
  <c r="H782" i="1"/>
  <c r="I799" i="1"/>
  <c r="K798" i="1"/>
  <c r="M797" i="1"/>
  <c r="O796" i="1"/>
  <c r="Q795" i="1"/>
  <c r="S794" i="1"/>
  <c r="C794" i="1"/>
  <c r="E793" i="1"/>
  <c r="G792" i="1"/>
  <c r="I791" i="1"/>
  <c r="K790" i="1"/>
  <c r="M789" i="1"/>
  <c r="O788" i="1"/>
  <c r="Q787" i="1"/>
  <c r="S786" i="1"/>
  <c r="C786" i="1"/>
  <c r="E785" i="1"/>
  <c r="G784" i="1"/>
  <c r="I783" i="1"/>
  <c r="K782" i="1"/>
  <c r="B796" i="1"/>
  <c r="D795" i="1"/>
  <c r="F794" i="1"/>
  <c r="H793" i="1"/>
  <c r="J792" i="1"/>
  <c r="L791" i="1"/>
  <c r="N790" i="1"/>
  <c r="P789" i="1"/>
  <c r="R788" i="1"/>
  <c r="B788" i="1"/>
  <c r="D787" i="1"/>
  <c r="F786" i="1"/>
  <c r="H785" i="1"/>
  <c r="J784" i="1"/>
  <c r="L783" i="1"/>
  <c r="N782" i="1"/>
  <c r="L789" i="1"/>
  <c r="B786" i="1"/>
  <c r="F784" i="1"/>
  <c r="J782" i="1"/>
  <c r="Q789" i="1"/>
  <c r="I785" i="1"/>
  <c r="O782" i="1"/>
  <c r="H795" i="1"/>
  <c r="N792" i="1"/>
  <c r="R790" i="1"/>
  <c r="F788" i="1"/>
  <c r="N784" i="1"/>
  <c r="D782" i="1"/>
  <c r="E799" i="1"/>
  <c r="G798" i="1"/>
  <c r="I797" i="1"/>
  <c r="K796" i="1"/>
  <c r="M795" i="1"/>
  <c r="O794" i="1"/>
  <c r="Q793" i="1"/>
  <c r="S792" i="1"/>
  <c r="C792" i="1"/>
  <c r="E791" i="1"/>
  <c r="G790" i="1"/>
  <c r="I789" i="1"/>
  <c r="K788" i="1"/>
  <c r="M787" i="1"/>
  <c r="O786" i="1"/>
  <c r="Q785" i="1"/>
  <c r="S784" i="1"/>
  <c r="C784" i="1"/>
  <c r="E783" i="1"/>
  <c r="G782" i="1"/>
  <c r="P795" i="1"/>
  <c r="R794" i="1"/>
  <c r="B794" i="1"/>
  <c r="D793" i="1"/>
  <c r="F792" i="1"/>
  <c r="H791" i="1"/>
  <c r="J790" i="1"/>
  <c r="N788" i="1"/>
  <c r="P787" i="1"/>
  <c r="R786" i="1"/>
  <c r="D785" i="1"/>
  <c r="H783" i="1"/>
  <c r="E787" i="1"/>
  <c r="L793" i="1"/>
  <c r="D789" i="1"/>
  <c r="J786" i="1"/>
  <c r="P783" i="1"/>
  <c r="P782" i="1"/>
  <c r="Q799" i="1"/>
  <c r="S798" i="1"/>
  <c r="C798" i="1"/>
  <c r="E797" i="1"/>
  <c r="G796" i="1"/>
  <c r="I795" i="1"/>
  <c r="K794" i="1"/>
  <c r="M793" i="1"/>
  <c r="O792" i="1"/>
  <c r="Q791" i="1"/>
  <c r="S790" i="1"/>
  <c r="C790" i="1"/>
  <c r="E789" i="1"/>
  <c r="G788" i="1"/>
  <c r="I787" i="1"/>
  <c r="K786" i="1"/>
  <c r="M785" i="1"/>
  <c r="O784" i="1"/>
  <c r="Q783" i="1"/>
  <c r="S782" i="1"/>
  <c r="C782" i="1"/>
  <c r="L795" i="1"/>
  <c r="N794" i="1"/>
  <c r="P793" i="1"/>
  <c r="R792" i="1"/>
  <c r="B792" i="1"/>
  <c r="D791" i="1"/>
  <c r="F790" i="1"/>
  <c r="H789" i="1"/>
  <c r="J788" i="1"/>
  <c r="L787" i="1"/>
  <c r="N786" i="1"/>
  <c r="P785" i="1"/>
  <c r="R784" i="1"/>
  <c r="B784" i="1"/>
  <c r="D783" i="1"/>
  <c r="F782" i="1"/>
  <c r="L782" i="1"/>
  <c r="M799" i="1"/>
  <c r="O798" i="1"/>
  <c r="Q797" i="1"/>
  <c r="S796" i="1"/>
  <c r="C796" i="1"/>
  <c r="E795" i="1"/>
  <c r="G794" i="1"/>
  <c r="I793" i="1"/>
  <c r="K792" i="1"/>
  <c r="M791" i="1"/>
  <c r="O790" i="1"/>
  <c r="S788" i="1"/>
  <c r="C788" i="1"/>
  <c r="G786" i="1"/>
  <c r="K784" i="1"/>
  <c r="M783" i="1"/>
  <c r="F796" i="1"/>
  <c r="J794" i="1"/>
  <c r="P791" i="1"/>
  <c r="B790" i="1"/>
  <c r="H787" i="1"/>
  <c r="L785" i="1"/>
  <c r="R782" i="1"/>
  <c r="I761" i="1" l="1" a="1"/>
  <c r="I761" i="1" l="1"/>
  <c r="I764" i="1"/>
  <c r="I778" i="1"/>
  <c r="I762" i="1"/>
  <c r="I773" i="1"/>
  <c r="I771" i="1"/>
  <c r="I770" i="1"/>
  <c r="D893" i="1" s="1" a="1"/>
  <c r="I772" i="1"/>
  <c r="I766" i="1"/>
  <c r="I775" i="1"/>
  <c r="I774" i="1"/>
  <c r="I768" i="1"/>
  <c r="I769" i="1"/>
  <c r="I776" i="1"/>
  <c r="I767" i="1"/>
  <c r="I763" i="1"/>
  <c r="I777" i="1"/>
  <c r="I765" i="1"/>
  <c r="D893" i="1" l="1"/>
  <c r="D900" i="1" s="1" a="1"/>
  <c r="D895" i="1"/>
  <c r="D894" i="1"/>
  <c r="D944" i="1" a="1"/>
  <c r="D866" i="1" a="1"/>
  <c r="D947" i="1" a="1"/>
  <c r="D917" i="1" a="1"/>
  <c r="D839" i="1" a="1"/>
  <c r="D840" i="1" s="1"/>
  <c r="D920" i="1" a="1"/>
  <c r="D890" i="1" a="1"/>
  <c r="D812" i="1" a="1"/>
  <c r="D812" i="1" s="1"/>
  <c r="D839" i="1" l="1"/>
  <c r="D841" i="1"/>
  <c r="D814" i="1"/>
  <c r="D890" i="1"/>
  <c r="D892" i="1"/>
  <c r="D891" i="1"/>
  <c r="D846" i="1" a="1"/>
  <c r="D944" i="1"/>
  <c r="D946" i="1"/>
  <c r="D945" i="1"/>
  <c r="D947" i="1"/>
  <c r="D949" i="1"/>
  <c r="D948" i="1"/>
  <c r="D813" i="1"/>
  <c r="D920" i="1"/>
  <c r="D922" i="1"/>
  <c r="D921" i="1"/>
  <c r="D918" i="1"/>
  <c r="D917" i="1"/>
  <c r="D919" i="1"/>
  <c r="D866" i="1"/>
  <c r="D868" i="1"/>
  <c r="D867" i="1"/>
  <c r="D901" i="1"/>
  <c r="D902" i="1"/>
  <c r="D900" i="1"/>
  <c r="D924" i="1" l="1" a="1"/>
  <c r="D927" i="1" a="1"/>
  <c r="D819" i="1" a="1"/>
  <c r="D821" i="1" s="1"/>
  <c r="D819" i="1"/>
  <c r="D873" i="1" a="1"/>
  <c r="D951" i="1" a="1"/>
  <c r="D897" i="1" a="1"/>
  <c r="D928" i="1"/>
  <c r="D927" i="1"/>
  <c r="D929" i="1"/>
  <c r="D954" i="1" a="1"/>
  <c r="D848" i="1"/>
  <c r="D847" i="1"/>
  <c r="D846" i="1"/>
  <c r="D852" i="1" s="1" a="1"/>
  <c r="D926" i="1"/>
  <c r="D925" i="1"/>
  <c r="D924" i="1"/>
  <c r="D825" i="1" l="1" a="1"/>
  <c r="D828" i="1" s="1"/>
  <c r="D820" i="1"/>
  <c r="D933" i="1" a="1"/>
  <c r="D935" i="1" s="1"/>
  <c r="D953" i="1"/>
  <c r="D951" i="1"/>
  <c r="D952" i="1"/>
  <c r="D874" i="1"/>
  <c r="D875" i="1"/>
  <c r="D873" i="1"/>
  <c r="D933" i="1"/>
  <c r="D934" i="1"/>
  <c r="D936" i="1"/>
  <c r="D956" i="1"/>
  <c r="D960" i="1" s="1" a="1"/>
  <c r="D954" i="1"/>
  <c r="D955" i="1"/>
  <c r="D898" i="1"/>
  <c r="D899" i="1"/>
  <c r="D897" i="1"/>
  <c r="D856" i="1"/>
  <c r="D855" i="1"/>
  <c r="D853" i="1"/>
  <c r="D852" i="1"/>
  <c r="D854" i="1"/>
  <c r="D857" i="1"/>
  <c r="D825" i="1"/>
  <c r="D830" i="1"/>
  <c r="D827" i="1"/>
  <c r="D826" i="1"/>
  <c r="D829" i="1"/>
  <c r="D938" i="1" l="1"/>
  <c r="D937" i="1"/>
  <c r="D906" i="1" a="1"/>
  <c r="D907" i="1" s="1"/>
  <c r="D910" i="1"/>
  <c r="D908" i="1"/>
  <c r="D879" i="1" a="1"/>
  <c r="D965" i="1"/>
  <c r="D963" i="1"/>
  <c r="D961" i="1"/>
  <c r="D962" i="1"/>
  <c r="D960" i="1"/>
  <c r="D964" i="1"/>
  <c r="D909" i="1" l="1"/>
  <c r="D906" i="1"/>
  <c r="D911" i="1"/>
  <c r="D883" i="1"/>
  <c r="D880" i="1"/>
  <c r="D879" i="1"/>
  <c r="D881" i="1"/>
  <c r="D884" i="1"/>
  <c r="D882" i="1"/>
</calcChain>
</file>

<file path=xl/sharedStrings.xml><?xml version="1.0" encoding="utf-8"?>
<sst xmlns="http://schemas.openxmlformats.org/spreadsheetml/2006/main" count="1132" uniqueCount="165">
  <si>
    <t xml:space="preserve">EJEMPLO DE ANALISIS MATRICIAL DE UN MARCO CON VIGA COLUMNA BIDIMENSIONAL </t>
  </si>
  <si>
    <t>ELEMENTO 1, COLUMNA</t>
  </si>
  <si>
    <t>A:</t>
  </si>
  <si>
    <t>I:</t>
  </si>
  <si>
    <t>E:</t>
  </si>
  <si>
    <t>L:</t>
  </si>
  <si>
    <t xml:space="preserve">COEFICIENTES </t>
  </si>
  <si>
    <t>raz</t>
  </si>
  <si>
    <t>raax</t>
  </si>
  <si>
    <t>r=abx=rbax</t>
  </si>
  <si>
    <t>r11x= r22x</t>
  </si>
  <si>
    <t>r12x=r21x</t>
  </si>
  <si>
    <t>EI</t>
  </si>
  <si>
    <t>cm2</t>
  </si>
  <si>
    <t xml:space="preserve">cm </t>
  </si>
  <si>
    <t>Kgf/cm2</t>
  </si>
  <si>
    <t>MATRIZ DE RIGIDEZ LOCAL DEL ELEMENTO 1</t>
  </si>
  <si>
    <t>k1</t>
  </si>
  <si>
    <t>1x</t>
  </si>
  <si>
    <t>1z</t>
  </si>
  <si>
    <t>ϴ 1</t>
  </si>
  <si>
    <t>ax</t>
  </si>
  <si>
    <t>az</t>
  </si>
  <si>
    <t>ϴ a</t>
  </si>
  <si>
    <t>MATRIZ DE RIGIDEZ GLOBAL DEL ELEMENTO 1</t>
  </si>
  <si>
    <t>CUADR 1</t>
  </si>
  <si>
    <t>CUADR 2</t>
  </si>
  <si>
    <t>CUADR 3</t>
  </si>
  <si>
    <t>CUADR 4</t>
  </si>
  <si>
    <t>ϴ=</t>
  </si>
  <si>
    <t>Sen ϴ=</t>
  </si>
  <si>
    <t>Cos ϴ=</t>
  </si>
  <si>
    <t>B:</t>
  </si>
  <si>
    <t>C:</t>
  </si>
  <si>
    <t>D:</t>
  </si>
  <si>
    <t>Se usa el cuarto cuadrante porque suma fuerzas y resta cortantes (signo negativo).</t>
  </si>
  <si>
    <t>K1</t>
  </si>
  <si>
    <t>2x</t>
  </si>
  <si>
    <t>2z</t>
  </si>
  <si>
    <t>ϴ 2</t>
  </si>
  <si>
    <t>3x</t>
  </si>
  <si>
    <t>3z</t>
  </si>
  <si>
    <t>ϴ 3</t>
  </si>
  <si>
    <t>4x</t>
  </si>
  <si>
    <t>4z</t>
  </si>
  <si>
    <t>ϴ 4</t>
  </si>
  <si>
    <t>5x</t>
  </si>
  <si>
    <t>5z</t>
  </si>
  <si>
    <t>ϴ 5</t>
  </si>
  <si>
    <t>6x</t>
  </si>
  <si>
    <t>6z</t>
  </si>
  <si>
    <t>ϴ 6</t>
  </si>
  <si>
    <t>bx</t>
  </si>
  <si>
    <t>bz</t>
  </si>
  <si>
    <t>ϴ b</t>
  </si>
  <si>
    <t>cx</t>
  </si>
  <si>
    <t>cz</t>
  </si>
  <si>
    <t>ϴ c</t>
  </si>
  <si>
    <t>ELEMENTO 2, COLUMNA</t>
  </si>
  <si>
    <t>MATRIZ DE RIGIDEZ LOCAL DEL ELEMENTO 2</t>
  </si>
  <si>
    <t>MATRIZ DE RIGIDEZ GLOBAL DEL ELEMENTO 2</t>
  </si>
  <si>
    <t>ELEMENTO 3, COLUMNA</t>
  </si>
  <si>
    <t>cm4</t>
  </si>
  <si>
    <t>MATRIZ DE RIGIDEZ LOCAL DEL ELEMENTO 3</t>
  </si>
  <si>
    <t>MATRIZ DE RIGIDEZ GLOBAL DEL ELEMENTO 3</t>
  </si>
  <si>
    <t>ELEMENTO 4, COLUMNA</t>
  </si>
  <si>
    <t>MATRIZ DE RIGIDEZ LOCAL DEL ELEMENTO 4</t>
  </si>
  <si>
    <t>MATRIZ DE RIGIDEZ GLOBAL DEL ELEMENTO 4</t>
  </si>
  <si>
    <t xml:space="preserve">Debido a que  no hay restricciones en los grados de libertad se incorporan los 4 cuadrantes </t>
  </si>
  <si>
    <t>ELEMENTO 5, COLUMNA</t>
  </si>
  <si>
    <t>MATRIZ DE RIGIDEZ LOCAL DEL ELEMENTO 5</t>
  </si>
  <si>
    <t>k5</t>
  </si>
  <si>
    <t>MATRIZ DE RIGIDEZ GLOBAL DEL ELEMENTO 5</t>
  </si>
  <si>
    <t>ELEMENTO 6, COLUMNA</t>
  </si>
  <si>
    <t>MATRIZ DE RIGIDEZ LOCAL DEL ELEMENTO 6</t>
  </si>
  <si>
    <t>MATRIZ DE RIGIDEZ GLOBAL DEL ELEMENTO 6</t>
  </si>
  <si>
    <t>k6</t>
  </si>
  <si>
    <t>ELEMENTO 7, VIGA</t>
  </si>
  <si>
    <t>MATRIZ DE RIGIDEZ LOCAL DEL ELEMENTO 7</t>
  </si>
  <si>
    <t>MATRIZ DE RIGIDEZ GLOBAL DEL ELEMENTO 7</t>
  </si>
  <si>
    <t>k7</t>
  </si>
  <si>
    <t>ELEMENTO 8, VIGA</t>
  </si>
  <si>
    <t>MATRIZ DE RIGIDEZ LOCAL DEL ELEMENTO 8</t>
  </si>
  <si>
    <t>MATRIZ DE RIGIDEZ GLOBAL DEL ELEMENTO 8</t>
  </si>
  <si>
    <t>k8</t>
  </si>
  <si>
    <t>ELEMENTO 9, VIGA</t>
  </si>
  <si>
    <t>MATRIZ DE RIGIDEZ LOCAL DEL ELEMENTO 9</t>
  </si>
  <si>
    <t>MATRIZ DE RIGIDEZ GLOBAL DEL ELEMENTO 9</t>
  </si>
  <si>
    <t>k9</t>
  </si>
  <si>
    <t>ELEMENTO 10, VIGA</t>
  </si>
  <si>
    <t>MATRIZ DE RIGIDEZ LOCAL DEL ELEMENTO 10</t>
  </si>
  <si>
    <t>MATRIZ DE RIGIDEZ GLOBAL DEL ELEMENTO 10</t>
  </si>
  <si>
    <t>k10</t>
  </si>
  <si>
    <t>K10</t>
  </si>
  <si>
    <t>MATRIZ DE RIGIDEZ GLOBAL DEL SISTEMA ESTRUCTURAL</t>
  </si>
  <si>
    <t>KG</t>
  </si>
  <si>
    <t>TODAS LAS MATRICES SON SIMETRICAS CHECK</t>
  </si>
  <si>
    <t xml:space="preserve">DETERMINAR LOS DESPLAZAMIENTOS EN LOS GRADOS DE LIBERTAD </t>
  </si>
  <si>
    <t>F=K*u</t>
  </si>
  <si>
    <t>U=inv(k)*f</t>
  </si>
  <si>
    <t>GDL</t>
  </si>
  <si>
    <t>Fuerza</t>
  </si>
  <si>
    <t>kg</t>
  </si>
  <si>
    <t>kg-m</t>
  </si>
  <si>
    <t>kg-cm</t>
  </si>
  <si>
    <t>metros</t>
  </si>
  <si>
    <t>inversa K</t>
  </si>
  <si>
    <t>U</t>
  </si>
  <si>
    <t>U1x</t>
  </si>
  <si>
    <t>U1z</t>
  </si>
  <si>
    <t>Uϴ 1</t>
  </si>
  <si>
    <t>Uϴ 2</t>
  </si>
  <si>
    <t>U2x</t>
  </si>
  <si>
    <t>U2z</t>
  </si>
  <si>
    <t>U3x</t>
  </si>
  <si>
    <t>U3z</t>
  </si>
  <si>
    <t>Uϴ 3</t>
  </si>
  <si>
    <t>U4x</t>
  </si>
  <si>
    <t>U4z</t>
  </si>
  <si>
    <t>Uϴ 4</t>
  </si>
  <si>
    <t>U5x</t>
  </si>
  <si>
    <t>U5z</t>
  </si>
  <si>
    <t>Uϴ 5</t>
  </si>
  <si>
    <t>U6x</t>
  </si>
  <si>
    <t>U6z</t>
  </si>
  <si>
    <t>Uϴ 6</t>
  </si>
  <si>
    <t xml:space="preserve"> cm</t>
  </si>
  <si>
    <t>FUERZAS INTERNAS</t>
  </si>
  <si>
    <t>ELEMENTO 1</t>
  </si>
  <si>
    <t xml:space="preserve">Desplazamientos Globales  </t>
  </si>
  <si>
    <t>t:</t>
  </si>
  <si>
    <t>Fax</t>
  </si>
  <si>
    <t>Faz</t>
  </si>
  <si>
    <t>Ma</t>
  </si>
  <si>
    <t>F1x</t>
  </si>
  <si>
    <t>F1z</t>
  </si>
  <si>
    <t>M1</t>
  </si>
  <si>
    <t>ELEMENTO 2</t>
  </si>
  <si>
    <t>k2</t>
  </si>
  <si>
    <t>Fbx</t>
  </si>
  <si>
    <t>Fbz</t>
  </si>
  <si>
    <t>Mb</t>
  </si>
  <si>
    <t>F2x</t>
  </si>
  <si>
    <t>F2z</t>
  </si>
  <si>
    <t>M2</t>
  </si>
  <si>
    <t>ELEMENTO 3</t>
  </si>
  <si>
    <t>ELEMENTO 4</t>
  </si>
  <si>
    <t>ELEMENTO 5</t>
  </si>
  <si>
    <t>ELEMENTO 6</t>
  </si>
  <si>
    <t>Fcx</t>
  </si>
  <si>
    <t>Fcz</t>
  </si>
  <si>
    <t>Mc</t>
  </si>
  <si>
    <t>F3x</t>
  </si>
  <si>
    <t>F3z</t>
  </si>
  <si>
    <t>M3</t>
  </si>
  <si>
    <t>F4x</t>
  </si>
  <si>
    <t>F4z</t>
  </si>
  <si>
    <t>M4</t>
  </si>
  <si>
    <t>F5x</t>
  </si>
  <si>
    <t>F5z</t>
  </si>
  <si>
    <t>M5</t>
  </si>
  <si>
    <t>F6x</t>
  </si>
  <si>
    <t>F6z</t>
  </si>
  <si>
    <t>M6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</si>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</sst>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00000"/>
    <numFmt numFmtId="167" formatCode="0.00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Segoe UI"/>
      <family val="2"/>
    </font>
    <font>
      <b/>
      <sz val="11"/>
      <color theme="1"/>
      <name val="Segoe UI"/>
      <family val="2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7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2" borderId="0" xfId="0" applyNumberFormat="1" applyFill="1"/>
    <xf numFmtId="164" fontId="0" fillId="6" borderId="0" xfId="0" applyNumberFormat="1" applyFill="1"/>
    <xf numFmtId="164" fontId="2" fillId="0" borderId="0" xfId="0" applyNumberFormat="1" applyFont="1" applyAlignment="1">
      <alignment horizontal="center"/>
    </xf>
    <xf numFmtId="164" fontId="0" fillId="8" borderId="0" xfId="0" applyNumberFormat="1" applyFill="1" applyAlignment="1">
      <alignment horizontal="center"/>
    </xf>
    <xf numFmtId="164" fontId="0" fillId="8" borderId="0" xfId="0" applyNumberFormat="1" applyFill="1"/>
    <xf numFmtId="164" fontId="0" fillId="7" borderId="0" xfId="0" applyNumberFormat="1" applyFill="1" applyAlignment="1">
      <alignment horizontal="center"/>
    </xf>
    <xf numFmtId="164" fontId="0" fillId="11" borderId="0" xfId="0" applyNumberFormat="1" applyFill="1"/>
    <xf numFmtId="164" fontId="0" fillId="12" borderId="0" xfId="0" applyNumberFormat="1" applyFill="1"/>
    <xf numFmtId="164" fontId="0" fillId="13" borderId="0" xfId="0" applyNumberFormat="1" applyFill="1"/>
    <xf numFmtId="167" fontId="0" fillId="13" borderId="0" xfId="0" applyNumberFormat="1" applyFill="1"/>
    <xf numFmtId="164" fontId="1" fillId="0" borderId="0" xfId="0" applyNumberFormat="1" applyFont="1" applyAlignment="1">
      <alignment horizontal="center"/>
    </xf>
    <xf numFmtId="164" fontId="1" fillId="13" borderId="0" xfId="0" applyNumberFormat="1" applyFont="1" applyFill="1"/>
    <xf numFmtId="164" fontId="1" fillId="0" borderId="0" xfId="0" applyNumberFormat="1" applyFont="1"/>
    <xf numFmtId="165" fontId="0" fillId="0" borderId="0" xfId="0" applyNumberFormat="1"/>
    <xf numFmtId="166" fontId="0" fillId="0" borderId="0" xfId="0" applyNumberFormat="1"/>
    <xf numFmtId="164" fontId="1" fillId="5" borderId="0" xfId="0" applyNumberFormat="1" applyFont="1" applyFill="1" applyAlignment="1">
      <alignment horizontal="center"/>
    </xf>
    <xf numFmtId="164" fontId="1" fillId="10" borderId="0" xfId="0" applyNumberFormat="1" applyFont="1" applyFill="1" applyAlignment="1">
      <alignment horizontal="center"/>
    </xf>
    <xf numFmtId="164" fontId="4" fillId="0" borderId="0" xfId="0" applyNumberFormat="1" applyFont="1" applyAlignment="1">
      <alignment horizontal="center" vertical="center" wrapText="1"/>
    </xf>
    <xf numFmtId="164" fontId="0" fillId="5" borderId="0" xfId="0" applyNumberFormat="1" applyFill="1" applyAlignment="1">
      <alignment horizontal="center"/>
    </xf>
    <xf numFmtId="164" fontId="0" fillId="7" borderId="0" xfId="0" applyNumberFormat="1" applyFill="1" applyAlignment="1">
      <alignment horizontal="center"/>
    </xf>
    <xf numFmtId="164" fontId="3" fillId="0" borderId="0" xfId="0" applyNumberFormat="1" applyFont="1" applyAlignment="1">
      <alignment horizontal="center" vertical="center" wrapText="1"/>
    </xf>
    <xf numFmtId="164" fontId="1" fillId="9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28576</xdr:colOff>
      <xdr:row>3</xdr:row>
      <xdr:rowOff>152400</xdr:rowOff>
    </xdr:from>
    <xdr:to>
      <xdr:col>10</xdr:col>
      <xdr:colOff>285554</xdr:colOff>
      <xdr:row>14</xdr:row>
      <xdr:rowOff>104775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BEDC45-A68A-6FC3-09D4-E8367E4C0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24526" y="723900"/>
          <a:ext cx="3384030" cy="2047875"/>
        </a:xfrm>
        <a:prstGeom prst="rect">
          <a:avLst/>
        </a:prstGeom>
      </xdr:spPr>
    </xdr:pic>
    <xdr:clientData/>
  </xdr:twoCellAnchor>
  <xdr:twoCellAnchor editAs="oneCell">
    <xdr:from>
      <xdr:col>4</xdr:col>
      <xdr:colOff>409576</xdr:colOff>
      <xdr:row>4</xdr:row>
      <xdr:rowOff>57150</xdr:rowOff>
    </xdr:from>
    <xdr:to>
      <xdr:col>6</xdr:col>
      <xdr:colOff>25112</xdr:colOff>
      <xdr:row>12</xdr:row>
      <xdr:rowOff>108003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E477C9-1074-429F-895A-77CD38724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9501" y="819150"/>
          <a:ext cx="1428750" cy="1574853"/>
        </a:xfrm>
        <a:prstGeom prst="rect">
          <a:avLst/>
        </a:prstGeom>
      </xdr:spPr>
    </xdr:pic>
    <xdr:clientData/>
  </xdr:twoCellAnchor>
  <xdr:twoCellAnchor editAs="oneCell">
    <xdr:from>
      <xdr:col>10</xdr:col>
      <xdr:colOff>328332</xdr:colOff>
      <xdr:row>26</xdr:row>
      <xdr:rowOff>183216</xdr:rowOff>
    </xdr:from>
    <xdr:to>
      <xdr:col>12</xdr:col>
      <xdr:colOff>68330</xdr:colOff>
      <xdr:row>33</xdr:row>
      <xdr:rowOff>30981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6F7F3FE-F084-0EF0-43EA-41DC4ED9C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75008" y="5136216"/>
          <a:ext cx="1648055" cy="1181265"/>
        </a:xfrm>
        <a:prstGeom prst="rect">
          <a:avLst/>
        </a:prstGeom>
      </xdr:spPr>
    </xdr:pic>
    <xdr:clientData/>
  </xdr:twoCellAnchor>
  <xdr:twoCellAnchor editAs="oneCell">
    <xdr:from>
      <xdr:col>7</xdr:col>
      <xdr:colOff>314325</xdr:colOff>
      <xdr:row>34</xdr:row>
      <xdr:rowOff>104774</xdr:rowOff>
    </xdr:from>
    <xdr:to>
      <xdr:col>12</xdr:col>
      <xdr:colOff>136766</xdr:colOff>
      <xdr:row>42</xdr:row>
      <xdr:rowOff>95249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EBDAC2C-EF76-1662-81C2-07B44909C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10275" y="6581774"/>
          <a:ext cx="4853474" cy="1514475"/>
        </a:xfrm>
        <a:prstGeom prst="rect">
          <a:avLst/>
        </a:prstGeom>
      </xdr:spPr>
    </xdr:pic>
    <xdr:clientData/>
  </xdr:twoCellAnchor>
  <xdr:oneCellAnchor>
    <xdr:from>
      <xdr:col>7</xdr:col>
      <xdr:colOff>28576</xdr:colOff>
      <xdr:row>75</xdr:row>
      <xdr:rowOff>152400</xdr:rowOff>
    </xdr:from>
    <xdr:ext cx="3370175" cy="2047875"/>
    <xdr:pic>
      <xdr:nvPicPr>
        <xdr:cNvPr id="7" name="Imagen 6">
          <a:extLst>
            <a:ext uri="{FF2B5EF4-FFF2-40B4-BE49-F238E27FC236}">
              <a16:creationId xmlns:a16="http://schemas.microsoft.com/office/drawing/2014/main" id="{442B768E-2AB4-4849-BA32-A055D2A0A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08940" y="723900"/>
          <a:ext cx="3370175" cy="2047875"/>
        </a:xfrm>
        <a:prstGeom prst="rect">
          <a:avLst/>
        </a:prstGeom>
      </xdr:spPr>
    </xdr:pic>
    <xdr:clientData/>
  </xdr:oneCellAnchor>
  <xdr:oneCellAnchor>
    <xdr:from>
      <xdr:col>4</xdr:col>
      <xdr:colOff>409576</xdr:colOff>
      <xdr:row>76</xdr:row>
      <xdr:rowOff>57150</xdr:rowOff>
    </xdr:from>
    <xdr:ext cx="1426152" cy="1574853"/>
    <xdr:pic>
      <xdr:nvPicPr>
        <xdr:cNvPr id="8" name="Imagen 7">
          <a:extLst>
            <a:ext uri="{FF2B5EF4-FFF2-40B4-BE49-F238E27FC236}">
              <a16:creationId xmlns:a16="http://schemas.microsoft.com/office/drawing/2014/main" id="{3E5D986E-CE9A-44E5-913D-06A413882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3440" y="819150"/>
          <a:ext cx="1426152" cy="1574853"/>
        </a:xfrm>
        <a:prstGeom prst="rect">
          <a:avLst/>
        </a:prstGeom>
      </xdr:spPr>
    </xdr:pic>
    <xdr:clientData/>
  </xdr:oneCellAnchor>
  <xdr:oneCellAnchor>
    <xdr:from>
      <xdr:col>10</xdr:col>
      <xdr:colOff>328332</xdr:colOff>
      <xdr:row>98</xdr:row>
      <xdr:rowOff>183216</xdr:rowOff>
    </xdr:from>
    <xdr:ext cx="1648055" cy="1181265"/>
    <xdr:pic>
      <xdr:nvPicPr>
        <xdr:cNvPr id="9" name="Imagen 8">
          <a:extLst>
            <a:ext uri="{FF2B5EF4-FFF2-40B4-BE49-F238E27FC236}">
              <a16:creationId xmlns:a16="http://schemas.microsoft.com/office/drawing/2014/main" id="{D7E683D0-4D61-49E1-8D62-F27285DC7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33241" y="5136216"/>
          <a:ext cx="1648055" cy="1181265"/>
        </a:xfrm>
        <a:prstGeom prst="rect">
          <a:avLst/>
        </a:prstGeom>
      </xdr:spPr>
    </xdr:pic>
    <xdr:clientData/>
  </xdr:oneCellAnchor>
  <xdr:oneCellAnchor>
    <xdr:from>
      <xdr:col>7</xdr:col>
      <xdr:colOff>314325</xdr:colOff>
      <xdr:row>106</xdr:row>
      <xdr:rowOff>104774</xdr:rowOff>
    </xdr:from>
    <xdr:ext cx="4839619" cy="1514475"/>
    <xdr:pic>
      <xdr:nvPicPr>
        <xdr:cNvPr id="10" name="Imagen 9">
          <a:extLst>
            <a:ext uri="{FF2B5EF4-FFF2-40B4-BE49-F238E27FC236}">
              <a16:creationId xmlns:a16="http://schemas.microsoft.com/office/drawing/2014/main" id="{9D4122B1-1931-4A96-8B5A-B7015FC94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94689" y="6581774"/>
          <a:ext cx="4839619" cy="1514475"/>
        </a:xfrm>
        <a:prstGeom prst="rect">
          <a:avLst/>
        </a:prstGeom>
      </xdr:spPr>
    </xdr:pic>
    <xdr:clientData/>
  </xdr:oneCellAnchor>
  <xdr:oneCellAnchor>
    <xdr:from>
      <xdr:col>7</xdr:col>
      <xdr:colOff>28576</xdr:colOff>
      <xdr:row>147</xdr:row>
      <xdr:rowOff>152400</xdr:rowOff>
    </xdr:from>
    <xdr:ext cx="3370175" cy="2047875"/>
    <xdr:pic>
      <xdr:nvPicPr>
        <xdr:cNvPr id="4" name="Imagen 3">
          <a:extLst>
            <a:ext uri="{FF2B5EF4-FFF2-40B4-BE49-F238E27FC236}">
              <a16:creationId xmlns:a16="http://schemas.microsoft.com/office/drawing/2014/main" id="{699B447C-79BB-430A-BB7C-E0DCC12A3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5194" y="13688291"/>
          <a:ext cx="3370175" cy="2047875"/>
        </a:xfrm>
        <a:prstGeom prst="rect">
          <a:avLst/>
        </a:prstGeom>
      </xdr:spPr>
    </xdr:pic>
    <xdr:clientData/>
  </xdr:oneCellAnchor>
  <xdr:oneCellAnchor>
    <xdr:from>
      <xdr:col>4</xdr:col>
      <xdr:colOff>409576</xdr:colOff>
      <xdr:row>148</xdr:row>
      <xdr:rowOff>57150</xdr:rowOff>
    </xdr:from>
    <xdr:ext cx="1426152" cy="1574853"/>
    <xdr:pic>
      <xdr:nvPicPr>
        <xdr:cNvPr id="11" name="Imagen 10">
          <a:extLst>
            <a:ext uri="{FF2B5EF4-FFF2-40B4-BE49-F238E27FC236}">
              <a16:creationId xmlns:a16="http://schemas.microsoft.com/office/drawing/2014/main" id="{13C3F0BF-8939-49FB-9AFD-20D7C1A0B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06958" y="13773150"/>
          <a:ext cx="1426152" cy="1574853"/>
        </a:xfrm>
        <a:prstGeom prst="rect">
          <a:avLst/>
        </a:prstGeom>
      </xdr:spPr>
    </xdr:pic>
    <xdr:clientData/>
  </xdr:oneCellAnchor>
  <xdr:oneCellAnchor>
    <xdr:from>
      <xdr:col>10</xdr:col>
      <xdr:colOff>328332</xdr:colOff>
      <xdr:row>170</xdr:row>
      <xdr:rowOff>183216</xdr:rowOff>
    </xdr:from>
    <xdr:ext cx="1648055" cy="1181265"/>
    <xdr:pic>
      <xdr:nvPicPr>
        <xdr:cNvPr id="12" name="Imagen 11">
          <a:extLst>
            <a:ext uri="{FF2B5EF4-FFF2-40B4-BE49-F238E27FC236}">
              <a16:creationId xmlns:a16="http://schemas.microsoft.com/office/drawing/2014/main" id="{77177066-B203-487D-9FAA-E20CBF9A1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82623" y="17861616"/>
          <a:ext cx="1648055" cy="1181265"/>
        </a:xfrm>
        <a:prstGeom prst="rect">
          <a:avLst/>
        </a:prstGeom>
      </xdr:spPr>
    </xdr:pic>
    <xdr:clientData/>
  </xdr:oneCellAnchor>
  <xdr:oneCellAnchor>
    <xdr:from>
      <xdr:col>7</xdr:col>
      <xdr:colOff>314325</xdr:colOff>
      <xdr:row>178</xdr:row>
      <xdr:rowOff>104774</xdr:rowOff>
    </xdr:from>
    <xdr:ext cx="4839619" cy="1514475"/>
    <xdr:pic>
      <xdr:nvPicPr>
        <xdr:cNvPr id="13" name="Imagen 12">
          <a:extLst>
            <a:ext uri="{FF2B5EF4-FFF2-40B4-BE49-F238E27FC236}">
              <a16:creationId xmlns:a16="http://schemas.microsoft.com/office/drawing/2014/main" id="{D9B7B919-A65E-4336-8492-D3C3D0A12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60943" y="19224047"/>
          <a:ext cx="4839619" cy="1514475"/>
        </a:xfrm>
        <a:prstGeom prst="rect">
          <a:avLst/>
        </a:prstGeom>
      </xdr:spPr>
    </xdr:pic>
    <xdr:clientData/>
  </xdr:oneCellAnchor>
  <xdr:oneCellAnchor>
    <xdr:from>
      <xdr:col>7</xdr:col>
      <xdr:colOff>28576</xdr:colOff>
      <xdr:row>219</xdr:row>
      <xdr:rowOff>152400</xdr:rowOff>
    </xdr:from>
    <xdr:ext cx="3370175" cy="2047875"/>
    <xdr:pic>
      <xdr:nvPicPr>
        <xdr:cNvPr id="14" name="Imagen 13">
          <a:extLst>
            <a:ext uri="{FF2B5EF4-FFF2-40B4-BE49-F238E27FC236}">
              <a16:creationId xmlns:a16="http://schemas.microsoft.com/office/drawing/2014/main" id="{BF798727-E7D1-4755-85F9-01700A7EF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08940" y="28155900"/>
          <a:ext cx="3370175" cy="2047875"/>
        </a:xfrm>
        <a:prstGeom prst="rect">
          <a:avLst/>
        </a:prstGeom>
      </xdr:spPr>
    </xdr:pic>
    <xdr:clientData/>
  </xdr:oneCellAnchor>
  <xdr:oneCellAnchor>
    <xdr:from>
      <xdr:col>4</xdr:col>
      <xdr:colOff>409576</xdr:colOff>
      <xdr:row>220</xdr:row>
      <xdr:rowOff>57150</xdr:rowOff>
    </xdr:from>
    <xdr:ext cx="1426152" cy="1574853"/>
    <xdr:pic>
      <xdr:nvPicPr>
        <xdr:cNvPr id="15" name="Imagen 14">
          <a:extLst>
            <a:ext uri="{FF2B5EF4-FFF2-40B4-BE49-F238E27FC236}">
              <a16:creationId xmlns:a16="http://schemas.microsoft.com/office/drawing/2014/main" id="{A867842F-625C-4711-8D47-12001C2E2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3440" y="28251150"/>
          <a:ext cx="1426152" cy="1574853"/>
        </a:xfrm>
        <a:prstGeom prst="rect">
          <a:avLst/>
        </a:prstGeom>
      </xdr:spPr>
    </xdr:pic>
    <xdr:clientData/>
  </xdr:oneCellAnchor>
  <xdr:oneCellAnchor>
    <xdr:from>
      <xdr:col>10</xdr:col>
      <xdr:colOff>328332</xdr:colOff>
      <xdr:row>242</xdr:row>
      <xdr:rowOff>183216</xdr:rowOff>
    </xdr:from>
    <xdr:ext cx="1648055" cy="1181265"/>
    <xdr:pic>
      <xdr:nvPicPr>
        <xdr:cNvPr id="16" name="Imagen 15">
          <a:extLst>
            <a:ext uri="{FF2B5EF4-FFF2-40B4-BE49-F238E27FC236}">
              <a16:creationId xmlns:a16="http://schemas.microsoft.com/office/drawing/2014/main" id="{A06EA4CB-7D4F-44B3-8B9D-91135421D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33241" y="32568216"/>
          <a:ext cx="1648055" cy="1181265"/>
        </a:xfrm>
        <a:prstGeom prst="rect">
          <a:avLst/>
        </a:prstGeom>
      </xdr:spPr>
    </xdr:pic>
    <xdr:clientData/>
  </xdr:oneCellAnchor>
  <xdr:oneCellAnchor>
    <xdr:from>
      <xdr:col>7</xdr:col>
      <xdr:colOff>314325</xdr:colOff>
      <xdr:row>250</xdr:row>
      <xdr:rowOff>104774</xdr:rowOff>
    </xdr:from>
    <xdr:ext cx="4839619" cy="1514475"/>
    <xdr:pic>
      <xdr:nvPicPr>
        <xdr:cNvPr id="17" name="Imagen 16">
          <a:extLst>
            <a:ext uri="{FF2B5EF4-FFF2-40B4-BE49-F238E27FC236}">
              <a16:creationId xmlns:a16="http://schemas.microsoft.com/office/drawing/2014/main" id="{23D875D4-4419-40D4-9E84-588362313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94689" y="34013774"/>
          <a:ext cx="4839619" cy="1514475"/>
        </a:xfrm>
        <a:prstGeom prst="rect">
          <a:avLst/>
        </a:prstGeom>
      </xdr:spPr>
    </xdr:pic>
    <xdr:clientData/>
  </xdr:oneCellAnchor>
  <xdr:oneCellAnchor>
    <xdr:from>
      <xdr:col>7</xdr:col>
      <xdr:colOff>28576</xdr:colOff>
      <xdr:row>291</xdr:row>
      <xdr:rowOff>152400</xdr:rowOff>
    </xdr:from>
    <xdr:ext cx="3370175" cy="2047875"/>
    <xdr:pic>
      <xdr:nvPicPr>
        <xdr:cNvPr id="18" name="Imagen 17">
          <a:extLst>
            <a:ext uri="{FF2B5EF4-FFF2-40B4-BE49-F238E27FC236}">
              <a16:creationId xmlns:a16="http://schemas.microsoft.com/office/drawing/2014/main" id="{8423E61E-6BF0-43D5-A831-C01FFF161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32370" y="41871900"/>
          <a:ext cx="3370175" cy="2047875"/>
        </a:xfrm>
        <a:prstGeom prst="rect">
          <a:avLst/>
        </a:prstGeom>
      </xdr:spPr>
    </xdr:pic>
    <xdr:clientData/>
  </xdr:oneCellAnchor>
  <xdr:oneCellAnchor>
    <xdr:from>
      <xdr:col>4</xdr:col>
      <xdr:colOff>409576</xdr:colOff>
      <xdr:row>292</xdr:row>
      <xdr:rowOff>57150</xdr:rowOff>
    </xdr:from>
    <xdr:ext cx="1426152" cy="1574853"/>
    <xdr:pic>
      <xdr:nvPicPr>
        <xdr:cNvPr id="19" name="Imagen 18">
          <a:extLst>
            <a:ext uri="{FF2B5EF4-FFF2-40B4-BE49-F238E27FC236}">
              <a16:creationId xmlns:a16="http://schemas.microsoft.com/office/drawing/2014/main" id="{5B0B43BF-A77C-480E-A866-0636BF488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25664" y="41967150"/>
          <a:ext cx="1426152" cy="1574853"/>
        </a:xfrm>
        <a:prstGeom prst="rect">
          <a:avLst/>
        </a:prstGeom>
      </xdr:spPr>
    </xdr:pic>
    <xdr:clientData/>
  </xdr:oneCellAnchor>
  <xdr:oneCellAnchor>
    <xdr:from>
      <xdr:col>10</xdr:col>
      <xdr:colOff>328332</xdr:colOff>
      <xdr:row>314</xdr:row>
      <xdr:rowOff>183216</xdr:rowOff>
    </xdr:from>
    <xdr:ext cx="1648055" cy="1181265"/>
    <xdr:pic>
      <xdr:nvPicPr>
        <xdr:cNvPr id="20" name="Imagen 19">
          <a:extLst>
            <a:ext uri="{FF2B5EF4-FFF2-40B4-BE49-F238E27FC236}">
              <a16:creationId xmlns:a16="http://schemas.microsoft.com/office/drawing/2014/main" id="{25FF6344-4489-40A2-A417-092916EB7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75008" y="46284216"/>
          <a:ext cx="1648055" cy="1181265"/>
        </a:xfrm>
        <a:prstGeom prst="rect">
          <a:avLst/>
        </a:prstGeom>
      </xdr:spPr>
    </xdr:pic>
    <xdr:clientData/>
  </xdr:oneCellAnchor>
  <xdr:oneCellAnchor>
    <xdr:from>
      <xdr:col>7</xdr:col>
      <xdr:colOff>314325</xdr:colOff>
      <xdr:row>322</xdr:row>
      <xdr:rowOff>104774</xdr:rowOff>
    </xdr:from>
    <xdr:ext cx="4839619" cy="1514475"/>
    <xdr:pic>
      <xdr:nvPicPr>
        <xdr:cNvPr id="21" name="Imagen 20">
          <a:extLst>
            <a:ext uri="{FF2B5EF4-FFF2-40B4-BE49-F238E27FC236}">
              <a16:creationId xmlns:a16="http://schemas.microsoft.com/office/drawing/2014/main" id="{E3D90FB0-2F73-4E25-B3C7-F2F4332C7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18119" y="47729774"/>
          <a:ext cx="4839619" cy="1514475"/>
        </a:xfrm>
        <a:prstGeom prst="rect">
          <a:avLst/>
        </a:prstGeom>
      </xdr:spPr>
    </xdr:pic>
    <xdr:clientData/>
  </xdr:oneCellAnchor>
  <xdr:oneCellAnchor>
    <xdr:from>
      <xdr:col>7</xdr:col>
      <xdr:colOff>28576</xdr:colOff>
      <xdr:row>363</xdr:row>
      <xdr:rowOff>152400</xdr:rowOff>
    </xdr:from>
    <xdr:ext cx="3370175" cy="2047875"/>
    <xdr:pic>
      <xdr:nvPicPr>
        <xdr:cNvPr id="22" name="Imagen 21">
          <a:extLst>
            <a:ext uri="{FF2B5EF4-FFF2-40B4-BE49-F238E27FC236}">
              <a16:creationId xmlns:a16="http://schemas.microsoft.com/office/drawing/2014/main" id="{687EBCE9-2461-4615-AD03-5365FE9F3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08940" y="55587900"/>
          <a:ext cx="3370175" cy="2047875"/>
        </a:xfrm>
        <a:prstGeom prst="rect">
          <a:avLst/>
        </a:prstGeom>
      </xdr:spPr>
    </xdr:pic>
    <xdr:clientData/>
  </xdr:oneCellAnchor>
  <xdr:oneCellAnchor>
    <xdr:from>
      <xdr:col>4</xdr:col>
      <xdr:colOff>409576</xdr:colOff>
      <xdr:row>364</xdr:row>
      <xdr:rowOff>57150</xdr:rowOff>
    </xdr:from>
    <xdr:ext cx="1426152" cy="1574853"/>
    <xdr:pic>
      <xdr:nvPicPr>
        <xdr:cNvPr id="23" name="Imagen 22">
          <a:extLst>
            <a:ext uri="{FF2B5EF4-FFF2-40B4-BE49-F238E27FC236}">
              <a16:creationId xmlns:a16="http://schemas.microsoft.com/office/drawing/2014/main" id="{39ECC2AB-E9DF-42D8-A0F8-C404D165B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3440" y="55683150"/>
          <a:ext cx="1426152" cy="1574853"/>
        </a:xfrm>
        <a:prstGeom prst="rect">
          <a:avLst/>
        </a:prstGeom>
      </xdr:spPr>
    </xdr:pic>
    <xdr:clientData/>
  </xdr:oneCellAnchor>
  <xdr:oneCellAnchor>
    <xdr:from>
      <xdr:col>10</xdr:col>
      <xdr:colOff>328332</xdr:colOff>
      <xdr:row>386</xdr:row>
      <xdr:rowOff>183216</xdr:rowOff>
    </xdr:from>
    <xdr:ext cx="1648055" cy="1181265"/>
    <xdr:pic>
      <xdr:nvPicPr>
        <xdr:cNvPr id="24" name="Imagen 23">
          <a:extLst>
            <a:ext uri="{FF2B5EF4-FFF2-40B4-BE49-F238E27FC236}">
              <a16:creationId xmlns:a16="http://schemas.microsoft.com/office/drawing/2014/main" id="{B060911E-08BA-4938-8035-0AADF9746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33241" y="60000216"/>
          <a:ext cx="1648055" cy="1181265"/>
        </a:xfrm>
        <a:prstGeom prst="rect">
          <a:avLst/>
        </a:prstGeom>
      </xdr:spPr>
    </xdr:pic>
    <xdr:clientData/>
  </xdr:oneCellAnchor>
  <xdr:oneCellAnchor>
    <xdr:from>
      <xdr:col>7</xdr:col>
      <xdr:colOff>314325</xdr:colOff>
      <xdr:row>394</xdr:row>
      <xdr:rowOff>104774</xdr:rowOff>
    </xdr:from>
    <xdr:ext cx="4839619" cy="1514475"/>
    <xdr:pic>
      <xdr:nvPicPr>
        <xdr:cNvPr id="25" name="Imagen 24">
          <a:extLst>
            <a:ext uri="{FF2B5EF4-FFF2-40B4-BE49-F238E27FC236}">
              <a16:creationId xmlns:a16="http://schemas.microsoft.com/office/drawing/2014/main" id="{F732AABB-0FE4-44D3-B025-91D188B28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94689" y="61445774"/>
          <a:ext cx="4839619" cy="1514475"/>
        </a:xfrm>
        <a:prstGeom prst="rect">
          <a:avLst/>
        </a:prstGeom>
      </xdr:spPr>
    </xdr:pic>
    <xdr:clientData/>
  </xdr:oneCellAnchor>
  <xdr:oneCellAnchor>
    <xdr:from>
      <xdr:col>7</xdr:col>
      <xdr:colOff>28576</xdr:colOff>
      <xdr:row>435</xdr:row>
      <xdr:rowOff>152400</xdr:rowOff>
    </xdr:from>
    <xdr:ext cx="3370175" cy="2047875"/>
    <xdr:pic>
      <xdr:nvPicPr>
        <xdr:cNvPr id="26" name="Imagen 25">
          <a:extLst>
            <a:ext uri="{FF2B5EF4-FFF2-40B4-BE49-F238E27FC236}">
              <a16:creationId xmlns:a16="http://schemas.microsoft.com/office/drawing/2014/main" id="{2C09D221-2E18-4EDD-B578-6C7361481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08940" y="69303900"/>
          <a:ext cx="3370175" cy="2047875"/>
        </a:xfrm>
        <a:prstGeom prst="rect">
          <a:avLst/>
        </a:prstGeom>
      </xdr:spPr>
    </xdr:pic>
    <xdr:clientData/>
  </xdr:oneCellAnchor>
  <xdr:oneCellAnchor>
    <xdr:from>
      <xdr:col>4</xdr:col>
      <xdr:colOff>409576</xdr:colOff>
      <xdr:row>436</xdr:row>
      <xdr:rowOff>57150</xdr:rowOff>
    </xdr:from>
    <xdr:ext cx="1426152" cy="1574853"/>
    <xdr:pic>
      <xdr:nvPicPr>
        <xdr:cNvPr id="27" name="Imagen 26">
          <a:extLst>
            <a:ext uri="{FF2B5EF4-FFF2-40B4-BE49-F238E27FC236}">
              <a16:creationId xmlns:a16="http://schemas.microsoft.com/office/drawing/2014/main" id="{41784A93-FC0F-4B5B-BB2F-3A967FA06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3440" y="69399150"/>
          <a:ext cx="1426152" cy="1574853"/>
        </a:xfrm>
        <a:prstGeom prst="rect">
          <a:avLst/>
        </a:prstGeom>
      </xdr:spPr>
    </xdr:pic>
    <xdr:clientData/>
  </xdr:oneCellAnchor>
  <xdr:oneCellAnchor>
    <xdr:from>
      <xdr:col>10</xdr:col>
      <xdr:colOff>328332</xdr:colOff>
      <xdr:row>458</xdr:row>
      <xdr:rowOff>183216</xdr:rowOff>
    </xdr:from>
    <xdr:ext cx="1648055" cy="1181265"/>
    <xdr:pic>
      <xdr:nvPicPr>
        <xdr:cNvPr id="28" name="Imagen 27">
          <a:extLst>
            <a:ext uri="{FF2B5EF4-FFF2-40B4-BE49-F238E27FC236}">
              <a16:creationId xmlns:a16="http://schemas.microsoft.com/office/drawing/2014/main" id="{B0DE52F3-CE76-4280-964B-210D0D439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33241" y="73716216"/>
          <a:ext cx="1648055" cy="1181265"/>
        </a:xfrm>
        <a:prstGeom prst="rect">
          <a:avLst/>
        </a:prstGeom>
      </xdr:spPr>
    </xdr:pic>
    <xdr:clientData/>
  </xdr:oneCellAnchor>
  <xdr:oneCellAnchor>
    <xdr:from>
      <xdr:col>7</xdr:col>
      <xdr:colOff>314325</xdr:colOff>
      <xdr:row>466</xdr:row>
      <xdr:rowOff>104774</xdr:rowOff>
    </xdr:from>
    <xdr:ext cx="4839619" cy="1514475"/>
    <xdr:pic>
      <xdr:nvPicPr>
        <xdr:cNvPr id="29" name="Imagen 28">
          <a:extLst>
            <a:ext uri="{FF2B5EF4-FFF2-40B4-BE49-F238E27FC236}">
              <a16:creationId xmlns:a16="http://schemas.microsoft.com/office/drawing/2014/main" id="{39CF055E-3B35-4452-B04F-A5ADB1C43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94689" y="75161774"/>
          <a:ext cx="4839619" cy="1514475"/>
        </a:xfrm>
        <a:prstGeom prst="rect">
          <a:avLst/>
        </a:prstGeom>
      </xdr:spPr>
    </xdr:pic>
    <xdr:clientData/>
  </xdr:oneCellAnchor>
  <xdr:oneCellAnchor>
    <xdr:from>
      <xdr:col>7</xdr:col>
      <xdr:colOff>28576</xdr:colOff>
      <xdr:row>507</xdr:row>
      <xdr:rowOff>152400</xdr:rowOff>
    </xdr:from>
    <xdr:ext cx="3370175" cy="2047875"/>
    <xdr:pic>
      <xdr:nvPicPr>
        <xdr:cNvPr id="30" name="Imagen 29">
          <a:extLst>
            <a:ext uri="{FF2B5EF4-FFF2-40B4-BE49-F238E27FC236}">
              <a16:creationId xmlns:a16="http://schemas.microsoft.com/office/drawing/2014/main" id="{EC9224BB-33B7-4DA7-AD3D-93906994E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93255" y="83019900"/>
          <a:ext cx="3370175" cy="2047875"/>
        </a:xfrm>
        <a:prstGeom prst="rect">
          <a:avLst/>
        </a:prstGeom>
      </xdr:spPr>
    </xdr:pic>
    <xdr:clientData/>
  </xdr:oneCellAnchor>
  <xdr:oneCellAnchor>
    <xdr:from>
      <xdr:col>4</xdr:col>
      <xdr:colOff>409576</xdr:colOff>
      <xdr:row>508</xdr:row>
      <xdr:rowOff>57150</xdr:rowOff>
    </xdr:from>
    <xdr:ext cx="1426152" cy="1574853"/>
    <xdr:pic>
      <xdr:nvPicPr>
        <xdr:cNvPr id="31" name="Imagen 30">
          <a:extLst>
            <a:ext uri="{FF2B5EF4-FFF2-40B4-BE49-F238E27FC236}">
              <a16:creationId xmlns:a16="http://schemas.microsoft.com/office/drawing/2014/main" id="{22C2692F-B512-4D2F-991D-FB2CD3FC1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02505" y="83115150"/>
          <a:ext cx="1426152" cy="1574853"/>
        </a:xfrm>
        <a:prstGeom prst="rect">
          <a:avLst/>
        </a:prstGeom>
      </xdr:spPr>
    </xdr:pic>
    <xdr:clientData/>
  </xdr:oneCellAnchor>
  <xdr:oneCellAnchor>
    <xdr:from>
      <xdr:col>10</xdr:col>
      <xdr:colOff>328332</xdr:colOff>
      <xdr:row>530</xdr:row>
      <xdr:rowOff>183216</xdr:rowOff>
    </xdr:from>
    <xdr:ext cx="1648055" cy="1181265"/>
    <xdr:pic>
      <xdr:nvPicPr>
        <xdr:cNvPr id="32" name="Imagen 31">
          <a:extLst>
            <a:ext uri="{FF2B5EF4-FFF2-40B4-BE49-F238E27FC236}">
              <a16:creationId xmlns:a16="http://schemas.microsoft.com/office/drawing/2014/main" id="{E997CBBC-55BA-4E24-9DEF-33F5AFD4C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42296" y="87432216"/>
          <a:ext cx="1648055" cy="1181265"/>
        </a:xfrm>
        <a:prstGeom prst="rect">
          <a:avLst/>
        </a:prstGeom>
      </xdr:spPr>
    </xdr:pic>
    <xdr:clientData/>
  </xdr:oneCellAnchor>
  <xdr:oneCellAnchor>
    <xdr:from>
      <xdr:col>7</xdr:col>
      <xdr:colOff>314325</xdr:colOff>
      <xdr:row>538</xdr:row>
      <xdr:rowOff>104774</xdr:rowOff>
    </xdr:from>
    <xdr:ext cx="4839619" cy="1514475"/>
    <xdr:pic>
      <xdr:nvPicPr>
        <xdr:cNvPr id="33" name="Imagen 32">
          <a:extLst>
            <a:ext uri="{FF2B5EF4-FFF2-40B4-BE49-F238E27FC236}">
              <a16:creationId xmlns:a16="http://schemas.microsoft.com/office/drawing/2014/main" id="{88F7661E-1578-456C-8D0E-B8B7EF32A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79004" y="88877774"/>
          <a:ext cx="4839619" cy="1514475"/>
        </a:xfrm>
        <a:prstGeom prst="rect">
          <a:avLst/>
        </a:prstGeom>
      </xdr:spPr>
    </xdr:pic>
    <xdr:clientData/>
  </xdr:oneCellAnchor>
  <xdr:oneCellAnchor>
    <xdr:from>
      <xdr:col>7</xdr:col>
      <xdr:colOff>28576</xdr:colOff>
      <xdr:row>579</xdr:row>
      <xdr:rowOff>152400</xdr:rowOff>
    </xdr:from>
    <xdr:ext cx="3370175" cy="2047875"/>
    <xdr:pic>
      <xdr:nvPicPr>
        <xdr:cNvPr id="34" name="Imagen 33">
          <a:extLst>
            <a:ext uri="{FF2B5EF4-FFF2-40B4-BE49-F238E27FC236}">
              <a16:creationId xmlns:a16="http://schemas.microsoft.com/office/drawing/2014/main" id="{475F7F68-451D-47C3-9DB4-7A9A6BF2F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86451" y="96735900"/>
          <a:ext cx="3370175" cy="2047875"/>
        </a:xfrm>
        <a:prstGeom prst="rect">
          <a:avLst/>
        </a:prstGeom>
      </xdr:spPr>
    </xdr:pic>
    <xdr:clientData/>
  </xdr:oneCellAnchor>
  <xdr:oneCellAnchor>
    <xdr:from>
      <xdr:col>4</xdr:col>
      <xdr:colOff>409576</xdr:colOff>
      <xdr:row>580</xdr:row>
      <xdr:rowOff>57150</xdr:rowOff>
    </xdr:from>
    <xdr:ext cx="1426152" cy="1574853"/>
    <xdr:pic>
      <xdr:nvPicPr>
        <xdr:cNvPr id="35" name="Imagen 34">
          <a:extLst>
            <a:ext uri="{FF2B5EF4-FFF2-40B4-BE49-F238E27FC236}">
              <a16:creationId xmlns:a16="http://schemas.microsoft.com/office/drawing/2014/main" id="{327FB999-67CE-441C-91CC-BF7728CD9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19514" y="96831150"/>
          <a:ext cx="1426152" cy="1574853"/>
        </a:xfrm>
        <a:prstGeom prst="rect">
          <a:avLst/>
        </a:prstGeom>
      </xdr:spPr>
    </xdr:pic>
    <xdr:clientData/>
  </xdr:oneCellAnchor>
  <xdr:oneCellAnchor>
    <xdr:from>
      <xdr:col>10</xdr:col>
      <xdr:colOff>328332</xdr:colOff>
      <xdr:row>602</xdr:row>
      <xdr:rowOff>183216</xdr:rowOff>
    </xdr:from>
    <xdr:ext cx="1648055" cy="1181265"/>
    <xdr:pic>
      <xdr:nvPicPr>
        <xdr:cNvPr id="36" name="Imagen 35">
          <a:extLst>
            <a:ext uri="{FF2B5EF4-FFF2-40B4-BE49-F238E27FC236}">
              <a16:creationId xmlns:a16="http://schemas.microsoft.com/office/drawing/2014/main" id="{366E732D-0634-40D8-AEA1-6C7E61198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34145" y="101148216"/>
          <a:ext cx="1648055" cy="1181265"/>
        </a:xfrm>
        <a:prstGeom prst="rect">
          <a:avLst/>
        </a:prstGeom>
      </xdr:spPr>
    </xdr:pic>
    <xdr:clientData/>
  </xdr:oneCellAnchor>
  <xdr:oneCellAnchor>
    <xdr:from>
      <xdr:col>7</xdr:col>
      <xdr:colOff>314325</xdr:colOff>
      <xdr:row>610</xdr:row>
      <xdr:rowOff>104774</xdr:rowOff>
    </xdr:from>
    <xdr:ext cx="4839619" cy="1514475"/>
    <xdr:pic>
      <xdr:nvPicPr>
        <xdr:cNvPr id="37" name="Imagen 36">
          <a:extLst>
            <a:ext uri="{FF2B5EF4-FFF2-40B4-BE49-F238E27FC236}">
              <a16:creationId xmlns:a16="http://schemas.microsoft.com/office/drawing/2014/main" id="{1450F62F-E70D-451F-9E17-CB7787675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72200" y="102593774"/>
          <a:ext cx="4839619" cy="1514475"/>
        </a:xfrm>
        <a:prstGeom prst="rect">
          <a:avLst/>
        </a:prstGeom>
      </xdr:spPr>
    </xdr:pic>
    <xdr:clientData/>
  </xdr:oneCellAnchor>
  <xdr:oneCellAnchor>
    <xdr:from>
      <xdr:col>7</xdr:col>
      <xdr:colOff>28576</xdr:colOff>
      <xdr:row>651</xdr:row>
      <xdr:rowOff>152400</xdr:rowOff>
    </xdr:from>
    <xdr:ext cx="3370175" cy="2047875"/>
    <xdr:pic>
      <xdr:nvPicPr>
        <xdr:cNvPr id="38" name="Imagen 37">
          <a:extLst>
            <a:ext uri="{FF2B5EF4-FFF2-40B4-BE49-F238E27FC236}">
              <a16:creationId xmlns:a16="http://schemas.microsoft.com/office/drawing/2014/main" id="{83DEA3B3-EBAB-4069-8E32-9B6BF3FCF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86451" y="110451900"/>
          <a:ext cx="3370175" cy="2047875"/>
        </a:xfrm>
        <a:prstGeom prst="rect">
          <a:avLst/>
        </a:prstGeom>
      </xdr:spPr>
    </xdr:pic>
    <xdr:clientData/>
  </xdr:oneCellAnchor>
  <xdr:oneCellAnchor>
    <xdr:from>
      <xdr:col>4</xdr:col>
      <xdr:colOff>409576</xdr:colOff>
      <xdr:row>652</xdr:row>
      <xdr:rowOff>57150</xdr:rowOff>
    </xdr:from>
    <xdr:ext cx="1426152" cy="1574853"/>
    <xdr:pic>
      <xdr:nvPicPr>
        <xdr:cNvPr id="39" name="Imagen 38">
          <a:extLst>
            <a:ext uri="{FF2B5EF4-FFF2-40B4-BE49-F238E27FC236}">
              <a16:creationId xmlns:a16="http://schemas.microsoft.com/office/drawing/2014/main" id="{5A79895E-0C78-47E4-9B44-7049C9868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19514" y="110547150"/>
          <a:ext cx="1426152" cy="1574853"/>
        </a:xfrm>
        <a:prstGeom prst="rect">
          <a:avLst/>
        </a:prstGeom>
      </xdr:spPr>
    </xdr:pic>
    <xdr:clientData/>
  </xdr:oneCellAnchor>
  <xdr:oneCellAnchor>
    <xdr:from>
      <xdr:col>10</xdr:col>
      <xdr:colOff>328332</xdr:colOff>
      <xdr:row>674</xdr:row>
      <xdr:rowOff>183216</xdr:rowOff>
    </xdr:from>
    <xdr:ext cx="1648055" cy="1181265"/>
    <xdr:pic>
      <xdr:nvPicPr>
        <xdr:cNvPr id="40" name="Imagen 39">
          <a:extLst>
            <a:ext uri="{FF2B5EF4-FFF2-40B4-BE49-F238E27FC236}">
              <a16:creationId xmlns:a16="http://schemas.microsoft.com/office/drawing/2014/main" id="{E8EC709C-32D8-4ACD-BFFF-745F7BD92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34145" y="114864216"/>
          <a:ext cx="1648055" cy="1181265"/>
        </a:xfrm>
        <a:prstGeom prst="rect">
          <a:avLst/>
        </a:prstGeom>
      </xdr:spPr>
    </xdr:pic>
    <xdr:clientData/>
  </xdr:oneCellAnchor>
  <xdr:oneCellAnchor>
    <xdr:from>
      <xdr:col>7</xdr:col>
      <xdr:colOff>314325</xdr:colOff>
      <xdr:row>682</xdr:row>
      <xdr:rowOff>104774</xdr:rowOff>
    </xdr:from>
    <xdr:ext cx="4839619" cy="1514475"/>
    <xdr:pic>
      <xdr:nvPicPr>
        <xdr:cNvPr id="41" name="Imagen 40">
          <a:extLst>
            <a:ext uri="{FF2B5EF4-FFF2-40B4-BE49-F238E27FC236}">
              <a16:creationId xmlns:a16="http://schemas.microsoft.com/office/drawing/2014/main" id="{F7665B1F-3F0D-4941-8E67-1611A75EA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72200" y="116309774"/>
          <a:ext cx="4839619" cy="1514475"/>
        </a:xfrm>
        <a:prstGeom prst="rect">
          <a:avLst/>
        </a:prstGeom>
      </xdr:spPr>
    </xdr:pic>
    <xdr:clientData/>
  </xdr:oneCellAnchor>
  <xdr:twoCellAnchor editAs="oneCell">
    <xdr:from>
      <xdr:col>11</xdr:col>
      <xdr:colOff>938892</xdr:colOff>
      <xdr:row>807</xdr:row>
      <xdr:rowOff>40823</xdr:rowOff>
    </xdr:from>
    <xdr:to>
      <xdr:col>14</xdr:col>
      <xdr:colOff>637494</xdr:colOff>
      <xdr:row>814</xdr:row>
      <xdr:rowOff>40822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3982AC60-497C-FE6D-D955-0CAAFB6AE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42713" y="153393323"/>
          <a:ext cx="2780220" cy="1333499"/>
        </a:xfrm>
        <a:prstGeom prst="rect">
          <a:avLst/>
        </a:prstGeom>
      </xdr:spPr>
    </xdr:pic>
    <xdr:clientData/>
  </xdr:twoCellAnchor>
  <xdr:twoCellAnchor editAs="oneCell">
    <xdr:from>
      <xdr:col>4</xdr:col>
      <xdr:colOff>898071</xdr:colOff>
      <xdr:row>876</xdr:row>
      <xdr:rowOff>40821</xdr:rowOff>
    </xdr:from>
    <xdr:to>
      <xdr:col>8</xdr:col>
      <xdr:colOff>625929</xdr:colOff>
      <xdr:row>885</xdr:row>
      <xdr:rowOff>36472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F2AC5DC5-C18A-7CCE-5338-EF2F466C3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89714" y="166918821"/>
          <a:ext cx="3660322" cy="17101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EEF42-2ACD-482D-8DFE-3F8C8E9FC543}">
  <dimension ref="A1:AB965"/>
  <sheetViews>
    <sheetView tabSelected="1" topLeftCell="A703" zoomScale="70" zoomScaleNormal="70" workbookViewId="0">
      <selection activeCell="C8" sqref="C8"/>
    </sheetView>
  </sheetViews>
  <sheetFormatPr baseColWidth="10" defaultColWidth="11.44140625" defaultRowHeight="14.4" x14ac:dyDescent="0.3"/>
  <cols>
    <col min="1" max="1" width="11.44140625" style="1"/>
    <col min="2" max="2" width="14.44140625" style="1" bestFit="1" customWidth="1"/>
    <col min="3" max="3" width="14.6640625" style="1" bestFit="1" customWidth="1"/>
    <col min="4" max="4" width="17.6640625" style="1" bestFit="1" customWidth="1"/>
    <col min="5" max="5" width="14.44140625" style="1" bestFit="1" customWidth="1"/>
    <col min="6" max="6" width="12.5546875" style="1" customWidth="1"/>
    <col min="7" max="7" width="17.33203125" style="1" bestFit="1" customWidth="1"/>
    <col min="8" max="8" width="14.44140625" style="1" bestFit="1" customWidth="1"/>
    <col min="9" max="9" width="15.44140625" style="1" customWidth="1"/>
    <col min="10" max="10" width="17" style="1" bestFit="1" customWidth="1"/>
    <col min="11" max="11" width="13.88671875" style="1" bestFit="1" customWidth="1"/>
    <col min="12" max="12" width="14.88671875" style="1" bestFit="1" customWidth="1"/>
    <col min="13" max="13" width="17.33203125" style="1" bestFit="1" customWidth="1"/>
    <col min="14" max="14" width="14" style="1" bestFit="1" customWidth="1"/>
    <col min="15" max="15" width="15.6640625" style="1" bestFit="1" customWidth="1"/>
    <col min="16" max="16" width="17.33203125" style="1" bestFit="1" customWidth="1"/>
    <col min="17" max="17" width="13.88671875" style="1" bestFit="1" customWidth="1"/>
    <col min="18" max="18" width="15.5546875" style="1" bestFit="1" customWidth="1"/>
    <col min="19" max="19" width="17.33203125" style="1" bestFit="1" customWidth="1"/>
    <col min="20" max="28" width="11.5546875" style="1" bestFit="1" customWidth="1"/>
    <col min="29" max="16384" width="11.44140625" style="1"/>
  </cols>
  <sheetData>
    <row r="1" spans="1:10" x14ac:dyDescent="0.3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</row>
    <row r="3" spans="1:10" x14ac:dyDescent="0.3">
      <c r="A3" s="26" t="s">
        <v>1</v>
      </c>
      <c r="B3" s="26"/>
      <c r="C3" s="26"/>
      <c r="D3" s="26"/>
      <c r="E3" s="26"/>
      <c r="F3" s="26"/>
      <c r="G3" s="26"/>
      <c r="H3" s="26"/>
      <c r="I3" s="26"/>
      <c r="J3" s="26"/>
    </row>
    <row r="5" spans="1:10" x14ac:dyDescent="0.3">
      <c r="A5" s="1" t="s">
        <v>2</v>
      </c>
      <c r="B5" s="1">
        <v>625</v>
      </c>
      <c r="C5" s="1" t="s">
        <v>13</v>
      </c>
    </row>
    <row r="6" spans="1:10" x14ac:dyDescent="0.3">
      <c r="A6" s="1" t="s">
        <v>3</v>
      </c>
      <c r="B6" s="1">
        <f>POWER(25,4)/12</f>
        <v>32552.083333333332</v>
      </c>
      <c r="C6" s="1" t="s">
        <v>62</v>
      </c>
    </row>
    <row r="7" spans="1:10" x14ac:dyDescent="0.3">
      <c r="A7" s="1" t="s">
        <v>5</v>
      </c>
      <c r="B7" s="1">
        <v>400</v>
      </c>
      <c r="C7" s="1" t="s">
        <v>164</v>
      </c>
    </row>
    <row r="8" spans="1:10" x14ac:dyDescent="0.3">
      <c r="A8" s="1" t="s">
        <v>4</v>
      </c>
      <c r="B8" s="1">
        <f>15100*SQRT(210)</f>
        <v>218819.78886746051</v>
      </c>
      <c r="C8" s="2" t="s">
        <v>15</v>
      </c>
    </row>
    <row r="10" spans="1:10" x14ac:dyDescent="0.3">
      <c r="B10" s="1" t="s">
        <v>6</v>
      </c>
    </row>
    <row r="11" spans="1:10" x14ac:dyDescent="0.3">
      <c r="B11" s="1" t="s">
        <v>7</v>
      </c>
      <c r="C11" s="3">
        <f>(B8*B5)/B7</f>
        <v>341905.92010540701</v>
      </c>
      <c r="D11" s="1" t="s">
        <v>12</v>
      </c>
    </row>
    <row r="12" spans="1:10" x14ac:dyDescent="0.3">
      <c r="B12" s="1" t="s">
        <v>8</v>
      </c>
      <c r="C12" s="3">
        <f>(12*B8*B6)/(B7^3)</f>
        <v>1335.5700004117459</v>
      </c>
      <c r="D12" s="1" t="s">
        <v>12</v>
      </c>
    </row>
    <row r="13" spans="1:10" x14ac:dyDescent="0.3">
      <c r="B13" s="1" t="s">
        <v>9</v>
      </c>
      <c r="C13" s="3">
        <f>(6*B8*B6)/(B7^2)</f>
        <v>267114.00008234923</v>
      </c>
      <c r="D13" s="1" t="s">
        <v>12</v>
      </c>
    </row>
    <row r="14" spans="1:10" x14ac:dyDescent="0.3">
      <c r="B14" s="1" t="s">
        <v>10</v>
      </c>
      <c r="C14" s="3">
        <f>+(4*B8*B6)/(B7)</f>
        <v>71230400.021959797</v>
      </c>
      <c r="D14" s="1" t="s">
        <v>12</v>
      </c>
    </row>
    <row r="15" spans="1:10" x14ac:dyDescent="0.3">
      <c r="B15" s="1" t="s">
        <v>11</v>
      </c>
      <c r="C15" s="3">
        <f>+(2*B8*B6)/B7</f>
        <v>35615200.010979898</v>
      </c>
      <c r="D15" s="1" t="s">
        <v>12</v>
      </c>
    </row>
    <row r="16" spans="1:10" x14ac:dyDescent="0.3">
      <c r="C16" s="4"/>
    </row>
    <row r="17" spans="1:10" x14ac:dyDescent="0.3">
      <c r="A17" s="24" t="s">
        <v>16</v>
      </c>
      <c r="B17" s="24"/>
      <c r="C17" s="24"/>
      <c r="D17" s="24"/>
      <c r="E17" s="24"/>
      <c r="F17" s="24"/>
      <c r="G17" s="24"/>
    </row>
    <row r="18" spans="1:10" x14ac:dyDescent="0.3">
      <c r="A18" s="1" t="s">
        <v>17</v>
      </c>
      <c r="B18" s="5" t="s">
        <v>18</v>
      </c>
      <c r="C18" s="5" t="s">
        <v>19</v>
      </c>
      <c r="D18" s="5" t="s">
        <v>20</v>
      </c>
      <c r="E18" s="5" t="s">
        <v>21</v>
      </c>
      <c r="F18" s="5" t="s">
        <v>22</v>
      </c>
      <c r="G18" s="5" t="s">
        <v>23</v>
      </c>
    </row>
    <row r="19" spans="1:10" x14ac:dyDescent="0.3">
      <c r="A19" s="5" t="s">
        <v>18</v>
      </c>
      <c r="B19" s="6">
        <f>+C11</f>
        <v>341905.92010540701</v>
      </c>
      <c r="C19" s="6">
        <v>0</v>
      </c>
      <c r="D19" s="6">
        <v>0</v>
      </c>
      <c r="E19" s="7">
        <f>+-C11</f>
        <v>-341905.92010540701</v>
      </c>
      <c r="F19" s="7">
        <v>0</v>
      </c>
      <c r="G19" s="7">
        <v>0</v>
      </c>
      <c r="H19" s="28" t="s">
        <v>35</v>
      </c>
      <c r="I19" s="28"/>
    </row>
    <row r="20" spans="1:10" x14ac:dyDescent="0.3">
      <c r="A20" s="5" t="s">
        <v>19</v>
      </c>
      <c r="B20" s="6">
        <v>0</v>
      </c>
      <c r="C20" s="6">
        <f>+C12</f>
        <v>1335.5700004117459</v>
      </c>
      <c r="D20" s="6">
        <f>+C13</f>
        <v>267114.00008234923</v>
      </c>
      <c r="E20" s="7">
        <v>0</v>
      </c>
      <c r="F20" s="7">
        <f>-C12</f>
        <v>-1335.5700004117459</v>
      </c>
      <c r="G20" s="7">
        <f>+C13</f>
        <v>267114.00008234923</v>
      </c>
      <c r="H20" s="28"/>
      <c r="I20" s="28"/>
    </row>
    <row r="21" spans="1:10" x14ac:dyDescent="0.3">
      <c r="A21" s="5" t="s">
        <v>20</v>
      </c>
      <c r="B21" s="6">
        <v>0</v>
      </c>
      <c r="C21" s="6">
        <f>+C13</f>
        <v>267114.00008234923</v>
      </c>
      <c r="D21" s="6">
        <f>+C14</f>
        <v>71230400.021959797</v>
      </c>
      <c r="E21" s="7">
        <v>0</v>
      </c>
      <c r="F21" s="7">
        <f>+-C13</f>
        <v>-267114.00008234923</v>
      </c>
      <c r="G21" s="7">
        <f>+C15</f>
        <v>35615200.010979898</v>
      </c>
      <c r="H21" s="28"/>
      <c r="I21" s="28"/>
    </row>
    <row r="22" spans="1:10" x14ac:dyDescent="0.3">
      <c r="A22" s="5" t="s">
        <v>21</v>
      </c>
      <c r="B22" s="8">
        <f>-C11</f>
        <v>-341905.92010540701</v>
      </c>
      <c r="C22" s="8">
        <v>0</v>
      </c>
      <c r="D22" s="8">
        <v>0</v>
      </c>
      <c r="E22" s="9">
        <f>+C11</f>
        <v>341905.92010540701</v>
      </c>
      <c r="F22" s="9">
        <v>0</v>
      </c>
      <c r="G22" s="9">
        <v>0</v>
      </c>
      <c r="H22" s="28"/>
      <c r="I22" s="28"/>
    </row>
    <row r="23" spans="1:10" ht="15" customHeight="1" x14ac:dyDescent="0.3">
      <c r="A23" s="5" t="s">
        <v>22</v>
      </c>
      <c r="B23" s="8">
        <v>0</v>
      </c>
      <c r="C23" s="8">
        <f>-C12</f>
        <v>-1335.5700004117459</v>
      </c>
      <c r="D23" s="8">
        <f>-C13</f>
        <v>-267114.00008234923</v>
      </c>
      <c r="E23" s="9">
        <v>0</v>
      </c>
      <c r="F23" s="9">
        <f>C12</f>
        <v>1335.5700004117459</v>
      </c>
      <c r="G23" s="9">
        <f>-C13</f>
        <v>-267114.00008234923</v>
      </c>
      <c r="H23" s="28"/>
      <c r="I23" s="28"/>
    </row>
    <row r="24" spans="1:10" ht="15" customHeight="1" x14ac:dyDescent="0.3">
      <c r="A24" s="5" t="s">
        <v>23</v>
      </c>
      <c r="B24" s="8">
        <v>0</v>
      </c>
      <c r="C24" s="8">
        <f>+C13</f>
        <v>267114.00008234923</v>
      </c>
      <c r="D24" s="8">
        <f>+C15</f>
        <v>35615200.010979898</v>
      </c>
      <c r="E24" s="9">
        <v>0</v>
      </c>
      <c r="F24" s="9">
        <f>-C13</f>
        <v>-267114.00008234923</v>
      </c>
      <c r="G24" s="9">
        <f>C14</f>
        <v>71230400.021959797</v>
      </c>
      <c r="H24" s="28"/>
      <c r="I24" s="28"/>
    </row>
    <row r="26" spans="1:10" x14ac:dyDescent="0.3">
      <c r="A26" s="24" t="s">
        <v>24</v>
      </c>
      <c r="B26" s="24"/>
      <c r="C26" s="24"/>
      <c r="D26" s="24"/>
      <c r="E26" s="24"/>
      <c r="F26" s="24"/>
      <c r="G26" s="24"/>
      <c r="H26" s="24"/>
      <c r="I26" s="24"/>
      <c r="J26" s="24"/>
    </row>
    <row r="27" spans="1:10" x14ac:dyDescent="0.3">
      <c r="A27" s="4"/>
      <c r="B27" s="4"/>
      <c r="C27" s="27" t="s">
        <v>25</v>
      </c>
      <c r="D27" s="27"/>
      <c r="E27" s="27" t="s">
        <v>26</v>
      </c>
      <c r="F27" s="27"/>
      <c r="G27" s="27" t="s">
        <v>27</v>
      </c>
      <c r="H27" s="27"/>
      <c r="I27" s="27" t="s">
        <v>28</v>
      </c>
      <c r="J27" s="27"/>
    </row>
    <row r="28" spans="1:10" x14ac:dyDescent="0.3">
      <c r="A28" s="4" t="s">
        <v>29</v>
      </c>
      <c r="B28" s="10">
        <v>90</v>
      </c>
      <c r="C28" s="4" t="s">
        <v>2</v>
      </c>
      <c r="D28" s="11">
        <f>+B19</f>
        <v>341905.92010540701</v>
      </c>
      <c r="E28" s="4" t="s">
        <v>2</v>
      </c>
      <c r="F28" s="11">
        <f>+E19</f>
        <v>-341905.92010540701</v>
      </c>
      <c r="G28" s="4" t="s">
        <v>2</v>
      </c>
      <c r="H28" s="11">
        <f>+B22</f>
        <v>-341905.92010540701</v>
      </c>
      <c r="I28" s="4" t="s">
        <v>2</v>
      </c>
      <c r="J28" s="12">
        <f>+E22</f>
        <v>341905.92010540701</v>
      </c>
    </row>
    <row r="29" spans="1:10" x14ac:dyDescent="0.3">
      <c r="A29" s="4" t="s">
        <v>30</v>
      </c>
      <c r="B29" s="4">
        <f>SIN(RADIANS(B28))</f>
        <v>1</v>
      </c>
      <c r="C29" s="4" t="s">
        <v>32</v>
      </c>
      <c r="D29" s="11">
        <f>+C20</f>
        <v>1335.5700004117459</v>
      </c>
      <c r="E29" s="4" t="s">
        <v>32</v>
      </c>
      <c r="F29" s="11">
        <f>+F20</f>
        <v>-1335.5700004117459</v>
      </c>
      <c r="G29" s="4" t="s">
        <v>32</v>
      </c>
      <c r="H29" s="11">
        <f>+C23</f>
        <v>-1335.5700004117459</v>
      </c>
      <c r="I29" s="4" t="s">
        <v>32</v>
      </c>
      <c r="J29" s="12">
        <f>+F23</f>
        <v>1335.5700004117459</v>
      </c>
    </row>
    <row r="30" spans="1:10" x14ac:dyDescent="0.3">
      <c r="A30" s="4" t="s">
        <v>31</v>
      </c>
      <c r="B30" s="4">
        <f>COS(RADIANS(B28))</f>
        <v>6.1257422745431001E-17</v>
      </c>
      <c r="C30" s="4" t="s">
        <v>33</v>
      </c>
      <c r="D30" s="11">
        <f>+D21</f>
        <v>71230400.021959797</v>
      </c>
      <c r="E30" s="4" t="s">
        <v>33</v>
      </c>
      <c r="F30" s="11">
        <f>+G21</f>
        <v>35615200.010979898</v>
      </c>
      <c r="G30" s="4" t="s">
        <v>33</v>
      </c>
      <c r="H30" s="11">
        <f>+D24</f>
        <v>35615200.010979898</v>
      </c>
      <c r="I30" s="4" t="s">
        <v>33</v>
      </c>
      <c r="J30" s="12">
        <f>+G24</f>
        <v>71230400.021959797</v>
      </c>
    </row>
    <row r="31" spans="1:10" x14ac:dyDescent="0.3">
      <c r="A31" s="4"/>
      <c r="B31" s="4"/>
      <c r="C31" s="4" t="s">
        <v>34</v>
      </c>
      <c r="D31" s="11">
        <f>+D20</f>
        <v>267114.00008234923</v>
      </c>
      <c r="E31" s="4" t="s">
        <v>34</v>
      </c>
      <c r="F31" s="11">
        <f>+G20</f>
        <v>267114.00008234923</v>
      </c>
      <c r="G31" s="4" t="s">
        <v>34</v>
      </c>
      <c r="H31" s="11">
        <f>+D23</f>
        <v>-267114.00008234923</v>
      </c>
      <c r="I31" s="4" t="s">
        <v>34</v>
      </c>
      <c r="J31" s="12">
        <f>+G23</f>
        <v>-267114.00008234923</v>
      </c>
    </row>
    <row r="32" spans="1:10" x14ac:dyDescent="0.3">
      <c r="C32" s="4" t="s">
        <v>4</v>
      </c>
      <c r="D32" s="11">
        <f>+C21</f>
        <v>267114.00008234923</v>
      </c>
      <c r="E32" s="4" t="s">
        <v>4</v>
      </c>
      <c r="F32" s="11">
        <f>+F21</f>
        <v>-267114.00008234923</v>
      </c>
      <c r="G32" s="4" t="s">
        <v>4</v>
      </c>
      <c r="H32" s="11">
        <f>+C24</f>
        <v>267114.00008234923</v>
      </c>
      <c r="I32" s="4" t="s">
        <v>4</v>
      </c>
      <c r="J32" s="12">
        <f>+F24</f>
        <v>-267114.00008234923</v>
      </c>
    </row>
    <row r="36" spans="1:28" x14ac:dyDescent="0.3">
      <c r="A36" s="1" t="s">
        <v>17</v>
      </c>
      <c r="B36" s="5" t="s">
        <v>18</v>
      </c>
      <c r="C36" s="5" t="s">
        <v>19</v>
      </c>
      <c r="D36" s="5" t="s">
        <v>20</v>
      </c>
      <c r="E36" s="5" t="s">
        <v>21</v>
      </c>
      <c r="F36" s="5" t="s">
        <v>22</v>
      </c>
      <c r="G36" s="5" t="s">
        <v>23</v>
      </c>
    </row>
    <row r="37" spans="1:28" x14ac:dyDescent="0.3">
      <c r="A37" s="5" t="str">
        <f t="array" ref="A37:A42">+TRANSPOSE(B36:G36)</f>
        <v>1x</v>
      </c>
      <c r="B37" s="6">
        <f>(J28*B30*B30)+(J29*B29*B29)</f>
        <v>1335.5700004117459</v>
      </c>
      <c r="C37" s="6">
        <f>(J28-J29)*B30*B29</f>
        <v>2.0862461910941136E-11</v>
      </c>
      <c r="D37" s="6">
        <f>-J31*B29</f>
        <v>267114.00008234923</v>
      </c>
      <c r="E37" s="7">
        <v>0</v>
      </c>
      <c r="F37" s="7">
        <v>0</v>
      </c>
      <c r="G37" s="7">
        <v>0</v>
      </c>
    </row>
    <row r="38" spans="1:28" x14ac:dyDescent="0.3">
      <c r="A38" s="5" t="str">
        <v>1z</v>
      </c>
      <c r="B38" s="6">
        <f>(J28-J29)*B30*B29</f>
        <v>2.0862461910941136E-11</v>
      </c>
      <c r="C38" s="6">
        <f>+(J28*B29*B29)+(J29*B30*B30)</f>
        <v>341905.92010540701</v>
      </c>
      <c r="D38" s="6">
        <f>J31*B30</f>
        <v>-1.6362715224267559E-11</v>
      </c>
      <c r="E38" s="7">
        <v>0</v>
      </c>
      <c r="F38" s="7">
        <v>0</v>
      </c>
      <c r="G38" s="7">
        <v>0</v>
      </c>
    </row>
    <row r="39" spans="1:28" x14ac:dyDescent="0.3">
      <c r="A39" s="5" t="str">
        <v>ϴ 1</v>
      </c>
      <c r="B39" s="6">
        <f>-J32*B29</f>
        <v>267114.00008234923</v>
      </c>
      <c r="C39" s="6">
        <f>J32*B30</f>
        <v>-1.6362715224267559E-11</v>
      </c>
      <c r="D39" s="6">
        <f>+J30</f>
        <v>71230400.021959797</v>
      </c>
      <c r="E39" s="7">
        <v>0</v>
      </c>
      <c r="F39" s="7">
        <v>0</v>
      </c>
      <c r="G39" s="7">
        <v>0</v>
      </c>
    </row>
    <row r="40" spans="1:28" x14ac:dyDescent="0.3">
      <c r="A40" s="5" t="str">
        <v>ax</v>
      </c>
      <c r="B40" s="8">
        <v>0</v>
      </c>
      <c r="C40" s="8">
        <v>0</v>
      </c>
      <c r="D40" s="8">
        <v>0</v>
      </c>
      <c r="E40" s="9">
        <v>0</v>
      </c>
      <c r="F40" s="9">
        <v>0</v>
      </c>
      <c r="G40" s="9">
        <v>0</v>
      </c>
    </row>
    <row r="41" spans="1:28" x14ac:dyDescent="0.3">
      <c r="A41" s="5" t="str">
        <v>az</v>
      </c>
      <c r="B41" s="8">
        <v>0</v>
      </c>
      <c r="C41" s="8">
        <v>0</v>
      </c>
      <c r="D41" s="8">
        <v>0</v>
      </c>
      <c r="E41" s="9">
        <v>0</v>
      </c>
      <c r="F41" s="9">
        <v>0</v>
      </c>
      <c r="G41" s="9">
        <v>0</v>
      </c>
    </row>
    <row r="42" spans="1:28" x14ac:dyDescent="0.3">
      <c r="A42" s="5" t="str">
        <v>ϴ a</v>
      </c>
      <c r="B42" s="8">
        <v>0</v>
      </c>
      <c r="C42" s="8">
        <v>0</v>
      </c>
      <c r="D42" s="8">
        <v>0</v>
      </c>
      <c r="E42" s="9">
        <v>0</v>
      </c>
      <c r="F42" s="9">
        <v>0</v>
      </c>
      <c r="G42" s="9">
        <v>0</v>
      </c>
    </row>
    <row r="45" spans="1:28" x14ac:dyDescent="0.3">
      <c r="A45" s="1" t="s">
        <v>36</v>
      </c>
      <c r="B45" s="13" t="s">
        <v>18</v>
      </c>
      <c r="C45" s="13" t="s">
        <v>19</v>
      </c>
      <c r="D45" s="13" t="s">
        <v>20</v>
      </c>
      <c r="E45" s="13" t="s">
        <v>37</v>
      </c>
      <c r="F45" s="13" t="s">
        <v>38</v>
      </c>
      <c r="G45" s="13" t="s">
        <v>39</v>
      </c>
      <c r="H45" s="13" t="s">
        <v>40</v>
      </c>
      <c r="I45" s="13" t="s">
        <v>41</v>
      </c>
      <c r="J45" s="13" t="s">
        <v>42</v>
      </c>
      <c r="K45" s="13" t="s">
        <v>43</v>
      </c>
      <c r="L45" s="13" t="s">
        <v>44</v>
      </c>
      <c r="M45" s="13" t="s">
        <v>45</v>
      </c>
      <c r="N45" s="13" t="s">
        <v>46</v>
      </c>
      <c r="O45" s="13" t="s">
        <v>47</v>
      </c>
      <c r="P45" s="13" t="s">
        <v>48</v>
      </c>
      <c r="Q45" s="13" t="s">
        <v>49</v>
      </c>
      <c r="R45" s="13" t="s">
        <v>50</v>
      </c>
      <c r="S45" s="13" t="s">
        <v>51</v>
      </c>
      <c r="T45" s="13" t="s">
        <v>21</v>
      </c>
      <c r="U45" s="13" t="s">
        <v>22</v>
      </c>
      <c r="V45" s="13" t="s">
        <v>23</v>
      </c>
      <c r="W45" s="13" t="s">
        <v>52</v>
      </c>
      <c r="X45" s="13" t="s">
        <v>53</v>
      </c>
      <c r="Y45" s="13" t="s">
        <v>54</v>
      </c>
      <c r="Z45" s="13" t="s">
        <v>55</v>
      </c>
      <c r="AA45" s="13" t="s">
        <v>56</v>
      </c>
      <c r="AB45" s="13" t="s">
        <v>57</v>
      </c>
    </row>
    <row r="46" spans="1:28" x14ac:dyDescent="0.3">
      <c r="A46" s="13" t="str">
        <f t="array" ref="A46:A72">TRANSPOSE(B45:AB45)</f>
        <v>1x</v>
      </c>
      <c r="B46" s="1">
        <f t="array" ref="B46:D48">B37:D39</f>
        <v>1335.5700004117459</v>
      </c>
      <c r="C46" s="1">
        <v>2.0862461910941136E-11</v>
      </c>
      <c r="D46" s="1">
        <v>267114.00008234923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</row>
    <row r="47" spans="1:28" x14ac:dyDescent="0.3">
      <c r="A47" s="13" t="str">
        <v>1z</v>
      </c>
      <c r="B47" s="1">
        <v>2.0862461910941136E-11</v>
      </c>
      <c r="C47" s="1">
        <v>341905.92010540701</v>
      </c>
      <c r="D47" s="1">
        <v>-1.6362715224267559E-11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</row>
    <row r="48" spans="1:28" x14ac:dyDescent="0.3">
      <c r="A48" s="13" t="str">
        <v>ϴ 1</v>
      </c>
      <c r="B48" s="1">
        <v>267114.00008234923</v>
      </c>
      <c r="C48" s="1">
        <v>-1.6362715224267559E-11</v>
      </c>
      <c r="D48" s="1">
        <v>71230400.021959797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</row>
    <row r="49" spans="1:28" x14ac:dyDescent="0.3">
      <c r="A49" s="13" t="str">
        <v>2x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</row>
    <row r="50" spans="1:28" x14ac:dyDescent="0.3">
      <c r="A50" s="13" t="str">
        <v>2z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</row>
    <row r="51" spans="1:28" x14ac:dyDescent="0.3">
      <c r="A51" s="13" t="str">
        <v>ϴ 2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</row>
    <row r="52" spans="1:28" x14ac:dyDescent="0.3">
      <c r="A52" s="13" t="str">
        <v>3x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</row>
    <row r="53" spans="1:28" x14ac:dyDescent="0.3">
      <c r="A53" s="13" t="str">
        <v>3z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</row>
    <row r="54" spans="1:28" x14ac:dyDescent="0.3">
      <c r="A54" s="13" t="str">
        <v>ϴ 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</row>
    <row r="55" spans="1:28" x14ac:dyDescent="0.3">
      <c r="A55" s="13" t="str">
        <v>4x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</row>
    <row r="56" spans="1:28" x14ac:dyDescent="0.3">
      <c r="A56" s="13" t="str">
        <v>4z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</row>
    <row r="57" spans="1:28" x14ac:dyDescent="0.3">
      <c r="A57" s="13" t="str">
        <v>ϴ 4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</row>
    <row r="58" spans="1:28" x14ac:dyDescent="0.3">
      <c r="A58" s="13" t="str">
        <v>5x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</row>
    <row r="59" spans="1:28" x14ac:dyDescent="0.3">
      <c r="A59" s="13" t="str">
        <v>5z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</row>
    <row r="60" spans="1:28" x14ac:dyDescent="0.3">
      <c r="A60" s="13" t="str">
        <v>ϴ 5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</row>
    <row r="61" spans="1:28" x14ac:dyDescent="0.3">
      <c r="A61" s="13" t="str">
        <v>6x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</row>
    <row r="62" spans="1:28" x14ac:dyDescent="0.3">
      <c r="A62" s="13" t="str">
        <v>6z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</row>
    <row r="63" spans="1:28" x14ac:dyDescent="0.3">
      <c r="A63" s="13" t="str">
        <v>ϴ 6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</row>
    <row r="64" spans="1:28" x14ac:dyDescent="0.3">
      <c r="A64" s="13" t="str">
        <v>ax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</row>
    <row r="65" spans="1:28" x14ac:dyDescent="0.3">
      <c r="A65" s="13" t="str">
        <v>az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</row>
    <row r="66" spans="1:28" x14ac:dyDescent="0.3">
      <c r="A66" s="13" t="str">
        <v>ϴ a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</row>
    <row r="67" spans="1:28" x14ac:dyDescent="0.3">
      <c r="A67" s="13" t="str">
        <v>bx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</row>
    <row r="68" spans="1:28" x14ac:dyDescent="0.3">
      <c r="A68" s="13" t="str">
        <v>bz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</row>
    <row r="69" spans="1:28" x14ac:dyDescent="0.3">
      <c r="A69" s="13" t="str">
        <v>ϴ b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</row>
    <row r="70" spans="1:28" x14ac:dyDescent="0.3">
      <c r="A70" s="13" t="str">
        <v>cx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</row>
    <row r="71" spans="1:28" x14ac:dyDescent="0.3">
      <c r="A71" s="13" t="str">
        <v>cz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</row>
    <row r="72" spans="1:28" x14ac:dyDescent="0.3">
      <c r="A72" s="13" t="str">
        <v>ϴ c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</row>
    <row r="75" spans="1:28" x14ac:dyDescent="0.3">
      <c r="A75" s="26" t="s">
        <v>58</v>
      </c>
      <c r="B75" s="26"/>
      <c r="C75" s="26"/>
      <c r="D75" s="26"/>
      <c r="E75" s="26"/>
      <c r="F75" s="26"/>
      <c r="G75" s="26"/>
      <c r="H75" s="26"/>
      <c r="I75" s="26"/>
      <c r="J75" s="26"/>
    </row>
    <row r="77" spans="1:28" x14ac:dyDescent="0.3">
      <c r="A77" s="1" t="s">
        <v>2</v>
      </c>
      <c r="B77" s="1">
        <v>625</v>
      </c>
      <c r="C77" s="1" t="s">
        <v>13</v>
      </c>
    </row>
    <row r="78" spans="1:28" x14ac:dyDescent="0.3">
      <c r="A78" s="1" t="s">
        <v>3</v>
      </c>
      <c r="B78" s="1">
        <f>POWER(25,4)/12</f>
        <v>32552.083333333332</v>
      </c>
      <c r="C78" s="1" t="s">
        <v>62</v>
      </c>
    </row>
    <row r="79" spans="1:28" x14ac:dyDescent="0.3">
      <c r="A79" s="1" t="s">
        <v>5</v>
      </c>
      <c r="B79" s="1">
        <v>400</v>
      </c>
      <c r="C79" s="1" t="s">
        <v>14</v>
      </c>
    </row>
    <row r="80" spans="1:28" x14ac:dyDescent="0.3">
      <c r="A80" s="1" t="s">
        <v>4</v>
      </c>
      <c r="B80" s="1">
        <f>15100*SQRT(210)</f>
        <v>218819.78886746051</v>
      </c>
      <c r="C80" s="2" t="s">
        <v>15</v>
      </c>
    </row>
    <row r="82" spans="1:9" x14ac:dyDescent="0.3">
      <c r="B82" s="1" t="s">
        <v>6</v>
      </c>
    </row>
    <row r="83" spans="1:9" x14ac:dyDescent="0.3">
      <c r="B83" s="1" t="s">
        <v>7</v>
      </c>
      <c r="C83" s="3">
        <f>(B80*B77)/B79</f>
        <v>341905.92010540701</v>
      </c>
      <c r="D83" s="1" t="s">
        <v>12</v>
      </c>
    </row>
    <row r="84" spans="1:9" x14ac:dyDescent="0.3">
      <c r="B84" s="1" t="s">
        <v>8</v>
      </c>
      <c r="C84" s="3">
        <f>(12*B80*B78)/(B79^3)</f>
        <v>1335.5700004117459</v>
      </c>
      <c r="D84" s="1" t="s">
        <v>12</v>
      </c>
    </row>
    <row r="85" spans="1:9" x14ac:dyDescent="0.3">
      <c r="B85" s="1" t="s">
        <v>9</v>
      </c>
      <c r="C85" s="3">
        <f>(6*B80*B78)/(B79^2)</f>
        <v>267114.00008234923</v>
      </c>
      <c r="D85" s="1" t="s">
        <v>12</v>
      </c>
    </row>
    <row r="86" spans="1:9" x14ac:dyDescent="0.3">
      <c r="B86" s="1" t="s">
        <v>10</v>
      </c>
      <c r="C86" s="3">
        <f>+(4*B80*B78)/(B79)</f>
        <v>71230400.021959797</v>
      </c>
      <c r="D86" s="1" t="s">
        <v>12</v>
      </c>
    </row>
    <row r="87" spans="1:9" x14ac:dyDescent="0.3">
      <c r="B87" s="1" t="s">
        <v>11</v>
      </c>
      <c r="C87" s="3">
        <f>+(2*B80*B78)/B79</f>
        <v>35615200.010979898</v>
      </c>
      <c r="D87" s="1" t="s">
        <v>12</v>
      </c>
    </row>
    <row r="88" spans="1:9" x14ac:dyDescent="0.3">
      <c r="C88" s="4"/>
    </row>
    <row r="89" spans="1:9" x14ac:dyDescent="0.3">
      <c r="A89" s="24" t="s">
        <v>59</v>
      </c>
      <c r="B89" s="24"/>
      <c r="C89" s="24"/>
      <c r="D89" s="24"/>
      <c r="E89" s="24"/>
      <c r="F89" s="24"/>
      <c r="G89" s="24"/>
    </row>
    <row r="90" spans="1:9" x14ac:dyDescent="0.3">
      <c r="A90" s="1" t="s">
        <v>138</v>
      </c>
      <c r="B90" s="5" t="s">
        <v>37</v>
      </c>
      <c r="C90" s="5" t="s">
        <v>38</v>
      </c>
      <c r="D90" s="5" t="s">
        <v>39</v>
      </c>
      <c r="E90" s="5" t="s">
        <v>52</v>
      </c>
      <c r="F90" s="5" t="s">
        <v>53</v>
      </c>
      <c r="G90" s="5" t="s">
        <v>54</v>
      </c>
    </row>
    <row r="91" spans="1:9" x14ac:dyDescent="0.3">
      <c r="A91" s="5" t="str">
        <f t="array" ref="A91:A96">TRANSPOSE(B90:G90)</f>
        <v>2x</v>
      </c>
      <c r="B91" s="6">
        <f>+C83</f>
        <v>341905.92010540701</v>
      </c>
      <c r="C91" s="6">
        <v>0</v>
      </c>
      <c r="D91" s="6">
        <v>0</v>
      </c>
      <c r="E91" s="7">
        <f>+-C83</f>
        <v>-341905.92010540701</v>
      </c>
      <c r="F91" s="7">
        <v>0</v>
      </c>
      <c r="G91" s="7">
        <v>0</v>
      </c>
      <c r="H91" s="28" t="s">
        <v>35</v>
      </c>
      <c r="I91" s="28"/>
    </row>
    <row r="92" spans="1:9" x14ac:dyDescent="0.3">
      <c r="A92" s="5" t="str">
        <v>2z</v>
      </c>
      <c r="B92" s="6">
        <v>0</v>
      </c>
      <c r="C92" s="6">
        <f>+C84</f>
        <v>1335.5700004117459</v>
      </c>
      <c r="D92" s="6">
        <f>+C85</f>
        <v>267114.00008234923</v>
      </c>
      <c r="E92" s="7">
        <v>0</v>
      </c>
      <c r="F92" s="7">
        <f>-C84</f>
        <v>-1335.5700004117459</v>
      </c>
      <c r="G92" s="7">
        <f>+C85</f>
        <v>267114.00008234923</v>
      </c>
      <c r="H92" s="28"/>
      <c r="I92" s="28"/>
    </row>
    <row r="93" spans="1:9" x14ac:dyDescent="0.3">
      <c r="A93" s="5" t="str">
        <v>ϴ 2</v>
      </c>
      <c r="B93" s="6">
        <v>0</v>
      </c>
      <c r="C93" s="6">
        <f>+C85</f>
        <v>267114.00008234923</v>
      </c>
      <c r="D93" s="6">
        <f>+C86</f>
        <v>71230400.021959797</v>
      </c>
      <c r="E93" s="7">
        <v>0</v>
      </c>
      <c r="F93" s="7">
        <f>+-C85</f>
        <v>-267114.00008234923</v>
      </c>
      <c r="G93" s="7">
        <f>+C87</f>
        <v>35615200.010979898</v>
      </c>
      <c r="H93" s="28"/>
      <c r="I93" s="28"/>
    </row>
    <row r="94" spans="1:9" x14ac:dyDescent="0.3">
      <c r="A94" s="5" t="str">
        <v>bx</v>
      </c>
      <c r="B94" s="8">
        <f>-C83</f>
        <v>-341905.92010540701</v>
      </c>
      <c r="C94" s="8">
        <v>0</v>
      </c>
      <c r="D94" s="8">
        <v>0</v>
      </c>
      <c r="E94" s="9">
        <f>+C83</f>
        <v>341905.92010540701</v>
      </c>
      <c r="F94" s="9">
        <v>0</v>
      </c>
      <c r="G94" s="9">
        <v>0</v>
      </c>
      <c r="H94" s="28"/>
      <c r="I94" s="28"/>
    </row>
    <row r="95" spans="1:9" x14ac:dyDescent="0.3">
      <c r="A95" s="5" t="str">
        <v>bz</v>
      </c>
      <c r="B95" s="8">
        <v>0</v>
      </c>
      <c r="C95" s="8">
        <f>-C84</f>
        <v>-1335.5700004117459</v>
      </c>
      <c r="D95" s="8">
        <f>-C85</f>
        <v>-267114.00008234923</v>
      </c>
      <c r="E95" s="9">
        <v>0</v>
      </c>
      <c r="F95" s="9">
        <f>C84</f>
        <v>1335.5700004117459</v>
      </c>
      <c r="G95" s="9">
        <f>-C85</f>
        <v>-267114.00008234923</v>
      </c>
      <c r="H95" s="28"/>
      <c r="I95" s="28"/>
    </row>
    <row r="96" spans="1:9" x14ac:dyDescent="0.3">
      <c r="A96" s="5" t="str">
        <v>ϴ b</v>
      </c>
      <c r="B96" s="8">
        <v>0</v>
      </c>
      <c r="C96" s="8">
        <f>+C85</f>
        <v>267114.00008234923</v>
      </c>
      <c r="D96" s="8">
        <f>+C87</f>
        <v>35615200.010979898</v>
      </c>
      <c r="E96" s="9">
        <v>0</v>
      </c>
      <c r="F96" s="9">
        <f>-C85</f>
        <v>-267114.00008234923</v>
      </c>
      <c r="G96" s="9">
        <f>C86</f>
        <v>71230400.021959797</v>
      </c>
      <c r="H96" s="28"/>
      <c r="I96" s="28"/>
    </row>
    <row r="98" spans="1:10" x14ac:dyDescent="0.3">
      <c r="A98" s="24" t="s">
        <v>60</v>
      </c>
      <c r="B98" s="24"/>
      <c r="C98" s="24"/>
      <c r="D98" s="24"/>
      <c r="E98" s="24"/>
      <c r="F98" s="24"/>
      <c r="G98" s="24"/>
      <c r="H98" s="24"/>
      <c r="I98" s="24"/>
      <c r="J98" s="24"/>
    </row>
    <row r="99" spans="1:10" x14ac:dyDescent="0.3">
      <c r="A99" s="4"/>
      <c r="B99" s="4"/>
      <c r="C99" s="27" t="s">
        <v>25</v>
      </c>
      <c r="D99" s="27"/>
      <c r="E99" s="27" t="s">
        <v>26</v>
      </c>
      <c r="F99" s="27"/>
      <c r="G99" s="27" t="s">
        <v>27</v>
      </c>
      <c r="H99" s="27"/>
      <c r="I99" s="27" t="s">
        <v>28</v>
      </c>
      <c r="J99" s="27"/>
    </row>
    <row r="100" spans="1:10" x14ac:dyDescent="0.3">
      <c r="A100" s="4" t="s">
        <v>29</v>
      </c>
      <c r="B100" s="10">
        <v>90</v>
      </c>
      <c r="C100" s="4" t="s">
        <v>2</v>
      </c>
      <c r="D100" s="11">
        <f>+B91</f>
        <v>341905.92010540701</v>
      </c>
      <c r="E100" s="4" t="s">
        <v>2</v>
      </c>
      <c r="F100" s="11">
        <f>+E91</f>
        <v>-341905.92010540701</v>
      </c>
      <c r="G100" s="4" t="s">
        <v>2</v>
      </c>
      <c r="H100" s="11">
        <f>+B94</f>
        <v>-341905.92010540701</v>
      </c>
      <c r="I100" s="4" t="s">
        <v>2</v>
      </c>
      <c r="J100" s="12">
        <f>+E94</f>
        <v>341905.92010540701</v>
      </c>
    </row>
    <row r="101" spans="1:10" x14ac:dyDescent="0.3">
      <c r="A101" s="4" t="s">
        <v>30</v>
      </c>
      <c r="B101" s="4">
        <f>SIN(RADIANS(B100))</f>
        <v>1</v>
      </c>
      <c r="C101" s="4" t="s">
        <v>32</v>
      </c>
      <c r="D101" s="11">
        <f>+C92</f>
        <v>1335.5700004117459</v>
      </c>
      <c r="E101" s="4" t="s">
        <v>32</v>
      </c>
      <c r="F101" s="11">
        <f>+F92</f>
        <v>-1335.5700004117459</v>
      </c>
      <c r="G101" s="4" t="s">
        <v>32</v>
      </c>
      <c r="H101" s="11">
        <f>+C95</f>
        <v>-1335.5700004117459</v>
      </c>
      <c r="I101" s="4" t="s">
        <v>32</v>
      </c>
      <c r="J101" s="12">
        <f>+F95</f>
        <v>1335.5700004117459</v>
      </c>
    </row>
    <row r="102" spans="1:10" x14ac:dyDescent="0.3">
      <c r="A102" s="4" t="s">
        <v>31</v>
      </c>
      <c r="B102" s="4">
        <f>COS(RADIANS(B100))</f>
        <v>6.1257422745431001E-17</v>
      </c>
      <c r="C102" s="4" t="s">
        <v>33</v>
      </c>
      <c r="D102" s="11">
        <f>+D93</f>
        <v>71230400.021959797</v>
      </c>
      <c r="E102" s="4" t="s">
        <v>33</v>
      </c>
      <c r="F102" s="11">
        <f>+G93</f>
        <v>35615200.010979898</v>
      </c>
      <c r="G102" s="4" t="s">
        <v>33</v>
      </c>
      <c r="H102" s="11">
        <f>+D96</f>
        <v>35615200.010979898</v>
      </c>
      <c r="I102" s="4" t="s">
        <v>33</v>
      </c>
      <c r="J102" s="12">
        <f>+G96</f>
        <v>71230400.021959797</v>
      </c>
    </row>
    <row r="103" spans="1:10" x14ac:dyDescent="0.3">
      <c r="A103" s="4"/>
      <c r="B103" s="4"/>
      <c r="C103" s="4" t="s">
        <v>34</v>
      </c>
      <c r="D103" s="11">
        <f>+D92</f>
        <v>267114.00008234923</v>
      </c>
      <c r="E103" s="4" t="s">
        <v>34</v>
      </c>
      <c r="F103" s="11">
        <f>+G92</f>
        <v>267114.00008234923</v>
      </c>
      <c r="G103" s="4" t="s">
        <v>34</v>
      </c>
      <c r="H103" s="11">
        <f>+D95</f>
        <v>-267114.00008234923</v>
      </c>
      <c r="I103" s="4" t="s">
        <v>34</v>
      </c>
      <c r="J103" s="12">
        <f>+G95</f>
        <v>-267114.00008234923</v>
      </c>
    </row>
    <row r="104" spans="1:10" x14ac:dyDescent="0.3">
      <c r="C104" s="4" t="s">
        <v>4</v>
      </c>
      <c r="D104" s="11">
        <f>+C93</f>
        <v>267114.00008234923</v>
      </c>
      <c r="E104" s="4" t="s">
        <v>4</v>
      </c>
      <c r="F104" s="11">
        <f>+F93</f>
        <v>-267114.00008234923</v>
      </c>
      <c r="G104" s="4" t="s">
        <v>4</v>
      </c>
      <c r="H104" s="11">
        <f>+C96</f>
        <v>267114.00008234923</v>
      </c>
      <c r="I104" s="4" t="s">
        <v>4</v>
      </c>
      <c r="J104" s="12">
        <f>+F96</f>
        <v>-267114.00008234923</v>
      </c>
    </row>
    <row r="108" spans="1:10" x14ac:dyDescent="0.3">
      <c r="A108" s="1" t="s">
        <v>17</v>
      </c>
      <c r="B108" s="5" t="str">
        <f t="array" ref="B108:G108">B90:G90</f>
        <v>2x</v>
      </c>
      <c r="C108" s="5" t="str">
        <v>2z</v>
      </c>
      <c r="D108" s="5" t="str">
        <v>ϴ 2</v>
      </c>
      <c r="E108" s="5" t="str">
        <v>bx</v>
      </c>
      <c r="F108" s="5" t="str">
        <v>bz</v>
      </c>
      <c r="G108" s="5" t="str">
        <v>ϴ b</v>
      </c>
    </row>
    <row r="109" spans="1:10" x14ac:dyDescent="0.3">
      <c r="A109" s="5" t="str">
        <f t="array" ref="A109:A114">+TRANSPOSE(B108:G108)</f>
        <v>2x</v>
      </c>
      <c r="B109" s="6">
        <f>(J100*B102*B102)+(J101*B101*B101)</f>
        <v>1335.5700004117459</v>
      </c>
      <c r="C109" s="6">
        <f>(J100-J101)*B102*B101</f>
        <v>2.0862461910941136E-11</v>
      </c>
      <c r="D109" s="6">
        <f>-J103*B101</f>
        <v>267114.00008234923</v>
      </c>
      <c r="E109" s="7">
        <v>0</v>
      </c>
      <c r="F109" s="7">
        <v>0</v>
      </c>
      <c r="G109" s="7">
        <v>0</v>
      </c>
    </row>
    <row r="110" spans="1:10" x14ac:dyDescent="0.3">
      <c r="A110" s="5" t="str">
        <v>2z</v>
      </c>
      <c r="B110" s="6">
        <f>(J100-J101)*B102*B101</f>
        <v>2.0862461910941136E-11</v>
      </c>
      <c r="C110" s="6">
        <f>+(J100*B101*B101)+(J101*B102*B102)</f>
        <v>341905.92010540701</v>
      </c>
      <c r="D110" s="6">
        <f>J103*B102</f>
        <v>-1.6362715224267559E-11</v>
      </c>
      <c r="E110" s="7">
        <v>0</v>
      </c>
      <c r="F110" s="7">
        <v>0</v>
      </c>
      <c r="G110" s="7">
        <v>0</v>
      </c>
    </row>
    <row r="111" spans="1:10" x14ac:dyDescent="0.3">
      <c r="A111" s="5" t="str">
        <v>ϴ 2</v>
      </c>
      <c r="B111" s="6">
        <f>-J104*B101</f>
        <v>267114.00008234923</v>
      </c>
      <c r="C111" s="6">
        <f>J104*B102</f>
        <v>-1.6362715224267559E-11</v>
      </c>
      <c r="D111" s="6">
        <f>+J102</f>
        <v>71230400.021959797</v>
      </c>
      <c r="E111" s="7">
        <v>0</v>
      </c>
      <c r="F111" s="7">
        <v>0</v>
      </c>
      <c r="G111" s="7">
        <v>0</v>
      </c>
    </row>
    <row r="112" spans="1:10" x14ac:dyDescent="0.3">
      <c r="A112" s="5" t="str">
        <v>bx</v>
      </c>
      <c r="B112" s="8">
        <v>0</v>
      </c>
      <c r="C112" s="8">
        <v>0</v>
      </c>
      <c r="D112" s="8">
        <v>0</v>
      </c>
      <c r="E112" s="9">
        <v>0</v>
      </c>
      <c r="F112" s="9">
        <v>0</v>
      </c>
      <c r="G112" s="9">
        <v>0</v>
      </c>
    </row>
    <row r="113" spans="1:28" x14ac:dyDescent="0.3">
      <c r="A113" s="5" t="str">
        <v>bz</v>
      </c>
      <c r="B113" s="8">
        <v>0</v>
      </c>
      <c r="C113" s="8">
        <v>0</v>
      </c>
      <c r="D113" s="8">
        <v>0</v>
      </c>
      <c r="E113" s="9">
        <v>0</v>
      </c>
      <c r="F113" s="9">
        <v>0</v>
      </c>
      <c r="G113" s="9">
        <v>0</v>
      </c>
    </row>
    <row r="114" spans="1:28" x14ac:dyDescent="0.3">
      <c r="A114" s="5" t="str">
        <v>ϴ b</v>
      </c>
      <c r="B114" s="8">
        <v>0</v>
      </c>
      <c r="C114" s="8">
        <v>0</v>
      </c>
      <c r="D114" s="8">
        <v>0</v>
      </c>
      <c r="E114" s="9">
        <v>0</v>
      </c>
      <c r="F114" s="9">
        <v>0</v>
      </c>
      <c r="G114" s="9">
        <v>0</v>
      </c>
    </row>
    <row r="117" spans="1:28" x14ac:dyDescent="0.3">
      <c r="A117" s="1" t="s">
        <v>36</v>
      </c>
      <c r="B117" s="13" t="s">
        <v>18</v>
      </c>
      <c r="C117" s="13" t="s">
        <v>19</v>
      </c>
      <c r="D117" s="13" t="s">
        <v>20</v>
      </c>
      <c r="E117" s="13" t="s">
        <v>37</v>
      </c>
      <c r="F117" s="13" t="s">
        <v>38</v>
      </c>
      <c r="G117" s="13" t="s">
        <v>39</v>
      </c>
      <c r="H117" s="13" t="s">
        <v>40</v>
      </c>
      <c r="I117" s="13" t="s">
        <v>41</v>
      </c>
      <c r="J117" s="13" t="s">
        <v>42</v>
      </c>
      <c r="K117" s="13" t="s">
        <v>43</v>
      </c>
      <c r="L117" s="13" t="s">
        <v>44</v>
      </c>
      <c r="M117" s="13" t="s">
        <v>45</v>
      </c>
      <c r="N117" s="13" t="s">
        <v>46</v>
      </c>
      <c r="O117" s="13" t="s">
        <v>47</v>
      </c>
      <c r="P117" s="13" t="s">
        <v>48</v>
      </c>
      <c r="Q117" s="13" t="s">
        <v>49</v>
      </c>
      <c r="R117" s="13" t="s">
        <v>50</v>
      </c>
      <c r="S117" s="13" t="s">
        <v>51</v>
      </c>
      <c r="T117" s="13" t="s">
        <v>21</v>
      </c>
      <c r="U117" s="13" t="s">
        <v>22</v>
      </c>
      <c r="V117" s="13" t="s">
        <v>23</v>
      </c>
      <c r="W117" s="13" t="s">
        <v>52</v>
      </c>
      <c r="X117" s="13" t="s">
        <v>53</v>
      </c>
      <c r="Y117" s="13" t="s">
        <v>54</v>
      </c>
      <c r="Z117" s="13" t="s">
        <v>55</v>
      </c>
      <c r="AA117" s="13" t="s">
        <v>56</v>
      </c>
      <c r="AB117" s="13" t="s">
        <v>57</v>
      </c>
    </row>
    <row r="118" spans="1:28" x14ac:dyDescent="0.3">
      <c r="A118" s="13" t="str">
        <f t="array" ref="A118:A144">TRANSPOSE(B117:AB117)</f>
        <v>1x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</row>
    <row r="119" spans="1:28" x14ac:dyDescent="0.3">
      <c r="A119" s="13" t="str">
        <v>1z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</row>
    <row r="120" spans="1:28" x14ac:dyDescent="0.3">
      <c r="A120" s="13" t="str">
        <v>ϴ 1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</row>
    <row r="121" spans="1:28" x14ac:dyDescent="0.3">
      <c r="A121" s="13" t="str">
        <v>2x</v>
      </c>
      <c r="B121" s="1">
        <v>0</v>
      </c>
      <c r="C121" s="1">
        <v>0</v>
      </c>
      <c r="D121" s="1">
        <v>0</v>
      </c>
      <c r="E121" s="1">
        <f t="array" ref="E121:G123">B109:D111</f>
        <v>1335.5700004117459</v>
      </c>
      <c r="F121" s="1">
        <v>2.0862461910941136E-11</v>
      </c>
      <c r="G121" s="1">
        <v>267114.00008234923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</row>
    <row r="122" spans="1:28" x14ac:dyDescent="0.3">
      <c r="A122" s="13" t="str">
        <v>2z</v>
      </c>
      <c r="B122" s="1">
        <v>0</v>
      </c>
      <c r="C122" s="1">
        <v>0</v>
      </c>
      <c r="D122" s="1">
        <v>0</v>
      </c>
      <c r="E122" s="1">
        <v>2.0862461910941136E-11</v>
      </c>
      <c r="F122" s="1">
        <v>341905.92010540701</v>
      </c>
      <c r="G122" s="1">
        <v>-1.6362715224267559E-11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</row>
    <row r="123" spans="1:28" x14ac:dyDescent="0.3">
      <c r="A123" s="13" t="str">
        <v>ϴ 2</v>
      </c>
      <c r="B123" s="1">
        <v>0</v>
      </c>
      <c r="C123" s="1">
        <v>0</v>
      </c>
      <c r="D123" s="1">
        <v>0</v>
      </c>
      <c r="E123" s="1">
        <v>267114.00008234923</v>
      </c>
      <c r="F123" s="1">
        <v>-1.6362715224267559E-11</v>
      </c>
      <c r="G123" s="1">
        <v>71230400.021959797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</row>
    <row r="124" spans="1:28" x14ac:dyDescent="0.3">
      <c r="A124" s="13" t="str">
        <v>3x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</row>
    <row r="125" spans="1:28" x14ac:dyDescent="0.3">
      <c r="A125" s="13" t="str">
        <v>3z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</row>
    <row r="126" spans="1:28" x14ac:dyDescent="0.3">
      <c r="A126" s="13" t="str">
        <v>ϴ 3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</row>
    <row r="127" spans="1:28" x14ac:dyDescent="0.3">
      <c r="A127" s="13" t="str">
        <v>4x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</row>
    <row r="128" spans="1:28" x14ac:dyDescent="0.3">
      <c r="A128" s="13" t="str">
        <v>4z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</row>
    <row r="129" spans="1:28" x14ac:dyDescent="0.3">
      <c r="A129" s="13" t="str">
        <v>ϴ 4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</row>
    <row r="130" spans="1:28" x14ac:dyDescent="0.3">
      <c r="A130" s="13" t="str">
        <v>5x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</row>
    <row r="131" spans="1:28" x14ac:dyDescent="0.3">
      <c r="A131" s="13" t="str">
        <v>5z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</row>
    <row r="132" spans="1:28" x14ac:dyDescent="0.3">
      <c r="A132" s="13" t="str">
        <v>ϴ 5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</row>
    <row r="133" spans="1:28" x14ac:dyDescent="0.3">
      <c r="A133" s="13" t="str">
        <v>6x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</row>
    <row r="134" spans="1:28" x14ac:dyDescent="0.3">
      <c r="A134" s="13" t="str">
        <v>6z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</row>
    <row r="135" spans="1:28" x14ac:dyDescent="0.3">
      <c r="A135" s="13" t="str">
        <v>ϴ 6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</row>
    <row r="136" spans="1:28" x14ac:dyDescent="0.3">
      <c r="A136" s="13" t="str">
        <v>ax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</row>
    <row r="137" spans="1:28" x14ac:dyDescent="0.3">
      <c r="A137" s="13" t="str">
        <v>az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</row>
    <row r="138" spans="1:28" x14ac:dyDescent="0.3">
      <c r="A138" s="13" t="str">
        <v>ϴ a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</row>
    <row r="139" spans="1:28" x14ac:dyDescent="0.3">
      <c r="A139" s="13" t="str">
        <v>bx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</row>
    <row r="140" spans="1:28" x14ac:dyDescent="0.3">
      <c r="A140" s="13" t="str">
        <v>bz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</row>
    <row r="141" spans="1:28" x14ac:dyDescent="0.3">
      <c r="A141" s="13" t="str">
        <v>ϴ b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</row>
    <row r="142" spans="1:28" x14ac:dyDescent="0.3">
      <c r="A142" s="13" t="str">
        <v>cx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</row>
    <row r="143" spans="1:28" x14ac:dyDescent="0.3">
      <c r="A143" s="13" t="str">
        <v>cz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</row>
    <row r="144" spans="1:28" x14ac:dyDescent="0.3">
      <c r="A144" s="13" t="str">
        <v>ϴ c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</row>
    <row r="147" spans="1:10" x14ac:dyDescent="0.3">
      <c r="A147" s="26" t="s">
        <v>61</v>
      </c>
      <c r="B147" s="26"/>
      <c r="C147" s="26"/>
      <c r="D147" s="26"/>
      <c r="E147" s="26"/>
      <c r="F147" s="26"/>
      <c r="G147" s="26"/>
      <c r="H147" s="26"/>
      <c r="I147" s="26"/>
      <c r="J147" s="26"/>
    </row>
    <row r="149" spans="1:10" x14ac:dyDescent="0.3">
      <c r="A149" s="1" t="s">
        <v>2</v>
      </c>
      <c r="B149" s="1">
        <v>625</v>
      </c>
      <c r="C149" s="1" t="s">
        <v>13</v>
      </c>
    </row>
    <row r="150" spans="1:10" x14ac:dyDescent="0.3">
      <c r="A150" s="1" t="s">
        <v>3</v>
      </c>
      <c r="B150" s="1">
        <f>POWER(25,4)/12</f>
        <v>32552.083333333332</v>
      </c>
      <c r="C150" s="1" t="s">
        <v>62</v>
      </c>
    </row>
    <row r="151" spans="1:10" x14ac:dyDescent="0.3">
      <c r="A151" s="1" t="s">
        <v>5</v>
      </c>
      <c r="B151" s="1">
        <v>400</v>
      </c>
      <c r="C151" s="1" t="s">
        <v>14</v>
      </c>
    </row>
    <row r="152" spans="1:10" x14ac:dyDescent="0.3">
      <c r="A152" s="1" t="s">
        <v>4</v>
      </c>
      <c r="B152" s="1">
        <f>15100*SQRT(210)</f>
        <v>218819.78886746051</v>
      </c>
      <c r="C152" s="2" t="s">
        <v>15</v>
      </c>
    </row>
    <row r="154" spans="1:10" x14ac:dyDescent="0.3">
      <c r="B154" s="1" t="s">
        <v>6</v>
      </c>
    </row>
    <row r="155" spans="1:10" x14ac:dyDescent="0.3">
      <c r="B155" s="1" t="s">
        <v>7</v>
      </c>
      <c r="C155" s="3">
        <f>(B152*B149)/B151</f>
        <v>341905.92010540701</v>
      </c>
      <c r="D155" s="1" t="s">
        <v>12</v>
      </c>
    </row>
    <row r="156" spans="1:10" x14ac:dyDescent="0.3">
      <c r="B156" s="1" t="s">
        <v>8</v>
      </c>
      <c r="C156" s="3">
        <f>(12*B152*B150)/(B151^3)</f>
        <v>1335.5700004117459</v>
      </c>
      <c r="D156" s="1" t="s">
        <v>12</v>
      </c>
    </row>
    <row r="157" spans="1:10" x14ac:dyDescent="0.3">
      <c r="B157" s="1" t="s">
        <v>9</v>
      </c>
      <c r="C157" s="3">
        <f>(6*B152*B150)/(B151^2)</f>
        <v>267114.00008234923</v>
      </c>
      <c r="D157" s="1" t="s">
        <v>12</v>
      </c>
    </row>
    <row r="158" spans="1:10" x14ac:dyDescent="0.3">
      <c r="B158" s="1" t="s">
        <v>10</v>
      </c>
      <c r="C158" s="3">
        <f>+(4*B152*B150)/(B151)</f>
        <v>71230400.021959797</v>
      </c>
      <c r="D158" s="1" t="s">
        <v>12</v>
      </c>
    </row>
    <row r="159" spans="1:10" x14ac:dyDescent="0.3">
      <c r="B159" s="1" t="s">
        <v>11</v>
      </c>
      <c r="C159" s="3">
        <f>+(2*B152*B150)/B151</f>
        <v>35615200.010979898</v>
      </c>
      <c r="D159" s="1" t="s">
        <v>12</v>
      </c>
    </row>
    <row r="160" spans="1:10" x14ac:dyDescent="0.3">
      <c r="C160" s="4"/>
    </row>
    <row r="161" spans="1:10" x14ac:dyDescent="0.3">
      <c r="A161" s="24" t="s">
        <v>63</v>
      </c>
      <c r="B161" s="24"/>
      <c r="C161" s="24"/>
      <c r="D161" s="24"/>
      <c r="E161" s="24"/>
      <c r="F161" s="24"/>
      <c r="G161" s="24"/>
    </row>
    <row r="162" spans="1:10" x14ac:dyDescent="0.3">
      <c r="A162" s="1" t="s">
        <v>17</v>
      </c>
      <c r="B162" s="5" t="s">
        <v>40</v>
      </c>
      <c r="C162" s="5" t="s">
        <v>41</v>
      </c>
      <c r="D162" s="5" t="s">
        <v>42</v>
      </c>
      <c r="E162" s="5" t="s">
        <v>55</v>
      </c>
      <c r="F162" s="5" t="s">
        <v>56</v>
      </c>
      <c r="G162" s="5" t="s">
        <v>57</v>
      </c>
    </row>
    <row r="163" spans="1:10" x14ac:dyDescent="0.3">
      <c r="A163" s="5" t="str">
        <f t="array" ref="A163:A168">TRANSPOSE(B162:G162)</f>
        <v>3x</v>
      </c>
      <c r="B163" s="6">
        <f>+C155</f>
        <v>341905.92010540701</v>
      </c>
      <c r="C163" s="6">
        <v>0</v>
      </c>
      <c r="D163" s="6">
        <v>0</v>
      </c>
      <c r="E163" s="7">
        <f>+-C155</f>
        <v>-341905.92010540701</v>
      </c>
      <c r="F163" s="7">
        <v>0</v>
      </c>
      <c r="G163" s="7">
        <v>0</v>
      </c>
      <c r="H163" s="28" t="s">
        <v>35</v>
      </c>
      <c r="I163" s="28"/>
    </row>
    <row r="164" spans="1:10" x14ac:dyDescent="0.3">
      <c r="A164" s="5" t="str">
        <v>3z</v>
      </c>
      <c r="B164" s="6">
        <v>0</v>
      </c>
      <c r="C164" s="6">
        <f>+C156</f>
        <v>1335.5700004117459</v>
      </c>
      <c r="D164" s="6">
        <f>+C157</f>
        <v>267114.00008234923</v>
      </c>
      <c r="E164" s="7">
        <v>0</v>
      </c>
      <c r="F164" s="7">
        <f>-C156</f>
        <v>-1335.5700004117459</v>
      </c>
      <c r="G164" s="7">
        <f>+C157</f>
        <v>267114.00008234923</v>
      </c>
      <c r="H164" s="28"/>
      <c r="I164" s="28"/>
    </row>
    <row r="165" spans="1:10" x14ac:dyDescent="0.3">
      <c r="A165" s="5" t="str">
        <v>ϴ 3</v>
      </c>
      <c r="B165" s="6">
        <v>0</v>
      </c>
      <c r="C165" s="6">
        <f>+C157</f>
        <v>267114.00008234923</v>
      </c>
      <c r="D165" s="6">
        <f>+C158</f>
        <v>71230400.021959797</v>
      </c>
      <c r="E165" s="7">
        <v>0</v>
      </c>
      <c r="F165" s="7">
        <f>+-C157</f>
        <v>-267114.00008234923</v>
      </c>
      <c r="G165" s="7">
        <f>+C159</f>
        <v>35615200.010979898</v>
      </c>
      <c r="H165" s="28"/>
      <c r="I165" s="28"/>
    </row>
    <row r="166" spans="1:10" x14ac:dyDescent="0.3">
      <c r="A166" s="5" t="str">
        <v>cx</v>
      </c>
      <c r="B166" s="8">
        <f>-C155</f>
        <v>-341905.92010540701</v>
      </c>
      <c r="C166" s="8">
        <v>0</v>
      </c>
      <c r="D166" s="8">
        <v>0</v>
      </c>
      <c r="E166" s="9">
        <f>+C155</f>
        <v>341905.92010540701</v>
      </c>
      <c r="F166" s="9">
        <v>0</v>
      </c>
      <c r="G166" s="9">
        <v>0</v>
      </c>
      <c r="H166" s="28"/>
      <c r="I166" s="28"/>
    </row>
    <row r="167" spans="1:10" x14ac:dyDescent="0.3">
      <c r="A167" s="5" t="str">
        <v>cz</v>
      </c>
      <c r="B167" s="8">
        <v>0</v>
      </c>
      <c r="C167" s="8">
        <f>-C156</f>
        <v>-1335.5700004117459</v>
      </c>
      <c r="D167" s="8">
        <f>-C157</f>
        <v>-267114.00008234923</v>
      </c>
      <c r="E167" s="9">
        <v>0</v>
      </c>
      <c r="F167" s="9">
        <f>C156</f>
        <v>1335.5700004117459</v>
      </c>
      <c r="G167" s="9">
        <f>-C157</f>
        <v>-267114.00008234923</v>
      </c>
      <c r="H167" s="28"/>
      <c r="I167" s="28"/>
    </row>
    <row r="168" spans="1:10" x14ac:dyDescent="0.3">
      <c r="A168" s="5" t="str">
        <v>ϴ c</v>
      </c>
      <c r="B168" s="8">
        <v>0</v>
      </c>
      <c r="C168" s="8">
        <f>+C157</f>
        <v>267114.00008234923</v>
      </c>
      <c r="D168" s="8">
        <f>+C159</f>
        <v>35615200.010979898</v>
      </c>
      <c r="E168" s="9">
        <v>0</v>
      </c>
      <c r="F168" s="9">
        <f>-C157</f>
        <v>-267114.00008234923</v>
      </c>
      <c r="G168" s="9">
        <f>C158</f>
        <v>71230400.021959797</v>
      </c>
      <c r="H168" s="28"/>
      <c r="I168" s="28"/>
    </row>
    <row r="170" spans="1:10" x14ac:dyDescent="0.3">
      <c r="A170" s="24" t="s">
        <v>64</v>
      </c>
      <c r="B170" s="24"/>
      <c r="C170" s="24"/>
      <c r="D170" s="24"/>
      <c r="E170" s="24"/>
      <c r="F170" s="24"/>
      <c r="G170" s="24"/>
      <c r="H170" s="24"/>
      <c r="I170" s="24"/>
      <c r="J170" s="24"/>
    </row>
    <row r="171" spans="1:10" x14ac:dyDescent="0.3">
      <c r="A171" s="4"/>
      <c r="B171" s="4"/>
      <c r="C171" s="27" t="s">
        <v>25</v>
      </c>
      <c r="D171" s="27"/>
      <c r="E171" s="27" t="s">
        <v>26</v>
      </c>
      <c r="F171" s="27"/>
      <c r="G171" s="27" t="s">
        <v>27</v>
      </c>
      <c r="H171" s="27"/>
      <c r="I171" s="27" t="s">
        <v>28</v>
      </c>
      <c r="J171" s="27"/>
    </row>
    <row r="172" spans="1:10" x14ac:dyDescent="0.3">
      <c r="A172" s="4" t="s">
        <v>29</v>
      </c>
      <c r="B172" s="10">
        <v>90</v>
      </c>
      <c r="C172" s="4" t="s">
        <v>2</v>
      </c>
      <c r="D172" s="11">
        <f>+B163</f>
        <v>341905.92010540701</v>
      </c>
      <c r="E172" s="4" t="s">
        <v>2</v>
      </c>
      <c r="F172" s="11">
        <f>+E163</f>
        <v>-341905.92010540701</v>
      </c>
      <c r="G172" s="4" t="s">
        <v>2</v>
      </c>
      <c r="H172" s="11">
        <f>+B166</f>
        <v>-341905.92010540701</v>
      </c>
      <c r="I172" s="4" t="s">
        <v>2</v>
      </c>
      <c r="J172" s="12">
        <f>+E166</f>
        <v>341905.92010540701</v>
      </c>
    </row>
    <row r="173" spans="1:10" x14ac:dyDescent="0.3">
      <c r="A173" s="4" t="s">
        <v>30</v>
      </c>
      <c r="B173" s="4">
        <f>SIN(RADIANS(B172))</f>
        <v>1</v>
      </c>
      <c r="C173" s="4" t="s">
        <v>32</v>
      </c>
      <c r="D173" s="11">
        <f>+C164</f>
        <v>1335.5700004117459</v>
      </c>
      <c r="E173" s="4" t="s">
        <v>32</v>
      </c>
      <c r="F173" s="11">
        <f>+F164</f>
        <v>-1335.5700004117459</v>
      </c>
      <c r="G173" s="4" t="s">
        <v>32</v>
      </c>
      <c r="H173" s="11">
        <f>+C167</f>
        <v>-1335.5700004117459</v>
      </c>
      <c r="I173" s="4" t="s">
        <v>32</v>
      </c>
      <c r="J173" s="12">
        <f>+F167</f>
        <v>1335.5700004117459</v>
      </c>
    </row>
    <row r="174" spans="1:10" x14ac:dyDescent="0.3">
      <c r="A174" s="4" t="s">
        <v>31</v>
      </c>
      <c r="B174" s="4">
        <f>COS(RADIANS(B172))</f>
        <v>6.1257422745431001E-17</v>
      </c>
      <c r="C174" s="4" t="s">
        <v>33</v>
      </c>
      <c r="D174" s="11">
        <f>+D165</f>
        <v>71230400.021959797</v>
      </c>
      <c r="E174" s="4" t="s">
        <v>33</v>
      </c>
      <c r="F174" s="11">
        <f>+G165</f>
        <v>35615200.010979898</v>
      </c>
      <c r="G174" s="4" t="s">
        <v>33</v>
      </c>
      <c r="H174" s="11">
        <f>+D168</f>
        <v>35615200.010979898</v>
      </c>
      <c r="I174" s="4" t="s">
        <v>33</v>
      </c>
      <c r="J174" s="12">
        <f>+G168</f>
        <v>71230400.021959797</v>
      </c>
    </row>
    <row r="175" spans="1:10" x14ac:dyDescent="0.3">
      <c r="A175" s="4"/>
      <c r="B175" s="4"/>
      <c r="C175" s="4" t="s">
        <v>34</v>
      </c>
      <c r="D175" s="11">
        <f>+D164</f>
        <v>267114.00008234923</v>
      </c>
      <c r="E175" s="4" t="s">
        <v>34</v>
      </c>
      <c r="F175" s="11">
        <f>+G164</f>
        <v>267114.00008234923</v>
      </c>
      <c r="G175" s="4" t="s">
        <v>34</v>
      </c>
      <c r="H175" s="11">
        <f>+D167</f>
        <v>-267114.00008234923</v>
      </c>
      <c r="I175" s="4" t="s">
        <v>34</v>
      </c>
      <c r="J175" s="12">
        <f>+G167</f>
        <v>-267114.00008234923</v>
      </c>
    </row>
    <row r="176" spans="1:10" x14ac:dyDescent="0.3">
      <c r="C176" s="4" t="s">
        <v>4</v>
      </c>
      <c r="D176" s="11">
        <f>+C165</f>
        <v>267114.00008234923</v>
      </c>
      <c r="E176" s="4" t="s">
        <v>4</v>
      </c>
      <c r="F176" s="11">
        <f>+F165</f>
        <v>-267114.00008234923</v>
      </c>
      <c r="G176" s="4" t="s">
        <v>4</v>
      </c>
      <c r="H176" s="11">
        <f>+C168</f>
        <v>267114.00008234923</v>
      </c>
      <c r="I176" s="4" t="s">
        <v>4</v>
      </c>
      <c r="J176" s="12">
        <f>+F168</f>
        <v>-267114.00008234923</v>
      </c>
    </row>
    <row r="180" spans="1:28" x14ac:dyDescent="0.3">
      <c r="A180" s="1" t="s">
        <v>17</v>
      </c>
      <c r="B180" s="5" t="str">
        <f t="array" ref="B180:G180">B162:G162</f>
        <v>3x</v>
      </c>
      <c r="C180" s="5" t="str">
        <v>3z</v>
      </c>
      <c r="D180" s="5" t="str">
        <v>ϴ 3</v>
      </c>
      <c r="E180" s="5" t="str">
        <v>cx</v>
      </c>
      <c r="F180" s="5" t="str">
        <v>cz</v>
      </c>
      <c r="G180" s="5" t="str">
        <v>ϴ c</v>
      </c>
    </row>
    <row r="181" spans="1:28" x14ac:dyDescent="0.3">
      <c r="A181" s="5" t="str">
        <f t="array" ref="A181:A186">+TRANSPOSE(B180:G180)</f>
        <v>3x</v>
      </c>
      <c r="B181" s="6">
        <f>(J172*B174*B174)+(J173*B173*B173)</f>
        <v>1335.5700004117459</v>
      </c>
      <c r="C181" s="6">
        <f>(J172-J173)*B174*B173</f>
        <v>2.0862461910941136E-11</v>
      </c>
      <c r="D181" s="6">
        <f>-J175*B173</f>
        <v>267114.00008234923</v>
      </c>
      <c r="E181" s="7">
        <v>0</v>
      </c>
      <c r="F181" s="7">
        <v>0</v>
      </c>
      <c r="G181" s="7">
        <v>0</v>
      </c>
    </row>
    <row r="182" spans="1:28" x14ac:dyDescent="0.3">
      <c r="A182" s="5" t="str">
        <v>3z</v>
      </c>
      <c r="B182" s="6">
        <f>(J172-J173)*B174*B173</f>
        <v>2.0862461910941136E-11</v>
      </c>
      <c r="C182" s="6">
        <f>+(J172*B173*B173)+(J173*B174*B174)</f>
        <v>341905.92010540701</v>
      </c>
      <c r="D182" s="6">
        <f>J175*B174</f>
        <v>-1.6362715224267559E-11</v>
      </c>
      <c r="E182" s="7">
        <v>0</v>
      </c>
      <c r="F182" s="7">
        <v>0</v>
      </c>
      <c r="G182" s="7">
        <v>0</v>
      </c>
    </row>
    <row r="183" spans="1:28" x14ac:dyDescent="0.3">
      <c r="A183" s="5" t="str">
        <v>ϴ 3</v>
      </c>
      <c r="B183" s="6">
        <f>-J176*B173</f>
        <v>267114.00008234923</v>
      </c>
      <c r="C183" s="6">
        <f>J176*B174</f>
        <v>-1.6362715224267559E-11</v>
      </c>
      <c r="D183" s="6">
        <f>+J174</f>
        <v>71230400.021959797</v>
      </c>
      <c r="E183" s="7">
        <v>0</v>
      </c>
      <c r="F183" s="7">
        <v>0</v>
      </c>
      <c r="G183" s="7">
        <v>0</v>
      </c>
    </row>
    <row r="184" spans="1:28" x14ac:dyDescent="0.3">
      <c r="A184" s="5" t="str">
        <v>cx</v>
      </c>
      <c r="B184" s="8">
        <v>0</v>
      </c>
      <c r="C184" s="8">
        <v>0</v>
      </c>
      <c r="D184" s="8">
        <v>0</v>
      </c>
      <c r="E184" s="9">
        <v>0</v>
      </c>
      <c r="F184" s="9">
        <v>0</v>
      </c>
      <c r="G184" s="9">
        <v>0</v>
      </c>
    </row>
    <row r="185" spans="1:28" x14ac:dyDescent="0.3">
      <c r="A185" s="5" t="str">
        <v>cz</v>
      </c>
      <c r="B185" s="8">
        <v>0</v>
      </c>
      <c r="C185" s="8">
        <v>0</v>
      </c>
      <c r="D185" s="8">
        <v>0</v>
      </c>
      <c r="E185" s="9">
        <v>0</v>
      </c>
      <c r="F185" s="9">
        <v>0</v>
      </c>
      <c r="G185" s="9">
        <v>0</v>
      </c>
    </row>
    <row r="186" spans="1:28" x14ac:dyDescent="0.3">
      <c r="A186" s="5" t="str">
        <v>ϴ c</v>
      </c>
      <c r="B186" s="8">
        <v>0</v>
      </c>
      <c r="C186" s="8">
        <v>0</v>
      </c>
      <c r="D186" s="8">
        <v>0</v>
      </c>
      <c r="E186" s="9">
        <v>0</v>
      </c>
      <c r="F186" s="9">
        <v>0</v>
      </c>
      <c r="G186" s="9">
        <v>0</v>
      </c>
    </row>
    <row r="189" spans="1:28" x14ac:dyDescent="0.3">
      <c r="A189" s="1" t="s">
        <v>36</v>
      </c>
      <c r="B189" s="13" t="s">
        <v>18</v>
      </c>
      <c r="C189" s="13" t="s">
        <v>19</v>
      </c>
      <c r="D189" s="13" t="s">
        <v>20</v>
      </c>
      <c r="E189" s="13" t="s">
        <v>37</v>
      </c>
      <c r="F189" s="13" t="s">
        <v>38</v>
      </c>
      <c r="G189" s="13" t="s">
        <v>39</v>
      </c>
      <c r="H189" s="13" t="s">
        <v>40</v>
      </c>
      <c r="I189" s="13" t="s">
        <v>41</v>
      </c>
      <c r="J189" s="13" t="s">
        <v>42</v>
      </c>
      <c r="K189" s="13" t="s">
        <v>43</v>
      </c>
      <c r="L189" s="13" t="s">
        <v>44</v>
      </c>
      <c r="M189" s="13" t="s">
        <v>45</v>
      </c>
      <c r="N189" s="13" t="s">
        <v>46</v>
      </c>
      <c r="O189" s="13" t="s">
        <v>47</v>
      </c>
      <c r="P189" s="13" t="s">
        <v>48</v>
      </c>
      <c r="Q189" s="13" t="s">
        <v>49</v>
      </c>
      <c r="R189" s="13" t="s">
        <v>50</v>
      </c>
      <c r="S189" s="13" t="s">
        <v>51</v>
      </c>
      <c r="T189" s="13" t="s">
        <v>21</v>
      </c>
      <c r="U189" s="13" t="s">
        <v>22</v>
      </c>
      <c r="V189" s="13" t="s">
        <v>23</v>
      </c>
      <c r="W189" s="13" t="s">
        <v>52</v>
      </c>
      <c r="X189" s="13" t="s">
        <v>53</v>
      </c>
      <c r="Y189" s="13" t="s">
        <v>54</v>
      </c>
      <c r="Z189" s="13" t="s">
        <v>55</v>
      </c>
      <c r="AA189" s="13" t="s">
        <v>56</v>
      </c>
      <c r="AB189" s="13" t="s">
        <v>57</v>
      </c>
    </row>
    <row r="190" spans="1:28" x14ac:dyDescent="0.3">
      <c r="A190" s="13" t="str">
        <f t="array" ref="A190:A216">TRANSPOSE(B189:AB189)</f>
        <v>1x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</row>
    <row r="191" spans="1:28" x14ac:dyDescent="0.3">
      <c r="A191" s="13" t="str">
        <v>1z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</row>
    <row r="192" spans="1:28" x14ac:dyDescent="0.3">
      <c r="A192" s="13" t="str">
        <v>ϴ 1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</row>
    <row r="193" spans="1:28" x14ac:dyDescent="0.3">
      <c r="A193" s="13" t="str">
        <v>2x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</row>
    <row r="194" spans="1:28" x14ac:dyDescent="0.3">
      <c r="A194" s="13" t="str">
        <v>2z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</row>
    <row r="195" spans="1:28" x14ac:dyDescent="0.3">
      <c r="A195" s="13" t="str">
        <v>ϴ 2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</row>
    <row r="196" spans="1:28" x14ac:dyDescent="0.3">
      <c r="A196" s="13" t="str">
        <v>3x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f t="array" ref="H196:J198">B181:D183</f>
        <v>1335.5700004117459</v>
      </c>
      <c r="I196" s="1">
        <v>2.0862461910941136E-11</v>
      </c>
      <c r="J196" s="1">
        <v>267114.00008234923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</row>
    <row r="197" spans="1:28" x14ac:dyDescent="0.3">
      <c r="A197" s="13" t="str">
        <v>3z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2.0862461910941136E-11</v>
      </c>
      <c r="I197" s="1">
        <v>341905.92010540701</v>
      </c>
      <c r="J197" s="1">
        <v>-1.6362715224267559E-11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</row>
    <row r="198" spans="1:28" x14ac:dyDescent="0.3">
      <c r="A198" s="13" t="str">
        <v>ϴ 3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267114.00008234923</v>
      </c>
      <c r="I198" s="1">
        <v>-1.6362715224267559E-11</v>
      </c>
      <c r="J198" s="1">
        <v>71230400.021959797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</row>
    <row r="199" spans="1:28" x14ac:dyDescent="0.3">
      <c r="A199" s="13" t="str">
        <v>4x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</row>
    <row r="200" spans="1:28" x14ac:dyDescent="0.3">
      <c r="A200" s="13" t="str">
        <v>4z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</row>
    <row r="201" spans="1:28" x14ac:dyDescent="0.3">
      <c r="A201" s="13" t="str">
        <v>ϴ 4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</row>
    <row r="202" spans="1:28" x14ac:dyDescent="0.3">
      <c r="A202" s="13" t="str">
        <v>5x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</row>
    <row r="203" spans="1:28" x14ac:dyDescent="0.3">
      <c r="A203" s="13" t="str">
        <v>5z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</row>
    <row r="204" spans="1:28" x14ac:dyDescent="0.3">
      <c r="A204" s="13" t="str">
        <v>ϴ 5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</row>
    <row r="205" spans="1:28" x14ac:dyDescent="0.3">
      <c r="A205" s="13" t="str">
        <v>6x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</row>
    <row r="206" spans="1:28" x14ac:dyDescent="0.3">
      <c r="A206" s="13" t="str">
        <v>6z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</row>
    <row r="207" spans="1:28" x14ac:dyDescent="0.3">
      <c r="A207" s="13" t="str">
        <v>ϴ 6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</row>
    <row r="208" spans="1:28" x14ac:dyDescent="0.3">
      <c r="A208" s="13" t="str">
        <v>ax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</row>
    <row r="209" spans="1:28" x14ac:dyDescent="0.3">
      <c r="A209" s="13" t="str">
        <v>az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</row>
    <row r="210" spans="1:28" x14ac:dyDescent="0.3">
      <c r="A210" s="13" t="str">
        <v>ϴ a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</row>
    <row r="211" spans="1:28" x14ac:dyDescent="0.3">
      <c r="A211" s="13" t="str">
        <v>bx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</row>
    <row r="212" spans="1:28" x14ac:dyDescent="0.3">
      <c r="A212" s="13" t="str">
        <v>bz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</row>
    <row r="213" spans="1:28" x14ac:dyDescent="0.3">
      <c r="A213" s="13" t="str">
        <v>ϴ b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</row>
    <row r="214" spans="1:28" x14ac:dyDescent="0.3">
      <c r="A214" s="13" t="str">
        <v>cx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</row>
    <row r="215" spans="1:28" x14ac:dyDescent="0.3">
      <c r="A215" s="13" t="str">
        <v>cz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</row>
    <row r="216" spans="1:28" x14ac:dyDescent="0.3">
      <c r="A216" s="13" t="str">
        <v>ϴ c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</row>
    <row r="219" spans="1:28" x14ac:dyDescent="0.3">
      <c r="A219" s="26" t="s">
        <v>65</v>
      </c>
      <c r="B219" s="26"/>
      <c r="C219" s="26"/>
      <c r="D219" s="26"/>
      <c r="E219" s="26"/>
      <c r="F219" s="26"/>
      <c r="G219" s="26"/>
      <c r="H219" s="26"/>
      <c r="I219" s="26"/>
      <c r="J219" s="26"/>
    </row>
    <row r="221" spans="1:28" x14ac:dyDescent="0.3">
      <c r="A221" s="1" t="s">
        <v>2</v>
      </c>
      <c r="B221" s="1">
        <v>625</v>
      </c>
      <c r="C221" s="1" t="s">
        <v>13</v>
      </c>
    </row>
    <row r="222" spans="1:28" x14ac:dyDescent="0.3">
      <c r="A222" s="1" t="s">
        <v>3</v>
      </c>
      <c r="B222" s="1">
        <f>POWER(25,4)/12</f>
        <v>32552.083333333332</v>
      </c>
      <c r="C222" s="1" t="s">
        <v>62</v>
      </c>
    </row>
    <row r="223" spans="1:28" x14ac:dyDescent="0.3">
      <c r="A223" s="1" t="s">
        <v>5</v>
      </c>
      <c r="B223" s="1">
        <v>300</v>
      </c>
      <c r="C223" s="1" t="s">
        <v>14</v>
      </c>
    </row>
    <row r="224" spans="1:28" x14ac:dyDescent="0.3">
      <c r="A224" s="1" t="s">
        <v>4</v>
      </c>
      <c r="B224" s="1">
        <f>15100*SQRT(210)</f>
        <v>218819.78886746051</v>
      </c>
      <c r="C224" s="2" t="s">
        <v>15</v>
      </c>
    </row>
    <row r="226" spans="1:9" x14ac:dyDescent="0.3">
      <c r="B226" s="1" t="s">
        <v>6</v>
      </c>
    </row>
    <row r="227" spans="1:9" x14ac:dyDescent="0.3">
      <c r="B227" s="1" t="s">
        <v>7</v>
      </c>
      <c r="C227" s="3">
        <f>(B224*B221)/B223</f>
        <v>455874.56014054269</v>
      </c>
      <c r="D227" s="1" t="s">
        <v>12</v>
      </c>
    </row>
    <row r="228" spans="1:9" x14ac:dyDescent="0.3">
      <c r="B228" s="1" t="s">
        <v>8</v>
      </c>
      <c r="C228" s="3">
        <f>(12*B224*B222)/(B223^3)</f>
        <v>3165.795556531546</v>
      </c>
      <c r="D228" s="1" t="s">
        <v>12</v>
      </c>
    </row>
    <row r="229" spans="1:9" x14ac:dyDescent="0.3">
      <c r="B229" s="1" t="s">
        <v>9</v>
      </c>
      <c r="C229" s="3">
        <f>(6*B224*B222)/(B223^2)</f>
        <v>474869.33347973193</v>
      </c>
      <c r="D229" s="1" t="s">
        <v>12</v>
      </c>
    </row>
    <row r="230" spans="1:9" x14ac:dyDescent="0.3">
      <c r="B230" s="1" t="s">
        <v>10</v>
      </c>
      <c r="C230" s="3">
        <f>+(4*B224*B222)/(B223)</f>
        <v>94973866.695946395</v>
      </c>
      <c r="D230" s="1" t="s">
        <v>12</v>
      </c>
    </row>
    <row r="231" spans="1:9" x14ac:dyDescent="0.3">
      <c r="B231" s="1" t="s">
        <v>11</v>
      </c>
      <c r="C231" s="3">
        <f>+(2*B224*B222)/B223</f>
        <v>47486933.347973198</v>
      </c>
      <c r="D231" s="1" t="s">
        <v>12</v>
      </c>
    </row>
    <row r="232" spans="1:9" x14ac:dyDescent="0.3">
      <c r="C232" s="4"/>
    </row>
    <row r="233" spans="1:9" x14ac:dyDescent="0.3">
      <c r="A233" s="24" t="s">
        <v>66</v>
      </c>
      <c r="B233" s="24"/>
      <c r="C233" s="24"/>
      <c r="D233" s="24"/>
      <c r="E233" s="24"/>
      <c r="F233" s="24"/>
      <c r="G233" s="24"/>
    </row>
    <row r="234" spans="1:9" x14ac:dyDescent="0.3">
      <c r="A234" s="1" t="s">
        <v>17</v>
      </c>
      <c r="B234" s="5" t="s">
        <v>18</v>
      </c>
      <c r="C234" s="5" t="s">
        <v>19</v>
      </c>
      <c r="D234" s="5" t="s">
        <v>20</v>
      </c>
      <c r="E234" s="5" t="s">
        <v>43</v>
      </c>
      <c r="F234" s="5" t="s">
        <v>44</v>
      </c>
      <c r="G234" s="5" t="s">
        <v>45</v>
      </c>
    </row>
    <row r="235" spans="1:9" x14ac:dyDescent="0.3">
      <c r="A235" s="5" t="str">
        <f t="array" ref="A235:A240">TRANSPOSE(B234:G234)</f>
        <v>1x</v>
      </c>
      <c r="B235" s="6">
        <f>+C227</f>
        <v>455874.56014054269</v>
      </c>
      <c r="C235" s="6">
        <v>0</v>
      </c>
      <c r="D235" s="6">
        <v>0</v>
      </c>
      <c r="E235" s="7">
        <f>+-C227</f>
        <v>-455874.56014054269</v>
      </c>
      <c r="F235" s="7">
        <v>0</v>
      </c>
      <c r="G235" s="7">
        <v>0</v>
      </c>
      <c r="H235" s="25" t="s">
        <v>68</v>
      </c>
      <c r="I235" s="25"/>
    </row>
    <row r="236" spans="1:9" x14ac:dyDescent="0.3">
      <c r="A236" s="5" t="str">
        <v>1z</v>
      </c>
      <c r="B236" s="6">
        <v>0</v>
      </c>
      <c r="C236" s="6">
        <f>+C228</f>
        <v>3165.795556531546</v>
      </c>
      <c r="D236" s="6">
        <f>+C229</f>
        <v>474869.33347973193</v>
      </c>
      <c r="E236" s="7">
        <v>0</v>
      </c>
      <c r="F236" s="7">
        <f>-C228</f>
        <v>-3165.795556531546</v>
      </c>
      <c r="G236" s="7">
        <f>+C229</f>
        <v>474869.33347973193</v>
      </c>
      <c r="H236" s="25"/>
      <c r="I236" s="25"/>
    </row>
    <row r="237" spans="1:9" x14ac:dyDescent="0.3">
      <c r="A237" s="5" t="str">
        <v>ϴ 1</v>
      </c>
      <c r="B237" s="6">
        <v>0</v>
      </c>
      <c r="C237" s="6">
        <f>+C229</f>
        <v>474869.33347973193</v>
      </c>
      <c r="D237" s="6">
        <f>+C230</f>
        <v>94973866.695946395</v>
      </c>
      <c r="E237" s="7">
        <v>0</v>
      </c>
      <c r="F237" s="7">
        <f>+-C229</f>
        <v>-474869.33347973193</v>
      </c>
      <c r="G237" s="7">
        <f>+C231</f>
        <v>47486933.347973198</v>
      </c>
      <c r="H237" s="25"/>
      <c r="I237" s="25"/>
    </row>
    <row r="238" spans="1:9" x14ac:dyDescent="0.3">
      <c r="A238" s="5" t="str">
        <v>4x</v>
      </c>
      <c r="B238" s="8">
        <f>-C227</f>
        <v>-455874.56014054269</v>
      </c>
      <c r="C238" s="8">
        <v>0</v>
      </c>
      <c r="D238" s="8">
        <v>0</v>
      </c>
      <c r="E238" s="9">
        <f>+C227</f>
        <v>455874.56014054269</v>
      </c>
      <c r="F238" s="9">
        <v>0</v>
      </c>
      <c r="G238" s="9">
        <v>0</v>
      </c>
      <c r="H238" s="25"/>
      <c r="I238" s="25"/>
    </row>
    <row r="239" spans="1:9" x14ac:dyDescent="0.3">
      <c r="A239" s="5" t="str">
        <v>4z</v>
      </c>
      <c r="B239" s="8">
        <v>0</v>
      </c>
      <c r="C239" s="8">
        <f>-C228</f>
        <v>-3165.795556531546</v>
      </c>
      <c r="D239" s="8">
        <f>-C229</f>
        <v>-474869.33347973193</v>
      </c>
      <c r="E239" s="9">
        <v>0</v>
      </c>
      <c r="F239" s="9">
        <f>C228</f>
        <v>3165.795556531546</v>
      </c>
      <c r="G239" s="9">
        <f>-C229</f>
        <v>-474869.33347973193</v>
      </c>
      <c r="H239" s="25"/>
      <c r="I239" s="25"/>
    </row>
    <row r="240" spans="1:9" x14ac:dyDescent="0.3">
      <c r="A240" s="5" t="str">
        <v>ϴ 4</v>
      </c>
      <c r="B240" s="8">
        <v>0</v>
      </c>
      <c r="C240" s="8">
        <f>+C229</f>
        <v>474869.33347973193</v>
      </c>
      <c r="D240" s="8">
        <f>+C231</f>
        <v>47486933.347973198</v>
      </c>
      <c r="E240" s="9">
        <v>0</v>
      </c>
      <c r="F240" s="9">
        <f>-C229</f>
        <v>-474869.33347973193</v>
      </c>
      <c r="G240" s="9">
        <f>C230</f>
        <v>94973866.695946395</v>
      </c>
      <c r="H240" s="25"/>
      <c r="I240" s="25"/>
    </row>
    <row r="242" spans="1:10" x14ac:dyDescent="0.3">
      <c r="A242" s="24" t="s">
        <v>67</v>
      </c>
      <c r="B242" s="24"/>
      <c r="C242" s="24"/>
      <c r="D242" s="24"/>
      <c r="E242" s="24"/>
      <c r="F242" s="24"/>
      <c r="G242" s="24"/>
      <c r="H242" s="24"/>
      <c r="I242" s="24"/>
      <c r="J242" s="24"/>
    </row>
    <row r="243" spans="1:10" x14ac:dyDescent="0.3">
      <c r="A243" s="4"/>
      <c r="B243" s="4"/>
      <c r="C243" s="27" t="s">
        <v>25</v>
      </c>
      <c r="D243" s="27"/>
      <c r="E243" s="27" t="s">
        <v>26</v>
      </c>
      <c r="F243" s="27"/>
      <c r="G243" s="27" t="s">
        <v>27</v>
      </c>
      <c r="H243" s="27"/>
      <c r="I243" s="27" t="s">
        <v>28</v>
      </c>
      <c r="J243" s="27"/>
    </row>
    <row r="244" spans="1:10" x14ac:dyDescent="0.3">
      <c r="A244" s="4" t="s">
        <v>29</v>
      </c>
      <c r="B244" s="10">
        <v>90</v>
      </c>
      <c r="C244" s="4" t="s">
        <v>2</v>
      </c>
      <c r="D244" s="11">
        <f>+B235</f>
        <v>455874.56014054269</v>
      </c>
      <c r="E244" s="4" t="s">
        <v>2</v>
      </c>
      <c r="F244" s="11">
        <f>+E235</f>
        <v>-455874.56014054269</v>
      </c>
      <c r="G244" s="4" t="s">
        <v>2</v>
      </c>
      <c r="H244" s="11">
        <f>+B238</f>
        <v>-455874.56014054269</v>
      </c>
      <c r="I244" s="4" t="s">
        <v>2</v>
      </c>
      <c r="J244" s="12">
        <f>+E238</f>
        <v>455874.56014054269</v>
      </c>
    </row>
    <row r="245" spans="1:10" x14ac:dyDescent="0.3">
      <c r="A245" s="4" t="s">
        <v>30</v>
      </c>
      <c r="B245" s="4">
        <f>SIN(RADIANS(B244))</f>
        <v>1</v>
      </c>
      <c r="C245" s="4" t="s">
        <v>32</v>
      </c>
      <c r="D245" s="11">
        <f>+C236</f>
        <v>3165.795556531546</v>
      </c>
      <c r="E245" s="4" t="s">
        <v>32</v>
      </c>
      <c r="F245" s="11">
        <f>+F236</f>
        <v>-3165.795556531546</v>
      </c>
      <c r="G245" s="4" t="s">
        <v>32</v>
      </c>
      <c r="H245" s="11">
        <f>+C239</f>
        <v>-3165.795556531546</v>
      </c>
      <c r="I245" s="4" t="s">
        <v>32</v>
      </c>
      <c r="J245" s="12">
        <f>+F239</f>
        <v>3165.795556531546</v>
      </c>
    </row>
    <row r="246" spans="1:10" x14ac:dyDescent="0.3">
      <c r="A246" s="4" t="s">
        <v>31</v>
      </c>
      <c r="B246" s="4">
        <f>COS(RADIANS(B244))</f>
        <v>6.1257422745431001E-17</v>
      </c>
      <c r="C246" s="4" t="s">
        <v>33</v>
      </c>
      <c r="D246" s="11">
        <f>+D237</f>
        <v>94973866.695946395</v>
      </c>
      <c r="E246" s="4" t="s">
        <v>33</v>
      </c>
      <c r="F246" s="11">
        <f>+G237</f>
        <v>47486933.347973198</v>
      </c>
      <c r="G246" s="4" t="s">
        <v>33</v>
      </c>
      <c r="H246" s="11">
        <f>+D240</f>
        <v>47486933.347973198</v>
      </c>
      <c r="I246" s="4" t="s">
        <v>33</v>
      </c>
      <c r="J246" s="12">
        <f>+G240</f>
        <v>94973866.695946395</v>
      </c>
    </row>
    <row r="247" spans="1:10" x14ac:dyDescent="0.3">
      <c r="A247" s="4"/>
      <c r="B247" s="4"/>
      <c r="C247" s="4" t="s">
        <v>34</v>
      </c>
      <c r="D247" s="11">
        <f>+D236</f>
        <v>474869.33347973193</v>
      </c>
      <c r="E247" s="4" t="s">
        <v>34</v>
      </c>
      <c r="F247" s="11">
        <f>+G236</f>
        <v>474869.33347973193</v>
      </c>
      <c r="G247" s="4" t="s">
        <v>34</v>
      </c>
      <c r="H247" s="11">
        <f>+D239</f>
        <v>-474869.33347973193</v>
      </c>
      <c r="I247" s="4" t="s">
        <v>34</v>
      </c>
      <c r="J247" s="12">
        <f>+G239</f>
        <v>-474869.33347973193</v>
      </c>
    </row>
    <row r="248" spans="1:10" x14ac:dyDescent="0.3">
      <c r="C248" s="4" t="s">
        <v>4</v>
      </c>
      <c r="D248" s="11">
        <f>+C237</f>
        <v>474869.33347973193</v>
      </c>
      <c r="E248" s="4" t="s">
        <v>4</v>
      </c>
      <c r="F248" s="11">
        <f>+F237</f>
        <v>-474869.33347973193</v>
      </c>
      <c r="G248" s="4" t="s">
        <v>4</v>
      </c>
      <c r="H248" s="11">
        <f>+C240</f>
        <v>474869.33347973193</v>
      </c>
      <c r="I248" s="4" t="s">
        <v>4</v>
      </c>
      <c r="J248" s="12">
        <f>+F240</f>
        <v>-474869.33347973193</v>
      </c>
    </row>
    <row r="252" spans="1:10" x14ac:dyDescent="0.3">
      <c r="A252" s="1" t="s">
        <v>17</v>
      </c>
      <c r="B252" s="5" t="str">
        <f t="array" ref="B252:G252">B234:G234</f>
        <v>1x</v>
      </c>
      <c r="C252" s="5" t="str">
        <v>1z</v>
      </c>
      <c r="D252" s="5" t="str">
        <v>ϴ 1</v>
      </c>
      <c r="E252" s="5" t="str">
        <v>4x</v>
      </c>
      <c r="F252" s="5" t="str">
        <v>4z</v>
      </c>
      <c r="G252" s="5" t="str">
        <v>ϴ 4</v>
      </c>
    </row>
    <row r="253" spans="1:10" x14ac:dyDescent="0.3">
      <c r="A253" s="5" t="str">
        <f t="array" ref="A253:A258">+TRANSPOSE(B252:G252)</f>
        <v>1x</v>
      </c>
      <c r="B253" s="6">
        <f>(D244*B246*B246)+(D245*B245*B245)</f>
        <v>3165.795556531546</v>
      </c>
      <c r="C253" s="6">
        <f>(D244-D245)*B246*B245</f>
        <v>2.7731772172684573E-11</v>
      </c>
      <c r="D253" s="6">
        <f>-D247*B245</f>
        <v>-474869.33347973193</v>
      </c>
      <c r="E253" s="14">
        <f>(F244*B246*B246)+(F245*B245*B245)</f>
        <v>-3165.795556531546</v>
      </c>
      <c r="F253" s="14">
        <f>(F244-F245)*B246*B245</f>
        <v>-2.7731772172684573E-11</v>
      </c>
      <c r="G253" s="14">
        <f>-F247*B245</f>
        <v>-474869.33347973193</v>
      </c>
    </row>
    <row r="254" spans="1:10" x14ac:dyDescent="0.3">
      <c r="A254" s="5" t="str">
        <v>1z</v>
      </c>
      <c r="B254" s="6">
        <f>(D244-D245)*B246*B245</f>
        <v>2.7731772172684573E-11</v>
      </c>
      <c r="C254" s="6">
        <f>(D244*B245*B245)+(D245*B246*B246)</f>
        <v>455874.56014054269</v>
      </c>
      <c r="D254" s="6">
        <f>D247*B246</f>
        <v>2.9089271509808988E-11</v>
      </c>
      <c r="E254" s="14">
        <f>(F244-F245)*B246*B245</f>
        <v>-2.7731772172684573E-11</v>
      </c>
      <c r="F254" s="14">
        <f>(F244*B245*B245)+(F245*B246*B246)</f>
        <v>-455874.56014054269</v>
      </c>
      <c r="G254" s="14">
        <f>F247*B246</f>
        <v>2.9089271509808988E-11</v>
      </c>
    </row>
    <row r="255" spans="1:10" x14ac:dyDescent="0.3">
      <c r="A255" s="5" t="str">
        <v>ϴ 1</v>
      </c>
      <c r="B255" s="6">
        <f>-D248*B245</f>
        <v>-474869.33347973193</v>
      </c>
      <c r="C255" s="6">
        <f>D248*B246</f>
        <v>2.9089271509808988E-11</v>
      </c>
      <c r="D255" s="6">
        <f>+D246</f>
        <v>94973866.695946395</v>
      </c>
      <c r="E255" s="14">
        <f>-F248*B245</f>
        <v>474869.33347973193</v>
      </c>
      <c r="F255" s="14">
        <f>F248*B246</f>
        <v>-2.9089271509808988E-11</v>
      </c>
      <c r="G255" s="14">
        <f>+F246</f>
        <v>47486933.347973198</v>
      </c>
    </row>
    <row r="256" spans="1:10" x14ac:dyDescent="0.3">
      <c r="A256" s="5" t="str">
        <v>4x</v>
      </c>
      <c r="B256" s="15">
        <f>(H244*B246*B246)+(H245*B245*B245)</f>
        <v>-3165.795556531546</v>
      </c>
      <c r="C256" s="15">
        <f>(H244-H245)*B246*B245</f>
        <v>-2.7731772172684573E-11</v>
      </c>
      <c r="D256" s="15">
        <f>-H247*B245</f>
        <v>474869.33347973193</v>
      </c>
      <c r="E256" s="8">
        <f>(J244*B246*B246)+(J245*B245*B245)</f>
        <v>3165.795556531546</v>
      </c>
      <c r="F256" s="8">
        <f>(J244-J245)*B246*B245</f>
        <v>2.7731772172684573E-11</v>
      </c>
      <c r="G256" s="8">
        <f>-J247*B245</f>
        <v>474869.33347973193</v>
      </c>
    </row>
    <row r="257" spans="1:28" x14ac:dyDescent="0.3">
      <c r="A257" s="5" t="str">
        <v>4z</v>
      </c>
      <c r="B257" s="15">
        <f>(H245-H246)*B246*B245</f>
        <v>-2.9091210794576311E-9</v>
      </c>
      <c r="C257" s="15">
        <f>(H244*B245*B245)+(H245*B246*B246)</f>
        <v>-455874.56014054269</v>
      </c>
      <c r="D257" s="15">
        <f>+H247*B246</f>
        <v>-2.9089271509808988E-11</v>
      </c>
      <c r="E257" s="8">
        <f>(J244-J245)*B246*B245</f>
        <v>2.7731772172684573E-11</v>
      </c>
      <c r="F257" s="8">
        <f>(J244*B245*B245)+(J245*B246*B246)</f>
        <v>455874.56014054269</v>
      </c>
      <c r="G257" s="8">
        <f>-J247*B246</f>
        <v>2.9089271509808988E-11</v>
      </c>
    </row>
    <row r="258" spans="1:28" x14ac:dyDescent="0.3">
      <c r="A258" s="5" t="str">
        <v>ϴ 4</v>
      </c>
      <c r="B258" s="15">
        <f>-H248*B245</f>
        <v>-474869.33347973193</v>
      </c>
      <c r="C258" s="15">
        <f>H248*B246</f>
        <v>2.9089271509808988E-11</v>
      </c>
      <c r="D258" s="15">
        <f>+H246</f>
        <v>47486933.347973198</v>
      </c>
      <c r="E258" s="8">
        <f>-J248*B245</f>
        <v>474869.33347973193</v>
      </c>
      <c r="F258" s="8">
        <f>J248*B246</f>
        <v>-2.9089271509808988E-11</v>
      </c>
      <c r="G258" s="8">
        <f>+J246</f>
        <v>94973866.695946395</v>
      </c>
    </row>
    <row r="261" spans="1:28" x14ac:dyDescent="0.3">
      <c r="A261" s="1" t="s">
        <v>36</v>
      </c>
      <c r="B261" s="13" t="s">
        <v>18</v>
      </c>
      <c r="C261" s="13" t="s">
        <v>19</v>
      </c>
      <c r="D261" s="13" t="s">
        <v>20</v>
      </c>
      <c r="E261" s="13" t="s">
        <v>37</v>
      </c>
      <c r="F261" s="13" t="s">
        <v>38</v>
      </c>
      <c r="G261" s="13" t="s">
        <v>39</v>
      </c>
      <c r="H261" s="13" t="s">
        <v>40</v>
      </c>
      <c r="I261" s="13" t="s">
        <v>41</v>
      </c>
      <c r="J261" s="13" t="s">
        <v>42</v>
      </c>
      <c r="K261" s="13" t="s">
        <v>43</v>
      </c>
      <c r="L261" s="13" t="s">
        <v>44</v>
      </c>
      <c r="M261" s="13" t="s">
        <v>45</v>
      </c>
      <c r="N261" s="13" t="s">
        <v>46</v>
      </c>
      <c r="O261" s="13" t="s">
        <v>47</v>
      </c>
      <c r="P261" s="13" t="s">
        <v>48</v>
      </c>
      <c r="Q261" s="13" t="s">
        <v>49</v>
      </c>
      <c r="R261" s="13" t="s">
        <v>50</v>
      </c>
      <c r="S261" s="13" t="s">
        <v>51</v>
      </c>
      <c r="T261" s="13" t="s">
        <v>21</v>
      </c>
      <c r="U261" s="13" t="s">
        <v>22</v>
      </c>
      <c r="V261" s="13" t="s">
        <v>23</v>
      </c>
      <c r="W261" s="13" t="s">
        <v>52</v>
      </c>
      <c r="X261" s="13" t="s">
        <v>53</v>
      </c>
      <c r="Y261" s="13" t="s">
        <v>54</v>
      </c>
      <c r="Z261" s="13" t="s">
        <v>55</v>
      </c>
      <c r="AA261" s="13" t="s">
        <v>56</v>
      </c>
      <c r="AB261" s="13" t="s">
        <v>57</v>
      </c>
    </row>
    <row r="262" spans="1:28" x14ac:dyDescent="0.3">
      <c r="A262" s="13" t="str">
        <f t="array" ref="A262:A288">TRANSPOSE(B261:AB261)</f>
        <v>1x</v>
      </c>
      <c r="B262" s="1">
        <f t="array" ref="B262:D264">B253:D255</f>
        <v>3165.795556531546</v>
      </c>
      <c r="C262" s="1">
        <v>2.7731772172684573E-11</v>
      </c>
      <c r="D262" s="1">
        <v>-474869.33347973193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f t="array" ref="K262:M264">E253:G255</f>
        <v>-3165.795556531546</v>
      </c>
      <c r="L262" s="1">
        <v>-2.7731772172684573E-11</v>
      </c>
      <c r="M262" s="1">
        <v>-474869.33347973193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</row>
    <row r="263" spans="1:28" x14ac:dyDescent="0.3">
      <c r="A263" s="13" t="str">
        <v>1z</v>
      </c>
      <c r="B263" s="1">
        <v>2.7731772172684573E-11</v>
      </c>
      <c r="C263" s="1">
        <v>455874.56014054269</v>
      </c>
      <c r="D263" s="1">
        <v>2.9089271509808988E-11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-2.7731772172684573E-11</v>
      </c>
      <c r="L263" s="1">
        <v>-455874.56014054269</v>
      </c>
      <c r="M263" s="1">
        <v>2.9089271509808988E-11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</row>
    <row r="264" spans="1:28" x14ac:dyDescent="0.3">
      <c r="A264" s="13" t="str">
        <v>ϴ 1</v>
      </c>
      <c r="B264" s="1">
        <v>-474869.33347973193</v>
      </c>
      <c r="C264" s="1">
        <v>2.9089271509808988E-11</v>
      </c>
      <c r="D264" s="1">
        <v>94973866.695946395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474869.33347973193</v>
      </c>
      <c r="L264" s="1">
        <v>-2.9089271509808988E-11</v>
      </c>
      <c r="M264" s="1">
        <v>47486933.347973198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</row>
    <row r="265" spans="1:28" x14ac:dyDescent="0.3">
      <c r="A265" s="13" t="str">
        <v>2x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</row>
    <row r="266" spans="1:28" x14ac:dyDescent="0.3">
      <c r="A266" s="13" t="str">
        <v>2z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</row>
    <row r="267" spans="1:28" x14ac:dyDescent="0.3">
      <c r="A267" s="13" t="str">
        <v>ϴ 2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</row>
    <row r="268" spans="1:28" x14ac:dyDescent="0.3">
      <c r="A268" s="13" t="str">
        <v>3x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</row>
    <row r="269" spans="1:28" x14ac:dyDescent="0.3">
      <c r="A269" s="13" t="str">
        <v>3z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</row>
    <row r="270" spans="1:28" x14ac:dyDescent="0.3">
      <c r="A270" s="13" t="str">
        <v>ϴ 3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</row>
    <row r="271" spans="1:28" x14ac:dyDescent="0.3">
      <c r="A271" s="13" t="str">
        <v>4x</v>
      </c>
      <c r="B271" s="1">
        <f t="array" ref="B271:D273">B256:D258</f>
        <v>-3165.795556531546</v>
      </c>
      <c r="C271" s="1">
        <v>-2.7731772172684573E-11</v>
      </c>
      <c r="D271" s="1">
        <v>474869.33347973193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f t="array" ref="K271:M273">E256:G258</f>
        <v>3165.795556531546</v>
      </c>
      <c r="L271" s="1">
        <v>2.7731772172684573E-11</v>
      </c>
      <c r="M271" s="1">
        <v>474869.33347973193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</row>
    <row r="272" spans="1:28" x14ac:dyDescent="0.3">
      <c r="A272" s="13" t="str">
        <v>4z</v>
      </c>
      <c r="B272" s="1">
        <v>-2.9091210794576311E-9</v>
      </c>
      <c r="C272" s="1">
        <v>-455874.56014054269</v>
      </c>
      <c r="D272" s="1">
        <v>-2.9089271509808988E-11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2.7731772172684573E-11</v>
      </c>
      <c r="L272" s="1">
        <v>455874.56014054269</v>
      </c>
      <c r="M272" s="1">
        <v>2.9089271509808988E-11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</row>
    <row r="273" spans="1:28" x14ac:dyDescent="0.3">
      <c r="A273" s="13" t="str">
        <v>ϴ 4</v>
      </c>
      <c r="B273" s="1">
        <v>-474869.33347973193</v>
      </c>
      <c r="C273" s="1">
        <v>2.9089271509808988E-11</v>
      </c>
      <c r="D273" s="1">
        <v>47486933.347973198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474869.33347973193</v>
      </c>
      <c r="L273" s="1">
        <v>-2.9089271509808988E-11</v>
      </c>
      <c r="M273" s="1">
        <v>94973866.695946395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</row>
    <row r="274" spans="1:28" x14ac:dyDescent="0.3">
      <c r="A274" s="13" t="str">
        <v>5x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</row>
    <row r="275" spans="1:28" x14ac:dyDescent="0.3">
      <c r="A275" s="13" t="str">
        <v>5z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</row>
    <row r="276" spans="1:28" x14ac:dyDescent="0.3">
      <c r="A276" s="13" t="str">
        <v>ϴ 5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</row>
    <row r="277" spans="1:28" x14ac:dyDescent="0.3">
      <c r="A277" s="13" t="str">
        <v>6x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</row>
    <row r="278" spans="1:28" x14ac:dyDescent="0.3">
      <c r="A278" s="13" t="str">
        <v>6z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</row>
    <row r="279" spans="1:28" x14ac:dyDescent="0.3">
      <c r="A279" s="13" t="str">
        <v>ϴ 6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</row>
    <row r="280" spans="1:28" x14ac:dyDescent="0.3">
      <c r="A280" s="13" t="str">
        <v>ax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</row>
    <row r="281" spans="1:28" x14ac:dyDescent="0.3">
      <c r="A281" s="13" t="str">
        <v>az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</row>
    <row r="282" spans="1:28" x14ac:dyDescent="0.3">
      <c r="A282" s="13" t="str">
        <v>ϴ a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</row>
    <row r="283" spans="1:28" x14ac:dyDescent="0.3">
      <c r="A283" s="13" t="str">
        <v>bx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</row>
    <row r="284" spans="1:28" x14ac:dyDescent="0.3">
      <c r="A284" s="13" t="str">
        <v>bz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</row>
    <row r="285" spans="1:28" x14ac:dyDescent="0.3">
      <c r="A285" s="13" t="str">
        <v>ϴ b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</row>
    <row r="286" spans="1:28" x14ac:dyDescent="0.3">
      <c r="A286" s="13" t="str">
        <v>cx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</row>
    <row r="287" spans="1:28" x14ac:dyDescent="0.3">
      <c r="A287" s="13" t="str">
        <v>cz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</row>
    <row r="288" spans="1:28" x14ac:dyDescent="0.3">
      <c r="A288" s="13" t="str">
        <v>ϴ c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</row>
    <row r="291" spans="1:10" x14ac:dyDescent="0.3">
      <c r="A291" s="26" t="s">
        <v>69</v>
      </c>
      <c r="B291" s="26"/>
      <c r="C291" s="26"/>
      <c r="D291" s="26"/>
      <c r="E291" s="26"/>
      <c r="F291" s="26"/>
      <c r="G291" s="26"/>
      <c r="H291" s="26"/>
      <c r="I291" s="26"/>
      <c r="J291" s="26"/>
    </row>
    <row r="293" spans="1:10" x14ac:dyDescent="0.3">
      <c r="A293" s="1" t="s">
        <v>2</v>
      </c>
      <c r="B293" s="1">
        <v>625</v>
      </c>
      <c r="C293" s="1" t="s">
        <v>13</v>
      </c>
    </row>
    <row r="294" spans="1:10" x14ac:dyDescent="0.3">
      <c r="A294" s="1" t="s">
        <v>3</v>
      </c>
      <c r="B294" s="1">
        <f>POWER(25,4)/12</f>
        <v>32552.083333333332</v>
      </c>
      <c r="C294" s="1" t="s">
        <v>62</v>
      </c>
    </row>
    <row r="295" spans="1:10" x14ac:dyDescent="0.3">
      <c r="A295" s="1" t="s">
        <v>5</v>
      </c>
      <c r="B295" s="1">
        <v>300</v>
      </c>
      <c r="C295" s="1" t="s">
        <v>14</v>
      </c>
    </row>
    <row r="296" spans="1:10" x14ac:dyDescent="0.3">
      <c r="A296" s="1" t="s">
        <v>4</v>
      </c>
      <c r="B296" s="1">
        <f>15100*SQRT(210)</f>
        <v>218819.78886746051</v>
      </c>
      <c r="C296" s="2" t="s">
        <v>15</v>
      </c>
    </row>
    <row r="298" spans="1:10" x14ac:dyDescent="0.3">
      <c r="B298" s="1" t="s">
        <v>6</v>
      </c>
    </row>
    <row r="299" spans="1:10" x14ac:dyDescent="0.3">
      <c r="B299" s="1" t="s">
        <v>7</v>
      </c>
      <c r="C299" s="3">
        <f>(B296*B293)/B295</f>
        <v>455874.56014054269</v>
      </c>
      <c r="D299" s="1" t="s">
        <v>12</v>
      </c>
    </row>
    <row r="300" spans="1:10" x14ac:dyDescent="0.3">
      <c r="B300" s="1" t="s">
        <v>8</v>
      </c>
      <c r="C300" s="3">
        <f>(12*B296*B294)/(B295^3)</f>
        <v>3165.795556531546</v>
      </c>
      <c r="D300" s="1" t="s">
        <v>12</v>
      </c>
    </row>
    <row r="301" spans="1:10" x14ac:dyDescent="0.3">
      <c r="B301" s="1" t="s">
        <v>9</v>
      </c>
      <c r="C301" s="3">
        <f>(6*B296*B294)/(B295^2)</f>
        <v>474869.33347973193</v>
      </c>
      <c r="D301" s="1" t="s">
        <v>12</v>
      </c>
    </row>
    <row r="302" spans="1:10" x14ac:dyDescent="0.3">
      <c r="B302" s="1" t="s">
        <v>10</v>
      </c>
      <c r="C302" s="3">
        <f>+(4*B296*B294)/(B295)</f>
        <v>94973866.695946395</v>
      </c>
      <c r="D302" s="1" t="s">
        <v>12</v>
      </c>
    </row>
    <row r="303" spans="1:10" x14ac:dyDescent="0.3">
      <c r="B303" s="1" t="s">
        <v>11</v>
      </c>
      <c r="C303" s="3">
        <f>+(2*B296*B294)/B295</f>
        <v>47486933.347973198</v>
      </c>
      <c r="D303" s="1" t="s">
        <v>12</v>
      </c>
    </row>
    <row r="304" spans="1:10" x14ac:dyDescent="0.3">
      <c r="C304" s="4"/>
    </row>
    <row r="305" spans="1:10" x14ac:dyDescent="0.3">
      <c r="A305" s="24" t="s">
        <v>70</v>
      </c>
      <c r="B305" s="24"/>
      <c r="C305" s="24"/>
      <c r="D305" s="24"/>
      <c r="E305" s="24"/>
      <c r="F305" s="24"/>
      <c r="G305" s="24"/>
    </row>
    <row r="306" spans="1:10" x14ac:dyDescent="0.3">
      <c r="A306" s="1" t="s">
        <v>71</v>
      </c>
      <c r="B306" s="5" t="s">
        <v>37</v>
      </c>
      <c r="C306" s="5" t="s">
        <v>38</v>
      </c>
      <c r="D306" s="5" t="s">
        <v>39</v>
      </c>
      <c r="E306" s="5" t="s">
        <v>46</v>
      </c>
      <c r="F306" s="5" t="s">
        <v>47</v>
      </c>
      <c r="G306" s="5" t="s">
        <v>48</v>
      </c>
    </row>
    <row r="307" spans="1:10" x14ac:dyDescent="0.3">
      <c r="A307" s="5" t="str">
        <f t="array" ref="A307:A312">TRANSPOSE(B306:G306)</f>
        <v>2x</v>
      </c>
      <c r="B307" s="6">
        <f>+C299</f>
        <v>455874.56014054269</v>
      </c>
      <c r="C307" s="6">
        <v>0</v>
      </c>
      <c r="D307" s="6">
        <v>0</v>
      </c>
      <c r="E307" s="7">
        <f>+-C299</f>
        <v>-455874.56014054269</v>
      </c>
      <c r="F307" s="7">
        <v>0</v>
      </c>
      <c r="G307" s="7">
        <v>0</v>
      </c>
      <c r="H307" s="25" t="s">
        <v>68</v>
      </c>
      <c r="I307" s="25"/>
    </row>
    <row r="308" spans="1:10" x14ac:dyDescent="0.3">
      <c r="A308" s="5" t="str">
        <v>2z</v>
      </c>
      <c r="B308" s="6">
        <v>0</v>
      </c>
      <c r="C308" s="6">
        <f>+C300</f>
        <v>3165.795556531546</v>
      </c>
      <c r="D308" s="6">
        <f>+C301</f>
        <v>474869.33347973193</v>
      </c>
      <c r="E308" s="7">
        <v>0</v>
      </c>
      <c r="F308" s="7">
        <f>-C300</f>
        <v>-3165.795556531546</v>
      </c>
      <c r="G308" s="7">
        <f>+C301</f>
        <v>474869.33347973193</v>
      </c>
      <c r="H308" s="25"/>
      <c r="I308" s="25"/>
    </row>
    <row r="309" spans="1:10" x14ac:dyDescent="0.3">
      <c r="A309" s="5" t="str">
        <v>ϴ 2</v>
      </c>
      <c r="B309" s="6">
        <v>0</v>
      </c>
      <c r="C309" s="6">
        <f>+C301</f>
        <v>474869.33347973193</v>
      </c>
      <c r="D309" s="6">
        <f>+C302</f>
        <v>94973866.695946395</v>
      </c>
      <c r="E309" s="7">
        <v>0</v>
      </c>
      <c r="F309" s="7">
        <f>+-C301</f>
        <v>-474869.33347973193</v>
      </c>
      <c r="G309" s="7">
        <f>+C303</f>
        <v>47486933.347973198</v>
      </c>
      <c r="H309" s="25"/>
      <c r="I309" s="25"/>
    </row>
    <row r="310" spans="1:10" x14ac:dyDescent="0.3">
      <c r="A310" s="5" t="str">
        <v>5x</v>
      </c>
      <c r="B310" s="8">
        <f>-C299</f>
        <v>-455874.56014054269</v>
      </c>
      <c r="C310" s="8">
        <v>0</v>
      </c>
      <c r="D310" s="8">
        <v>0</v>
      </c>
      <c r="E310" s="9">
        <f>+C299</f>
        <v>455874.56014054269</v>
      </c>
      <c r="F310" s="9">
        <v>0</v>
      </c>
      <c r="G310" s="9">
        <v>0</v>
      </c>
      <c r="H310" s="25"/>
      <c r="I310" s="25"/>
    </row>
    <row r="311" spans="1:10" x14ac:dyDescent="0.3">
      <c r="A311" s="5" t="str">
        <v>5z</v>
      </c>
      <c r="B311" s="8">
        <v>0</v>
      </c>
      <c r="C311" s="8">
        <f>-C300</f>
        <v>-3165.795556531546</v>
      </c>
      <c r="D311" s="8">
        <f>-C301</f>
        <v>-474869.33347973193</v>
      </c>
      <c r="E311" s="9">
        <v>0</v>
      </c>
      <c r="F311" s="9">
        <f>C300</f>
        <v>3165.795556531546</v>
      </c>
      <c r="G311" s="9">
        <f>-C301</f>
        <v>-474869.33347973193</v>
      </c>
      <c r="H311" s="25"/>
      <c r="I311" s="25"/>
    </row>
    <row r="312" spans="1:10" x14ac:dyDescent="0.3">
      <c r="A312" s="5" t="str">
        <v>ϴ 5</v>
      </c>
      <c r="B312" s="8">
        <v>0</v>
      </c>
      <c r="C312" s="8">
        <f>+C301</f>
        <v>474869.33347973193</v>
      </c>
      <c r="D312" s="8">
        <f>+C303</f>
        <v>47486933.347973198</v>
      </c>
      <c r="E312" s="9">
        <v>0</v>
      </c>
      <c r="F312" s="9">
        <f>-C301</f>
        <v>-474869.33347973193</v>
      </c>
      <c r="G312" s="9">
        <f>C302</f>
        <v>94973866.695946395</v>
      </c>
      <c r="H312" s="25"/>
      <c r="I312" s="25"/>
    </row>
    <row r="314" spans="1:10" x14ac:dyDescent="0.3">
      <c r="A314" s="24" t="s">
        <v>72</v>
      </c>
      <c r="B314" s="24"/>
      <c r="C314" s="24"/>
      <c r="D314" s="24"/>
      <c r="E314" s="24"/>
      <c r="F314" s="24"/>
      <c r="G314" s="24"/>
      <c r="H314" s="24"/>
      <c r="I314" s="24"/>
      <c r="J314" s="24"/>
    </row>
    <row r="315" spans="1:10" x14ac:dyDescent="0.3">
      <c r="A315" s="4"/>
      <c r="B315" s="4"/>
      <c r="C315" s="27" t="s">
        <v>25</v>
      </c>
      <c r="D315" s="27"/>
      <c r="E315" s="27" t="s">
        <v>26</v>
      </c>
      <c r="F315" s="27"/>
      <c r="G315" s="27" t="s">
        <v>27</v>
      </c>
      <c r="H315" s="27"/>
      <c r="I315" s="27" t="s">
        <v>28</v>
      </c>
      <c r="J315" s="27"/>
    </row>
    <row r="316" spans="1:10" x14ac:dyDescent="0.3">
      <c r="A316" s="4" t="s">
        <v>29</v>
      </c>
      <c r="B316" s="10">
        <v>90</v>
      </c>
      <c r="C316" s="4" t="s">
        <v>2</v>
      </c>
      <c r="D316" s="11">
        <f>+B307</f>
        <v>455874.56014054269</v>
      </c>
      <c r="E316" s="4" t="s">
        <v>2</v>
      </c>
      <c r="F316" s="11">
        <f>+E307</f>
        <v>-455874.56014054269</v>
      </c>
      <c r="G316" s="4" t="s">
        <v>2</v>
      </c>
      <c r="H316" s="11">
        <f>+B310</f>
        <v>-455874.56014054269</v>
      </c>
      <c r="I316" s="4" t="s">
        <v>2</v>
      </c>
      <c r="J316" s="12">
        <f>+E310</f>
        <v>455874.56014054269</v>
      </c>
    </row>
    <row r="317" spans="1:10" x14ac:dyDescent="0.3">
      <c r="A317" s="4" t="s">
        <v>30</v>
      </c>
      <c r="B317" s="4">
        <f>SIN(RADIANS(B316))</f>
        <v>1</v>
      </c>
      <c r="C317" s="4" t="s">
        <v>32</v>
      </c>
      <c r="D317" s="11">
        <f>+C308</f>
        <v>3165.795556531546</v>
      </c>
      <c r="E317" s="4" t="s">
        <v>32</v>
      </c>
      <c r="F317" s="11">
        <f>+F308</f>
        <v>-3165.795556531546</v>
      </c>
      <c r="G317" s="4" t="s">
        <v>32</v>
      </c>
      <c r="H317" s="11">
        <f>+C311</f>
        <v>-3165.795556531546</v>
      </c>
      <c r="I317" s="4" t="s">
        <v>32</v>
      </c>
      <c r="J317" s="12">
        <f>+F311</f>
        <v>3165.795556531546</v>
      </c>
    </row>
    <row r="318" spans="1:10" x14ac:dyDescent="0.3">
      <c r="A318" s="4" t="s">
        <v>31</v>
      </c>
      <c r="B318" s="4">
        <f>COS(RADIANS(B316))</f>
        <v>6.1257422745431001E-17</v>
      </c>
      <c r="C318" s="4" t="s">
        <v>33</v>
      </c>
      <c r="D318" s="11">
        <f>+D309</f>
        <v>94973866.695946395</v>
      </c>
      <c r="E318" s="4" t="s">
        <v>33</v>
      </c>
      <c r="F318" s="11">
        <f>+G309</f>
        <v>47486933.347973198</v>
      </c>
      <c r="G318" s="4" t="s">
        <v>33</v>
      </c>
      <c r="H318" s="11">
        <f>+D312</f>
        <v>47486933.347973198</v>
      </c>
      <c r="I318" s="4" t="s">
        <v>33</v>
      </c>
      <c r="J318" s="12">
        <f>+G312</f>
        <v>94973866.695946395</v>
      </c>
    </row>
    <row r="319" spans="1:10" x14ac:dyDescent="0.3">
      <c r="A319" s="4"/>
      <c r="B319" s="4"/>
      <c r="C319" s="4" t="s">
        <v>34</v>
      </c>
      <c r="D319" s="11">
        <f>+D308</f>
        <v>474869.33347973193</v>
      </c>
      <c r="E319" s="4" t="s">
        <v>34</v>
      </c>
      <c r="F319" s="11">
        <f>+G308</f>
        <v>474869.33347973193</v>
      </c>
      <c r="G319" s="4" t="s">
        <v>34</v>
      </c>
      <c r="H319" s="11">
        <f>+D311</f>
        <v>-474869.33347973193</v>
      </c>
      <c r="I319" s="4" t="s">
        <v>34</v>
      </c>
      <c r="J319" s="12">
        <f>+G311</f>
        <v>-474869.33347973193</v>
      </c>
    </row>
    <row r="320" spans="1:10" x14ac:dyDescent="0.3">
      <c r="C320" s="4" t="s">
        <v>4</v>
      </c>
      <c r="D320" s="11">
        <f>+C309</f>
        <v>474869.33347973193</v>
      </c>
      <c r="E320" s="4" t="s">
        <v>4</v>
      </c>
      <c r="F320" s="11">
        <f>+F309</f>
        <v>-474869.33347973193</v>
      </c>
      <c r="G320" s="4" t="s">
        <v>4</v>
      </c>
      <c r="H320" s="11">
        <f>+C312</f>
        <v>474869.33347973193</v>
      </c>
      <c r="I320" s="4" t="s">
        <v>4</v>
      </c>
      <c r="J320" s="12">
        <f>+F312</f>
        <v>-474869.33347973193</v>
      </c>
    </row>
    <row r="324" spans="1:28" x14ac:dyDescent="0.3">
      <c r="A324" s="1" t="s">
        <v>17</v>
      </c>
      <c r="B324" s="5" t="str">
        <f t="array" ref="B324:G324">B306:G306</f>
        <v>2x</v>
      </c>
      <c r="C324" s="5" t="str">
        <v>2z</v>
      </c>
      <c r="D324" s="5" t="str">
        <v>ϴ 2</v>
      </c>
      <c r="E324" s="5" t="str">
        <v>5x</v>
      </c>
      <c r="F324" s="5" t="str">
        <v>5z</v>
      </c>
      <c r="G324" s="5" t="str">
        <v>ϴ 5</v>
      </c>
    </row>
    <row r="325" spans="1:28" x14ac:dyDescent="0.3">
      <c r="A325" s="5" t="str">
        <f t="array" ref="A325:A330">+TRANSPOSE(B324:G324)</f>
        <v>2x</v>
      </c>
      <c r="B325" s="6">
        <f>(D316*B318*B318)+(D317*B317*B317)</f>
        <v>3165.795556531546</v>
      </c>
      <c r="C325" s="6">
        <f>(D316-D317)*B318*B317</f>
        <v>2.7731772172684573E-11</v>
      </c>
      <c r="D325" s="6">
        <f>-D319*B317</f>
        <v>-474869.33347973193</v>
      </c>
      <c r="E325" s="14">
        <f>(F316*B318*B318)+(F317*B317*B317)</f>
        <v>-3165.795556531546</v>
      </c>
      <c r="F325" s="14">
        <f>(F316-F317)*B318*B317</f>
        <v>-2.7731772172684573E-11</v>
      </c>
      <c r="G325" s="14">
        <f>-F319*B317</f>
        <v>-474869.33347973193</v>
      </c>
    </row>
    <row r="326" spans="1:28" x14ac:dyDescent="0.3">
      <c r="A326" s="5" t="str">
        <v>2z</v>
      </c>
      <c r="B326" s="6">
        <f>(D316-D317)*B318*B317</f>
        <v>2.7731772172684573E-11</v>
      </c>
      <c r="C326" s="6">
        <f>(D316*B317*B317)+(D317*B318*B318)</f>
        <v>455874.56014054269</v>
      </c>
      <c r="D326" s="6">
        <f>D319*B318</f>
        <v>2.9089271509808988E-11</v>
      </c>
      <c r="E326" s="14">
        <f>(F316-F317)*B318*B317</f>
        <v>-2.7731772172684573E-11</v>
      </c>
      <c r="F326" s="14">
        <f>(F316*B317*B317)+(F317*B318*B318)</f>
        <v>-455874.56014054269</v>
      </c>
      <c r="G326" s="14">
        <f>F319*B318</f>
        <v>2.9089271509808988E-11</v>
      </c>
    </row>
    <row r="327" spans="1:28" x14ac:dyDescent="0.3">
      <c r="A327" s="5" t="str">
        <v>ϴ 2</v>
      </c>
      <c r="B327" s="6">
        <f>-D320*B317</f>
        <v>-474869.33347973193</v>
      </c>
      <c r="C327" s="6">
        <f>D320*B318</f>
        <v>2.9089271509808988E-11</v>
      </c>
      <c r="D327" s="6">
        <f>+D318</f>
        <v>94973866.695946395</v>
      </c>
      <c r="E327" s="14">
        <f>-F320*B317</f>
        <v>474869.33347973193</v>
      </c>
      <c r="F327" s="14">
        <f>F320*B318</f>
        <v>-2.9089271509808988E-11</v>
      </c>
      <c r="G327" s="14">
        <f>+F318</f>
        <v>47486933.347973198</v>
      </c>
    </row>
    <row r="328" spans="1:28" x14ac:dyDescent="0.3">
      <c r="A328" s="5" t="str">
        <v>5x</v>
      </c>
      <c r="B328" s="15">
        <f>(H316*B318*B318)+(H317*B317*B317)</f>
        <v>-3165.795556531546</v>
      </c>
      <c r="C328" s="15">
        <f>(H316-H317)*B318*B317</f>
        <v>-2.7731772172684573E-11</v>
      </c>
      <c r="D328" s="15">
        <f>-H319*B317</f>
        <v>474869.33347973193</v>
      </c>
      <c r="E328" s="8">
        <f>(J316*B318*B318)+(J317*B317*B317)</f>
        <v>3165.795556531546</v>
      </c>
      <c r="F328" s="8">
        <f>(J316-J317)*B318*B317</f>
        <v>2.7731772172684573E-11</v>
      </c>
      <c r="G328" s="8">
        <f>-J319*B317</f>
        <v>474869.33347973193</v>
      </c>
    </row>
    <row r="329" spans="1:28" x14ac:dyDescent="0.3">
      <c r="A329" s="5" t="str">
        <v>5z</v>
      </c>
      <c r="B329" s="15">
        <f>(H317-H318)*B318*B317</f>
        <v>-2.9091210794576311E-9</v>
      </c>
      <c r="C329" s="15">
        <f>(H316*B317*B317)+(H317*B318*B318)</f>
        <v>-455874.56014054269</v>
      </c>
      <c r="D329" s="15">
        <f>+H319*B318</f>
        <v>-2.9089271509808988E-11</v>
      </c>
      <c r="E329" s="8">
        <f>(J316-J317)*B318*B317</f>
        <v>2.7731772172684573E-11</v>
      </c>
      <c r="F329" s="8">
        <f>(J316*B317*B317)+(J317*B318*B318)</f>
        <v>455874.56014054269</v>
      </c>
      <c r="G329" s="8">
        <f>-J319*B318</f>
        <v>2.9089271509808988E-11</v>
      </c>
    </row>
    <row r="330" spans="1:28" x14ac:dyDescent="0.3">
      <c r="A330" s="5" t="str">
        <v>ϴ 5</v>
      </c>
      <c r="B330" s="15">
        <f>-H320*B317</f>
        <v>-474869.33347973193</v>
      </c>
      <c r="C330" s="15">
        <f>H320*B318</f>
        <v>2.9089271509808988E-11</v>
      </c>
      <c r="D330" s="15">
        <f>+H318</f>
        <v>47486933.347973198</v>
      </c>
      <c r="E330" s="8">
        <f>-J320*B317</f>
        <v>474869.33347973193</v>
      </c>
      <c r="F330" s="8">
        <f>J320*B318</f>
        <v>-2.9089271509808988E-11</v>
      </c>
      <c r="G330" s="8">
        <f>+J318</f>
        <v>94973866.695946395</v>
      </c>
    </row>
    <row r="333" spans="1:28" x14ac:dyDescent="0.3">
      <c r="A333" s="1" t="s">
        <v>36</v>
      </c>
      <c r="B333" s="13" t="s">
        <v>18</v>
      </c>
      <c r="C333" s="13" t="s">
        <v>19</v>
      </c>
      <c r="D333" s="13" t="s">
        <v>20</v>
      </c>
      <c r="E333" s="13" t="s">
        <v>37</v>
      </c>
      <c r="F333" s="13" t="s">
        <v>38</v>
      </c>
      <c r="G333" s="13" t="s">
        <v>39</v>
      </c>
      <c r="H333" s="13" t="s">
        <v>40</v>
      </c>
      <c r="I333" s="13" t="s">
        <v>41</v>
      </c>
      <c r="J333" s="13" t="s">
        <v>42</v>
      </c>
      <c r="K333" s="13" t="s">
        <v>43</v>
      </c>
      <c r="L333" s="13" t="s">
        <v>44</v>
      </c>
      <c r="M333" s="13" t="s">
        <v>45</v>
      </c>
      <c r="N333" s="13" t="s">
        <v>46</v>
      </c>
      <c r="O333" s="13" t="s">
        <v>47</v>
      </c>
      <c r="P333" s="13" t="s">
        <v>48</v>
      </c>
      <c r="Q333" s="13" t="s">
        <v>49</v>
      </c>
      <c r="R333" s="13" t="s">
        <v>50</v>
      </c>
      <c r="S333" s="13" t="s">
        <v>51</v>
      </c>
      <c r="T333" s="13" t="s">
        <v>21</v>
      </c>
      <c r="U333" s="13" t="s">
        <v>22</v>
      </c>
      <c r="V333" s="13" t="s">
        <v>23</v>
      </c>
      <c r="W333" s="13" t="s">
        <v>52</v>
      </c>
      <c r="X333" s="13" t="s">
        <v>53</v>
      </c>
      <c r="Y333" s="13" t="s">
        <v>54</v>
      </c>
      <c r="Z333" s="13" t="s">
        <v>55</v>
      </c>
      <c r="AA333" s="13" t="s">
        <v>56</v>
      </c>
      <c r="AB333" s="13" t="s">
        <v>57</v>
      </c>
    </row>
    <row r="334" spans="1:28" x14ac:dyDescent="0.3">
      <c r="A334" s="13" t="str">
        <f t="array" ref="A334:A360">TRANSPOSE(B333:AB333)</f>
        <v>1x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</row>
    <row r="335" spans="1:28" x14ac:dyDescent="0.3">
      <c r="A335" s="13" t="str">
        <v>1z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</row>
    <row r="336" spans="1:28" x14ac:dyDescent="0.3">
      <c r="A336" s="13" t="str">
        <v>ϴ 1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</row>
    <row r="337" spans="1:28" x14ac:dyDescent="0.3">
      <c r="A337" s="13" t="str">
        <v>2x</v>
      </c>
      <c r="B337" s="1">
        <v>0</v>
      </c>
      <c r="C337" s="1">
        <v>0</v>
      </c>
      <c r="D337" s="1">
        <v>0</v>
      </c>
      <c r="E337" s="1">
        <f t="array" ref="E337:G339">B325:D327</f>
        <v>3165.795556531546</v>
      </c>
      <c r="F337" s="1">
        <v>2.7731772172684573E-11</v>
      </c>
      <c r="G337" s="1">
        <v>-474869.33347973193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f t="array" ref="N337:P339">E325:G327</f>
        <v>-3165.795556531546</v>
      </c>
      <c r="O337" s="1">
        <v>-2.7731772172684573E-11</v>
      </c>
      <c r="P337" s="1">
        <v>-474869.33347973193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</row>
    <row r="338" spans="1:28" x14ac:dyDescent="0.3">
      <c r="A338" s="13" t="str">
        <v>2z</v>
      </c>
      <c r="B338" s="1">
        <v>0</v>
      </c>
      <c r="C338" s="1">
        <v>0</v>
      </c>
      <c r="D338" s="1">
        <v>0</v>
      </c>
      <c r="E338" s="1">
        <v>2.7731772172684573E-11</v>
      </c>
      <c r="F338" s="1">
        <v>455874.56014054269</v>
      </c>
      <c r="G338" s="1">
        <v>2.9089271509808988E-11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-2.7731772172684573E-11</v>
      </c>
      <c r="O338" s="1">
        <v>-455874.56014054269</v>
      </c>
      <c r="P338" s="1">
        <v>2.9089271509808988E-11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</row>
    <row r="339" spans="1:28" x14ac:dyDescent="0.3">
      <c r="A339" s="13" t="str">
        <v>ϴ 2</v>
      </c>
      <c r="B339" s="1">
        <v>0</v>
      </c>
      <c r="C339" s="1">
        <v>0</v>
      </c>
      <c r="D339" s="1">
        <v>0</v>
      </c>
      <c r="E339" s="1">
        <v>-474869.33347973193</v>
      </c>
      <c r="F339" s="1">
        <v>2.9089271509808988E-11</v>
      </c>
      <c r="G339" s="1">
        <v>94973866.695946395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474869.33347973193</v>
      </c>
      <c r="O339" s="1">
        <v>-2.9089271509808988E-11</v>
      </c>
      <c r="P339" s="1">
        <v>47486933.347973198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</row>
    <row r="340" spans="1:28" x14ac:dyDescent="0.3">
      <c r="A340" s="13" t="str">
        <v>3x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</row>
    <row r="341" spans="1:28" x14ac:dyDescent="0.3">
      <c r="A341" s="13" t="str">
        <v>3z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</row>
    <row r="342" spans="1:28" x14ac:dyDescent="0.3">
      <c r="A342" s="13" t="str">
        <v>ϴ 3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</row>
    <row r="343" spans="1:28" x14ac:dyDescent="0.3">
      <c r="A343" s="13" t="str">
        <v>4x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</row>
    <row r="344" spans="1:28" x14ac:dyDescent="0.3">
      <c r="A344" s="13" t="str">
        <v>4z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</row>
    <row r="345" spans="1:28" x14ac:dyDescent="0.3">
      <c r="A345" s="13" t="str">
        <v>ϴ 4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</row>
    <row r="346" spans="1:28" x14ac:dyDescent="0.3">
      <c r="A346" s="13" t="str">
        <v>5x</v>
      </c>
      <c r="B346" s="1">
        <v>0</v>
      </c>
      <c r="C346" s="1">
        <v>0</v>
      </c>
      <c r="D346" s="1">
        <v>0</v>
      </c>
      <c r="E346" s="1">
        <f t="array" ref="E346:G348">B328:D330</f>
        <v>-3165.795556531546</v>
      </c>
      <c r="F346" s="1">
        <v>-2.7731772172684573E-11</v>
      </c>
      <c r="G346" s="1">
        <v>474869.33347973193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f t="array" ref="N346:P348">E328:G330</f>
        <v>3165.795556531546</v>
      </c>
      <c r="O346" s="1">
        <v>2.7731772172684573E-11</v>
      </c>
      <c r="P346" s="1">
        <v>474869.33347973193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</row>
    <row r="347" spans="1:28" x14ac:dyDescent="0.3">
      <c r="A347" s="13" t="str">
        <v>5z</v>
      </c>
      <c r="B347" s="1">
        <v>0</v>
      </c>
      <c r="C347" s="1">
        <v>0</v>
      </c>
      <c r="D347" s="1">
        <v>0</v>
      </c>
      <c r="E347" s="1">
        <v>-2.9091210794576311E-9</v>
      </c>
      <c r="F347" s="1">
        <v>-455874.56014054269</v>
      </c>
      <c r="G347" s="1">
        <v>-2.9089271509808988E-11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2.7731772172684573E-11</v>
      </c>
      <c r="O347" s="1">
        <v>455874.56014054269</v>
      </c>
      <c r="P347" s="1">
        <v>2.9089271509808988E-11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</row>
    <row r="348" spans="1:28" x14ac:dyDescent="0.3">
      <c r="A348" s="13" t="str">
        <v>ϴ 5</v>
      </c>
      <c r="B348" s="1">
        <v>0</v>
      </c>
      <c r="C348" s="1">
        <v>0</v>
      </c>
      <c r="D348" s="1">
        <v>0</v>
      </c>
      <c r="E348" s="1">
        <v>-474869.33347973193</v>
      </c>
      <c r="F348" s="1">
        <v>2.9089271509808988E-11</v>
      </c>
      <c r="G348" s="1">
        <v>47486933.347973198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474869.33347973193</v>
      </c>
      <c r="O348" s="1">
        <v>-2.9089271509808988E-11</v>
      </c>
      <c r="P348" s="1">
        <v>94973866.695946395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</row>
    <row r="349" spans="1:28" x14ac:dyDescent="0.3">
      <c r="A349" s="13" t="str">
        <v>6x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</row>
    <row r="350" spans="1:28" x14ac:dyDescent="0.3">
      <c r="A350" s="13" t="str">
        <v>6z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</row>
    <row r="351" spans="1:28" x14ac:dyDescent="0.3">
      <c r="A351" s="13" t="str">
        <v>ϴ 6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</row>
    <row r="352" spans="1:28" x14ac:dyDescent="0.3">
      <c r="A352" s="13" t="str">
        <v>ax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</row>
    <row r="353" spans="1:28" x14ac:dyDescent="0.3">
      <c r="A353" s="13" t="str">
        <v>az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</row>
    <row r="354" spans="1:28" x14ac:dyDescent="0.3">
      <c r="A354" s="13" t="str">
        <v>ϴ a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</row>
    <row r="355" spans="1:28" x14ac:dyDescent="0.3">
      <c r="A355" s="13" t="str">
        <v>bx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</row>
    <row r="356" spans="1:28" x14ac:dyDescent="0.3">
      <c r="A356" s="13" t="str">
        <v>bz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</row>
    <row r="357" spans="1:28" x14ac:dyDescent="0.3">
      <c r="A357" s="13" t="str">
        <v>ϴ b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</row>
    <row r="358" spans="1:28" x14ac:dyDescent="0.3">
      <c r="A358" s="13" t="str">
        <v>cx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</row>
    <row r="359" spans="1:28" x14ac:dyDescent="0.3">
      <c r="A359" s="13" t="str">
        <v>cz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</row>
    <row r="360" spans="1:28" x14ac:dyDescent="0.3">
      <c r="A360" s="13" t="str">
        <v>ϴ c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</row>
    <row r="363" spans="1:28" x14ac:dyDescent="0.3">
      <c r="A363" s="26" t="s">
        <v>73</v>
      </c>
      <c r="B363" s="26"/>
      <c r="C363" s="26"/>
      <c r="D363" s="26"/>
      <c r="E363" s="26"/>
      <c r="F363" s="26"/>
      <c r="G363" s="26"/>
      <c r="H363" s="26"/>
      <c r="I363" s="26"/>
      <c r="J363" s="26"/>
    </row>
    <row r="365" spans="1:28" x14ac:dyDescent="0.3">
      <c r="A365" s="1" t="s">
        <v>2</v>
      </c>
      <c r="B365" s="1">
        <v>625</v>
      </c>
      <c r="C365" s="1" t="s">
        <v>13</v>
      </c>
    </row>
    <row r="366" spans="1:28" x14ac:dyDescent="0.3">
      <c r="A366" s="1" t="s">
        <v>3</v>
      </c>
      <c r="B366" s="1">
        <f>POWER(25,4)/12</f>
        <v>32552.083333333332</v>
      </c>
      <c r="C366" s="1" t="s">
        <v>62</v>
      </c>
    </row>
    <row r="367" spans="1:28" x14ac:dyDescent="0.3">
      <c r="A367" s="1" t="s">
        <v>5</v>
      </c>
      <c r="B367" s="1">
        <v>300</v>
      </c>
      <c r="C367" s="1" t="s">
        <v>14</v>
      </c>
    </row>
    <row r="368" spans="1:28" x14ac:dyDescent="0.3">
      <c r="A368" s="1" t="s">
        <v>4</v>
      </c>
      <c r="B368" s="1">
        <f>15100*SQRT(210)</f>
        <v>218819.78886746051</v>
      </c>
      <c r="C368" s="2" t="s">
        <v>15</v>
      </c>
    </row>
    <row r="370" spans="1:9" x14ac:dyDescent="0.3">
      <c r="B370" s="1" t="s">
        <v>6</v>
      </c>
    </row>
    <row r="371" spans="1:9" x14ac:dyDescent="0.3">
      <c r="B371" s="1" t="s">
        <v>7</v>
      </c>
      <c r="C371" s="3">
        <f>(B368*B365)/B367</f>
        <v>455874.56014054269</v>
      </c>
      <c r="D371" s="1" t="s">
        <v>12</v>
      </c>
    </row>
    <row r="372" spans="1:9" x14ac:dyDescent="0.3">
      <c r="B372" s="1" t="s">
        <v>8</v>
      </c>
      <c r="C372" s="3">
        <f>(12*B368*B366)/(B367^3)</f>
        <v>3165.795556531546</v>
      </c>
      <c r="D372" s="1" t="s">
        <v>12</v>
      </c>
    </row>
    <row r="373" spans="1:9" x14ac:dyDescent="0.3">
      <c r="B373" s="1" t="s">
        <v>9</v>
      </c>
      <c r="C373" s="3">
        <f>(6*B368*B366)/(B367^2)</f>
        <v>474869.33347973193</v>
      </c>
      <c r="D373" s="1" t="s">
        <v>12</v>
      </c>
    </row>
    <row r="374" spans="1:9" x14ac:dyDescent="0.3">
      <c r="B374" s="1" t="s">
        <v>10</v>
      </c>
      <c r="C374" s="3">
        <f>+(4*B368*B366)/(B367)</f>
        <v>94973866.695946395</v>
      </c>
      <c r="D374" s="1" t="s">
        <v>12</v>
      </c>
    </row>
    <row r="375" spans="1:9" x14ac:dyDescent="0.3">
      <c r="B375" s="1" t="s">
        <v>11</v>
      </c>
      <c r="C375" s="3">
        <f>+(2*B368*B366)/B367</f>
        <v>47486933.347973198</v>
      </c>
      <c r="D375" s="1" t="s">
        <v>12</v>
      </c>
    </row>
    <row r="376" spans="1:9" x14ac:dyDescent="0.3">
      <c r="C376" s="4"/>
    </row>
    <row r="377" spans="1:9" x14ac:dyDescent="0.3">
      <c r="A377" s="24" t="s">
        <v>74</v>
      </c>
      <c r="B377" s="24"/>
      <c r="C377" s="24"/>
      <c r="D377" s="24"/>
      <c r="E377" s="24"/>
      <c r="F377" s="24"/>
      <c r="G377" s="24"/>
    </row>
    <row r="378" spans="1:9" x14ac:dyDescent="0.3">
      <c r="A378" s="1" t="s">
        <v>76</v>
      </c>
      <c r="B378" s="5" t="s">
        <v>40</v>
      </c>
      <c r="C378" s="5" t="s">
        <v>41</v>
      </c>
      <c r="D378" s="5" t="s">
        <v>42</v>
      </c>
      <c r="E378" s="5" t="s">
        <v>49</v>
      </c>
      <c r="F378" s="5" t="s">
        <v>50</v>
      </c>
      <c r="G378" s="5" t="s">
        <v>51</v>
      </c>
    </row>
    <row r="379" spans="1:9" x14ac:dyDescent="0.3">
      <c r="A379" s="5" t="str">
        <f t="array" ref="A379:A384">TRANSPOSE(B378:G378)</f>
        <v>3x</v>
      </c>
      <c r="B379" s="6">
        <f>+C371</f>
        <v>455874.56014054269</v>
      </c>
      <c r="C379" s="6">
        <v>0</v>
      </c>
      <c r="D379" s="6">
        <v>0</v>
      </c>
      <c r="E379" s="7">
        <f>+-C371</f>
        <v>-455874.56014054269</v>
      </c>
      <c r="F379" s="7">
        <v>0</v>
      </c>
      <c r="G379" s="7">
        <v>0</v>
      </c>
      <c r="H379" s="25" t="s">
        <v>68</v>
      </c>
      <c r="I379" s="25"/>
    </row>
    <row r="380" spans="1:9" x14ac:dyDescent="0.3">
      <c r="A380" s="5" t="str">
        <v>3z</v>
      </c>
      <c r="B380" s="6">
        <v>0</v>
      </c>
      <c r="C380" s="6">
        <f>+C372</f>
        <v>3165.795556531546</v>
      </c>
      <c r="D380" s="6">
        <f>+C373</f>
        <v>474869.33347973193</v>
      </c>
      <c r="E380" s="7">
        <v>0</v>
      </c>
      <c r="F380" s="7">
        <f>-C372</f>
        <v>-3165.795556531546</v>
      </c>
      <c r="G380" s="7">
        <f>+C373</f>
        <v>474869.33347973193</v>
      </c>
      <c r="H380" s="25"/>
      <c r="I380" s="25"/>
    </row>
    <row r="381" spans="1:9" x14ac:dyDescent="0.3">
      <c r="A381" s="5" t="str">
        <v>ϴ 3</v>
      </c>
      <c r="B381" s="6">
        <v>0</v>
      </c>
      <c r="C381" s="6">
        <f>+C373</f>
        <v>474869.33347973193</v>
      </c>
      <c r="D381" s="6">
        <f>+C374</f>
        <v>94973866.695946395</v>
      </c>
      <c r="E381" s="7">
        <v>0</v>
      </c>
      <c r="F381" s="7">
        <f>+-C373</f>
        <v>-474869.33347973193</v>
      </c>
      <c r="G381" s="7">
        <f>+C375</f>
        <v>47486933.347973198</v>
      </c>
      <c r="H381" s="25"/>
      <c r="I381" s="25"/>
    </row>
    <row r="382" spans="1:9" x14ac:dyDescent="0.3">
      <c r="A382" s="5" t="str">
        <v>6x</v>
      </c>
      <c r="B382" s="8">
        <f>-C371</f>
        <v>-455874.56014054269</v>
      </c>
      <c r="C382" s="8">
        <v>0</v>
      </c>
      <c r="D382" s="8">
        <v>0</v>
      </c>
      <c r="E382" s="9">
        <f>+C371</f>
        <v>455874.56014054269</v>
      </c>
      <c r="F382" s="9">
        <v>0</v>
      </c>
      <c r="G382" s="9">
        <v>0</v>
      </c>
      <c r="H382" s="25"/>
      <c r="I382" s="25"/>
    </row>
    <row r="383" spans="1:9" x14ac:dyDescent="0.3">
      <c r="A383" s="5" t="str">
        <v>6z</v>
      </c>
      <c r="B383" s="8">
        <v>0</v>
      </c>
      <c r="C383" s="8">
        <f>-C372</f>
        <v>-3165.795556531546</v>
      </c>
      <c r="D383" s="8">
        <f>-C373</f>
        <v>-474869.33347973193</v>
      </c>
      <c r="E383" s="9">
        <v>0</v>
      </c>
      <c r="F383" s="9">
        <f>C372</f>
        <v>3165.795556531546</v>
      </c>
      <c r="G383" s="9">
        <f>-C373</f>
        <v>-474869.33347973193</v>
      </c>
      <c r="H383" s="25"/>
      <c r="I383" s="25"/>
    </row>
    <row r="384" spans="1:9" x14ac:dyDescent="0.3">
      <c r="A384" s="5" t="str">
        <v>ϴ 6</v>
      </c>
      <c r="B384" s="8">
        <v>0</v>
      </c>
      <c r="C384" s="8">
        <f>+C373</f>
        <v>474869.33347973193</v>
      </c>
      <c r="D384" s="8">
        <f>+C375</f>
        <v>47486933.347973198</v>
      </c>
      <c r="E384" s="9">
        <v>0</v>
      </c>
      <c r="F384" s="9">
        <f>-C373</f>
        <v>-474869.33347973193</v>
      </c>
      <c r="G384" s="9">
        <f>C374</f>
        <v>94973866.695946395</v>
      </c>
      <c r="H384" s="25"/>
      <c r="I384" s="25"/>
    </row>
    <row r="386" spans="1:10" x14ac:dyDescent="0.3">
      <c r="A386" s="24" t="s">
        <v>75</v>
      </c>
      <c r="B386" s="24"/>
      <c r="C386" s="24"/>
      <c r="D386" s="24"/>
      <c r="E386" s="24"/>
      <c r="F386" s="24"/>
      <c r="G386" s="24"/>
      <c r="H386" s="24"/>
      <c r="I386" s="24"/>
      <c r="J386" s="24"/>
    </row>
    <row r="387" spans="1:10" x14ac:dyDescent="0.3">
      <c r="A387" s="4"/>
      <c r="B387" s="4"/>
      <c r="C387" s="27" t="s">
        <v>25</v>
      </c>
      <c r="D387" s="27"/>
      <c r="E387" s="27" t="s">
        <v>26</v>
      </c>
      <c r="F387" s="27"/>
      <c r="G387" s="27" t="s">
        <v>27</v>
      </c>
      <c r="H387" s="27"/>
      <c r="I387" s="27" t="s">
        <v>28</v>
      </c>
      <c r="J387" s="27"/>
    </row>
    <row r="388" spans="1:10" x14ac:dyDescent="0.3">
      <c r="A388" s="4" t="s">
        <v>29</v>
      </c>
      <c r="B388" s="10">
        <v>90</v>
      </c>
      <c r="C388" s="4" t="s">
        <v>2</v>
      </c>
      <c r="D388" s="11">
        <f>+B379</f>
        <v>455874.56014054269</v>
      </c>
      <c r="E388" s="4" t="s">
        <v>2</v>
      </c>
      <c r="F388" s="11">
        <f>+E379</f>
        <v>-455874.56014054269</v>
      </c>
      <c r="G388" s="4" t="s">
        <v>2</v>
      </c>
      <c r="H388" s="11">
        <f>+B382</f>
        <v>-455874.56014054269</v>
      </c>
      <c r="I388" s="4" t="s">
        <v>2</v>
      </c>
      <c r="J388" s="12">
        <f>+E382</f>
        <v>455874.56014054269</v>
      </c>
    </row>
    <row r="389" spans="1:10" x14ac:dyDescent="0.3">
      <c r="A389" s="4" t="s">
        <v>30</v>
      </c>
      <c r="B389" s="4">
        <f>SIN(RADIANS(B388))</f>
        <v>1</v>
      </c>
      <c r="C389" s="4" t="s">
        <v>32</v>
      </c>
      <c r="D389" s="11">
        <f>+C380</f>
        <v>3165.795556531546</v>
      </c>
      <c r="E389" s="4" t="s">
        <v>32</v>
      </c>
      <c r="F389" s="11">
        <f>+F380</f>
        <v>-3165.795556531546</v>
      </c>
      <c r="G389" s="4" t="s">
        <v>32</v>
      </c>
      <c r="H389" s="11">
        <f>+C383</f>
        <v>-3165.795556531546</v>
      </c>
      <c r="I389" s="4" t="s">
        <v>32</v>
      </c>
      <c r="J389" s="12">
        <f>+F383</f>
        <v>3165.795556531546</v>
      </c>
    </row>
    <row r="390" spans="1:10" x14ac:dyDescent="0.3">
      <c r="A390" s="4" t="s">
        <v>31</v>
      </c>
      <c r="B390" s="4">
        <f>COS(RADIANS(B388))</f>
        <v>6.1257422745431001E-17</v>
      </c>
      <c r="C390" s="4" t="s">
        <v>33</v>
      </c>
      <c r="D390" s="11">
        <f>+D381</f>
        <v>94973866.695946395</v>
      </c>
      <c r="E390" s="4" t="s">
        <v>33</v>
      </c>
      <c r="F390" s="11">
        <f>+G381</f>
        <v>47486933.347973198</v>
      </c>
      <c r="G390" s="4" t="s">
        <v>33</v>
      </c>
      <c r="H390" s="11">
        <f>+D384</f>
        <v>47486933.347973198</v>
      </c>
      <c r="I390" s="4" t="s">
        <v>33</v>
      </c>
      <c r="J390" s="12">
        <f>+G384</f>
        <v>94973866.695946395</v>
      </c>
    </row>
    <row r="391" spans="1:10" x14ac:dyDescent="0.3">
      <c r="A391" s="4"/>
      <c r="B391" s="4"/>
      <c r="C391" s="4" t="s">
        <v>34</v>
      </c>
      <c r="D391" s="11">
        <f>+D380</f>
        <v>474869.33347973193</v>
      </c>
      <c r="E391" s="4" t="s">
        <v>34</v>
      </c>
      <c r="F391" s="11">
        <f>+G380</f>
        <v>474869.33347973193</v>
      </c>
      <c r="G391" s="4" t="s">
        <v>34</v>
      </c>
      <c r="H391" s="11">
        <f>+D383</f>
        <v>-474869.33347973193</v>
      </c>
      <c r="I391" s="4" t="s">
        <v>34</v>
      </c>
      <c r="J391" s="12">
        <f>+G383</f>
        <v>-474869.33347973193</v>
      </c>
    </row>
    <row r="392" spans="1:10" x14ac:dyDescent="0.3">
      <c r="C392" s="4" t="s">
        <v>4</v>
      </c>
      <c r="D392" s="11">
        <f>+C381</f>
        <v>474869.33347973193</v>
      </c>
      <c r="E392" s="4" t="s">
        <v>4</v>
      </c>
      <c r="F392" s="11">
        <f>+F381</f>
        <v>-474869.33347973193</v>
      </c>
      <c r="G392" s="4" t="s">
        <v>4</v>
      </c>
      <c r="H392" s="11">
        <f>+C384</f>
        <v>474869.33347973193</v>
      </c>
      <c r="I392" s="4" t="s">
        <v>4</v>
      </c>
      <c r="J392" s="12">
        <f>+F384</f>
        <v>-474869.33347973193</v>
      </c>
    </row>
    <row r="396" spans="1:10" x14ac:dyDescent="0.3">
      <c r="A396" s="1" t="s">
        <v>76</v>
      </c>
      <c r="B396" s="5" t="str">
        <f t="array" ref="B396:G396">B378:G378</f>
        <v>3x</v>
      </c>
      <c r="C396" s="5" t="str">
        <v>3z</v>
      </c>
      <c r="D396" s="5" t="str">
        <v>ϴ 3</v>
      </c>
      <c r="E396" s="5" t="str">
        <v>6x</v>
      </c>
      <c r="F396" s="5" t="str">
        <v>6z</v>
      </c>
      <c r="G396" s="5" t="str">
        <v>ϴ 6</v>
      </c>
    </row>
    <row r="397" spans="1:10" x14ac:dyDescent="0.3">
      <c r="A397" s="5" t="str">
        <f t="array" ref="A397:A402">+TRANSPOSE(B396:G396)</f>
        <v>3x</v>
      </c>
      <c r="B397" s="6">
        <f>(D388*B390*B390)+(D389*B389*B389)</f>
        <v>3165.795556531546</v>
      </c>
      <c r="C397" s="6">
        <f>(D388-D389)*B390*B389</f>
        <v>2.7731772172684573E-11</v>
      </c>
      <c r="D397" s="6">
        <f>-D391*B389</f>
        <v>-474869.33347973193</v>
      </c>
      <c r="E397" s="14">
        <f>(F388*B390*B390)+(F389*B389*B389)</f>
        <v>-3165.795556531546</v>
      </c>
      <c r="F397" s="14">
        <f>(F388-F389)*B390*B389</f>
        <v>-2.7731772172684573E-11</v>
      </c>
      <c r="G397" s="14">
        <f>-F391*B389</f>
        <v>-474869.33347973193</v>
      </c>
    </row>
    <row r="398" spans="1:10" x14ac:dyDescent="0.3">
      <c r="A398" s="5" t="str">
        <v>3z</v>
      </c>
      <c r="B398" s="6">
        <f>(D388-D389)*B390*B389</f>
        <v>2.7731772172684573E-11</v>
      </c>
      <c r="C398" s="6">
        <f>(D388*B389*B389)+(D389*B390*B390)</f>
        <v>455874.56014054269</v>
      </c>
      <c r="D398" s="6">
        <f>D391*B390</f>
        <v>2.9089271509808988E-11</v>
      </c>
      <c r="E398" s="14">
        <f>(F388-F389)*B390*B389</f>
        <v>-2.7731772172684573E-11</v>
      </c>
      <c r="F398" s="14">
        <f>(F388*B389*B389)+(F389*B390*B390)</f>
        <v>-455874.56014054269</v>
      </c>
      <c r="G398" s="14">
        <f>F391*B390</f>
        <v>2.9089271509808988E-11</v>
      </c>
    </row>
    <row r="399" spans="1:10" x14ac:dyDescent="0.3">
      <c r="A399" s="5" t="str">
        <v>ϴ 3</v>
      </c>
      <c r="B399" s="6">
        <f>-D392*B389</f>
        <v>-474869.33347973193</v>
      </c>
      <c r="C399" s="6">
        <f>D392*B390</f>
        <v>2.9089271509808988E-11</v>
      </c>
      <c r="D399" s="6">
        <f>+D390</f>
        <v>94973866.695946395</v>
      </c>
      <c r="E399" s="14">
        <f>-F392*B389</f>
        <v>474869.33347973193</v>
      </c>
      <c r="F399" s="14">
        <f>F392*B390</f>
        <v>-2.9089271509808988E-11</v>
      </c>
      <c r="G399" s="14">
        <f>+F390</f>
        <v>47486933.347973198</v>
      </c>
    </row>
    <row r="400" spans="1:10" x14ac:dyDescent="0.3">
      <c r="A400" s="5" t="str">
        <v>6x</v>
      </c>
      <c r="B400" s="15">
        <f>(H388*B390*B390)+(H389*B389*B389)</f>
        <v>-3165.795556531546</v>
      </c>
      <c r="C400" s="15">
        <f>(H388-H389)*B390*B389</f>
        <v>-2.7731772172684573E-11</v>
      </c>
      <c r="D400" s="15">
        <f>-H391*B389</f>
        <v>474869.33347973193</v>
      </c>
      <c r="E400" s="8">
        <f>(J388*B390*B390)+(J389*B389*B389)</f>
        <v>3165.795556531546</v>
      </c>
      <c r="F400" s="8">
        <f>(J388-J389)*B390*B389</f>
        <v>2.7731772172684573E-11</v>
      </c>
      <c r="G400" s="8">
        <f>-J391*B389</f>
        <v>474869.33347973193</v>
      </c>
    </row>
    <row r="401" spans="1:28" x14ac:dyDescent="0.3">
      <c r="A401" s="5" t="str">
        <v>6z</v>
      </c>
      <c r="B401" s="15">
        <f>(H389-H390)*B390*B389</f>
        <v>-2.9091210794576311E-9</v>
      </c>
      <c r="C401" s="15">
        <f>(H388*B389*B389)+(H389*B390*B390)</f>
        <v>-455874.56014054269</v>
      </c>
      <c r="D401" s="15">
        <f>+H391*B390</f>
        <v>-2.9089271509808988E-11</v>
      </c>
      <c r="E401" s="8">
        <f>(J388-J389)*B390*B389</f>
        <v>2.7731772172684573E-11</v>
      </c>
      <c r="F401" s="8">
        <f>(J388*B389*B389)+(J389*B390*B390)</f>
        <v>455874.56014054269</v>
      </c>
      <c r="G401" s="8">
        <f>-J391*B390</f>
        <v>2.9089271509808988E-11</v>
      </c>
    </row>
    <row r="402" spans="1:28" x14ac:dyDescent="0.3">
      <c r="A402" s="5" t="str">
        <v>ϴ 6</v>
      </c>
      <c r="B402" s="15">
        <f>-H392*B389</f>
        <v>-474869.33347973193</v>
      </c>
      <c r="C402" s="15">
        <f>H392*B390</f>
        <v>2.9089271509808988E-11</v>
      </c>
      <c r="D402" s="15">
        <f>+H390</f>
        <v>47486933.347973198</v>
      </c>
      <c r="E402" s="8">
        <f>-J392*B389</f>
        <v>474869.33347973193</v>
      </c>
      <c r="F402" s="8">
        <f>J392*B390</f>
        <v>-2.9089271509808988E-11</v>
      </c>
      <c r="G402" s="8">
        <f>+J390</f>
        <v>94973866.695946395</v>
      </c>
    </row>
    <row r="405" spans="1:28" x14ac:dyDescent="0.3">
      <c r="A405" s="1" t="s">
        <v>36</v>
      </c>
      <c r="B405" s="13" t="s">
        <v>18</v>
      </c>
      <c r="C405" s="13" t="s">
        <v>19</v>
      </c>
      <c r="D405" s="13" t="s">
        <v>20</v>
      </c>
      <c r="E405" s="13" t="s">
        <v>37</v>
      </c>
      <c r="F405" s="13" t="s">
        <v>38</v>
      </c>
      <c r="G405" s="13" t="s">
        <v>39</v>
      </c>
      <c r="H405" s="13" t="s">
        <v>40</v>
      </c>
      <c r="I405" s="13" t="s">
        <v>41</v>
      </c>
      <c r="J405" s="13" t="s">
        <v>42</v>
      </c>
      <c r="K405" s="13" t="s">
        <v>43</v>
      </c>
      <c r="L405" s="13" t="s">
        <v>44</v>
      </c>
      <c r="M405" s="13" t="s">
        <v>45</v>
      </c>
      <c r="N405" s="13" t="s">
        <v>46</v>
      </c>
      <c r="O405" s="13" t="s">
        <v>47</v>
      </c>
      <c r="P405" s="13" t="s">
        <v>48</v>
      </c>
      <c r="Q405" s="13" t="s">
        <v>49</v>
      </c>
      <c r="R405" s="13" t="s">
        <v>50</v>
      </c>
      <c r="S405" s="13" t="s">
        <v>51</v>
      </c>
      <c r="T405" s="13" t="s">
        <v>21</v>
      </c>
      <c r="U405" s="13" t="s">
        <v>22</v>
      </c>
      <c r="V405" s="13" t="s">
        <v>23</v>
      </c>
      <c r="W405" s="13" t="s">
        <v>52</v>
      </c>
      <c r="X405" s="13" t="s">
        <v>53</v>
      </c>
      <c r="Y405" s="13" t="s">
        <v>54</v>
      </c>
      <c r="Z405" s="13" t="s">
        <v>55</v>
      </c>
      <c r="AA405" s="13" t="s">
        <v>56</v>
      </c>
      <c r="AB405" s="13" t="s">
        <v>57</v>
      </c>
    </row>
    <row r="406" spans="1:28" x14ac:dyDescent="0.3">
      <c r="A406" s="13" t="str">
        <f t="array" ref="A406:A432">TRANSPOSE(B405:AB405)</f>
        <v>1x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</row>
    <row r="407" spans="1:28" x14ac:dyDescent="0.3">
      <c r="A407" s="13" t="str">
        <v>1z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</row>
    <row r="408" spans="1:28" x14ac:dyDescent="0.3">
      <c r="A408" s="13" t="str">
        <v>ϴ 1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</row>
    <row r="409" spans="1:28" x14ac:dyDescent="0.3">
      <c r="A409" s="13" t="str">
        <v>2x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</row>
    <row r="410" spans="1:28" x14ac:dyDescent="0.3">
      <c r="A410" s="13" t="str">
        <v>2z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</row>
    <row r="411" spans="1:28" x14ac:dyDescent="0.3">
      <c r="A411" s="13" t="str">
        <v>ϴ 2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</row>
    <row r="412" spans="1:28" x14ac:dyDescent="0.3">
      <c r="A412" s="13" t="str">
        <v>3x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f t="array" ref="H412:J414">B397:D399</f>
        <v>3165.795556531546</v>
      </c>
      <c r="I412" s="1">
        <v>2.7731772172684573E-11</v>
      </c>
      <c r="J412" s="1">
        <v>-474869.33347973193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f t="array" ref="Q412:S414">E397:G399</f>
        <v>-3165.795556531546</v>
      </c>
      <c r="R412" s="1">
        <v>-2.7731772172684573E-11</v>
      </c>
      <c r="S412" s="1">
        <v>-474869.33347973193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</row>
    <row r="413" spans="1:28" x14ac:dyDescent="0.3">
      <c r="A413" s="13" t="str">
        <v>3z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2.7731772172684573E-11</v>
      </c>
      <c r="I413" s="1">
        <v>455874.56014054269</v>
      </c>
      <c r="J413" s="1">
        <v>2.9089271509808988E-11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-2.7731772172684573E-11</v>
      </c>
      <c r="R413" s="1">
        <v>-455874.56014054269</v>
      </c>
      <c r="S413" s="1">
        <v>2.9089271509808988E-11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</row>
    <row r="414" spans="1:28" x14ac:dyDescent="0.3">
      <c r="A414" s="13" t="str">
        <v>ϴ 3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-474869.33347973193</v>
      </c>
      <c r="I414" s="1">
        <v>2.9089271509808988E-11</v>
      </c>
      <c r="J414" s="1">
        <v>94973866.695946395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474869.33347973193</v>
      </c>
      <c r="R414" s="1">
        <v>-2.9089271509808988E-11</v>
      </c>
      <c r="S414" s="1">
        <v>47486933.347973198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</row>
    <row r="415" spans="1:28" x14ac:dyDescent="0.3">
      <c r="A415" s="13" t="str">
        <v>4x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</row>
    <row r="416" spans="1:28" x14ac:dyDescent="0.3">
      <c r="A416" s="13" t="str">
        <v>4z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</row>
    <row r="417" spans="1:28" x14ac:dyDescent="0.3">
      <c r="A417" s="13" t="str">
        <v>ϴ 4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</row>
    <row r="418" spans="1:28" x14ac:dyDescent="0.3">
      <c r="A418" s="13" t="str">
        <v>5x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</row>
    <row r="419" spans="1:28" x14ac:dyDescent="0.3">
      <c r="A419" s="13" t="str">
        <v>5z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</row>
    <row r="420" spans="1:28" x14ac:dyDescent="0.3">
      <c r="A420" s="13" t="str">
        <v>ϴ 5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</row>
    <row r="421" spans="1:28" x14ac:dyDescent="0.3">
      <c r="A421" s="13" t="str">
        <v>6x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f t="array" ref="H421:J423">B400:D402</f>
        <v>-3165.795556531546</v>
      </c>
      <c r="I421" s="1">
        <v>-2.7731772172684573E-11</v>
      </c>
      <c r="J421" s="1">
        <v>474869.33347973193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f t="array" ref="Q421:S423">E400:G402</f>
        <v>3165.795556531546</v>
      </c>
      <c r="R421" s="1">
        <v>2.7731772172684573E-11</v>
      </c>
      <c r="S421" s="1">
        <v>474869.33347973193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</row>
    <row r="422" spans="1:28" x14ac:dyDescent="0.3">
      <c r="A422" s="13" t="str">
        <v>6z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-2.9091210794576311E-9</v>
      </c>
      <c r="I422" s="1">
        <v>-455874.56014054269</v>
      </c>
      <c r="J422" s="1">
        <v>-2.9089271509808988E-11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2.7731772172684573E-11</v>
      </c>
      <c r="R422" s="1">
        <v>455874.56014054269</v>
      </c>
      <c r="S422" s="1">
        <v>2.9089271509808988E-11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</row>
    <row r="423" spans="1:28" x14ac:dyDescent="0.3">
      <c r="A423" s="13" t="str">
        <v>ϴ 6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-474869.33347973193</v>
      </c>
      <c r="I423" s="1">
        <v>2.9089271509808988E-11</v>
      </c>
      <c r="J423" s="1">
        <v>47486933.347973198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474869.33347973193</v>
      </c>
      <c r="R423" s="1">
        <v>-2.9089271509808988E-11</v>
      </c>
      <c r="S423" s="1">
        <v>94973866.695946395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</row>
    <row r="424" spans="1:28" x14ac:dyDescent="0.3">
      <c r="A424" s="13" t="str">
        <v>ax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</row>
    <row r="425" spans="1:28" x14ac:dyDescent="0.3">
      <c r="A425" s="13" t="str">
        <v>az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</row>
    <row r="426" spans="1:28" x14ac:dyDescent="0.3">
      <c r="A426" s="13" t="str">
        <v>ϴ a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</row>
    <row r="427" spans="1:28" x14ac:dyDescent="0.3">
      <c r="A427" s="13" t="str">
        <v>bx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</row>
    <row r="428" spans="1:28" x14ac:dyDescent="0.3">
      <c r="A428" s="13" t="str">
        <v>bz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</row>
    <row r="429" spans="1:28" x14ac:dyDescent="0.3">
      <c r="A429" s="13" t="str">
        <v>ϴ b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</row>
    <row r="430" spans="1:28" x14ac:dyDescent="0.3">
      <c r="A430" s="13" t="str">
        <v>cx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</row>
    <row r="431" spans="1:28" x14ac:dyDescent="0.3">
      <c r="A431" s="13" t="str">
        <v>cz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</row>
    <row r="432" spans="1:28" x14ac:dyDescent="0.3">
      <c r="A432" s="13" t="str">
        <v>ϴ c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</row>
    <row r="435" spans="1:10" x14ac:dyDescent="0.3">
      <c r="A435" s="26" t="s">
        <v>77</v>
      </c>
      <c r="B435" s="26"/>
      <c r="C435" s="26"/>
      <c r="D435" s="26"/>
      <c r="E435" s="26"/>
      <c r="F435" s="26"/>
      <c r="G435" s="26"/>
      <c r="H435" s="26"/>
      <c r="I435" s="26"/>
      <c r="J435" s="26"/>
    </row>
    <row r="437" spans="1:10" x14ac:dyDescent="0.3">
      <c r="A437" s="1" t="s">
        <v>2</v>
      </c>
      <c r="B437" s="1">
        <v>625</v>
      </c>
      <c r="C437" s="1" t="s">
        <v>13</v>
      </c>
    </row>
    <row r="438" spans="1:10" x14ac:dyDescent="0.3">
      <c r="A438" s="1" t="s">
        <v>3</v>
      </c>
      <c r="B438" s="1">
        <f>(POWER(50,3)*25)/12</f>
        <v>260416.66666666666</v>
      </c>
      <c r="C438" s="1" t="s">
        <v>62</v>
      </c>
    </row>
    <row r="439" spans="1:10" x14ac:dyDescent="0.3">
      <c r="A439" s="1" t="s">
        <v>5</v>
      </c>
      <c r="B439" s="1">
        <v>300</v>
      </c>
      <c r="C439" s="1" t="s">
        <v>14</v>
      </c>
    </row>
    <row r="440" spans="1:10" x14ac:dyDescent="0.3">
      <c r="A440" s="1" t="s">
        <v>4</v>
      </c>
      <c r="B440" s="1">
        <f>15100*SQRT(210)</f>
        <v>218819.78886746051</v>
      </c>
      <c r="C440" s="2" t="s">
        <v>15</v>
      </c>
    </row>
    <row r="442" spans="1:10" x14ac:dyDescent="0.3">
      <c r="B442" s="1" t="s">
        <v>6</v>
      </c>
    </row>
    <row r="443" spans="1:10" x14ac:dyDescent="0.3">
      <c r="B443" s="1" t="s">
        <v>7</v>
      </c>
      <c r="C443" s="3">
        <f>(B440*B437)/B439</f>
        <v>455874.56014054269</v>
      </c>
      <c r="D443" s="1" t="s">
        <v>12</v>
      </c>
    </row>
    <row r="444" spans="1:10" x14ac:dyDescent="0.3">
      <c r="B444" s="1" t="s">
        <v>8</v>
      </c>
      <c r="C444" s="3">
        <f>(12*B440*B438)/(B439^3)</f>
        <v>25326.364452252368</v>
      </c>
      <c r="D444" s="1" t="s">
        <v>12</v>
      </c>
    </row>
    <row r="445" spans="1:10" x14ac:dyDescent="0.3">
      <c r="B445" s="1" t="s">
        <v>9</v>
      </c>
      <c r="C445" s="3">
        <f>(6*B440*B438)/(B439^2)</f>
        <v>3798954.6678378554</v>
      </c>
      <c r="D445" s="1" t="s">
        <v>12</v>
      </c>
    </row>
    <row r="446" spans="1:10" x14ac:dyDescent="0.3">
      <c r="B446" s="1" t="s">
        <v>10</v>
      </c>
      <c r="C446" s="3">
        <f>+(4*B440*B438)/(B439)</f>
        <v>759790933.56757116</v>
      </c>
      <c r="D446" s="1" t="s">
        <v>12</v>
      </c>
    </row>
    <row r="447" spans="1:10" x14ac:dyDescent="0.3">
      <c r="B447" s="1" t="s">
        <v>11</v>
      </c>
      <c r="C447" s="3">
        <f>+(2*B440*B438)/B439</f>
        <v>379895466.78378558</v>
      </c>
      <c r="D447" s="1" t="s">
        <v>12</v>
      </c>
    </row>
    <row r="448" spans="1:10" x14ac:dyDescent="0.3">
      <c r="C448" s="4"/>
    </row>
    <row r="449" spans="1:10" x14ac:dyDescent="0.3">
      <c r="A449" s="24" t="s">
        <v>78</v>
      </c>
      <c r="B449" s="24"/>
      <c r="C449" s="24"/>
      <c r="D449" s="24"/>
      <c r="E449" s="24"/>
      <c r="F449" s="24"/>
      <c r="G449" s="24"/>
    </row>
    <row r="450" spans="1:10" x14ac:dyDescent="0.3">
      <c r="A450" s="1" t="s">
        <v>71</v>
      </c>
      <c r="B450" s="5" t="s">
        <v>18</v>
      </c>
      <c r="C450" s="5" t="s">
        <v>19</v>
      </c>
      <c r="D450" s="5" t="s">
        <v>20</v>
      </c>
      <c r="E450" s="5" t="s">
        <v>37</v>
      </c>
      <c r="F450" s="5" t="s">
        <v>38</v>
      </c>
      <c r="G450" s="5" t="s">
        <v>39</v>
      </c>
    </row>
    <row r="451" spans="1:10" x14ac:dyDescent="0.3">
      <c r="A451" s="5" t="str">
        <f t="array" ref="A451:A456">TRANSPOSE(B450:G450)</f>
        <v>1x</v>
      </c>
      <c r="B451" s="6">
        <f>+C443</f>
        <v>455874.56014054269</v>
      </c>
      <c r="C451" s="6">
        <v>0</v>
      </c>
      <c r="D451" s="6">
        <v>0</v>
      </c>
      <c r="E451" s="7">
        <f>+-C443</f>
        <v>-455874.56014054269</v>
      </c>
      <c r="F451" s="7">
        <v>0</v>
      </c>
      <c r="G451" s="7">
        <v>0</v>
      </c>
      <c r="H451" s="25" t="s">
        <v>68</v>
      </c>
      <c r="I451" s="25"/>
    </row>
    <row r="452" spans="1:10" x14ac:dyDescent="0.3">
      <c r="A452" s="5" t="str">
        <v>1z</v>
      </c>
      <c r="B452" s="6">
        <v>0</v>
      </c>
      <c r="C452" s="6">
        <f>+C444</f>
        <v>25326.364452252368</v>
      </c>
      <c r="D452" s="6">
        <f>+C445</f>
        <v>3798954.6678378554</v>
      </c>
      <c r="E452" s="7">
        <v>0</v>
      </c>
      <c r="F452" s="7">
        <f>-C444</f>
        <v>-25326.364452252368</v>
      </c>
      <c r="G452" s="7">
        <f>+C445</f>
        <v>3798954.6678378554</v>
      </c>
      <c r="H452" s="25"/>
      <c r="I452" s="25"/>
    </row>
    <row r="453" spans="1:10" x14ac:dyDescent="0.3">
      <c r="A453" s="5" t="str">
        <v>ϴ 1</v>
      </c>
      <c r="B453" s="6">
        <v>0</v>
      </c>
      <c r="C453" s="6">
        <f>+C445</f>
        <v>3798954.6678378554</v>
      </c>
      <c r="D453" s="6">
        <f>+C446</f>
        <v>759790933.56757116</v>
      </c>
      <c r="E453" s="7">
        <v>0</v>
      </c>
      <c r="F453" s="7">
        <f>+-C445</f>
        <v>-3798954.6678378554</v>
      </c>
      <c r="G453" s="7">
        <f>+C447</f>
        <v>379895466.78378558</v>
      </c>
      <c r="H453" s="25"/>
      <c r="I453" s="25"/>
    </row>
    <row r="454" spans="1:10" x14ac:dyDescent="0.3">
      <c r="A454" s="5" t="str">
        <v>2x</v>
      </c>
      <c r="B454" s="8">
        <f>-C443</f>
        <v>-455874.56014054269</v>
      </c>
      <c r="C454" s="8">
        <v>0</v>
      </c>
      <c r="D454" s="8">
        <v>0</v>
      </c>
      <c r="E454" s="9">
        <f>+C443</f>
        <v>455874.56014054269</v>
      </c>
      <c r="F454" s="9">
        <v>0</v>
      </c>
      <c r="G454" s="9">
        <v>0</v>
      </c>
      <c r="H454" s="25"/>
      <c r="I454" s="25"/>
    </row>
    <row r="455" spans="1:10" x14ac:dyDescent="0.3">
      <c r="A455" s="5" t="str">
        <v>2z</v>
      </c>
      <c r="B455" s="8">
        <v>0</v>
      </c>
      <c r="C455" s="8">
        <f>-C444</f>
        <v>-25326.364452252368</v>
      </c>
      <c r="D455" s="8">
        <f>-C445</f>
        <v>-3798954.6678378554</v>
      </c>
      <c r="E455" s="9">
        <v>0</v>
      </c>
      <c r="F455" s="9">
        <f>C444</f>
        <v>25326.364452252368</v>
      </c>
      <c r="G455" s="9">
        <f>-C445</f>
        <v>-3798954.6678378554</v>
      </c>
      <c r="H455" s="25"/>
      <c r="I455" s="25"/>
    </row>
    <row r="456" spans="1:10" x14ac:dyDescent="0.3">
      <c r="A456" s="5" t="str">
        <v>ϴ 2</v>
      </c>
      <c r="B456" s="8">
        <v>0</v>
      </c>
      <c r="C456" s="8">
        <f>+C445</f>
        <v>3798954.6678378554</v>
      </c>
      <c r="D456" s="8">
        <f>+C447</f>
        <v>379895466.78378558</v>
      </c>
      <c r="E456" s="9">
        <v>0</v>
      </c>
      <c r="F456" s="9">
        <f>-C445</f>
        <v>-3798954.6678378554</v>
      </c>
      <c r="G456" s="9">
        <f>C446</f>
        <v>759790933.56757116</v>
      </c>
      <c r="H456" s="25"/>
      <c r="I456" s="25"/>
    </row>
    <row r="458" spans="1:10" x14ac:dyDescent="0.3">
      <c r="A458" s="24" t="s">
        <v>79</v>
      </c>
      <c r="B458" s="24"/>
      <c r="C458" s="24"/>
      <c r="D458" s="24"/>
      <c r="E458" s="24"/>
      <c r="F458" s="24"/>
      <c r="G458" s="24"/>
      <c r="H458" s="24"/>
      <c r="I458" s="24"/>
      <c r="J458" s="24"/>
    </row>
    <row r="459" spans="1:10" x14ac:dyDescent="0.3">
      <c r="A459" s="4"/>
      <c r="B459" s="4"/>
      <c r="C459" s="27" t="s">
        <v>25</v>
      </c>
      <c r="D459" s="27"/>
      <c r="E459" s="27" t="s">
        <v>26</v>
      </c>
      <c r="F459" s="27"/>
      <c r="G459" s="27" t="s">
        <v>27</v>
      </c>
      <c r="H459" s="27"/>
      <c r="I459" s="27" t="s">
        <v>28</v>
      </c>
      <c r="J459" s="27"/>
    </row>
    <row r="460" spans="1:10" x14ac:dyDescent="0.3">
      <c r="A460" s="4" t="s">
        <v>29</v>
      </c>
      <c r="B460" s="10">
        <v>0</v>
      </c>
      <c r="C460" s="4" t="s">
        <v>2</v>
      </c>
      <c r="D460" s="11">
        <f>+B451</f>
        <v>455874.56014054269</v>
      </c>
      <c r="E460" s="4" t="s">
        <v>2</v>
      </c>
      <c r="F460" s="11">
        <f>+E451</f>
        <v>-455874.56014054269</v>
      </c>
      <c r="G460" s="4" t="s">
        <v>2</v>
      </c>
      <c r="H460" s="11">
        <f>+B454</f>
        <v>-455874.56014054269</v>
      </c>
      <c r="I460" s="4" t="s">
        <v>2</v>
      </c>
      <c r="J460" s="12">
        <f>+E454</f>
        <v>455874.56014054269</v>
      </c>
    </row>
    <row r="461" spans="1:10" x14ac:dyDescent="0.3">
      <c r="A461" s="4" t="s">
        <v>30</v>
      </c>
      <c r="B461" s="4">
        <f>SIN(RADIANS(B460))</f>
        <v>0</v>
      </c>
      <c r="C461" s="4" t="s">
        <v>32</v>
      </c>
      <c r="D461" s="11">
        <f>+C452</f>
        <v>25326.364452252368</v>
      </c>
      <c r="E461" s="4" t="s">
        <v>32</v>
      </c>
      <c r="F461" s="11">
        <f>+F452</f>
        <v>-25326.364452252368</v>
      </c>
      <c r="G461" s="4" t="s">
        <v>32</v>
      </c>
      <c r="H461" s="11">
        <f>+C455</f>
        <v>-25326.364452252368</v>
      </c>
      <c r="I461" s="4" t="s">
        <v>32</v>
      </c>
      <c r="J461" s="12">
        <f>+F455</f>
        <v>25326.364452252368</v>
      </c>
    </row>
    <row r="462" spans="1:10" x14ac:dyDescent="0.3">
      <c r="A462" s="4" t="s">
        <v>31</v>
      </c>
      <c r="B462" s="4">
        <f>COS(RADIANS(B460))</f>
        <v>1</v>
      </c>
      <c r="C462" s="4" t="s">
        <v>33</v>
      </c>
      <c r="D462" s="11">
        <f>+D453</f>
        <v>759790933.56757116</v>
      </c>
      <c r="E462" s="4" t="s">
        <v>33</v>
      </c>
      <c r="F462" s="11">
        <f>+G453</f>
        <v>379895466.78378558</v>
      </c>
      <c r="G462" s="4" t="s">
        <v>33</v>
      </c>
      <c r="H462" s="11">
        <f>+D456</f>
        <v>379895466.78378558</v>
      </c>
      <c r="I462" s="4" t="s">
        <v>33</v>
      </c>
      <c r="J462" s="12">
        <f>+G456</f>
        <v>759790933.56757116</v>
      </c>
    </row>
    <row r="463" spans="1:10" x14ac:dyDescent="0.3">
      <c r="A463" s="4"/>
      <c r="B463" s="4"/>
      <c r="C463" s="4" t="s">
        <v>34</v>
      </c>
      <c r="D463" s="11">
        <f>+D452</f>
        <v>3798954.6678378554</v>
      </c>
      <c r="E463" s="4" t="s">
        <v>34</v>
      </c>
      <c r="F463" s="11">
        <f>+G452</f>
        <v>3798954.6678378554</v>
      </c>
      <c r="G463" s="4" t="s">
        <v>34</v>
      </c>
      <c r="H463" s="11">
        <f>+D455</f>
        <v>-3798954.6678378554</v>
      </c>
      <c r="I463" s="4" t="s">
        <v>34</v>
      </c>
      <c r="J463" s="12">
        <f>+G455</f>
        <v>-3798954.6678378554</v>
      </c>
    </row>
    <row r="464" spans="1:10" x14ac:dyDescent="0.3">
      <c r="C464" s="4" t="s">
        <v>4</v>
      </c>
      <c r="D464" s="11">
        <f>+C453</f>
        <v>3798954.6678378554</v>
      </c>
      <c r="E464" s="4" t="s">
        <v>4</v>
      </c>
      <c r="F464" s="11">
        <f>+F453</f>
        <v>-3798954.6678378554</v>
      </c>
      <c r="G464" s="4" t="s">
        <v>4</v>
      </c>
      <c r="H464" s="11">
        <f>+C456</f>
        <v>3798954.6678378554</v>
      </c>
      <c r="I464" s="4" t="s">
        <v>4</v>
      </c>
      <c r="J464" s="12">
        <f>+F456</f>
        <v>-3798954.6678378554</v>
      </c>
    </row>
    <row r="468" spans="1:28" x14ac:dyDescent="0.3">
      <c r="A468" s="1" t="s">
        <v>80</v>
      </c>
      <c r="B468" s="5" t="str">
        <f t="array" ref="B468:G468">B450:G450</f>
        <v>1x</v>
      </c>
      <c r="C468" s="5" t="str">
        <v>1z</v>
      </c>
      <c r="D468" s="5" t="str">
        <v>ϴ 1</v>
      </c>
      <c r="E468" s="5" t="str">
        <v>2x</v>
      </c>
      <c r="F468" s="5" t="str">
        <v>2z</v>
      </c>
      <c r="G468" s="5" t="str">
        <v>ϴ 2</v>
      </c>
    </row>
    <row r="469" spans="1:28" x14ac:dyDescent="0.3">
      <c r="A469" s="5" t="str">
        <f t="array" ref="A469:A474">+TRANSPOSE(B468:G468)</f>
        <v>1x</v>
      </c>
      <c r="B469" s="6">
        <f>(D460*B462*B462)+(D461*B461*B461)</f>
        <v>455874.56014054269</v>
      </c>
      <c r="C469" s="6">
        <f>(D460-D461)*B462*B461</f>
        <v>0</v>
      </c>
      <c r="D469" s="6">
        <f>-D463*B461</f>
        <v>0</v>
      </c>
      <c r="E469" s="14">
        <f>(F460*B462*B462)+(F461*B461*B461)</f>
        <v>-455874.56014054269</v>
      </c>
      <c r="F469" s="14">
        <f>(F460-F461)*B462*B461</f>
        <v>0</v>
      </c>
      <c r="G469" s="14">
        <f>-F463*B461</f>
        <v>0</v>
      </c>
    </row>
    <row r="470" spans="1:28" x14ac:dyDescent="0.3">
      <c r="A470" s="5" t="str">
        <v>1z</v>
      </c>
      <c r="B470" s="6">
        <f>(D460-D461)*B462*B461</f>
        <v>0</v>
      </c>
      <c r="C470" s="6">
        <f>(D460*B461*B461)+(D461*B462*B462)</f>
        <v>25326.364452252368</v>
      </c>
      <c r="D470" s="6">
        <f>D463*B462</f>
        <v>3798954.6678378554</v>
      </c>
      <c r="E470" s="14">
        <f>(F460-F461)*B462*B461</f>
        <v>0</v>
      </c>
      <c r="F470" s="14">
        <f>(F460*B461*B461)+(F461*B462*B462)</f>
        <v>-25326.364452252368</v>
      </c>
      <c r="G470" s="14">
        <f>F463*B462</f>
        <v>3798954.6678378554</v>
      </c>
    </row>
    <row r="471" spans="1:28" x14ac:dyDescent="0.3">
      <c r="A471" s="5" t="str">
        <v>ϴ 1</v>
      </c>
      <c r="B471" s="6">
        <f>-D464*B461</f>
        <v>0</v>
      </c>
      <c r="C471" s="6">
        <f>D464*B462</f>
        <v>3798954.6678378554</v>
      </c>
      <c r="D471" s="6">
        <f>+D462</f>
        <v>759790933.56757116</v>
      </c>
      <c r="E471" s="14">
        <f>-F464*B461</f>
        <v>0</v>
      </c>
      <c r="F471" s="14">
        <f>F464*B462</f>
        <v>-3798954.6678378554</v>
      </c>
      <c r="G471" s="14">
        <f>+F462</f>
        <v>379895466.78378558</v>
      </c>
    </row>
    <row r="472" spans="1:28" x14ac:dyDescent="0.3">
      <c r="A472" s="5" t="str">
        <v>2x</v>
      </c>
      <c r="B472" s="15">
        <f>(H460*B462*B462)+(H461*B461*B461)</f>
        <v>-455874.56014054269</v>
      </c>
      <c r="C472" s="15">
        <f>(H460-H461)*B462*B461</f>
        <v>0</v>
      </c>
      <c r="D472" s="15">
        <f>-H463*B461</f>
        <v>0</v>
      </c>
      <c r="E472" s="8">
        <f>(J460*B462*B462)+(J461*B461*B461)</f>
        <v>455874.56014054269</v>
      </c>
      <c r="F472" s="8">
        <f>(J460-J461)*B462*B461</f>
        <v>0</v>
      </c>
      <c r="G472" s="8">
        <f>-J463*B461</f>
        <v>0</v>
      </c>
    </row>
    <row r="473" spans="1:28" x14ac:dyDescent="0.3">
      <c r="A473" s="5" t="str">
        <v>2z</v>
      </c>
      <c r="B473" s="15">
        <f>(H461-H462)*B462*B461</f>
        <v>0</v>
      </c>
      <c r="C473" s="15">
        <f>(H460*B461*B461)+(H461*B462*B462)</f>
        <v>-25326.364452252368</v>
      </c>
      <c r="D473" s="15">
        <f>+H463*B462</f>
        <v>-3798954.6678378554</v>
      </c>
      <c r="E473" s="8">
        <f>(J460-J461)*B462*B461</f>
        <v>0</v>
      </c>
      <c r="F473" s="8">
        <f>(J460*B461*B461)+(J461*B462*B462)</f>
        <v>25326.364452252368</v>
      </c>
      <c r="G473" s="8">
        <f>-J463*B462</f>
        <v>3798954.6678378554</v>
      </c>
    </row>
    <row r="474" spans="1:28" x14ac:dyDescent="0.3">
      <c r="A474" s="5" t="str">
        <v>ϴ 2</v>
      </c>
      <c r="B474" s="15">
        <f>-H464*B461</f>
        <v>0</v>
      </c>
      <c r="C474" s="15">
        <f>H464*B462</f>
        <v>3798954.6678378554</v>
      </c>
      <c r="D474" s="15">
        <f>+H462</f>
        <v>379895466.78378558</v>
      </c>
      <c r="E474" s="8">
        <f>-J464*B461</f>
        <v>0</v>
      </c>
      <c r="F474" s="8">
        <f>J464*B462</f>
        <v>-3798954.6678378554</v>
      </c>
      <c r="G474" s="8">
        <f>+J462</f>
        <v>759790933.56757116</v>
      </c>
    </row>
    <row r="477" spans="1:28" x14ac:dyDescent="0.3">
      <c r="A477" s="1" t="s">
        <v>36</v>
      </c>
      <c r="B477" s="13" t="s">
        <v>18</v>
      </c>
      <c r="C477" s="13" t="s">
        <v>19</v>
      </c>
      <c r="D477" s="13" t="s">
        <v>20</v>
      </c>
      <c r="E477" s="13" t="s">
        <v>37</v>
      </c>
      <c r="F477" s="13" t="s">
        <v>38</v>
      </c>
      <c r="G477" s="13" t="s">
        <v>39</v>
      </c>
      <c r="H477" s="13" t="s">
        <v>40</v>
      </c>
      <c r="I477" s="13" t="s">
        <v>41</v>
      </c>
      <c r="J477" s="13" t="s">
        <v>42</v>
      </c>
      <c r="K477" s="13" t="s">
        <v>43</v>
      </c>
      <c r="L477" s="13" t="s">
        <v>44</v>
      </c>
      <c r="M477" s="13" t="s">
        <v>45</v>
      </c>
      <c r="N477" s="13" t="s">
        <v>46</v>
      </c>
      <c r="O477" s="13" t="s">
        <v>47</v>
      </c>
      <c r="P477" s="13" t="s">
        <v>48</v>
      </c>
      <c r="Q477" s="13" t="s">
        <v>49</v>
      </c>
      <c r="R477" s="13" t="s">
        <v>50</v>
      </c>
      <c r="S477" s="13" t="s">
        <v>51</v>
      </c>
      <c r="T477" s="13" t="s">
        <v>21</v>
      </c>
      <c r="U477" s="13" t="s">
        <v>22</v>
      </c>
      <c r="V477" s="13" t="s">
        <v>23</v>
      </c>
      <c r="W477" s="13" t="s">
        <v>52</v>
      </c>
      <c r="X477" s="13" t="s">
        <v>53</v>
      </c>
      <c r="Y477" s="13" t="s">
        <v>54</v>
      </c>
      <c r="Z477" s="13" t="s">
        <v>55</v>
      </c>
      <c r="AA477" s="13" t="s">
        <v>56</v>
      </c>
      <c r="AB477" s="13" t="s">
        <v>57</v>
      </c>
    </row>
    <row r="478" spans="1:28" x14ac:dyDescent="0.3">
      <c r="A478" s="13" t="str">
        <f t="array" ref="A478:A504">TRANSPOSE(B477:AB477)</f>
        <v>1x</v>
      </c>
      <c r="B478" s="1">
        <f t="array" ref="B478:G483">B469:G474</f>
        <v>455874.56014054269</v>
      </c>
      <c r="C478" s="1">
        <v>0</v>
      </c>
      <c r="D478" s="1">
        <v>0</v>
      </c>
      <c r="E478" s="1">
        <v>-455874.56014054269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</row>
    <row r="479" spans="1:28" x14ac:dyDescent="0.3">
      <c r="A479" s="13" t="str">
        <v>1z</v>
      </c>
      <c r="B479" s="1">
        <v>0</v>
      </c>
      <c r="C479" s="1">
        <v>25326.364452252368</v>
      </c>
      <c r="D479" s="1">
        <v>3798954.6678378554</v>
      </c>
      <c r="E479" s="1">
        <v>0</v>
      </c>
      <c r="F479" s="1">
        <v>-25326.364452252368</v>
      </c>
      <c r="G479" s="1">
        <v>3798954.6678378554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</row>
    <row r="480" spans="1:28" x14ac:dyDescent="0.3">
      <c r="A480" s="13" t="str">
        <v>ϴ 1</v>
      </c>
      <c r="B480" s="1">
        <v>0</v>
      </c>
      <c r="C480" s="1">
        <v>3798954.6678378554</v>
      </c>
      <c r="D480" s="1">
        <v>759790933.56757116</v>
      </c>
      <c r="E480" s="1">
        <v>0</v>
      </c>
      <c r="F480" s="1">
        <v>-3798954.6678378554</v>
      </c>
      <c r="G480" s="1">
        <v>379895466.78378558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</row>
    <row r="481" spans="1:28" x14ac:dyDescent="0.3">
      <c r="A481" s="13" t="str">
        <v>2x</v>
      </c>
      <c r="B481" s="1">
        <v>-455874.56014054269</v>
      </c>
      <c r="C481" s="1">
        <v>0</v>
      </c>
      <c r="D481" s="1">
        <v>0</v>
      </c>
      <c r="E481" s="1">
        <v>455874.56014054269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</row>
    <row r="482" spans="1:28" x14ac:dyDescent="0.3">
      <c r="A482" s="13" t="str">
        <v>2z</v>
      </c>
      <c r="B482" s="1">
        <v>0</v>
      </c>
      <c r="C482" s="1">
        <v>-25326.364452252368</v>
      </c>
      <c r="D482" s="1">
        <v>-3798954.6678378554</v>
      </c>
      <c r="E482" s="1">
        <v>0</v>
      </c>
      <c r="F482" s="1">
        <v>25326.364452252368</v>
      </c>
      <c r="G482" s="1">
        <v>3798954.6678378554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</row>
    <row r="483" spans="1:28" x14ac:dyDescent="0.3">
      <c r="A483" s="13" t="str">
        <v>ϴ 2</v>
      </c>
      <c r="B483" s="1">
        <v>0</v>
      </c>
      <c r="C483" s="1">
        <v>3798954.6678378554</v>
      </c>
      <c r="D483" s="1">
        <v>379895466.78378558</v>
      </c>
      <c r="E483" s="1">
        <v>0</v>
      </c>
      <c r="F483" s="1">
        <v>-3798954.6678378554</v>
      </c>
      <c r="G483" s="1">
        <v>759790933.56757116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</row>
    <row r="484" spans="1:28" x14ac:dyDescent="0.3">
      <c r="A484" s="13" t="str">
        <v>3x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</row>
    <row r="485" spans="1:28" x14ac:dyDescent="0.3">
      <c r="A485" s="13" t="str">
        <v>3z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</row>
    <row r="486" spans="1:28" x14ac:dyDescent="0.3">
      <c r="A486" s="13" t="str">
        <v>ϴ 3</v>
      </c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</row>
    <row r="487" spans="1:28" x14ac:dyDescent="0.3">
      <c r="A487" s="13" t="str">
        <v>4x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</row>
    <row r="488" spans="1:28" x14ac:dyDescent="0.3">
      <c r="A488" s="13" t="str">
        <v>4z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</row>
    <row r="489" spans="1:28" x14ac:dyDescent="0.3">
      <c r="A489" s="13" t="str">
        <v>ϴ 4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</row>
    <row r="490" spans="1:28" x14ac:dyDescent="0.3">
      <c r="A490" s="13" t="str">
        <v>5x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</row>
    <row r="491" spans="1:28" x14ac:dyDescent="0.3">
      <c r="A491" s="13" t="str">
        <v>5z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</row>
    <row r="492" spans="1:28" x14ac:dyDescent="0.3">
      <c r="A492" s="13" t="str">
        <v>ϴ 5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</row>
    <row r="493" spans="1:28" x14ac:dyDescent="0.3">
      <c r="A493" s="13" t="str">
        <v>6x</v>
      </c>
      <c r="B493" s="1">
        <v>0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</row>
    <row r="494" spans="1:28" x14ac:dyDescent="0.3">
      <c r="A494" s="13" t="str">
        <v>6z</v>
      </c>
      <c r="B494" s="1">
        <v>0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</row>
    <row r="495" spans="1:28" x14ac:dyDescent="0.3">
      <c r="A495" s="13" t="str">
        <v>ϴ 6</v>
      </c>
      <c r="B495" s="1">
        <v>0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</row>
    <row r="496" spans="1:28" x14ac:dyDescent="0.3">
      <c r="A496" s="13" t="str">
        <v>ax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</row>
    <row r="497" spans="1:28" x14ac:dyDescent="0.3">
      <c r="A497" s="13" t="str">
        <v>az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</row>
    <row r="498" spans="1:28" x14ac:dyDescent="0.3">
      <c r="A498" s="13" t="str">
        <v>ϴ a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</row>
    <row r="499" spans="1:28" x14ac:dyDescent="0.3">
      <c r="A499" s="13" t="str">
        <v>bx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</row>
    <row r="500" spans="1:28" x14ac:dyDescent="0.3">
      <c r="A500" s="13" t="str">
        <v>bz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</row>
    <row r="501" spans="1:28" x14ac:dyDescent="0.3">
      <c r="A501" s="13" t="str">
        <v>ϴ b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</row>
    <row r="502" spans="1:28" x14ac:dyDescent="0.3">
      <c r="A502" s="13" t="str">
        <v>cx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</row>
    <row r="503" spans="1:28" x14ac:dyDescent="0.3">
      <c r="A503" s="13" t="str">
        <v>cz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</row>
    <row r="504" spans="1:28" x14ac:dyDescent="0.3">
      <c r="A504" s="13" t="str">
        <v>ϴ c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</row>
    <row r="507" spans="1:28" x14ac:dyDescent="0.3">
      <c r="A507" s="26" t="s">
        <v>81</v>
      </c>
      <c r="B507" s="26"/>
      <c r="C507" s="26"/>
      <c r="D507" s="26"/>
      <c r="E507" s="26"/>
      <c r="F507" s="26"/>
      <c r="G507" s="26"/>
      <c r="H507" s="26"/>
      <c r="I507" s="26"/>
      <c r="J507" s="26"/>
    </row>
    <row r="509" spans="1:28" x14ac:dyDescent="0.3">
      <c r="A509" s="1" t="s">
        <v>2</v>
      </c>
      <c r="B509" s="1">
        <v>625</v>
      </c>
      <c r="C509" s="1" t="s">
        <v>13</v>
      </c>
    </row>
    <row r="510" spans="1:28" x14ac:dyDescent="0.3">
      <c r="A510" s="1" t="s">
        <v>3</v>
      </c>
      <c r="B510" s="1">
        <f>(POWER(50,3)*25)/12</f>
        <v>260416.66666666666</v>
      </c>
      <c r="C510" s="1" t="s">
        <v>62</v>
      </c>
    </row>
    <row r="511" spans="1:28" x14ac:dyDescent="0.3">
      <c r="A511" s="1" t="s">
        <v>5</v>
      </c>
      <c r="B511" s="1">
        <v>300</v>
      </c>
      <c r="C511" s="1" t="s">
        <v>14</v>
      </c>
    </row>
    <row r="512" spans="1:28" x14ac:dyDescent="0.3">
      <c r="A512" s="1" t="s">
        <v>4</v>
      </c>
      <c r="B512" s="1">
        <f>15100*SQRT(210)</f>
        <v>218819.78886746051</v>
      </c>
      <c r="C512" s="2" t="s">
        <v>15</v>
      </c>
    </row>
    <row r="514" spans="1:9" x14ac:dyDescent="0.3">
      <c r="B514" s="1" t="s">
        <v>6</v>
      </c>
    </row>
    <row r="515" spans="1:9" x14ac:dyDescent="0.3">
      <c r="B515" s="1" t="s">
        <v>7</v>
      </c>
      <c r="C515" s="3">
        <f>(B512*B509)/B511</f>
        <v>455874.56014054269</v>
      </c>
      <c r="D515" s="1" t="s">
        <v>12</v>
      </c>
    </row>
    <row r="516" spans="1:9" x14ac:dyDescent="0.3">
      <c r="B516" s="1" t="s">
        <v>8</v>
      </c>
      <c r="C516" s="3">
        <f>(12*B512*B510)/(B511^3)</f>
        <v>25326.364452252368</v>
      </c>
      <c r="D516" s="1" t="s">
        <v>12</v>
      </c>
    </row>
    <row r="517" spans="1:9" x14ac:dyDescent="0.3">
      <c r="B517" s="1" t="s">
        <v>9</v>
      </c>
      <c r="C517" s="3">
        <f>(6*B512*B510)/(B511^2)</f>
        <v>3798954.6678378554</v>
      </c>
      <c r="D517" s="1" t="s">
        <v>12</v>
      </c>
    </row>
    <row r="518" spans="1:9" x14ac:dyDescent="0.3">
      <c r="B518" s="1" t="s">
        <v>10</v>
      </c>
      <c r="C518" s="3">
        <f>+(4*B512*B510)/(B511)</f>
        <v>759790933.56757116</v>
      </c>
      <c r="D518" s="1" t="s">
        <v>12</v>
      </c>
    </row>
    <row r="519" spans="1:9" x14ac:dyDescent="0.3">
      <c r="B519" s="1" t="s">
        <v>11</v>
      </c>
      <c r="C519" s="3">
        <f>+(2*B512*B510)/B511</f>
        <v>379895466.78378558</v>
      </c>
      <c r="D519" s="1" t="s">
        <v>12</v>
      </c>
    </row>
    <row r="520" spans="1:9" x14ac:dyDescent="0.3">
      <c r="C520" s="4"/>
    </row>
    <row r="521" spans="1:9" x14ac:dyDescent="0.3">
      <c r="A521" s="24" t="s">
        <v>82</v>
      </c>
      <c r="B521" s="24"/>
      <c r="C521" s="24"/>
      <c r="D521" s="24"/>
      <c r="E521" s="24"/>
      <c r="F521" s="24"/>
      <c r="G521" s="24"/>
    </row>
    <row r="522" spans="1:9" x14ac:dyDescent="0.3">
      <c r="A522" s="1" t="s">
        <v>84</v>
      </c>
      <c r="B522" s="13" t="s">
        <v>37</v>
      </c>
      <c r="C522" s="13" t="s">
        <v>38</v>
      </c>
      <c r="D522" s="13" t="s">
        <v>39</v>
      </c>
      <c r="E522" s="13" t="s">
        <v>40</v>
      </c>
      <c r="F522" s="13" t="s">
        <v>41</v>
      </c>
      <c r="G522" s="13" t="s">
        <v>42</v>
      </c>
    </row>
    <row r="523" spans="1:9" ht="15" customHeight="1" x14ac:dyDescent="0.3">
      <c r="A523" s="5" t="str">
        <f t="array" ref="A523:A528">TRANSPOSE(B522:G522)</f>
        <v>2x</v>
      </c>
      <c r="B523" s="6">
        <f>+C515</f>
        <v>455874.56014054269</v>
      </c>
      <c r="C523" s="6">
        <v>0</v>
      </c>
      <c r="D523" s="6">
        <v>0</v>
      </c>
      <c r="E523" s="7">
        <f>+-C515</f>
        <v>-455874.56014054269</v>
      </c>
      <c r="F523" s="7">
        <v>0</v>
      </c>
      <c r="G523" s="7">
        <v>0</v>
      </c>
      <c r="H523" s="25" t="s">
        <v>68</v>
      </c>
      <c r="I523" s="25"/>
    </row>
    <row r="524" spans="1:9" ht="15" customHeight="1" x14ac:dyDescent="0.3">
      <c r="A524" s="5" t="str">
        <v>2z</v>
      </c>
      <c r="B524" s="6">
        <v>0</v>
      </c>
      <c r="C524" s="6">
        <f>+C516</f>
        <v>25326.364452252368</v>
      </c>
      <c r="D524" s="6">
        <f>+C517</f>
        <v>3798954.6678378554</v>
      </c>
      <c r="E524" s="7">
        <v>0</v>
      </c>
      <c r="F524" s="7">
        <f>-C516</f>
        <v>-25326.364452252368</v>
      </c>
      <c r="G524" s="7">
        <f>+C517</f>
        <v>3798954.6678378554</v>
      </c>
      <c r="H524" s="25"/>
      <c r="I524" s="25"/>
    </row>
    <row r="525" spans="1:9" ht="15" customHeight="1" x14ac:dyDescent="0.3">
      <c r="A525" s="5" t="str">
        <v>ϴ 2</v>
      </c>
      <c r="B525" s="6">
        <v>0</v>
      </c>
      <c r="C525" s="6">
        <f>+C517</f>
        <v>3798954.6678378554</v>
      </c>
      <c r="D525" s="6">
        <f>+C518</f>
        <v>759790933.56757116</v>
      </c>
      <c r="E525" s="7">
        <v>0</v>
      </c>
      <c r="F525" s="7">
        <f>+-C517</f>
        <v>-3798954.6678378554</v>
      </c>
      <c r="G525" s="7">
        <f>+C519</f>
        <v>379895466.78378558</v>
      </c>
      <c r="H525" s="25"/>
      <c r="I525" s="25"/>
    </row>
    <row r="526" spans="1:9" ht="15" customHeight="1" x14ac:dyDescent="0.3">
      <c r="A526" s="5" t="str">
        <v>3x</v>
      </c>
      <c r="B526" s="8">
        <f>-C515</f>
        <v>-455874.56014054269</v>
      </c>
      <c r="C526" s="8">
        <v>0</v>
      </c>
      <c r="D526" s="8">
        <v>0</v>
      </c>
      <c r="E526" s="9">
        <f>+C515</f>
        <v>455874.56014054269</v>
      </c>
      <c r="F526" s="9">
        <v>0</v>
      </c>
      <c r="G526" s="9">
        <v>0</v>
      </c>
      <c r="H526" s="25"/>
      <c r="I526" s="25"/>
    </row>
    <row r="527" spans="1:9" ht="15" customHeight="1" x14ac:dyDescent="0.3">
      <c r="A527" s="5" t="str">
        <v>3z</v>
      </c>
      <c r="B527" s="8">
        <v>0</v>
      </c>
      <c r="C527" s="8">
        <f>-C516</f>
        <v>-25326.364452252368</v>
      </c>
      <c r="D527" s="8">
        <f>-C517</f>
        <v>-3798954.6678378554</v>
      </c>
      <c r="E527" s="9">
        <v>0</v>
      </c>
      <c r="F527" s="9">
        <f>C516</f>
        <v>25326.364452252368</v>
      </c>
      <c r="G527" s="9">
        <f>-C517</f>
        <v>-3798954.6678378554</v>
      </c>
      <c r="H527" s="25"/>
      <c r="I527" s="25"/>
    </row>
    <row r="528" spans="1:9" ht="15" customHeight="1" x14ac:dyDescent="0.3">
      <c r="A528" s="5" t="str">
        <v>ϴ 3</v>
      </c>
      <c r="B528" s="8">
        <v>0</v>
      </c>
      <c r="C528" s="8">
        <f>+C517</f>
        <v>3798954.6678378554</v>
      </c>
      <c r="D528" s="8">
        <f>+C519</f>
        <v>379895466.78378558</v>
      </c>
      <c r="E528" s="9">
        <v>0</v>
      </c>
      <c r="F528" s="9">
        <f>-C517</f>
        <v>-3798954.6678378554</v>
      </c>
      <c r="G528" s="9">
        <f>C518</f>
        <v>759790933.56757116</v>
      </c>
      <c r="H528" s="25"/>
      <c r="I528" s="25"/>
    </row>
    <row r="530" spans="1:10" x14ac:dyDescent="0.3">
      <c r="A530" s="24" t="s">
        <v>83</v>
      </c>
      <c r="B530" s="24"/>
      <c r="C530" s="24"/>
      <c r="D530" s="24"/>
      <c r="E530" s="24"/>
      <c r="F530" s="24"/>
      <c r="G530" s="24"/>
      <c r="H530" s="24"/>
      <c r="I530" s="24"/>
      <c r="J530" s="24"/>
    </row>
    <row r="531" spans="1:10" x14ac:dyDescent="0.3">
      <c r="A531" s="4"/>
      <c r="B531" s="4"/>
      <c r="C531" s="13" t="s">
        <v>25</v>
      </c>
      <c r="D531" s="13"/>
      <c r="E531" s="13" t="s">
        <v>26</v>
      </c>
      <c r="F531" s="13"/>
      <c r="G531" s="13" t="s">
        <v>27</v>
      </c>
      <c r="H531" s="13"/>
      <c r="I531" s="13" t="s">
        <v>28</v>
      </c>
      <c r="J531" s="13"/>
    </row>
    <row r="532" spans="1:10" x14ac:dyDescent="0.3">
      <c r="A532" s="4" t="s">
        <v>29</v>
      </c>
      <c r="B532" s="10">
        <v>0</v>
      </c>
      <c r="C532" s="4" t="s">
        <v>2</v>
      </c>
      <c r="D532" s="11">
        <f>+B523</f>
        <v>455874.56014054269</v>
      </c>
      <c r="E532" s="4" t="s">
        <v>2</v>
      </c>
      <c r="F532" s="11">
        <f>+E523</f>
        <v>-455874.56014054269</v>
      </c>
      <c r="G532" s="4" t="s">
        <v>2</v>
      </c>
      <c r="H532" s="11">
        <f>+B526</f>
        <v>-455874.56014054269</v>
      </c>
      <c r="I532" s="4" t="s">
        <v>2</v>
      </c>
      <c r="J532" s="12">
        <f>+E526</f>
        <v>455874.56014054269</v>
      </c>
    </row>
    <row r="533" spans="1:10" x14ac:dyDescent="0.3">
      <c r="A533" s="4" t="s">
        <v>30</v>
      </c>
      <c r="B533" s="4">
        <f>SIN(RADIANS(B532))</f>
        <v>0</v>
      </c>
      <c r="C533" s="4" t="s">
        <v>32</v>
      </c>
      <c r="D533" s="11">
        <f>+C524</f>
        <v>25326.364452252368</v>
      </c>
      <c r="E533" s="4" t="s">
        <v>32</v>
      </c>
      <c r="F533" s="11">
        <f>+F524</f>
        <v>-25326.364452252368</v>
      </c>
      <c r="G533" s="4" t="s">
        <v>32</v>
      </c>
      <c r="H533" s="11">
        <f>+C527</f>
        <v>-25326.364452252368</v>
      </c>
      <c r="I533" s="4" t="s">
        <v>32</v>
      </c>
      <c r="J533" s="12">
        <f>+F527</f>
        <v>25326.364452252368</v>
      </c>
    </row>
    <row r="534" spans="1:10" x14ac:dyDescent="0.3">
      <c r="A534" s="4" t="s">
        <v>31</v>
      </c>
      <c r="B534" s="4">
        <f>COS(RADIANS(B532))</f>
        <v>1</v>
      </c>
      <c r="C534" s="4" t="s">
        <v>33</v>
      </c>
      <c r="D534" s="11">
        <f>+D525</f>
        <v>759790933.56757116</v>
      </c>
      <c r="E534" s="4" t="s">
        <v>33</v>
      </c>
      <c r="F534" s="11">
        <f>+G525</f>
        <v>379895466.78378558</v>
      </c>
      <c r="G534" s="4" t="s">
        <v>33</v>
      </c>
      <c r="H534" s="11">
        <f>+D528</f>
        <v>379895466.78378558</v>
      </c>
      <c r="I534" s="4" t="s">
        <v>33</v>
      </c>
      <c r="J534" s="12">
        <f>+G528</f>
        <v>759790933.56757116</v>
      </c>
    </row>
    <row r="535" spans="1:10" x14ac:dyDescent="0.3">
      <c r="A535" s="4"/>
      <c r="B535" s="4"/>
      <c r="C535" s="4" t="s">
        <v>34</v>
      </c>
      <c r="D535" s="11">
        <f>+D524</f>
        <v>3798954.6678378554</v>
      </c>
      <c r="E535" s="4" t="s">
        <v>34</v>
      </c>
      <c r="F535" s="11">
        <f>+G524</f>
        <v>3798954.6678378554</v>
      </c>
      <c r="G535" s="4" t="s">
        <v>34</v>
      </c>
      <c r="H535" s="11">
        <f>+D527</f>
        <v>-3798954.6678378554</v>
      </c>
      <c r="I535" s="4" t="s">
        <v>34</v>
      </c>
      <c r="J535" s="12">
        <f>+G527</f>
        <v>-3798954.6678378554</v>
      </c>
    </row>
    <row r="536" spans="1:10" x14ac:dyDescent="0.3">
      <c r="C536" s="4" t="s">
        <v>4</v>
      </c>
      <c r="D536" s="11">
        <f>+C525</f>
        <v>3798954.6678378554</v>
      </c>
      <c r="E536" s="4" t="s">
        <v>4</v>
      </c>
      <c r="F536" s="11">
        <f>+F525</f>
        <v>-3798954.6678378554</v>
      </c>
      <c r="G536" s="4" t="s">
        <v>4</v>
      </c>
      <c r="H536" s="11">
        <f>+C528</f>
        <v>3798954.6678378554</v>
      </c>
      <c r="I536" s="4" t="s">
        <v>4</v>
      </c>
      <c r="J536" s="12">
        <f>+F528</f>
        <v>-3798954.6678378554</v>
      </c>
    </row>
    <row r="540" spans="1:10" x14ac:dyDescent="0.3">
      <c r="A540" s="1" t="s">
        <v>84</v>
      </c>
      <c r="B540" s="5" t="str">
        <f t="array" ref="B540:G540">B522:G522</f>
        <v>2x</v>
      </c>
      <c r="C540" s="5" t="str">
        <v>2z</v>
      </c>
      <c r="D540" s="5" t="str">
        <v>ϴ 2</v>
      </c>
      <c r="E540" s="5" t="str">
        <v>3x</v>
      </c>
      <c r="F540" s="5" t="str">
        <v>3z</v>
      </c>
      <c r="G540" s="5" t="str">
        <v>ϴ 3</v>
      </c>
    </row>
    <row r="541" spans="1:10" x14ac:dyDescent="0.3">
      <c r="A541" s="5" t="str">
        <f t="array" ref="A541:A546">+TRANSPOSE(B540:G540)</f>
        <v>2x</v>
      </c>
      <c r="B541" s="6">
        <f>(D532*B534*B534)+(D533*B533*B533)</f>
        <v>455874.56014054269</v>
      </c>
      <c r="C541" s="6">
        <f>(D532-D533)*B534*B533</f>
        <v>0</v>
      </c>
      <c r="D541" s="6">
        <f>-D535*B533</f>
        <v>0</v>
      </c>
      <c r="E541" s="14">
        <f>(F532*B534*B534)+(F533*B533*B533)</f>
        <v>-455874.56014054269</v>
      </c>
      <c r="F541" s="14">
        <f>(F532-F533)*B534*B533</f>
        <v>0</v>
      </c>
      <c r="G541" s="14">
        <f>-F535*B533</f>
        <v>0</v>
      </c>
    </row>
    <row r="542" spans="1:10" x14ac:dyDescent="0.3">
      <c r="A542" s="5" t="str">
        <v>2z</v>
      </c>
      <c r="B542" s="6">
        <f>(D532-D533)*B534*B533</f>
        <v>0</v>
      </c>
      <c r="C542" s="6">
        <f>(D532*B533*B533)+(D533*B534*B534)</f>
        <v>25326.364452252368</v>
      </c>
      <c r="D542" s="6">
        <f>D535*B534</f>
        <v>3798954.6678378554</v>
      </c>
      <c r="E542" s="14">
        <f>(F532-F533)*B534*B533</f>
        <v>0</v>
      </c>
      <c r="F542" s="14">
        <f>(F532*B533*B533)+(F533*B534*B534)</f>
        <v>-25326.364452252368</v>
      </c>
      <c r="G542" s="14">
        <f>F535*B534</f>
        <v>3798954.6678378554</v>
      </c>
    </row>
    <row r="543" spans="1:10" x14ac:dyDescent="0.3">
      <c r="A543" s="5" t="str">
        <v>ϴ 2</v>
      </c>
      <c r="B543" s="6">
        <f>-D536*B533</f>
        <v>0</v>
      </c>
      <c r="C543" s="6">
        <f>D536*B534</f>
        <v>3798954.6678378554</v>
      </c>
      <c r="D543" s="6">
        <f>+D534</f>
        <v>759790933.56757116</v>
      </c>
      <c r="E543" s="14">
        <f>-F536*B533</f>
        <v>0</v>
      </c>
      <c r="F543" s="14">
        <f>F536*B534</f>
        <v>-3798954.6678378554</v>
      </c>
      <c r="G543" s="14">
        <f>+F534</f>
        <v>379895466.78378558</v>
      </c>
    </row>
    <row r="544" spans="1:10" x14ac:dyDescent="0.3">
      <c r="A544" s="5" t="str">
        <v>3x</v>
      </c>
      <c r="B544" s="15">
        <f>(H532*B534*B534)+(H533*B533*B533)</f>
        <v>-455874.56014054269</v>
      </c>
      <c r="C544" s="15">
        <f>(H532-H533)*B534*B533</f>
        <v>0</v>
      </c>
      <c r="D544" s="15">
        <f>-H535*B533</f>
        <v>0</v>
      </c>
      <c r="E544" s="8">
        <f>(J532*B534*B534)+(J533*B533*B533)</f>
        <v>455874.56014054269</v>
      </c>
      <c r="F544" s="8">
        <f>(J532-J533)*B534*B533</f>
        <v>0</v>
      </c>
      <c r="G544" s="8">
        <f>-J535*B533</f>
        <v>0</v>
      </c>
    </row>
    <row r="545" spans="1:28" x14ac:dyDescent="0.3">
      <c r="A545" s="5" t="str">
        <v>3z</v>
      </c>
      <c r="B545" s="15">
        <f>(H533-H534)*B534*B533</f>
        <v>0</v>
      </c>
      <c r="C545" s="15">
        <f>(H532*B533*B533)+(H533*B534*B534)</f>
        <v>-25326.364452252368</v>
      </c>
      <c r="D545" s="15">
        <f>+H535*B534</f>
        <v>-3798954.6678378554</v>
      </c>
      <c r="E545" s="8">
        <f>(J532-J533)*B534*B533</f>
        <v>0</v>
      </c>
      <c r="F545" s="8">
        <f>(J532*B533*B533)+(J533*B534*B534)</f>
        <v>25326.364452252368</v>
      </c>
      <c r="G545" s="8">
        <f>-J535*B534</f>
        <v>3798954.6678378554</v>
      </c>
    </row>
    <row r="546" spans="1:28" x14ac:dyDescent="0.3">
      <c r="A546" s="5" t="str">
        <v>ϴ 3</v>
      </c>
      <c r="B546" s="15">
        <f>-H536*B533</f>
        <v>0</v>
      </c>
      <c r="C546" s="15">
        <f>H536*B534</f>
        <v>3798954.6678378554</v>
      </c>
      <c r="D546" s="15">
        <f>+H534</f>
        <v>379895466.78378558</v>
      </c>
      <c r="E546" s="8">
        <f>-J536*B533</f>
        <v>0</v>
      </c>
      <c r="F546" s="8">
        <f>J536*B534</f>
        <v>-3798954.6678378554</v>
      </c>
      <c r="G546" s="8">
        <f>+J534</f>
        <v>759790933.56757116</v>
      </c>
    </row>
    <row r="549" spans="1:28" x14ac:dyDescent="0.3">
      <c r="A549" s="1" t="s">
        <v>36</v>
      </c>
      <c r="B549" s="13" t="s">
        <v>18</v>
      </c>
      <c r="C549" s="13" t="s">
        <v>19</v>
      </c>
      <c r="D549" s="13" t="s">
        <v>20</v>
      </c>
      <c r="E549" s="13" t="s">
        <v>37</v>
      </c>
      <c r="F549" s="13" t="s">
        <v>38</v>
      </c>
      <c r="G549" s="13" t="s">
        <v>39</v>
      </c>
      <c r="H549" s="13" t="s">
        <v>40</v>
      </c>
      <c r="I549" s="13" t="s">
        <v>41</v>
      </c>
      <c r="J549" s="13" t="s">
        <v>42</v>
      </c>
      <c r="K549" s="13" t="s">
        <v>43</v>
      </c>
      <c r="L549" s="13" t="s">
        <v>44</v>
      </c>
      <c r="M549" s="13" t="s">
        <v>45</v>
      </c>
      <c r="N549" s="13" t="s">
        <v>46</v>
      </c>
      <c r="O549" s="13" t="s">
        <v>47</v>
      </c>
      <c r="P549" s="13" t="s">
        <v>48</v>
      </c>
      <c r="Q549" s="13" t="s">
        <v>49</v>
      </c>
      <c r="R549" s="13" t="s">
        <v>50</v>
      </c>
      <c r="S549" s="13" t="s">
        <v>51</v>
      </c>
      <c r="T549" s="13" t="s">
        <v>21</v>
      </c>
      <c r="U549" s="13" t="s">
        <v>22</v>
      </c>
      <c r="V549" s="13" t="s">
        <v>23</v>
      </c>
      <c r="W549" s="13" t="s">
        <v>52</v>
      </c>
      <c r="X549" s="13" t="s">
        <v>53</v>
      </c>
      <c r="Y549" s="13" t="s">
        <v>54</v>
      </c>
      <c r="Z549" s="13" t="s">
        <v>55</v>
      </c>
      <c r="AA549" s="13" t="s">
        <v>56</v>
      </c>
      <c r="AB549" s="13" t="s">
        <v>57</v>
      </c>
    </row>
    <row r="550" spans="1:28" x14ac:dyDescent="0.3">
      <c r="A550" s="13" t="str">
        <f t="array" ref="A550:A576">TRANSPOSE(B549:AB549)</f>
        <v>1x</v>
      </c>
      <c r="B550" s="1">
        <v>0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</row>
    <row r="551" spans="1:28" x14ac:dyDescent="0.3">
      <c r="A551" s="13" t="str">
        <v>1z</v>
      </c>
      <c r="B551" s="1">
        <v>0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</row>
    <row r="552" spans="1:28" x14ac:dyDescent="0.3">
      <c r="A552" s="13" t="str">
        <v>ϴ 1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</row>
    <row r="553" spans="1:28" x14ac:dyDescent="0.3">
      <c r="A553" s="13" t="str">
        <v>2x</v>
      </c>
      <c r="B553" s="1">
        <v>0</v>
      </c>
      <c r="C553" s="1">
        <v>0</v>
      </c>
      <c r="D553" s="1">
        <v>0</v>
      </c>
      <c r="E553" s="1">
        <f t="array" ref="E553:J558">B541:G546</f>
        <v>455874.56014054269</v>
      </c>
      <c r="F553" s="1">
        <v>0</v>
      </c>
      <c r="G553" s="1">
        <v>0</v>
      </c>
      <c r="H553" s="1">
        <v>-455874.56014054269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</row>
    <row r="554" spans="1:28" x14ac:dyDescent="0.3">
      <c r="A554" s="13" t="str">
        <v>2z</v>
      </c>
      <c r="B554" s="1">
        <v>0</v>
      </c>
      <c r="C554" s="1">
        <v>0</v>
      </c>
      <c r="D554" s="1">
        <v>0</v>
      </c>
      <c r="E554" s="1">
        <v>0</v>
      </c>
      <c r="F554" s="1">
        <v>25326.364452252368</v>
      </c>
      <c r="G554" s="1">
        <v>3798954.6678378554</v>
      </c>
      <c r="H554" s="1">
        <v>0</v>
      </c>
      <c r="I554" s="1">
        <v>-25326.364452252368</v>
      </c>
      <c r="J554" s="1">
        <v>3798954.6678378554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</row>
    <row r="555" spans="1:28" x14ac:dyDescent="0.3">
      <c r="A555" s="13" t="str">
        <v>ϴ 2</v>
      </c>
      <c r="B555" s="1">
        <v>0</v>
      </c>
      <c r="C555" s="1">
        <v>0</v>
      </c>
      <c r="D555" s="1">
        <v>0</v>
      </c>
      <c r="E555" s="1">
        <v>0</v>
      </c>
      <c r="F555" s="1">
        <v>3798954.6678378554</v>
      </c>
      <c r="G555" s="1">
        <v>759790933.56757116</v>
      </c>
      <c r="H555" s="1">
        <v>0</v>
      </c>
      <c r="I555" s="1">
        <v>-3798954.6678378554</v>
      </c>
      <c r="J555" s="1">
        <v>379895466.78378558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</row>
    <row r="556" spans="1:28" x14ac:dyDescent="0.3">
      <c r="A556" s="13" t="str">
        <v>3x</v>
      </c>
      <c r="B556" s="1">
        <v>0</v>
      </c>
      <c r="C556" s="1">
        <v>0</v>
      </c>
      <c r="D556" s="1">
        <v>0</v>
      </c>
      <c r="E556" s="1">
        <v>-455874.56014054269</v>
      </c>
      <c r="F556" s="1">
        <v>0</v>
      </c>
      <c r="G556" s="1">
        <v>0</v>
      </c>
      <c r="H556" s="1">
        <v>455874.56014054269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</row>
    <row r="557" spans="1:28" x14ac:dyDescent="0.3">
      <c r="A557" s="13" t="str">
        <v>3z</v>
      </c>
      <c r="B557" s="1">
        <v>0</v>
      </c>
      <c r="C557" s="1">
        <v>0</v>
      </c>
      <c r="D557" s="1">
        <v>0</v>
      </c>
      <c r="E557" s="1">
        <v>0</v>
      </c>
      <c r="F557" s="1">
        <v>-25326.364452252368</v>
      </c>
      <c r="G557" s="1">
        <v>-3798954.6678378554</v>
      </c>
      <c r="H557" s="1">
        <v>0</v>
      </c>
      <c r="I557" s="1">
        <v>25326.364452252368</v>
      </c>
      <c r="J557" s="1">
        <v>3798954.6678378554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</row>
    <row r="558" spans="1:28" x14ac:dyDescent="0.3">
      <c r="A558" s="13" t="str">
        <v>ϴ 3</v>
      </c>
      <c r="B558" s="1">
        <v>0</v>
      </c>
      <c r="C558" s="1">
        <v>0</v>
      </c>
      <c r="D558" s="1">
        <v>0</v>
      </c>
      <c r="E558" s="1">
        <v>0</v>
      </c>
      <c r="F558" s="1">
        <v>3798954.6678378554</v>
      </c>
      <c r="G558" s="1">
        <v>379895466.78378558</v>
      </c>
      <c r="H558" s="1">
        <v>0</v>
      </c>
      <c r="I558" s="1">
        <v>-3798954.6678378554</v>
      </c>
      <c r="J558" s="1">
        <v>759790933.56757116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</row>
    <row r="559" spans="1:28" x14ac:dyDescent="0.3">
      <c r="A559" s="13" t="str">
        <v>4x</v>
      </c>
      <c r="B559" s="1">
        <v>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</row>
    <row r="560" spans="1:28" x14ac:dyDescent="0.3">
      <c r="A560" s="13" t="str">
        <v>4z</v>
      </c>
      <c r="B560" s="1">
        <v>0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</row>
    <row r="561" spans="1:28" x14ac:dyDescent="0.3">
      <c r="A561" s="13" t="str">
        <v>ϴ 4</v>
      </c>
      <c r="B561" s="1">
        <v>0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</row>
    <row r="562" spans="1:28" x14ac:dyDescent="0.3">
      <c r="A562" s="13" t="str">
        <v>5x</v>
      </c>
      <c r="B562" s="1">
        <v>0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</row>
    <row r="563" spans="1:28" x14ac:dyDescent="0.3">
      <c r="A563" s="13" t="str">
        <v>5z</v>
      </c>
      <c r="B563" s="1">
        <v>0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</row>
    <row r="564" spans="1:28" x14ac:dyDescent="0.3">
      <c r="A564" s="13" t="str">
        <v>ϴ 5</v>
      </c>
      <c r="B564" s="1">
        <v>0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</row>
    <row r="565" spans="1:28" x14ac:dyDescent="0.3">
      <c r="A565" s="13" t="str">
        <v>6x</v>
      </c>
      <c r="B565" s="1">
        <v>0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</row>
    <row r="566" spans="1:28" x14ac:dyDescent="0.3">
      <c r="A566" s="13" t="str">
        <v>6z</v>
      </c>
      <c r="B566" s="1">
        <v>0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</row>
    <row r="567" spans="1:28" x14ac:dyDescent="0.3">
      <c r="A567" s="13" t="str">
        <v>ϴ 6</v>
      </c>
      <c r="B567" s="1">
        <v>0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</row>
    <row r="568" spans="1:28" x14ac:dyDescent="0.3">
      <c r="A568" s="13" t="str">
        <v>ax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</row>
    <row r="569" spans="1:28" x14ac:dyDescent="0.3">
      <c r="A569" s="13" t="str">
        <v>az</v>
      </c>
      <c r="B569" s="1">
        <v>0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</row>
    <row r="570" spans="1:28" x14ac:dyDescent="0.3">
      <c r="A570" s="13" t="str">
        <v>ϴ a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</row>
    <row r="571" spans="1:28" x14ac:dyDescent="0.3">
      <c r="A571" s="13" t="str">
        <v>bx</v>
      </c>
      <c r="B571" s="1">
        <v>0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</row>
    <row r="572" spans="1:28" x14ac:dyDescent="0.3">
      <c r="A572" s="13" t="str">
        <v>bz</v>
      </c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</row>
    <row r="573" spans="1:28" x14ac:dyDescent="0.3">
      <c r="A573" s="13" t="str">
        <v>ϴ b</v>
      </c>
      <c r="B573" s="1">
        <v>0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</row>
    <row r="574" spans="1:28" x14ac:dyDescent="0.3">
      <c r="A574" s="13" t="str">
        <v>cx</v>
      </c>
      <c r="B574" s="1">
        <v>0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</row>
    <row r="575" spans="1:28" x14ac:dyDescent="0.3">
      <c r="A575" s="13" t="str">
        <v>cz</v>
      </c>
      <c r="B575" s="1">
        <v>0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</row>
    <row r="576" spans="1:28" x14ac:dyDescent="0.3">
      <c r="A576" s="13" t="str">
        <v>ϴ c</v>
      </c>
      <c r="B576" s="1">
        <v>0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</row>
    <row r="579" spans="1:10" x14ac:dyDescent="0.3">
      <c r="A579" s="26" t="s">
        <v>85</v>
      </c>
      <c r="B579" s="26"/>
      <c r="C579" s="26"/>
      <c r="D579" s="26"/>
      <c r="E579" s="26"/>
      <c r="F579" s="26"/>
      <c r="G579" s="26"/>
      <c r="H579" s="26"/>
      <c r="I579" s="26"/>
      <c r="J579" s="26"/>
    </row>
    <row r="581" spans="1:10" x14ac:dyDescent="0.3">
      <c r="A581" s="1" t="s">
        <v>2</v>
      </c>
      <c r="B581" s="1">
        <v>625</v>
      </c>
      <c r="C581" s="1" t="s">
        <v>13</v>
      </c>
    </row>
    <row r="582" spans="1:10" x14ac:dyDescent="0.3">
      <c r="A582" s="1" t="s">
        <v>3</v>
      </c>
      <c r="B582" s="1">
        <f>(POWER(50,3)*25)/12</f>
        <v>260416.66666666666</v>
      </c>
      <c r="C582" s="1" t="s">
        <v>62</v>
      </c>
    </row>
    <row r="583" spans="1:10" x14ac:dyDescent="0.3">
      <c r="A583" s="1" t="s">
        <v>5</v>
      </c>
      <c r="B583" s="1">
        <v>300</v>
      </c>
      <c r="C583" s="1" t="s">
        <v>14</v>
      </c>
    </row>
    <row r="584" spans="1:10" x14ac:dyDescent="0.3">
      <c r="A584" s="1" t="s">
        <v>4</v>
      </c>
      <c r="B584" s="1">
        <f>15100*SQRT(210)</f>
        <v>218819.78886746051</v>
      </c>
      <c r="C584" s="2" t="s">
        <v>15</v>
      </c>
    </row>
    <row r="586" spans="1:10" x14ac:dyDescent="0.3">
      <c r="B586" s="1" t="s">
        <v>6</v>
      </c>
    </row>
    <row r="587" spans="1:10" x14ac:dyDescent="0.3">
      <c r="B587" s="1" t="s">
        <v>7</v>
      </c>
      <c r="C587" s="3">
        <f>(B584*B581)/B583</f>
        <v>455874.56014054269</v>
      </c>
      <c r="D587" s="1" t="s">
        <v>12</v>
      </c>
    </row>
    <row r="588" spans="1:10" x14ac:dyDescent="0.3">
      <c r="B588" s="1" t="s">
        <v>8</v>
      </c>
      <c r="C588" s="3">
        <f>(12*B584*B582)/(B583^3)</f>
        <v>25326.364452252368</v>
      </c>
      <c r="D588" s="1" t="s">
        <v>12</v>
      </c>
    </row>
    <row r="589" spans="1:10" x14ac:dyDescent="0.3">
      <c r="B589" s="1" t="s">
        <v>9</v>
      </c>
      <c r="C589" s="3">
        <f>(6*B584*B582)/(B583^2)</f>
        <v>3798954.6678378554</v>
      </c>
      <c r="D589" s="1" t="s">
        <v>12</v>
      </c>
    </row>
    <row r="590" spans="1:10" x14ac:dyDescent="0.3">
      <c r="B590" s="1" t="s">
        <v>10</v>
      </c>
      <c r="C590" s="3">
        <f>+(4*B584*B582)/(B583)</f>
        <v>759790933.56757116</v>
      </c>
      <c r="D590" s="1" t="s">
        <v>12</v>
      </c>
    </row>
    <row r="591" spans="1:10" x14ac:dyDescent="0.3">
      <c r="B591" s="1" t="s">
        <v>11</v>
      </c>
      <c r="C591" s="3">
        <f>+(2*B584*B582)/B583</f>
        <v>379895466.78378558</v>
      </c>
      <c r="D591" s="1" t="s">
        <v>12</v>
      </c>
    </row>
    <row r="592" spans="1:10" x14ac:dyDescent="0.3">
      <c r="C592" s="4"/>
    </row>
    <row r="593" spans="1:10" x14ac:dyDescent="0.3">
      <c r="A593" s="24" t="s">
        <v>86</v>
      </c>
      <c r="B593" s="24"/>
      <c r="C593" s="24"/>
      <c r="D593" s="24"/>
      <c r="E593" s="24"/>
      <c r="F593" s="24"/>
      <c r="G593" s="24"/>
    </row>
    <row r="594" spans="1:10" x14ac:dyDescent="0.3">
      <c r="A594" s="1" t="s">
        <v>88</v>
      </c>
      <c r="B594" s="13" t="s">
        <v>43</v>
      </c>
      <c r="C594" s="13" t="s">
        <v>44</v>
      </c>
      <c r="D594" s="13" t="s">
        <v>45</v>
      </c>
      <c r="E594" s="13" t="s">
        <v>46</v>
      </c>
      <c r="F594" s="13" t="s">
        <v>47</v>
      </c>
      <c r="G594" s="13" t="s">
        <v>48</v>
      </c>
    </row>
    <row r="595" spans="1:10" x14ac:dyDescent="0.3">
      <c r="A595" s="5" t="str">
        <f t="array" ref="A595:A600">TRANSPOSE(B594:G594)</f>
        <v>4x</v>
      </c>
      <c r="B595" s="6">
        <f>+C587</f>
        <v>455874.56014054269</v>
      </c>
      <c r="C595" s="6">
        <v>0</v>
      </c>
      <c r="D595" s="6">
        <v>0</v>
      </c>
      <c r="E595" s="7">
        <f>+-C587</f>
        <v>-455874.56014054269</v>
      </c>
      <c r="F595" s="7">
        <v>0</v>
      </c>
      <c r="G595" s="7">
        <v>0</v>
      </c>
      <c r="H595" s="25" t="s">
        <v>68</v>
      </c>
      <c r="I595" s="25"/>
    </row>
    <row r="596" spans="1:10" x14ac:dyDescent="0.3">
      <c r="A596" s="5" t="str">
        <v>4z</v>
      </c>
      <c r="B596" s="6">
        <v>0</v>
      </c>
      <c r="C596" s="6">
        <f>+C588</f>
        <v>25326.364452252368</v>
      </c>
      <c r="D596" s="6">
        <f>+C589</f>
        <v>3798954.6678378554</v>
      </c>
      <c r="E596" s="7">
        <v>0</v>
      </c>
      <c r="F596" s="7">
        <f>-C588</f>
        <v>-25326.364452252368</v>
      </c>
      <c r="G596" s="7">
        <f>+C589</f>
        <v>3798954.6678378554</v>
      </c>
      <c r="H596" s="25"/>
      <c r="I596" s="25"/>
    </row>
    <row r="597" spans="1:10" x14ac:dyDescent="0.3">
      <c r="A597" s="5" t="str">
        <v>ϴ 4</v>
      </c>
      <c r="B597" s="6">
        <v>0</v>
      </c>
      <c r="C597" s="6">
        <f>+C589</f>
        <v>3798954.6678378554</v>
      </c>
      <c r="D597" s="6">
        <f>+C590</f>
        <v>759790933.56757116</v>
      </c>
      <c r="E597" s="7">
        <v>0</v>
      </c>
      <c r="F597" s="7">
        <f>+-C589</f>
        <v>-3798954.6678378554</v>
      </c>
      <c r="G597" s="7">
        <f>+C591</f>
        <v>379895466.78378558</v>
      </c>
      <c r="H597" s="25"/>
      <c r="I597" s="25"/>
    </row>
    <row r="598" spans="1:10" x14ac:dyDescent="0.3">
      <c r="A598" s="5" t="str">
        <v>5x</v>
      </c>
      <c r="B598" s="8">
        <f>-C587</f>
        <v>-455874.56014054269</v>
      </c>
      <c r="C598" s="8">
        <v>0</v>
      </c>
      <c r="D598" s="8">
        <v>0</v>
      </c>
      <c r="E598" s="9">
        <f>+C587</f>
        <v>455874.56014054269</v>
      </c>
      <c r="F598" s="9">
        <v>0</v>
      </c>
      <c r="G598" s="9">
        <v>0</v>
      </c>
      <c r="H598" s="25"/>
      <c r="I598" s="25"/>
    </row>
    <row r="599" spans="1:10" x14ac:dyDescent="0.3">
      <c r="A599" s="5" t="str">
        <v>5z</v>
      </c>
      <c r="B599" s="8">
        <v>0</v>
      </c>
      <c r="C599" s="8">
        <f>-C588</f>
        <v>-25326.364452252368</v>
      </c>
      <c r="D599" s="8">
        <f>-C589</f>
        <v>-3798954.6678378554</v>
      </c>
      <c r="E599" s="9">
        <v>0</v>
      </c>
      <c r="F599" s="9">
        <f>C588</f>
        <v>25326.364452252368</v>
      </c>
      <c r="G599" s="9">
        <f>-C589</f>
        <v>-3798954.6678378554</v>
      </c>
      <c r="H599" s="25"/>
      <c r="I599" s="25"/>
    </row>
    <row r="600" spans="1:10" x14ac:dyDescent="0.3">
      <c r="A600" s="5" t="str">
        <v>ϴ 5</v>
      </c>
      <c r="B600" s="8">
        <v>0</v>
      </c>
      <c r="C600" s="8">
        <f>+C589</f>
        <v>3798954.6678378554</v>
      </c>
      <c r="D600" s="8">
        <f>+C591</f>
        <v>379895466.78378558</v>
      </c>
      <c r="E600" s="9">
        <v>0</v>
      </c>
      <c r="F600" s="9">
        <f>-C589</f>
        <v>-3798954.6678378554</v>
      </c>
      <c r="G600" s="9">
        <f>C590</f>
        <v>759790933.56757116</v>
      </c>
      <c r="H600" s="25"/>
      <c r="I600" s="25"/>
    </row>
    <row r="602" spans="1:10" x14ac:dyDescent="0.3">
      <c r="A602" s="24" t="s">
        <v>87</v>
      </c>
      <c r="B602" s="24"/>
      <c r="C602" s="24"/>
      <c r="D602" s="24"/>
      <c r="E602" s="24"/>
      <c r="F602" s="24"/>
      <c r="G602" s="24"/>
      <c r="H602" s="24"/>
      <c r="I602" s="24"/>
      <c r="J602" s="24"/>
    </row>
    <row r="603" spans="1:10" x14ac:dyDescent="0.3">
      <c r="A603" s="4"/>
      <c r="B603" s="4"/>
      <c r="C603" s="13" t="s">
        <v>25</v>
      </c>
      <c r="D603" s="13"/>
      <c r="E603" s="13" t="s">
        <v>26</v>
      </c>
      <c r="F603" s="13"/>
      <c r="G603" s="13" t="s">
        <v>27</v>
      </c>
      <c r="H603" s="13"/>
      <c r="I603" s="13" t="s">
        <v>28</v>
      </c>
      <c r="J603" s="13"/>
    </row>
    <row r="604" spans="1:10" x14ac:dyDescent="0.3">
      <c r="A604" s="4" t="s">
        <v>29</v>
      </c>
      <c r="B604" s="10">
        <v>0</v>
      </c>
      <c r="C604" s="4" t="s">
        <v>2</v>
      </c>
      <c r="D604" s="11">
        <f>+B595</f>
        <v>455874.56014054269</v>
      </c>
      <c r="E604" s="4" t="s">
        <v>2</v>
      </c>
      <c r="F604" s="11">
        <f>+E595</f>
        <v>-455874.56014054269</v>
      </c>
      <c r="G604" s="4" t="s">
        <v>2</v>
      </c>
      <c r="H604" s="11">
        <f>+B598</f>
        <v>-455874.56014054269</v>
      </c>
      <c r="I604" s="4" t="s">
        <v>2</v>
      </c>
      <c r="J604" s="12">
        <f>+E598</f>
        <v>455874.56014054269</v>
      </c>
    </row>
    <row r="605" spans="1:10" x14ac:dyDescent="0.3">
      <c r="A605" s="4" t="s">
        <v>30</v>
      </c>
      <c r="B605" s="4">
        <f>SIN(RADIANS(B604))</f>
        <v>0</v>
      </c>
      <c r="C605" s="4" t="s">
        <v>32</v>
      </c>
      <c r="D605" s="11">
        <f>+C596</f>
        <v>25326.364452252368</v>
      </c>
      <c r="E605" s="4" t="s">
        <v>32</v>
      </c>
      <c r="F605" s="11">
        <f>+F596</f>
        <v>-25326.364452252368</v>
      </c>
      <c r="G605" s="4" t="s">
        <v>32</v>
      </c>
      <c r="H605" s="11">
        <f>+C599</f>
        <v>-25326.364452252368</v>
      </c>
      <c r="I605" s="4" t="s">
        <v>32</v>
      </c>
      <c r="J605" s="12">
        <f>+F599</f>
        <v>25326.364452252368</v>
      </c>
    </row>
    <row r="606" spans="1:10" x14ac:dyDescent="0.3">
      <c r="A606" s="4" t="s">
        <v>31</v>
      </c>
      <c r="B606" s="4">
        <f>COS(RADIANS(B604))</f>
        <v>1</v>
      </c>
      <c r="C606" s="4" t="s">
        <v>33</v>
      </c>
      <c r="D606" s="11">
        <f>+D597</f>
        <v>759790933.56757116</v>
      </c>
      <c r="E606" s="4" t="s">
        <v>33</v>
      </c>
      <c r="F606" s="11">
        <f>+G597</f>
        <v>379895466.78378558</v>
      </c>
      <c r="G606" s="4" t="s">
        <v>33</v>
      </c>
      <c r="H606" s="11">
        <f>+D600</f>
        <v>379895466.78378558</v>
      </c>
      <c r="I606" s="4" t="s">
        <v>33</v>
      </c>
      <c r="J606" s="12">
        <f>+G600</f>
        <v>759790933.56757116</v>
      </c>
    </row>
    <row r="607" spans="1:10" x14ac:dyDescent="0.3">
      <c r="A607" s="4"/>
      <c r="B607" s="4"/>
      <c r="C607" s="4" t="s">
        <v>34</v>
      </c>
      <c r="D607" s="11">
        <f>+D596</f>
        <v>3798954.6678378554</v>
      </c>
      <c r="E607" s="4" t="s">
        <v>34</v>
      </c>
      <c r="F607" s="11">
        <f>+G596</f>
        <v>3798954.6678378554</v>
      </c>
      <c r="G607" s="4" t="s">
        <v>34</v>
      </c>
      <c r="H607" s="11">
        <f>+D599</f>
        <v>-3798954.6678378554</v>
      </c>
      <c r="I607" s="4" t="s">
        <v>34</v>
      </c>
      <c r="J607" s="12">
        <f>+G599</f>
        <v>-3798954.6678378554</v>
      </c>
    </row>
    <row r="608" spans="1:10" x14ac:dyDescent="0.3">
      <c r="C608" s="4" t="s">
        <v>4</v>
      </c>
      <c r="D608" s="11">
        <f>+C597</f>
        <v>3798954.6678378554</v>
      </c>
      <c r="E608" s="4" t="s">
        <v>4</v>
      </c>
      <c r="F608" s="11">
        <f>+F597</f>
        <v>-3798954.6678378554</v>
      </c>
      <c r="G608" s="4" t="s">
        <v>4</v>
      </c>
      <c r="H608" s="11">
        <f>+C600</f>
        <v>3798954.6678378554</v>
      </c>
      <c r="I608" s="4" t="s">
        <v>4</v>
      </c>
      <c r="J608" s="12">
        <f>+F600</f>
        <v>-3798954.6678378554</v>
      </c>
    </row>
    <row r="612" spans="1:28" x14ac:dyDescent="0.3">
      <c r="A612" s="1" t="s">
        <v>88</v>
      </c>
      <c r="B612" s="5" t="str">
        <f t="array" ref="B612:G612">B594:G594</f>
        <v>4x</v>
      </c>
      <c r="C612" s="5" t="str">
        <v>4z</v>
      </c>
      <c r="D612" s="5" t="str">
        <v>ϴ 4</v>
      </c>
      <c r="E612" s="5" t="str">
        <v>5x</v>
      </c>
      <c r="F612" s="5" t="str">
        <v>5z</v>
      </c>
      <c r="G612" s="5" t="str">
        <v>ϴ 5</v>
      </c>
    </row>
    <row r="613" spans="1:28" x14ac:dyDescent="0.3">
      <c r="A613" s="5" t="str">
        <f t="array" ref="A613:A618">+TRANSPOSE(B612:G612)</f>
        <v>4x</v>
      </c>
      <c r="B613" s="6">
        <f>(D604*B606*B606)+(D605*B605*B605)</f>
        <v>455874.56014054269</v>
      </c>
      <c r="C613" s="6">
        <f>(D604-D605)*B606*B605</f>
        <v>0</v>
      </c>
      <c r="D613" s="6">
        <f>-D607*B605</f>
        <v>0</v>
      </c>
      <c r="E613" s="14">
        <f>(F604*B606*B606)+(F605*B605*B605)</f>
        <v>-455874.56014054269</v>
      </c>
      <c r="F613" s="14">
        <f>(F604-F605)*B606*B605</f>
        <v>0</v>
      </c>
      <c r="G613" s="14">
        <f>-F607*B605</f>
        <v>0</v>
      </c>
    </row>
    <row r="614" spans="1:28" x14ac:dyDescent="0.3">
      <c r="A614" s="5" t="str">
        <v>4z</v>
      </c>
      <c r="B614" s="6">
        <f>(D604-D605)*B606*B605</f>
        <v>0</v>
      </c>
      <c r="C614" s="6">
        <f>(D604*B605*B605)+(D605*B606*B606)</f>
        <v>25326.364452252368</v>
      </c>
      <c r="D614" s="6">
        <f>D607*B606</f>
        <v>3798954.6678378554</v>
      </c>
      <c r="E614" s="14">
        <f>(F604-F605)*B606*B605</f>
        <v>0</v>
      </c>
      <c r="F614" s="14">
        <f>(F604*B605*B605)+(F605*B606*B606)</f>
        <v>-25326.364452252368</v>
      </c>
      <c r="G614" s="14">
        <f>F607*B606</f>
        <v>3798954.6678378554</v>
      </c>
    </row>
    <row r="615" spans="1:28" x14ac:dyDescent="0.3">
      <c r="A615" s="5" t="str">
        <v>ϴ 4</v>
      </c>
      <c r="B615" s="6">
        <f>-D608*B605</f>
        <v>0</v>
      </c>
      <c r="C615" s="6">
        <f>D608*B606</f>
        <v>3798954.6678378554</v>
      </c>
      <c r="D615" s="6">
        <f>+D606</f>
        <v>759790933.56757116</v>
      </c>
      <c r="E615" s="14">
        <f>-F608*B605</f>
        <v>0</v>
      </c>
      <c r="F615" s="14">
        <f>F608*B606</f>
        <v>-3798954.6678378554</v>
      </c>
      <c r="G615" s="14">
        <f>+F606</f>
        <v>379895466.78378558</v>
      </c>
    </row>
    <row r="616" spans="1:28" x14ac:dyDescent="0.3">
      <c r="A616" s="5" t="str">
        <v>5x</v>
      </c>
      <c r="B616" s="15">
        <f>(H604*B606*B606)+(H605*B605*B605)</f>
        <v>-455874.56014054269</v>
      </c>
      <c r="C616" s="15">
        <f>(H604-H605)*B606*B605</f>
        <v>0</v>
      </c>
      <c r="D616" s="15">
        <f>-H607*B605</f>
        <v>0</v>
      </c>
      <c r="E616" s="8">
        <f>(J604*B606*B606)+(J605*B605*B605)</f>
        <v>455874.56014054269</v>
      </c>
      <c r="F616" s="8">
        <f>(J604-J605)*B606*B605</f>
        <v>0</v>
      </c>
      <c r="G616" s="8">
        <f>-J607*B605</f>
        <v>0</v>
      </c>
    </row>
    <row r="617" spans="1:28" x14ac:dyDescent="0.3">
      <c r="A617" s="5" t="str">
        <v>5z</v>
      </c>
      <c r="B617" s="15">
        <f>(H605-H606)*B606*B605</f>
        <v>0</v>
      </c>
      <c r="C617" s="15">
        <f>(H604*B605*B605)+(H605*B606*B606)</f>
        <v>-25326.364452252368</v>
      </c>
      <c r="D617" s="15">
        <f>+H607*B606</f>
        <v>-3798954.6678378554</v>
      </c>
      <c r="E617" s="8">
        <f>(J604-J605)*B606*B605</f>
        <v>0</v>
      </c>
      <c r="F617" s="8">
        <f>(J604*B605*B605)+(J605*B606*B606)</f>
        <v>25326.364452252368</v>
      </c>
      <c r="G617" s="8">
        <f>-J607*B606</f>
        <v>3798954.6678378554</v>
      </c>
    </row>
    <row r="618" spans="1:28" x14ac:dyDescent="0.3">
      <c r="A618" s="5" t="str">
        <v>ϴ 5</v>
      </c>
      <c r="B618" s="15">
        <f>-H608*B605</f>
        <v>0</v>
      </c>
      <c r="C618" s="15">
        <f>H608*B606</f>
        <v>3798954.6678378554</v>
      </c>
      <c r="D618" s="15">
        <f>+H606</f>
        <v>379895466.78378558</v>
      </c>
      <c r="E618" s="8">
        <f>-J608*B605</f>
        <v>0</v>
      </c>
      <c r="F618" s="8">
        <f>J608*B606</f>
        <v>-3798954.6678378554</v>
      </c>
      <c r="G618" s="8">
        <f>+J606</f>
        <v>759790933.56757116</v>
      </c>
    </row>
    <row r="621" spans="1:28" x14ac:dyDescent="0.3">
      <c r="A621" s="1" t="s">
        <v>36</v>
      </c>
      <c r="B621" s="13" t="s">
        <v>18</v>
      </c>
      <c r="C621" s="13" t="s">
        <v>19</v>
      </c>
      <c r="D621" s="13" t="s">
        <v>20</v>
      </c>
      <c r="E621" s="13" t="s">
        <v>37</v>
      </c>
      <c r="F621" s="13" t="s">
        <v>38</v>
      </c>
      <c r="G621" s="13" t="s">
        <v>39</v>
      </c>
      <c r="H621" s="13" t="s">
        <v>40</v>
      </c>
      <c r="I621" s="13" t="s">
        <v>41</v>
      </c>
      <c r="J621" s="13" t="s">
        <v>42</v>
      </c>
      <c r="K621" s="13" t="s">
        <v>43</v>
      </c>
      <c r="L621" s="13" t="s">
        <v>44</v>
      </c>
      <c r="M621" s="13" t="s">
        <v>45</v>
      </c>
      <c r="N621" s="13" t="s">
        <v>46</v>
      </c>
      <c r="O621" s="13" t="s">
        <v>47</v>
      </c>
      <c r="P621" s="13" t="s">
        <v>48</v>
      </c>
      <c r="Q621" s="13" t="s">
        <v>49</v>
      </c>
      <c r="R621" s="13" t="s">
        <v>50</v>
      </c>
      <c r="S621" s="13" t="s">
        <v>51</v>
      </c>
      <c r="T621" s="13" t="s">
        <v>21</v>
      </c>
      <c r="U621" s="13" t="s">
        <v>22</v>
      </c>
      <c r="V621" s="13" t="s">
        <v>23</v>
      </c>
      <c r="W621" s="13" t="s">
        <v>52</v>
      </c>
      <c r="X621" s="13" t="s">
        <v>53</v>
      </c>
      <c r="Y621" s="13" t="s">
        <v>54</v>
      </c>
      <c r="Z621" s="13" t="s">
        <v>55</v>
      </c>
      <c r="AA621" s="13" t="s">
        <v>56</v>
      </c>
      <c r="AB621" s="13" t="s">
        <v>57</v>
      </c>
    </row>
    <row r="622" spans="1:28" x14ac:dyDescent="0.3">
      <c r="A622" s="13" t="str">
        <f t="array" ref="A622:A648">TRANSPOSE(B621:AB621)</f>
        <v>1x</v>
      </c>
      <c r="B622" s="1">
        <v>0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</row>
    <row r="623" spans="1:28" x14ac:dyDescent="0.3">
      <c r="A623" s="13" t="str">
        <v>1z</v>
      </c>
      <c r="B623" s="1">
        <v>0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</row>
    <row r="624" spans="1:28" x14ac:dyDescent="0.3">
      <c r="A624" s="13" t="str">
        <v>ϴ 1</v>
      </c>
      <c r="B624" s="1">
        <v>0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</row>
    <row r="625" spans="1:28" x14ac:dyDescent="0.3">
      <c r="A625" s="13" t="str">
        <v>2x</v>
      </c>
      <c r="B625" s="1">
        <v>0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</row>
    <row r="626" spans="1:28" x14ac:dyDescent="0.3">
      <c r="A626" s="13" t="str">
        <v>2z</v>
      </c>
      <c r="B626" s="1">
        <v>0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</row>
    <row r="627" spans="1:28" x14ac:dyDescent="0.3">
      <c r="A627" s="13" t="str">
        <v>ϴ 2</v>
      </c>
      <c r="B627" s="1">
        <v>0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</row>
    <row r="628" spans="1:28" x14ac:dyDescent="0.3">
      <c r="A628" s="13" t="str">
        <v>3x</v>
      </c>
      <c r="B628" s="1">
        <v>0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</row>
    <row r="629" spans="1:28" x14ac:dyDescent="0.3">
      <c r="A629" s="13" t="str">
        <v>3z</v>
      </c>
      <c r="B629" s="1">
        <v>0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</row>
    <row r="630" spans="1:28" x14ac:dyDescent="0.3">
      <c r="A630" s="13" t="str">
        <v>ϴ 3</v>
      </c>
      <c r="B630" s="1">
        <v>0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</row>
    <row r="631" spans="1:28" x14ac:dyDescent="0.3">
      <c r="A631" s="13" t="str">
        <v>4x</v>
      </c>
      <c r="B631" s="1">
        <v>0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f t="array" ref="K631:P636">B613:G618</f>
        <v>455874.56014054269</v>
      </c>
      <c r="L631" s="1">
        <v>0</v>
      </c>
      <c r="M631" s="1">
        <v>0</v>
      </c>
      <c r="N631" s="1">
        <v>-455874.56014054269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</row>
    <row r="632" spans="1:28" x14ac:dyDescent="0.3">
      <c r="A632" s="13" t="str">
        <v>4z</v>
      </c>
      <c r="B632" s="1">
        <v>0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25326.364452252368</v>
      </c>
      <c r="M632" s="1">
        <v>3798954.6678378554</v>
      </c>
      <c r="N632" s="1">
        <v>0</v>
      </c>
      <c r="O632" s="1">
        <v>-25326.364452252368</v>
      </c>
      <c r="P632" s="1">
        <v>3798954.6678378554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</row>
    <row r="633" spans="1:28" x14ac:dyDescent="0.3">
      <c r="A633" s="13" t="str">
        <v>ϴ 4</v>
      </c>
      <c r="B633" s="1">
        <v>0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3798954.6678378554</v>
      </c>
      <c r="M633" s="1">
        <v>759790933.56757116</v>
      </c>
      <c r="N633" s="1">
        <v>0</v>
      </c>
      <c r="O633" s="1">
        <v>-3798954.6678378554</v>
      </c>
      <c r="P633" s="1">
        <v>379895466.78378558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</row>
    <row r="634" spans="1:28" x14ac:dyDescent="0.3">
      <c r="A634" s="13" t="str">
        <v>5x</v>
      </c>
      <c r="B634" s="1">
        <v>0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-455874.56014054269</v>
      </c>
      <c r="L634" s="1">
        <v>0</v>
      </c>
      <c r="M634" s="1">
        <v>0</v>
      </c>
      <c r="N634" s="1">
        <v>455874.56014054269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</row>
    <row r="635" spans="1:28" x14ac:dyDescent="0.3">
      <c r="A635" s="13" t="str">
        <v>5z</v>
      </c>
      <c r="B635" s="1">
        <v>0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-25326.364452252368</v>
      </c>
      <c r="M635" s="1">
        <v>-3798954.6678378554</v>
      </c>
      <c r="N635" s="1">
        <v>0</v>
      </c>
      <c r="O635" s="1">
        <v>25326.364452252368</v>
      </c>
      <c r="P635" s="1">
        <v>3798954.6678378554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</row>
    <row r="636" spans="1:28" x14ac:dyDescent="0.3">
      <c r="A636" s="13" t="str">
        <v>ϴ 5</v>
      </c>
      <c r="B636" s="1">
        <v>0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3798954.6678378554</v>
      </c>
      <c r="M636" s="1">
        <v>379895466.78378558</v>
      </c>
      <c r="N636" s="1">
        <v>0</v>
      </c>
      <c r="O636" s="1">
        <v>-3798954.6678378554</v>
      </c>
      <c r="P636" s="1">
        <v>759790933.56757116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</row>
    <row r="637" spans="1:28" x14ac:dyDescent="0.3">
      <c r="A637" s="13" t="str">
        <v>6x</v>
      </c>
      <c r="B637" s="1">
        <v>0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</row>
    <row r="638" spans="1:28" x14ac:dyDescent="0.3">
      <c r="A638" s="13" t="str">
        <v>6z</v>
      </c>
      <c r="B638" s="1">
        <v>0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</row>
    <row r="639" spans="1:28" x14ac:dyDescent="0.3">
      <c r="A639" s="13" t="str">
        <v>ϴ 6</v>
      </c>
      <c r="B639" s="1">
        <v>0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</row>
    <row r="640" spans="1:28" x14ac:dyDescent="0.3">
      <c r="A640" s="13" t="str">
        <v>ax</v>
      </c>
      <c r="B640" s="1">
        <v>0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</row>
    <row r="641" spans="1:28" x14ac:dyDescent="0.3">
      <c r="A641" s="13" t="str">
        <v>az</v>
      </c>
      <c r="B641" s="1">
        <v>0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</row>
    <row r="642" spans="1:28" x14ac:dyDescent="0.3">
      <c r="A642" s="13" t="str">
        <v>ϴ a</v>
      </c>
      <c r="B642" s="1">
        <v>0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</row>
    <row r="643" spans="1:28" x14ac:dyDescent="0.3">
      <c r="A643" s="13" t="str">
        <v>bx</v>
      </c>
      <c r="B643" s="1">
        <v>0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</row>
    <row r="644" spans="1:28" x14ac:dyDescent="0.3">
      <c r="A644" s="13" t="str">
        <v>bz</v>
      </c>
      <c r="B644" s="1">
        <v>0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</row>
    <row r="645" spans="1:28" x14ac:dyDescent="0.3">
      <c r="A645" s="13" t="str">
        <v>ϴ b</v>
      </c>
      <c r="B645" s="1">
        <v>0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</row>
    <row r="646" spans="1:28" x14ac:dyDescent="0.3">
      <c r="A646" s="13" t="str">
        <v>cx</v>
      </c>
      <c r="B646" s="1">
        <v>0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</row>
    <row r="647" spans="1:28" x14ac:dyDescent="0.3">
      <c r="A647" s="13" t="str">
        <v>cz</v>
      </c>
      <c r="B647" s="1">
        <v>0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</row>
    <row r="648" spans="1:28" x14ac:dyDescent="0.3">
      <c r="A648" s="13" t="str">
        <v>ϴ c</v>
      </c>
      <c r="B648" s="1">
        <v>0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</row>
    <row r="651" spans="1:28" x14ac:dyDescent="0.3">
      <c r="A651" s="26" t="s">
        <v>89</v>
      </c>
      <c r="B651" s="26"/>
      <c r="C651" s="26"/>
      <c r="D651" s="26"/>
      <c r="E651" s="26"/>
      <c r="F651" s="26"/>
      <c r="G651" s="26"/>
      <c r="H651" s="26"/>
      <c r="I651" s="26"/>
      <c r="J651" s="26"/>
    </row>
    <row r="653" spans="1:28" x14ac:dyDescent="0.3">
      <c r="A653" s="1" t="s">
        <v>2</v>
      </c>
      <c r="B653" s="1">
        <v>625</v>
      </c>
      <c r="C653" s="1" t="s">
        <v>13</v>
      </c>
    </row>
    <row r="654" spans="1:28" x14ac:dyDescent="0.3">
      <c r="A654" s="1" t="s">
        <v>3</v>
      </c>
      <c r="B654" s="1">
        <f>(POWER(50,3)*25)/12</f>
        <v>260416.66666666666</v>
      </c>
      <c r="C654" s="1" t="s">
        <v>62</v>
      </c>
    </row>
    <row r="655" spans="1:28" x14ac:dyDescent="0.3">
      <c r="A655" s="1" t="s">
        <v>5</v>
      </c>
      <c r="B655" s="1">
        <v>300</v>
      </c>
      <c r="C655" s="1" t="s">
        <v>14</v>
      </c>
    </row>
    <row r="656" spans="1:28" x14ac:dyDescent="0.3">
      <c r="A656" s="1" t="s">
        <v>4</v>
      </c>
      <c r="B656" s="1">
        <f>15100*SQRT(210)</f>
        <v>218819.78886746051</v>
      </c>
      <c r="C656" s="2" t="s">
        <v>15</v>
      </c>
    </row>
    <row r="658" spans="1:9" x14ac:dyDescent="0.3">
      <c r="B658" s="1" t="s">
        <v>6</v>
      </c>
    </row>
    <row r="659" spans="1:9" x14ac:dyDescent="0.3">
      <c r="B659" s="1" t="s">
        <v>7</v>
      </c>
      <c r="C659" s="3">
        <f>(B656*B653)/B655</f>
        <v>455874.56014054269</v>
      </c>
      <c r="D659" s="1" t="s">
        <v>12</v>
      </c>
    </row>
    <row r="660" spans="1:9" x14ac:dyDescent="0.3">
      <c r="B660" s="1" t="s">
        <v>8</v>
      </c>
      <c r="C660" s="3">
        <f>(12*B656*B654)/(B655^3)</f>
        <v>25326.364452252368</v>
      </c>
      <c r="D660" s="1" t="s">
        <v>12</v>
      </c>
    </row>
    <row r="661" spans="1:9" x14ac:dyDescent="0.3">
      <c r="B661" s="1" t="s">
        <v>9</v>
      </c>
      <c r="C661" s="3">
        <f>(6*B656*B654)/(B655^2)</f>
        <v>3798954.6678378554</v>
      </c>
      <c r="D661" s="1" t="s">
        <v>12</v>
      </c>
    </row>
    <row r="662" spans="1:9" x14ac:dyDescent="0.3">
      <c r="B662" s="1" t="s">
        <v>10</v>
      </c>
      <c r="C662" s="3">
        <f>+(4*B656*B654)/(B655)</f>
        <v>759790933.56757116</v>
      </c>
      <c r="D662" s="1" t="s">
        <v>12</v>
      </c>
    </row>
    <row r="663" spans="1:9" x14ac:dyDescent="0.3">
      <c r="B663" s="1" t="s">
        <v>11</v>
      </c>
      <c r="C663" s="3">
        <f>+(2*B656*B654)/B655</f>
        <v>379895466.78378558</v>
      </c>
      <c r="D663" s="1" t="s">
        <v>12</v>
      </c>
    </row>
    <row r="664" spans="1:9" x14ac:dyDescent="0.3">
      <c r="C664" s="4"/>
    </row>
    <row r="665" spans="1:9" x14ac:dyDescent="0.3">
      <c r="A665" s="24" t="s">
        <v>90</v>
      </c>
      <c r="B665" s="24"/>
      <c r="C665" s="24"/>
      <c r="D665" s="24"/>
      <c r="E665" s="24"/>
      <c r="F665" s="24"/>
      <c r="G665" s="24"/>
    </row>
    <row r="666" spans="1:9" x14ac:dyDescent="0.3">
      <c r="A666" s="1" t="s">
        <v>92</v>
      </c>
      <c r="B666" s="13" t="s">
        <v>46</v>
      </c>
      <c r="C666" s="13" t="s">
        <v>47</v>
      </c>
      <c r="D666" s="13" t="s">
        <v>48</v>
      </c>
      <c r="E666" s="13" t="s">
        <v>49</v>
      </c>
      <c r="F666" s="13" t="s">
        <v>50</v>
      </c>
      <c r="G666" s="13" t="s">
        <v>51</v>
      </c>
    </row>
    <row r="667" spans="1:9" x14ac:dyDescent="0.3">
      <c r="A667" s="5" t="str">
        <f t="array" ref="A667:A672">TRANSPOSE(B666:G666)</f>
        <v>5x</v>
      </c>
      <c r="B667" s="6">
        <f>+C659</f>
        <v>455874.56014054269</v>
      </c>
      <c r="C667" s="6">
        <v>0</v>
      </c>
      <c r="D667" s="6">
        <v>0</v>
      </c>
      <c r="E667" s="7">
        <f>+-C659</f>
        <v>-455874.56014054269</v>
      </c>
      <c r="F667" s="7">
        <v>0</v>
      </c>
      <c r="G667" s="7">
        <v>0</v>
      </c>
      <c r="H667" s="25" t="s">
        <v>68</v>
      </c>
      <c r="I667" s="25"/>
    </row>
    <row r="668" spans="1:9" x14ac:dyDescent="0.3">
      <c r="A668" s="5" t="str">
        <v>5z</v>
      </c>
      <c r="B668" s="6">
        <v>0</v>
      </c>
      <c r="C668" s="6">
        <f>+C660</f>
        <v>25326.364452252368</v>
      </c>
      <c r="D668" s="6">
        <f>+C661</f>
        <v>3798954.6678378554</v>
      </c>
      <c r="E668" s="7">
        <v>0</v>
      </c>
      <c r="F668" s="7">
        <f>-C660</f>
        <v>-25326.364452252368</v>
      </c>
      <c r="G668" s="7">
        <f>+C661</f>
        <v>3798954.6678378554</v>
      </c>
      <c r="H668" s="25"/>
      <c r="I668" s="25"/>
    </row>
    <row r="669" spans="1:9" x14ac:dyDescent="0.3">
      <c r="A669" s="5" t="str">
        <v>ϴ 5</v>
      </c>
      <c r="B669" s="6">
        <v>0</v>
      </c>
      <c r="C669" s="6">
        <f>+C661</f>
        <v>3798954.6678378554</v>
      </c>
      <c r="D669" s="6">
        <f>+C662</f>
        <v>759790933.56757116</v>
      </c>
      <c r="E669" s="7">
        <v>0</v>
      </c>
      <c r="F669" s="7">
        <f>+-C661</f>
        <v>-3798954.6678378554</v>
      </c>
      <c r="G669" s="7">
        <f>+C663</f>
        <v>379895466.78378558</v>
      </c>
      <c r="H669" s="25"/>
      <c r="I669" s="25"/>
    </row>
    <row r="670" spans="1:9" x14ac:dyDescent="0.3">
      <c r="A670" s="5" t="str">
        <v>6x</v>
      </c>
      <c r="B670" s="8">
        <f>-C659</f>
        <v>-455874.56014054269</v>
      </c>
      <c r="C670" s="8">
        <v>0</v>
      </c>
      <c r="D670" s="8">
        <v>0</v>
      </c>
      <c r="E670" s="9">
        <f>+C659</f>
        <v>455874.56014054269</v>
      </c>
      <c r="F670" s="9">
        <v>0</v>
      </c>
      <c r="G670" s="9">
        <v>0</v>
      </c>
      <c r="H670" s="25"/>
      <c r="I670" s="25"/>
    </row>
    <row r="671" spans="1:9" x14ac:dyDescent="0.3">
      <c r="A671" s="5" t="str">
        <v>6z</v>
      </c>
      <c r="B671" s="8">
        <v>0</v>
      </c>
      <c r="C671" s="8">
        <f>-C660</f>
        <v>-25326.364452252368</v>
      </c>
      <c r="D671" s="8">
        <f>-C661</f>
        <v>-3798954.6678378554</v>
      </c>
      <c r="E671" s="9">
        <v>0</v>
      </c>
      <c r="F671" s="9">
        <f>C660</f>
        <v>25326.364452252368</v>
      </c>
      <c r="G671" s="9">
        <f>-C661</f>
        <v>-3798954.6678378554</v>
      </c>
      <c r="H671" s="25"/>
      <c r="I671" s="25"/>
    </row>
    <row r="672" spans="1:9" x14ac:dyDescent="0.3">
      <c r="A672" s="5" t="str">
        <v>ϴ 6</v>
      </c>
      <c r="B672" s="8">
        <v>0</v>
      </c>
      <c r="C672" s="8">
        <f>+C661</f>
        <v>3798954.6678378554</v>
      </c>
      <c r="D672" s="8">
        <f>+C663</f>
        <v>379895466.78378558</v>
      </c>
      <c r="E672" s="9">
        <v>0</v>
      </c>
      <c r="F672" s="9">
        <f>-C661</f>
        <v>-3798954.6678378554</v>
      </c>
      <c r="G672" s="9">
        <f>C662</f>
        <v>759790933.56757116</v>
      </c>
      <c r="H672" s="25"/>
      <c r="I672" s="25"/>
    </row>
    <row r="674" spans="1:10" x14ac:dyDescent="0.3">
      <c r="A674" s="24" t="s">
        <v>91</v>
      </c>
      <c r="B674" s="24"/>
      <c r="C674" s="24"/>
      <c r="D674" s="24"/>
      <c r="E674" s="24"/>
      <c r="F674" s="24"/>
      <c r="G674" s="24"/>
      <c r="H674" s="24"/>
      <c r="I674" s="24"/>
      <c r="J674" s="24"/>
    </row>
    <row r="675" spans="1:10" x14ac:dyDescent="0.3">
      <c r="A675" s="4"/>
      <c r="B675" s="4"/>
      <c r="C675" s="13" t="s">
        <v>25</v>
      </c>
      <c r="D675" s="13"/>
      <c r="E675" s="13" t="s">
        <v>26</v>
      </c>
      <c r="F675" s="13"/>
      <c r="G675" s="13" t="s">
        <v>27</v>
      </c>
      <c r="H675" s="13"/>
      <c r="I675" s="13" t="s">
        <v>28</v>
      </c>
      <c r="J675" s="13"/>
    </row>
    <row r="676" spans="1:10" x14ac:dyDescent="0.3">
      <c r="A676" s="4" t="s">
        <v>29</v>
      </c>
      <c r="B676" s="10">
        <v>0</v>
      </c>
      <c r="C676" s="4" t="s">
        <v>2</v>
      </c>
      <c r="D676" s="11">
        <f>+B667</f>
        <v>455874.56014054269</v>
      </c>
      <c r="E676" s="4" t="s">
        <v>2</v>
      </c>
      <c r="F676" s="11">
        <f>+E667</f>
        <v>-455874.56014054269</v>
      </c>
      <c r="G676" s="4" t="s">
        <v>2</v>
      </c>
      <c r="H676" s="11">
        <f>+B670</f>
        <v>-455874.56014054269</v>
      </c>
      <c r="I676" s="4" t="s">
        <v>2</v>
      </c>
      <c r="J676" s="12">
        <f>+E670</f>
        <v>455874.56014054269</v>
      </c>
    </row>
    <row r="677" spans="1:10" x14ac:dyDescent="0.3">
      <c r="A677" s="4" t="s">
        <v>30</v>
      </c>
      <c r="B677" s="4">
        <f>SIN(RADIANS(B676))</f>
        <v>0</v>
      </c>
      <c r="C677" s="4" t="s">
        <v>32</v>
      </c>
      <c r="D677" s="11">
        <f>+C668</f>
        <v>25326.364452252368</v>
      </c>
      <c r="E677" s="4" t="s">
        <v>32</v>
      </c>
      <c r="F677" s="11">
        <f>+F668</f>
        <v>-25326.364452252368</v>
      </c>
      <c r="G677" s="4" t="s">
        <v>32</v>
      </c>
      <c r="H677" s="11">
        <f>+C671</f>
        <v>-25326.364452252368</v>
      </c>
      <c r="I677" s="4" t="s">
        <v>32</v>
      </c>
      <c r="J677" s="12">
        <f>+F671</f>
        <v>25326.364452252368</v>
      </c>
    </row>
    <row r="678" spans="1:10" x14ac:dyDescent="0.3">
      <c r="A678" s="4" t="s">
        <v>31</v>
      </c>
      <c r="B678" s="4">
        <f>COS(RADIANS(B676))</f>
        <v>1</v>
      </c>
      <c r="C678" s="4" t="s">
        <v>33</v>
      </c>
      <c r="D678" s="11">
        <f>+D669</f>
        <v>759790933.56757116</v>
      </c>
      <c r="E678" s="4" t="s">
        <v>33</v>
      </c>
      <c r="F678" s="11">
        <f>+G669</f>
        <v>379895466.78378558</v>
      </c>
      <c r="G678" s="4" t="s">
        <v>33</v>
      </c>
      <c r="H678" s="11">
        <f>+D672</f>
        <v>379895466.78378558</v>
      </c>
      <c r="I678" s="4" t="s">
        <v>33</v>
      </c>
      <c r="J678" s="12">
        <f>+G672</f>
        <v>759790933.56757116</v>
      </c>
    </row>
    <row r="679" spans="1:10" x14ac:dyDescent="0.3">
      <c r="A679" s="4"/>
      <c r="B679" s="4"/>
      <c r="C679" s="4" t="s">
        <v>34</v>
      </c>
      <c r="D679" s="11">
        <f>+D668</f>
        <v>3798954.6678378554</v>
      </c>
      <c r="E679" s="4" t="s">
        <v>34</v>
      </c>
      <c r="F679" s="11">
        <f>+G668</f>
        <v>3798954.6678378554</v>
      </c>
      <c r="G679" s="4" t="s">
        <v>34</v>
      </c>
      <c r="H679" s="11">
        <f>+D671</f>
        <v>-3798954.6678378554</v>
      </c>
      <c r="I679" s="4" t="s">
        <v>34</v>
      </c>
      <c r="J679" s="12">
        <f>+G671</f>
        <v>-3798954.6678378554</v>
      </c>
    </row>
    <row r="680" spans="1:10" x14ac:dyDescent="0.3">
      <c r="C680" s="4" t="s">
        <v>4</v>
      </c>
      <c r="D680" s="11">
        <f>+C669</f>
        <v>3798954.6678378554</v>
      </c>
      <c r="E680" s="4" t="s">
        <v>4</v>
      </c>
      <c r="F680" s="11">
        <f>+F669</f>
        <v>-3798954.6678378554</v>
      </c>
      <c r="G680" s="4" t="s">
        <v>4</v>
      </c>
      <c r="H680" s="11">
        <f>+C672</f>
        <v>3798954.6678378554</v>
      </c>
      <c r="I680" s="4" t="s">
        <v>4</v>
      </c>
      <c r="J680" s="12">
        <f>+F672</f>
        <v>-3798954.6678378554</v>
      </c>
    </row>
    <row r="684" spans="1:10" x14ac:dyDescent="0.3">
      <c r="A684" s="1" t="s">
        <v>92</v>
      </c>
      <c r="B684" s="5" t="str">
        <f t="array" ref="B684:G684">B666:G666</f>
        <v>5x</v>
      </c>
      <c r="C684" s="5" t="str">
        <v>5z</v>
      </c>
      <c r="D684" s="5" t="str">
        <v>ϴ 5</v>
      </c>
      <c r="E684" s="5" t="str">
        <v>6x</v>
      </c>
      <c r="F684" s="5" t="str">
        <v>6z</v>
      </c>
      <c r="G684" s="5" t="str">
        <v>ϴ 6</v>
      </c>
    </row>
    <row r="685" spans="1:10" x14ac:dyDescent="0.3">
      <c r="A685" s="5" t="str">
        <f t="array" ref="A685:A690">+TRANSPOSE(B684:G684)</f>
        <v>5x</v>
      </c>
      <c r="B685" s="6">
        <f>(D676*B678*B678)+(D677*B677*B677)</f>
        <v>455874.56014054269</v>
      </c>
      <c r="C685" s="6">
        <f>(D676-D677)*B678*B677</f>
        <v>0</v>
      </c>
      <c r="D685" s="6">
        <f>-D679*B677</f>
        <v>0</v>
      </c>
      <c r="E685" s="14">
        <f>(F676*B678*B678)+(F677*B677*B677)</f>
        <v>-455874.56014054269</v>
      </c>
      <c r="F685" s="14">
        <f>(F676-F677)*B678*B677</f>
        <v>0</v>
      </c>
      <c r="G685" s="14">
        <f>-F679*B677</f>
        <v>0</v>
      </c>
    </row>
    <row r="686" spans="1:10" x14ac:dyDescent="0.3">
      <c r="A686" s="5" t="str">
        <v>5z</v>
      </c>
      <c r="B686" s="6">
        <f>(D676-D677)*B678*B677</f>
        <v>0</v>
      </c>
      <c r="C686" s="6">
        <f>(D676*B677*B677)+(D677*B678*B678)</f>
        <v>25326.364452252368</v>
      </c>
      <c r="D686" s="6">
        <f>D679*B678</f>
        <v>3798954.6678378554</v>
      </c>
      <c r="E686" s="14">
        <f>(F676-F677)*B678*B677</f>
        <v>0</v>
      </c>
      <c r="F686" s="14">
        <f>(F676*B677*B677)+(F677*B678*B678)</f>
        <v>-25326.364452252368</v>
      </c>
      <c r="G686" s="14">
        <f>F679*B678</f>
        <v>3798954.6678378554</v>
      </c>
    </row>
    <row r="687" spans="1:10" x14ac:dyDescent="0.3">
      <c r="A687" s="5" t="str">
        <v>ϴ 5</v>
      </c>
      <c r="B687" s="6">
        <f>-D680*B677</f>
        <v>0</v>
      </c>
      <c r="C687" s="6">
        <f>D680*B678</f>
        <v>3798954.6678378554</v>
      </c>
      <c r="D687" s="6">
        <f>+D678</f>
        <v>759790933.56757116</v>
      </c>
      <c r="E687" s="14">
        <f>-F680*B677</f>
        <v>0</v>
      </c>
      <c r="F687" s="14">
        <f>F680*B678</f>
        <v>-3798954.6678378554</v>
      </c>
      <c r="G687" s="14">
        <f>+F678</f>
        <v>379895466.78378558</v>
      </c>
    </row>
    <row r="688" spans="1:10" x14ac:dyDescent="0.3">
      <c r="A688" s="5" t="str">
        <v>6x</v>
      </c>
      <c r="B688" s="15">
        <f>(H676*B678*B678)+(H677*B677*B677)</f>
        <v>-455874.56014054269</v>
      </c>
      <c r="C688" s="15">
        <f>(H676-H677)*B678*B677</f>
        <v>0</v>
      </c>
      <c r="D688" s="15">
        <f>-H679*B677</f>
        <v>0</v>
      </c>
      <c r="E688" s="8">
        <f>(J676*B678*B678)+(J677*B677*B677)</f>
        <v>455874.56014054269</v>
      </c>
      <c r="F688" s="8">
        <f>(J676-J677)*B678*B677</f>
        <v>0</v>
      </c>
      <c r="G688" s="8">
        <f>-J679*B677</f>
        <v>0</v>
      </c>
    </row>
    <row r="689" spans="1:28" x14ac:dyDescent="0.3">
      <c r="A689" s="5" t="str">
        <v>6z</v>
      </c>
      <c r="B689" s="15">
        <f>(H677-H678)*B678*B677</f>
        <v>0</v>
      </c>
      <c r="C689" s="15">
        <f>(H676*B677*B677)+(H677*B678*B678)</f>
        <v>-25326.364452252368</v>
      </c>
      <c r="D689" s="15">
        <f>+H679*B678</f>
        <v>-3798954.6678378554</v>
      </c>
      <c r="E689" s="8">
        <f>(J676-J677)*B678*B677</f>
        <v>0</v>
      </c>
      <c r="F689" s="8">
        <f>(J676*B677*B677)+(J677*B678*B678)</f>
        <v>25326.364452252368</v>
      </c>
      <c r="G689" s="8">
        <f>-J679*B678</f>
        <v>3798954.6678378554</v>
      </c>
    </row>
    <row r="690" spans="1:28" x14ac:dyDescent="0.3">
      <c r="A690" s="5" t="str">
        <v>ϴ 6</v>
      </c>
      <c r="B690" s="15">
        <f>-H680*B677</f>
        <v>0</v>
      </c>
      <c r="C690" s="15">
        <f>H680*B678</f>
        <v>3798954.6678378554</v>
      </c>
      <c r="D690" s="15">
        <f>+H678</f>
        <v>379895466.78378558</v>
      </c>
      <c r="E690" s="8">
        <f>-J680*B677</f>
        <v>0</v>
      </c>
      <c r="F690" s="8">
        <f>J680*B678</f>
        <v>-3798954.6678378554</v>
      </c>
      <c r="G690" s="8">
        <f>+J678</f>
        <v>759790933.56757116</v>
      </c>
    </row>
    <row r="693" spans="1:28" x14ac:dyDescent="0.3">
      <c r="A693" s="1" t="s">
        <v>93</v>
      </c>
      <c r="B693" s="13" t="s">
        <v>18</v>
      </c>
      <c r="C693" s="13" t="s">
        <v>19</v>
      </c>
      <c r="D693" s="13" t="s">
        <v>20</v>
      </c>
      <c r="E693" s="13" t="s">
        <v>37</v>
      </c>
      <c r="F693" s="13" t="s">
        <v>38</v>
      </c>
      <c r="G693" s="13" t="s">
        <v>39</v>
      </c>
      <c r="H693" s="13" t="s">
        <v>40</v>
      </c>
      <c r="I693" s="13" t="s">
        <v>41</v>
      </c>
      <c r="J693" s="13" t="s">
        <v>42</v>
      </c>
      <c r="K693" s="13" t="s">
        <v>43</v>
      </c>
      <c r="L693" s="13" t="s">
        <v>44</v>
      </c>
      <c r="M693" s="13" t="s">
        <v>45</v>
      </c>
      <c r="N693" s="13" t="s">
        <v>46</v>
      </c>
      <c r="O693" s="13" t="s">
        <v>47</v>
      </c>
      <c r="P693" s="13" t="s">
        <v>48</v>
      </c>
      <c r="Q693" s="13" t="s">
        <v>49</v>
      </c>
      <c r="R693" s="13" t="s">
        <v>50</v>
      </c>
      <c r="S693" s="13" t="s">
        <v>51</v>
      </c>
      <c r="T693" s="13" t="s">
        <v>21</v>
      </c>
      <c r="U693" s="13" t="s">
        <v>22</v>
      </c>
      <c r="V693" s="13" t="s">
        <v>23</v>
      </c>
      <c r="W693" s="13" t="s">
        <v>52</v>
      </c>
      <c r="X693" s="13" t="s">
        <v>53</v>
      </c>
      <c r="Y693" s="13" t="s">
        <v>54</v>
      </c>
      <c r="Z693" s="13" t="s">
        <v>55</v>
      </c>
      <c r="AA693" s="13" t="s">
        <v>56</v>
      </c>
      <c r="AB693" s="13" t="s">
        <v>57</v>
      </c>
    </row>
    <row r="694" spans="1:28" x14ac:dyDescent="0.3">
      <c r="A694" s="13" t="str">
        <f t="array" ref="A694:A720">TRANSPOSE(B693:AB693)</f>
        <v>1x</v>
      </c>
      <c r="B694" s="1">
        <v>0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</row>
    <row r="695" spans="1:28" x14ac:dyDescent="0.3">
      <c r="A695" s="13" t="str">
        <v>1z</v>
      </c>
      <c r="B695" s="1">
        <v>0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</row>
    <row r="696" spans="1:28" x14ac:dyDescent="0.3">
      <c r="A696" s="13" t="str">
        <v>ϴ 1</v>
      </c>
      <c r="B696" s="1">
        <v>0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</row>
    <row r="697" spans="1:28" x14ac:dyDescent="0.3">
      <c r="A697" s="13" t="str">
        <v>2x</v>
      </c>
      <c r="B697" s="1">
        <v>0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</row>
    <row r="698" spans="1:28" x14ac:dyDescent="0.3">
      <c r="A698" s="13" t="str">
        <v>2z</v>
      </c>
      <c r="B698" s="1">
        <v>0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</row>
    <row r="699" spans="1:28" x14ac:dyDescent="0.3">
      <c r="A699" s="13" t="str">
        <v>ϴ 2</v>
      </c>
      <c r="B699" s="1">
        <v>0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</row>
    <row r="700" spans="1:28" x14ac:dyDescent="0.3">
      <c r="A700" s="13" t="str">
        <v>3x</v>
      </c>
      <c r="B700" s="1">
        <v>0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</row>
    <row r="701" spans="1:28" x14ac:dyDescent="0.3">
      <c r="A701" s="13" t="str">
        <v>3z</v>
      </c>
      <c r="B701" s="1">
        <v>0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</row>
    <row r="702" spans="1:28" x14ac:dyDescent="0.3">
      <c r="A702" s="13" t="str">
        <v>ϴ 3</v>
      </c>
      <c r="B702" s="1">
        <v>0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</row>
    <row r="703" spans="1:28" x14ac:dyDescent="0.3">
      <c r="A703" s="13" t="str">
        <v>4x</v>
      </c>
      <c r="B703" s="1">
        <v>0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</row>
    <row r="704" spans="1:28" x14ac:dyDescent="0.3">
      <c r="A704" s="13" t="str">
        <v>4z</v>
      </c>
      <c r="B704" s="1">
        <v>0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</row>
    <row r="705" spans="1:28" x14ac:dyDescent="0.3">
      <c r="A705" s="13" t="str">
        <v>ϴ 4</v>
      </c>
      <c r="B705" s="1">
        <v>0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</row>
    <row r="706" spans="1:28" x14ac:dyDescent="0.3">
      <c r="A706" s="13" t="str">
        <v>5x</v>
      </c>
      <c r="B706" s="1">
        <v>0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f t="array" ref="N706:S711">B685:G690</f>
        <v>455874.56014054269</v>
      </c>
      <c r="O706" s="1">
        <v>0</v>
      </c>
      <c r="P706" s="1">
        <v>0</v>
      </c>
      <c r="Q706" s="1">
        <v>-455874.56014054269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</row>
    <row r="707" spans="1:28" x14ac:dyDescent="0.3">
      <c r="A707" s="13" t="str">
        <v>5z</v>
      </c>
      <c r="B707" s="1">
        <v>0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25326.364452252368</v>
      </c>
      <c r="P707" s="1">
        <v>3798954.6678378554</v>
      </c>
      <c r="Q707" s="1">
        <v>0</v>
      </c>
      <c r="R707" s="1">
        <v>-25326.364452252368</v>
      </c>
      <c r="S707" s="1">
        <v>3798954.6678378554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</row>
    <row r="708" spans="1:28" x14ac:dyDescent="0.3">
      <c r="A708" s="13" t="str">
        <v>ϴ 5</v>
      </c>
      <c r="B708" s="1">
        <v>0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3798954.6678378554</v>
      </c>
      <c r="P708" s="1">
        <v>759790933.56757116</v>
      </c>
      <c r="Q708" s="1">
        <v>0</v>
      </c>
      <c r="R708" s="1">
        <v>-3798954.6678378554</v>
      </c>
      <c r="S708" s="1">
        <v>379895466.78378558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</row>
    <row r="709" spans="1:28" x14ac:dyDescent="0.3">
      <c r="A709" s="13" t="str">
        <v>6x</v>
      </c>
      <c r="B709" s="1">
        <v>0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-455874.56014054269</v>
      </c>
      <c r="O709" s="1">
        <v>0</v>
      </c>
      <c r="P709" s="1">
        <v>0</v>
      </c>
      <c r="Q709" s="1">
        <v>455874.56014054269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</row>
    <row r="710" spans="1:28" x14ac:dyDescent="0.3">
      <c r="A710" s="13" t="str">
        <v>6z</v>
      </c>
      <c r="B710" s="1">
        <v>0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-25326.364452252368</v>
      </c>
      <c r="P710" s="1">
        <v>-3798954.6678378554</v>
      </c>
      <c r="Q710" s="1">
        <v>0</v>
      </c>
      <c r="R710" s="1">
        <v>25326.364452252368</v>
      </c>
      <c r="S710" s="1">
        <v>3798954.6678378554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</row>
    <row r="711" spans="1:28" x14ac:dyDescent="0.3">
      <c r="A711" s="13" t="str">
        <v>ϴ 6</v>
      </c>
      <c r="B711" s="1">
        <v>0</v>
      </c>
      <c r="C711" s="1">
        <v>0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3798954.6678378554</v>
      </c>
      <c r="P711" s="1">
        <v>379895466.78378558</v>
      </c>
      <c r="Q711" s="1">
        <v>0</v>
      </c>
      <c r="R711" s="1">
        <v>-3798954.6678378554</v>
      </c>
      <c r="S711" s="1">
        <v>759790933.56757116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</row>
    <row r="712" spans="1:28" x14ac:dyDescent="0.3">
      <c r="A712" s="13" t="str">
        <v>ax</v>
      </c>
      <c r="B712" s="1">
        <v>0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</row>
    <row r="713" spans="1:28" x14ac:dyDescent="0.3">
      <c r="A713" s="13" t="str">
        <v>az</v>
      </c>
      <c r="B713" s="1">
        <v>0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</row>
    <row r="714" spans="1:28" x14ac:dyDescent="0.3">
      <c r="A714" s="13" t="str">
        <v>ϴ a</v>
      </c>
      <c r="B714" s="1">
        <v>0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</row>
    <row r="715" spans="1:28" x14ac:dyDescent="0.3">
      <c r="A715" s="13" t="str">
        <v>bx</v>
      </c>
      <c r="B715" s="1">
        <v>0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</row>
    <row r="716" spans="1:28" x14ac:dyDescent="0.3">
      <c r="A716" s="13" t="str">
        <v>bz</v>
      </c>
      <c r="B716" s="1">
        <v>0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</row>
    <row r="717" spans="1:28" x14ac:dyDescent="0.3">
      <c r="A717" s="13" t="str">
        <v>ϴ b</v>
      </c>
      <c r="B717" s="1">
        <v>0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</row>
    <row r="718" spans="1:28" x14ac:dyDescent="0.3">
      <c r="A718" s="13" t="str">
        <v>cx</v>
      </c>
      <c r="B718" s="1">
        <v>0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</row>
    <row r="719" spans="1:28" x14ac:dyDescent="0.3">
      <c r="A719" s="13" t="str">
        <v>cz</v>
      </c>
      <c r="B719" s="1">
        <v>0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</row>
    <row r="720" spans="1:28" x14ac:dyDescent="0.3">
      <c r="A720" s="13" t="str">
        <v>ϴ c</v>
      </c>
      <c r="B720" s="1">
        <v>0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</row>
    <row r="723" spans="1:28" x14ac:dyDescent="0.3">
      <c r="Q723" s="1" t="s">
        <v>96</v>
      </c>
    </row>
    <row r="724" spans="1:28" x14ac:dyDescent="0.3">
      <c r="A724" s="23" t="s">
        <v>94</v>
      </c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</row>
    <row r="726" spans="1:28" x14ac:dyDescent="0.3">
      <c r="A726" s="1" t="s">
        <v>95</v>
      </c>
      <c r="B726" s="13" t="s">
        <v>18</v>
      </c>
      <c r="C726" s="13" t="s">
        <v>19</v>
      </c>
      <c r="D726" s="13" t="s">
        <v>20</v>
      </c>
      <c r="E726" s="13" t="s">
        <v>37</v>
      </c>
      <c r="F726" s="13" t="s">
        <v>38</v>
      </c>
      <c r="G726" s="13" t="s">
        <v>39</v>
      </c>
      <c r="H726" s="13" t="s">
        <v>40</v>
      </c>
      <c r="I726" s="13" t="s">
        <v>41</v>
      </c>
      <c r="J726" s="13" t="s">
        <v>42</v>
      </c>
      <c r="K726" s="13" t="s">
        <v>43</v>
      </c>
      <c r="L726" s="13" t="s">
        <v>44</v>
      </c>
      <c r="M726" s="13" t="s">
        <v>45</v>
      </c>
      <c r="N726" s="13" t="s">
        <v>46</v>
      </c>
      <c r="O726" s="13" t="s">
        <v>47</v>
      </c>
      <c r="P726" s="13" t="s">
        <v>48</v>
      </c>
      <c r="Q726" s="13" t="s">
        <v>49</v>
      </c>
      <c r="R726" s="13" t="s">
        <v>50</v>
      </c>
      <c r="S726" s="13" t="s">
        <v>51</v>
      </c>
      <c r="T726" s="13" t="s">
        <v>21</v>
      </c>
      <c r="U726" s="13" t="s">
        <v>22</v>
      </c>
      <c r="V726" s="13" t="s">
        <v>23</v>
      </c>
      <c r="W726" s="13" t="s">
        <v>52</v>
      </c>
      <c r="X726" s="13" t="s">
        <v>53</v>
      </c>
      <c r="Y726" s="13" t="s">
        <v>54</v>
      </c>
      <c r="Z726" s="13" t="s">
        <v>55</v>
      </c>
      <c r="AA726" s="13" t="s">
        <v>56</v>
      </c>
      <c r="AB726" s="13" t="s">
        <v>57</v>
      </c>
    </row>
    <row r="727" spans="1:28" x14ac:dyDescent="0.3">
      <c r="A727" s="13" t="str">
        <f t="array" ref="A727:A753">TRANSPOSE(B726:AB726)</f>
        <v>1x</v>
      </c>
      <c r="B727" s="16">
        <f t="array" ref="B727:AB753">B46:AB72+B118:AB144+B190:AB216+B262:AB288+B334:AB360+B406:AB432+B478:AB504+B550:AB576+B622:AB648+B694:AB720</f>
        <v>460375.92569748597</v>
      </c>
      <c r="C727" s="16">
        <v>4.859423408362571E-11</v>
      </c>
      <c r="D727" s="16">
        <v>-207755.3333973827</v>
      </c>
      <c r="E727" s="16">
        <v>-455874.56014054269</v>
      </c>
      <c r="F727" s="16">
        <v>0</v>
      </c>
      <c r="G727" s="16">
        <v>0</v>
      </c>
      <c r="H727" s="16">
        <v>0</v>
      </c>
      <c r="I727" s="16">
        <v>0</v>
      </c>
      <c r="J727" s="16">
        <v>0</v>
      </c>
      <c r="K727" s="16">
        <v>-3165.795556531546</v>
      </c>
      <c r="L727" s="16">
        <v>-2.7731772172684573E-11</v>
      </c>
      <c r="M727" s="16">
        <v>-474869.33347973193</v>
      </c>
      <c r="N727" s="16">
        <v>0</v>
      </c>
      <c r="O727" s="16">
        <v>0</v>
      </c>
      <c r="P727" s="16">
        <v>0</v>
      </c>
      <c r="Q727" s="16">
        <v>0</v>
      </c>
      <c r="R727" s="16">
        <v>0</v>
      </c>
      <c r="S727" s="16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</row>
    <row r="728" spans="1:28" x14ac:dyDescent="0.3">
      <c r="A728" s="13" t="str">
        <v>1z</v>
      </c>
      <c r="B728" s="16">
        <v>4.859423408362571E-11</v>
      </c>
      <c r="C728" s="16">
        <v>823106.8446982021</v>
      </c>
      <c r="D728" s="16">
        <v>3798954.6678378554</v>
      </c>
      <c r="E728" s="16">
        <v>0</v>
      </c>
      <c r="F728" s="16">
        <v>-25326.364452252368</v>
      </c>
      <c r="G728" s="16">
        <v>3798954.6678378554</v>
      </c>
      <c r="H728" s="16">
        <v>0</v>
      </c>
      <c r="I728" s="16">
        <v>0</v>
      </c>
      <c r="J728" s="16">
        <v>0</v>
      </c>
      <c r="K728" s="16">
        <v>-2.7731772172684573E-11</v>
      </c>
      <c r="L728" s="16">
        <v>-455874.56014054269</v>
      </c>
      <c r="M728" s="16">
        <v>2.9089271509808988E-11</v>
      </c>
      <c r="N728" s="16">
        <v>0</v>
      </c>
      <c r="O728" s="16">
        <v>0</v>
      </c>
      <c r="P728" s="16">
        <v>0</v>
      </c>
      <c r="Q728" s="16">
        <v>0</v>
      </c>
      <c r="R728" s="16">
        <v>0</v>
      </c>
      <c r="S728" s="16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</row>
    <row r="729" spans="1:28" x14ac:dyDescent="0.3">
      <c r="A729" s="13" t="str">
        <v>ϴ 1</v>
      </c>
      <c r="B729" s="16">
        <v>-207755.3333973827</v>
      </c>
      <c r="C729" s="16">
        <v>3798954.6678378554</v>
      </c>
      <c r="D729" s="16">
        <v>925995200.2854774</v>
      </c>
      <c r="E729" s="16">
        <v>0</v>
      </c>
      <c r="F729" s="16">
        <v>-3798954.6678378554</v>
      </c>
      <c r="G729" s="16">
        <v>379895466.78378558</v>
      </c>
      <c r="H729" s="16">
        <v>0</v>
      </c>
      <c r="I729" s="16">
        <v>0</v>
      </c>
      <c r="J729" s="16">
        <v>0</v>
      </c>
      <c r="K729" s="16">
        <v>474869.33347973193</v>
      </c>
      <c r="L729" s="16">
        <v>-2.9089271509808988E-11</v>
      </c>
      <c r="M729" s="16">
        <v>47486933.347973198</v>
      </c>
      <c r="N729" s="16">
        <v>0</v>
      </c>
      <c r="O729" s="16">
        <v>0</v>
      </c>
      <c r="P729" s="16">
        <v>0</v>
      </c>
      <c r="Q729" s="16">
        <v>0</v>
      </c>
      <c r="R729" s="16">
        <v>0</v>
      </c>
      <c r="S729" s="16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</row>
    <row r="730" spans="1:28" x14ac:dyDescent="0.3">
      <c r="A730" s="13" t="str">
        <v>2x</v>
      </c>
      <c r="B730" s="16">
        <v>-455874.56014054269</v>
      </c>
      <c r="C730" s="16">
        <v>0</v>
      </c>
      <c r="D730" s="16">
        <v>0</v>
      </c>
      <c r="E730" s="16">
        <v>916250.4858380286</v>
      </c>
      <c r="F730" s="16">
        <v>4.859423408362571E-11</v>
      </c>
      <c r="G730" s="16">
        <v>-207755.3333973827</v>
      </c>
      <c r="H730" s="16">
        <v>-455874.56014054269</v>
      </c>
      <c r="I730" s="16">
        <v>0</v>
      </c>
      <c r="J730" s="16">
        <v>0</v>
      </c>
      <c r="K730" s="16">
        <v>0</v>
      </c>
      <c r="L730" s="16">
        <v>0</v>
      </c>
      <c r="M730" s="16">
        <v>0</v>
      </c>
      <c r="N730" s="16">
        <v>-3165.795556531546</v>
      </c>
      <c r="O730" s="16">
        <v>-2.7731772172684573E-11</v>
      </c>
      <c r="P730" s="16">
        <v>-474869.33347973193</v>
      </c>
      <c r="Q730" s="16">
        <v>0</v>
      </c>
      <c r="R730" s="16">
        <v>0</v>
      </c>
      <c r="S730" s="16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</row>
    <row r="731" spans="1:28" x14ac:dyDescent="0.3">
      <c r="A731" s="13" t="str">
        <v>2z</v>
      </c>
      <c r="B731" s="16">
        <v>0</v>
      </c>
      <c r="C731" s="16">
        <v>-25326.364452252368</v>
      </c>
      <c r="D731" s="16">
        <v>-3798954.6678378554</v>
      </c>
      <c r="E731" s="16">
        <v>4.859423408362571E-11</v>
      </c>
      <c r="F731" s="16">
        <v>848433.2091504545</v>
      </c>
      <c r="G731" s="16">
        <v>7597909.3356757108</v>
      </c>
      <c r="H731" s="16">
        <v>0</v>
      </c>
      <c r="I731" s="16">
        <v>-25326.364452252368</v>
      </c>
      <c r="J731" s="16">
        <v>3798954.6678378554</v>
      </c>
      <c r="K731" s="16">
        <v>0</v>
      </c>
      <c r="L731" s="16">
        <v>0</v>
      </c>
      <c r="M731" s="16">
        <v>0</v>
      </c>
      <c r="N731" s="16">
        <v>-2.7731772172684573E-11</v>
      </c>
      <c r="O731" s="16">
        <v>-455874.56014054269</v>
      </c>
      <c r="P731" s="16">
        <v>2.9089271509808988E-11</v>
      </c>
      <c r="Q731" s="16">
        <v>0</v>
      </c>
      <c r="R731" s="16">
        <v>0</v>
      </c>
      <c r="S731" s="16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</row>
    <row r="732" spans="1:28" x14ac:dyDescent="0.3">
      <c r="A732" s="13" t="str">
        <v>ϴ 2</v>
      </c>
      <c r="B732" s="16">
        <v>0</v>
      </c>
      <c r="C732" s="16">
        <v>3798954.6678378554</v>
      </c>
      <c r="D732" s="16">
        <v>379895466.78378558</v>
      </c>
      <c r="E732" s="16">
        <v>-207755.3333973827</v>
      </c>
      <c r="F732" s="16">
        <v>0</v>
      </c>
      <c r="G732" s="16">
        <v>1685786133.8530486</v>
      </c>
      <c r="H732" s="16">
        <v>0</v>
      </c>
      <c r="I732" s="16">
        <v>-3798954.6678378554</v>
      </c>
      <c r="J732" s="16">
        <v>379895466.78378558</v>
      </c>
      <c r="K732" s="16">
        <v>0</v>
      </c>
      <c r="L732" s="16">
        <v>0</v>
      </c>
      <c r="M732" s="16">
        <v>0</v>
      </c>
      <c r="N732" s="16">
        <v>474869.33347973193</v>
      </c>
      <c r="O732" s="16">
        <v>-2.9089271509808988E-11</v>
      </c>
      <c r="P732" s="16">
        <v>47486933.347973198</v>
      </c>
      <c r="Q732" s="16">
        <v>0</v>
      </c>
      <c r="R732" s="16">
        <v>0</v>
      </c>
      <c r="S732" s="16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</row>
    <row r="733" spans="1:28" x14ac:dyDescent="0.3">
      <c r="A733" s="13" t="str">
        <v>3x</v>
      </c>
      <c r="B733" s="16">
        <v>0</v>
      </c>
      <c r="C733" s="16">
        <v>0</v>
      </c>
      <c r="D733" s="16">
        <v>0</v>
      </c>
      <c r="E733" s="16">
        <v>-455874.56014054269</v>
      </c>
      <c r="F733" s="16">
        <v>0</v>
      </c>
      <c r="G733" s="16">
        <v>0</v>
      </c>
      <c r="H733" s="16">
        <v>460375.92569748597</v>
      </c>
      <c r="I733" s="16">
        <v>4.859423408362571E-11</v>
      </c>
      <c r="J733" s="16">
        <v>-207755.3333973827</v>
      </c>
      <c r="K733" s="16">
        <v>0</v>
      </c>
      <c r="L733" s="16">
        <v>0</v>
      </c>
      <c r="M733" s="16">
        <v>0</v>
      </c>
      <c r="N733" s="16">
        <v>0</v>
      </c>
      <c r="O733" s="16">
        <v>0</v>
      </c>
      <c r="P733" s="16">
        <v>0</v>
      </c>
      <c r="Q733" s="16">
        <v>-3165.795556531546</v>
      </c>
      <c r="R733" s="16">
        <v>-2.7731772172684573E-11</v>
      </c>
      <c r="S733" s="16">
        <v>-474869.33347973193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</row>
    <row r="734" spans="1:28" x14ac:dyDescent="0.3">
      <c r="A734" s="13" t="str">
        <v>3z</v>
      </c>
      <c r="B734" s="16">
        <v>0</v>
      </c>
      <c r="C734" s="16">
        <v>0</v>
      </c>
      <c r="D734" s="16">
        <v>0</v>
      </c>
      <c r="E734" s="16">
        <v>0</v>
      </c>
      <c r="F734" s="16">
        <v>-25326.364452252368</v>
      </c>
      <c r="G734" s="16">
        <v>-3798954.6678378554</v>
      </c>
      <c r="H734" s="16">
        <v>4.859423408362571E-11</v>
      </c>
      <c r="I734" s="16">
        <v>823106.8446982021</v>
      </c>
      <c r="J734" s="16">
        <v>3798954.6678378554</v>
      </c>
      <c r="K734" s="16">
        <v>0</v>
      </c>
      <c r="L734" s="16">
        <v>0</v>
      </c>
      <c r="M734" s="16">
        <v>0</v>
      </c>
      <c r="N734" s="16">
        <v>0</v>
      </c>
      <c r="O734" s="16">
        <v>0</v>
      </c>
      <c r="P734" s="16">
        <v>0</v>
      </c>
      <c r="Q734" s="16">
        <v>-2.7731772172684573E-11</v>
      </c>
      <c r="R734" s="16">
        <v>-455874.56014054269</v>
      </c>
      <c r="S734" s="16">
        <v>2.9089271509808988E-11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</row>
    <row r="735" spans="1:28" x14ac:dyDescent="0.3">
      <c r="A735" s="13" t="str">
        <v>ϴ 3</v>
      </c>
      <c r="B735" s="16">
        <v>0</v>
      </c>
      <c r="C735" s="16">
        <v>0</v>
      </c>
      <c r="D735" s="16">
        <v>0</v>
      </c>
      <c r="E735" s="16">
        <v>0</v>
      </c>
      <c r="F735" s="16">
        <v>3798954.6678378554</v>
      </c>
      <c r="G735" s="16">
        <v>379895466.78378558</v>
      </c>
      <c r="H735" s="16">
        <v>-207755.3333973827</v>
      </c>
      <c r="I735" s="16">
        <v>-3798954.6678378554</v>
      </c>
      <c r="J735" s="16">
        <v>925995200.2854774</v>
      </c>
      <c r="K735" s="16">
        <v>0</v>
      </c>
      <c r="L735" s="16">
        <v>0</v>
      </c>
      <c r="M735" s="16">
        <v>0</v>
      </c>
      <c r="N735" s="16">
        <v>0</v>
      </c>
      <c r="O735" s="16">
        <v>0</v>
      </c>
      <c r="P735" s="16">
        <v>0</v>
      </c>
      <c r="Q735" s="16">
        <v>474869.33347973193</v>
      </c>
      <c r="R735" s="16">
        <v>-2.9089271509808988E-11</v>
      </c>
      <c r="S735" s="16">
        <v>47486933.347973198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</row>
    <row r="736" spans="1:28" x14ac:dyDescent="0.3">
      <c r="A736" s="13" t="str">
        <v>4x</v>
      </c>
      <c r="B736" s="16">
        <v>-3165.795556531546</v>
      </c>
      <c r="C736" s="16">
        <v>-2.7731772172684573E-11</v>
      </c>
      <c r="D736" s="16">
        <v>474869.33347973193</v>
      </c>
      <c r="E736" s="16">
        <v>0</v>
      </c>
      <c r="F736" s="16">
        <v>0</v>
      </c>
      <c r="G736" s="16">
        <v>0</v>
      </c>
      <c r="H736" s="16">
        <v>0</v>
      </c>
      <c r="I736" s="16">
        <v>0</v>
      </c>
      <c r="J736" s="16">
        <v>0</v>
      </c>
      <c r="K736" s="16">
        <v>459040.35569707421</v>
      </c>
      <c r="L736" s="16">
        <v>2.7731772172684573E-11</v>
      </c>
      <c r="M736" s="16">
        <v>474869.33347973193</v>
      </c>
      <c r="N736" s="16">
        <v>-455874.56014054269</v>
      </c>
      <c r="O736" s="16">
        <v>0</v>
      </c>
      <c r="P736" s="16">
        <v>0</v>
      </c>
      <c r="Q736" s="16">
        <v>0</v>
      </c>
      <c r="R736" s="16">
        <v>0</v>
      </c>
      <c r="S736" s="16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</row>
    <row r="737" spans="1:28" x14ac:dyDescent="0.3">
      <c r="A737" s="13" t="str">
        <v>4z</v>
      </c>
      <c r="B737" s="16">
        <v>-2.9091210794576311E-9</v>
      </c>
      <c r="C737" s="16">
        <v>-455874.56014054269</v>
      </c>
      <c r="D737" s="16">
        <v>-2.9089271509808988E-11</v>
      </c>
      <c r="E737" s="16">
        <v>0</v>
      </c>
      <c r="F737" s="16">
        <v>0</v>
      </c>
      <c r="G737" s="16">
        <v>0</v>
      </c>
      <c r="H737" s="16">
        <v>0</v>
      </c>
      <c r="I737" s="16">
        <v>0</v>
      </c>
      <c r="J737" s="16">
        <v>0</v>
      </c>
      <c r="K737" s="16">
        <v>2.7731772172684573E-11</v>
      </c>
      <c r="L737" s="16">
        <v>481200.92459279508</v>
      </c>
      <c r="M737" s="16">
        <v>3798954.6678378554</v>
      </c>
      <c r="N737" s="16">
        <v>0</v>
      </c>
      <c r="O737" s="16">
        <v>-25326.364452252368</v>
      </c>
      <c r="P737" s="16">
        <v>3798954.6678378554</v>
      </c>
      <c r="Q737" s="16">
        <v>0</v>
      </c>
      <c r="R737" s="16">
        <v>0</v>
      </c>
      <c r="S737" s="16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</row>
    <row r="738" spans="1:28" x14ac:dyDescent="0.3">
      <c r="A738" s="13" t="str">
        <v>ϴ 4</v>
      </c>
      <c r="B738" s="16">
        <v>-474869.33347973193</v>
      </c>
      <c r="C738" s="16">
        <v>2.9089271509808988E-11</v>
      </c>
      <c r="D738" s="16">
        <v>47486933.347973198</v>
      </c>
      <c r="E738" s="16">
        <v>0</v>
      </c>
      <c r="F738" s="16">
        <v>0</v>
      </c>
      <c r="G738" s="16">
        <v>0</v>
      </c>
      <c r="H738" s="16">
        <v>0</v>
      </c>
      <c r="I738" s="16">
        <v>0</v>
      </c>
      <c r="J738" s="16">
        <v>0</v>
      </c>
      <c r="K738" s="16">
        <v>474869.33347973193</v>
      </c>
      <c r="L738" s="16">
        <v>3798954.6678378554</v>
      </c>
      <c r="M738" s="16">
        <v>854764800.26351762</v>
      </c>
      <c r="N738" s="16">
        <v>0</v>
      </c>
      <c r="O738" s="16">
        <v>-3798954.6678378554</v>
      </c>
      <c r="P738" s="16">
        <v>379895466.78378558</v>
      </c>
      <c r="Q738" s="16">
        <v>0</v>
      </c>
      <c r="R738" s="16">
        <v>0</v>
      </c>
      <c r="S738" s="16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</row>
    <row r="739" spans="1:28" x14ac:dyDescent="0.3">
      <c r="A739" s="13" t="str">
        <v>5x</v>
      </c>
      <c r="B739" s="16">
        <v>0</v>
      </c>
      <c r="C739" s="16">
        <v>0</v>
      </c>
      <c r="D739" s="16">
        <v>0</v>
      </c>
      <c r="E739" s="16">
        <v>-3165.795556531546</v>
      </c>
      <c r="F739" s="16">
        <v>-2.7731772172684573E-11</v>
      </c>
      <c r="G739" s="16">
        <v>474869.33347973193</v>
      </c>
      <c r="H739" s="16">
        <v>0</v>
      </c>
      <c r="I739" s="16">
        <v>0</v>
      </c>
      <c r="J739" s="16">
        <v>0</v>
      </c>
      <c r="K739" s="16">
        <v>-455874.56014054269</v>
      </c>
      <c r="L739" s="16">
        <v>0</v>
      </c>
      <c r="M739" s="16">
        <v>0</v>
      </c>
      <c r="N739" s="16">
        <v>914914.91583761689</v>
      </c>
      <c r="O739" s="16">
        <v>2.7731772172684573E-11</v>
      </c>
      <c r="P739" s="16">
        <v>474869.33347973193</v>
      </c>
      <c r="Q739" s="16">
        <v>-455874.56014054269</v>
      </c>
      <c r="R739" s="16">
        <v>0</v>
      </c>
      <c r="S739" s="16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</row>
    <row r="740" spans="1:28" x14ac:dyDescent="0.3">
      <c r="A740" s="13" t="str">
        <v>5z</v>
      </c>
      <c r="B740" s="16">
        <v>0</v>
      </c>
      <c r="C740" s="16">
        <v>0</v>
      </c>
      <c r="D740" s="16">
        <v>0</v>
      </c>
      <c r="E740" s="16">
        <v>-2.9091210794576311E-9</v>
      </c>
      <c r="F740" s="16">
        <v>-455874.56014054269</v>
      </c>
      <c r="G740" s="16">
        <v>-2.9089271509808988E-11</v>
      </c>
      <c r="H740" s="16">
        <v>0</v>
      </c>
      <c r="I740" s="16">
        <v>0</v>
      </c>
      <c r="J740" s="16">
        <v>0</v>
      </c>
      <c r="K740" s="16">
        <v>0</v>
      </c>
      <c r="L740" s="16">
        <v>-25326.364452252368</v>
      </c>
      <c r="M740" s="16">
        <v>-3798954.6678378554</v>
      </c>
      <c r="N740" s="16">
        <v>2.7731772172684573E-11</v>
      </c>
      <c r="O740" s="16">
        <v>506527.28904504748</v>
      </c>
      <c r="P740" s="16">
        <v>7597909.3356757108</v>
      </c>
      <c r="Q740" s="16">
        <v>0</v>
      </c>
      <c r="R740" s="16">
        <v>-25326.364452252368</v>
      </c>
      <c r="S740" s="16">
        <v>3798954.6678378554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</row>
    <row r="741" spans="1:28" x14ac:dyDescent="0.3">
      <c r="A741" s="13" t="str">
        <v>ϴ 5</v>
      </c>
      <c r="B741" s="16">
        <v>0</v>
      </c>
      <c r="C741" s="16">
        <v>0</v>
      </c>
      <c r="D741" s="16">
        <v>0</v>
      </c>
      <c r="E741" s="16">
        <v>-474869.33347973193</v>
      </c>
      <c r="F741" s="16">
        <v>2.9089271509808988E-11</v>
      </c>
      <c r="G741" s="16">
        <v>47486933.347973198</v>
      </c>
      <c r="H741" s="16">
        <v>0</v>
      </c>
      <c r="I741" s="16">
        <v>0</v>
      </c>
      <c r="J741" s="16">
        <v>0</v>
      </c>
      <c r="K741" s="16">
        <v>0</v>
      </c>
      <c r="L741" s="16">
        <v>3798954.6678378554</v>
      </c>
      <c r="M741" s="16">
        <v>379895466.78378558</v>
      </c>
      <c r="N741" s="16">
        <v>474869.33347973193</v>
      </c>
      <c r="O741" s="16">
        <v>0</v>
      </c>
      <c r="P741" s="16">
        <v>1614555733.8310888</v>
      </c>
      <c r="Q741" s="16">
        <v>0</v>
      </c>
      <c r="R741" s="16">
        <v>-3798954.6678378554</v>
      </c>
      <c r="S741" s="16">
        <v>379895466.78378558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</row>
    <row r="742" spans="1:28" x14ac:dyDescent="0.3">
      <c r="A742" s="13" t="str">
        <v>6x</v>
      </c>
      <c r="B742" s="16">
        <v>0</v>
      </c>
      <c r="C742" s="16">
        <v>0</v>
      </c>
      <c r="D742" s="16">
        <v>0</v>
      </c>
      <c r="E742" s="16">
        <v>0</v>
      </c>
      <c r="F742" s="16">
        <v>0</v>
      </c>
      <c r="G742" s="16">
        <v>0</v>
      </c>
      <c r="H742" s="16">
        <v>-3165.795556531546</v>
      </c>
      <c r="I742" s="16">
        <v>-2.7731772172684573E-11</v>
      </c>
      <c r="J742" s="16">
        <v>474869.33347973193</v>
      </c>
      <c r="K742" s="16">
        <v>0</v>
      </c>
      <c r="L742" s="16">
        <v>0</v>
      </c>
      <c r="M742" s="16">
        <v>0</v>
      </c>
      <c r="N742" s="16">
        <v>-455874.56014054269</v>
      </c>
      <c r="O742" s="16">
        <v>0</v>
      </c>
      <c r="P742" s="16">
        <v>0</v>
      </c>
      <c r="Q742" s="16">
        <v>459040.35569707421</v>
      </c>
      <c r="R742" s="16">
        <v>2.7731772172684573E-11</v>
      </c>
      <c r="S742" s="16">
        <v>474869.33347973193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</row>
    <row r="743" spans="1:28" x14ac:dyDescent="0.3">
      <c r="A743" s="13" t="str">
        <v>6z</v>
      </c>
      <c r="B743" s="16">
        <v>0</v>
      </c>
      <c r="C743" s="16">
        <v>0</v>
      </c>
      <c r="D743" s="16">
        <v>0</v>
      </c>
      <c r="E743" s="16">
        <v>0</v>
      </c>
      <c r="F743" s="16">
        <v>0</v>
      </c>
      <c r="G743" s="16">
        <v>0</v>
      </c>
      <c r="H743" s="16">
        <v>-2.9091210794576311E-9</v>
      </c>
      <c r="I743" s="16">
        <v>-455874.56014054269</v>
      </c>
      <c r="J743" s="16">
        <v>-2.9089271509808988E-11</v>
      </c>
      <c r="K743" s="16">
        <v>0</v>
      </c>
      <c r="L743" s="16">
        <v>0</v>
      </c>
      <c r="M743" s="16">
        <v>0</v>
      </c>
      <c r="N743" s="16">
        <v>0</v>
      </c>
      <c r="O743" s="16">
        <v>-25326.364452252368</v>
      </c>
      <c r="P743" s="16">
        <v>-3798954.6678378554</v>
      </c>
      <c r="Q743" s="16">
        <v>2.7731772172684573E-11</v>
      </c>
      <c r="R743" s="16">
        <v>481200.92459279508</v>
      </c>
      <c r="S743" s="16">
        <v>3798954.6678378554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</row>
    <row r="744" spans="1:28" x14ac:dyDescent="0.3">
      <c r="A744" s="13" t="str">
        <v>ϴ 6</v>
      </c>
      <c r="B744" s="16">
        <v>0</v>
      </c>
      <c r="C744" s="16">
        <v>0</v>
      </c>
      <c r="D744" s="16">
        <v>0</v>
      </c>
      <c r="E744" s="16">
        <v>0</v>
      </c>
      <c r="F744" s="16">
        <v>0</v>
      </c>
      <c r="G744" s="16">
        <v>0</v>
      </c>
      <c r="H744" s="16">
        <v>-474869.33347973193</v>
      </c>
      <c r="I744" s="16">
        <v>2.9089271509808988E-11</v>
      </c>
      <c r="J744" s="16">
        <v>47486933.347973198</v>
      </c>
      <c r="K744" s="16">
        <v>0</v>
      </c>
      <c r="L744" s="16">
        <v>0</v>
      </c>
      <c r="M744" s="16">
        <v>0</v>
      </c>
      <c r="N744" s="16">
        <v>0</v>
      </c>
      <c r="O744" s="16">
        <v>3798954.6678378554</v>
      </c>
      <c r="P744" s="16">
        <v>379895466.78378558</v>
      </c>
      <c r="Q744" s="16">
        <v>474869.33347973193</v>
      </c>
      <c r="R744" s="16">
        <v>-3798954.6678378554</v>
      </c>
      <c r="S744" s="16">
        <v>854764800.26351762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</row>
    <row r="745" spans="1:28" x14ac:dyDescent="0.3">
      <c r="A745" s="13" t="str">
        <v>ax</v>
      </c>
      <c r="B745" s="1">
        <v>0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</row>
    <row r="746" spans="1:28" x14ac:dyDescent="0.3">
      <c r="A746" s="13" t="str">
        <v>az</v>
      </c>
      <c r="B746" s="1">
        <v>0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</row>
    <row r="747" spans="1:28" x14ac:dyDescent="0.3">
      <c r="A747" s="13" t="str">
        <v>ϴ a</v>
      </c>
      <c r="B747" s="1">
        <v>0</v>
      </c>
      <c r="C747" s="1">
        <v>0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</row>
    <row r="748" spans="1:28" x14ac:dyDescent="0.3">
      <c r="A748" s="13" t="str">
        <v>bx</v>
      </c>
      <c r="B748" s="1">
        <v>0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</row>
    <row r="749" spans="1:28" x14ac:dyDescent="0.3">
      <c r="A749" s="13" t="str">
        <v>bz</v>
      </c>
      <c r="B749" s="1">
        <v>0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</row>
    <row r="750" spans="1:28" x14ac:dyDescent="0.3">
      <c r="A750" s="13" t="str">
        <v>ϴ b</v>
      </c>
      <c r="B750" s="1">
        <v>0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</row>
    <row r="751" spans="1:28" x14ac:dyDescent="0.3">
      <c r="A751" s="13" t="str">
        <v>cx</v>
      </c>
      <c r="B751" s="1">
        <v>0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</row>
    <row r="752" spans="1:28" x14ac:dyDescent="0.3">
      <c r="A752" s="13" t="str">
        <v>cz</v>
      </c>
      <c r="B752" s="1">
        <v>0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</row>
    <row r="753" spans="1:28" x14ac:dyDescent="0.3">
      <c r="A753" s="13" t="str">
        <v>ϴ c</v>
      </c>
      <c r="B753" s="1">
        <v>0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</row>
    <row r="756" spans="1:28" x14ac:dyDescent="0.3">
      <c r="A756" s="23" t="s">
        <v>97</v>
      </c>
      <c r="B756" s="23"/>
      <c r="C756" s="23"/>
      <c r="D756" s="23"/>
      <c r="E756" s="23"/>
      <c r="F756" s="23"/>
      <c r="G756" s="23"/>
      <c r="H756" s="23"/>
      <c r="I756" s="23"/>
      <c r="J756" s="23"/>
      <c r="K756" s="23"/>
    </row>
    <row r="758" spans="1:28" x14ac:dyDescent="0.3">
      <c r="C758" s="1" t="s">
        <v>98</v>
      </c>
      <c r="D758" s="16" t="s">
        <v>99</v>
      </c>
    </row>
    <row r="760" spans="1:28" x14ac:dyDescent="0.3">
      <c r="B760" s="20" t="s">
        <v>100</v>
      </c>
      <c r="C760" s="19" t="s">
        <v>101</v>
      </c>
      <c r="D760" s="1" t="s">
        <v>104</v>
      </c>
      <c r="E760" s="1" t="s">
        <v>100</v>
      </c>
      <c r="F760" s="1" t="s">
        <v>105</v>
      </c>
      <c r="H760" s="18" t="s">
        <v>107</v>
      </c>
      <c r="I760" s="19" t="s">
        <v>101</v>
      </c>
    </row>
    <row r="761" spans="1:28" x14ac:dyDescent="0.3">
      <c r="B761" s="13" t="s">
        <v>18</v>
      </c>
      <c r="C761" s="16">
        <v>1500</v>
      </c>
      <c r="D761" s="1" t="s">
        <v>102</v>
      </c>
      <c r="E761" s="1">
        <v>1500</v>
      </c>
      <c r="F761" s="1" t="s">
        <v>102</v>
      </c>
      <c r="H761" s="13" t="s">
        <v>108</v>
      </c>
      <c r="I761" s="16">
        <f t="array" ref="I761:I778">MMULT(B782:S799,C761:C778)</f>
        <v>0.6557996534533389</v>
      </c>
      <c r="J761" s="1" t="s">
        <v>126</v>
      </c>
    </row>
    <row r="762" spans="1:28" x14ac:dyDescent="0.3">
      <c r="B762" s="13" t="s">
        <v>19</v>
      </c>
      <c r="C762" s="16">
        <v>1750</v>
      </c>
      <c r="D762" s="1" t="s">
        <v>102</v>
      </c>
      <c r="E762" s="1">
        <v>-1750</v>
      </c>
      <c r="F762" s="1" t="s">
        <v>102</v>
      </c>
      <c r="H762" s="13" t="s">
        <v>109</v>
      </c>
      <c r="I762" s="16">
        <v>1.5808215819296707E-3</v>
      </c>
      <c r="J762" s="1" t="s">
        <v>126</v>
      </c>
    </row>
    <row r="763" spans="1:28" x14ac:dyDescent="0.3">
      <c r="B763" s="13" t="s">
        <v>20</v>
      </c>
      <c r="C763" s="16">
        <v>145833</v>
      </c>
      <c r="D763" s="1" t="s">
        <v>104</v>
      </c>
      <c r="E763" s="1">
        <v>1458.33</v>
      </c>
      <c r="F763" s="1" t="s">
        <v>103</v>
      </c>
      <c r="H763" s="13" t="s">
        <v>110</v>
      </c>
      <c r="I763" s="16">
        <v>-6.7845996139750749E-5</v>
      </c>
      <c r="J763" s="1" t="s">
        <v>126</v>
      </c>
    </row>
    <row r="764" spans="1:28" x14ac:dyDescent="0.3">
      <c r="B764" s="13" t="s">
        <v>37</v>
      </c>
      <c r="C764" s="16">
        <v>0</v>
      </c>
      <c r="D764" s="1" t="s">
        <v>102</v>
      </c>
      <c r="E764" s="1">
        <v>0</v>
      </c>
      <c r="F764" s="1" t="s">
        <v>102</v>
      </c>
      <c r="H764" s="13" t="s">
        <v>112</v>
      </c>
      <c r="I764" s="16">
        <v>0.65341361056442626</v>
      </c>
      <c r="J764" s="1" t="s">
        <v>126</v>
      </c>
    </row>
    <row r="765" spans="1:28" x14ac:dyDescent="0.3">
      <c r="B765" s="13" t="s">
        <v>38</v>
      </c>
      <c r="C765" s="16">
        <v>-2500</v>
      </c>
      <c r="D765" s="1" t="s">
        <v>102</v>
      </c>
      <c r="E765" s="1">
        <v>-2500</v>
      </c>
      <c r="F765" s="1" t="s">
        <v>102</v>
      </c>
      <c r="H765" s="13" t="s">
        <v>113</v>
      </c>
      <c r="I765" s="16">
        <v>-3.8511992840344895E-3</v>
      </c>
      <c r="J765" s="1" t="s">
        <v>126</v>
      </c>
    </row>
    <row r="766" spans="1:28" x14ac:dyDescent="0.3">
      <c r="B766" s="13" t="s">
        <v>39</v>
      </c>
      <c r="C766" s="16">
        <v>-108333</v>
      </c>
      <c r="D766" s="1" t="s">
        <v>104</v>
      </c>
      <c r="E766" s="1">
        <v>-1083.33</v>
      </c>
      <c r="F766" s="1" t="s">
        <v>103</v>
      </c>
      <c r="H766" s="13" t="s">
        <v>111</v>
      </c>
      <c r="I766" s="16">
        <v>-1.4540473361448382E-4</v>
      </c>
      <c r="J766" s="1" t="s">
        <v>126</v>
      </c>
    </row>
    <row r="767" spans="1:28" x14ac:dyDescent="0.3">
      <c r="B767" s="13" t="s">
        <v>40</v>
      </c>
      <c r="C767" s="16">
        <v>0</v>
      </c>
      <c r="D767" s="1" t="s">
        <v>102</v>
      </c>
      <c r="E767" s="1">
        <v>0</v>
      </c>
      <c r="F767" s="1" t="s">
        <v>102</v>
      </c>
      <c r="H767" s="13" t="s">
        <v>114</v>
      </c>
      <c r="I767" s="16">
        <v>0.65224839756356834</v>
      </c>
      <c r="J767" s="1" t="s">
        <v>126</v>
      </c>
    </row>
    <row r="768" spans="1:28" x14ac:dyDescent="0.3">
      <c r="B768" s="13" t="s">
        <v>41</v>
      </c>
      <c r="C768" s="16">
        <v>-750</v>
      </c>
      <c r="D768" s="1" t="s">
        <v>102</v>
      </c>
      <c r="E768" s="1">
        <v>-750</v>
      </c>
      <c r="F768" s="1" t="s">
        <v>102</v>
      </c>
      <c r="H768" s="13" t="s">
        <v>115</v>
      </c>
      <c r="I768" s="16">
        <v>-4.2294965615541488E-3</v>
      </c>
      <c r="J768" s="1" t="s">
        <v>126</v>
      </c>
    </row>
    <row r="769" spans="1:19" x14ac:dyDescent="0.3">
      <c r="B769" s="13" t="s">
        <v>42</v>
      </c>
      <c r="C769" s="16">
        <v>-37500</v>
      </c>
      <c r="D769" s="1" t="s">
        <v>104</v>
      </c>
      <c r="E769" s="1">
        <v>-375</v>
      </c>
      <c r="F769" s="1" t="s">
        <v>103</v>
      </c>
      <c r="H769" s="13" t="s">
        <v>116</v>
      </c>
      <c r="I769" s="16">
        <v>-2.3475780640956094E-4</v>
      </c>
      <c r="J769" s="1" t="s">
        <v>126</v>
      </c>
    </row>
    <row r="770" spans="1:19" x14ac:dyDescent="0.3">
      <c r="B770" s="13" t="s">
        <v>43</v>
      </c>
      <c r="C770" s="16">
        <v>1000</v>
      </c>
      <c r="D770" s="1" t="s">
        <v>102</v>
      </c>
      <c r="E770" s="1">
        <v>1000</v>
      </c>
      <c r="F770" s="1" t="s">
        <v>102</v>
      </c>
      <c r="H770" s="13" t="s">
        <v>117</v>
      </c>
      <c r="I770" s="16">
        <v>0.784156646286016</v>
      </c>
      <c r="J770" s="1" t="s">
        <v>126</v>
      </c>
    </row>
    <row r="771" spans="1:19" x14ac:dyDescent="0.3">
      <c r="B771" s="13" t="s">
        <v>44</v>
      </c>
      <c r="C771" s="16">
        <v>-1750</v>
      </c>
      <c r="D771" s="1" t="s">
        <v>102</v>
      </c>
      <c r="E771" s="1">
        <v>-1750</v>
      </c>
      <c r="F771" s="1" t="s">
        <v>102</v>
      </c>
      <c r="H771" s="13" t="s">
        <v>118</v>
      </c>
      <c r="I771" s="16">
        <v>-2.547648006247454E-3</v>
      </c>
      <c r="J771" s="1" t="s">
        <v>126</v>
      </c>
    </row>
    <row r="772" spans="1:19" x14ac:dyDescent="0.3">
      <c r="B772" s="13" t="s">
        <v>45</v>
      </c>
      <c r="C772" s="16">
        <v>145833</v>
      </c>
      <c r="D772" s="1" t="s">
        <v>104</v>
      </c>
      <c r="E772" s="1">
        <v>1458.33</v>
      </c>
      <c r="F772" s="1" t="s">
        <v>103</v>
      </c>
      <c r="H772" s="13" t="s">
        <v>119</v>
      </c>
      <c r="I772" s="16">
        <v>1.5024336349030569E-4</v>
      </c>
      <c r="J772" s="1" t="s">
        <v>126</v>
      </c>
    </row>
    <row r="773" spans="1:19" x14ac:dyDescent="0.3">
      <c r="B773" s="13" t="s">
        <v>46</v>
      </c>
      <c r="C773" s="16">
        <v>0</v>
      </c>
      <c r="D773" s="1" t="s">
        <v>102</v>
      </c>
      <c r="E773" s="1">
        <v>0</v>
      </c>
      <c r="F773" s="1" t="s">
        <v>102</v>
      </c>
      <c r="H773" s="13" t="s">
        <v>120</v>
      </c>
      <c r="I773" s="16">
        <v>0.78294025899878628</v>
      </c>
      <c r="J773" s="1" t="s">
        <v>126</v>
      </c>
    </row>
    <row r="774" spans="1:19" x14ac:dyDescent="0.3">
      <c r="B774" s="13" t="s">
        <v>47</v>
      </c>
      <c r="C774" s="16">
        <v>-2500</v>
      </c>
      <c r="D774" s="1" t="s">
        <v>102</v>
      </c>
      <c r="E774" s="1">
        <v>-2500</v>
      </c>
      <c r="F774" s="1" t="s">
        <v>102</v>
      </c>
      <c r="H774" s="13" t="s">
        <v>121</v>
      </c>
      <c r="I774" s="16">
        <v>-5.35074043779157E-3</v>
      </c>
      <c r="J774" s="1" t="s">
        <v>126</v>
      </c>
    </row>
    <row r="775" spans="1:19" x14ac:dyDescent="0.3">
      <c r="B775" s="13" t="s">
        <v>48</v>
      </c>
      <c r="C775" s="16">
        <v>-108333</v>
      </c>
      <c r="D775" s="1" t="s">
        <v>104</v>
      </c>
      <c r="E775" s="1">
        <v>-1083.33</v>
      </c>
      <c r="F775" s="1" t="s">
        <v>103</v>
      </c>
      <c r="H775" s="13" t="s">
        <v>122</v>
      </c>
      <c r="I775" s="16">
        <v>-1.3416733142597789E-4</v>
      </c>
      <c r="J775" s="1" t="s">
        <v>126</v>
      </c>
    </row>
    <row r="776" spans="1:19" x14ac:dyDescent="0.3">
      <c r="B776" s="13" t="s">
        <v>49</v>
      </c>
      <c r="C776" s="16">
        <v>0</v>
      </c>
      <c r="D776" s="1" t="s">
        <v>102</v>
      </c>
      <c r="E776" s="1">
        <v>0</v>
      </c>
      <c r="F776" s="1" t="s">
        <v>102</v>
      </c>
      <c r="H776" s="13" t="s">
        <v>123</v>
      </c>
      <c r="I776" s="16">
        <v>0.78233214142460039</v>
      </c>
      <c r="J776" s="1" t="s">
        <v>126</v>
      </c>
    </row>
    <row r="777" spans="1:19" x14ac:dyDescent="0.3">
      <c r="B777" s="13" t="s">
        <v>50</v>
      </c>
      <c r="C777" s="16">
        <v>-750</v>
      </c>
      <c r="D777" s="1" t="s">
        <v>102</v>
      </c>
      <c r="E777" s="1">
        <v>-750</v>
      </c>
      <c r="F777" s="1" t="s">
        <v>102</v>
      </c>
      <c r="H777" s="13" t="s">
        <v>124</v>
      </c>
      <c r="I777" s="16">
        <v>-6.522055025094833E-3</v>
      </c>
      <c r="J777" s="1" t="s">
        <v>126</v>
      </c>
    </row>
    <row r="778" spans="1:19" x14ac:dyDescent="0.3">
      <c r="B778" s="13" t="s">
        <v>51</v>
      </c>
      <c r="C778" s="16">
        <v>-37500</v>
      </c>
      <c r="D778" s="1" t="s">
        <v>104</v>
      </c>
      <c r="E778" s="1">
        <v>-375</v>
      </c>
      <c r="F778" s="1" t="s">
        <v>103</v>
      </c>
      <c r="H778" s="13" t="s">
        <v>125</v>
      </c>
      <c r="I778" s="16">
        <v>-4.8674281445443694E-5</v>
      </c>
      <c r="J778" s="1" t="s">
        <v>126</v>
      </c>
    </row>
    <row r="781" spans="1:19" x14ac:dyDescent="0.3">
      <c r="A781" s="1" t="s">
        <v>106</v>
      </c>
      <c r="B781" s="13" t="s">
        <v>18</v>
      </c>
      <c r="C781" s="13" t="s">
        <v>19</v>
      </c>
      <c r="D781" s="13" t="s">
        <v>20</v>
      </c>
      <c r="E781" s="13" t="s">
        <v>37</v>
      </c>
      <c r="F781" s="13" t="s">
        <v>38</v>
      </c>
      <c r="G781" s="13" t="s">
        <v>39</v>
      </c>
      <c r="H781" s="13" t="s">
        <v>40</v>
      </c>
      <c r="I781" s="13" t="s">
        <v>41</v>
      </c>
      <c r="J781" s="13" t="s">
        <v>42</v>
      </c>
      <c r="K781" s="13" t="s">
        <v>43</v>
      </c>
      <c r="L781" s="13" t="s">
        <v>44</v>
      </c>
      <c r="M781" s="13" t="s">
        <v>45</v>
      </c>
      <c r="N781" s="13" t="s">
        <v>46</v>
      </c>
      <c r="O781" s="13" t="s">
        <v>47</v>
      </c>
      <c r="P781" s="13" t="s">
        <v>48</v>
      </c>
      <c r="Q781" s="13" t="s">
        <v>49</v>
      </c>
      <c r="R781" s="13" t="s">
        <v>50</v>
      </c>
      <c r="S781" s="13" t="s">
        <v>51</v>
      </c>
    </row>
    <row r="782" spans="1:19" x14ac:dyDescent="0.3">
      <c r="A782" s="13" t="str">
        <f t="array" ref="A782:A799">TRANSPOSE(B781:AB781)</f>
        <v>1x</v>
      </c>
      <c r="B782" s="17">
        <f t="array" ref="B782:S799">MINVERSE(B727:S744)</f>
        <v>2.6155898774567459E-4</v>
      </c>
      <c r="C782" s="17">
        <v>9.4487489595773246E-7</v>
      </c>
      <c r="D782" s="17">
        <v>-7.772837179051911E-8</v>
      </c>
      <c r="E782" s="17">
        <v>2.6012002907882986E-4</v>
      </c>
      <c r="F782" s="17">
        <v>-1.0842684681109372E-7</v>
      </c>
      <c r="G782" s="17">
        <v>-1.3549774406251465E-8</v>
      </c>
      <c r="H782" s="17">
        <v>2.5939770859875272E-4</v>
      </c>
      <c r="I782" s="17">
        <v>-8.364480491473838E-7</v>
      </c>
      <c r="J782" s="17">
        <v>-7.0385572222403087E-8</v>
      </c>
      <c r="K782" s="17">
        <v>2.6856978148140343E-4</v>
      </c>
      <c r="L782" s="17">
        <v>9.5139661310676618E-7</v>
      </c>
      <c r="M782" s="17">
        <v>-1.5399376830523208E-9</v>
      </c>
      <c r="N782" s="17">
        <v>2.6853589639331101E-4</v>
      </c>
      <c r="O782" s="17">
        <v>-1.4662812665358586E-7</v>
      </c>
      <c r="P782" s="17">
        <v>-6.5628333065858561E-9</v>
      </c>
      <c r="Q782" s="17">
        <v>2.6853950419520147E-4</v>
      </c>
      <c r="R782" s="17">
        <v>-8.0476848645446932E-7</v>
      </c>
      <c r="S782" s="17">
        <v>5.9767784310518482E-9</v>
      </c>
    </row>
    <row r="783" spans="1:19" x14ac:dyDescent="0.3">
      <c r="A783" s="13" t="str">
        <v>1z</v>
      </c>
      <c r="B783" s="17">
        <v>9.2991045513046012E-7</v>
      </c>
      <c r="C783" s="17">
        <v>2.8643292934014717E-6</v>
      </c>
      <c r="D783" s="17">
        <v>-9.4094714525721601E-9</v>
      </c>
      <c r="E783" s="17">
        <v>9.3688157642737265E-7</v>
      </c>
      <c r="F783" s="17">
        <v>1.2882807580685399E-7</v>
      </c>
      <c r="G783" s="17">
        <v>-5.6706387572533373E-9</v>
      </c>
      <c r="H783" s="17">
        <v>9.4578256466639933E-7</v>
      </c>
      <c r="I783" s="17">
        <v>-6.8376190538746429E-8</v>
      </c>
      <c r="J783" s="17">
        <v>1.017237228736245E-9</v>
      </c>
      <c r="K783" s="17">
        <v>2.3516762136327551E-6</v>
      </c>
      <c r="L783" s="17">
        <v>2.8452950842348751E-6</v>
      </c>
      <c r="M783" s="17">
        <v>-9.4386979195145677E-9</v>
      </c>
      <c r="N783" s="17">
        <v>2.3419160771930826E-6</v>
      </c>
      <c r="O783" s="17">
        <v>1.713218743812859E-7</v>
      </c>
      <c r="P783" s="17">
        <v>-6.1036850461846701E-9</v>
      </c>
      <c r="Q783" s="17">
        <v>2.3296482041579497E-6</v>
      </c>
      <c r="R783" s="17">
        <v>-9.1835779946585492E-8</v>
      </c>
      <c r="S783" s="17">
        <v>1.534149955058253E-9</v>
      </c>
    </row>
    <row r="784" spans="1:19" x14ac:dyDescent="0.3">
      <c r="A784" s="13" t="str">
        <v>ϴ 1</v>
      </c>
      <c r="B784" s="17">
        <v>-7.7285307209620692E-8</v>
      </c>
      <c r="C784" s="17">
        <v>-8.9784526780782577E-9</v>
      </c>
      <c r="D784" s="17">
        <v>1.3449651274712263E-9</v>
      </c>
      <c r="E784" s="17">
        <v>-7.7740745243629793E-8</v>
      </c>
      <c r="F784" s="17">
        <v>9.6913778688921048E-9</v>
      </c>
      <c r="G784" s="17">
        <v>-3.3377378399347767E-10</v>
      </c>
      <c r="H784" s="17">
        <v>-7.7863020029793729E-8</v>
      </c>
      <c r="I784" s="17">
        <v>-7.1292519081362986E-10</v>
      </c>
      <c r="J784" s="17">
        <v>1.5325401893744156E-10</v>
      </c>
      <c r="K784" s="17">
        <v>-1.3768198921806248E-7</v>
      </c>
      <c r="L784" s="17">
        <v>-8.3229104658207175E-9</v>
      </c>
      <c r="M784" s="17">
        <v>3.4077889576037104E-11</v>
      </c>
      <c r="N784" s="17">
        <v>-1.3666490747814133E-7</v>
      </c>
      <c r="O784" s="17">
        <v>8.6442150109283134E-9</v>
      </c>
      <c r="P784" s="17">
        <v>3.7121479805892647E-13</v>
      </c>
      <c r="Q784" s="17">
        <v>-1.3640431565220495E-7</v>
      </c>
      <c r="R784" s="17">
        <v>-3.2130454510720116E-10</v>
      </c>
      <c r="S784" s="17">
        <v>-1.3146867686855632E-11</v>
      </c>
    </row>
    <row r="785" spans="1:19" x14ac:dyDescent="0.3">
      <c r="A785" s="13" t="str">
        <v>2x</v>
      </c>
      <c r="B785" s="17">
        <v>2.6011862819982234E-4</v>
      </c>
      <c r="C785" s="17">
        <v>9.5085905967728882E-7</v>
      </c>
      <c r="D785" s="17">
        <v>-7.8174589932403864E-8</v>
      </c>
      <c r="E785" s="17">
        <v>2.6086021056631077E-4</v>
      </c>
      <c r="F785" s="17">
        <v>-1.2157664283236464E-7</v>
      </c>
      <c r="G785" s="17">
        <v>-1.3338759947327313E-8</v>
      </c>
      <c r="H785" s="17">
        <v>2.6013120152077054E-4</v>
      </c>
      <c r="I785" s="17">
        <v>-8.2928241684566912E-7</v>
      </c>
      <c r="J785" s="17">
        <v>-7.0316942857674508E-8</v>
      </c>
      <c r="K785" s="17">
        <v>2.6860457530699587E-4</v>
      </c>
      <c r="L785" s="17">
        <v>9.6097186668803004E-7</v>
      </c>
      <c r="M785" s="17">
        <v>-2.7070276359853055E-9</v>
      </c>
      <c r="N785" s="17">
        <v>2.6857925381027295E-4</v>
      </c>
      <c r="O785" s="17">
        <v>-1.6754150647258042E-7</v>
      </c>
      <c r="P785" s="17">
        <v>-6.0299316930598105E-9</v>
      </c>
      <c r="Q785" s="17">
        <v>2.6858736106006339E-4</v>
      </c>
      <c r="R785" s="17">
        <v>-7.9343036021674653E-7</v>
      </c>
      <c r="S785" s="17">
        <v>6.1595861302253291E-9</v>
      </c>
    </row>
    <row r="786" spans="1:19" x14ac:dyDescent="0.3">
      <c r="A786" s="13" t="str">
        <v>2z</v>
      </c>
      <c r="B786" s="17">
        <v>3.5435183296979827E-7</v>
      </c>
      <c r="C786" s="17">
        <v>3.319743015675088E-7</v>
      </c>
      <c r="D786" s="17">
        <v>1.4355875592910944E-8</v>
      </c>
      <c r="E786" s="17">
        <v>3.301133571786053E-7</v>
      </c>
      <c r="F786" s="17">
        <v>2.6352847031044736E-6</v>
      </c>
      <c r="G786" s="17">
        <v>-1.4638132688875585E-8</v>
      </c>
      <c r="H786" s="17">
        <v>3.2614919070615355E-7</v>
      </c>
      <c r="I786" s="17">
        <v>-4.247782600240275E-8</v>
      </c>
      <c r="J786" s="17">
        <v>-4.7708148082767674E-9</v>
      </c>
      <c r="K786" s="17">
        <v>7.9002227113347064E-7</v>
      </c>
      <c r="L786" s="17">
        <v>4.5064119630249205E-7</v>
      </c>
      <c r="M786" s="17">
        <v>1.5080386130106955E-8</v>
      </c>
      <c r="N786" s="17">
        <v>8.2371053291552851E-7</v>
      </c>
      <c r="O786" s="17">
        <v>2.535499533678736E-6</v>
      </c>
      <c r="P786" s="17">
        <v>-1.5421357915796724E-8</v>
      </c>
      <c r="Q786" s="17">
        <v>8.2951458348256263E-7</v>
      </c>
      <c r="R786" s="17">
        <v>-6.1359551311650183E-8</v>
      </c>
      <c r="S786" s="17">
        <v>-4.1568430212488811E-9</v>
      </c>
    </row>
    <row r="787" spans="1:19" x14ac:dyDescent="0.3">
      <c r="A787" s="13" t="str">
        <v>ϴ 2</v>
      </c>
      <c r="B787" s="17">
        <v>-9.9987213958687552E-9</v>
      </c>
      <c r="C787" s="17">
        <v>-4.8113049845562258E-9</v>
      </c>
      <c r="D787" s="17">
        <v>-2.808329101996727E-10</v>
      </c>
      <c r="E787" s="17">
        <v>-9.8887160912758441E-9</v>
      </c>
      <c r="F787" s="17">
        <v>6.1139255319169478E-10</v>
      </c>
      <c r="G787" s="17">
        <v>7.5118477607047651E-10</v>
      </c>
      <c r="H787" s="17">
        <v>-1.0061757231441275E-8</v>
      </c>
      <c r="I787" s="17">
        <v>4.1999124313645569E-9</v>
      </c>
      <c r="J787" s="17">
        <v>-3.2060589227787879E-10</v>
      </c>
      <c r="K787" s="17">
        <v>-1.9693446598641998E-8</v>
      </c>
      <c r="L787" s="17">
        <v>-4.8014458150360211E-9</v>
      </c>
      <c r="M787" s="17">
        <v>5.3769403229128794E-11</v>
      </c>
      <c r="N787" s="17">
        <v>-1.9997295565644468E-8</v>
      </c>
      <c r="O787" s="17">
        <v>8.4039420963236451E-10</v>
      </c>
      <c r="P787" s="17">
        <v>-1.7340236740429693E-11</v>
      </c>
      <c r="Q787" s="17">
        <v>-1.9606921606083506E-8</v>
      </c>
      <c r="R787" s="17">
        <v>3.9610516054037068E-9</v>
      </c>
      <c r="S787" s="17">
        <v>9.4813202636035607E-12</v>
      </c>
    </row>
    <row r="788" spans="1:19" x14ac:dyDescent="0.3">
      <c r="A788" s="13" t="str">
        <v>3x</v>
      </c>
      <c r="B788" s="17">
        <v>2.593896744986201E-4</v>
      </c>
      <c r="C788" s="17">
        <v>9.5686564222895786E-7</v>
      </c>
      <c r="D788" s="17">
        <v>-7.8359927371726042E-8</v>
      </c>
      <c r="E788" s="17">
        <v>2.601247946307666E-4</v>
      </c>
      <c r="F788" s="17">
        <v>-1.3473190848050806E-7</v>
      </c>
      <c r="G788" s="17">
        <v>-1.338575759413568E-8</v>
      </c>
      <c r="H788" s="17">
        <v>2.6157610098649967E-4</v>
      </c>
      <c r="I788" s="17">
        <v>-8.2213373374919609E-7</v>
      </c>
      <c r="J788" s="17">
        <v>-6.9987256916457732E-8</v>
      </c>
      <c r="K788" s="17">
        <v>2.6857247064817643E-4</v>
      </c>
      <c r="L788" s="17">
        <v>9.7061180755790442E-7</v>
      </c>
      <c r="M788" s="17">
        <v>-3.118040105286978E-9</v>
      </c>
      <c r="N788" s="17">
        <v>2.6855136718309308E-4</v>
      </c>
      <c r="O788" s="17">
        <v>-1.8846390412703473E-7</v>
      </c>
      <c r="P788" s="17">
        <v>-6.2586711454394226E-9</v>
      </c>
      <c r="Q788" s="17">
        <v>2.6856831863635293E-4</v>
      </c>
      <c r="R788" s="17">
        <v>-7.8214790343217857E-7</v>
      </c>
      <c r="S788" s="17">
        <v>7.0990774547701854E-9</v>
      </c>
    </row>
    <row r="789" spans="1:19" x14ac:dyDescent="0.3">
      <c r="A789" s="13" t="str">
        <v>3z</v>
      </c>
      <c r="B789" s="17">
        <v>6.344345470758108E-7</v>
      </c>
      <c r="C789" s="17">
        <v>-2.9802794741861941E-8</v>
      </c>
      <c r="D789" s="17">
        <v>-1.151278065090285E-9</v>
      </c>
      <c r="E789" s="17">
        <v>6.3000891989787415E-7</v>
      </c>
      <c r="F789" s="17">
        <v>4.9626252841817057E-7</v>
      </c>
      <c r="G789" s="17">
        <v>6.4171759645933366E-9</v>
      </c>
      <c r="H789" s="17">
        <v>6.1244067641514219E-7</v>
      </c>
      <c r="I789" s="17">
        <v>2.4583214449932708E-6</v>
      </c>
      <c r="J789" s="17">
        <v>-1.46503186164155E-8</v>
      </c>
      <c r="K789" s="17">
        <v>1.5621583480962815E-6</v>
      </c>
      <c r="L789" s="17">
        <v>-3.7498259589068166E-8</v>
      </c>
      <c r="M789" s="17">
        <v>3.5180806781038393E-10</v>
      </c>
      <c r="N789" s="17">
        <v>1.5677680932450907E-6</v>
      </c>
      <c r="O789" s="17">
        <v>6.7618999828102882E-7</v>
      </c>
      <c r="P789" s="17">
        <v>5.32956943298829E-9</v>
      </c>
      <c r="Q789" s="17">
        <v>1.5921262479979581E-6</v>
      </c>
      <c r="R789" s="17">
        <v>2.2860894399776166E-6</v>
      </c>
      <c r="S789" s="17">
        <v>-1.5264747090222833E-8</v>
      </c>
    </row>
    <row r="790" spans="1:19" x14ac:dyDescent="0.3">
      <c r="A790" s="13" t="str">
        <v>ϴ 3</v>
      </c>
      <c r="B790" s="17">
        <v>-7.43325149179866E-8</v>
      </c>
      <c r="C790" s="17">
        <v>-4.7324032668618112E-10</v>
      </c>
      <c r="D790" s="17">
        <v>1.0718222820166432E-10</v>
      </c>
      <c r="E790" s="17">
        <v>-7.417580134752238E-8</v>
      </c>
      <c r="F790" s="17">
        <v>-8.4790934314705639E-9</v>
      </c>
      <c r="G790" s="17">
        <v>-2.1603953233840119E-10</v>
      </c>
      <c r="H790" s="17">
        <v>-7.3880369571772716E-8</v>
      </c>
      <c r="I790" s="17">
        <v>8.9523337581569597E-9</v>
      </c>
      <c r="J790" s="17">
        <v>1.2208007333231174E-9</v>
      </c>
      <c r="K790" s="17">
        <v>-1.2763879266907758E-7</v>
      </c>
      <c r="L790" s="17">
        <v>-1.2905451559078194E-9</v>
      </c>
      <c r="M790" s="17">
        <v>-5.1022265683419276E-11</v>
      </c>
      <c r="N790" s="17">
        <v>-1.2795047519250365E-7</v>
      </c>
      <c r="O790" s="17">
        <v>-6.9714415343064847E-9</v>
      </c>
      <c r="P790" s="17">
        <v>1.1122620266736422E-10</v>
      </c>
      <c r="Q790" s="17">
        <v>-1.28744773502705E-7</v>
      </c>
      <c r="R790" s="17">
        <v>8.2619866902146822E-9</v>
      </c>
      <c r="S790" s="17">
        <v>-9.2511662656960299E-11</v>
      </c>
    </row>
    <row r="791" spans="1:19" x14ac:dyDescent="0.3">
      <c r="A791" s="13" t="str">
        <v>4x</v>
      </c>
      <c r="B791" s="17">
        <v>2.6857586042487773E-4</v>
      </c>
      <c r="C791" s="17">
        <v>2.3927378784764056E-6</v>
      </c>
      <c r="D791" s="17">
        <v>-1.3911391878756978E-7</v>
      </c>
      <c r="E791" s="17">
        <v>2.6861384208663606E-4</v>
      </c>
      <c r="F791" s="17">
        <v>-3.5606290519095958E-7</v>
      </c>
      <c r="G791" s="17">
        <v>-2.7774233485634279E-8</v>
      </c>
      <c r="H791" s="17">
        <v>2.6859938242505886E-4</v>
      </c>
      <c r="I791" s="17">
        <v>-2.0366749732862138E-6</v>
      </c>
      <c r="J791" s="17">
        <v>-1.1833736371251291E-7</v>
      </c>
      <c r="K791" s="17">
        <v>3.9592659693476188E-4</v>
      </c>
      <c r="L791" s="17">
        <v>2.9492678397051818E-6</v>
      </c>
      <c r="M791" s="17">
        <v>-6.923535843945218E-8</v>
      </c>
      <c r="N791" s="17">
        <v>3.9440036066830028E-4</v>
      </c>
      <c r="O791" s="17">
        <v>-5.0931594265715374E-7</v>
      </c>
      <c r="P791" s="17">
        <v>-2.0605462123771253E-8</v>
      </c>
      <c r="Q791" s="17">
        <v>3.9369724637572894E-4</v>
      </c>
      <c r="R791" s="17">
        <v>-2.439951897049384E-6</v>
      </c>
      <c r="S791" s="17">
        <v>-4.0658675090433399E-8</v>
      </c>
    </row>
    <row r="792" spans="1:19" x14ac:dyDescent="0.3">
      <c r="A792" s="13" t="str">
        <v>4z</v>
      </c>
      <c r="B792" s="17">
        <v>9.3195187044150791E-7</v>
      </c>
      <c r="C792" s="17">
        <v>2.8447621206969888E-6</v>
      </c>
      <c r="D792" s="17">
        <v>-8.9191036228207421E-9</v>
      </c>
      <c r="E792" s="17">
        <v>9.4300659313753147E-7</v>
      </c>
      <c r="F792" s="17">
        <v>1.7205796244060387E-7</v>
      </c>
      <c r="G792" s="17">
        <v>-5.946998783906177E-9</v>
      </c>
      <c r="H792" s="17">
        <v>9.5683708732035766E-7</v>
      </c>
      <c r="I792" s="17">
        <v>-9.2038904468013381E-8</v>
      </c>
      <c r="J792" s="17">
        <v>7.0712465228553484E-10</v>
      </c>
      <c r="K792" s="17">
        <v>2.8907299610791873E-6</v>
      </c>
      <c r="L792" s="17">
        <v>5.0029330888445805E-6</v>
      </c>
      <c r="M792" s="17">
        <v>-1.7147831921864114E-8</v>
      </c>
      <c r="N792" s="17">
        <v>2.8771795288495647E-6</v>
      </c>
      <c r="O792" s="17">
        <v>2.4750848704428721E-7</v>
      </c>
      <c r="P792" s="17">
        <v>-1.0305208854253401E-8</v>
      </c>
      <c r="Q792" s="17">
        <v>2.8601314701615351E-6</v>
      </c>
      <c r="R792" s="17">
        <v>-1.320745132171068E-7</v>
      </c>
      <c r="S792" s="17">
        <v>2.9703824692863601E-9</v>
      </c>
    </row>
    <row r="793" spans="1:19" x14ac:dyDescent="0.3">
      <c r="A793" s="13" t="str">
        <v>ϴ 4</v>
      </c>
      <c r="B793" s="17">
        <v>-4.2946087975065894E-10</v>
      </c>
      <c r="C793" s="17">
        <v>-8.811683362690134E-9</v>
      </c>
      <c r="D793" s="17">
        <v>3.0573107260275276E-11</v>
      </c>
      <c r="E793" s="17">
        <v>-1.6004902053932951E-9</v>
      </c>
      <c r="F793" s="17">
        <v>9.7297829119909743E-9</v>
      </c>
      <c r="G793" s="17">
        <v>1.7313660821613874E-13</v>
      </c>
      <c r="H793" s="17">
        <v>-1.8765706153569456E-9</v>
      </c>
      <c r="I793" s="17">
        <v>-9.180995493008436E-10</v>
      </c>
      <c r="J793" s="17">
        <v>-1.1213635366005369E-11</v>
      </c>
      <c r="K793" s="17">
        <v>-6.6859128225066598E-8</v>
      </c>
      <c r="L793" s="17">
        <v>-1.6194308645508131E-8</v>
      </c>
      <c r="M793" s="17">
        <v>1.5524690084351396E-9</v>
      </c>
      <c r="N793" s="17">
        <v>-6.5671443155559757E-8</v>
      </c>
      <c r="O793" s="17">
        <v>1.8300527726097025E-8</v>
      </c>
      <c r="P793" s="17">
        <v>-4.3658839868627692E-10</v>
      </c>
      <c r="Q793" s="17">
        <v>-6.5383294490649094E-8</v>
      </c>
      <c r="R793" s="17">
        <v>-2.1062190805888809E-9</v>
      </c>
      <c r="S793" s="17">
        <v>1.5796907622047135E-10</v>
      </c>
    </row>
    <row r="794" spans="1:19" x14ac:dyDescent="0.3">
      <c r="A794" s="13" t="str">
        <v>5x</v>
      </c>
      <c r="B794" s="17">
        <v>2.6854363582394573E-4</v>
      </c>
      <c r="C794" s="17">
        <v>2.3842610908125399E-6</v>
      </c>
      <c r="D794" s="17">
        <v>-1.381073549805373E-7</v>
      </c>
      <c r="E794" s="17">
        <v>2.6859017977893087E-4</v>
      </c>
      <c r="F794" s="17">
        <v>-3.3755222422739973E-7</v>
      </c>
      <c r="G794" s="17">
        <v>-2.8220515125822972E-8</v>
      </c>
      <c r="H794" s="17">
        <v>2.685802208641529E-4</v>
      </c>
      <c r="I794" s="17">
        <v>-2.0467088665859075E-6</v>
      </c>
      <c r="J794" s="17">
        <v>-1.1852240353164063E-7</v>
      </c>
      <c r="K794" s="17">
        <v>3.944043697162935E-4</v>
      </c>
      <c r="L794" s="17">
        <v>2.9376031755378136E-6</v>
      </c>
      <c r="M794" s="17">
        <v>-6.8052812509276614E-8</v>
      </c>
      <c r="N794" s="17">
        <v>3.950636524160774E-4</v>
      </c>
      <c r="O794" s="17">
        <v>-4.8376716769499915E-7</v>
      </c>
      <c r="P794" s="17">
        <v>-2.115737327932972E-8</v>
      </c>
      <c r="Q794" s="17">
        <v>3.943562019358617E-4</v>
      </c>
      <c r="R794" s="17">
        <v>-2.4538360078441704E-6</v>
      </c>
      <c r="S794" s="17">
        <v>-4.0831675939332338E-8</v>
      </c>
    </row>
    <row r="795" spans="1:19" x14ac:dyDescent="0.3">
      <c r="A795" s="13" t="str">
        <v>5z</v>
      </c>
      <c r="B795" s="17">
        <v>4.3054132373704368E-7</v>
      </c>
      <c r="C795" s="17">
        <v>4.5105572006632655E-7</v>
      </c>
      <c r="D795" s="17">
        <v>1.2309181884991267E-8</v>
      </c>
      <c r="E795" s="17">
        <v>3.9222409589955289E-7</v>
      </c>
      <c r="F795" s="17">
        <v>2.5350137838132571E-6</v>
      </c>
      <c r="G795" s="17">
        <v>-1.3783800650848182E-8</v>
      </c>
      <c r="H795" s="17">
        <v>3.8592472482477169E-7</v>
      </c>
      <c r="I795" s="17">
        <v>-6.1288325210004707E-8</v>
      </c>
      <c r="J795" s="17">
        <v>-4.5688319563947716E-9</v>
      </c>
      <c r="K795" s="17">
        <v>1.0083531679998858E-6</v>
      </c>
      <c r="L795" s="17">
        <v>6.6128357241465613E-7</v>
      </c>
      <c r="M795" s="17">
        <v>2.8758090160561538E-8</v>
      </c>
      <c r="N795" s="17">
        <v>1.0551441586324951E-6</v>
      </c>
      <c r="O795" s="17">
        <v>4.5556384603711032E-6</v>
      </c>
      <c r="P795" s="17">
        <v>-2.8023066522651499E-8</v>
      </c>
      <c r="Q795" s="17">
        <v>1.0629899408394661E-6</v>
      </c>
      <c r="R795" s="17">
        <v>-9.8554970113997011E-8</v>
      </c>
      <c r="S795" s="17">
        <v>-7.4768870690615923E-9</v>
      </c>
    </row>
    <row r="796" spans="1:19" x14ac:dyDescent="0.3">
      <c r="A796" s="13" t="str">
        <v>ϴ 5</v>
      </c>
      <c r="B796" s="17">
        <v>-3.1582459354070698E-9</v>
      </c>
      <c r="C796" s="17">
        <v>-4.7982985836423762E-9</v>
      </c>
      <c r="D796" s="17">
        <v>5.2104656554910746E-11</v>
      </c>
      <c r="E796" s="17">
        <v>-2.806395114548933E-9</v>
      </c>
      <c r="F796" s="17">
        <v>8.3566950111015757E-10</v>
      </c>
      <c r="G796" s="17">
        <v>-1.9255279189493144E-11</v>
      </c>
      <c r="H796" s="17">
        <v>-3.2560545195612117E-9</v>
      </c>
      <c r="I796" s="17">
        <v>3.9626290825322265E-9</v>
      </c>
      <c r="J796" s="17">
        <v>1.3254100482166108E-11</v>
      </c>
      <c r="K796" s="17">
        <v>-1.0376500088833393E-8</v>
      </c>
      <c r="L796" s="17">
        <v>-8.4362759369263704E-9</v>
      </c>
      <c r="M796" s="17">
        <v>-3.2133344760368918E-10</v>
      </c>
      <c r="N796" s="17">
        <v>-1.070707351113022E-8</v>
      </c>
      <c r="O796" s="17">
        <v>1.2779452431882647E-9</v>
      </c>
      <c r="P796" s="17">
        <v>8.2265220453186659E-10</v>
      </c>
      <c r="Q796" s="17">
        <v>-1.0255640958393891E-8</v>
      </c>
      <c r="R796" s="17">
        <v>7.1583306937381227E-9</v>
      </c>
      <c r="S796" s="17">
        <v>-3.999654415168266E-10</v>
      </c>
    </row>
    <row r="797" spans="1:19" x14ac:dyDescent="0.3">
      <c r="A797" s="13" t="str">
        <v>6x</v>
      </c>
      <c r="B797" s="17">
        <v>2.6855621304610011E-4</v>
      </c>
      <c r="C797" s="17">
        <v>2.3757284802035737E-6</v>
      </c>
      <c r="D797" s="17">
        <v>-1.3775524952833019E-7</v>
      </c>
      <c r="E797" s="17">
        <v>2.6860697373880726E-4</v>
      </c>
      <c r="F797" s="17">
        <v>-3.1903401738363004E-7</v>
      </c>
      <c r="G797" s="17">
        <v>-2.8007715728833526E-8</v>
      </c>
      <c r="H797" s="17">
        <v>2.6860586032811311E-4</v>
      </c>
      <c r="I797" s="17">
        <v>-2.0566944628207111E-6</v>
      </c>
      <c r="J797" s="17">
        <v>-1.1936236161079145E-7</v>
      </c>
      <c r="K797" s="17">
        <v>3.9372442932009041E-4</v>
      </c>
      <c r="L797" s="17">
        <v>2.925875824190276E-6</v>
      </c>
      <c r="M797" s="17">
        <v>-6.7602769298055762E-8</v>
      </c>
      <c r="N797" s="17">
        <v>3.9437973844127117E-4</v>
      </c>
      <c r="O797" s="17">
        <v>-4.5820780067242318E-7</v>
      </c>
      <c r="P797" s="17">
        <v>-2.0975469479454534E-8</v>
      </c>
      <c r="Q797" s="17">
        <v>3.958574453882939E-4</v>
      </c>
      <c r="R797" s="17">
        <v>-2.4676680235192082E-6</v>
      </c>
      <c r="S797" s="17">
        <v>-4.1737759290019739E-8</v>
      </c>
    </row>
    <row r="798" spans="1:19" x14ac:dyDescent="0.3">
      <c r="A798" s="13" t="str">
        <v>6z</v>
      </c>
      <c r="B798" s="17">
        <v>5.8970566214869901E-7</v>
      </c>
      <c r="C798" s="17">
        <v>-3.6103079555417547E-8</v>
      </c>
      <c r="D798" s="17">
        <v>3.5721433621418521E-10</v>
      </c>
      <c r="E798" s="17">
        <v>5.8345076394808516E-7</v>
      </c>
      <c r="F798" s="17">
        <v>6.738708095992628E-7</v>
      </c>
      <c r="G798" s="17">
        <v>4.3395947376015207E-9</v>
      </c>
      <c r="H798" s="17">
        <v>5.5585449676313618E-7</v>
      </c>
      <c r="I798" s="17">
        <v>2.2870134486257341E-6</v>
      </c>
      <c r="J798" s="17">
        <v>-1.3341863688059862E-8</v>
      </c>
      <c r="K798" s="17">
        <v>1.8771290073016901E-6</v>
      </c>
      <c r="L798" s="17">
        <v>-6.3483307448776586E-8</v>
      </c>
      <c r="M798" s="17">
        <v>-1.0758541257306454E-9</v>
      </c>
      <c r="N798" s="17">
        <v>1.8853208640845064E-6</v>
      </c>
      <c r="O798" s="17">
        <v>1.0149388916035486E-6</v>
      </c>
      <c r="P798" s="17">
        <v>1.155096279994918E-8</v>
      </c>
      <c r="Q798" s="17">
        <v>1.9191061495532185E-6</v>
      </c>
      <c r="R798" s="17">
        <v>4.166911478516991E-6</v>
      </c>
      <c r="S798" s="17">
        <v>-2.818035471383765E-8</v>
      </c>
    </row>
    <row r="799" spans="1:19" x14ac:dyDescent="0.3">
      <c r="A799" s="13" t="str">
        <v>ϴ 6</v>
      </c>
      <c r="B799" s="17">
        <v>1.1481246666319587E-9</v>
      </c>
      <c r="C799" s="17">
        <v>-7.9453907520336012E-10</v>
      </c>
      <c r="D799" s="17">
        <v>-4.9234647943170865E-11</v>
      </c>
      <c r="E799" s="17">
        <v>1.5057391459661234E-9</v>
      </c>
      <c r="F799" s="17">
        <v>-8.069704412527722E-9</v>
      </c>
      <c r="G799" s="17">
        <v>1.0923183212651671E-10</v>
      </c>
      <c r="H799" s="17">
        <v>2.4014218926220725E-9</v>
      </c>
      <c r="I799" s="17">
        <v>8.8642434877310808E-9</v>
      </c>
      <c r="J799" s="17">
        <v>-8.5273612709462004E-11</v>
      </c>
      <c r="K799" s="17">
        <v>-5.3964818121958367E-8</v>
      </c>
      <c r="L799" s="17">
        <v>-4.8629099467108587E-10</v>
      </c>
      <c r="M799" s="17">
        <v>4.8878977529847001E-11</v>
      </c>
      <c r="N799" s="17">
        <v>-5.4347917381337457E-8</v>
      </c>
      <c r="O799" s="17">
        <v>-1.5767258163730557E-8</v>
      </c>
      <c r="P799" s="17">
        <v>-1.8774186165411618E-10</v>
      </c>
      <c r="Q799" s="17">
        <v>-5.5200670536247407E-8</v>
      </c>
      <c r="R799" s="17">
        <v>1.6253549158401646E-8</v>
      </c>
      <c r="S799" s="17">
        <v>1.2879305909487981E-9</v>
      </c>
    </row>
    <row r="804" spans="1:12" x14ac:dyDescent="0.3">
      <c r="A804" s="23" t="s">
        <v>127</v>
      </c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</row>
    <row r="806" spans="1:12" x14ac:dyDescent="0.3">
      <c r="A806" s="23" t="s">
        <v>128</v>
      </c>
      <c r="B806" s="23"/>
      <c r="C806" s="23"/>
      <c r="D806" s="23"/>
      <c r="E806" s="23"/>
      <c r="F806" s="23"/>
      <c r="G806" s="23"/>
      <c r="H806" s="23"/>
      <c r="I806" s="23"/>
      <c r="J806" s="23"/>
      <c r="K806" s="23"/>
    </row>
    <row r="808" spans="1:12" x14ac:dyDescent="0.3">
      <c r="C808" s="1" t="s">
        <v>129</v>
      </c>
    </row>
    <row r="809" spans="1:12" x14ac:dyDescent="0.3">
      <c r="C809" s="4" t="s">
        <v>21</v>
      </c>
      <c r="D809" s="1">
        <v>0</v>
      </c>
      <c r="E809" s="1" t="str">
        <f t="array" ref="E809:F810">A29:B30</f>
        <v>Sen ϴ=</v>
      </c>
      <c r="F809" s="1">
        <v>1</v>
      </c>
      <c r="I809" s="1">
        <f>F810</f>
        <v>6.1257422745431001E-17</v>
      </c>
      <c r="J809" s="1">
        <f>F809</f>
        <v>1</v>
      </c>
      <c r="K809" s="1">
        <v>0</v>
      </c>
    </row>
    <row r="810" spans="1:12" x14ac:dyDescent="0.3">
      <c r="C810" s="4" t="s">
        <v>22</v>
      </c>
      <c r="D810" s="1">
        <v>0</v>
      </c>
      <c r="E810" s="1" t="str">
        <v>Cos ϴ=</v>
      </c>
      <c r="F810" s="1">
        <v>6.1257422745431001E-17</v>
      </c>
      <c r="H810" s="1" t="s">
        <v>130</v>
      </c>
      <c r="I810" s="1">
        <f>-F809</f>
        <v>-1</v>
      </c>
      <c r="J810" s="1">
        <f>F810</f>
        <v>6.1257422745431001E-17</v>
      </c>
      <c r="K810" s="1">
        <v>0</v>
      </c>
    </row>
    <row r="811" spans="1:12" x14ac:dyDescent="0.3">
      <c r="C811" s="4" t="s">
        <v>23</v>
      </c>
      <c r="D811" s="1">
        <v>0</v>
      </c>
      <c r="I811" s="1">
        <v>0</v>
      </c>
      <c r="J811" s="1">
        <v>0</v>
      </c>
      <c r="K811" s="1">
        <v>1</v>
      </c>
    </row>
    <row r="812" spans="1:12" x14ac:dyDescent="0.3">
      <c r="C812" s="4" t="s">
        <v>108</v>
      </c>
      <c r="D812" s="1">
        <f t="array" ref="D812:D814">I761:I763</f>
        <v>0.6557996534533389</v>
      </c>
    </row>
    <row r="813" spans="1:12" x14ac:dyDescent="0.3">
      <c r="C813" s="4" t="s">
        <v>109</v>
      </c>
      <c r="D813" s="1">
        <v>1.5808215819296707E-3</v>
      </c>
    </row>
    <row r="814" spans="1:12" x14ac:dyDescent="0.3">
      <c r="C814" s="4" t="s">
        <v>110</v>
      </c>
      <c r="D814" s="1">
        <v>-6.7845996139750749E-5</v>
      </c>
      <c r="F814" s="1" t="s">
        <v>16</v>
      </c>
    </row>
    <row r="815" spans="1:12" x14ac:dyDescent="0.3">
      <c r="C815" s="4"/>
      <c r="F815" s="1" t="s">
        <v>17</v>
      </c>
      <c r="G815" s="1" t="s">
        <v>18</v>
      </c>
      <c r="H815" s="1" t="s">
        <v>19</v>
      </c>
      <c r="I815" s="1" t="s">
        <v>20</v>
      </c>
      <c r="J815" s="1" t="s">
        <v>21</v>
      </c>
      <c r="K815" s="1" t="s">
        <v>22</v>
      </c>
      <c r="L815" s="1" t="s">
        <v>23</v>
      </c>
    </row>
    <row r="816" spans="1:12" x14ac:dyDescent="0.3">
      <c r="C816" s="4" t="str">
        <f t="array" ref="C816:C821">C809:C814</f>
        <v>ax</v>
      </c>
      <c r="D816" s="1">
        <f t="array" ref="D816:D818">MMULT(I809:K811,D809:D811)</f>
        <v>0</v>
      </c>
      <c r="F816" s="1" t="s">
        <v>18</v>
      </c>
      <c r="G816" s="1">
        <v>341905.92010540701</v>
      </c>
      <c r="H816" s="1">
        <v>0</v>
      </c>
      <c r="I816" s="1">
        <v>0</v>
      </c>
      <c r="J816" s="1">
        <v>-341905.92010540701</v>
      </c>
      <c r="K816" s="1">
        <v>0</v>
      </c>
      <c r="L816" s="1">
        <v>0</v>
      </c>
    </row>
    <row r="817" spans="3:12" x14ac:dyDescent="0.3">
      <c r="C817" s="4" t="str">
        <v>az</v>
      </c>
      <c r="D817" s="1">
        <v>0</v>
      </c>
      <c r="F817" s="1" t="s">
        <v>19</v>
      </c>
      <c r="G817" s="1">
        <v>0</v>
      </c>
      <c r="H817" s="1">
        <v>1335.5700004117459</v>
      </c>
      <c r="I817" s="1">
        <v>267114.00008234923</v>
      </c>
      <c r="J817" s="1">
        <v>0</v>
      </c>
      <c r="K817" s="1">
        <v>-1335.5700004117459</v>
      </c>
      <c r="L817" s="1">
        <v>267114.00008234923</v>
      </c>
    </row>
    <row r="818" spans="3:12" x14ac:dyDescent="0.3">
      <c r="C818" s="4" t="str">
        <v>ϴ a</v>
      </c>
      <c r="D818" s="1">
        <v>0</v>
      </c>
      <c r="F818" s="1" t="s">
        <v>20</v>
      </c>
      <c r="G818" s="1">
        <v>0</v>
      </c>
      <c r="H818" s="1">
        <v>267114.00008234923</v>
      </c>
      <c r="I818" s="1">
        <v>71230400.021959797</v>
      </c>
      <c r="J818" s="1">
        <v>0</v>
      </c>
      <c r="K818" s="1">
        <v>-267114.00008234923</v>
      </c>
      <c r="L818" s="1">
        <v>35615200.010979898</v>
      </c>
    </row>
    <row r="819" spans="3:12" x14ac:dyDescent="0.3">
      <c r="C819" s="4" t="str">
        <v>U1x</v>
      </c>
      <c r="D819" s="1">
        <f t="array" ref="D819:D821">MMULT(I809:K811,D812:D814)</f>
        <v>1.5808215819297108E-3</v>
      </c>
      <c r="F819" s="1" t="s">
        <v>21</v>
      </c>
      <c r="G819" s="1">
        <v>-341905.92010540701</v>
      </c>
      <c r="H819" s="1">
        <v>0</v>
      </c>
      <c r="I819" s="1">
        <v>0</v>
      </c>
      <c r="J819" s="1">
        <v>341905.92010540701</v>
      </c>
      <c r="K819" s="1">
        <v>0</v>
      </c>
      <c r="L819" s="1">
        <v>0</v>
      </c>
    </row>
    <row r="820" spans="3:12" x14ac:dyDescent="0.3">
      <c r="C820" s="4" t="str">
        <v>U1z</v>
      </c>
      <c r="D820" s="1">
        <v>-0.6557996534533389</v>
      </c>
      <c r="F820" s="1" t="s">
        <v>22</v>
      </c>
      <c r="G820" s="1">
        <v>0</v>
      </c>
      <c r="H820" s="1">
        <v>-1335.5700004117459</v>
      </c>
      <c r="I820" s="1">
        <v>-267114.00008234923</v>
      </c>
      <c r="J820" s="1">
        <v>0</v>
      </c>
      <c r="K820" s="1">
        <v>1335.5700004117459</v>
      </c>
      <c r="L820" s="1">
        <v>-267114.00008234923</v>
      </c>
    </row>
    <row r="821" spans="3:12" x14ac:dyDescent="0.3">
      <c r="C821" s="4" t="str">
        <v>Uϴ 1</v>
      </c>
      <c r="D821" s="1">
        <v>-6.7845996139750749E-5</v>
      </c>
      <c r="F821" s="1" t="s">
        <v>23</v>
      </c>
      <c r="G821" s="1">
        <v>0</v>
      </c>
      <c r="H821" s="1">
        <v>267114.00008234923</v>
      </c>
      <c r="I821" s="1">
        <v>35615200.010979898</v>
      </c>
      <c r="J821" s="1">
        <v>0</v>
      </c>
      <c r="K821" s="1">
        <v>-267114.00008234923</v>
      </c>
      <c r="L821" s="1">
        <v>71230400.021959797</v>
      </c>
    </row>
    <row r="822" spans="3:12" x14ac:dyDescent="0.3">
      <c r="C822" s="4"/>
    </row>
    <row r="823" spans="3:12" x14ac:dyDescent="0.3">
      <c r="C823" s="4"/>
    </row>
    <row r="824" spans="3:12" x14ac:dyDescent="0.3">
      <c r="C824" s="4"/>
    </row>
    <row r="825" spans="3:12" x14ac:dyDescent="0.3">
      <c r="C825" s="4" t="s">
        <v>131</v>
      </c>
      <c r="D825" s="1">
        <f t="array" ref="D825:D830">MMULT(G816:L821,D816:D821)</f>
        <v>-540.49225749216282</v>
      </c>
    </row>
    <row r="826" spans="3:12" x14ac:dyDescent="0.3">
      <c r="C826" s="4" t="s">
        <v>132</v>
      </c>
      <c r="D826" s="1">
        <v>857.74372801423829</v>
      </c>
    </row>
    <row r="827" spans="3:12" x14ac:dyDescent="0.3">
      <c r="C827" s="4" t="s">
        <v>133</v>
      </c>
      <c r="D827" s="1">
        <v>172756.91996407835</v>
      </c>
    </row>
    <row r="828" spans="3:12" x14ac:dyDescent="0.3">
      <c r="C828" s="4" t="s">
        <v>134</v>
      </c>
      <c r="D828" s="1">
        <v>540.49225749216282</v>
      </c>
    </row>
    <row r="829" spans="3:12" x14ac:dyDescent="0.3">
      <c r="C829" s="4" t="s">
        <v>135</v>
      </c>
      <c r="D829" s="1">
        <v>-857.74372801423829</v>
      </c>
    </row>
    <row r="830" spans="3:12" x14ac:dyDescent="0.3">
      <c r="C830" s="4" t="s">
        <v>136</v>
      </c>
      <c r="D830" s="1">
        <v>170340.57124161697</v>
      </c>
    </row>
    <row r="831" spans="3:12" x14ac:dyDescent="0.3">
      <c r="C831" s="4"/>
    </row>
    <row r="833" spans="1:12" x14ac:dyDescent="0.3">
      <c r="A833" s="23" t="s">
        <v>137</v>
      </c>
      <c r="B833" s="23"/>
      <c r="C833" s="23"/>
      <c r="D833" s="23"/>
      <c r="E833" s="23"/>
      <c r="F833" s="23"/>
      <c r="G833" s="23"/>
      <c r="H833" s="23"/>
      <c r="I833" s="23"/>
      <c r="J833" s="23"/>
      <c r="K833" s="23"/>
    </row>
    <row r="835" spans="1:12" x14ac:dyDescent="0.3">
      <c r="C835" s="1" t="s">
        <v>129</v>
      </c>
    </row>
    <row r="836" spans="1:12" x14ac:dyDescent="0.3">
      <c r="C836" s="4" t="s">
        <v>52</v>
      </c>
      <c r="D836" s="1">
        <v>0</v>
      </c>
      <c r="E836" s="1" t="str">
        <f t="array" ref="E836:F837">A101:B102</f>
        <v>Sen ϴ=</v>
      </c>
      <c r="F836" s="1">
        <v>1</v>
      </c>
      <c r="I836" s="1">
        <f>F837</f>
        <v>6.1257422745431001E-17</v>
      </c>
      <c r="J836" s="1">
        <f>F836</f>
        <v>1</v>
      </c>
      <c r="K836" s="1">
        <v>0</v>
      </c>
    </row>
    <row r="837" spans="1:12" x14ac:dyDescent="0.3">
      <c r="C837" s="4" t="s">
        <v>53</v>
      </c>
      <c r="D837" s="1">
        <v>0</v>
      </c>
      <c r="E837" s="1" t="str">
        <v>Cos ϴ=</v>
      </c>
      <c r="F837" s="1">
        <v>6.1257422745431001E-17</v>
      </c>
      <c r="H837" s="1" t="s">
        <v>130</v>
      </c>
      <c r="I837" s="1">
        <f>-F836</f>
        <v>-1</v>
      </c>
      <c r="J837" s="1">
        <f>F837</f>
        <v>6.1257422745431001E-17</v>
      </c>
      <c r="K837" s="1">
        <v>0</v>
      </c>
    </row>
    <row r="838" spans="1:12" x14ac:dyDescent="0.3">
      <c r="C838" s="4" t="s">
        <v>54</v>
      </c>
      <c r="D838" s="1">
        <v>0</v>
      </c>
      <c r="I838" s="1">
        <v>0</v>
      </c>
      <c r="J838" s="1">
        <v>0</v>
      </c>
      <c r="K838" s="1">
        <v>1</v>
      </c>
    </row>
    <row r="839" spans="1:12" x14ac:dyDescent="0.3">
      <c r="C839" s="4" t="s">
        <v>112</v>
      </c>
      <c r="D839" s="1">
        <f t="array" ref="D839:D841">I764:I766</f>
        <v>0.65341361056442626</v>
      </c>
    </row>
    <row r="840" spans="1:12" x14ac:dyDescent="0.3">
      <c r="C840" s="4" t="s">
        <v>113</v>
      </c>
      <c r="D840" s="1">
        <v>-3.8511992840344895E-3</v>
      </c>
    </row>
    <row r="841" spans="1:12" x14ac:dyDescent="0.3">
      <c r="C841" s="4" t="s">
        <v>111</v>
      </c>
      <c r="D841" s="1">
        <v>-1.4540473361448382E-4</v>
      </c>
      <c r="F841" s="1" t="s">
        <v>59</v>
      </c>
    </row>
    <row r="842" spans="1:12" x14ac:dyDescent="0.3">
      <c r="C842" s="4"/>
      <c r="F842" s="1" t="str">
        <f t="array" ref="F842:L848">A90:G96</f>
        <v>k2</v>
      </c>
      <c r="G842" s="1" t="str">
        <v>2x</v>
      </c>
      <c r="H842" s="1" t="str">
        <v>2z</v>
      </c>
      <c r="I842" s="1" t="str">
        <v>ϴ 2</v>
      </c>
      <c r="J842" s="1" t="str">
        <v>bx</v>
      </c>
      <c r="K842" s="1" t="str">
        <v>bz</v>
      </c>
      <c r="L842" s="1" t="str">
        <v>ϴ b</v>
      </c>
    </row>
    <row r="843" spans="1:12" x14ac:dyDescent="0.3">
      <c r="C843" s="4" t="str">
        <f t="array" ref="C843:C848">C836:C841</f>
        <v>bx</v>
      </c>
      <c r="D843" s="1">
        <f t="array" ref="D843:D845">MMULT(I836:K838,D836:D838)</f>
        <v>0</v>
      </c>
      <c r="F843" s="1" t="str">
        <v>2x</v>
      </c>
      <c r="G843" s="1">
        <v>341905.92010540701</v>
      </c>
      <c r="H843" s="1">
        <v>0</v>
      </c>
      <c r="I843" s="1">
        <v>0</v>
      </c>
      <c r="J843" s="1">
        <v>-341905.92010540701</v>
      </c>
      <c r="K843" s="1">
        <v>0</v>
      </c>
      <c r="L843" s="1">
        <v>0</v>
      </c>
    </row>
    <row r="844" spans="1:12" x14ac:dyDescent="0.3">
      <c r="C844" s="4" t="str">
        <v>bz</v>
      </c>
      <c r="D844" s="1">
        <v>0</v>
      </c>
      <c r="F844" s="1" t="str">
        <v>2z</v>
      </c>
      <c r="G844" s="1">
        <v>0</v>
      </c>
      <c r="H844" s="1">
        <v>1335.5700004117459</v>
      </c>
      <c r="I844" s="1">
        <v>267114.00008234923</v>
      </c>
      <c r="J844" s="1">
        <v>0</v>
      </c>
      <c r="K844" s="1">
        <v>-1335.5700004117459</v>
      </c>
      <c r="L844" s="1">
        <v>267114.00008234923</v>
      </c>
    </row>
    <row r="845" spans="1:12" x14ac:dyDescent="0.3">
      <c r="C845" s="4" t="str">
        <v>ϴ b</v>
      </c>
      <c r="D845" s="1">
        <v>0</v>
      </c>
      <c r="F845" s="1" t="str">
        <v>ϴ 2</v>
      </c>
      <c r="G845" s="1">
        <v>0</v>
      </c>
      <c r="H845" s="1">
        <v>267114.00008234923</v>
      </c>
      <c r="I845" s="1">
        <v>71230400.021959797</v>
      </c>
      <c r="J845" s="1">
        <v>0</v>
      </c>
      <c r="K845" s="1">
        <v>-267114.00008234923</v>
      </c>
      <c r="L845" s="1">
        <v>35615200.010979898</v>
      </c>
    </row>
    <row r="846" spans="1:12" x14ac:dyDescent="0.3">
      <c r="C846" s="4" t="str">
        <v>U2x</v>
      </c>
      <c r="D846" s="22">
        <f t="array" ref="D846:D848">MMULT(I836:K838,D839:D841)</f>
        <v>-3.8511992840344496E-3</v>
      </c>
      <c r="F846" s="1" t="str">
        <v>bx</v>
      </c>
      <c r="G846" s="1">
        <v>-341905.92010540701</v>
      </c>
      <c r="H846" s="1">
        <v>0</v>
      </c>
      <c r="I846" s="1">
        <v>0</v>
      </c>
      <c r="J846" s="1">
        <v>341905.92010540701</v>
      </c>
      <c r="K846" s="1">
        <v>0</v>
      </c>
      <c r="L846" s="1">
        <v>0</v>
      </c>
    </row>
    <row r="847" spans="1:12" x14ac:dyDescent="0.3">
      <c r="C847" s="4" t="str">
        <v>U2z</v>
      </c>
      <c r="D847" s="22">
        <v>-0.65341361056442626</v>
      </c>
      <c r="F847" s="1" t="str">
        <v>bz</v>
      </c>
      <c r="G847" s="1">
        <v>0</v>
      </c>
      <c r="H847" s="1">
        <v>-1335.5700004117459</v>
      </c>
      <c r="I847" s="1">
        <v>-267114.00008234923</v>
      </c>
      <c r="J847" s="1">
        <v>0</v>
      </c>
      <c r="K847" s="1">
        <v>1335.5700004117459</v>
      </c>
      <c r="L847" s="1">
        <v>-267114.00008234923</v>
      </c>
    </row>
    <row r="848" spans="1:12" x14ac:dyDescent="0.3">
      <c r="C848" s="4" t="str">
        <v>Uϴ 2</v>
      </c>
      <c r="D848" s="22">
        <v>-1.4540473361448382E-4</v>
      </c>
      <c r="F848" s="1" t="str">
        <v>ϴ b</v>
      </c>
      <c r="G848" s="1">
        <v>0</v>
      </c>
      <c r="H848" s="1">
        <v>267114.00008234923</v>
      </c>
      <c r="I848" s="1">
        <v>35615200.010979898</v>
      </c>
      <c r="J848" s="1">
        <v>0</v>
      </c>
      <c r="K848" s="1">
        <v>-267114.00008234923</v>
      </c>
      <c r="L848" s="1">
        <v>71230400.021959797</v>
      </c>
    </row>
    <row r="849" spans="1:11" x14ac:dyDescent="0.3">
      <c r="C849" s="4"/>
    </row>
    <row r="850" spans="1:11" x14ac:dyDescent="0.3">
      <c r="C850" s="4"/>
    </row>
    <row r="851" spans="1:11" x14ac:dyDescent="0.3">
      <c r="C851" s="4"/>
    </row>
    <row r="852" spans="1:11" x14ac:dyDescent="0.3">
      <c r="C852" s="4" t="s">
        <v>139</v>
      </c>
      <c r="D852" s="1">
        <f t="array" ref="D852:D857">MMULT(G843:L848,D843:D848)</f>
        <v>1316.7478347170832</v>
      </c>
    </row>
    <row r="853" spans="1:11" x14ac:dyDescent="0.3">
      <c r="C853" s="4" t="s">
        <v>140</v>
      </c>
      <c r="D853" s="1">
        <v>833.83997610389792</v>
      </c>
    </row>
    <row r="854" spans="1:11" x14ac:dyDescent="0.3">
      <c r="C854" s="4" t="s">
        <v>141</v>
      </c>
      <c r="D854" s="1">
        <v>169357.30455589117</v>
      </c>
    </row>
    <row r="855" spans="1:11" x14ac:dyDescent="0.3">
      <c r="C855" s="4" t="s">
        <v>142</v>
      </c>
      <c r="D855" s="1">
        <v>-1316.7478347170832</v>
      </c>
    </row>
    <row r="856" spans="1:11" x14ac:dyDescent="0.3">
      <c r="C856" s="4" t="s">
        <v>143</v>
      </c>
      <c r="D856" s="1">
        <v>-833.83997610389792</v>
      </c>
    </row>
    <row r="857" spans="1:11" x14ac:dyDescent="0.3">
      <c r="C857" s="4" t="s">
        <v>144</v>
      </c>
      <c r="D857" s="1">
        <v>164178.68588566809</v>
      </c>
    </row>
    <row r="860" spans="1:11" x14ac:dyDescent="0.3">
      <c r="A860" s="23" t="s">
        <v>145</v>
      </c>
      <c r="B860" s="23"/>
      <c r="C860" s="23"/>
      <c r="D860" s="23"/>
      <c r="E860" s="23"/>
      <c r="F860" s="23"/>
      <c r="G860" s="23"/>
      <c r="H860" s="23"/>
      <c r="I860" s="23"/>
      <c r="J860" s="23"/>
      <c r="K860" s="23"/>
    </row>
    <row r="862" spans="1:11" x14ac:dyDescent="0.3">
      <c r="C862" s="1" t="s">
        <v>129</v>
      </c>
    </row>
    <row r="863" spans="1:11" x14ac:dyDescent="0.3">
      <c r="C863" s="4" t="s">
        <v>55</v>
      </c>
      <c r="D863" s="1">
        <v>0</v>
      </c>
      <c r="E863" s="1" t="str">
        <f t="array" ref="E863:F864">A173:B174</f>
        <v>Sen ϴ=</v>
      </c>
      <c r="F863" s="1">
        <v>1</v>
      </c>
      <c r="I863" s="1">
        <f>F864</f>
        <v>6.1257422745431001E-17</v>
      </c>
      <c r="J863" s="1">
        <f>F863</f>
        <v>1</v>
      </c>
      <c r="K863" s="1">
        <v>0</v>
      </c>
    </row>
    <row r="864" spans="1:11" x14ac:dyDescent="0.3">
      <c r="C864" s="4" t="s">
        <v>56</v>
      </c>
      <c r="D864" s="1">
        <v>0</v>
      </c>
      <c r="E864" s="1" t="str">
        <v>Cos ϴ=</v>
      </c>
      <c r="F864" s="1">
        <v>6.1257422745431001E-17</v>
      </c>
      <c r="H864" s="1" t="s">
        <v>130</v>
      </c>
      <c r="I864" s="1">
        <f>-F863</f>
        <v>-1</v>
      </c>
      <c r="J864" s="1">
        <f>F864</f>
        <v>6.1257422745431001E-17</v>
      </c>
      <c r="K864" s="1">
        <v>0</v>
      </c>
    </row>
    <row r="865" spans="3:12" x14ac:dyDescent="0.3">
      <c r="C865" s="4" t="s">
        <v>57</v>
      </c>
      <c r="D865" s="1">
        <v>0</v>
      </c>
      <c r="I865" s="1">
        <v>0</v>
      </c>
      <c r="J865" s="1">
        <v>0</v>
      </c>
      <c r="K865" s="1">
        <v>1</v>
      </c>
    </row>
    <row r="866" spans="3:12" x14ac:dyDescent="0.3">
      <c r="C866" s="4" t="s">
        <v>114</v>
      </c>
      <c r="D866" s="1">
        <f t="array" ref="D866:D868">I767:I769</f>
        <v>0.65224839756356834</v>
      </c>
    </row>
    <row r="867" spans="3:12" x14ac:dyDescent="0.3">
      <c r="C867" s="4" t="s">
        <v>115</v>
      </c>
      <c r="D867" s="1">
        <v>-4.2294965615541488E-3</v>
      </c>
    </row>
    <row r="868" spans="3:12" x14ac:dyDescent="0.3">
      <c r="C868" s="4" t="s">
        <v>116</v>
      </c>
      <c r="D868" s="1">
        <v>-2.3475780640956094E-4</v>
      </c>
      <c r="F868" s="1" t="s">
        <v>63</v>
      </c>
    </row>
    <row r="869" spans="3:12" x14ac:dyDescent="0.3">
      <c r="C869" s="4"/>
      <c r="F869" s="1" t="str">
        <f t="array" ref="F869:L875">A162:G168</f>
        <v>k1</v>
      </c>
      <c r="G869" s="1" t="str">
        <v>3x</v>
      </c>
      <c r="H869" s="1" t="str">
        <v>3z</v>
      </c>
      <c r="I869" s="1" t="str">
        <v>ϴ 3</v>
      </c>
      <c r="J869" s="1" t="str">
        <v>cx</v>
      </c>
      <c r="K869" s="1" t="str">
        <v>cz</v>
      </c>
      <c r="L869" s="1" t="str">
        <v>ϴ c</v>
      </c>
    </row>
    <row r="870" spans="3:12" x14ac:dyDescent="0.3">
      <c r="C870" s="4" t="str">
        <f t="array" ref="C870:C875">C863:C868</f>
        <v>cx</v>
      </c>
      <c r="D870" s="1">
        <f t="array" ref="D870:D872">MMULT(I863:K865,D863:D865)</f>
        <v>0</v>
      </c>
      <c r="F870" s="1" t="str">
        <v>3x</v>
      </c>
      <c r="G870" s="1">
        <v>341905.92010540701</v>
      </c>
      <c r="H870" s="1">
        <v>0</v>
      </c>
      <c r="I870" s="1">
        <v>0</v>
      </c>
      <c r="J870" s="1">
        <v>-341905.92010540701</v>
      </c>
      <c r="K870" s="1">
        <v>0</v>
      </c>
      <c r="L870" s="1">
        <v>0</v>
      </c>
    </row>
    <row r="871" spans="3:12" x14ac:dyDescent="0.3">
      <c r="C871" s="4" t="str">
        <v>cz</v>
      </c>
      <c r="D871" s="1">
        <v>0</v>
      </c>
      <c r="F871" s="1" t="str">
        <v>3z</v>
      </c>
      <c r="G871" s="1">
        <v>0</v>
      </c>
      <c r="H871" s="1">
        <v>1335.5700004117459</v>
      </c>
      <c r="I871" s="1">
        <v>267114.00008234923</v>
      </c>
      <c r="J871" s="1">
        <v>0</v>
      </c>
      <c r="K871" s="1">
        <v>-1335.5700004117459</v>
      </c>
      <c r="L871" s="1">
        <v>267114.00008234923</v>
      </c>
    </row>
    <row r="872" spans="3:12" x14ac:dyDescent="0.3">
      <c r="C872" s="4" t="str">
        <v>ϴ c</v>
      </c>
      <c r="D872" s="1">
        <v>0</v>
      </c>
      <c r="F872" s="1" t="str">
        <v>ϴ 3</v>
      </c>
      <c r="G872" s="1">
        <v>0</v>
      </c>
      <c r="H872" s="1">
        <v>267114.00008234923</v>
      </c>
      <c r="I872" s="1">
        <v>71230400.021959797</v>
      </c>
      <c r="J872" s="1">
        <v>0</v>
      </c>
      <c r="K872" s="1">
        <v>-267114.00008234923</v>
      </c>
      <c r="L872" s="1">
        <v>35615200.010979898</v>
      </c>
    </row>
    <row r="873" spans="3:12" x14ac:dyDescent="0.3">
      <c r="C873" s="4" t="str">
        <v>U3x</v>
      </c>
      <c r="D873" s="1">
        <f t="array" ref="D873:D875">MMULT(I863:K865,D866:D868)</f>
        <v>-4.2294965615541089E-3</v>
      </c>
      <c r="F873" s="1" t="str">
        <v>cx</v>
      </c>
      <c r="G873" s="1">
        <v>-341905.92010540701</v>
      </c>
      <c r="H873" s="1">
        <v>0</v>
      </c>
      <c r="I873" s="1">
        <v>0</v>
      </c>
      <c r="J873" s="1">
        <v>341905.92010540701</v>
      </c>
      <c r="K873" s="1">
        <v>0</v>
      </c>
      <c r="L873" s="1">
        <v>0</v>
      </c>
    </row>
    <row r="874" spans="3:12" x14ac:dyDescent="0.3">
      <c r="C874" s="4" t="str">
        <v>U3z</v>
      </c>
      <c r="D874" s="1">
        <v>-0.65224839756356834</v>
      </c>
      <c r="F874" s="1" t="str">
        <v>cz</v>
      </c>
      <c r="G874" s="1">
        <v>0</v>
      </c>
      <c r="H874" s="1">
        <v>-1335.5700004117459</v>
      </c>
      <c r="I874" s="1">
        <v>-267114.00008234923</v>
      </c>
      <c r="J874" s="1">
        <v>0</v>
      </c>
      <c r="K874" s="1">
        <v>1335.5700004117459</v>
      </c>
      <c r="L874" s="1">
        <v>-267114.00008234923</v>
      </c>
    </row>
    <row r="875" spans="3:12" x14ac:dyDescent="0.3">
      <c r="C875" s="4" t="str">
        <v>Uϴ 3</v>
      </c>
      <c r="D875" s="1">
        <v>-2.3475780640956094E-4</v>
      </c>
      <c r="F875" s="1" t="str">
        <v>ϴ c</v>
      </c>
      <c r="G875" s="1">
        <v>0</v>
      </c>
      <c r="H875" s="1">
        <v>267114.00008234923</v>
      </c>
      <c r="I875" s="1">
        <v>35615200.010979898</v>
      </c>
      <c r="J875" s="1">
        <v>0</v>
      </c>
      <c r="K875" s="1">
        <v>-267114.00008234923</v>
      </c>
      <c r="L875" s="1">
        <v>71230400.021959797</v>
      </c>
    </row>
    <row r="876" spans="3:12" x14ac:dyDescent="0.3">
      <c r="C876" s="4"/>
    </row>
    <row r="877" spans="3:12" x14ac:dyDescent="0.3">
      <c r="C877" s="4"/>
    </row>
    <row r="878" spans="3:12" x14ac:dyDescent="0.3">
      <c r="C878" s="4"/>
    </row>
    <row r="879" spans="3:12" x14ac:dyDescent="0.3">
      <c r="C879" s="4" t="s">
        <v>149</v>
      </c>
      <c r="D879" s="1">
        <f t="array" ref="D879:D884">MMULT(G870:L875,D870:D875)</f>
        <v>1446.0899134608128</v>
      </c>
    </row>
    <row r="880" spans="3:12" x14ac:dyDescent="0.3">
      <c r="C880" s="4" t="s">
        <v>150</v>
      </c>
      <c r="D880" s="1">
        <v>808.41629588191995</v>
      </c>
    </row>
    <row r="881" spans="1:12" x14ac:dyDescent="0.3">
      <c r="C881" s="4" t="s">
        <v>151</v>
      </c>
      <c r="D881" s="1">
        <v>165863.73229109173</v>
      </c>
    </row>
    <row r="882" spans="1:12" x14ac:dyDescent="0.3">
      <c r="C882" s="4" t="s">
        <v>152</v>
      </c>
      <c r="D882" s="1">
        <v>-1446.0899134608128</v>
      </c>
    </row>
    <row r="883" spans="1:12" x14ac:dyDescent="0.3">
      <c r="C883" s="4" t="s">
        <v>153</v>
      </c>
      <c r="D883" s="1">
        <v>-808.41629588191995</v>
      </c>
    </row>
    <row r="884" spans="1:12" x14ac:dyDescent="0.3">
      <c r="C884" s="4" t="s">
        <v>154</v>
      </c>
      <c r="D884" s="1">
        <v>157502.78606167634</v>
      </c>
    </row>
    <row r="887" spans="1:12" x14ac:dyDescent="0.3">
      <c r="A887" s="23" t="s">
        <v>146</v>
      </c>
      <c r="B887" s="23"/>
      <c r="C887" s="23"/>
      <c r="D887" s="23"/>
      <c r="E887" s="23"/>
      <c r="F887" s="23"/>
      <c r="G887" s="23"/>
      <c r="H887" s="23"/>
      <c r="I887" s="23"/>
      <c r="J887" s="23"/>
      <c r="K887" s="23"/>
    </row>
    <row r="889" spans="1:12" x14ac:dyDescent="0.3">
      <c r="C889" s="1" t="s">
        <v>129</v>
      </c>
    </row>
    <row r="890" spans="1:12" x14ac:dyDescent="0.3">
      <c r="C890" s="4" t="s">
        <v>18</v>
      </c>
      <c r="D890" s="1">
        <f t="array" ref="D890:D892">I761:I763</f>
        <v>0.6557996534533389</v>
      </c>
      <c r="E890" s="1" t="str">
        <f t="array" ref="E890:F891">A245:B246</f>
        <v>Sen ϴ=</v>
      </c>
      <c r="F890" s="1">
        <v>1</v>
      </c>
      <c r="I890" s="1">
        <f>F891</f>
        <v>6.1257422745431001E-17</v>
      </c>
      <c r="J890" s="1">
        <f>F890</f>
        <v>1</v>
      </c>
      <c r="K890" s="1">
        <v>0</v>
      </c>
    </row>
    <row r="891" spans="1:12" x14ac:dyDescent="0.3">
      <c r="C891" s="4" t="s">
        <v>19</v>
      </c>
      <c r="D891" s="1">
        <v>1.5808215819296707E-3</v>
      </c>
      <c r="E891" s="1" t="str">
        <v>Cos ϴ=</v>
      </c>
      <c r="F891" s="1">
        <v>6.1257422745431001E-17</v>
      </c>
      <c r="H891" s="1" t="s">
        <v>130</v>
      </c>
      <c r="I891" s="1">
        <f>-F890</f>
        <v>-1</v>
      </c>
      <c r="J891" s="1">
        <f>F891</f>
        <v>6.1257422745431001E-17</v>
      </c>
      <c r="K891" s="1">
        <v>0</v>
      </c>
    </row>
    <row r="892" spans="1:12" x14ac:dyDescent="0.3">
      <c r="C892" s="4" t="s">
        <v>20</v>
      </c>
      <c r="D892" s="1">
        <v>-6.7845996139750749E-5</v>
      </c>
      <c r="I892" s="1">
        <v>0</v>
      </c>
      <c r="J892" s="1">
        <v>0</v>
      </c>
      <c r="K892" s="1">
        <v>1</v>
      </c>
    </row>
    <row r="893" spans="1:12" x14ac:dyDescent="0.3">
      <c r="C893" s="4" t="s">
        <v>117</v>
      </c>
      <c r="D893" s="1">
        <f t="array" ref="D893:D895">I770:I772</f>
        <v>0.784156646286016</v>
      </c>
    </row>
    <row r="894" spans="1:12" x14ac:dyDescent="0.3">
      <c r="C894" s="4" t="s">
        <v>118</v>
      </c>
      <c r="D894" s="1">
        <v>-2.547648006247454E-3</v>
      </c>
    </row>
    <row r="895" spans="1:12" x14ac:dyDescent="0.3">
      <c r="C895" s="4" t="s">
        <v>119</v>
      </c>
      <c r="D895" s="1">
        <v>1.5024336349030569E-4</v>
      </c>
      <c r="F895" s="1" t="s">
        <v>66</v>
      </c>
    </row>
    <row r="896" spans="1:12" x14ac:dyDescent="0.3">
      <c r="C896" s="4"/>
      <c r="F896" s="1" t="str">
        <f t="array" ref="F896:L902">A234:G240</f>
        <v>k1</v>
      </c>
      <c r="G896" s="1" t="str">
        <v>1x</v>
      </c>
      <c r="H896" s="1" t="str">
        <v>1z</v>
      </c>
      <c r="I896" s="1" t="str">
        <v>ϴ 1</v>
      </c>
      <c r="J896" s="1" t="str">
        <v>4x</v>
      </c>
      <c r="K896" s="1" t="str">
        <v>4z</v>
      </c>
      <c r="L896" s="1" t="str">
        <v>ϴ 4</v>
      </c>
    </row>
    <row r="897" spans="3:12" x14ac:dyDescent="0.3">
      <c r="C897" s="4" t="str">
        <f t="array" ref="C897:C902">C890:C895</f>
        <v>1x</v>
      </c>
      <c r="D897" s="1">
        <f t="array" ref="D897:D899">MMULT(I890:K892,D890:D892)</f>
        <v>1.5808215819297108E-3</v>
      </c>
      <c r="F897" s="1" t="str">
        <v>1x</v>
      </c>
      <c r="G897" s="1">
        <v>455874.56014054269</v>
      </c>
      <c r="H897" s="1">
        <v>0</v>
      </c>
      <c r="I897" s="1">
        <v>0</v>
      </c>
      <c r="J897" s="1">
        <v>-455874.56014054269</v>
      </c>
      <c r="K897" s="1">
        <v>0</v>
      </c>
      <c r="L897" s="1">
        <v>0</v>
      </c>
    </row>
    <row r="898" spans="3:12" x14ac:dyDescent="0.3">
      <c r="C898" s="4" t="str">
        <v>1z</v>
      </c>
      <c r="D898" s="1">
        <v>-0.6557996534533389</v>
      </c>
      <c r="F898" s="1" t="str">
        <v>1z</v>
      </c>
      <c r="G898" s="1">
        <v>0</v>
      </c>
      <c r="H898" s="1">
        <v>3165.795556531546</v>
      </c>
      <c r="I898" s="1">
        <v>474869.33347973193</v>
      </c>
      <c r="J898" s="1">
        <v>0</v>
      </c>
      <c r="K898" s="1">
        <v>-3165.795556531546</v>
      </c>
      <c r="L898" s="1">
        <v>474869.33347973193</v>
      </c>
    </row>
    <row r="899" spans="3:12" x14ac:dyDescent="0.3">
      <c r="C899" s="4" t="str">
        <v>ϴ 1</v>
      </c>
      <c r="D899" s="1">
        <v>-6.7845996139750749E-5</v>
      </c>
      <c r="F899" s="1" t="str">
        <v>ϴ 1</v>
      </c>
      <c r="G899" s="1">
        <v>0</v>
      </c>
      <c r="H899" s="1">
        <v>474869.33347973193</v>
      </c>
      <c r="I899" s="1">
        <v>94973866.695946395</v>
      </c>
      <c r="J899" s="1">
        <v>0</v>
      </c>
      <c r="K899" s="1">
        <v>-474869.33347973193</v>
      </c>
      <c r="L899" s="1">
        <v>47486933.347973198</v>
      </c>
    </row>
    <row r="900" spans="3:12" x14ac:dyDescent="0.3">
      <c r="C900" s="4" t="str">
        <v>U4x</v>
      </c>
      <c r="D900" s="21">
        <f t="array" ref="D900:D902">MMULT(I890:K892,D893:D895)</f>
        <v>-2.5476480062474058E-3</v>
      </c>
      <c r="F900" s="1" t="str">
        <v>4x</v>
      </c>
      <c r="G900" s="1">
        <v>-455874.56014054269</v>
      </c>
      <c r="H900" s="1">
        <v>0</v>
      </c>
      <c r="I900" s="1">
        <v>0</v>
      </c>
      <c r="J900" s="1">
        <v>455874.56014054269</v>
      </c>
      <c r="K900" s="1">
        <v>0</v>
      </c>
      <c r="L900" s="1">
        <v>0</v>
      </c>
    </row>
    <row r="901" spans="3:12" x14ac:dyDescent="0.3">
      <c r="C901" s="4" t="str">
        <v>U4z</v>
      </c>
      <c r="D901" s="21">
        <v>-0.784156646286016</v>
      </c>
      <c r="F901" s="1" t="str">
        <v>4z</v>
      </c>
      <c r="G901" s="1">
        <v>0</v>
      </c>
      <c r="H901" s="1">
        <v>-3165.795556531546</v>
      </c>
      <c r="I901" s="1">
        <v>-474869.33347973193</v>
      </c>
      <c r="J901" s="1">
        <v>0</v>
      </c>
      <c r="K901" s="1">
        <v>3165.795556531546</v>
      </c>
      <c r="L901" s="1">
        <v>-474869.33347973193</v>
      </c>
    </row>
    <row r="902" spans="3:12" x14ac:dyDescent="0.3">
      <c r="C902" s="4" t="str">
        <v>Uϴ 4</v>
      </c>
      <c r="D902" s="21">
        <v>1.5024336349030569E-4</v>
      </c>
      <c r="F902" s="1" t="str">
        <v>ϴ 4</v>
      </c>
      <c r="G902" s="1">
        <v>0</v>
      </c>
      <c r="H902" s="1">
        <v>474869.33347973193</v>
      </c>
      <c r="I902" s="1">
        <v>47486933.347973198</v>
      </c>
      <c r="J902" s="1">
        <v>0</v>
      </c>
      <c r="K902" s="1">
        <v>-474869.33347973193</v>
      </c>
      <c r="L902" s="1">
        <v>94973866.695946395</v>
      </c>
    </row>
    <row r="903" spans="3:12" x14ac:dyDescent="0.3">
      <c r="C903" s="4"/>
    </row>
    <row r="904" spans="3:12" x14ac:dyDescent="0.3">
      <c r="C904" s="4"/>
    </row>
    <row r="905" spans="3:12" x14ac:dyDescent="0.3">
      <c r="C905" s="4"/>
    </row>
    <row r="906" spans="3:12" x14ac:dyDescent="0.3">
      <c r="C906" s="4" t="s">
        <v>134</v>
      </c>
      <c r="D906" s="1">
        <f t="array" ref="D906:D911">MMULT(G897:L902,D897:D902)</f>
        <v>1882.0642575638503</v>
      </c>
    </row>
    <row r="907" spans="3:12" x14ac:dyDescent="0.3">
      <c r="C907" s="4" t="s">
        <v>135</v>
      </c>
      <c r="D907" s="1">
        <v>445.47998047368361</v>
      </c>
    </row>
    <row r="908" spans="3:12" x14ac:dyDescent="0.3">
      <c r="C908" s="4" t="s">
        <v>136</v>
      </c>
      <c r="D908" s="1">
        <v>61643.799628725137</v>
      </c>
    </row>
    <row r="909" spans="3:12" x14ac:dyDescent="0.3">
      <c r="C909" s="4" t="s">
        <v>155</v>
      </c>
      <c r="D909" s="1">
        <v>-1882.0642575638503</v>
      </c>
    </row>
    <row r="910" spans="3:12" x14ac:dyDescent="0.3">
      <c r="C910" s="4" t="s">
        <v>156</v>
      </c>
      <c r="D910" s="1">
        <v>-445.47998047368361</v>
      </c>
    </row>
    <row r="911" spans="3:12" x14ac:dyDescent="0.3">
      <c r="C911" s="4" t="s">
        <v>157</v>
      </c>
      <c r="D911" s="1">
        <v>72000.194513379785</v>
      </c>
    </row>
    <row r="914" spans="1:12" x14ac:dyDescent="0.3">
      <c r="A914" s="23" t="s">
        <v>147</v>
      </c>
      <c r="B914" s="23"/>
      <c r="C914" s="23"/>
      <c r="D914" s="23"/>
      <c r="E914" s="23"/>
      <c r="F914" s="23"/>
      <c r="G914" s="23"/>
      <c r="H914" s="23"/>
      <c r="I914" s="23"/>
      <c r="J914" s="23"/>
      <c r="K914" s="23"/>
    </row>
    <row r="916" spans="1:12" x14ac:dyDescent="0.3">
      <c r="C916" s="1" t="s">
        <v>129</v>
      </c>
    </row>
    <row r="917" spans="1:12" x14ac:dyDescent="0.3">
      <c r="C917" s="4" t="s">
        <v>37</v>
      </c>
      <c r="D917" s="1">
        <f t="array" ref="D917:D919">I764:I766</f>
        <v>0.65341361056442626</v>
      </c>
      <c r="E917" s="1" t="str">
        <f t="array" ref="E917:F918">A317:B318</f>
        <v>Sen ϴ=</v>
      </c>
      <c r="F917" s="1">
        <v>1</v>
      </c>
      <c r="I917" s="1">
        <f>F918</f>
        <v>6.1257422745431001E-17</v>
      </c>
      <c r="J917" s="1">
        <f>F917</f>
        <v>1</v>
      </c>
      <c r="K917" s="1">
        <v>0</v>
      </c>
    </row>
    <row r="918" spans="1:12" x14ac:dyDescent="0.3">
      <c r="C918" s="4" t="s">
        <v>38</v>
      </c>
      <c r="D918" s="1">
        <v>-3.8511992840344895E-3</v>
      </c>
      <c r="E918" s="1" t="str">
        <v>Cos ϴ=</v>
      </c>
      <c r="F918" s="1">
        <v>6.1257422745431001E-17</v>
      </c>
      <c r="H918" s="1" t="s">
        <v>130</v>
      </c>
      <c r="I918" s="1">
        <f>-F917</f>
        <v>-1</v>
      </c>
      <c r="J918" s="1">
        <f>F918</f>
        <v>6.1257422745431001E-17</v>
      </c>
      <c r="K918" s="1">
        <v>0</v>
      </c>
    </row>
    <row r="919" spans="1:12" x14ac:dyDescent="0.3">
      <c r="C919" s="4" t="s">
        <v>39</v>
      </c>
      <c r="D919" s="1">
        <v>-1.4540473361448382E-4</v>
      </c>
      <c r="I919" s="1">
        <v>0</v>
      </c>
      <c r="J919" s="1">
        <v>0</v>
      </c>
      <c r="K919" s="1">
        <v>1</v>
      </c>
    </row>
    <row r="920" spans="1:12" x14ac:dyDescent="0.3">
      <c r="C920" s="4" t="s">
        <v>120</v>
      </c>
      <c r="D920" s="1">
        <f t="array" ref="D920:D922">I773:I775</f>
        <v>0.78294025899878628</v>
      </c>
    </row>
    <row r="921" spans="1:12" x14ac:dyDescent="0.3">
      <c r="C921" s="4" t="s">
        <v>121</v>
      </c>
      <c r="D921" s="1">
        <v>-5.35074043779157E-3</v>
      </c>
    </row>
    <row r="922" spans="1:12" x14ac:dyDescent="0.3">
      <c r="C922" s="4" t="s">
        <v>122</v>
      </c>
      <c r="D922" s="1">
        <v>-1.3416733142597789E-4</v>
      </c>
      <c r="F922" s="1" t="s">
        <v>70</v>
      </c>
    </row>
    <row r="923" spans="1:12" x14ac:dyDescent="0.3">
      <c r="C923" s="4"/>
      <c r="F923" s="1" t="str">
        <f t="array" ref="F923:L929">A306:G312</f>
        <v>k5</v>
      </c>
      <c r="G923" s="1" t="str">
        <v>2x</v>
      </c>
      <c r="H923" s="1" t="str">
        <v>2z</v>
      </c>
      <c r="I923" s="1" t="str">
        <v>ϴ 2</v>
      </c>
      <c r="J923" s="1" t="str">
        <v>5x</v>
      </c>
      <c r="K923" s="1" t="str">
        <v>5z</v>
      </c>
      <c r="L923" s="1" t="str">
        <v>ϴ 5</v>
      </c>
    </row>
    <row r="924" spans="1:12" x14ac:dyDescent="0.3">
      <c r="C924" s="4" t="str">
        <f t="array" ref="C924:C929">C917:C922</f>
        <v>2x</v>
      </c>
      <c r="D924" s="1">
        <f t="array" ref="D924:D926">MMULT(I917:K919,D917:D919)</f>
        <v>-3.8511992840344496E-3</v>
      </c>
      <c r="F924" s="1" t="str">
        <v>2x</v>
      </c>
      <c r="G924" s="1">
        <v>455874.56014054269</v>
      </c>
      <c r="H924" s="1">
        <v>0</v>
      </c>
      <c r="I924" s="1">
        <v>0</v>
      </c>
      <c r="J924" s="1">
        <v>-455874.56014054269</v>
      </c>
      <c r="K924" s="1">
        <v>0</v>
      </c>
      <c r="L924" s="1">
        <v>0</v>
      </c>
    </row>
    <row r="925" spans="1:12" x14ac:dyDescent="0.3">
      <c r="C925" s="4" t="str">
        <v>2z</v>
      </c>
      <c r="D925" s="1">
        <v>-0.65341361056442626</v>
      </c>
      <c r="F925" s="1" t="str">
        <v>2z</v>
      </c>
      <c r="G925" s="1">
        <v>0</v>
      </c>
      <c r="H925" s="1">
        <v>3165.795556531546</v>
      </c>
      <c r="I925" s="1">
        <v>474869.33347973193</v>
      </c>
      <c r="J925" s="1">
        <v>0</v>
      </c>
      <c r="K925" s="1">
        <v>-3165.795556531546</v>
      </c>
      <c r="L925" s="1">
        <v>474869.33347973193</v>
      </c>
    </row>
    <row r="926" spans="1:12" x14ac:dyDescent="0.3">
      <c r="C926" s="4" t="str">
        <v>ϴ 2</v>
      </c>
      <c r="D926" s="1">
        <v>-1.4540473361448382E-4</v>
      </c>
      <c r="F926" s="1" t="str">
        <v>ϴ 2</v>
      </c>
      <c r="G926" s="1">
        <v>0</v>
      </c>
      <c r="H926" s="1">
        <v>474869.33347973193</v>
      </c>
      <c r="I926" s="1">
        <v>94973866.695946395</v>
      </c>
      <c r="J926" s="1">
        <v>0</v>
      </c>
      <c r="K926" s="1">
        <v>-474869.33347973193</v>
      </c>
      <c r="L926" s="1">
        <v>47486933.347973198</v>
      </c>
    </row>
    <row r="927" spans="1:12" x14ac:dyDescent="0.3">
      <c r="C927" s="4" t="str">
        <v>U5x</v>
      </c>
      <c r="D927" s="21">
        <f t="array" ref="D927:D929">MMULT(I917:K919,D920:D922)</f>
        <v>-5.3507404377915223E-3</v>
      </c>
      <c r="F927" s="1" t="str">
        <v>5x</v>
      </c>
      <c r="G927" s="1">
        <v>-455874.56014054269</v>
      </c>
      <c r="H927" s="1">
        <v>0</v>
      </c>
      <c r="I927" s="1">
        <v>0</v>
      </c>
      <c r="J927" s="1">
        <v>455874.56014054269</v>
      </c>
      <c r="K927" s="1">
        <v>0</v>
      </c>
      <c r="L927" s="1">
        <v>0</v>
      </c>
    </row>
    <row r="928" spans="1:12" x14ac:dyDescent="0.3">
      <c r="C928" s="4" t="str">
        <v>U5z</v>
      </c>
      <c r="D928" s="21">
        <v>-0.78294025899878628</v>
      </c>
      <c r="F928" s="1" t="str">
        <v>5z</v>
      </c>
      <c r="G928" s="1">
        <v>0</v>
      </c>
      <c r="H928" s="1">
        <v>-3165.795556531546</v>
      </c>
      <c r="I928" s="1">
        <v>-474869.33347973193</v>
      </c>
      <c r="J928" s="1">
        <v>0</v>
      </c>
      <c r="K928" s="1">
        <v>3165.795556531546</v>
      </c>
      <c r="L928" s="1">
        <v>-474869.33347973193</v>
      </c>
    </row>
    <row r="929" spans="1:12" x14ac:dyDescent="0.3">
      <c r="C929" s="4" t="str">
        <v>Uϴ 5</v>
      </c>
      <c r="D929" s="21">
        <v>-1.3416733142597789E-4</v>
      </c>
      <c r="F929" s="1" t="str">
        <v>ϴ 5</v>
      </c>
      <c r="G929" s="1">
        <v>0</v>
      </c>
      <c r="H929" s="1">
        <v>474869.33347973193</v>
      </c>
      <c r="I929" s="1">
        <v>47486933.347973198</v>
      </c>
      <c r="J929" s="1">
        <v>0</v>
      </c>
      <c r="K929" s="1">
        <v>-474869.33347973193</v>
      </c>
      <c r="L929" s="1">
        <v>94973866.695946395</v>
      </c>
    </row>
    <row r="930" spans="1:12" x14ac:dyDescent="0.3">
      <c r="C930" s="4"/>
    </row>
    <row r="931" spans="1:12" x14ac:dyDescent="0.3">
      <c r="C931" s="4"/>
    </row>
    <row r="932" spans="1:12" x14ac:dyDescent="0.3">
      <c r="C932" s="4"/>
    </row>
    <row r="933" spans="1:12" x14ac:dyDescent="0.3">
      <c r="C933" s="4" t="s">
        <v>142</v>
      </c>
      <c r="D933" s="1">
        <f t="array" ref="D933:D938">MMULT(G924:L929,D924:D929)</f>
        <v>683.60266388164723</v>
      </c>
    </row>
    <row r="934" spans="1:12" x14ac:dyDescent="0.3">
      <c r="C934" s="4" t="s">
        <v>143</v>
      </c>
      <c r="D934" s="1">
        <v>277.29468788060387</v>
      </c>
    </row>
    <row r="935" spans="1:12" x14ac:dyDescent="0.3">
      <c r="C935" s="4" t="s">
        <v>144</v>
      </c>
      <c r="D935" s="1">
        <v>41327.388297725702</v>
      </c>
    </row>
    <row r="936" spans="1:12" x14ac:dyDescent="0.3">
      <c r="C936" s="4" t="s">
        <v>158</v>
      </c>
      <c r="D936" s="1">
        <v>-683.60266388164723</v>
      </c>
    </row>
    <row r="937" spans="1:12" x14ac:dyDescent="0.3">
      <c r="C937" s="4" t="s">
        <v>159</v>
      </c>
      <c r="D937" s="1">
        <v>-277.29468788060387</v>
      </c>
    </row>
    <row r="938" spans="1:12" x14ac:dyDescent="0.3">
      <c r="C938" s="4" t="s">
        <v>160</v>
      </c>
      <c r="D938" s="1">
        <v>41861.01806645561</v>
      </c>
    </row>
    <row r="941" spans="1:12" x14ac:dyDescent="0.3">
      <c r="A941" s="23" t="s">
        <v>148</v>
      </c>
      <c r="B941" s="23"/>
      <c r="C941" s="23"/>
      <c r="D941" s="23"/>
      <c r="E941" s="23"/>
      <c r="F941" s="23"/>
      <c r="G941" s="23"/>
      <c r="H941" s="23"/>
      <c r="I941" s="23"/>
      <c r="J941" s="23"/>
      <c r="K941" s="23"/>
    </row>
    <row r="943" spans="1:12" x14ac:dyDescent="0.3">
      <c r="C943" s="1" t="s">
        <v>129</v>
      </c>
    </row>
    <row r="944" spans="1:12" x14ac:dyDescent="0.3">
      <c r="C944" s="4" t="s">
        <v>40</v>
      </c>
      <c r="D944" s="1">
        <f t="array" ref="D944:D946">I767:I769</f>
        <v>0.65224839756356834</v>
      </c>
      <c r="E944" s="1" t="str">
        <f t="array" ref="E944:F945">A389:B390</f>
        <v>Sen ϴ=</v>
      </c>
      <c r="F944" s="1">
        <v>1</v>
      </c>
      <c r="I944" s="1">
        <f>F945</f>
        <v>6.1257422745431001E-17</v>
      </c>
      <c r="J944" s="1">
        <f>F944</f>
        <v>1</v>
      </c>
      <c r="K944" s="1">
        <v>0</v>
      </c>
    </row>
    <row r="945" spans="3:12" x14ac:dyDescent="0.3">
      <c r="C945" s="4" t="s">
        <v>41</v>
      </c>
      <c r="D945" s="1">
        <v>-4.2294965615541488E-3</v>
      </c>
      <c r="E945" s="1" t="str">
        <v>Cos ϴ=</v>
      </c>
      <c r="F945" s="1">
        <v>6.1257422745431001E-17</v>
      </c>
      <c r="H945" s="1" t="s">
        <v>130</v>
      </c>
      <c r="I945" s="1">
        <f>-F944</f>
        <v>-1</v>
      </c>
      <c r="J945" s="1">
        <f>F945</f>
        <v>6.1257422745431001E-17</v>
      </c>
      <c r="K945" s="1">
        <v>0</v>
      </c>
    </row>
    <row r="946" spans="3:12" x14ac:dyDescent="0.3">
      <c r="C946" s="4" t="s">
        <v>42</v>
      </c>
      <c r="D946" s="1">
        <v>-2.3475780640956094E-4</v>
      </c>
      <c r="I946" s="1">
        <v>0</v>
      </c>
      <c r="J946" s="1">
        <v>0</v>
      </c>
      <c r="K946" s="1">
        <v>1</v>
      </c>
    </row>
    <row r="947" spans="3:12" x14ac:dyDescent="0.3">
      <c r="C947" s="4" t="s">
        <v>123</v>
      </c>
      <c r="D947" s="1">
        <f t="array" ref="D947:D949">I776:I778</f>
        <v>0.78233214142460039</v>
      </c>
    </row>
    <row r="948" spans="3:12" x14ac:dyDescent="0.3">
      <c r="C948" s="4" t="s">
        <v>124</v>
      </c>
      <c r="D948" s="1">
        <v>-6.522055025094833E-3</v>
      </c>
    </row>
    <row r="949" spans="3:12" x14ac:dyDescent="0.3">
      <c r="C949" s="4" t="s">
        <v>125</v>
      </c>
      <c r="D949" s="1">
        <v>-4.8674281445443694E-5</v>
      </c>
      <c r="F949" s="1" t="s">
        <v>74</v>
      </c>
    </row>
    <row r="950" spans="3:12" x14ac:dyDescent="0.3">
      <c r="C950" s="4"/>
      <c r="F950" s="1" t="str">
        <f t="array" ref="F950:L956">A378:G384</f>
        <v>k6</v>
      </c>
      <c r="G950" s="1" t="str">
        <v>3x</v>
      </c>
      <c r="H950" s="1" t="str">
        <v>3z</v>
      </c>
      <c r="I950" s="1" t="str">
        <v>ϴ 3</v>
      </c>
      <c r="J950" s="1" t="str">
        <v>6x</v>
      </c>
      <c r="K950" s="1" t="str">
        <v>6z</v>
      </c>
      <c r="L950" s="1" t="str">
        <v>ϴ 6</v>
      </c>
    </row>
    <row r="951" spans="3:12" x14ac:dyDescent="0.3">
      <c r="C951" s="4" t="str">
        <f t="array" ref="C951:C956">C944:C949</f>
        <v>3x</v>
      </c>
      <c r="D951" s="1">
        <f t="array" ref="D951:D953">MMULT(I944:K946,D944:D946)</f>
        <v>-4.2294965615541089E-3</v>
      </c>
      <c r="F951" s="1" t="str">
        <v>3x</v>
      </c>
      <c r="G951" s="1">
        <v>455874.56014054269</v>
      </c>
      <c r="H951" s="1">
        <v>0</v>
      </c>
      <c r="I951" s="1">
        <v>0</v>
      </c>
      <c r="J951" s="1">
        <v>-455874.56014054269</v>
      </c>
      <c r="K951" s="1">
        <v>0</v>
      </c>
      <c r="L951" s="1">
        <v>0</v>
      </c>
    </row>
    <row r="952" spans="3:12" x14ac:dyDescent="0.3">
      <c r="C952" s="4" t="str">
        <v>3z</v>
      </c>
      <c r="D952" s="1">
        <v>-0.65224839756356834</v>
      </c>
      <c r="F952" s="1" t="str">
        <v>3z</v>
      </c>
      <c r="G952" s="1">
        <v>0</v>
      </c>
      <c r="H952" s="1">
        <v>3165.795556531546</v>
      </c>
      <c r="I952" s="1">
        <v>474869.33347973193</v>
      </c>
      <c r="J952" s="1">
        <v>0</v>
      </c>
      <c r="K952" s="1">
        <v>-3165.795556531546</v>
      </c>
      <c r="L952" s="1">
        <v>474869.33347973193</v>
      </c>
    </row>
    <row r="953" spans="3:12" x14ac:dyDescent="0.3">
      <c r="C953" s="4" t="str">
        <v>ϴ 3</v>
      </c>
      <c r="D953" s="1">
        <v>-2.3475780640956094E-4</v>
      </c>
      <c r="F953" s="1" t="str">
        <v>ϴ 3</v>
      </c>
      <c r="G953" s="1">
        <v>0</v>
      </c>
      <c r="H953" s="1">
        <v>474869.33347973193</v>
      </c>
      <c r="I953" s="1">
        <v>94973866.695946395</v>
      </c>
      <c r="J953" s="1">
        <v>0</v>
      </c>
      <c r="K953" s="1">
        <v>-474869.33347973193</v>
      </c>
      <c r="L953" s="1">
        <v>47486933.347973198</v>
      </c>
    </row>
    <row r="954" spans="3:12" x14ac:dyDescent="0.3">
      <c r="C954" s="4" t="str">
        <v>U6x</v>
      </c>
      <c r="D954" s="21">
        <f t="array" ref="D954:D956">MMULT(I944:K946,D947:D949)</f>
        <v>-6.5220550250947853E-3</v>
      </c>
      <c r="F954" s="1" t="str">
        <v>6x</v>
      </c>
      <c r="G954" s="1">
        <v>-455874.56014054269</v>
      </c>
      <c r="H954" s="1">
        <v>0</v>
      </c>
      <c r="I954" s="1">
        <v>0</v>
      </c>
      <c r="J954" s="1">
        <v>455874.56014054269</v>
      </c>
      <c r="K954" s="1">
        <v>0</v>
      </c>
      <c r="L954" s="1">
        <v>0</v>
      </c>
    </row>
    <row r="955" spans="3:12" x14ac:dyDescent="0.3">
      <c r="C955" s="4" t="str">
        <v>U6z</v>
      </c>
      <c r="D955" s="21">
        <v>-0.78233214142460039</v>
      </c>
      <c r="F955" s="1" t="str">
        <v>6z</v>
      </c>
      <c r="G955" s="1">
        <v>0</v>
      </c>
      <c r="H955" s="1">
        <v>-3165.795556531546</v>
      </c>
      <c r="I955" s="1">
        <v>-474869.33347973193</v>
      </c>
      <c r="J955" s="1">
        <v>0</v>
      </c>
      <c r="K955" s="1">
        <v>3165.795556531546</v>
      </c>
      <c r="L955" s="1">
        <v>-474869.33347973193</v>
      </c>
    </row>
    <row r="956" spans="3:12" x14ac:dyDescent="0.3">
      <c r="C956" s="4" t="str">
        <v>Uϴ 6</v>
      </c>
      <c r="D956" s="21">
        <v>-4.8674281445443694E-5</v>
      </c>
      <c r="F956" s="1" t="str">
        <v>ϴ 6</v>
      </c>
      <c r="G956" s="1">
        <v>0</v>
      </c>
      <c r="H956" s="1">
        <v>474869.33347973193</v>
      </c>
      <c r="I956" s="1">
        <v>47486933.347973198</v>
      </c>
      <c r="J956" s="1">
        <v>0</v>
      </c>
      <c r="K956" s="1">
        <v>-474869.33347973193</v>
      </c>
      <c r="L956" s="1">
        <v>94973866.695946395</v>
      </c>
    </row>
    <row r="957" spans="3:12" x14ac:dyDescent="0.3">
      <c r="C957" s="4"/>
    </row>
    <row r="958" spans="3:12" x14ac:dyDescent="0.3">
      <c r="C958" s="4"/>
    </row>
    <row r="959" spans="3:12" x14ac:dyDescent="0.3">
      <c r="C959" s="4"/>
    </row>
    <row r="960" spans="3:12" x14ac:dyDescent="0.3">
      <c r="C960" s="4" t="s">
        <v>152</v>
      </c>
      <c r="D960" s="1">
        <f t="array" ref="D960:D965">MMULT(G951:L956,D951:D956)</f>
        <v>1045.1190811630845</v>
      </c>
    </row>
    <row r="961" spans="3:4" x14ac:dyDescent="0.3">
      <c r="C961" s="4" t="s">
        <v>153</v>
      </c>
      <c r="D961" s="1">
        <v>277.22533164576799</v>
      </c>
    </row>
    <row r="962" spans="3:4" x14ac:dyDescent="0.3">
      <c r="C962" s="4" t="s">
        <v>154</v>
      </c>
      <c r="D962" s="1">
        <v>37165.531773301787</v>
      </c>
    </row>
    <row r="963" spans="3:4" x14ac:dyDescent="0.3">
      <c r="C963" s="4" t="s">
        <v>161</v>
      </c>
      <c r="D963" s="1">
        <v>-1045.1190811630845</v>
      </c>
    </row>
    <row r="964" spans="3:4" x14ac:dyDescent="0.3">
      <c r="C964" s="4" t="s">
        <v>162</v>
      </c>
      <c r="D964" s="1">
        <v>-277.22533164576799</v>
      </c>
    </row>
    <row r="965" spans="3:4" x14ac:dyDescent="0.3">
      <c r="C965" s="4" t="s">
        <v>163</v>
      </c>
      <c r="D965" s="1">
        <v>46002.067720428728</v>
      </c>
    </row>
  </sheetData>
  <mergeCells count="78">
    <mergeCell ref="A3:J3"/>
    <mergeCell ref="A1:J1"/>
    <mergeCell ref="A17:G17"/>
    <mergeCell ref="H19:I24"/>
    <mergeCell ref="A147:J147"/>
    <mergeCell ref="A26:J26"/>
    <mergeCell ref="C27:D27"/>
    <mergeCell ref="E27:F27"/>
    <mergeCell ref="G27:H27"/>
    <mergeCell ref="I27:J27"/>
    <mergeCell ref="A75:J75"/>
    <mergeCell ref="A89:G89"/>
    <mergeCell ref="H91:I96"/>
    <mergeCell ref="A98:J98"/>
    <mergeCell ref="C99:D99"/>
    <mergeCell ref="E99:F99"/>
    <mergeCell ref="G99:H99"/>
    <mergeCell ref="I99:J99"/>
    <mergeCell ref="A219:J219"/>
    <mergeCell ref="A233:G233"/>
    <mergeCell ref="H235:I240"/>
    <mergeCell ref="A161:G161"/>
    <mergeCell ref="H163:I168"/>
    <mergeCell ref="A170:J170"/>
    <mergeCell ref="C171:D171"/>
    <mergeCell ref="E171:F171"/>
    <mergeCell ref="G171:H171"/>
    <mergeCell ref="I171:J171"/>
    <mergeCell ref="A242:J242"/>
    <mergeCell ref="C243:D243"/>
    <mergeCell ref="E243:F243"/>
    <mergeCell ref="G243:H243"/>
    <mergeCell ref="I243:J243"/>
    <mergeCell ref="A291:J291"/>
    <mergeCell ref="A305:G305"/>
    <mergeCell ref="H307:I312"/>
    <mergeCell ref="A314:J314"/>
    <mergeCell ref="C315:D315"/>
    <mergeCell ref="E315:F315"/>
    <mergeCell ref="G315:H315"/>
    <mergeCell ref="I315:J315"/>
    <mergeCell ref="A363:J363"/>
    <mergeCell ref="A377:G377"/>
    <mergeCell ref="H379:I384"/>
    <mergeCell ref="A386:J386"/>
    <mergeCell ref="C387:D387"/>
    <mergeCell ref="E387:F387"/>
    <mergeCell ref="G387:H387"/>
    <mergeCell ref="I387:J387"/>
    <mergeCell ref="A507:J507"/>
    <mergeCell ref="A521:G521"/>
    <mergeCell ref="A530:J530"/>
    <mergeCell ref="H523:I528"/>
    <mergeCell ref="A435:J435"/>
    <mergeCell ref="A449:G449"/>
    <mergeCell ref="H451:I456"/>
    <mergeCell ref="A458:J458"/>
    <mergeCell ref="C459:D459"/>
    <mergeCell ref="E459:F459"/>
    <mergeCell ref="G459:H459"/>
    <mergeCell ref="I459:J459"/>
    <mergeCell ref="A579:J579"/>
    <mergeCell ref="A593:G593"/>
    <mergeCell ref="H595:I600"/>
    <mergeCell ref="A602:J602"/>
    <mergeCell ref="A651:J651"/>
    <mergeCell ref="A806:K806"/>
    <mergeCell ref="A804:L804"/>
    <mergeCell ref="A665:G665"/>
    <mergeCell ref="H667:I672"/>
    <mergeCell ref="A674:J674"/>
    <mergeCell ref="A724:AB724"/>
    <mergeCell ref="A756:K756"/>
    <mergeCell ref="A833:K833"/>
    <mergeCell ref="A860:K860"/>
    <mergeCell ref="A887:K887"/>
    <mergeCell ref="A914:K914"/>
    <mergeCell ref="A941:K941"/>
  </mergeCells>
  <phoneticPr fontId="5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Carreto</dc:creator>
  <cp:lastModifiedBy>Ivan Rivera</cp:lastModifiedBy>
  <dcterms:created xsi:type="dcterms:W3CDTF">2026-04-11T20:35:56Z</dcterms:created>
  <dcterms:modified xsi:type="dcterms:W3CDTF">2026-04-14T03:31:52Z</dcterms:modified>
</cp:coreProperties>
</file>