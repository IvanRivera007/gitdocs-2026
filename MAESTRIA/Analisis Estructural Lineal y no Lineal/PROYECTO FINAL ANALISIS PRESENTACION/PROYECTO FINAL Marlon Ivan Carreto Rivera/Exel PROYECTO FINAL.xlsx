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MAESTRIA\Analisis Estructural Lineal y no Lineal\PROYECTO FINAL ANALISIS\"/>
    </mc:Choice>
  </mc:AlternateContent>
  <xr:revisionPtr revIDLastSave="0" documentId="13_ncr:1_{893FE114-C9C9-43D0-8F4D-DC51333D69FD}" xr6:coauthVersionLast="47" xr6:coauthVersionMax="47" xr10:uidLastSave="{00000000-0000-0000-0000-000000000000}"/>
  <bookViews>
    <workbookView xWindow="-120" yWindow="-120" windowWidth="20730" windowHeight="11160" xr2:uid="{EF82B8DA-ECE8-44FA-ADBD-5DC6F0486A2D}"/>
  </bookViews>
  <sheets>
    <sheet name="Hoja1" sheetId="1" r:id="rId1"/>
    <sheet name="Hoj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1" i="1" l="1"/>
  <c r="D230" i="1"/>
  <c r="D229" i="1"/>
  <c r="D228" i="1"/>
  <c r="D227" i="1"/>
  <c r="D226" i="1"/>
  <c r="T197" i="1"/>
  <c r="D212" i="1"/>
  <c r="D213" i="1"/>
  <c r="D214" i="1"/>
  <c r="D215" i="1"/>
  <c r="D216" i="1"/>
  <c r="D211" i="1"/>
  <c r="G156" i="1"/>
  <c r="G155" i="1"/>
  <c r="G154" i="1"/>
  <c r="G153" i="1"/>
  <c r="G152" i="1"/>
  <c r="G151" i="1"/>
  <c r="F156" i="1"/>
  <c r="F155" i="1"/>
  <c r="F154" i="1"/>
  <c r="F153" i="1"/>
  <c r="F152" i="1"/>
  <c r="F151" i="1"/>
  <c r="E156" i="1"/>
  <c r="E155" i="1"/>
  <c r="E154" i="1"/>
  <c r="E153" i="1"/>
  <c r="E152" i="1"/>
  <c r="E151" i="1"/>
  <c r="D156" i="1"/>
  <c r="D155" i="1"/>
  <c r="D154" i="1"/>
  <c r="D153" i="1"/>
  <c r="D152" i="1"/>
  <c r="D151" i="1"/>
  <c r="C156" i="1"/>
  <c r="C155" i="1"/>
  <c r="C154" i="1"/>
  <c r="C153" i="1"/>
  <c r="C152" i="1"/>
  <c r="C151" i="1"/>
  <c r="B156" i="1"/>
  <c r="B155" i="1"/>
  <c r="B154" i="1"/>
  <c r="B153" i="1"/>
  <c r="B152" i="1"/>
  <c r="B151" i="1"/>
  <c r="G123" i="1"/>
  <c r="G122" i="1"/>
  <c r="G121" i="1"/>
  <c r="G120" i="1"/>
  <c r="G119" i="1"/>
  <c r="G118" i="1"/>
  <c r="F123" i="1"/>
  <c r="F122" i="1"/>
  <c r="F121" i="1"/>
  <c r="F120" i="1"/>
  <c r="F119" i="1"/>
  <c r="F118" i="1"/>
  <c r="E123" i="1"/>
  <c r="E122" i="1"/>
  <c r="E121" i="1"/>
  <c r="E120" i="1"/>
  <c r="E119" i="1"/>
  <c r="E118" i="1"/>
  <c r="D123" i="1"/>
  <c r="D122" i="1"/>
  <c r="D121" i="1"/>
  <c r="D120" i="1"/>
  <c r="D119" i="1"/>
  <c r="D118" i="1"/>
  <c r="C123" i="1"/>
  <c r="C122" i="1"/>
  <c r="C121" i="1"/>
  <c r="C120" i="1"/>
  <c r="C119" i="1"/>
  <c r="C118" i="1"/>
  <c r="B118" i="1"/>
  <c r="B119" i="1"/>
  <c r="B120" i="1"/>
  <c r="B121" i="1"/>
  <c r="B122" i="1"/>
  <c r="B123" i="1"/>
  <c r="D96" i="1"/>
  <c r="B101" i="1" s="1"/>
  <c r="D101" i="1" s="1"/>
  <c r="D92" i="1"/>
  <c r="B100" i="1" s="1"/>
  <c r="D100" i="1" s="1"/>
  <c r="E84" i="1"/>
  <c r="F84" i="1" s="1"/>
  <c r="E83" i="1"/>
  <c r="F83" i="1" s="1"/>
  <c r="E76" i="1"/>
  <c r="F76" i="1" s="1"/>
  <c r="E75" i="1"/>
  <c r="F75" i="1" s="1"/>
  <c r="E74" i="1"/>
  <c r="F74" i="1" s="1"/>
  <c r="E68" i="1"/>
  <c r="F68" i="1" s="1"/>
  <c r="E67" i="1"/>
  <c r="F67" i="1" s="1"/>
  <c r="E66" i="1"/>
  <c r="F66" i="1" s="1"/>
  <c r="E65" i="1"/>
  <c r="F65" i="1" s="1"/>
  <c r="D49" i="1"/>
  <c r="B54" i="1" s="1"/>
  <c r="D54" i="1" s="1"/>
  <c r="D45" i="1"/>
  <c r="B53" i="1" s="1"/>
  <c r="D53" i="1" s="1"/>
  <c r="E36" i="1"/>
  <c r="F36" i="1" s="1"/>
  <c r="E37" i="1"/>
  <c r="F37" i="1" s="1"/>
  <c r="E29" i="1"/>
  <c r="F29" i="1" s="1"/>
  <c r="E28" i="1"/>
  <c r="F28" i="1" s="1"/>
  <c r="E27" i="1"/>
  <c r="F27" i="1" s="1"/>
  <c r="E19" i="1"/>
  <c r="F19" i="1" s="1"/>
  <c r="E20" i="1"/>
  <c r="F20" i="1" s="1"/>
  <c r="E21" i="1"/>
  <c r="F21" i="1" s="1"/>
  <c r="E18" i="1"/>
  <c r="F18" i="1" s="1"/>
  <c r="B161" i="1" l="1" a="1"/>
  <c r="B161" i="1" s="1"/>
  <c r="B128" i="1" a="1"/>
  <c r="C129" i="1" s="1"/>
  <c r="F38" i="1"/>
  <c r="F69" i="1"/>
  <c r="F77" i="1"/>
  <c r="F85" i="1"/>
  <c r="F22" i="1"/>
  <c r="F30" i="1"/>
  <c r="D165" i="1" l="1"/>
  <c r="F161" i="1"/>
  <c r="F166" i="1"/>
  <c r="B166" i="1"/>
  <c r="E161" i="1"/>
  <c r="C162" i="1"/>
  <c r="G164" i="1"/>
  <c r="E162" i="1"/>
  <c r="E163" i="1"/>
  <c r="C164" i="1"/>
  <c r="C163" i="1"/>
  <c r="E164" i="1"/>
  <c r="D163" i="1"/>
  <c r="E165" i="1"/>
  <c r="C166" i="1"/>
  <c r="B165" i="1"/>
  <c r="E166" i="1"/>
  <c r="F165" i="1"/>
  <c r="F163" i="1"/>
  <c r="B163" i="1"/>
  <c r="G161" i="1"/>
  <c r="C165" i="1"/>
  <c r="G163" i="1"/>
  <c r="D166" i="1"/>
  <c r="F162" i="1"/>
  <c r="B164" i="1"/>
  <c r="G162" i="1"/>
  <c r="D162" i="1"/>
  <c r="D164" i="1"/>
  <c r="G165" i="1"/>
  <c r="F164" i="1"/>
  <c r="C161" i="1"/>
  <c r="D161" i="1"/>
  <c r="B162" i="1"/>
  <c r="G166" i="1"/>
  <c r="C131" i="1"/>
  <c r="D128" i="1"/>
  <c r="G129" i="1"/>
  <c r="D132" i="1"/>
  <c r="E130" i="1"/>
  <c r="F133" i="1"/>
  <c r="D129" i="1"/>
  <c r="G132" i="1"/>
  <c r="B129" i="1"/>
  <c r="B133" i="1"/>
  <c r="E132" i="1"/>
  <c r="G131" i="1"/>
  <c r="E129" i="1"/>
  <c r="F128" i="1"/>
  <c r="G133" i="1"/>
  <c r="C133" i="1"/>
  <c r="B132" i="1"/>
  <c r="C130" i="1"/>
  <c r="D130" i="1"/>
  <c r="E128" i="1"/>
  <c r="F132" i="1"/>
  <c r="C128" i="1"/>
  <c r="E133" i="1"/>
  <c r="G130" i="1"/>
  <c r="B130" i="1"/>
  <c r="F130" i="1"/>
  <c r="G128" i="1"/>
  <c r="D131" i="1"/>
  <c r="D133" i="1"/>
  <c r="F131" i="1"/>
  <c r="B128" i="1"/>
  <c r="E131" i="1"/>
  <c r="C132" i="1"/>
  <c r="F129" i="1"/>
  <c r="B131" i="1"/>
  <c r="D41" i="1"/>
  <c r="B52" i="1" s="1"/>
  <c r="D52" i="1" s="1"/>
  <c r="D55" i="1" s="1"/>
  <c r="D58" i="1" s="1"/>
  <c r="D88" i="1"/>
  <c r="B99" i="1" s="1"/>
  <c r="D99" i="1" s="1"/>
  <c r="D102" i="1" s="1"/>
  <c r="D105" i="1" s="1"/>
  <c r="G114" i="1" s="1"/>
  <c r="B138" i="1" l="1" a="1"/>
  <c r="C143" i="1" s="1"/>
  <c r="F113" i="1"/>
  <c r="E112" i="1"/>
  <c r="C110" i="1"/>
  <c r="D111" i="1"/>
  <c r="B109" i="1"/>
  <c r="B142" i="1" l="1"/>
  <c r="F139" i="1"/>
  <c r="B138" i="1"/>
  <c r="E142" i="1"/>
  <c r="G141" i="1"/>
  <c r="D138" i="1"/>
  <c r="G138" i="1"/>
  <c r="F143" i="1"/>
  <c r="B141" i="1"/>
  <c r="E143" i="1"/>
  <c r="D140" i="1"/>
  <c r="E141" i="1"/>
  <c r="C139" i="1"/>
  <c r="G140" i="1"/>
  <c r="G142" i="1"/>
  <c r="F141" i="1"/>
  <c r="D139" i="1"/>
  <c r="D141" i="1"/>
  <c r="D143" i="1"/>
  <c r="B140" i="1"/>
  <c r="B143" i="1"/>
  <c r="D142" i="1"/>
  <c r="F142" i="1"/>
  <c r="C142" i="1"/>
  <c r="E140" i="1"/>
  <c r="F138" i="1"/>
  <c r="F140" i="1"/>
  <c r="C140" i="1"/>
  <c r="G143" i="1"/>
  <c r="C141" i="1"/>
  <c r="B139" i="1"/>
  <c r="E138" i="1"/>
  <c r="E139" i="1"/>
  <c r="C138" i="1"/>
  <c r="G139" i="1"/>
  <c r="B172" i="1" a="1"/>
  <c r="I161" i="1" a="1"/>
  <c r="I161" i="1" l="1"/>
  <c r="I166" i="1"/>
  <c r="I164" i="1"/>
  <c r="I163" i="1"/>
  <c r="I162" i="1"/>
  <c r="I165" i="1"/>
  <c r="D172" i="1"/>
  <c r="F173" i="1"/>
  <c r="B175" i="1"/>
  <c r="C174" i="1"/>
  <c r="D173" i="1"/>
  <c r="G176" i="1"/>
  <c r="B176" i="1"/>
  <c r="C173" i="1"/>
  <c r="F174" i="1"/>
  <c r="C176" i="1"/>
  <c r="C177" i="1"/>
  <c r="G174" i="1"/>
  <c r="B174" i="1"/>
  <c r="F175" i="1"/>
  <c r="F172" i="1"/>
  <c r="G175" i="1"/>
  <c r="D177" i="1"/>
  <c r="E172" i="1"/>
  <c r="C172" i="1"/>
  <c r="C175" i="1"/>
  <c r="G172" i="1"/>
  <c r="B172" i="1"/>
  <c r="E177" i="1"/>
  <c r="E176" i="1"/>
  <c r="G177" i="1"/>
  <c r="E173" i="1"/>
  <c r="E174" i="1"/>
  <c r="G173" i="1"/>
  <c r="D175" i="1"/>
  <c r="D176" i="1"/>
  <c r="F177" i="1"/>
  <c r="B177" i="1"/>
  <c r="D174" i="1"/>
  <c r="F176" i="1"/>
  <c r="B173" i="1"/>
  <c r="E175" i="1"/>
  <c r="B184" i="1" l="1" a="1"/>
  <c r="I173" i="1" a="1"/>
  <c r="I173" i="1" s="1"/>
  <c r="I175" i="1" a="1"/>
  <c r="I175" i="1" s="1"/>
  <c r="I174" i="1" a="1"/>
  <c r="I174" i="1" s="1"/>
  <c r="I177" i="1" a="1"/>
  <c r="I177" i="1" s="1"/>
  <c r="I176" i="1" a="1"/>
  <c r="I176" i="1" s="1"/>
  <c r="I172" i="1" a="1"/>
  <c r="I172" i="1" s="1"/>
  <c r="B186" i="1" l="1"/>
  <c r="B189" i="1"/>
  <c r="B188" i="1"/>
  <c r="B187" i="1"/>
  <c r="B185" i="1"/>
  <c r="B184" i="1"/>
  <c r="D187" i="1" l="1"/>
  <c r="F197" i="1" s="1" a="1"/>
  <c r="F187" i="1"/>
  <c r="F188" i="1"/>
  <c r="D188" i="1"/>
  <c r="G197" i="1" s="1" a="1"/>
  <c r="F189" i="1"/>
  <c r="D189" i="1"/>
  <c r="H197" i="1" s="1" a="1"/>
  <c r="D186" i="1"/>
  <c r="E197" i="1" s="1" a="1"/>
  <c r="F186" i="1"/>
  <c r="F184" i="1"/>
  <c r="D184" i="1"/>
  <c r="C197" i="1" s="1" a="1"/>
  <c r="D185" i="1"/>
  <c r="D197" i="1" s="1" a="1"/>
  <c r="F185" i="1"/>
  <c r="D197" i="1" l="1"/>
  <c r="D199" i="1"/>
  <c r="D201" i="1"/>
  <c r="D200" i="1"/>
  <c r="D198" i="1"/>
  <c r="D202" i="1"/>
  <c r="F190" i="1"/>
  <c r="G184" i="1" s="1"/>
  <c r="C200" i="1"/>
  <c r="C202" i="1"/>
  <c r="C201" i="1"/>
  <c r="C199" i="1"/>
  <c r="C198" i="1"/>
  <c r="C197" i="1"/>
  <c r="E200" i="1"/>
  <c r="E199" i="1"/>
  <c r="E201" i="1"/>
  <c r="E202" i="1"/>
  <c r="E198" i="1"/>
  <c r="E197" i="1"/>
  <c r="F200" i="1"/>
  <c r="F202" i="1"/>
  <c r="F201" i="1"/>
  <c r="F199" i="1"/>
  <c r="F197" i="1"/>
  <c r="F198" i="1"/>
  <c r="H198" i="1"/>
  <c r="H201" i="1"/>
  <c r="H200" i="1"/>
  <c r="H199" i="1"/>
  <c r="H202" i="1"/>
  <c r="H197" i="1"/>
  <c r="G197" i="1"/>
  <c r="G199" i="1"/>
  <c r="G198" i="1"/>
  <c r="G200" i="1"/>
  <c r="G201" i="1"/>
  <c r="G202" i="1"/>
  <c r="G188" i="1" l="1"/>
  <c r="G185" i="1"/>
  <c r="G189" i="1"/>
  <c r="G186" i="1"/>
  <c r="C251" i="1" a="1"/>
  <c r="H185" i="1"/>
  <c r="F215" i="1"/>
  <c r="F214" i="1"/>
  <c r="E211" i="1" a="1"/>
  <c r="E211" i="1" s="1"/>
  <c r="F211" i="1"/>
  <c r="F212" i="1"/>
  <c r="F216" i="1"/>
  <c r="F213" i="1"/>
  <c r="G187" i="1"/>
  <c r="G190" i="1" l="1"/>
  <c r="D251" i="1"/>
  <c r="C255" i="1"/>
  <c r="H252" i="1"/>
  <c r="G252" i="1"/>
  <c r="E256" i="1"/>
  <c r="F228" i="1" s="1"/>
  <c r="D254" i="1"/>
  <c r="C252" i="1"/>
  <c r="G255" i="1"/>
  <c r="F253" i="1"/>
  <c r="E251" i="1"/>
  <c r="H256" i="1"/>
  <c r="F231" i="1" s="1"/>
  <c r="G254" i="1"/>
  <c r="F252" i="1"/>
  <c r="D256" i="1"/>
  <c r="F227" i="1" s="1"/>
  <c r="C254" i="1"/>
  <c r="H251" i="1"/>
  <c r="F255" i="1"/>
  <c r="E253" i="1"/>
  <c r="C253" i="1"/>
  <c r="H254" i="1"/>
  <c r="F256" i="1"/>
  <c r="F229" i="1" s="1"/>
  <c r="E254" i="1"/>
  <c r="D252" i="1"/>
  <c r="H255" i="1"/>
  <c r="G253" i="1"/>
  <c r="F251" i="1"/>
  <c r="D255" i="1"/>
  <c r="C251" i="1"/>
  <c r="G256" i="1"/>
  <c r="F230" i="1" s="1"/>
  <c r="F254" i="1"/>
  <c r="E252" i="1"/>
  <c r="C256" i="1"/>
  <c r="H253" i="1"/>
  <c r="G251" i="1"/>
  <c r="E255" i="1"/>
  <c r="D253" i="1"/>
  <c r="G211" i="1"/>
  <c r="I211" i="1" s="1"/>
  <c r="E212" i="1"/>
  <c r="G212" i="1" s="1"/>
  <c r="F226" i="1" l="1"/>
  <c r="E226" i="1"/>
  <c r="I212" i="1"/>
  <c r="E213" i="1"/>
  <c r="E214" i="1" l="1"/>
  <c r="G213" i="1"/>
  <c r="I213" i="1" l="1"/>
  <c r="E215" i="1"/>
  <c r="G214" i="1"/>
  <c r="I214" i="1" s="1"/>
  <c r="E216" i="1" l="1"/>
  <c r="G215" i="1"/>
  <c r="I215" i="1" s="1"/>
  <c r="G216" i="1" l="1"/>
  <c r="G217" i="1" s="1"/>
  <c r="G226" i="1" l="1"/>
  <c r="I226" i="1" s="1"/>
  <c r="E227" i="1"/>
  <c r="I216" i="1"/>
  <c r="I217" i="1" s="1"/>
  <c r="G227" i="1" l="1"/>
  <c r="I227" i="1" s="1"/>
  <c r="E228" i="1"/>
  <c r="E229" i="1" l="1"/>
  <c r="G228" i="1"/>
  <c r="I228" i="1" s="1"/>
  <c r="E230" i="1" l="1"/>
  <c r="G229" i="1"/>
  <c r="I229" i="1" s="1"/>
  <c r="E231" i="1" l="1"/>
  <c r="G230" i="1"/>
  <c r="I230" i="1" s="1"/>
  <c r="G231" i="1" l="1"/>
  <c r="G232" i="1" s="1"/>
  <c r="I231" i="1" l="1"/>
  <c r="I232" i="1" s="1"/>
</calcChain>
</file>

<file path=xl/sharedStrings.xml><?xml version="1.0" encoding="utf-8"?>
<sst xmlns="http://schemas.openxmlformats.org/spreadsheetml/2006/main" count="335" uniqueCount="139">
  <si>
    <t xml:space="preserve">UNIVERSIDAD SAN CARLOS DE GUATEMALA </t>
  </si>
  <si>
    <t>ANALISIS ESTRUCTURAL AVANZADO LINEAL Y NO LINEAL</t>
  </si>
  <si>
    <t>ING. DANIEL ANTONIO QUINTANA ARCHILA</t>
  </si>
  <si>
    <t>DEPARTAMENTO DE ESTUDIO SUPERIO POSTGRADO</t>
  </si>
  <si>
    <t>dens.Concreto</t>
  </si>
  <si>
    <t>kgf/m3</t>
  </si>
  <si>
    <t xml:space="preserve">PESO SÍSMICO POR NIVEL </t>
  </si>
  <si>
    <t>COLUMNAS</t>
  </si>
  <si>
    <t>b(m)</t>
  </si>
  <si>
    <t>h(m)</t>
  </si>
  <si>
    <t>l(m)</t>
  </si>
  <si>
    <t>vol(m3)</t>
  </si>
  <si>
    <t>Wi(kgf)</t>
  </si>
  <si>
    <t>c1</t>
  </si>
  <si>
    <t>c2</t>
  </si>
  <si>
    <t>c3</t>
  </si>
  <si>
    <t>c4</t>
  </si>
  <si>
    <t>PESO DE LAS COLUMNAS</t>
  </si>
  <si>
    <t>VIGA</t>
  </si>
  <si>
    <t>V1</t>
  </si>
  <si>
    <t>V2</t>
  </si>
  <si>
    <t>V3</t>
  </si>
  <si>
    <t>PESO DE LAS VIGAS</t>
  </si>
  <si>
    <t>MURO</t>
  </si>
  <si>
    <t>m1</t>
  </si>
  <si>
    <t>t(m)</t>
  </si>
  <si>
    <t>PESO Del MURO</t>
  </si>
  <si>
    <t>DEAD</t>
  </si>
  <si>
    <t>kgf</t>
  </si>
  <si>
    <t>L(m)</t>
  </si>
  <si>
    <t>SCM(kgf/m)</t>
  </si>
  <si>
    <t>PESO DE COLUMNAS</t>
  </si>
  <si>
    <t xml:space="preserve">PESO DE VIGA PRIMER NIVEL </t>
  </si>
  <si>
    <t>PESO DE MURO PRIMER NIVEL</t>
  </si>
  <si>
    <t xml:space="preserve">DEAD </t>
  </si>
  <si>
    <t>CARGA MUERTA</t>
  </si>
  <si>
    <t>SOBRE CARGA (SCM)</t>
  </si>
  <si>
    <t>CARGA VIVIA (CV)</t>
  </si>
  <si>
    <t>TIPO</t>
  </si>
  <si>
    <t>CARGA(kgf)</t>
  </si>
  <si>
    <t>%part</t>
  </si>
  <si>
    <t>Peso Sísmico</t>
  </si>
  <si>
    <t>SCM</t>
  </si>
  <si>
    <t>CV</t>
  </si>
  <si>
    <t>PESO SISMICO</t>
  </si>
  <si>
    <t xml:space="preserve">MASA SÍSMICA </t>
  </si>
  <si>
    <t>kg</t>
  </si>
  <si>
    <t xml:space="preserve">MATRIZ DE MASA </t>
  </si>
  <si>
    <t>m2</t>
  </si>
  <si>
    <t>m3</t>
  </si>
  <si>
    <t>m4</t>
  </si>
  <si>
    <t>m5</t>
  </si>
  <si>
    <t>m6</t>
  </si>
  <si>
    <t xml:space="preserve">NIVEL 6 </t>
  </si>
  <si>
    <t>PESO DE VIGA NIVEL 6</t>
  </si>
  <si>
    <t>PESO DE MUROS</t>
  </si>
  <si>
    <t>GDL 1</t>
  </si>
  <si>
    <t>GDL 2</t>
  </si>
  <si>
    <t>GDL 3</t>
  </si>
  <si>
    <t>GDL 4</t>
  </si>
  <si>
    <t>GDL 5</t>
  </si>
  <si>
    <t>GDL 6</t>
  </si>
  <si>
    <t>VECTOR IOTA</t>
  </si>
  <si>
    <t>MATRIZ DE DESPLAZAMIENTOS (m)</t>
  </si>
  <si>
    <t>F1</t>
  </si>
  <si>
    <t>F2</t>
  </si>
  <si>
    <t>F3</t>
  </si>
  <si>
    <t>F4</t>
  </si>
  <si>
    <t>F5</t>
  </si>
  <si>
    <t>F6</t>
  </si>
  <si>
    <t xml:space="preserve">AMPLIFICACIÓN DE LA CARGA LATERAL </t>
  </si>
  <si>
    <t xml:space="preserve">MATRIZ DE DESPLAZAMIENTOS UNITARIO (m) Flexibilidad </t>
  </si>
  <si>
    <t>MATRIZ DE RIGIDES LATERAL</t>
  </si>
  <si>
    <t>MATRICES MODALES</t>
  </si>
  <si>
    <r>
      <t xml:space="preserve">MATRIZ MODAL </t>
    </r>
    <r>
      <rPr>
        <sz val="11"/>
        <color theme="1"/>
        <rFont val="Calibri"/>
        <family val="2"/>
      </rPr>
      <t>ɸ</t>
    </r>
  </si>
  <si>
    <t>ɸ1</t>
  </si>
  <si>
    <t>ɸ6</t>
  </si>
  <si>
    <t>ɸ2</t>
  </si>
  <si>
    <t>ɸ3</t>
  </si>
  <si>
    <t>ɸ4</t>
  </si>
  <si>
    <t>ɸ5</t>
  </si>
  <si>
    <t>gdl 1</t>
  </si>
  <si>
    <t>gdl 2</t>
  </si>
  <si>
    <t>gdl3</t>
  </si>
  <si>
    <t>gdl4</t>
  </si>
  <si>
    <t>gdl5</t>
  </si>
  <si>
    <t>gdl6</t>
  </si>
  <si>
    <t>periodos T(s)</t>
  </si>
  <si>
    <t>S=M*i</t>
  </si>
  <si>
    <r>
      <t xml:space="preserve">MATRIZ MODAL </t>
    </r>
    <r>
      <rPr>
        <sz val="11"/>
        <color theme="1"/>
        <rFont val="Calibri"/>
        <family val="2"/>
      </rPr>
      <t>ɸT</t>
    </r>
  </si>
  <si>
    <t>Mn=ɸT*M*ɸ</t>
  </si>
  <si>
    <r>
      <t>MATRIZ MODAL M*</t>
    </r>
    <r>
      <rPr>
        <sz val="11"/>
        <color theme="1"/>
        <rFont val="Calibri"/>
        <family val="2"/>
      </rPr>
      <t>ɸn</t>
    </r>
  </si>
  <si>
    <t>HALLAR LA MASA MODAL Mn=ɸT*M*ɸ</t>
  </si>
  <si>
    <t>Ln=ɸT*S</t>
  </si>
  <si>
    <t>Etan(r) ln/Mn</t>
  </si>
  <si>
    <t>Mn*=Ln2/Mn</t>
  </si>
  <si>
    <t>% Mn</t>
  </si>
  <si>
    <t xml:space="preserve">sumatoria </t>
  </si>
  <si>
    <t>S1(kg)</t>
  </si>
  <si>
    <t>S2(kg)</t>
  </si>
  <si>
    <t>S3(kg)</t>
  </si>
  <si>
    <t>S4(kg)</t>
  </si>
  <si>
    <t>S5(kg)</t>
  </si>
  <si>
    <t>S6(kg)</t>
  </si>
  <si>
    <t>FUERZA ESTÁTICA EQUIVALENTE</t>
  </si>
  <si>
    <t>FUERZA ESTÁTICA EQUIVALENTE Sn=ɸn*etan</t>
  </si>
  <si>
    <t xml:space="preserve">RESPUESTAS FINALES </t>
  </si>
  <si>
    <t>CORTANTE BASAL</t>
  </si>
  <si>
    <t>MODO</t>
  </si>
  <si>
    <t>T(seg)</t>
  </si>
  <si>
    <t>w(rad/s)</t>
  </si>
  <si>
    <t xml:space="preserve">CONTRIBUCIÓN ESTÁTICA </t>
  </si>
  <si>
    <t>rst</t>
  </si>
  <si>
    <t>rnst</t>
  </si>
  <si>
    <t>rraya</t>
  </si>
  <si>
    <t>Con-Dinamica</t>
  </si>
  <si>
    <t>san(m/s2)</t>
  </si>
  <si>
    <t>Sa (m/s2)</t>
  </si>
  <si>
    <t>T (seg)</t>
  </si>
  <si>
    <t>espectro sismico</t>
  </si>
  <si>
    <t xml:space="preserve">INTERPOLACION </t>
  </si>
  <si>
    <t>T1</t>
  </si>
  <si>
    <t>T2</t>
  </si>
  <si>
    <t>T3</t>
  </si>
  <si>
    <t>Sa</t>
  </si>
  <si>
    <t>rn=Vb(kgf)</t>
  </si>
  <si>
    <t>SRRS</t>
  </si>
  <si>
    <t>DESPLASAMIENTO DE TECHO</t>
  </si>
  <si>
    <t>MATRIZ DE CONTRIBUCIÓN DE DESPLAZAMIENTO DE TECHO MODOS ɸ</t>
  </si>
  <si>
    <t>MATRIZ DE DESPLAZAMIENTOS UNITARIO (m) Flexibilidad (inversa de K)</t>
  </si>
  <si>
    <t>TECHO</t>
  </si>
  <si>
    <t>m</t>
  </si>
  <si>
    <t>RESPUESTAS FINALES</t>
  </si>
  <si>
    <t xml:space="preserve">CORTANTE BASAL </t>
  </si>
  <si>
    <t>DESPLAZAMIENTO DE TECHO</t>
  </si>
  <si>
    <t>0.001355839 metros</t>
  </si>
  <si>
    <t>19861.26686  kilogramos fuerza</t>
  </si>
  <si>
    <t>MARLON IVAN CARRETO RIVERA</t>
  </si>
  <si>
    <t>CARNET 201230088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</si>
</sst>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0" fontId="0" fillId="0" borderId="8" xfId="0" applyBorder="1"/>
    <xf numFmtId="0" fontId="0" fillId="4" borderId="0" xfId="0" applyFill="1"/>
    <xf numFmtId="0" fontId="0" fillId="5" borderId="7" xfId="0" applyFill="1" applyBorder="1"/>
    <xf numFmtId="0" fontId="0" fillId="0" borderId="2" xfId="0" applyBorder="1"/>
    <xf numFmtId="0" fontId="0" fillId="0" borderId="3" xfId="0" applyBorder="1"/>
    <xf numFmtId="0" fontId="0" fillId="6" borderId="10" xfId="0" applyFill="1" applyBorder="1"/>
    <xf numFmtId="0" fontId="0" fillId="6" borderId="11" xfId="0" applyFill="1" applyBorder="1"/>
    <xf numFmtId="0" fontId="0" fillId="0" borderId="5" xfId="0" applyBorder="1" applyAlignment="1">
      <alignment horizontal="center"/>
    </xf>
    <xf numFmtId="0" fontId="0" fillId="0" borderId="13" xfId="0" applyBorder="1"/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12" xfId="0" applyFill="1" applyBorder="1"/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11" fontId="0" fillId="8" borderId="7" xfId="0" applyNumberFormat="1" applyFill="1" applyBorder="1" applyAlignment="1">
      <alignment horizontal="center"/>
    </xf>
    <xf numFmtId="0" fontId="0" fillId="12" borderId="0" xfId="0" applyFill="1"/>
    <xf numFmtId="0" fontId="0" fillId="0" borderId="14" xfId="0" applyBorder="1"/>
    <xf numFmtId="0" fontId="0" fillId="0" borderId="15" xfId="0" applyBorder="1"/>
    <xf numFmtId="0" fontId="0" fillId="13" borderId="12" xfId="0" applyFill="1" applyBorder="1" applyAlignment="1">
      <alignment horizontal="center"/>
    </xf>
    <xf numFmtId="0" fontId="0" fillId="0" borderId="16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7" borderId="5" xfId="0" applyFill="1" applyBorder="1"/>
    <xf numFmtId="0" fontId="0" fillId="14" borderId="8" xfId="0" applyFill="1" applyBorder="1"/>
    <xf numFmtId="0" fontId="0" fillId="14" borderId="5" xfId="0" applyFill="1" applyBorder="1"/>
    <xf numFmtId="0" fontId="0" fillId="19" borderId="4" xfId="0" applyFill="1" applyBorder="1"/>
    <xf numFmtId="0" fontId="0" fillId="19" borderId="0" xfId="0" applyFill="1"/>
    <xf numFmtId="0" fontId="0" fillId="19" borderId="5" xfId="0" applyFill="1" applyBorder="1"/>
    <xf numFmtId="0" fontId="1" fillId="3" borderId="7" xfId="0" applyFont="1" applyFill="1" applyBorder="1"/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4" xfId="0" applyFont="1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4" borderId="0" xfId="0" applyFont="1" applyFill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0" fillId="0" borderId="20" xfId="0" applyBorder="1"/>
    <xf numFmtId="0" fontId="0" fillId="0" borderId="21" xfId="0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0" borderId="22" xfId="0" applyBorder="1"/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8" borderId="0" xfId="0" applyFill="1" applyAlignment="1">
      <alignment horizontal="center"/>
    </xf>
    <xf numFmtId="11" fontId="0" fillId="8" borderId="0" xfId="0" applyNumberFormat="1" applyFill="1" applyAlignment="1">
      <alignment horizontal="center"/>
    </xf>
    <xf numFmtId="11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0" fillId="17" borderId="0" xfId="0" applyFill="1"/>
    <xf numFmtId="0" fontId="0" fillId="17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8" borderId="3" xfId="0" applyFill="1" applyBorder="1"/>
    <xf numFmtId="11" fontId="0" fillId="10" borderId="5" xfId="0" applyNumberFormat="1" applyFill="1" applyBorder="1"/>
    <xf numFmtId="0" fontId="0" fillId="11" borderId="5" xfId="0" applyFill="1" applyBorder="1"/>
    <xf numFmtId="0" fontId="0" fillId="8" borderId="5" xfId="0" applyFill="1" applyBorder="1"/>
    <xf numFmtId="0" fontId="0" fillId="0" borderId="27" xfId="0" applyBorder="1"/>
    <xf numFmtId="0" fontId="0" fillId="0" borderId="28" xfId="0" applyBorder="1"/>
    <xf numFmtId="0" fontId="0" fillId="11" borderId="4" xfId="0" applyFill="1" applyBorder="1"/>
    <xf numFmtId="0" fontId="0" fillId="16" borderId="4" xfId="0" applyFill="1" applyBorder="1"/>
    <xf numFmtId="0" fontId="0" fillId="16" borderId="5" xfId="0" applyFill="1" applyBorder="1"/>
    <xf numFmtId="0" fontId="0" fillId="15" borderId="4" xfId="0" applyFill="1" applyBorder="1"/>
    <xf numFmtId="0" fontId="0" fillId="15" borderId="5" xfId="0" applyFill="1" applyBorder="1"/>
    <xf numFmtId="0" fontId="0" fillId="14" borderId="4" xfId="0" applyFill="1" applyBorder="1"/>
    <xf numFmtId="0" fontId="0" fillId="2" borderId="25" xfId="0" applyFill="1" applyBorder="1"/>
    <xf numFmtId="0" fontId="0" fillId="14" borderId="25" xfId="0" applyFill="1" applyBorder="1"/>
    <xf numFmtId="0" fontId="0" fillId="18" borderId="10" xfId="0" applyFill="1" applyBorder="1"/>
    <xf numFmtId="0" fontId="0" fillId="18" borderId="11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0" borderId="9" xfId="0" applyFont="1" applyFill="1" applyBorder="1" applyAlignment="1">
      <alignment horizontal="center"/>
    </xf>
    <xf numFmtId="0" fontId="1" fillId="20" borderId="10" xfId="0" applyFont="1" applyFill="1" applyBorder="1" applyAlignment="1">
      <alignment horizontal="center"/>
    </xf>
    <xf numFmtId="0" fontId="1" fillId="20" borderId="1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8" borderId="18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13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3" borderId="26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13" borderId="15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2" borderId="0" xfId="0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1" fillId="19" borderId="8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1" fillId="19" borderId="0" xfId="0" applyFont="1" applyFill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C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585107</xdr:colOff>
      <xdr:row>0</xdr:row>
      <xdr:rowOff>27213</xdr:rowOff>
    </xdr:from>
    <xdr:to>
      <xdr:col>8</xdr:col>
      <xdr:colOff>816430</xdr:colOff>
      <xdr:row>6</xdr:row>
      <xdr:rowOff>13607</xdr:rowOff>
    </xdr:to>
    <xdr:pic>
      <xdr:nvPicPr>
        <xdr:cNvPr id="2" name="Imagen 1" descr="Imagen buscada visualmente">
          <a:extLst>
            <a:ext uri="{FF2B5EF4-FFF2-40B4-BE49-F238E27FC236}">
              <a16:creationId xmlns:a16="http://schemas.microsoft.com/office/drawing/2014/main" id="{FD4211D0-8D9D-425F-8994-015FDE2E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4214" y="27213"/>
          <a:ext cx="1945823" cy="1945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D6F1-6202-4049-A41A-D16EF30E2F5A}">
  <dimension ref="A1:T265"/>
  <sheetViews>
    <sheetView tabSelected="1" topLeftCell="A16" zoomScale="70" zoomScaleNormal="70" workbookViewId="0">
      <selection activeCell="J6" sqref="J6"/>
    </sheetView>
  </sheetViews>
  <sheetFormatPr baseColWidth="10" defaultRowHeight="15" x14ac:dyDescent="0.25"/>
  <cols>
    <col min="2" max="2" width="18" customWidth="1"/>
    <col min="3" max="3" width="14.42578125" customWidth="1"/>
    <col min="4" max="4" width="17.140625" customWidth="1"/>
    <col min="5" max="5" width="15.140625" customWidth="1"/>
    <col min="6" max="6" width="12.7109375" bestFit="1" customWidth="1"/>
    <col min="7" max="7" width="12" bestFit="1" customWidth="1"/>
    <col min="8" max="8" width="13.5703125" customWidth="1"/>
    <col min="9" max="9" width="14.42578125" customWidth="1"/>
  </cols>
  <sheetData>
    <row r="1" spans="1:8" ht="25.5" customHeight="1" x14ac:dyDescent="0.35">
      <c r="A1" s="106" t="s">
        <v>0</v>
      </c>
      <c r="B1" s="106"/>
      <c r="C1" s="106"/>
      <c r="D1" s="106"/>
      <c r="E1" s="106"/>
      <c r="F1" s="106"/>
      <c r="G1" s="106"/>
      <c r="H1" s="2"/>
    </row>
    <row r="2" spans="1:8" ht="25.5" customHeight="1" x14ac:dyDescent="0.35">
      <c r="A2" s="106" t="s">
        <v>3</v>
      </c>
      <c r="B2" s="106"/>
      <c r="C2" s="106"/>
      <c r="D2" s="106"/>
      <c r="E2" s="106"/>
      <c r="F2" s="106"/>
      <c r="G2" s="106"/>
      <c r="H2" s="2"/>
    </row>
    <row r="3" spans="1:8" ht="25.5" customHeight="1" x14ac:dyDescent="0.35">
      <c r="A3" s="106" t="s">
        <v>1</v>
      </c>
      <c r="B3" s="106"/>
      <c r="C3" s="106"/>
      <c r="D3" s="106"/>
      <c r="E3" s="106"/>
      <c r="F3" s="106"/>
      <c r="G3" s="106"/>
      <c r="H3" s="2"/>
    </row>
    <row r="4" spans="1:8" ht="25.5" customHeight="1" x14ac:dyDescent="0.35">
      <c r="A4" s="106" t="s">
        <v>2</v>
      </c>
      <c r="B4" s="106"/>
      <c r="C4" s="106"/>
      <c r="D4" s="106"/>
      <c r="E4" s="106"/>
      <c r="F4" s="106"/>
      <c r="G4" s="106"/>
      <c r="H4" s="2"/>
    </row>
    <row r="5" spans="1:8" ht="25.5" customHeight="1" x14ac:dyDescent="0.35">
      <c r="A5" s="106" t="s">
        <v>137</v>
      </c>
      <c r="B5" s="106"/>
      <c r="C5" s="106"/>
      <c r="D5" s="106"/>
      <c r="E5" s="106"/>
      <c r="F5" s="106"/>
      <c r="G5" s="106"/>
      <c r="H5" s="2"/>
    </row>
    <row r="6" spans="1:8" ht="25.5" customHeight="1" x14ac:dyDescent="0.35">
      <c r="A6" s="106" t="s">
        <v>138</v>
      </c>
      <c r="B6" s="106"/>
      <c r="C6" s="106"/>
      <c r="D6" s="106"/>
      <c r="E6" s="106"/>
      <c r="F6" s="106"/>
      <c r="G6" s="106"/>
      <c r="H6" s="2"/>
    </row>
    <row r="8" spans="1:8" ht="15.75" thickBot="1" x14ac:dyDescent="0.3"/>
    <row r="9" spans="1:8" ht="15.75" thickBot="1" x14ac:dyDescent="0.3">
      <c r="A9" s="102" t="s">
        <v>6</v>
      </c>
      <c r="B9" s="103"/>
      <c r="C9" s="103"/>
      <c r="D9" s="103"/>
      <c r="E9" s="104"/>
    </row>
    <row r="10" spans="1:8" ht="15.75" thickBot="1" x14ac:dyDescent="0.3"/>
    <row r="11" spans="1:8" ht="15.75" thickBot="1" x14ac:dyDescent="0.3">
      <c r="E11" s="118" t="s">
        <v>4</v>
      </c>
      <c r="F11" s="119"/>
      <c r="G11" s="100">
        <v>2400</v>
      </c>
      <c r="H11" s="101" t="s">
        <v>5</v>
      </c>
    </row>
    <row r="13" spans="1:8" x14ac:dyDescent="0.25">
      <c r="A13" s="120"/>
      <c r="B13" s="120"/>
      <c r="C13" s="120"/>
      <c r="D13" s="120"/>
      <c r="E13" s="120"/>
      <c r="F13" s="120"/>
      <c r="G13" s="120"/>
      <c r="H13" s="120"/>
    </row>
    <row r="14" spans="1:8" ht="15.75" thickBot="1" x14ac:dyDescent="0.3"/>
    <row r="15" spans="1:8" x14ac:dyDescent="0.25">
      <c r="A15" s="121" t="s">
        <v>31</v>
      </c>
      <c r="B15" s="121"/>
      <c r="C15" s="121"/>
      <c r="D15" s="121"/>
      <c r="E15" s="121"/>
      <c r="F15" s="121"/>
      <c r="G15" s="122"/>
    </row>
    <row r="16" spans="1:8" x14ac:dyDescent="0.25">
      <c r="G16" s="5"/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s="5"/>
    </row>
    <row r="18" spans="1:7" x14ac:dyDescent="0.25">
      <c r="A18" t="s">
        <v>13</v>
      </c>
      <c r="B18">
        <v>0.6</v>
      </c>
      <c r="C18">
        <v>0.6</v>
      </c>
      <c r="D18">
        <v>4</v>
      </c>
      <c r="E18">
        <f>B18*C18*D18</f>
        <v>1.44</v>
      </c>
      <c r="F18">
        <f>$G$11*E18</f>
        <v>3456</v>
      </c>
      <c r="G18" s="5"/>
    </row>
    <row r="19" spans="1:7" x14ac:dyDescent="0.25">
      <c r="A19" t="s">
        <v>14</v>
      </c>
      <c r="B19">
        <v>0.6</v>
      </c>
      <c r="C19">
        <v>0.6</v>
      </c>
      <c r="D19">
        <v>4</v>
      </c>
      <c r="E19">
        <f t="shared" ref="E19:E21" si="0">B19*C19*D19</f>
        <v>1.44</v>
      </c>
      <c r="F19">
        <f t="shared" ref="F19:F21" si="1">$G$11*E19</f>
        <v>3456</v>
      </c>
      <c r="G19" s="5"/>
    </row>
    <row r="20" spans="1:7" x14ac:dyDescent="0.25">
      <c r="A20" t="s">
        <v>15</v>
      </c>
      <c r="B20">
        <v>0.6</v>
      </c>
      <c r="C20">
        <v>0.6</v>
      </c>
      <c r="D20">
        <v>4</v>
      </c>
      <c r="E20">
        <f t="shared" si="0"/>
        <v>1.44</v>
      </c>
      <c r="F20">
        <f t="shared" si="1"/>
        <v>3456</v>
      </c>
      <c r="G20" s="5"/>
    </row>
    <row r="21" spans="1:7" x14ac:dyDescent="0.25">
      <c r="A21" t="s">
        <v>16</v>
      </c>
      <c r="B21">
        <v>0.6</v>
      </c>
      <c r="C21">
        <v>0.6</v>
      </c>
      <c r="D21">
        <v>4</v>
      </c>
      <c r="E21">
        <f t="shared" si="0"/>
        <v>1.44</v>
      </c>
      <c r="F21">
        <f t="shared" si="1"/>
        <v>3456</v>
      </c>
      <c r="G21" s="5"/>
    </row>
    <row r="22" spans="1:7" ht="15.75" thickBot="1" x14ac:dyDescent="0.3">
      <c r="A22" s="7"/>
      <c r="B22" s="7"/>
      <c r="C22" s="105" t="s">
        <v>17</v>
      </c>
      <c r="D22" s="105"/>
      <c r="E22" s="105"/>
      <c r="F22" s="43">
        <f>SUM(F18:F21)</f>
        <v>13824</v>
      </c>
      <c r="G22" s="9"/>
    </row>
    <row r="23" spans="1:7" ht="15.75" thickBot="1" x14ac:dyDescent="0.3"/>
    <row r="24" spans="1:7" x14ac:dyDescent="0.25">
      <c r="A24" s="121" t="s">
        <v>32</v>
      </c>
      <c r="B24" s="121"/>
      <c r="C24" s="121"/>
      <c r="D24" s="121"/>
      <c r="E24" s="121"/>
      <c r="F24" s="121"/>
      <c r="G24" s="122"/>
    </row>
    <row r="25" spans="1:7" x14ac:dyDescent="0.25">
      <c r="G25" s="5"/>
    </row>
    <row r="26" spans="1:7" x14ac:dyDescent="0.25">
      <c r="A26" t="s">
        <v>18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s="5"/>
    </row>
    <row r="27" spans="1:7" x14ac:dyDescent="0.25">
      <c r="A27" t="s">
        <v>19</v>
      </c>
      <c r="B27">
        <v>0.35</v>
      </c>
      <c r="C27">
        <v>0.45</v>
      </c>
      <c r="D27">
        <v>6</v>
      </c>
      <c r="E27">
        <f>B27*C27*D27</f>
        <v>0.94500000000000006</v>
      </c>
      <c r="F27">
        <f>$G$11*E27</f>
        <v>2268</v>
      </c>
      <c r="G27" s="5"/>
    </row>
    <row r="28" spans="1:7" x14ac:dyDescent="0.25">
      <c r="A28" t="s">
        <v>20</v>
      </c>
      <c r="B28">
        <v>0.35</v>
      </c>
      <c r="C28">
        <v>0.45</v>
      </c>
      <c r="D28">
        <v>4</v>
      </c>
      <c r="E28">
        <f t="shared" ref="E28:E29" si="2">B28*C28*D28</f>
        <v>0.63</v>
      </c>
      <c r="F28">
        <f t="shared" ref="F28:F29" si="3">$G$11*E28</f>
        <v>1512</v>
      </c>
      <c r="G28" s="5"/>
    </row>
    <row r="29" spans="1:7" x14ac:dyDescent="0.25">
      <c r="A29" t="s">
        <v>21</v>
      </c>
      <c r="B29">
        <v>0.35</v>
      </c>
      <c r="C29">
        <v>0.45</v>
      </c>
      <c r="D29">
        <v>6</v>
      </c>
      <c r="E29">
        <f t="shared" si="2"/>
        <v>0.94500000000000006</v>
      </c>
      <c r="F29">
        <f t="shared" si="3"/>
        <v>2268</v>
      </c>
      <c r="G29" s="5"/>
    </row>
    <row r="30" spans="1:7" ht="15.75" thickBot="1" x14ac:dyDescent="0.3">
      <c r="A30" s="7"/>
      <c r="B30" s="7"/>
      <c r="C30" s="105" t="s">
        <v>22</v>
      </c>
      <c r="D30" s="105"/>
      <c r="E30" s="105"/>
      <c r="F30" s="43">
        <f>SUM(F27:F29)</f>
        <v>6048</v>
      </c>
      <c r="G30" s="9"/>
    </row>
    <row r="32" spans="1:7" ht="15.75" thickBot="1" x14ac:dyDescent="0.3"/>
    <row r="33" spans="1:7" x14ac:dyDescent="0.25">
      <c r="A33" s="121" t="s">
        <v>33</v>
      </c>
      <c r="B33" s="121"/>
      <c r="C33" s="121"/>
      <c r="D33" s="121"/>
      <c r="E33" s="121"/>
      <c r="F33" s="121"/>
      <c r="G33" s="122"/>
    </row>
    <row r="34" spans="1:7" x14ac:dyDescent="0.25">
      <c r="G34" s="5"/>
    </row>
    <row r="35" spans="1:7" x14ac:dyDescent="0.25">
      <c r="A35" t="s">
        <v>23</v>
      </c>
      <c r="B35" t="s">
        <v>8</v>
      </c>
      <c r="C35" t="s">
        <v>9</v>
      </c>
      <c r="D35" t="s">
        <v>25</v>
      </c>
      <c r="E35" t="s">
        <v>11</v>
      </c>
      <c r="F35" t="s">
        <v>12</v>
      </c>
      <c r="G35" s="5"/>
    </row>
    <row r="36" spans="1:7" x14ac:dyDescent="0.25">
      <c r="A36" t="s">
        <v>24</v>
      </c>
      <c r="B36">
        <v>6</v>
      </c>
      <c r="C36">
        <v>4</v>
      </c>
      <c r="D36">
        <v>0.15</v>
      </c>
      <c r="E36">
        <f>B36*C36*D36</f>
        <v>3.5999999999999996</v>
      </c>
      <c r="F36">
        <f>$G$11*E36</f>
        <v>8640</v>
      </c>
      <c r="G36" s="5"/>
    </row>
    <row r="37" spans="1:7" x14ac:dyDescent="0.25">
      <c r="A37" t="s">
        <v>48</v>
      </c>
      <c r="B37">
        <v>6</v>
      </c>
      <c r="C37">
        <v>4</v>
      </c>
      <c r="D37">
        <v>0.15</v>
      </c>
      <c r="E37">
        <f>B37*C37*D37</f>
        <v>3.5999999999999996</v>
      </c>
      <c r="F37">
        <f>$G$11*E37</f>
        <v>8640</v>
      </c>
      <c r="G37" s="5"/>
    </row>
    <row r="38" spans="1:7" ht="15.75" thickBot="1" x14ac:dyDescent="0.3">
      <c r="A38" s="7"/>
      <c r="B38" s="7"/>
      <c r="C38" s="105" t="s">
        <v>26</v>
      </c>
      <c r="D38" s="105"/>
      <c r="E38" s="105"/>
      <c r="F38" s="43">
        <f>SUM(F36:F37)</f>
        <v>17280</v>
      </c>
      <c r="G38" s="9"/>
    </row>
    <row r="41" spans="1:7" x14ac:dyDescent="0.25">
      <c r="A41" s="50" t="s">
        <v>35</v>
      </c>
      <c r="B41" s="50"/>
      <c r="C41" s="50" t="s">
        <v>34</v>
      </c>
      <c r="D41" s="50">
        <f>F22+F30+F38</f>
        <v>37152</v>
      </c>
      <c r="E41" s="50" t="s">
        <v>28</v>
      </c>
    </row>
    <row r="42" spans="1:7" ht="15.75" thickBot="1" x14ac:dyDescent="0.3"/>
    <row r="43" spans="1:7" x14ac:dyDescent="0.25">
      <c r="A43" s="121" t="s">
        <v>36</v>
      </c>
      <c r="B43" s="121"/>
      <c r="C43" s="121"/>
      <c r="D43" s="121"/>
      <c r="E43" s="121"/>
    </row>
    <row r="44" spans="1:7" x14ac:dyDescent="0.25">
      <c r="B44" t="s">
        <v>29</v>
      </c>
      <c r="C44" t="s">
        <v>30</v>
      </c>
      <c r="D44" t="s">
        <v>12</v>
      </c>
      <c r="E44" s="5"/>
    </row>
    <row r="45" spans="1:7" ht="15.75" thickBot="1" x14ac:dyDescent="0.3">
      <c r="A45" s="7"/>
      <c r="B45" s="7">
        <v>16</v>
      </c>
      <c r="C45" s="7">
        <v>380</v>
      </c>
      <c r="D45" s="11">
        <f>B45*C45</f>
        <v>6080</v>
      </c>
      <c r="E45" s="9"/>
    </row>
    <row r="46" spans="1:7" ht="15.75" thickBot="1" x14ac:dyDescent="0.3"/>
    <row r="47" spans="1:7" x14ac:dyDescent="0.25">
      <c r="A47" s="121" t="s">
        <v>37</v>
      </c>
      <c r="B47" s="121"/>
      <c r="C47" s="121"/>
      <c r="D47" s="121"/>
      <c r="E47" s="121"/>
    </row>
    <row r="48" spans="1:7" x14ac:dyDescent="0.25">
      <c r="B48" t="s">
        <v>29</v>
      </c>
      <c r="C48" t="s">
        <v>30</v>
      </c>
      <c r="D48" t="s">
        <v>12</v>
      </c>
      <c r="E48" s="5"/>
    </row>
    <row r="49" spans="1:8" ht="15.75" thickBot="1" x14ac:dyDescent="0.3">
      <c r="A49" s="7"/>
      <c r="B49" s="7">
        <v>16</v>
      </c>
      <c r="C49" s="7">
        <v>600</v>
      </c>
      <c r="D49" s="11">
        <f>B49*C49</f>
        <v>9600</v>
      </c>
      <c r="E49" s="9"/>
    </row>
    <row r="50" spans="1:8" ht="15.75" thickBot="1" x14ac:dyDescent="0.3"/>
    <row r="51" spans="1:8" x14ac:dyDescent="0.25">
      <c r="A51" s="47" t="s">
        <v>38</v>
      </c>
      <c r="B51" s="48" t="s">
        <v>39</v>
      </c>
      <c r="C51" s="48" t="s">
        <v>40</v>
      </c>
      <c r="D51" s="49" t="s">
        <v>41</v>
      </c>
    </row>
    <row r="52" spans="1:8" x14ac:dyDescent="0.25">
      <c r="A52" s="46" t="s">
        <v>27</v>
      </c>
      <c r="B52">
        <f>D41</f>
        <v>37152</v>
      </c>
      <c r="C52">
        <v>1</v>
      </c>
      <c r="D52" s="5">
        <f>B52*C52</f>
        <v>37152</v>
      </c>
    </row>
    <row r="53" spans="1:8" x14ac:dyDescent="0.25">
      <c r="A53" s="46" t="s">
        <v>42</v>
      </c>
      <c r="B53">
        <f>D45</f>
        <v>6080</v>
      </c>
      <c r="C53">
        <v>1</v>
      </c>
      <c r="D53" s="5">
        <f>B53*C53</f>
        <v>6080</v>
      </c>
    </row>
    <row r="54" spans="1:8" ht="15.75" thickBot="1" x14ac:dyDescent="0.3">
      <c r="A54" s="46" t="s">
        <v>43</v>
      </c>
      <c r="B54">
        <f>D49</f>
        <v>9600</v>
      </c>
      <c r="C54">
        <v>0.15</v>
      </c>
      <c r="D54" s="5">
        <f>B54*C54</f>
        <v>1440</v>
      </c>
    </row>
    <row r="55" spans="1:8" ht="15.75" thickBot="1" x14ac:dyDescent="0.3">
      <c r="A55" s="6"/>
      <c r="B55" s="51" t="s">
        <v>44</v>
      </c>
      <c r="C55" s="52"/>
      <c r="D55" s="53">
        <f>SUM(D52:D54)</f>
        <v>44672</v>
      </c>
    </row>
    <row r="57" spans="1:8" ht="15.75" thickBot="1" x14ac:dyDescent="0.3"/>
    <row r="58" spans="1:8" ht="15.75" thickBot="1" x14ac:dyDescent="0.3">
      <c r="B58" s="131" t="s">
        <v>45</v>
      </c>
      <c r="C58" s="132"/>
      <c r="D58" s="14">
        <f>D55/9.81</f>
        <v>4553.720693170234</v>
      </c>
      <c r="E58" s="15" t="s">
        <v>46</v>
      </c>
    </row>
    <row r="59" spans="1:8" x14ac:dyDescent="0.25">
      <c r="A59" s="120"/>
      <c r="B59" s="120"/>
      <c r="C59" s="120"/>
      <c r="D59" s="120"/>
      <c r="E59" s="120"/>
      <c r="F59" s="120"/>
      <c r="G59" s="120"/>
      <c r="H59" s="120"/>
    </row>
    <row r="60" spans="1:8" x14ac:dyDescent="0.25">
      <c r="A60" s="120" t="s">
        <v>53</v>
      </c>
      <c r="B60" s="120"/>
      <c r="C60" s="120"/>
      <c r="D60" s="120"/>
      <c r="E60" s="120"/>
      <c r="F60" s="120"/>
      <c r="G60" s="1"/>
      <c r="H60" s="1"/>
    </row>
    <row r="61" spans="1:8" ht="15.75" thickBot="1" x14ac:dyDescent="0.3"/>
    <row r="62" spans="1:8" x14ac:dyDescent="0.25">
      <c r="A62" s="121" t="s">
        <v>31</v>
      </c>
      <c r="B62" s="121"/>
      <c r="C62" s="121"/>
      <c r="D62" s="121"/>
      <c r="E62" s="121"/>
      <c r="F62" s="121"/>
      <c r="G62" s="122"/>
    </row>
    <row r="63" spans="1:8" x14ac:dyDescent="0.25">
      <c r="G63" s="5"/>
    </row>
    <row r="64" spans="1:8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s="5"/>
    </row>
    <row r="65" spans="1:7" x14ac:dyDescent="0.25">
      <c r="A65" t="s">
        <v>13</v>
      </c>
      <c r="B65">
        <v>0.6</v>
      </c>
      <c r="C65">
        <v>0.6</v>
      </c>
      <c r="D65">
        <v>4</v>
      </c>
      <c r="E65">
        <f>B65*C65*D65</f>
        <v>1.44</v>
      </c>
      <c r="F65">
        <f>$G$11*E65</f>
        <v>3456</v>
      </c>
      <c r="G65" s="5"/>
    </row>
    <row r="66" spans="1:7" x14ac:dyDescent="0.25">
      <c r="A66" t="s">
        <v>14</v>
      </c>
      <c r="B66">
        <v>0.6</v>
      </c>
      <c r="C66">
        <v>0.6</v>
      </c>
      <c r="D66">
        <v>4</v>
      </c>
      <c r="E66">
        <f t="shared" ref="E66:E68" si="4">B66*C66*D66</f>
        <v>1.44</v>
      </c>
      <c r="F66">
        <f t="shared" ref="F66:F68" si="5">$G$11*E66</f>
        <v>3456</v>
      </c>
      <c r="G66" s="5"/>
    </row>
    <row r="67" spans="1:7" x14ac:dyDescent="0.25">
      <c r="A67" t="s">
        <v>15</v>
      </c>
      <c r="B67">
        <v>0.6</v>
      </c>
      <c r="C67">
        <v>0.6</v>
      </c>
      <c r="D67">
        <v>4</v>
      </c>
      <c r="E67">
        <f t="shared" si="4"/>
        <v>1.44</v>
      </c>
      <c r="F67">
        <f t="shared" si="5"/>
        <v>3456</v>
      </c>
      <c r="G67" s="5"/>
    </row>
    <row r="68" spans="1:7" x14ac:dyDescent="0.25">
      <c r="A68" t="s">
        <v>16</v>
      </c>
      <c r="B68">
        <v>0.6</v>
      </c>
      <c r="C68">
        <v>0.6</v>
      </c>
      <c r="D68">
        <v>4</v>
      </c>
      <c r="E68">
        <f t="shared" si="4"/>
        <v>1.44</v>
      </c>
      <c r="F68">
        <f t="shared" si="5"/>
        <v>3456</v>
      </c>
      <c r="G68" s="5"/>
    </row>
    <row r="69" spans="1:7" ht="15.75" thickBot="1" x14ac:dyDescent="0.3">
      <c r="A69" s="7"/>
      <c r="B69" s="7"/>
      <c r="C69" s="7"/>
      <c r="D69" s="8" t="s">
        <v>17</v>
      </c>
      <c r="E69" s="8"/>
      <c r="F69" s="8">
        <f>SUM(F65:F68)</f>
        <v>13824</v>
      </c>
      <c r="G69" s="9"/>
    </row>
    <row r="70" spans="1:7" ht="15.75" thickBot="1" x14ac:dyDescent="0.3"/>
    <row r="71" spans="1:7" x14ac:dyDescent="0.25">
      <c r="A71" s="121" t="s">
        <v>54</v>
      </c>
      <c r="B71" s="121"/>
      <c r="C71" s="121"/>
      <c r="D71" s="121"/>
      <c r="E71" s="121"/>
      <c r="F71" s="121"/>
      <c r="G71" s="122"/>
    </row>
    <row r="72" spans="1:7" x14ac:dyDescent="0.25">
      <c r="G72" s="5"/>
    </row>
    <row r="73" spans="1:7" x14ac:dyDescent="0.25">
      <c r="A73" t="s">
        <v>18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s="5"/>
    </row>
    <row r="74" spans="1:7" x14ac:dyDescent="0.25">
      <c r="A74" t="s">
        <v>19</v>
      </c>
      <c r="B74">
        <v>0.2</v>
      </c>
      <c r="C74">
        <v>0.4</v>
      </c>
      <c r="D74">
        <v>6</v>
      </c>
      <c r="E74">
        <f>B74*C74*D74</f>
        <v>0.48000000000000009</v>
      </c>
      <c r="F74">
        <f>$G$11*E74</f>
        <v>1152.0000000000002</v>
      </c>
      <c r="G74" s="5"/>
    </row>
    <row r="75" spans="1:7" x14ac:dyDescent="0.25">
      <c r="A75" t="s">
        <v>20</v>
      </c>
      <c r="B75">
        <v>0.2</v>
      </c>
      <c r="C75">
        <v>0.4</v>
      </c>
      <c r="D75">
        <v>4</v>
      </c>
      <c r="E75">
        <f t="shared" ref="E75:E76" si="6">B75*C75*D75</f>
        <v>0.32000000000000006</v>
      </c>
      <c r="F75">
        <f t="shared" ref="F75:F76" si="7">$G$11*E75</f>
        <v>768.00000000000011</v>
      </c>
      <c r="G75" s="5"/>
    </row>
    <row r="76" spans="1:7" x14ac:dyDescent="0.25">
      <c r="A76" t="s">
        <v>21</v>
      </c>
      <c r="B76">
        <v>0.2</v>
      </c>
      <c r="C76">
        <v>0.4</v>
      </c>
      <c r="D76">
        <v>6</v>
      </c>
      <c r="E76">
        <f t="shared" si="6"/>
        <v>0.48000000000000009</v>
      </c>
      <c r="F76">
        <f t="shared" si="7"/>
        <v>1152.0000000000002</v>
      </c>
      <c r="G76" s="5"/>
    </row>
    <row r="77" spans="1:7" ht="15.75" thickBot="1" x14ac:dyDescent="0.3">
      <c r="A77" s="7"/>
      <c r="B77" s="7"/>
      <c r="C77" s="7"/>
      <c r="D77" s="8" t="s">
        <v>22</v>
      </c>
      <c r="E77" s="8"/>
      <c r="F77" s="8">
        <f>SUM(F74:F76)</f>
        <v>3072.0000000000009</v>
      </c>
      <c r="G77" s="9"/>
    </row>
    <row r="79" spans="1:7" ht="15.75" thickBot="1" x14ac:dyDescent="0.3"/>
    <row r="80" spans="1:7" x14ac:dyDescent="0.25">
      <c r="A80" s="121" t="s">
        <v>55</v>
      </c>
      <c r="B80" s="121"/>
      <c r="C80" s="121"/>
      <c r="D80" s="121"/>
      <c r="E80" s="121"/>
      <c r="F80" s="121"/>
      <c r="G80" s="122"/>
    </row>
    <row r="81" spans="1:7" x14ac:dyDescent="0.25">
      <c r="G81" s="5"/>
    </row>
    <row r="82" spans="1:7" x14ac:dyDescent="0.25">
      <c r="A82" t="s">
        <v>23</v>
      </c>
      <c r="B82" t="s">
        <v>8</v>
      </c>
      <c r="C82" t="s">
        <v>9</v>
      </c>
      <c r="D82" t="s">
        <v>25</v>
      </c>
      <c r="E82" t="s">
        <v>11</v>
      </c>
      <c r="F82" t="s">
        <v>12</v>
      </c>
      <c r="G82" s="5"/>
    </row>
    <row r="83" spans="1:7" x14ac:dyDescent="0.25">
      <c r="A83" t="s">
        <v>24</v>
      </c>
      <c r="B83">
        <v>6</v>
      </c>
      <c r="C83">
        <v>4</v>
      </c>
      <c r="D83">
        <v>0.15</v>
      </c>
      <c r="E83">
        <f>B83*C83*D83</f>
        <v>3.5999999999999996</v>
      </c>
      <c r="F83">
        <f>$G$11*E83</f>
        <v>8640</v>
      </c>
      <c r="G83" s="5"/>
    </row>
    <row r="84" spans="1:7" x14ac:dyDescent="0.25">
      <c r="A84" t="s">
        <v>48</v>
      </c>
      <c r="B84">
        <v>6</v>
      </c>
      <c r="C84">
        <v>4</v>
      </c>
      <c r="D84">
        <v>0.15</v>
      </c>
      <c r="E84">
        <f>B84*C84*D84</f>
        <v>3.5999999999999996</v>
      </c>
      <c r="F84">
        <f>$G$11*E84</f>
        <v>8640</v>
      </c>
      <c r="G84" s="5"/>
    </row>
    <row r="85" spans="1:7" ht="15.75" thickBot="1" x14ac:dyDescent="0.3">
      <c r="A85" s="7"/>
      <c r="B85" s="7"/>
      <c r="C85" s="7"/>
      <c r="D85" s="8" t="s">
        <v>26</v>
      </c>
      <c r="E85" s="8"/>
      <c r="F85" s="8">
        <f>SUM(F83:F84)</f>
        <v>17280</v>
      </c>
      <c r="G85" s="9"/>
    </row>
    <row r="88" spans="1:7" x14ac:dyDescent="0.25">
      <c r="A88" s="10" t="s">
        <v>35</v>
      </c>
      <c r="B88" s="10"/>
      <c r="C88" s="10" t="s">
        <v>34</v>
      </c>
      <c r="D88" s="10">
        <f>F69+F77+F85</f>
        <v>34176</v>
      </c>
      <c r="E88" s="10" t="s">
        <v>28</v>
      </c>
    </row>
    <row r="89" spans="1:7" ht="15.75" thickBot="1" x14ac:dyDescent="0.3"/>
    <row r="90" spans="1:7" x14ac:dyDescent="0.25">
      <c r="A90" s="121" t="s">
        <v>36</v>
      </c>
      <c r="B90" s="121"/>
      <c r="C90" s="121"/>
      <c r="D90" s="121"/>
      <c r="E90" s="122"/>
    </row>
    <row r="91" spans="1:7" x14ac:dyDescent="0.25">
      <c r="B91" t="s">
        <v>29</v>
      </c>
      <c r="C91" t="s">
        <v>30</v>
      </c>
      <c r="D91" t="s">
        <v>12</v>
      </c>
      <c r="E91" s="5"/>
    </row>
    <row r="92" spans="1:7" ht="15.75" thickBot="1" x14ac:dyDescent="0.3">
      <c r="A92" s="7"/>
      <c r="B92" s="7">
        <v>16</v>
      </c>
      <c r="C92" s="7">
        <v>380</v>
      </c>
      <c r="D92" s="11">
        <f>B92*C92</f>
        <v>6080</v>
      </c>
      <c r="E92" s="9"/>
    </row>
    <row r="93" spans="1:7" ht="15.75" thickBot="1" x14ac:dyDescent="0.3"/>
    <row r="94" spans="1:7" x14ac:dyDescent="0.25">
      <c r="A94" s="121" t="s">
        <v>37</v>
      </c>
      <c r="B94" s="121"/>
      <c r="C94" s="121"/>
      <c r="D94" s="121"/>
      <c r="E94" s="122"/>
    </row>
    <row r="95" spans="1:7" x14ac:dyDescent="0.25">
      <c r="B95" t="s">
        <v>29</v>
      </c>
      <c r="C95" t="s">
        <v>30</v>
      </c>
      <c r="D95" t="s">
        <v>12</v>
      </c>
      <c r="E95" s="5"/>
    </row>
    <row r="96" spans="1:7" ht="15.75" thickBot="1" x14ac:dyDescent="0.3">
      <c r="A96" s="7"/>
      <c r="B96" s="7">
        <v>16</v>
      </c>
      <c r="C96" s="7">
        <v>600</v>
      </c>
      <c r="D96" s="11">
        <f>B96*C96</f>
        <v>9600</v>
      </c>
      <c r="E96" s="9"/>
    </row>
    <row r="97" spans="1:16" ht="15.75" thickBot="1" x14ac:dyDescent="0.3">
      <c r="N97" s="73">
        <v>9</v>
      </c>
      <c r="O97" s="74" t="s">
        <v>64</v>
      </c>
      <c r="P97" s="75">
        <v>0</v>
      </c>
    </row>
    <row r="98" spans="1:16" x14ac:dyDescent="0.25">
      <c r="A98" s="3" t="s">
        <v>38</v>
      </c>
      <c r="B98" s="12" t="s">
        <v>39</v>
      </c>
      <c r="C98" s="12" t="s">
        <v>40</v>
      </c>
      <c r="D98" s="13" t="s">
        <v>41</v>
      </c>
      <c r="N98" s="76">
        <v>9</v>
      </c>
      <c r="O98" s="77" t="s">
        <v>65</v>
      </c>
      <c r="P98" s="78">
        <v>5.7899999999999998E-4</v>
      </c>
    </row>
    <row r="99" spans="1:16" x14ac:dyDescent="0.25">
      <c r="A99" s="4" t="s">
        <v>27</v>
      </c>
      <c r="B99">
        <f>D88</f>
        <v>34176</v>
      </c>
      <c r="C99">
        <v>1</v>
      </c>
      <c r="D99" s="5">
        <f>B99*C99</f>
        <v>34176</v>
      </c>
      <c r="N99" s="76">
        <v>9</v>
      </c>
      <c r="O99" s="77" t="s">
        <v>66</v>
      </c>
      <c r="P99" s="79">
        <v>3.8499999999999998E-4</v>
      </c>
    </row>
    <row r="100" spans="1:16" x14ac:dyDescent="0.25">
      <c r="A100" s="4" t="s">
        <v>42</v>
      </c>
      <c r="B100">
        <f>D92</f>
        <v>6080</v>
      </c>
      <c r="C100">
        <v>1</v>
      </c>
      <c r="D100" s="5">
        <f>B100*C100</f>
        <v>6080</v>
      </c>
      <c r="N100" s="76">
        <v>9</v>
      </c>
      <c r="O100" s="77" t="s">
        <v>67</v>
      </c>
      <c r="P100" s="78">
        <v>4.4499999999999997E-4</v>
      </c>
    </row>
    <row r="101" spans="1:16" ht="15.75" thickBot="1" x14ac:dyDescent="0.3">
      <c r="A101" s="4" t="s">
        <v>43</v>
      </c>
      <c r="B101">
        <f>D96</f>
        <v>9600</v>
      </c>
      <c r="C101">
        <v>0.15</v>
      </c>
      <c r="D101" s="5">
        <f>B101*C101</f>
        <v>1440</v>
      </c>
      <c r="N101" s="76">
        <v>9</v>
      </c>
      <c r="O101" s="77" t="s">
        <v>68</v>
      </c>
      <c r="P101" s="80">
        <v>5.0299999999999997E-4</v>
      </c>
    </row>
    <row r="102" spans="1:16" ht="15.75" thickBot="1" x14ac:dyDescent="0.3">
      <c r="A102" s="6"/>
      <c r="B102" s="51" t="s">
        <v>44</v>
      </c>
      <c r="C102" s="52"/>
      <c r="D102" s="53">
        <f>SUM(D99:D101)</f>
        <v>41696</v>
      </c>
      <c r="N102" s="76">
        <v>9</v>
      </c>
      <c r="O102" s="77" t="s">
        <v>69</v>
      </c>
      <c r="P102" s="78">
        <v>5.6099999999999998E-4</v>
      </c>
    </row>
    <row r="103" spans="1:16" x14ac:dyDescent="0.25">
      <c r="N103" s="76">
        <v>10</v>
      </c>
      <c r="O103" s="77" t="s">
        <v>64</v>
      </c>
      <c r="P103" s="78">
        <v>0</v>
      </c>
    </row>
    <row r="104" spans="1:16" ht="15.75" thickBot="1" x14ac:dyDescent="0.3">
      <c r="N104" s="76">
        <v>10</v>
      </c>
      <c r="O104" s="77" t="s">
        <v>65</v>
      </c>
      <c r="P104" s="78">
        <v>1.106E-3</v>
      </c>
    </row>
    <row r="105" spans="1:16" ht="15.75" thickBot="1" x14ac:dyDescent="0.3">
      <c r="B105" s="131" t="s">
        <v>45</v>
      </c>
      <c r="C105" s="132"/>
      <c r="D105" s="14">
        <f>D102/9.81</f>
        <v>4250.3567787971451</v>
      </c>
      <c r="E105" s="15" t="s">
        <v>46</v>
      </c>
      <c r="N105" s="76">
        <v>10</v>
      </c>
      <c r="O105" s="77" t="s">
        <v>66</v>
      </c>
      <c r="P105" s="79">
        <v>1.0399999999999999E-3</v>
      </c>
    </row>
    <row r="106" spans="1:16" ht="15.75" thickBot="1" x14ac:dyDescent="0.3">
      <c r="N106" s="76">
        <v>10</v>
      </c>
      <c r="O106" s="77" t="s">
        <v>67</v>
      </c>
      <c r="P106" s="78">
        <v>1.2849999999999999E-3</v>
      </c>
    </row>
    <row r="107" spans="1:16" x14ac:dyDescent="0.25">
      <c r="A107" s="112" t="s">
        <v>47</v>
      </c>
      <c r="B107" s="113"/>
      <c r="C107" s="113"/>
      <c r="D107" s="113"/>
      <c r="E107" s="113"/>
      <c r="F107" s="113"/>
      <c r="G107" s="114"/>
      <c r="I107" s="24" t="s">
        <v>62</v>
      </c>
      <c r="N107" s="76">
        <v>10</v>
      </c>
      <c r="O107" s="77" t="s">
        <v>68</v>
      </c>
      <c r="P107" s="80">
        <v>1.5250000000000001E-3</v>
      </c>
    </row>
    <row r="108" spans="1:16" x14ac:dyDescent="0.25">
      <c r="A108" s="4"/>
      <c r="B108" s="1" t="s">
        <v>24</v>
      </c>
      <c r="C108" s="1" t="s">
        <v>48</v>
      </c>
      <c r="D108" s="1" t="s">
        <v>49</v>
      </c>
      <c r="E108" s="1" t="s">
        <v>50</v>
      </c>
      <c r="F108" s="1" t="s">
        <v>51</v>
      </c>
      <c r="G108" s="16" t="s">
        <v>52</v>
      </c>
      <c r="I108" s="17"/>
      <c r="N108" s="76">
        <v>10</v>
      </c>
      <c r="O108" s="77" t="s">
        <v>69</v>
      </c>
      <c r="P108" s="78">
        <v>1.7619999999999999E-3</v>
      </c>
    </row>
    <row r="109" spans="1:16" x14ac:dyDescent="0.25">
      <c r="A109" s="4" t="s">
        <v>56</v>
      </c>
      <c r="B109" s="20">
        <f>D58</f>
        <v>4553.720693170234</v>
      </c>
      <c r="C109" s="20">
        <v>0</v>
      </c>
      <c r="D109" s="20">
        <v>0</v>
      </c>
      <c r="E109" s="20">
        <v>0</v>
      </c>
      <c r="F109" s="20">
        <v>0</v>
      </c>
      <c r="G109" s="21">
        <v>0</v>
      </c>
      <c r="I109" s="18">
        <v>1</v>
      </c>
      <c r="N109" s="76">
        <v>11</v>
      </c>
      <c r="O109" s="77" t="s">
        <v>64</v>
      </c>
      <c r="P109" s="78">
        <v>0</v>
      </c>
    </row>
    <row r="110" spans="1:16" x14ac:dyDescent="0.25">
      <c r="A110" s="4" t="s">
        <v>57</v>
      </c>
      <c r="B110" s="20">
        <v>0</v>
      </c>
      <c r="C110" s="20">
        <f>D58</f>
        <v>4553.720693170234</v>
      </c>
      <c r="D110" s="20">
        <v>0</v>
      </c>
      <c r="E110" s="20">
        <v>0</v>
      </c>
      <c r="F110" s="20">
        <v>0</v>
      </c>
      <c r="G110" s="21">
        <v>0</v>
      </c>
      <c r="I110" s="18">
        <v>1</v>
      </c>
      <c r="N110" s="76">
        <v>11</v>
      </c>
      <c r="O110" s="77" t="s">
        <v>65</v>
      </c>
      <c r="P110" s="78">
        <v>1.4239999999999999E-3</v>
      </c>
    </row>
    <row r="111" spans="1:16" x14ac:dyDescent="0.25">
      <c r="A111" s="4" t="s">
        <v>58</v>
      </c>
      <c r="B111" s="20">
        <v>0</v>
      </c>
      <c r="C111" s="20">
        <v>0</v>
      </c>
      <c r="D111" s="20">
        <f>D58</f>
        <v>4553.720693170234</v>
      </c>
      <c r="E111" s="20">
        <v>0</v>
      </c>
      <c r="F111" s="20">
        <v>0</v>
      </c>
      <c r="G111" s="21">
        <v>0</v>
      </c>
      <c r="I111" s="18">
        <v>1</v>
      </c>
      <c r="N111" s="76">
        <v>11</v>
      </c>
      <c r="O111" s="77" t="s">
        <v>66</v>
      </c>
      <c r="P111" s="79">
        <v>1.8140000000000001E-3</v>
      </c>
    </row>
    <row r="112" spans="1:16" x14ac:dyDescent="0.25">
      <c r="A112" s="4" t="s">
        <v>59</v>
      </c>
      <c r="B112" s="20">
        <v>0</v>
      </c>
      <c r="C112" s="20">
        <v>0</v>
      </c>
      <c r="D112" s="20">
        <v>0</v>
      </c>
      <c r="E112" s="20">
        <f>D58</f>
        <v>4553.720693170234</v>
      </c>
      <c r="F112" s="20">
        <v>0</v>
      </c>
      <c r="G112" s="21">
        <v>0</v>
      </c>
      <c r="I112" s="18">
        <v>1</v>
      </c>
      <c r="N112" s="76">
        <v>11</v>
      </c>
      <c r="O112" s="77" t="s">
        <v>67</v>
      </c>
      <c r="P112" s="78">
        <v>2.3770000000000002E-3</v>
      </c>
    </row>
    <row r="113" spans="1:16" x14ac:dyDescent="0.25">
      <c r="A113" s="4" t="s">
        <v>60</v>
      </c>
      <c r="B113" s="20">
        <v>0</v>
      </c>
      <c r="C113" s="20">
        <v>0</v>
      </c>
      <c r="D113" s="20">
        <v>0</v>
      </c>
      <c r="E113" s="20">
        <v>0</v>
      </c>
      <c r="F113" s="20">
        <f>D58</f>
        <v>4553.720693170234</v>
      </c>
      <c r="G113" s="21">
        <v>0</v>
      </c>
      <c r="I113" s="18">
        <v>1</v>
      </c>
      <c r="N113" s="76">
        <v>11</v>
      </c>
      <c r="O113" s="77" t="s">
        <v>68</v>
      </c>
      <c r="P113" s="80">
        <v>2.9239999999999999E-3</v>
      </c>
    </row>
    <row r="114" spans="1:16" ht="15.75" thickBot="1" x14ac:dyDescent="0.3">
      <c r="A114" s="6" t="s">
        <v>61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3">
        <f>D105</f>
        <v>4250.3567787971451</v>
      </c>
      <c r="I114" s="19">
        <v>1</v>
      </c>
      <c r="N114" s="76">
        <v>11</v>
      </c>
      <c r="O114" s="77" t="s">
        <v>69</v>
      </c>
      <c r="P114" s="78">
        <v>3.4629999999999999E-3</v>
      </c>
    </row>
    <row r="115" spans="1:16" x14ac:dyDescent="0.25">
      <c r="N115" s="76">
        <v>12</v>
      </c>
      <c r="O115" s="77" t="s">
        <v>64</v>
      </c>
      <c r="P115" s="78">
        <v>0</v>
      </c>
    </row>
    <row r="116" spans="1:16" x14ac:dyDescent="0.25">
      <c r="A116" s="110" t="s">
        <v>63</v>
      </c>
      <c r="B116" s="110"/>
      <c r="C116" s="110"/>
      <c r="D116" s="110"/>
      <c r="E116" s="110"/>
      <c r="F116" s="110"/>
      <c r="G116" s="110"/>
      <c r="N116" s="76">
        <v>12</v>
      </c>
      <c r="O116" s="77" t="s">
        <v>65</v>
      </c>
      <c r="P116" s="78">
        <v>1.73E-3</v>
      </c>
    </row>
    <row r="117" spans="1:16" x14ac:dyDescent="0.25">
      <c r="A117" s="4"/>
      <c r="B117" s="1" t="s">
        <v>64</v>
      </c>
      <c r="C117" s="1" t="s">
        <v>65</v>
      </c>
      <c r="D117" s="1" t="s">
        <v>66</v>
      </c>
      <c r="E117" s="1" t="s">
        <v>67</v>
      </c>
      <c r="F117" s="1" t="s">
        <v>68</v>
      </c>
      <c r="G117" s="16" t="s">
        <v>69</v>
      </c>
      <c r="I117" s="111" t="s">
        <v>70</v>
      </c>
      <c r="J117" s="111"/>
      <c r="K117" s="111"/>
      <c r="L117" s="111"/>
      <c r="N117" s="76">
        <v>12</v>
      </c>
      <c r="O117" s="77" t="s">
        <v>66</v>
      </c>
      <c r="P117" s="79">
        <v>2.3770000000000002E-3</v>
      </c>
    </row>
    <row r="118" spans="1:16" x14ac:dyDescent="0.25">
      <c r="A118" s="4" t="s">
        <v>56</v>
      </c>
      <c r="B118" s="20">
        <f>P97</f>
        <v>0</v>
      </c>
      <c r="C118" s="20">
        <f>P98</f>
        <v>5.7899999999999998E-4</v>
      </c>
      <c r="D118" s="20">
        <f>P99</f>
        <v>3.8499999999999998E-4</v>
      </c>
      <c r="E118" s="20">
        <f>P100</f>
        <v>4.4499999999999997E-4</v>
      </c>
      <c r="F118" s="20">
        <f>P101</f>
        <v>5.0299999999999997E-4</v>
      </c>
      <c r="G118" s="21">
        <f>P102</f>
        <v>5.6099999999999998E-4</v>
      </c>
      <c r="J118" s="20">
        <v>100000</v>
      </c>
      <c r="K118" t="s">
        <v>28</v>
      </c>
      <c r="N118" s="76">
        <v>12</v>
      </c>
      <c r="O118" s="77" t="s">
        <v>67</v>
      </c>
      <c r="P118" s="78">
        <v>3.5790000000000001E-3</v>
      </c>
    </row>
    <row r="119" spans="1:16" x14ac:dyDescent="0.25">
      <c r="A119" s="4" t="s">
        <v>57</v>
      </c>
      <c r="B119" s="20">
        <f>P103</f>
        <v>0</v>
      </c>
      <c r="C119" s="20">
        <f>P104</f>
        <v>1.106E-3</v>
      </c>
      <c r="D119" s="20">
        <f>P105</f>
        <v>1.0399999999999999E-3</v>
      </c>
      <c r="E119" s="20">
        <f>P106</f>
        <v>1.2849999999999999E-3</v>
      </c>
      <c r="F119" s="20">
        <f>P107</f>
        <v>1.5250000000000001E-3</v>
      </c>
      <c r="G119" s="21">
        <f>P108</f>
        <v>1.7619999999999999E-3</v>
      </c>
      <c r="N119" s="76">
        <v>12</v>
      </c>
      <c r="O119" s="77" t="s">
        <v>68</v>
      </c>
      <c r="P119" s="80">
        <v>4.5649999999999996E-3</v>
      </c>
    </row>
    <row r="120" spans="1:16" x14ac:dyDescent="0.25">
      <c r="A120" s="4" t="s">
        <v>58</v>
      </c>
      <c r="B120" s="20">
        <f>P109</f>
        <v>0</v>
      </c>
      <c r="C120" s="20">
        <f>P110</f>
        <v>1.4239999999999999E-3</v>
      </c>
      <c r="D120" s="20">
        <f>P111</f>
        <v>1.8140000000000001E-3</v>
      </c>
      <c r="E120" s="20">
        <f>P112</f>
        <v>2.3770000000000002E-3</v>
      </c>
      <c r="F120" s="20">
        <f>P113</f>
        <v>2.9239999999999999E-3</v>
      </c>
      <c r="G120" s="21">
        <f>P114</f>
        <v>3.4629999999999999E-3</v>
      </c>
      <c r="N120" s="76">
        <v>12</v>
      </c>
      <c r="O120" s="77" t="s">
        <v>69</v>
      </c>
      <c r="P120" s="78">
        <v>5.5339999999999999E-3</v>
      </c>
    </row>
    <row r="121" spans="1:16" x14ac:dyDescent="0.25">
      <c r="A121" s="4" t="s">
        <v>59</v>
      </c>
      <c r="B121" s="20">
        <f>P115</f>
        <v>0</v>
      </c>
      <c r="C121" s="20">
        <f>P116</f>
        <v>1.73E-3</v>
      </c>
      <c r="D121" s="20">
        <f>P117</f>
        <v>2.3770000000000002E-3</v>
      </c>
      <c r="E121" s="20">
        <f>P118</f>
        <v>3.5790000000000001E-3</v>
      </c>
      <c r="F121" s="20">
        <f>P119</f>
        <v>4.5649999999999996E-3</v>
      </c>
      <c r="G121" s="21">
        <f>P120</f>
        <v>5.5339999999999999E-3</v>
      </c>
      <c r="N121" s="76">
        <v>13</v>
      </c>
      <c r="O121" s="77" t="s">
        <v>64</v>
      </c>
      <c r="P121" s="78">
        <v>0</v>
      </c>
    </row>
    <row r="122" spans="1:16" x14ac:dyDescent="0.25">
      <c r="A122" s="4" t="s">
        <v>60</v>
      </c>
      <c r="B122" s="20">
        <f>P121</f>
        <v>0</v>
      </c>
      <c r="C122" s="20">
        <f>P122</f>
        <v>2.029E-3</v>
      </c>
      <c r="D122" s="20">
        <f>P123</f>
        <v>2.9239999999999999E-3</v>
      </c>
      <c r="E122" s="20">
        <f>P124</f>
        <v>4.5649999999999996E-3</v>
      </c>
      <c r="F122" s="20">
        <f>P125</f>
        <v>6.313E-3</v>
      </c>
      <c r="G122" s="21">
        <f>P126</f>
        <v>7.8440000000000003E-3</v>
      </c>
      <c r="N122" s="76">
        <v>13</v>
      </c>
      <c r="O122" s="77" t="s">
        <v>65</v>
      </c>
      <c r="P122" s="78">
        <v>2.029E-3</v>
      </c>
    </row>
    <row r="123" spans="1:16" ht="15.75" thickBot="1" x14ac:dyDescent="0.3">
      <c r="A123" s="6" t="s">
        <v>61</v>
      </c>
      <c r="B123" s="22">
        <f>P127</f>
        <v>0</v>
      </c>
      <c r="C123" s="22">
        <f>P128</f>
        <v>2.323E-3</v>
      </c>
      <c r="D123" s="22">
        <f>P129</f>
        <v>3.4629999999999999E-3</v>
      </c>
      <c r="E123" s="22">
        <f>P130</f>
        <v>5.5339999999999999E-3</v>
      </c>
      <c r="F123" s="22">
        <f>P131</f>
        <v>7.8440000000000003E-3</v>
      </c>
      <c r="G123" s="23">
        <f>P132</f>
        <v>1.0266000000000001E-2</v>
      </c>
      <c r="N123" s="76">
        <v>13</v>
      </c>
      <c r="O123" s="77" t="s">
        <v>66</v>
      </c>
      <c r="P123" s="79">
        <v>2.9239999999999999E-3</v>
      </c>
    </row>
    <row r="124" spans="1:16" x14ac:dyDescent="0.25">
      <c r="N124" s="76">
        <v>13</v>
      </c>
      <c r="O124" s="77" t="s">
        <v>67</v>
      </c>
      <c r="P124" s="78">
        <v>4.5649999999999996E-3</v>
      </c>
    </row>
    <row r="125" spans="1:16" ht="15.75" thickBot="1" x14ac:dyDescent="0.3">
      <c r="N125" s="76">
        <v>13</v>
      </c>
      <c r="O125" s="77" t="s">
        <v>68</v>
      </c>
      <c r="P125" s="80">
        <v>6.313E-3</v>
      </c>
    </row>
    <row r="126" spans="1:16" ht="15.75" thickTop="1" x14ac:dyDescent="0.25">
      <c r="A126" s="115" t="s">
        <v>71</v>
      </c>
      <c r="B126" s="116"/>
      <c r="C126" s="116"/>
      <c r="D126" s="116"/>
      <c r="E126" s="116"/>
      <c r="F126" s="116"/>
      <c r="G126" s="117"/>
      <c r="N126" s="76">
        <v>13</v>
      </c>
      <c r="O126" s="77" t="s">
        <v>69</v>
      </c>
      <c r="P126" s="78">
        <v>7.8440000000000003E-3</v>
      </c>
    </row>
    <row r="127" spans="1:16" x14ac:dyDescent="0.25">
      <c r="A127" s="54"/>
      <c r="B127" s="1" t="s">
        <v>64</v>
      </c>
      <c r="C127" s="1" t="s">
        <v>65</v>
      </c>
      <c r="D127" s="1" t="s">
        <v>66</v>
      </c>
      <c r="E127" s="1" t="s">
        <v>67</v>
      </c>
      <c r="F127" s="1" t="s">
        <v>68</v>
      </c>
      <c r="G127" s="55" t="s">
        <v>69</v>
      </c>
      <c r="N127" s="76">
        <v>14</v>
      </c>
      <c r="O127" s="77" t="s">
        <v>64</v>
      </c>
      <c r="P127" s="78">
        <v>0</v>
      </c>
    </row>
    <row r="128" spans="1:16" x14ac:dyDescent="0.25">
      <c r="A128" s="54" t="s">
        <v>56</v>
      </c>
      <c r="B128" s="20">
        <f t="array" ref="B128:G133">B118:G123/J118</f>
        <v>0</v>
      </c>
      <c r="C128" s="20">
        <v>5.7900000000000001E-9</v>
      </c>
      <c r="D128" s="20">
        <v>3.8499999999999997E-9</v>
      </c>
      <c r="E128" s="20">
        <v>4.4500000000000001E-9</v>
      </c>
      <c r="F128" s="20">
        <v>5.0299999999999994E-9</v>
      </c>
      <c r="G128" s="56">
        <v>5.6099999999999994E-9</v>
      </c>
      <c r="N128" s="76">
        <v>14</v>
      </c>
      <c r="O128" s="77" t="s">
        <v>65</v>
      </c>
      <c r="P128" s="78">
        <v>2.323E-3</v>
      </c>
    </row>
    <row r="129" spans="1:16" x14ac:dyDescent="0.25">
      <c r="A129" s="54" t="s">
        <v>57</v>
      </c>
      <c r="B129" s="20">
        <v>0</v>
      </c>
      <c r="C129" s="20">
        <v>1.1059999999999999E-8</v>
      </c>
      <c r="D129" s="20">
        <v>1.0399999999999999E-8</v>
      </c>
      <c r="E129" s="20">
        <v>1.2849999999999999E-8</v>
      </c>
      <c r="F129" s="20">
        <v>1.5250000000000001E-8</v>
      </c>
      <c r="G129" s="56">
        <v>1.7619999999999998E-8</v>
      </c>
      <c r="N129" s="76">
        <v>14</v>
      </c>
      <c r="O129" s="77" t="s">
        <v>66</v>
      </c>
      <c r="P129" s="79">
        <v>3.4629999999999999E-3</v>
      </c>
    </row>
    <row r="130" spans="1:16" x14ac:dyDescent="0.25">
      <c r="A130" s="54" t="s">
        <v>58</v>
      </c>
      <c r="B130" s="20">
        <v>0</v>
      </c>
      <c r="C130" s="20">
        <v>1.4239999999999999E-8</v>
      </c>
      <c r="D130" s="20">
        <v>1.8140000000000002E-8</v>
      </c>
      <c r="E130" s="20">
        <v>2.377E-8</v>
      </c>
      <c r="F130" s="20">
        <v>2.9239999999999999E-8</v>
      </c>
      <c r="G130" s="56">
        <v>3.463E-8</v>
      </c>
      <c r="N130" s="76">
        <v>14</v>
      </c>
      <c r="O130" s="77" t="s">
        <v>67</v>
      </c>
      <c r="P130" s="78">
        <v>5.5339999999999999E-3</v>
      </c>
    </row>
    <row r="131" spans="1:16" x14ac:dyDescent="0.25">
      <c r="A131" s="54" t="s">
        <v>59</v>
      </c>
      <c r="B131" s="20">
        <v>0</v>
      </c>
      <c r="C131" s="20">
        <v>1.7299999999999999E-8</v>
      </c>
      <c r="D131" s="20">
        <v>2.377E-8</v>
      </c>
      <c r="E131" s="20">
        <v>3.5789999999999998E-8</v>
      </c>
      <c r="F131" s="20">
        <v>4.5649999999999995E-8</v>
      </c>
      <c r="G131" s="56">
        <v>5.5339999999999998E-8</v>
      </c>
      <c r="N131" s="76">
        <v>14</v>
      </c>
      <c r="O131" s="77" t="s">
        <v>68</v>
      </c>
      <c r="P131" s="80">
        <v>7.8440000000000003E-3</v>
      </c>
    </row>
    <row r="132" spans="1:16" ht="15.75" thickBot="1" x14ac:dyDescent="0.3">
      <c r="A132" s="54" t="s">
        <v>60</v>
      </c>
      <c r="B132" s="20">
        <v>0</v>
      </c>
      <c r="C132" s="20">
        <v>2.0289999999999998E-8</v>
      </c>
      <c r="D132" s="20">
        <v>2.9239999999999999E-8</v>
      </c>
      <c r="E132" s="20">
        <v>4.5649999999999995E-8</v>
      </c>
      <c r="F132" s="20">
        <v>6.3129999999999997E-8</v>
      </c>
      <c r="G132" s="56">
        <v>7.8440000000000006E-8</v>
      </c>
      <c r="N132" s="81">
        <v>14</v>
      </c>
      <c r="O132" s="82" t="s">
        <v>69</v>
      </c>
      <c r="P132" s="83">
        <v>1.0266000000000001E-2</v>
      </c>
    </row>
    <row r="133" spans="1:16" ht="15.75" thickBot="1" x14ac:dyDescent="0.3">
      <c r="A133" s="57" t="s">
        <v>61</v>
      </c>
      <c r="B133" s="58">
        <v>0</v>
      </c>
      <c r="C133" s="58">
        <v>2.323E-8</v>
      </c>
      <c r="D133" s="58">
        <v>3.463E-8</v>
      </c>
      <c r="E133" s="58">
        <v>5.5339999999999998E-8</v>
      </c>
      <c r="F133" s="58">
        <v>7.8440000000000006E-8</v>
      </c>
      <c r="G133" s="59">
        <v>1.0266000000000001E-7</v>
      </c>
    </row>
    <row r="134" spans="1:16" ht="15.75" thickTop="1" x14ac:dyDescent="0.25"/>
    <row r="135" spans="1:16" ht="13.9" customHeight="1" thickBot="1" x14ac:dyDescent="0.3"/>
    <row r="136" spans="1:16" ht="16.5" thickTop="1" thickBot="1" x14ac:dyDescent="0.3">
      <c r="A136" s="107" t="s">
        <v>72</v>
      </c>
      <c r="B136" s="108"/>
      <c r="C136" s="108"/>
      <c r="D136" s="108"/>
      <c r="E136" s="108"/>
      <c r="F136" s="108"/>
      <c r="G136" s="109"/>
    </row>
    <row r="137" spans="1:16" x14ac:dyDescent="0.25">
      <c r="A137" s="54"/>
      <c r="B137" s="1" t="s">
        <v>64</v>
      </c>
      <c r="C137" s="1" t="s">
        <v>65</v>
      </c>
      <c r="D137" s="1" t="s">
        <v>66</v>
      </c>
      <c r="E137" s="1" t="s">
        <v>67</v>
      </c>
      <c r="F137" s="1" t="s">
        <v>68</v>
      </c>
      <c r="G137" s="55" t="s">
        <v>69</v>
      </c>
      <c r="K137" s="73">
        <v>9</v>
      </c>
      <c r="L137" s="12">
        <v>1</v>
      </c>
      <c r="M137" s="84">
        <v>-7.5799999999999999E-4</v>
      </c>
    </row>
    <row r="138" spans="1:16" x14ac:dyDescent="0.25">
      <c r="A138" s="54" t="s">
        <v>56</v>
      </c>
      <c r="B138" s="20" t="e">
        <f t="array" ref="B138:G143">B128:G133/J128</f>
        <v>#DIV/0!</v>
      </c>
      <c r="C138" s="20" t="e">
        <v>#DIV/0!</v>
      </c>
      <c r="D138" s="20" t="e">
        <v>#DIV/0!</v>
      </c>
      <c r="E138" s="20" t="e">
        <v>#DIV/0!</v>
      </c>
      <c r="F138" s="20" t="e">
        <v>#DIV/0!</v>
      </c>
      <c r="G138" s="56" t="e">
        <v>#DIV/0!</v>
      </c>
      <c r="K138" s="76">
        <v>9</v>
      </c>
      <c r="L138">
        <v>2</v>
      </c>
      <c r="M138" s="5">
        <v>4.0359999999999997E-3</v>
      </c>
    </row>
    <row r="139" spans="1:16" x14ac:dyDescent="0.25">
      <c r="A139" s="54" t="s">
        <v>57</v>
      </c>
      <c r="B139" s="20" t="e">
        <v>#DIV/0!</v>
      </c>
      <c r="C139" s="20" t="e">
        <v>#DIV/0!</v>
      </c>
      <c r="D139" s="20" t="e">
        <v>#DIV/0!</v>
      </c>
      <c r="E139" s="20" t="e">
        <v>#DIV/0!</v>
      </c>
      <c r="F139" s="20" t="e">
        <v>#DIV/0!</v>
      </c>
      <c r="G139" s="56" t="e">
        <v>#DIV/0!</v>
      </c>
      <c r="K139" s="76">
        <v>9</v>
      </c>
      <c r="L139">
        <v>3</v>
      </c>
      <c r="M139" s="85">
        <v>3.8000000000000002E-5</v>
      </c>
    </row>
    <row r="140" spans="1:16" x14ac:dyDescent="0.25">
      <c r="A140" s="54" t="s">
        <v>58</v>
      </c>
      <c r="B140" s="20" t="e">
        <v>#DIV/0!</v>
      </c>
      <c r="C140" s="20" t="e">
        <v>#DIV/0!</v>
      </c>
      <c r="D140" s="20" t="e">
        <v>#DIV/0!</v>
      </c>
      <c r="E140" s="20" t="e">
        <v>#DIV/0!</v>
      </c>
      <c r="F140" s="20" t="e">
        <v>#DIV/0!</v>
      </c>
      <c r="G140" s="56" t="e">
        <v>#DIV/0!</v>
      </c>
      <c r="K140" s="76">
        <v>9</v>
      </c>
      <c r="L140">
        <v>4</v>
      </c>
      <c r="M140" s="5">
        <v>1.5100000000000001E-4</v>
      </c>
    </row>
    <row r="141" spans="1:16" x14ac:dyDescent="0.25">
      <c r="A141" s="54" t="s">
        <v>59</v>
      </c>
      <c r="B141" s="20" t="e">
        <v>#DIV/0!</v>
      </c>
      <c r="C141" s="20" t="e">
        <v>#DIV/0!</v>
      </c>
      <c r="D141" s="20" t="e">
        <v>#DIV/0!</v>
      </c>
      <c r="E141" s="20" t="e">
        <v>#DIV/0!</v>
      </c>
      <c r="F141" s="20" t="e">
        <v>#DIV/0!</v>
      </c>
      <c r="G141" s="56" t="e">
        <v>#DIV/0!</v>
      </c>
      <c r="K141" s="76">
        <v>9</v>
      </c>
      <c r="L141">
        <v>5</v>
      </c>
      <c r="M141" s="86">
        <v>-7.646E-3</v>
      </c>
    </row>
    <row r="142" spans="1:16" x14ac:dyDescent="0.25">
      <c r="A142" s="54" t="s">
        <v>60</v>
      </c>
      <c r="B142" s="20" t="e">
        <v>#DIV/0!</v>
      </c>
      <c r="C142" s="20" t="e">
        <v>#DIV/0!</v>
      </c>
      <c r="D142" s="20" t="e">
        <v>#DIV/0!</v>
      </c>
      <c r="E142" s="20" t="e">
        <v>#DIV/0!</v>
      </c>
      <c r="F142" s="20" t="e">
        <v>#DIV/0!</v>
      </c>
      <c r="G142" s="56" t="e">
        <v>#DIV/0!</v>
      </c>
      <c r="K142" s="76">
        <v>9</v>
      </c>
      <c r="L142">
        <v>6</v>
      </c>
      <c r="M142" s="5">
        <v>8.1089999999999999E-3</v>
      </c>
    </row>
    <row r="143" spans="1:16" ht="15.75" thickBot="1" x14ac:dyDescent="0.3">
      <c r="A143" s="57" t="s">
        <v>61</v>
      </c>
      <c r="B143" s="58" t="e">
        <v>#DIV/0!</v>
      </c>
      <c r="C143" s="58" t="e">
        <v>#DIV/0!</v>
      </c>
      <c r="D143" s="58" t="e">
        <v>#DIV/0!</v>
      </c>
      <c r="E143" s="58" t="e">
        <v>#DIV/0!</v>
      </c>
      <c r="F143" s="58" t="e">
        <v>#DIV/0!</v>
      </c>
      <c r="G143" s="59" t="e">
        <v>#DIV/0!</v>
      </c>
      <c r="K143" s="76">
        <v>10</v>
      </c>
      <c r="L143">
        <v>1</v>
      </c>
      <c r="M143" s="87">
        <v>-2.235E-3</v>
      </c>
    </row>
    <row r="144" spans="1:16" ht="15.75" thickTop="1" x14ac:dyDescent="0.25">
      <c r="K144" s="76">
        <v>10</v>
      </c>
      <c r="L144">
        <v>2</v>
      </c>
      <c r="M144" s="5">
        <v>7.4770000000000001E-3</v>
      </c>
    </row>
    <row r="145" spans="1:13" x14ac:dyDescent="0.25">
      <c r="K145" s="76">
        <v>10</v>
      </c>
      <c r="L145">
        <v>3</v>
      </c>
      <c r="M145" s="85">
        <v>6.8999999999999997E-5</v>
      </c>
    </row>
    <row r="146" spans="1:13" x14ac:dyDescent="0.25">
      <c r="K146" s="76">
        <v>10</v>
      </c>
      <c r="L146">
        <v>4</v>
      </c>
      <c r="M146" s="5">
        <v>2.7E-4</v>
      </c>
    </row>
    <row r="147" spans="1:13" x14ac:dyDescent="0.25">
      <c r="A147" s="134" t="s">
        <v>73</v>
      </c>
      <c r="B147" s="134"/>
      <c r="C147" s="134"/>
      <c r="D147" s="134"/>
      <c r="E147" s="134"/>
      <c r="F147" s="134"/>
      <c r="G147" s="134"/>
      <c r="K147" s="76">
        <v>10</v>
      </c>
      <c r="L147">
        <v>5</v>
      </c>
      <c r="M147" s="86">
        <v>-7.45E-3</v>
      </c>
    </row>
    <row r="148" spans="1:13" ht="15.75" thickBot="1" x14ac:dyDescent="0.3">
      <c r="K148" s="76">
        <v>10</v>
      </c>
      <c r="L148">
        <v>6</v>
      </c>
      <c r="M148" s="5">
        <v>-7.85E-4</v>
      </c>
    </row>
    <row r="149" spans="1:13" ht="15.75" thickBot="1" x14ac:dyDescent="0.3">
      <c r="A149" s="125" t="s">
        <v>74</v>
      </c>
      <c r="B149" s="126"/>
      <c r="C149" s="126"/>
      <c r="D149" s="126"/>
      <c r="E149" s="126"/>
      <c r="F149" s="126"/>
      <c r="G149" s="127"/>
      <c r="K149" s="76">
        <v>11</v>
      </c>
      <c r="L149">
        <v>1</v>
      </c>
      <c r="M149" s="87">
        <v>-4.1879999999999999E-3</v>
      </c>
    </row>
    <row r="150" spans="1:13" x14ac:dyDescent="0.25">
      <c r="A150" s="4"/>
      <c r="B150" s="1" t="s">
        <v>75</v>
      </c>
      <c r="C150" s="1" t="s">
        <v>77</v>
      </c>
      <c r="D150" s="1" t="s">
        <v>78</v>
      </c>
      <c r="E150" s="1" t="s">
        <v>79</v>
      </c>
      <c r="F150" s="1" t="s">
        <v>80</v>
      </c>
      <c r="G150" s="16" t="s">
        <v>76</v>
      </c>
      <c r="I150" s="32" t="s">
        <v>87</v>
      </c>
      <c r="K150" s="76">
        <v>11</v>
      </c>
      <c r="L150">
        <v>2</v>
      </c>
      <c r="M150" s="5">
        <v>7.8429999999999993E-3</v>
      </c>
    </row>
    <row r="151" spans="1:13" x14ac:dyDescent="0.25">
      <c r="A151" s="4" t="s">
        <v>81</v>
      </c>
      <c r="B151" s="60">
        <f>M137</f>
        <v>-7.5799999999999999E-4</v>
      </c>
      <c r="C151" s="60">
        <f>M138</f>
        <v>4.0359999999999997E-3</v>
      </c>
      <c r="D151" s="61">
        <f>M139</f>
        <v>3.8000000000000002E-5</v>
      </c>
      <c r="E151" s="60">
        <f>M140</f>
        <v>1.5100000000000001E-4</v>
      </c>
      <c r="F151" s="60">
        <f>M141</f>
        <v>-7.646E-3</v>
      </c>
      <c r="G151" s="25">
        <f>M142</f>
        <v>8.1089999999999999E-3</v>
      </c>
      <c r="I151" s="17">
        <v>0.180896</v>
      </c>
      <c r="K151" s="76">
        <v>11</v>
      </c>
      <c r="L151">
        <v>3</v>
      </c>
      <c r="M151" s="85">
        <v>6.7000000000000002E-5</v>
      </c>
    </row>
    <row r="152" spans="1:13" x14ac:dyDescent="0.25">
      <c r="A152" s="4" t="s">
        <v>82</v>
      </c>
      <c r="B152" s="60">
        <f>M143</f>
        <v>-2.235E-3</v>
      </c>
      <c r="C152" s="60">
        <f>M144</f>
        <v>7.4770000000000001E-3</v>
      </c>
      <c r="D152" s="61">
        <f>M145</f>
        <v>6.8999999999999997E-5</v>
      </c>
      <c r="E152" s="60">
        <f>M146</f>
        <v>2.7E-4</v>
      </c>
      <c r="F152" s="60">
        <f>M147</f>
        <v>-7.45E-3</v>
      </c>
      <c r="G152" s="25">
        <f>M148</f>
        <v>-7.85E-4</v>
      </c>
      <c r="I152" s="17">
        <v>4.3832999999999997E-2</v>
      </c>
      <c r="K152" s="76">
        <v>11</v>
      </c>
      <c r="L152">
        <v>4</v>
      </c>
      <c r="M152" s="5">
        <v>2.5799999999999998E-4</v>
      </c>
    </row>
    <row r="153" spans="1:13" x14ac:dyDescent="0.25">
      <c r="A153" s="4" t="s">
        <v>83</v>
      </c>
      <c r="B153" s="60">
        <f>M149</f>
        <v>-4.1879999999999999E-3</v>
      </c>
      <c r="C153" s="60">
        <f>M150</f>
        <v>7.8429999999999993E-3</v>
      </c>
      <c r="D153" s="61">
        <f>M151</f>
        <v>6.7000000000000002E-5</v>
      </c>
      <c r="E153" s="60">
        <f>M152</f>
        <v>2.5799999999999998E-4</v>
      </c>
      <c r="F153" s="60">
        <f>M153</f>
        <v>1.0629999999999999E-3</v>
      </c>
      <c r="G153" s="25">
        <f>M154</f>
        <v>-8.1899999999999994E-3</v>
      </c>
      <c r="I153" s="17">
        <v>3.7606000000000001E-2</v>
      </c>
      <c r="K153" s="76">
        <v>11</v>
      </c>
      <c r="L153">
        <v>5</v>
      </c>
      <c r="M153" s="86">
        <v>1.0629999999999999E-3</v>
      </c>
    </row>
    <row r="154" spans="1:13" x14ac:dyDescent="0.25">
      <c r="A154" s="4" t="s">
        <v>84</v>
      </c>
      <c r="B154" s="60">
        <f>M155</f>
        <v>-6.3959999999999998E-3</v>
      </c>
      <c r="C154" s="60">
        <f>M156</f>
        <v>4.3949999999999996E-3</v>
      </c>
      <c r="D154" s="61">
        <f>M157</f>
        <v>2.6999999999999999E-5</v>
      </c>
      <c r="E154" s="60">
        <f>M158</f>
        <v>1E-4</v>
      </c>
      <c r="F154" s="60">
        <f>M159</f>
        <v>7.1000000000000004E-3</v>
      </c>
      <c r="G154" s="25">
        <f>M160</f>
        <v>1.567E-3</v>
      </c>
      <c r="I154" s="17">
        <v>3.6829000000000001E-2</v>
      </c>
      <c r="K154" s="76">
        <v>11</v>
      </c>
      <c r="L154">
        <v>6</v>
      </c>
      <c r="M154" s="5">
        <v>-8.1899999999999994E-3</v>
      </c>
    </row>
    <row r="155" spans="1:13" x14ac:dyDescent="0.25">
      <c r="A155" s="4" t="s">
        <v>85</v>
      </c>
      <c r="B155" s="60">
        <f>M161</f>
        <v>-8.6739999999999994E-3</v>
      </c>
      <c r="C155" s="60">
        <f>M162</f>
        <v>-1.7880000000000001E-3</v>
      </c>
      <c r="D155" s="61">
        <f>M163</f>
        <v>-3.3000000000000003E-5</v>
      </c>
      <c r="E155" s="60">
        <f>M164</f>
        <v>-1.3300000000000001E-4</v>
      </c>
      <c r="F155" s="60">
        <f>M165</f>
        <v>2.6800000000000001E-3</v>
      </c>
      <c r="G155" s="25">
        <f>M166</f>
        <v>6.7660000000000003E-3</v>
      </c>
      <c r="I155" s="17">
        <v>2.0688999999999999E-2</v>
      </c>
      <c r="K155" s="76">
        <v>12</v>
      </c>
      <c r="L155">
        <v>1</v>
      </c>
      <c r="M155" s="87">
        <v>-6.3959999999999998E-3</v>
      </c>
    </row>
    <row r="156" spans="1:13" ht="15.75" thickBot="1" x14ac:dyDescent="0.3">
      <c r="A156" s="6" t="s">
        <v>86</v>
      </c>
      <c r="B156" s="26">
        <f>M167</f>
        <v>-1.0881E-2</v>
      </c>
      <c r="C156" s="26">
        <f>M169</f>
        <v>-8.4670000000000006E-3</v>
      </c>
      <c r="D156" s="28">
        <f>M170</f>
        <v>-8.8999999999999995E-5</v>
      </c>
      <c r="E156" s="26">
        <f>M171</f>
        <v>-3.4499999999999998E-4</v>
      </c>
      <c r="F156" s="26">
        <f>M172</f>
        <v>-7.2820000000000003E-3</v>
      </c>
      <c r="G156" s="27">
        <f>M173</f>
        <v>-4.5560000000000002E-3</v>
      </c>
      <c r="I156" s="30">
        <v>1.3842999999999999E-2</v>
      </c>
      <c r="K156" s="76">
        <v>12</v>
      </c>
      <c r="L156">
        <v>2</v>
      </c>
      <c r="M156" s="5">
        <v>4.3949999999999996E-3</v>
      </c>
    </row>
    <row r="157" spans="1:13" x14ac:dyDescent="0.25">
      <c r="C157" s="29"/>
      <c r="K157" s="76">
        <v>12</v>
      </c>
      <c r="L157">
        <v>3</v>
      </c>
      <c r="M157" s="85">
        <v>2.6999999999999999E-5</v>
      </c>
    </row>
    <row r="158" spans="1:13" ht="15.75" thickBot="1" x14ac:dyDescent="0.3">
      <c r="K158" s="76">
        <v>12</v>
      </c>
      <c r="L158">
        <v>4</v>
      </c>
      <c r="M158" s="5">
        <v>1E-4</v>
      </c>
    </row>
    <row r="159" spans="1:13" x14ac:dyDescent="0.25">
      <c r="A159" s="125" t="s">
        <v>89</v>
      </c>
      <c r="B159" s="126"/>
      <c r="C159" s="126"/>
      <c r="D159" s="126"/>
      <c r="E159" s="126"/>
      <c r="F159" s="126"/>
      <c r="G159" s="127"/>
      <c r="I159" s="123" t="s">
        <v>88</v>
      </c>
      <c r="K159" s="76">
        <v>12</v>
      </c>
      <c r="L159">
        <v>5</v>
      </c>
      <c r="M159" s="86">
        <v>7.1000000000000004E-3</v>
      </c>
    </row>
    <row r="160" spans="1:13" x14ac:dyDescent="0.25">
      <c r="A160" s="4"/>
      <c r="B160" s="1" t="s">
        <v>75</v>
      </c>
      <c r="C160" s="1" t="s">
        <v>77</v>
      </c>
      <c r="D160" s="1" t="s">
        <v>78</v>
      </c>
      <c r="E160" s="1" t="s">
        <v>79</v>
      </c>
      <c r="F160" s="1" t="s">
        <v>80</v>
      </c>
      <c r="G160" s="16" t="s">
        <v>76</v>
      </c>
      <c r="I160" s="124"/>
      <c r="K160" s="76">
        <v>12</v>
      </c>
      <c r="L160">
        <v>6</v>
      </c>
      <c r="M160" s="5">
        <v>1.567E-3</v>
      </c>
    </row>
    <row r="161" spans="1:13" x14ac:dyDescent="0.25">
      <c r="A161" s="4" t="s">
        <v>81</v>
      </c>
      <c r="B161" s="60">
        <f t="array" ref="B161:G166">TRANSPOSE(B151:G156)</f>
        <v>-7.5799999999999999E-4</v>
      </c>
      <c r="C161" s="60">
        <v>-2.235E-3</v>
      </c>
      <c r="D161" s="61">
        <v>-4.1879999999999999E-3</v>
      </c>
      <c r="E161" s="60">
        <v>-6.3959999999999998E-3</v>
      </c>
      <c r="F161" s="60">
        <v>-8.6739999999999994E-3</v>
      </c>
      <c r="G161" s="25">
        <v>-1.0881E-2</v>
      </c>
      <c r="I161" s="17">
        <f t="array" ref="I161:I166">MMULT(B109:G114,I109:I114)</f>
        <v>4553.720693170234</v>
      </c>
      <c r="K161" s="76">
        <v>13</v>
      </c>
      <c r="L161">
        <v>1</v>
      </c>
      <c r="M161" s="87">
        <v>-8.6739999999999994E-3</v>
      </c>
    </row>
    <row r="162" spans="1:13" x14ac:dyDescent="0.25">
      <c r="A162" s="4" t="s">
        <v>82</v>
      </c>
      <c r="B162" s="60">
        <v>4.0359999999999997E-3</v>
      </c>
      <c r="C162" s="60">
        <v>7.4770000000000001E-3</v>
      </c>
      <c r="D162" s="61">
        <v>7.8429999999999993E-3</v>
      </c>
      <c r="E162" s="60">
        <v>4.3949999999999996E-3</v>
      </c>
      <c r="F162" s="60">
        <v>-1.7880000000000001E-3</v>
      </c>
      <c r="G162" s="25">
        <v>-8.4670000000000006E-3</v>
      </c>
      <c r="I162" s="17">
        <v>4553.720693170234</v>
      </c>
      <c r="K162" s="76">
        <v>13</v>
      </c>
      <c r="L162">
        <v>2</v>
      </c>
      <c r="M162" s="5">
        <v>-1.7880000000000001E-3</v>
      </c>
    </row>
    <row r="163" spans="1:13" x14ac:dyDescent="0.25">
      <c r="A163" s="4" t="s">
        <v>83</v>
      </c>
      <c r="B163" s="60">
        <v>3.8000000000000002E-5</v>
      </c>
      <c r="C163" s="60">
        <v>6.8999999999999997E-5</v>
      </c>
      <c r="D163" s="61">
        <v>6.7000000000000002E-5</v>
      </c>
      <c r="E163" s="60">
        <v>2.6999999999999999E-5</v>
      </c>
      <c r="F163" s="60">
        <v>-3.3000000000000003E-5</v>
      </c>
      <c r="G163" s="25">
        <v>-8.8999999999999995E-5</v>
      </c>
      <c r="I163" s="17">
        <v>4553.720693170234</v>
      </c>
      <c r="K163" s="76">
        <v>13</v>
      </c>
      <c r="L163">
        <v>3</v>
      </c>
      <c r="M163" s="85">
        <v>-3.3000000000000003E-5</v>
      </c>
    </row>
    <row r="164" spans="1:13" x14ac:dyDescent="0.25">
      <c r="A164" s="4" t="s">
        <v>84</v>
      </c>
      <c r="B164" s="60">
        <v>1.5100000000000001E-4</v>
      </c>
      <c r="C164" s="60">
        <v>2.7E-4</v>
      </c>
      <c r="D164" s="61">
        <v>2.5799999999999998E-4</v>
      </c>
      <c r="E164" s="60">
        <v>1E-4</v>
      </c>
      <c r="F164" s="60">
        <v>-1.3300000000000001E-4</v>
      </c>
      <c r="G164" s="25">
        <v>-3.4499999999999998E-4</v>
      </c>
      <c r="I164" s="17">
        <v>4553.720693170234</v>
      </c>
      <c r="K164" s="76">
        <v>13</v>
      </c>
      <c r="L164">
        <v>4</v>
      </c>
      <c r="M164" s="5">
        <v>-1.3300000000000001E-4</v>
      </c>
    </row>
    <row r="165" spans="1:13" x14ac:dyDescent="0.25">
      <c r="A165" s="4" t="s">
        <v>85</v>
      </c>
      <c r="B165" s="60">
        <v>-7.646E-3</v>
      </c>
      <c r="C165" s="60">
        <v>-7.45E-3</v>
      </c>
      <c r="D165" s="61">
        <v>1.0629999999999999E-3</v>
      </c>
      <c r="E165" s="60">
        <v>7.1000000000000004E-3</v>
      </c>
      <c r="F165" s="60">
        <v>2.6800000000000001E-3</v>
      </c>
      <c r="G165" s="25">
        <v>-7.2820000000000003E-3</v>
      </c>
      <c r="I165" s="17">
        <v>4553.720693170234</v>
      </c>
      <c r="K165" s="76">
        <v>13</v>
      </c>
      <c r="L165">
        <v>5</v>
      </c>
      <c r="M165" s="86">
        <v>2.6800000000000001E-3</v>
      </c>
    </row>
    <row r="166" spans="1:13" ht="15.75" thickBot="1" x14ac:dyDescent="0.3">
      <c r="A166" s="6" t="s">
        <v>86</v>
      </c>
      <c r="B166" s="26">
        <v>8.1089999999999999E-3</v>
      </c>
      <c r="C166" s="26">
        <v>-7.85E-4</v>
      </c>
      <c r="D166" s="28">
        <v>-8.1899999999999994E-3</v>
      </c>
      <c r="E166" s="26">
        <v>1.567E-3</v>
      </c>
      <c r="F166" s="26">
        <v>6.7660000000000003E-3</v>
      </c>
      <c r="G166" s="27">
        <v>-4.5560000000000002E-3</v>
      </c>
      <c r="I166" s="30">
        <v>4250.3567787971451</v>
      </c>
      <c r="K166" s="76">
        <v>13</v>
      </c>
      <c r="L166">
        <v>6</v>
      </c>
      <c r="M166" s="5">
        <v>6.7660000000000003E-3</v>
      </c>
    </row>
    <row r="167" spans="1:13" x14ac:dyDescent="0.25">
      <c r="K167" s="76">
        <v>14</v>
      </c>
      <c r="L167">
        <v>1</v>
      </c>
      <c r="M167" s="87">
        <v>-1.0881E-2</v>
      </c>
    </row>
    <row r="168" spans="1:13" x14ac:dyDescent="0.25">
      <c r="B168" s="130" t="s">
        <v>92</v>
      </c>
      <c r="C168" s="130"/>
      <c r="D168" s="130"/>
      <c r="E168" s="130"/>
      <c r="F168" s="130"/>
      <c r="G168" s="130"/>
      <c r="H168" s="130"/>
      <c r="K168" s="76"/>
      <c r="M168" s="87"/>
    </row>
    <row r="169" spans="1:13" ht="15.75" thickBot="1" x14ac:dyDescent="0.3">
      <c r="K169" s="76">
        <v>14</v>
      </c>
      <c r="L169">
        <v>2</v>
      </c>
      <c r="M169" s="5">
        <v>-8.4670000000000006E-3</v>
      </c>
    </row>
    <row r="170" spans="1:13" x14ac:dyDescent="0.25">
      <c r="A170" s="125" t="s">
        <v>91</v>
      </c>
      <c r="B170" s="126"/>
      <c r="C170" s="126"/>
      <c r="D170" s="126"/>
      <c r="E170" s="126"/>
      <c r="F170" s="126"/>
      <c r="G170" s="127"/>
      <c r="I170" s="128" t="s">
        <v>90</v>
      </c>
      <c r="K170" s="76">
        <v>14</v>
      </c>
      <c r="L170">
        <v>3</v>
      </c>
      <c r="M170" s="85">
        <v>-8.8999999999999995E-5</v>
      </c>
    </row>
    <row r="171" spans="1:13" x14ac:dyDescent="0.25">
      <c r="A171" s="4"/>
      <c r="B171" s="1"/>
      <c r="C171" s="1"/>
      <c r="D171" s="1"/>
      <c r="E171" s="1"/>
      <c r="F171" s="1"/>
      <c r="G171" s="16"/>
      <c r="I171" s="129"/>
      <c r="K171" s="76">
        <v>14</v>
      </c>
      <c r="L171">
        <v>4</v>
      </c>
      <c r="M171" s="5">
        <v>-3.4499999999999998E-4</v>
      </c>
    </row>
    <row r="172" spans="1:13" x14ac:dyDescent="0.25">
      <c r="A172" s="4" t="s">
        <v>81</v>
      </c>
      <c r="B172" s="60">
        <f t="array" ref="B172:G177">MMULT(B109:G114,B151:G156)</f>
        <v>-3.4517202854230371</v>
      </c>
      <c r="C172" s="60">
        <v>18.378816717635061</v>
      </c>
      <c r="D172" s="61">
        <v>0.17304138634046889</v>
      </c>
      <c r="E172" s="60">
        <v>0.68761182466870541</v>
      </c>
      <c r="F172" s="60">
        <v>-34.817748419979608</v>
      </c>
      <c r="G172" s="25">
        <v>36.926121100917427</v>
      </c>
      <c r="I172" s="88">
        <f t="array" ref="I172">MMULT(B161:G161,B172:B177)</f>
        <v>1.1373598789251782</v>
      </c>
      <c r="K172" s="76">
        <v>14</v>
      </c>
      <c r="L172">
        <v>5</v>
      </c>
      <c r="M172" s="86">
        <v>-7.2820000000000003E-3</v>
      </c>
    </row>
    <row r="173" spans="1:13" ht="15.75" thickBot="1" x14ac:dyDescent="0.3">
      <c r="A173" s="4" t="s">
        <v>82</v>
      </c>
      <c r="B173" s="60">
        <v>-10.177565749235473</v>
      </c>
      <c r="C173" s="60">
        <v>34.048169622833839</v>
      </c>
      <c r="D173" s="61">
        <v>0.31420672782874615</v>
      </c>
      <c r="E173" s="60">
        <v>1.2295045871559631</v>
      </c>
      <c r="F173" s="60">
        <v>-33.925219164118246</v>
      </c>
      <c r="G173" s="25">
        <v>-3.5746707441386336</v>
      </c>
      <c r="I173" s="88">
        <f t="array" ref="I173">MMULT(B162:G162,C172:C177)</f>
        <v>1.0160927197390417</v>
      </c>
      <c r="K173" s="81">
        <v>14</v>
      </c>
      <c r="L173" s="7">
        <v>6</v>
      </c>
      <c r="M173" s="9">
        <v>-4.5560000000000002E-3</v>
      </c>
    </row>
    <row r="174" spans="1:13" x14ac:dyDescent="0.25">
      <c r="A174" s="4" t="s">
        <v>83</v>
      </c>
      <c r="B174" s="60">
        <v>-19.070982262996939</v>
      </c>
      <c r="C174" s="60">
        <v>35.714831396534144</v>
      </c>
      <c r="D174" s="61">
        <v>0.30509928644240569</v>
      </c>
      <c r="E174" s="60">
        <v>1.1748599388379204</v>
      </c>
      <c r="F174" s="60">
        <v>4.8406050968399583</v>
      </c>
      <c r="G174" s="25">
        <v>-37.294972477064213</v>
      </c>
      <c r="I174" s="88">
        <f t="array" ref="I174">MMULT(B163:G163,D172:D177)</f>
        <v>9.0643229357798141E-5</v>
      </c>
    </row>
    <row r="175" spans="1:13" x14ac:dyDescent="0.25">
      <c r="A175" s="4" t="s">
        <v>84</v>
      </c>
      <c r="B175" s="60">
        <v>-29.125597553516815</v>
      </c>
      <c r="C175" s="60">
        <v>20.013602446483176</v>
      </c>
      <c r="D175" s="61">
        <v>0.12295045871559632</v>
      </c>
      <c r="E175" s="60">
        <v>0.4553720693170234</v>
      </c>
      <c r="F175" s="60">
        <v>32.331416921508662</v>
      </c>
      <c r="G175" s="25">
        <v>7.1356803261977566</v>
      </c>
      <c r="I175" s="88">
        <f t="array" ref="I175">MMULT(B164:G164,E172:E177)</f>
        <v>1.3708961761467889E-3</v>
      </c>
    </row>
    <row r="176" spans="1:13" x14ac:dyDescent="0.25">
      <c r="A176" s="4" t="s">
        <v>85</v>
      </c>
      <c r="B176" s="60">
        <v>-39.49897329255861</v>
      </c>
      <c r="C176" s="60">
        <v>-8.1420525993883786</v>
      </c>
      <c r="D176" s="61">
        <v>-0.15027278287461773</v>
      </c>
      <c r="E176" s="60">
        <v>-0.6056448521916411</v>
      </c>
      <c r="F176" s="60">
        <v>12.203971457696227</v>
      </c>
      <c r="G176" s="25">
        <v>30.810474209989806</v>
      </c>
      <c r="I176" s="88">
        <f t="array" ref="I176">MMULT(B165:G165,F172:F177)</f>
        <v>1.0117505501553516</v>
      </c>
    </row>
    <row r="177" spans="1:9" ht="15.75" thickBot="1" x14ac:dyDescent="0.3">
      <c r="A177" s="6" t="s">
        <v>86</v>
      </c>
      <c r="B177" s="26">
        <v>-46.248132110091738</v>
      </c>
      <c r="C177" s="26">
        <v>-35.987770846075428</v>
      </c>
      <c r="D177" s="28">
        <v>-0.37828175331294589</v>
      </c>
      <c r="E177" s="26">
        <v>-1.466373088685015</v>
      </c>
      <c r="F177" s="26">
        <v>-30.951098063200813</v>
      </c>
      <c r="G177" s="27">
        <v>-19.364625484199795</v>
      </c>
      <c r="I177" s="89">
        <f t="array" ref="I177">MMULT(B166:G166,G172:G177)</f>
        <v>0.91555637041060134</v>
      </c>
    </row>
    <row r="182" spans="1:9" x14ac:dyDescent="0.25">
      <c r="B182" s="133" t="s">
        <v>93</v>
      </c>
      <c r="D182" s="133" t="s">
        <v>94</v>
      </c>
      <c r="F182" s="133" t="s">
        <v>95</v>
      </c>
      <c r="G182" s="133" t="s">
        <v>96</v>
      </c>
    </row>
    <row r="183" spans="1:9" x14ac:dyDescent="0.25">
      <c r="B183" s="133"/>
      <c r="D183" s="133"/>
      <c r="F183" s="133"/>
      <c r="G183" s="133"/>
    </row>
    <row r="184" spans="1:9" x14ac:dyDescent="0.25">
      <c r="B184" s="31">
        <f t="array" ref="B184:B189">MMULT(B161:G166,I161:I166)</f>
        <v>-147.57297125382263</v>
      </c>
      <c r="D184" s="31">
        <f>B184/I172</f>
        <v>-129.75046332149614</v>
      </c>
      <c r="F184" s="31">
        <f>B184*B184/I172</f>
        <v>19147.66139391332</v>
      </c>
      <c r="G184" s="31">
        <f>F184/$F$190</f>
        <v>0.65672304833256867</v>
      </c>
    </row>
    <row r="185" spans="1:9" x14ac:dyDescent="0.25">
      <c r="B185" s="31">
        <v>64.025596738022415</v>
      </c>
      <c r="D185" s="31">
        <f t="shared" ref="D185:D189" si="8">B185/I173</f>
        <v>63.011569214338834</v>
      </c>
      <c r="F185" s="31">
        <f t="shared" ref="F185:F189" si="9">B185*B185/I173</f>
        <v>4034.3533203472457</v>
      </c>
      <c r="G185" s="31">
        <f t="shared" ref="G185:G189" si="10">F185/$F$190</f>
        <v>0.13836952492962271</v>
      </c>
      <c r="H185">
        <f>G184+G185</f>
        <v>0.7950925732621914</v>
      </c>
    </row>
    <row r="186" spans="1:9" x14ac:dyDescent="0.25">
      <c r="B186" s="31">
        <v>0.38674332313965332</v>
      </c>
      <c r="D186" s="31">
        <f t="shared" si="8"/>
        <v>4266.6542871398851</v>
      </c>
      <c r="F186" s="31">
        <f t="shared" si="9"/>
        <v>1650.1000576965278</v>
      </c>
      <c r="G186" s="31">
        <f t="shared" si="10"/>
        <v>5.6594835142044338E-2</v>
      </c>
    </row>
    <row r="187" spans="1:9" x14ac:dyDescent="0.25">
      <c r="B187" s="31">
        <v>1.4753304791029562</v>
      </c>
      <c r="D187" s="31">
        <f t="shared" si="8"/>
        <v>1076.1795858601804</v>
      </c>
      <c r="F187" s="31">
        <f t="shared" si="9"/>
        <v>1587.7205440079208</v>
      </c>
      <c r="G187" s="31">
        <f t="shared" si="10"/>
        <v>5.4455353795455061E-2</v>
      </c>
    </row>
    <row r="188" spans="1:9" x14ac:dyDescent="0.25">
      <c r="B188" s="31">
        <v>-50.318072171253817</v>
      </c>
      <c r="D188" s="31">
        <f t="shared" si="8"/>
        <v>-49.733674138875053</v>
      </c>
      <c r="F188" s="31">
        <f t="shared" si="9"/>
        <v>2502.5026046615344</v>
      </c>
      <c r="G188" s="31">
        <f t="shared" si="10"/>
        <v>8.5830384462299819E-2</v>
      </c>
    </row>
    <row r="189" spans="1:9" x14ac:dyDescent="0.25">
      <c r="B189" s="31">
        <v>14.638006931702346</v>
      </c>
      <c r="D189" s="31">
        <f t="shared" si="8"/>
        <v>15.988100137556371</v>
      </c>
      <c r="F189" s="31">
        <f t="shared" si="9"/>
        <v>234.03392063830137</v>
      </c>
      <c r="G189" s="31">
        <f t="shared" si="10"/>
        <v>8.0268533380094455E-3</v>
      </c>
    </row>
    <row r="190" spans="1:9" x14ac:dyDescent="0.25">
      <c r="E190" t="s">
        <v>97</v>
      </c>
      <c r="F190" s="33">
        <f>SUM(F184:F189)</f>
        <v>29156.371841264849</v>
      </c>
      <c r="G190" s="33">
        <f>SUM(G184:G189)</f>
        <v>1</v>
      </c>
    </row>
    <row r="192" spans="1:9" ht="15.75" thickBot="1" x14ac:dyDescent="0.3"/>
    <row r="193" spans="2:20" ht="15.75" thickBot="1" x14ac:dyDescent="0.3">
      <c r="B193" s="134" t="s">
        <v>105</v>
      </c>
      <c r="C193" s="134"/>
      <c r="D193" s="134"/>
      <c r="E193" s="134"/>
      <c r="F193" s="134"/>
      <c r="G193" s="134"/>
      <c r="L193" s="135" t="s">
        <v>119</v>
      </c>
      <c r="M193" s="136"/>
    </row>
    <row r="194" spans="2:20" ht="15.75" thickBot="1" x14ac:dyDescent="0.3">
      <c r="L194" s="4"/>
      <c r="M194" s="5"/>
      <c r="Q194" s="137" t="s">
        <v>120</v>
      </c>
      <c r="R194" s="138"/>
      <c r="S194" s="138"/>
      <c r="T194" s="139"/>
    </row>
    <row r="195" spans="2:20" x14ac:dyDescent="0.25">
      <c r="B195" s="125" t="s">
        <v>104</v>
      </c>
      <c r="C195" s="126"/>
      <c r="D195" s="126"/>
      <c r="E195" s="126"/>
      <c r="F195" s="126"/>
      <c r="G195" s="126"/>
      <c r="H195" s="127"/>
      <c r="L195" s="4" t="s">
        <v>118</v>
      </c>
      <c r="M195" s="5" t="s">
        <v>117</v>
      </c>
      <c r="Q195" s="4"/>
      <c r="R195" t="s">
        <v>121</v>
      </c>
      <c r="S195" t="s">
        <v>122</v>
      </c>
      <c r="T195" s="36" t="s">
        <v>123</v>
      </c>
    </row>
    <row r="196" spans="2:20" x14ac:dyDescent="0.25">
      <c r="B196" s="4"/>
      <c r="C196" s="1" t="s">
        <v>98</v>
      </c>
      <c r="D196" s="1" t="s">
        <v>99</v>
      </c>
      <c r="E196" s="1" t="s">
        <v>100</v>
      </c>
      <c r="F196" s="1" t="s">
        <v>101</v>
      </c>
      <c r="G196" s="1" t="s">
        <v>102</v>
      </c>
      <c r="H196" s="16" t="s">
        <v>103</v>
      </c>
      <c r="L196" s="4">
        <v>0.01</v>
      </c>
      <c r="M196" s="5">
        <v>1.7658</v>
      </c>
      <c r="Q196" s="4"/>
      <c r="R196">
        <v>0.01</v>
      </c>
      <c r="S196">
        <v>0.02</v>
      </c>
      <c r="T196" s="37">
        <v>1.2999999999999999E-2</v>
      </c>
    </row>
    <row r="197" spans="2:20" ht="15.75" thickBot="1" x14ac:dyDescent="0.3">
      <c r="B197" s="4" t="s">
        <v>81</v>
      </c>
      <c r="C197" s="60">
        <f t="array" ref="C197:C202">MMULT(B172:B177,D184)</f>
        <v>447.86230628984595</v>
      </c>
      <c r="D197" s="60">
        <f t="array" ref="D197:D202">MMULT(C172:C177,D185)</f>
        <v>1158.0780816809092</v>
      </c>
      <c r="E197" s="61">
        <f t="array" ref="E197:E202">MMULT(D172:D177,D186)</f>
        <v>738.30777288219076</v>
      </c>
      <c r="F197" s="60">
        <f t="array" ref="F197:F202">MMULT(E172:E177,D187)</f>
        <v>739.99380870453035</v>
      </c>
      <c r="G197" s="60">
        <f t="array" ref="G197:G202">MMULT(F172:F177,D188)</f>
        <v>1731.6145541685976</v>
      </c>
      <c r="H197" s="25">
        <f t="array" ref="H197:H202">MMULT(G172:G177,D189)</f>
        <v>590.37852185300119</v>
      </c>
      <c r="L197" s="90">
        <v>0.02</v>
      </c>
      <c r="M197" s="86">
        <v>1.7658</v>
      </c>
      <c r="Q197" s="6" t="s">
        <v>124</v>
      </c>
      <c r="R197" s="7">
        <v>1.7658</v>
      </c>
      <c r="S197" s="7">
        <v>1.7658</v>
      </c>
      <c r="T197" s="38">
        <f>((((S196-R196)-(S196-T196))*(S197-R197))/(S196-R196))+R197</f>
        <v>1.7658</v>
      </c>
    </row>
    <row r="198" spans="2:20" x14ac:dyDescent="0.25">
      <c r="B198" s="4" t="s">
        <v>82</v>
      </c>
      <c r="C198" s="60">
        <v>1320.5438714482927</v>
      </c>
      <c r="D198" s="60">
        <v>2145.4285968107433</v>
      </c>
      <c r="E198" s="61">
        <v>1340.6114823387147</v>
      </c>
      <c r="F198" s="60">
        <v>1323.1677374186966</v>
      </c>
      <c r="G198" s="60">
        <v>1687.2257949981758</v>
      </c>
      <c r="H198" s="25">
        <v>-57.152193816081621</v>
      </c>
      <c r="L198" s="90">
        <v>0.03</v>
      </c>
      <c r="M198" s="86">
        <v>1.7658</v>
      </c>
    </row>
    <row r="199" spans="2:20" x14ac:dyDescent="0.25">
      <c r="B199" s="4" t="s">
        <v>83</v>
      </c>
      <c r="C199" s="60">
        <v>2474.4687846198876</v>
      </c>
      <c r="D199" s="60">
        <v>2250.447570521153</v>
      </c>
      <c r="E199" s="61">
        <v>1301.75317850281</v>
      </c>
      <c r="F199" s="60">
        <v>1264.3602824223101</v>
      </c>
      <c r="G199" s="60">
        <v>-240.7410765212162</v>
      </c>
      <c r="H199" s="25">
        <v>-596.27575459071147</v>
      </c>
      <c r="L199" s="91">
        <v>3.0300000000000001E-2</v>
      </c>
      <c r="M199" s="92">
        <v>1.7658</v>
      </c>
    </row>
    <row r="200" spans="2:20" x14ac:dyDescent="0.25">
      <c r="B200" s="4" t="s">
        <v>84</v>
      </c>
      <c r="C200" s="60">
        <v>3779.0597770842414</v>
      </c>
      <c r="D200" s="60">
        <v>1261.0884957848357</v>
      </c>
      <c r="E200" s="61">
        <v>524.58710178471449</v>
      </c>
      <c r="F200" s="60">
        <v>490.06212496988758</v>
      </c>
      <c r="G200" s="60">
        <v>-1607.9601536224227</v>
      </c>
      <c r="H200" s="25">
        <v>114.08597160484064</v>
      </c>
      <c r="L200" s="91">
        <v>0.04</v>
      </c>
      <c r="M200" s="92">
        <v>2.1136626000000001</v>
      </c>
    </row>
    <row r="201" spans="2:20" x14ac:dyDescent="0.25">
      <c r="B201" s="4" t="s">
        <v>85</v>
      </c>
      <c r="C201" s="60">
        <v>5125.0100854328812</v>
      </c>
      <c r="D201" s="60">
        <v>-513.04351091314822</v>
      </c>
      <c r="E201" s="61">
        <v>-641.16201329242881</v>
      </c>
      <c r="F201" s="60">
        <v>-651.78262620995054</v>
      </c>
      <c r="G201" s="60">
        <v>-606.94833967719615</v>
      </c>
      <c r="H201" s="25">
        <v>492.60094695491506</v>
      </c>
      <c r="L201" s="93">
        <v>0.05</v>
      </c>
      <c r="M201" s="94">
        <v>2.4403356</v>
      </c>
    </row>
    <row r="202" spans="2:20" ht="15.75" thickBot="1" x14ac:dyDescent="0.3">
      <c r="B202" s="6" t="s">
        <v>86</v>
      </c>
      <c r="C202" s="26">
        <v>6000.7165690381662</v>
      </c>
      <c r="D202" s="26">
        <v>-2267.645913537247</v>
      </c>
      <c r="E202" s="28">
        <v>-1613.9974645194729</v>
      </c>
      <c r="F202" s="26">
        <v>-1578.0807832975531</v>
      </c>
      <c r="G202" s="26">
        <v>1539.311825315596</v>
      </c>
      <c r="H202" s="27">
        <v>-309.60357136766237</v>
      </c>
      <c r="L202" s="4">
        <v>0.06</v>
      </c>
      <c r="M202" s="5">
        <v>2.745819</v>
      </c>
    </row>
    <row r="203" spans="2:20" x14ac:dyDescent="0.25">
      <c r="L203" s="4">
        <v>7.0000000000000007E-2</v>
      </c>
      <c r="M203" s="5">
        <v>3.0336444</v>
      </c>
    </row>
    <row r="204" spans="2:20" x14ac:dyDescent="0.25">
      <c r="L204" s="4">
        <v>0.08</v>
      </c>
      <c r="M204" s="5">
        <v>3.3073434000000002</v>
      </c>
    </row>
    <row r="205" spans="2:20" x14ac:dyDescent="0.25">
      <c r="L205" s="4">
        <v>0.09</v>
      </c>
      <c r="M205" s="5">
        <v>3.5704476000000001</v>
      </c>
    </row>
    <row r="206" spans="2:20" x14ac:dyDescent="0.25">
      <c r="D206" s="134" t="s">
        <v>106</v>
      </c>
      <c r="E206" s="134"/>
      <c r="F206" s="134"/>
      <c r="G206" s="134"/>
      <c r="L206" s="4">
        <v>0.1</v>
      </c>
      <c r="M206" s="5">
        <v>3.8211911999999999</v>
      </c>
    </row>
    <row r="207" spans="2:20" x14ac:dyDescent="0.25">
      <c r="D207" s="142" t="s">
        <v>107</v>
      </c>
      <c r="E207" s="142"/>
      <c r="F207" s="142"/>
      <c r="G207" s="142"/>
      <c r="L207" s="4">
        <v>0.11</v>
      </c>
      <c r="M207" s="5">
        <v>4.0648716</v>
      </c>
    </row>
    <row r="208" spans="2:20" ht="15.75" thickBot="1" x14ac:dyDescent="0.3">
      <c r="D208" s="140"/>
      <c r="E208" s="140"/>
      <c r="F208" s="140"/>
      <c r="L208" s="4">
        <v>0.12</v>
      </c>
      <c r="M208" s="5">
        <v>4.2997230000000002</v>
      </c>
    </row>
    <row r="209" spans="2:13" ht="15.75" thickBot="1" x14ac:dyDescent="0.3">
      <c r="B209" s="2"/>
      <c r="C209" s="2"/>
      <c r="D209" s="2"/>
      <c r="E209" s="141" t="s">
        <v>111</v>
      </c>
      <c r="F209" s="121"/>
      <c r="G209" s="122"/>
      <c r="H209" s="47" t="s">
        <v>115</v>
      </c>
      <c r="I209" s="49"/>
      <c r="L209" s="4">
        <v>0.125</v>
      </c>
      <c r="M209" s="5">
        <v>4.4145000000000003</v>
      </c>
    </row>
    <row r="210" spans="2:13" x14ac:dyDescent="0.25">
      <c r="B210" s="63" t="s">
        <v>108</v>
      </c>
      <c r="C210" s="44" t="s">
        <v>109</v>
      </c>
      <c r="D210" s="45" t="s">
        <v>110</v>
      </c>
      <c r="E210" s="64" t="s">
        <v>112</v>
      </c>
      <c r="F210" s="65" t="s">
        <v>113</v>
      </c>
      <c r="G210" s="66" t="s">
        <v>114</v>
      </c>
      <c r="H210" s="64" t="s">
        <v>116</v>
      </c>
      <c r="I210" s="67" t="s">
        <v>125</v>
      </c>
      <c r="L210" s="95">
        <v>0.15</v>
      </c>
      <c r="M210" s="39">
        <v>4.4145000000000003</v>
      </c>
    </row>
    <row r="211" spans="2:13" x14ac:dyDescent="0.25">
      <c r="B211" s="34">
        <v>1</v>
      </c>
      <c r="C211" s="17">
        <v>0.180896</v>
      </c>
      <c r="D211" s="5">
        <f>(2*PI())/C211</f>
        <v>34.733688457343369</v>
      </c>
      <c r="E211" s="4">
        <f t="array" ref="E211">SUM(C197:H202)</f>
        <v>29156.371841264849</v>
      </c>
      <c r="F211">
        <f>SUM(C197:C202)</f>
        <v>19147.661393913317</v>
      </c>
      <c r="G211" s="5">
        <f>F211/E211</f>
        <v>0.65672304833256856</v>
      </c>
      <c r="H211" s="4">
        <v>4.4145000000000003</v>
      </c>
      <c r="I211" s="5">
        <f>E211*G211</f>
        <v>19147.661393913317</v>
      </c>
      <c r="L211" s="95">
        <v>0.2</v>
      </c>
      <c r="M211" s="39">
        <v>4.4145000000000003</v>
      </c>
    </row>
    <row r="212" spans="2:13" x14ac:dyDescent="0.25">
      <c r="B212" s="34">
        <v>2</v>
      </c>
      <c r="C212" s="17">
        <v>4.3832999999999997E-2</v>
      </c>
      <c r="D212" s="5">
        <f t="shared" ref="D212:D216" si="11">(2*PI())/C212</f>
        <v>143.34372064836052</v>
      </c>
      <c r="E212" s="4">
        <f>E211</f>
        <v>29156.371841264849</v>
      </c>
      <c r="F212">
        <f>SUM(D197:D202)</f>
        <v>4034.3533203472462</v>
      </c>
      <c r="G212" s="5">
        <f t="shared" ref="G212:G216" si="12">F212/E212</f>
        <v>0.13836952492962271</v>
      </c>
      <c r="H212" s="4">
        <v>2.2376999999999998</v>
      </c>
      <c r="I212" s="5">
        <f t="shared" ref="I212:I216" si="13">E212*G212</f>
        <v>4034.3533203472462</v>
      </c>
      <c r="L212" s="4">
        <v>0.25</v>
      </c>
      <c r="M212" s="5">
        <v>4.4145000000000003</v>
      </c>
    </row>
    <row r="213" spans="2:13" x14ac:dyDescent="0.25">
      <c r="B213" s="34">
        <v>3</v>
      </c>
      <c r="C213" s="17">
        <v>3.7606000000000001E-2</v>
      </c>
      <c r="D213" s="5">
        <f t="shared" si="11"/>
        <v>167.07933061691182</v>
      </c>
      <c r="E213" s="4">
        <f t="shared" ref="E213:E216" si="14">E212</f>
        <v>29156.371841264849</v>
      </c>
      <c r="F213" s="62">
        <f>SUM(E197:E202)</f>
        <v>1650.1000576965284</v>
      </c>
      <c r="G213" s="5">
        <f t="shared" si="12"/>
        <v>5.6594835142044359E-2</v>
      </c>
      <c r="H213" s="4">
        <v>2.0053000000000001</v>
      </c>
      <c r="I213" s="5">
        <f t="shared" si="13"/>
        <v>1650.1000576965284</v>
      </c>
      <c r="L213" s="4">
        <v>0.3</v>
      </c>
      <c r="M213" s="5">
        <v>4.4145000000000003</v>
      </c>
    </row>
    <row r="214" spans="2:13" x14ac:dyDescent="0.25">
      <c r="B214" s="34">
        <v>4</v>
      </c>
      <c r="C214" s="17">
        <v>3.6829000000000001E-2</v>
      </c>
      <c r="D214" s="5">
        <f t="shared" si="11"/>
        <v>170.6042875771698</v>
      </c>
      <c r="E214" s="4">
        <f t="shared" si="14"/>
        <v>29156.371841264849</v>
      </c>
      <c r="F214">
        <f>SUM(F197:F202)</f>
        <v>1587.7205440079204</v>
      </c>
      <c r="G214" s="5">
        <f t="shared" si="12"/>
        <v>5.4455353795455047E-2</v>
      </c>
      <c r="H214" s="4">
        <v>1.9981</v>
      </c>
      <c r="I214" s="5">
        <f t="shared" si="13"/>
        <v>1587.7205440079204</v>
      </c>
      <c r="L214" s="4">
        <v>0.38600000000000001</v>
      </c>
      <c r="M214" s="5">
        <v>4.4145000000000003</v>
      </c>
    </row>
    <row r="215" spans="2:13" x14ac:dyDescent="0.25">
      <c r="B215" s="34">
        <v>5</v>
      </c>
      <c r="C215" s="17">
        <v>2.0688999999999999E-2</v>
      </c>
      <c r="D215" s="5">
        <f t="shared" si="11"/>
        <v>303.69690691573237</v>
      </c>
      <c r="E215" s="4">
        <f t="shared" si="14"/>
        <v>29156.371841264849</v>
      </c>
      <c r="F215">
        <f>SUM(G197:G202)</f>
        <v>2502.502604661534</v>
      </c>
      <c r="G215" s="5">
        <f t="shared" si="12"/>
        <v>8.5830384462299805E-2</v>
      </c>
      <c r="H215" s="4">
        <v>1.7658</v>
      </c>
      <c r="I215" s="5">
        <f t="shared" si="13"/>
        <v>2502.502604661534</v>
      </c>
      <c r="L215" s="4">
        <v>0.42099999999999999</v>
      </c>
      <c r="M215" s="5">
        <v>4.4145000000000003</v>
      </c>
    </row>
    <row r="216" spans="2:13" ht="15.75" thickBot="1" x14ac:dyDescent="0.3">
      <c r="B216" s="35">
        <v>6</v>
      </c>
      <c r="C216" s="30">
        <v>1.3842999999999999E-2</v>
      </c>
      <c r="D216" s="9">
        <f t="shared" si="11"/>
        <v>453.88899134433188</v>
      </c>
      <c r="E216" s="6">
        <f t="shared" si="14"/>
        <v>29156.371841264849</v>
      </c>
      <c r="F216" s="7">
        <f>SUM(H197:H202)</f>
        <v>234.03392063830137</v>
      </c>
      <c r="G216" s="5">
        <f t="shared" si="12"/>
        <v>8.0268533380094455E-3</v>
      </c>
      <c r="H216" s="4">
        <v>1.7658</v>
      </c>
      <c r="I216" s="5">
        <f t="shared" si="13"/>
        <v>234.03392063830137</v>
      </c>
      <c r="L216" s="4">
        <v>0.44900000000000001</v>
      </c>
      <c r="M216" s="5">
        <v>4.4145000000000003</v>
      </c>
    </row>
    <row r="217" spans="2:13" ht="15.75" thickBot="1" x14ac:dyDescent="0.3">
      <c r="G217" s="97">
        <f>SUM(G211:G216)</f>
        <v>1</v>
      </c>
      <c r="H217" s="98" t="s">
        <v>126</v>
      </c>
      <c r="I217" s="98">
        <f>SQRT((I211*I211)+(I212*I212)+(I213*I213)+(I214*I214)+(I215*I215)+(I216*I216))</f>
        <v>19861.266864376434</v>
      </c>
      <c r="J217" s="99" t="s">
        <v>28</v>
      </c>
      <c r="L217" s="4">
        <v>0.45</v>
      </c>
      <c r="M217" s="5">
        <v>4.4145000000000003</v>
      </c>
    </row>
    <row r="218" spans="2:13" x14ac:dyDescent="0.25">
      <c r="L218" s="4">
        <v>0.495</v>
      </c>
      <c r="M218" s="5">
        <v>4.4145000000000003</v>
      </c>
    </row>
    <row r="219" spans="2:13" x14ac:dyDescent="0.25">
      <c r="L219" s="4">
        <v>0.5</v>
      </c>
      <c r="M219" s="5">
        <v>4.4145000000000003</v>
      </c>
    </row>
    <row r="220" spans="2:13" x14ac:dyDescent="0.25">
      <c r="L220" s="4">
        <v>0.53400000000000003</v>
      </c>
      <c r="M220" s="5">
        <v>4.4145000000000003</v>
      </c>
    </row>
    <row r="221" spans="2:13" x14ac:dyDescent="0.25">
      <c r="L221" s="4">
        <v>0.6</v>
      </c>
      <c r="M221" s="5">
        <v>4.4145000000000003</v>
      </c>
    </row>
    <row r="222" spans="2:13" x14ac:dyDescent="0.25">
      <c r="C222" s="142" t="s">
        <v>127</v>
      </c>
      <c r="D222" s="142"/>
      <c r="E222" s="142"/>
      <c r="F222" s="142"/>
      <c r="G222" s="142"/>
      <c r="L222" s="4"/>
      <c r="M222" s="5"/>
    </row>
    <row r="223" spans="2:13" ht="15.75" thickBot="1" x14ac:dyDescent="0.3">
      <c r="C223" s="29"/>
      <c r="D223" s="140"/>
      <c r="E223" s="140"/>
      <c r="F223" s="140"/>
      <c r="G223" s="29"/>
      <c r="L223" s="4">
        <v>0.8</v>
      </c>
      <c r="M223" s="5">
        <v>3.3108749999999998</v>
      </c>
    </row>
    <row r="224" spans="2:13" ht="15.75" thickBot="1" x14ac:dyDescent="0.3">
      <c r="B224" s="2"/>
      <c r="C224" s="2"/>
      <c r="D224" s="2"/>
      <c r="E224" s="141" t="s">
        <v>111</v>
      </c>
      <c r="F224" s="121"/>
      <c r="G224" s="122"/>
      <c r="H224" s="47" t="s">
        <v>115</v>
      </c>
      <c r="I224" s="49"/>
      <c r="L224" s="4">
        <v>1</v>
      </c>
      <c r="M224" s="5">
        <v>2.6486999999999998</v>
      </c>
    </row>
    <row r="225" spans="2:13" x14ac:dyDescent="0.25">
      <c r="B225" s="63" t="s">
        <v>108</v>
      </c>
      <c r="C225" s="44" t="s">
        <v>109</v>
      </c>
      <c r="D225" s="45" t="s">
        <v>110</v>
      </c>
      <c r="E225" s="63" t="s">
        <v>112</v>
      </c>
      <c r="F225" s="44" t="s">
        <v>113</v>
      </c>
      <c r="G225" s="45" t="s">
        <v>114</v>
      </c>
      <c r="H225" s="64" t="s">
        <v>116</v>
      </c>
      <c r="I225" s="67" t="s">
        <v>125</v>
      </c>
      <c r="L225" s="4">
        <v>1.1000000000000001</v>
      </c>
      <c r="M225" s="5">
        <v>2.4085511999999998</v>
      </c>
    </row>
    <row r="226" spans="2:13" x14ac:dyDescent="0.25">
      <c r="B226" s="34">
        <v>1</v>
      </c>
      <c r="C226" s="17">
        <v>0.180896</v>
      </c>
      <c r="D226" s="5">
        <f>(2*PI())/C226</f>
        <v>34.733688457343369</v>
      </c>
      <c r="E226" s="4">
        <f>SUM(C256:H256)</f>
        <v>1.0893195085541177E-3</v>
      </c>
      <c r="F226">
        <f>C256</f>
        <v>1.343539610287786E-3</v>
      </c>
      <c r="G226" s="5">
        <f>F226/E226</f>
        <v>1.2333751481887085</v>
      </c>
      <c r="H226" s="4">
        <v>4.4145000000000003</v>
      </c>
      <c r="I226" s="5">
        <f>E226*G226</f>
        <v>1.3435396102877862E-3</v>
      </c>
      <c r="L226" s="4">
        <v>1.2</v>
      </c>
      <c r="M226" s="5">
        <v>2.2072500000000002</v>
      </c>
    </row>
    <row r="227" spans="2:13" x14ac:dyDescent="0.25">
      <c r="B227" s="34">
        <v>2</v>
      </c>
      <c r="C227" s="17">
        <v>4.3832999999999997E-2</v>
      </c>
      <c r="D227" s="5">
        <f t="shared" ref="D227:D231" si="15">(2*PI())/C227</f>
        <v>143.34372064836052</v>
      </c>
      <c r="E227" s="4">
        <f>E226</f>
        <v>1.0893195085541177E-3</v>
      </c>
      <c r="F227">
        <f>D256</f>
        <v>-7.5479719451967254E-5</v>
      </c>
      <c r="G227" s="5">
        <f t="shared" ref="G227:G231" si="16">F227/E227</f>
        <v>-6.9290707509822774E-2</v>
      </c>
      <c r="H227" s="4">
        <v>2.2376999999999998</v>
      </c>
      <c r="I227" s="5">
        <f t="shared" ref="I227:I231" si="17">E227*G227</f>
        <v>-7.5479719451967254E-5</v>
      </c>
      <c r="L227" s="4">
        <v>1.3</v>
      </c>
      <c r="M227" s="5">
        <v>2.0377331999999999</v>
      </c>
    </row>
    <row r="228" spans="2:13" x14ac:dyDescent="0.25">
      <c r="B228" s="34">
        <v>3</v>
      </c>
      <c r="C228" s="17">
        <v>3.7606000000000001E-2</v>
      </c>
      <c r="D228" s="5">
        <f t="shared" si="15"/>
        <v>167.07933061691182</v>
      </c>
      <c r="E228" s="4">
        <f t="shared" ref="E228:E231" si="18">E227</f>
        <v>1.0893195085541177E-3</v>
      </c>
      <c r="F228" s="62">
        <f>E256</f>
        <v>-1.1073296051118046E-4</v>
      </c>
      <c r="G228" s="5">
        <f t="shared" si="16"/>
        <v>-0.10165333462003193</v>
      </c>
      <c r="H228" s="4">
        <v>2.0053000000000001</v>
      </c>
      <c r="I228" s="5">
        <f t="shared" si="17"/>
        <v>-1.1073296051118046E-4</v>
      </c>
      <c r="L228" s="4">
        <v>1.4</v>
      </c>
      <c r="M228" s="5">
        <v>1.8911718</v>
      </c>
    </row>
    <row r="229" spans="2:13" x14ac:dyDescent="0.25">
      <c r="B229" s="34">
        <v>4</v>
      </c>
      <c r="C229" s="17">
        <v>3.6829000000000001E-2</v>
      </c>
      <c r="D229" s="5">
        <f t="shared" si="15"/>
        <v>170.6042875771698</v>
      </c>
      <c r="E229" s="4">
        <f t="shared" si="18"/>
        <v>1.0893195085541177E-3</v>
      </c>
      <c r="F229">
        <f>F256</f>
        <v>-1.1148958129688085E-4</v>
      </c>
      <c r="G229" s="5">
        <f t="shared" si="16"/>
        <v>-0.10234791575968734</v>
      </c>
      <c r="H229" s="4">
        <v>1.9981</v>
      </c>
      <c r="I229" s="5">
        <f t="shared" si="17"/>
        <v>-1.1148958129688085E-4</v>
      </c>
      <c r="L229" s="4">
        <v>1.5</v>
      </c>
      <c r="M229" s="5">
        <v>1.7658</v>
      </c>
    </row>
    <row r="230" spans="2:13" x14ac:dyDescent="0.25">
      <c r="B230" s="34">
        <v>5</v>
      </c>
      <c r="C230" s="17">
        <v>2.0688999999999999E-2</v>
      </c>
      <c r="D230" s="5">
        <f t="shared" si="15"/>
        <v>303.69690691573237</v>
      </c>
      <c r="E230" s="4">
        <f t="shared" si="18"/>
        <v>1.0893195085541177E-3</v>
      </c>
      <c r="F230">
        <f>G256</f>
        <v>5.2289601059032881E-5</v>
      </c>
      <c r="G230" s="5">
        <f t="shared" si="16"/>
        <v>4.8002078957016234E-2</v>
      </c>
      <c r="H230" s="4">
        <v>1.7658</v>
      </c>
      <c r="I230" s="5">
        <f t="shared" si="17"/>
        <v>5.2289601059032881E-5</v>
      </c>
      <c r="L230" s="4">
        <v>2</v>
      </c>
      <c r="M230" s="5">
        <v>1.3243499999999999</v>
      </c>
    </row>
    <row r="231" spans="2:13" ht="15.75" thickBot="1" x14ac:dyDescent="0.3">
      <c r="B231" s="35">
        <v>6</v>
      </c>
      <c r="C231" s="30">
        <v>1.3842999999999999E-2</v>
      </c>
      <c r="D231" s="9">
        <f t="shared" si="15"/>
        <v>453.88899134433188</v>
      </c>
      <c r="E231" s="6">
        <f t="shared" si="18"/>
        <v>1.0893195085541177E-3</v>
      </c>
      <c r="F231" s="7">
        <f>H256</f>
        <v>-8.8074415326727102E-6</v>
      </c>
      <c r="G231" s="5">
        <f t="shared" si="16"/>
        <v>-8.0852692561827495E-3</v>
      </c>
      <c r="H231" s="4">
        <v>1.7658</v>
      </c>
      <c r="I231" s="5">
        <f t="shared" si="17"/>
        <v>-8.8074415326727102E-6</v>
      </c>
      <c r="L231" s="4">
        <v>2.5</v>
      </c>
      <c r="M231" s="5">
        <v>1.05948</v>
      </c>
    </row>
    <row r="232" spans="2:13" ht="15.75" thickBot="1" x14ac:dyDescent="0.3">
      <c r="G232" s="97">
        <f>SUM(G226:G231)</f>
        <v>0.99999999999999978</v>
      </c>
      <c r="H232" s="98" t="s">
        <v>126</v>
      </c>
      <c r="I232" s="98">
        <f>SQRT((I226*I226)+(I227*I227)+(I228*I228)+(I229*I229)+(I230*I230)+(I231*I231))</f>
        <v>1.3558389879139016E-3</v>
      </c>
      <c r="J232" s="99" t="s">
        <v>131</v>
      </c>
      <c r="L232" s="4">
        <v>2.6819999999999999</v>
      </c>
      <c r="M232" s="5">
        <v>0.98708220000000002</v>
      </c>
    </row>
    <row r="233" spans="2:13" x14ac:dyDescent="0.25">
      <c r="L233" s="4">
        <v>3</v>
      </c>
      <c r="M233" s="5">
        <v>0.88290000000000002</v>
      </c>
    </row>
    <row r="234" spans="2:13" x14ac:dyDescent="0.25">
      <c r="L234" s="4">
        <v>3.1110000000000002</v>
      </c>
      <c r="M234" s="5">
        <v>0.85111559999999997</v>
      </c>
    </row>
    <row r="235" spans="2:13" x14ac:dyDescent="0.25">
      <c r="L235" s="4">
        <v>3.415</v>
      </c>
      <c r="M235" s="5">
        <v>0.77518620000000005</v>
      </c>
    </row>
    <row r="236" spans="2:13" x14ac:dyDescent="0.25">
      <c r="L236" s="4">
        <v>3.7850000000000001</v>
      </c>
      <c r="M236" s="5">
        <v>0.69925680000000001</v>
      </c>
    </row>
    <row r="237" spans="2:13" x14ac:dyDescent="0.25">
      <c r="L237" s="4">
        <v>3.907</v>
      </c>
      <c r="M237" s="5">
        <v>0.67806719999999998</v>
      </c>
    </row>
    <row r="238" spans="2:13" ht="15.75" thickBot="1" x14ac:dyDescent="0.3">
      <c r="L238" s="4">
        <v>3.93</v>
      </c>
      <c r="M238" s="5">
        <v>0.66923820000000001</v>
      </c>
    </row>
    <row r="239" spans="2:13" x14ac:dyDescent="0.25">
      <c r="B239" s="149" t="s">
        <v>129</v>
      </c>
      <c r="C239" s="150"/>
      <c r="D239" s="150"/>
      <c r="E239" s="150"/>
      <c r="F239" s="150"/>
      <c r="G239" s="150"/>
      <c r="H239" s="151"/>
      <c r="L239" s="4">
        <v>4</v>
      </c>
      <c r="M239" s="5">
        <v>0.64628280000000005</v>
      </c>
    </row>
    <row r="240" spans="2:13" x14ac:dyDescent="0.25">
      <c r="B240" s="4"/>
      <c r="C240" t="s">
        <v>64</v>
      </c>
      <c r="D240" t="s">
        <v>65</v>
      </c>
      <c r="E240" t="s">
        <v>66</v>
      </c>
      <c r="F240" t="s">
        <v>67</v>
      </c>
      <c r="G240" t="s">
        <v>68</v>
      </c>
      <c r="H240" s="5" t="s">
        <v>69</v>
      </c>
      <c r="L240" s="4">
        <v>5</v>
      </c>
      <c r="M240" s="5">
        <v>0.41319719999999999</v>
      </c>
    </row>
    <row r="241" spans="2:13" x14ac:dyDescent="0.25">
      <c r="B241" s="4" t="s">
        <v>56</v>
      </c>
      <c r="C241" s="68">
        <v>0</v>
      </c>
      <c r="D241" s="68">
        <v>5.7900000000000001E-9</v>
      </c>
      <c r="E241" s="68">
        <v>3.8499999999999997E-9</v>
      </c>
      <c r="F241" s="68">
        <v>4.4500000000000001E-9</v>
      </c>
      <c r="G241" s="68">
        <v>5.0299999999999994E-9</v>
      </c>
      <c r="H241" s="69">
        <v>5.6099999999999994E-9</v>
      </c>
      <c r="L241" s="4">
        <v>6</v>
      </c>
      <c r="M241" s="5">
        <v>0.28782540000000001</v>
      </c>
    </row>
    <row r="242" spans="2:13" x14ac:dyDescent="0.25">
      <c r="B242" s="4" t="s">
        <v>57</v>
      </c>
      <c r="C242" s="68">
        <v>0</v>
      </c>
      <c r="D242" s="68">
        <v>1.1059999999999999E-8</v>
      </c>
      <c r="E242" s="68">
        <v>1.0399999999999999E-8</v>
      </c>
      <c r="F242" s="68">
        <v>1.2849999999999999E-8</v>
      </c>
      <c r="G242" s="68">
        <v>1.5250000000000001E-8</v>
      </c>
      <c r="H242" s="69">
        <v>1.7619999999999998E-8</v>
      </c>
      <c r="L242" s="4">
        <v>7</v>
      </c>
      <c r="M242" s="5">
        <v>0.211896</v>
      </c>
    </row>
    <row r="243" spans="2:13" x14ac:dyDescent="0.25">
      <c r="B243" s="4" t="s">
        <v>58</v>
      </c>
      <c r="C243" s="68">
        <v>0</v>
      </c>
      <c r="D243" s="68">
        <v>1.4239999999999999E-8</v>
      </c>
      <c r="E243" s="68">
        <v>1.8140000000000002E-8</v>
      </c>
      <c r="F243" s="68">
        <v>2.377E-8</v>
      </c>
      <c r="G243" s="68">
        <v>2.9239999999999999E-8</v>
      </c>
      <c r="H243" s="69">
        <v>3.463E-8</v>
      </c>
      <c r="L243" s="4">
        <v>8</v>
      </c>
      <c r="M243" s="5">
        <v>0.1624536</v>
      </c>
    </row>
    <row r="244" spans="2:13" x14ac:dyDescent="0.25">
      <c r="B244" s="4" t="s">
        <v>59</v>
      </c>
      <c r="C244" s="68">
        <v>0</v>
      </c>
      <c r="D244" s="68">
        <v>1.7299999999999999E-8</v>
      </c>
      <c r="E244" s="68">
        <v>2.377E-8</v>
      </c>
      <c r="F244" s="68">
        <v>3.5789999999999998E-8</v>
      </c>
      <c r="G244" s="68">
        <v>4.5649999999999995E-8</v>
      </c>
      <c r="H244" s="69">
        <v>5.5339999999999998E-8</v>
      </c>
      <c r="L244" s="4">
        <v>9</v>
      </c>
      <c r="M244" s="5">
        <v>0.12713759999999999</v>
      </c>
    </row>
    <row r="245" spans="2:13" ht="15.75" thickBot="1" x14ac:dyDescent="0.3">
      <c r="B245" s="4" t="s">
        <v>60</v>
      </c>
      <c r="C245" s="68">
        <v>0</v>
      </c>
      <c r="D245" s="68">
        <v>2.0289999999999998E-8</v>
      </c>
      <c r="E245" s="68">
        <v>2.9239999999999999E-8</v>
      </c>
      <c r="F245" s="68">
        <v>4.5649999999999995E-8</v>
      </c>
      <c r="G245" s="68">
        <v>6.3129999999999997E-8</v>
      </c>
      <c r="H245" s="69">
        <v>7.8440000000000006E-8</v>
      </c>
      <c r="L245" s="6">
        <v>10</v>
      </c>
      <c r="M245" s="9">
        <v>0.1041822</v>
      </c>
    </row>
    <row r="246" spans="2:13" x14ac:dyDescent="0.25">
      <c r="B246" s="4" t="s">
        <v>61</v>
      </c>
      <c r="C246" s="68">
        <v>0</v>
      </c>
      <c r="D246" s="68">
        <v>2.323E-8</v>
      </c>
      <c r="E246" s="68">
        <v>3.463E-8</v>
      </c>
      <c r="F246" s="68">
        <v>5.5339999999999998E-8</v>
      </c>
      <c r="G246" s="68">
        <v>7.8440000000000006E-8</v>
      </c>
      <c r="H246" s="69">
        <v>1.0266000000000001E-7</v>
      </c>
    </row>
    <row r="247" spans="2:13" ht="15.75" thickBot="1" x14ac:dyDescent="0.3">
      <c r="B247" s="6"/>
      <c r="C247" s="7"/>
      <c r="D247" s="7"/>
      <c r="E247" s="7"/>
      <c r="F247" s="7"/>
      <c r="G247" s="7"/>
      <c r="H247" s="9"/>
    </row>
    <row r="248" spans="2:13" ht="15.75" thickBot="1" x14ac:dyDescent="0.3"/>
    <row r="249" spans="2:13" x14ac:dyDescent="0.25">
      <c r="B249" s="149" t="s">
        <v>128</v>
      </c>
      <c r="C249" s="150"/>
      <c r="D249" s="150"/>
      <c r="E249" s="150"/>
      <c r="F249" s="150"/>
      <c r="G249" s="150"/>
      <c r="H249" s="151"/>
    </row>
    <row r="250" spans="2:13" x14ac:dyDescent="0.25">
      <c r="B250" s="4"/>
      <c r="C250" t="s">
        <v>75</v>
      </c>
      <c r="D250" t="s">
        <v>77</v>
      </c>
      <c r="E250" t="s">
        <v>78</v>
      </c>
      <c r="F250" t="s">
        <v>79</v>
      </c>
      <c r="G250" t="s">
        <v>80</v>
      </c>
      <c r="H250" s="5" t="s">
        <v>76</v>
      </c>
    </row>
    <row r="251" spans="2:13" x14ac:dyDescent="0.25">
      <c r="B251" s="4" t="s">
        <v>81</v>
      </c>
      <c r="C251" s="68">
        <f t="array" ref="C251:H256">MMULT(C241:H246,C197:H202)</f>
        <v>9.3432290526528544E-5</v>
      </c>
      <c r="D251" s="68">
        <v>1.1395996093446072E-5</v>
      </c>
      <c r="E251" s="68">
        <v>2.8287321201037964E-6</v>
      </c>
      <c r="F251" s="68">
        <v>2.5782049389608243E-6</v>
      </c>
      <c r="G251" s="68">
        <v>7.2693507162571717E-6</v>
      </c>
      <c r="H251" s="69">
        <v>-1.3779835559171742E-6</v>
      </c>
    </row>
    <row r="252" spans="2:13" x14ac:dyDescent="0.25">
      <c r="B252" s="4" t="s">
        <v>82</v>
      </c>
      <c r="C252" s="68">
        <v>2.7278963846310135E-4</v>
      </c>
      <c r="D252" s="68">
        <v>1.5558247647030143E-5</v>
      </c>
      <c r="E252" s="68">
        <v>-3.1100157185136615E-6</v>
      </c>
      <c r="F252" s="68">
        <v>-3.6645880324987663E-6</v>
      </c>
      <c r="G252" s="68">
        <v>1.3361434304794603E-5</v>
      </c>
      <c r="H252" s="69">
        <v>-3.3104168626628144E-6</v>
      </c>
    </row>
    <row r="253" spans="2:13" x14ac:dyDescent="0.25">
      <c r="B253" s="4" t="s">
        <v>83</v>
      </c>
      <c r="C253" s="68">
        <v>5.1117976906757E-4</v>
      </c>
      <c r="D253" s="68">
        <v>7.8201254477489529E-6</v>
      </c>
      <c r="E253" s="68">
        <v>-1.9466763889013025E-5</v>
      </c>
      <c r="F253" s="68">
        <v>-2.0280880701456047E-5</v>
      </c>
      <c r="G253" s="68">
        <v>1.6997038399592052E-5</v>
      </c>
      <c r="H253" s="69">
        <v>-5.2363858706698796E-6</v>
      </c>
    </row>
    <row r="254" spans="2:13" x14ac:dyDescent="0.25">
      <c r="B254" s="4" t="s">
        <v>84</v>
      </c>
      <c r="C254" s="68">
        <v>7.8295244673889832E-4</v>
      </c>
      <c r="D254" s="68">
        <v>-1.3168550388083531E-5</v>
      </c>
      <c r="E254" s="68">
        <v>-4.5677441522960523E-5</v>
      </c>
      <c r="F254" s="68">
        <v>-4.6600898210976796E-5</v>
      </c>
      <c r="G254" s="68">
        <v>2.3396021673113693E-5</v>
      </c>
      <c r="H254" s="69">
        <v>-5.7252991268967416E-6</v>
      </c>
    </row>
    <row r="255" spans="2:13" ht="15.75" thickBot="1" x14ac:dyDescent="0.3">
      <c r="B255" s="4" t="s">
        <v>85</v>
      </c>
      <c r="C255" s="68">
        <v>1.0658994756065985E-3</v>
      </c>
      <c r="D255" s="68">
        <v>-4.3360059277902484E-5</v>
      </c>
      <c r="E255" s="68">
        <v>-7.7866847903511606E-5</v>
      </c>
      <c r="F255" s="68">
        <v>-7.8743389779365198E-5</v>
      </c>
      <c r="G255" s="68">
        <v>3.6218132184103003E-5</v>
      </c>
      <c r="H255" s="69">
        <v>-6.5741028298153771E-6</v>
      </c>
    </row>
    <row r="256" spans="2:13" ht="15.75" thickBot="1" x14ac:dyDescent="0.3">
      <c r="B256" s="70" t="s">
        <v>86</v>
      </c>
      <c r="C256" s="71">
        <v>1.343539610287786E-3</v>
      </c>
      <c r="D256" s="71">
        <v>-7.5479719451967254E-5</v>
      </c>
      <c r="E256" s="71">
        <v>-1.1073296051118046E-4</v>
      </c>
      <c r="F256" s="71">
        <v>-1.1148958129688085E-4</v>
      </c>
      <c r="G256" s="71">
        <v>5.2289601059032881E-5</v>
      </c>
      <c r="H256" s="72">
        <v>-8.8074415326727102E-6</v>
      </c>
      <c r="I256" s="96" t="s">
        <v>130</v>
      </c>
    </row>
    <row r="260" spans="2:7" ht="15.75" thickBot="1" x14ac:dyDescent="0.3"/>
    <row r="261" spans="2:7" x14ac:dyDescent="0.25">
      <c r="B261" s="154" t="s">
        <v>132</v>
      </c>
      <c r="C261" s="155"/>
      <c r="D261" s="155"/>
      <c r="E261" s="155"/>
      <c r="F261" s="155"/>
      <c r="G261" s="156"/>
    </row>
    <row r="262" spans="2:7" x14ac:dyDescent="0.25">
      <c r="B262" s="40"/>
      <c r="C262" s="41"/>
      <c r="D262" s="41"/>
      <c r="E262" s="41"/>
      <c r="F262" s="41"/>
      <c r="G262" s="42"/>
    </row>
    <row r="263" spans="2:7" x14ac:dyDescent="0.25">
      <c r="B263" s="146" t="s">
        <v>133</v>
      </c>
      <c r="C263" s="147"/>
      <c r="D263" s="147"/>
      <c r="E263" s="147" t="s">
        <v>136</v>
      </c>
      <c r="F263" s="147"/>
      <c r="G263" s="148"/>
    </row>
    <row r="264" spans="2:7" x14ac:dyDescent="0.25">
      <c r="B264" s="40"/>
      <c r="C264" s="41"/>
      <c r="D264" s="41"/>
      <c r="E264" s="41"/>
      <c r="F264" s="152"/>
      <c r="G264" s="153"/>
    </row>
    <row r="265" spans="2:7" ht="15.75" thickBot="1" x14ac:dyDescent="0.3">
      <c r="B265" s="145" t="s">
        <v>134</v>
      </c>
      <c r="C265" s="143"/>
      <c r="D265" s="143"/>
      <c r="E265" s="143" t="s">
        <v>135</v>
      </c>
      <c r="F265" s="143"/>
      <c r="G265" s="144"/>
    </row>
  </sheetData>
  <mergeCells count="61">
    <mergeCell ref="E265:G265"/>
    <mergeCell ref="B265:D265"/>
    <mergeCell ref="B263:D263"/>
    <mergeCell ref="E263:G263"/>
    <mergeCell ref="B239:H239"/>
    <mergeCell ref="B249:H249"/>
    <mergeCell ref="F264:G264"/>
    <mergeCell ref="B261:G261"/>
    <mergeCell ref="L193:M193"/>
    <mergeCell ref="Q194:T194"/>
    <mergeCell ref="D223:F223"/>
    <mergeCell ref="E224:G224"/>
    <mergeCell ref="C222:G222"/>
    <mergeCell ref="D207:G207"/>
    <mergeCell ref="B193:G193"/>
    <mergeCell ref="B195:H195"/>
    <mergeCell ref="D206:G206"/>
    <mergeCell ref="D208:F208"/>
    <mergeCell ref="E209:G209"/>
    <mergeCell ref="B182:B183"/>
    <mergeCell ref="D182:D183"/>
    <mergeCell ref="F182:F183"/>
    <mergeCell ref="G182:G183"/>
    <mergeCell ref="A147:G147"/>
    <mergeCell ref="A149:G149"/>
    <mergeCell ref="A159:G159"/>
    <mergeCell ref="I159:I160"/>
    <mergeCell ref="A170:G170"/>
    <mergeCell ref="I170:I171"/>
    <mergeCell ref="B168:H168"/>
    <mergeCell ref="A33:G33"/>
    <mergeCell ref="A43:E43"/>
    <mergeCell ref="A47:E47"/>
    <mergeCell ref="B58:C58"/>
    <mergeCell ref="A59:H59"/>
    <mergeCell ref="A62:G62"/>
    <mergeCell ref="A60:F60"/>
    <mergeCell ref="A71:G71"/>
    <mergeCell ref="A80:G80"/>
    <mergeCell ref="A90:E90"/>
    <mergeCell ref="A94:E94"/>
    <mergeCell ref="B105:C105"/>
    <mergeCell ref="A136:G136"/>
    <mergeCell ref="A116:G116"/>
    <mergeCell ref="I117:L117"/>
    <mergeCell ref="A107:G107"/>
    <mergeCell ref="A126:G126"/>
    <mergeCell ref="A9:E9"/>
    <mergeCell ref="C30:E30"/>
    <mergeCell ref="C38:E38"/>
    <mergeCell ref="A1:G1"/>
    <mergeCell ref="A2:G2"/>
    <mergeCell ref="A3:G3"/>
    <mergeCell ref="A4:G4"/>
    <mergeCell ref="A5:G5"/>
    <mergeCell ref="A6:G6"/>
    <mergeCell ref="E11:F11"/>
    <mergeCell ref="A13:H13"/>
    <mergeCell ref="A15:G15"/>
    <mergeCell ref="A24:G24"/>
    <mergeCell ref="C22:E22"/>
  </mergeCells>
  <phoneticPr fontId="2" type="noConversion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2F26-B683-4D0A-961D-C10504199C53}">
  <dimension ref="B3:D52"/>
  <sheetViews>
    <sheetView workbookViewId="0">
      <selection activeCell="D3" sqref="D3:D52"/>
    </sheetView>
  </sheetViews>
  <sheetFormatPr baseColWidth="10" defaultRowHeight="15" x14ac:dyDescent="0.25"/>
  <sheetData>
    <row r="3" spans="2:4" x14ac:dyDescent="0.25">
      <c r="B3" t="s">
        <v>118</v>
      </c>
      <c r="D3" t="s">
        <v>117</v>
      </c>
    </row>
    <row r="4" spans="2:4" x14ac:dyDescent="0.25">
      <c r="B4">
        <v>0.01</v>
      </c>
      <c r="D4">
        <v>1.7658</v>
      </c>
    </row>
    <row r="5" spans="2:4" x14ac:dyDescent="0.25">
      <c r="B5">
        <v>0.02</v>
      </c>
      <c r="D5">
        <v>1.7658</v>
      </c>
    </row>
    <row r="6" spans="2:4" x14ac:dyDescent="0.25">
      <c r="B6">
        <v>0.03</v>
      </c>
      <c r="D6">
        <v>1.7658</v>
      </c>
    </row>
    <row r="7" spans="2:4" x14ac:dyDescent="0.25">
      <c r="B7">
        <v>3.0300000000000001E-2</v>
      </c>
      <c r="D7">
        <v>1.7658</v>
      </c>
    </row>
    <row r="8" spans="2:4" x14ac:dyDescent="0.25">
      <c r="B8">
        <v>0.04</v>
      </c>
      <c r="D8">
        <v>2.1136626000000001</v>
      </c>
    </row>
    <row r="9" spans="2:4" x14ac:dyDescent="0.25">
      <c r="B9">
        <v>0.05</v>
      </c>
      <c r="D9">
        <v>2.4403356</v>
      </c>
    </row>
    <row r="10" spans="2:4" x14ac:dyDescent="0.25">
      <c r="B10">
        <v>0.06</v>
      </c>
      <c r="D10">
        <v>2.745819</v>
      </c>
    </row>
    <row r="11" spans="2:4" x14ac:dyDescent="0.25">
      <c r="B11">
        <v>7.0000000000000007E-2</v>
      </c>
      <c r="D11">
        <v>3.0336444</v>
      </c>
    </row>
    <row r="12" spans="2:4" x14ac:dyDescent="0.25">
      <c r="B12">
        <v>0.08</v>
      </c>
      <c r="D12">
        <v>3.3073434000000002</v>
      </c>
    </row>
    <row r="13" spans="2:4" x14ac:dyDescent="0.25">
      <c r="B13">
        <v>0.09</v>
      </c>
      <c r="D13">
        <v>3.5704476000000001</v>
      </c>
    </row>
    <row r="14" spans="2:4" x14ac:dyDescent="0.25">
      <c r="B14">
        <v>0.1</v>
      </c>
      <c r="D14">
        <v>3.8211911999999999</v>
      </c>
    </row>
    <row r="15" spans="2:4" x14ac:dyDescent="0.25">
      <c r="B15">
        <v>0.11</v>
      </c>
      <c r="D15">
        <v>4.0648716</v>
      </c>
    </row>
    <row r="16" spans="2:4" x14ac:dyDescent="0.25">
      <c r="B16">
        <v>0.12</v>
      </c>
      <c r="D16">
        <v>4.2997230000000002</v>
      </c>
    </row>
    <row r="17" spans="2:4" x14ac:dyDescent="0.25">
      <c r="B17">
        <v>0.125</v>
      </c>
      <c r="D17">
        <v>4.4145000000000003</v>
      </c>
    </row>
    <row r="18" spans="2:4" x14ac:dyDescent="0.25">
      <c r="B18">
        <v>0.15</v>
      </c>
      <c r="D18">
        <v>4.4145000000000003</v>
      </c>
    </row>
    <row r="19" spans="2:4" x14ac:dyDescent="0.25">
      <c r="B19">
        <v>0.2</v>
      </c>
      <c r="D19">
        <v>4.4145000000000003</v>
      </c>
    </row>
    <row r="20" spans="2:4" x14ac:dyDescent="0.25">
      <c r="B20">
        <v>0.25</v>
      </c>
      <c r="D20">
        <v>4.4145000000000003</v>
      </c>
    </row>
    <row r="21" spans="2:4" x14ac:dyDescent="0.25">
      <c r="B21">
        <v>0.3</v>
      </c>
      <c r="D21">
        <v>4.4145000000000003</v>
      </c>
    </row>
    <row r="22" spans="2:4" x14ac:dyDescent="0.25">
      <c r="B22">
        <v>0.38600000000000001</v>
      </c>
      <c r="D22">
        <v>4.4145000000000003</v>
      </c>
    </row>
    <row r="23" spans="2:4" x14ac:dyDescent="0.25">
      <c r="B23">
        <v>0.42099999999999999</v>
      </c>
      <c r="D23">
        <v>4.4145000000000003</v>
      </c>
    </row>
    <row r="24" spans="2:4" x14ac:dyDescent="0.25">
      <c r="B24">
        <v>0.44900000000000001</v>
      </c>
      <c r="D24">
        <v>4.4145000000000003</v>
      </c>
    </row>
    <row r="25" spans="2:4" x14ac:dyDescent="0.25">
      <c r="B25">
        <v>0.45</v>
      </c>
      <c r="D25">
        <v>4.4145000000000003</v>
      </c>
    </row>
    <row r="26" spans="2:4" x14ac:dyDescent="0.25">
      <c r="B26">
        <v>0.495</v>
      </c>
      <c r="D26">
        <v>4.4145000000000003</v>
      </c>
    </row>
    <row r="27" spans="2:4" x14ac:dyDescent="0.25">
      <c r="B27">
        <v>0.5</v>
      </c>
      <c r="D27">
        <v>4.4145000000000003</v>
      </c>
    </row>
    <row r="28" spans="2:4" x14ac:dyDescent="0.25">
      <c r="B28">
        <v>0.53400000000000003</v>
      </c>
      <c r="D28">
        <v>4.4145000000000003</v>
      </c>
    </row>
    <row r="29" spans="2:4" x14ac:dyDescent="0.25">
      <c r="B29">
        <v>0.6</v>
      </c>
      <c r="D29">
        <v>4.4145000000000003</v>
      </c>
    </row>
    <row r="30" spans="2:4" x14ac:dyDescent="0.25">
      <c r="B30">
        <v>0.8</v>
      </c>
      <c r="D30">
        <v>3.3108749999999998</v>
      </c>
    </row>
    <row r="31" spans="2:4" x14ac:dyDescent="0.25">
      <c r="B31">
        <v>1</v>
      </c>
      <c r="D31">
        <v>2.6486999999999998</v>
      </c>
    </row>
    <row r="32" spans="2:4" x14ac:dyDescent="0.25">
      <c r="B32">
        <v>1.1000000000000001</v>
      </c>
      <c r="D32">
        <v>2.4085511999999998</v>
      </c>
    </row>
    <row r="33" spans="2:4" x14ac:dyDescent="0.25">
      <c r="B33">
        <v>1.2</v>
      </c>
      <c r="D33">
        <v>2.2072500000000002</v>
      </c>
    </row>
    <row r="34" spans="2:4" x14ac:dyDescent="0.25">
      <c r="B34">
        <v>1.3</v>
      </c>
      <c r="D34">
        <v>2.0377331999999999</v>
      </c>
    </row>
    <row r="35" spans="2:4" x14ac:dyDescent="0.25">
      <c r="B35">
        <v>1.4</v>
      </c>
      <c r="D35">
        <v>1.8911718</v>
      </c>
    </row>
    <row r="36" spans="2:4" x14ac:dyDescent="0.25">
      <c r="B36">
        <v>1.5</v>
      </c>
      <c r="D36">
        <v>1.7658</v>
      </c>
    </row>
    <row r="37" spans="2:4" x14ac:dyDescent="0.25">
      <c r="B37">
        <v>2</v>
      </c>
      <c r="D37">
        <v>1.3243499999999999</v>
      </c>
    </row>
    <row r="38" spans="2:4" x14ac:dyDescent="0.25">
      <c r="B38">
        <v>2.5</v>
      </c>
      <c r="D38">
        <v>1.05948</v>
      </c>
    </row>
    <row r="39" spans="2:4" x14ac:dyDescent="0.25">
      <c r="B39">
        <v>2.6819999999999999</v>
      </c>
      <c r="D39">
        <v>0.98708220000000002</v>
      </c>
    </row>
    <row r="40" spans="2:4" x14ac:dyDescent="0.25">
      <c r="B40">
        <v>3</v>
      </c>
      <c r="D40">
        <v>0.88290000000000002</v>
      </c>
    </row>
    <row r="41" spans="2:4" x14ac:dyDescent="0.25">
      <c r="B41">
        <v>3.1110000000000002</v>
      </c>
      <c r="D41">
        <v>0.85111559999999997</v>
      </c>
    </row>
    <row r="42" spans="2:4" x14ac:dyDescent="0.25">
      <c r="B42">
        <v>3.415</v>
      </c>
      <c r="D42">
        <v>0.77518620000000005</v>
      </c>
    </row>
    <row r="43" spans="2:4" x14ac:dyDescent="0.25">
      <c r="B43">
        <v>3.7850000000000001</v>
      </c>
      <c r="D43">
        <v>0.69925680000000001</v>
      </c>
    </row>
    <row r="44" spans="2:4" x14ac:dyDescent="0.25">
      <c r="B44">
        <v>3.907</v>
      </c>
      <c r="D44">
        <v>0.67806719999999998</v>
      </c>
    </row>
    <row r="45" spans="2:4" x14ac:dyDescent="0.25">
      <c r="B45">
        <v>3.93</v>
      </c>
      <c r="D45">
        <v>0.66923820000000001</v>
      </c>
    </row>
    <row r="46" spans="2:4" x14ac:dyDescent="0.25">
      <c r="B46">
        <v>4</v>
      </c>
      <c r="D46">
        <v>0.64628280000000005</v>
      </c>
    </row>
    <row r="47" spans="2:4" x14ac:dyDescent="0.25">
      <c r="B47">
        <v>5</v>
      </c>
      <c r="D47">
        <v>0.41319719999999999</v>
      </c>
    </row>
    <row r="48" spans="2:4" x14ac:dyDescent="0.25">
      <c r="B48">
        <v>6</v>
      </c>
      <c r="D48">
        <v>0.28782540000000001</v>
      </c>
    </row>
    <row r="49" spans="2:4" x14ac:dyDescent="0.25">
      <c r="B49">
        <v>7</v>
      </c>
      <c r="D49">
        <v>0.211896</v>
      </c>
    </row>
    <row r="50" spans="2:4" x14ac:dyDescent="0.25">
      <c r="B50">
        <v>8</v>
      </c>
      <c r="D50">
        <v>0.1624536</v>
      </c>
    </row>
    <row r="51" spans="2:4" x14ac:dyDescent="0.25">
      <c r="B51">
        <v>9</v>
      </c>
      <c r="D51">
        <v>0.12713759999999999</v>
      </c>
    </row>
    <row r="52" spans="2:4" x14ac:dyDescent="0.25">
      <c r="B52">
        <v>10</v>
      </c>
      <c r="D52">
        <v>0.1041822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alejandro  aguilon ralda</dc:creator>
  <cp:lastModifiedBy>Ivan Carreto</cp:lastModifiedBy>
  <dcterms:created xsi:type="dcterms:W3CDTF">2026-05-19T04:10:59Z</dcterms:created>
  <dcterms:modified xsi:type="dcterms:W3CDTF">2026-05-20T03:34:44Z</dcterms:modified>
</cp:coreProperties>
</file>