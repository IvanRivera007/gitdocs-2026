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Ivan\Documents\gitdocs-2026\macros fac\"/>
    </mc:Choice>
  </mc:AlternateContent>
  <xr:revisionPtr revIDLastSave="0" documentId="13_ncr:1_{BB046319-A8A1-47BE-903E-2DF27D0CE184}" xr6:coauthVersionLast="47" xr6:coauthVersionMax="47" xr10:uidLastSave="{00000000-0000-0000-0000-000000000000}"/>
  <bookViews>
    <workbookView xWindow="-120" yWindow="-120" windowWidth="20730" windowHeight="11160" tabRatio="682" firstSheet="2" activeTab="2" xr2:uid="{00000000-000D-0000-FFFF-FFFF00000000}"/>
  </bookViews>
  <sheets>
    <sheet name="menore" sheetId="1" state="hidden" r:id="rId1"/>
    <sheet name="mayores" sheetId="3" state="hidden" r:id="rId2"/>
    <sheet name="FACTIBILIDAD" sheetId="4" r:id="rId3"/>
    <sheet name="FORMATO  FACT" sheetId="5" r:id="rId4"/>
    <sheet name="CARGA U" sheetId="8" r:id="rId5"/>
    <sheet name="CATEGORIZACION DE UDS" sheetId="7" r:id="rId6"/>
    <sheet name="C. NOTIFICACION" sheetId="9" r:id="rId7"/>
    <sheet name="tabla" sheetId="2" state="hidden" r:id="rId8"/>
    <sheet name="PREGUNTAS" sheetId="6" state="hidden" r:id="rId9"/>
  </sheets>
  <definedNames>
    <definedName name="_xlnm.Print_Area" localSheetId="6">'C. NOTIFICACION'!$A$1:$K$45</definedName>
    <definedName name="_xlnm.Print_Area" localSheetId="5">'CATEGORIZACION DE UDS'!$A$1:$Q$65</definedName>
    <definedName name="_xlnm.Print_Area" localSheetId="3">'FORMATO  FACT'!$A$1:$Q$99</definedName>
    <definedName name="No_residencial">tabla!$G$70:$G$121</definedName>
    <definedName name="NO_RESIDENCIAL_COND">tabla!$I$70:$I$90</definedName>
    <definedName name="NO_RESIDENCIAL_ORD">tabla!$G$70:$G$100</definedName>
    <definedName name="RESIDENCIAL">tabla!$E$67:$E$68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 i="4" l="1"/>
  <c r="J26" i="5"/>
  <c r="G27" i="5"/>
  <c r="D35" i="4" l="1"/>
  <c r="D38" i="4" s="1"/>
  <c r="G11" i="5" l="1"/>
  <c r="G12" i="5"/>
  <c r="G13" i="5"/>
  <c r="D49" i="4" l="1"/>
  <c r="C20" i="8" l="1"/>
  <c r="I24" i="9" l="1"/>
  <c r="A24" i="9"/>
  <c r="D16" i="9"/>
  <c r="C21" i="8"/>
  <c r="C22" i="8" s="1"/>
  <c r="L38" i="5" s="1"/>
  <c r="F2" i="8"/>
  <c r="F3" i="8" s="1"/>
  <c r="F4" i="8" s="1"/>
  <c r="E3" i="8" s="1"/>
  <c r="D55" i="4" l="1"/>
  <c r="D44" i="4"/>
  <c r="J28" i="5" s="1"/>
  <c r="D43" i="4"/>
  <c r="J34" i="5" s="1"/>
  <c r="I83" i="5"/>
  <c r="J84" i="5"/>
  <c r="G14" i="5"/>
  <c r="G82" i="5" s="1"/>
  <c r="G15" i="5"/>
  <c r="G16" i="5"/>
  <c r="G17" i="5"/>
  <c r="G18" i="5"/>
  <c r="I59" i="5"/>
  <c r="J59" i="5" s="1"/>
  <c r="I60" i="5"/>
  <c r="J60" i="5" s="1"/>
  <c r="I61" i="5"/>
  <c r="J61" i="5" s="1"/>
  <c r="L59" i="5"/>
  <c r="L60" i="5"/>
  <c r="L61" i="5"/>
  <c r="G30" i="5"/>
  <c r="D41" i="4"/>
  <c r="D53" i="4"/>
  <c r="G33" i="5"/>
  <c r="D46" i="4"/>
  <c r="D42" i="4"/>
  <c r="J35" i="5"/>
  <c r="G59" i="5"/>
  <c r="G71" i="5"/>
  <c r="G70" i="5"/>
  <c r="G22" i="7"/>
  <c r="G18" i="7"/>
  <c r="G17" i="7"/>
  <c r="G16" i="7"/>
  <c r="G15" i="7"/>
  <c r="G14" i="7"/>
  <c r="G39" i="7" s="1"/>
  <c r="G13" i="7"/>
  <c r="J41" i="7" s="1"/>
  <c r="G12" i="7"/>
  <c r="I40" i="7" s="1"/>
  <c r="G11" i="7"/>
  <c r="F40" i="7" s="1"/>
  <c r="J29" i="5"/>
  <c r="J70" i="5"/>
  <c r="J71" i="5"/>
  <c r="J72" i="5"/>
  <c r="J69" i="5"/>
  <c r="L62" i="5"/>
  <c r="G72" i="5"/>
  <c r="G69" i="5"/>
  <c r="I62" i="5"/>
  <c r="J62" i="5" s="1"/>
  <c r="F51" i="5"/>
  <c r="I51" i="5" s="1"/>
  <c r="F50" i="5"/>
  <c r="I50" i="5"/>
  <c r="J25" i="5"/>
  <c r="F45" i="5"/>
  <c r="I45" i="5" s="1"/>
  <c r="F44" i="5"/>
  <c r="I44" i="5" s="1"/>
  <c r="D57" i="4"/>
  <c r="J32" i="5" s="1"/>
  <c r="D56" i="4"/>
  <c r="J31" i="5" s="1"/>
  <c r="F83" i="5"/>
  <c r="C21" i="1"/>
  <c r="G26" i="5"/>
  <c r="J27" i="5"/>
  <c r="F49" i="5"/>
  <c r="I49" i="5" s="1"/>
  <c r="F47" i="5"/>
  <c r="I47" i="5" s="1"/>
  <c r="F48" i="5"/>
  <c r="I48" i="5" s="1"/>
  <c r="F46" i="5"/>
  <c r="I46" i="5" s="1"/>
  <c r="E19" i="1"/>
  <c r="F19" i="1" s="1"/>
  <c r="G6" i="1"/>
  <c r="I6" i="1"/>
  <c r="C6" i="1"/>
  <c r="C8" i="1"/>
  <c r="C9" i="1"/>
  <c r="E15" i="1"/>
  <c r="G6" i="3"/>
  <c r="I6" i="3"/>
  <c r="C6" i="3" s="1"/>
  <c r="C8" i="3"/>
  <c r="H6" i="3"/>
  <c r="H6" i="1"/>
  <c r="K60" i="5"/>
  <c r="C4" i="3" l="1"/>
  <c r="C4" i="1"/>
  <c r="C12" i="1" s="1"/>
  <c r="C14" i="1" s="1"/>
  <c r="K59" i="5"/>
  <c r="J30" i="5"/>
  <c r="L30" i="5" s="1"/>
  <c r="O16" i="9"/>
  <c r="F40" i="5"/>
  <c r="D59" i="4"/>
  <c r="G60" i="5" s="1"/>
  <c r="L26" i="5"/>
  <c r="K61" i="5"/>
  <c r="K62" i="5"/>
  <c r="C18" i="1"/>
  <c r="C15" i="1"/>
  <c r="C17" i="1" s="1"/>
  <c r="C14" i="3"/>
  <c r="C15" i="3"/>
  <c r="C13" i="3"/>
  <c r="N35" i="5"/>
  <c r="G22" i="5" s="1"/>
  <c r="G25" i="5" s="1"/>
  <c r="L27" i="5"/>
  <c r="G31" i="5" l="1"/>
  <c r="L31" i="5" s="1"/>
  <c r="G34" i="5"/>
  <c r="D65" i="4"/>
  <c r="J33" i="5"/>
  <c r="L33" i="5" s="1"/>
  <c r="G28" i="5"/>
  <c r="O17" i="9" s="1"/>
  <c r="G32" i="5"/>
  <c r="L32" i="5" s="1"/>
  <c r="G29" i="5"/>
  <c r="L29" i="5" s="1"/>
  <c r="G35" i="5" l="1"/>
  <c r="L35" i="5" s="1"/>
  <c r="L34" i="5"/>
  <c r="R16" i="9"/>
  <c r="L25" i="5"/>
  <c r="L28" i="5"/>
  <c r="Q17" i="9"/>
  <c r="R17" i="9" s="1"/>
  <c r="O15" i="9" l="1"/>
  <c r="Q15" i="9" s="1"/>
  <c r="R15" i="9" s="1"/>
  <c r="R19" i="9" s="1"/>
  <c r="R20" i="9" s="1"/>
  <c r="D23"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Porres</author>
  </authors>
  <commentList>
    <comment ref="C3" authorId="0" shapeId="0" xr:uid="{00000000-0006-0000-0400-000001000000}">
      <text>
        <r>
          <rPr>
            <b/>
            <sz val="9"/>
            <color indexed="81"/>
            <rFont val="Tahoma"/>
            <family val="2"/>
          </rPr>
          <t>Maria Porres:</t>
        </r>
        <r>
          <rPr>
            <sz val="9"/>
            <color indexed="81"/>
            <rFont val="Tahoma"/>
            <family val="2"/>
          </rPr>
          <t xml:space="preserve">
Colocar el area del predio</t>
        </r>
      </text>
    </comment>
    <comment ref="C4" authorId="0" shapeId="0" xr:uid="{00000000-0006-0000-0400-000002000000}">
      <text>
        <r>
          <rPr>
            <b/>
            <sz val="9"/>
            <color indexed="81"/>
            <rFont val="Tahoma"/>
            <family val="2"/>
          </rPr>
          <t>Maria Porres:</t>
        </r>
        <r>
          <rPr>
            <sz val="9"/>
            <color indexed="81"/>
            <rFont val="Tahoma"/>
            <family val="2"/>
          </rPr>
          <t xml:space="preserve">
Se coloca el Indice de Edificabilidad del proyecto</t>
        </r>
      </text>
    </comment>
  </commentList>
</comments>
</file>

<file path=xl/sharedStrings.xml><?xml version="1.0" encoding="utf-8"?>
<sst xmlns="http://schemas.openxmlformats.org/spreadsheetml/2006/main" count="504" uniqueCount="370">
  <si>
    <t>ASP</t>
  </si>
  <si>
    <t>Area de Servicio Publico</t>
  </si>
  <si>
    <t>AP</t>
  </si>
  <si>
    <t>Area total del Predio</t>
  </si>
  <si>
    <t>EAD</t>
  </si>
  <si>
    <t>Indice de Edificabilidad</t>
  </si>
  <si>
    <t>Equilibrio Urbanistico</t>
  </si>
  <si>
    <t>CEU</t>
  </si>
  <si>
    <t>ASP-PP</t>
  </si>
  <si>
    <t>M2</t>
  </si>
  <si>
    <t>FCT</t>
  </si>
  <si>
    <t>Factor de Reduccion por donacion de area de servicio</t>
  </si>
  <si>
    <t>si</t>
  </si>
  <si>
    <t>no</t>
  </si>
  <si>
    <t>FC-U</t>
  </si>
  <si>
    <t>Residenciales</t>
  </si>
  <si>
    <t>No residenciales</t>
  </si>
  <si>
    <t>BASE</t>
  </si>
  <si>
    <t>AMPLIADO</t>
  </si>
  <si>
    <t>base</t>
  </si>
  <si>
    <t>ampliado</t>
  </si>
  <si>
    <t>100 o mas</t>
  </si>
  <si>
    <t>QPRO</t>
  </si>
  <si>
    <t>Uso de Suelo</t>
  </si>
  <si>
    <t>Q</t>
  </si>
  <si>
    <t>Tipo</t>
  </si>
  <si>
    <t>Final</t>
  </si>
  <si>
    <t xml:space="preserve">Determinación de cargas urbanísticas y cesiones obligatorias en proyectos con superficies menores a una hectárea. </t>
  </si>
  <si>
    <t xml:space="preserve">Determinación de cargas urbanísticas y cesiones obligatorias en proyectos con superficies mayores a una hectárea. </t>
  </si>
  <si>
    <t xml:space="preserve">Area Vial </t>
  </si>
  <si>
    <t>Equipamiento Comunitario Municipal</t>
  </si>
  <si>
    <t>m2</t>
  </si>
  <si>
    <t>Infraestructura Urbana</t>
  </si>
  <si>
    <t>Indice sin reducir</t>
  </si>
  <si>
    <t>todas las urbanizaciones entran aquí</t>
  </si>
  <si>
    <t>Area Efectiva</t>
  </si>
  <si>
    <t>Sesion de Area vial</t>
  </si>
  <si>
    <t>Area efectiva 2</t>
  </si>
  <si>
    <t>Area Permeable</t>
  </si>
  <si>
    <t>%</t>
  </si>
  <si>
    <t>Area permeable Propuesta</t>
  </si>
  <si>
    <t>Area efectiva Final</t>
  </si>
  <si>
    <t>Area con factor</t>
  </si>
  <si>
    <t>m</t>
  </si>
  <si>
    <t xml:space="preserve">Area propuesta </t>
  </si>
  <si>
    <t>Area de vivieda</t>
  </si>
  <si>
    <t>%  uso residencial</t>
  </si>
  <si>
    <t>Si pasa del 30% para uso mixto puede usarse ampliado</t>
  </si>
  <si>
    <t>URBANO Q1 (URB-Q1)</t>
  </si>
  <si>
    <t>URBANO Q2 (URB-Q2)</t>
  </si>
  <si>
    <t>URBANO Q3 (URB-Q3)</t>
  </si>
  <si>
    <t>URBANO Q4 (URB-Q4)</t>
  </si>
  <si>
    <t>URBANO Q5 (URB-Q5)</t>
  </si>
  <si>
    <t>URBANO Q6 (URB-Q6)</t>
  </si>
  <si>
    <t>URBANO Q7 (URB-Q7)</t>
  </si>
  <si>
    <t>URBANO PROTECCION NATURAL (URB-PRO)</t>
  </si>
  <si>
    <t>ESPECIAL</t>
  </si>
  <si>
    <t>CLASIFICACION DEL SUELO URBANO</t>
  </si>
  <si>
    <t>CLASIFICACION DEL SUELO RURAL Y FORESTAL</t>
  </si>
  <si>
    <t>RUR-AGR-CL</t>
  </si>
  <si>
    <t>RUR-AGR-SL</t>
  </si>
  <si>
    <t>RUR-NUR</t>
  </si>
  <si>
    <t>ESPECIAL DE PROTECCION</t>
  </si>
  <si>
    <t>FOR-SIGAP</t>
  </si>
  <si>
    <t>FOR-PRD</t>
  </si>
  <si>
    <t>FOR-CO</t>
  </si>
  <si>
    <t>FOR-REE</t>
  </si>
  <si>
    <t>FOR-RCN</t>
  </si>
  <si>
    <t>LIMITE DE ALDEAS Y CANTONES</t>
  </si>
  <si>
    <t>AREA DE AMENAZA POR SISMO</t>
  </si>
  <si>
    <t xml:space="preserve">SI </t>
  </si>
  <si>
    <t>NO</t>
  </si>
  <si>
    <t>N/A</t>
  </si>
  <si>
    <t xml:space="preserve">AREA DE INUNDACION </t>
  </si>
  <si>
    <t>AREA DE AMENAZA POR DESLIZAMIENTO</t>
  </si>
  <si>
    <t>AREA SUJETA A PROYECTO URBANO</t>
  </si>
  <si>
    <t>CENTRO HISTORICO</t>
  </si>
  <si>
    <t>CORREDOR CENTRAL</t>
  </si>
  <si>
    <t>PASEO COMERCIAL LA DEMOCRACIA</t>
  </si>
  <si>
    <t>CENTRO CIVICO</t>
  </si>
  <si>
    <t>CORREDOR ECOLOGICO DEL RIO SECO</t>
  </si>
  <si>
    <t>CORREDOR PASEO REAL TINAJON LA ESPERANZA</t>
  </si>
  <si>
    <t>PASEO ECOLIGICO EL BAUL</t>
  </si>
  <si>
    <t>VILLA OLIMPICA</t>
  </si>
  <si>
    <t>CORREDOR URBANO LOS TRIGALES</t>
  </si>
  <si>
    <t>CORREDOR URBANO JESUS CASTILLO-INDEPENDENCIA</t>
  </si>
  <si>
    <t>SELECCIONAR PROYECTO URBANO</t>
  </si>
  <si>
    <t>COORDENADAS GTM</t>
  </si>
  <si>
    <t>X</t>
  </si>
  <si>
    <t>Y</t>
  </si>
  <si>
    <t>Vigencia 6 meses a partir de la fecha de emisión</t>
  </si>
  <si>
    <t xml:space="preserve">SUELO ESPECIAL DE PROTECCION </t>
  </si>
  <si>
    <t>ESP-Q1</t>
  </si>
  <si>
    <t>ESP-Q2</t>
  </si>
  <si>
    <t>ESP-Q3</t>
  </si>
  <si>
    <t>ESP-Q4</t>
  </si>
  <si>
    <t>ESP-Q5</t>
  </si>
  <si>
    <t>ESP-Q6</t>
  </si>
  <si>
    <t>ESP-Q7</t>
  </si>
  <si>
    <t>ESP-Q8</t>
  </si>
  <si>
    <t>ESP-Q9</t>
  </si>
  <si>
    <t>ESP-Q10</t>
  </si>
  <si>
    <t>ESP-Q11</t>
  </si>
  <si>
    <t>ESP-Q12</t>
  </si>
  <si>
    <t>ESP-Q13</t>
  </si>
  <si>
    <t>ESP-Q2.1</t>
  </si>
  <si>
    <t>ESP-Q2.2</t>
  </si>
  <si>
    <t>ESP-Q2.3</t>
  </si>
  <si>
    <t>ESP-Q2.4</t>
  </si>
  <si>
    <t>ESP-Q2.5</t>
  </si>
  <si>
    <t>ESP-Q2.6</t>
  </si>
  <si>
    <t>ESP-Q2.7</t>
  </si>
  <si>
    <t>ESP-Q2.8</t>
  </si>
  <si>
    <t>ESP-Q2.9</t>
  </si>
  <si>
    <t>ESP-Q2.10</t>
  </si>
  <si>
    <t>ESP-Q2.11</t>
  </si>
  <si>
    <t>ESP-Q2.12</t>
  </si>
  <si>
    <t>Fecha</t>
  </si>
  <si>
    <t>Propietario</t>
  </si>
  <si>
    <t>RESIDENCIAL</t>
  </si>
  <si>
    <t>Venta de productos y prestacion de servicios</t>
  </si>
  <si>
    <t>consumo de comidas y bebidas</t>
  </si>
  <si>
    <t>labores de oficina</t>
  </si>
  <si>
    <t>enseñanza</t>
  </si>
  <si>
    <t>espectadores sentados</t>
  </si>
  <si>
    <t>campo o canchas deportivas</t>
  </si>
  <si>
    <t>produccion, reparacion, almacenamiento de productos</t>
  </si>
  <si>
    <t>alojamiento o encamamiento</t>
  </si>
  <si>
    <t>recreacion individuales o grupales</t>
  </si>
  <si>
    <t>ocio enstanciales</t>
  </si>
  <si>
    <t>Ordinarios</t>
  </si>
  <si>
    <t>Condicionados</t>
  </si>
  <si>
    <t>Estacionamiento de vehiculos livianos</t>
  </si>
  <si>
    <t>Almacenamiento, logistica, embalaje u otras activides relacionadas con el transporte pesado</t>
  </si>
  <si>
    <t>Servicios de publicidad o promocion</t>
  </si>
  <si>
    <t>Enseñanza superior</t>
  </si>
  <si>
    <t>Manejo de residuos biologicos, medicos u hospitalarios</t>
  </si>
  <si>
    <t>actividades masivas de excavacion, procesamiento, o deposito de materiales</t>
  </si>
  <si>
    <t xml:space="preserve">Almacenamiento o expendio de sustancias toxicas, combustibles </t>
  </si>
  <si>
    <t>actividades relacionadas con el movimiento masivo de pasajeros</t>
  </si>
  <si>
    <t>Servicio de manejo, almacenaje, procesamiento o disposicion de desechos solidos</t>
  </si>
  <si>
    <t>produccion y distribucion de productos o servicios publicos</t>
  </si>
  <si>
    <t>actividades con autoservicio</t>
  </si>
  <si>
    <t xml:space="preserve">consumo de bebidas alcoholicas </t>
  </si>
  <si>
    <t>actividades grupales, de espectaculos en vivo o que produzcan aglomeracion de personas</t>
  </si>
  <si>
    <t>utilizacion de instrumentos musicales o de aparatos reproductores o amplificadores de sonido</t>
  </si>
  <si>
    <t>celebracion de servicios religiosos y realizacion de actividades conexas</t>
  </si>
  <si>
    <t>Servicios de reparacion, mantenimiento o limpieza de vehiculos y otros objetos mayores</t>
  </si>
  <si>
    <t>actividades de manufactura o industria mecanizada o automatizada</t>
  </si>
  <si>
    <t>servicio de alojamiento con tarifa por fraccion de tiempo</t>
  </si>
  <si>
    <t>actividades de velacion , embalsamiento, enterramiento, inhumacion, o cremacion de restos humanos y animales</t>
  </si>
  <si>
    <t>realizacion de juegos pasivos o de apuestas debidamente autorizados</t>
  </si>
  <si>
    <t>actividades relacionadas al comercio o servicio sexual</t>
  </si>
  <si>
    <t>ALTO IMPACTO</t>
  </si>
  <si>
    <t>BAJO IMPACTO</t>
  </si>
  <si>
    <t>INDICE DE EDIFICABILIDAD</t>
  </si>
  <si>
    <t>-</t>
  </si>
  <si>
    <t>RESTRICCIÓN</t>
  </si>
  <si>
    <t>Parámetros de fraccionamientos</t>
  </si>
  <si>
    <t>Parámetros de obra</t>
  </si>
  <si>
    <t>Parámetros de uso del suelo</t>
  </si>
  <si>
    <t>Índice de edificabilidad</t>
  </si>
  <si>
    <t>Porcentaje de permeabilidad</t>
  </si>
  <si>
    <t>Bloque inferior</t>
  </si>
  <si>
    <t>Bloque superior</t>
  </si>
  <si>
    <t>Altura</t>
  </si>
  <si>
    <t>Superficie de predio</t>
  </si>
  <si>
    <t>Frente de predio</t>
  </si>
  <si>
    <t>Base</t>
  </si>
  <si>
    <t>Ampliado</t>
  </si>
  <si>
    <t>Separación a colindancia</t>
  </si>
  <si>
    <t>Lado mínimo de patio y pozos de luz</t>
  </si>
  <si>
    <t xml:space="preserve">Parámetro de uso del suelo mixto </t>
  </si>
  <si>
    <t>Máximo de usos del suelo no residenciales ordinarios</t>
  </si>
  <si>
    <t>PERMEABILIDAD</t>
  </si>
  <si>
    <t xml:space="preserve">NOMBRE </t>
  </si>
  <si>
    <t>FECHA</t>
  </si>
  <si>
    <t>NO_RESIDENCIAL_ORD</t>
  </si>
  <si>
    <t>NO_RESIDENCIAL_COND</t>
  </si>
  <si>
    <t xml:space="preserve">USO DE SUELO 1 </t>
  </si>
  <si>
    <t xml:space="preserve">USO DE SUELO 2 </t>
  </si>
  <si>
    <t xml:space="preserve">USO DE SUELO 3 </t>
  </si>
  <si>
    <t xml:space="preserve">USO DE SUELO 4 </t>
  </si>
  <si>
    <t>FRENTE DEL PREDIO</t>
  </si>
  <si>
    <t>NO RESIDENCIAL ORDINARIO</t>
  </si>
  <si>
    <t>NO RESINDENCIAL CONDICIONADO</t>
  </si>
  <si>
    <t>USO DE SUELO MIXTO (RESIDENCIAL)</t>
  </si>
  <si>
    <t>INDICE DE EDIFICABILIDAD USADO</t>
  </si>
  <si>
    <t xml:space="preserve">INDICE DE EDIFICABILIDAD MAX. </t>
  </si>
  <si>
    <t>CONSTANTE DE EQUILIBRIO URBANISTICO</t>
  </si>
  <si>
    <t>MAYORES A 1 HECTAREA</t>
  </si>
  <si>
    <t xml:space="preserve">CESION OBLIGATORIA </t>
  </si>
  <si>
    <t>Borrar datos para no variar cantidades</t>
  </si>
  <si>
    <t>indice de edificabilidad para cada proyecto? Como se calcula con cuantos decimales</t>
  </si>
  <si>
    <t>la mixtura del proyecto solo es sobre area sobre la superficie sin sotanos el pot no lo menciona</t>
  </si>
  <si>
    <t>permeabilidad sobre area efectiva (el pot no lo menciona) al contrario solo dice superficie del predio</t>
  </si>
  <si>
    <t>se puede pedir doble cesion de area xqe según el pot</t>
  </si>
  <si>
    <t>en el pot menciona qe el informe de fact es requisito de licencia de construccion</t>
  </si>
  <si>
    <t>las zonas sismicas como las vamos a trabajar estamos seguros de ese estudio, se tomaron en cuenta las zonificaciones de fallas, se prohiben licencias en ese lugar o esta afecto a estudio</t>
  </si>
  <si>
    <t xml:space="preserve">para condominios menciona en el articulo </t>
  </si>
  <si>
    <t>METROS CUADRADOS</t>
  </si>
  <si>
    <t>SI CUMPLE</t>
  </si>
  <si>
    <t>NO CUMPLE</t>
  </si>
  <si>
    <t>FRENTE MINIMO (m)</t>
  </si>
  <si>
    <t>FRENTE (m)</t>
  </si>
  <si>
    <t>ALTURA (m)</t>
  </si>
  <si>
    <t>ALTURA MAXIMA (m)</t>
  </si>
  <si>
    <t>menores a 250 m2 todos estan afectos a cargas urbanisticas a pesar de no ser vivienda??</t>
  </si>
  <si>
    <t>AREA DE CESION OBLIGATORIA</t>
  </si>
  <si>
    <t>VR</t>
  </si>
  <si>
    <t>ancho total</t>
  </si>
  <si>
    <t>acera</t>
  </si>
  <si>
    <t>V1</t>
  </si>
  <si>
    <t>V2</t>
  </si>
  <si>
    <t>V3</t>
  </si>
  <si>
    <t>V4</t>
  </si>
  <si>
    <t>V5</t>
  </si>
  <si>
    <t>Cicloruta</t>
  </si>
  <si>
    <t>vias peatonales</t>
  </si>
  <si>
    <t>CENTRO HISTORICO Y/O MONUMENTOS AISLADOS</t>
  </si>
  <si>
    <t>DONACION A LA MUNICIPALIDAD (SOLO MENORES A 1 HECTAREA)</t>
  </si>
  <si>
    <t>se tomo en cuenta los retiros de los bloques para viviendas?????</t>
  </si>
  <si>
    <t>ALTURA PRIMER BLOQUE</t>
  </si>
  <si>
    <t>DESCRIPCION FINAL:</t>
  </si>
  <si>
    <t>Proyecto:</t>
  </si>
  <si>
    <t>INGRESO DE NUEVO IE</t>
  </si>
  <si>
    <t>se pedira doble cesion, la carga urbanistica no corresponde a el area de calles?????</t>
  </si>
  <si>
    <t xml:space="preserve">Que se hace en los caso donde ya existe construccion </t>
  </si>
  <si>
    <t>ALTURA SEGUNDO BLOQUE</t>
  </si>
  <si>
    <t>EXPEDIENTE</t>
  </si>
  <si>
    <t>Expediente</t>
  </si>
  <si>
    <t xml:space="preserve">superficie de construccion </t>
  </si>
  <si>
    <t xml:space="preserve">Direccion </t>
  </si>
  <si>
    <t xml:space="preserve">DIRECCION </t>
  </si>
  <si>
    <t>Nombre del Proyecto</t>
  </si>
  <si>
    <t>NOMBRE DEL PROYECTO</t>
  </si>
  <si>
    <t>Finca</t>
  </si>
  <si>
    <t xml:space="preserve">Folio </t>
  </si>
  <si>
    <t>Libro</t>
  </si>
  <si>
    <t>FINCA</t>
  </si>
  <si>
    <t xml:space="preserve">FOLIO </t>
  </si>
  <si>
    <t>LIBRO</t>
  </si>
  <si>
    <t>PLAN PARCIAL</t>
  </si>
  <si>
    <t>CERTIFICACIÓN DE FACTIBILIDAD</t>
  </si>
  <si>
    <t>VIAS</t>
  </si>
  <si>
    <t>ACERA</t>
  </si>
  <si>
    <t>IE NUEVO</t>
  </si>
  <si>
    <t>ANCHO (m)</t>
  </si>
  <si>
    <t>MIXTURA NO SE INCLUYEN SOTANOS)</t>
  </si>
  <si>
    <t>DATOS DEL SECTOR</t>
  </si>
  <si>
    <t>DATOS DEL PROYECTO</t>
  </si>
  <si>
    <t>DATOS DEL EXPEDIENTE:</t>
  </si>
  <si>
    <t>EVALUACIÓN</t>
  </si>
  <si>
    <t>EN EL INFORME DE FACTIBILIDAD SE EVALUA ÚNICAMENTE LO CORRESPONDIENTE A LOS MAPAS ESTABLECIDOS EN EL PLAN DE ORDENAMIENTO TERRITORIAL, SI EXISTIERE UNA CONDICIÓN DE RIESGO DENTRO O CERCA DEL INMUEBLE, LA CONDICIÓN A LA QUE SE ENCUENTRE SUJETA SERÁ EVALUADA DURANTE EL PROCESO DEL EXPEDIENTE DE LICENCIA DE CONSTRUCCIÓN, SEGUN SEA EL CASO.</t>
  </si>
  <si>
    <t>EVALUACION DE UBICACIÓN DEL INMUEBLE:</t>
  </si>
  <si>
    <t>EVALUACIÓN VIAL PRELIMINAR Y PARQUEOS</t>
  </si>
  <si>
    <t>OBSERVACIONES DEL PROYECTO</t>
  </si>
  <si>
    <t>Que en fecha</t>
  </si>
  <si>
    <t xml:space="preserve"> a nombre de</t>
  </si>
  <si>
    <t>y factura Numero</t>
  </si>
  <si>
    <t>para el inmueble ubicado en</t>
  </si>
  <si>
    <t xml:space="preserve">EL INFRASCRITO JEFE DEL DEPARTAMENTO DE CONTROL DE OBRAS CERTIFICA: </t>
  </si>
  <si>
    <t xml:space="preserve"> se efectuó el informe de factibilidad en base al expediente registrado número</t>
  </si>
  <si>
    <t>EVALUACION DEL PROYECTO RESPECTO AL SECTOR:</t>
  </si>
  <si>
    <t>XXXXXXX</t>
  </si>
  <si>
    <t>VIA ACTUAL</t>
  </si>
  <si>
    <t>ALTURA DEL PRIMER BLOQUE (m)</t>
  </si>
  <si>
    <t>ALTURA DEL SEGUNDO BLOQUE (m)</t>
  </si>
  <si>
    <t>INGRESE JERARQUIZACION DE VIAS</t>
  </si>
  <si>
    <t>INGRESE NOMBRE ACTUAL DE LAS CALLES O AVENIDAS DEBE INGRESARSE EN EL ORDEN QUE SE INGRESO LA JERARQUIZACIÓN VIAL</t>
  </si>
  <si>
    <t>1. Deben de cumplirse con todos los requisitos correspondientes al proyecto para la solicitud de la licencia de construcción, debiendo cumplir con las dimensiones minimas establecidas en el articulo 85 del Plan de Ordenamiento Territorial.</t>
  </si>
  <si>
    <t>LA CERTIFICACIÓN DE FACTIBILIDAD NO CONSTITUYE UNA LICENCIA DE OBRA</t>
  </si>
  <si>
    <t>USO DE SUELO 1</t>
  </si>
  <si>
    <t>USO DE SUELO 2</t>
  </si>
  <si>
    <t>USO DE SUELO 3</t>
  </si>
  <si>
    <t>USO DE SUELO 4</t>
  </si>
  <si>
    <t>DESCRIPCION DEL USO DEL SUELO DEL PROYECTO</t>
  </si>
  <si>
    <t>Cualquier modificación a la planificación presentada dejará sin efecto la factibilidad del proyecto, a su vez se indica que la emisión de una nueva factibilidad para un inmueble en especifico deja sin validez la anterior siendo la mas reciente la factibilidad válida siempre y cuando la misma se encuentre vigente.</t>
  </si>
  <si>
    <t>Resolución de Ordenamiento Territorial No.</t>
  </si>
  <si>
    <t>CERTIFICACIÓN DE CATEGORIZACIÓN DE USO DE SUELO</t>
  </si>
  <si>
    <t>CLASIFICACIÓN DEL SUELO</t>
  </si>
  <si>
    <t>RECTIFICACIÓN DE SECTOR DE USO DE SUELO</t>
  </si>
  <si>
    <t xml:space="preserve"> se efectuó el informe de categorización de uso de suelo en base al expediente </t>
  </si>
  <si>
    <t>RESOLUCION DE ORDENAMIENTO TERRITORIAL No.</t>
  </si>
  <si>
    <t>CONSIDERACIONES SEGÚN RESOLUCIÓN DE ORDENAMIENTO TERRITORIAL</t>
  </si>
  <si>
    <t xml:space="preserve">El proyecto es considerado </t>
  </si>
  <si>
    <t>haciendo constar que los datos anteriormente descritos podrán ser utilizados para la evaluación de proyectos siempre que se tomen</t>
  </si>
  <si>
    <t>las consideraciones establecidas para cada sector.</t>
  </si>
  <si>
    <t>LA CERTIFICACIÓN DE CATEGORIZACIÓN DE USO DE SUELO NO CONSTITUYE UNA LICENCIA DE CONSTRUCCIÓN Y/O DE USO DE SUELO</t>
  </si>
  <si>
    <t>INDICE DE EDIFICABILIDAD ACTUAL</t>
  </si>
  <si>
    <t>INDICE DE EDIFICABILIDAD PROYECTADO</t>
  </si>
  <si>
    <t>INDICE DE EDIFICABILIDAD DEL PROYECTO</t>
  </si>
  <si>
    <t>AREA DE CONSTRUCCION A EJECUTAR SUMATORIA DE TODOS LOS NIVELES SIN INCLUIR SOTANOS (AREAS TECHADAS)</t>
  </si>
  <si>
    <t>AREA PERMEABLE ACTUAL</t>
  </si>
  <si>
    <t>AREA PERMEABLE FINAL</t>
  </si>
  <si>
    <t>AREAS DE CONSTRUCCIÓN EXISTENTES TODOS LOS NIVELES</t>
  </si>
  <si>
    <t>PERMEABILIDAD FINAL</t>
  </si>
  <si>
    <t>AREA DEL PROYECTO NUEVO HUELLA</t>
  </si>
  <si>
    <t>PARA INDICE DE EDIFICABILIDAD CARGA URBANISTICA</t>
  </si>
  <si>
    <t>ALTURA DEL EDIFICIO NUEVO</t>
  </si>
  <si>
    <t>AREA TOTAL DEL PREDIO O PREDIOS DEL PROYECTO</t>
  </si>
  <si>
    <t xml:space="preserve">ALTURA FINAL </t>
  </si>
  <si>
    <t>INDICE TOMANDO EN CUENTA CONSTRUCCIONES EXISTENTES</t>
  </si>
  <si>
    <t>INDICE DE EDIFICABILIDAD PROYECTO PARA CARGA URBANISTICA</t>
  </si>
  <si>
    <t>SI EL PROYECTO ES NUEVO INDICAR AREA TOTAL</t>
  </si>
  <si>
    <t>INCLUYE AREA PERMEABLE PROPUESTA</t>
  </si>
  <si>
    <t xml:space="preserve">PARA INDICE DE EDIFICABILIDAD  </t>
  </si>
  <si>
    <t xml:space="preserve">% DE PERMEABILIDAD </t>
  </si>
  <si>
    <t>REALIZAR CALCULO DE FORMA MANUAL TOMAR EN CUENTA TODO LO CONSTRUIDO</t>
  </si>
  <si>
    <t>AREAS PARA USO DE SUELO MAXIMO Y MIXTURA (INCLUYE SOTANOS) M2 COLOCAR SOLO EL PROYECTO NUEVO</t>
  </si>
  <si>
    <t>1. El calculo de dotacion y diseño de estacionamiento debe apegarse a los parametros establecidos en el Articulo 39 del Plan de Ordenamiento Territorial</t>
  </si>
  <si>
    <t>2. El uso de parqueos corresponde únicamente al uso del inmueble presentado, si se da un cambio en el uso del inmueble debe ajustarse a los parametros establecidos.</t>
  </si>
  <si>
    <t>FOLIO ___</t>
  </si>
  <si>
    <t>DONARA A LA MUNCIPALIDAD</t>
  </si>
  <si>
    <t>NO DONARA A LA MUNICIPALIDAD</t>
  </si>
  <si>
    <r>
      <t>m</t>
    </r>
    <r>
      <rPr>
        <vertAlign val="superscript"/>
        <sz val="9"/>
        <color theme="1"/>
        <rFont val="Century Gothic"/>
        <family val="2"/>
      </rPr>
      <t>2</t>
    </r>
  </si>
  <si>
    <r>
      <t>m</t>
    </r>
    <r>
      <rPr>
        <b/>
        <vertAlign val="superscript"/>
        <sz val="14"/>
        <color theme="1"/>
        <rFont val="Century Gothic"/>
        <family val="2"/>
      </rPr>
      <t>2</t>
    </r>
  </si>
  <si>
    <r>
      <t>MAXIMO DE M</t>
    </r>
    <r>
      <rPr>
        <b/>
        <vertAlign val="superscript"/>
        <sz val="14"/>
        <color theme="1"/>
        <rFont val="Century Gothic"/>
        <family val="2"/>
      </rPr>
      <t>2</t>
    </r>
    <r>
      <rPr>
        <b/>
        <sz val="14"/>
        <color theme="1"/>
        <rFont val="Century Gothic"/>
        <family val="2"/>
      </rPr>
      <t xml:space="preserve"> NO ORDINARIOS</t>
    </r>
  </si>
  <si>
    <r>
      <t>MAXIMO DE M</t>
    </r>
    <r>
      <rPr>
        <b/>
        <vertAlign val="superscript"/>
        <sz val="14"/>
        <color theme="1"/>
        <rFont val="Century Gothic"/>
        <family val="2"/>
      </rPr>
      <t>2</t>
    </r>
    <r>
      <rPr>
        <b/>
        <sz val="14"/>
        <color theme="1"/>
        <rFont val="Century Gothic"/>
        <family val="2"/>
      </rPr>
      <t xml:space="preserve"> CONDICIONADOS</t>
    </r>
  </si>
  <si>
    <r>
      <t>AREA MINIMA PREDIO (m</t>
    </r>
    <r>
      <rPr>
        <b/>
        <vertAlign val="superscript"/>
        <sz val="14"/>
        <color theme="1"/>
        <rFont val="Century Gothic"/>
        <family val="2"/>
      </rPr>
      <t>2</t>
    </r>
    <r>
      <rPr>
        <b/>
        <sz val="14"/>
        <color theme="1"/>
        <rFont val="Century Gothic"/>
        <family val="2"/>
      </rPr>
      <t>)</t>
    </r>
  </si>
  <si>
    <r>
      <t>AREA (m</t>
    </r>
    <r>
      <rPr>
        <b/>
        <vertAlign val="superscript"/>
        <sz val="14"/>
        <color theme="1"/>
        <rFont val="Century Gothic"/>
        <family val="2"/>
      </rPr>
      <t>2</t>
    </r>
    <r>
      <rPr>
        <b/>
        <sz val="14"/>
        <color theme="1"/>
        <rFont val="Century Gothic"/>
        <family val="2"/>
      </rPr>
      <t>)</t>
    </r>
  </si>
  <si>
    <r>
      <t>M</t>
    </r>
    <r>
      <rPr>
        <b/>
        <vertAlign val="superscript"/>
        <sz val="14"/>
        <color theme="1"/>
        <rFont val="Century Gothic"/>
        <family val="2"/>
      </rPr>
      <t>2</t>
    </r>
    <r>
      <rPr>
        <b/>
        <sz val="14"/>
        <color theme="1"/>
        <rFont val="Century Gothic"/>
        <family val="2"/>
      </rPr>
      <t xml:space="preserve"> MAXIMOS A CONSTRUIR EDIFICABILIDAD</t>
    </r>
  </si>
  <si>
    <r>
      <t>m</t>
    </r>
    <r>
      <rPr>
        <vertAlign val="superscript"/>
        <sz val="14"/>
        <color theme="1"/>
        <rFont val="Century Gothic"/>
        <family val="2"/>
      </rPr>
      <t>2</t>
    </r>
  </si>
  <si>
    <t>TOTAL DE CARGA A DONAR (M2)</t>
  </si>
  <si>
    <t>INGRESA AREA DEL PROYECTO</t>
  </si>
  <si>
    <t>SI</t>
  </si>
  <si>
    <t>INDICE DE EDIFICABILIDAD SOLO 1 DECIMAL</t>
  </si>
  <si>
    <t>VA A DONAR</t>
  </si>
  <si>
    <t xml:space="preserve">CUMPLE CON EL USO MIXTO </t>
  </si>
  <si>
    <t>% permeabilidad según sector</t>
  </si>
  <si>
    <t>Area construcción (huella)</t>
  </si>
  <si>
    <t>Area permeable</t>
  </si>
  <si>
    <t>AREA TOTAL PROYECTO</t>
  </si>
  <si>
    <t>AREA DE PROYECTO</t>
  </si>
  <si>
    <t>METROS DEL CONSTRUCCION</t>
  </si>
  <si>
    <t>NO FACTIBLE          debido a que NO CUMPLE con lo establecido en el Plan de Ordenamiento Territorial.</t>
  </si>
  <si>
    <t xml:space="preserve"> FACTIBLE   debido a que CUMPLE  con lo establecido en el Plan de Ordenamiento Territorial.</t>
  </si>
  <si>
    <t>CEDULA DE NOTIFICACION</t>
  </si>
  <si>
    <t xml:space="preserve">No. </t>
  </si>
  <si>
    <t>EXPEDIENTE No.</t>
  </si>
  <si>
    <t xml:space="preserve">En la ciudad de Quetzaltenango en Fecha </t>
  </si>
  <si>
    <t xml:space="preserve">siendo las </t>
  </si>
  <si>
    <t>por medio de la cedula de notificacion que entrego a</t>
  </si>
  <si>
    <t>quien se identifica con No. De CUI</t>
  </si>
  <si>
    <t>F.</t>
  </si>
  <si>
    <t>En su derecho de defensa, se le otorgan cinco dias Habiles para presentar su inconformidad por el escrito.</t>
  </si>
  <si>
    <t>por  la cantidad de</t>
  </si>
  <si>
    <t xml:space="preserve">, del expediente a nombre de </t>
  </si>
  <si>
    <t xml:space="preserve">ubicados en el Departamento de Control de Obras.       Se le notifica sobre la multa impuesta por la infraccion </t>
  </si>
  <si>
    <t>al Plan de Ordenamiento Territorial en el artículo 123 inciso b. y p.        Por lo que tendrá que efectuar el pago</t>
  </si>
  <si>
    <t>AREA PERMEABLE</t>
  </si>
  <si>
    <t>ALTURA DE BLOQUE</t>
  </si>
  <si>
    <t>DESCRIPCION</t>
  </si>
  <si>
    <t>C/ METRO</t>
  </si>
  <si>
    <t>TOTAL</t>
  </si>
  <si>
    <t>PAGO</t>
  </si>
  <si>
    <t>correspondiente al 25% del valor de la licencia de construccion al solicitar</t>
  </si>
  <si>
    <t>CALCULO DE MULTAS</t>
  </si>
  <si>
    <t>INGRESAR COSTO DE LICENCIA</t>
  </si>
  <si>
    <t>AREA QUE CUMPLE</t>
  </si>
  <si>
    <t>quien se da por enterado y firma la presente.</t>
  </si>
  <si>
    <t>PARQUEOS: 1 PARQUEO VEHICULAR</t>
  </si>
  <si>
    <t xml:space="preserve">  </t>
  </si>
  <si>
    <t> 8va AVENIDA 0-10</t>
  </si>
  <si>
    <t> RPNC1-4240426</t>
  </si>
  <si>
    <t xml:space="preserve">UNIFAMILIAR </t>
  </si>
  <si>
    <t>F</t>
  </si>
  <si>
    <t>FOL</t>
  </si>
  <si>
    <t>LIB</t>
  </si>
  <si>
    <t> CAJAS ITZEP, RAFAEL SALVADOR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</si>
</sst>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quot;#,##0_);[Red]\(&quot;Q&quot;#,##0\)"/>
    <numFmt numFmtId="165" formatCode="0.00000000000000"/>
    <numFmt numFmtId="166" formatCode="[$-F800]dddd\,\ mmmm\ dd\,\ yyyy"/>
    <numFmt numFmtId="167" formatCode="0.0"/>
    <numFmt numFmtId="168" formatCode="#\ &quot;m2&quot;"/>
    <numFmt numFmtId="169" formatCode="_-[$Q-100A]* #,##0.00_-;\-[$Q-100A]* #,##0.00_-;_-[$Q-100A]* &quot;-&quot;??_-;_-@_-"/>
    <numFmt numFmtId="170" formatCode="#.00\ &quot;m2&quot;"/>
  </numFmts>
  <fonts count="35" x14ac:knownFonts="1">
    <font>
      <sz val="11"/>
      <color theme="1"/>
      <name val="Calibri"/>
      <family val="2"/>
      <scheme val="minor"/>
    </font>
    <font>
      <b/>
      <sz val="11"/>
      <color theme="1"/>
      <name val="Calibri"/>
      <family val="2"/>
      <scheme val="minor"/>
    </font>
    <font>
      <sz val="11"/>
      <color rgb="FFFF0000"/>
      <name val="Calibri"/>
      <family val="2"/>
      <scheme val="minor"/>
    </font>
    <font>
      <sz val="9"/>
      <color theme="1"/>
      <name val="Century Gothic"/>
      <family val="2"/>
    </font>
    <font>
      <sz val="9"/>
      <name val="Century Gothic"/>
      <family val="2"/>
    </font>
    <font>
      <b/>
      <sz val="9"/>
      <color theme="1"/>
      <name val="Century Gothic"/>
      <family val="2"/>
    </font>
    <font>
      <sz val="11"/>
      <color theme="1"/>
      <name val="Calibri"/>
      <family val="2"/>
      <scheme val="minor"/>
    </font>
    <font>
      <b/>
      <sz val="12"/>
      <color theme="1"/>
      <name val="Arial Narrow"/>
      <family val="2"/>
    </font>
    <font>
      <b/>
      <sz val="10"/>
      <color theme="1"/>
      <name val="Arial Narrow"/>
      <family val="2"/>
    </font>
    <font>
      <sz val="10"/>
      <color theme="1"/>
      <name val="Century Gothic"/>
      <family val="2"/>
    </font>
    <font>
      <sz val="9"/>
      <color theme="5" tint="-0.249977111117893"/>
      <name val="Century Gothic"/>
      <family val="2"/>
    </font>
    <font>
      <sz val="11"/>
      <color theme="1"/>
      <name val="Century Gothic"/>
      <family val="2"/>
    </font>
    <font>
      <sz val="14"/>
      <color theme="1"/>
      <name val="Century Gothic"/>
      <family val="2"/>
    </font>
    <font>
      <b/>
      <sz val="16"/>
      <color theme="1"/>
      <name val="Century Gothic"/>
      <family val="2"/>
    </font>
    <font>
      <sz val="16"/>
      <color theme="1"/>
      <name val="Century Gothic"/>
      <family val="2"/>
    </font>
    <font>
      <b/>
      <sz val="14"/>
      <color theme="1"/>
      <name val="Century Gothic"/>
      <family val="2"/>
    </font>
    <font>
      <b/>
      <sz val="14"/>
      <color rgb="FFFF0000"/>
      <name val="Century Gothic"/>
      <family val="2"/>
    </font>
    <font>
      <sz val="14"/>
      <color rgb="FFFF0000"/>
      <name val="Century Gothic"/>
      <family val="2"/>
    </font>
    <font>
      <b/>
      <sz val="14"/>
      <color theme="0"/>
      <name val="Century Gothic"/>
      <family val="2"/>
    </font>
    <font>
      <b/>
      <sz val="12"/>
      <color theme="1"/>
      <name val="Century Gothic"/>
      <family val="2"/>
    </font>
    <font>
      <b/>
      <sz val="8"/>
      <color theme="1"/>
      <name val="Century Gothic"/>
      <family val="2"/>
    </font>
    <font>
      <vertAlign val="superscript"/>
      <sz val="9"/>
      <color theme="1"/>
      <name val="Century Gothic"/>
      <family val="2"/>
    </font>
    <font>
      <b/>
      <vertAlign val="superscript"/>
      <sz val="14"/>
      <color theme="1"/>
      <name val="Century Gothic"/>
      <family val="2"/>
    </font>
    <font>
      <vertAlign val="superscript"/>
      <sz val="14"/>
      <color theme="1"/>
      <name val="Century Gothic"/>
      <family val="2"/>
    </font>
    <font>
      <b/>
      <sz val="16"/>
      <color theme="1"/>
      <name val="Calibri"/>
      <family val="2"/>
      <scheme val="minor"/>
    </font>
    <font>
      <b/>
      <sz val="9"/>
      <color indexed="81"/>
      <name val="Tahoma"/>
      <family val="2"/>
    </font>
    <font>
      <sz val="9"/>
      <color indexed="81"/>
      <name val="Tahoma"/>
      <family val="2"/>
    </font>
    <font>
      <sz val="16"/>
      <color theme="1"/>
      <name val="Calibri"/>
      <family val="2"/>
      <scheme val="minor"/>
    </font>
    <font>
      <sz val="11"/>
      <color theme="1"/>
      <name val="Arial"/>
      <family val="2"/>
    </font>
    <font>
      <sz val="18"/>
      <color theme="1"/>
      <name val="Arial"/>
      <family val="2"/>
    </font>
    <font>
      <b/>
      <sz val="11"/>
      <color theme="1"/>
      <name val="Arial"/>
      <family val="2"/>
    </font>
    <font>
      <sz val="16"/>
      <color rgb="FF1F1F1F"/>
      <name val="Arial"/>
      <family val="2"/>
    </font>
    <font>
      <sz val="11"/>
      <color theme="0"/>
      <name val="Calibri"/>
      <family val="2"/>
      <scheme val="minor"/>
    </font>
    <font>
      <sz val="11"/>
      <name val="Calibri"/>
      <family val="2"/>
      <scheme val="minor"/>
    </font>
    <font>
      <b/>
      <sz val="9"/>
      <color theme="1"/>
      <name val="Arial"/>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C00000"/>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993366"/>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rgb="FFFF6600"/>
        <bgColor indexed="64"/>
      </patternFill>
    </fill>
    <fill>
      <patternFill patternType="solid">
        <fgColor rgb="FFFF2D2D"/>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0000"/>
        <bgColor indexed="64"/>
      </patternFill>
    </fill>
  </fills>
  <borders count="5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bottom style="thin">
        <color auto="1"/>
      </bottom>
      <diagonal/>
    </border>
    <border>
      <left/>
      <right/>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diagonal/>
    </border>
    <border>
      <left/>
      <right style="thin">
        <color auto="1"/>
      </right>
      <top/>
      <bottom style="thin">
        <color auto="1"/>
      </bottom>
      <diagonal/>
    </border>
    <border>
      <left/>
      <right style="medium">
        <color indexed="64"/>
      </right>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thin">
        <color auto="1"/>
      </left>
      <right/>
      <top style="thin">
        <color auto="1"/>
      </top>
      <bottom style="medium">
        <color indexed="64"/>
      </bottom>
      <diagonal/>
    </border>
    <border>
      <left style="medium">
        <color indexed="64"/>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indexed="64"/>
      </left>
      <right/>
      <top/>
      <bottom style="thin">
        <color indexed="64"/>
      </bottom>
      <diagonal/>
    </border>
  </borders>
  <cellStyleXfs count="2">
    <xf numFmtId="0" fontId="0" fillId="0" borderId="0"/>
    <xf numFmtId="9" fontId="6" fillId="0" borderId="0" applyFont="0" applyFill="0" applyBorder="0" applyAlignment="0" applyProtection="0"/>
  </cellStyleXfs>
  <cellXfs count="349">
    <xf numFmtId="0" fontId="0" fillId="0" borderId="0" xfId="0"/>
    <xf numFmtId="0" fontId="0" fillId="2" borderId="0" xfId="0" applyFill="1"/>
    <xf numFmtId="0" fontId="0" fillId="3" borderId="0" xfId="0" applyFill="1"/>
    <xf numFmtId="0" fontId="0" fillId="3" borderId="1" xfId="0" applyFill="1" applyBorder="1"/>
    <xf numFmtId="164" fontId="0" fillId="0" borderId="0" xfId="0" applyNumberFormat="1"/>
    <xf numFmtId="49" fontId="0" fillId="3" borderId="0" xfId="0" applyNumberFormat="1" applyFill="1"/>
    <xf numFmtId="0" fontId="1" fillId="0" borderId="0" xfId="0" applyFont="1"/>
    <xf numFmtId="0" fontId="1" fillId="0" borderId="0" xfId="0" applyFont="1" applyAlignment="1">
      <alignment horizontal="center"/>
    </xf>
    <xf numFmtId="49" fontId="0" fillId="3" borderId="1" xfId="0" applyNumberFormat="1" applyFill="1" applyBorder="1"/>
    <xf numFmtId="0" fontId="1" fillId="0" borderId="1" xfId="0" applyFont="1" applyBorder="1"/>
    <xf numFmtId="2" fontId="0" fillId="0" borderId="0" xfId="0" applyNumberFormat="1"/>
    <xf numFmtId="0" fontId="0" fillId="0" borderId="0" xfId="0" applyAlignment="1">
      <alignment horizontal="center"/>
    </xf>
    <xf numFmtId="2" fontId="0" fillId="2" borderId="0" xfId="0" applyNumberFormat="1" applyFill="1"/>
    <xf numFmtId="0" fontId="1" fillId="4" borderId="0" xfId="0" applyFont="1" applyFill="1"/>
    <xf numFmtId="0" fontId="0" fillId="4" borderId="0" xfId="0" applyFill="1"/>
    <xf numFmtId="0" fontId="2" fillId="0" borderId="0" xfId="0" applyFont="1"/>
    <xf numFmtId="0" fontId="4" fillId="0" borderId="3" xfId="0" applyFont="1" applyBorder="1"/>
    <xf numFmtId="0" fontId="3" fillId="0" borderId="3" xfId="0" applyFont="1" applyBorder="1"/>
    <xf numFmtId="0" fontId="3" fillId="0" borderId="0" xfId="0" applyFont="1"/>
    <xf numFmtId="0" fontId="4" fillId="0" borderId="0" xfId="0" applyFont="1"/>
    <xf numFmtId="0" fontId="5" fillId="0" borderId="0" xfId="0" applyFont="1" applyAlignment="1">
      <alignment horizontal="center"/>
    </xf>
    <xf numFmtId="0" fontId="5" fillId="0" borderId="0" xfId="0" applyFont="1"/>
    <xf numFmtId="0" fontId="3" fillId="0" borderId="1" xfId="0" applyFont="1" applyBorder="1"/>
    <xf numFmtId="0" fontId="5" fillId="0" borderId="0" xfId="0" applyFont="1" applyAlignment="1">
      <alignment wrapText="1"/>
    </xf>
    <xf numFmtId="0" fontId="3" fillId="0" borderId="0" xfId="0" applyFont="1" applyAlignment="1">
      <alignment horizontal="center"/>
    </xf>
    <xf numFmtId="0" fontId="3" fillId="0" borderId="0" xfId="0" applyFont="1" applyAlignment="1">
      <alignment horizontal="center" wrapText="1"/>
    </xf>
    <xf numFmtId="0" fontId="3" fillId="5" borderId="1" xfId="0" applyFont="1" applyFill="1" applyBorder="1" applyAlignment="1">
      <alignment wrapText="1"/>
    </xf>
    <xf numFmtId="0" fontId="7" fillId="0" borderId="0" xfId="0" applyFont="1" applyAlignment="1">
      <alignment wrapText="1"/>
    </xf>
    <xf numFmtId="0" fontId="7" fillId="0" borderId="13" xfId="0" applyFont="1" applyBorder="1" applyAlignment="1">
      <alignment horizontal="center" vertical="center" wrapText="1"/>
    </xf>
    <xf numFmtId="2" fontId="7" fillId="0" borderId="12" xfId="1" applyNumberFormat="1" applyFont="1" applyBorder="1" applyAlignment="1">
      <alignment horizontal="center" vertical="center" wrapText="1"/>
    </xf>
    <xf numFmtId="2" fontId="7"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wrapText="1"/>
    </xf>
    <xf numFmtId="0" fontId="3" fillId="0" borderId="3" xfId="0" applyFont="1" applyBorder="1" applyAlignment="1">
      <alignment horizontal="center"/>
    </xf>
    <xf numFmtId="0" fontId="3" fillId="5" borderId="1" xfId="0" applyFont="1" applyFill="1" applyBorder="1" applyAlignment="1">
      <alignment horizontal="center"/>
    </xf>
    <xf numFmtId="0" fontId="3" fillId="5" borderId="8" xfId="0" applyFont="1" applyFill="1" applyBorder="1" applyAlignment="1">
      <alignment horizontal="center"/>
    </xf>
    <xf numFmtId="9" fontId="3" fillId="0" borderId="0" xfId="1" applyFont="1" applyBorder="1" applyAlignment="1">
      <alignment horizontal="center"/>
    </xf>
    <xf numFmtId="0" fontId="3" fillId="5" borderId="8" xfId="0" applyFont="1" applyFill="1" applyBorder="1"/>
    <xf numFmtId="0" fontId="3" fillId="5" borderId="8" xfId="0" applyFont="1" applyFill="1" applyBorder="1" applyAlignment="1">
      <alignment wrapText="1"/>
    </xf>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10" xfId="0" applyFont="1" applyFill="1" applyBorder="1" applyAlignment="1">
      <alignment horizontal="center"/>
    </xf>
    <xf numFmtId="0" fontId="3" fillId="3" borderId="8" xfId="0" applyFont="1" applyFill="1" applyBorder="1" applyAlignment="1">
      <alignment horizontal="center"/>
    </xf>
    <xf numFmtId="164" fontId="0" fillId="0" borderId="0" xfId="0" applyNumberFormat="1" applyAlignment="1">
      <alignment horizontal="center"/>
    </xf>
    <xf numFmtId="9" fontId="3" fillId="3" borderId="1" xfId="1" applyFont="1" applyFill="1" applyBorder="1" applyAlignment="1">
      <alignment horizontal="center"/>
    </xf>
    <xf numFmtId="0" fontId="5" fillId="0" borderId="6" xfId="0" applyFont="1" applyBorder="1"/>
    <xf numFmtId="165" fontId="3" fillId="0" borderId="6" xfId="0" applyNumberFormat="1" applyFont="1" applyBorder="1"/>
    <xf numFmtId="2" fontId="3" fillId="0" borderId="0" xfId="0" applyNumberFormat="1" applyFont="1"/>
    <xf numFmtId="0" fontId="5" fillId="0" borderId="5" xfId="0" applyFont="1" applyBorder="1"/>
    <xf numFmtId="0" fontId="5" fillId="0" borderId="21" xfId="0" applyFont="1" applyBorder="1"/>
    <xf numFmtId="0" fontId="3" fillId="3" borderId="1" xfId="0" applyFont="1" applyFill="1" applyBorder="1"/>
    <xf numFmtId="0" fontId="3" fillId="7" borderId="1" xfId="0" applyFont="1" applyFill="1" applyBorder="1" applyAlignment="1">
      <alignment horizontal="center"/>
    </xf>
    <xf numFmtId="0" fontId="3" fillId="7" borderId="1" xfId="0" applyFont="1" applyFill="1" applyBorder="1"/>
    <xf numFmtId="2" fontId="3" fillId="3" borderId="1" xfId="0" applyNumberFormat="1" applyFont="1" applyFill="1" applyBorder="1" applyAlignment="1">
      <alignment horizontal="center"/>
    </xf>
    <xf numFmtId="0" fontId="10" fillId="6" borderId="2" xfId="0" applyFont="1" applyFill="1" applyBorder="1"/>
    <xf numFmtId="0" fontId="10" fillId="6" borderId="5" xfId="0" applyFont="1" applyFill="1" applyBorder="1"/>
    <xf numFmtId="0" fontId="10" fillId="6" borderId="0" xfId="0" applyFont="1" applyFill="1"/>
    <xf numFmtId="0" fontId="10" fillId="6" borderId="4" xfId="0" applyFont="1" applyFill="1" applyBorder="1"/>
    <xf numFmtId="0" fontId="10" fillId="6" borderId="6" xfId="0" applyFont="1" applyFill="1" applyBorder="1"/>
    <xf numFmtId="0" fontId="11" fillId="6" borderId="0" xfId="0" applyFont="1" applyFill="1" applyAlignment="1">
      <alignment wrapText="1"/>
    </xf>
    <xf numFmtId="0" fontId="11" fillId="0" borderId="0" xfId="0" applyFont="1" applyAlignment="1">
      <alignment wrapText="1"/>
    </xf>
    <xf numFmtId="0" fontId="9" fillId="0" borderId="0" xfId="0" applyFont="1" applyAlignment="1">
      <alignment wrapText="1"/>
    </xf>
    <xf numFmtId="0" fontId="9" fillId="6" borderId="0" xfId="0" applyFont="1" applyFill="1" applyAlignment="1">
      <alignment wrapText="1"/>
    </xf>
    <xf numFmtId="0" fontId="12" fillId="0" borderId="0" xfId="0" applyFont="1" applyAlignment="1">
      <alignment wrapText="1"/>
    </xf>
    <xf numFmtId="0" fontId="14" fillId="6" borderId="0" xfId="0" applyFont="1" applyFill="1" applyAlignment="1">
      <alignment wrapText="1"/>
    </xf>
    <xf numFmtId="0" fontId="14" fillId="0" borderId="0" xfId="0" applyFont="1" applyAlignment="1">
      <alignment wrapText="1"/>
    </xf>
    <xf numFmtId="0" fontId="12" fillId="6" borderId="0" xfId="0" applyFont="1" applyFill="1" applyAlignment="1">
      <alignment wrapText="1"/>
    </xf>
    <xf numFmtId="0" fontId="15" fillId="0" borderId="0" xfId="0" applyFont="1" applyAlignment="1">
      <alignment wrapText="1"/>
    </xf>
    <xf numFmtId="0" fontId="15" fillId="0" borderId="0" xfId="0" applyFont="1" applyAlignment="1">
      <alignment horizontal="center" wrapText="1"/>
    </xf>
    <xf numFmtId="0" fontId="12" fillId="0" borderId="0" xfId="0" applyFont="1" applyAlignment="1">
      <alignment horizontal="center" wrapText="1"/>
    </xf>
    <xf numFmtId="0" fontId="3" fillId="0" borderId="0" xfId="0" applyFont="1" applyAlignment="1">
      <alignment horizontal="right"/>
    </xf>
    <xf numFmtId="0" fontId="5" fillId="0" borderId="0" xfId="0" applyFont="1" applyAlignment="1">
      <alignment horizontal="right"/>
    </xf>
    <xf numFmtId="10" fontId="12" fillId="0" borderId="0" xfId="0" applyNumberFormat="1" applyFont="1" applyAlignment="1">
      <alignment horizontal="center" vertical="center" wrapText="1"/>
    </xf>
    <xf numFmtId="0" fontId="12" fillId="0" borderId="0" xfId="0" applyFont="1" applyAlignment="1">
      <alignment vertical="center" wrapText="1"/>
    </xf>
    <xf numFmtId="0" fontId="15" fillId="0" borderId="28" xfId="0" applyFont="1" applyBorder="1" applyAlignment="1">
      <alignment vertical="center" wrapText="1"/>
    </xf>
    <xf numFmtId="9" fontId="12" fillId="0" borderId="29" xfId="0" applyNumberFormat="1" applyFont="1" applyBorder="1" applyAlignment="1">
      <alignment horizontal="center" vertical="center" wrapText="1"/>
    </xf>
    <xf numFmtId="10" fontId="15" fillId="0" borderId="28" xfId="0" applyNumberFormat="1" applyFont="1" applyBorder="1" applyAlignment="1">
      <alignment vertical="center" wrapText="1"/>
    </xf>
    <xf numFmtId="0" fontId="15" fillId="0" borderId="0" xfId="0" applyFont="1" applyAlignment="1">
      <alignment vertical="center" wrapText="1"/>
    </xf>
    <xf numFmtId="0" fontId="12" fillId="0" borderId="36" xfId="0" applyFont="1" applyBorder="1" applyAlignment="1">
      <alignment horizontal="center" wrapText="1"/>
    </xf>
    <xf numFmtId="0" fontId="15" fillId="0" borderId="47" xfId="0" applyFont="1" applyBorder="1" applyAlignment="1">
      <alignment horizontal="center" wrapText="1"/>
    </xf>
    <xf numFmtId="0" fontId="12" fillId="0" borderId="47" xfId="0" applyFont="1" applyBorder="1" applyAlignment="1">
      <alignment horizontal="center" wrapText="1"/>
    </xf>
    <xf numFmtId="0" fontId="15" fillId="0" borderId="1" xfId="0" applyFont="1" applyBorder="1" applyAlignment="1">
      <alignment horizontal="center" wrapText="1"/>
    </xf>
    <xf numFmtId="0" fontId="15" fillId="0" borderId="0" xfId="0" applyFont="1" applyAlignment="1">
      <alignment horizontal="center" vertical="center" wrapText="1"/>
    </xf>
    <xf numFmtId="0" fontId="12" fillId="0" borderId="0" xfId="0" applyFont="1" applyAlignment="1">
      <alignment horizontal="left" wrapText="1"/>
    </xf>
    <xf numFmtId="0" fontId="12" fillId="0" borderId="37" xfId="0" applyFont="1" applyBorder="1" applyAlignment="1">
      <alignment horizontal="left" wrapText="1"/>
    </xf>
    <xf numFmtId="0" fontId="15" fillId="0" borderId="0" xfId="0" applyFont="1" applyAlignment="1">
      <alignment horizontal="right" wrapText="1"/>
    </xf>
    <xf numFmtId="0" fontId="13" fillId="0" borderId="0" xfId="0" applyFont="1" applyAlignment="1">
      <alignment horizontal="left" wrapText="1"/>
    </xf>
    <xf numFmtId="9" fontId="15" fillId="0" borderId="1" xfId="1" applyFont="1" applyBorder="1" applyAlignment="1">
      <alignment horizontal="center" wrapText="1"/>
    </xf>
    <xf numFmtId="0" fontId="12" fillId="0" borderId="1" xfId="0" applyFont="1" applyBorder="1" applyAlignment="1">
      <alignment wrapText="1"/>
    </xf>
    <xf numFmtId="0" fontId="13" fillId="0" borderId="0" xfId="0" applyFont="1" applyAlignment="1">
      <alignment horizontal="center" wrapText="1"/>
    </xf>
    <xf numFmtId="0" fontId="19" fillId="0" borderId="0" xfId="0" applyFont="1" applyAlignment="1">
      <alignment horizontal="center" vertical="center" wrapText="1"/>
    </xf>
    <xf numFmtId="0" fontId="12" fillId="0" borderId="34" xfId="0" applyFont="1" applyBorder="1" applyAlignment="1">
      <alignment horizontal="left" wrapText="1"/>
    </xf>
    <xf numFmtId="0" fontId="12" fillId="0" borderId="24" xfId="0" applyFont="1" applyBorder="1" applyAlignment="1">
      <alignment horizontal="left" wrapText="1"/>
    </xf>
    <xf numFmtId="0" fontId="12" fillId="6" borderId="0" xfId="0" applyFont="1" applyFill="1" applyAlignment="1">
      <alignment vertical="center" wrapText="1"/>
    </xf>
    <xf numFmtId="0" fontId="12"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24" xfId="0" applyFont="1" applyBorder="1" applyAlignment="1">
      <alignment vertical="center" wrapText="1"/>
    </xf>
    <xf numFmtId="0" fontId="12" fillId="0" borderId="22" xfId="0" applyFont="1" applyBorder="1" applyAlignment="1">
      <alignment vertical="center" wrapText="1"/>
    </xf>
    <xf numFmtId="0" fontId="12" fillId="0" borderId="42" xfId="0" applyFont="1" applyBorder="1" applyAlignment="1">
      <alignment horizontal="center" vertical="center" wrapText="1"/>
    </xf>
    <xf numFmtId="0" fontId="12" fillId="0" borderId="43" xfId="0" applyFont="1" applyBorder="1" applyAlignment="1">
      <alignment horizontal="center" vertical="center" wrapText="1"/>
    </xf>
    <xf numFmtId="167" fontId="3" fillId="3" borderId="1" xfId="0" applyNumberFormat="1" applyFont="1" applyFill="1" applyBorder="1" applyAlignment="1">
      <alignment horizontal="center"/>
    </xf>
    <xf numFmtId="0" fontId="3" fillId="13" borderId="0" xfId="0" applyFont="1" applyFill="1" applyAlignment="1">
      <alignment wrapText="1"/>
    </xf>
    <xf numFmtId="0" fontId="3" fillId="14" borderId="0" xfId="0" applyFont="1" applyFill="1"/>
    <xf numFmtId="0" fontId="3" fillId="15" borderId="0" xfId="0" applyFont="1" applyFill="1" applyAlignment="1">
      <alignment wrapText="1"/>
    </xf>
    <xf numFmtId="0" fontId="3" fillId="12" borderId="0" xfId="0" applyFont="1" applyFill="1" applyAlignment="1">
      <alignment wrapText="1"/>
    </xf>
    <xf numFmtId="0" fontId="3" fillId="16" borderId="0" xfId="0" applyFont="1" applyFill="1"/>
    <xf numFmtId="0" fontId="20" fillId="0" borderId="1" xfId="0" applyFont="1" applyBorder="1"/>
    <xf numFmtId="0" fontId="3" fillId="17" borderId="0" xfId="0" applyFont="1" applyFill="1"/>
    <xf numFmtId="0" fontId="3" fillId="18" borderId="0" xfId="0" applyFont="1" applyFill="1"/>
    <xf numFmtId="0" fontId="3" fillId="11" borderId="0" xfId="0" applyFont="1" applyFill="1" applyAlignment="1">
      <alignment wrapText="1"/>
    </xf>
    <xf numFmtId="0" fontId="3" fillId="19" borderId="0" xfId="0" applyFont="1" applyFill="1" applyAlignment="1">
      <alignment wrapText="1"/>
    </xf>
    <xf numFmtId="10" fontId="3" fillId="3" borderId="1" xfId="0" applyNumberFormat="1" applyFont="1" applyFill="1" applyBorder="1" applyAlignment="1">
      <alignment horizont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0" xfId="0" applyFont="1" applyAlignment="1">
      <alignment horizontal="left" vertical="center" wrapText="1"/>
    </xf>
    <xf numFmtId="0" fontId="12" fillId="9" borderId="41" xfId="0" applyFont="1" applyFill="1" applyBorder="1" applyAlignment="1">
      <alignment horizontal="center" vertical="center" wrapText="1"/>
    </xf>
    <xf numFmtId="0" fontId="15" fillId="0" borderId="39" xfId="0" applyFont="1" applyBorder="1" applyAlignment="1">
      <alignment vertical="center" wrapText="1"/>
    </xf>
    <xf numFmtId="0" fontId="12" fillId="0" borderId="40" xfId="0" applyFont="1" applyBorder="1" applyAlignment="1">
      <alignment horizontal="center" vertical="center" wrapText="1"/>
    </xf>
    <xf numFmtId="0" fontId="12" fillId="0" borderId="29" xfId="0" applyFont="1" applyBorder="1" applyAlignment="1">
      <alignment horizontal="center" vertical="center" wrapText="1"/>
    </xf>
    <xf numFmtId="9" fontId="12" fillId="0" borderId="29" xfId="1" applyFont="1" applyBorder="1" applyAlignment="1">
      <alignment horizontal="center" vertical="center" wrapText="1"/>
    </xf>
    <xf numFmtId="9" fontId="12" fillId="0" borderId="0" xfId="1" applyFont="1" applyBorder="1" applyAlignment="1">
      <alignment horizontal="center" vertical="center" wrapText="1"/>
    </xf>
    <xf numFmtId="9" fontId="15" fillId="0" borderId="28" xfId="1" applyFont="1" applyBorder="1" applyAlignment="1">
      <alignment vertical="center" wrapText="1"/>
    </xf>
    <xf numFmtId="9" fontId="12" fillId="0" borderId="0" xfId="0" applyNumberFormat="1" applyFont="1" applyAlignment="1">
      <alignment horizontal="center" vertical="center" wrapText="1"/>
    </xf>
    <xf numFmtId="167" fontId="12" fillId="0" borderId="29" xfId="0" applyNumberFormat="1" applyFont="1" applyBorder="1" applyAlignment="1">
      <alignment horizontal="center" vertical="center" wrapText="1"/>
    </xf>
    <xf numFmtId="0" fontId="15" fillId="0" borderId="30" xfId="0" applyFont="1" applyBorder="1" applyAlignment="1">
      <alignment vertical="center" wrapText="1"/>
    </xf>
    <xf numFmtId="0" fontId="12" fillId="0" borderId="32" xfId="0" applyFont="1" applyBorder="1" applyAlignment="1">
      <alignment horizontal="center" vertical="center" wrapText="1"/>
    </xf>
    <xf numFmtId="0" fontId="17" fillId="0" borderId="0" xfId="0" applyFont="1" applyAlignment="1">
      <alignment horizontal="left" vertical="center" wrapText="1"/>
    </xf>
    <xf numFmtId="0" fontId="12" fillId="0" borderId="4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vertical="center" wrapText="1"/>
    </xf>
    <xf numFmtId="0" fontId="12" fillId="0" borderId="6" xfId="0" applyFont="1" applyBorder="1" applyAlignment="1">
      <alignment horizontal="center" vertical="center" wrapText="1"/>
    </xf>
    <xf numFmtId="0" fontId="15" fillId="10" borderId="20" xfId="0" applyFont="1" applyFill="1" applyBorder="1" applyAlignment="1">
      <alignment horizontal="center" vertical="center" wrapText="1"/>
    </xf>
    <xf numFmtId="0" fontId="12" fillId="10" borderId="20" xfId="0" applyFont="1" applyFill="1" applyBorder="1" applyAlignment="1">
      <alignment horizontal="center" vertical="center" wrapText="1"/>
    </xf>
    <xf numFmtId="0" fontId="15" fillId="0" borderId="21" xfId="0" applyFont="1" applyBorder="1" applyAlignment="1">
      <alignment vertical="center" wrapText="1"/>
    </xf>
    <xf numFmtId="0" fontId="12" fillId="0" borderId="22" xfId="0" applyFont="1" applyBorder="1" applyAlignment="1">
      <alignment horizontal="center" vertical="center" wrapText="1"/>
    </xf>
    <xf numFmtId="0" fontId="15" fillId="0" borderId="25" xfId="0" applyFont="1" applyBorder="1" applyAlignment="1">
      <alignment vertical="center" wrapText="1"/>
    </xf>
    <xf numFmtId="0" fontId="12" fillId="0" borderId="1" xfId="0" applyFont="1" applyBorder="1" applyAlignment="1">
      <alignment horizontal="center" vertical="center" wrapText="1"/>
    </xf>
    <xf numFmtId="0" fontId="14" fillId="6" borderId="0" xfId="0" applyFont="1" applyFill="1" applyAlignment="1">
      <alignment vertical="center" wrapText="1"/>
    </xf>
    <xf numFmtId="0" fontId="14" fillId="0" borderId="0" xfId="0" applyFont="1" applyAlignment="1">
      <alignment vertical="center" wrapText="1"/>
    </xf>
    <xf numFmtId="0" fontId="9" fillId="0" borderId="0" xfId="0" applyFont="1" applyAlignment="1">
      <alignment vertical="center" wrapText="1"/>
    </xf>
    <xf numFmtId="0" fontId="11" fillId="6" borderId="0" xfId="0" applyFont="1" applyFill="1" applyAlignment="1">
      <alignment vertical="center" wrapText="1"/>
    </xf>
    <xf numFmtId="0" fontId="11" fillId="0" borderId="0" xfId="0" applyFont="1" applyAlignment="1">
      <alignment vertical="center" wrapText="1"/>
    </xf>
    <xf numFmtId="0" fontId="9" fillId="6" borderId="0" xfId="0" applyFont="1" applyFill="1" applyAlignment="1">
      <alignment vertical="center" wrapText="1"/>
    </xf>
    <xf numFmtId="0" fontId="3" fillId="20" borderId="1" xfId="0" applyFont="1" applyFill="1" applyBorder="1" applyAlignment="1">
      <alignment horizontal="center"/>
    </xf>
    <xf numFmtId="0" fontId="3" fillId="20" borderId="8" xfId="0" applyFont="1" applyFill="1" applyBorder="1" applyAlignment="1">
      <alignment horizontal="center"/>
    </xf>
    <xf numFmtId="0" fontId="15" fillId="0" borderId="47" xfId="0" applyFont="1" applyBorder="1" applyAlignment="1">
      <alignment vertical="center" wrapText="1"/>
    </xf>
    <xf numFmtId="0" fontId="15" fillId="0" borderId="50" xfId="0" applyFont="1" applyBorder="1" applyAlignment="1">
      <alignment vertical="center" wrapText="1"/>
    </xf>
    <xf numFmtId="2" fontId="15" fillId="0" borderId="17" xfId="0" applyNumberFormat="1" applyFont="1" applyBorder="1" applyAlignment="1">
      <alignment horizontal="right" vertical="center" wrapText="1"/>
    </xf>
    <xf numFmtId="0" fontId="12" fillId="9" borderId="38" xfId="0" applyFont="1" applyFill="1" applyBorder="1" applyAlignment="1">
      <alignment horizontal="center" vertical="center" wrapText="1"/>
    </xf>
    <xf numFmtId="0" fontId="15" fillId="0" borderId="48" xfId="0" applyFont="1" applyBorder="1" applyAlignment="1">
      <alignment vertical="center" wrapText="1"/>
    </xf>
    <xf numFmtId="2" fontId="15" fillId="0" borderId="49" xfId="0" applyNumberFormat="1" applyFont="1" applyBorder="1" applyAlignment="1">
      <alignment horizontal="right" vertical="center" wrapText="1"/>
    </xf>
    <xf numFmtId="0" fontId="15" fillId="0" borderId="51" xfId="0" applyFont="1" applyBorder="1" applyAlignment="1">
      <alignment vertical="center" wrapText="1"/>
    </xf>
    <xf numFmtId="0" fontId="12" fillId="0" borderId="17" xfId="0" applyFont="1" applyBorder="1" applyAlignment="1">
      <alignment horizontal="right" vertical="center" wrapText="1"/>
    </xf>
    <xf numFmtId="0" fontId="12" fillId="0" borderId="52" xfId="0" applyFont="1" applyBorder="1" applyAlignment="1">
      <alignment horizontal="right" vertical="center" wrapText="1"/>
    </xf>
    <xf numFmtId="0" fontId="12" fillId="0" borderId="38" xfId="0" applyFont="1" applyBorder="1" applyAlignment="1">
      <alignment horizontal="left" vertical="center" wrapText="1"/>
    </xf>
    <xf numFmtId="0" fontId="12" fillId="0" borderId="48" xfId="0" applyFont="1" applyBorder="1" applyAlignment="1">
      <alignment horizontal="left" vertical="center" wrapText="1"/>
    </xf>
    <xf numFmtId="0" fontId="12" fillId="0" borderId="49" xfId="0" applyFont="1" applyBorder="1" applyAlignment="1">
      <alignment horizontal="right" vertical="center" wrapText="1"/>
    </xf>
    <xf numFmtId="0" fontId="12" fillId="0" borderId="51" xfId="0" applyFont="1" applyBorder="1" applyAlignment="1">
      <alignment horizontal="left" vertical="center" wrapText="1"/>
    </xf>
    <xf numFmtId="0" fontId="0" fillId="0" borderId="24" xfId="0" applyBorder="1"/>
    <xf numFmtId="0" fontId="0" fillId="21" borderId="1" xfId="0" applyFill="1" applyBorder="1"/>
    <xf numFmtId="0" fontId="1" fillId="21" borderId="35" xfId="0" applyFont="1" applyFill="1" applyBorder="1" applyAlignment="1">
      <alignment horizontal="center"/>
    </xf>
    <xf numFmtId="0" fontId="0" fillId="0" borderId="25" xfId="0" applyBorder="1"/>
    <xf numFmtId="0" fontId="1" fillId="0" borderId="26" xfId="0" applyFont="1" applyBorder="1"/>
    <xf numFmtId="0" fontId="1" fillId="0" borderId="27" xfId="0" applyFont="1" applyBorder="1" applyAlignment="1">
      <alignment horizontal="center"/>
    </xf>
    <xf numFmtId="9" fontId="0" fillId="0" borderId="0" xfId="0" applyNumberFormat="1"/>
    <xf numFmtId="0" fontId="24" fillId="3" borderId="8" xfId="0" applyFont="1" applyFill="1" applyBorder="1" applyAlignment="1">
      <alignment horizontal="center"/>
    </xf>
    <xf numFmtId="0" fontId="0" fillId="0" borderId="28" xfId="0" applyBorder="1"/>
    <xf numFmtId="0" fontId="1" fillId="0" borderId="12" xfId="0" applyFont="1" applyBorder="1"/>
    <xf numFmtId="0" fontId="1" fillId="21" borderId="29" xfId="0" applyFont="1" applyFill="1" applyBorder="1" applyAlignment="1">
      <alignment horizontal="center"/>
    </xf>
    <xf numFmtId="0" fontId="0" fillId="21" borderId="29" xfId="0" applyFill="1" applyBorder="1" applyAlignment="1">
      <alignment horizontal="center"/>
    </xf>
    <xf numFmtId="0" fontId="0" fillId="0" borderId="30" xfId="0" applyBorder="1"/>
    <xf numFmtId="0" fontId="1" fillId="0" borderId="31" xfId="0" applyFont="1" applyBorder="1"/>
    <xf numFmtId="0" fontId="0" fillId="21" borderId="32" xfId="0" applyFill="1" applyBorder="1" applyAlignment="1">
      <alignment horizontal="center"/>
    </xf>
    <xf numFmtId="0" fontId="0" fillId="21" borderId="25" xfId="0" applyFill="1" applyBorder="1"/>
    <xf numFmtId="10" fontId="0" fillId="21" borderId="26" xfId="0" applyNumberFormat="1" applyFill="1" applyBorder="1" applyAlignment="1">
      <alignment horizontal="center"/>
    </xf>
    <xf numFmtId="0" fontId="0" fillId="21" borderId="27" xfId="0" applyFill="1" applyBorder="1"/>
    <xf numFmtId="0" fontId="0" fillId="21" borderId="30" xfId="0" applyFill="1" applyBorder="1"/>
    <xf numFmtId="0" fontId="0" fillId="21" borderId="31" xfId="0" applyFill="1" applyBorder="1" applyAlignment="1">
      <alignment horizontal="center"/>
    </xf>
    <xf numFmtId="0" fontId="0" fillId="21" borderId="32" xfId="0" applyFill="1" applyBorder="1"/>
    <xf numFmtId="0" fontId="1" fillId="0" borderId="39" xfId="0" applyFont="1" applyBorder="1"/>
    <xf numFmtId="2" fontId="1" fillId="0" borderId="20" xfId="0" applyNumberFormat="1" applyFont="1" applyBorder="1" applyAlignment="1">
      <alignment horizontal="center"/>
    </xf>
    <xf numFmtId="0" fontId="0" fillId="0" borderId="40" xfId="0" applyBorder="1"/>
    <xf numFmtId="0" fontId="1" fillId="3" borderId="30" xfId="0" applyFont="1" applyFill="1" applyBorder="1"/>
    <xf numFmtId="2" fontId="1" fillId="3" borderId="31" xfId="0" applyNumberFormat="1" applyFont="1" applyFill="1" applyBorder="1" applyAlignment="1">
      <alignment horizontal="center"/>
    </xf>
    <xf numFmtId="0" fontId="0" fillId="3" borderId="32" xfId="0" applyFill="1" applyBorder="1"/>
    <xf numFmtId="2" fontId="1" fillId="0" borderId="0" xfId="0" applyNumberFormat="1" applyFont="1" applyAlignment="1">
      <alignment horizontal="center"/>
    </xf>
    <xf numFmtId="168" fontId="12" fillId="0" borderId="0" xfId="0" applyNumberFormat="1" applyFont="1" applyAlignment="1">
      <alignment vertical="center" wrapText="1"/>
    </xf>
    <xf numFmtId="0" fontId="12" fillId="9" borderId="1" xfId="0" applyFont="1" applyFill="1" applyBorder="1" applyAlignment="1">
      <alignment horizontal="center" vertical="center" wrapText="1"/>
    </xf>
    <xf numFmtId="0" fontId="12" fillId="3" borderId="0" xfId="0" applyFont="1" applyFill="1" applyAlignment="1">
      <alignment vertical="center" wrapText="1"/>
    </xf>
    <xf numFmtId="0" fontId="12" fillId="3" borderId="6" xfId="0" applyFont="1" applyFill="1" applyBorder="1" applyAlignment="1">
      <alignment vertical="center" wrapText="1"/>
    </xf>
    <xf numFmtId="0" fontId="9" fillId="6" borderId="6" xfId="0" applyFont="1" applyFill="1" applyBorder="1" applyAlignment="1">
      <alignment vertical="center" wrapText="1"/>
    </xf>
    <xf numFmtId="0" fontId="27" fillId="0" borderId="0" xfId="0" applyFont="1"/>
    <xf numFmtId="0" fontId="0" fillId="0" borderId="37" xfId="0" applyBorder="1"/>
    <xf numFmtId="0" fontId="28" fillId="0" borderId="0" xfId="0" applyFont="1"/>
    <xf numFmtId="0" fontId="28" fillId="0" borderId="37" xfId="0" applyFont="1" applyBorder="1"/>
    <xf numFmtId="0" fontId="30" fillId="0" borderId="0" xfId="0" applyFont="1"/>
    <xf numFmtId="0" fontId="0" fillId="0" borderId="0" xfId="0" applyAlignment="1">
      <alignment horizontal="center" wrapText="1"/>
    </xf>
    <xf numFmtId="0" fontId="31" fillId="0" borderId="0" xfId="0" applyFont="1"/>
    <xf numFmtId="169" fontId="0" fillId="0" borderId="0" xfId="0" applyNumberFormat="1"/>
    <xf numFmtId="9" fontId="2" fillId="0" borderId="0" xfId="0" applyNumberFormat="1" applyFont="1"/>
    <xf numFmtId="0" fontId="33" fillId="0" borderId="12" xfId="0" applyFont="1" applyBorder="1"/>
    <xf numFmtId="2" fontId="12" fillId="0" borderId="32" xfId="0" applyNumberFormat="1" applyFont="1" applyBorder="1" applyAlignment="1">
      <alignment horizontal="center" vertical="center" wrapText="1"/>
    </xf>
    <xf numFmtId="2" fontId="12" fillId="0" borderId="0" xfId="0" applyNumberFormat="1" applyFont="1" applyAlignment="1">
      <alignment vertical="center" wrapText="1"/>
    </xf>
    <xf numFmtId="167" fontId="12" fillId="0" borderId="0" xfId="0" applyNumberFormat="1" applyFont="1" applyAlignment="1">
      <alignment vertical="center" wrapText="1"/>
    </xf>
    <xf numFmtId="0" fontId="1" fillId="0" borderId="0" xfId="0" applyFont="1" applyAlignment="1">
      <alignment horizontal="center"/>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20" borderId="9" xfId="0" applyFont="1" applyFill="1" applyBorder="1" applyAlignment="1">
      <alignment horizontal="center"/>
    </xf>
    <xf numFmtId="0" fontId="3" fillId="20" borderId="11" xfId="0" applyFont="1" applyFill="1" applyBorder="1" applyAlignment="1">
      <alignment horizontal="center"/>
    </xf>
    <xf numFmtId="166" fontId="3" fillId="20" borderId="9" xfId="0" applyNumberFormat="1" applyFont="1" applyFill="1" applyBorder="1" applyAlignment="1">
      <alignment horizontal="center"/>
    </xf>
    <xf numFmtId="166" fontId="3" fillId="20" borderId="11" xfId="0" applyNumberFormat="1" applyFont="1" applyFill="1" applyBorder="1" applyAlignment="1">
      <alignment horizontal="center"/>
    </xf>
    <xf numFmtId="0" fontId="5" fillId="0" borderId="9" xfId="0" applyFont="1" applyBorder="1" applyAlignment="1">
      <alignment horizontal="center"/>
    </xf>
    <xf numFmtId="0" fontId="5" fillId="0" borderId="23" xfId="0" applyFont="1" applyBorder="1" applyAlignment="1">
      <alignment horizontal="center"/>
    </xf>
    <xf numFmtId="0" fontId="5" fillId="0" borderId="11" xfId="0"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left"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10" borderId="33" xfId="0" applyFont="1" applyFill="1" applyBorder="1" applyAlignment="1">
      <alignment horizontal="center" vertical="center" wrapText="1"/>
    </xf>
    <xf numFmtId="0" fontId="13" fillId="10" borderId="34" xfId="0" applyFont="1" applyFill="1" applyBorder="1" applyAlignment="1">
      <alignment horizontal="center" vertical="center" wrapText="1"/>
    </xf>
    <xf numFmtId="0" fontId="13" fillId="10" borderId="35" xfId="0" applyFont="1" applyFill="1" applyBorder="1" applyAlignment="1">
      <alignment horizontal="center" vertical="center" wrapText="1"/>
    </xf>
    <xf numFmtId="0" fontId="13"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29" xfId="0" applyFont="1" applyBorder="1" applyAlignment="1">
      <alignment horizontal="center" vertical="center" wrapText="1"/>
    </xf>
    <xf numFmtId="166" fontId="12" fillId="0" borderId="28" xfId="0" applyNumberFormat="1" applyFont="1" applyBorder="1" applyAlignment="1">
      <alignment horizontal="center" vertical="center" wrapText="1"/>
    </xf>
    <xf numFmtId="166" fontId="12" fillId="0" borderId="12" xfId="0" applyNumberFormat="1" applyFont="1" applyBorder="1" applyAlignment="1">
      <alignment horizontal="center" vertical="center" wrapText="1"/>
    </xf>
    <xf numFmtId="166" fontId="12" fillId="0" borderId="29" xfId="0" applyNumberFormat="1" applyFont="1" applyBorder="1" applyAlignment="1">
      <alignment horizontal="center" vertical="center" wrapText="1"/>
    </xf>
    <xf numFmtId="0" fontId="13" fillId="0" borderId="0" xfId="0" applyFont="1" applyAlignment="1">
      <alignment horizontal="righ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0" xfId="0" applyFont="1" applyAlignment="1">
      <alignment horizontal="center" vertical="center" wrapText="1"/>
    </xf>
    <xf numFmtId="0" fontId="15" fillId="2" borderId="9"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2" xfId="0" applyFont="1" applyBorder="1" applyAlignment="1">
      <alignment vertical="center" wrapText="1"/>
    </xf>
    <xf numFmtId="0" fontId="15" fillId="0" borderId="3" xfId="0" applyFont="1" applyBorder="1" applyAlignment="1">
      <alignment vertical="center" wrapText="1"/>
    </xf>
    <xf numFmtId="0" fontId="15" fillId="0" borderId="4" xfId="0" applyFont="1" applyBorder="1" applyAlignment="1">
      <alignment vertical="center" wrapText="1"/>
    </xf>
    <xf numFmtId="14" fontId="15" fillId="0" borderId="0" xfId="0" applyNumberFormat="1" applyFont="1" applyAlignment="1">
      <alignment horizontal="center" vertical="center" wrapText="1"/>
    </xf>
    <xf numFmtId="0" fontId="12" fillId="0" borderId="6" xfId="0" applyFont="1" applyBorder="1" applyAlignment="1">
      <alignment horizontal="left" vertical="center" wrapText="1"/>
    </xf>
    <xf numFmtId="0" fontId="12" fillId="0" borderId="15" xfId="0" applyFont="1" applyBorder="1" applyAlignment="1">
      <alignment horizontal="left" vertical="center" wrapText="1"/>
    </xf>
    <xf numFmtId="0" fontId="15" fillId="0" borderId="9"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5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4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51"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5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45" xfId="0" applyFont="1" applyBorder="1" applyAlignment="1">
      <alignment horizontal="center" vertical="center" wrapText="1"/>
    </xf>
    <xf numFmtId="170" fontId="12" fillId="0" borderId="7" xfId="0" applyNumberFormat="1" applyFont="1" applyBorder="1" applyAlignment="1">
      <alignment horizontal="center" vertical="center" wrapText="1"/>
    </xf>
    <xf numFmtId="170" fontId="12" fillId="0" borderId="8" xfId="0" applyNumberFormat="1" applyFont="1" applyBorder="1" applyAlignment="1">
      <alignment horizontal="center" vertical="center" wrapText="1"/>
    </xf>
    <xf numFmtId="0" fontId="15" fillId="8" borderId="25" xfId="0" applyFont="1" applyFill="1" applyBorder="1" applyAlignment="1">
      <alignment horizontal="center" vertical="center" wrapText="1"/>
    </xf>
    <xf numFmtId="0" fontId="15" fillId="8" borderId="27" xfId="0" applyFont="1" applyFill="1" applyBorder="1" applyAlignment="1">
      <alignment horizontal="center" vertical="center" wrapText="1"/>
    </xf>
    <xf numFmtId="0" fontId="15" fillId="8" borderId="33" xfId="0" applyFont="1" applyFill="1" applyBorder="1" applyAlignment="1">
      <alignment horizontal="center" vertical="center" wrapText="1"/>
    </xf>
    <xf numFmtId="0" fontId="15" fillId="8" borderId="3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xf>
    <xf numFmtId="0" fontId="12" fillId="0" borderId="6" xfId="0" applyFont="1" applyBorder="1" applyAlignment="1">
      <alignment horizontal="center" vertical="center" wrapText="1"/>
    </xf>
    <xf numFmtId="0" fontId="15"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0" borderId="24" xfId="0" applyFont="1" applyBorder="1" applyAlignment="1">
      <alignment horizontal="left" vertical="center" wrapText="1"/>
    </xf>
    <xf numFmtId="0" fontId="15" fillId="0" borderId="0" xfId="0" applyFont="1" applyAlignment="1">
      <alignment horizontal="left" vertical="center" wrapText="1"/>
    </xf>
    <xf numFmtId="0" fontId="12" fillId="0" borderId="28" xfId="0" applyFont="1" applyBorder="1" applyAlignment="1">
      <alignment horizontal="center" wrapText="1"/>
    </xf>
    <xf numFmtId="0" fontId="12" fillId="0" borderId="12" xfId="0" applyFont="1" applyBorder="1" applyAlignment="1">
      <alignment horizontal="center" wrapText="1"/>
    </xf>
    <xf numFmtId="0" fontId="12" fillId="0" borderId="29" xfId="0" applyFont="1" applyBorder="1" applyAlignment="1">
      <alignment horizontal="center" wrapText="1"/>
    </xf>
    <xf numFmtId="0" fontId="12" fillId="0" borderId="0" xfId="0" applyFont="1" applyAlignment="1">
      <alignment horizontal="center" wrapText="1"/>
    </xf>
    <xf numFmtId="0" fontId="13" fillId="0" borderId="25" xfId="0" applyFont="1" applyBorder="1" applyAlignment="1">
      <alignment horizontal="center" wrapText="1"/>
    </xf>
    <xf numFmtId="0" fontId="13" fillId="0" borderId="26" xfId="0" applyFont="1" applyBorder="1" applyAlignment="1">
      <alignment horizontal="center" wrapText="1"/>
    </xf>
    <xf numFmtId="0" fontId="13" fillId="10" borderId="33" xfId="0" applyFont="1" applyFill="1" applyBorder="1" applyAlignment="1">
      <alignment horizontal="left" wrapText="1"/>
    </xf>
    <xf numFmtId="0" fontId="13" fillId="10" borderId="34" xfId="0" applyFont="1" applyFill="1" applyBorder="1" applyAlignment="1">
      <alignment horizontal="left" wrapText="1"/>
    </xf>
    <xf numFmtId="0" fontId="13" fillId="10" borderId="35" xfId="0" applyFont="1" applyFill="1" applyBorder="1" applyAlignment="1">
      <alignment horizontal="left" wrapText="1"/>
    </xf>
    <xf numFmtId="0" fontId="13" fillId="0" borderId="27" xfId="0" applyFont="1" applyBorder="1" applyAlignment="1">
      <alignment horizontal="center" wrapText="1"/>
    </xf>
    <xf numFmtId="0" fontId="12" fillId="0" borderId="34" xfId="0" applyFont="1" applyBorder="1" applyAlignment="1">
      <alignment horizontal="center" wrapText="1"/>
    </xf>
    <xf numFmtId="0" fontId="12" fillId="0" borderId="38" xfId="0" applyFont="1" applyBorder="1" applyAlignment="1">
      <alignment horizontal="center" wrapText="1"/>
    </xf>
    <xf numFmtId="0" fontId="13" fillId="0" borderId="18" xfId="0" applyFont="1" applyBorder="1" applyAlignment="1">
      <alignment horizontal="center" wrapText="1"/>
    </xf>
    <xf numFmtId="0" fontId="13" fillId="0" borderId="48" xfId="0" applyFont="1" applyBorder="1" applyAlignment="1">
      <alignment horizontal="center" wrapText="1"/>
    </xf>
    <xf numFmtId="0" fontId="12" fillId="0" borderId="30" xfId="0" applyFont="1" applyBorder="1" applyAlignment="1">
      <alignment horizontal="center" wrapText="1"/>
    </xf>
    <xf numFmtId="0" fontId="12" fillId="0" borderId="31" xfId="0" applyFont="1" applyBorder="1" applyAlignment="1">
      <alignment horizontal="center" wrapText="1"/>
    </xf>
    <xf numFmtId="0" fontId="12" fillId="0" borderId="32" xfId="0" applyFont="1" applyBorder="1" applyAlignment="1">
      <alignment horizont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5" fillId="0" borderId="37" xfId="0" applyFont="1" applyBorder="1" applyAlignment="1">
      <alignment horizontal="center" wrapText="1"/>
    </xf>
    <xf numFmtId="0" fontId="12" fillId="0" borderId="37" xfId="0" applyFont="1" applyBorder="1" applyAlignment="1">
      <alignment horizontal="left" wrapText="1"/>
    </xf>
    <xf numFmtId="0" fontId="12" fillId="0" borderId="46" xfId="0" applyFont="1" applyBorder="1" applyAlignment="1">
      <alignment horizontal="left" wrapText="1"/>
    </xf>
    <xf numFmtId="0" fontId="12" fillId="0" borderId="18" xfId="0" applyFont="1" applyBorder="1" applyAlignment="1">
      <alignment horizontal="center" wrapText="1"/>
    </xf>
    <xf numFmtId="0" fontId="12" fillId="0" borderId="48" xfId="0" applyFont="1" applyBorder="1" applyAlignment="1">
      <alignment horizontal="center" wrapText="1"/>
    </xf>
    <xf numFmtId="0" fontId="15" fillId="0" borderId="18" xfId="0" applyFont="1" applyBorder="1" applyAlignment="1">
      <alignment horizontal="center" wrapText="1"/>
    </xf>
    <xf numFmtId="0" fontId="15" fillId="0" borderId="48" xfId="0" applyFont="1" applyBorder="1" applyAlignment="1">
      <alignment horizontal="center" wrapText="1"/>
    </xf>
    <xf numFmtId="0" fontId="15" fillId="0" borderId="33" xfId="0" applyFont="1" applyBorder="1" applyAlignment="1">
      <alignment horizontal="left" wrapText="1"/>
    </xf>
    <xf numFmtId="0" fontId="15" fillId="0" borderId="34" xfId="0" applyFont="1" applyBorder="1" applyAlignment="1">
      <alignment horizontal="left" wrapText="1"/>
    </xf>
    <xf numFmtId="0" fontId="15" fillId="0" borderId="38" xfId="0" applyFont="1" applyBorder="1" applyAlignment="1">
      <alignment horizontal="left" wrapText="1"/>
    </xf>
    <xf numFmtId="0" fontId="13" fillId="0" borderId="2" xfId="0" applyFont="1" applyBorder="1" applyAlignment="1">
      <alignment horizontal="center" wrapText="1"/>
    </xf>
    <xf numFmtId="0" fontId="13" fillId="0" borderId="4" xfId="0" applyFont="1" applyBorder="1" applyAlignment="1">
      <alignment horizontal="center" wrapText="1"/>
    </xf>
    <xf numFmtId="0" fontId="13" fillId="0" borderId="21" xfId="0" applyFont="1" applyBorder="1" applyAlignment="1">
      <alignment horizontal="center" wrapText="1"/>
    </xf>
    <xf numFmtId="0" fontId="13" fillId="0" borderId="22" xfId="0" applyFont="1" applyBorder="1" applyAlignment="1">
      <alignment horizontal="center" wrapText="1"/>
    </xf>
    <xf numFmtId="0" fontId="19" fillId="0" borderId="7"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8" xfId="0" applyFont="1" applyBorder="1" applyAlignment="1">
      <alignment horizontal="center" vertical="center" wrapText="1"/>
    </xf>
    <xf numFmtId="0" fontId="12" fillId="0" borderId="24" xfId="0" applyFont="1" applyBorder="1" applyAlignment="1">
      <alignment horizontal="center" wrapText="1"/>
    </xf>
    <xf numFmtId="0" fontId="12" fillId="0" borderId="22" xfId="0" applyFont="1" applyBorder="1" applyAlignment="1">
      <alignment horizontal="center" wrapText="1"/>
    </xf>
    <xf numFmtId="0" fontId="12" fillId="0" borderId="47" xfId="0" applyFont="1" applyBorder="1" applyAlignment="1">
      <alignment horizontal="center" wrapText="1"/>
    </xf>
    <xf numFmtId="0" fontId="12" fillId="0" borderId="47" xfId="0" applyFont="1" applyBorder="1" applyAlignment="1">
      <alignment horizontal="left" vertical="center" wrapText="1"/>
    </xf>
    <xf numFmtId="0" fontId="12" fillId="0" borderId="18" xfId="0" applyFont="1" applyBorder="1" applyAlignment="1">
      <alignment horizontal="left" vertical="center" wrapText="1"/>
    </xf>
    <xf numFmtId="0" fontId="12" fillId="0" borderId="48" xfId="0" applyFont="1" applyBorder="1" applyAlignment="1">
      <alignment horizontal="left" vertical="center" wrapText="1"/>
    </xf>
    <xf numFmtId="0" fontId="15" fillId="0" borderId="21" xfId="0" applyFont="1" applyBorder="1" applyAlignment="1">
      <alignment horizontal="center" wrapText="1"/>
    </xf>
    <xf numFmtId="0" fontId="15" fillId="0" borderId="24" xfId="0" applyFont="1" applyBorder="1" applyAlignment="1">
      <alignment horizontal="center" wrapText="1"/>
    </xf>
    <xf numFmtId="0" fontId="15" fillId="0" borderId="22" xfId="0" applyFont="1" applyBorder="1" applyAlignment="1">
      <alignment horizontal="center" wrapText="1"/>
    </xf>
    <xf numFmtId="0" fontId="32" fillId="22" borderId="0" xfId="0" applyFont="1" applyFill="1" applyAlignment="1">
      <alignment horizontal="center"/>
    </xf>
    <xf numFmtId="0" fontId="28" fillId="0" borderId="0" xfId="0" applyFont="1" applyAlignment="1">
      <alignment horizontal="center"/>
    </xf>
    <xf numFmtId="0" fontId="29" fillId="0" borderId="0" xfId="0" applyFont="1" applyAlignment="1">
      <alignment horizontal="center" vertical="center"/>
    </xf>
    <xf numFmtId="0" fontId="28" fillId="0" borderId="0" xfId="0" applyFont="1" applyAlignment="1">
      <alignment horizontal="left"/>
    </xf>
    <xf numFmtId="0" fontId="34" fillId="0" borderId="0" xfId="0" applyFont="1" applyAlignment="1">
      <alignment horizontal="center"/>
    </xf>
    <xf numFmtId="0" fontId="7" fillId="0" borderId="12" xfId="0" applyFont="1" applyBorder="1" applyAlignment="1">
      <alignment horizontal="center" vertical="center" wrapText="1"/>
    </xf>
    <xf numFmtId="9" fontId="7" fillId="0" borderId="13" xfId="1" applyFont="1" applyBorder="1" applyAlignment="1">
      <alignment horizontal="center" vertical="center" wrapText="1"/>
    </xf>
    <xf numFmtId="9" fontId="7" fillId="0" borderId="20" xfId="1"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3" xfId="0" applyFont="1" applyBorder="1" applyAlignment="1">
      <alignment horizontal="center" vertical="center" wrapText="1"/>
    </xf>
  </cellXfs>
  <cellStyles count="2">
    <cellStyle name="Normal" xfId="0" builtinId="0"/>
    <cellStyle name="Porcentaje" xfId="1" builtinId="5"/>
  </cellStyles>
  <dxfs count="37">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bgColor rgb="FFCC9900"/>
        </patternFill>
      </fill>
    </dxf>
    <dxf>
      <fill>
        <patternFill>
          <bgColor theme="7" tint="0.59996337778862885"/>
        </patternFill>
      </fill>
    </dxf>
    <dxf>
      <fill>
        <patternFill>
          <bgColor rgb="FFC00000"/>
        </patternFill>
      </fill>
    </dxf>
    <dxf>
      <fill>
        <patternFill>
          <bgColor rgb="FFFF6600"/>
        </patternFill>
      </fill>
    </dxf>
    <dxf>
      <font>
        <color rgb="FF9C0006"/>
      </font>
      <fill>
        <patternFill>
          <bgColor rgb="FFFFC7CE"/>
        </patternFill>
      </fill>
    </dxf>
    <dxf>
      <fill>
        <patternFill>
          <bgColor theme="7"/>
        </patternFill>
      </fill>
    </dxf>
    <dxf>
      <fill>
        <patternFill>
          <bgColor rgb="FFFFFF00"/>
        </patternFill>
      </fill>
    </dxf>
    <dxf>
      <font>
        <color rgb="FF9C0006"/>
      </font>
      <fill>
        <patternFill>
          <bgColor rgb="FFFFC7CE"/>
        </patternFill>
      </fill>
    </dxf>
    <dxf>
      <fill>
        <patternFill>
          <bgColor theme="9"/>
        </patternFill>
      </fill>
    </dxf>
  </dxfs>
  <tableStyles count="0" defaultTableStyle="TableStyleMedium2" defaultPivotStyle="PivotStyleLight16"/>
  <colors>
    <mruColors>
      <color rgb="FFFF2D2D"/>
      <color rgb="FFFF6600"/>
      <color rgb="FF993366"/>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171450</xdr:colOff>
      <xdr:row>0</xdr:row>
      <xdr:rowOff>0</xdr:rowOff>
    </xdr:from>
    <xdr:to>
      <xdr:col>4</xdr:col>
      <xdr:colOff>1123949</xdr:colOff>
      <xdr:row>6</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4798" y="0"/>
          <a:ext cx="2592456" cy="1423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505703</xdr:colOff>
      <xdr:row>3</xdr:row>
      <xdr:rowOff>68037</xdr:rowOff>
    </xdr:from>
    <xdr:to>
      <xdr:col>5</xdr:col>
      <xdr:colOff>2574796</xdr:colOff>
      <xdr:row>7</xdr:row>
      <xdr:rowOff>13609</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5774" y="775608"/>
          <a:ext cx="2069093" cy="952501"/>
        </a:xfrm>
        <a:prstGeom prst="rect">
          <a:avLst/>
        </a:prstGeom>
      </xdr:spPr>
    </xdr:pic>
    <xdr:clientData/>
  </xdr:twoCellAnchor>
  <xdr:twoCellAnchor editAs="oneCell">
    <xdr:from>
      <xdr:col>9</xdr:col>
      <xdr:colOff>163286</xdr:colOff>
      <xdr:row>42</xdr:row>
      <xdr:rowOff>149676</xdr:rowOff>
    </xdr:from>
    <xdr:to>
      <xdr:col>11</xdr:col>
      <xdr:colOff>1926384</xdr:colOff>
      <xdr:row>51</xdr:row>
      <xdr:rowOff>108858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7965" y="11375569"/>
          <a:ext cx="3913027" cy="2490109"/>
        </a:xfrm>
        <a:prstGeom prst="rect">
          <a:avLst/>
        </a:prstGeom>
      </xdr:spPr>
    </xdr:pic>
    <xdr:clientData/>
  </xdr:twoCellAnchor>
  <xdr:twoCellAnchor editAs="oneCell">
    <xdr:from>
      <xdr:col>9</xdr:col>
      <xdr:colOff>204106</xdr:colOff>
      <xdr:row>2</xdr:row>
      <xdr:rowOff>231321</xdr:rowOff>
    </xdr:from>
    <xdr:to>
      <xdr:col>9</xdr:col>
      <xdr:colOff>1142999</xdr:colOff>
      <xdr:row>6</xdr:row>
      <xdr:rowOff>176892</xdr:rowOff>
    </xdr:to>
    <xdr:pic>
      <xdr:nvPicPr>
        <xdr:cNvPr id="4" name="Imagen 3" descr="C:\Users\Construccion Privada\Desktop\Desktop\logo muni.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rcRect/>
        <a:stretch>
          <a:fillRect/>
        </a:stretch>
      </xdr:blipFill>
      <xdr:spPr bwMode="auto">
        <a:xfrm>
          <a:off x="9729106" y="693964"/>
          <a:ext cx="938893" cy="966107"/>
        </a:xfrm>
        <a:prstGeom prst="rect">
          <a:avLst/>
        </a:prstGeom>
        <a:noFill/>
        <a:ln w="9525">
          <a:noFill/>
          <a:miter lim="800000"/>
          <a:headEnd/>
          <a:tailEnd/>
        </a:ln>
      </xdr:spPr>
    </xdr:pic>
    <xdr:clientData/>
  </xdr:twoCellAnchor>
  <xdr:twoCellAnchor editAs="oneCell">
    <xdr:from>
      <xdr:col>10</xdr:col>
      <xdr:colOff>19651</xdr:colOff>
      <xdr:row>3</xdr:row>
      <xdr:rowOff>54428</xdr:rowOff>
    </xdr:from>
    <xdr:to>
      <xdr:col>11</xdr:col>
      <xdr:colOff>1678842</xdr:colOff>
      <xdr:row>7</xdr:row>
      <xdr:rowOff>13606</xdr:rowOff>
    </xdr:to>
    <xdr:pic>
      <xdr:nvPicPr>
        <xdr:cNvPr id="7" name="Imagen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4"/>
        <a:stretch>
          <a:fillRect/>
        </a:stretch>
      </xdr:blipFill>
      <xdr:spPr>
        <a:xfrm>
          <a:off x="10878151" y="761999"/>
          <a:ext cx="2475620" cy="966107"/>
        </a:xfrm>
        <a:prstGeom prst="rect">
          <a:avLst/>
        </a:prstGeom>
      </xdr:spPr>
    </xdr:pic>
    <xdr:clientData/>
  </xdr:twoCellAnchor>
  <xdr:twoCellAnchor>
    <xdr:from>
      <xdr:col>8</xdr:col>
      <xdr:colOff>2122715</xdr:colOff>
      <xdr:row>93</xdr:row>
      <xdr:rowOff>13606</xdr:rowOff>
    </xdr:from>
    <xdr:to>
      <xdr:col>11</xdr:col>
      <xdr:colOff>1660072</xdr:colOff>
      <xdr:row>100</xdr:row>
      <xdr:rowOff>73928</xdr:rowOff>
    </xdr:to>
    <xdr:sp macro="" textlink="">
      <xdr:nvSpPr>
        <xdr:cNvPr id="8" name="CuadroTexto 4">
          <a:extLst>
            <a:ext uri="{FF2B5EF4-FFF2-40B4-BE49-F238E27FC236}">
              <a16:creationId xmlns:a16="http://schemas.microsoft.com/office/drawing/2014/main" id="{00000000-0008-0000-0300-000008000000}"/>
            </a:ext>
          </a:extLst>
        </xdr:cNvPr>
        <xdr:cNvSpPr txBox="1"/>
      </xdr:nvSpPr>
      <xdr:spPr>
        <a:xfrm>
          <a:off x="8681358" y="27459213"/>
          <a:ext cx="4640035" cy="1652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_________________________________________________</a:t>
          </a:r>
          <a:endParaRPr lang="en-US" sz="1400" b="1" baseline="0"/>
        </a:p>
        <a:p>
          <a:pPr algn="ctr"/>
          <a:r>
            <a:rPr lang="en-US" sz="1400" b="1"/>
            <a:t>KAREN  MORALES</a:t>
          </a:r>
        </a:p>
        <a:p>
          <a:pPr algn="ctr"/>
          <a:r>
            <a:rPr lang="en-US" sz="1400" b="1"/>
            <a:t>ENCARGADA</a:t>
          </a:r>
          <a:r>
            <a:rPr lang="en-US" sz="1400" b="1" baseline="0"/>
            <a:t>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5</xdr:col>
      <xdr:colOff>1115786</xdr:colOff>
      <xdr:row>93</xdr:row>
      <xdr:rowOff>13607</xdr:rowOff>
    </xdr:from>
    <xdr:to>
      <xdr:col>8</xdr:col>
      <xdr:colOff>1065440</xdr:colOff>
      <xdr:row>99</xdr:row>
      <xdr:rowOff>180972</xdr:rowOff>
    </xdr:to>
    <xdr:sp macro="" textlink="">
      <xdr:nvSpPr>
        <xdr:cNvPr id="9" name="CuadroTexto 8">
          <a:extLst>
            <a:ext uri="{FF2B5EF4-FFF2-40B4-BE49-F238E27FC236}">
              <a16:creationId xmlns:a16="http://schemas.microsoft.com/office/drawing/2014/main" id="{00000000-0008-0000-0300-000009000000}"/>
            </a:ext>
          </a:extLst>
        </xdr:cNvPr>
        <xdr:cNvSpPr txBox="1"/>
      </xdr:nvSpPr>
      <xdr:spPr>
        <a:xfrm>
          <a:off x="2775857" y="27459214"/>
          <a:ext cx="4848226" cy="151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IVAN CARRETO</a:t>
          </a:r>
        </a:p>
        <a:p>
          <a:pPr algn="ctr"/>
          <a:r>
            <a:rPr lang="en-US" sz="1400" b="1" baseline="0"/>
            <a:t>INSPECTOR DE OBRA</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29453</xdr:colOff>
      <xdr:row>0</xdr:row>
      <xdr:rowOff>0</xdr:rowOff>
    </xdr:from>
    <xdr:to>
      <xdr:col>5</xdr:col>
      <xdr:colOff>2098546</xdr:colOff>
      <xdr:row>3</xdr:row>
      <xdr:rowOff>244930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278" y="0"/>
          <a:ext cx="2069093" cy="940255"/>
        </a:xfrm>
        <a:prstGeom prst="rect">
          <a:avLst/>
        </a:prstGeom>
      </xdr:spPr>
    </xdr:pic>
    <xdr:clientData/>
  </xdr:twoCellAnchor>
  <xdr:twoCellAnchor editAs="oneCell">
    <xdr:from>
      <xdr:col>9</xdr:col>
      <xdr:colOff>299356</xdr:colOff>
      <xdr:row>0</xdr:row>
      <xdr:rowOff>0</xdr:rowOff>
    </xdr:from>
    <xdr:to>
      <xdr:col>9</xdr:col>
      <xdr:colOff>1238249</xdr:colOff>
      <xdr:row>3</xdr:row>
      <xdr:rowOff>258536</xdr:rowOff>
    </xdr:to>
    <xdr:pic>
      <xdr:nvPicPr>
        <xdr:cNvPr id="4" name="Imagen 3" descr="C:\Users\Construccion Privada\Desktop\Desktop\logo muni.png">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2" cstate="print"/>
        <a:srcRect/>
        <a:stretch>
          <a:fillRect/>
        </a:stretch>
      </xdr:blipFill>
      <xdr:spPr bwMode="auto">
        <a:xfrm>
          <a:off x="9633856" y="0"/>
          <a:ext cx="938893" cy="952500"/>
        </a:xfrm>
        <a:prstGeom prst="rect">
          <a:avLst/>
        </a:prstGeom>
        <a:noFill/>
        <a:ln w="9525">
          <a:noFill/>
          <a:miter lim="800000"/>
          <a:headEnd/>
          <a:tailEnd/>
        </a:ln>
      </xdr:spPr>
    </xdr:pic>
    <xdr:clientData/>
  </xdr:twoCellAnchor>
  <xdr:twoCellAnchor>
    <xdr:from>
      <xdr:col>5</xdr:col>
      <xdr:colOff>1047752</xdr:colOff>
      <xdr:row>50</xdr:row>
      <xdr:rowOff>93891</xdr:rowOff>
    </xdr:from>
    <xdr:to>
      <xdr:col>7</xdr:col>
      <xdr:colOff>95250</xdr:colOff>
      <xdr:row>57</xdr:row>
      <xdr:rowOff>54427</xdr:rowOff>
    </xdr:to>
    <xdr:sp macro="" textlink="">
      <xdr:nvSpPr>
        <xdr:cNvPr id="5" name="CuadroTexto 4">
          <a:extLst>
            <a:ext uri="{FF2B5EF4-FFF2-40B4-BE49-F238E27FC236}">
              <a16:creationId xmlns:a16="http://schemas.microsoft.com/office/drawing/2014/main" id="{00000000-0008-0000-0500-000005000000}"/>
            </a:ext>
          </a:extLst>
        </xdr:cNvPr>
        <xdr:cNvSpPr txBox="1"/>
      </xdr:nvSpPr>
      <xdr:spPr>
        <a:xfrm>
          <a:off x="2695577" y="27983091"/>
          <a:ext cx="3267073" cy="15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____________________________________________</a:t>
          </a:r>
          <a:endParaRPr lang="en-US" sz="1400" b="1" baseline="0"/>
        </a:p>
        <a:p>
          <a:pPr algn="ctr"/>
          <a:r>
            <a:rPr lang="en-US" sz="1400" b="1"/>
            <a:t>XXXXXXXXXXXXXXXXXX</a:t>
          </a:r>
        </a:p>
        <a:p>
          <a:pPr algn="ctr"/>
          <a:r>
            <a:rPr lang="en-US" sz="1400" b="1"/>
            <a:t>ENCARGADO</a:t>
          </a:r>
          <a:r>
            <a:rPr lang="en-US" sz="1400" b="1" baseline="0"/>
            <a:t> DE RECEPCIÓN Y SEGUIMIENTO DE EXPEDIENTES DE BAJO IMPACTO</a:t>
          </a:r>
        </a:p>
        <a:p>
          <a:pPr algn="ctr"/>
          <a:r>
            <a:rPr lang="en-US" sz="1400" b="1" baseline="0"/>
            <a:t>DEPARTAMENTO DE CONTROL DE OBRAS</a:t>
          </a:r>
        </a:p>
        <a:p>
          <a:pPr algn="ctr"/>
          <a:r>
            <a:rPr lang="en-US" sz="1400" b="1" baseline="0"/>
            <a:t>MUNICIPALIDAD DE QUETZALTENANGO</a:t>
          </a:r>
          <a:endParaRPr lang="en-US" sz="1400" b="1"/>
        </a:p>
      </xdr:txBody>
    </xdr:sp>
    <xdr:clientData/>
  </xdr:twoCellAnchor>
  <xdr:twoCellAnchor>
    <xdr:from>
      <xdr:col>8</xdr:col>
      <xdr:colOff>1836965</xdr:colOff>
      <xdr:row>50</xdr:row>
      <xdr:rowOff>108859</xdr:rowOff>
    </xdr:from>
    <xdr:to>
      <xdr:col>11</xdr:col>
      <xdr:colOff>1605644</xdr:colOff>
      <xdr:row>57</xdr:row>
      <xdr:rowOff>40820</xdr:rowOff>
    </xdr:to>
    <xdr:sp macro="" textlink="">
      <xdr:nvSpPr>
        <xdr:cNvPr id="6" name="CuadroTexto 5">
          <a:extLst>
            <a:ext uri="{FF2B5EF4-FFF2-40B4-BE49-F238E27FC236}">
              <a16:creationId xmlns:a16="http://schemas.microsoft.com/office/drawing/2014/main" id="{00000000-0008-0000-0500-000006000000}"/>
            </a:ext>
          </a:extLst>
        </xdr:cNvPr>
        <xdr:cNvSpPr txBox="1"/>
      </xdr:nvSpPr>
      <xdr:spPr>
        <a:xfrm>
          <a:off x="8218715" y="27998059"/>
          <a:ext cx="4874079" cy="1513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____________________________________________</a:t>
          </a:r>
          <a:endParaRPr lang="en-US" sz="1400" b="1" baseline="0"/>
        </a:p>
        <a:p>
          <a:pPr algn="ctr"/>
          <a:r>
            <a:rPr lang="en-US" sz="1400" b="1" baseline="0"/>
            <a:t>XXXXXXXXXXXXXXXXXXXXXX</a:t>
          </a:r>
        </a:p>
        <a:p>
          <a:pPr algn="ctr"/>
          <a:r>
            <a:rPr lang="en-US" sz="1400" b="1" baseline="0"/>
            <a:t>JEFE DEL  DEPARTAMENTO DE CONTROL DE OBRAS</a:t>
          </a:r>
        </a:p>
        <a:p>
          <a:pPr algn="ctr"/>
          <a:r>
            <a:rPr lang="en-US" sz="1400" b="1" baseline="0"/>
            <a:t>MUNICIPALIDAD DE QUETZALTENANGO</a:t>
          </a:r>
          <a:endParaRPr lang="en-US" sz="1400" b="1"/>
        </a:p>
      </xdr:txBody>
    </xdr:sp>
    <xdr:clientData/>
  </xdr:twoCellAnchor>
  <xdr:twoCellAnchor editAs="oneCell">
    <xdr:from>
      <xdr:col>10</xdr:col>
      <xdr:colOff>101293</xdr:colOff>
      <xdr:row>0</xdr:row>
      <xdr:rowOff>13606</xdr:rowOff>
    </xdr:from>
    <xdr:to>
      <xdr:col>11</xdr:col>
      <xdr:colOff>1760484</xdr:colOff>
      <xdr:row>3</xdr:row>
      <xdr:rowOff>272142</xdr:rowOff>
    </xdr:to>
    <xdr:pic>
      <xdr:nvPicPr>
        <xdr:cNvPr id="7" name="Imagen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10769293" y="13606"/>
          <a:ext cx="2478341" cy="952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254001</xdr:colOff>
      <xdr:row>0</xdr:row>
      <xdr:rowOff>88900</xdr:rowOff>
    </xdr:from>
    <xdr:to>
      <xdr:col>9</xdr:col>
      <xdr:colOff>1</xdr:colOff>
      <xdr:row>9</xdr:row>
      <xdr:rowOff>170504</xdr:rowOff>
    </xdr:to>
    <xdr:pic>
      <xdr:nvPicPr>
        <xdr:cNvPr id="2" name="Imagen 1">
          <a:extLst>
            <a:ext uri="{FF2B5EF4-FFF2-40B4-BE49-F238E27FC236}">
              <a16:creationId xmlns:a16="http://schemas.microsoft.com/office/drawing/2014/main" id="{A4C7BE37-DB48-AD77-36F2-8E8B4C103A3E}"/>
            </a:ext>
          </a:extLst>
        </xdr:cNvPr>
        <xdr:cNvPicPr>
          <a:picLocks noChangeAspect="1"/>
        </xdr:cNvPicPr>
      </xdr:nvPicPr>
      <xdr:blipFill>
        <a:blip xmlns:r="http://schemas.openxmlformats.org/officeDocument/2006/relationships" r:embed="rId1"/>
        <a:stretch>
          <a:fillRect/>
        </a:stretch>
      </xdr:blipFill>
      <xdr:spPr>
        <a:xfrm>
          <a:off x="577274" y="88900"/>
          <a:ext cx="4953000" cy="1848059"/>
        </a:xfrm>
        <a:prstGeom prst="rect">
          <a:avLst/>
        </a:prstGeom>
      </xdr:spPr>
    </xdr:pic>
    <xdr:clientData/>
  </xdr:twoCellAnchor>
  <xdr:twoCellAnchor>
    <xdr:from>
      <xdr:col>0</xdr:col>
      <xdr:colOff>0</xdr:colOff>
      <xdr:row>40</xdr:row>
      <xdr:rowOff>23092</xdr:rowOff>
    </xdr:from>
    <xdr:to>
      <xdr:col>10</xdr:col>
      <xdr:colOff>981074</xdr:colOff>
      <xdr:row>44</xdr:row>
      <xdr:rowOff>266699</xdr:rowOff>
    </xdr:to>
    <xdr:grpSp>
      <xdr:nvGrpSpPr>
        <xdr:cNvPr id="3" name="Grupo 2">
          <a:extLst>
            <a:ext uri="{FF2B5EF4-FFF2-40B4-BE49-F238E27FC236}">
              <a16:creationId xmlns:a16="http://schemas.microsoft.com/office/drawing/2014/main" id="{51BFF65F-38CF-4286-BD3E-24D22AB04CE7}"/>
            </a:ext>
          </a:extLst>
        </xdr:cNvPr>
        <xdr:cNvGrpSpPr/>
      </xdr:nvGrpSpPr>
      <xdr:grpSpPr>
        <a:xfrm>
          <a:off x="0" y="9017413"/>
          <a:ext cx="7036253" cy="1168893"/>
          <a:chOff x="0" y="0"/>
          <a:chExt cx="6918960" cy="1096453"/>
        </a:xfrm>
      </xdr:grpSpPr>
      <xdr:pic>
        <xdr:nvPicPr>
          <xdr:cNvPr id="4" name="Imagen 3">
            <a:extLst>
              <a:ext uri="{FF2B5EF4-FFF2-40B4-BE49-F238E27FC236}">
                <a16:creationId xmlns:a16="http://schemas.microsoft.com/office/drawing/2014/main" id="{ECE74BFC-D4C0-B18D-A5EB-43F8F89719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756" b="1283"/>
          <a:stretch/>
        </xdr:blipFill>
        <xdr:spPr bwMode="auto">
          <a:xfrm>
            <a:off x="5775960" y="0"/>
            <a:ext cx="1143000" cy="753110"/>
          </a:xfrm>
          <a:prstGeom prst="rect">
            <a:avLst/>
          </a:prstGeom>
          <a:ln>
            <a:noFill/>
          </a:ln>
          <a:extLst>
            <a:ext uri="{53640926-AAD7-44D8-BBD7-CCE9431645EC}">
              <a14:shadowObscured xmlns:a14="http://schemas.microsoft.com/office/drawing/2010/main"/>
            </a:ext>
          </a:extLst>
        </xdr:spPr>
      </xdr:pic>
      <xdr:pic>
        <xdr:nvPicPr>
          <xdr:cNvPr id="5" name="image1.png">
            <a:extLst>
              <a:ext uri="{FF2B5EF4-FFF2-40B4-BE49-F238E27FC236}">
                <a16:creationId xmlns:a16="http://schemas.microsoft.com/office/drawing/2014/main" id="{04A15261-598A-E4A7-C0A1-4111234C540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0" y="175260"/>
            <a:ext cx="5913120" cy="464820"/>
          </a:xfrm>
          <a:prstGeom prst="rect">
            <a:avLst/>
          </a:prstGeom>
          <a:ln/>
        </xdr:spPr>
      </xdr:pic>
      <xdr:sp macro="" textlink="">
        <xdr:nvSpPr>
          <xdr:cNvPr id="6" name="Cuadro de texto 2">
            <a:extLst>
              <a:ext uri="{FF2B5EF4-FFF2-40B4-BE49-F238E27FC236}">
                <a16:creationId xmlns:a16="http://schemas.microsoft.com/office/drawing/2014/main" id="{829330D4-773D-FD51-EDF8-907EC7EE239A}"/>
              </a:ext>
            </a:extLst>
          </xdr:cNvPr>
          <xdr:cNvSpPr txBox="1">
            <a:spLocks noChangeArrowheads="1"/>
          </xdr:cNvSpPr>
        </xdr:nvSpPr>
        <xdr:spPr bwMode="auto">
          <a:xfrm>
            <a:off x="2004059" y="182880"/>
            <a:ext cx="3401836" cy="913573"/>
          </a:xfrm>
          <a:prstGeom prst="rect">
            <a:avLst/>
          </a:prstGeom>
          <a:noFill/>
          <a:ln>
            <a:noFill/>
            <a:headEnd/>
            <a:tailEnd/>
          </a:ln>
        </xdr:spPr>
        <xdr:style>
          <a:lnRef idx="2">
            <a:schemeClr val="accent1"/>
          </a:lnRef>
          <a:fillRef idx="1">
            <a:schemeClr val="lt1"/>
          </a:fillRef>
          <a:effectRef idx="0">
            <a:schemeClr val="accent1"/>
          </a:effectRef>
          <a:fontRef idx="minor">
            <a:schemeClr val="dk1"/>
          </a:fontRef>
        </xdr:style>
        <xdr:txBody>
          <a:bodyPr rot="0" vert="horz" wrap="square" lIns="91440" tIns="45720" rIns="91440" bIns="45720" anchor="t" anchorCtr="0">
            <a:spAutoFit/>
          </a:bodyPr>
          <a:lstStyle/>
          <a:p>
            <a:pPr algn="ctr">
              <a:lnSpc>
                <a:spcPct val="107000"/>
              </a:lnSpc>
              <a:spcAft>
                <a:spcPts val="800"/>
              </a:spcAft>
            </a:pPr>
            <a:r>
              <a:rPr lang="es-GT" sz="1100">
                <a:effectLst/>
                <a:ea typeface="Calibri" panose="020F0502020204030204" pitchFamily="34" charset="0"/>
                <a:cs typeface="Times New Roman" panose="02020603050405020304" pitchFamily="18" charset="0"/>
              </a:rPr>
              <a:t>Centro Comercial Municipal locales 25 y 26</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controldeobras@munixela.gob.gt</a:t>
            </a:r>
          </a:p>
          <a:p>
            <a:pPr algn="ctr">
              <a:lnSpc>
                <a:spcPct val="107000"/>
              </a:lnSpc>
              <a:spcAft>
                <a:spcPts val="800"/>
              </a:spcAft>
            </a:pPr>
            <a:r>
              <a:rPr lang="es-GT" sz="1100">
                <a:effectLst/>
                <a:ea typeface="Calibri" panose="020F0502020204030204" pitchFamily="34" charset="0"/>
                <a:cs typeface="Times New Roman" panose="02020603050405020304" pitchFamily="18" charset="0"/>
              </a:rPr>
              <a:t>WhatsApp</a:t>
            </a:r>
            <a:r>
              <a:rPr lang="es-GT" sz="1100" baseline="0">
                <a:effectLst/>
                <a:ea typeface="Calibri" panose="020F0502020204030204" pitchFamily="34" charset="0"/>
                <a:cs typeface="Times New Roman" panose="02020603050405020304" pitchFamily="18" charset="0"/>
              </a:rPr>
              <a:t> 4754 0299</a:t>
            </a:r>
            <a:endParaRPr lang="es-GT" sz="1100">
              <a:effectLst/>
              <a:ea typeface="Calibri" panose="020F0502020204030204" pitchFamily="34"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R21"/>
  <sheetViews>
    <sheetView topLeftCell="A2" workbookViewId="0">
      <selection activeCell="C22" sqref="C22"/>
    </sheetView>
  </sheetViews>
  <sheetFormatPr baseColWidth="10" defaultRowHeight="15" x14ac:dyDescent="0.25"/>
  <cols>
    <col min="2" max="2" width="48" customWidth="1"/>
    <col min="4" max="4" width="16.140625" customWidth="1"/>
    <col min="7" max="8" width="11.42578125" customWidth="1"/>
  </cols>
  <sheetData>
    <row r="1" spans="1:18" x14ac:dyDescent="0.25">
      <c r="A1" s="208" t="s">
        <v>27</v>
      </c>
      <c r="B1" s="208"/>
      <c r="C1" s="208"/>
      <c r="D1" s="208"/>
      <c r="E1" s="208"/>
      <c r="F1" s="208"/>
      <c r="G1" s="208"/>
      <c r="H1" s="208"/>
      <c r="I1" s="208"/>
    </row>
    <row r="2" spans="1:18" x14ac:dyDescent="0.25">
      <c r="A2" s="7"/>
      <c r="B2" s="7"/>
      <c r="C2" s="7"/>
      <c r="D2" s="7"/>
      <c r="E2" s="7"/>
      <c r="F2" s="7"/>
      <c r="G2" s="7"/>
      <c r="H2" s="7"/>
      <c r="I2" s="7"/>
    </row>
    <row r="3" spans="1:18" x14ac:dyDescent="0.25">
      <c r="A3" s="7"/>
      <c r="B3" s="7"/>
      <c r="C3" s="7"/>
      <c r="D3" s="7"/>
      <c r="E3" s="7"/>
      <c r="F3" s="7"/>
      <c r="G3" s="7"/>
      <c r="H3" s="7"/>
      <c r="I3" s="7"/>
    </row>
    <row r="4" spans="1:18" ht="15.75" thickBot="1" x14ac:dyDescent="0.3">
      <c r="A4" s="6" t="s">
        <v>0</v>
      </c>
      <c r="B4" s="6" t="s">
        <v>1</v>
      </c>
      <c r="C4" s="10">
        <f>((C5*C6)/(C7+C6))*C8*C9</f>
        <v>1507.3408018867926</v>
      </c>
      <c r="P4" t="s">
        <v>12</v>
      </c>
    </row>
    <row r="5" spans="1:18" ht="15.75" thickBot="1" x14ac:dyDescent="0.3">
      <c r="A5" s="6" t="s">
        <v>2</v>
      </c>
      <c r="B5" s="6" t="s">
        <v>3</v>
      </c>
      <c r="C5" s="3">
        <v>9500</v>
      </c>
      <c r="D5" t="s">
        <v>9</v>
      </c>
      <c r="E5" t="s">
        <v>25</v>
      </c>
      <c r="F5" t="s">
        <v>24</v>
      </c>
      <c r="G5" t="s">
        <v>17</v>
      </c>
      <c r="H5" t="s">
        <v>18</v>
      </c>
      <c r="I5" s="1" t="s">
        <v>26</v>
      </c>
      <c r="P5" t="s">
        <v>13</v>
      </c>
      <c r="R5" t="s">
        <v>19</v>
      </c>
    </row>
    <row r="6" spans="1:18" ht="15.75" thickBot="1" x14ac:dyDescent="0.3">
      <c r="A6" s="6" t="s">
        <v>4</v>
      </c>
      <c r="B6" s="6" t="s">
        <v>5</v>
      </c>
      <c r="C6">
        <f>0.75*I6</f>
        <v>1.7249999999999999</v>
      </c>
      <c r="E6" s="3" t="s">
        <v>19</v>
      </c>
      <c r="F6" s="5">
        <v>2</v>
      </c>
      <c r="G6">
        <f>LOOKUP(F6,tabla!A4:A11,tabla!B4:B11)</f>
        <v>2.2999999999999998</v>
      </c>
      <c r="H6">
        <f>LOOKUP(F6,tabla!A4:A11,tabla!C4:C11)</f>
        <v>3.5</v>
      </c>
      <c r="I6" s="1">
        <f>IF((E6="ampliado"),H6,G6)</f>
        <v>2.2999999999999998</v>
      </c>
      <c r="R6" t="s">
        <v>20</v>
      </c>
    </row>
    <row r="7" spans="1:18" x14ac:dyDescent="0.25">
      <c r="A7" s="6" t="s">
        <v>7</v>
      </c>
      <c r="B7" s="6" t="s">
        <v>6</v>
      </c>
      <c r="C7" s="1">
        <v>8.875</v>
      </c>
      <c r="P7" t="s">
        <v>15</v>
      </c>
    </row>
    <row r="8" spans="1:18" x14ac:dyDescent="0.25">
      <c r="A8" s="6" t="s">
        <v>10</v>
      </c>
      <c r="B8" s="6" t="s">
        <v>11</v>
      </c>
      <c r="C8">
        <f>IF(D8="si",0.75,1)</f>
        <v>0.75</v>
      </c>
      <c r="D8" s="2" t="s">
        <v>12</v>
      </c>
    </row>
    <row r="9" spans="1:18" x14ac:dyDescent="0.25">
      <c r="A9" s="6" t="s">
        <v>14</v>
      </c>
      <c r="B9" s="6" t="s">
        <v>23</v>
      </c>
      <c r="C9" s="1">
        <f>IF((D9="Residenciales"),(1),(IF((D9="Oficinas"),(1.1),IF((D9="No Residenciales"),(1.3),0))))</f>
        <v>1.3</v>
      </c>
      <c r="D9" s="2" t="s">
        <v>16</v>
      </c>
      <c r="P9" t="s">
        <v>16</v>
      </c>
    </row>
    <row r="12" spans="1:18" x14ac:dyDescent="0.25">
      <c r="B12" s="6" t="s">
        <v>35</v>
      </c>
      <c r="C12" s="12">
        <f>C5-C4</f>
        <v>7992.6591981132078</v>
      </c>
      <c r="D12" t="s">
        <v>31</v>
      </c>
    </row>
    <row r="13" spans="1:18" x14ac:dyDescent="0.25">
      <c r="B13" s="6" t="s">
        <v>36</v>
      </c>
      <c r="C13">
        <v>1050</v>
      </c>
      <c r="D13" t="s">
        <v>31</v>
      </c>
    </row>
    <row r="14" spans="1:18" x14ac:dyDescent="0.25">
      <c r="B14" s="6" t="s">
        <v>37</v>
      </c>
      <c r="C14" s="10">
        <f>C12-C13</f>
        <v>6942.6591981132078</v>
      </c>
      <c r="D14" t="s">
        <v>31</v>
      </c>
      <c r="E14" s="11" t="s">
        <v>39</v>
      </c>
    </row>
    <row r="15" spans="1:18" x14ac:dyDescent="0.25">
      <c r="B15" s="6" t="s">
        <v>38</v>
      </c>
      <c r="C15">
        <f>E15*C14</f>
        <v>694.26591981132083</v>
      </c>
      <c r="D15" t="s">
        <v>31</v>
      </c>
      <c r="E15">
        <f>LOOKUP(F6,tabla!A4:A11,tabla!E4:E11)</f>
        <v>0.1</v>
      </c>
    </row>
    <row r="16" spans="1:18" x14ac:dyDescent="0.25">
      <c r="A16" s="6"/>
      <c r="B16" s="6" t="s">
        <v>40</v>
      </c>
      <c r="C16" s="6">
        <v>765</v>
      </c>
      <c r="D16" s="6" t="s">
        <v>31</v>
      </c>
      <c r="E16" s="6"/>
      <c r="F16" s="6"/>
      <c r="G16" s="6"/>
      <c r="H16" s="6"/>
      <c r="I16" s="6"/>
    </row>
    <row r="17" spans="2:6" x14ac:dyDescent="0.25">
      <c r="B17" s="6" t="s">
        <v>41</v>
      </c>
      <c r="C17" s="10">
        <f>C14-C15</f>
        <v>6248.3932783018872</v>
      </c>
      <c r="D17" t="s">
        <v>31</v>
      </c>
    </row>
    <row r="18" spans="2:6" x14ac:dyDescent="0.25">
      <c r="B18" s="6" t="s">
        <v>42</v>
      </c>
      <c r="C18">
        <f>C14*G6</f>
        <v>15968.116155660377</v>
      </c>
      <c r="D18" t="s">
        <v>43</v>
      </c>
    </row>
    <row r="19" spans="2:6" x14ac:dyDescent="0.25">
      <c r="B19" s="13" t="s">
        <v>44</v>
      </c>
      <c r="C19" s="14">
        <v>24708</v>
      </c>
      <c r="D19" t="s">
        <v>31</v>
      </c>
      <c r="E19">
        <f>13800/2.3</f>
        <v>6000.0000000000009</v>
      </c>
      <c r="F19">
        <f>9500-E19</f>
        <v>3499.9999999999991</v>
      </c>
    </row>
    <row r="20" spans="2:6" x14ac:dyDescent="0.25">
      <c r="B20" s="13" t="s">
        <v>45</v>
      </c>
      <c r="C20" s="14">
        <v>6000</v>
      </c>
      <c r="D20" t="s">
        <v>31</v>
      </c>
    </row>
    <row r="21" spans="2:6" x14ac:dyDescent="0.25">
      <c r="B21" s="6" t="s">
        <v>46</v>
      </c>
      <c r="C21">
        <f>C20/C19</f>
        <v>0.24283632831471588</v>
      </c>
      <c r="D21" t="s">
        <v>39</v>
      </c>
      <c r="E21" s="15" t="s">
        <v>47</v>
      </c>
    </row>
  </sheetData>
  <mergeCells count="1">
    <mergeCell ref="A1:I1"/>
  </mergeCells>
  <dataValidations count="3">
    <dataValidation type="list" allowBlank="1" showInputMessage="1" showErrorMessage="1" sqref="D8" xr:uid="{00000000-0002-0000-0000-000000000000}">
      <formula1>$P$4:$P$5</formula1>
    </dataValidation>
    <dataValidation type="list" allowBlank="1" showInputMessage="1" showErrorMessage="1" sqref="D9" xr:uid="{00000000-0002-0000-0000-000001000000}">
      <formula1>$P$7:$P$9</formula1>
    </dataValidation>
    <dataValidation type="list" allowBlank="1" showInputMessage="1" showErrorMessage="1" sqref="E6" xr:uid="{00000000-0002-0000-0000-000002000000}">
      <formula1>$R$5:$R$6</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tabla!$A$4:$A$11</xm:f>
          </x14:formula1>
          <xm:sqref>F6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9"/>
  <sheetViews>
    <sheetView workbookViewId="0">
      <selection activeCell="C5" sqref="C5"/>
    </sheetView>
  </sheetViews>
  <sheetFormatPr baseColWidth="10" defaultRowHeight="15" x14ac:dyDescent="0.25"/>
  <cols>
    <col min="2" max="2" width="34.85546875" customWidth="1"/>
    <col min="4" max="4" width="22" bestFit="1" customWidth="1"/>
    <col min="7" max="8" width="11.42578125" hidden="1" customWidth="1"/>
    <col min="9" max="9" width="16.28515625" bestFit="1" customWidth="1"/>
  </cols>
  <sheetData>
    <row r="1" spans="1:19" x14ac:dyDescent="0.25">
      <c r="A1" s="208" t="s">
        <v>28</v>
      </c>
      <c r="B1" s="208"/>
      <c r="C1" s="208"/>
      <c r="D1" s="208"/>
      <c r="E1" s="208"/>
      <c r="F1" s="208"/>
      <c r="G1" s="208"/>
      <c r="H1" s="208"/>
      <c r="I1" s="208"/>
    </row>
    <row r="2" spans="1:19" x14ac:dyDescent="0.25">
      <c r="A2" s="7"/>
      <c r="B2" s="7"/>
      <c r="C2" s="6"/>
      <c r="D2" s="7"/>
      <c r="E2" s="7"/>
      <c r="F2" s="7"/>
      <c r="G2" s="7"/>
      <c r="H2" s="7"/>
      <c r="I2" s="7"/>
    </row>
    <row r="3" spans="1:19" ht="15.75" thickBot="1" x14ac:dyDescent="0.3">
      <c r="A3" s="7"/>
      <c r="B3" s="7"/>
      <c r="C3" s="6"/>
      <c r="D3" s="7"/>
      <c r="E3" s="7"/>
      <c r="F3" s="7"/>
      <c r="G3" s="7"/>
      <c r="H3" s="7"/>
      <c r="I3" s="7"/>
    </row>
    <row r="4" spans="1:19" ht="15.75" thickBot="1" x14ac:dyDescent="0.3">
      <c r="A4" s="6" t="s">
        <v>8</v>
      </c>
      <c r="B4" s="6" t="s">
        <v>1</v>
      </c>
      <c r="C4" s="9">
        <f>((C5*C6)/(C7+C6))*C8</f>
        <v>1902.2054556006965</v>
      </c>
      <c r="D4" t="s">
        <v>31</v>
      </c>
      <c r="Q4" t="s">
        <v>12</v>
      </c>
    </row>
    <row r="5" spans="1:19" ht="15.75" thickBot="1" x14ac:dyDescent="0.3">
      <c r="A5" s="6" t="s">
        <v>2</v>
      </c>
      <c r="B5" s="6" t="s">
        <v>3</v>
      </c>
      <c r="C5" s="3">
        <v>9500</v>
      </c>
      <c r="D5" t="s">
        <v>31</v>
      </c>
      <c r="E5" t="s">
        <v>25</v>
      </c>
      <c r="F5" t="s">
        <v>24</v>
      </c>
      <c r="G5" t="s">
        <v>17</v>
      </c>
      <c r="H5" t="s">
        <v>18</v>
      </c>
      <c r="I5" s="1" t="s">
        <v>33</v>
      </c>
      <c r="Q5" t="s">
        <v>13</v>
      </c>
      <c r="S5" t="s">
        <v>19</v>
      </c>
    </row>
    <row r="6" spans="1:19" ht="15.75" thickBot="1" x14ac:dyDescent="0.3">
      <c r="A6" s="6" t="s">
        <v>4</v>
      </c>
      <c r="B6" s="6" t="s">
        <v>5</v>
      </c>
      <c r="C6" s="1">
        <f>0.75*I6</f>
        <v>1.7249999999999999</v>
      </c>
      <c r="E6" s="3" t="s">
        <v>19</v>
      </c>
      <c r="F6" s="8">
        <v>2</v>
      </c>
      <c r="G6">
        <f>LOOKUP(F6,tabla!A4:A11,tabla!B4:B11)</f>
        <v>2.2999999999999998</v>
      </c>
      <c r="H6">
        <f>LOOKUP(F6,tabla!A4:A11,tabla!C4:C11)</f>
        <v>3.5</v>
      </c>
      <c r="I6" s="1">
        <f>IF((E6="ampliado"),H6,G6)</f>
        <v>2.2999999999999998</v>
      </c>
      <c r="S6" t="s">
        <v>20</v>
      </c>
    </row>
    <row r="7" spans="1:19" ht="15.75" thickBot="1" x14ac:dyDescent="0.3">
      <c r="A7" s="6" t="s">
        <v>7</v>
      </c>
      <c r="B7" s="6" t="s">
        <v>6</v>
      </c>
      <c r="C7" s="1">
        <v>6.89</v>
      </c>
      <c r="Q7" t="s">
        <v>15</v>
      </c>
    </row>
    <row r="8" spans="1:19" ht="15.75" thickBot="1" x14ac:dyDescent="0.3">
      <c r="A8" s="6" t="s">
        <v>14</v>
      </c>
      <c r="B8" s="6" t="s">
        <v>23</v>
      </c>
      <c r="C8" s="1">
        <f>IF((D8="Residenciales"),(1),(IF((D8="Oficinas"),(1.1),IF((D8="No Residenciales"),(1.3),0))))</f>
        <v>1</v>
      </c>
      <c r="D8" s="3" t="s">
        <v>15</v>
      </c>
      <c r="Q8" t="s">
        <v>16</v>
      </c>
    </row>
    <row r="13" spans="1:19" x14ac:dyDescent="0.25">
      <c r="B13" s="6" t="s">
        <v>29</v>
      </c>
      <c r="C13" s="10">
        <f>C4*0.3</f>
        <v>570.66163668020897</v>
      </c>
      <c r="D13" t="s">
        <v>31</v>
      </c>
    </row>
    <row r="14" spans="1:19" x14ac:dyDescent="0.25">
      <c r="B14" s="6" t="s">
        <v>30</v>
      </c>
      <c r="C14" s="10">
        <f>0.4*C4</f>
        <v>760.88218224027867</v>
      </c>
      <c r="D14" t="s">
        <v>31</v>
      </c>
    </row>
    <row r="15" spans="1:19" x14ac:dyDescent="0.25">
      <c r="B15" s="6" t="s">
        <v>32</v>
      </c>
      <c r="C15" s="10">
        <f>C4*0.3</f>
        <v>570.66163668020897</v>
      </c>
      <c r="D15" t="s">
        <v>31</v>
      </c>
      <c r="E15" s="6"/>
      <c r="F15" s="6"/>
      <c r="G15" s="6"/>
      <c r="H15" s="6"/>
      <c r="I15" s="6"/>
    </row>
    <row r="19" spans="2:2" x14ac:dyDescent="0.25">
      <c r="B19" t="s">
        <v>34</v>
      </c>
    </row>
  </sheetData>
  <mergeCells count="1">
    <mergeCell ref="A1:I1"/>
  </mergeCells>
  <dataValidations count="2">
    <dataValidation type="list" allowBlank="1" showInputMessage="1" showErrorMessage="1" sqref="E6" xr:uid="{00000000-0002-0000-0100-000000000000}">
      <formula1>$S$5:$S$6</formula1>
    </dataValidation>
    <dataValidation type="list" allowBlank="1" showInputMessage="1" showErrorMessage="1" sqref="D8" xr:uid="{00000000-0002-0000-0100-000001000000}">
      <formula1>$Q$7:$Q$8</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tabla!$A$4:$A$11</xm:f>
          </x14:formula1>
          <xm:sqref>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J82"/>
  <sheetViews>
    <sheetView tabSelected="1" topLeftCell="A28" zoomScale="85" zoomScaleNormal="85" workbookViewId="0">
      <selection activeCell="D9" sqref="D9:E9"/>
    </sheetView>
  </sheetViews>
  <sheetFormatPr baseColWidth="10" defaultColWidth="11.42578125" defaultRowHeight="14.25" x14ac:dyDescent="0.3"/>
  <cols>
    <col min="1" max="1" width="6.42578125" style="56" customWidth="1"/>
    <col min="2" max="2" width="3.85546875" style="19" customWidth="1"/>
    <col min="3" max="3" width="51.42578125" style="18" customWidth="1"/>
    <col min="4" max="4" width="24.42578125" style="24" customWidth="1"/>
    <col min="5" max="5" width="20.85546875" style="18" customWidth="1"/>
    <col min="6" max="6" width="42.42578125" style="18" customWidth="1"/>
    <col min="7" max="7" width="3.7109375" style="18" customWidth="1"/>
    <col min="8" max="9" width="22.28515625" style="18" hidden="1" customWidth="1"/>
    <col min="10" max="10" width="6.28515625" style="56" customWidth="1"/>
    <col min="11" max="16384" width="11.42578125" style="18"/>
  </cols>
  <sheetData>
    <row r="1" spans="1:10" ht="15" thickBot="1" x14ac:dyDescent="0.35">
      <c r="A1" s="54"/>
      <c r="B1" s="16"/>
      <c r="C1" s="17"/>
      <c r="D1" s="33"/>
      <c r="E1" s="17"/>
      <c r="F1" s="17"/>
      <c r="G1" s="17"/>
      <c r="H1" s="17"/>
      <c r="I1" s="17"/>
      <c r="J1" s="57"/>
    </row>
    <row r="2" spans="1:10" ht="25.5" customHeight="1" x14ac:dyDescent="0.3">
      <c r="A2" s="55"/>
      <c r="C2" s="21" t="s">
        <v>154</v>
      </c>
      <c r="F2" s="210" t="s">
        <v>90</v>
      </c>
      <c r="G2" s="25"/>
      <c r="H2" s="25"/>
      <c r="I2" s="25"/>
      <c r="J2" s="58"/>
    </row>
    <row r="3" spans="1:10" ht="24" customHeight="1" thickBot="1" x14ac:dyDescent="0.35">
      <c r="A3" s="55"/>
      <c r="C3" s="21"/>
      <c r="F3" s="211"/>
      <c r="G3" s="25"/>
      <c r="H3" s="25"/>
      <c r="I3" s="25"/>
      <c r="J3" s="58"/>
    </row>
    <row r="4" spans="1:10" x14ac:dyDescent="0.3">
      <c r="A4" s="55"/>
      <c r="J4" s="58"/>
    </row>
    <row r="5" spans="1:10" x14ac:dyDescent="0.3">
      <c r="A5" s="55"/>
      <c r="J5" s="58"/>
    </row>
    <row r="6" spans="1:10" x14ac:dyDescent="0.3">
      <c r="A6" s="55"/>
      <c r="J6" s="58"/>
    </row>
    <row r="7" spans="1:10" ht="15" thickBot="1" x14ac:dyDescent="0.35">
      <c r="A7" s="55"/>
      <c r="J7" s="58"/>
    </row>
    <row r="8" spans="1:10" ht="15" thickBot="1" x14ac:dyDescent="0.35">
      <c r="A8" s="55"/>
      <c r="C8" s="18" t="s">
        <v>117</v>
      </c>
      <c r="D8" s="214">
        <f ca="1">TODAY()</f>
        <v>46180</v>
      </c>
      <c r="E8" s="215"/>
      <c r="J8" s="58"/>
    </row>
    <row r="9" spans="1:10" ht="30" customHeight="1" thickBot="1" x14ac:dyDescent="0.35">
      <c r="A9" s="55"/>
      <c r="C9" s="18" t="s">
        <v>118</v>
      </c>
      <c r="D9" s="212" t="s">
        <v>369</v>
      </c>
      <c r="E9" s="213"/>
      <c r="J9" s="58"/>
    </row>
    <row r="10" spans="1:10" ht="30" customHeight="1" thickBot="1" x14ac:dyDescent="0.35">
      <c r="A10" s="55"/>
      <c r="C10" s="18" t="s">
        <v>232</v>
      </c>
      <c r="D10" s="212" t="s">
        <v>363</v>
      </c>
      <c r="E10" s="213"/>
      <c r="J10" s="58"/>
    </row>
    <row r="11" spans="1:10" ht="15" customHeight="1" thickBot="1" x14ac:dyDescent="0.35">
      <c r="A11" s="55"/>
      <c r="C11" s="18" t="s">
        <v>230</v>
      </c>
      <c r="D11" s="212" t="s">
        <v>364</v>
      </c>
      <c r="E11" s="213"/>
      <c r="J11" s="58"/>
    </row>
    <row r="12" spans="1:10" ht="15" customHeight="1" thickBot="1" x14ac:dyDescent="0.35">
      <c r="A12" s="55"/>
      <c r="C12" s="18" t="s">
        <v>234</v>
      </c>
      <c r="D12" s="212" t="s">
        <v>365</v>
      </c>
      <c r="E12" s="213"/>
      <c r="J12" s="58"/>
    </row>
    <row r="13" spans="1:10" ht="15" customHeight="1" thickBot="1" x14ac:dyDescent="0.35">
      <c r="A13" s="55"/>
      <c r="C13" s="18" t="s">
        <v>236</v>
      </c>
      <c r="D13" s="212" t="s">
        <v>366</v>
      </c>
      <c r="E13" s="213"/>
      <c r="J13" s="58"/>
    </row>
    <row r="14" spans="1:10" ht="15" customHeight="1" thickBot="1" x14ac:dyDescent="0.35">
      <c r="A14" s="55"/>
      <c r="C14" s="18" t="s">
        <v>237</v>
      </c>
      <c r="D14" s="212" t="s">
        <v>367</v>
      </c>
      <c r="E14" s="213"/>
      <c r="J14" s="58"/>
    </row>
    <row r="15" spans="1:10" ht="16.5" customHeight="1" thickBot="1" x14ac:dyDescent="0.35">
      <c r="A15" s="55"/>
      <c r="C15" s="18" t="s">
        <v>238</v>
      </c>
      <c r="D15" s="212" t="s">
        <v>368</v>
      </c>
      <c r="E15" s="213"/>
      <c r="J15" s="58"/>
    </row>
    <row r="16" spans="1:10" x14ac:dyDescent="0.3">
      <c r="A16" s="55"/>
      <c r="J16" s="58"/>
    </row>
    <row r="17" spans="1:10" ht="15" thickBot="1" x14ac:dyDescent="0.35">
      <c r="A17" s="55"/>
      <c r="D17" s="32" t="s">
        <v>88</v>
      </c>
      <c r="E17" s="20" t="s">
        <v>89</v>
      </c>
      <c r="F17" s="20"/>
      <c r="G17" s="20"/>
      <c r="H17" s="20"/>
      <c r="I17" s="20"/>
      <c r="J17" s="58"/>
    </row>
    <row r="18" spans="1:10" ht="22.5" customHeight="1" thickBot="1" x14ac:dyDescent="0.35">
      <c r="A18" s="55"/>
      <c r="B18" s="19">
        <v>1</v>
      </c>
      <c r="C18" s="21" t="s">
        <v>87</v>
      </c>
      <c r="D18" s="51"/>
      <c r="E18" s="52"/>
      <c r="J18" s="58"/>
    </row>
    <row r="19" spans="1:10" ht="15" thickBot="1" x14ac:dyDescent="0.35">
      <c r="A19" s="55"/>
      <c r="B19" s="19">
        <v>2</v>
      </c>
      <c r="C19" s="23" t="s">
        <v>57</v>
      </c>
      <c r="D19" s="34" t="s">
        <v>49</v>
      </c>
      <c r="J19" s="58"/>
    </row>
    <row r="20" spans="1:10" ht="15" thickBot="1" x14ac:dyDescent="0.35">
      <c r="A20" s="55"/>
      <c r="B20" s="19">
        <v>3</v>
      </c>
      <c r="C20" s="23" t="s">
        <v>91</v>
      </c>
      <c r="D20" s="34" t="s">
        <v>72</v>
      </c>
      <c r="J20" s="58"/>
    </row>
    <row r="21" spans="1:10" ht="15" thickBot="1" x14ac:dyDescent="0.35">
      <c r="A21" s="55"/>
      <c r="B21" s="19">
        <v>4</v>
      </c>
      <c r="C21" s="23" t="s">
        <v>58</v>
      </c>
      <c r="D21" s="34" t="s">
        <v>72</v>
      </c>
      <c r="J21" s="58"/>
    </row>
    <row r="22" spans="1:10" ht="15" thickBot="1" x14ac:dyDescent="0.35">
      <c r="A22" s="55"/>
      <c r="B22" s="19">
        <v>5</v>
      </c>
      <c r="C22" s="23" t="s">
        <v>69</v>
      </c>
      <c r="D22" s="34" t="s">
        <v>71</v>
      </c>
      <c r="J22" s="58"/>
    </row>
    <row r="23" spans="1:10" ht="15" thickBot="1" x14ac:dyDescent="0.35">
      <c r="A23" s="55"/>
      <c r="B23" s="19">
        <v>6</v>
      </c>
      <c r="C23" s="23" t="s">
        <v>73</v>
      </c>
      <c r="D23" s="34" t="s">
        <v>71</v>
      </c>
      <c r="J23" s="58"/>
    </row>
    <row r="24" spans="1:10" ht="15" thickBot="1" x14ac:dyDescent="0.35">
      <c r="A24" s="55"/>
      <c r="B24" s="19">
        <v>7</v>
      </c>
      <c r="C24" s="23" t="s">
        <v>74</v>
      </c>
      <c r="D24" s="34" t="s">
        <v>71</v>
      </c>
      <c r="J24" s="58"/>
    </row>
    <row r="25" spans="1:10" ht="15" thickBot="1" x14ac:dyDescent="0.35">
      <c r="A25" s="55"/>
      <c r="B25" s="19">
        <v>8</v>
      </c>
      <c r="C25" s="23" t="s">
        <v>75</v>
      </c>
      <c r="D25" s="34" t="s">
        <v>71</v>
      </c>
      <c r="J25" s="58"/>
    </row>
    <row r="26" spans="1:10" ht="15" thickBot="1" x14ac:dyDescent="0.35">
      <c r="A26" s="55"/>
      <c r="B26" s="19">
        <v>9</v>
      </c>
      <c r="C26" s="23" t="s">
        <v>86</v>
      </c>
      <c r="D26" s="34" t="s">
        <v>72</v>
      </c>
      <c r="J26" s="58"/>
    </row>
    <row r="27" spans="1:10" ht="15" thickBot="1" x14ac:dyDescent="0.35">
      <c r="A27" s="55"/>
      <c r="C27" s="23" t="s">
        <v>219</v>
      </c>
      <c r="D27" s="34" t="s">
        <v>71</v>
      </c>
      <c r="J27" s="58"/>
    </row>
    <row r="28" spans="1:10" ht="15" thickBot="1" x14ac:dyDescent="0.35">
      <c r="A28" s="55"/>
      <c r="C28" s="23" t="s">
        <v>242</v>
      </c>
      <c r="D28" s="34" t="s">
        <v>71</v>
      </c>
      <c r="J28" s="58"/>
    </row>
    <row r="29" spans="1:10" ht="15" thickBot="1" x14ac:dyDescent="0.35">
      <c r="A29" s="55"/>
      <c r="C29" s="23"/>
      <c r="F29" s="51"/>
      <c r="J29" s="58"/>
    </row>
    <row r="30" spans="1:10" ht="15" thickBot="1" x14ac:dyDescent="0.35">
      <c r="A30" s="55"/>
      <c r="J30" s="58"/>
    </row>
    <row r="31" spans="1:10" ht="15" thickBot="1" x14ac:dyDescent="0.35">
      <c r="A31" s="55"/>
      <c r="C31" s="21" t="s">
        <v>300</v>
      </c>
      <c r="D31" s="147">
        <v>200</v>
      </c>
      <c r="F31" s="24"/>
      <c r="J31" s="58"/>
    </row>
    <row r="32" spans="1:10" ht="15" thickBot="1" x14ac:dyDescent="0.35">
      <c r="A32" s="55"/>
      <c r="C32" s="21" t="s">
        <v>183</v>
      </c>
      <c r="D32" s="147">
        <v>8</v>
      </c>
      <c r="J32" s="58"/>
    </row>
    <row r="33" spans="1:10" x14ac:dyDescent="0.3">
      <c r="A33" s="55"/>
      <c r="C33" s="21"/>
      <c r="J33" s="58"/>
    </row>
    <row r="34" spans="1:10" ht="15" thickBot="1" x14ac:dyDescent="0.35">
      <c r="A34" s="55"/>
      <c r="D34" s="18"/>
      <c r="J34" s="58"/>
    </row>
    <row r="35" spans="1:10" ht="15" thickBot="1" x14ac:dyDescent="0.35">
      <c r="A35" s="55"/>
      <c r="C35" s="21" t="s">
        <v>297</v>
      </c>
      <c r="D35" s="147">
        <f>+D31</f>
        <v>200</v>
      </c>
      <c r="F35" s="109" t="s">
        <v>305</v>
      </c>
      <c r="J35" s="58"/>
    </row>
    <row r="36" spans="1:10" ht="17.25" thickBot="1" x14ac:dyDescent="0.35">
      <c r="A36" s="55"/>
      <c r="C36" s="21" t="s">
        <v>295</v>
      </c>
      <c r="D36" s="147">
        <v>0</v>
      </c>
      <c r="E36" s="18" t="s">
        <v>315</v>
      </c>
      <c r="F36" s="110" t="s">
        <v>306</v>
      </c>
      <c r="J36" s="58"/>
    </row>
    <row r="37" spans="1:10" ht="42" thickBot="1" x14ac:dyDescent="0.35">
      <c r="A37" s="55"/>
      <c r="C37" s="23" t="s">
        <v>292</v>
      </c>
      <c r="D37" s="147">
        <v>66666</v>
      </c>
      <c r="E37" s="18" t="s">
        <v>315</v>
      </c>
      <c r="F37" s="102" t="s">
        <v>298</v>
      </c>
      <c r="J37" s="58"/>
    </row>
    <row r="38" spans="1:10" ht="17.25" thickBot="1" x14ac:dyDescent="0.35">
      <c r="A38" s="55"/>
      <c r="C38" s="23" t="s">
        <v>293</v>
      </c>
      <c r="D38" s="147">
        <f>+D35</f>
        <v>200</v>
      </c>
      <c r="E38" s="18" t="s">
        <v>315</v>
      </c>
      <c r="F38" s="108" t="s">
        <v>304</v>
      </c>
      <c r="J38" s="58"/>
    </row>
    <row r="39" spans="1:10" ht="29.25" thickBot="1" x14ac:dyDescent="0.35">
      <c r="A39" s="55"/>
      <c r="C39" s="23" t="s">
        <v>294</v>
      </c>
      <c r="D39" s="147">
        <v>77777</v>
      </c>
      <c r="E39" s="18" t="s">
        <v>315</v>
      </c>
      <c r="F39" s="111" t="s">
        <v>308</v>
      </c>
      <c r="J39" s="58"/>
    </row>
    <row r="40" spans="1:10" ht="15" thickBot="1" x14ac:dyDescent="0.35">
      <c r="A40" s="55"/>
      <c r="C40" s="21" t="s">
        <v>299</v>
      </c>
      <c r="D40" s="147">
        <v>2.74</v>
      </c>
      <c r="E40" s="18" t="s">
        <v>43</v>
      </c>
      <c r="F40" s="103" t="s">
        <v>301</v>
      </c>
      <c r="J40" s="58"/>
    </row>
    <row r="41" spans="1:10" ht="29.25" thickBot="1" x14ac:dyDescent="0.35">
      <c r="A41" s="55"/>
      <c r="C41" s="21" t="s">
        <v>291</v>
      </c>
      <c r="D41" s="39">
        <f>ROUNDUP($D$37/D35,2)</f>
        <v>333.33</v>
      </c>
      <c r="F41" s="104" t="s">
        <v>302</v>
      </c>
      <c r="J41" s="58"/>
    </row>
    <row r="42" spans="1:10" ht="15" thickBot="1" x14ac:dyDescent="0.35">
      <c r="A42" s="55"/>
      <c r="C42" s="21" t="s">
        <v>289</v>
      </c>
      <c r="D42" s="39">
        <f>IFERROR(ROUNDUP((D36/D31),2),"")</f>
        <v>0</v>
      </c>
      <c r="F42" s="106" t="s">
        <v>289</v>
      </c>
      <c r="J42" s="58"/>
    </row>
    <row r="43" spans="1:10" ht="29.25" thickBot="1" x14ac:dyDescent="0.35">
      <c r="A43" s="55"/>
      <c r="C43" s="21" t="s">
        <v>290</v>
      </c>
      <c r="D43" s="101">
        <f>IFERROR(((D36+D37)/D31),"")</f>
        <v>333.33</v>
      </c>
      <c r="F43" s="105" t="s">
        <v>303</v>
      </c>
      <c r="J43" s="58"/>
    </row>
    <row r="44" spans="1:10" ht="15" thickBot="1" x14ac:dyDescent="0.35">
      <c r="A44" s="55"/>
      <c r="C44" s="21" t="s">
        <v>222</v>
      </c>
      <c r="D44" s="147">
        <f>D40</f>
        <v>2.74</v>
      </c>
      <c r="J44" s="58"/>
    </row>
    <row r="45" spans="1:10" ht="15" thickBot="1" x14ac:dyDescent="0.35">
      <c r="A45" s="55"/>
      <c r="C45" s="21" t="s">
        <v>228</v>
      </c>
      <c r="D45" s="51">
        <v>0</v>
      </c>
      <c r="J45" s="58"/>
    </row>
    <row r="46" spans="1:10" ht="15" thickBot="1" x14ac:dyDescent="0.35">
      <c r="A46" s="55"/>
      <c r="C46" s="21" t="s">
        <v>307</v>
      </c>
      <c r="D46" s="112">
        <f>ROUNDUP(D39/D31,2)</f>
        <v>388.89</v>
      </c>
      <c r="J46" s="58"/>
    </row>
    <row r="47" spans="1:10" ht="15" thickBot="1" x14ac:dyDescent="0.35">
      <c r="A47" s="55"/>
      <c r="C47" s="23"/>
      <c r="F47" s="107" t="s">
        <v>192</v>
      </c>
      <c r="J47" s="58"/>
    </row>
    <row r="48" spans="1:10" ht="15" thickBot="1" x14ac:dyDescent="0.35">
      <c r="A48" s="55"/>
      <c r="C48" s="216" t="s">
        <v>309</v>
      </c>
      <c r="D48" s="217"/>
      <c r="E48" s="217"/>
      <c r="F48" s="218"/>
      <c r="G48" s="21"/>
      <c r="H48" s="45"/>
      <c r="I48" s="45"/>
      <c r="J48" s="58"/>
    </row>
    <row r="49" spans="1:10" ht="15" thickBot="1" x14ac:dyDescent="0.35">
      <c r="A49" s="55"/>
      <c r="C49" s="48" t="s">
        <v>179</v>
      </c>
      <c r="D49" s="148">
        <f>+D37</f>
        <v>66666</v>
      </c>
      <c r="E49" s="37" t="s">
        <v>119</v>
      </c>
      <c r="F49" s="38" t="s">
        <v>119</v>
      </c>
      <c r="H49" s="46"/>
      <c r="I49" s="46"/>
      <c r="J49" s="58"/>
    </row>
    <row r="50" spans="1:10" ht="15" thickBot="1" x14ac:dyDescent="0.35">
      <c r="A50" s="55"/>
      <c r="C50" s="48" t="s">
        <v>180</v>
      </c>
      <c r="D50" s="147"/>
      <c r="E50" s="37"/>
      <c r="F50" s="26"/>
      <c r="G50" s="47"/>
      <c r="H50" s="46"/>
      <c r="I50" s="46"/>
      <c r="J50" s="58"/>
    </row>
    <row r="51" spans="1:10" ht="15" thickBot="1" x14ac:dyDescent="0.35">
      <c r="A51" s="55"/>
      <c r="C51" s="48" t="s">
        <v>181</v>
      </c>
      <c r="D51" s="51"/>
      <c r="E51" s="37"/>
      <c r="F51" s="26"/>
      <c r="G51" s="47"/>
      <c r="H51" s="46"/>
      <c r="I51" s="46"/>
      <c r="J51" s="58"/>
    </row>
    <row r="52" spans="1:10" ht="15" thickBot="1" x14ac:dyDescent="0.35">
      <c r="A52" s="55"/>
      <c r="C52" s="49" t="s">
        <v>182</v>
      </c>
      <c r="D52" s="51"/>
      <c r="E52" s="37"/>
      <c r="F52" s="26"/>
      <c r="G52" s="47"/>
      <c r="H52" s="46"/>
      <c r="I52" s="46"/>
      <c r="J52" s="58"/>
    </row>
    <row r="53" spans="1:10" ht="16.5" x14ac:dyDescent="0.3">
      <c r="A53" s="55"/>
      <c r="C53" s="21"/>
      <c r="D53" s="24">
        <f>SUM(D49:D52)</f>
        <v>66666</v>
      </c>
      <c r="E53" s="18" t="s">
        <v>315</v>
      </c>
      <c r="J53" s="58"/>
    </row>
    <row r="54" spans="1:10" ht="15" thickBot="1" x14ac:dyDescent="0.35">
      <c r="A54" s="55"/>
      <c r="C54" s="21"/>
      <c r="D54" s="36"/>
      <c r="J54" s="58"/>
    </row>
    <row r="55" spans="1:10" x14ac:dyDescent="0.3">
      <c r="A55" s="55"/>
      <c r="C55" s="21" t="s">
        <v>119</v>
      </c>
      <c r="D55" s="40">
        <f>SUMIF(E49:E52,"RESIDENCIAL",D49:D52)</f>
        <v>66666</v>
      </c>
      <c r="J55" s="58"/>
    </row>
    <row r="56" spans="1:10" x14ac:dyDescent="0.3">
      <c r="A56" s="55"/>
      <c r="C56" s="21" t="s">
        <v>184</v>
      </c>
      <c r="D56" s="41">
        <f>SUMIF(E49:E52,"NO_RESIDENCIAL_ORD",D49:D52)</f>
        <v>0</v>
      </c>
      <c r="J56" s="58"/>
    </row>
    <row r="57" spans="1:10" ht="15" thickBot="1" x14ac:dyDescent="0.35">
      <c r="C57" s="21" t="s">
        <v>185</v>
      </c>
      <c r="D57" s="42">
        <f>SUMIF(E49:E52,"NO_RESIDENCIAL_COND",D49:D52)</f>
        <v>0</v>
      </c>
    </row>
    <row r="58" spans="1:10" ht="15" thickBot="1" x14ac:dyDescent="0.35"/>
    <row r="59" spans="1:10" ht="15" thickBot="1" x14ac:dyDescent="0.35">
      <c r="A59" s="55"/>
      <c r="C59" s="21" t="s">
        <v>248</v>
      </c>
      <c r="D59" s="44">
        <f>$D$55/$D$53</f>
        <v>1</v>
      </c>
      <c r="J59" s="58"/>
    </row>
    <row r="60" spans="1:10" ht="15" thickBot="1" x14ac:dyDescent="0.35">
      <c r="A60" s="55"/>
      <c r="C60" s="21"/>
      <c r="E60" s="20" t="s">
        <v>246</v>
      </c>
      <c r="J60" s="58"/>
    </row>
    <row r="61" spans="1:10" ht="15" thickBot="1" x14ac:dyDescent="0.35">
      <c r="A61" s="55"/>
      <c r="C61" s="21" t="s">
        <v>187</v>
      </c>
      <c r="D61" s="34" t="s">
        <v>18</v>
      </c>
      <c r="E61" s="50"/>
      <c r="J61" s="58"/>
    </row>
    <row r="62" spans="1:10" ht="15" thickBot="1" x14ac:dyDescent="0.35">
      <c r="A62" s="55"/>
      <c r="C62" s="21" t="s">
        <v>189</v>
      </c>
      <c r="D62" s="39">
        <v>8.875</v>
      </c>
      <c r="E62" s="22" t="s">
        <v>190</v>
      </c>
      <c r="F62" s="50">
        <v>6.89</v>
      </c>
      <c r="J62" s="58"/>
    </row>
    <row r="63" spans="1:10" ht="28.5" thickBot="1" x14ac:dyDescent="0.35">
      <c r="A63" s="55"/>
      <c r="C63" s="23" t="s">
        <v>220</v>
      </c>
      <c r="D63" s="35" t="s">
        <v>71</v>
      </c>
      <c r="J63" s="58"/>
    </row>
    <row r="64" spans="1:10" ht="15" thickBot="1" x14ac:dyDescent="0.35">
      <c r="A64" s="55"/>
      <c r="C64" s="23"/>
      <c r="D64" s="35"/>
      <c r="J64" s="58"/>
    </row>
    <row r="65" spans="1:10" ht="15" thickBot="1" x14ac:dyDescent="0.35">
      <c r="A65" s="55"/>
      <c r="C65" s="21" t="s">
        <v>191</v>
      </c>
      <c r="D65" s="53">
        <f>IF($D$35&gt;10000,((($D$35*$D$41)/($F$62+$D$41))*IF($D$59=100%,1,1.3)),(($D$35*($D$41*0.75))/($D$62+($D$41*0.75))*(IF($D$63="NO",1,0.75))*(IF($D$59=100%,1,1.3))))</f>
        <v>193.14334276526088</v>
      </c>
      <c r="J65" s="58"/>
    </row>
    <row r="66" spans="1:10" x14ac:dyDescent="0.3">
      <c r="A66" s="55"/>
      <c r="C66" s="21"/>
      <c r="J66" s="58"/>
    </row>
    <row r="67" spans="1:10" ht="15" thickBot="1" x14ac:dyDescent="0.35">
      <c r="A67" s="55"/>
      <c r="C67" s="21"/>
      <c r="J67" s="58"/>
    </row>
    <row r="68" spans="1:10" ht="15" thickBot="1" x14ac:dyDescent="0.35">
      <c r="A68" s="55"/>
      <c r="C68" s="71" t="s">
        <v>268</v>
      </c>
      <c r="D68" s="70">
        <v>1</v>
      </c>
      <c r="E68" s="22" t="s">
        <v>214</v>
      </c>
      <c r="J68" s="58"/>
    </row>
    <row r="69" spans="1:10" ht="15" thickBot="1" x14ac:dyDescent="0.35">
      <c r="A69" s="55"/>
      <c r="C69" s="21"/>
      <c r="D69" s="70">
        <v>2</v>
      </c>
      <c r="E69" s="22"/>
      <c r="J69" s="58"/>
    </row>
    <row r="70" spans="1:10" ht="15" thickBot="1" x14ac:dyDescent="0.35">
      <c r="A70" s="55"/>
      <c r="C70" s="21"/>
      <c r="D70" s="70">
        <v>3</v>
      </c>
      <c r="E70" s="22"/>
      <c r="J70" s="58"/>
    </row>
    <row r="71" spans="1:10" ht="15" thickBot="1" x14ac:dyDescent="0.35">
      <c r="A71" s="55"/>
      <c r="C71" s="21"/>
      <c r="D71" s="70">
        <v>4</v>
      </c>
      <c r="E71" s="22"/>
      <c r="J71" s="58"/>
    </row>
    <row r="72" spans="1:10" ht="15" thickBot="1" x14ac:dyDescent="0.35">
      <c r="A72" s="55"/>
      <c r="J72" s="58"/>
    </row>
    <row r="73" spans="1:10" ht="15" thickBot="1" x14ac:dyDescent="0.35">
      <c r="A73" s="55"/>
      <c r="C73" s="209" t="s">
        <v>269</v>
      </c>
      <c r="D73" s="70">
        <v>1</v>
      </c>
      <c r="E73" s="22" t="s">
        <v>362</v>
      </c>
      <c r="J73" s="58"/>
    </row>
    <row r="74" spans="1:10" ht="29.25" customHeight="1" thickBot="1" x14ac:dyDescent="0.35">
      <c r="A74" s="55"/>
      <c r="C74" s="209"/>
      <c r="D74" s="70">
        <v>2</v>
      </c>
      <c r="E74" s="22"/>
      <c r="J74" s="58"/>
    </row>
    <row r="75" spans="1:10" ht="15" thickBot="1" x14ac:dyDescent="0.35">
      <c r="A75" s="55"/>
      <c r="D75" s="70">
        <v>3</v>
      </c>
      <c r="E75" s="22"/>
      <c r="J75" s="58"/>
    </row>
    <row r="76" spans="1:10" ht="15" thickBot="1" x14ac:dyDescent="0.35">
      <c r="A76" s="55"/>
      <c r="D76" s="70">
        <v>4</v>
      </c>
      <c r="E76" s="22"/>
      <c r="J76" s="58"/>
    </row>
    <row r="77" spans="1:10" x14ac:dyDescent="0.3">
      <c r="A77" s="55"/>
      <c r="J77" s="58"/>
    </row>
    <row r="78" spans="1:10" x14ac:dyDescent="0.3">
      <c r="A78" s="55"/>
      <c r="J78" s="58"/>
    </row>
    <row r="79" spans="1:10" ht="15" thickBot="1" x14ac:dyDescent="0.35">
      <c r="A79" s="55"/>
      <c r="C79" s="21"/>
      <c r="J79" s="58"/>
    </row>
    <row r="80" spans="1:10" ht="15" thickBot="1" x14ac:dyDescent="0.35">
      <c r="A80" s="55"/>
      <c r="C80" s="21" t="s">
        <v>2</v>
      </c>
      <c r="D80" s="51"/>
      <c r="J80" s="58"/>
    </row>
    <row r="81" spans="1:10" x14ac:dyDescent="0.3">
      <c r="A81" s="55"/>
      <c r="C81" s="21"/>
      <c r="J81" s="58"/>
    </row>
    <row r="82" spans="1:10" x14ac:dyDescent="0.3">
      <c r="C82" s="21"/>
    </row>
  </sheetData>
  <dataConsolidate/>
  <mergeCells count="11">
    <mergeCell ref="C73:C74"/>
    <mergeCell ref="F2:F3"/>
    <mergeCell ref="D9:E9"/>
    <mergeCell ref="D8:E8"/>
    <mergeCell ref="C48:F48"/>
    <mergeCell ref="D11:E11"/>
    <mergeCell ref="D10:E10"/>
    <mergeCell ref="D12:E12"/>
    <mergeCell ref="D13:E13"/>
    <mergeCell ref="D14:E14"/>
    <mergeCell ref="D15:E15"/>
  </mergeCells>
  <dataValidations count="3">
    <dataValidation type="list" allowBlank="1" showInputMessage="1" showErrorMessage="1" sqref="F49" xr:uid="{00000000-0002-0000-0200-000000000000}">
      <formula1>INDIRECT($E$49)</formula1>
    </dataValidation>
    <dataValidation type="list" allowBlank="1" showInputMessage="1" showErrorMessage="1" sqref="F50" xr:uid="{00000000-0002-0000-0200-000001000000}">
      <formula1>INDIRECT($E$50)</formula1>
    </dataValidation>
    <dataValidation type="list" allowBlank="1" showInputMessage="1" showErrorMessage="1" sqref="F51:F52" xr:uid="{00000000-0002-0000-0200-000002000000}">
      <formula1>INDIRECT($E$51)</formula1>
    </dataValidation>
  </dataValidations>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3000000}">
          <x14:formula1>
            <xm:f>tabla!$G$4:$G$12</xm:f>
          </x14:formula1>
          <xm:sqref>D19</xm:sqref>
        </x14:dataValidation>
        <x14:dataValidation type="list" allowBlank="1" showInputMessage="1" showErrorMessage="1" xr:uid="{00000000-0002-0000-0200-000004000000}">
          <x14:formula1>
            <xm:f>tabla!$A$15:$A$25</xm:f>
          </x14:formula1>
          <xm:sqref>D21</xm:sqref>
        </x14:dataValidation>
        <x14:dataValidation type="list" allowBlank="1" showInputMessage="1" showErrorMessage="1" xr:uid="{00000000-0002-0000-0200-000005000000}">
          <x14:formula1>
            <xm:f>tabla!$A$27:$A$28</xm:f>
          </x14:formula1>
          <xm:sqref>D22:D25 D63:D64 D27:D28</xm:sqref>
        </x14:dataValidation>
        <x14:dataValidation type="list" allowBlank="1" showInputMessage="1" showErrorMessage="1" xr:uid="{00000000-0002-0000-0200-000006000000}">
          <x14:formula1>
            <xm:f>tabla!$A$30:$A$40</xm:f>
          </x14:formula1>
          <xm:sqref>D26</xm:sqref>
        </x14:dataValidation>
        <x14:dataValidation type="list" allowBlank="1" showInputMessage="1" showErrorMessage="1" xr:uid="{00000000-0002-0000-0200-000007000000}">
          <x14:formula1>
            <xm:f>tabla!$A$42:$A$67</xm:f>
          </x14:formula1>
          <xm:sqref>D20</xm:sqref>
        </x14:dataValidation>
        <x14:dataValidation type="list" allowBlank="1" showInputMessage="1" showErrorMessage="1" xr:uid="{00000000-0002-0000-0200-000008000000}">
          <x14:formula1>
            <xm:f>tabla!$A$69:$A$71</xm:f>
          </x14:formula1>
          <xm:sqref>E49:E52</xm:sqref>
        </x14:dataValidation>
        <x14:dataValidation type="list" allowBlank="1" showInputMessage="1" showErrorMessage="1" xr:uid="{00000000-0002-0000-0200-000009000000}">
          <x14:formula1>
            <xm:f>tabla!$E$15:$E$17</xm:f>
          </x14:formula1>
          <xm:sqref>D61</xm:sqref>
        </x14:dataValidation>
        <x14:dataValidation type="list" allowBlank="1" showInputMessage="1" showErrorMessage="1" xr:uid="{00000000-0002-0000-0200-00000A000000}">
          <x14:formula1>
            <xm:f>tabla!$L$13:$L$14</xm:f>
          </x14:formula1>
          <xm:sqref>C2</xm:sqref>
        </x14:dataValidation>
        <x14:dataValidation type="list" allowBlank="1" showInputMessage="1" showErrorMessage="1" xr:uid="{00000000-0002-0000-0200-00000B000000}">
          <x14:formula1>
            <xm:f>tabla!$AB$4:$AB$11</xm:f>
          </x14:formula1>
          <xm:sqref>E68:E71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T143"/>
  <sheetViews>
    <sheetView showRuler="0" topLeftCell="A19" zoomScale="70" zoomScaleNormal="70" zoomScalePageLayoutView="70" workbookViewId="0">
      <selection activeCell="G85" sqref="G85:L85"/>
    </sheetView>
  </sheetViews>
  <sheetFormatPr baseColWidth="10" defaultColWidth="11.42578125" defaultRowHeight="13.5" x14ac:dyDescent="0.25"/>
  <cols>
    <col min="1" max="1" width="4.85546875" style="143" customWidth="1"/>
    <col min="2" max="3" width="4.85546875" style="146" customWidth="1"/>
    <col min="4" max="4" width="4.85546875" style="143" customWidth="1"/>
    <col min="5" max="5" width="5.28515625" style="143" customWidth="1"/>
    <col min="6" max="6" width="41.7109375" style="143" customWidth="1"/>
    <col min="7" max="7" width="21.42578125" style="143" customWidth="1"/>
    <col min="8" max="8" width="10.42578125" style="143" customWidth="1"/>
    <col min="9" max="9" width="44.28515625" style="143" customWidth="1"/>
    <col min="10" max="10" width="20" style="143" customWidth="1"/>
    <col min="11" max="11" width="12.28515625" style="143" customWidth="1"/>
    <col min="12" max="12" width="29.28515625" style="143" customWidth="1"/>
    <col min="13" max="13" width="5.7109375" style="143" customWidth="1"/>
    <col min="14" max="14" width="5.42578125" style="143" customWidth="1"/>
    <col min="15" max="15" width="9" style="143" hidden="1" customWidth="1"/>
    <col min="16" max="17" width="4.85546875" style="146" customWidth="1"/>
    <col min="18" max="18" width="4.85546875" style="143" customWidth="1"/>
    <col min="19" max="16384" width="11.42578125" style="143"/>
  </cols>
  <sheetData>
    <row r="1" spans="2:17" s="73" customFormat="1" ht="18" customHeight="1" x14ac:dyDescent="0.25">
      <c r="D1" s="77"/>
      <c r="E1" s="77"/>
      <c r="F1" s="77"/>
      <c r="G1" s="77"/>
      <c r="H1" s="77"/>
      <c r="I1" s="77"/>
      <c r="J1" s="77"/>
      <c r="K1" s="77"/>
      <c r="O1" s="77"/>
    </row>
    <row r="2" spans="2:17" s="73" customFormat="1" ht="18" x14ac:dyDescent="0.25">
      <c r="D2" s="82"/>
      <c r="E2" s="114"/>
      <c r="F2" s="114"/>
      <c r="G2" s="219"/>
      <c r="H2" s="219"/>
      <c r="I2" s="219"/>
      <c r="J2" s="114"/>
      <c r="K2" s="114"/>
      <c r="L2" s="114"/>
      <c r="M2" s="114"/>
      <c r="N2" s="114"/>
      <c r="O2" s="114"/>
    </row>
    <row r="3" spans="2:17" s="73" customFormat="1" ht="18.75" thickBot="1" x14ac:dyDescent="0.3"/>
    <row r="4" spans="2:17" s="73" customFormat="1" ht="20.25" customHeight="1" x14ac:dyDescent="0.25">
      <c r="B4" s="93"/>
      <c r="C4" s="93"/>
      <c r="G4" s="221" t="s">
        <v>243</v>
      </c>
      <c r="H4" s="222"/>
      <c r="I4" s="222"/>
      <c r="L4" s="233" t="s">
        <v>312</v>
      </c>
      <c r="M4" s="233"/>
      <c r="N4" s="233"/>
      <c r="P4" s="93"/>
      <c r="Q4" s="93"/>
    </row>
    <row r="5" spans="2:17" s="73" customFormat="1" ht="18.75" thickBot="1" x14ac:dyDescent="0.3">
      <c r="B5" s="93"/>
      <c r="C5" s="93"/>
      <c r="P5" s="93"/>
      <c r="Q5" s="93"/>
    </row>
    <row r="6" spans="2:17" s="73" customFormat="1" ht="21" customHeight="1" x14ac:dyDescent="0.25">
      <c r="B6" s="93"/>
      <c r="C6" s="93"/>
      <c r="G6" s="234" t="s">
        <v>90</v>
      </c>
      <c r="H6" s="235"/>
      <c r="I6" s="236"/>
      <c r="P6" s="93"/>
      <c r="Q6" s="93"/>
    </row>
    <row r="7" spans="2:17" s="73" customFormat="1" ht="18" x14ac:dyDescent="0.25">
      <c r="B7" s="93"/>
      <c r="C7" s="93"/>
      <c r="G7" s="237"/>
      <c r="H7" s="238"/>
      <c r="I7" s="239"/>
      <c r="P7" s="93"/>
      <c r="Q7" s="93"/>
    </row>
    <row r="8" spans="2:17" s="73" customFormat="1" ht="18.75" thickBot="1" x14ac:dyDescent="0.3">
      <c r="B8" s="93"/>
      <c r="C8" s="93"/>
      <c r="F8" s="82"/>
      <c r="P8" s="93"/>
      <c r="Q8" s="93"/>
    </row>
    <row r="9" spans="2:17" s="73" customFormat="1" ht="23.25" customHeight="1" x14ac:dyDescent="0.25">
      <c r="B9" s="93"/>
      <c r="C9" s="93"/>
      <c r="F9" s="223" t="s">
        <v>251</v>
      </c>
      <c r="G9" s="224"/>
      <c r="H9" s="224"/>
      <c r="I9" s="224"/>
      <c r="J9" s="224"/>
      <c r="K9" s="224"/>
      <c r="L9" s="225"/>
      <c r="P9" s="93"/>
      <c r="Q9" s="93"/>
    </row>
    <row r="10" spans="2:17" s="73" customFormat="1" ht="18.75" thickBot="1" x14ac:dyDescent="0.3">
      <c r="B10" s="93"/>
      <c r="C10" s="93"/>
      <c r="P10" s="93"/>
      <c r="Q10" s="93"/>
    </row>
    <row r="11" spans="2:17" s="73" customFormat="1" ht="20.25" x14ac:dyDescent="0.25">
      <c r="B11" s="93"/>
      <c r="C11" s="93"/>
      <c r="F11" s="77" t="s">
        <v>229</v>
      </c>
      <c r="G11" s="221" t="str">
        <f>FACTIBILIDAD!D11</f>
        <v> RPNC1-4240426</v>
      </c>
      <c r="H11" s="222"/>
      <c r="I11" s="222"/>
      <c r="J11" s="226"/>
      <c r="P11" s="93"/>
      <c r="Q11" s="93"/>
    </row>
    <row r="12" spans="2:17" s="73" customFormat="1" ht="22.5" customHeight="1" x14ac:dyDescent="0.25">
      <c r="B12" s="93"/>
      <c r="C12" s="93"/>
      <c r="F12" s="77" t="s">
        <v>175</v>
      </c>
      <c r="G12" s="227" t="str">
        <f>FACTIBILIDAD!D9</f>
        <v> CAJAS ITZEP, RAFAEL SALVADOR</v>
      </c>
      <c r="H12" s="228"/>
      <c r="I12" s="228"/>
      <c r="J12" s="229"/>
      <c r="P12" s="93"/>
      <c r="Q12" s="93"/>
    </row>
    <row r="13" spans="2:17" s="73" customFormat="1" ht="18.75" customHeight="1" x14ac:dyDescent="0.25">
      <c r="B13" s="93"/>
      <c r="C13" s="93"/>
      <c r="F13" s="77" t="s">
        <v>233</v>
      </c>
      <c r="G13" s="227" t="str">
        <f>FACTIBILIDAD!D10</f>
        <v> 8va AVENIDA 0-10</v>
      </c>
      <c r="H13" s="228"/>
      <c r="I13" s="228"/>
      <c r="J13" s="229"/>
      <c r="P13" s="93"/>
      <c r="Q13" s="93"/>
    </row>
    <row r="14" spans="2:17" s="73" customFormat="1" ht="18.75" customHeight="1" x14ac:dyDescent="0.25">
      <c r="B14" s="93"/>
      <c r="C14" s="93"/>
      <c r="F14" s="77" t="s">
        <v>176</v>
      </c>
      <c r="G14" s="230">
        <f ca="1">FACTIBILIDAD!D8</f>
        <v>46180</v>
      </c>
      <c r="H14" s="231"/>
      <c r="I14" s="231"/>
      <c r="J14" s="232"/>
      <c r="P14" s="93"/>
      <c r="Q14" s="93"/>
    </row>
    <row r="15" spans="2:17" s="73" customFormat="1" ht="18.75" customHeight="1" x14ac:dyDescent="0.25">
      <c r="B15" s="93"/>
      <c r="C15" s="93"/>
      <c r="F15" s="77" t="s">
        <v>235</v>
      </c>
      <c r="G15" s="227" t="str">
        <f>FACTIBILIDAD!D12</f>
        <v xml:space="preserve">UNIFAMILIAR </v>
      </c>
      <c r="H15" s="228"/>
      <c r="I15" s="228"/>
      <c r="J15" s="229"/>
      <c r="P15" s="93"/>
      <c r="Q15" s="93"/>
    </row>
    <row r="16" spans="2:17" s="73" customFormat="1" ht="18" x14ac:dyDescent="0.25">
      <c r="B16" s="93"/>
      <c r="C16" s="93"/>
      <c r="F16" s="77" t="s">
        <v>239</v>
      </c>
      <c r="G16" s="227" t="str">
        <f>FACTIBILIDAD!D13</f>
        <v>F</v>
      </c>
      <c r="H16" s="228"/>
      <c r="I16" s="228"/>
      <c r="J16" s="229"/>
      <c r="P16" s="93"/>
      <c r="Q16" s="93"/>
    </row>
    <row r="17" spans="2:20" s="73" customFormat="1" ht="18" x14ac:dyDescent="0.25">
      <c r="B17" s="93"/>
      <c r="C17" s="93"/>
      <c r="F17" s="77" t="s">
        <v>240</v>
      </c>
      <c r="G17" s="227" t="str">
        <f>FACTIBILIDAD!D14</f>
        <v>FOL</v>
      </c>
      <c r="H17" s="228"/>
      <c r="I17" s="228"/>
      <c r="J17" s="229"/>
      <c r="K17" s="114"/>
      <c r="L17" s="114"/>
      <c r="M17" s="114"/>
      <c r="N17" s="114"/>
      <c r="O17" s="114"/>
      <c r="P17" s="93"/>
      <c r="Q17" s="93"/>
    </row>
    <row r="18" spans="2:20" s="73" customFormat="1" ht="18.75" thickBot="1" x14ac:dyDescent="0.3">
      <c r="B18" s="93"/>
      <c r="C18" s="93"/>
      <c r="F18" s="77" t="s">
        <v>241</v>
      </c>
      <c r="G18" s="259" t="str">
        <f>FACTIBILIDAD!D15</f>
        <v>LIB</v>
      </c>
      <c r="H18" s="257"/>
      <c r="I18" s="257"/>
      <c r="J18" s="260"/>
      <c r="P18" s="93"/>
      <c r="Q18" s="93"/>
    </row>
    <row r="19" spans="2:20" s="73" customFormat="1" ht="18.75" thickBot="1" x14ac:dyDescent="0.3">
      <c r="B19" s="93"/>
      <c r="C19" s="93"/>
      <c r="F19" s="77"/>
      <c r="G19" s="114"/>
      <c r="H19" s="114"/>
      <c r="I19" s="114"/>
      <c r="J19" s="114"/>
      <c r="P19" s="93"/>
      <c r="Q19" s="93"/>
    </row>
    <row r="20" spans="2:20" s="73" customFormat="1" ht="20.25" x14ac:dyDescent="0.25">
      <c r="B20" s="93"/>
      <c r="C20" s="93"/>
      <c r="F20" s="223" t="s">
        <v>263</v>
      </c>
      <c r="G20" s="224"/>
      <c r="H20" s="224"/>
      <c r="I20" s="224"/>
      <c r="J20" s="224"/>
      <c r="K20" s="224"/>
      <c r="L20" s="225"/>
      <c r="P20" s="93"/>
      <c r="Q20" s="93"/>
    </row>
    <row r="21" spans="2:20" s="73" customFormat="1" ht="18.75" thickBot="1" x14ac:dyDescent="0.3">
      <c r="B21" s="93"/>
      <c r="C21" s="93"/>
      <c r="F21" s="77"/>
      <c r="P21" s="93"/>
      <c r="Q21" s="93"/>
    </row>
    <row r="22" spans="2:20" s="73" customFormat="1" ht="36" customHeight="1" thickBot="1" x14ac:dyDescent="0.3">
      <c r="B22" s="93"/>
      <c r="C22" s="93"/>
      <c r="F22" s="118" t="s">
        <v>280</v>
      </c>
      <c r="G22" s="251" t="str">
        <f>IF(N35="", "NO ESTA SUJETO A CARGAS URBANISTICAS",FACTIBILIDAD!D19)</f>
        <v>URBANO Q2 (URB-Q2)</v>
      </c>
      <c r="H22" s="252"/>
      <c r="I22" s="252"/>
      <c r="J22" s="253"/>
      <c r="K22" s="82"/>
      <c r="P22" s="93"/>
      <c r="Q22" s="93"/>
    </row>
    <row r="23" spans="2:20" s="73" customFormat="1" ht="18.75" thickBot="1" x14ac:dyDescent="0.3">
      <c r="B23" s="93"/>
      <c r="C23" s="93"/>
      <c r="F23" s="118"/>
      <c r="G23" s="82"/>
      <c r="H23" s="82"/>
      <c r="I23" s="82"/>
      <c r="J23" s="82"/>
      <c r="K23" s="82"/>
      <c r="P23" s="93"/>
      <c r="Q23" s="93"/>
    </row>
    <row r="24" spans="2:20" s="73" customFormat="1" ht="21" customHeight="1" x14ac:dyDescent="0.25">
      <c r="B24" s="93"/>
      <c r="C24" s="93"/>
      <c r="F24" s="274" t="s">
        <v>249</v>
      </c>
      <c r="G24" s="275"/>
      <c r="H24" s="77"/>
      <c r="I24" s="272" t="s">
        <v>250</v>
      </c>
      <c r="J24" s="273"/>
      <c r="K24" s="82"/>
      <c r="L24" s="119" t="s">
        <v>252</v>
      </c>
      <c r="P24" s="93"/>
      <c r="Q24" s="93"/>
    </row>
    <row r="25" spans="2:20" s="73" customFormat="1" ht="20.25" x14ac:dyDescent="0.25">
      <c r="B25" s="93"/>
      <c r="C25" s="93"/>
      <c r="F25" s="120" t="s">
        <v>319</v>
      </c>
      <c r="G25" s="121">
        <f ca="1">LOOKUP(G22,tabla!G4:G12,tabla!H4:H11)</f>
        <v>400</v>
      </c>
      <c r="H25" s="114"/>
      <c r="I25" s="120" t="s">
        <v>320</v>
      </c>
      <c r="J25" s="121">
        <f>FACTIBILIDAD!D31</f>
        <v>200</v>
      </c>
      <c r="K25" s="114"/>
      <c r="L25" s="99" t="str">
        <f ca="1">IF(J25&lt;=G25,"NO CUMPLE","SI CUMPLE")</f>
        <v>NO CUMPLE</v>
      </c>
      <c r="P25" s="93"/>
      <c r="Q25" s="93"/>
    </row>
    <row r="26" spans="2:20" s="73" customFormat="1" ht="18" x14ac:dyDescent="0.25">
      <c r="B26" s="93"/>
      <c r="C26" s="93"/>
      <c r="F26" s="74" t="s">
        <v>203</v>
      </c>
      <c r="G26" s="122">
        <f>LOOKUP(FACTIBILIDAD!D19,tabla!G4:G11,tabla!I4:I11)</f>
        <v>15</v>
      </c>
      <c r="H26" s="114"/>
      <c r="I26" s="74" t="s">
        <v>204</v>
      </c>
      <c r="J26" s="122">
        <f>FACTIBILIDAD!D32</f>
        <v>8</v>
      </c>
      <c r="K26" s="114"/>
      <c r="L26" s="99" t="str">
        <f>IF(J26&lt;G26,"NO CUMPLE","SI CUMPLE")</f>
        <v>NO CUMPLE</v>
      </c>
      <c r="P26" s="93"/>
      <c r="Q26" s="93"/>
    </row>
    <row r="27" spans="2:20" s="73" customFormat="1" ht="18" x14ac:dyDescent="0.25">
      <c r="B27" s="93"/>
      <c r="C27" s="93"/>
      <c r="F27" s="74" t="s">
        <v>206</v>
      </c>
      <c r="G27" s="122">
        <f ca="1">LOOKUP(FACTIBILIDAD!D19,tabla!G4:G10,tabla!P4:P11)</f>
        <v>47</v>
      </c>
      <c r="H27" s="114"/>
      <c r="I27" s="74" t="s">
        <v>205</v>
      </c>
      <c r="J27" s="122">
        <f>FACTIBILIDAD!D40</f>
        <v>2.74</v>
      </c>
      <c r="K27" s="114"/>
      <c r="L27" s="99" t="str">
        <f ca="1">IF(G27&lt;=J27,"NO CUMPLE","SI CUMPLE")</f>
        <v>SI CUMPLE</v>
      </c>
      <c r="P27" s="93"/>
      <c r="Q27" s="93"/>
    </row>
    <row r="28" spans="2:20" s="73" customFormat="1" ht="36" x14ac:dyDescent="0.25">
      <c r="B28" s="93"/>
      <c r="C28" s="93"/>
      <c r="F28" s="74" t="s">
        <v>266</v>
      </c>
      <c r="G28" s="122">
        <f ca="1">LOOKUP(G22,tabla!G4:G12,tabla!M4:M11)</f>
        <v>18</v>
      </c>
      <c r="H28" s="114"/>
      <c r="I28" s="74" t="s">
        <v>266</v>
      </c>
      <c r="J28" s="122">
        <f>FACTIBILIDAD!D44</f>
        <v>2.74</v>
      </c>
      <c r="K28" s="114"/>
      <c r="L28" s="99" t="str">
        <f ca="1">IF(G28&lt;J28,"NO CUMPLE","SI CUMPLE")</f>
        <v>SI CUMPLE</v>
      </c>
      <c r="P28" s="93"/>
      <c r="Q28" s="93"/>
    </row>
    <row r="29" spans="2:20" s="73" customFormat="1" ht="36" x14ac:dyDescent="0.25">
      <c r="B29" s="93"/>
      <c r="C29" s="93"/>
      <c r="F29" s="74" t="s">
        <v>267</v>
      </c>
      <c r="G29" s="122">
        <f ca="1">LOOKUP(G22,tabla!G4:G12,tabla!S4:S10)</f>
        <v>29</v>
      </c>
      <c r="H29" s="114"/>
      <c r="I29" s="74" t="s">
        <v>267</v>
      </c>
      <c r="J29" s="122">
        <f>FACTIBILIDAD!D45</f>
        <v>0</v>
      </c>
      <c r="K29" s="114"/>
      <c r="L29" s="99" t="str">
        <f ca="1">IF(G29&lt;J29,"NO CUMPLE","SI CUMPLE")</f>
        <v>SI CUMPLE</v>
      </c>
      <c r="P29" s="93"/>
      <c r="Q29" s="93"/>
    </row>
    <row r="30" spans="2:20" s="73" customFormat="1" ht="54.75" customHeight="1" x14ac:dyDescent="0.25">
      <c r="B30" s="93"/>
      <c r="C30" s="93"/>
      <c r="F30" s="74" t="s">
        <v>174</v>
      </c>
      <c r="G30" s="75">
        <f>LOOKUP(FACTIBILIDAD!D19,tabla!G4:G11,tabla!L4:L11)</f>
        <v>0.1</v>
      </c>
      <c r="H30" s="72"/>
      <c r="I30" s="76" t="s">
        <v>296</v>
      </c>
      <c r="J30" s="123">
        <f>IF(J25&lt;150,"NO DEBE DEJAR AREA PERMEABLE",FACTIBILIDAD!D39/FACTIBILIDAD!D35)</f>
        <v>388.88499999999999</v>
      </c>
      <c r="K30" s="124"/>
      <c r="L30" s="99" t="str">
        <f>IF(OR(G30&lt;=J30,J30="NO DEBE DEJAR AREA PERMEABLE"),"SI CUMPLE","NO CUMPLE")</f>
        <v>SI CUMPLE</v>
      </c>
      <c r="P30" s="93"/>
      <c r="Q30" s="93"/>
    </row>
    <row r="31" spans="2:20" s="73" customFormat="1" ht="38.25" x14ac:dyDescent="0.25">
      <c r="B31" s="93"/>
      <c r="C31" s="93"/>
      <c r="F31" s="74" t="s">
        <v>317</v>
      </c>
      <c r="G31" s="122">
        <f ca="1">LOOKUP('FORMATO  FACT'!G22:J22,tabla!G4:G12,tabla!U4:U11)</f>
        <v>3000</v>
      </c>
      <c r="H31" s="114"/>
      <c r="I31" s="74" t="s">
        <v>200</v>
      </c>
      <c r="J31" s="122">
        <f>FACTIBILIDAD!D56</f>
        <v>0</v>
      </c>
      <c r="K31" s="114"/>
      <c r="L31" s="99" t="str">
        <f ca="1">IF(J31&gt;G31,"NO CUMPLE","SI CUMPLE")</f>
        <v>SI CUMPLE</v>
      </c>
      <c r="P31" s="93"/>
      <c r="Q31" s="93"/>
    </row>
    <row r="32" spans="2:20" s="73" customFormat="1" ht="38.25" x14ac:dyDescent="0.25">
      <c r="B32" s="93"/>
      <c r="C32" s="93"/>
      <c r="F32" s="74" t="s">
        <v>318</v>
      </c>
      <c r="G32" s="122">
        <f ca="1">LOOKUP('FORMATO  FACT'!G22:J22,tabla!G5:G13,tabla!U5:U12)</f>
        <v>3000</v>
      </c>
      <c r="H32" s="114"/>
      <c r="I32" s="74" t="s">
        <v>200</v>
      </c>
      <c r="J32" s="122">
        <f>FACTIBILIDAD!D57</f>
        <v>0</v>
      </c>
      <c r="K32" s="114"/>
      <c r="L32" s="99" t="str">
        <f ca="1">IF(J32&gt;G32,"NO CUMPLE","SI CUMPLE")</f>
        <v>SI CUMPLE</v>
      </c>
      <c r="P32" s="93"/>
      <c r="Q32" s="93"/>
      <c r="T32" s="206"/>
    </row>
    <row r="33" spans="2:20" s="73" customFormat="1" ht="36" x14ac:dyDescent="0.25">
      <c r="B33" s="93"/>
      <c r="C33" s="93"/>
      <c r="F33" s="74" t="s">
        <v>186</v>
      </c>
      <c r="G33" s="123">
        <f ca="1">LOOKUP(FACTIBILIDAD!D19,tabla!G4:G11,tabla!T4:T10)</f>
        <v>0.3</v>
      </c>
      <c r="H33" s="124"/>
      <c r="I33" s="125" t="s">
        <v>186</v>
      </c>
      <c r="J33" s="75">
        <f>FACTIBILIDAD!D59</f>
        <v>1</v>
      </c>
      <c r="K33" s="126"/>
      <c r="L33" s="99" t="str">
        <f ca="1">IF(G33&lt;=J33,"SI CUMPLE","NO CUMPLE")</f>
        <v>SI CUMPLE</v>
      </c>
      <c r="P33" s="93"/>
      <c r="Q33" s="93"/>
    </row>
    <row r="34" spans="2:20" s="73" customFormat="1" ht="36" x14ac:dyDescent="0.25">
      <c r="B34" s="93"/>
      <c r="C34" s="93"/>
      <c r="F34" s="74" t="s">
        <v>188</v>
      </c>
      <c r="G34" s="127">
        <f>IF((FACTIBILIDAD!D61="AMPLIADO"),(LOOKUP('FORMATO  FACT'!G22:J22,tabla!G4:G12,tabla!K4:K12)),IF((FACTIBILIDAD!D61="BASE"),(LOOKUP('FORMATO  FACT'!G22:J22,tabla!G4:G12,tabla!J4:J12)),( FACTIBILIDAD!E61)))</f>
        <v>3.2</v>
      </c>
      <c r="H34" s="114"/>
      <c r="I34" s="74" t="s">
        <v>155</v>
      </c>
      <c r="J34" s="127">
        <f>FACTIBILIDAD!D43</f>
        <v>333.33</v>
      </c>
      <c r="K34" s="114"/>
      <c r="L34" s="99" t="str">
        <f>IF(G34&lt;=J34,"NO CUMPLE","SI CUMPLE")</f>
        <v>NO CUMPLE</v>
      </c>
      <c r="P34" s="93"/>
      <c r="Q34" s="93"/>
      <c r="S34" s="207"/>
    </row>
    <row r="35" spans="2:20" s="73" customFormat="1" ht="39" thickBot="1" x14ac:dyDescent="0.3">
      <c r="B35" s="93"/>
      <c r="C35" s="93"/>
      <c r="F35" s="128" t="s">
        <v>321</v>
      </c>
      <c r="G35" s="205">
        <f>J25*G34</f>
        <v>640</v>
      </c>
      <c r="H35" s="114"/>
      <c r="I35" s="128" t="s">
        <v>334</v>
      </c>
      <c r="J35" s="129">
        <f>FACTIBILIDAD!D37+FACTIBILIDAD!D36</f>
        <v>66666</v>
      </c>
      <c r="K35" s="114"/>
      <c r="L35" s="100" t="str">
        <f>IF(J35&gt;G35,"NO CUMPLE","SI CUMPLE")</f>
        <v>NO CUMPLE</v>
      </c>
      <c r="N35" s="278" t="str">
        <f>IF(J25&lt;=250,"NO ESTA SUJETO A CARGAS URBANISTICAS"," ")</f>
        <v>NO ESTA SUJETO A CARGAS URBANISTICAS</v>
      </c>
      <c r="O35" s="278"/>
      <c r="P35" s="93"/>
      <c r="Q35" s="93"/>
      <c r="S35" s="206"/>
      <c r="T35" s="206"/>
    </row>
    <row r="36" spans="2:20" s="73" customFormat="1" ht="18.75" thickBot="1" x14ac:dyDescent="0.3">
      <c r="B36" s="93"/>
      <c r="C36" s="93"/>
      <c r="F36" s="77"/>
      <c r="G36" s="114"/>
      <c r="H36" s="114"/>
      <c r="I36" s="77"/>
      <c r="J36" s="114"/>
      <c r="K36" s="114"/>
      <c r="N36" s="278"/>
      <c r="O36" s="278"/>
      <c r="P36" s="93"/>
      <c r="Q36" s="93"/>
    </row>
    <row r="37" spans="2:20" s="73" customFormat="1" ht="18.75" customHeight="1" thickBot="1" x14ac:dyDescent="0.3">
      <c r="B37" s="93"/>
      <c r="C37" s="93"/>
      <c r="F37" s="281" t="s">
        <v>208</v>
      </c>
      <c r="G37" s="282"/>
      <c r="H37" s="283"/>
      <c r="I37" s="152" t="s">
        <v>252</v>
      </c>
      <c r="L37" s="191" t="s">
        <v>333</v>
      </c>
      <c r="N37" s="278"/>
      <c r="O37" s="278"/>
      <c r="P37" s="93"/>
      <c r="Q37" s="93"/>
    </row>
    <row r="38" spans="2:20" s="73" customFormat="1" ht="20.25" x14ac:dyDescent="0.25">
      <c r="B38" s="93"/>
      <c r="C38" s="93"/>
      <c r="F38" s="149" t="s">
        <v>313</v>
      </c>
      <c r="G38" s="151">
        <v>0</v>
      </c>
      <c r="H38" s="153" t="s">
        <v>316</v>
      </c>
      <c r="I38" s="262" t="s">
        <v>201</v>
      </c>
      <c r="K38" s="190"/>
      <c r="L38" s="270">
        <f>'CARGA U'!C22</f>
        <v>200</v>
      </c>
      <c r="N38" s="278"/>
      <c r="O38" s="278"/>
      <c r="P38" s="93"/>
      <c r="Q38" s="93"/>
    </row>
    <row r="39" spans="2:20" s="73" customFormat="1" ht="37.5" customHeight="1" thickBot="1" x14ac:dyDescent="0.3">
      <c r="B39" s="93"/>
      <c r="C39" s="93"/>
      <c r="F39" s="150" t="s">
        <v>314</v>
      </c>
      <c r="G39" s="154">
        <v>0</v>
      </c>
      <c r="H39" s="155" t="s">
        <v>316</v>
      </c>
      <c r="I39" s="263"/>
      <c r="K39" s="190"/>
      <c r="L39" s="271"/>
      <c r="N39" s="278"/>
      <c r="O39" s="278"/>
      <c r="P39" s="93"/>
      <c r="Q39" s="93"/>
    </row>
    <row r="40" spans="2:20" s="73" customFormat="1" ht="18" customHeight="1" x14ac:dyDescent="0.25">
      <c r="B40" s="93"/>
      <c r="C40" s="93"/>
      <c r="F40" s="284" t="str">
        <f>IF(J25&lt;=250,"NO ESTA SUJETO A CARGAS URBANISTICAS"," ")</f>
        <v>NO ESTA SUJETO A CARGAS URBANISTICAS</v>
      </c>
      <c r="G40" s="284"/>
      <c r="H40" s="284"/>
      <c r="I40" s="284"/>
      <c r="P40" s="93"/>
      <c r="Q40" s="93"/>
    </row>
    <row r="41" spans="2:20" s="73" customFormat="1" ht="21" customHeight="1" thickBot="1" x14ac:dyDescent="0.3">
      <c r="B41" s="93"/>
      <c r="C41" s="93"/>
      <c r="F41" s="130"/>
      <c r="G41" s="130"/>
      <c r="P41" s="93"/>
      <c r="Q41" s="93"/>
    </row>
    <row r="42" spans="2:20" s="73" customFormat="1" ht="20.25" x14ac:dyDescent="0.25">
      <c r="B42" s="93"/>
      <c r="C42" s="93"/>
      <c r="F42" s="223" t="s">
        <v>254</v>
      </c>
      <c r="G42" s="224"/>
      <c r="H42" s="224"/>
      <c r="I42" s="224"/>
      <c r="J42" s="224"/>
      <c r="K42" s="224"/>
      <c r="L42" s="225"/>
      <c r="P42" s="93"/>
      <c r="Q42" s="93"/>
    </row>
    <row r="43" spans="2:20" s="73" customFormat="1" ht="18.75" thickBot="1" x14ac:dyDescent="0.3">
      <c r="B43" s="93"/>
      <c r="C43" s="93"/>
      <c r="F43" s="130"/>
      <c r="G43" s="130"/>
      <c r="P43" s="93"/>
      <c r="Q43" s="93"/>
    </row>
    <row r="44" spans="2:20" s="73" customFormat="1" ht="34.5" customHeight="1" x14ac:dyDescent="0.25">
      <c r="B44" s="93"/>
      <c r="C44" s="93"/>
      <c r="E44" s="73">
        <v>1</v>
      </c>
      <c r="F44" s="220" t="str">
        <f>IF(FACTIBILIDAD!D20="N/A","No se encuentra en suelo especial de proteccion","Suelo especial de Proteccion Require dictamen de OT/Gestion de Riesgos")</f>
        <v>No se encuentra en suelo especial de proteccion</v>
      </c>
      <c r="G44" s="220"/>
      <c r="H44" s="114"/>
      <c r="I44" s="131" t="str">
        <f>IF(F44="No se encuentra en suelo especial de proteccion","SI CUMPLE","NO CUMPLE")</f>
        <v>SI CUMPLE</v>
      </c>
      <c r="P44" s="93"/>
      <c r="Q44" s="93"/>
    </row>
    <row r="45" spans="2:20" s="73" customFormat="1" ht="18" x14ac:dyDescent="0.25">
      <c r="B45" s="93"/>
      <c r="C45" s="93"/>
      <c r="E45" s="73">
        <v>2</v>
      </c>
      <c r="F45" s="220" t="str">
        <f>IF(FACTIBILIDAD!D21="N/A","No se encuentra en suelo rural o forestal")</f>
        <v>No se encuentra en suelo rural o forestal</v>
      </c>
      <c r="G45" s="220"/>
      <c r="H45" s="114"/>
      <c r="I45" s="99" t="str">
        <f>IF(F45="No se encuentra en suelo rural o forestal","SI CUMPLE","NO CUMPLE")</f>
        <v>SI CUMPLE</v>
      </c>
      <c r="P45" s="93"/>
      <c r="Q45" s="93"/>
    </row>
    <row r="46" spans="2:20" s="73" customFormat="1" ht="18" x14ac:dyDescent="0.25">
      <c r="B46" s="93"/>
      <c r="C46" s="93"/>
      <c r="E46" s="73">
        <v>3</v>
      </c>
      <c r="F46" s="220" t="str">
        <f>IF(FACTIBILIDAD!D22="NO","No se encuentra en zona de amenaza de sismo","Requiere dictamen de OT y CONRED")</f>
        <v>No se encuentra en zona de amenaza de sismo</v>
      </c>
      <c r="G46" s="220"/>
      <c r="H46" s="114"/>
      <c r="I46" s="99" t="str">
        <f>IF(F46="No se encuentra en zona de amenaza de sismo","SI CUMPLE","NO CUMPLE")</f>
        <v>SI CUMPLE</v>
      </c>
      <c r="P46" s="93"/>
      <c r="Q46" s="93"/>
    </row>
    <row r="47" spans="2:20" s="73" customFormat="1" ht="18" x14ac:dyDescent="0.25">
      <c r="B47" s="93"/>
      <c r="C47" s="93"/>
      <c r="E47" s="73">
        <v>4</v>
      </c>
      <c r="F47" s="220" t="str">
        <f>IF(FACTIBILIDAD!D23="NO","No se encuentra en una zona de inundacion","Requiere dictamen de OT y gestion de Riesgos")</f>
        <v>No se encuentra en una zona de inundacion</v>
      </c>
      <c r="G47" s="220"/>
      <c r="H47" s="114"/>
      <c r="I47" s="99" t="str">
        <f>IF(F47="No se encuentra en una zona de inundacion","SI CUMPLE","NO CUMPLE")</f>
        <v>SI CUMPLE</v>
      </c>
      <c r="P47" s="93"/>
      <c r="Q47" s="93"/>
    </row>
    <row r="48" spans="2:20" s="73" customFormat="1" ht="18" x14ac:dyDescent="0.25">
      <c r="B48" s="93"/>
      <c r="C48" s="93"/>
      <c r="E48" s="73">
        <v>5</v>
      </c>
      <c r="F48" s="220" t="str">
        <f>IF(FACTIBILIDAD!D24="NO","Area fuera de amenaza por deslizamiento","Requiere dictamen de OT y Gestion de Riesgos")</f>
        <v>Area fuera de amenaza por deslizamiento</v>
      </c>
      <c r="G48" s="220"/>
      <c r="H48" s="114"/>
      <c r="I48" s="99" t="str">
        <f>IF(F48="Area fuera de amenaza por deslizamiento","SI CUMPLE","NO CUMPLE")</f>
        <v>SI CUMPLE</v>
      </c>
      <c r="P48" s="93"/>
      <c r="Q48" s="93"/>
    </row>
    <row r="49" spans="2:17" s="73" customFormat="1" ht="18" x14ac:dyDescent="0.25">
      <c r="B49" s="93"/>
      <c r="C49" s="93"/>
      <c r="E49" s="73">
        <v>6</v>
      </c>
      <c r="F49" s="220" t="str">
        <f>IF(FACTIBILIDAD!D25="NO","No se encuentra en area de proyecto urbano",FACTIBILIDAD!D26)</f>
        <v>No se encuentra en area de proyecto urbano</v>
      </c>
      <c r="G49" s="220"/>
      <c r="H49" s="114"/>
      <c r="I49" s="99" t="str">
        <f>IF(F49="No se encuentra en area de proyecto urbano","SI CUMPLE","NO CUMPLE")</f>
        <v>SI CUMPLE</v>
      </c>
      <c r="P49" s="93"/>
      <c r="Q49" s="93"/>
    </row>
    <row r="50" spans="2:17" s="73" customFormat="1" ht="34.5" customHeight="1" x14ac:dyDescent="0.25">
      <c r="B50" s="93"/>
      <c r="C50" s="93"/>
      <c r="E50" s="73">
        <v>7</v>
      </c>
      <c r="F50" s="220" t="str">
        <f>IF(FACTIBILIDAD!D27="NO","No se encuentra en Centro Historico y/o monumento aislado","Se encuentra en centro Historico")</f>
        <v>No se encuentra en Centro Historico y/o monumento aislado</v>
      </c>
      <c r="G50" s="220"/>
      <c r="H50" s="114"/>
      <c r="I50" s="99" t="str">
        <f>IF(F50="No se encuentra en Centro Historico y/o monumento aislado","SI CUMPLE","NO CUMPLE")</f>
        <v>SI CUMPLE</v>
      </c>
      <c r="P50" s="93"/>
      <c r="Q50" s="93"/>
    </row>
    <row r="51" spans="2:17" s="73" customFormat="1" ht="20.25" customHeight="1" thickBot="1" x14ac:dyDescent="0.3">
      <c r="B51" s="93"/>
      <c r="C51" s="93"/>
      <c r="E51" s="73">
        <v>8</v>
      </c>
      <c r="F51" s="220" t="str">
        <f>IF(FACTIBILIDAD!D28="NO","No se encuentra en sector sujeto a Plan Parcial","Se encuentra en sector Sujeto a Plan Parcial")</f>
        <v>No se encuentra en sector sujeto a Plan Parcial</v>
      </c>
      <c r="G51" s="220"/>
      <c r="H51" s="114"/>
      <c r="I51" s="100" t="str">
        <f>IF(F51="No se encuentra en sector sujeto a Plan Parcial","SI CUMPLE","NO CUMPLE")</f>
        <v>SI CUMPLE</v>
      </c>
      <c r="P51" s="93"/>
      <c r="Q51" s="93"/>
    </row>
    <row r="52" spans="2:17" s="73" customFormat="1" ht="18" x14ac:dyDescent="0.25">
      <c r="B52" s="93"/>
      <c r="C52" s="93"/>
      <c r="F52" s="220"/>
      <c r="G52" s="220"/>
      <c r="H52" s="114"/>
      <c r="P52" s="93"/>
      <c r="Q52" s="93"/>
    </row>
    <row r="53" spans="2:17" s="73" customFormat="1" ht="18" x14ac:dyDescent="0.25">
      <c r="B53" s="93"/>
      <c r="C53" s="93"/>
      <c r="F53" s="264" t="s">
        <v>253</v>
      </c>
      <c r="G53" s="265"/>
      <c r="H53" s="265"/>
      <c r="I53" s="265"/>
      <c r="J53" s="265"/>
      <c r="K53" s="265"/>
      <c r="L53" s="266"/>
      <c r="P53" s="93"/>
      <c r="Q53" s="93"/>
    </row>
    <row r="54" spans="2:17" s="73" customFormat="1" ht="39.75" customHeight="1" x14ac:dyDescent="0.25">
      <c r="B54" s="93"/>
      <c r="C54" s="93"/>
      <c r="F54" s="267"/>
      <c r="G54" s="268"/>
      <c r="H54" s="268"/>
      <c r="I54" s="268"/>
      <c r="J54" s="268"/>
      <c r="K54" s="268"/>
      <c r="L54" s="269"/>
      <c r="P54" s="93"/>
      <c r="Q54" s="93"/>
    </row>
    <row r="55" spans="2:17" s="73" customFormat="1" ht="18.75" thickBot="1" x14ac:dyDescent="0.3">
      <c r="B55" s="93"/>
      <c r="C55" s="93"/>
      <c r="F55" s="113"/>
      <c r="G55" s="113"/>
      <c r="H55" s="114"/>
      <c r="P55" s="93"/>
      <c r="Q55" s="93"/>
    </row>
    <row r="56" spans="2:17" s="73" customFormat="1" ht="20.25" x14ac:dyDescent="0.25">
      <c r="B56" s="93"/>
      <c r="C56" s="93"/>
      <c r="F56" s="223" t="s">
        <v>255</v>
      </c>
      <c r="G56" s="224"/>
      <c r="H56" s="224"/>
      <c r="I56" s="224"/>
      <c r="J56" s="224"/>
      <c r="K56" s="224"/>
      <c r="L56" s="225"/>
      <c r="P56" s="93"/>
      <c r="Q56" s="93"/>
    </row>
    <row r="57" spans="2:17" s="73" customFormat="1" ht="18.75" thickBot="1" x14ac:dyDescent="0.3">
      <c r="B57" s="93"/>
      <c r="C57" s="93"/>
      <c r="F57" s="261"/>
      <c r="G57" s="261"/>
      <c r="H57" s="114"/>
      <c r="P57" s="93"/>
      <c r="Q57" s="93"/>
    </row>
    <row r="58" spans="2:17" s="73" customFormat="1" ht="36" customHeight="1" thickBot="1" x14ac:dyDescent="0.3">
      <c r="B58" s="93"/>
      <c r="C58" s="93"/>
      <c r="F58" s="251" t="s">
        <v>223</v>
      </c>
      <c r="G58" s="253"/>
      <c r="I58" s="115" t="s">
        <v>244</v>
      </c>
      <c r="J58" s="116" t="s">
        <v>247</v>
      </c>
      <c r="K58" s="117" t="s">
        <v>245</v>
      </c>
      <c r="L58" s="132" t="s">
        <v>265</v>
      </c>
      <c r="P58" s="93"/>
      <c r="Q58" s="93"/>
    </row>
    <row r="59" spans="2:17" s="73" customFormat="1" ht="23.25" customHeight="1" x14ac:dyDescent="0.25">
      <c r="B59" s="93"/>
      <c r="C59" s="93"/>
      <c r="F59" s="133" t="s">
        <v>224</v>
      </c>
      <c r="G59" s="134" t="str">
        <f>FACTIBILIDAD!C2</f>
        <v>BAJO IMPACTO</v>
      </c>
      <c r="H59" s="114"/>
      <c r="I59" s="135" t="str">
        <f>IF(FACTIBILIDAD!E68=0,"",FACTIBILIDAD!E68)</f>
        <v>V3</v>
      </c>
      <c r="J59" s="136">
        <f>IFERROR(LOOKUP(I59,tabla!$AB$4:$AB$11,tabla!$AC$4:$AC$11),"")</f>
        <v>15.5</v>
      </c>
      <c r="K59" s="136">
        <f>IFERROR(LOOKUP(I59,tabla!$AB$4:$AB$11,tabla!$AD$4:$AD$11),"")</f>
        <v>4</v>
      </c>
      <c r="L59" s="136" t="str">
        <f>IF(FACTIBILIDAD!E73=0,"",FACTIBILIDAD!E73)</f>
        <v xml:space="preserve">  </v>
      </c>
      <c r="P59" s="93"/>
      <c r="Q59" s="93"/>
    </row>
    <row r="60" spans="2:17" s="73" customFormat="1" ht="18.75" thickBot="1" x14ac:dyDescent="0.3">
      <c r="B60" s="93"/>
      <c r="C60" s="93"/>
      <c r="F60" s="137"/>
      <c r="G60" s="138" t="str">
        <f>IF(FACTIBILIDAD!D59=100%,"RESIDENCIAL", "MIXTO")</f>
        <v>RESIDENCIAL</v>
      </c>
      <c r="H60" s="114"/>
      <c r="I60" s="135" t="str">
        <f>IF(FACTIBILIDAD!E69=0,"",FACTIBILIDAD!E69)</f>
        <v/>
      </c>
      <c r="J60" s="136" t="str">
        <f>IFERROR(LOOKUP(I60,tabla!$AB$4:$AB$11,tabla!$AC$4:$AC$11),"")</f>
        <v/>
      </c>
      <c r="K60" s="136" t="str">
        <f>IFERROR(LOOKUP(I60,tabla!$AB$4:$AB$11,tabla!$AD$4:$AD$11),"")</f>
        <v/>
      </c>
      <c r="L60" s="136" t="str">
        <f>IF(FACTIBILIDAD!E74=0,"",FACTIBILIDAD!E74)</f>
        <v/>
      </c>
      <c r="P60" s="93"/>
      <c r="Q60" s="93"/>
    </row>
    <row r="61" spans="2:17" s="73" customFormat="1" ht="18" x14ac:dyDescent="0.25">
      <c r="B61" s="93"/>
      <c r="C61" s="93"/>
      <c r="F61" s="77"/>
      <c r="G61" s="114"/>
      <c r="H61" s="114"/>
      <c r="I61" s="135" t="str">
        <f>IF(FACTIBILIDAD!E70=0,"",FACTIBILIDAD!E70)</f>
        <v/>
      </c>
      <c r="J61" s="136" t="str">
        <f>IFERROR(LOOKUP(I61,tabla!$AB$4:$AB$11,tabla!$AC$4:$AC$11),"")</f>
        <v/>
      </c>
      <c r="K61" s="136" t="str">
        <f>IFERROR(LOOKUP(I61,tabla!$AB$4:$AB$11,tabla!$AD$4:$AD$11),"")</f>
        <v/>
      </c>
      <c r="L61" s="136" t="str">
        <f>IF(FACTIBILIDAD!E75=0,"",FACTIBILIDAD!E75)</f>
        <v/>
      </c>
      <c r="P61" s="93"/>
      <c r="Q61" s="93"/>
    </row>
    <row r="62" spans="2:17" s="73" customFormat="1" ht="18" x14ac:dyDescent="0.25">
      <c r="B62" s="93"/>
      <c r="C62" s="93"/>
      <c r="F62" s="77"/>
      <c r="G62" s="114"/>
      <c r="H62" s="114"/>
      <c r="I62" s="135" t="str">
        <f>IF(FACTIBILIDAD!E71=0,"",FACTIBILIDAD!E71)</f>
        <v/>
      </c>
      <c r="J62" s="136" t="str">
        <f>IFERROR(LOOKUP(I62,tabla!$AB$4:$AB$11,tabla!$AC$4:$AC$11),"")</f>
        <v/>
      </c>
      <c r="K62" s="136" t="str">
        <f>IFERROR(LOOKUP(I62,tabla!$AB$4:$AB$11,tabla!$AD$4:$AD$11),"")</f>
        <v/>
      </c>
      <c r="L62" s="136" t="str">
        <f>IF(FACTIBILIDAD!E76=0,"",FACTIBILIDAD!E76)</f>
        <v/>
      </c>
      <c r="P62" s="93"/>
      <c r="Q62" s="93"/>
    </row>
    <row r="63" spans="2:17" s="73" customFormat="1" ht="18" x14ac:dyDescent="0.25">
      <c r="B63" s="93"/>
      <c r="C63" s="93"/>
      <c r="F63" s="77"/>
      <c r="G63" s="114"/>
      <c r="H63" s="114"/>
      <c r="I63" s="82"/>
      <c r="J63" s="114"/>
      <c r="K63" s="114"/>
      <c r="P63" s="93"/>
      <c r="Q63" s="93"/>
    </row>
    <row r="64" spans="2:17" s="73" customFormat="1" ht="18" x14ac:dyDescent="0.25">
      <c r="B64" s="93"/>
      <c r="C64" s="93"/>
      <c r="F64" s="286" t="s">
        <v>361</v>
      </c>
      <c r="G64" s="286"/>
      <c r="H64" s="286"/>
      <c r="I64" s="286"/>
      <c r="J64" s="286"/>
      <c r="K64" s="286"/>
      <c r="L64" s="286"/>
      <c r="P64" s="93"/>
      <c r="Q64" s="93"/>
    </row>
    <row r="65" spans="2:17" s="73" customFormat="1" ht="40.5" customHeight="1" x14ac:dyDescent="0.25">
      <c r="B65" s="93"/>
      <c r="C65" s="93"/>
      <c r="F65" s="220" t="s">
        <v>310</v>
      </c>
      <c r="G65" s="220"/>
      <c r="H65" s="220"/>
      <c r="I65" s="220"/>
      <c r="J65" s="220"/>
      <c r="K65" s="220"/>
      <c r="L65" s="220"/>
      <c r="P65" s="93"/>
      <c r="Q65" s="93"/>
    </row>
    <row r="66" spans="2:17" s="73" customFormat="1" ht="40.5" customHeight="1" thickBot="1" x14ac:dyDescent="0.3">
      <c r="B66" s="93"/>
      <c r="C66" s="93"/>
      <c r="F66" s="220" t="s">
        <v>311</v>
      </c>
      <c r="G66" s="220"/>
      <c r="H66" s="220"/>
      <c r="I66" s="220"/>
      <c r="J66" s="220"/>
      <c r="K66" s="220"/>
      <c r="L66" s="220"/>
      <c r="P66" s="93"/>
      <c r="Q66" s="93"/>
    </row>
    <row r="67" spans="2:17" s="73" customFormat="1" ht="20.25" x14ac:dyDescent="0.25">
      <c r="B67" s="93"/>
      <c r="C67" s="93"/>
      <c r="F67" s="223" t="s">
        <v>276</v>
      </c>
      <c r="G67" s="224"/>
      <c r="H67" s="224"/>
      <c r="I67" s="224"/>
      <c r="J67" s="224"/>
      <c r="K67" s="224"/>
      <c r="L67" s="225"/>
      <c r="P67" s="93"/>
      <c r="Q67" s="93"/>
    </row>
    <row r="68" spans="2:17" s="73" customFormat="1" ht="18.75" thickBot="1" x14ac:dyDescent="0.3">
      <c r="B68" s="93"/>
      <c r="C68" s="93"/>
      <c r="F68" s="77"/>
      <c r="G68" s="114"/>
      <c r="H68" s="114"/>
      <c r="I68" s="82"/>
      <c r="J68" s="114"/>
      <c r="K68" s="114"/>
      <c r="P68" s="93"/>
      <c r="Q68" s="93"/>
    </row>
    <row r="69" spans="2:17" s="73" customFormat="1" ht="21" x14ac:dyDescent="0.25">
      <c r="B69" s="93"/>
      <c r="C69" s="93"/>
      <c r="F69" s="139" t="s">
        <v>272</v>
      </c>
      <c r="G69" s="254" t="str">
        <f>FACTIBILIDAD!F49</f>
        <v>RESIDENCIAL</v>
      </c>
      <c r="H69" s="254"/>
      <c r="I69" s="255"/>
      <c r="J69" s="157">
        <f>IF(FACTIBILIDAD!D49=0,"",FACTIBILIDAD!D49)</f>
        <v>66666</v>
      </c>
      <c r="K69" s="158" t="s">
        <v>322</v>
      </c>
      <c r="P69" s="93"/>
      <c r="Q69" s="93"/>
    </row>
    <row r="70" spans="2:17" s="73" customFormat="1" ht="21" x14ac:dyDescent="0.25">
      <c r="B70" s="93"/>
      <c r="C70" s="93"/>
      <c r="F70" s="74" t="s">
        <v>273</v>
      </c>
      <c r="G70" s="228" t="str">
        <f>IF(FACTIBILIDAD!F50=0,"",FACTIBILIDAD!F50)</f>
        <v/>
      </c>
      <c r="H70" s="228"/>
      <c r="I70" s="256"/>
      <c r="J70" s="156" t="str">
        <f>IF(FACTIBILIDAD!D50=0,"",FACTIBILIDAD!D50)</f>
        <v/>
      </c>
      <c r="K70" s="159" t="s">
        <v>322</v>
      </c>
      <c r="P70" s="93"/>
      <c r="Q70" s="93"/>
    </row>
    <row r="71" spans="2:17" s="73" customFormat="1" ht="21" x14ac:dyDescent="0.25">
      <c r="B71" s="93"/>
      <c r="C71" s="93"/>
      <c r="F71" s="74" t="s">
        <v>274</v>
      </c>
      <c r="G71" s="228" t="str">
        <f>IF(FACTIBILIDAD!F51=0,"",FACTIBILIDAD!F51)</f>
        <v/>
      </c>
      <c r="H71" s="228"/>
      <c r="I71" s="256"/>
      <c r="J71" s="156" t="str">
        <f>IF(FACTIBILIDAD!D51=0,"",FACTIBILIDAD!D51)</f>
        <v/>
      </c>
      <c r="K71" s="159" t="s">
        <v>322</v>
      </c>
      <c r="P71" s="93"/>
      <c r="Q71" s="93"/>
    </row>
    <row r="72" spans="2:17" s="73" customFormat="1" ht="21.75" thickBot="1" x14ac:dyDescent="0.3">
      <c r="B72" s="93"/>
      <c r="C72" s="93"/>
      <c r="F72" s="128" t="s">
        <v>275</v>
      </c>
      <c r="G72" s="257" t="str">
        <f>IF(FACTIBILIDAD!F52=0,"")</f>
        <v/>
      </c>
      <c r="H72" s="257"/>
      <c r="I72" s="258"/>
      <c r="J72" s="160" t="str">
        <f>IF(FACTIBILIDAD!D52=0,"",FACTIBILIDAD!D52)</f>
        <v/>
      </c>
      <c r="K72" s="161" t="s">
        <v>322</v>
      </c>
      <c r="P72" s="93"/>
      <c r="Q72" s="93"/>
    </row>
    <row r="73" spans="2:17" s="73" customFormat="1" ht="18.75" thickBot="1" x14ac:dyDescent="0.3">
      <c r="B73" s="93"/>
      <c r="C73" s="93"/>
      <c r="F73" s="77"/>
      <c r="G73" s="114"/>
      <c r="H73" s="114"/>
      <c r="I73" s="114"/>
      <c r="J73" s="114"/>
      <c r="K73" s="114"/>
      <c r="P73" s="93"/>
      <c r="Q73" s="93"/>
    </row>
    <row r="74" spans="2:17" s="73" customFormat="1" ht="18" customHeight="1" thickBot="1" x14ac:dyDescent="0.3">
      <c r="B74" s="93"/>
      <c r="C74" s="93"/>
      <c r="F74" s="251" t="s">
        <v>278</v>
      </c>
      <c r="G74" s="252"/>
      <c r="H74" s="253"/>
      <c r="I74" s="140"/>
      <c r="J74" s="114"/>
      <c r="K74" s="114"/>
      <c r="P74" s="93"/>
      <c r="Q74" s="93"/>
    </row>
    <row r="75" spans="2:17" s="73" customFormat="1" ht="18.75" thickBot="1" x14ac:dyDescent="0.3">
      <c r="B75" s="93"/>
      <c r="C75" s="93"/>
      <c r="F75" s="77"/>
      <c r="G75" s="114"/>
      <c r="H75" s="114"/>
      <c r="I75" s="82"/>
      <c r="J75" s="114"/>
      <c r="K75" s="114"/>
      <c r="P75" s="93"/>
      <c r="Q75" s="93"/>
    </row>
    <row r="76" spans="2:17" s="73" customFormat="1" ht="21.75" customHeight="1" x14ac:dyDescent="0.25">
      <c r="B76" s="93"/>
      <c r="C76" s="93"/>
      <c r="D76" s="113"/>
      <c r="E76" s="113"/>
      <c r="F76" s="223" t="s">
        <v>256</v>
      </c>
      <c r="G76" s="224"/>
      <c r="H76" s="224"/>
      <c r="I76" s="224"/>
      <c r="J76" s="224"/>
      <c r="K76" s="224"/>
      <c r="L76" s="225"/>
      <c r="M76" s="113"/>
      <c r="N76" s="113"/>
      <c r="O76" s="113"/>
      <c r="P76" s="93"/>
      <c r="Q76" s="93"/>
    </row>
    <row r="77" spans="2:17" s="73" customFormat="1" ht="40.5" customHeight="1" x14ac:dyDescent="0.25">
      <c r="B77" s="93"/>
      <c r="C77" s="93"/>
      <c r="F77" s="250" t="s">
        <v>270</v>
      </c>
      <c r="G77" s="250"/>
      <c r="H77" s="250"/>
      <c r="I77" s="250"/>
      <c r="J77" s="250"/>
      <c r="K77" s="250"/>
      <c r="L77" s="250"/>
      <c r="P77" s="93"/>
      <c r="Q77" s="93"/>
    </row>
    <row r="78" spans="2:17" s="73" customFormat="1" ht="19.5" customHeight="1" x14ac:dyDescent="0.25">
      <c r="B78" s="93"/>
      <c r="C78" s="93"/>
      <c r="F78" s="220">
        <v>2</v>
      </c>
      <c r="G78" s="220"/>
      <c r="H78" s="220"/>
      <c r="I78" s="220"/>
      <c r="J78" s="220"/>
      <c r="K78" s="220"/>
      <c r="L78" s="220"/>
      <c r="P78" s="93"/>
      <c r="Q78" s="93"/>
    </row>
    <row r="79" spans="2:17" s="73" customFormat="1" ht="19.5" customHeight="1" x14ac:dyDescent="0.25">
      <c r="B79" s="93"/>
      <c r="C79" s="93"/>
      <c r="F79" s="220">
        <v>3</v>
      </c>
      <c r="G79" s="220"/>
      <c r="H79" s="220"/>
      <c r="I79" s="220"/>
      <c r="J79" s="220"/>
      <c r="K79" s="220"/>
      <c r="L79" s="220"/>
      <c r="P79" s="93"/>
      <c r="Q79" s="93"/>
    </row>
    <row r="80" spans="2:17" s="73" customFormat="1" ht="18.75" thickBot="1" x14ac:dyDescent="0.3">
      <c r="B80" s="93"/>
      <c r="C80" s="93"/>
      <c r="F80" s="285">
        <v>4</v>
      </c>
      <c r="G80" s="285"/>
      <c r="H80" s="285"/>
      <c r="I80" s="285"/>
      <c r="J80" s="285"/>
      <c r="K80" s="285"/>
      <c r="L80" s="285"/>
      <c r="P80" s="93"/>
      <c r="Q80" s="93"/>
    </row>
    <row r="81" spans="1:17" s="73" customFormat="1" ht="19.5" customHeight="1" x14ac:dyDescent="0.25">
      <c r="B81" s="93"/>
      <c r="C81" s="93"/>
      <c r="F81" s="245" t="s">
        <v>261</v>
      </c>
      <c r="G81" s="246"/>
      <c r="H81" s="246"/>
      <c r="I81" s="246"/>
      <c r="J81" s="246"/>
      <c r="K81" s="246"/>
      <c r="L81" s="247"/>
      <c r="P81" s="93"/>
      <c r="Q81" s="93"/>
    </row>
    <row r="82" spans="1:17" s="73" customFormat="1" ht="19.5" customHeight="1" x14ac:dyDescent="0.25">
      <c r="B82" s="93"/>
      <c r="C82" s="93"/>
      <c r="F82" s="94" t="s">
        <v>257</v>
      </c>
      <c r="G82" s="248">
        <f ca="1">G14</f>
        <v>46180</v>
      </c>
      <c r="H82" s="248"/>
      <c r="I82" s="220" t="s">
        <v>262</v>
      </c>
      <c r="J82" s="220"/>
      <c r="K82" s="220"/>
      <c r="L82" s="249"/>
      <c r="P82" s="93"/>
      <c r="Q82" s="93"/>
    </row>
    <row r="83" spans="1:17" s="73" customFormat="1" ht="18" x14ac:dyDescent="0.25">
      <c r="B83" s="93"/>
      <c r="C83" s="93"/>
      <c r="F83" s="95" t="str">
        <f>G11</f>
        <v> RPNC1-4240426</v>
      </c>
      <c r="G83" s="219" t="s">
        <v>258</v>
      </c>
      <c r="H83" s="219"/>
      <c r="I83" s="279" t="str">
        <f>G12</f>
        <v> CAJAS ITZEP, RAFAEL SALVADOR</v>
      </c>
      <c r="J83" s="279"/>
      <c r="K83" s="219" t="s">
        <v>259</v>
      </c>
      <c r="L83" s="280"/>
      <c r="P83" s="93"/>
      <c r="Q83" s="93"/>
    </row>
    <row r="84" spans="1:17" s="73" customFormat="1" ht="18" x14ac:dyDescent="0.25">
      <c r="B84" s="93"/>
      <c r="C84" s="93"/>
      <c r="F84" s="95"/>
      <c r="G84" s="219" t="s">
        <v>260</v>
      </c>
      <c r="H84" s="219"/>
      <c r="I84" s="219"/>
      <c r="J84" s="240" t="str">
        <f>G13</f>
        <v> 8va AVENIDA 0-10</v>
      </c>
      <c r="K84" s="240"/>
      <c r="L84" s="244"/>
      <c r="P84" s="93"/>
      <c r="Q84" s="93"/>
    </row>
    <row r="85" spans="1:17" s="73" customFormat="1" ht="18" customHeight="1" x14ac:dyDescent="0.25">
      <c r="B85" s="93"/>
      <c r="C85" s="93"/>
      <c r="F85" s="94" t="s">
        <v>285</v>
      </c>
      <c r="G85" s="276" t="s">
        <v>336</v>
      </c>
      <c r="H85" s="276"/>
      <c r="I85" s="276"/>
      <c r="J85" s="276"/>
      <c r="K85" s="276"/>
      <c r="L85" s="277"/>
      <c r="P85" s="93"/>
      <c r="Q85" s="93"/>
    </row>
    <row r="86" spans="1:17" s="73" customFormat="1" ht="18.75" thickBot="1" x14ac:dyDescent="0.3">
      <c r="B86" s="93"/>
      <c r="C86" s="93"/>
      <c r="D86" s="77"/>
      <c r="E86" s="77"/>
      <c r="F86" s="96"/>
      <c r="G86" s="97"/>
      <c r="H86" s="97"/>
      <c r="I86" s="97"/>
      <c r="J86" s="97"/>
      <c r="K86" s="97"/>
      <c r="L86" s="98"/>
      <c r="M86" s="77"/>
      <c r="N86" s="77"/>
      <c r="O86" s="77"/>
      <c r="P86" s="93"/>
      <c r="Q86" s="93"/>
    </row>
    <row r="87" spans="1:17" s="73" customFormat="1" ht="19.5" customHeight="1" thickBot="1" x14ac:dyDescent="0.3">
      <c r="B87" s="93"/>
      <c r="C87" s="93"/>
      <c r="D87" s="77"/>
      <c r="E87" s="77"/>
      <c r="F87" s="241" t="s">
        <v>271</v>
      </c>
      <c r="G87" s="242"/>
      <c r="H87" s="242"/>
      <c r="I87" s="242"/>
      <c r="J87" s="242"/>
      <c r="K87" s="242"/>
      <c r="L87" s="243"/>
      <c r="M87" s="77"/>
      <c r="N87" s="77"/>
      <c r="O87" s="77"/>
      <c r="P87" s="93"/>
      <c r="Q87" s="93"/>
    </row>
    <row r="88" spans="1:17" s="73" customFormat="1" ht="19.5" customHeight="1" x14ac:dyDescent="0.25">
      <c r="B88" s="93"/>
      <c r="C88" s="93"/>
      <c r="D88" s="77"/>
      <c r="E88" s="77"/>
      <c r="F88" s="240" t="s">
        <v>277</v>
      </c>
      <c r="G88" s="240"/>
      <c r="H88" s="240"/>
      <c r="I88" s="240"/>
      <c r="J88" s="240"/>
      <c r="K88" s="240"/>
      <c r="L88" s="240"/>
      <c r="M88" s="77"/>
      <c r="N88" s="77"/>
      <c r="O88" s="77"/>
      <c r="P88" s="93"/>
      <c r="Q88" s="93"/>
    </row>
    <row r="89" spans="1:17" s="73" customFormat="1" ht="45" customHeight="1" x14ac:dyDescent="0.25">
      <c r="B89" s="93"/>
      <c r="C89" s="93"/>
      <c r="D89" s="77"/>
      <c r="E89" s="77"/>
      <c r="F89" s="240"/>
      <c r="G89" s="240"/>
      <c r="H89" s="240"/>
      <c r="I89" s="240"/>
      <c r="J89" s="240"/>
      <c r="K89" s="240"/>
      <c r="L89" s="240"/>
      <c r="M89" s="77"/>
      <c r="N89" s="77"/>
      <c r="O89" s="77"/>
      <c r="P89" s="93"/>
      <c r="Q89" s="93"/>
    </row>
    <row r="90" spans="1:17" s="73" customFormat="1" ht="19.5" customHeight="1" x14ac:dyDescent="0.25">
      <c r="B90" s="93"/>
      <c r="C90" s="93"/>
      <c r="D90" s="77"/>
      <c r="E90" s="77"/>
      <c r="F90" s="82"/>
      <c r="G90" s="82"/>
      <c r="H90" s="82"/>
      <c r="I90" s="82"/>
      <c r="J90" s="82"/>
      <c r="K90" s="82"/>
      <c r="L90" s="82"/>
      <c r="M90" s="77"/>
      <c r="N90" s="77"/>
      <c r="O90" s="77"/>
      <c r="P90" s="93"/>
      <c r="Q90" s="93"/>
    </row>
    <row r="91" spans="1:17" s="73" customFormat="1" ht="19.5" customHeight="1" x14ac:dyDescent="0.25">
      <c r="B91" s="93"/>
      <c r="C91" s="93"/>
      <c r="D91" s="77"/>
      <c r="E91" s="77"/>
      <c r="F91" s="82"/>
      <c r="G91" s="82"/>
      <c r="H91" s="82"/>
      <c r="I91" s="82"/>
      <c r="J91" s="82"/>
      <c r="K91" s="82"/>
      <c r="L91" s="82"/>
      <c r="M91" s="77"/>
      <c r="N91" s="77"/>
      <c r="O91" s="77"/>
      <c r="P91" s="93"/>
      <c r="Q91" s="93"/>
    </row>
    <row r="92" spans="1:17" s="73" customFormat="1" ht="18" x14ac:dyDescent="0.25">
      <c r="B92" s="93"/>
      <c r="C92" s="93"/>
      <c r="P92" s="93"/>
      <c r="Q92" s="93"/>
    </row>
    <row r="93" spans="1:17" s="73" customFormat="1" ht="19.5" x14ac:dyDescent="0.25">
      <c r="A93" s="142"/>
      <c r="B93" s="141"/>
      <c r="C93" s="141"/>
      <c r="D93" s="142"/>
      <c r="E93" s="142"/>
      <c r="P93" s="141"/>
      <c r="Q93" s="141"/>
    </row>
    <row r="94" spans="1:17" s="73" customFormat="1" ht="19.5" x14ac:dyDescent="0.25">
      <c r="A94" s="142"/>
      <c r="B94" s="141"/>
      <c r="C94" s="141"/>
      <c r="D94" s="142"/>
      <c r="E94" s="142"/>
      <c r="P94" s="141"/>
      <c r="Q94" s="141"/>
    </row>
    <row r="95" spans="1:17" ht="19.5" x14ac:dyDescent="0.25">
      <c r="A95" s="142"/>
      <c r="B95" s="141"/>
      <c r="C95" s="141"/>
      <c r="D95" s="142"/>
      <c r="E95" s="142"/>
      <c r="F95" s="142"/>
      <c r="G95" s="142"/>
      <c r="H95" s="142"/>
      <c r="I95" s="142"/>
      <c r="J95" s="142"/>
      <c r="K95" s="142"/>
      <c r="L95" s="142"/>
      <c r="M95" s="142"/>
      <c r="N95" s="142"/>
      <c r="O95" s="142"/>
      <c r="P95" s="141"/>
      <c r="Q95" s="141"/>
    </row>
    <row r="96" spans="1:17" ht="16.5" x14ac:dyDescent="0.25">
      <c r="A96" s="145"/>
      <c r="B96" s="144"/>
      <c r="C96" s="144"/>
      <c r="D96" s="145"/>
      <c r="E96" s="145"/>
      <c r="F96" s="145"/>
      <c r="G96" s="145"/>
      <c r="H96" s="145"/>
      <c r="I96" s="145"/>
      <c r="J96" s="145"/>
      <c r="K96" s="145"/>
      <c r="L96" s="145"/>
      <c r="M96" s="145"/>
      <c r="N96" s="145"/>
      <c r="O96" s="145"/>
      <c r="P96" s="144"/>
      <c r="Q96" s="144"/>
    </row>
    <row r="97" spans="1:17" ht="16.5" x14ac:dyDescent="0.25">
      <c r="A97" s="145"/>
      <c r="B97" s="144"/>
      <c r="C97" s="144"/>
      <c r="D97" s="145"/>
      <c r="E97" s="145"/>
      <c r="F97" s="145"/>
      <c r="G97" s="145"/>
      <c r="H97" s="145"/>
      <c r="I97" s="145"/>
      <c r="J97" s="145"/>
      <c r="K97" s="145"/>
      <c r="L97" s="145"/>
      <c r="M97" s="145"/>
      <c r="N97" s="145"/>
      <c r="O97" s="145"/>
      <c r="P97" s="144"/>
      <c r="Q97" s="144"/>
    </row>
    <row r="98" spans="1:17" ht="16.5" x14ac:dyDescent="0.25">
      <c r="A98" s="145"/>
      <c r="B98" s="144"/>
      <c r="C98" s="144"/>
      <c r="D98" s="145"/>
      <c r="E98" s="145"/>
      <c r="F98" s="145"/>
      <c r="G98" s="145"/>
      <c r="H98" s="145"/>
      <c r="I98" s="145"/>
      <c r="J98" s="145"/>
      <c r="K98" s="145"/>
      <c r="L98" s="145"/>
      <c r="M98" s="145"/>
      <c r="N98" s="145"/>
      <c r="O98" s="145"/>
      <c r="P98" s="144"/>
      <c r="Q98" s="144"/>
    </row>
    <row r="99" spans="1:17" ht="20.100000000000001" customHeight="1" x14ac:dyDescent="0.25">
      <c r="A99" s="145"/>
      <c r="B99" s="144"/>
      <c r="C99" s="144"/>
      <c r="D99" s="145"/>
      <c r="E99" s="145"/>
      <c r="F99" s="145"/>
      <c r="G99" s="145"/>
      <c r="H99" s="145"/>
      <c r="I99" s="145"/>
      <c r="J99" s="145"/>
      <c r="K99" s="145"/>
      <c r="L99" s="145"/>
      <c r="M99" s="145"/>
      <c r="N99" s="145"/>
      <c r="O99" s="145"/>
      <c r="P99" s="144"/>
      <c r="Q99" s="144"/>
    </row>
    <row r="100" spans="1:17" ht="20.100000000000001" customHeight="1" x14ac:dyDescent="0.25">
      <c r="C100" s="144"/>
      <c r="P100" s="144"/>
    </row>
    <row r="101" spans="1:17" ht="20.100000000000001" customHeight="1" x14ac:dyDescent="0.25">
      <c r="P101" s="144"/>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17.100000000000001" customHeight="1" x14ac:dyDescent="0.25"/>
    <row r="110" spans="1:17" ht="17.100000000000001" customHeight="1" x14ac:dyDescent="0.25"/>
    <row r="111" spans="1:17" ht="17.100000000000001" customHeight="1" x14ac:dyDescent="0.25"/>
    <row r="142" spans="7:12" ht="18" customHeight="1" x14ac:dyDescent="0.25">
      <c r="G142" s="192" t="s">
        <v>336</v>
      </c>
      <c r="H142" s="192"/>
      <c r="I142" s="192"/>
      <c r="J142" s="192"/>
      <c r="K142" s="192"/>
      <c r="L142" s="193"/>
    </row>
    <row r="143" spans="7:12" ht="18" customHeight="1" x14ac:dyDescent="0.25">
      <c r="G143" s="146" t="s">
        <v>335</v>
      </c>
      <c r="H143" s="146"/>
      <c r="I143" s="146"/>
      <c r="J143" s="146"/>
      <c r="K143" s="146"/>
      <c r="L143" s="194"/>
    </row>
  </sheetData>
  <mergeCells count="61">
    <mergeCell ref="G85:L85"/>
    <mergeCell ref="N35:O39"/>
    <mergeCell ref="F47:G47"/>
    <mergeCell ref="G83:H83"/>
    <mergeCell ref="I83:J83"/>
    <mergeCell ref="K83:L83"/>
    <mergeCell ref="G71:I71"/>
    <mergeCell ref="F78:L78"/>
    <mergeCell ref="F42:L42"/>
    <mergeCell ref="F37:H37"/>
    <mergeCell ref="F40:I40"/>
    <mergeCell ref="F79:L79"/>
    <mergeCell ref="F80:L80"/>
    <mergeCell ref="F64:L64"/>
    <mergeCell ref="F51:G51"/>
    <mergeCell ref="G18:J18"/>
    <mergeCell ref="F56:L56"/>
    <mergeCell ref="F58:G58"/>
    <mergeCell ref="F57:G57"/>
    <mergeCell ref="I38:I39"/>
    <mergeCell ref="F53:L54"/>
    <mergeCell ref="L38:L39"/>
    <mergeCell ref="F20:L20"/>
    <mergeCell ref="G22:J22"/>
    <mergeCell ref="F44:G44"/>
    <mergeCell ref="F45:G45"/>
    <mergeCell ref="F46:G46"/>
    <mergeCell ref="I24:J24"/>
    <mergeCell ref="F24:G24"/>
    <mergeCell ref="F88:L89"/>
    <mergeCell ref="F87:L87"/>
    <mergeCell ref="G84:I84"/>
    <mergeCell ref="J84:L84"/>
    <mergeCell ref="F65:L65"/>
    <mergeCell ref="F66:L66"/>
    <mergeCell ref="F81:L81"/>
    <mergeCell ref="G82:H82"/>
    <mergeCell ref="I82:L82"/>
    <mergeCell ref="F77:L77"/>
    <mergeCell ref="F76:L76"/>
    <mergeCell ref="F74:H74"/>
    <mergeCell ref="F67:L67"/>
    <mergeCell ref="G69:I69"/>
    <mergeCell ref="G70:I70"/>
    <mergeCell ref="G72:I72"/>
    <mergeCell ref="G2:I2"/>
    <mergeCell ref="F52:G52"/>
    <mergeCell ref="F50:G50"/>
    <mergeCell ref="G4:I4"/>
    <mergeCell ref="F9:L9"/>
    <mergeCell ref="G11:J11"/>
    <mergeCell ref="G12:J12"/>
    <mergeCell ref="G13:J13"/>
    <mergeCell ref="G14:J14"/>
    <mergeCell ref="G15:J15"/>
    <mergeCell ref="F48:G48"/>
    <mergeCell ref="L4:N4"/>
    <mergeCell ref="G16:J16"/>
    <mergeCell ref="G17:J17"/>
    <mergeCell ref="F49:G49"/>
    <mergeCell ref="G6:I7"/>
  </mergeCells>
  <conditionalFormatting sqref="G85:L85">
    <cfRule type="containsText" dxfId="27" priority="1" operator="containsText" text="NO FACTIBLE">
      <formula>NOT(ISERROR(SEARCH("NO FACTIBLE",G85)))</formula>
    </cfRule>
    <cfRule type="containsText" dxfId="26" priority="2" operator="containsText" text="FACTIBLE">
      <formula>NOT(ISERROR(SEARCH("FACTIBLE",G85)))</formula>
    </cfRule>
  </conditionalFormatting>
  <conditionalFormatting sqref="I38">
    <cfRule type="cellIs" dxfId="23" priority="5" operator="equal">
      <formula>"""NO CUMPLE"""</formula>
    </cfRule>
    <cfRule type="cellIs" dxfId="22" priority="6" operator="equal">
      <formula>"""SI CUMPLE"""</formula>
    </cfRule>
  </conditionalFormatting>
  <conditionalFormatting sqref="I44:I52 I55">
    <cfRule type="cellIs" dxfId="19" priority="13" operator="equal">
      <formula>"""NO CUMPLE"""</formula>
    </cfRule>
    <cfRule type="cellIs" dxfId="18" priority="14" operator="equal">
      <formula>"""SI CUMPLE"""</formula>
    </cfRule>
  </conditionalFormatting>
  <conditionalFormatting sqref="L25 J30:K30">
    <cfRule type="cellIs" dxfId="15" priority="25" operator="equal">
      <formula>"""NO CUMPLE"""</formula>
    </cfRule>
    <cfRule type="cellIs" dxfId="14" priority="26" operator="equal">
      <formula>"""SI CUMPLE"""</formula>
    </cfRule>
  </conditionalFormatting>
  <conditionalFormatting sqref="L26:M36">
    <cfRule type="cellIs" dxfId="11" priority="9" operator="equal">
      <formula>"""NO CUMPLE"""</formula>
    </cfRule>
    <cfRule type="cellIs" dxfId="10" priority="10" operator="equal">
      <formula>"""SI CUMPLE"""</formula>
    </cfRule>
  </conditionalFormatting>
  <conditionalFormatting sqref="N35:N36">
    <cfRule type="containsText" dxfId="9" priority="27" operator="containsText" text="&quot;NO ESTA SUJETO A CARGAS URBANISTICAS&quot;">
      <formula>NOT(ISERROR(SEARCH("""NO ESTA SUJETO A CARGAS URBANISTICAS""",N35)))</formula>
    </cfRule>
  </conditionalFormatting>
  <dataValidations count="1">
    <dataValidation type="list" allowBlank="1" showInputMessage="1" showErrorMessage="1" sqref="G85:L85" xr:uid="{00000000-0002-0000-0300-000000000000}">
      <formula1>$G$142:$G$143</formula1>
    </dataValidation>
  </dataValidations>
  <printOptions horizontalCentered="1"/>
  <pageMargins left="0" right="0" top="0" bottom="0" header="0" footer="0"/>
  <pageSetup paperSize="14" scale="43" orientation="portrait" copies="2" r:id="rId1"/>
  <drawing r:id="rId2"/>
  <extLst>
    <ext xmlns:x14="http://schemas.microsoft.com/office/spreadsheetml/2009/9/main" uri="{78C0D931-6437-407d-A8EE-F0AAD7539E65}">
      <x14:conditionalFormattings>
        <x14:conditionalFormatting xmlns:xm="http://schemas.microsoft.com/office/excel/2006/main">
          <x14:cfRule type="containsText" priority="29" operator="containsText" id="{6B319BA1-58E2-4048-BD96-F9AAA67364BE}">
            <xm:f>NOT(ISERROR(SEARCH(tabla!$G$10,G22)))</xm:f>
            <xm:f>tabla!$G$10</xm:f>
            <x14:dxf>
              <fill>
                <patternFill>
                  <bgColor theme="9"/>
                </patternFill>
              </fill>
            </x14:dxf>
          </x14:cfRule>
          <x14:cfRule type="containsText" priority="30" operator="containsText" id="{FE42E295-018D-4672-9AC4-B7AF79E9CB19}">
            <xm:f>NOT(ISERROR(SEARCH(tabla!$G$10,G22)))</xm:f>
            <xm:f>tabla!$G$10</xm:f>
            <x14:dxf>
              <font>
                <color rgb="FF9C0006"/>
              </font>
              <fill>
                <patternFill>
                  <bgColor rgb="FFFFC7CE"/>
                </patternFill>
              </fill>
            </x14:dxf>
          </x14:cfRule>
          <x14:cfRule type="containsText" priority="31" operator="containsText" id="{F16D22A8-AE8F-4E2D-BBE2-B0BCB2AB4F70}">
            <xm:f>NOT(ISERROR(SEARCH(tabla!$G$9,G22)))</xm:f>
            <xm:f>tabla!$G$9</xm:f>
            <x14:dxf>
              <fill>
                <patternFill>
                  <bgColor rgb="FFFFFF00"/>
                </patternFill>
              </fill>
            </x14:dxf>
          </x14:cfRule>
          <x14:cfRule type="containsText" priority="32" operator="containsText" id="{0608BABE-3EE0-4811-A9C8-C19A0D27396C}">
            <xm:f>NOT(ISERROR(SEARCH(tabla!$G$8,G22)))</xm:f>
            <xm:f>tabla!$G$8</xm:f>
            <x14:dxf>
              <fill>
                <patternFill>
                  <bgColor theme="7"/>
                </patternFill>
              </fill>
            </x14:dxf>
          </x14:cfRule>
          <x14:cfRule type="containsText" priority="33" operator="containsText" id="{8CC37EEE-42E4-452A-AA89-2E3E567275DF}">
            <xm:f>NOT(ISERROR(SEARCH(tabla!$G$8,G22)))</xm:f>
            <xm:f>tabla!$G$8</xm:f>
            <x14:dxf>
              <font>
                <color rgb="FF9C0006"/>
              </font>
              <fill>
                <patternFill>
                  <bgColor rgb="FFFFC7CE"/>
                </patternFill>
              </fill>
            </x14:dxf>
          </x14:cfRule>
          <x14:cfRule type="containsText" priority="34" operator="containsText" id="{97C8B262-AA1C-41A5-832B-34E29A3FC49E}">
            <xm:f>NOT(ISERROR(SEARCH(tabla!$G$7,G22)))</xm:f>
            <xm:f>tabla!$G$7</xm:f>
            <x14:dxf>
              <fill>
                <patternFill>
                  <bgColor rgb="FFFF6600"/>
                </patternFill>
              </fill>
            </x14:dxf>
          </x14:cfRule>
          <x14:cfRule type="containsText" priority="35" operator="containsText" id="{0B5AD24B-EC3A-4E16-88DB-1CC88EBF74CE}">
            <xm:f>NOT(ISERROR(SEARCH(tabla!$G$6,G22)))</xm:f>
            <xm:f>tabla!$G$6</xm:f>
            <x14:dxf>
              <fill>
                <patternFill>
                  <bgColor rgb="FFC00000"/>
                </patternFill>
              </fill>
            </x14:dxf>
          </x14:cfRule>
          <x14:cfRule type="containsText" priority="36" operator="containsText" id="{4D7F90F0-9F30-4FA7-8429-A2787B8A1E92}">
            <xm:f>NOT(ISERROR(SEARCH(tabla!$G$5,G22)))</xm:f>
            <xm:f>tabla!$G$5</xm:f>
            <x14:dxf>
              <fill>
                <patternFill>
                  <bgColor theme="7" tint="0.59996337778862885"/>
                </patternFill>
              </fill>
            </x14:dxf>
          </x14:cfRule>
          <x14:cfRule type="containsText" priority="37" operator="containsText" id="{DA051934-02B7-415A-829C-3AE4B32EF84D}">
            <xm:f>NOT(ISERROR(SEARCH(tabla!$G$4,G22)))</xm:f>
            <xm:f>tabla!$G$4</xm:f>
            <x14:dxf>
              <fill>
                <patternFill>
                  <bgColor rgb="FFCC9900"/>
                </patternFill>
              </fill>
            </x14:dxf>
          </x14:cfRule>
          <xm:sqref>G22:I23 I24</xm:sqref>
        </x14:conditionalFormatting>
        <x14:conditionalFormatting xmlns:xm="http://schemas.microsoft.com/office/excel/2006/main">
          <x14:cfRule type="cellIs" priority="3" operator="equal" id="{B3409999-098A-4BE1-9B53-7B45EDBA3866}">
            <xm:f>tabla!$I$14</xm:f>
            <x14:dxf>
              <font>
                <color rgb="FF9C0006"/>
              </font>
              <fill>
                <patternFill>
                  <bgColor rgb="FFFFC7CE"/>
                </patternFill>
              </fill>
            </x14:dxf>
          </x14:cfRule>
          <x14:cfRule type="cellIs" priority="4" operator="equal" id="{BCCB0D77-48F9-408B-A26D-DE3D3A451C78}">
            <xm:f>tabla!$I$13</xm:f>
            <x14:dxf>
              <font>
                <color rgb="FF006100"/>
              </font>
              <fill>
                <patternFill>
                  <bgColor rgb="FFC6EFCE"/>
                </patternFill>
              </fill>
            </x14:dxf>
          </x14:cfRule>
          <xm:sqref>I38</xm:sqref>
        </x14:conditionalFormatting>
        <x14:conditionalFormatting xmlns:xm="http://schemas.microsoft.com/office/excel/2006/main">
          <x14:cfRule type="cellIs" priority="11" operator="equal" id="{3C91FC56-CE62-4479-8EA9-22D97D12675E}">
            <xm:f>tabla!$I$14</xm:f>
            <x14:dxf>
              <font>
                <color rgb="FF9C0006"/>
              </font>
              <fill>
                <patternFill>
                  <bgColor rgb="FFFFC7CE"/>
                </patternFill>
              </fill>
            </x14:dxf>
          </x14:cfRule>
          <x14:cfRule type="cellIs" priority="12" operator="equal" id="{BD812087-0E19-46EA-B40D-3ABB56D2AC9C}">
            <xm:f>tabla!$I$13</xm:f>
            <x14:dxf>
              <font>
                <color rgb="FF006100"/>
              </font>
              <fill>
                <patternFill>
                  <bgColor rgb="FFC6EFCE"/>
                </patternFill>
              </fill>
            </x14:dxf>
          </x14:cfRule>
          <xm:sqref>I44:I52 I55</xm:sqref>
        </x14:conditionalFormatting>
        <x14:conditionalFormatting xmlns:xm="http://schemas.microsoft.com/office/excel/2006/main">
          <x14:cfRule type="cellIs" priority="23" operator="equal" id="{FE66856B-7CE8-4D0B-B5FD-E9EAC07D904A}">
            <xm:f>tabla!$I$14</xm:f>
            <x14:dxf>
              <font>
                <color rgb="FF9C0006"/>
              </font>
              <fill>
                <patternFill>
                  <bgColor rgb="FFFFC7CE"/>
                </patternFill>
              </fill>
            </x14:dxf>
          </x14:cfRule>
          <x14:cfRule type="cellIs" priority="24" operator="equal" id="{33A875C7-B984-4DDB-B5A7-3B968BCBA016}">
            <xm:f>tabla!$I$13</xm:f>
            <x14:dxf>
              <font>
                <color rgb="FF006100"/>
              </font>
              <fill>
                <patternFill>
                  <bgColor rgb="FFC6EFCE"/>
                </patternFill>
              </fill>
            </x14:dxf>
          </x14:cfRule>
          <xm:sqref>L25 J30:K30</xm:sqref>
        </x14:conditionalFormatting>
        <x14:conditionalFormatting xmlns:xm="http://schemas.microsoft.com/office/excel/2006/main">
          <x14:cfRule type="cellIs" priority="7" operator="equal" id="{A19A1AC2-F848-4049-8513-6D3D95911963}">
            <xm:f>tabla!$I$14</xm:f>
            <x14:dxf>
              <font>
                <color rgb="FF9C0006"/>
              </font>
              <fill>
                <patternFill>
                  <bgColor rgb="FFFFC7CE"/>
                </patternFill>
              </fill>
            </x14:dxf>
          </x14:cfRule>
          <x14:cfRule type="cellIs" priority="8" operator="equal" id="{47F03D58-3F0F-44D3-BF14-02EDBC830A26}">
            <xm:f>tabla!$I$13</xm:f>
            <x14:dxf>
              <font>
                <color rgb="FF006100"/>
              </font>
              <fill>
                <patternFill>
                  <bgColor rgb="FFC6EFCE"/>
                </patternFill>
              </fill>
            </x14:dxf>
          </x14:cfRule>
          <xm:sqref>L26:M36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tabla!$I$13:$I$14</xm:f>
          </x14:formula1>
          <xm:sqref>I38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S23"/>
  <sheetViews>
    <sheetView zoomScale="85" zoomScaleNormal="85" zoomScaleSheetLayoutView="70" workbookViewId="0">
      <selection activeCell="C27" sqref="C27"/>
    </sheetView>
  </sheetViews>
  <sheetFormatPr baseColWidth="10" defaultRowHeight="15" x14ac:dyDescent="0.25"/>
  <cols>
    <col min="2" max="2" width="52.85546875" bestFit="1" customWidth="1"/>
    <col min="3" max="3" width="11.42578125" style="11"/>
    <col min="5" max="5" width="53.7109375" customWidth="1"/>
    <col min="6" max="6" width="12.7109375" style="11" customWidth="1"/>
    <col min="15" max="15" width="13" hidden="1" customWidth="1"/>
    <col min="16" max="16" width="14" hidden="1" customWidth="1"/>
  </cols>
  <sheetData>
    <row r="1" spans="1:45" ht="15.75" thickBot="1" x14ac:dyDescent="0.3">
      <c r="E1" s="162"/>
    </row>
    <row r="2" spans="1:45" ht="15" customHeight="1" thickBot="1" x14ac:dyDescent="0.3">
      <c r="E2" s="163" t="s">
        <v>323</v>
      </c>
      <c r="F2" s="164">
        <f>ROUND((((100000*2.6/-(0.000085*POWER((C4*3-1),5)+13))+25000)/100000)*C$3,2)</f>
        <v>0</v>
      </c>
    </row>
    <row r="3" spans="1:45" ht="21.75" thickBot="1" x14ac:dyDescent="0.4">
      <c r="A3" s="165">
        <v>1</v>
      </c>
      <c r="B3" s="166" t="s">
        <v>324</v>
      </c>
      <c r="C3" s="167">
        <v>0</v>
      </c>
      <c r="D3" s="168"/>
      <c r="E3" s="169">
        <f>F4</f>
        <v>0</v>
      </c>
      <c r="F3" s="11">
        <f>IF((C6="NO"),(F2*1.3),F2)</f>
        <v>0</v>
      </c>
      <c r="AS3" t="s">
        <v>325</v>
      </c>
    </row>
    <row r="4" spans="1:45" x14ac:dyDescent="0.25">
      <c r="A4" s="170">
        <v>2</v>
      </c>
      <c r="B4" s="171" t="s">
        <v>326</v>
      </c>
      <c r="C4" s="172">
        <v>0</v>
      </c>
      <c r="F4" s="11">
        <f>ROUND(IF(C5="SI",F3*0.85,F3), 2)</f>
        <v>0</v>
      </c>
      <c r="AS4" t="s">
        <v>71</v>
      </c>
    </row>
    <row r="5" spans="1:45" x14ac:dyDescent="0.25">
      <c r="A5" s="170">
        <v>3</v>
      </c>
      <c r="B5" s="171" t="s">
        <v>327</v>
      </c>
      <c r="C5" s="173" t="s">
        <v>71</v>
      </c>
    </row>
    <row r="6" spans="1:45" ht="15.75" thickBot="1" x14ac:dyDescent="0.3">
      <c r="A6" s="174">
        <v>4</v>
      </c>
      <c r="B6" s="175" t="s">
        <v>328</v>
      </c>
      <c r="C6" s="176" t="s">
        <v>325</v>
      </c>
    </row>
    <row r="18" spans="2:4" ht="15.75" thickBot="1" x14ac:dyDescent="0.3"/>
    <row r="19" spans="2:4" x14ac:dyDescent="0.25">
      <c r="B19" s="177" t="s">
        <v>329</v>
      </c>
      <c r="C19" s="178">
        <v>0</v>
      </c>
      <c r="D19" s="179"/>
    </row>
    <row r="20" spans="2:4" ht="15.75" thickBot="1" x14ac:dyDescent="0.3">
      <c r="B20" s="180" t="s">
        <v>330</v>
      </c>
      <c r="C20" s="181">
        <f>+FACTIBILIDAD!D35</f>
        <v>200</v>
      </c>
      <c r="D20" s="182" t="s">
        <v>31</v>
      </c>
    </row>
    <row r="21" spans="2:4" x14ac:dyDescent="0.25">
      <c r="B21" s="183" t="s">
        <v>331</v>
      </c>
      <c r="C21" s="184">
        <f>+(C19*C20)/(1-C19)</f>
        <v>0</v>
      </c>
      <c r="D21" s="185" t="s">
        <v>31</v>
      </c>
    </row>
    <row r="22" spans="2:4" ht="15.75" thickBot="1" x14ac:dyDescent="0.3">
      <c r="B22" s="186" t="s">
        <v>332</v>
      </c>
      <c r="C22" s="187">
        <f>+C20+C21</f>
        <v>200</v>
      </c>
      <c r="D22" s="188" t="s">
        <v>31</v>
      </c>
    </row>
    <row r="23" spans="2:4" x14ac:dyDescent="0.25">
      <c r="B23" s="6"/>
      <c r="C23" s="189"/>
    </row>
  </sheetData>
  <dataValidations count="1">
    <dataValidation type="list" allowBlank="1" showInputMessage="1" showErrorMessage="1" sqref="C5:C6" xr:uid="{00000000-0002-0000-0400-000000000000}">
      <formula1>$AS$3:$AS$4</formula1>
    </dataValidation>
  </dataValidations>
  <pageMargins left="0.7" right="0.7" top="0.75" bottom="0.75" header="0.3" footer="0.3"/>
  <pageSetup paperSize="9" orientation="portrait"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Q90"/>
  <sheetViews>
    <sheetView zoomScale="10" zoomScaleNormal="10" workbookViewId="0">
      <selection activeCell="F24" sqref="F24"/>
    </sheetView>
  </sheetViews>
  <sheetFormatPr baseColWidth="10" defaultColWidth="11.42578125" defaultRowHeight="13.5" x14ac:dyDescent="0.25"/>
  <cols>
    <col min="1" max="2" width="4.85546875" style="62" customWidth="1"/>
    <col min="3" max="4" width="4.85546875" style="61" customWidth="1"/>
    <col min="5" max="5" width="5.28515625" style="61" customWidth="1"/>
    <col min="6" max="6" width="47" style="61" customWidth="1"/>
    <col min="7" max="7" width="9.42578125" style="61" customWidth="1"/>
    <col min="8" max="8" width="12" style="61" customWidth="1"/>
    <col min="9" max="9" width="44.28515625" style="61" customWidth="1"/>
    <col min="10" max="10" width="20" style="61" customWidth="1"/>
    <col min="11" max="11" width="12.28515625" style="61" customWidth="1"/>
    <col min="12" max="12" width="33.85546875" style="61" customWidth="1"/>
    <col min="13" max="13" width="5.7109375" style="61" customWidth="1"/>
    <col min="14" max="14" width="5.42578125" style="61" customWidth="1"/>
    <col min="15" max="15" width="9" style="61" hidden="1" customWidth="1"/>
    <col min="16" max="16" width="5.42578125" style="62" customWidth="1"/>
    <col min="17" max="17" width="9.140625" style="62" customWidth="1"/>
    <col min="18" max="18" width="11.42578125" style="61"/>
    <col min="19" max="19" width="17.85546875" style="61" bestFit="1" customWidth="1"/>
    <col min="20" max="16384" width="11.42578125" style="61"/>
  </cols>
  <sheetData>
    <row r="1" spans="1:17" s="63" customFormat="1" ht="18" x14ac:dyDescent="0.25">
      <c r="A1" s="66"/>
      <c r="B1" s="66"/>
      <c r="C1" s="66"/>
      <c r="D1" s="67"/>
      <c r="E1" s="67"/>
      <c r="F1" s="67"/>
      <c r="G1" s="67"/>
      <c r="H1" s="67"/>
      <c r="I1" s="67"/>
      <c r="J1" s="67"/>
      <c r="K1" s="67"/>
      <c r="L1" s="67"/>
      <c r="M1" s="67"/>
      <c r="N1" s="67"/>
      <c r="O1" s="67"/>
      <c r="P1" s="66"/>
      <c r="Q1" s="66"/>
    </row>
    <row r="2" spans="1:17" s="63" customFormat="1" ht="18" x14ac:dyDescent="0.25">
      <c r="A2" s="66"/>
      <c r="B2" s="66"/>
      <c r="C2" s="66"/>
      <c r="D2" s="68"/>
      <c r="E2" s="69"/>
      <c r="F2" s="69"/>
      <c r="G2" s="290"/>
      <c r="H2" s="290"/>
      <c r="I2" s="290"/>
      <c r="J2" s="69"/>
      <c r="K2" s="69"/>
      <c r="L2" s="69"/>
      <c r="M2" s="69"/>
      <c r="N2" s="69"/>
      <c r="O2" s="69"/>
      <c r="P2" s="66"/>
      <c r="Q2" s="66"/>
    </row>
    <row r="3" spans="1:17" s="63" customFormat="1" ht="18.75" thickBot="1" x14ac:dyDescent="0.3">
      <c r="A3" s="66"/>
      <c r="B3" s="66"/>
      <c r="C3" s="66"/>
      <c r="P3" s="66"/>
      <c r="Q3" s="66"/>
    </row>
    <row r="4" spans="1:17" s="63" customFormat="1" ht="45.75" customHeight="1" x14ac:dyDescent="0.3">
      <c r="A4" s="66"/>
      <c r="B4" s="66"/>
      <c r="C4" s="66"/>
      <c r="G4" s="291" t="s">
        <v>279</v>
      </c>
      <c r="H4" s="292"/>
      <c r="I4" s="292"/>
      <c r="P4" s="66"/>
      <c r="Q4" s="66"/>
    </row>
    <row r="5" spans="1:17" s="63" customFormat="1" ht="18.75" thickBot="1" x14ac:dyDescent="0.3">
      <c r="A5" s="66"/>
      <c r="B5" s="66"/>
      <c r="C5" s="66"/>
      <c r="P5" s="66"/>
      <c r="Q5" s="66"/>
    </row>
    <row r="6" spans="1:17" s="63" customFormat="1" ht="21" customHeight="1" x14ac:dyDescent="0.25">
      <c r="A6" s="66"/>
      <c r="B6" s="66"/>
      <c r="C6" s="66"/>
      <c r="G6" s="234" t="s">
        <v>90</v>
      </c>
      <c r="H6" s="235"/>
      <c r="I6" s="236"/>
      <c r="P6" s="66"/>
      <c r="Q6" s="66"/>
    </row>
    <row r="7" spans="1:17" s="63" customFormat="1" ht="9.75" customHeight="1" x14ac:dyDescent="0.25">
      <c r="A7" s="66"/>
      <c r="B7" s="66"/>
      <c r="C7" s="66"/>
      <c r="G7" s="237"/>
      <c r="H7" s="238"/>
      <c r="I7" s="239"/>
      <c r="P7" s="66"/>
      <c r="Q7" s="66"/>
    </row>
    <row r="8" spans="1:17" s="63" customFormat="1" ht="18.75" thickBot="1" x14ac:dyDescent="0.3">
      <c r="A8" s="66"/>
      <c r="B8" s="66"/>
      <c r="C8" s="66"/>
      <c r="F8" s="82"/>
      <c r="P8" s="66"/>
      <c r="Q8" s="66"/>
    </row>
    <row r="9" spans="1:17" s="63" customFormat="1" ht="23.25" customHeight="1" x14ac:dyDescent="0.3">
      <c r="A9" s="66"/>
      <c r="B9" s="66"/>
      <c r="C9" s="66"/>
      <c r="F9" s="293" t="s">
        <v>251</v>
      </c>
      <c r="G9" s="294"/>
      <c r="H9" s="294"/>
      <c r="I9" s="294"/>
      <c r="J9" s="294"/>
      <c r="K9" s="294"/>
      <c r="L9" s="295"/>
      <c r="P9" s="66"/>
      <c r="Q9" s="66"/>
    </row>
    <row r="10" spans="1:17" s="63" customFormat="1" ht="18.75" thickBot="1" x14ac:dyDescent="0.3">
      <c r="A10" s="66"/>
      <c r="B10" s="66"/>
      <c r="C10" s="66"/>
      <c r="P10" s="66"/>
      <c r="Q10" s="66"/>
    </row>
    <row r="11" spans="1:17" s="63" customFormat="1" ht="20.25" x14ac:dyDescent="0.3">
      <c r="A11" s="66"/>
      <c r="B11" s="66"/>
      <c r="C11" s="66"/>
      <c r="F11" s="67" t="s">
        <v>229</v>
      </c>
      <c r="G11" s="291" t="str">
        <f>FACTIBILIDAD!D11</f>
        <v> RPNC1-4240426</v>
      </c>
      <c r="H11" s="292"/>
      <c r="I11" s="292"/>
      <c r="J11" s="296"/>
      <c r="P11" s="66"/>
      <c r="Q11" s="66"/>
    </row>
    <row r="12" spans="1:17" s="63" customFormat="1" ht="22.5" customHeight="1" x14ac:dyDescent="0.25">
      <c r="A12" s="66"/>
      <c r="B12" s="66"/>
      <c r="C12" s="66"/>
      <c r="F12" s="67" t="s">
        <v>175</v>
      </c>
      <c r="G12" s="287" t="str">
        <f>FACTIBILIDAD!D9</f>
        <v> CAJAS ITZEP, RAFAEL SALVADOR</v>
      </c>
      <c r="H12" s="288"/>
      <c r="I12" s="288"/>
      <c r="J12" s="289"/>
      <c r="P12" s="66"/>
      <c r="Q12" s="66"/>
    </row>
    <row r="13" spans="1:17" s="63" customFormat="1" ht="18.75" customHeight="1" x14ac:dyDescent="0.25">
      <c r="A13" s="66"/>
      <c r="B13" s="66"/>
      <c r="C13" s="66"/>
      <c r="F13" s="67" t="s">
        <v>233</v>
      </c>
      <c r="G13" s="287" t="str">
        <f>FACTIBILIDAD!D10</f>
        <v> 8va AVENIDA 0-10</v>
      </c>
      <c r="H13" s="288"/>
      <c r="I13" s="288"/>
      <c r="J13" s="289"/>
      <c r="P13" s="66"/>
      <c r="Q13" s="66"/>
    </row>
    <row r="14" spans="1:17" s="63" customFormat="1" ht="18.75" customHeight="1" x14ac:dyDescent="0.25">
      <c r="A14" s="66"/>
      <c r="B14" s="66"/>
      <c r="C14" s="66"/>
      <c r="F14" s="67" t="s">
        <v>176</v>
      </c>
      <c r="G14" s="287">
        <f ca="1">FACTIBILIDAD!D8</f>
        <v>46180</v>
      </c>
      <c r="H14" s="288"/>
      <c r="I14" s="288"/>
      <c r="J14" s="289"/>
      <c r="P14" s="66"/>
      <c r="Q14" s="66"/>
    </row>
    <row r="15" spans="1:17" s="63" customFormat="1" ht="18.75" customHeight="1" x14ac:dyDescent="0.25">
      <c r="A15" s="66"/>
      <c r="B15" s="66"/>
      <c r="C15" s="66"/>
      <c r="F15" s="67" t="s">
        <v>235</v>
      </c>
      <c r="G15" s="287" t="str">
        <f>FACTIBILIDAD!D12</f>
        <v xml:space="preserve">UNIFAMILIAR </v>
      </c>
      <c r="H15" s="288"/>
      <c r="I15" s="288"/>
      <c r="J15" s="289"/>
      <c r="P15" s="66"/>
      <c r="Q15" s="66"/>
    </row>
    <row r="16" spans="1:17" s="63" customFormat="1" ht="18" x14ac:dyDescent="0.25">
      <c r="A16" s="66"/>
      <c r="B16" s="66"/>
      <c r="C16" s="66"/>
      <c r="F16" s="67" t="s">
        <v>239</v>
      </c>
      <c r="G16" s="287" t="str">
        <f>FACTIBILIDAD!D13</f>
        <v>F</v>
      </c>
      <c r="H16" s="288"/>
      <c r="I16" s="288"/>
      <c r="J16" s="289"/>
      <c r="P16" s="66"/>
      <c r="Q16" s="66"/>
    </row>
    <row r="17" spans="1:17" s="63" customFormat="1" ht="18" x14ac:dyDescent="0.25">
      <c r="A17" s="66"/>
      <c r="B17" s="66"/>
      <c r="C17" s="66"/>
      <c r="F17" s="67" t="s">
        <v>240</v>
      </c>
      <c r="G17" s="287" t="str">
        <f>FACTIBILIDAD!D14</f>
        <v>FOL</v>
      </c>
      <c r="H17" s="288"/>
      <c r="I17" s="288"/>
      <c r="J17" s="289"/>
      <c r="K17" s="69"/>
      <c r="L17" s="69"/>
      <c r="M17" s="69"/>
      <c r="N17" s="69"/>
      <c r="O17" s="69"/>
      <c r="P17" s="66"/>
      <c r="Q17" s="66"/>
    </row>
    <row r="18" spans="1:17" s="63" customFormat="1" ht="18.75" thickBot="1" x14ac:dyDescent="0.3">
      <c r="A18" s="66"/>
      <c r="B18" s="66"/>
      <c r="C18" s="66"/>
      <c r="F18" s="67" t="s">
        <v>241</v>
      </c>
      <c r="G18" s="301" t="str">
        <f>FACTIBILIDAD!D15</f>
        <v>LIB</v>
      </c>
      <c r="H18" s="302"/>
      <c r="I18" s="302"/>
      <c r="J18" s="303"/>
      <c r="P18" s="66"/>
      <c r="Q18" s="66"/>
    </row>
    <row r="19" spans="1:17" s="63" customFormat="1" ht="18.75" thickBot="1" x14ac:dyDescent="0.3">
      <c r="A19" s="66"/>
      <c r="B19" s="66"/>
      <c r="C19" s="66"/>
      <c r="F19" s="67"/>
      <c r="G19" s="69"/>
      <c r="H19" s="69"/>
      <c r="I19" s="69"/>
      <c r="J19" s="69"/>
      <c r="P19" s="66"/>
      <c r="Q19" s="66"/>
    </row>
    <row r="20" spans="1:17" s="63" customFormat="1" ht="20.25" x14ac:dyDescent="0.3">
      <c r="A20" s="66"/>
      <c r="B20" s="66"/>
      <c r="C20" s="66"/>
      <c r="F20" s="293" t="s">
        <v>280</v>
      </c>
      <c r="G20" s="294"/>
      <c r="H20" s="294"/>
      <c r="I20" s="294"/>
      <c r="J20" s="294"/>
      <c r="K20" s="294"/>
      <c r="L20" s="295"/>
      <c r="P20" s="66"/>
      <c r="Q20" s="66"/>
    </row>
    <row r="21" spans="1:17" s="63" customFormat="1" ht="18.75" thickBot="1" x14ac:dyDescent="0.3">
      <c r="A21" s="66"/>
      <c r="B21" s="66"/>
      <c r="C21" s="66"/>
      <c r="F21" s="67"/>
      <c r="K21" s="69" t="s">
        <v>39</v>
      </c>
      <c r="L21" s="69" t="s">
        <v>31</v>
      </c>
      <c r="P21" s="66"/>
      <c r="Q21" s="66"/>
    </row>
    <row r="22" spans="1:17" s="63" customFormat="1" ht="36" customHeight="1" thickBot="1" x14ac:dyDescent="0.3">
      <c r="A22" s="66"/>
      <c r="B22" s="66"/>
      <c r="C22" s="66"/>
      <c r="F22" s="85">
        <v>1</v>
      </c>
      <c r="G22" s="251" t="str">
        <f>FACTIBILIDAD!D19</f>
        <v>URBANO Q2 (URB-Q2)</v>
      </c>
      <c r="H22" s="252"/>
      <c r="I22" s="252"/>
      <c r="J22" s="252"/>
      <c r="K22" s="87"/>
      <c r="L22" s="88"/>
      <c r="P22" s="66"/>
      <c r="Q22" s="66"/>
    </row>
    <row r="23" spans="1:17" s="63" customFormat="1" ht="36" customHeight="1" thickBot="1" x14ac:dyDescent="0.3">
      <c r="A23" s="66"/>
      <c r="B23" s="66"/>
      <c r="C23" s="66"/>
      <c r="F23" s="85">
        <v>2</v>
      </c>
      <c r="G23" s="251"/>
      <c r="H23" s="252"/>
      <c r="I23" s="252"/>
      <c r="J23" s="252"/>
      <c r="K23" s="87"/>
      <c r="L23" s="88"/>
      <c r="P23" s="66"/>
      <c r="Q23" s="66"/>
    </row>
    <row r="24" spans="1:17" s="63" customFormat="1" ht="36.75" customHeight="1" thickBot="1" x14ac:dyDescent="0.3">
      <c r="A24" s="66"/>
      <c r="B24" s="66"/>
      <c r="C24" s="66"/>
      <c r="F24" s="85">
        <v>3</v>
      </c>
      <c r="G24" s="251"/>
      <c r="H24" s="252"/>
      <c r="I24" s="252"/>
      <c r="J24" s="252"/>
      <c r="K24" s="81"/>
      <c r="L24" s="88"/>
      <c r="P24" s="66"/>
      <c r="Q24" s="66"/>
    </row>
    <row r="25" spans="1:17" s="63" customFormat="1" ht="36.75" customHeight="1" thickBot="1" x14ac:dyDescent="0.3">
      <c r="A25" s="66"/>
      <c r="B25" s="66"/>
      <c r="C25" s="66"/>
      <c r="F25" s="85"/>
      <c r="G25" s="82"/>
      <c r="H25" s="82"/>
      <c r="I25" s="82"/>
      <c r="J25" s="82"/>
      <c r="K25" s="68"/>
      <c r="P25" s="66"/>
      <c r="Q25" s="66"/>
    </row>
    <row r="26" spans="1:17" s="63" customFormat="1" ht="20.25" x14ac:dyDescent="0.3">
      <c r="A26" s="66"/>
      <c r="B26" s="66"/>
      <c r="C26" s="66"/>
      <c r="F26" s="293" t="s">
        <v>281</v>
      </c>
      <c r="G26" s="294"/>
      <c r="H26" s="294"/>
      <c r="I26" s="294"/>
      <c r="J26" s="294"/>
      <c r="K26" s="294"/>
      <c r="L26" s="295"/>
      <c r="P26" s="66"/>
      <c r="Q26" s="66"/>
    </row>
    <row r="27" spans="1:17" s="63" customFormat="1" ht="21" thickBot="1" x14ac:dyDescent="0.35">
      <c r="A27" s="66"/>
      <c r="B27" s="66"/>
      <c r="C27" s="66"/>
      <c r="F27" s="86"/>
      <c r="G27" s="86"/>
      <c r="H27" s="86"/>
      <c r="I27" s="86"/>
      <c r="J27" s="86"/>
      <c r="K27" s="86"/>
      <c r="L27" s="86"/>
      <c r="P27" s="66"/>
      <c r="Q27" s="66"/>
    </row>
    <row r="28" spans="1:17" s="63" customFormat="1" ht="20.25" customHeight="1" x14ac:dyDescent="0.3">
      <c r="A28" s="66"/>
      <c r="B28" s="66"/>
      <c r="C28" s="66"/>
      <c r="G28" s="304" t="s">
        <v>283</v>
      </c>
      <c r="H28" s="305"/>
      <c r="I28" s="318"/>
      <c r="J28" s="319"/>
      <c r="K28" s="86"/>
      <c r="L28" s="86"/>
      <c r="P28" s="66"/>
      <c r="Q28" s="66"/>
    </row>
    <row r="29" spans="1:17" s="63" customFormat="1" ht="27" customHeight="1" thickBot="1" x14ac:dyDescent="0.3">
      <c r="A29" s="66"/>
      <c r="B29" s="66"/>
      <c r="C29" s="66"/>
      <c r="G29" s="306"/>
      <c r="H29" s="307"/>
      <c r="I29" s="320"/>
      <c r="J29" s="321"/>
      <c r="K29" s="83"/>
      <c r="L29" s="83"/>
      <c r="P29" s="66"/>
      <c r="Q29" s="66"/>
    </row>
    <row r="30" spans="1:17" s="63" customFormat="1" ht="19.5" customHeight="1" thickBot="1" x14ac:dyDescent="0.3">
      <c r="A30" s="66"/>
      <c r="B30" s="66"/>
      <c r="C30" s="66"/>
      <c r="F30" s="90"/>
      <c r="K30" s="83"/>
      <c r="L30" s="83"/>
      <c r="P30" s="66"/>
      <c r="Q30" s="66"/>
    </row>
    <row r="31" spans="1:17" s="63" customFormat="1" ht="19.5" customHeight="1" x14ac:dyDescent="0.25">
      <c r="A31" s="66"/>
      <c r="B31" s="66"/>
      <c r="C31" s="66"/>
      <c r="F31" s="322" t="s">
        <v>284</v>
      </c>
      <c r="G31" s="91">
        <v>1</v>
      </c>
      <c r="H31" s="297"/>
      <c r="I31" s="297"/>
      <c r="J31" s="297"/>
      <c r="K31" s="297"/>
      <c r="L31" s="298"/>
      <c r="P31" s="66"/>
      <c r="Q31" s="66"/>
    </row>
    <row r="32" spans="1:17" s="63" customFormat="1" ht="19.5" customHeight="1" x14ac:dyDescent="0.3">
      <c r="A32" s="66"/>
      <c r="B32" s="66"/>
      <c r="C32" s="66"/>
      <c r="F32" s="323"/>
      <c r="G32" s="84">
        <v>2</v>
      </c>
      <c r="H32" s="299"/>
      <c r="I32" s="299"/>
      <c r="J32" s="299"/>
      <c r="K32" s="299"/>
      <c r="L32" s="300"/>
      <c r="P32" s="66"/>
      <c r="Q32" s="66"/>
    </row>
    <row r="33" spans="1:17" s="63" customFormat="1" ht="19.5" customHeight="1" thickBot="1" x14ac:dyDescent="0.3">
      <c r="A33" s="66"/>
      <c r="B33" s="66"/>
      <c r="C33" s="66"/>
      <c r="F33" s="324"/>
      <c r="G33" s="92">
        <v>3</v>
      </c>
      <c r="H33" s="325"/>
      <c r="I33" s="325"/>
      <c r="J33" s="325"/>
      <c r="K33" s="325"/>
      <c r="L33" s="326"/>
      <c r="P33" s="66"/>
      <c r="Q33" s="66"/>
    </row>
    <row r="34" spans="1:17" s="63" customFormat="1" ht="19.5" customHeight="1" x14ac:dyDescent="0.25">
      <c r="A34" s="66"/>
      <c r="B34" s="66"/>
      <c r="C34" s="66"/>
      <c r="F34" s="90"/>
      <c r="G34" s="83"/>
      <c r="H34" s="69"/>
      <c r="I34" s="69"/>
      <c r="J34" s="69"/>
      <c r="K34" s="69"/>
      <c r="L34" s="69"/>
      <c r="P34" s="66"/>
      <c r="Q34" s="66"/>
    </row>
    <row r="35" spans="1:17" s="63" customFormat="1" ht="19.5" customHeight="1" x14ac:dyDescent="0.25">
      <c r="A35" s="66"/>
      <c r="B35" s="66"/>
      <c r="C35" s="66"/>
      <c r="F35" s="90"/>
      <c r="G35" s="83"/>
      <c r="H35" s="69"/>
      <c r="I35" s="69"/>
      <c r="J35" s="69"/>
      <c r="K35" s="69"/>
      <c r="L35" s="69"/>
      <c r="P35" s="66"/>
      <c r="Q35" s="66"/>
    </row>
    <row r="36" spans="1:17" s="63" customFormat="1" ht="19.5" customHeight="1" x14ac:dyDescent="0.25">
      <c r="A36" s="66"/>
      <c r="B36" s="66"/>
      <c r="C36" s="66"/>
      <c r="F36" s="90"/>
      <c r="G36" s="83"/>
      <c r="H36" s="69"/>
      <c r="I36" s="69"/>
      <c r="J36" s="69"/>
      <c r="K36" s="69"/>
      <c r="L36" s="69"/>
      <c r="P36" s="66"/>
      <c r="Q36" s="66"/>
    </row>
    <row r="37" spans="1:17" s="63" customFormat="1" ht="19.5" customHeight="1" thickBot="1" x14ac:dyDescent="0.35">
      <c r="A37" s="66"/>
      <c r="B37" s="66"/>
      <c r="C37" s="66"/>
      <c r="F37" s="89"/>
      <c r="G37" s="89"/>
      <c r="H37" s="83"/>
      <c r="I37" s="83"/>
      <c r="J37" s="83"/>
      <c r="K37" s="83"/>
      <c r="L37" s="83"/>
      <c r="P37" s="66"/>
      <c r="Q37" s="66"/>
    </row>
    <row r="38" spans="1:17" s="63" customFormat="1" ht="19.5" customHeight="1" x14ac:dyDescent="0.25">
      <c r="A38" s="66"/>
      <c r="B38" s="66"/>
      <c r="C38" s="66"/>
      <c r="F38" s="315" t="s">
        <v>261</v>
      </c>
      <c r="G38" s="316"/>
      <c r="H38" s="316"/>
      <c r="I38" s="316"/>
      <c r="J38" s="316"/>
      <c r="K38" s="316"/>
      <c r="L38" s="317"/>
      <c r="P38" s="66"/>
      <c r="Q38" s="66"/>
    </row>
    <row r="39" spans="1:17" s="63" customFormat="1" ht="19.5" customHeight="1" x14ac:dyDescent="0.25">
      <c r="A39" s="66"/>
      <c r="B39" s="66"/>
      <c r="C39" s="66"/>
      <c r="F39" s="78" t="s">
        <v>257</v>
      </c>
      <c r="G39" s="308">
        <f ca="1">G14</f>
        <v>46180</v>
      </c>
      <c r="H39" s="308"/>
      <c r="I39" s="309" t="s">
        <v>282</v>
      </c>
      <c r="J39" s="309"/>
      <c r="K39" s="309"/>
      <c r="L39" s="310"/>
      <c r="P39" s="66"/>
      <c r="Q39" s="66"/>
    </row>
    <row r="40" spans="1:17" s="63" customFormat="1" ht="18" x14ac:dyDescent="0.25">
      <c r="A40" s="66"/>
      <c r="B40" s="66"/>
      <c r="C40" s="66"/>
      <c r="F40" s="79" t="str">
        <f>G11</f>
        <v> RPNC1-4240426</v>
      </c>
      <c r="G40" s="311" t="s">
        <v>258</v>
      </c>
      <c r="H40" s="311"/>
      <c r="I40" s="311" t="str">
        <f>G12</f>
        <v> CAJAS ITZEP, RAFAEL SALVADOR</v>
      </c>
      <c r="J40" s="311"/>
      <c r="K40" s="311" t="s">
        <v>259</v>
      </c>
      <c r="L40" s="312"/>
      <c r="P40" s="66"/>
      <c r="Q40" s="66"/>
    </row>
    <row r="41" spans="1:17" s="63" customFormat="1" ht="18" x14ac:dyDescent="0.25">
      <c r="A41" s="66"/>
      <c r="B41" s="66"/>
      <c r="C41" s="66"/>
      <c r="F41" s="80" t="s">
        <v>264</v>
      </c>
      <c r="G41" s="311" t="s">
        <v>260</v>
      </c>
      <c r="H41" s="311"/>
      <c r="I41" s="311"/>
      <c r="J41" s="313" t="str">
        <f>G13</f>
        <v> 8va AVENIDA 0-10</v>
      </c>
      <c r="K41" s="313"/>
      <c r="L41" s="314"/>
      <c r="P41" s="66"/>
      <c r="Q41" s="66"/>
    </row>
    <row r="42" spans="1:17" s="63" customFormat="1" ht="18" customHeight="1" x14ac:dyDescent="0.25">
      <c r="A42" s="66"/>
      <c r="B42" s="66"/>
      <c r="C42" s="66"/>
      <c r="F42" s="327" t="s">
        <v>286</v>
      </c>
      <c r="G42" s="311"/>
      <c r="H42" s="311"/>
      <c r="I42" s="311"/>
      <c r="J42" s="311"/>
      <c r="K42" s="311"/>
      <c r="L42" s="312"/>
      <c r="P42" s="66"/>
      <c r="Q42" s="66"/>
    </row>
    <row r="43" spans="1:17" s="63" customFormat="1" ht="18" x14ac:dyDescent="0.25">
      <c r="A43" s="66"/>
      <c r="B43" s="66"/>
      <c r="C43" s="66"/>
      <c r="D43" s="77"/>
      <c r="E43" s="77"/>
      <c r="F43" s="328" t="s">
        <v>287</v>
      </c>
      <c r="G43" s="329"/>
      <c r="H43" s="329"/>
      <c r="I43" s="329"/>
      <c r="J43" s="329"/>
      <c r="K43" s="329"/>
      <c r="L43" s="330"/>
      <c r="M43" s="77"/>
      <c r="N43" s="77"/>
      <c r="O43" s="77"/>
      <c r="P43" s="66"/>
      <c r="Q43" s="66"/>
    </row>
    <row r="44" spans="1:17" s="63" customFormat="1" ht="19.5" customHeight="1" thickBot="1" x14ac:dyDescent="0.3">
      <c r="A44" s="66"/>
      <c r="B44" s="66"/>
      <c r="C44" s="66"/>
      <c r="D44" s="67"/>
      <c r="E44" s="67"/>
      <c r="F44" s="331" t="s">
        <v>288</v>
      </c>
      <c r="G44" s="332"/>
      <c r="H44" s="332"/>
      <c r="I44" s="332"/>
      <c r="J44" s="332"/>
      <c r="K44" s="332"/>
      <c r="L44" s="333"/>
      <c r="M44" s="67"/>
      <c r="N44" s="67"/>
      <c r="O44" s="67"/>
      <c r="P44" s="66"/>
      <c r="Q44" s="66"/>
    </row>
    <row r="45" spans="1:17" s="63" customFormat="1" ht="19.5" customHeight="1" x14ac:dyDescent="0.25">
      <c r="A45" s="66"/>
      <c r="B45" s="66"/>
      <c r="C45" s="66"/>
      <c r="D45" s="67"/>
      <c r="E45" s="67"/>
      <c r="F45" s="68"/>
      <c r="G45" s="68"/>
      <c r="H45" s="68"/>
      <c r="I45" s="68"/>
      <c r="J45" s="68"/>
      <c r="K45" s="68"/>
      <c r="L45" s="68"/>
      <c r="M45" s="67"/>
      <c r="N45" s="67"/>
      <c r="O45" s="67"/>
      <c r="P45" s="66"/>
      <c r="Q45" s="66"/>
    </row>
    <row r="46" spans="1:17" s="63" customFormat="1" ht="19.5" customHeight="1" x14ac:dyDescent="0.25">
      <c r="A46" s="66"/>
      <c r="B46" s="66"/>
      <c r="C46" s="66"/>
      <c r="D46" s="67"/>
      <c r="E46" s="67"/>
      <c r="F46" s="240"/>
      <c r="G46" s="240"/>
      <c r="H46" s="240"/>
      <c r="I46" s="240"/>
      <c r="J46" s="240"/>
      <c r="K46" s="240"/>
      <c r="L46" s="240"/>
      <c r="M46" s="67"/>
      <c r="N46" s="67"/>
      <c r="O46" s="67"/>
      <c r="P46" s="66"/>
      <c r="Q46" s="66"/>
    </row>
    <row r="47" spans="1:17" s="63" customFormat="1" ht="45" customHeight="1" x14ac:dyDescent="0.25">
      <c r="A47" s="66"/>
      <c r="B47" s="66"/>
      <c r="C47" s="66"/>
      <c r="D47" s="67"/>
      <c r="E47" s="67"/>
      <c r="F47" s="240"/>
      <c r="G47" s="240"/>
      <c r="H47" s="240"/>
      <c r="I47" s="240"/>
      <c r="J47" s="240"/>
      <c r="K47" s="240"/>
      <c r="L47" s="240"/>
      <c r="M47" s="67"/>
      <c r="N47" s="67"/>
      <c r="O47" s="67"/>
      <c r="P47" s="66"/>
      <c r="Q47" s="66"/>
    </row>
    <row r="48" spans="1:17" s="63" customFormat="1" ht="19.5" customHeight="1" x14ac:dyDescent="0.25">
      <c r="A48" s="66"/>
      <c r="B48" s="66"/>
      <c r="C48" s="66"/>
      <c r="D48" s="67"/>
      <c r="E48" s="67"/>
      <c r="F48" s="68"/>
      <c r="G48" s="68"/>
      <c r="H48" s="68"/>
      <c r="I48" s="68"/>
      <c r="J48" s="68"/>
      <c r="K48" s="68"/>
      <c r="L48" s="68"/>
      <c r="M48" s="67"/>
      <c r="N48" s="67"/>
      <c r="O48" s="67"/>
      <c r="P48" s="66"/>
      <c r="Q48" s="66"/>
    </row>
    <row r="49" spans="1:17" s="63" customFormat="1" ht="19.5" customHeight="1" x14ac:dyDescent="0.25">
      <c r="A49" s="66"/>
      <c r="B49" s="66"/>
      <c r="C49" s="66"/>
      <c r="D49" s="67"/>
      <c r="E49" s="67"/>
      <c r="F49" s="68"/>
      <c r="G49" s="68"/>
      <c r="H49" s="68"/>
      <c r="I49" s="68"/>
      <c r="J49" s="68"/>
      <c r="K49" s="68"/>
      <c r="L49" s="68"/>
      <c r="M49" s="67"/>
      <c r="N49" s="67"/>
      <c r="O49" s="67"/>
      <c r="P49" s="66"/>
      <c r="Q49" s="66"/>
    </row>
    <row r="50" spans="1:17" s="63" customFormat="1" ht="18" x14ac:dyDescent="0.25">
      <c r="A50" s="66"/>
      <c r="B50" s="66"/>
      <c r="C50" s="66"/>
      <c r="F50" s="290"/>
      <c r="G50" s="290"/>
      <c r="H50" s="290"/>
      <c r="P50" s="66"/>
      <c r="Q50" s="66"/>
    </row>
    <row r="51" spans="1:17" s="63" customFormat="1" ht="19.5" x14ac:dyDescent="0.25">
      <c r="A51" s="64"/>
      <c r="B51" s="64"/>
      <c r="C51" s="64"/>
      <c r="D51" s="65"/>
      <c r="E51" s="65"/>
      <c r="F51" s="290"/>
      <c r="G51" s="290"/>
      <c r="H51" s="290"/>
      <c r="P51" s="64"/>
      <c r="Q51" s="64"/>
    </row>
    <row r="52" spans="1:17" s="63" customFormat="1" ht="19.5" x14ac:dyDescent="0.25">
      <c r="A52" s="64"/>
      <c r="B52" s="64"/>
      <c r="C52" s="64"/>
      <c r="D52" s="65"/>
      <c r="E52" s="65"/>
      <c r="P52" s="64"/>
      <c r="Q52" s="64"/>
    </row>
    <row r="53" spans="1:17" ht="19.5" x14ac:dyDescent="0.25">
      <c r="A53" s="64"/>
      <c r="B53" s="64"/>
      <c r="C53" s="64"/>
      <c r="D53" s="65"/>
      <c r="E53" s="65"/>
      <c r="F53" s="65"/>
      <c r="G53" s="65"/>
      <c r="H53" s="65"/>
      <c r="I53" s="65"/>
      <c r="J53" s="65"/>
      <c r="K53" s="65"/>
      <c r="L53" s="65"/>
      <c r="M53" s="65"/>
      <c r="N53" s="65"/>
      <c r="O53" s="65"/>
      <c r="P53" s="64"/>
      <c r="Q53" s="64"/>
    </row>
    <row r="54" spans="1:17" ht="16.5" x14ac:dyDescent="0.3">
      <c r="A54" s="59"/>
      <c r="B54" s="59"/>
      <c r="C54" s="59"/>
      <c r="D54" s="60"/>
      <c r="E54" s="60"/>
      <c r="F54" s="60"/>
      <c r="G54" s="60"/>
      <c r="H54" s="60"/>
      <c r="I54" s="60"/>
      <c r="J54" s="60"/>
      <c r="K54" s="60"/>
      <c r="L54" s="60"/>
      <c r="M54" s="60"/>
      <c r="N54" s="60"/>
      <c r="O54" s="60"/>
      <c r="P54" s="59"/>
      <c r="Q54" s="59"/>
    </row>
    <row r="55" spans="1:17" ht="16.5" x14ac:dyDescent="0.3">
      <c r="A55" s="59"/>
      <c r="B55" s="59"/>
      <c r="C55" s="59"/>
      <c r="D55" s="60"/>
      <c r="E55" s="60"/>
      <c r="F55" s="60"/>
      <c r="G55" s="60"/>
      <c r="H55" s="60"/>
      <c r="I55" s="60"/>
      <c r="J55" s="60"/>
      <c r="K55" s="60"/>
      <c r="L55" s="60"/>
      <c r="M55" s="60"/>
      <c r="N55" s="60"/>
      <c r="O55" s="60"/>
      <c r="P55" s="59"/>
      <c r="Q55" s="59"/>
    </row>
    <row r="56" spans="1:17" ht="16.5" x14ac:dyDescent="0.3">
      <c r="A56" s="59"/>
      <c r="B56" s="59"/>
      <c r="C56" s="59"/>
      <c r="D56" s="60"/>
      <c r="E56" s="60"/>
      <c r="F56" s="60"/>
      <c r="G56" s="60"/>
      <c r="H56" s="60"/>
      <c r="I56" s="60"/>
      <c r="J56" s="60"/>
      <c r="K56" s="60"/>
      <c r="L56" s="60"/>
      <c r="M56" s="60"/>
      <c r="N56" s="60"/>
      <c r="O56" s="60"/>
      <c r="P56" s="59"/>
      <c r="Q56" s="59"/>
    </row>
    <row r="57" spans="1:17" ht="16.5" x14ac:dyDescent="0.3">
      <c r="A57" s="59"/>
      <c r="B57" s="59"/>
      <c r="C57" s="59"/>
      <c r="D57" s="60"/>
      <c r="E57" s="60"/>
      <c r="F57" s="60"/>
      <c r="G57" s="60"/>
      <c r="H57" s="60"/>
      <c r="I57" s="60"/>
      <c r="J57" s="60"/>
      <c r="K57" s="60"/>
      <c r="L57" s="60"/>
      <c r="M57" s="60"/>
      <c r="N57" s="60"/>
      <c r="O57" s="60"/>
      <c r="P57" s="59"/>
      <c r="Q57" s="59"/>
    </row>
    <row r="58" spans="1:17" ht="16.5" x14ac:dyDescent="0.3">
      <c r="C58" s="59"/>
      <c r="P58" s="59"/>
    </row>
    <row r="59" spans="1:17" ht="16.5" x14ac:dyDescent="0.3">
      <c r="C59" s="62"/>
      <c r="P59" s="59"/>
    </row>
    <row r="60" spans="1:17" x14ac:dyDescent="0.25">
      <c r="C60" s="62"/>
    </row>
    <row r="61" spans="1:17" x14ac:dyDescent="0.25">
      <c r="C61" s="62"/>
    </row>
    <row r="62" spans="1:17" x14ac:dyDescent="0.25">
      <c r="C62" s="62"/>
    </row>
    <row r="63" spans="1:17" x14ac:dyDescent="0.25">
      <c r="C63" s="62"/>
    </row>
    <row r="64" spans="1:17" x14ac:dyDescent="0.25">
      <c r="C64" s="62"/>
    </row>
    <row r="65" spans="3:3" x14ac:dyDescent="0.25">
      <c r="C65" s="62"/>
    </row>
    <row r="66" spans="3:3" x14ac:dyDescent="0.25">
      <c r="C66" s="62"/>
    </row>
    <row r="67" spans="3:3" x14ac:dyDescent="0.25">
      <c r="C67" s="62"/>
    </row>
    <row r="68" spans="3:3" x14ac:dyDescent="0.25">
      <c r="C68" s="62"/>
    </row>
    <row r="69" spans="3:3" x14ac:dyDescent="0.25">
      <c r="C69" s="62"/>
    </row>
    <row r="70" spans="3:3" x14ac:dyDescent="0.25">
      <c r="C70" s="62"/>
    </row>
    <row r="71" spans="3:3" x14ac:dyDescent="0.25">
      <c r="C71" s="62"/>
    </row>
    <row r="72" spans="3:3" x14ac:dyDescent="0.25">
      <c r="C72" s="62"/>
    </row>
    <row r="73" spans="3:3" x14ac:dyDescent="0.25">
      <c r="C73" s="62"/>
    </row>
    <row r="74" spans="3:3" x14ac:dyDescent="0.25">
      <c r="C74" s="62"/>
    </row>
    <row r="75" spans="3:3" x14ac:dyDescent="0.25">
      <c r="C75" s="62"/>
    </row>
    <row r="76" spans="3:3" x14ac:dyDescent="0.25">
      <c r="C76" s="62"/>
    </row>
    <row r="77" spans="3:3" x14ac:dyDescent="0.25">
      <c r="C77" s="62"/>
    </row>
    <row r="78" spans="3:3" x14ac:dyDescent="0.25">
      <c r="C78" s="62"/>
    </row>
    <row r="79" spans="3:3" x14ac:dyDescent="0.25">
      <c r="C79" s="62"/>
    </row>
    <row r="80" spans="3:3" x14ac:dyDescent="0.25">
      <c r="C80" s="62"/>
    </row>
    <row r="81" spans="3:3" x14ac:dyDescent="0.25">
      <c r="C81" s="62"/>
    </row>
    <row r="82" spans="3:3" x14ac:dyDescent="0.25">
      <c r="C82" s="62"/>
    </row>
    <row r="83" spans="3:3" x14ac:dyDescent="0.25">
      <c r="C83" s="62"/>
    </row>
    <row r="84" spans="3:3" x14ac:dyDescent="0.25">
      <c r="C84" s="62"/>
    </row>
    <row r="85" spans="3:3" x14ac:dyDescent="0.25">
      <c r="C85" s="62"/>
    </row>
    <row r="86" spans="3:3" x14ac:dyDescent="0.25">
      <c r="C86" s="62"/>
    </row>
    <row r="87" spans="3:3" x14ac:dyDescent="0.25">
      <c r="C87" s="62"/>
    </row>
    <row r="88" spans="3:3" x14ac:dyDescent="0.25">
      <c r="C88" s="62"/>
    </row>
    <row r="89" spans="3:3" x14ac:dyDescent="0.25">
      <c r="C89" s="62"/>
    </row>
    <row r="90" spans="3:3" x14ac:dyDescent="0.25">
      <c r="C90" s="62"/>
    </row>
  </sheetData>
  <mergeCells count="37">
    <mergeCell ref="H33:L33"/>
    <mergeCell ref="F42:L42"/>
    <mergeCell ref="F43:L43"/>
    <mergeCell ref="F44:L44"/>
    <mergeCell ref="F46:L47"/>
    <mergeCell ref="F50:H50"/>
    <mergeCell ref="F51:H51"/>
    <mergeCell ref="G23:J23"/>
    <mergeCell ref="G24:J24"/>
    <mergeCell ref="F26:L26"/>
    <mergeCell ref="G28:H29"/>
    <mergeCell ref="G39:H39"/>
    <mergeCell ref="I39:L39"/>
    <mergeCell ref="G40:H40"/>
    <mergeCell ref="I40:J40"/>
    <mergeCell ref="K40:L40"/>
    <mergeCell ref="G41:I41"/>
    <mergeCell ref="J41:L41"/>
    <mergeCell ref="F38:L38"/>
    <mergeCell ref="I28:J29"/>
    <mergeCell ref="F31:F33"/>
    <mergeCell ref="H31:L31"/>
    <mergeCell ref="H32:L32"/>
    <mergeCell ref="F20:L20"/>
    <mergeCell ref="G22:J22"/>
    <mergeCell ref="G13:J13"/>
    <mergeCell ref="G14:J14"/>
    <mergeCell ref="G15:J15"/>
    <mergeCell ref="G16:J16"/>
    <mergeCell ref="G17:J17"/>
    <mergeCell ref="G18:J18"/>
    <mergeCell ref="G12:J12"/>
    <mergeCell ref="G2:I2"/>
    <mergeCell ref="G4:I4"/>
    <mergeCell ref="G6:I7"/>
    <mergeCell ref="F9:L9"/>
    <mergeCell ref="G11:J11"/>
  </mergeCells>
  <printOptions horizontalCentered="1" verticalCentered="1"/>
  <pageMargins left="0.23622047244094491" right="0.23622047244094491" top="0" bottom="0.35433070866141736" header="0.31496062992125984" footer="0.31496062992125984"/>
  <pageSetup scale="41"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78682F6F-EDFC-4FC8-B095-1B4FF849BE93}">
            <xm:f>NOT(ISERROR(SEARCH(tabla!$G$10,G22)))</xm:f>
            <xm:f>tabla!$G$10</xm:f>
            <x14:dxf>
              <fill>
                <patternFill>
                  <bgColor theme="9"/>
                </patternFill>
              </fill>
            </x14:dxf>
          </x14:cfRule>
          <x14:cfRule type="containsText" priority="2" operator="containsText" id="{0F10FE77-50F9-4AD8-8E05-92C2172A45A9}">
            <xm:f>NOT(ISERROR(SEARCH(tabla!$G$10,G22)))</xm:f>
            <xm:f>tabla!$G$10</xm:f>
            <x14:dxf>
              <font>
                <color rgb="FF9C0006"/>
              </font>
              <fill>
                <patternFill>
                  <bgColor rgb="FFFFC7CE"/>
                </patternFill>
              </fill>
            </x14:dxf>
          </x14:cfRule>
          <x14:cfRule type="containsText" priority="3" operator="containsText" id="{8020CFE9-5A5B-435D-8790-EAC64D506D89}">
            <xm:f>NOT(ISERROR(SEARCH(tabla!$G$9,G22)))</xm:f>
            <xm:f>tabla!$G$9</xm:f>
            <x14:dxf>
              <fill>
                <patternFill>
                  <bgColor rgb="FFFFFF00"/>
                </patternFill>
              </fill>
            </x14:dxf>
          </x14:cfRule>
          <x14:cfRule type="containsText" priority="4" operator="containsText" id="{FBFA67B8-8AA8-4945-98D2-AF43221648E2}">
            <xm:f>NOT(ISERROR(SEARCH(tabla!$G$8,G22)))</xm:f>
            <xm:f>tabla!$G$8</xm:f>
            <x14:dxf>
              <fill>
                <patternFill>
                  <bgColor theme="7"/>
                </patternFill>
              </fill>
            </x14:dxf>
          </x14:cfRule>
          <x14:cfRule type="containsText" priority="5" operator="containsText" id="{C1CE3B14-7690-478A-8B05-014FECC020EF}">
            <xm:f>NOT(ISERROR(SEARCH(tabla!$G$8,G22)))</xm:f>
            <xm:f>tabla!$G$8</xm:f>
            <x14:dxf>
              <font>
                <color rgb="FF9C0006"/>
              </font>
              <fill>
                <patternFill>
                  <bgColor rgb="FFFFC7CE"/>
                </patternFill>
              </fill>
            </x14:dxf>
          </x14:cfRule>
          <x14:cfRule type="containsText" priority="6" operator="containsText" id="{AF60A4F3-A8D1-4D8B-95B5-8F9098CC8F48}">
            <xm:f>NOT(ISERROR(SEARCH(tabla!$G$7,G22)))</xm:f>
            <xm:f>tabla!$G$7</xm:f>
            <x14:dxf>
              <fill>
                <patternFill>
                  <bgColor rgb="FFFF6600"/>
                </patternFill>
              </fill>
            </x14:dxf>
          </x14:cfRule>
          <x14:cfRule type="containsText" priority="7" operator="containsText" id="{9EAD1470-6FEF-4F78-A66E-CD3F4FFE6169}">
            <xm:f>NOT(ISERROR(SEARCH(tabla!$G$6,G22)))</xm:f>
            <xm:f>tabla!$G$6</xm:f>
            <x14:dxf>
              <fill>
                <patternFill>
                  <bgColor rgb="FFC00000"/>
                </patternFill>
              </fill>
            </x14:dxf>
          </x14:cfRule>
          <x14:cfRule type="containsText" priority="8" operator="containsText" id="{EFE593B2-9BE3-4F7B-B5A4-98BEAA27D426}">
            <xm:f>NOT(ISERROR(SEARCH(tabla!$G$5,G22)))</xm:f>
            <xm:f>tabla!$G$5</xm:f>
            <x14:dxf>
              <fill>
                <patternFill>
                  <bgColor theme="7" tint="0.59996337778862885"/>
                </patternFill>
              </fill>
            </x14:dxf>
          </x14:cfRule>
          <x14:cfRule type="containsText" priority="9" operator="containsText" id="{11F87283-7493-4623-82D1-532A9411B168}">
            <xm:f>NOT(ISERROR(SEARCH(tabla!$G$4,G22)))</xm:f>
            <xm:f>tabla!$G$4</xm:f>
            <x14:dxf>
              <fill>
                <patternFill>
                  <bgColor rgb="FFCC9900"/>
                </patternFill>
              </fill>
            </x14:dxf>
          </x14:cfRule>
          <xm:sqref>G22:I25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1:R54"/>
  <sheetViews>
    <sheetView view="pageLayout" topLeftCell="A6" zoomScale="70" zoomScaleNormal="100" zoomScaleSheetLayoutView="110" zoomScalePageLayoutView="70" workbookViewId="0">
      <selection activeCell="R19" sqref="R19"/>
    </sheetView>
  </sheetViews>
  <sheetFormatPr baseColWidth="10" defaultRowHeight="15" x14ac:dyDescent="0.25"/>
  <cols>
    <col min="1" max="1" width="4.140625" bestFit="1" customWidth="1"/>
    <col min="3" max="3" width="2.42578125" bestFit="1" customWidth="1"/>
    <col min="4" max="4" width="14.28515625" bestFit="1" customWidth="1"/>
    <col min="5" max="5" width="4.140625" customWidth="1"/>
    <col min="6" max="6" width="9.28515625" customWidth="1"/>
    <col min="8" max="8" width="5" customWidth="1"/>
    <col min="10" max="10" width="10.85546875" customWidth="1"/>
    <col min="11" max="11" width="15.42578125" customWidth="1"/>
    <col min="12" max="12" width="10.85546875" customWidth="1"/>
    <col min="13" max="13" width="22.28515625" bestFit="1" customWidth="1"/>
    <col min="14" max="14" width="17.42578125" bestFit="1" customWidth="1"/>
  </cols>
  <sheetData>
    <row r="11" spans="1:18" ht="15" customHeight="1" x14ac:dyDescent="0.25">
      <c r="A11" s="197"/>
      <c r="B11" s="197"/>
      <c r="C11" s="197"/>
      <c r="D11" s="336" t="s">
        <v>337</v>
      </c>
      <c r="E11" s="336"/>
      <c r="F11" s="336"/>
      <c r="G11" s="336"/>
      <c r="H11" s="336"/>
      <c r="I11" s="336"/>
    </row>
    <row r="12" spans="1:18" ht="15" customHeight="1" x14ac:dyDescent="0.25">
      <c r="A12" s="197"/>
      <c r="B12" s="197"/>
      <c r="C12" s="197"/>
      <c r="D12" s="336"/>
      <c r="E12" s="336"/>
      <c r="F12" s="336"/>
      <c r="G12" s="336"/>
      <c r="H12" s="336"/>
      <c r="I12" s="336"/>
    </row>
    <row r="13" spans="1:18" x14ac:dyDescent="0.25">
      <c r="O13" t="s">
        <v>357</v>
      </c>
    </row>
    <row r="14" spans="1:18" ht="24" customHeight="1" x14ac:dyDescent="0.25">
      <c r="A14" s="197" t="s">
        <v>338</v>
      </c>
      <c r="B14" s="198"/>
      <c r="C14" s="198"/>
      <c r="D14" s="198"/>
      <c r="E14" s="197"/>
      <c r="L14" t="s">
        <v>352</v>
      </c>
      <c r="N14" s="200" t="s">
        <v>353</v>
      </c>
      <c r="R14" t="s">
        <v>355</v>
      </c>
    </row>
    <row r="15" spans="1:18" x14ac:dyDescent="0.25">
      <c r="A15" s="197"/>
      <c r="B15" s="197"/>
      <c r="C15" s="197"/>
      <c r="D15" s="197"/>
      <c r="E15" s="197"/>
      <c r="F15" s="197"/>
      <c r="G15" s="197"/>
      <c r="H15" s="197"/>
      <c r="I15" s="197"/>
      <c r="L15" t="s">
        <v>155</v>
      </c>
      <c r="N15">
        <v>100</v>
      </c>
      <c r="O15">
        <f>'FORMATO  FACT'!J35-'FORMATO  FACT'!G35</f>
        <v>66026</v>
      </c>
      <c r="Q15">
        <f>N15*O15</f>
        <v>6602600</v>
      </c>
      <c r="R15">
        <f>IF((Q15)&lt;0,0,Q15)</f>
        <v>6602600</v>
      </c>
    </row>
    <row r="16" spans="1:18" ht="24" customHeight="1" x14ac:dyDescent="0.25">
      <c r="A16" s="197" t="s">
        <v>339</v>
      </c>
      <c r="B16" s="197"/>
      <c r="C16" s="197"/>
      <c r="D16" s="199" t="str">
        <f>FACTIBILIDAD!D11</f>
        <v> RPNC1-4240426</v>
      </c>
      <c r="E16" s="197"/>
      <c r="F16" s="197"/>
      <c r="G16" s="197"/>
      <c r="H16" s="197"/>
      <c r="I16" s="197"/>
      <c r="L16" t="s">
        <v>350</v>
      </c>
      <c r="N16">
        <v>100</v>
      </c>
      <c r="O16" s="10">
        <f>IF(FACTIBILIDAD!D39&gt;'FORMATO  FACT'!G30*'FORMATO  FACT'!J25,0,'FORMATO  FACT'!G30*'FORMATO  FACT'!J25-FACTIBILIDAD!D39)*N16</f>
        <v>0</v>
      </c>
      <c r="R16" s="10">
        <f>O16</f>
        <v>0</v>
      </c>
    </row>
    <row r="17" spans="1:18" ht="15" customHeight="1" x14ac:dyDescent="0.25">
      <c r="F17" s="197"/>
      <c r="G17" s="197"/>
      <c r="H17" s="197"/>
      <c r="I17" s="197"/>
      <c r="L17" t="s">
        <v>351</v>
      </c>
      <c r="N17">
        <v>100</v>
      </c>
      <c r="O17">
        <f ca="1">IF('FORMATO  FACT'!J28-'FORMATO  FACT'!G28&lt;0,0,'FORMATO  FACT'!J28-'FORMATO  FACT'!G28)</f>
        <v>0</v>
      </c>
      <c r="Q17">
        <f ca="1">N17*O17</f>
        <v>0</v>
      </c>
      <c r="R17">
        <f ca="1">IF((Q17)&lt;0,0,Q17)</f>
        <v>0</v>
      </c>
    </row>
    <row r="18" spans="1:18" ht="15" customHeight="1" x14ac:dyDescent="0.25">
      <c r="A18" s="197"/>
      <c r="B18" s="197"/>
      <c r="C18" s="197"/>
      <c r="D18" s="197"/>
      <c r="E18" s="197"/>
      <c r="F18" s="197"/>
      <c r="G18" s="197"/>
      <c r="H18" s="197"/>
      <c r="I18" s="197"/>
      <c r="L18" s="334" t="s">
        <v>358</v>
      </c>
      <c r="M18" s="334"/>
      <c r="N18" s="334"/>
      <c r="O18" s="334"/>
      <c r="P18" s="334"/>
      <c r="Q18" s="334"/>
      <c r="R18" s="204">
        <v>504.14</v>
      </c>
    </row>
    <row r="19" spans="1:18" x14ac:dyDescent="0.25">
      <c r="A19" s="197"/>
      <c r="B19" s="197"/>
      <c r="C19" s="197"/>
      <c r="D19" s="197"/>
      <c r="E19" s="197"/>
      <c r="F19" s="197"/>
      <c r="G19" s="197"/>
      <c r="H19" s="197"/>
      <c r="I19" s="197"/>
      <c r="M19" t="s">
        <v>294</v>
      </c>
      <c r="N19" t="s">
        <v>359</v>
      </c>
      <c r="R19">
        <f ca="1">SUM(R15:R18)</f>
        <v>6603104.1399999997</v>
      </c>
    </row>
    <row r="20" spans="1:18" ht="24.95" customHeight="1" x14ac:dyDescent="0.25">
      <c r="A20" s="197" t="s">
        <v>340</v>
      </c>
      <c r="B20" s="197"/>
      <c r="C20" s="197"/>
      <c r="D20" s="197"/>
      <c r="E20" s="197"/>
      <c r="F20" s="197"/>
      <c r="G20" s="197"/>
      <c r="H20" s="197" t="s">
        <v>341</v>
      </c>
      <c r="I20" s="197"/>
      <c r="P20" t="s">
        <v>354</v>
      </c>
      <c r="Q20" s="203">
        <v>0.25</v>
      </c>
      <c r="R20">
        <f ca="1">R19*Q20</f>
        <v>1650776.0349999999</v>
      </c>
    </row>
    <row r="21" spans="1:18" ht="24.95" customHeight="1" x14ac:dyDescent="0.25">
      <c r="A21" s="337" t="s">
        <v>348</v>
      </c>
      <c r="B21" s="337"/>
      <c r="C21" s="337"/>
      <c r="D21" s="337"/>
      <c r="E21" s="337"/>
      <c r="F21" s="337"/>
      <c r="G21" s="337"/>
      <c r="H21" s="337"/>
      <c r="I21" s="337"/>
      <c r="J21" s="337"/>
      <c r="K21" s="337"/>
    </row>
    <row r="22" spans="1:18" ht="24.95" customHeight="1" x14ac:dyDescent="0.25">
      <c r="A22" s="337" t="s">
        <v>349</v>
      </c>
      <c r="B22" s="337"/>
      <c r="C22" s="337"/>
      <c r="D22" s="337"/>
      <c r="E22" s="337"/>
      <c r="F22" s="337"/>
      <c r="G22" s="337"/>
      <c r="H22" s="337"/>
      <c r="I22" s="337"/>
      <c r="J22" s="337"/>
      <c r="K22" s="337"/>
      <c r="N22" s="168"/>
    </row>
    <row r="23" spans="1:18" ht="24.95" customHeight="1" x14ac:dyDescent="0.3">
      <c r="A23" s="197" t="s">
        <v>346</v>
      </c>
      <c r="B23" s="197"/>
      <c r="C23" s="197"/>
      <c r="D23" s="202">
        <f ca="1">R20</f>
        <v>1650776.0349999999</v>
      </c>
      <c r="E23" s="337" t="s">
        <v>356</v>
      </c>
      <c r="F23" s="337"/>
      <c r="G23" s="337"/>
      <c r="H23" s="337"/>
      <c r="I23" s="337"/>
      <c r="J23" s="337"/>
      <c r="K23" s="337"/>
      <c r="P23" s="201"/>
    </row>
    <row r="24" spans="1:18" ht="24.95" customHeight="1" x14ac:dyDescent="0.25">
      <c r="A24" s="199" t="str">
        <f>FACTIBILIDAD!D12</f>
        <v xml:space="preserve">UNIFAMILIAR </v>
      </c>
      <c r="B24" s="197"/>
      <c r="C24" s="197"/>
      <c r="D24" s="197"/>
      <c r="E24" s="197"/>
      <c r="F24" s="197" t="s">
        <v>347</v>
      </c>
      <c r="G24" s="197"/>
      <c r="H24" s="197"/>
      <c r="I24" s="338" t="str">
        <f>FACTIBILIDAD!D9</f>
        <v> CAJAS ITZEP, RAFAEL SALVADOR</v>
      </c>
      <c r="J24" s="338"/>
      <c r="K24" s="338"/>
    </row>
    <row r="25" spans="1:18" ht="24.95" customHeight="1" x14ac:dyDescent="0.25">
      <c r="A25" s="197" t="s">
        <v>342</v>
      </c>
      <c r="B25" s="197"/>
      <c r="C25" s="197"/>
      <c r="D25" s="197"/>
      <c r="E25" s="197"/>
      <c r="F25" s="197"/>
      <c r="G25" s="198"/>
      <c r="H25" s="198"/>
      <c r="I25" s="198"/>
      <c r="J25" s="196"/>
      <c r="K25" s="196"/>
    </row>
    <row r="26" spans="1:18" ht="24.95" customHeight="1" x14ac:dyDescent="0.25">
      <c r="A26" s="335" t="s">
        <v>343</v>
      </c>
      <c r="B26" s="335"/>
      <c r="C26" s="335"/>
      <c r="D26" s="335"/>
      <c r="E26" s="198"/>
      <c r="F26" s="198"/>
      <c r="G26" s="198"/>
      <c r="H26" s="197" t="s">
        <v>360</v>
      </c>
      <c r="I26" s="197"/>
    </row>
    <row r="27" spans="1:18" x14ac:dyDescent="0.25">
      <c r="A27" s="197"/>
      <c r="B27" s="197"/>
      <c r="C27" s="197"/>
      <c r="D27" s="197"/>
      <c r="E27" s="197"/>
      <c r="F27" s="197"/>
      <c r="G27" s="197"/>
      <c r="H27" s="197"/>
      <c r="I27" s="197"/>
    </row>
    <row r="28" spans="1:18" x14ac:dyDescent="0.25">
      <c r="A28" s="197"/>
      <c r="B28" s="197"/>
      <c r="C28" s="197"/>
      <c r="D28" s="197"/>
      <c r="E28" s="197"/>
      <c r="F28" s="197"/>
      <c r="G28" s="197"/>
      <c r="H28" s="197"/>
      <c r="I28" s="197"/>
    </row>
    <row r="29" spans="1:18" x14ac:dyDescent="0.25">
      <c r="A29" s="197"/>
      <c r="B29" s="197"/>
      <c r="C29" s="197"/>
      <c r="D29" s="197"/>
      <c r="E29" s="197"/>
      <c r="F29" s="197"/>
      <c r="G29" s="197"/>
      <c r="H29" s="197"/>
      <c r="I29" s="197"/>
    </row>
    <row r="30" spans="1:18" x14ac:dyDescent="0.25">
      <c r="A30" s="197"/>
      <c r="B30" s="197"/>
      <c r="C30" s="197"/>
      <c r="D30" s="197"/>
      <c r="E30" s="197"/>
      <c r="F30" s="197"/>
      <c r="G30" s="197"/>
      <c r="H30" s="197"/>
      <c r="I30" s="197"/>
    </row>
    <row r="31" spans="1:18" x14ac:dyDescent="0.25">
      <c r="A31" s="197"/>
      <c r="B31" s="197"/>
      <c r="C31" s="197"/>
      <c r="D31" s="197"/>
      <c r="E31" s="197"/>
      <c r="F31" s="197"/>
      <c r="G31" s="197"/>
      <c r="H31" s="197"/>
      <c r="I31" s="197"/>
    </row>
    <row r="32" spans="1:18" x14ac:dyDescent="0.25">
      <c r="A32" s="197"/>
      <c r="B32" s="197"/>
      <c r="C32" s="197"/>
      <c r="D32" s="197"/>
      <c r="E32" s="197" t="s">
        <v>344</v>
      </c>
      <c r="F32" s="198"/>
      <c r="G32" s="198"/>
      <c r="H32" s="198"/>
      <c r="I32" s="197"/>
    </row>
    <row r="33" spans="1:14" ht="24.95" customHeight="1" x14ac:dyDescent="0.25">
      <c r="A33" s="197"/>
      <c r="B33" s="197"/>
      <c r="C33" s="197"/>
      <c r="D33" s="197"/>
      <c r="E33" s="197"/>
      <c r="F33" s="197"/>
      <c r="G33" s="197"/>
      <c r="H33" s="197"/>
      <c r="I33" s="197"/>
    </row>
    <row r="34" spans="1:14" ht="20.100000000000001" customHeight="1" x14ac:dyDescent="0.25">
      <c r="A34" s="197"/>
      <c r="B34" s="197"/>
      <c r="C34" s="197"/>
      <c r="D34" s="197"/>
      <c r="E34" s="197"/>
      <c r="F34" s="197"/>
      <c r="G34" s="197"/>
      <c r="H34" s="197"/>
      <c r="I34" s="197"/>
    </row>
    <row r="35" spans="1:14" ht="24.95" customHeight="1" x14ac:dyDescent="0.25">
      <c r="A35" s="197" t="s">
        <v>345</v>
      </c>
      <c r="B35" s="197"/>
      <c r="C35" s="197"/>
      <c r="D35" s="197"/>
      <c r="E35" s="197"/>
      <c r="F35" s="197"/>
      <c r="G35" s="197"/>
      <c r="H35" s="197"/>
      <c r="I35" s="197"/>
    </row>
    <row r="36" spans="1:14" x14ac:dyDescent="0.25">
      <c r="A36" s="197"/>
      <c r="B36" s="197"/>
      <c r="C36" s="197"/>
      <c r="D36" s="197"/>
      <c r="E36" s="197"/>
      <c r="F36" s="197"/>
      <c r="G36" s="197"/>
      <c r="H36" s="197"/>
      <c r="I36" s="197"/>
    </row>
    <row r="37" spans="1:14" x14ac:dyDescent="0.25">
      <c r="A37" s="197"/>
      <c r="B37" s="197"/>
      <c r="C37" s="197"/>
      <c r="D37" s="197"/>
      <c r="E37" s="197"/>
      <c r="F37" s="197"/>
      <c r="G37" s="197"/>
      <c r="H37" s="197"/>
      <c r="I37" s="197"/>
    </row>
    <row r="38" spans="1:14" x14ac:dyDescent="0.25">
      <c r="A38" s="197"/>
      <c r="B38" s="197"/>
      <c r="C38" s="197"/>
      <c r="D38" s="197"/>
      <c r="E38" s="197"/>
      <c r="F38" s="197"/>
      <c r="G38" s="197"/>
      <c r="H38" s="197"/>
      <c r="I38" s="197"/>
    </row>
    <row r="39" spans="1:14" x14ac:dyDescent="0.25">
      <c r="A39" s="197"/>
      <c r="B39" s="197"/>
      <c r="C39" s="197"/>
      <c r="D39" s="197"/>
      <c r="E39" s="197"/>
      <c r="F39" s="197"/>
      <c r="G39" s="197"/>
      <c r="H39" s="197"/>
      <c r="I39" s="197"/>
    </row>
    <row r="40" spans="1:14" x14ac:dyDescent="0.25">
      <c r="A40" s="197"/>
      <c r="B40" s="197"/>
      <c r="C40" s="197"/>
      <c r="D40" s="197"/>
      <c r="E40" s="197"/>
      <c r="F40" s="197"/>
      <c r="G40" s="197"/>
      <c r="H40" s="197"/>
      <c r="I40" s="197"/>
    </row>
    <row r="41" spans="1:14" x14ac:dyDescent="0.25">
      <c r="A41" s="197"/>
      <c r="B41" s="197"/>
      <c r="C41" s="197"/>
      <c r="D41" s="197"/>
      <c r="E41" s="197"/>
      <c r="F41" s="197"/>
      <c r="G41" s="197"/>
      <c r="H41" s="197"/>
      <c r="I41" s="197"/>
    </row>
    <row r="43" spans="1:14" ht="21" x14ac:dyDescent="0.35">
      <c r="A43" s="195"/>
      <c r="B43" s="195"/>
      <c r="C43" s="195"/>
      <c r="D43" s="195"/>
      <c r="E43" s="195"/>
      <c r="F43" s="195"/>
      <c r="G43" s="195"/>
      <c r="H43" s="195"/>
      <c r="I43" s="195"/>
      <c r="J43" s="195"/>
      <c r="K43" s="195"/>
      <c r="L43" s="195"/>
      <c r="M43" s="195"/>
      <c r="N43" s="195"/>
    </row>
    <row r="44" spans="1:14" ht="21" x14ac:dyDescent="0.35">
      <c r="A44" s="195"/>
      <c r="B44" s="195"/>
      <c r="C44" s="195"/>
      <c r="D44" s="195"/>
      <c r="E44" s="195"/>
      <c r="F44" s="195"/>
      <c r="G44" s="195"/>
      <c r="H44" s="195"/>
      <c r="I44" s="195"/>
      <c r="J44" s="195"/>
      <c r="K44" s="195"/>
      <c r="L44" s="195"/>
      <c r="M44" s="195"/>
      <c r="N44" s="195"/>
    </row>
    <row r="45" spans="1:14" ht="21" x14ac:dyDescent="0.35">
      <c r="A45" s="195"/>
      <c r="B45" s="195"/>
      <c r="C45" s="195"/>
      <c r="D45" s="195"/>
      <c r="E45" s="195"/>
      <c r="F45" s="195"/>
      <c r="G45" s="195"/>
      <c r="H45" s="195"/>
      <c r="I45" s="195"/>
      <c r="J45" s="195"/>
      <c r="K45" s="195"/>
      <c r="L45" s="195"/>
      <c r="M45" s="195"/>
      <c r="N45" s="195"/>
    </row>
    <row r="46" spans="1:14" ht="21" x14ac:dyDescent="0.35">
      <c r="A46" s="195"/>
      <c r="B46" s="195"/>
      <c r="C46" s="195"/>
      <c r="D46" s="195"/>
      <c r="E46" s="195"/>
      <c r="F46" s="195"/>
      <c r="G46" s="195"/>
      <c r="H46" s="195"/>
      <c r="I46" s="195"/>
      <c r="J46" s="195"/>
      <c r="K46" s="195"/>
      <c r="L46" s="195"/>
      <c r="M46" s="195"/>
      <c r="N46" s="195"/>
    </row>
    <row r="47" spans="1:14" ht="21" x14ac:dyDescent="0.35">
      <c r="A47" s="195"/>
      <c r="B47" s="195"/>
      <c r="C47" s="195"/>
      <c r="D47" s="195"/>
      <c r="E47" s="195"/>
      <c r="F47" s="195"/>
      <c r="G47" s="195"/>
      <c r="H47" s="195"/>
      <c r="I47" s="195"/>
      <c r="J47" s="195"/>
      <c r="K47" s="195"/>
      <c r="L47" s="195"/>
      <c r="M47" s="195"/>
      <c r="N47" s="195"/>
    </row>
    <row r="48" spans="1:14" ht="21" x14ac:dyDescent="0.35">
      <c r="A48" s="195"/>
      <c r="B48" s="195"/>
      <c r="C48" s="195"/>
      <c r="D48" s="195"/>
      <c r="E48" s="195"/>
      <c r="F48" s="195"/>
      <c r="G48" s="195"/>
      <c r="H48" s="195"/>
      <c r="I48" s="195"/>
      <c r="J48" s="195"/>
      <c r="K48" s="195"/>
      <c r="L48" s="195"/>
      <c r="M48" s="195"/>
      <c r="N48" s="195"/>
    </row>
    <row r="49" spans="1:14" ht="21" x14ac:dyDescent="0.35">
      <c r="A49" s="195"/>
      <c r="B49" s="195"/>
      <c r="C49" s="195"/>
      <c r="D49" s="195"/>
      <c r="E49" s="195"/>
      <c r="F49" s="195"/>
      <c r="G49" s="195"/>
      <c r="H49" s="195"/>
      <c r="I49" s="195"/>
      <c r="J49" s="195"/>
      <c r="K49" s="195"/>
      <c r="L49" s="195"/>
      <c r="M49" s="195"/>
      <c r="N49" s="195"/>
    </row>
    <row r="50" spans="1:14" ht="21" x14ac:dyDescent="0.35">
      <c r="A50" s="195"/>
      <c r="B50" s="195"/>
      <c r="C50" s="195"/>
      <c r="D50" s="195"/>
      <c r="E50" s="195"/>
      <c r="F50" s="195"/>
      <c r="G50" s="195"/>
      <c r="H50" s="195"/>
      <c r="I50" s="195"/>
      <c r="J50" s="195"/>
      <c r="K50" s="195"/>
      <c r="L50" s="195"/>
      <c r="M50" s="195"/>
      <c r="N50" s="195"/>
    </row>
    <row r="51" spans="1:14" ht="21" x14ac:dyDescent="0.35">
      <c r="A51" s="195"/>
      <c r="B51" s="195"/>
      <c r="C51" s="195"/>
      <c r="D51" s="195"/>
      <c r="E51" s="195"/>
      <c r="F51" s="195"/>
      <c r="G51" s="195"/>
      <c r="H51" s="195"/>
      <c r="I51" s="195"/>
      <c r="J51" s="195"/>
      <c r="K51" s="195"/>
      <c r="L51" s="195"/>
      <c r="M51" s="195"/>
      <c r="N51" s="195"/>
    </row>
    <row r="52" spans="1:14" ht="21" x14ac:dyDescent="0.35">
      <c r="A52" s="195"/>
      <c r="B52" s="195"/>
      <c r="C52" s="195"/>
      <c r="D52" s="195"/>
      <c r="E52" s="195"/>
      <c r="F52" s="195"/>
      <c r="G52" s="195"/>
      <c r="H52" s="195"/>
      <c r="I52" s="195"/>
      <c r="J52" s="195"/>
      <c r="K52" s="195"/>
      <c r="L52" s="195"/>
      <c r="M52" s="195"/>
      <c r="N52" s="195"/>
    </row>
    <row r="53" spans="1:14" ht="21" x14ac:dyDescent="0.35">
      <c r="A53" s="195"/>
      <c r="B53" s="195"/>
      <c r="C53" s="195"/>
      <c r="D53" s="195"/>
      <c r="E53" s="195"/>
      <c r="F53" s="195"/>
      <c r="G53" s="195"/>
      <c r="H53" s="195"/>
      <c r="I53" s="195"/>
      <c r="J53" s="195"/>
      <c r="K53" s="195"/>
      <c r="L53" s="195"/>
      <c r="M53" s="195"/>
      <c r="N53" s="195"/>
    </row>
    <row r="54" spans="1:14" ht="21" x14ac:dyDescent="0.35">
      <c r="A54" s="195"/>
      <c r="B54" s="195"/>
      <c r="C54" s="195"/>
      <c r="D54" s="195"/>
      <c r="E54" s="195"/>
      <c r="F54" s="195"/>
      <c r="G54" s="195"/>
      <c r="H54" s="195"/>
      <c r="I54" s="195"/>
      <c r="J54" s="195"/>
      <c r="K54" s="195"/>
      <c r="L54" s="195"/>
      <c r="M54" s="195"/>
      <c r="N54" s="195"/>
    </row>
  </sheetData>
  <mergeCells count="7">
    <mergeCell ref="L18:Q18"/>
    <mergeCell ref="A26:D26"/>
    <mergeCell ref="D11:I12"/>
    <mergeCell ref="A21:K21"/>
    <mergeCell ref="A22:K22"/>
    <mergeCell ref="E23:K23"/>
    <mergeCell ref="I24:K24"/>
  </mergeCells>
  <pageMargins left="0.7" right="0.31281249999999999" top="0.53083333333333338" bottom="0.45500000000000002" header="0.3" footer="0.3"/>
  <pageSetup scale="91"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D121"/>
  <sheetViews>
    <sheetView zoomScale="70" zoomScaleNormal="70" workbookViewId="0">
      <selection activeCell="G4" sqref="G4"/>
    </sheetView>
  </sheetViews>
  <sheetFormatPr baseColWidth="10" defaultRowHeight="15" x14ac:dyDescent="0.25"/>
  <cols>
    <col min="1" max="1" width="18.28515625" customWidth="1"/>
    <col min="5" max="5" width="12.28515625" bestFit="1" customWidth="1"/>
    <col min="7" max="7" width="103.42578125" bestFit="1" customWidth="1"/>
    <col min="8" max="8" width="7" customWidth="1"/>
    <col min="9" max="9" width="8.42578125" customWidth="1"/>
    <col min="10" max="10" width="8.85546875" customWidth="1"/>
    <col min="11" max="11" width="9.85546875" customWidth="1"/>
    <col min="19" max="19" width="14" bestFit="1" customWidth="1"/>
    <col min="28" max="28" width="14.7109375" bestFit="1" customWidth="1"/>
  </cols>
  <sheetData>
    <row r="1" spans="1:30" ht="15.75" x14ac:dyDescent="0.25">
      <c r="G1" s="27"/>
      <c r="H1" s="339" t="s">
        <v>158</v>
      </c>
      <c r="I1" s="339"/>
      <c r="J1" s="339" t="s">
        <v>159</v>
      </c>
      <c r="K1" s="339"/>
      <c r="L1" s="339"/>
      <c r="M1" s="339"/>
      <c r="N1" s="339"/>
      <c r="O1" s="339"/>
      <c r="P1" s="339"/>
      <c r="Q1" s="339"/>
      <c r="R1" s="339"/>
      <c r="S1" s="339"/>
      <c r="T1" s="339" t="s">
        <v>160</v>
      </c>
      <c r="U1" s="339"/>
    </row>
    <row r="2" spans="1:30" ht="15.75" x14ac:dyDescent="0.25">
      <c r="G2" s="27"/>
      <c r="H2" s="339"/>
      <c r="I2" s="339"/>
      <c r="J2" s="339" t="s">
        <v>161</v>
      </c>
      <c r="K2" s="339"/>
      <c r="L2" s="340" t="s">
        <v>162</v>
      </c>
      <c r="M2" s="342" t="s">
        <v>163</v>
      </c>
      <c r="N2" s="343"/>
      <c r="O2" s="344"/>
      <c r="P2" s="345" t="s">
        <v>164</v>
      </c>
      <c r="Q2" s="346"/>
      <c r="R2" s="347"/>
      <c r="S2" s="339" t="s">
        <v>165</v>
      </c>
      <c r="T2" s="339"/>
      <c r="U2" s="339"/>
    </row>
    <row r="3" spans="1:30" ht="94.5" x14ac:dyDescent="0.25">
      <c r="B3" s="4" t="s">
        <v>17</v>
      </c>
      <c r="C3" t="s">
        <v>18</v>
      </c>
      <c r="G3" s="27"/>
      <c r="H3" s="28" t="s">
        <v>166</v>
      </c>
      <c r="I3" s="28" t="s">
        <v>167</v>
      </c>
      <c r="J3" s="28" t="s">
        <v>168</v>
      </c>
      <c r="K3" s="28" t="s">
        <v>169</v>
      </c>
      <c r="L3" s="341"/>
      <c r="M3" s="29" t="s">
        <v>165</v>
      </c>
      <c r="N3" s="28" t="s">
        <v>170</v>
      </c>
      <c r="O3" s="28" t="s">
        <v>171</v>
      </c>
      <c r="P3" s="30" t="s">
        <v>165</v>
      </c>
      <c r="Q3" s="28" t="s">
        <v>170</v>
      </c>
      <c r="R3" s="28" t="s">
        <v>171</v>
      </c>
      <c r="S3" s="348"/>
      <c r="T3" s="31" t="s">
        <v>172</v>
      </c>
      <c r="U3" s="28" t="s">
        <v>173</v>
      </c>
      <c r="AC3" t="s">
        <v>210</v>
      </c>
      <c r="AD3" t="s">
        <v>211</v>
      </c>
    </row>
    <row r="4" spans="1:30" ht="15.75" customHeight="1" x14ac:dyDescent="0.25">
      <c r="A4" s="43">
        <v>1</v>
      </c>
      <c r="B4">
        <v>2.7</v>
      </c>
      <c r="C4">
        <v>4</v>
      </c>
      <c r="D4">
        <v>500</v>
      </c>
      <c r="E4">
        <v>0.1</v>
      </c>
      <c r="G4" t="s">
        <v>48</v>
      </c>
      <c r="H4">
        <v>500</v>
      </c>
      <c r="I4">
        <v>15</v>
      </c>
      <c r="J4">
        <v>0</v>
      </c>
      <c r="K4">
        <v>3.2</v>
      </c>
      <c r="L4">
        <v>0.1</v>
      </c>
      <c r="M4">
        <v>18</v>
      </c>
      <c r="N4">
        <v>0</v>
      </c>
      <c r="O4">
        <v>0.25</v>
      </c>
      <c r="P4">
        <v>51</v>
      </c>
      <c r="Q4">
        <v>3</v>
      </c>
      <c r="R4">
        <v>0.125</v>
      </c>
      <c r="S4">
        <v>33</v>
      </c>
      <c r="T4">
        <v>0.2</v>
      </c>
      <c r="U4">
        <v>5000</v>
      </c>
      <c r="V4">
        <v>2.7</v>
      </c>
      <c r="W4">
        <v>4</v>
      </c>
      <c r="AB4" t="s">
        <v>209</v>
      </c>
      <c r="AC4">
        <v>50</v>
      </c>
      <c r="AD4">
        <v>7</v>
      </c>
    </row>
    <row r="5" spans="1:30" ht="15.75" customHeight="1" x14ac:dyDescent="0.25">
      <c r="A5" s="43">
        <v>2</v>
      </c>
      <c r="B5">
        <v>2.2999999999999998</v>
      </c>
      <c r="C5">
        <v>3.5</v>
      </c>
      <c r="D5">
        <v>400</v>
      </c>
      <c r="E5">
        <v>0.1</v>
      </c>
      <c r="G5" t="s">
        <v>49</v>
      </c>
      <c r="H5">
        <v>400</v>
      </c>
      <c r="I5">
        <v>15</v>
      </c>
      <c r="J5">
        <v>0</v>
      </c>
      <c r="K5">
        <v>3.2</v>
      </c>
      <c r="L5">
        <v>0.1</v>
      </c>
      <c r="M5">
        <v>18</v>
      </c>
      <c r="N5">
        <v>0</v>
      </c>
      <c r="O5">
        <v>0.25</v>
      </c>
      <c r="P5">
        <v>47</v>
      </c>
      <c r="Q5">
        <v>3</v>
      </c>
      <c r="R5">
        <v>0.125</v>
      </c>
      <c r="S5">
        <v>29</v>
      </c>
      <c r="T5">
        <v>0.3</v>
      </c>
      <c r="U5">
        <v>3000</v>
      </c>
      <c r="V5">
        <v>2.2999999999999998</v>
      </c>
      <c r="W5">
        <v>3.5</v>
      </c>
      <c r="AB5" t="s">
        <v>212</v>
      </c>
      <c r="AC5">
        <v>30</v>
      </c>
      <c r="AD5">
        <v>5</v>
      </c>
    </row>
    <row r="6" spans="1:30" x14ac:dyDescent="0.25">
      <c r="A6" s="43">
        <v>3</v>
      </c>
      <c r="B6">
        <v>2</v>
      </c>
      <c r="C6">
        <v>3</v>
      </c>
      <c r="D6">
        <v>300</v>
      </c>
      <c r="E6">
        <v>0.15</v>
      </c>
      <c r="G6" t="s">
        <v>50</v>
      </c>
      <c r="H6">
        <v>300</v>
      </c>
      <c r="I6">
        <v>10</v>
      </c>
      <c r="J6">
        <v>0</v>
      </c>
      <c r="K6">
        <v>2.6</v>
      </c>
      <c r="L6">
        <v>0.15</v>
      </c>
      <c r="M6">
        <v>15</v>
      </c>
      <c r="N6">
        <v>0</v>
      </c>
      <c r="O6">
        <v>0.25</v>
      </c>
      <c r="P6">
        <v>44</v>
      </c>
      <c r="Q6">
        <v>3</v>
      </c>
      <c r="R6">
        <v>0.125</v>
      </c>
      <c r="S6">
        <v>29</v>
      </c>
      <c r="T6">
        <v>0.4</v>
      </c>
      <c r="U6">
        <v>1500</v>
      </c>
      <c r="V6">
        <v>2</v>
      </c>
      <c r="W6">
        <v>3</v>
      </c>
      <c r="AB6" t="s">
        <v>213</v>
      </c>
      <c r="AC6">
        <v>20</v>
      </c>
      <c r="AD6">
        <v>3</v>
      </c>
    </row>
    <row r="7" spans="1:30" x14ac:dyDescent="0.25">
      <c r="A7" s="43">
        <v>4</v>
      </c>
      <c r="B7">
        <v>1.7</v>
      </c>
      <c r="C7">
        <v>2.5</v>
      </c>
      <c r="D7">
        <v>150</v>
      </c>
      <c r="E7">
        <v>0.15</v>
      </c>
      <c r="G7" t="s">
        <v>51</v>
      </c>
      <c r="H7">
        <v>150</v>
      </c>
      <c r="I7">
        <v>6</v>
      </c>
      <c r="J7">
        <v>0</v>
      </c>
      <c r="K7">
        <v>2.2000000000000002</v>
      </c>
      <c r="L7">
        <v>0.15</v>
      </c>
      <c r="M7">
        <v>11</v>
      </c>
      <c r="N7">
        <v>0</v>
      </c>
      <c r="O7">
        <v>0.25</v>
      </c>
      <c r="P7">
        <v>29</v>
      </c>
      <c r="Q7">
        <v>3</v>
      </c>
      <c r="R7">
        <v>0.125</v>
      </c>
      <c r="S7">
        <v>18</v>
      </c>
      <c r="T7">
        <v>0.5</v>
      </c>
      <c r="U7">
        <v>500</v>
      </c>
      <c r="V7">
        <v>1.7</v>
      </c>
      <c r="W7">
        <v>2.5</v>
      </c>
      <c r="AB7" t="s">
        <v>214</v>
      </c>
      <c r="AC7">
        <v>15.5</v>
      </c>
      <c r="AD7">
        <v>4</v>
      </c>
    </row>
    <row r="8" spans="1:30" x14ac:dyDescent="0.25">
      <c r="A8" s="43">
        <v>5</v>
      </c>
      <c r="B8">
        <v>1.4</v>
      </c>
      <c r="C8">
        <v>2</v>
      </c>
      <c r="D8">
        <v>100</v>
      </c>
      <c r="E8">
        <v>0.3</v>
      </c>
      <c r="G8" t="s">
        <v>52</v>
      </c>
      <c r="H8">
        <v>100</v>
      </c>
      <c r="I8">
        <v>5</v>
      </c>
      <c r="J8">
        <v>0</v>
      </c>
      <c r="K8">
        <v>1.8</v>
      </c>
      <c r="L8">
        <v>0.15</v>
      </c>
      <c r="M8">
        <v>11</v>
      </c>
      <c r="N8">
        <v>0</v>
      </c>
      <c r="O8">
        <v>0.25</v>
      </c>
      <c r="P8">
        <v>26</v>
      </c>
      <c r="Q8">
        <v>3</v>
      </c>
      <c r="R8">
        <v>0.125</v>
      </c>
      <c r="S8">
        <v>15</v>
      </c>
      <c r="T8">
        <v>0.6</v>
      </c>
      <c r="U8">
        <v>500</v>
      </c>
      <c r="V8">
        <v>1.4</v>
      </c>
      <c r="W8">
        <v>2</v>
      </c>
      <c r="AB8" t="s">
        <v>215</v>
      </c>
      <c r="AC8">
        <v>13.5</v>
      </c>
      <c r="AD8">
        <v>3</v>
      </c>
    </row>
    <row r="9" spans="1:30" x14ac:dyDescent="0.25">
      <c r="A9" s="43">
        <v>6</v>
      </c>
      <c r="B9">
        <v>1</v>
      </c>
      <c r="C9">
        <v>0</v>
      </c>
      <c r="D9" t="s">
        <v>21</v>
      </c>
      <c r="E9">
        <v>0.4</v>
      </c>
      <c r="G9" t="s">
        <v>53</v>
      </c>
      <c r="H9">
        <v>100</v>
      </c>
      <c r="I9">
        <v>5</v>
      </c>
      <c r="J9">
        <v>0</v>
      </c>
      <c r="K9">
        <v>1.5</v>
      </c>
      <c r="L9">
        <v>0.4</v>
      </c>
      <c r="M9">
        <v>8</v>
      </c>
      <c r="N9">
        <v>0</v>
      </c>
      <c r="O9">
        <v>0.25</v>
      </c>
      <c r="P9">
        <v>16</v>
      </c>
      <c r="Q9">
        <v>3</v>
      </c>
      <c r="R9">
        <v>0.125</v>
      </c>
      <c r="S9">
        <v>8</v>
      </c>
      <c r="T9">
        <v>0.75</v>
      </c>
      <c r="U9">
        <v>250</v>
      </c>
      <c r="V9">
        <v>1</v>
      </c>
      <c r="W9">
        <v>0</v>
      </c>
      <c r="AB9" t="s">
        <v>216</v>
      </c>
      <c r="AC9">
        <v>9</v>
      </c>
      <c r="AD9">
        <v>1.5</v>
      </c>
    </row>
    <row r="10" spans="1:30" x14ac:dyDescent="0.25">
      <c r="A10" s="43">
        <v>7</v>
      </c>
      <c r="B10">
        <v>0.5</v>
      </c>
      <c r="C10">
        <v>0</v>
      </c>
      <c r="D10">
        <v>436.81</v>
      </c>
      <c r="E10">
        <v>0.6</v>
      </c>
      <c r="G10" t="s">
        <v>54</v>
      </c>
      <c r="H10">
        <v>200</v>
      </c>
      <c r="I10">
        <v>6</v>
      </c>
      <c r="J10">
        <v>0</v>
      </c>
      <c r="K10">
        <v>0.8</v>
      </c>
      <c r="L10">
        <v>0.6</v>
      </c>
      <c r="M10">
        <v>6</v>
      </c>
      <c r="N10">
        <v>0</v>
      </c>
      <c r="O10">
        <v>0.25</v>
      </c>
      <c r="P10">
        <v>14</v>
      </c>
      <c r="Q10">
        <v>3</v>
      </c>
      <c r="R10">
        <v>0.125</v>
      </c>
      <c r="S10">
        <v>8</v>
      </c>
      <c r="T10">
        <v>0.8</v>
      </c>
      <c r="U10">
        <v>100</v>
      </c>
      <c r="V10">
        <v>0.5</v>
      </c>
      <c r="W10">
        <v>0</v>
      </c>
      <c r="AB10" t="s">
        <v>217</v>
      </c>
      <c r="AC10">
        <v>2</v>
      </c>
    </row>
    <row r="11" spans="1:30" x14ac:dyDescent="0.25">
      <c r="A11" s="11" t="s">
        <v>22</v>
      </c>
      <c r="B11">
        <v>0.5</v>
      </c>
      <c r="C11">
        <v>0</v>
      </c>
      <c r="D11">
        <v>436.81</v>
      </c>
      <c r="E11">
        <v>0.65</v>
      </c>
      <c r="G11" t="s">
        <v>55</v>
      </c>
      <c r="H11">
        <v>400</v>
      </c>
      <c r="I11">
        <v>15</v>
      </c>
      <c r="J11">
        <v>0</v>
      </c>
      <c r="K11">
        <v>0.7</v>
      </c>
      <c r="L11">
        <v>0.65</v>
      </c>
      <c r="M11">
        <v>6</v>
      </c>
      <c r="N11">
        <v>0</v>
      </c>
      <c r="O11">
        <v>0.25</v>
      </c>
      <c r="P11">
        <v>6</v>
      </c>
      <c r="Q11" t="s">
        <v>156</v>
      </c>
      <c r="R11" t="s">
        <v>156</v>
      </c>
      <c r="S11" t="s">
        <v>156</v>
      </c>
      <c r="T11">
        <v>0.8</v>
      </c>
      <c r="U11" t="s">
        <v>157</v>
      </c>
      <c r="V11">
        <v>0.5</v>
      </c>
      <c r="W11">
        <v>0</v>
      </c>
      <c r="AB11" t="s">
        <v>218</v>
      </c>
      <c r="AC11">
        <v>3</v>
      </c>
    </row>
    <row r="12" spans="1:30" x14ac:dyDescent="0.25">
      <c r="A12" s="11" t="s">
        <v>56</v>
      </c>
      <c r="G12" t="s">
        <v>56</v>
      </c>
    </row>
    <row r="13" spans="1:30" x14ac:dyDescent="0.25">
      <c r="I13" t="s">
        <v>201</v>
      </c>
      <c r="L13" s="6" t="s">
        <v>154</v>
      </c>
    </row>
    <row r="14" spans="1:30" x14ac:dyDescent="0.25">
      <c r="I14" t="s">
        <v>202</v>
      </c>
      <c r="L14" s="6" t="s">
        <v>153</v>
      </c>
    </row>
    <row r="15" spans="1:30" x14ac:dyDescent="0.25">
      <c r="A15" t="s">
        <v>59</v>
      </c>
      <c r="E15" t="s">
        <v>17</v>
      </c>
    </row>
    <row r="16" spans="1:30" x14ac:dyDescent="0.25">
      <c r="A16" t="s">
        <v>60</v>
      </c>
      <c r="E16" t="s">
        <v>18</v>
      </c>
    </row>
    <row r="17" spans="1:5" x14ac:dyDescent="0.25">
      <c r="A17" t="s">
        <v>61</v>
      </c>
      <c r="E17" t="s">
        <v>225</v>
      </c>
    </row>
    <row r="18" spans="1:5" x14ac:dyDescent="0.25">
      <c r="A18" t="s">
        <v>62</v>
      </c>
    </row>
    <row r="19" spans="1:5" x14ac:dyDescent="0.25">
      <c r="A19" t="s">
        <v>63</v>
      </c>
    </row>
    <row r="20" spans="1:5" x14ac:dyDescent="0.25">
      <c r="A20" t="s">
        <v>64</v>
      </c>
    </row>
    <row r="21" spans="1:5" x14ac:dyDescent="0.25">
      <c r="A21" t="s">
        <v>65</v>
      </c>
    </row>
    <row r="22" spans="1:5" x14ac:dyDescent="0.25">
      <c r="A22" t="s">
        <v>66</v>
      </c>
    </row>
    <row r="23" spans="1:5" x14ac:dyDescent="0.25">
      <c r="A23" t="s">
        <v>67</v>
      </c>
    </row>
    <row r="24" spans="1:5" x14ac:dyDescent="0.25">
      <c r="A24" t="s">
        <v>68</v>
      </c>
    </row>
    <row r="25" spans="1:5" x14ac:dyDescent="0.25">
      <c r="A25" t="s">
        <v>72</v>
      </c>
    </row>
    <row r="27" spans="1:5" x14ac:dyDescent="0.25">
      <c r="A27" t="s">
        <v>70</v>
      </c>
    </row>
    <row r="28" spans="1:5" x14ac:dyDescent="0.25">
      <c r="A28" t="s">
        <v>71</v>
      </c>
    </row>
    <row r="30" spans="1:5" x14ac:dyDescent="0.25">
      <c r="A30" t="s">
        <v>76</v>
      </c>
    </row>
    <row r="31" spans="1:5" x14ac:dyDescent="0.25">
      <c r="A31" t="s">
        <v>77</v>
      </c>
    </row>
    <row r="32" spans="1:5" x14ac:dyDescent="0.25">
      <c r="A32" t="s">
        <v>78</v>
      </c>
    </row>
    <row r="33" spans="1:1" x14ac:dyDescent="0.25">
      <c r="A33" t="s">
        <v>79</v>
      </c>
    </row>
    <row r="34" spans="1:1" x14ac:dyDescent="0.25">
      <c r="A34" t="s">
        <v>80</v>
      </c>
    </row>
    <row r="35" spans="1:1" x14ac:dyDescent="0.25">
      <c r="A35" t="s">
        <v>81</v>
      </c>
    </row>
    <row r="36" spans="1:1" x14ac:dyDescent="0.25">
      <c r="A36" t="s">
        <v>82</v>
      </c>
    </row>
    <row r="37" spans="1:1" x14ac:dyDescent="0.25">
      <c r="A37" t="s">
        <v>83</v>
      </c>
    </row>
    <row r="38" spans="1:1" x14ac:dyDescent="0.25">
      <c r="A38" t="s">
        <v>84</v>
      </c>
    </row>
    <row r="39" spans="1:1" x14ac:dyDescent="0.25">
      <c r="A39" t="s">
        <v>85</v>
      </c>
    </row>
    <row r="40" spans="1:1" x14ac:dyDescent="0.25">
      <c r="A40" t="s">
        <v>72</v>
      </c>
    </row>
    <row r="42" spans="1:1" x14ac:dyDescent="0.25">
      <c r="A42" t="s">
        <v>92</v>
      </c>
    </row>
    <row r="43" spans="1:1" x14ac:dyDescent="0.25">
      <c r="A43" t="s">
        <v>93</v>
      </c>
    </row>
    <row r="44" spans="1:1" x14ac:dyDescent="0.25">
      <c r="A44" t="s">
        <v>105</v>
      </c>
    </row>
    <row r="45" spans="1:1" x14ac:dyDescent="0.25">
      <c r="A45" t="s">
        <v>106</v>
      </c>
    </row>
    <row r="46" spans="1:1" x14ac:dyDescent="0.25">
      <c r="A46" t="s">
        <v>107</v>
      </c>
    </row>
    <row r="47" spans="1:1" x14ac:dyDescent="0.25">
      <c r="A47" t="s">
        <v>108</v>
      </c>
    </row>
    <row r="48" spans="1:1" x14ac:dyDescent="0.25">
      <c r="A48" t="s">
        <v>109</v>
      </c>
    </row>
    <row r="49" spans="1:1" x14ac:dyDescent="0.25">
      <c r="A49" t="s">
        <v>110</v>
      </c>
    </row>
    <row r="50" spans="1:1" x14ac:dyDescent="0.25">
      <c r="A50" t="s">
        <v>111</v>
      </c>
    </row>
    <row r="51" spans="1:1" x14ac:dyDescent="0.25">
      <c r="A51" t="s">
        <v>112</v>
      </c>
    </row>
    <row r="52" spans="1:1" x14ac:dyDescent="0.25">
      <c r="A52" t="s">
        <v>113</v>
      </c>
    </row>
    <row r="53" spans="1:1" x14ac:dyDescent="0.25">
      <c r="A53" t="s">
        <v>114</v>
      </c>
    </row>
    <row r="54" spans="1:1" x14ac:dyDescent="0.25">
      <c r="A54" t="s">
        <v>115</v>
      </c>
    </row>
    <row r="55" spans="1:1" x14ac:dyDescent="0.25">
      <c r="A55" t="s">
        <v>116</v>
      </c>
    </row>
    <row r="56" spans="1:1" x14ac:dyDescent="0.25">
      <c r="A56" t="s">
        <v>94</v>
      </c>
    </row>
    <row r="57" spans="1:1" x14ac:dyDescent="0.25">
      <c r="A57" t="s">
        <v>95</v>
      </c>
    </row>
    <row r="58" spans="1:1" x14ac:dyDescent="0.25">
      <c r="A58" t="s">
        <v>96</v>
      </c>
    </row>
    <row r="59" spans="1:1" ht="15" customHeight="1" x14ac:dyDescent="0.25">
      <c r="A59" t="s">
        <v>97</v>
      </c>
    </row>
    <row r="60" spans="1:1" ht="15" customHeight="1" x14ac:dyDescent="0.25">
      <c r="A60" t="s">
        <v>98</v>
      </c>
    </row>
    <row r="61" spans="1:1" ht="16.5" customHeight="1" x14ac:dyDescent="0.25">
      <c r="A61" t="s">
        <v>99</v>
      </c>
    </row>
    <row r="62" spans="1:1" ht="16.5" customHeight="1" x14ac:dyDescent="0.25">
      <c r="A62" t="s">
        <v>100</v>
      </c>
    </row>
    <row r="63" spans="1:1" x14ac:dyDescent="0.25">
      <c r="A63" t="s">
        <v>101</v>
      </c>
    </row>
    <row r="64" spans="1:1" x14ac:dyDescent="0.25">
      <c r="A64" t="s">
        <v>102</v>
      </c>
    </row>
    <row r="65" spans="1:9" ht="15" customHeight="1" x14ac:dyDescent="0.25">
      <c r="A65" t="s">
        <v>103</v>
      </c>
    </row>
    <row r="66" spans="1:9" x14ac:dyDescent="0.25">
      <c r="A66" t="s">
        <v>104</v>
      </c>
    </row>
    <row r="67" spans="1:9" x14ac:dyDescent="0.25">
      <c r="A67" t="s">
        <v>72</v>
      </c>
    </row>
    <row r="68" spans="1:9" x14ac:dyDescent="0.25">
      <c r="E68" t="s">
        <v>119</v>
      </c>
    </row>
    <row r="69" spans="1:9" x14ac:dyDescent="0.25">
      <c r="A69" t="s">
        <v>119</v>
      </c>
      <c r="G69" t="s">
        <v>130</v>
      </c>
      <c r="I69" t="s">
        <v>131</v>
      </c>
    </row>
    <row r="70" spans="1:9" x14ac:dyDescent="0.25">
      <c r="A70" t="s">
        <v>177</v>
      </c>
      <c r="G70" t="s">
        <v>120</v>
      </c>
      <c r="I70" t="s">
        <v>132</v>
      </c>
    </row>
    <row r="71" spans="1:9" x14ac:dyDescent="0.25">
      <c r="A71" t="s">
        <v>178</v>
      </c>
      <c r="G71" t="s">
        <v>121</v>
      </c>
      <c r="I71" t="s">
        <v>133</v>
      </c>
    </row>
    <row r="72" spans="1:9" x14ac:dyDescent="0.25">
      <c r="G72" t="s">
        <v>122</v>
      </c>
      <c r="I72" t="s">
        <v>134</v>
      </c>
    </row>
    <row r="73" spans="1:9" x14ac:dyDescent="0.25">
      <c r="G73" t="s">
        <v>123</v>
      </c>
      <c r="I73" t="s">
        <v>135</v>
      </c>
    </row>
    <row r="74" spans="1:9" x14ac:dyDescent="0.25">
      <c r="G74" t="s">
        <v>124</v>
      </c>
      <c r="I74" t="s">
        <v>136</v>
      </c>
    </row>
    <row r="75" spans="1:9" x14ac:dyDescent="0.25">
      <c r="G75" t="s">
        <v>125</v>
      </c>
      <c r="I75" t="s">
        <v>137</v>
      </c>
    </row>
    <row r="76" spans="1:9" x14ac:dyDescent="0.25">
      <c r="G76" t="s">
        <v>126</v>
      </c>
      <c r="I76" t="s">
        <v>138</v>
      </c>
    </row>
    <row r="77" spans="1:9" x14ac:dyDescent="0.25">
      <c r="G77" t="s">
        <v>127</v>
      </c>
      <c r="I77" t="s">
        <v>139</v>
      </c>
    </row>
    <row r="78" spans="1:9" x14ac:dyDescent="0.25">
      <c r="G78" t="s">
        <v>128</v>
      </c>
      <c r="I78" t="s">
        <v>140</v>
      </c>
    </row>
    <row r="79" spans="1:9" x14ac:dyDescent="0.25">
      <c r="G79" t="s">
        <v>129</v>
      </c>
      <c r="I79" t="s">
        <v>141</v>
      </c>
    </row>
    <row r="80" spans="1:9" ht="15" customHeight="1" x14ac:dyDescent="0.25">
      <c r="G80" t="s">
        <v>132</v>
      </c>
      <c r="I80" t="s">
        <v>142</v>
      </c>
    </row>
    <row r="81" spans="7:9" x14ac:dyDescent="0.25">
      <c r="G81" t="s">
        <v>133</v>
      </c>
      <c r="I81" t="s">
        <v>143</v>
      </c>
    </row>
    <row r="82" spans="7:9" x14ac:dyDescent="0.25">
      <c r="G82" t="s">
        <v>134</v>
      </c>
      <c r="I82" t="s">
        <v>144</v>
      </c>
    </row>
    <row r="83" spans="7:9" x14ac:dyDescent="0.25">
      <c r="G83" t="s">
        <v>135</v>
      </c>
      <c r="I83" t="s">
        <v>145</v>
      </c>
    </row>
    <row r="84" spans="7:9" x14ac:dyDescent="0.25">
      <c r="G84" t="s">
        <v>136</v>
      </c>
      <c r="I84" t="s">
        <v>146</v>
      </c>
    </row>
    <row r="85" spans="7:9" x14ac:dyDescent="0.25">
      <c r="G85" t="s">
        <v>137</v>
      </c>
      <c r="I85" t="s">
        <v>147</v>
      </c>
    </row>
    <row r="86" spans="7:9" x14ac:dyDescent="0.25">
      <c r="G86" t="s">
        <v>138</v>
      </c>
      <c r="I86" t="s">
        <v>148</v>
      </c>
    </row>
    <row r="87" spans="7:9" x14ac:dyDescent="0.25">
      <c r="G87" t="s">
        <v>139</v>
      </c>
      <c r="I87" t="s">
        <v>149</v>
      </c>
    </row>
    <row r="88" spans="7:9" x14ac:dyDescent="0.25">
      <c r="G88" t="s">
        <v>140</v>
      </c>
      <c r="I88" t="s">
        <v>150</v>
      </c>
    </row>
    <row r="89" spans="7:9" x14ac:dyDescent="0.25">
      <c r="G89" t="s">
        <v>141</v>
      </c>
      <c r="I89" t="s">
        <v>151</v>
      </c>
    </row>
    <row r="90" spans="7:9" x14ac:dyDescent="0.25">
      <c r="G90" t="s">
        <v>142</v>
      </c>
      <c r="I90" t="s">
        <v>152</v>
      </c>
    </row>
    <row r="91" spans="7:9" x14ac:dyDescent="0.25">
      <c r="G91" t="s">
        <v>143</v>
      </c>
    </row>
    <row r="92" spans="7:9" x14ac:dyDescent="0.25">
      <c r="G92" t="s">
        <v>144</v>
      </c>
    </row>
    <row r="93" spans="7:9" x14ac:dyDescent="0.25">
      <c r="G93" t="s">
        <v>145</v>
      </c>
    </row>
    <row r="94" spans="7:9" x14ac:dyDescent="0.25">
      <c r="G94" t="s">
        <v>146</v>
      </c>
    </row>
    <row r="95" spans="7:9" ht="15" customHeight="1" x14ac:dyDescent="0.25">
      <c r="G95" t="s">
        <v>147</v>
      </c>
    </row>
    <row r="96" spans="7:9" x14ac:dyDescent="0.25">
      <c r="G96" t="s">
        <v>148</v>
      </c>
    </row>
    <row r="97" spans="7:7" x14ac:dyDescent="0.25">
      <c r="G97" t="s">
        <v>149</v>
      </c>
    </row>
    <row r="98" spans="7:7" x14ac:dyDescent="0.25">
      <c r="G98" t="s">
        <v>150</v>
      </c>
    </row>
    <row r="99" spans="7:7" x14ac:dyDescent="0.25">
      <c r="G99" t="s">
        <v>151</v>
      </c>
    </row>
    <row r="100" spans="7:7" x14ac:dyDescent="0.25">
      <c r="G100" t="s">
        <v>152</v>
      </c>
    </row>
    <row r="101" spans="7:7" x14ac:dyDescent="0.25">
      <c r="G101" s="1"/>
    </row>
    <row r="102" spans="7:7" x14ac:dyDescent="0.25">
      <c r="G102" s="1"/>
    </row>
    <row r="103" spans="7:7" x14ac:dyDescent="0.25">
      <c r="G103" s="1"/>
    </row>
    <row r="104" spans="7:7" x14ac:dyDescent="0.25">
      <c r="G104" s="1"/>
    </row>
    <row r="105" spans="7:7" x14ac:dyDescent="0.25">
      <c r="G105" s="1"/>
    </row>
    <row r="106" spans="7:7" x14ac:dyDescent="0.25">
      <c r="G106" s="1"/>
    </row>
    <row r="107" spans="7:7" x14ac:dyDescent="0.25">
      <c r="G107" s="1"/>
    </row>
    <row r="108" spans="7:7" x14ac:dyDescent="0.25">
      <c r="G108" s="1"/>
    </row>
    <row r="109" spans="7:7" x14ac:dyDescent="0.25">
      <c r="G109" s="1"/>
    </row>
    <row r="110" spans="7:7" x14ac:dyDescent="0.25">
      <c r="G110" s="1"/>
    </row>
    <row r="111" spans="7:7" x14ac:dyDescent="0.25">
      <c r="G111" s="1"/>
    </row>
    <row r="112" spans="7:7" x14ac:dyDescent="0.25">
      <c r="G112" s="1"/>
    </row>
    <row r="113" spans="7:7" x14ac:dyDescent="0.25">
      <c r="G113" s="1"/>
    </row>
    <row r="114" spans="7:7" x14ac:dyDescent="0.25">
      <c r="G114" s="1"/>
    </row>
    <row r="115" spans="7:7" x14ac:dyDescent="0.25">
      <c r="G115" s="1"/>
    </row>
    <row r="116" spans="7:7" x14ac:dyDescent="0.25">
      <c r="G116" s="1"/>
    </row>
    <row r="117" spans="7:7" x14ac:dyDescent="0.25">
      <c r="G117" s="1"/>
    </row>
    <row r="118" spans="7:7" x14ac:dyDescent="0.25">
      <c r="G118" s="1"/>
    </row>
    <row r="119" spans="7:7" x14ac:dyDescent="0.25">
      <c r="G119" s="1"/>
    </row>
    <row r="120" spans="7:7" x14ac:dyDescent="0.25">
      <c r="G120" s="1"/>
    </row>
    <row r="121" spans="7:7" x14ac:dyDescent="0.25">
      <c r="G121" s="1"/>
    </row>
  </sheetData>
  <mergeCells count="8">
    <mergeCell ref="H1:I2"/>
    <mergeCell ref="J1:S1"/>
    <mergeCell ref="T1:U2"/>
    <mergeCell ref="J2:K2"/>
    <mergeCell ref="L2:L3"/>
    <mergeCell ref="M2:O2"/>
    <mergeCell ref="P2:R2"/>
    <mergeCell ref="S2:S3"/>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B1:B12"/>
  <sheetViews>
    <sheetView workbookViewId="0">
      <selection activeCell="B12" sqref="B12"/>
    </sheetView>
  </sheetViews>
  <sheetFormatPr baseColWidth="10" defaultRowHeight="15" x14ac:dyDescent="0.25"/>
  <sheetData>
    <row r="1" spans="2:2" x14ac:dyDescent="0.25">
      <c r="B1" s="21" t="s">
        <v>195</v>
      </c>
    </row>
    <row r="2" spans="2:2" x14ac:dyDescent="0.25">
      <c r="B2" s="21" t="s">
        <v>193</v>
      </c>
    </row>
    <row r="3" spans="2:2" x14ac:dyDescent="0.25">
      <c r="B3" s="21" t="s">
        <v>194</v>
      </c>
    </row>
    <row r="4" spans="2:2" x14ac:dyDescent="0.25">
      <c r="B4" s="21" t="s">
        <v>196</v>
      </c>
    </row>
    <row r="5" spans="2:2" x14ac:dyDescent="0.25">
      <c r="B5" s="21" t="s">
        <v>197</v>
      </c>
    </row>
    <row r="6" spans="2:2" x14ac:dyDescent="0.25">
      <c r="B6" s="21" t="s">
        <v>198</v>
      </c>
    </row>
    <row r="7" spans="2:2" x14ac:dyDescent="0.25">
      <c r="B7" s="21" t="s">
        <v>199</v>
      </c>
    </row>
    <row r="8" spans="2:2" x14ac:dyDescent="0.25">
      <c r="B8" s="21" t="s">
        <v>207</v>
      </c>
    </row>
    <row r="9" spans="2:2" x14ac:dyDescent="0.25">
      <c r="B9" s="21" t="s">
        <v>221</v>
      </c>
    </row>
    <row r="10" spans="2:2" x14ac:dyDescent="0.25">
      <c r="B10" s="21" t="s">
        <v>226</v>
      </c>
    </row>
    <row r="11" spans="2:2" x14ac:dyDescent="0.25">
      <c r="B11" s="21" t="s">
        <v>227</v>
      </c>
    </row>
    <row r="12" spans="2:2" x14ac:dyDescent="0.25">
      <c r="B12" s="2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7</vt:i4>
      </vt:variant>
    </vt:vector>
  </HeadingPairs>
  <TitlesOfParts>
    <vt:vector size="16" baseType="lpstr">
      <vt:lpstr>menore</vt:lpstr>
      <vt:lpstr>mayores</vt:lpstr>
      <vt:lpstr>FACTIBILIDAD</vt:lpstr>
      <vt:lpstr>FORMATO  FACT</vt:lpstr>
      <vt:lpstr>CARGA U</vt:lpstr>
      <vt:lpstr>CATEGORIZACION DE UDS</vt:lpstr>
      <vt:lpstr>C. NOTIFICACION</vt:lpstr>
      <vt:lpstr>tabla</vt:lpstr>
      <vt:lpstr>PREGUNTAS</vt:lpstr>
      <vt:lpstr>'C. NOTIFICACION'!Área_de_impresión</vt:lpstr>
      <vt:lpstr>'CATEGORIZACION DE UDS'!Área_de_impresión</vt:lpstr>
      <vt:lpstr>'FORMATO  FACT'!Área_de_impresión</vt:lpstr>
      <vt:lpstr>No_residencial</vt:lpstr>
      <vt:lpstr>NO_RESIDENCIAL_COND</vt:lpstr>
      <vt:lpstr>NO_RESIDENCIAL_ORD</vt:lpstr>
      <vt:lpstr>RESIDENCIAL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Microsoft;DULCE RIVERA</dc:creator>
  <cp:lastModifiedBy>Ivan Carreto</cp:lastModifiedBy>
  <cp:lastPrinted>2026-04-30T15:44:23Z</cp:lastPrinted>
  <dcterms:created xsi:type="dcterms:W3CDTF">2017-05-05T19:20:04Z</dcterms:created>
  <dcterms:modified xsi:type="dcterms:W3CDTF">2026-06-07T15:23:48Z</dcterms:modified>
</cp:coreProperties>
</file>