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bicacion C a D\Documentos\gitdocs-2026\macros fac\"/>
    </mc:Choice>
  </mc:AlternateContent>
  <xr:revisionPtr revIDLastSave="0" documentId="13_ncr:1_{523B836F-0F25-4B3C-84F0-8A3A0B060CBC}" xr6:coauthVersionLast="47" xr6:coauthVersionMax="47" xr10:uidLastSave="{00000000-0000-0000-0000-000000000000}"/>
  <bookViews>
    <workbookView xWindow="-108" yWindow="-108" windowWidth="23256" windowHeight="12576" activeTab="1" xr2:uid="{C766D835-A20E-4B1F-9AF4-0EEFB78C46DC}"/>
  </bookViews>
  <sheets>
    <sheet name="Hoja1" sheetId="1" r:id="rId1"/>
    <sheet name="Hoja2" sheetId="2" r:id="rId2"/>
    <sheet name="Hoja3" sheetId="3" r:id="rId3"/>
    <sheet name="TABLAS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3" l="1"/>
  <c r="C2" i="3" l="1"/>
  <c r="D3" i="3" l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" i="3"/>
  <c r="F31" i="3"/>
  <c r="F30" i="3"/>
  <c r="F29" i="3"/>
  <c r="F28" i="3"/>
  <c r="F27" i="3"/>
  <c r="F26" i="3"/>
  <c r="B3" i="3"/>
  <c r="C3" i="3"/>
  <c r="E3" i="3"/>
  <c r="B4" i="3"/>
  <c r="C4" i="3"/>
  <c r="E4" i="3"/>
  <c r="B5" i="3"/>
  <c r="C5" i="3"/>
  <c r="E5" i="3"/>
  <c r="B6" i="3"/>
  <c r="C6" i="3"/>
  <c r="E6" i="3"/>
  <c r="B7" i="3"/>
  <c r="C7" i="3"/>
  <c r="E7" i="3"/>
  <c r="B8" i="3"/>
  <c r="C8" i="3"/>
  <c r="E8" i="3"/>
  <c r="B9" i="3"/>
  <c r="C9" i="3"/>
  <c r="E9" i="3"/>
  <c r="B10" i="3"/>
  <c r="C10" i="3"/>
  <c r="E10" i="3"/>
  <c r="B11" i="3"/>
  <c r="C11" i="3"/>
  <c r="E11" i="3"/>
  <c r="B12" i="3"/>
  <c r="C12" i="3"/>
  <c r="E12" i="3"/>
  <c r="B13" i="3"/>
  <c r="C13" i="3"/>
  <c r="E13" i="3"/>
  <c r="B14" i="3"/>
  <c r="C14" i="3"/>
  <c r="E14" i="3"/>
  <c r="B15" i="3"/>
  <c r="C15" i="3"/>
  <c r="E15" i="3"/>
  <c r="B16" i="3"/>
  <c r="C16" i="3"/>
  <c r="E16" i="3"/>
  <c r="B17" i="3"/>
  <c r="C17" i="3"/>
  <c r="E17" i="3"/>
  <c r="B18" i="3"/>
  <c r="C18" i="3"/>
  <c r="E18" i="3"/>
  <c r="B19" i="3"/>
  <c r="C19" i="3"/>
  <c r="E19" i="3"/>
  <c r="B20" i="3"/>
  <c r="C20" i="3"/>
  <c r="E20" i="3"/>
  <c r="B21" i="3"/>
  <c r="C21" i="3"/>
  <c r="E21" i="3"/>
  <c r="B22" i="3"/>
  <c r="C22" i="3"/>
  <c r="E22" i="3"/>
  <c r="B23" i="3"/>
  <c r="C23" i="3"/>
  <c r="E23" i="3"/>
  <c r="B24" i="3"/>
  <c r="C24" i="3"/>
  <c r="E24" i="3"/>
  <c r="B25" i="3"/>
  <c r="C25" i="3"/>
  <c r="E25" i="3"/>
  <c r="B26" i="3"/>
  <c r="C26" i="3"/>
  <c r="E26" i="3"/>
  <c r="B27" i="3"/>
  <c r="C27" i="3"/>
  <c r="E27" i="3"/>
  <c r="B28" i="3"/>
  <c r="C28" i="3"/>
  <c r="E28" i="3"/>
  <c r="B29" i="3"/>
  <c r="C29" i="3"/>
  <c r="E29" i="3"/>
  <c r="B30" i="3"/>
  <c r="C30" i="3"/>
  <c r="E30" i="3"/>
  <c r="B31" i="3"/>
  <c r="C31" i="3"/>
  <c r="E31" i="3"/>
  <c r="E2" i="3"/>
  <c r="B2" i="3"/>
</calcChain>
</file>

<file path=xl/sharedStrings.xml><?xml version="1.0" encoding="utf-8"?>
<sst xmlns="http://schemas.openxmlformats.org/spreadsheetml/2006/main" count="368" uniqueCount="213">
  <si>
    <r>
      <t>expediente_de_referencia:</t>
    </r>
    <r>
      <rPr>
        <sz val="10"/>
        <color rgb="FF000000"/>
        <rFont val="Segoe UI"/>
        <family val="2"/>
      </rPr>
      <t> N/A</t>
    </r>
  </si>
  <si>
    <r>
      <t>INSPECTOR:</t>
    </r>
    <r>
      <rPr>
        <sz val="10"/>
        <color rgb="FF000000"/>
        <rFont val="Segoe UI"/>
        <family val="2"/>
      </rPr>
      <t> IXCARAGUA BATZ, HUGO ALEJANDRO</t>
    </r>
  </si>
  <si>
    <r>
      <t>ZONA:</t>
    </r>
    <r>
      <rPr>
        <sz val="10"/>
        <color rgb="FF000000"/>
        <rFont val="Segoe UI"/>
        <family val="2"/>
      </rPr>
      <t> 3</t>
    </r>
  </si>
  <si>
    <r>
      <t>ZONA:</t>
    </r>
    <r>
      <rPr>
        <sz val="10"/>
        <color rgb="FF000000"/>
        <rFont val="Segoe UI"/>
        <family val="2"/>
      </rPr>
      <t> Rur</t>
    </r>
  </si>
  <si>
    <t xml:space="preserve">EXPEDIENTE </t>
  </si>
  <si>
    <t>PROPIETARIO</t>
  </si>
  <si>
    <t>DIRECCIÓN</t>
  </si>
  <si>
    <t>FECHA DE INGRESO</t>
  </si>
  <si>
    <t>FECHA DE INSPECCIÓN</t>
  </si>
  <si>
    <t>EXPEDIENTE DE REFERENCIA</t>
  </si>
  <si>
    <t xml:space="preserve">INSPECTOR </t>
  </si>
  <si>
    <t>ZONA</t>
  </si>
  <si>
    <t> N/A</t>
  </si>
  <si>
    <t> IXCARAGUA BATZ, HUGO ALEJANDRO</t>
  </si>
  <si>
    <t> 3</t>
  </si>
  <si>
    <t> Rur</t>
  </si>
  <si>
    <t>NO.</t>
  </si>
  <si>
    <t>INGRESO EXPEDIENTE</t>
  </si>
  <si>
    <t>EXPEDIENTE</t>
  </si>
  <si>
    <t>PROPIETARIO SEGÚN SOLVENCIA</t>
  </si>
  <si>
    <t>DIRECCION SEGÚN SOLVENCIA</t>
  </si>
  <si>
    <t>FECHA DE TRABAJO</t>
  </si>
  <si>
    <t>OBSERVACIONES O NOTAS IMPORTANTES</t>
  </si>
  <si>
    <r>
      <t>expediente:</t>
    </r>
    <r>
      <rPr>
        <sz val="10"/>
        <color rgb="FF000000"/>
        <rFont val="Segoe UI"/>
        <family val="2"/>
      </rPr>
      <t> RPNC1-4240426</t>
    </r>
  </si>
  <si>
    <r>
      <t>propietario:</t>
    </r>
    <r>
      <rPr>
        <sz val="10"/>
        <color rgb="FF000000"/>
        <rFont val="Segoe UI"/>
        <family val="2"/>
      </rPr>
      <t> CAJAS ITZEP, RAFAEL SALVADOR</t>
    </r>
  </si>
  <si>
    <r>
      <t>direccion:</t>
    </r>
    <r>
      <rPr>
        <sz val="10"/>
        <color rgb="FF000000"/>
        <rFont val="Segoe UI"/>
        <family val="2"/>
      </rPr>
      <t> 8va AVENIDA 0-10</t>
    </r>
  </si>
  <si>
    <r>
      <t>fecha_ingreso:</t>
    </r>
    <r>
      <rPr>
        <sz val="10"/>
        <color rgb="FF000000"/>
        <rFont val="Segoe UI"/>
        <family val="2"/>
      </rPr>
      <t> 2026-04-17</t>
    </r>
  </si>
  <si>
    <r>
      <t>fecha_de_inspeccion:</t>
    </r>
    <r>
      <rPr>
        <sz val="10"/>
        <color rgb="FF000000"/>
        <rFont val="Segoe UI"/>
        <family val="2"/>
      </rPr>
      <t> 2026-04-23</t>
    </r>
  </si>
  <si>
    <r>
      <t>expediente_de_referencia:</t>
    </r>
    <r>
      <rPr>
        <sz val="10"/>
        <color rgb="FF000000"/>
        <rFont val="Segoe UI"/>
        <family val="2"/>
      </rPr>
      <t> VUNC1-1100426</t>
    </r>
  </si>
  <si>
    <r>
      <t>INSPECTOR:</t>
    </r>
    <r>
      <rPr>
        <sz val="10"/>
        <color rgb="FF000000"/>
        <rFont val="Segoe UI"/>
        <family val="2"/>
      </rPr>
      <t> MARLON IVAN CARRETO RIVERA</t>
    </r>
  </si>
  <si>
    <r>
      <t>ZONA:</t>
    </r>
    <r>
      <rPr>
        <sz val="10"/>
        <color rgb="FF000000"/>
        <rFont val="Segoe UI"/>
        <family val="2"/>
      </rPr>
      <t> 1</t>
    </r>
  </si>
  <si>
    <t> RPNC1-4240426</t>
  </si>
  <si>
    <t> CAJAS ITZEP, RAFAEL SALVADOR</t>
  </si>
  <si>
    <t> 8va AVENIDA 0-10</t>
  </si>
  <si>
    <t> VUNC1-1100426</t>
  </si>
  <si>
    <t> MARLON IVAN CARRETO RIVERA</t>
  </si>
  <si>
    <t> 1</t>
  </si>
  <si>
    <r>
      <t>expediente:</t>
    </r>
    <r>
      <rPr>
        <sz val="10"/>
        <color rgb="FF000000"/>
        <rFont val="Segoe UI"/>
        <family val="2"/>
      </rPr>
      <t> CRUPR-810326</t>
    </r>
  </si>
  <si>
    <r>
      <t>propietario:</t>
    </r>
    <r>
      <rPr>
        <sz val="10"/>
        <color rgb="FF000000"/>
        <rFont val="Segoe UI"/>
        <family val="2"/>
      </rPr>
      <t> PEREZ Y PEREZ, MARIA ANA</t>
    </r>
  </si>
  <si>
    <r>
      <t>direccion:</t>
    </r>
    <r>
      <rPr>
        <sz val="10"/>
        <color rgb="FF000000"/>
        <rFont val="Segoe UI"/>
        <family val="2"/>
      </rPr>
      <t> CANTON CHUILAJU</t>
    </r>
  </si>
  <si>
    <r>
      <t>fecha_ingreso:</t>
    </r>
    <r>
      <rPr>
        <sz val="10"/>
        <color rgb="FF000000"/>
        <rFont val="Segoe UI"/>
        <family val="2"/>
      </rPr>
      <t> 2026-03-24</t>
    </r>
  </si>
  <si>
    <r>
      <t>fecha_de_inspeccion:</t>
    </r>
    <r>
      <rPr>
        <sz val="10"/>
        <color rgb="FF000000"/>
        <rFont val="Segoe UI"/>
        <family val="2"/>
      </rPr>
      <t> 2026-04-17</t>
    </r>
  </si>
  <si>
    <r>
      <t>INSPECTOR:</t>
    </r>
    <r>
      <rPr>
        <sz val="10"/>
        <color rgb="FF000000"/>
        <rFont val="Segoe UI"/>
        <family val="2"/>
      </rPr>
      <t> SON TIZOL, WILLIAM AMILCAR</t>
    </r>
  </si>
  <si>
    <t> CRUPR-810326</t>
  </si>
  <si>
    <t> PEREZ Y PEREZ, MARIA ANA</t>
  </si>
  <si>
    <t> CANTON CHUILAJU</t>
  </si>
  <si>
    <t> SON TIZOL, WILLIAM AMILCAR</t>
  </si>
  <si>
    <r>
      <t>expediente:</t>
    </r>
    <r>
      <rPr>
        <sz val="10"/>
        <color rgb="FF000000"/>
        <rFont val="Segoe UI"/>
        <family val="2"/>
      </rPr>
      <t> VUNDR-1310426</t>
    </r>
  </si>
  <si>
    <r>
      <t>propietario:</t>
    </r>
    <r>
      <rPr>
        <sz val="10"/>
        <color rgb="FF000000"/>
        <rFont val="Segoe UI"/>
        <family val="2"/>
      </rPr>
      <t> DESARROLLOS DE SUR-OCCIDENTE S.A.</t>
    </r>
  </si>
  <si>
    <r>
      <t>direccion:</t>
    </r>
    <r>
      <rPr>
        <sz val="10"/>
        <color rgb="FF000000"/>
        <rFont val="Segoe UI"/>
        <family val="2"/>
      </rPr>
      <t> LOTE E24 SECTOR 1 CIUDAD VERDE CHICHIGUITAN</t>
    </r>
  </si>
  <si>
    <r>
      <t>fecha_ingreso:</t>
    </r>
    <r>
      <rPr>
        <sz val="10"/>
        <color rgb="FF000000"/>
        <rFont val="Segoe UI"/>
        <family val="2"/>
      </rPr>
      <t> 2026-04-16</t>
    </r>
  </si>
  <si>
    <r>
      <t>fecha_de_inspeccion:</t>
    </r>
    <r>
      <rPr>
        <sz val="10"/>
        <color rgb="FF000000"/>
        <rFont val="Segoe UI"/>
        <family val="2"/>
      </rPr>
      <t> 2026-04-28</t>
    </r>
  </si>
  <si>
    <t> VUNDR-1310426</t>
  </si>
  <si>
    <t> DESARROLLOS DE SUR-OCCIDENTE S.A.</t>
  </si>
  <si>
    <t> LOTE E24 SECTOR 1 CIUDAD VERDE CHICHIGUITAN</t>
  </si>
  <si>
    <r>
      <t>expediente:</t>
    </r>
    <r>
      <rPr>
        <sz val="10"/>
        <color rgb="FF000000"/>
        <rFont val="Segoe UI"/>
        <family val="2"/>
      </rPr>
      <t> VUNC1-1430526</t>
    </r>
  </si>
  <si>
    <r>
      <t>propietario:</t>
    </r>
    <r>
      <rPr>
        <sz val="10"/>
        <color rgb="FF000000"/>
        <rFont val="Segoe UI"/>
        <family val="2"/>
      </rPr>
      <t> CHO SAC, AROLDO RUBEN</t>
    </r>
  </si>
  <si>
    <r>
      <t>direccion:</t>
    </r>
    <r>
      <rPr>
        <sz val="10"/>
        <color rgb="FF000000"/>
        <rFont val="Segoe UI"/>
        <family val="2"/>
      </rPr>
      <t> ZONA 1 DIAGONAL 11 26-15</t>
    </r>
  </si>
  <si>
    <r>
      <t>fecha_ingreso:</t>
    </r>
    <r>
      <rPr>
        <sz val="10"/>
        <color rgb="FF000000"/>
        <rFont val="Segoe UI"/>
        <family val="2"/>
      </rPr>
      <t> 2026-04-30</t>
    </r>
  </si>
  <si>
    <r>
      <t>fecha_de_inspeccion:</t>
    </r>
    <r>
      <rPr>
        <sz val="10"/>
        <color rgb="FF000000"/>
        <rFont val="Segoe UI"/>
        <family val="2"/>
      </rPr>
      <t> 2026-05-06</t>
    </r>
  </si>
  <si>
    <t> VUNC1-1430526</t>
  </si>
  <si>
    <t> CHO SAC, AROLDO RUBEN</t>
  </si>
  <si>
    <t> ZONA 1 DIAGONAL 11 26-15</t>
  </si>
  <si>
    <r>
      <t>expediente:</t>
    </r>
    <r>
      <rPr>
        <sz val="10"/>
        <color rgb="FF000000"/>
        <rFont val="Segoe UI"/>
        <family val="2"/>
      </rPr>
      <t> VUNDR-1370426</t>
    </r>
  </si>
  <si>
    <r>
      <t>direccion:</t>
    </r>
    <r>
      <rPr>
        <sz val="10"/>
        <color rgb="FF000000"/>
        <rFont val="Segoe UI"/>
        <family val="2"/>
      </rPr>
      <t> LOTE E17 SECTOR 1 CIUDAD VERDE CHICHIGUITAN</t>
    </r>
  </si>
  <si>
    <t> VUNDR-1370426</t>
  </si>
  <si>
    <t> LOTE E17 SECTOR 1 CIUDAD VERDE CHICHIGUITAN</t>
  </si>
  <si>
    <r>
      <t>expediente:</t>
    </r>
    <r>
      <rPr>
        <sz val="10"/>
        <color rgb="FF000000"/>
        <rFont val="Segoe UI"/>
        <family val="2"/>
      </rPr>
      <t> VUNDR-1360426</t>
    </r>
  </si>
  <si>
    <r>
      <t>direccion:</t>
    </r>
    <r>
      <rPr>
        <sz val="10"/>
        <color rgb="FF000000"/>
        <rFont val="Segoe UI"/>
        <family val="2"/>
      </rPr>
      <t> LOTE E29 SECTOR 1 CIUDAD VERDE CHICHIGUITAN</t>
    </r>
  </si>
  <si>
    <r>
      <t>expediente:</t>
    </r>
    <r>
      <rPr>
        <sz val="10"/>
        <color rgb="FF000000"/>
        <rFont val="Segoe UI"/>
        <family val="2"/>
      </rPr>
      <t> VUNDR-1350426</t>
    </r>
  </si>
  <si>
    <r>
      <t>direccion:</t>
    </r>
    <r>
      <rPr>
        <sz val="10"/>
        <color rgb="FF000000"/>
        <rFont val="Segoe UI"/>
        <family val="2"/>
      </rPr>
      <t> LOTE E28 SECTOR 1 CIUDAD VERDE CHICHIGUITAN</t>
    </r>
  </si>
  <si>
    <r>
      <t>expediente:</t>
    </r>
    <r>
      <rPr>
        <sz val="10"/>
        <color rgb="FF000000"/>
        <rFont val="Segoe UI"/>
        <family val="2"/>
      </rPr>
      <t> VUNDR-1340426</t>
    </r>
  </si>
  <si>
    <r>
      <t>direccion:</t>
    </r>
    <r>
      <rPr>
        <sz val="10"/>
        <color rgb="FF000000"/>
        <rFont val="Segoe UI"/>
        <family val="2"/>
      </rPr>
      <t> LOTE E27 SECTOR 1 CIUDAD VERDE CHICHIGUITAN</t>
    </r>
  </si>
  <si>
    <r>
      <t>expediente:</t>
    </r>
    <r>
      <rPr>
        <sz val="10"/>
        <color rgb="FF000000"/>
        <rFont val="Segoe UI"/>
        <family val="2"/>
      </rPr>
      <t> VUNDR-1330426</t>
    </r>
  </si>
  <si>
    <r>
      <t>direccion:</t>
    </r>
    <r>
      <rPr>
        <sz val="10"/>
        <color rgb="FF000000"/>
        <rFont val="Segoe UI"/>
        <family val="2"/>
      </rPr>
      <t> LOTE E26 SECTOR 1 CIUDAD VERDE CHICHIGUITAN</t>
    </r>
  </si>
  <si>
    <r>
      <t>expediente:</t>
    </r>
    <r>
      <rPr>
        <sz val="10"/>
        <color rgb="FF000000"/>
        <rFont val="Segoe UI"/>
        <family val="2"/>
      </rPr>
      <t> VUNDR-1320426</t>
    </r>
  </si>
  <si>
    <r>
      <t>direccion:</t>
    </r>
    <r>
      <rPr>
        <sz val="10"/>
        <color rgb="FF000000"/>
        <rFont val="Segoe UI"/>
        <family val="2"/>
      </rPr>
      <t> LOTE E25 SECTOR 1 CIUDAD VERDE CHICHIGUITAN</t>
    </r>
  </si>
  <si>
    <t> VUNDR-1360426</t>
  </si>
  <si>
    <t> LOTE E29 SECTOR 1 CIUDAD VERDE CHICHIGUITAN</t>
  </si>
  <si>
    <t> VUNDR-1350426</t>
  </si>
  <si>
    <t> LOTE E28 SECTOR 1 CIUDAD VERDE CHICHIGUITAN</t>
  </si>
  <si>
    <t> VUNDR-1340426</t>
  </si>
  <si>
    <t> LOTE E27 SECTOR 1 CIUDAD VERDE CHICHIGUITAN</t>
  </si>
  <si>
    <t> VUNDR-1330426</t>
  </si>
  <si>
    <t> LOTE E26 SECTOR 1 CIUDAD VERDE CHICHIGUITAN</t>
  </si>
  <si>
    <t> VUNDR-1320426</t>
  </si>
  <si>
    <t> LOTE E25 SECTOR 1 CIUDAD VERDE CHICHIGUITAN</t>
  </si>
  <si>
    <r>
      <t>expediente:</t>
    </r>
    <r>
      <rPr>
        <sz val="10"/>
        <color rgb="FF000000"/>
        <rFont val="Segoe UI"/>
        <family val="2"/>
      </rPr>
      <t> RPNA12-4430526</t>
    </r>
  </si>
  <si>
    <r>
      <t>propietario:</t>
    </r>
    <r>
      <rPr>
        <sz val="10"/>
        <color rgb="FF000000"/>
        <rFont val="Segoe UI"/>
        <family val="2"/>
      </rPr>
      <t> Ajsivinac Soberanis, Hilda María</t>
    </r>
  </si>
  <si>
    <r>
      <t>direccion:</t>
    </r>
    <r>
      <rPr>
        <sz val="10"/>
        <color rgb="FF000000"/>
        <rFont val="Segoe UI"/>
        <family val="2"/>
      </rPr>
      <t> 6ta calle 12-158, sector 2</t>
    </r>
  </si>
  <si>
    <r>
      <t>fecha_ingreso:</t>
    </r>
    <r>
      <rPr>
        <sz val="10"/>
        <color rgb="FF000000"/>
        <rFont val="Segoe UI"/>
        <family val="2"/>
      </rPr>
      <t> 2025-10-06</t>
    </r>
  </si>
  <si>
    <r>
      <t>fecha_de_inspeccion:</t>
    </r>
    <r>
      <rPr>
        <sz val="10"/>
        <color rgb="FF000000"/>
        <rFont val="Segoe UI"/>
        <family val="2"/>
      </rPr>
      <t> 2025-10-13</t>
    </r>
  </si>
  <si>
    <r>
      <t>expediente_de_referencia:</t>
    </r>
    <r>
      <rPr>
        <sz val="10"/>
        <color rgb="FF000000"/>
        <rFont val="Segoe UI"/>
        <family val="2"/>
      </rPr>
      <t> VUNA12-3301025</t>
    </r>
  </si>
  <si>
    <r>
      <t>ZONA:</t>
    </r>
    <r>
      <rPr>
        <sz val="10"/>
        <color rgb="FF000000"/>
        <rFont val="Segoe UI"/>
        <family val="2"/>
      </rPr>
      <t> 12</t>
    </r>
  </si>
  <si>
    <r>
      <t>expediente:</t>
    </r>
    <r>
      <rPr>
        <sz val="10"/>
        <color rgb="FF000000"/>
        <rFont val="Segoe UI"/>
        <family val="2"/>
      </rPr>
      <t> RPNO10-3850426</t>
    </r>
  </si>
  <si>
    <r>
      <t>propietario:</t>
    </r>
    <r>
      <rPr>
        <sz val="10"/>
        <color rgb="FF000000"/>
        <rFont val="Segoe UI"/>
        <family val="2"/>
      </rPr>
      <t> ORDOÑEZ VASQUEZ, DIEGO</t>
    </r>
  </si>
  <si>
    <r>
      <t>direccion:</t>
    </r>
    <r>
      <rPr>
        <sz val="10"/>
        <color rgb="FF000000"/>
        <rFont val="Segoe UI"/>
        <family val="2"/>
      </rPr>
      <t> 5 AVENIDA 4-33, INTERIOR</t>
    </r>
  </si>
  <si>
    <r>
      <t>fecha_de_inspeccion:</t>
    </r>
    <r>
      <rPr>
        <sz val="10"/>
        <color rgb="FF000000"/>
        <rFont val="Segoe UI"/>
        <family val="2"/>
      </rPr>
      <t> 2026-04-29</t>
    </r>
  </si>
  <si>
    <r>
      <t>ZONA:</t>
    </r>
    <r>
      <rPr>
        <sz val="10"/>
        <color rgb="FF000000"/>
        <rFont val="Segoe UI"/>
        <family val="2"/>
      </rPr>
      <t> 10</t>
    </r>
  </si>
  <si>
    <r>
      <t>expediente:</t>
    </r>
    <r>
      <rPr>
        <sz val="10"/>
        <color rgb="FF000000"/>
        <rFont val="Segoe UI"/>
        <family val="2"/>
      </rPr>
      <t> R-05-0055-2026</t>
    </r>
  </si>
  <si>
    <r>
      <t>propietario:</t>
    </r>
    <r>
      <rPr>
        <sz val="10"/>
        <color rgb="FF000000"/>
        <rFont val="Segoe UI"/>
        <family val="2"/>
      </rPr>
      <t> HERNANDEZ VÁSQUEZ, NAINSO GUAYMER</t>
    </r>
  </si>
  <si>
    <r>
      <t>direccion:</t>
    </r>
    <r>
      <rPr>
        <sz val="10"/>
        <color rgb="FF000000"/>
        <rFont val="Segoe UI"/>
        <family val="2"/>
      </rPr>
      <t> DIAGONAL 2, 7-68</t>
    </r>
  </si>
  <si>
    <r>
      <t>ZONA:</t>
    </r>
    <r>
      <rPr>
        <sz val="10"/>
        <color rgb="FF000000"/>
        <rFont val="Segoe UI"/>
        <family val="2"/>
      </rPr>
      <t> 5</t>
    </r>
  </si>
  <si>
    <r>
      <t>expediente:</t>
    </r>
    <r>
      <rPr>
        <sz val="10"/>
        <color rgb="FF000000"/>
        <rFont val="Segoe UI"/>
        <family val="2"/>
      </rPr>
      <t> RPNC1-4500526</t>
    </r>
  </si>
  <si>
    <r>
      <t>propietario:</t>
    </r>
    <r>
      <rPr>
        <sz val="10"/>
        <color rgb="FF000000"/>
        <rFont val="Segoe UI"/>
        <family val="2"/>
      </rPr>
      <t> CHOJOLAN MACHIC, MARIA YOHANA Y CHOJOLAN MACHIC NICOLASA VERONICA</t>
    </r>
  </si>
  <si>
    <r>
      <t>direccion:</t>
    </r>
    <r>
      <rPr>
        <sz val="10"/>
        <color rgb="FF000000"/>
        <rFont val="Segoe UI"/>
        <family val="2"/>
      </rPr>
      <t> 5 AVENIDA 11-46C INTERIOR</t>
    </r>
  </si>
  <si>
    <r>
      <t>fecha_ingreso:</t>
    </r>
    <r>
      <rPr>
        <sz val="10"/>
        <color rgb="FF000000"/>
        <rFont val="Segoe UI"/>
        <family val="2"/>
      </rPr>
      <t> 2025-08-18</t>
    </r>
  </si>
  <si>
    <r>
      <t>fecha_de_inspeccion:</t>
    </r>
    <r>
      <rPr>
        <sz val="10"/>
        <color rgb="FF000000"/>
        <rFont val="Segoe UI"/>
        <family val="2"/>
      </rPr>
      <t> 2026-05-05</t>
    </r>
  </si>
  <si>
    <r>
      <t>expediente_de_referencia:</t>
    </r>
    <r>
      <rPr>
        <sz val="10"/>
        <color rgb="FF000000"/>
        <rFont val="Segoe UI"/>
        <family val="2"/>
      </rPr>
      <t> D-01-0113-2025</t>
    </r>
  </si>
  <si>
    <r>
      <t>expediente:</t>
    </r>
    <r>
      <rPr>
        <sz val="10"/>
        <color rgb="FF000000"/>
        <rFont val="Segoe UI"/>
        <family val="2"/>
      </rPr>
      <t> RPNM12-4520526</t>
    </r>
  </si>
  <si>
    <r>
      <t>propietario:</t>
    </r>
    <r>
      <rPr>
        <sz val="10"/>
        <color rgb="FF000000"/>
        <rFont val="Segoe UI"/>
        <family val="2"/>
      </rPr>
      <t> MORALES ROMERO, JUAN</t>
    </r>
  </si>
  <si>
    <r>
      <t>direccion:</t>
    </r>
    <r>
      <rPr>
        <sz val="10"/>
        <color rgb="FF000000"/>
        <rFont val="Segoe UI"/>
        <family val="2"/>
      </rPr>
      <t> 9 CALLE LOTE #250 MANZANA "K"</t>
    </r>
  </si>
  <si>
    <r>
      <t>fecha_ingreso:</t>
    </r>
    <r>
      <rPr>
        <sz val="10"/>
        <color rgb="FF000000"/>
        <rFont val="Segoe UI"/>
        <family val="2"/>
      </rPr>
      <t> 2026-03-23</t>
    </r>
  </si>
  <si>
    <r>
      <t>expediente_de_referencia:</t>
    </r>
    <r>
      <rPr>
        <sz val="10"/>
        <color rgb="FF000000"/>
        <rFont val="Segoe UI"/>
        <family val="2"/>
      </rPr>
      <t> R-12-0052-2026</t>
    </r>
  </si>
  <si>
    <r>
      <t>expediente:</t>
    </r>
    <r>
      <rPr>
        <sz val="10"/>
        <color rgb="FF000000"/>
        <rFont val="Segoe UI"/>
        <family val="2"/>
      </rPr>
      <t> R-03-0023-2026</t>
    </r>
  </si>
  <si>
    <r>
      <t>propietario:</t>
    </r>
    <r>
      <rPr>
        <sz val="10"/>
        <color rgb="FF000000"/>
        <rFont val="Segoe UI"/>
        <family val="2"/>
      </rPr>
      <t> LAM, LUZ MARIA DEL ROSARIO MIGUEZ AGUILAR DE</t>
    </r>
  </si>
  <si>
    <r>
      <t>direccion:</t>
    </r>
    <r>
      <rPr>
        <sz val="10"/>
        <color rgb="FF000000"/>
        <rFont val="Segoe UI"/>
        <family val="2"/>
      </rPr>
      <t> 5 CALLE 14-14</t>
    </r>
  </si>
  <si>
    <r>
      <t>fecha_ingreso:</t>
    </r>
    <r>
      <rPr>
        <sz val="10"/>
        <color rgb="FF000000"/>
        <rFont val="Segoe UI"/>
        <family val="2"/>
      </rPr>
      <t> 2026-02-11</t>
    </r>
  </si>
  <si>
    <r>
      <t>expediente:</t>
    </r>
    <r>
      <rPr>
        <sz val="10"/>
        <color rgb="FF000000"/>
        <rFont val="Segoe UI"/>
        <family val="2"/>
      </rPr>
      <t> RPND10-4610526</t>
    </r>
  </si>
  <si>
    <r>
      <t>propietario:</t>
    </r>
    <r>
      <rPr>
        <sz val="10"/>
        <color rgb="FF000000"/>
        <rFont val="Segoe UI"/>
        <family val="2"/>
      </rPr>
      <t> DEL VALLE RIVAS, MIGUEL ANTONIO</t>
    </r>
  </si>
  <si>
    <r>
      <t>direccion:</t>
    </r>
    <r>
      <rPr>
        <sz val="10"/>
        <color rgb="FF000000"/>
        <rFont val="Segoe UI"/>
        <family val="2"/>
      </rPr>
      <t> LOTE 14, MANZANA 1, CONDOMINIO B4, PACAJA ALTO.</t>
    </r>
  </si>
  <si>
    <r>
      <t>fecha_ingreso:</t>
    </r>
    <r>
      <rPr>
        <sz val="10"/>
        <color rgb="FF000000"/>
        <rFont val="Segoe UI"/>
        <family val="2"/>
      </rPr>
      <t> 2026-04-20</t>
    </r>
  </si>
  <si>
    <r>
      <t>expediente_de_referencia:</t>
    </r>
    <r>
      <rPr>
        <sz val="10"/>
        <color rgb="FF000000"/>
        <rFont val="Segoe UI"/>
        <family val="2"/>
      </rPr>
      <t> R-10-0088-2026</t>
    </r>
  </si>
  <si>
    <r>
      <t>expediente:</t>
    </r>
    <r>
      <rPr>
        <sz val="10"/>
        <color rgb="FF000000"/>
        <rFont val="Segoe UI"/>
        <family val="2"/>
      </rPr>
      <t> VUNV1-1400426</t>
    </r>
  </si>
  <si>
    <r>
      <t>propietario:</t>
    </r>
    <r>
      <rPr>
        <sz val="10"/>
        <color rgb="FF000000"/>
        <rFont val="Segoe UI"/>
        <family val="2"/>
      </rPr>
      <t> VASQUEZ, CARLOS ROLANDO</t>
    </r>
  </si>
  <si>
    <r>
      <t>direccion:</t>
    </r>
    <r>
      <rPr>
        <sz val="10"/>
        <color rgb="FF000000"/>
        <rFont val="Segoe UI"/>
        <family val="2"/>
      </rPr>
      <t> 27 AVENIDA 4-30C INTERIOR</t>
    </r>
  </si>
  <si>
    <r>
      <t>fecha_ingreso:</t>
    </r>
    <r>
      <rPr>
        <sz val="10"/>
        <color rgb="FF000000"/>
        <rFont val="Segoe UI"/>
        <family val="2"/>
      </rPr>
      <t> 2026-04-29</t>
    </r>
  </si>
  <si>
    <r>
      <t>fecha_de_inspeccion:</t>
    </r>
    <r>
      <rPr>
        <sz val="10"/>
        <color rgb="FF000000"/>
        <rFont val="Segoe UI"/>
        <family val="2"/>
      </rPr>
      <t> 2026-05-07</t>
    </r>
  </si>
  <si>
    <r>
      <t>expediente:</t>
    </r>
    <r>
      <rPr>
        <sz val="10"/>
        <color rgb="FF000000"/>
        <rFont val="Segoe UI"/>
        <family val="2"/>
      </rPr>
      <t> CRUOR-870426</t>
    </r>
  </si>
  <si>
    <r>
      <t>propietario:</t>
    </r>
    <r>
      <rPr>
        <sz val="10"/>
        <color rgb="FF000000"/>
        <rFont val="Segoe UI"/>
        <family val="2"/>
      </rPr>
      <t> OROZCO LOPEZ, BRAULIO RENE</t>
    </r>
  </si>
  <si>
    <r>
      <t>direccion:</t>
    </r>
    <r>
      <rPr>
        <sz val="10"/>
        <color rgb="FF000000"/>
        <rFont val="Segoe UI"/>
        <family val="2"/>
      </rPr>
      <t> CANTON CHUICAVIOC, SECTOR 4</t>
    </r>
  </si>
  <si>
    <r>
      <t>fecha_ingreso:</t>
    </r>
    <r>
      <rPr>
        <sz val="10"/>
        <color rgb="FF000000"/>
        <rFont val="Segoe UI"/>
        <family val="2"/>
      </rPr>
      <t> 2026-04-28</t>
    </r>
  </si>
  <si>
    <r>
      <t>expediente:</t>
    </r>
    <r>
      <rPr>
        <sz val="10"/>
        <color rgb="FF000000"/>
        <rFont val="Segoe UI"/>
        <family val="2"/>
      </rPr>
      <t> R-10-0088-2026</t>
    </r>
  </si>
  <si>
    <r>
      <t>expediente_de_referencia:</t>
    </r>
    <r>
      <rPr>
        <sz val="10"/>
        <color rgb="FF000000"/>
        <rFont val="Segoe UI"/>
        <family val="2"/>
      </rPr>
      <t> RPND10-4610526</t>
    </r>
  </si>
  <si>
    <t> RPNA12-4430526</t>
  </si>
  <si>
    <t> Ajsivinac Soberanis, Hilda María</t>
  </si>
  <si>
    <t> 6ta calle 12-158, sector 2</t>
  </si>
  <si>
    <t> VUNA12-3301025</t>
  </si>
  <si>
    <t> 12</t>
  </si>
  <si>
    <t> RPNO10-3850426</t>
  </si>
  <si>
    <t> ORDOÑEZ VASQUEZ, DIEGO</t>
  </si>
  <si>
    <t> 5 AVENIDA 4-33, INTERIOR</t>
  </si>
  <si>
    <t> 10</t>
  </si>
  <si>
    <t> R-05-0055-2026</t>
  </si>
  <si>
    <t> HERNANDEZ VÁSQUEZ, NAINSO GUAYMER</t>
  </si>
  <si>
    <t> DIAGONAL 2, 7-68</t>
  </si>
  <si>
    <t> 5</t>
  </si>
  <si>
    <t> RPNC1-4500526</t>
  </si>
  <si>
    <t> CHOJOLAN MACHIC, MARIA YOHANA Y CHOJOLAN MACHIC NICOLASA VERONICA</t>
  </si>
  <si>
    <t> 5 AVENIDA 11-46C INTERIOR</t>
  </si>
  <si>
    <t> D-01-0113-2025</t>
  </si>
  <si>
    <t> RPNM12-4520526</t>
  </si>
  <si>
    <t> MORALES ROMERO, JUAN</t>
  </si>
  <si>
    <t> 9 CALLE LOTE #250 MANZANA "K"</t>
  </si>
  <si>
    <t> R-12-0052-2026</t>
  </si>
  <si>
    <t> R-03-0023-2026</t>
  </si>
  <si>
    <t> LAM, LUZ MARIA DEL ROSARIO MIGUEZ AGUILAR DE</t>
  </si>
  <si>
    <t> 5 CALLE 14-14</t>
  </si>
  <si>
    <t> RPND10-4610526</t>
  </si>
  <si>
    <t> DEL VALLE RIVAS, MIGUEL ANTONIO</t>
  </si>
  <si>
    <t> LOTE 14, MANZANA 1, CONDOMINIO B4, PACAJA ALTO.</t>
  </si>
  <si>
    <t> R-10-0088-2026</t>
  </si>
  <si>
    <t> VUNV1-1400426</t>
  </si>
  <si>
    <t> VASQUEZ, CARLOS ROLANDO</t>
  </si>
  <si>
    <t> 27 AVENIDA 4-30C INTERIOR</t>
  </si>
  <si>
    <t>13/05/2026</t>
  </si>
  <si>
    <t> CRUOR-870426</t>
  </si>
  <si>
    <t> OROZCO LOPEZ, BRAULIO RENE</t>
  </si>
  <si>
    <t> CANTON CHUICAVIOC, SECTOR 4</t>
  </si>
  <si>
    <t>14/05/2026</t>
  </si>
  <si>
    <t xml:space="preserve">TIPO DE VIVIENDA </t>
  </si>
  <si>
    <t>FINCA</t>
  </si>
  <si>
    <t>FOLIO</t>
  </si>
  <si>
    <t>LIBRO</t>
  </si>
  <si>
    <t>AREA DEL TERRENO</t>
  </si>
  <si>
    <t xml:space="preserve">AREA PERMEABLE </t>
  </si>
  <si>
    <t>ALTURA TOTAL DEL EDIFICIO</t>
  </si>
  <si>
    <t>AREA TOTAL DE CONSTRUCCION (TODOS LOS NIVELES)</t>
  </si>
  <si>
    <t>17/04/2026</t>
  </si>
  <si>
    <t>23/04/2026</t>
  </si>
  <si>
    <t>24/03/2026</t>
  </si>
  <si>
    <t>16/04/2026</t>
  </si>
  <si>
    <t>28/04/2026</t>
  </si>
  <si>
    <t>30/04/2026</t>
  </si>
  <si>
    <t>13/10/2025</t>
  </si>
  <si>
    <t>29/04/2026</t>
  </si>
  <si>
    <t>18/08/2025</t>
  </si>
  <si>
    <t>23/03/2026</t>
  </si>
  <si>
    <t>20/04/2026</t>
  </si>
  <si>
    <t xml:space="preserve">POSIBLE AGREGAR </t>
  </si>
  <si>
    <t>A</t>
  </si>
  <si>
    <t>S</t>
  </si>
  <si>
    <t>D</t>
  </si>
  <si>
    <t>F</t>
  </si>
  <si>
    <t>CF</t>
  </si>
  <si>
    <t>V</t>
  </si>
  <si>
    <t>FOL</t>
  </si>
  <si>
    <t>LIB</t>
  </si>
  <si>
    <t>URBANO Q2 (URB-Q2)</t>
  </si>
  <si>
    <t>URBANO Q1 (URB-Q1)</t>
  </si>
  <si>
    <t>URBANO Q3 (URB-Q3)</t>
  </si>
  <si>
    <t>URBANO Q4 (URB-Q4)</t>
  </si>
  <si>
    <t>URBANO Q5 (URB-Q5)</t>
  </si>
  <si>
    <t>URBANO Q6 (URB-Q6)</t>
  </si>
  <si>
    <t>URBANO Q7 (URB-Q7)</t>
  </si>
  <si>
    <t>URBANO PROTECCION NATURAL (URB-PRO)</t>
  </si>
  <si>
    <t>ESPECIAL</t>
  </si>
  <si>
    <t xml:space="preserve">UNIFAMILIAR </t>
  </si>
  <si>
    <t>FRENTE  COMPLETO DEL TERRENO</t>
  </si>
  <si>
    <t xml:space="preserve">AREA PERMEABLE CALCULADO(FINAL)  </t>
  </si>
  <si>
    <t>AREA EXISTENTE (EN TODOS LOS NIVELES)</t>
  </si>
  <si>
    <t xml:space="preserve">TIPO DE USO DE SUELO </t>
  </si>
  <si>
    <t>AREA TOTAL DE CONSTRUCIÓN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</si>
</sst>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\-yy;@"/>
    <numFmt numFmtId="165" formatCode="dd/mm/yyyy;@"/>
    <numFmt numFmtId="166" formatCode="dd/mm/yy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Segoe UI"/>
      <family val="2"/>
    </font>
    <font>
      <sz val="10"/>
      <color rgb="FF000000"/>
      <name val="Segoe UI"/>
      <family val="2"/>
    </font>
    <font>
      <b/>
      <sz val="1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1" xfId="0" applyBorder="1"/>
    <xf numFmtId="14" fontId="4" fillId="2" borderId="2" xfId="0" applyNumberFormat="1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14" fontId="4" fillId="2" borderId="3" xfId="0" applyNumberFormat="1" applyFont="1" applyFill="1" applyBorder="1" applyAlignment="1">
      <alignment horizontal="center" vertical="center" wrapText="1"/>
    </xf>
    <xf numFmtId="14" fontId="4" fillId="2" borderId="4" xfId="0" applyNumberFormat="1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14" fontId="0" fillId="0" borderId="0" xfId="0" applyNumberFormat="1" applyAlignment="1">
      <alignment horizontal="center" vertical="center" wrapText="1"/>
    </xf>
    <xf numFmtId="0" fontId="4" fillId="3" borderId="6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4" borderId="0" xfId="0" applyFont="1" applyFill="1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166" fontId="0" fillId="0" borderId="0" xfId="0" applyNumberFormat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1303020</xdr:colOff>
          <xdr:row>0</xdr:row>
          <xdr:rowOff>784860</xdr:rowOff>
        </xdr:from>
        <xdr:to>
          <xdr:col>21</xdr:col>
          <xdr:colOff>777240</xdr:colOff>
          <xdr:row>1</xdr:row>
          <xdr:rowOff>777240</xdr:rowOff>
        </xdr:to>
        <xdr:sp macro="" textlink="">
          <xdr:nvSpPr>
            <xdr:cNvPr id="3088" name="btnCrearFAC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 FAC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784860</xdr:rowOff>
        </xdr:from>
        <xdr:to>
          <xdr:col>22</xdr:col>
          <xdr:colOff>784860</xdr:colOff>
          <xdr:row>1</xdr:row>
          <xdr:rowOff>777240</xdr:rowOff>
        </xdr:to>
        <xdr:sp macro="" textlink="">
          <xdr:nvSpPr>
            <xdr:cNvPr id="3089" name="btnCrearFoto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 FOTO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7B36-D8C7-41C6-A2AE-0ACC649EB848}">
  <sheetPr codeName="Hoja1"/>
  <dimension ref="A1:Z29"/>
  <sheetViews>
    <sheetView zoomScale="85" zoomScaleNormal="85" workbookViewId="0">
      <selection activeCell="M4" sqref="M4"/>
    </sheetView>
  </sheetViews>
  <sheetFormatPr baseColWidth="10" defaultRowHeight="14.4" x14ac:dyDescent="0.3"/>
  <sheetData>
    <row r="1" spans="1:26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</row>
    <row r="2" spans="1:26" ht="45" x14ac:dyDescent="0.3">
      <c r="A2" s="1" t="s">
        <v>23</v>
      </c>
      <c r="B2" s="1" t="s">
        <v>37</v>
      </c>
      <c r="C2" s="1" t="s">
        <v>47</v>
      </c>
      <c r="D2" s="1" t="s">
        <v>55</v>
      </c>
      <c r="E2" s="1" t="s">
        <v>63</v>
      </c>
      <c r="F2" s="1" t="s">
        <v>67</v>
      </c>
      <c r="G2" s="1" t="s">
        <v>69</v>
      </c>
      <c r="H2" s="1" t="s">
        <v>71</v>
      </c>
      <c r="I2" s="1" t="s">
        <v>73</v>
      </c>
      <c r="J2" s="1" t="s">
        <v>75</v>
      </c>
      <c r="K2" s="1" t="s">
        <v>87</v>
      </c>
      <c r="L2" s="1" t="s">
        <v>94</v>
      </c>
      <c r="M2" s="1" t="s">
        <v>99</v>
      </c>
      <c r="N2" s="1" t="s">
        <v>103</v>
      </c>
      <c r="O2" s="1" t="s">
        <v>109</v>
      </c>
      <c r="P2" s="1" t="s">
        <v>114</v>
      </c>
      <c r="Q2" s="1" t="s">
        <v>118</v>
      </c>
      <c r="R2" s="1" t="s">
        <v>123</v>
      </c>
      <c r="S2" s="1" t="s">
        <v>128</v>
      </c>
      <c r="T2" s="1" t="s">
        <v>132</v>
      </c>
      <c r="U2" s="4"/>
      <c r="V2" s="4"/>
      <c r="W2" s="4"/>
      <c r="X2" s="4"/>
      <c r="Y2" s="4"/>
      <c r="Z2" s="4"/>
    </row>
    <row r="3" spans="1:26" x14ac:dyDescent="0.3">
      <c r="U3" s="4"/>
      <c r="V3" s="4"/>
      <c r="W3" s="4"/>
      <c r="X3" s="4"/>
      <c r="Y3" s="4"/>
      <c r="Z3" s="4"/>
    </row>
    <row r="4" spans="1:26" ht="135" x14ac:dyDescent="0.3">
      <c r="A4" s="1" t="s">
        <v>24</v>
      </c>
      <c r="B4" s="1" t="s">
        <v>38</v>
      </c>
      <c r="C4" s="1" t="s">
        <v>48</v>
      </c>
      <c r="D4" s="1" t="s">
        <v>56</v>
      </c>
      <c r="E4" s="1" t="s">
        <v>48</v>
      </c>
      <c r="F4" s="1" t="s">
        <v>48</v>
      </c>
      <c r="G4" s="1" t="s">
        <v>48</v>
      </c>
      <c r="H4" s="1" t="s">
        <v>48</v>
      </c>
      <c r="I4" s="1" t="s">
        <v>48</v>
      </c>
      <c r="J4" s="1" t="s">
        <v>48</v>
      </c>
      <c r="K4" s="1" t="s">
        <v>88</v>
      </c>
      <c r="L4" s="1" t="s">
        <v>95</v>
      </c>
      <c r="M4" s="1" t="s">
        <v>100</v>
      </c>
      <c r="N4" s="1" t="s">
        <v>104</v>
      </c>
      <c r="O4" s="1" t="s">
        <v>110</v>
      </c>
      <c r="P4" s="1" t="s">
        <v>115</v>
      </c>
      <c r="Q4" s="1" t="s">
        <v>119</v>
      </c>
      <c r="R4" s="1" t="s">
        <v>124</v>
      </c>
      <c r="S4" s="1" t="s">
        <v>129</v>
      </c>
      <c r="T4" s="1" t="s">
        <v>119</v>
      </c>
      <c r="U4" s="4"/>
      <c r="V4" s="4"/>
      <c r="W4" s="4"/>
      <c r="X4" s="4"/>
      <c r="Y4" s="4"/>
      <c r="Z4" s="4"/>
    </row>
    <row r="5" spans="1:26" x14ac:dyDescent="0.3">
      <c r="U5" s="4"/>
      <c r="V5" s="4"/>
      <c r="W5" s="4"/>
      <c r="X5" s="4"/>
      <c r="Y5" s="4"/>
      <c r="Z5" s="4"/>
    </row>
    <row r="6" spans="1:26" ht="120" x14ac:dyDescent="0.3">
      <c r="A6" s="1" t="s">
        <v>25</v>
      </c>
      <c r="B6" s="1" t="s">
        <v>39</v>
      </c>
      <c r="C6" s="1" t="s">
        <v>49</v>
      </c>
      <c r="D6" s="1" t="s">
        <v>57</v>
      </c>
      <c r="E6" s="1" t="s">
        <v>64</v>
      </c>
      <c r="F6" s="1" t="s">
        <v>68</v>
      </c>
      <c r="G6" s="1" t="s">
        <v>70</v>
      </c>
      <c r="H6" s="1" t="s">
        <v>72</v>
      </c>
      <c r="I6" s="1" t="s">
        <v>74</v>
      </c>
      <c r="J6" s="1" t="s">
        <v>76</v>
      </c>
      <c r="K6" s="1" t="s">
        <v>89</v>
      </c>
      <c r="L6" s="1" t="s">
        <v>96</v>
      </c>
      <c r="M6" s="1" t="s">
        <v>101</v>
      </c>
      <c r="N6" s="1" t="s">
        <v>105</v>
      </c>
      <c r="O6" s="1" t="s">
        <v>111</v>
      </c>
      <c r="P6" s="1" t="s">
        <v>116</v>
      </c>
      <c r="Q6" s="1" t="s">
        <v>120</v>
      </c>
      <c r="R6" s="1" t="s">
        <v>125</v>
      </c>
      <c r="S6" s="1" t="s">
        <v>130</v>
      </c>
      <c r="T6" s="1" t="s">
        <v>120</v>
      </c>
      <c r="U6" s="4"/>
      <c r="V6" s="4"/>
      <c r="W6" s="4"/>
      <c r="X6" s="4"/>
      <c r="Y6" s="4"/>
      <c r="Z6" s="4"/>
    </row>
    <row r="7" spans="1:26" x14ac:dyDescent="0.3">
      <c r="U7" s="4"/>
      <c r="V7" s="4"/>
      <c r="W7" s="4"/>
      <c r="X7" s="4"/>
      <c r="Y7" s="4"/>
      <c r="Z7" s="4"/>
    </row>
    <row r="8" spans="1:26" ht="45" x14ac:dyDescent="0.3">
      <c r="A8" s="1" t="s">
        <v>26</v>
      </c>
      <c r="B8" s="1" t="s">
        <v>40</v>
      </c>
      <c r="C8" s="1" t="s">
        <v>50</v>
      </c>
      <c r="D8" s="1" t="s">
        <v>58</v>
      </c>
      <c r="E8" s="1" t="s">
        <v>50</v>
      </c>
      <c r="F8" s="1" t="s">
        <v>50</v>
      </c>
      <c r="G8" s="1" t="s">
        <v>50</v>
      </c>
      <c r="H8" s="1" t="s">
        <v>50</v>
      </c>
      <c r="I8" s="1" t="s">
        <v>50</v>
      </c>
      <c r="J8" s="1" t="s">
        <v>50</v>
      </c>
      <c r="K8" s="1" t="s">
        <v>90</v>
      </c>
      <c r="L8" s="1" t="s">
        <v>26</v>
      </c>
      <c r="M8" s="1" t="s">
        <v>40</v>
      </c>
      <c r="N8" s="1" t="s">
        <v>106</v>
      </c>
      <c r="O8" s="1" t="s">
        <v>112</v>
      </c>
      <c r="P8" s="1" t="s">
        <v>117</v>
      </c>
      <c r="Q8" s="1" t="s">
        <v>121</v>
      </c>
      <c r="R8" s="1" t="s">
        <v>126</v>
      </c>
      <c r="S8" s="1" t="s">
        <v>131</v>
      </c>
      <c r="T8" s="1" t="s">
        <v>121</v>
      </c>
      <c r="U8" s="4"/>
      <c r="V8" s="4"/>
      <c r="W8" s="4"/>
      <c r="X8" s="4"/>
      <c r="Y8" s="4"/>
      <c r="Z8" s="4"/>
    </row>
    <row r="9" spans="1:26" x14ac:dyDescent="0.3">
      <c r="U9" s="4"/>
      <c r="V9" s="4"/>
      <c r="W9" s="4"/>
      <c r="X9" s="4"/>
      <c r="Y9" s="4"/>
      <c r="Z9" s="4"/>
    </row>
    <row r="10" spans="1:26" ht="45" x14ac:dyDescent="0.3">
      <c r="A10" s="1" t="s">
        <v>27</v>
      </c>
      <c r="B10" s="1" t="s">
        <v>41</v>
      </c>
      <c r="C10" s="1" t="s">
        <v>51</v>
      </c>
      <c r="D10" s="1" t="s">
        <v>59</v>
      </c>
      <c r="E10" s="1" t="s">
        <v>51</v>
      </c>
      <c r="F10" s="1" t="s">
        <v>51</v>
      </c>
      <c r="G10" s="1" t="s">
        <v>51</v>
      </c>
      <c r="H10" s="1" t="s">
        <v>51</v>
      </c>
      <c r="I10" s="1" t="s">
        <v>51</v>
      </c>
      <c r="J10" s="1" t="s">
        <v>51</v>
      </c>
      <c r="K10" s="1" t="s">
        <v>91</v>
      </c>
      <c r="L10" s="1" t="s">
        <v>97</v>
      </c>
      <c r="M10" s="1" t="s">
        <v>97</v>
      </c>
      <c r="N10" s="1" t="s">
        <v>107</v>
      </c>
      <c r="O10" s="1" t="s">
        <v>107</v>
      </c>
      <c r="P10" s="1" t="s">
        <v>107</v>
      </c>
      <c r="Q10" s="1" t="s">
        <v>107</v>
      </c>
      <c r="R10" s="1" t="s">
        <v>127</v>
      </c>
      <c r="S10" s="1" t="s">
        <v>127</v>
      </c>
      <c r="T10" s="1" t="s">
        <v>107</v>
      </c>
      <c r="U10" s="4"/>
      <c r="V10" s="4"/>
      <c r="W10" s="4"/>
      <c r="X10" s="4"/>
      <c r="Y10" s="4"/>
      <c r="Z10" s="4"/>
    </row>
    <row r="11" spans="1:26" x14ac:dyDescent="0.3">
      <c r="U11" s="4"/>
      <c r="V11" s="4"/>
      <c r="W11" s="4"/>
      <c r="X11" s="4"/>
      <c r="Y11" s="4"/>
      <c r="Z11" s="4"/>
    </row>
    <row r="12" spans="1:26" ht="60" x14ac:dyDescent="0.3">
      <c r="A12" s="1" t="s">
        <v>28</v>
      </c>
      <c r="B12" s="1" t="s">
        <v>0</v>
      </c>
      <c r="C12" s="1" t="s">
        <v>0</v>
      </c>
      <c r="D12" s="1" t="s">
        <v>0</v>
      </c>
      <c r="E12" s="1" t="s">
        <v>0</v>
      </c>
      <c r="F12" s="1" t="s">
        <v>0</v>
      </c>
      <c r="G12" s="1" t="s">
        <v>0</v>
      </c>
      <c r="H12" s="1" t="s">
        <v>0</v>
      </c>
      <c r="I12" s="1" t="s">
        <v>0</v>
      </c>
      <c r="J12" s="1" t="s">
        <v>0</v>
      </c>
      <c r="K12" s="1" t="s">
        <v>92</v>
      </c>
      <c r="L12" s="1" t="s">
        <v>0</v>
      </c>
      <c r="M12" s="1" t="s">
        <v>0</v>
      </c>
      <c r="N12" s="1" t="s">
        <v>108</v>
      </c>
      <c r="O12" s="1" t="s">
        <v>113</v>
      </c>
      <c r="P12" s="1" t="s">
        <v>0</v>
      </c>
      <c r="Q12" s="1" t="s">
        <v>122</v>
      </c>
      <c r="R12" s="1" t="s">
        <v>0</v>
      </c>
      <c r="S12" s="1" t="s">
        <v>0</v>
      </c>
      <c r="T12" s="1" t="s">
        <v>133</v>
      </c>
      <c r="U12" s="4"/>
      <c r="V12" s="4"/>
      <c r="W12" s="4"/>
      <c r="X12" s="4"/>
      <c r="Y12" s="4"/>
      <c r="Z12" s="4"/>
    </row>
    <row r="13" spans="1:26" x14ac:dyDescent="0.3">
      <c r="U13" s="4"/>
      <c r="V13" s="4"/>
      <c r="W13" s="4"/>
      <c r="X13" s="4"/>
      <c r="Y13" s="4"/>
      <c r="Z13" s="4"/>
    </row>
    <row r="14" spans="1:26" ht="75" x14ac:dyDescent="0.3">
      <c r="A14" s="1" t="s">
        <v>29</v>
      </c>
      <c r="B14" s="1" t="s">
        <v>42</v>
      </c>
      <c r="C14" s="1" t="s">
        <v>29</v>
      </c>
      <c r="D14" s="1" t="s">
        <v>29</v>
      </c>
      <c r="E14" s="1" t="s">
        <v>29</v>
      </c>
      <c r="F14" s="1" t="s">
        <v>29</v>
      </c>
      <c r="G14" s="1" t="s">
        <v>29</v>
      </c>
      <c r="H14" s="1" t="s">
        <v>29</v>
      </c>
      <c r="I14" s="1" t="s">
        <v>29</v>
      </c>
      <c r="J14" s="1" t="s">
        <v>29</v>
      </c>
      <c r="K14" s="1" t="s">
        <v>42</v>
      </c>
      <c r="L14" s="1" t="s">
        <v>1</v>
      </c>
      <c r="M14" s="1" t="s">
        <v>29</v>
      </c>
      <c r="N14" s="1" t="s">
        <v>29</v>
      </c>
      <c r="O14" s="1" t="s">
        <v>29</v>
      </c>
      <c r="P14" s="1" t="s">
        <v>29</v>
      </c>
      <c r="Q14" s="1" t="s">
        <v>29</v>
      </c>
      <c r="R14" s="1" t="s">
        <v>29</v>
      </c>
      <c r="S14" s="1" t="s">
        <v>29</v>
      </c>
      <c r="T14" s="1" t="s">
        <v>29</v>
      </c>
      <c r="U14" s="4"/>
      <c r="V14" s="4"/>
      <c r="W14" s="4"/>
      <c r="X14" s="4"/>
      <c r="Y14" s="4"/>
      <c r="Z14" s="4"/>
    </row>
    <row r="15" spans="1:26" x14ac:dyDescent="0.3">
      <c r="U15" s="4"/>
      <c r="V15" s="4"/>
      <c r="W15" s="4"/>
      <c r="X15" s="4"/>
      <c r="Y15" s="4"/>
      <c r="Z15" s="4"/>
    </row>
    <row r="16" spans="1:26" ht="15" x14ac:dyDescent="0.3">
      <c r="A16" s="1" t="s">
        <v>30</v>
      </c>
      <c r="B16" s="1" t="s">
        <v>3</v>
      </c>
      <c r="C16" s="1" t="s">
        <v>3</v>
      </c>
      <c r="D16" s="1" t="s">
        <v>30</v>
      </c>
      <c r="E16" s="1" t="s">
        <v>3</v>
      </c>
      <c r="F16" s="1" t="s">
        <v>3</v>
      </c>
      <c r="G16" s="1" t="s">
        <v>3</v>
      </c>
      <c r="H16" s="1" t="s">
        <v>3</v>
      </c>
      <c r="I16" s="1" t="s">
        <v>3</v>
      </c>
      <c r="J16" s="1" t="s">
        <v>3</v>
      </c>
      <c r="K16" s="1" t="s">
        <v>93</v>
      </c>
      <c r="L16" s="1" t="s">
        <v>98</v>
      </c>
      <c r="M16" s="1" t="s">
        <v>102</v>
      </c>
      <c r="N16" s="1" t="s">
        <v>30</v>
      </c>
      <c r="O16" s="1" t="s">
        <v>93</v>
      </c>
      <c r="P16" s="1" t="s">
        <v>2</v>
      </c>
      <c r="Q16" s="1" t="s">
        <v>98</v>
      </c>
      <c r="R16" s="1" t="s">
        <v>30</v>
      </c>
      <c r="S16" s="1" t="s">
        <v>3</v>
      </c>
      <c r="T16" s="1" t="s">
        <v>98</v>
      </c>
      <c r="U16" s="4"/>
      <c r="V16" s="4"/>
      <c r="W16" s="4"/>
      <c r="X16" s="4"/>
      <c r="Y16" s="4"/>
      <c r="Z16" s="4"/>
    </row>
    <row r="17" spans="1:20" x14ac:dyDescent="0.3">
      <c r="A17" s="16"/>
    </row>
    <row r="18" spans="1:20" x14ac:dyDescent="0.3">
      <c r="A18" s="10">
        <v>46146</v>
      </c>
      <c r="B18" s="11">
        <v>46146</v>
      </c>
      <c r="C18" s="11">
        <v>46146</v>
      </c>
      <c r="D18" s="11">
        <v>46147</v>
      </c>
      <c r="E18" s="11">
        <v>46147</v>
      </c>
      <c r="F18" s="11">
        <v>46147</v>
      </c>
      <c r="G18" s="11">
        <v>46147</v>
      </c>
      <c r="H18" s="11">
        <v>46147</v>
      </c>
      <c r="I18" s="11">
        <v>46147</v>
      </c>
      <c r="J18" s="11">
        <v>46147</v>
      </c>
      <c r="K18" s="11">
        <v>45783</v>
      </c>
      <c r="L18" s="11">
        <v>46149</v>
      </c>
      <c r="M18" s="11">
        <v>46150</v>
      </c>
      <c r="N18" s="11">
        <v>46150</v>
      </c>
      <c r="O18" s="11">
        <v>46154</v>
      </c>
      <c r="P18" s="11">
        <v>46154</v>
      </c>
      <c r="Q18" s="11">
        <v>46154</v>
      </c>
      <c r="R18" s="11">
        <v>46155</v>
      </c>
      <c r="S18" s="11">
        <v>46155</v>
      </c>
      <c r="T18" s="11">
        <v>46156</v>
      </c>
    </row>
    <row r="20" spans="1:20" x14ac:dyDescent="0.3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</row>
    <row r="29" spans="1:20" x14ac:dyDescent="0.3">
      <c r="C29" s="12"/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5718A-DC5C-4A71-BD9F-E985BD3BDB77}">
  <sheetPr codeName="Hoja2"/>
  <dimension ref="A1:U33"/>
  <sheetViews>
    <sheetView tabSelected="1" zoomScale="85" zoomScaleNormal="85" workbookViewId="0">
      <selection activeCell="P3" sqref="P3"/>
    </sheetView>
  </sheetViews>
  <sheetFormatPr baseColWidth="10" defaultRowHeight="14.4" x14ac:dyDescent="0.3"/>
  <cols>
    <col min="2" max="9" width="16.6640625" customWidth="1"/>
    <col min="10" max="10" width="11.5546875" style="20"/>
    <col min="11" max="11" width="18.33203125" customWidth="1"/>
    <col min="15" max="15" width="21.6640625" customWidth="1"/>
    <col min="18" max="18" width="16.44140625" customWidth="1"/>
    <col min="19" max="19" width="16.88671875" customWidth="1"/>
    <col min="21" max="21" width="19.109375" customWidth="1"/>
  </cols>
  <sheetData>
    <row r="1" spans="1:21" s="2" customFormat="1" ht="62.4" customHeight="1" x14ac:dyDescent="0.3">
      <c r="B1" s="17" t="s">
        <v>4</v>
      </c>
      <c r="C1" s="17" t="s">
        <v>5</v>
      </c>
      <c r="D1" s="17" t="s">
        <v>6</v>
      </c>
      <c r="E1" s="17" t="s">
        <v>7</v>
      </c>
      <c r="F1" s="17" t="s">
        <v>8</v>
      </c>
      <c r="G1" s="17" t="s">
        <v>9</v>
      </c>
      <c r="H1" s="17" t="s">
        <v>10</v>
      </c>
      <c r="I1" s="17" t="s">
        <v>11</v>
      </c>
      <c r="J1" s="13" t="s">
        <v>189</v>
      </c>
      <c r="K1" s="21" t="s">
        <v>170</v>
      </c>
      <c r="L1" s="21" t="s">
        <v>171</v>
      </c>
      <c r="M1" s="21" t="s">
        <v>172</v>
      </c>
      <c r="N1" s="21" t="s">
        <v>173</v>
      </c>
      <c r="O1" s="21" t="s">
        <v>211</v>
      </c>
      <c r="P1" s="21" t="s">
        <v>174</v>
      </c>
      <c r="Q1" s="21" t="s">
        <v>208</v>
      </c>
      <c r="R1" s="21" t="s">
        <v>212</v>
      </c>
      <c r="S1" s="21" t="s">
        <v>209</v>
      </c>
      <c r="T1" s="21" t="s">
        <v>176</v>
      </c>
      <c r="U1" s="22" t="s">
        <v>210</v>
      </c>
    </row>
    <row r="2" spans="1:21" s="2" customFormat="1" ht="62.4" customHeight="1" x14ac:dyDescent="0.3">
      <c r="A2" s="2">
        <v>1</v>
      </c>
      <c r="B2" s="3" t="s">
        <v>31</v>
      </c>
      <c r="C2" s="3" t="s">
        <v>32</v>
      </c>
      <c r="D2" s="3" t="s">
        <v>33</v>
      </c>
      <c r="E2" s="3" t="s">
        <v>178</v>
      </c>
      <c r="F2" s="3" t="s">
        <v>179</v>
      </c>
      <c r="G2" s="3" t="s">
        <v>34</v>
      </c>
      <c r="H2" s="3" t="s">
        <v>35</v>
      </c>
      <c r="I2" s="3" t="s">
        <v>36</v>
      </c>
      <c r="J2" s="19">
        <v>46117</v>
      </c>
      <c r="K2" s="13" t="s">
        <v>207</v>
      </c>
      <c r="L2" s="3" t="s">
        <v>193</v>
      </c>
      <c r="M2" s="3" t="s">
        <v>196</v>
      </c>
      <c r="N2" s="3" t="s">
        <v>197</v>
      </c>
      <c r="O2" s="3" t="s">
        <v>198</v>
      </c>
      <c r="P2" s="3">
        <v>200</v>
      </c>
      <c r="Q2" s="3">
        <v>8</v>
      </c>
      <c r="R2" s="3">
        <v>4444</v>
      </c>
      <c r="S2" s="3">
        <v>30</v>
      </c>
      <c r="T2" s="3">
        <v>10</v>
      </c>
      <c r="U2" s="3">
        <v>0</v>
      </c>
    </row>
    <row r="3" spans="1:21" s="2" customFormat="1" ht="62.4" customHeight="1" x14ac:dyDescent="0.3">
      <c r="A3" s="2">
        <v>2</v>
      </c>
      <c r="B3" s="3" t="s">
        <v>43</v>
      </c>
      <c r="C3" s="3" t="s">
        <v>44</v>
      </c>
      <c r="D3" s="3" t="s">
        <v>45</v>
      </c>
      <c r="E3" s="3" t="s">
        <v>180</v>
      </c>
      <c r="F3" s="3" t="s">
        <v>178</v>
      </c>
      <c r="G3" s="3" t="s">
        <v>12</v>
      </c>
      <c r="H3" s="3" t="s">
        <v>46</v>
      </c>
      <c r="I3" s="3" t="s">
        <v>15</v>
      </c>
      <c r="J3" s="13">
        <v>46117</v>
      </c>
      <c r="K3" s="13"/>
      <c r="L3" s="3"/>
      <c r="M3" s="3"/>
      <c r="N3" s="3"/>
      <c r="O3" s="3"/>
      <c r="P3" s="3"/>
      <c r="Q3" s="3"/>
      <c r="R3" s="3"/>
      <c r="S3" s="3"/>
      <c r="T3" s="3"/>
      <c r="U3" s="3"/>
    </row>
    <row r="4" spans="1:21" s="2" customFormat="1" ht="62.4" customHeight="1" x14ac:dyDescent="0.3">
      <c r="A4" s="2">
        <v>3</v>
      </c>
      <c r="B4" s="3" t="s">
        <v>52</v>
      </c>
      <c r="C4" s="3" t="s">
        <v>53</v>
      </c>
      <c r="D4" s="3" t="s">
        <v>54</v>
      </c>
      <c r="E4" s="3" t="s">
        <v>181</v>
      </c>
      <c r="F4" s="3" t="s">
        <v>182</v>
      </c>
      <c r="G4" s="3" t="s">
        <v>12</v>
      </c>
      <c r="H4" s="3" t="s">
        <v>35</v>
      </c>
      <c r="I4" s="3" t="s">
        <v>15</v>
      </c>
      <c r="J4" s="13">
        <v>46117</v>
      </c>
    </row>
    <row r="5" spans="1:21" s="2" customFormat="1" ht="62.4" customHeight="1" x14ac:dyDescent="0.3">
      <c r="A5" s="2">
        <v>4</v>
      </c>
      <c r="B5" s="3" t="s">
        <v>60</v>
      </c>
      <c r="C5" s="3" t="s">
        <v>61</v>
      </c>
      <c r="D5" s="3" t="s">
        <v>62</v>
      </c>
      <c r="E5" s="3" t="s">
        <v>183</v>
      </c>
      <c r="F5" s="13">
        <v>46178</v>
      </c>
      <c r="G5" s="3" t="s">
        <v>12</v>
      </c>
      <c r="H5" s="3" t="s">
        <v>35</v>
      </c>
      <c r="I5" s="3" t="s">
        <v>36</v>
      </c>
      <c r="J5" s="13">
        <v>46147</v>
      </c>
    </row>
    <row r="6" spans="1:21" s="2" customFormat="1" ht="62.4" customHeight="1" x14ac:dyDescent="0.3">
      <c r="A6" s="2">
        <v>5</v>
      </c>
      <c r="B6" s="3" t="s">
        <v>65</v>
      </c>
      <c r="C6" s="3" t="s">
        <v>53</v>
      </c>
      <c r="D6" s="3" t="s">
        <v>66</v>
      </c>
      <c r="E6" s="3" t="s">
        <v>181</v>
      </c>
      <c r="F6" s="3" t="s">
        <v>182</v>
      </c>
      <c r="G6" s="3" t="s">
        <v>12</v>
      </c>
      <c r="H6" s="3" t="s">
        <v>35</v>
      </c>
      <c r="I6" s="3" t="s">
        <v>15</v>
      </c>
      <c r="J6" s="13">
        <v>46147</v>
      </c>
    </row>
    <row r="7" spans="1:21" s="2" customFormat="1" ht="62.4" customHeight="1" x14ac:dyDescent="0.3">
      <c r="A7" s="2">
        <v>6</v>
      </c>
      <c r="B7" s="3" t="s">
        <v>77</v>
      </c>
      <c r="C7" s="3" t="s">
        <v>53</v>
      </c>
      <c r="D7" s="3" t="s">
        <v>78</v>
      </c>
      <c r="E7" s="3" t="s">
        <v>181</v>
      </c>
      <c r="F7" s="3" t="s">
        <v>182</v>
      </c>
      <c r="G7" s="3" t="s">
        <v>12</v>
      </c>
      <c r="H7" s="3" t="s">
        <v>35</v>
      </c>
      <c r="I7" s="3" t="s">
        <v>15</v>
      </c>
      <c r="J7" s="13">
        <v>46147</v>
      </c>
    </row>
    <row r="8" spans="1:21" ht="43.2" x14ac:dyDescent="0.3">
      <c r="A8">
        <v>7</v>
      </c>
      <c r="B8" s="3" t="s">
        <v>79</v>
      </c>
      <c r="C8" s="3" t="s">
        <v>53</v>
      </c>
      <c r="D8" s="3" t="s">
        <v>80</v>
      </c>
      <c r="E8" s="3" t="s">
        <v>181</v>
      </c>
      <c r="F8" s="3" t="s">
        <v>182</v>
      </c>
      <c r="G8" s="3" t="s">
        <v>12</v>
      </c>
      <c r="H8" s="3" t="s">
        <v>35</v>
      </c>
      <c r="I8" s="3" t="s">
        <v>15</v>
      </c>
      <c r="J8" s="20">
        <v>46147</v>
      </c>
    </row>
    <row r="9" spans="1:21" ht="43.2" x14ac:dyDescent="0.3">
      <c r="A9">
        <v>8</v>
      </c>
      <c r="B9" s="3" t="s">
        <v>81</v>
      </c>
      <c r="C9" s="3" t="s">
        <v>53</v>
      </c>
      <c r="D9" s="3" t="s">
        <v>82</v>
      </c>
      <c r="E9" s="3" t="s">
        <v>181</v>
      </c>
      <c r="F9" s="3" t="s">
        <v>182</v>
      </c>
      <c r="G9" s="3" t="s">
        <v>12</v>
      </c>
      <c r="H9" s="3" t="s">
        <v>35</v>
      </c>
      <c r="I9" s="3" t="s">
        <v>15</v>
      </c>
      <c r="J9" s="20">
        <v>46147</v>
      </c>
    </row>
    <row r="10" spans="1:21" ht="43.2" x14ac:dyDescent="0.3">
      <c r="A10">
        <v>9</v>
      </c>
      <c r="B10" s="3" t="s">
        <v>83</v>
      </c>
      <c r="C10" s="3" t="s">
        <v>53</v>
      </c>
      <c r="D10" s="3" t="s">
        <v>84</v>
      </c>
      <c r="E10" s="3" t="s">
        <v>181</v>
      </c>
      <c r="F10" s="3" t="s">
        <v>182</v>
      </c>
      <c r="G10" s="3" t="s">
        <v>12</v>
      </c>
      <c r="H10" s="3" t="s">
        <v>35</v>
      </c>
      <c r="I10" s="3" t="s">
        <v>15</v>
      </c>
      <c r="J10" s="20">
        <v>46147</v>
      </c>
    </row>
    <row r="11" spans="1:21" ht="43.2" x14ac:dyDescent="0.3">
      <c r="A11">
        <v>10</v>
      </c>
      <c r="B11" s="3" t="s">
        <v>85</v>
      </c>
      <c r="C11" s="3" t="s">
        <v>53</v>
      </c>
      <c r="D11" s="3" t="s">
        <v>86</v>
      </c>
      <c r="E11" s="3" t="s">
        <v>181</v>
      </c>
      <c r="F11" s="3" t="s">
        <v>182</v>
      </c>
      <c r="G11" s="3" t="s">
        <v>12</v>
      </c>
      <c r="H11" s="3" t="s">
        <v>35</v>
      </c>
      <c r="I11" s="3" t="s">
        <v>15</v>
      </c>
      <c r="J11" s="20">
        <v>46147</v>
      </c>
    </row>
    <row r="12" spans="1:21" ht="43.2" x14ac:dyDescent="0.3">
      <c r="A12">
        <v>11</v>
      </c>
      <c r="B12" s="3" t="s">
        <v>134</v>
      </c>
      <c r="C12" s="3" t="s">
        <v>135</v>
      </c>
      <c r="D12" s="3" t="s">
        <v>136</v>
      </c>
      <c r="E12" s="13">
        <v>45818</v>
      </c>
      <c r="F12" s="3" t="s">
        <v>184</v>
      </c>
      <c r="G12" s="3" t="s">
        <v>137</v>
      </c>
      <c r="H12" s="3" t="s">
        <v>46</v>
      </c>
      <c r="I12" s="3" t="s">
        <v>138</v>
      </c>
      <c r="J12" s="20">
        <v>45813</v>
      </c>
    </row>
    <row r="13" spans="1:21" ht="28.8" x14ac:dyDescent="0.3">
      <c r="A13">
        <v>12</v>
      </c>
      <c r="B13" s="3" t="s">
        <v>139</v>
      </c>
      <c r="C13" s="3" t="s">
        <v>140</v>
      </c>
      <c r="D13" s="3" t="s">
        <v>141</v>
      </c>
      <c r="E13" s="3" t="s">
        <v>178</v>
      </c>
      <c r="F13" s="3" t="s">
        <v>185</v>
      </c>
      <c r="G13" s="3" t="s">
        <v>12</v>
      </c>
      <c r="H13" s="3" t="s">
        <v>13</v>
      </c>
      <c r="I13" s="3" t="s">
        <v>142</v>
      </c>
      <c r="J13" s="20">
        <v>46208</v>
      </c>
    </row>
    <row r="14" spans="1:21" ht="43.2" x14ac:dyDescent="0.3">
      <c r="A14">
        <v>13</v>
      </c>
      <c r="B14" s="3" t="s">
        <v>143</v>
      </c>
      <c r="C14" s="3" t="s">
        <v>144</v>
      </c>
      <c r="D14" s="3" t="s">
        <v>145</v>
      </c>
      <c r="E14" s="3" t="s">
        <v>180</v>
      </c>
      <c r="F14" s="3" t="s">
        <v>185</v>
      </c>
      <c r="G14" s="3" t="s">
        <v>12</v>
      </c>
      <c r="H14" s="3" t="s">
        <v>35</v>
      </c>
      <c r="I14" s="3" t="s">
        <v>146</v>
      </c>
      <c r="J14" s="20">
        <v>46239</v>
      </c>
    </row>
    <row r="15" spans="1:21" ht="100.8" x14ac:dyDescent="0.3">
      <c r="A15">
        <v>14</v>
      </c>
      <c r="B15" s="3" t="s">
        <v>147</v>
      </c>
      <c r="C15" s="3" t="s">
        <v>148</v>
      </c>
      <c r="D15" s="3" t="s">
        <v>149</v>
      </c>
      <c r="E15" s="3" t="s">
        <v>186</v>
      </c>
      <c r="F15" s="13">
        <v>46147</v>
      </c>
      <c r="G15" s="3" t="s">
        <v>150</v>
      </c>
      <c r="H15" s="3" t="s">
        <v>35</v>
      </c>
      <c r="I15" s="3" t="s">
        <v>36</v>
      </c>
      <c r="J15" s="20">
        <v>46239</v>
      </c>
    </row>
    <row r="16" spans="1:21" ht="43.2" x14ac:dyDescent="0.3">
      <c r="A16">
        <v>15</v>
      </c>
      <c r="B16" s="3" t="s">
        <v>151</v>
      </c>
      <c r="C16" s="3" t="s">
        <v>152</v>
      </c>
      <c r="D16" s="3" t="s">
        <v>153</v>
      </c>
      <c r="E16" s="3" t="s">
        <v>187</v>
      </c>
      <c r="F16" s="13">
        <v>46147</v>
      </c>
      <c r="G16" s="3" t="s">
        <v>154</v>
      </c>
      <c r="H16" s="3" t="s">
        <v>35</v>
      </c>
      <c r="I16" s="3" t="s">
        <v>138</v>
      </c>
      <c r="J16" s="20">
        <v>46361</v>
      </c>
    </row>
    <row r="17" spans="1:10" ht="57.6" x14ac:dyDescent="0.3">
      <c r="A17">
        <v>16</v>
      </c>
      <c r="B17" s="3" t="s">
        <v>155</v>
      </c>
      <c r="C17" s="3" t="s">
        <v>156</v>
      </c>
      <c r="D17" s="3" t="s">
        <v>157</v>
      </c>
      <c r="E17" s="13">
        <v>46328</v>
      </c>
      <c r="F17" s="13">
        <v>46147</v>
      </c>
      <c r="G17" s="3" t="s">
        <v>12</v>
      </c>
      <c r="H17" s="3" t="s">
        <v>35</v>
      </c>
      <c r="I17" s="3" t="s">
        <v>14</v>
      </c>
      <c r="J17" s="20">
        <v>46361</v>
      </c>
    </row>
    <row r="18" spans="1:10" ht="57.6" x14ac:dyDescent="0.3">
      <c r="A18">
        <v>17</v>
      </c>
      <c r="B18" s="3" t="s">
        <v>158</v>
      </c>
      <c r="C18" s="3" t="s">
        <v>159</v>
      </c>
      <c r="D18" s="3" t="s">
        <v>160</v>
      </c>
      <c r="E18" s="3" t="s">
        <v>188</v>
      </c>
      <c r="F18" s="13">
        <v>46147</v>
      </c>
      <c r="G18" s="3" t="s">
        <v>161</v>
      </c>
      <c r="H18" s="3" t="s">
        <v>35</v>
      </c>
      <c r="I18" s="3" t="s">
        <v>142</v>
      </c>
      <c r="J18" s="20">
        <v>46361</v>
      </c>
    </row>
    <row r="19" spans="1:10" ht="28.8" x14ac:dyDescent="0.3">
      <c r="A19">
        <v>18</v>
      </c>
      <c r="B19" s="3" t="s">
        <v>162</v>
      </c>
      <c r="C19" s="3" t="s">
        <v>163</v>
      </c>
      <c r="D19" s="3" t="s">
        <v>164</v>
      </c>
      <c r="E19" s="3" t="s">
        <v>185</v>
      </c>
      <c r="F19" s="13">
        <v>46208</v>
      </c>
      <c r="G19" s="3" t="s">
        <v>12</v>
      </c>
      <c r="H19" s="3" t="s">
        <v>35</v>
      </c>
      <c r="I19" s="3" t="s">
        <v>36</v>
      </c>
      <c r="J19" s="20" t="s">
        <v>165</v>
      </c>
    </row>
    <row r="20" spans="1:10" ht="43.2" x14ac:dyDescent="0.3">
      <c r="A20">
        <v>19</v>
      </c>
      <c r="B20" s="3" t="s">
        <v>166</v>
      </c>
      <c r="C20" s="3" t="s">
        <v>167</v>
      </c>
      <c r="D20" s="3" t="s">
        <v>168</v>
      </c>
      <c r="E20" s="3" t="s">
        <v>182</v>
      </c>
      <c r="F20" s="13">
        <v>46208</v>
      </c>
      <c r="G20" s="3" t="s">
        <v>12</v>
      </c>
      <c r="H20" s="3" t="s">
        <v>35</v>
      </c>
      <c r="I20" s="3" t="s">
        <v>15</v>
      </c>
      <c r="J20" s="20" t="s">
        <v>165</v>
      </c>
    </row>
    <row r="21" spans="1:10" ht="57.6" x14ac:dyDescent="0.3">
      <c r="A21">
        <v>20</v>
      </c>
      <c r="B21" s="3" t="s">
        <v>161</v>
      </c>
      <c r="C21" s="3" t="s">
        <v>159</v>
      </c>
      <c r="D21" s="3" t="s">
        <v>160</v>
      </c>
      <c r="E21" s="3" t="s">
        <v>188</v>
      </c>
      <c r="F21" s="13">
        <v>46147</v>
      </c>
      <c r="G21" s="3" t="s">
        <v>158</v>
      </c>
      <c r="H21" s="3" t="s">
        <v>35</v>
      </c>
      <c r="I21" s="3" t="s">
        <v>142</v>
      </c>
      <c r="J21" s="20" t="s">
        <v>169</v>
      </c>
    </row>
    <row r="22" spans="1:10" x14ac:dyDescent="0.3">
      <c r="B22" s="3"/>
      <c r="C22" s="3"/>
      <c r="D22" s="3"/>
      <c r="E22" s="3"/>
      <c r="F22" s="3"/>
      <c r="G22" s="3"/>
      <c r="H22" s="3"/>
      <c r="I22" s="3"/>
    </row>
    <row r="23" spans="1:10" x14ac:dyDescent="0.3">
      <c r="B23" s="3"/>
      <c r="C23" s="3"/>
      <c r="D23" s="3"/>
      <c r="E23" s="3"/>
      <c r="F23" s="3"/>
      <c r="G23" s="3"/>
      <c r="H23" s="3"/>
      <c r="I23" s="3"/>
    </row>
    <row r="24" spans="1:10" x14ac:dyDescent="0.3">
      <c r="B24" s="3"/>
      <c r="C24" s="3"/>
      <c r="D24" s="3"/>
      <c r="E24" s="3"/>
      <c r="F24" s="3"/>
      <c r="G24" s="3"/>
      <c r="H24" s="3"/>
      <c r="I24" s="3"/>
    </row>
    <row r="25" spans="1:10" x14ac:dyDescent="0.3">
      <c r="B25" s="3"/>
      <c r="C25" s="3"/>
      <c r="D25" s="3"/>
      <c r="E25" s="3"/>
      <c r="F25" s="3"/>
      <c r="G25" s="3"/>
      <c r="H25" s="3"/>
      <c r="I25" s="3"/>
    </row>
    <row r="26" spans="1:10" x14ac:dyDescent="0.3">
      <c r="B26" s="3"/>
      <c r="C26" s="3"/>
      <c r="D26" s="3"/>
      <c r="E26" s="3"/>
      <c r="F26" s="3"/>
      <c r="G26" s="3"/>
      <c r="H26" s="3"/>
      <c r="I26" s="3"/>
    </row>
    <row r="27" spans="1:10" x14ac:dyDescent="0.3">
      <c r="B27" s="3"/>
      <c r="C27" s="3"/>
      <c r="D27" s="3"/>
      <c r="E27" s="3"/>
      <c r="F27" s="3"/>
      <c r="G27" s="3"/>
      <c r="H27" s="3"/>
      <c r="I27" s="3"/>
    </row>
    <row r="28" spans="1:10" x14ac:dyDescent="0.3">
      <c r="B28" s="3"/>
      <c r="C28" s="3"/>
      <c r="D28" s="3"/>
      <c r="E28" s="3"/>
      <c r="F28" s="3"/>
      <c r="G28" s="3"/>
      <c r="H28" s="3"/>
      <c r="I28" s="3"/>
    </row>
    <row r="29" spans="1:10" x14ac:dyDescent="0.3">
      <c r="B29" s="3"/>
      <c r="C29" s="3"/>
      <c r="D29" s="3"/>
      <c r="E29" s="3"/>
      <c r="F29" s="3"/>
      <c r="G29" s="3"/>
      <c r="H29" s="3"/>
      <c r="I29" s="3"/>
    </row>
    <row r="30" spans="1:10" x14ac:dyDescent="0.3">
      <c r="B30" s="3"/>
      <c r="C30" s="3"/>
      <c r="D30" s="3"/>
      <c r="E30" s="3"/>
      <c r="F30" s="3"/>
      <c r="G30" s="3"/>
      <c r="H30" s="3"/>
      <c r="I30" s="3"/>
    </row>
    <row r="31" spans="1:10" x14ac:dyDescent="0.3">
      <c r="B31" s="3"/>
      <c r="C31" s="3"/>
      <c r="D31" s="3"/>
      <c r="E31" s="3"/>
      <c r="F31" s="3"/>
      <c r="G31" s="3"/>
      <c r="H31" s="3"/>
      <c r="I31" s="3"/>
    </row>
    <row r="32" spans="1:10" x14ac:dyDescent="0.3">
      <c r="B32" s="3"/>
      <c r="C32" s="3"/>
      <c r="D32" s="3"/>
      <c r="E32" s="3"/>
      <c r="F32" s="3"/>
      <c r="G32" s="3"/>
      <c r="H32" s="3"/>
      <c r="I32" s="3"/>
    </row>
    <row r="33" spans="2:9" x14ac:dyDescent="0.3">
      <c r="B33" s="3"/>
      <c r="C33" s="3"/>
      <c r="D33" s="3"/>
      <c r="E33" s="3"/>
      <c r="F33" s="3"/>
      <c r="G33" s="3"/>
      <c r="H33" s="3"/>
      <c r="I33" s="3"/>
    </row>
  </sheetData>
  <dataValidations count="1">
    <dataValidation type="list" allowBlank="1" showInputMessage="1" showErrorMessage="1" sqref="O2" xr:uid="{A901C837-DC45-4918-8458-1A7174919EA4}">
      <formula1>"URBANO Q1 (URB-Q1),URBANO Q2 (URB-Q2),URBANO Q3 (URB-Q3),URBANO Q4 (URB-Q4),URBANO Q5 (URB-Q5),URBANO Q6 (URB-Q6),URBANO Q7 (URB-Q7),URBANO PROTECCION NATURAL (URB-PRO),ESPECIAL"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9" r:id="rId4" name="btnCrearFoto">
              <controlPr defaultSize="0" print="0" autoFill="0" autoPict="0" macro="[0]!CrearFoto">
                <anchor moveWithCells="1" sizeWithCells="1">
                  <from>
                    <xdr:col>22</xdr:col>
                    <xdr:colOff>0</xdr:colOff>
                    <xdr:row>0</xdr:row>
                    <xdr:rowOff>784860</xdr:rowOff>
                  </from>
                  <to>
                    <xdr:col>22</xdr:col>
                    <xdr:colOff>784860</xdr:colOff>
                    <xdr:row>1</xdr:row>
                    <xdr:rowOff>777240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5" name="btnCrearFAC">
              <controlPr defaultSize="0" print="0" autoFill="0" autoPict="0" macro="[0]!CrearCopiaFAC">
                <anchor moveWithCells="1" sizeWithCells="1">
                  <from>
                    <xdr:col>20</xdr:col>
                    <xdr:colOff>1303020</xdr:colOff>
                    <xdr:row>0</xdr:row>
                    <xdr:rowOff>784860</xdr:rowOff>
                  </from>
                  <to>
                    <xdr:col>21</xdr:col>
                    <xdr:colOff>777240</xdr:colOff>
                    <xdr:row>1</xdr:row>
                    <xdr:rowOff>777240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98FDF6A-E396-49E3-B75C-BF3ADDAAC57B}">
          <x14:formula1>
            <xm:f>TABLAS!$B$3:$B$11</xm:f>
          </x14:formula1>
          <xm:sqref>O3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3B81A-91F1-484B-9B65-BC16146E1744}">
  <sheetPr codeName="Hoja3"/>
  <dimension ref="A1:P31"/>
  <sheetViews>
    <sheetView workbookViewId="0">
      <selection activeCell="G1" sqref="G1"/>
    </sheetView>
  </sheetViews>
  <sheetFormatPr baseColWidth="10" defaultRowHeight="14.4" x14ac:dyDescent="0.3"/>
  <cols>
    <col min="2" max="3" width="16.109375" customWidth="1"/>
    <col min="4" max="4" width="36.6640625" customWidth="1"/>
    <col min="5" max="5" width="19.88671875" customWidth="1"/>
    <col min="6" max="8" width="16.109375" customWidth="1"/>
    <col min="14" max="14" width="14.5546875" customWidth="1"/>
  </cols>
  <sheetData>
    <row r="1" spans="1:16" ht="67.2" customHeight="1" thickBot="1" x14ac:dyDescent="0.35">
      <c r="A1" s="5" t="s">
        <v>16</v>
      </c>
      <c r="B1" s="5" t="s">
        <v>17</v>
      </c>
      <c r="C1" s="6" t="s">
        <v>18</v>
      </c>
      <c r="D1" s="6" t="s">
        <v>19</v>
      </c>
      <c r="E1" s="6" t="s">
        <v>20</v>
      </c>
      <c r="F1" s="7" t="s">
        <v>8</v>
      </c>
      <c r="G1" s="8" t="s">
        <v>21</v>
      </c>
      <c r="H1" s="9" t="s">
        <v>22</v>
      </c>
      <c r="I1" s="14" t="s">
        <v>170</v>
      </c>
      <c r="J1" s="14" t="s">
        <v>171</v>
      </c>
      <c r="K1" s="14" t="s">
        <v>172</v>
      </c>
      <c r="L1" s="14" t="s">
        <v>173</v>
      </c>
      <c r="M1" s="15" t="s">
        <v>174</v>
      </c>
      <c r="N1" s="15" t="s">
        <v>177</v>
      </c>
      <c r="O1" s="15" t="s">
        <v>175</v>
      </c>
      <c r="P1" s="15" t="s">
        <v>176</v>
      </c>
    </row>
    <row r="2" spans="1:16" s="3" customFormat="1" ht="26.4" customHeight="1" x14ac:dyDescent="0.3">
      <c r="A2" s="3">
        <v>1</v>
      </c>
      <c r="B2" s="3" t="str">
        <f>Hoja2!E2</f>
        <v>17/04/2026</v>
      </c>
      <c r="C2" s="3" t="str">
        <f>Hoja2!B2</f>
        <v> RPNC1-4240426</v>
      </c>
      <c r="D2" s="3" t="str">
        <f>Hoja2!C2</f>
        <v> CAJAS ITZEP, RAFAEL SALVADOR</v>
      </c>
      <c r="E2" s="3" t="str">
        <f>Hoja2!D2</f>
        <v> 8va AVENIDA 0-10</v>
      </c>
      <c r="F2" s="13" t="str">
        <f>Hoja2!F2</f>
        <v>23/04/2026</v>
      </c>
      <c r="G2" s="18"/>
      <c r="I2" s="3" t="s">
        <v>190</v>
      </c>
      <c r="J2" s="3" t="s">
        <v>191</v>
      </c>
      <c r="K2" s="3" t="s">
        <v>194</v>
      </c>
      <c r="L2" s="3" t="s">
        <v>195</v>
      </c>
    </row>
    <row r="3" spans="1:16" s="3" customFormat="1" ht="26.4" customHeight="1" x14ac:dyDescent="0.3">
      <c r="A3" s="3">
        <v>2</v>
      </c>
      <c r="B3" s="3" t="str">
        <f>Hoja2!E3</f>
        <v>24/03/2026</v>
      </c>
      <c r="C3" s="3" t="str">
        <f>Hoja2!B3</f>
        <v> CRUPR-810326</v>
      </c>
      <c r="D3" s="3" t="str">
        <f>Hoja2!C3</f>
        <v> PEREZ Y PEREZ, MARIA ANA</v>
      </c>
      <c r="E3" s="3" t="str">
        <f>Hoja2!D3</f>
        <v> CANTON CHUILAJU</v>
      </c>
      <c r="F3" s="13" t="str">
        <f>Hoja2!F3</f>
        <v>17/04/2026</v>
      </c>
      <c r="G3" s="18"/>
      <c r="K3" s="3" t="s">
        <v>192</v>
      </c>
    </row>
    <row r="4" spans="1:16" s="3" customFormat="1" ht="26.4" customHeight="1" x14ac:dyDescent="0.3">
      <c r="A4" s="3">
        <v>3</v>
      </c>
      <c r="B4" s="3" t="str">
        <f>Hoja2!E4</f>
        <v>16/04/2026</v>
      </c>
      <c r="C4" s="3" t="str">
        <f>Hoja2!B4</f>
        <v> VUNDR-1310426</v>
      </c>
      <c r="D4" s="3" t="str">
        <f>Hoja2!C4</f>
        <v> DESARROLLOS DE SUR-OCCIDENTE S.A.</v>
      </c>
      <c r="E4" s="3" t="str">
        <f>Hoja2!D4</f>
        <v> LOTE E24 SECTOR 1 CIUDAD VERDE CHICHIGUITAN</v>
      </c>
      <c r="F4" s="13" t="str">
        <f>Hoja2!F4</f>
        <v>28/04/2026</v>
      </c>
    </row>
    <row r="5" spans="1:16" s="3" customFormat="1" ht="26.4" customHeight="1" x14ac:dyDescent="0.3">
      <c r="A5" s="3">
        <v>4</v>
      </c>
      <c r="B5" s="3" t="str">
        <f>Hoja2!E5</f>
        <v>30/04/2026</v>
      </c>
      <c r="C5" s="3" t="str">
        <f>Hoja2!B5</f>
        <v> VUNC1-1430526</v>
      </c>
      <c r="D5" s="3" t="str">
        <f>Hoja2!C5</f>
        <v> CHO SAC, AROLDO RUBEN</v>
      </c>
      <c r="E5" s="3" t="str">
        <f>Hoja2!D5</f>
        <v> ZONA 1 DIAGONAL 11 26-15</v>
      </c>
      <c r="F5" s="13">
        <f>Hoja2!F5</f>
        <v>46178</v>
      </c>
    </row>
    <row r="6" spans="1:16" s="3" customFormat="1" ht="26.4" customHeight="1" x14ac:dyDescent="0.3">
      <c r="A6" s="3">
        <v>5</v>
      </c>
      <c r="B6" s="3" t="str">
        <f>Hoja2!E6</f>
        <v>16/04/2026</v>
      </c>
      <c r="C6" s="3" t="str">
        <f>Hoja2!B6</f>
        <v> VUNDR-1370426</v>
      </c>
      <c r="D6" s="3" t="str">
        <f>Hoja2!C6</f>
        <v> DESARROLLOS DE SUR-OCCIDENTE S.A.</v>
      </c>
      <c r="E6" s="3" t="str">
        <f>Hoja2!D6</f>
        <v> LOTE E17 SECTOR 1 CIUDAD VERDE CHICHIGUITAN</v>
      </c>
      <c r="F6" s="13" t="str">
        <f>Hoja2!F6</f>
        <v>28/04/2026</v>
      </c>
    </row>
    <row r="7" spans="1:16" s="3" customFormat="1" ht="26.4" customHeight="1" x14ac:dyDescent="0.3">
      <c r="A7" s="3">
        <v>6</v>
      </c>
      <c r="B7" s="3" t="str">
        <f>Hoja2!E7</f>
        <v>16/04/2026</v>
      </c>
      <c r="C7" s="3" t="str">
        <f>Hoja2!B7</f>
        <v> VUNDR-1360426</v>
      </c>
      <c r="D7" s="3" t="str">
        <f>Hoja2!C7</f>
        <v> DESARROLLOS DE SUR-OCCIDENTE S.A.</v>
      </c>
      <c r="E7" s="3" t="str">
        <f>Hoja2!D7</f>
        <v> LOTE E29 SECTOR 1 CIUDAD VERDE CHICHIGUITAN</v>
      </c>
      <c r="F7" s="13" t="str">
        <f>Hoja2!F7</f>
        <v>28/04/2026</v>
      </c>
    </row>
    <row r="8" spans="1:16" s="3" customFormat="1" ht="26.4" customHeight="1" x14ac:dyDescent="0.3">
      <c r="A8" s="3">
        <v>7</v>
      </c>
      <c r="B8" s="3" t="str">
        <f>Hoja2!E8</f>
        <v>16/04/2026</v>
      </c>
      <c r="C8" s="3" t="str">
        <f>Hoja2!B8</f>
        <v> VUNDR-1350426</v>
      </c>
      <c r="D8" s="3" t="str">
        <f>Hoja2!C8</f>
        <v> DESARROLLOS DE SUR-OCCIDENTE S.A.</v>
      </c>
      <c r="E8" s="3" t="str">
        <f>Hoja2!D8</f>
        <v> LOTE E28 SECTOR 1 CIUDAD VERDE CHICHIGUITAN</v>
      </c>
      <c r="F8" s="13" t="str">
        <f>Hoja2!F8</f>
        <v>28/04/2026</v>
      </c>
    </row>
    <row r="9" spans="1:16" ht="43.2" x14ac:dyDescent="0.3">
      <c r="A9" s="3">
        <v>8</v>
      </c>
      <c r="B9" s="3" t="str">
        <f>Hoja2!E9</f>
        <v>16/04/2026</v>
      </c>
      <c r="C9" s="3" t="str">
        <f>Hoja2!B9</f>
        <v> VUNDR-1340426</v>
      </c>
      <c r="D9" s="3" t="str">
        <f>Hoja2!C9</f>
        <v> DESARROLLOS DE SUR-OCCIDENTE S.A.</v>
      </c>
      <c r="E9" s="3" t="str">
        <f>Hoja2!D9</f>
        <v> LOTE E27 SECTOR 1 CIUDAD VERDE CHICHIGUITAN</v>
      </c>
      <c r="F9" s="13" t="str">
        <f>Hoja2!F9</f>
        <v>28/04/2026</v>
      </c>
    </row>
    <row r="10" spans="1:16" ht="43.2" x14ac:dyDescent="0.3">
      <c r="A10" s="3">
        <v>9</v>
      </c>
      <c r="B10" s="3" t="str">
        <f>Hoja2!E10</f>
        <v>16/04/2026</v>
      </c>
      <c r="C10" s="3" t="str">
        <f>Hoja2!B10</f>
        <v> VUNDR-1330426</v>
      </c>
      <c r="D10" s="3" t="str">
        <f>Hoja2!C10</f>
        <v> DESARROLLOS DE SUR-OCCIDENTE S.A.</v>
      </c>
      <c r="E10" s="3" t="str">
        <f>Hoja2!D10</f>
        <v> LOTE E26 SECTOR 1 CIUDAD VERDE CHICHIGUITAN</v>
      </c>
      <c r="F10" s="13" t="str">
        <f>Hoja2!F10</f>
        <v>28/04/2026</v>
      </c>
    </row>
    <row r="11" spans="1:16" ht="43.2" x14ac:dyDescent="0.3">
      <c r="A11" s="3">
        <v>10</v>
      </c>
      <c r="B11" s="3" t="str">
        <f>Hoja2!E11</f>
        <v>16/04/2026</v>
      </c>
      <c r="C11" s="3" t="str">
        <f>Hoja2!B11</f>
        <v> VUNDR-1320426</v>
      </c>
      <c r="D11" s="3" t="str">
        <f>Hoja2!C11</f>
        <v> DESARROLLOS DE SUR-OCCIDENTE S.A.</v>
      </c>
      <c r="E11" s="3" t="str">
        <f>Hoja2!D11</f>
        <v> LOTE E25 SECTOR 1 CIUDAD VERDE CHICHIGUITAN</v>
      </c>
      <c r="F11" s="13" t="str">
        <f>Hoja2!F11</f>
        <v>28/04/2026</v>
      </c>
    </row>
    <row r="12" spans="1:16" ht="28.8" x14ac:dyDescent="0.3">
      <c r="A12" s="3">
        <v>11</v>
      </c>
      <c r="B12" s="3">
        <f>Hoja2!E12</f>
        <v>45818</v>
      </c>
      <c r="C12" s="3" t="str">
        <f>Hoja2!B12</f>
        <v> RPNA12-4430526</v>
      </c>
      <c r="D12" s="3" t="str">
        <f>Hoja2!C12</f>
        <v> Ajsivinac Soberanis, Hilda María</v>
      </c>
      <c r="E12" s="3" t="str">
        <f>Hoja2!D12</f>
        <v> 6ta calle 12-158, sector 2</v>
      </c>
      <c r="F12" s="13" t="str">
        <f>Hoja2!F12</f>
        <v>13/10/2025</v>
      </c>
    </row>
    <row r="13" spans="1:16" ht="28.8" x14ac:dyDescent="0.3">
      <c r="A13" s="3">
        <v>12</v>
      </c>
      <c r="B13" s="3" t="str">
        <f>Hoja2!E13</f>
        <v>17/04/2026</v>
      </c>
      <c r="C13" s="3" t="str">
        <f>Hoja2!B13</f>
        <v> RPNO10-3850426</v>
      </c>
      <c r="D13" s="3" t="str">
        <f>Hoja2!C13</f>
        <v> ORDOÑEZ VASQUEZ, DIEGO</v>
      </c>
      <c r="E13" s="3" t="str">
        <f>Hoja2!D13</f>
        <v> 5 AVENIDA 4-33, INTERIOR</v>
      </c>
      <c r="F13" s="13" t="str">
        <f>Hoja2!F13</f>
        <v>29/04/2026</v>
      </c>
    </row>
    <row r="14" spans="1:16" x14ac:dyDescent="0.3">
      <c r="A14" s="3">
        <v>13</v>
      </c>
      <c r="B14" s="3" t="str">
        <f>Hoja2!E14</f>
        <v>24/03/2026</v>
      </c>
      <c r="C14" s="3" t="str">
        <f>Hoja2!B14</f>
        <v> R-05-0055-2026</v>
      </c>
      <c r="D14" s="3" t="str">
        <f>Hoja2!C14</f>
        <v> HERNANDEZ VÁSQUEZ, NAINSO GUAYMER</v>
      </c>
      <c r="E14" s="3" t="str">
        <f>Hoja2!D14</f>
        <v> DIAGONAL 2, 7-68</v>
      </c>
      <c r="F14" s="13" t="str">
        <f>Hoja2!F14</f>
        <v>29/04/2026</v>
      </c>
    </row>
    <row r="15" spans="1:16" ht="28.8" x14ac:dyDescent="0.3">
      <c r="A15" s="3">
        <v>14</v>
      </c>
      <c r="B15" s="3" t="str">
        <f>Hoja2!E15</f>
        <v>18/08/2025</v>
      </c>
      <c r="C15" s="3" t="str">
        <f>Hoja2!B15</f>
        <v> RPNC1-4500526</v>
      </c>
      <c r="D15" s="3" t="str">
        <f>Hoja2!C15</f>
        <v> CHOJOLAN MACHIC, MARIA YOHANA Y CHOJOLAN MACHIC NICOLASA VERONICA</v>
      </c>
      <c r="E15" s="3" t="str">
        <f>Hoja2!D15</f>
        <v> 5 AVENIDA 11-46C INTERIOR</v>
      </c>
      <c r="F15" s="13">
        <f>Hoja2!F15</f>
        <v>46147</v>
      </c>
    </row>
    <row r="16" spans="1:16" ht="28.8" x14ac:dyDescent="0.3">
      <c r="A16" s="3">
        <v>15</v>
      </c>
      <c r="B16" s="3" t="str">
        <f>Hoja2!E16</f>
        <v>23/03/2026</v>
      </c>
      <c r="C16" s="3" t="str">
        <f>Hoja2!B16</f>
        <v> RPNM12-4520526</v>
      </c>
      <c r="D16" s="3" t="str">
        <f>Hoja2!C16</f>
        <v> MORALES ROMERO, JUAN</v>
      </c>
      <c r="E16" s="3" t="str">
        <f>Hoja2!D16</f>
        <v> 9 CALLE LOTE #250 MANZANA "K"</v>
      </c>
      <c r="F16" s="13">
        <f>Hoja2!F16</f>
        <v>46147</v>
      </c>
    </row>
    <row r="17" spans="1:6" ht="28.8" x14ac:dyDescent="0.3">
      <c r="A17" s="3">
        <v>16</v>
      </c>
      <c r="B17" s="3">
        <f>Hoja2!E17</f>
        <v>46328</v>
      </c>
      <c r="C17" s="3" t="str">
        <f>Hoja2!B17</f>
        <v> R-03-0023-2026</v>
      </c>
      <c r="D17" s="3" t="str">
        <f>Hoja2!C17</f>
        <v> LAM, LUZ MARIA DEL ROSARIO MIGUEZ AGUILAR DE</v>
      </c>
      <c r="E17" s="3" t="str">
        <f>Hoja2!D17</f>
        <v> 5 CALLE 14-14</v>
      </c>
      <c r="F17" s="13">
        <f>Hoja2!F17</f>
        <v>46147</v>
      </c>
    </row>
    <row r="18" spans="1:6" ht="43.2" x14ac:dyDescent="0.3">
      <c r="A18" s="3">
        <v>17</v>
      </c>
      <c r="B18" s="3" t="str">
        <f>Hoja2!E18</f>
        <v>20/04/2026</v>
      </c>
      <c r="C18" s="3" t="str">
        <f>Hoja2!B18</f>
        <v> RPND10-4610526</v>
      </c>
      <c r="D18" s="3" t="str">
        <f>Hoja2!C18</f>
        <v> DEL VALLE RIVAS, MIGUEL ANTONIO</v>
      </c>
      <c r="E18" s="3" t="str">
        <f>Hoja2!D18</f>
        <v> LOTE 14, MANZANA 1, CONDOMINIO B4, PACAJA ALTO.</v>
      </c>
      <c r="F18" s="13">
        <f>Hoja2!F18</f>
        <v>46147</v>
      </c>
    </row>
    <row r="19" spans="1:6" ht="28.8" x14ac:dyDescent="0.3">
      <c r="A19" s="3">
        <v>18</v>
      </c>
      <c r="B19" s="3" t="str">
        <f>Hoja2!E19</f>
        <v>29/04/2026</v>
      </c>
      <c r="C19" s="3" t="str">
        <f>Hoja2!B19</f>
        <v> VUNV1-1400426</v>
      </c>
      <c r="D19" s="3" t="str">
        <f>Hoja2!C19</f>
        <v> VASQUEZ, CARLOS ROLANDO</v>
      </c>
      <c r="E19" s="3" t="str">
        <f>Hoja2!D19</f>
        <v> 27 AVENIDA 4-30C INTERIOR</v>
      </c>
      <c r="F19" s="13">
        <f>Hoja2!F19</f>
        <v>46208</v>
      </c>
    </row>
    <row r="20" spans="1:6" ht="43.2" x14ac:dyDescent="0.3">
      <c r="A20" s="3">
        <v>19</v>
      </c>
      <c r="B20" s="3" t="str">
        <f>Hoja2!E20</f>
        <v>28/04/2026</v>
      </c>
      <c r="C20" s="3" t="str">
        <f>Hoja2!B20</f>
        <v> CRUOR-870426</v>
      </c>
      <c r="D20" s="3" t="str">
        <f>Hoja2!C20</f>
        <v> OROZCO LOPEZ, BRAULIO RENE</v>
      </c>
      <c r="E20" s="3" t="str">
        <f>Hoja2!D20</f>
        <v> CANTON CHUICAVIOC, SECTOR 4</v>
      </c>
      <c r="F20" s="13">
        <f>Hoja2!F20</f>
        <v>46208</v>
      </c>
    </row>
    <row r="21" spans="1:6" ht="43.2" x14ac:dyDescent="0.3">
      <c r="A21" s="3">
        <v>20</v>
      </c>
      <c r="B21" s="3" t="str">
        <f>Hoja2!E21</f>
        <v>20/04/2026</v>
      </c>
      <c r="C21" s="3" t="str">
        <f>Hoja2!B21</f>
        <v> R-10-0088-2026</v>
      </c>
      <c r="D21" s="3" t="str">
        <f>Hoja2!C21</f>
        <v> DEL VALLE RIVAS, MIGUEL ANTONIO</v>
      </c>
      <c r="E21" s="3" t="str">
        <f>Hoja2!D21</f>
        <v> LOTE 14, MANZANA 1, CONDOMINIO B4, PACAJA ALTO.</v>
      </c>
      <c r="F21" s="13">
        <f>Hoja2!F21</f>
        <v>46147</v>
      </c>
    </row>
    <row r="22" spans="1:6" x14ac:dyDescent="0.3">
      <c r="A22" s="3">
        <v>21</v>
      </c>
      <c r="B22" s="3">
        <f>Hoja2!E22</f>
        <v>0</v>
      </c>
      <c r="C22" s="3">
        <f>Hoja2!B22</f>
        <v>0</v>
      </c>
      <c r="D22" s="3">
        <f>Hoja2!C22</f>
        <v>0</v>
      </c>
      <c r="E22" s="3">
        <f>Hoja2!D22</f>
        <v>0</v>
      </c>
      <c r="F22" s="3"/>
    </row>
    <row r="23" spans="1:6" x14ac:dyDescent="0.3">
      <c r="A23" s="3">
        <v>22</v>
      </c>
      <c r="B23" s="3">
        <f>Hoja2!E23</f>
        <v>0</v>
      </c>
      <c r="C23" s="3">
        <f>Hoja2!B23</f>
        <v>0</v>
      </c>
      <c r="D23" s="3">
        <f>Hoja2!C23</f>
        <v>0</v>
      </c>
      <c r="E23" s="3">
        <f>Hoja2!D23</f>
        <v>0</v>
      </c>
      <c r="F23" s="3"/>
    </row>
    <row r="24" spans="1:6" x14ac:dyDescent="0.3">
      <c r="A24" s="3">
        <v>23</v>
      </c>
      <c r="B24" s="3">
        <f>Hoja2!E24</f>
        <v>0</v>
      </c>
      <c r="C24" s="3">
        <f>Hoja2!B24</f>
        <v>0</v>
      </c>
      <c r="D24" s="3">
        <f>Hoja2!C24</f>
        <v>0</v>
      </c>
      <c r="E24" s="3">
        <f>Hoja2!D24</f>
        <v>0</v>
      </c>
      <c r="F24" s="3"/>
    </row>
    <row r="25" spans="1:6" x14ac:dyDescent="0.3">
      <c r="A25" s="3">
        <v>24</v>
      </c>
      <c r="B25" s="3">
        <f>Hoja2!E25</f>
        <v>0</v>
      </c>
      <c r="C25" s="3">
        <f>Hoja2!B25</f>
        <v>0</v>
      </c>
      <c r="D25" s="3">
        <f>Hoja2!C25</f>
        <v>0</v>
      </c>
      <c r="E25" s="3">
        <f>Hoja2!D25</f>
        <v>0</v>
      </c>
      <c r="F25" s="3"/>
    </row>
    <row r="26" spans="1:6" x14ac:dyDescent="0.3">
      <c r="A26" s="3">
        <v>25</v>
      </c>
      <c r="B26" s="3">
        <f>Hoja2!E26</f>
        <v>0</v>
      </c>
      <c r="C26" s="3">
        <f>Hoja2!B26</f>
        <v>0</v>
      </c>
      <c r="D26" s="3">
        <f>Hoja2!C26</f>
        <v>0</v>
      </c>
      <c r="E26" s="3">
        <f>Hoja2!D26</f>
        <v>0</v>
      </c>
      <c r="F26" s="3">
        <f>Hoja2!F26</f>
        <v>0</v>
      </c>
    </row>
    <row r="27" spans="1:6" x14ac:dyDescent="0.3">
      <c r="A27" s="3">
        <v>26</v>
      </c>
      <c r="B27" s="3">
        <f>Hoja2!E27</f>
        <v>0</v>
      </c>
      <c r="C27" s="3">
        <f>Hoja2!B27</f>
        <v>0</v>
      </c>
      <c r="D27" s="3">
        <f>Hoja2!C27</f>
        <v>0</v>
      </c>
      <c r="E27" s="3">
        <f>Hoja2!D27</f>
        <v>0</v>
      </c>
      <c r="F27" s="3">
        <f>Hoja2!F27</f>
        <v>0</v>
      </c>
    </row>
    <row r="28" spans="1:6" x14ac:dyDescent="0.3">
      <c r="A28" s="3">
        <v>27</v>
      </c>
      <c r="B28" s="3">
        <f>Hoja2!E28</f>
        <v>0</v>
      </c>
      <c r="C28" s="3">
        <f>Hoja2!B28</f>
        <v>0</v>
      </c>
      <c r="D28" s="3">
        <f>Hoja2!C28</f>
        <v>0</v>
      </c>
      <c r="E28" s="3">
        <f>Hoja2!D28</f>
        <v>0</v>
      </c>
      <c r="F28" s="3">
        <f>Hoja2!F28</f>
        <v>0</v>
      </c>
    </row>
    <row r="29" spans="1:6" x14ac:dyDescent="0.3">
      <c r="A29" s="3">
        <v>28</v>
      </c>
      <c r="B29" s="3">
        <f>Hoja2!E29</f>
        <v>0</v>
      </c>
      <c r="C29" s="3">
        <f>Hoja2!B29</f>
        <v>0</v>
      </c>
      <c r="D29" s="3">
        <f>Hoja2!C29</f>
        <v>0</v>
      </c>
      <c r="E29" s="3">
        <f>Hoja2!D29</f>
        <v>0</v>
      </c>
      <c r="F29" s="3">
        <f>Hoja2!F29</f>
        <v>0</v>
      </c>
    </row>
    <row r="30" spans="1:6" x14ac:dyDescent="0.3">
      <c r="A30" s="3">
        <v>29</v>
      </c>
      <c r="B30" s="3">
        <f>Hoja2!E30</f>
        <v>0</v>
      </c>
      <c r="C30" s="3">
        <f>Hoja2!B30</f>
        <v>0</v>
      </c>
      <c r="D30" s="3">
        <f>Hoja2!C30</f>
        <v>0</v>
      </c>
      <c r="E30" s="3">
        <f>Hoja2!D30</f>
        <v>0</v>
      </c>
      <c r="F30" s="3">
        <f>Hoja2!F30</f>
        <v>0</v>
      </c>
    </row>
    <row r="31" spans="1:6" x14ac:dyDescent="0.3">
      <c r="A31" s="3">
        <v>30</v>
      </c>
      <c r="B31" s="3">
        <f>Hoja2!E31</f>
        <v>0</v>
      </c>
      <c r="C31" s="3">
        <f>Hoja2!B31</f>
        <v>0</v>
      </c>
      <c r="D31" s="3">
        <f>Hoja2!C31</f>
        <v>0</v>
      </c>
      <c r="E31" s="3">
        <f>Hoja2!D31</f>
        <v>0</v>
      </c>
      <c r="F31" s="3">
        <f>Hoja2!F31</f>
        <v>0</v>
      </c>
    </row>
  </sheetData>
  <phoneticPr fontId="5" type="noConversion"/>
  <dataValidations count="1">
    <dataValidation type="date" allowBlank="1" showInputMessage="1" showErrorMessage="1" sqref="G2:G3" xr:uid="{EE106A33-4E7F-47F8-A80F-E4BAB056F867}">
      <formula1>46023</formula1>
      <formula2>46386</formula2>
    </dataValidation>
  </dataValidations>
  <pageMargins left="0.7" right="0.7" top="0.75" bottom="0.75" header="0.3" footer="0.3"/>
  <pageSetup orientation="portrait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B2BEF-2CBF-490E-AA61-89966922B65A}">
  <sheetPr codeName="Hoja4"/>
  <dimension ref="B3:B11"/>
  <sheetViews>
    <sheetView workbookViewId="0">
      <selection activeCell="B3" sqref="B3:B11"/>
    </sheetView>
  </sheetViews>
  <sheetFormatPr baseColWidth="10" defaultRowHeight="14.4" x14ac:dyDescent="0.3"/>
  <cols>
    <col min="2" max="2" width="40.33203125" customWidth="1"/>
  </cols>
  <sheetData>
    <row r="3" spans="2:2" x14ac:dyDescent="0.3">
      <c r="B3" t="s">
        <v>199</v>
      </c>
    </row>
    <row r="4" spans="2:2" x14ac:dyDescent="0.3">
      <c r="B4" t="s">
        <v>198</v>
      </c>
    </row>
    <row r="5" spans="2:2" x14ac:dyDescent="0.3">
      <c r="B5" t="s">
        <v>200</v>
      </c>
    </row>
    <row r="6" spans="2:2" x14ac:dyDescent="0.3">
      <c r="B6" t="s">
        <v>201</v>
      </c>
    </row>
    <row r="7" spans="2:2" x14ac:dyDescent="0.3">
      <c r="B7" t="s">
        <v>202</v>
      </c>
    </row>
    <row r="8" spans="2:2" x14ac:dyDescent="0.3">
      <c r="B8" t="s">
        <v>203</v>
      </c>
    </row>
    <row r="9" spans="2:2" x14ac:dyDescent="0.3">
      <c r="B9" t="s">
        <v>204</v>
      </c>
    </row>
    <row r="10" spans="2:2" x14ac:dyDescent="0.3">
      <c r="B10" t="s">
        <v>205</v>
      </c>
    </row>
    <row r="11" spans="2:2" x14ac:dyDescent="0.3">
      <c r="B11" t="s">
        <v>206</v>
      </c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Hoja2</vt:lpstr>
      <vt:lpstr>Hoja3</vt:lpstr>
      <vt:lpstr>TABLAS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Rivera</dc:creator>
  <cp:lastModifiedBy>Ivan Rivera</cp:lastModifiedBy>
  <dcterms:created xsi:type="dcterms:W3CDTF">2026-05-16T03:15:08Z</dcterms:created>
  <dcterms:modified xsi:type="dcterms:W3CDTF">2026-07-13T06:58:02Z</dcterms:modified>
</cp:coreProperties>
</file>