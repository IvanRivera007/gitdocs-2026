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macros fac\"/>
    </mc:Choice>
  </mc:AlternateContent>
  <xr:revisionPtr revIDLastSave="0" documentId="13_ncr:1_{60EB208B-0D0E-4D9B-83A9-8A45B0706736}" xr6:coauthVersionLast="47" xr6:coauthVersionMax="47" xr10:uidLastSave="{00000000-0000-0000-0000-000000000000}"/>
  <bookViews>
    <workbookView xWindow="-108" yWindow="-108" windowWidth="23256" windowHeight="12576" xr2:uid="{C766D835-A20E-4B1F-9AF4-0EEFB78C46DC}"/>
  </bookViews>
  <sheets>
    <sheet name="Hoja2" sheetId="2" r:id="rId1"/>
    <sheet name="Hoja3" sheetId="3" r:id="rId2"/>
    <sheet name="TABLAS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<sst xmlns="http://schemas.openxmlformats.org/spreadsheetml/2006/main" count="106" uniqueCount="91">
  <si>
    <t xml:space="preserve">EXPEDIENTE </t>
  </si>
  <si>
    <t>PROPIETARIO</t>
  </si>
  <si>
    <t>DIRECCIÓN</t>
  </si>
  <si>
    <t>FECHA DE INSPECCIÓN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</si>
  <si>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</si>
  <si>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</si>
  <si>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</si>
  <si>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</si>
  <si>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</si>
  <si>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</si>
  <si>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</si>
  <si>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t> CRUPR-810326</t>
  </si>
  <si>
    <t> PEREZ Y PEREZ, MARIA ANA</t>
  </si>
  <si>
    <t> CANTON CHUILAJU</t>
  </si>
  <si>
    <t> VUNDR-1310426</t>
  </si>
  <si>
    <t> DESARROLLOS DE SUR-OCCIDENTE S.A.</t>
  </si>
  <si>
    <t> LOTE E24 SECTOR 1 CIUDAD VERDE CHICHIGUITAN</t>
  </si>
  <si>
    <t> VUNC1-1430526</t>
  </si>
  <si>
    <t> CHO SAC, AROLDO RUBEN</t>
  </si>
  <si>
    <t> ZONA 1 DIAGONAL 11 26-15</t>
  </si>
  <si>
    <t> VUNDR-1370426</t>
  </si>
  <si>
    <t> LOTE E17 SECTOR 1 CIUDAD VERDE CHICHIGUITAN</t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</si>
  <si>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</si>
  <si>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</si>
  <si>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</si>
  <si>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</si>
  <si>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</si>
  <si>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</si>
  <si>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</si>
  <si>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</si>
  <si>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</si>
  <si>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</si>
  <si>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t> RPNA12-4430526</t>
  </si>
  <si>
    <t> Ajsivinac Soberanis, Hilda María</t>
  </si>
  <si>
    <t> 6ta calle 12-158, sector 2</t>
  </si>
  <si>
    <t> RPNO10-3850426</t>
  </si>
  <si>
    <t> ORDOÑEZ VASQUEZ, DIEGO</t>
  </si>
  <si>
    <t> 5 AVENIDA 4-33, INTERIOR</t>
  </si>
  <si>
    <t> R-05-0055-2026</t>
  </si>
  <si>
    <t> HERNANDEZ VÁSQUEZ, NAINSO GUAYMER</t>
  </si>
  <si>
    <t> DIAGONAL 2, 7-68</t>
  </si>
  <si>
    <t> RPNC1-4500526</t>
  </si>
  <si>
    <t> CHOJOLAN MACHIC, MARIA YOHANA Y CHOJOLAN MACHIC NICOLASA VERONICA</t>
  </si>
  <si>
    <t> 5 AVENIDA 11-46C INTERIOR</t>
  </si>
  <si>
    <t> RPNM12-4520526</t>
  </si>
  <si>
    <t> MORALES ROMERO, JUAN</t>
  </si>
  <si>
    <t> 9 CALLE LOTE #250 MANZANA "K"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</si>
  <si>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</si>
  <si>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</si>
  <si>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</si>
  <si>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</si>
  <si>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</si>
  <si>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</si>
  <si>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</si>
  <si>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</si>
  <si>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</si>
  <si>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</si>
  <si>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 CRUOR-870426</t>
  </si>
  <si>
    <t> OROZCO LOPEZ, BRAULIO RENE</t>
  </si>
  <si>
    <t> CANTON CHUICAVIOC, SECTOR 4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</si>
  <si>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</si>
  <si>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</si>
  <si>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</si>
  <si>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</si>
  <si>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</si>
  <si>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</si>
  <si>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</si>
  <si>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</si>
  <si>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A</t>
  </si>
  <si>
    <t>S</t>
  </si>
  <si>
    <t>D</t>
  </si>
  <si>
    <t>CF</t>
  </si>
  <si>
    <t>V</t>
  </si>
  <si>
    <t>URBANO Q2 (URB-Q2)</t>
  </si>
  <si>
    <t>URBANO Q1 (URB-Q1)</t>
  </si>
  <si>
    <t>URBANO Q3 (URB-Q3)</t>
  </si>
  <si>
    <t>URBANO Q4 (URB-Q4)</t>
  </si>
  <si>
    <t>URBANO Q5 (URB-Q5)</t>
  </si>
  <si>
    <t>URBANO Q6 (URB-Q6)</t>
  </si>
  <si>
    <t>URBANO Q7 (URB-Q7)</t>
  </si>
  <si>
    <t>URBANO PROTECCION NATURAL (URB-PRO)</t>
  </si>
  <si>
    <t>ESPECIAL</t>
  </si>
  <si>
    <t>FRENTE  COMPLETO DEL TERRENO</t>
  </si>
  <si>
    <t xml:space="preserve">AREA PERMEABLE CALCULADO(FINAL)  </t>
  </si>
  <si>
    <t>AREA EXISTENTE (EN TODOS LOS NIVELES)</t>
  </si>
  <si>
    <t xml:space="preserve">TIPO DE USO DE SUELO </t>
  </si>
  <si>
    <t>AREA TOTAL DE CONSTRUCIÓN</t>
  </si>
  <si>
    <t>RPNP8-5980626</t>
  </si>
  <si>
    <t>PEREZ UTUY, MIGUEL JOSE</t>
  </si>
  <si>
    <t>4 CALLE 38-79A</t>
  </si>
  <si>
    <t>VIVIENDA UNIFAMILIAR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</si>
</sst>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4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14" fontId="2" fillId="2" borderId="4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1303020</xdr:colOff>
          <xdr:row>0</xdr:row>
          <xdr:rowOff>784860</xdr:rowOff>
        </xdr:from>
        <xdr:to>
          <xdr:col>15</xdr:col>
          <xdr:colOff>777240</xdr:colOff>
          <xdr:row>1</xdr:row>
          <xdr:rowOff>777240</xdr:rowOff>
        </xdr:to>
        <xdr:sp macro="" textlink="">
          <xdr:nvSpPr>
            <xdr:cNvPr id="3088" name="btnCrearFAC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784860</xdr:rowOff>
        </xdr:from>
        <xdr:to>
          <xdr:col>16</xdr:col>
          <xdr:colOff>784860</xdr:colOff>
          <xdr:row>1</xdr:row>
          <xdr:rowOff>777240</xdr:rowOff>
        </xdr:to>
        <xdr:sp macro="" textlink="">
          <xdr:nvSpPr>
            <xdr:cNvPr id="3089" name="btnCrearFot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O33"/>
  <sheetViews>
    <sheetView tabSelected="1" topLeftCell="D1" zoomScaleNormal="100" workbookViewId="0">
      <selection activeCell="K3" sqref="K3"/>
    </sheetView>
  </sheetViews>
  <sheetFormatPr baseColWidth="10" defaultRowHeight="14.4" x14ac:dyDescent="0.3"/>
  <cols>
    <col min="2" max="4" width="16.6640625" customWidth="1"/>
    <col min="5" max="5" width="18.33203125" customWidth="1"/>
    <col min="9" max="9" width="21.6640625" customWidth="1"/>
    <col min="12" max="12" width="16.44140625" customWidth="1"/>
    <col min="13" max="13" width="16.88671875" customWidth="1"/>
    <col min="15" max="15" width="19.109375" customWidth="1"/>
  </cols>
  <sheetData>
    <row r="1" spans="1:15" s="1" customFormat="1" ht="62.4" customHeight="1" x14ac:dyDescent="0.3">
      <c r="B1" s="11" t="s">
        <v>0</v>
      </c>
      <c r="C1" s="11" t="s">
        <v>1</v>
      </c>
      <c r="D1" s="11" t="s">
        <v>2</v>
      </c>
      <c r="E1" s="13" t="s">
        <v>60</v>
      </c>
      <c r="F1" s="13" t="s">
        <v>61</v>
      </c>
      <c r="G1" s="13" t="s">
        <v>62</v>
      </c>
      <c r="H1" s="13" t="s">
        <v>63</v>
      </c>
      <c r="I1" s="13" t="s">
        <v>85</v>
      </c>
      <c r="J1" s="13" t="s">
        <v>64</v>
      </c>
      <c r="K1" s="13" t="s">
        <v>82</v>
      </c>
      <c r="L1" s="13" t="s">
        <v>86</v>
      </c>
      <c r="M1" s="13" t="s">
        <v>83</v>
      </c>
      <c r="N1" s="13" t="s">
        <v>66</v>
      </c>
      <c r="O1" s="14" t="s">
        <v>84</v>
      </c>
    </row>
    <row r="2" spans="1:15" s="1" customFormat="1" ht="62.4" customHeight="1" x14ac:dyDescent="0.3">
      <c r="A2" s="1">
        <v>1</v>
      </c>
      <c r="B2" s="2" t="s">
        <v>87</v>
      </c>
      <c r="C2" s="2" t="s">
        <v>88</v>
      </c>
      <c r="D2" s="2" t="s">
        <v>89</v>
      </c>
      <c r="E2" s="2" t="s">
        <v>90</v>
      </c>
      <c r="F2" s="2">
        <v>251828</v>
      </c>
      <c r="G2" s="2">
        <v>98</v>
      </c>
      <c r="H2" s="2">
        <v>560</v>
      </c>
      <c r="I2" s="2" t="s">
        <v>76</v>
      </c>
      <c r="J2" s="2">
        <v>109</v>
      </c>
      <c r="K2" s="2">
        <v>5.22</v>
      </c>
      <c r="L2" s="2">
        <v>159.72999999999999</v>
      </c>
      <c r="M2" s="2">
        <v>6.95</v>
      </c>
      <c r="N2" s="2">
        <v>5.2</v>
      </c>
      <c r="O2" s="2"/>
    </row>
    <row r="3" spans="1:15" s="1" customFormat="1" ht="62.4" customHeight="1" x14ac:dyDescent="0.3">
      <c r="A3" s="1">
        <v>2</v>
      </c>
      <c r="B3" s="2" t="s">
        <v>11</v>
      </c>
      <c r="C3" s="2" t="s">
        <v>12</v>
      </c>
      <c r="D3" s="2" t="s">
        <v>13</v>
      </c>
      <c r="E3" s="8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s="1" customFormat="1" ht="62.4" customHeight="1" x14ac:dyDescent="0.3">
      <c r="A4" s="1">
        <v>3</v>
      </c>
      <c r="B4" s="2" t="s">
        <v>14</v>
      </c>
      <c r="C4" s="2" t="s">
        <v>15</v>
      </c>
      <c r="D4" s="2" t="s">
        <v>16</v>
      </c>
    </row>
    <row r="5" spans="1:15" s="1" customFormat="1" ht="62.4" customHeight="1" x14ac:dyDescent="0.3">
      <c r="A5" s="1">
        <v>4</v>
      </c>
      <c r="B5" s="2" t="s">
        <v>17</v>
      </c>
      <c r="C5" s="2" t="s">
        <v>18</v>
      </c>
      <c r="D5" s="2" t="s">
        <v>19</v>
      </c>
    </row>
    <row r="6" spans="1:15" s="1" customFormat="1" ht="62.4" customHeight="1" x14ac:dyDescent="0.3">
      <c r="A6" s="1">
        <v>5</v>
      </c>
      <c r="B6" s="2" t="s">
        <v>20</v>
      </c>
      <c r="C6" s="2" t="s">
        <v>15</v>
      </c>
      <c r="D6" s="2" t="s">
        <v>21</v>
      </c>
    </row>
    <row r="7" spans="1:15" s="1" customFormat="1" ht="62.4" customHeight="1" x14ac:dyDescent="0.3">
      <c r="A7" s="1">
        <v>6</v>
      </c>
      <c r="B7" s="2" t="s">
        <v>22</v>
      </c>
      <c r="C7" s="2" t="s">
        <v>15</v>
      </c>
      <c r="D7" s="2" t="s">
        <v>23</v>
      </c>
    </row>
    <row r="8" spans="1:15" ht="43.2" x14ac:dyDescent="0.3">
      <c r="A8">
        <v>7</v>
      </c>
      <c r="B8" s="2" t="s">
        <v>24</v>
      </c>
      <c r="C8" s="2" t="s">
        <v>15</v>
      </c>
      <c r="D8" s="2" t="s">
        <v>25</v>
      </c>
    </row>
    <row r="9" spans="1:15" ht="43.2" x14ac:dyDescent="0.3">
      <c r="A9">
        <v>8</v>
      </c>
      <c r="B9" s="2" t="s">
        <v>26</v>
      </c>
      <c r="C9" s="2" t="s">
        <v>15</v>
      </c>
      <c r="D9" s="2" t="s">
        <v>27</v>
      </c>
    </row>
    <row r="10" spans="1:15" ht="43.2" x14ac:dyDescent="0.3">
      <c r="A10">
        <v>9</v>
      </c>
      <c r="B10" s="2" t="s">
        <v>28</v>
      </c>
      <c r="C10" s="2" t="s">
        <v>15</v>
      </c>
      <c r="D10" s="2" t="s">
        <v>29</v>
      </c>
    </row>
    <row r="11" spans="1:15" ht="43.2" x14ac:dyDescent="0.3">
      <c r="A11">
        <v>10</v>
      </c>
      <c r="B11" s="2" t="s">
        <v>30</v>
      </c>
      <c r="C11" s="2" t="s">
        <v>15</v>
      </c>
      <c r="D11" s="2" t="s">
        <v>31</v>
      </c>
    </row>
    <row r="12" spans="1:15" ht="43.2" x14ac:dyDescent="0.3">
      <c r="A12">
        <v>11</v>
      </c>
      <c r="B12" s="2" t="s">
        <v>32</v>
      </c>
      <c r="C12" s="2" t="s">
        <v>33</v>
      </c>
      <c r="D12" s="2" t="s">
        <v>34</v>
      </c>
    </row>
    <row r="13" spans="1:15" ht="28.8" x14ac:dyDescent="0.3">
      <c r="A13">
        <v>12</v>
      </c>
      <c r="B13" s="2" t="s">
        <v>35</v>
      </c>
      <c r="C13" s="2" t="s">
        <v>36</v>
      </c>
      <c r="D13" s="2" t="s">
        <v>37</v>
      </c>
    </row>
    <row r="14" spans="1:15" ht="43.2" x14ac:dyDescent="0.3">
      <c r="A14">
        <v>13</v>
      </c>
      <c r="B14" s="2" t="s">
        <v>38</v>
      </c>
      <c r="C14" s="2" t="s">
        <v>39</v>
      </c>
      <c r="D14" s="2" t="s">
        <v>40</v>
      </c>
    </row>
    <row r="15" spans="1:15" ht="86.4" x14ac:dyDescent="0.3">
      <c r="A15">
        <v>14</v>
      </c>
      <c r="B15" s="2" t="s">
        <v>41</v>
      </c>
      <c r="C15" s="2" t="s">
        <v>42</v>
      </c>
      <c r="D15" s="2" t="s">
        <v>43</v>
      </c>
    </row>
    <row r="16" spans="1:15" ht="43.2" x14ac:dyDescent="0.3">
      <c r="A16">
        <v>15</v>
      </c>
      <c r="B16" s="2" t="s">
        <v>44</v>
      </c>
      <c r="C16" s="2" t="s">
        <v>45</v>
      </c>
      <c r="D16" s="2" t="s">
        <v>46</v>
      </c>
    </row>
    <row r="17" spans="1:4" ht="57.6" x14ac:dyDescent="0.3">
      <c r="A17">
        <v>16</v>
      </c>
      <c r="B17" s="2" t="s">
        <v>47</v>
      </c>
      <c r="C17" s="2" t="s">
        <v>48</v>
      </c>
      <c r="D17" s="2" t="s">
        <v>49</v>
      </c>
    </row>
    <row r="18" spans="1:4" ht="57.6" x14ac:dyDescent="0.3">
      <c r="A18">
        <v>17</v>
      </c>
      <c r="B18" s="2" t="s">
        <v>50</v>
      </c>
      <c r="C18" s="2" t="s">
        <v>51</v>
      </c>
      <c r="D18" s="2" t="s">
        <v>52</v>
      </c>
    </row>
    <row r="19" spans="1:4" ht="28.8" x14ac:dyDescent="0.3">
      <c r="A19">
        <v>18</v>
      </c>
      <c r="B19" s="2" t="s">
        <v>54</v>
      </c>
      <c r="C19" s="2" t="s">
        <v>55</v>
      </c>
      <c r="D19" s="2" t="s">
        <v>56</v>
      </c>
    </row>
    <row r="20" spans="1:4" ht="43.2" x14ac:dyDescent="0.3">
      <c r="A20">
        <v>19</v>
      </c>
      <c r="B20" s="2" t="s">
        <v>57</v>
      </c>
      <c r="C20" s="2" t="s">
        <v>58</v>
      </c>
      <c r="D20" s="2" t="s">
        <v>59</v>
      </c>
    </row>
    <row r="21" spans="1:4" ht="57.6" x14ac:dyDescent="0.3">
      <c r="A21">
        <v>20</v>
      </c>
      <c r="B21" s="2" t="s">
        <v>53</v>
      </c>
      <c r="C21" s="2" t="s">
        <v>51</v>
      </c>
      <c r="D21" s="2" t="s">
        <v>52</v>
      </c>
    </row>
    <row r="22" spans="1:4" x14ac:dyDescent="0.3">
      <c r="B22" s="2"/>
      <c r="C22" s="2"/>
      <c r="D22" s="2"/>
    </row>
    <row r="23" spans="1:4" x14ac:dyDescent="0.3">
      <c r="B23" s="2"/>
      <c r="C23" s="2"/>
      <c r="D23" s="2"/>
    </row>
    <row r="24" spans="1:4" x14ac:dyDescent="0.3">
      <c r="B24" s="2"/>
      <c r="C24" s="2"/>
      <c r="D24" s="2"/>
    </row>
    <row r="25" spans="1:4" x14ac:dyDescent="0.3">
      <c r="B25" s="2"/>
      <c r="C25" s="2"/>
      <c r="D25" s="2"/>
    </row>
    <row r="26" spans="1:4" x14ac:dyDescent="0.3">
      <c r="B26" s="2"/>
      <c r="C26" s="2"/>
      <c r="D26" s="2"/>
    </row>
    <row r="27" spans="1:4" x14ac:dyDescent="0.3">
      <c r="B27" s="2"/>
      <c r="C27" s="2"/>
      <c r="D27" s="2"/>
    </row>
    <row r="28" spans="1:4" x14ac:dyDescent="0.3">
      <c r="B28" s="2"/>
      <c r="C28" s="2"/>
      <c r="D28" s="2"/>
    </row>
    <row r="29" spans="1:4" x14ac:dyDescent="0.3">
      <c r="B29" s="2"/>
      <c r="C29" s="2"/>
      <c r="D29" s="2"/>
    </row>
    <row r="30" spans="1:4" x14ac:dyDescent="0.3">
      <c r="B30" s="2"/>
      <c r="C30" s="2"/>
      <c r="D30" s="2"/>
    </row>
    <row r="31" spans="1:4" x14ac:dyDescent="0.3">
      <c r="B31" s="2"/>
      <c r="C31" s="2"/>
      <c r="D31" s="2"/>
    </row>
    <row r="32" spans="1:4" x14ac:dyDescent="0.3">
      <c r="B32" s="2"/>
      <c r="C32" s="2"/>
      <c r="D32" s="2"/>
    </row>
    <row r="33" spans="2:4" x14ac:dyDescent="0.3">
      <c r="B33" s="2"/>
      <c r="C33" s="2"/>
      <c r="D33" s="2"/>
    </row>
  </sheetData>
  <dataValidations count="1">
    <dataValidation type="list" allowBlank="1" showInputMessage="1" showErrorMessage="1" sqref="I2" xr:uid="{C14DA8DB-ADE6-4D68-BE64-751927F074DF}">
      <formula1>"URBANO Q1 (URB-Q1),URBANO Q2 (URB-Q2),URBANO Q3 (URB-Q3),URBANO Q4 (URB-Q4),URBANO Q5 (URB-Q5),URBANO Q6 (URB-Q6),URBANO Q7 (URB-Q7),URBANO PROTECCION NATURAL (URB-PRO),ESPECIAL"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btnCrearFoto">
              <controlPr defaultSize="0" print="0" autoFill="0" autoPict="0" macro="[0]!CrearFoto">
                <anchor moveWithCells="1" sizeWithCells="1">
                  <from>
                    <xdr:col>16</xdr:col>
                    <xdr:colOff>0</xdr:colOff>
                    <xdr:row>0</xdr:row>
                    <xdr:rowOff>784860</xdr:rowOff>
                  </from>
                  <to>
                    <xdr:col>16</xdr:col>
                    <xdr:colOff>784860</xdr:colOff>
                    <xdr:row>1</xdr:row>
                    <xdr:rowOff>777240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btnCrearFAC">
              <controlPr defaultSize="0" print="0" autoFill="0" autoPict="0" macro="[0]!CrearCopiaFAC">
                <anchor moveWithCells="1" sizeWithCells="1">
                  <from>
                    <xdr:col>14</xdr:col>
                    <xdr:colOff>1303020</xdr:colOff>
                    <xdr:row>0</xdr:row>
                    <xdr:rowOff>784860</xdr:rowOff>
                  </from>
                  <to>
                    <xdr:col>15</xdr:col>
                    <xdr:colOff>777240</xdr:colOff>
                    <xdr:row>1</xdr:row>
                    <xdr:rowOff>777240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DF6A-E396-49E3-B75C-BF3ADDAAC57B}">
          <x14:formula1>
            <xm:f>TABLAS!$B$3:$B$11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workbookViewId="0">
      <selection activeCell="G1" sqref="G1"/>
    </sheetView>
  </sheetViews>
  <sheetFormatPr baseColWidth="10" defaultRowHeight="14.4" x14ac:dyDescent="0.3"/>
  <cols>
    <col min="2" max="3" width="16.109375" customWidth="1"/>
    <col min="4" max="4" width="36.6640625" customWidth="1"/>
    <col min="5" max="5" width="19.88671875" customWidth="1"/>
    <col min="6" max="8" width="16.109375" customWidth="1"/>
    <col min="14" max="14" width="14.5546875" customWidth="1"/>
  </cols>
  <sheetData>
    <row r="1" spans="1:16" ht="67.2" customHeight="1" thickBot="1" x14ac:dyDescent="0.35">
      <c r="A1" s="3" t="s">
        <v>4</v>
      </c>
      <c r="B1" s="3" t="s">
        <v>5</v>
      </c>
      <c r="C1" s="4" t="s">
        <v>6</v>
      </c>
      <c r="D1" s="4" t="s">
        <v>7</v>
      </c>
      <c r="E1" s="4" t="s">
        <v>8</v>
      </c>
      <c r="F1" s="5" t="s">
        <v>3</v>
      </c>
      <c r="G1" s="6" t="s">
        <v>9</v>
      </c>
      <c r="H1" s="7" t="s">
        <v>10</v>
      </c>
      <c r="I1" s="9" t="s">
        <v>60</v>
      </c>
      <c r="J1" s="9" t="s">
        <v>61</v>
      </c>
      <c r="K1" s="9" t="s">
        <v>62</v>
      </c>
      <c r="L1" s="9" t="s">
        <v>63</v>
      </c>
      <c r="M1" s="10" t="s">
        <v>64</v>
      </c>
      <c r="N1" s="10" t="s">
        <v>67</v>
      </c>
      <c r="O1" s="10" t="s">
        <v>65</v>
      </c>
      <c r="P1" s="10" t="s">
        <v>66</v>
      </c>
    </row>
    <row r="2" spans="1:16" s="2" customFormat="1" ht="26.4" customHeight="1" x14ac:dyDescent="0.3">
      <c r="A2" s="2">
        <v>1</v>
      </c>
      <c r="B2" s="2" t="e">
        <f>Hoja2!#REF!</f>
        <v>#REF!</v>
      </c>
      <c r="C2" s="2" t="str">
        <f>Hoja2!B2</f>
        <v>RPNP8-5980626</v>
      </c>
      <c r="D2" s="2" t="str">
        <f>Hoja2!C2</f>
        <v>PEREZ UTUY, MIGUEL JOSE</v>
      </c>
      <c r="E2" s="2" t="str">
        <f>Hoja2!D2</f>
        <v>4 CALLE 38-79A</v>
      </c>
      <c r="F2" s="8" t="e">
        <f>Hoja2!#REF!</f>
        <v>#REF!</v>
      </c>
      <c r="G2" s="12"/>
      <c r="I2" s="2" t="s">
        <v>68</v>
      </c>
      <c r="J2" s="2" t="s">
        <v>69</v>
      </c>
      <c r="K2" s="2" t="s">
        <v>71</v>
      </c>
      <c r="L2" s="2" t="s">
        <v>72</v>
      </c>
    </row>
    <row r="3" spans="1:16" s="2" customFormat="1" ht="26.4" customHeight="1" x14ac:dyDescent="0.3">
      <c r="A3" s="2">
        <v>2</v>
      </c>
      <c r="B3" s="2" t="e">
        <f>Hoja2!#REF!</f>
        <v>#REF!</v>
      </c>
      <c r="C3" s="2" t="str">
        <f>Hoja2!B3</f>
        <v> CRUPR-810326</v>
      </c>
      <c r="D3" s="2" t="str">
        <f>Hoja2!C3</f>
        <v> PEREZ Y PEREZ, MARIA ANA</v>
      </c>
      <c r="E3" s="2" t="str">
        <f>Hoja2!D3</f>
        <v> CANTON CHUILAJU</v>
      </c>
      <c r="F3" s="8" t="e">
        <f>Hoja2!#REF!</f>
        <v>#REF!</v>
      </c>
      <c r="G3" s="12"/>
      <c r="K3" s="2" t="s">
        <v>70</v>
      </c>
    </row>
    <row r="4" spans="1:16" s="2" customFormat="1" ht="26.4" customHeight="1" x14ac:dyDescent="0.3">
      <c r="A4" s="2">
        <v>3</v>
      </c>
      <c r="B4" s="2" t="e">
        <f>Hoja2!#REF!</f>
        <v>#REF!</v>
      </c>
      <c r="C4" s="2" t="str">
        <f>Hoja2!B4</f>
        <v> VUNDR-1310426</v>
      </c>
      <c r="D4" s="2" t="str">
        <f>Hoja2!C4</f>
        <v> DESARROLLOS DE SUR-OCCIDENTE S.A.</v>
      </c>
      <c r="E4" s="2" t="str">
        <f>Hoja2!D4</f>
        <v> LOTE E24 SECTOR 1 CIUDAD VERDE CHICHIGUITAN</v>
      </c>
      <c r="F4" s="8" t="e">
        <f>Hoja2!#REF!</f>
        <v>#REF!</v>
      </c>
    </row>
    <row r="5" spans="1:16" s="2" customFormat="1" ht="26.4" customHeight="1" x14ac:dyDescent="0.3">
      <c r="A5" s="2">
        <v>4</v>
      </c>
      <c r="B5" s="2" t="e">
        <f>Hoja2!#REF!</f>
        <v>#REF!</v>
      </c>
      <c r="C5" s="2" t="str">
        <f>Hoja2!B5</f>
        <v> VUNC1-1430526</v>
      </c>
      <c r="D5" s="2" t="str">
        <f>Hoja2!C5</f>
        <v> CHO SAC, AROLDO RUBEN</v>
      </c>
      <c r="E5" s="2" t="str">
        <f>Hoja2!D5</f>
        <v> ZONA 1 DIAGONAL 11 26-15</v>
      </c>
      <c r="F5" s="8" t="e">
        <f>Hoja2!#REF!</f>
        <v>#REF!</v>
      </c>
    </row>
    <row r="6" spans="1:16" s="2" customFormat="1" ht="26.4" customHeight="1" x14ac:dyDescent="0.3">
      <c r="A6" s="2">
        <v>5</v>
      </c>
      <c r="B6" s="2" t="e">
        <f>Hoja2!#REF!</f>
        <v>#REF!</v>
      </c>
      <c r="C6" s="2" t="str">
        <f>Hoja2!B6</f>
        <v> VUNDR-1370426</v>
      </c>
      <c r="D6" s="2" t="str">
        <f>Hoja2!C6</f>
        <v> DESARROLLOS DE SUR-OCCIDENTE S.A.</v>
      </c>
      <c r="E6" s="2" t="str">
        <f>Hoja2!D6</f>
        <v> LOTE E17 SECTOR 1 CIUDAD VERDE CHICHIGUITAN</v>
      </c>
      <c r="F6" s="8" t="e">
        <f>Hoja2!#REF!</f>
        <v>#REF!</v>
      </c>
    </row>
    <row r="7" spans="1:16" s="2" customFormat="1" ht="26.4" customHeight="1" x14ac:dyDescent="0.3">
      <c r="A7" s="2">
        <v>6</v>
      </c>
      <c r="B7" s="2" t="e">
        <f>Hoja2!#REF!</f>
        <v>#REF!</v>
      </c>
      <c r="C7" s="2" t="str">
        <f>Hoja2!B7</f>
        <v> VUNDR-1360426</v>
      </c>
      <c r="D7" s="2" t="str">
        <f>Hoja2!C7</f>
        <v> DESARROLLOS DE SUR-OCCIDENTE S.A.</v>
      </c>
      <c r="E7" s="2" t="str">
        <f>Hoja2!D7</f>
        <v> LOTE E29 SECTOR 1 CIUDAD VERDE CHICHIGUITAN</v>
      </c>
      <c r="F7" s="8" t="e">
        <f>Hoja2!#REF!</f>
        <v>#REF!</v>
      </c>
    </row>
    <row r="8" spans="1:16" s="2" customFormat="1" ht="26.4" customHeight="1" x14ac:dyDescent="0.3">
      <c r="A8" s="2">
        <v>7</v>
      </c>
      <c r="B8" s="2" t="e">
        <f>Hoja2!#REF!</f>
        <v>#REF!</v>
      </c>
      <c r="C8" s="2" t="str">
        <f>Hoja2!B8</f>
        <v> VUNDR-1350426</v>
      </c>
      <c r="D8" s="2" t="str">
        <f>Hoja2!C8</f>
        <v> DESARROLLOS DE SUR-OCCIDENTE S.A.</v>
      </c>
      <c r="E8" s="2" t="str">
        <f>Hoja2!D8</f>
        <v> LOTE E28 SECTOR 1 CIUDAD VERDE CHICHIGUITAN</v>
      </c>
      <c r="F8" s="8" t="e">
        <f>Hoja2!#REF!</f>
        <v>#REF!</v>
      </c>
    </row>
    <row r="9" spans="1:16" ht="43.2" x14ac:dyDescent="0.3">
      <c r="A9" s="2">
        <v>8</v>
      </c>
      <c r="B9" s="2" t="e">
        <f>Hoja2!#REF!</f>
        <v>#REF!</v>
      </c>
      <c r="C9" s="2" t="str">
        <f>Hoja2!B9</f>
        <v> VUNDR-1340426</v>
      </c>
      <c r="D9" s="2" t="str">
        <f>Hoja2!C9</f>
        <v> DESARROLLOS DE SUR-OCCIDENTE S.A.</v>
      </c>
      <c r="E9" s="2" t="str">
        <f>Hoja2!D9</f>
        <v> LOTE E27 SECTOR 1 CIUDAD VERDE CHICHIGUITAN</v>
      </c>
      <c r="F9" s="8" t="e">
        <f>Hoja2!#REF!</f>
        <v>#REF!</v>
      </c>
    </row>
    <row r="10" spans="1:16" ht="43.2" x14ac:dyDescent="0.3">
      <c r="A10" s="2">
        <v>9</v>
      </c>
      <c r="B10" s="2" t="e">
        <f>Hoja2!#REF!</f>
        <v>#REF!</v>
      </c>
      <c r="C10" s="2" t="str">
        <f>Hoja2!B10</f>
        <v> VUNDR-1330426</v>
      </c>
      <c r="D10" s="2" t="str">
        <f>Hoja2!C10</f>
        <v> DESARROLLOS DE SUR-OCCIDENTE S.A.</v>
      </c>
      <c r="E10" s="2" t="str">
        <f>Hoja2!D10</f>
        <v> LOTE E26 SECTOR 1 CIUDAD VERDE CHICHIGUITAN</v>
      </c>
      <c r="F10" s="8" t="e">
        <f>Hoja2!#REF!</f>
        <v>#REF!</v>
      </c>
    </row>
    <row r="11" spans="1:16" ht="43.2" x14ac:dyDescent="0.3">
      <c r="A11" s="2">
        <v>10</v>
      </c>
      <c r="B11" s="2" t="e">
        <f>Hoja2!#REF!</f>
        <v>#REF!</v>
      </c>
      <c r="C11" s="2" t="str">
        <f>Hoja2!B11</f>
        <v> VUNDR-1320426</v>
      </c>
      <c r="D11" s="2" t="str">
        <f>Hoja2!C11</f>
        <v> DESARROLLOS DE SUR-OCCIDENTE S.A.</v>
      </c>
      <c r="E11" s="2" t="str">
        <f>Hoja2!D11</f>
        <v> LOTE E25 SECTOR 1 CIUDAD VERDE CHICHIGUITAN</v>
      </c>
      <c r="F11" s="8" t="e">
        <f>Hoja2!#REF!</f>
        <v>#REF!</v>
      </c>
    </row>
    <row r="12" spans="1:16" ht="28.8" x14ac:dyDescent="0.3">
      <c r="A12" s="2">
        <v>11</v>
      </c>
      <c r="B12" s="2" t="e">
        <f>Hoja2!#REF!</f>
        <v>#REF!</v>
      </c>
      <c r="C12" s="2" t="str">
        <f>Hoja2!B12</f>
        <v> RPNA12-4430526</v>
      </c>
      <c r="D12" s="2" t="str">
        <f>Hoja2!C12</f>
        <v> Ajsivinac Soberanis, Hilda María</v>
      </c>
      <c r="E12" s="2" t="str">
        <f>Hoja2!D12</f>
        <v> 6ta calle 12-158, sector 2</v>
      </c>
      <c r="F12" s="8" t="e">
        <f>Hoja2!#REF!</f>
        <v>#REF!</v>
      </c>
    </row>
    <row r="13" spans="1:16" ht="28.8" x14ac:dyDescent="0.3">
      <c r="A13" s="2">
        <v>12</v>
      </c>
      <c r="B13" s="2" t="e">
        <f>Hoja2!#REF!</f>
        <v>#REF!</v>
      </c>
      <c r="C13" s="2" t="str">
        <f>Hoja2!B13</f>
        <v> RPNO10-3850426</v>
      </c>
      <c r="D13" s="2" t="str">
        <f>Hoja2!C13</f>
        <v> ORDOÑEZ VASQUEZ, DIEGO</v>
      </c>
      <c r="E13" s="2" t="str">
        <f>Hoja2!D13</f>
        <v> 5 AVENIDA 4-33, INTERIOR</v>
      </c>
      <c r="F13" s="8" t="e">
        <f>Hoja2!#REF!</f>
        <v>#REF!</v>
      </c>
    </row>
    <row r="14" spans="1:16" x14ac:dyDescent="0.3">
      <c r="A14" s="2">
        <v>13</v>
      </c>
      <c r="B14" s="2" t="e">
        <f>Hoja2!#REF!</f>
        <v>#REF!</v>
      </c>
      <c r="C14" s="2" t="str">
        <f>Hoja2!B14</f>
        <v> R-05-0055-2026</v>
      </c>
      <c r="D14" s="2" t="str">
        <f>Hoja2!C14</f>
        <v> HERNANDEZ VÁSQUEZ, NAINSO GUAYMER</v>
      </c>
      <c r="E14" s="2" t="str">
        <f>Hoja2!D14</f>
        <v> DIAGONAL 2, 7-68</v>
      </c>
      <c r="F14" s="8" t="e">
        <f>Hoja2!#REF!</f>
        <v>#REF!</v>
      </c>
    </row>
    <row r="15" spans="1:16" ht="28.8" x14ac:dyDescent="0.3">
      <c r="A15" s="2">
        <v>14</v>
      </c>
      <c r="B15" s="2" t="e">
        <f>Hoja2!#REF!</f>
        <v>#REF!</v>
      </c>
      <c r="C15" s="2" t="str">
        <f>Hoja2!B15</f>
        <v> RPNC1-4500526</v>
      </c>
      <c r="D15" s="2" t="str">
        <f>Hoja2!C15</f>
        <v> CHOJOLAN MACHIC, MARIA YOHANA Y CHOJOLAN MACHIC NICOLASA VERONICA</v>
      </c>
      <c r="E15" s="2" t="str">
        <f>Hoja2!D15</f>
        <v> 5 AVENIDA 11-46C INTERIOR</v>
      </c>
      <c r="F15" s="8" t="e">
        <f>Hoja2!#REF!</f>
        <v>#REF!</v>
      </c>
    </row>
    <row r="16" spans="1:16" ht="28.8" x14ac:dyDescent="0.3">
      <c r="A16" s="2">
        <v>15</v>
      </c>
      <c r="B16" s="2" t="e">
        <f>Hoja2!#REF!</f>
        <v>#REF!</v>
      </c>
      <c r="C16" s="2" t="str">
        <f>Hoja2!B16</f>
        <v> RPNM12-4520526</v>
      </c>
      <c r="D16" s="2" t="str">
        <f>Hoja2!C16</f>
        <v> MORALES ROMERO, JUAN</v>
      </c>
      <c r="E16" s="2" t="str">
        <f>Hoja2!D16</f>
        <v> 9 CALLE LOTE #250 MANZANA "K"</v>
      </c>
      <c r="F16" s="8" t="e">
        <f>Hoja2!#REF!</f>
        <v>#REF!</v>
      </c>
    </row>
    <row r="17" spans="1:6" ht="28.8" x14ac:dyDescent="0.3">
      <c r="A17" s="2">
        <v>16</v>
      </c>
      <c r="B17" s="2" t="e">
        <f>Hoja2!#REF!</f>
        <v>#REF!</v>
      </c>
      <c r="C17" s="2" t="str">
        <f>Hoja2!B17</f>
        <v> R-03-0023-2026</v>
      </c>
      <c r="D17" s="2" t="str">
        <f>Hoja2!C17</f>
        <v> LAM, LUZ MARIA DEL ROSARIO MIGUEZ AGUILAR DE</v>
      </c>
      <c r="E17" s="2" t="str">
        <f>Hoja2!D17</f>
        <v> 5 CALLE 14-14</v>
      </c>
      <c r="F17" s="8" t="e">
        <f>Hoja2!#REF!</f>
        <v>#REF!</v>
      </c>
    </row>
    <row r="18" spans="1:6" ht="43.2" x14ac:dyDescent="0.3">
      <c r="A18" s="2">
        <v>17</v>
      </c>
      <c r="B18" s="2" t="e">
        <f>Hoja2!#REF!</f>
        <v>#REF!</v>
      </c>
      <c r="C18" s="2" t="str">
        <f>Hoja2!B18</f>
        <v> RPND10-4610526</v>
      </c>
      <c r="D18" s="2" t="str">
        <f>Hoja2!C18</f>
        <v> DEL VALLE RIVAS, MIGUEL ANTONIO</v>
      </c>
      <c r="E18" s="2" t="str">
        <f>Hoja2!D18</f>
        <v> LOTE 14, MANZANA 1, CONDOMINIO B4, PACAJA ALTO.</v>
      </c>
      <c r="F18" s="8" t="e">
        <f>Hoja2!#REF!</f>
        <v>#REF!</v>
      </c>
    </row>
    <row r="19" spans="1:6" ht="28.8" x14ac:dyDescent="0.3">
      <c r="A19" s="2">
        <v>18</v>
      </c>
      <c r="B19" s="2" t="e">
        <f>Hoja2!#REF!</f>
        <v>#REF!</v>
      </c>
      <c r="C19" s="2" t="str">
        <f>Hoja2!B19</f>
        <v> VUNV1-1400426</v>
      </c>
      <c r="D19" s="2" t="str">
        <f>Hoja2!C19</f>
        <v> VASQUEZ, CARLOS ROLANDO</v>
      </c>
      <c r="E19" s="2" t="str">
        <f>Hoja2!D19</f>
        <v> 27 AVENIDA 4-30C INTERIOR</v>
      </c>
      <c r="F19" s="8" t="e">
        <f>Hoja2!#REF!</f>
        <v>#REF!</v>
      </c>
    </row>
    <row r="20" spans="1:6" ht="43.2" x14ac:dyDescent="0.3">
      <c r="A20" s="2">
        <v>19</v>
      </c>
      <c r="B20" s="2" t="e">
        <f>Hoja2!#REF!</f>
        <v>#REF!</v>
      </c>
      <c r="C20" s="2" t="str">
        <f>Hoja2!B20</f>
        <v> CRUOR-870426</v>
      </c>
      <c r="D20" s="2" t="str">
        <f>Hoja2!C20</f>
        <v> OROZCO LOPEZ, BRAULIO RENE</v>
      </c>
      <c r="E20" s="2" t="str">
        <f>Hoja2!D20</f>
        <v> CANTON CHUICAVIOC, SECTOR 4</v>
      </c>
      <c r="F20" s="8" t="e">
        <f>Hoja2!#REF!</f>
        <v>#REF!</v>
      </c>
    </row>
    <row r="21" spans="1:6" ht="43.2" x14ac:dyDescent="0.3">
      <c r="A21" s="2">
        <v>20</v>
      </c>
      <c r="B21" s="2" t="e">
        <f>Hoja2!#REF!</f>
        <v>#REF!</v>
      </c>
      <c r="C21" s="2" t="str">
        <f>Hoja2!B21</f>
        <v> R-10-0088-2026</v>
      </c>
      <c r="D21" s="2" t="str">
        <f>Hoja2!C21</f>
        <v> DEL VALLE RIVAS, MIGUEL ANTONIO</v>
      </c>
      <c r="E21" s="2" t="str">
        <f>Hoja2!D21</f>
        <v> LOTE 14, MANZANA 1, CONDOMINIO B4, PACAJA ALTO.</v>
      </c>
      <c r="F21" s="8" t="e">
        <f>Hoja2!#REF!</f>
        <v>#REF!</v>
      </c>
    </row>
    <row r="22" spans="1:6" x14ac:dyDescent="0.3">
      <c r="A22" s="2">
        <v>21</v>
      </c>
      <c r="B22" s="2" t="e">
        <f>Hoja2!#REF!</f>
        <v>#REF!</v>
      </c>
      <c r="C22" s="2">
        <f>Hoja2!B22</f>
        <v>0</v>
      </c>
      <c r="D22" s="2">
        <f>Hoja2!C22</f>
        <v>0</v>
      </c>
      <c r="E22" s="2">
        <f>Hoja2!D22</f>
        <v>0</v>
      </c>
      <c r="F22" s="2"/>
    </row>
    <row r="23" spans="1:6" x14ac:dyDescent="0.3">
      <c r="A23" s="2">
        <v>22</v>
      </c>
      <c r="B23" s="2" t="e">
        <f>Hoja2!#REF!</f>
        <v>#REF!</v>
      </c>
      <c r="C23" s="2">
        <f>Hoja2!B23</f>
        <v>0</v>
      </c>
      <c r="D23" s="2">
        <f>Hoja2!C23</f>
        <v>0</v>
      </c>
      <c r="E23" s="2">
        <f>Hoja2!D23</f>
        <v>0</v>
      </c>
      <c r="F23" s="2"/>
    </row>
    <row r="24" spans="1:6" x14ac:dyDescent="0.3">
      <c r="A24" s="2">
        <v>23</v>
      </c>
      <c r="B24" s="2" t="e">
        <f>Hoja2!#REF!</f>
        <v>#REF!</v>
      </c>
      <c r="C24" s="2">
        <f>Hoja2!B24</f>
        <v>0</v>
      </c>
      <c r="D24" s="2">
        <f>Hoja2!C24</f>
        <v>0</v>
      </c>
      <c r="E24" s="2">
        <f>Hoja2!D24</f>
        <v>0</v>
      </c>
      <c r="F24" s="2"/>
    </row>
    <row r="25" spans="1:6" x14ac:dyDescent="0.3">
      <c r="A25" s="2">
        <v>24</v>
      </c>
      <c r="B25" s="2" t="e">
        <f>Hoja2!#REF!</f>
        <v>#REF!</v>
      </c>
      <c r="C25" s="2">
        <f>Hoja2!B25</f>
        <v>0</v>
      </c>
      <c r="D25" s="2">
        <f>Hoja2!C25</f>
        <v>0</v>
      </c>
      <c r="E25" s="2">
        <f>Hoja2!D25</f>
        <v>0</v>
      </c>
      <c r="F25" s="2"/>
    </row>
    <row r="26" spans="1:6" x14ac:dyDescent="0.3">
      <c r="A26" s="2">
        <v>25</v>
      </c>
      <c r="B26" s="2" t="e">
        <f>Hoja2!#REF!</f>
        <v>#REF!</v>
      </c>
      <c r="C26" s="2">
        <f>Hoja2!B26</f>
        <v>0</v>
      </c>
      <c r="D26" s="2">
        <f>Hoja2!C26</f>
        <v>0</v>
      </c>
      <c r="E26" s="2">
        <f>Hoja2!D26</f>
        <v>0</v>
      </c>
      <c r="F26" s="2" t="e">
        <f>Hoja2!#REF!</f>
        <v>#REF!</v>
      </c>
    </row>
    <row r="27" spans="1:6" x14ac:dyDescent="0.3">
      <c r="A27" s="2">
        <v>26</v>
      </c>
      <c r="B27" s="2" t="e">
        <f>Hoja2!#REF!</f>
        <v>#REF!</v>
      </c>
      <c r="C27" s="2">
        <f>Hoja2!B27</f>
        <v>0</v>
      </c>
      <c r="D27" s="2">
        <f>Hoja2!C27</f>
        <v>0</v>
      </c>
      <c r="E27" s="2">
        <f>Hoja2!D27</f>
        <v>0</v>
      </c>
      <c r="F27" s="2" t="e">
        <f>Hoja2!#REF!</f>
        <v>#REF!</v>
      </c>
    </row>
    <row r="28" spans="1:6" x14ac:dyDescent="0.3">
      <c r="A28" s="2">
        <v>27</v>
      </c>
      <c r="B28" s="2" t="e">
        <f>Hoja2!#REF!</f>
        <v>#REF!</v>
      </c>
      <c r="C28" s="2">
        <f>Hoja2!B28</f>
        <v>0</v>
      </c>
      <c r="D28" s="2">
        <f>Hoja2!C28</f>
        <v>0</v>
      </c>
      <c r="E28" s="2">
        <f>Hoja2!D28</f>
        <v>0</v>
      </c>
      <c r="F28" s="2" t="e">
        <f>Hoja2!#REF!</f>
        <v>#REF!</v>
      </c>
    </row>
    <row r="29" spans="1:6" x14ac:dyDescent="0.3">
      <c r="A29" s="2">
        <v>28</v>
      </c>
      <c r="B29" s="2" t="e">
        <f>Hoja2!#REF!</f>
        <v>#REF!</v>
      </c>
      <c r="C29" s="2">
        <f>Hoja2!B29</f>
        <v>0</v>
      </c>
      <c r="D29" s="2">
        <f>Hoja2!C29</f>
        <v>0</v>
      </c>
      <c r="E29" s="2">
        <f>Hoja2!D29</f>
        <v>0</v>
      </c>
      <c r="F29" s="2" t="e">
        <f>Hoja2!#REF!</f>
        <v>#REF!</v>
      </c>
    </row>
    <row r="30" spans="1:6" x14ac:dyDescent="0.3">
      <c r="A30" s="2">
        <v>29</v>
      </c>
      <c r="B30" s="2" t="e">
        <f>Hoja2!#REF!</f>
        <v>#REF!</v>
      </c>
      <c r="C30" s="2">
        <f>Hoja2!B30</f>
        <v>0</v>
      </c>
      <c r="D30" s="2">
        <f>Hoja2!C30</f>
        <v>0</v>
      </c>
      <c r="E30" s="2">
        <f>Hoja2!D30</f>
        <v>0</v>
      </c>
      <c r="F30" s="2" t="e">
        <f>Hoja2!#REF!</f>
        <v>#REF!</v>
      </c>
    </row>
    <row r="31" spans="1:6" x14ac:dyDescent="0.3">
      <c r="A31" s="2">
        <v>30</v>
      </c>
      <c r="B31" s="2" t="e">
        <f>Hoja2!#REF!</f>
        <v>#REF!</v>
      </c>
      <c r="C31" s="2">
        <f>Hoja2!B31</f>
        <v>0</v>
      </c>
      <c r="D31" s="2">
        <f>Hoja2!C31</f>
        <v>0</v>
      </c>
      <c r="E31" s="2">
        <f>Hoja2!D31</f>
        <v>0</v>
      </c>
      <c r="F31" s="2" t="e">
        <f>Hoja2!#REF!</f>
        <v>#REF!</v>
      </c>
    </row>
  </sheetData>
  <phoneticPr fontId="3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2BEF-2CBF-490E-AA61-89966922B65A}">
  <sheetPr codeName="Hoja4"/>
  <dimension ref="B3:B11"/>
  <sheetViews>
    <sheetView workbookViewId="0">
      <selection activeCell="B3" sqref="B3:B11"/>
    </sheetView>
  </sheetViews>
  <sheetFormatPr baseColWidth="10" defaultRowHeight="14.4" x14ac:dyDescent="0.3"/>
  <cols>
    <col min="2" max="2" width="40.33203125" customWidth="1"/>
  </cols>
  <sheetData>
    <row r="3" spans="2:2" x14ac:dyDescent="0.3">
      <c r="B3" t="s">
        <v>74</v>
      </c>
    </row>
    <row r="4" spans="2:2" x14ac:dyDescent="0.3">
      <c r="B4" t="s">
        <v>73</v>
      </c>
    </row>
    <row r="5" spans="2:2" x14ac:dyDescent="0.3">
      <c r="B5" t="s">
        <v>75</v>
      </c>
    </row>
    <row r="6" spans="2:2" x14ac:dyDescent="0.3">
      <c r="B6" t="s">
        <v>76</v>
      </c>
    </row>
    <row r="7" spans="2:2" x14ac:dyDescent="0.3">
      <c r="B7" t="s">
        <v>77</v>
      </c>
    </row>
    <row r="8" spans="2:2" x14ac:dyDescent="0.3">
      <c r="B8" t="s">
        <v>78</v>
      </c>
    </row>
    <row r="9" spans="2:2" x14ac:dyDescent="0.3">
      <c r="B9" t="s">
        <v>79</v>
      </c>
    </row>
    <row r="10" spans="2:2" x14ac:dyDescent="0.3">
      <c r="B10" t="s">
        <v>80</v>
      </c>
    </row>
    <row r="11" spans="2:2" x14ac:dyDescent="0.3">
      <c r="B11" t="s">
        <v>81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</vt:lpstr>
      <vt:lpstr>Hoja3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2026-05-16T03:15:08Z</dcterms:created>
  <dcterms:modified xsi:type="dcterms:W3CDTF">2026-07-16T11:07:09Z</dcterms:modified>
</cp:coreProperties>
</file>