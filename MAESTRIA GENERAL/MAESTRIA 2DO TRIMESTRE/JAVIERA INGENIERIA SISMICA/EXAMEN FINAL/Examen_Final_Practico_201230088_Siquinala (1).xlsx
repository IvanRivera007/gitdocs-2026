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Portada" sheetId="1" state="visible" r:id="rId1"/>
    <sheet xmlns:r="http://schemas.openxmlformats.org/officeDocument/2006/relationships" name="01_Datos_NSE2" sheetId="2" state="visible" r:id="rId2"/>
    <sheet xmlns:r="http://schemas.openxmlformats.org/officeDocument/2006/relationships" name="02_Espectro_Normativo" sheetId="3" state="visible" r:id="rId3"/>
    <sheet xmlns:r="http://schemas.openxmlformats.org/officeDocument/2006/relationships" name="03_Verificacion_Kd" sheetId="4" state="visible" r:id="rId4"/>
    <sheet xmlns:r="http://schemas.openxmlformats.org/officeDocument/2006/relationships" name="04_Prob2_Florida" sheetId="5" state="visible" r:id="rId5"/>
    <sheet xmlns:r="http://schemas.openxmlformats.org/officeDocument/2006/relationships" name="05_MPRS_USGS" sheetId="6" state="visible" r:id="rId6"/>
    <sheet xmlns:r="http://schemas.openxmlformats.org/officeDocument/2006/relationships" name="06_Fuentes_Nota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000"/>
    <numFmt numFmtId="166" formatCode="0.0%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name val="Calibri"/>
      <family val="2"/>
      <color theme="10"/>
      <sz val="12"/>
      <scheme val="minor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3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16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0" fontId="2" fillId="5" borderId="1" applyAlignment="1" pivotButton="0" quotePrefix="0" xfId="0">
      <alignment vertical="top"/>
    </xf>
    <xf numFmtId="0" fontId="0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5" fontId="0" fillId="5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  <xf numFmtId="0" fontId="2" fillId="5" borderId="0" applyAlignment="1" pivotButton="0" quotePrefix="0" xfId="0">
      <alignment vertical="top"/>
    </xf>
    <xf numFmtId="0" fontId="0" fillId="5" borderId="0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3" fillId="0" borderId="0" applyAlignment="1" pivotButton="0" quotePrefix="0" xfId="1">
      <alignment vertical="top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Espectro normativo AGIES NSE 2-2024</a:t>
            </a:r>
          </a:p>
        </rich>
      </tx>
    </title>
    <plotArea>
      <lineChart>
        <grouping val="standard"/>
        <ser>
          <idx val="0"/>
          <order val="0"/>
          <tx>
            <strRef>
              <f>'02_Espectro_Normativo'!B13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'02_Espectro_Normativo'!$A$14:$A$35</f>
            </numRef>
          </cat>
          <val>
            <numRef>
              <f>'02_Espectro_Normativo'!$B$14:$B$35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 (g)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Florida — 2PRS y MPRS provisional</a:t>
            </a:r>
          </a:p>
        </rich>
      </tx>
    </title>
    <plotArea>
      <lineChart>
        <grouping val="standard"/>
        <ser>
          <idx val="0"/>
          <order val="0"/>
          <tx>
            <strRef>
              <f>'04_Prob2_Florida'!B22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'04_Prob2_Florida'!$A$23:$A$44</f>
            </numRef>
          </cat>
          <val>
            <numRef>
              <f>'04_Prob2_Florida'!$B$23:$B$44</f>
            </numRef>
          </val>
        </ser>
        <ser>
          <idx val="1"/>
          <order val="1"/>
          <tx>
            <strRef>
              <f>'04_Prob2_Florida'!C22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'04_Prob2_Florida'!$A$23:$A$44</f>
            </numRef>
          </cat>
          <val>
            <numRef>
              <f>'04_Prob2_Florida'!$C$23:$C$44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1.png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3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21</row>
      <rowOff>0</rowOff>
    </from>
    <ext cx="15430500" cy="92583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3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21</row>
      <rowOff>0</rowOff>
    </from>
    <ext cx="15430500" cy="92583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earthquake.usgs.gov/ws/building-codes/asce7-22" TargetMode="External" Id="rId1"/><Relationship Type="http://schemas.openxmlformats.org/officeDocument/2006/relationships/hyperlink" Target="https://www.usgs.gov/programs/earthquake-hazards/design-ground-motions-portal" TargetMode="External" Id="rId2"/><Relationship Type="http://schemas.openxmlformats.org/officeDocument/2006/relationships/hyperlink" Target="https://www.asce.org/communities/institutes-and-technical-groups/structural-engineering-institute/news/asce-7-22-ground-motions---a-rational-approach-for-structural-engineers/" TargetMode="External" Id="rId3"/><Relationship Type="http://schemas.openxmlformats.org/officeDocument/2006/relationships/hyperlink" Target="https://cityofpensacola.com/DocumentCenter/View/27308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05" customWidth="1" min="2" max="2"/>
  </cols>
  <sheetData>
    <row r="1">
      <c r="A1" s="1" t="inlineStr">
        <is>
          <t>EXAMEN FINAL PRÁCTICO — INGENIERÍA SÍSMICA</t>
        </is>
      </c>
    </row>
    <row r="2"/>
    <row r="3"/>
    <row r="4">
      <c r="A4" s="2" t="inlineStr">
        <is>
          <t>Estudiante</t>
        </is>
      </c>
      <c r="B4" s="3" t="inlineStr">
        <is>
          <t>Marlon Iván Carreto Rivera</t>
        </is>
      </c>
    </row>
    <row r="5">
      <c r="A5" s="2" t="inlineStr">
        <is>
          <t>Registro</t>
        </is>
      </c>
      <c r="B5" s="3" t="inlineStr">
        <is>
          <t>201230088</t>
        </is>
      </c>
    </row>
    <row r="6">
      <c r="A6" s="2" t="inlineStr">
        <is>
          <t>Fila asignada</t>
        </is>
      </c>
      <c r="B6" s="3" t="inlineStr">
        <is>
          <t>9</t>
        </is>
      </c>
    </row>
    <row r="7">
      <c r="A7" s="2" t="inlineStr">
        <is>
          <t>Tipo de suelo</t>
        </is>
      </c>
      <c r="B7" s="3" t="inlineStr">
        <is>
          <t>D</t>
        </is>
      </c>
    </row>
    <row r="8">
      <c r="A8" s="2" t="inlineStr">
        <is>
          <t>Problema 1</t>
        </is>
      </c>
      <c r="B8" s="3" t="inlineStr">
        <is>
          <t>Siquinalá, Escuintla, Guatemala</t>
        </is>
      </c>
    </row>
    <row r="9">
      <c r="A9" s="2" t="inlineStr">
        <is>
          <t>Problema 2</t>
        </is>
      </c>
      <c r="B9" s="3" t="inlineStr">
        <is>
          <t>Florida, USA</t>
        </is>
      </c>
    </row>
    <row r="10"/>
    <row r="11"/>
    <row r="12">
      <c r="A12" s="2" t="inlineStr">
        <is>
          <t>Estado de la solución</t>
        </is>
      </c>
    </row>
    <row r="13">
      <c r="A13" s="3" t="inlineStr">
        <is>
          <t>Problema 1</t>
        </is>
      </c>
      <c r="B13" s="4" t="inlineStr">
        <is>
          <t>COMPLETO — espectro AGIES NSE 2-2024 para Siquinalá, suelo D.</t>
        </is>
      </c>
    </row>
    <row r="14">
      <c r="A14" s="3" t="inlineStr">
        <is>
          <t>Problema 2</t>
        </is>
      </c>
      <c r="B14" s="5" t="inlineStr">
        <is>
          <t>PROVISIONAL — 'Florida, USA' no define una ubicación única; se usa Pensacola como sitio representativo y se deja el MPRS editable.</t>
        </is>
      </c>
    </row>
    <row r="15"/>
    <row r="16" ht="48" customHeight="1">
      <c r="A16" s="3" t="inlineStr">
        <is>
          <t>Nota importante</t>
        </is>
      </c>
      <c r="B16" s="6" t="inlineStr">
        <is>
          <t>No se han inventado datos para una ubicación exacta de Florida. Si el docente indicó una ciudad/coordenadas específicas, sustitúyelas en la hoja 04_MPRS_USGS.</t>
        </is>
      </c>
    </row>
  </sheetData>
  <mergeCells count="1">
    <mergeCell ref="A1:H2"/>
  </mergeCells>
  <pageMargins left="0.25" right="0.25" top="0.4" bottom="0.4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24" customWidth="1" min="4" max="4"/>
    <col width="18" customWidth="1" min="5" max="5"/>
    <col width="36" customWidth="1" min="6" max="6"/>
  </cols>
  <sheetData>
    <row r="1">
      <c r="A1" s="1" t="inlineStr">
        <is>
          <t>DATOS DE AMENAZA — AGIES NSE 2-2024</t>
        </is>
      </c>
    </row>
    <row r="2"/>
    <row r="3"/>
    <row r="4">
      <c r="A4" s="2" t="inlineStr">
        <is>
          <t>Parámetro</t>
        </is>
      </c>
      <c r="B4" s="2" t="inlineStr">
        <is>
          <t>Valor</t>
        </is>
      </c>
      <c r="C4" s="2" t="inlineStr">
        <is>
          <t>Unidad</t>
        </is>
      </c>
      <c r="D4" s="2" t="inlineStr">
        <is>
          <t>Fuente</t>
        </is>
      </c>
      <c r="E4" s="2" t="inlineStr">
        <is>
          <t>Uso</t>
        </is>
      </c>
      <c r="F4" s="2" t="inlineStr">
        <is>
          <t>Observación</t>
        </is>
      </c>
    </row>
    <row r="5">
      <c r="A5" s="3" t="inlineStr">
        <is>
          <t>Municipio</t>
        </is>
      </c>
      <c r="B5" s="3" t="inlineStr">
        <is>
          <t>Siquinalá</t>
        </is>
      </c>
      <c r="C5" s="3" t="inlineStr"/>
      <c r="D5" s="3" t="inlineStr">
        <is>
          <t>NSE 2-2024 Anexo A</t>
        </is>
      </c>
      <c r="E5" s="3" t="inlineStr">
        <is>
          <t>Problema 1</t>
        </is>
      </c>
      <c r="F5" s="3" t="inlineStr">
        <is>
          <t>Fila asignada</t>
        </is>
      </c>
    </row>
    <row r="6">
      <c r="A6" s="3" t="inlineStr">
        <is>
          <t>Departamento</t>
        </is>
      </c>
      <c r="B6" s="3" t="inlineStr">
        <is>
          <t>Escuintla</t>
        </is>
      </c>
      <c r="C6" s="3" t="inlineStr"/>
      <c r="D6" s="3" t="inlineStr">
        <is>
          <t>NSE 2-2024 Anexo A</t>
        </is>
      </c>
      <c r="E6" s="3" t="inlineStr">
        <is>
          <t>Problema 1</t>
        </is>
      </c>
      <c r="F6" s="3" t="inlineStr"/>
    </row>
    <row r="7">
      <c r="A7" s="3" t="inlineStr">
        <is>
          <t>Índice de sismicidad Io</t>
        </is>
      </c>
      <c r="B7" s="3" t="n">
        <v>4.2</v>
      </c>
      <c r="C7" s="3" t="inlineStr"/>
      <c r="D7" s="3" t="inlineStr">
        <is>
          <t>NSE 2-2024 Anexo A</t>
        </is>
      </c>
      <c r="E7" s="3" t="inlineStr">
        <is>
          <t>Problema 1</t>
        </is>
      </c>
      <c r="F7" s="3" t="inlineStr"/>
    </row>
    <row r="8">
      <c r="A8" s="3" t="inlineStr">
        <is>
          <t>Clase de suelo</t>
        </is>
      </c>
      <c r="B8" s="3" t="inlineStr">
        <is>
          <t>D</t>
        </is>
      </c>
      <c r="C8" s="3" t="inlineStr"/>
      <c r="D8" s="3" t="inlineStr">
        <is>
          <t>NSE 2-2024 Anexo A</t>
        </is>
      </c>
      <c r="E8" s="3" t="inlineStr">
        <is>
          <t>Problema 1</t>
        </is>
      </c>
      <c r="F8" s="3" t="inlineStr">
        <is>
          <t>Coincide con la fila</t>
        </is>
      </c>
    </row>
    <row r="9">
      <c r="A9" s="3" t="inlineStr">
        <is>
          <t>Scr</t>
        </is>
      </c>
      <c r="B9" s="3" t="n">
        <v>2.08</v>
      </c>
      <c r="C9" s="3" t="inlineStr">
        <is>
          <t>g</t>
        </is>
      </c>
      <c r="D9" s="3" t="inlineStr">
        <is>
          <t>NSE 2-2024 Anexo A</t>
        </is>
      </c>
      <c r="E9" s="3" t="inlineStr">
        <is>
          <t>Problema 1</t>
        </is>
      </c>
      <c r="F9" s="3" t="inlineStr">
        <is>
          <t>Suelo D</t>
        </is>
      </c>
    </row>
    <row r="10">
      <c r="A10" s="3" t="inlineStr">
        <is>
          <t>S1r</t>
        </is>
      </c>
      <c r="B10" s="3" t="n">
        <v>1.012</v>
      </c>
      <c r="C10" s="3" t="inlineStr">
        <is>
          <t>g</t>
        </is>
      </c>
      <c r="D10" s="3" t="inlineStr">
        <is>
          <t>NSE 2-2024 Anexo A</t>
        </is>
      </c>
      <c r="E10" s="3" t="inlineStr">
        <is>
          <t>Problema 1</t>
        </is>
      </c>
      <c r="F10" s="3" t="inlineStr">
        <is>
          <t>Suelo D</t>
        </is>
      </c>
    </row>
    <row r="11">
      <c r="A11" s="3" t="inlineStr">
        <is>
          <t>TL</t>
        </is>
      </c>
      <c r="B11" s="3" t="n">
        <v>3.88</v>
      </c>
      <c r="C11" s="3" t="inlineStr">
        <is>
          <t>s</t>
        </is>
      </c>
      <c r="D11" s="3" t="inlineStr">
        <is>
          <t>NSE 2-2024 Anexo A</t>
        </is>
      </c>
      <c r="E11" s="3" t="inlineStr">
        <is>
          <t>Problema 1</t>
        </is>
      </c>
      <c r="F11" s="3" t="inlineStr">
        <is>
          <t>Suelo D</t>
        </is>
      </c>
    </row>
    <row r="12">
      <c r="A12" s="3" t="inlineStr">
        <is>
          <t>Velocidad básica de viento</t>
        </is>
      </c>
      <c r="B12" s="3" t="n">
        <v>100</v>
      </c>
      <c r="C12" s="3" t="inlineStr">
        <is>
          <t>km/h</t>
        </is>
      </c>
      <c r="D12" s="3" t="inlineStr">
        <is>
          <t>NSE 2-2024 Anexo A</t>
        </is>
      </c>
      <c r="E12" s="3" t="inlineStr">
        <is>
          <t>Referencia</t>
        </is>
      </c>
      <c r="F12" s="3" t="inlineStr"/>
    </row>
    <row r="13">
      <c r="A13" s="3" t="inlineStr">
        <is>
          <t>Kd normativo adoptado</t>
        </is>
      </c>
      <c r="B13" s="3" t="n">
        <v>0.66</v>
      </c>
      <c r="C13" s="3" t="inlineStr"/>
      <c r="D13" s="3" t="inlineStr">
        <is>
          <t>NSE 2-2024 §4.5.3</t>
        </is>
      </c>
      <c r="E13" s="3" t="inlineStr">
        <is>
          <t>Problema 1</t>
        </is>
      </c>
      <c r="F13" s="3" t="inlineStr">
        <is>
          <t>Sismo ordinario</t>
        </is>
      </c>
    </row>
    <row r="14">
      <c r="A14" s="3" t="inlineStr">
        <is>
          <t>Scd</t>
        </is>
      </c>
      <c r="B14" s="3" t="n">
        <v>1.3728</v>
      </c>
      <c r="C14" s="3" t="inlineStr">
        <is>
          <t>g</t>
        </is>
      </c>
      <c r="D14" s="3" t="inlineStr">
        <is>
          <t>Eq. 4.5.3-1</t>
        </is>
      </c>
      <c r="E14" s="3" t="inlineStr">
        <is>
          <t>Problema 1</t>
        </is>
      </c>
      <c r="F14" s="3" t="inlineStr"/>
    </row>
    <row r="15">
      <c r="A15" s="3" t="inlineStr">
        <is>
          <t>S1d</t>
        </is>
      </c>
      <c r="B15" s="3" t="n">
        <v>0.6679200000000001</v>
      </c>
      <c r="C15" s="3" t="inlineStr">
        <is>
          <t>g</t>
        </is>
      </c>
      <c r="D15" s="3" t="inlineStr">
        <is>
          <t>Eq. 4.5.3-2</t>
        </is>
      </c>
      <c r="E15" s="3" t="inlineStr">
        <is>
          <t>Problema 1</t>
        </is>
      </c>
      <c r="F15" s="3" t="inlineStr"/>
    </row>
    <row r="16">
      <c r="A16" s="3" t="inlineStr">
        <is>
          <t>Ts</t>
        </is>
      </c>
      <c r="B16" s="3" t="n">
        <v>0.4865384615384616</v>
      </c>
      <c r="C16" s="3" t="inlineStr">
        <is>
          <t>s</t>
        </is>
      </c>
      <c r="D16" s="3" t="inlineStr">
        <is>
          <t>Eq. 4.5.2-1</t>
        </is>
      </c>
      <c r="E16" s="3" t="inlineStr">
        <is>
          <t>Problema 1</t>
        </is>
      </c>
      <c r="F16" s="3" t="inlineStr"/>
    </row>
    <row r="17">
      <c r="A17" s="3" t="inlineStr">
        <is>
          <t>T0</t>
        </is>
      </c>
      <c r="B17" s="3" t="n">
        <v>0.09730769230769232</v>
      </c>
      <c r="C17" s="3" t="inlineStr">
        <is>
          <t>s</t>
        </is>
      </c>
      <c r="D17" s="3" t="inlineStr">
        <is>
          <t>Eq. 4.5.2-2</t>
        </is>
      </c>
      <c r="E17" s="3" t="inlineStr">
        <is>
          <t>Problema 1</t>
        </is>
      </c>
      <c r="F17" s="3" t="inlineStr"/>
    </row>
    <row r="18">
      <c r="A18" s="3" t="inlineStr">
        <is>
          <t>AMSd</t>
        </is>
      </c>
      <c r="B18" s="3" t="n">
        <v>0.5491200000000001</v>
      </c>
      <c r="C18" s="3" t="inlineStr">
        <is>
          <t>g</t>
        </is>
      </c>
      <c r="D18" s="3" t="inlineStr">
        <is>
          <t>Eq. 4.5.6-1</t>
        </is>
      </c>
      <c r="E18" s="3" t="inlineStr">
        <is>
          <t>Problema 1</t>
        </is>
      </c>
      <c r="F18" s="3" t="inlineStr"/>
    </row>
    <row r="19">
      <c r="A19" s="3" t="inlineStr">
        <is>
          <t>Svd</t>
        </is>
      </c>
      <c r="B19" s="3" t="n">
        <v>0.27456</v>
      </c>
      <c r="C19" s="3" t="inlineStr">
        <is>
          <t>g</t>
        </is>
      </c>
      <c r="D19" s="3" t="inlineStr">
        <is>
          <t>Eq. 4.5.7-1</t>
        </is>
      </c>
      <c r="E19" s="3" t="inlineStr">
        <is>
          <t>Problema 1</t>
        </is>
      </c>
      <c r="F19" s="3" t="inlineStr"/>
    </row>
  </sheetData>
  <mergeCells count="1">
    <mergeCell ref="A1:F2"/>
  </mergeCells>
  <pageMargins left="0.25" right="0.25" top="0.4" bottom="0.4" header="0.5" footer="0.5"/>
  <pageSetup orientation="landscape" fitToWidth="1"/>
  <headerFooter>
    <oddHeader/>
    <oddFooter>&amp;C&amp;8 Examen Final Práctico — Registro 201230088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PROBLEMA 1 — ESPECTRO NORMATIVO AGIES NSE 2-2024</t>
        </is>
      </c>
    </row>
    <row r="2"/>
    <row r="3"/>
    <row r="4">
      <c r="A4" s="2" t="inlineStr">
        <is>
          <t>Parámetro</t>
        </is>
      </c>
      <c r="B4" s="2" t="inlineStr">
        <is>
          <t>Valor</t>
        </is>
      </c>
      <c r="C4" s="2" t="inlineStr">
        <is>
          <t>Unidad</t>
        </is>
      </c>
    </row>
    <row r="5">
      <c r="A5" s="3" t="inlineStr">
        <is>
          <t>Kd</t>
        </is>
      </c>
      <c r="B5" s="3" t="n">
        <v>0.66</v>
      </c>
      <c r="C5" s="3" t="inlineStr"/>
    </row>
    <row r="6">
      <c r="A6" s="3" t="inlineStr">
        <is>
          <t>Scd</t>
        </is>
      </c>
      <c r="B6" s="3" t="n">
        <v>1.3728</v>
      </c>
      <c r="C6" s="3" t="inlineStr">
        <is>
          <t>g</t>
        </is>
      </c>
    </row>
    <row r="7">
      <c r="A7" s="3" t="inlineStr">
        <is>
          <t>S1d</t>
        </is>
      </c>
      <c r="B7" s="3" t="n">
        <v>0.6679200000000001</v>
      </c>
      <c r="C7" s="3" t="inlineStr">
        <is>
          <t>g</t>
        </is>
      </c>
    </row>
    <row r="8">
      <c r="A8" s="3" t="inlineStr">
        <is>
          <t>Ts</t>
        </is>
      </c>
      <c r="B8" s="3" t="n">
        <v>0.4865384615384616</v>
      </c>
      <c r="C8" s="3" t="inlineStr">
        <is>
          <t>s</t>
        </is>
      </c>
    </row>
    <row r="9">
      <c r="A9" s="3" t="inlineStr">
        <is>
          <t>T0</t>
        </is>
      </c>
      <c r="B9" s="3" t="n">
        <v>0.09730769230769232</v>
      </c>
      <c r="C9" s="3" t="inlineStr">
        <is>
          <t>s</t>
        </is>
      </c>
    </row>
    <row r="10">
      <c r="A10" s="3" t="inlineStr">
        <is>
          <t>TL</t>
        </is>
      </c>
      <c r="B10" s="3" t="n">
        <v>3.88</v>
      </c>
      <c r="C10" s="3" t="inlineStr">
        <is>
          <t>s</t>
        </is>
      </c>
    </row>
    <row r="11"/>
    <row r="12"/>
    <row r="13">
      <c r="A13" s="2" t="inlineStr">
        <is>
          <t>T (s)</t>
        </is>
      </c>
      <c r="B13" s="2" t="inlineStr">
        <is>
          <t>Sa (g)</t>
        </is>
      </c>
    </row>
    <row r="14">
      <c r="A14" s="7" t="n">
        <v>0</v>
      </c>
      <c r="B14" s="8" t="n">
        <v>0.5491200000000001</v>
      </c>
    </row>
    <row r="15">
      <c r="A15" s="7" t="n">
        <v>0.01</v>
      </c>
      <c r="B15" s="8" t="n">
        <v>0.6337669565217391</v>
      </c>
    </row>
    <row r="16">
      <c r="A16" s="7" t="n">
        <v>0.02</v>
      </c>
      <c r="B16" s="8" t="n">
        <v>0.7184139130434782</v>
      </c>
    </row>
    <row r="17">
      <c r="A17" s="7" t="n">
        <v>0.03</v>
      </c>
      <c r="B17" s="8" t="n">
        <v>0.8030608695652174</v>
      </c>
    </row>
    <row r="18">
      <c r="A18" s="7" t="n">
        <v>0.05</v>
      </c>
      <c r="B18" s="8" t="n">
        <v>0.9723547826086956</v>
      </c>
    </row>
    <row r="19">
      <c r="A19" s="7" t="n">
        <v>0.075</v>
      </c>
      <c r="B19" s="8" t="n">
        <v>1.183972173913043</v>
      </c>
    </row>
    <row r="20">
      <c r="A20" s="7" t="n">
        <v>0.1</v>
      </c>
      <c r="B20" s="8" t="n">
        <v>1.3728</v>
      </c>
    </row>
    <row r="21">
      <c r="A21" s="7" t="n">
        <v>0.15</v>
      </c>
      <c r="B21" s="8" t="n">
        <v>1.3728</v>
      </c>
    </row>
    <row r="22">
      <c r="A22" s="7" t="n">
        <v>0.2</v>
      </c>
      <c r="B22" s="8" t="n">
        <v>1.3728</v>
      </c>
    </row>
    <row r="23">
      <c r="A23" s="7" t="n">
        <v>0.25</v>
      </c>
      <c r="B23" s="8" t="n">
        <v>1.3728</v>
      </c>
    </row>
    <row r="24">
      <c r="A24" s="7" t="n">
        <v>0.3</v>
      </c>
      <c r="B24" s="8" t="n">
        <v>1.3728</v>
      </c>
    </row>
    <row r="25">
      <c r="A25" s="7" t="n">
        <v>0.4</v>
      </c>
      <c r="B25" s="8" t="n">
        <v>1.3728</v>
      </c>
    </row>
    <row r="26">
      <c r="A26" s="7" t="n">
        <v>0.5</v>
      </c>
      <c r="B26" s="8" t="n">
        <v>1.33584</v>
      </c>
    </row>
    <row r="27">
      <c r="A27" s="7" t="n">
        <v>0.75</v>
      </c>
      <c r="B27" s="8" t="n">
        <v>0.8905600000000001</v>
      </c>
    </row>
    <row r="28">
      <c r="A28" s="7" t="n">
        <v>1</v>
      </c>
      <c r="B28" s="8" t="n">
        <v>0.6679200000000001</v>
      </c>
    </row>
    <row r="29">
      <c r="A29" s="7" t="n">
        <v>1.5</v>
      </c>
      <c r="B29" s="8" t="n">
        <v>0.4452800000000001</v>
      </c>
    </row>
    <row r="30">
      <c r="A30" s="7" t="n">
        <v>2</v>
      </c>
      <c r="B30" s="8" t="n">
        <v>0.33396</v>
      </c>
    </row>
    <row r="31">
      <c r="A31" s="7" t="n">
        <v>3</v>
      </c>
      <c r="B31" s="8" t="n">
        <v>0.22264</v>
      </c>
    </row>
    <row r="32">
      <c r="A32" s="7" t="n">
        <v>4</v>
      </c>
      <c r="B32" s="8" t="n">
        <v>0.1619706</v>
      </c>
    </row>
    <row r="33">
      <c r="A33" s="7" t="n">
        <v>5</v>
      </c>
      <c r="B33" s="8" t="n">
        <v>0.103661184</v>
      </c>
    </row>
    <row r="34">
      <c r="A34" s="7" t="n">
        <v>7.5</v>
      </c>
      <c r="B34" s="8" t="n">
        <v>0.04607163733333334</v>
      </c>
    </row>
    <row r="35">
      <c r="A35" s="7" t="n">
        <v>10</v>
      </c>
      <c r="B35" s="8" t="n">
        <v>0.025915296</v>
      </c>
    </row>
  </sheetData>
  <mergeCells count="1">
    <mergeCell ref="A1:H2"/>
  </mergeCells>
  <pageMargins left="0.25" right="0.25" top="0.4" bottom="0.4" header="0.5" footer="0.5"/>
  <pageSetup orientation="landscape" fitToWidth="1"/>
  <headerFooter>
    <oddHeader/>
    <oddFooter>&amp;C&amp;8 Examen Final Práctico — Registro 201230088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VERIFICACIÓN — ESPECTROS PARA LOS CUATRO Kd DE NSE 2-2024</t>
        </is>
      </c>
    </row>
    <row r="2"/>
    <row r="3"/>
    <row r="4">
      <c r="A4" s="2" t="inlineStr">
        <is>
          <t>T (s)</t>
        </is>
      </c>
      <c r="B4" s="2" t="inlineStr">
        <is>
          <t>Ordinario (10%/50 años)</t>
        </is>
      </c>
      <c r="C4" s="2" t="inlineStr">
        <is>
          <t>Severo (5%/50 años)</t>
        </is>
      </c>
      <c r="D4" s="2" t="inlineStr">
        <is>
          <t>Extremo (2%/50 años)</t>
        </is>
      </c>
      <c r="E4" s="2" t="inlineStr">
        <is>
          <t>Mínimo (excepción)</t>
        </is>
      </c>
    </row>
    <row r="5">
      <c r="A5" s="8" t="n">
        <v>0</v>
      </c>
      <c r="B5" s="8" t="n">
        <v>0.5491200000000001</v>
      </c>
      <c r="C5" s="8" t="n">
        <v>0.6656000000000001</v>
      </c>
      <c r="D5" s="8" t="n">
        <v>0.8320000000000001</v>
      </c>
      <c r="E5" s="8" t="n">
        <v>0.4576000000000001</v>
      </c>
    </row>
    <row r="6">
      <c r="A6" s="8" t="n">
        <v>0.01</v>
      </c>
      <c r="B6" s="8" t="n">
        <v>0.6337669565217391</v>
      </c>
      <c r="C6" s="8" t="n">
        <v>0.7682023715415021</v>
      </c>
      <c r="D6" s="8" t="n">
        <v>0.9602529644268775</v>
      </c>
      <c r="E6" s="8" t="n">
        <v>0.5281391304347827</v>
      </c>
    </row>
    <row r="7">
      <c r="A7" s="8" t="n">
        <v>0.02</v>
      </c>
      <c r="B7" s="8" t="n">
        <v>0.7184139130434782</v>
      </c>
      <c r="C7" s="8" t="n">
        <v>0.870804743083004</v>
      </c>
      <c r="D7" s="8" t="n">
        <v>1.088505928853755</v>
      </c>
      <c r="E7" s="8" t="n">
        <v>0.5986782608695652</v>
      </c>
    </row>
    <row r="8">
      <c r="A8" s="8" t="n">
        <v>0.03</v>
      </c>
      <c r="B8" s="8" t="n">
        <v>0.8030608695652174</v>
      </c>
      <c r="C8" s="8" t="n">
        <v>0.9734071146245059</v>
      </c>
      <c r="D8" s="8" t="n">
        <v>1.216758893280632</v>
      </c>
      <c r="E8" s="8" t="n">
        <v>0.6692173913043479</v>
      </c>
    </row>
    <row r="9">
      <c r="A9" s="8" t="n">
        <v>0.05</v>
      </c>
      <c r="B9" s="8" t="n">
        <v>0.9723547826086956</v>
      </c>
      <c r="C9" s="8" t="n">
        <v>1.17861185770751</v>
      </c>
      <c r="D9" s="8" t="n">
        <v>1.473264822134387</v>
      </c>
      <c r="E9" s="8" t="n">
        <v>0.8102956521739131</v>
      </c>
    </row>
    <row r="10">
      <c r="A10" s="8" t="n">
        <v>0.075</v>
      </c>
      <c r="B10" s="8" t="n">
        <v>1.183972173913043</v>
      </c>
      <c r="C10" s="8" t="n">
        <v>1.435117786561265</v>
      </c>
      <c r="D10" s="8" t="n">
        <v>1.793897233201581</v>
      </c>
      <c r="E10" s="8" t="n">
        <v>0.9866434782608696</v>
      </c>
    </row>
    <row r="11">
      <c r="A11" s="8" t="n">
        <v>0.1</v>
      </c>
      <c r="B11" s="8" t="n">
        <v>1.3728</v>
      </c>
      <c r="C11" s="8" t="n">
        <v>1.664</v>
      </c>
      <c r="D11" s="8" t="n">
        <v>2.08</v>
      </c>
      <c r="E11" s="8" t="n">
        <v>1.144</v>
      </c>
    </row>
    <row r="12">
      <c r="A12" s="8" t="n">
        <v>0.15</v>
      </c>
      <c r="B12" s="8" t="n">
        <v>1.3728</v>
      </c>
      <c r="C12" s="8" t="n">
        <v>1.664</v>
      </c>
      <c r="D12" s="8" t="n">
        <v>2.08</v>
      </c>
      <c r="E12" s="8" t="n">
        <v>1.144</v>
      </c>
    </row>
    <row r="13">
      <c r="A13" s="8" t="n">
        <v>0.2</v>
      </c>
      <c r="B13" s="8" t="n">
        <v>1.3728</v>
      </c>
      <c r="C13" s="8" t="n">
        <v>1.664</v>
      </c>
      <c r="D13" s="8" t="n">
        <v>2.08</v>
      </c>
      <c r="E13" s="8" t="n">
        <v>1.144</v>
      </c>
    </row>
    <row r="14">
      <c r="A14" s="8" t="n">
        <v>0.25</v>
      </c>
      <c r="B14" s="8" t="n">
        <v>1.3728</v>
      </c>
      <c r="C14" s="8" t="n">
        <v>1.664</v>
      </c>
      <c r="D14" s="8" t="n">
        <v>2.08</v>
      </c>
      <c r="E14" s="8" t="n">
        <v>1.144</v>
      </c>
    </row>
    <row r="15">
      <c r="A15" s="8" t="n">
        <v>0.3</v>
      </c>
      <c r="B15" s="8" t="n">
        <v>1.3728</v>
      </c>
      <c r="C15" s="8" t="n">
        <v>1.664</v>
      </c>
      <c r="D15" s="8" t="n">
        <v>2.08</v>
      </c>
      <c r="E15" s="8" t="n">
        <v>1.144</v>
      </c>
    </row>
    <row r="16">
      <c r="A16" s="8" t="n">
        <v>0.4</v>
      </c>
      <c r="B16" s="8" t="n">
        <v>1.3728</v>
      </c>
      <c r="C16" s="8" t="n">
        <v>1.664</v>
      </c>
      <c r="D16" s="8" t="n">
        <v>2.08</v>
      </c>
      <c r="E16" s="8" t="n">
        <v>1.144</v>
      </c>
    </row>
    <row r="17">
      <c r="A17" s="8" t="n">
        <v>0.5</v>
      </c>
      <c r="B17" s="8" t="n">
        <v>1.33584</v>
      </c>
      <c r="C17" s="8" t="n">
        <v>1.6192</v>
      </c>
      <c r="D17" s="8" t="n">
        <v>2.024</v>
      </c>
      <c r="E17" s="8" t="n">
        <v>1.1132</v>
      </c>
    </row>
    <row r="18">
      <c r="A18" s="8" t="n">
        <v>0.75</v>
      </c>
      <c r="B18" s="8" t="n">
        <v>0.8905600000000001</v>
      </c>
      <c r="C18" s="8" t="n">
        <v>1.079466666666667</v>
      </c>
      <c r="D18" s="8" t="n">
        <v>1.349333333333333</v>
      </c>
      <c r="E18" s="8" t="n">
        <v>0.7421333333333334</v>
      </c>
    </row>
    <row r="19">
      <c r="A19" s="8" t="n">
        <v>1</v>
      </c>
      <c r="B19" s="8" t="n">
        <v>0.6679200000000001</v>
      </c>
      <c r="C19" s="8" t="n">
        <v>0.8096000000000001</v>
      </c>
      <c r="D19" s="8" t="n">
        <v>1.012</v>
      </c>
      <c r="E19" s="8" t="n">
        <v>0.5566000000000001</v>
      </c>
    </row>
    <row r="20">
      <c r="A20" s="8" t="n">
        <v>1.5</v>
      </c>
      <c r="B20" s="8" t="n">
        <v>0.4452800000000001</v>
      </c>
      <c r="C20" s="8" t="n">
        <v>0.5397333333333334</v>
      </c>
      <c r="D20" s="8" t="n">
        <v>0.6746666666666666</v>
      </c>
      <c r="E20" s="8" t="n">
        <v>0.3710666666666667</v>
      </c>
    </row>
    <row r="21">
      <c r="A21" s="8" t="n">
        <v>2</v>
      </c>
      <c r="B21" s="8" t="n">
        <v>0.33396</v>
      </c>
      <c r="C21" s="8" t="n">
        <v>0.4048</v>
      </c>
      <c r="D21" s="8" t="n">
        <v>0.506</v>
      </c>
      <c r="E21" s="8" t="n">
        <v>0.2783</v>
      </c>
    </row>
    <row r="22">
      <c r="A22" s="8" t="n">
        <v>3</v>
      </c>
      <c r="B22" s="8" t="n">
        <v>0.22264</v>
      </c>
      <c r="C22" s="8" t="n">
        <v>0.2698666666666667</v>
      </c>
      <c r="D22" s="8" t="n">
        <v>0.3373333333333333</v>
      </c>
      <c r="E22" s="8" t="n">
        <v>0.1855333333333334</v>
      </c>
    </row>
    <row r="23">
      <c r="A23" s="8" t="n">
        <v>4</v>
      </c>
      <c r="B23" s="8" t="n">
        <v>0.1619706</v>
      </c>
      <c r="C23" s="8" t="n">
        <v>0.196328</v>
      </c>
      <c r="D23" s="8" t="n">
        <v>0.24541</v>
      </c>
      <c r="E23" s="8" t="n">
        <v>0.1349755</v>
      </c>
    </row>
    <row r="24">
      <c r="A24" s="8" t="n">
        <v>5</v>
      </c>
      <c r="B24" s="8" t="n">
        <v>0.103661184</v>
      </c>
      <c r="C24" s="8" t="n">
        <v>0.12564992</v>
      </c>
      <c r="D24" s="8" t="n">
        <v>0.1570624</v>
      </c>
      <c r="E24" s="8" t="n">
        <v>0.08638432000000001</v>
      </c>
    </row>
    <row r="25">
      <c r="A25" s="8" t="n">
        <v>7.5</v>
      </c>
      <c r="B25" s="8" t="n">
        <v>0.04607163733333334</v>
      </c>
      <c r="C25" s="8" t="n">
        <v>0.0558444088888889</v>
      </c>
      <c r="D25" s="8" t="n">
        <v>0.06980551111111111</v>
      </c>
      <c r="E25" s="8" t="n">
        <v>0.03839303111111112</v>
      </c>
    </row>
    <row r="26">
      <c r="A26" s="8" t="n">
        <v>10</v>
      </c>
      <c r="B26" s="8" t="n">
        <v>0.025915296</v>
      </c>
      <c r="C26" s="8" t="n">
        <v>0.03141248000000001</v>
      </c>
      <c r="D26" s="8" t="n">
        <v>0.0392656</v>
      </c>
      <c r="E26" s="8" t="n">
        <v>0.02159608</v>
      </c>
    </row>
  </sheetData>
  <mergeCells count="1">
    <mergeCell ref="A1:J2"/>
  </mergeCells>
  <pageMargins left="0.25" right="0.25" top="0.4" bottom="0.4" header="0.5" footer="0.5"/>
  <pageSetup orientation="landscape" fitToWidth="1"/>
  <headerFooter>
    <oddHeader/>
    <oddFooter>&amp;C&amp;8 Examen Final Práctico — Registro 201230088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PROBLEMA 2 — FLORIDA, USA — ASCE 7-22</t>
        </is>
      </c>
    </row>
    <row r="2"/>
    <row r="3"/>
    <row r="4">
      <c r="A4" s="2" t="inlineStr">
        <is>
          <t>Parámetro</t>
        </is>
      </c>
      <c r="B4" s="2" t="inlineStr">
        <is>
          <t>Valor</t>
        </is>
      </c>
      <c r="C4" s="2" t="inlineStr">
        <is>
          <t>Unidad</t>
        </is>
      </c>
      <c r="D4" s="2" t="inlineStr">
        <is>
          <t>Nota</t>
        </is>
      </c>
    </row>
    <row r="5">
      <c r="A5" s="3" t="inlineStr">
        <is>
          <t>Ubicación indicada por examen</t>
        </is>
      </c>
      <c r="B5" s="3" t="inlineStr">
        <is>
          <t>Florida, USA</t>
        </is>
      </c>
      <c r="C5" s="3" t="inlineStr"/>
      <c r="D5" s="3" t="inlineStr">
        <is>
          <t>La fila no especifica ciudad ni coordenadas.</t>
        </is>
      </c>
    </row>
    <row r="6">
      <c r="A6" s="3" t="inlineStr">
        <is>
          <t>Ubicación representativa usada</t>
        </is>
      </c>
      <c r="B6" s="3" t="inlineStr">
        <is>
          <t>Pensacola, Florida (sitio representativo provisional)</t>
        </is>
      </c>
      <c r="C6" s="3" t="inlineStr"/>
      <c r="D6" s="3" t="inlineStr">
        <is>
          <t>Provisional; reemplazar si el docente indicó otro punto.</t>
        </is>
      </c>
    </row>
    <row r="7">
      <c r="A7" s="3" t="inlineStr">
        <is>
          <t>Latitud</t>
        </is>
      </c>
      <c r="B7" s="3" t="n">
        <v>30.4383</v>
      </c>
      <c r="C7" s="3" t="inlineStr">
        <is>
          <t>°</t>
        </is>
      </c>
      <c r="D7" s="3" t="inlineStr">
        <is>
          <t>Sitio representativo</t>
        </is>
      </c>
    </row>
    <row r="8">
      <c r="A8" s="3" t="inlineStr">
        <is>
          <t>Longitud</t>
        </is>
      </c>
      <c r="B8" s="3" t="n">
        <v>-87.221</v>
      </c>
      <c r="C8" s="3" t="inlineStr">
        <is>
          <t>°</t>
        </is>
      </c>
      <c r="D8" s="3" t="inlineStr">
        <is>
          <t>Sitio representativo</t>
        </is>
      </c>
    </row>
    <row r="9">
      <c r="A9" s="3" t="inlineStr">
        <is>
          <t>Risk Category</t>
        </is>
      </c>
      <c r="B9" s="3" t="inlineStr">
        <is>
          <t>III</t>
        </is>
      </c>
      <c r="C9" s="3" t="inlineStr"/>
      <c r="D9" s="3" t="inlineStr">
        <is>
          <t>Solicitado en el examen</t>
        </is>
      </c>
    </row>
    <row r="10">
      <c r="A10" s="3" t="inlineStr">
        <is>
          <t>Site Class</t>
        </is>
      </c>
      <c r="B10" s="3" t="inlineStr">
        <is>
          <t>D</t>
        </is>
      </c>
      <c r="C10" s="3" t="inlineStr"/>
      <c r="D10" s="3" t="inlineStr">
        <is>
          <t>Mismo tipo de suelo de Problema 1</t>
        </is>
      </c>
    </row>
    <row r="11">
      <c r="A11" s="3" t="inlineStr">
        <is>
          <t>Ss</t>
        </is>
      </c>
      <c r="B11" s="3" t="n">
        <v>0.11</v>
      </c>
      <c r="C11" s="3" t="inlineStr">
        <is>
          <t>g</t>
        </is>
      </c>
      <c r="D11" s="3" t="inlineStr">
        <is>
          <t>Fuente publicada de diseño ASCE 7-22</t>
        </is>
      </c>
    </row>
    <row r="12">
      <c r="A12" s="3" t="inlineStr">
        <is>
          <t>S1</t>
        </is>
      </c>
      <c r="B12" s="3" t="n">
        <v>0.063</v>
      </c>
      <c r="C12" s="3" t="inlineStr">
        <is>
          <t>g</t>
        </is>
      </c>
      <c r="D12" s="3" t="inlineStr">
        <is>
          <t>Fuente publicada de diseño ASCE 7-22</t>
        </is>
      </c>
    </row>
    <row r="13">
      <c r="A13" s="3" t="inlineStr">
        <is>
          <t>SDS</t>
        </is>
      </c>
      <c r="B13" s="3" t="n">
        <v>0.1</v>
      </c>
      <c r="C13" s="3" t="inlineStr">
        <is>
          <t>g</t>
        </is>
      </c>
      <c r="D13" s="3" t="inlineStr">
        <is>
          <t>Fuente publicada de diseño ASCE 7-22</t>
        </is>
      </c>
    </row>
    <row r="14">
      <c r="A14" s="3" t="inlineStr">
        <is>
          <t>SD1</t>
        </is>
      </c>
      <c r="B14" s="3" t="n">
        <v>0.091</v>
      </c>
      <c r="C14" s="3" t="inlineStr">
        <is>
          <t>g</t>
        </is>
      </c>
      <c r="D14" s="3" t="inlineStr">
        <is>
          <t>Fuente publicada de diseño ASCE 7-22</t>
        </is>
      </c>
    </row>
    <row r="15">
      <c r="A15" s="3" t="inlineStr">
        <is>
          <t>TL</t>
        </is>
      </c>
      <c r="B15" s="3" t="n">
        <v>8</v>
      </c>
      <c r="C15" s="3" t="inlineStr">
        <is>
          <t>s</t>
        </is>
      </c>
      <c r="D15" s="3" t="inlineStr">
        <is>
          <t>Valor provisional; verificar con USGS para el punto exacto</t>
        </is>
      </c>
    </row>
    <row r="16">
      <c r="A16" s="3" t="inlineStr">
        <is>
          <t>Ts</t>
        </is>
      </c>
      <c r="B16" s="3" t="n">
        <v>0.9099999999999999</v>
      </c>
      <c r="C16" s="3" t="inlineStr">
        <is>
          <t>s</t>
        </is>
      </c>
      <c r="D16" s="3" t="inlineStr">
        <is>
          <t>SD1/SDS</t>
        </is>
      </c>
    </row>
    <row r="17">
      <c r="A17" s="3" t="inlineStr">
        <is>
          <t>T0</t>
        </is>
      </c>
      <c r="B17" s="3" t="n">
        <v>0.182</v>
      </c>
      <c r="C17" s="3" t="inlineStr">
        <is>
          <t>s</t>
        </is>
      </c>
      <c r="D17" s="3" t="inlineStr">
        <is>
          <t>0.2 Ts</t>
        </is>
      </c>
    </row>
    <row r="18"/>
    <row r="19">
      <c r="A19" s="9" t="inlineStr">
        <is>
          <t>Advertencia</t>
        </is>
      </c>
      <c r="B19" s="10" t="inlineStr">
        <is>
          <t>El Problema 2 no es geográficamente único. El espectro multiperiodo exacto debe consultarse en el USGS/ASCE 7 Hazard Tool para una ubicación concreta.</t>
        </is>
      </c>
    </row>
    <row r="20"/>
    <row r="21"/>
    <row r="22">
      <c r="A22" s="2" t="inlineStr">
        <is>
          <t>T (s)</t>
        </is>
      </c>
      <c r="B22" s="2" t="inlineStr">
        <is>
          <t>Sa 2PRS (g)</t>
        </is>
      </c>
      <c r="C22" s="2" t="inlineStr">
        <is>
          <t>Sa MPRS provisional (g)</t>
        </is>
      </c>
    </row>
    <row r="23">
      <c r="A23" s="8" t="n">
        <v>0</v>
      </c>
      <c r="B23" s="8" t="n">
        <v>0.04000000000000001</v>
      </c>
      <c r="C23" s="8" t="n">
        <v>0.04000000000000001</v>
      </c>
    </row>
    <row r="24">
      <c r="A24" s="8" t="n">
        <v>0.01</v>
      </c>
      <c r="B24" s="8" t="n">
        <v>0.0432967032967033</v>
      </c>
      <c r="C24" s="8" t="n">
        <v>0.0432967032967033</v>
      </c>
    </row>
    <row r="25">
      <c r="A25" s="8" t="n">
        <v>0.02</v>
      </c>
      <c r="B25" s="8" t="n">
        <v>0.0465934065934066</v>
      </c>
      <c r="C25" s="8" t="n">
        <v>0.0465934065934066</v>
      </c>
    </row>
    <row r="26">
      <c r="A26" s="8" t="n">
        <v>0.03</v>
      </c>
      <c r="B26" s="8" t="n">
        <v>0.04989010989010989</v>
      </c>
      <c r="C26" s="8" t="n">
        <v>0.04989010989010989</v>
      </c>
    </row>
    <row r="27">
      <c r="A27" s="8" t="n">
        <v>0.05</v>
      </c>
      <c r="B27" s="8" t="n">
        <v>0.05648351648351649</v>
      </c>
      <c r="C27" s="8" t="n">
        <v>0.05648351648351649</v>
      </c>
    </row>
    <row r="28">
      <c r="A28" s="8" t="n">
        <v>0.075</v>
      </c>
      <c r="B28" s="8" t="n">
        <v>0.06472527472527473</v>
      </c>
      <c r="C28" s="8" t="n">
        <v>0.06472527472527473</v>
      </c>
    </row>
    <row r="29">
      <c r="A29" s="8" t="n">
        <v>0.1</v>
      </c>
      <c r="B29" s="8" t="n">
        <v>0.07296703296703298</v>
      </c>
      <c r="C29" s="8" t="n">
        <v>0.07296703296703298</v>
      </c>
    </row>
    <row r="30">
      <c r="A30" s="8" t="n">
        <v>0.15</v>
      </c>
      <c r="B30" s="8" t="n">
        <v>0.08945054945054946</v>
      </c>
      <c r="C30" s="8" t="n">
        <v>0.08945054945054946</v>
      </c>
    </row>
    <row r="31">
      <c r="A31" s="8" t="n">
        <v>0.2</v>
      </c>
      <c r="B31" s="8" t="n">
        <v>0.1</v>
      </c>
      <c r="C31" s="8" t="n">
        <v>0.1</v>
      </c>
    </row>
    <row r="32">
      <c r="A32" s="8" t="n">
        <v>0.25</v>
      </c>
      <c r="B32" s="8" t="n">
        <v>0.1</v>
      </c>
      <c r="C32" s="8" t="n">
        <v>0.1</v>
      </c>
    </row>
    <row r="33">
      <c r="A33" s="8" t="n">
        <v>0.3</v>
      </c>
      <c r="B33" s="8" t="n">
        <v>0.1</v>
      </c>
      <c r="C33" s="8" t="n">
        <v>0.1</v>
      </c>
    </row>
    <row r="34">
      <c r="A34" s="8" t="n">
        <v>0.4</v>
      </c>
      <c r="B34" s="8" t="n">
        <v>0.1</v>
      </c>
      <c r="C34" s="8" t="n">
        <v>0.1</v>
      </c>
    </row>
    <row r="35">
      <c r="A35" s="8" t="n">
        <v>0.5</v>
      </c>
      <c r="B35" s="8" t="n">
        <v>0.1</v>
      </c>
      <c r="C35" s="8" t="n">
        <v>0.1</v>
      </c>
    </row>
    <row r="36">
      <c r="A36" s="8" t="n">
        <v>0.75</v>
      </c>
      <c r="B36" s="8" t="n">
        <v>0.1</v>
      </c>
      <c r="C36" s="8" t="n">
        <v>0.1</v>
      </c>
    </row>
    <row r="37">
      <c r="A37" s="8" t="n">
        <v>1</v>
      </c>
      <c r="B37" s="8" t="n">
        <v>0.091</v>
      </c>
      <c r="C37" s="8" t="n">
        <v>0.091</v>
      </c>
    </row>
    <row r="38">
      <c r="A38" s="8" t="n">
        <v>1.5</v>
      </c>
      <c r="B38" s="8" t="n">
        <v>0.06066666666666667</v>
      </c>
      <c r="C38" s="8" t="n">
        <v>0.06066666666666667</v>
      </c>
    </row>
    <row r="39">
      <c r="A39" s="8" t="n">
        <v>2</v>
      </c>
      <c r="B39" s="8" t="n">
        <v>0.0455</v>
      </c>
      <c r="C39" s="8" t="n">
        <v>0.0455</v>
      </c>
    </row>
    <row r="40">
      <c r="A40" s="8" t="n">
        <v>3</v>
      </c>
      <c r="B40" s="8" t="n">
        <v>0.03033333333333333</v>
      </c>
      <c r="C40" s="8" t="n">
        <v>0.03033333333333333</v>
      </c>
    </row>
    <row r="41">
      <c r="A41" s="8" t="n">
        <v>4</v>
      </c>
      <c r="B41" s="8" t="n">
        <v>0.02275</v>
      </c>
      <c r="C41" s="8" t="n">
        <v>0.02275</v>
      </c>
    </row>
    <row r="42">
      <c r="A42" s="8" t="n">
        <v>5</v>
      </c>
      <c r="B42" s="8" t="n">
        <v>0.0182</v>
      </c>
      <c r="C42" s="8" t="n">
        <v>0.0182</v>
      </c>
    </row>
    <row r="43">
      <c r="A43" s="8" t="n">
        <v>7.5</v>
      </c>
      <c r="B43" s="8" t="n">
        <v>0.01213333333333333</v>
      </c>
      <c r="C43" s="8" t="n">
        <v>0.01213333333333333</v>
      </c>
    </row>
    <row r="44">
      <c r="A44" s="8" t="n">
        <v>10</v>
      </c>
      <c r="B44" s="8" t="n">
        <v>0.00728</v>
      </c>
      <c r="C44" s="8" t="n">
        <v>0.00728</v>
      </c>
    </row>
  </sheetData>
  <mergeCells count="2">
    <mergeCell ref="A1:H2"/>
    <mergeCell ref="B19:H20"/>
  </mergeCells>
  <pageMargins left="0.25" right="0.25" top="0.4" bottom="0.4" header="0.5" footer="0.5"/>
  <pageSetup orientation="landscape" fitToWidth="1"/>
  <headerFooter>
    <oddHeader/>
    <oddFooter>&amp;C&amp;8 Examen Final Práctico — Registro 201230088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MPRS — 22 PERIODOS USGS/ASCE 7-22 (EDITABLE)</t>
        </is>
      </c>
    </row>
    <row r="2"/>
    <row r="3"/>
    <row r="4">
      <c r="A4" s="2" t="inlineStr">
        <is>
          <t>Uso</t>
        </is>
      </c>
      <c r="B4" s="11" t="inlineStr">
        <is>
          <t>Pegar aquí las 22 ordenadas del espectro multiperiodo de diseño USGS/ASCE 7-22 para la ubicación exacta de Florida.</t>
        </is>
      </c>
    </row>
    <row r="5"/>
    <row r="6"/>
    <row r="7">
      <c r="A7" s="2" t="inlineStr">
        <is>
          <t>T (s)</t>
        </is>
      </c>
      <c r="B7" s="2" t="inlineStr">
        <is>
          <t>Sa MPRS USGS (g)</t>
        </is>
      </c>
      <c r="C7" s="2" t="inlineStr">
        <is>
          <t>Sa 2PRS (g)</t>
        </is>
      </c>
      <c r="D7" s="2" t="inlineStr">
        <is>
          <t>Diferencia (g)</t>
        </is>
      </c>
      <c r="E7" s="2" t="inlineStr">
        <is>
          <t>% diferencia</t>
        </is>
      </c>
      <c r="F7" s="2" t="inlineStr">
        <is>
          <t>Estado</t>
        </is>
      </c>
    </row>
    <row r="8">
      <c r="A8" s="7" t="n">
        <v>0</v>
      </c>
      <c r="B8" s="12" t="inlineStr"/>
      <c r="C8" s="8" t="n">
        <v>0.04000000000000001</v>
      </c>
      <c r="D8" s="8">
        <f>IF(B8="","",B8-C8)</f>
        <v/>
      </c>
      <c r="E8" s="13">
        <f>IF(OR(B8="",C8=0),"",D8/C8)</f>
        <v/>
      </c>
      <c r="F8" s="3">
        <f>IF(B8="","PENDIENTE","OK")</f>
        <v/>
      </c>
    </row>
    <row r="9">
      <c r="A9" s="7" t="n">
        <v>0.01</v>
      </c>
      <c r="B9" s="12" t="inlineStr"/>
      <c r="C9" s="8" t="n">
        <v>0.0432967032967033</v>
      </c>
      <c r="D9" s="8">
        <f>IF(B9="","",B9-C9)</f>
        <v/>
      </c>
      <c r="E9" s="13">
        <f>IF(OR(B9="",C9=0),"",D9/C9)</f>
        <v/>
      </c>
      <c r="F9" s="3">
        <f>IF(B9="","PENDIENTE","OK")</f>
        <v/>
      </c>
    </row>
    <row r="10">
      <c r="A10" s="7" t="n">
        <v>0.02</v>
      </c>
      <c r="B10" s="12" t="inlineStr"/>
      <c r="C10" s="8" t="n">
        <v>0.0465934065934066</v>
      </c>
      <c r="D10" s="8">
        <f>IF(B10="","",B10-C10)</f>
        <v/>
      </c>
      <c r="E10" s="13">
        <f>IF(OR(B10="",C10=0),"",D10/C10)</f>
        <v/>
      </c>
      <c r="F10" s="3">
        <f>IF(B10="","PENDIENTE","OK")</f>
        <v/>
      </c>
    </row>
    <row r="11">
      <c r="A11" s="7" t="n">
        <v>0.03</v>
      </c>
      <c r="B11" s="12" t="inlineStr"/>
      <c r="C11" s="8" t="n">
        <v>0.04989010989010989</v>
      </c>
      <c r="D11" s="8">
        <f>IF(B11="","",B11-C11)</f>
        <v/>
      </c>
      <c r="E11" s="13">
        <f>IF(OR(B11="",C11=0),"",D11/C11)</f>
        <v/>
      </c>
      <c r="F11" s="3">
        <f>IF(B11="","PENDIENTE","OK")</f>
        <v/>
      </c>
    </row>
    <row r="12">
      <c r="A12" s="7" t="n">
        <v>0.05</v>
      </c>
      <c r="B12" s="12" t="inlineStr"/>
      <c r="C12" s="8" t="n">
        <v>0.05648351648351649</v>
      </c>
      <c r="D12" s="8">
        <f>IF(B12="","",B12-C12)</f>
        <v/>
      </c>
      <c r="E12" s="13">
        <f>IF(OR(B12="",C12=0),"",D12/C12)</f>
        <v/>
      </c>
      <c r="F12" s="3">
        <f>IF(B12="","PENDIENTE","OK")</f>
        <v/>
      </c>
    </row>
    <row r="13">
      <c r="A13" s="7" t="n">
        <v>0.075</v>
      </c>
      <c r="B13" s="12" t="inlineStr"/>
      <c r="C13" s="8" t="n">
        <v>0.06472527472527473</v>
      </c>
      <c r="D13" s="8">
        <f>IF(B13="","",B13-C13)</f>
        <v/>
      </c>
      <c r="E13" s="13">
        <f>IF(OR(B13="",C13=0),"",D13/C13)</f>
        <v/>
      </c>
      <c r="F13" s="3">
        <f>IF(B13="","PENDIENTE","OK")</f>
        <v/>
      </c>
    </row>
    <row r="14">
      <c r="A14" s="7" t="n">
        <v>0.1</v>
      </c>
      <c r="B14" s="12" t="inlineStr"/>
      <c r="C14" s="8" t="n">
        <v>0.07296703296703298</v>
      </c>
      <c r="D14" s="8">
        <f>IF(B14="","",B14-C14)</f>
        <v/>
      </c>
      <c r="E14" s="13">
        <f>IF(OR(B14="",C14=0),"",D14/C14)</f>
        <v/>
      </c>
      <c r="F14" s="3">
        <f>IF(B14="","PENDIENTE","OK")</f>
        <v/>
      </c>
    </row>
    <row r="15">
      <c r="A15" s="7" t="n">
        <v>0.15</v>
      </c>
      <c r="B15" s="12" t="inlineStr"/>
      <c r="C15" s="8" t="n">
        <v>0.08945054945054946</v>
      </c>
      <c r="D15" s="8">
        <f>IF(B15="","",B15-C15)</f>
        <v/>
      </c>
      <c r="E15" s="13">
        <f>IF(OR(B15="",C15=0),"",D15/C15)</f>
        <v/>
      </c>
      <c r="F15" s="3">
        <f>IF(B15="","PENDIENTE","OK")</f>
        <v/>
      </c>
    </row>
    <row r="16">
      <c r="A16" s="7" t="n">
        <v>0.2</v>
      </c>
      <c r="B16" s="12" t="inlineStr"/>
      <c r="C16" s="8" t="n">
        <v>0.1</v>
      </c>
      <c r="D16" s="8">
        <f>IF(B16="","",B16-C16)</f>
        <v/>
      </c>
      <c r="E16" s="13">
        <f>IF(OR(B16="",C16=0),"",D16/C16)</f>
        <v/>
      </c>
      <c r="F16" s="3">
        <f>IF(B16="","PENDIENTE","OK")</f>
        <v/>
      </c>
    </row>
    <row r="17">
      <c r="A17" s="7" t="n">
        <v>0.25</v>
      </c>
      <c r="B17" s="12" t="inlineStr"/>
      <c r="C17" s="8" t="n">
        <v>0.1</v>
      </c>
      <c r="D17" s="8">
        <f>IF(B17="","",B17-C17)</f>
        <v/>
      </c>
      <c r="E17" s="13">
        <f>IF(OR(B17="",C17=0),"",D17/C17)</f>
        <v/>
      </c>
      <c r="F17" s="3">
        <f>IF(B17="","PENDIENTE","OK")</f>
        <v/>
      </c>
    </row>
    <row r="18">
      <c r="A18" s="7" t="n">
        <v>0.3</v>
      </c>
      <c r="B18" s="12" t="inlineStr"/>
      <c r="C18" s="8" t="n">
        <v>0.1</v>
      </c>
      <c r="D18" s="8">
        <f>IF(B18="","",B18-C18)</f>
        <v/>
      </c>
      <c r="E18" s="13">
        <f>IF(OR(B18="",C18=0),"",D18/C18)</f>
        <v/>
      </c>
      <c r="F18" s="3">
        <f>IF(B18="","PENDIENTE","OK")</f>
        <v/>
      </c>
    </row>
    <row r="19">
      <c r="A19" s="7" t="n">
        <v>0.4</v>
      </c>
      <c r="B19" s="12" t="inlineStr"/>
      <c r="C19" s="8" t="n">
        <v>0.1</v>
      </c>
      <c r="D19" s="8">
        <f>IF(B19="","",B19-C19)</f>
        <v/>
      </c>
      <c r="E19" s="13">
        <f>IF(OR(B19="",C19=0),"",D19/C19)</f>
        <v/>
      </c>
      <c r="F19" s="3">
        <f>IF(B19="","PENDIENTE","OK")</f>
        <v/>
      </c>
    </row>
    <row r="20">
      <c r="A20" s="7" t="n">
        <v>0.5</v>
      </c>
      <c r="B20" s="12" t="inlineStr"/>
      <c r="C20" s="8" t="n">
        <v>0.1</v>
      </c>
      <c r="D20" s="8">
        <f>IF(B20="","",B20-C20)</f>
        <v/>
      </c>
      <c r="E20" s="13">
        <f>IF(OR(B20="",C20=0),"",D20/C20)</f>
        <v/>
      </c>
      <c r="F20" s="3">
        <f>IF(B20="","PENDIENTE","OK")</f>
        <v/>
      </c>
    </row>
    <row r="21">
      <c r="A21" s="7" t="n">
        <v>0.75</v>
      </c>
      <c r="B21" s="12" t="inlineStr"/>
      <c r="C21" s="8" t="n">
        <v>0.1</v>
      </c>
      <c r="D21" s="8">
        <f>IF(B21="","",B21-C21)</f>
        <v/>
      </c>
      <c r="E21" s="13">
        <f>IF(OR(B21="",C21=0),"",D21/C21)</f>
        <v/>
      </c>
      <c r="F21" s="3">
        <f>IF(B21="","PENDIENTE","OK")</f>
        <v/>
      </c>
    </row>
    <row r="22">
      <c r="A22" s="7" t="n">
        <v>1</v>
      </c>
      <c r="B22" s="12" t="inlineStr"/>
      <c r="C22" s="8" t="n">
        <v>0.091</v>
      </c>
      <c r="D22" s="8">
        <f>IF(B22="","",B22-C22)</f>
        <v/>
      </c>
      <c r="E22" s="13">
        <f>IF(OR(B22="",C22=0),"",D22/C22)</f>
        <v/>
      </c>
      <c r="F22" s="3">
        <f>IF(B22="","PENDIENTE","OK")</f>
        <v/>
      </c>
    </row>
    <row r="23">
      <c r="A23" s="7" t="n">
        <v>1.5</v>
      </c>
      <c r="B23" s="12" t="inlineStr"/>
      <c r="C23" s="8" t="n">
        <v>0.06066666666666667</v>
      </c>
      <c r="D23" s="8">
        <f>IF(B23="","",B23-C23)</f>
        <v/>
      </c>
      <c r="E23" s="13">
        <f>IF(OR(B23="",C23=0),"",D23/C23)</f>
        <v/>
      </c>
      <c r="F23" s="3">
        <f>IF(B23="","PENDIENTE","OK")</f>
        <v/>
      </c>
    </row>
    <row r="24">
      <c r="A24" s="7" t="n">
        <v>2</v>
      </c>
      <c r="B24" s="12" t="inlineStr"/>
      <c r="C24" s="8" t="n">
        <v>0.0455</v>
      </c>
      <c r="D24" s="8">
        <f>IF(B24="","",B24-C24)</f>
        <v/>
      </c>
      <c r="E24" s="13">
        <f>IF(OR(B24="",C24=0),"",D24/C24)</f>
        <v/>
      </c>
      <c r="F24" s="3">
        <f>IF(B24="","PENDIENTE","OK")</f>
        <v/>
      </c>
    </row>
    <row r="25">
      <c r="A25" s="7" t="n">
        <v>3</v>
      </c>
      <c r="B25" s="12" t="inlineStr"/>
      <c r="C25" s="8" t="n">
        <v>0.03033333333333333</v>
      </c>
      <c r="D25" s="8">
        <f>IF(B25="","",B25-C25)</f>
        <v/>
      </c>
      <c r="E25" s="13">
        <f>IF(OR(B25="",C25=0),"",D25/C25)</f>
        <v/>
      </c>
      <c r="F25" s="3">
        <f>IF(B25="","PENDIENTE","OK")</f>
        <v/>
      </c>
    </row>
    <row r="26">
      <c r="A26" s="7" t="n">
        <v>4</v>
      </c>
      <c r="B26" s="12" t="inlineStr"/>
      <c r="C26" s="8" t="n">
        <v>0.02275</v>
      </c>
      <c r="D26" s="8">
        <f>IF(B26="","",B26-C26)</f>
        <v/>
      </c>
      <c r="E26" s="13">
        <f>IF(OR(B26="",C26=0),"",D26/C26)</f>
        <v/>
      </c>
      <c r="F26" s="3">
        <f>IF(B26="","PENDIENTE","OK")</f>
        <v/>
      </c>
    </row>
    <row r="27">
      <c r="A27" s="7" t="n">
        <v>5</v>
      </c>
      <c r="B27" s="12" t="inlineStr"/>
      <c r="C27" s="8" t="n">
        <v>0.0182</v>
      </c>
      <c r="D27" s="8">
        <f>IF(B27="","",B27-C27)</f>
        <v/>
      </c>
      <c r="E27" s="13">
        <f>IF(OR(B27="",C27=0),"",D27/C27)</f>
        <v/>
      </c>
      <c r="F27" s="3">
        <f>IF(B27="","PENDIENTE","OK")</f>
        <v/>
      </c>
    </row>
    <row r="28">
      <c r="A28" s="7" t="n">
        <v>7.5</v>
      </c>
      <c r="B28" s="12" t="inlineStr"/>
      <c r="C28" s="8" t="n">
        <v>0.01213333333333333</v>
      </c>
      <c r="D28" s="8">
        <f>IF(B28="","",B28-C28)</f>
        <v/>
      </c>
      <c r="E28" s="13">
        <f>IF(OR(B28="",C28=0),"",D28/C28)</f>
        <v/>
      </c>
      <c r="F28" s="3">
        <f>IF(B28="","PENDIENTE","OK")</f>
        <v/>
      </c>
    </row>
    <row r="29">
      <c r="A29" s="7" t="n">
        <v>10</v>
      </c>
      <c r="B29" s="12" t="inlineStr"/>
      <c r="C29" s="8" t="n">
        <v>0.00728</v>
      </c>
      <c r="D29" s="8">
        <f>IF(B29="","",B29-C29)</f>
        <v/>
      </c>
      <c r="E29" s="13">
        <f>IF(OR(B29="",C29=0),"",D29/C29)</f>
        <v/>
      </c>
      <c r="F29" s="3">
        <f>IF(B29="","PENDIENTE","OK")</f>
        <v/>
      </c>
    </row>
    <row r="30"/>
    <row r="31">
      <c r="A31" s="14" t="inlineStr">
        <is>
          <t>Importante</t>
        </is>
      </c>
      <c r="B31" s="15" t="inlineStr">
        <is>
          <t>La MPRS no debe presentarse como resultado exacto mientras no se disponga del punto geográfico exacto y de las 22 ordenadas USGS. Esta hoja está preparada para completar esos datos.</t>
        </is>
      </c>
    </row>
    <row r="32"/>
    <row r="33"/>
  </sheetData>
  <mergeCells count="3">
    <mergeCell ref="B31:F33"/>
    <mergeCell ref="B4:F5"/>
    <mergeCell ref="A1:F2"/>
  </mergeCells>
  <pageMargins left="0.25" right="0.25" top="0.4" bottom="0.4" header="0.5" footer="0.5"/>
  <pageSetup orientation="landscape" fitToWidth="1"/>
  <headerFooter>
    <oddHeader/>
    <oddFooter>&amp;C&amp;8 Examen Final Práctico — Registro 201230088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75" customWidth="1" min="2" max="2"/>
    <col width="38" customWidth="1" min="3" max="3"/>
  </cols>
  <sheetData>
    <row r="1">
      <c r="A1" s="1" t="inlineStr">
        <is>
          <t>FUENTES, CRITERIOS Y NOTAS</t>
        </is>
      </c>
    </row>
    <row r="2"/>
    <row r="3"/>
    <row r="4">
      <c r="A4" s="16" t="inlineStr">
        <is>
          <t>Fuente</t>
        </is>
      </c>
      <c r="B4" s="16" t="inlineStr">
        <is>
          <t>Contenido utilizado</t>
        </is>
      </c>
      <c r="C4" s="16" t="inlineStr">
        <is>
          <t>Referencia</t>
        </is>
      </c>
    </row>
    <row r="5">
      <c r="A5" s="11" t="inlineStr">
        <is>
          <t>AGIES NSE 2-2024</t>
        </is>
      </c>
      <c r="B5" s="11" t="inlineStr">
        <is>
          <t>Anexo A: amenaza sísmica por municipio; Suelo D, Siquinalá: Io=4.2, Scr=2.08g, S1r=1.012g, TL=3.88s.</t>
        </is>
      </c>
      <c r="C5" s="11" t="inlineStr">
        <is>
          <t>NSE 2-2024, Anexo A</t>
        </is>
      </c>
    </row>
    <row r="6">
      <c r="A6" s="11" t="inlineStr">
        <is>
          <t>AGIES NSE 2-2024</t>
        </is>
      </c>
      <c r="B6" s="11" t="inlineStr">
        <is>
          <t>Kd: 0.66 ordinario, 0.80 severo, 1.00 extremo, 0.55 mínimo.</t>
        </is>
      </c>
      <c r="C6" s="11" t="inlineStr">
        <is>
          <t>§4.5.3, Tabla 4.5.3-1</t>
        </is>
      </c>
    </row>
    <row r="7">
      <c r="A7" s="11" t="inlineStr">
        <is>
          <t>AGIES NSE 2-2024</t>
        </is>
      </c>
      <c r="B7" s="11" t="inlineStr">
        <is>
          <t>Scd=Kd·Scr; S1d=Kd·S1r; Ts=S1r/Scr; T0=0.2Ts; ecuaciones del espectro genérico.</t>
        </is>
      </c>
      <c r="C7" s="11" t="inlineStr">
        <is>
          <t>§4.5.2–4.5.4</t>
        </is>
      </c>
    </row>
    <row r="8">
      <c r="A8" s="11" t="inlineStr">
        <is>
          <t>AGIES NSE 2-2024</t>
        </is>
      </c>
      <c r="B8" s="11" t="inlineStr">
        <is>
          <t>AMSd=0.40Scd; Svd=0.20Scd.</t>
        </is>
      </c>
      <c r="C8" s="11" t="inlineStr">
        <is>
          <t>§4.5.6–4.5.7</t>
        </is>
      </c>
    </row>
    <row r="9">
      <c r="A9" s="11" t="inlineStr">
        <is>
          <t>ASCE 7-22 / USGS</t>
        </is>
      </c>
      <c r="B9" s="11" t="inlineStr">
        <is>
          <t>MPRS se construye con 22 periodos y valores específicos del sitio; el espectro de dos periodos usa SDS, SD1 y TL.</t>
        </is>
      </c>
      <c r="C9" s="11" t="inlineStr">
        <is>
          <t>ASCE 7-22 §11.4.5; USGS Design Ground Motions</t>
        </is>
      </c>
    </row>
    <row r="10">
      <c r="A10" s="11" t="inlineStr">
        <is>
          <t>Fuente publicada Florida</t>
        </is>
      </c>
      <c r="B10" s="11" t="inlineStr">
        <is>
          <t>Pensacola: Risk Category III, Site Class D, Ss=0.11, S1=0.063, SDS=0.10, SD1=0.091.</t>
        </is>
      </c>
      <c r="C10" s="11" t="inlineStr">
        <is>
          <t>Documento de criterios de diseño publicado 2024</t>
        </is>
      </c>
    </row>
    <row r="11">
      <c r="A11" s="11" t="inlineStr">
        <is>
          <t>Nota</t>
        </is>
      </c>
      <c r="B11" s="11" t="inlineStr">
        <is>
          <t>La palabra 'Florida, USA' en la fila no define una ciudad/punto único. Por eso el Problema 2 queda marcado como provisional hasta confirmar la ubicación exacta.</t>
        </is>
      </c>
      <c r="C11" s="11" t="inlineStr">
        <is>
          <t>Criterio de trazabilidad</t>
        </is>
      </c>
    </row>
    <row r="12"/>
    <row r="13">
      <c r="A13" s="17" t="inlineStr">
        <is>
          <t>Fuentes web consultadas</t>
        </is>
      </c>
    </row>
    <row r="14">
      <c r="A14" s="18" t="inlineStr">
        <is>
          <t>USGS — ASCE 7-22 Web Services</t>
        </is>
      </c>
      <c r="B14" s="19" t="inlineStr">
        <is>
          <t>https://earthquake.usgs.gov/ws/building-codes/asce7-22</t>
        </is>
      </c>
    </row>
    <row r="15">
      <c r="A15" s="18" t="inlineStr">
        <is>
          <t>USGS — Design Ground Motions Portal</t>
        </is>
      </c>
      <c r="B15" s="19" t="inlineStr">
        <is>
          <t>https://www.usgs.gov/programs/earthquake-hazards/design-ground-motions-portal</t>
        </is>
      </c>
    </row>
    <row r="16">
      <c r="A16" s="18" t="inlineStr">
        <is>
          <t>ASCE — ASCE 7-22 Ground Motions</t>
        </is>
      </c>
      <c r="B16" s="19" t="inlineStr">
        <is>
          <t>https://www.asce.org/communities/institutes-and-technical-groups/structural-engineering-institute/news/asce-7-22-ground-motions---a-rational-approach-for-structural-engineers/</t>
        </is>
      </c>
    </row>
    <row r="17">
      <c r="A17" s="18" t="inlineStr">
        <is>
          <t>Florida published design criteria used provisionally</t>
        </is>
      </c>
      <c r="B17" s="19" t="inlineStr">
        <is>
          <t>https://cityofpensacola.com/DocumentCenter/View/27308</t>
        </is>
      </c>
    </row>
  </sheetData>
  <mergeCells count="1">
    <mergeCell ref="A1:G2"/>
  </mergeCells>
  <hyperlinks>
    <hyperlink xmlns:r="http://schemas.openxmlformats.org/officeDocument/2006/relationships" ref="B14" r:id="rId1"/>
    <hyperlink xmlns:r="http://schemas.openxmlformats.org/officeDocument/2006/relationships" ref="B15" r:id="rId2"/>
    <hyperlink xmlns:r="http://schemas.openxmlformats.org/officeDocument/2006/relationships" ref="B16" r:id="rId3"/>
    <hyperlink xmlns:r="http://schemas.openxmlformats.org/officeDocument/2006/relationships" ref="B17" r:id="rId4"/>
  </hyperlinks>
  <pageMargins left="0.25" right="0.25" top="0.4" bottom="0.4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2026-08-19T03:09:28Z</dcterms:created>
  <dcterms:modified xmlns:dcterms="http://purl.org/dc/terms/" xmlns:xsi="http://www.w3.org/2001/XMLSchema-instance" xsi:type="dcterms:W3CDTF">2026-08-19T03:09:28Z</dcterms:modified>
</cp:coreProperties>
</file>