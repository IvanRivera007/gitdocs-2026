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van\Documents\gitdocs-2026\MAESTRIA 2DO TRIMESTRE\JACOBS DINAMICA DE SUELOS Y CIMENTACIONES\ejercicio 18 JULIO\"/>
    </mc:Choice>
  </mc:AlternateContent>
  <xr:revisionPtr revIDLastSave="0" documentId="8_{3926B10C-968E-4F3B-9F58-9A1723B247FA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Metodologia" sheetId="2" r:id="rId1"/>
    <sheet name="Tarea" sheetId="5" r:id="rId2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7" i="5" l="1"/>
  <c r="D29" i="5"/>
  <c r="D28" i="5"/>
  <c r="D18" i="5"/>
  <c r="C18" i="5"/>
  <c r="C17" i="5"/>
  <c r="D17" i="5" s="1"/>
  <c r="C16" i="5"/>
  <c r="D16" i="5" s="1"/>
  <c r="D15" i="5"/>
  <c r="G9" i="5"/>
  <c r="G8" i="5"/>
  <c r="G7" i="5"/>
  <c r="G6" i="5"/>
</calcChain>
</file>

<file path=xl/sharedStrings.xml><?xml version="1.0" encoding="utf-8"?>
<sst xmlns="http://schemas.openxmlformats.org/spreadsheetml/2006/main" count="139" uniqueCount="103">
  <si>
    <t>Metodología — Evaluación de Licuación (Procedimiento Simplificado)</t>
  </si>
  <si>
    <t>1. Esfuerzo efectivo</t>
  </si>
  <si>
    <t>2. Corrección del SPT por esfuerzo (N1)60</t>
  </si>
  <si>
    <t>3. Factor de corrección por finos (Ks)</t>
  </si>
  <si>
    <t>4. (N1)60 corregido por finos</t>
  </si>
  <si>
    <t>5. Resistencia cíclica CRR</t>
  </si>
  <si>
    <t>6. Razón de esfuerzo cíclico CSR7.5</t>
  </si>
  <si>
    <t>7. Factor de escala de magnitud (MSF)</t>
  </si>
  <si>
    <t>8. Factor de reducción de esfuerzo (rd)</t>
  </si>
  <si>
    <t>9. Variables</t>
  </si>
  <si>
    <t>Criterio final:  FS = CRR / CSR7.5.   Si FS &lt; 1 el estrato licua; si FS ≥ 1 no licua.</t>
  </si>
  <si>
    <t>Referencia: Hwang, J.H., Khoshnevisan, S., Juang, C.H. &amp; Lu, C.C. (2020). Simplified models for evaluating liquefaction resistance of soils.</t>
  </si>
  <si>
    <t>1. Estratigrafía y esfuerzos</t>
  </si>
  <si>
    <t>Muestra</t>
  </si>
  <si>
    <t>Profundidad
z (m)</t>
  </si>
  <si>
    <t>Densidad húmeda
(g/cm3)</t>
  </si>
  <si>
    <t>Esfuerzo total
σv (kPa)</t>
  </si>
  <si>
    <t>Esfuerzo efectivo
σ'v (kPa)</t>
  </si>
  <si>
    <t>Cohesión
(kg/cm2)</t>
  </si>
  <si>
    <t>Cohesión
(kPa)</t>
  </si>
  <si>
    <t>Observaciones</t>
  </si>
  <si>
    <t>2. Ensayo SPT y corrección por contenido de finos</t>
  </si>
  <si>
    <t>SPT N
(campo)</t>
  </si>
  <si>
    <t>CE
(factor energía)</t>
  </si>
  <si>
    <t>N60</t>
  </si>
  <si>
    <t>FC
(%)</t>
  </si>
  <si>
    <t>Ks</t>
  </si>
  <si>
    <t>N1(60)</t>
  </si>
  <si>
    <t>(N1)60cs</t>
  </si>
  <si>
    <t>CRR</t>
  </si>
  <si>
    <t>3. Constantes de correlación CRR — Hwang, Khoshnevisan, Juang &amp; Lu (2020)</t>
  </si>
  <si>
    <t>A =</t>
  </si>
  <si>
    <t>CRR = A + B·(N1)60cs / [1 − (N1)60cs/C]</t>
  </si>
  <si>
    <t>B =</t>
  </si>
  <si>
    <t>C =</t>
  </si>
  <si>
    <t>4. Parámetros sísmicos por escenario</t>
  </si>
  <si>
    <t>Escenario</t>
  </si>
  <si>
    <t>Mw</t>
  </si>
  <si>
    <t>amax (g)</t>
  </si>
  <si>
    <t>MSF = (Mw/7.5)^-1.8</t>
  </si>
  <si>
    <t>Comentario</t>
  </si>
  <si>
    <t>Escenario A</t>
  </si>
  <si>
    <t>Escenario B</t>
  </si>
  <si>
    <t>Escenario C</t>
  </si>
  <si>
    <t>5. Cálculo de CSR7.5 y Factor de Seguridad  (FS = CRR / CSR7.5)</t>
  </si>
  <si>
    <t>rd</t>
  </si>
  <si>
    <t>CSR7.5</t>
  </si>
  <si>
    <t>FS</t>
  </si>
  <si>
    <t>Resultado</t>
  </si>
  <si>
    <t>Criterio: si FS &lt; 1 → el suelo ES susceptible a licuación. Si FS ≥ 1 → NO licua.</t>
  </si>
  <si>
    <t>M1</t>
  </si>
  <si>
    <t>Arena limosa densa</t>
  </si>
  <si>
    <t>M2</t>
  </si>
  <si>
    <t>Arena limosa suelta</t>
  </si>
  <si>
    <t>M3</t>
  </si>
  <si>
    <t>Arena densa</t>
  </si>
  <si>
    <t>M4</t>
  </si>
  <si>
    <t>Arena limosa muy suelta</t>
  </si>
  <si>
    <t>Sismo de subducción, gran magnitud</t>
  </si>
  <si>
    <t>Sismo cortical moderado</t>
  </si>
  <si>
    <t>Sismo local menor</t>
  </si>
  <si>
    <t>Escenario A  (Mw = 7.8)</t>
  </si>
  <si>
    <t>Escenario B  (Mw = 6.8)</t>
  </si>
  <si>
    <t>Escenario C  (Mw = 5.8)</t>
  </si>
  <si>
    <t>Instrucciones: complete únicamente las celdas resaltadas en amarillo (Ks, N1(60), (N1)60cs, CRR, rd, CSR7.5, FS y Resultado) usando las fórmulas de la hoja 'Metodologia'.</t>
  </si>
  <si>
    <t>Texto azul = dato de entrada (dado)   |   Texto negro = valor calculado con fórmula   |   Celda amarilla = a completar por el estudiante</t>
  </si>
  <si>
    <t xml:space="preserve">TAREA — </t>
  </si>
  <si>
    <t>16.02</t>
  </si>
  <si>
    <t>18.52</t>
  </si>
  <si>
    <t>0.209</t>
  </si>
  <si>
    <t>8.38</t>
  </si>
  <si>
    <t>11.49</t>
  </si>
  <si>
    <t>0.136</t>
  </si>
  <si>
    <t>21.79</t>
  </si>
  <si>
    <t>23.94</t>
  </si>
  <si>
    <t>0.304</t>
  </si>
  <si>
    <t>5.79</t>
  </si>
  <si>
    <t>8.08</t>
  </si>
  <si>
    <t>0.112</t>
  </si>
  <si>
    <t>0.95</t>
  </si>
  <si>
    <t>0.366</t>
  </si>
  <si>
    <t>0.571</t>
  </si>
  <si>
    <t>Licua</t>
  </si>
  <si>
    <t>0.94</t>
  </si>
  <si>
    <t>0.378</t>
  </si>
  <si>
    <t>0.361</t>
  </si>
  <si>
    <t>0.96</t>
  </si>
  <si>
    <t>0.349</t>
  </si>
  <si>
    <t>0.870</t>
  </si>
  <si>
    <t>0.92</t>
  </si>
  <si>
    <t>0.390</t>
  </si>
  <si>
    <t>0.287</t>
  </si>
  <si>
    <t>0.205</t>
  </si>
  <si>
    <t>No licua</t>
  </si>
  <si>
    <t>0.211</t>
  </si>
  <si>
    <t>0.647</t>
  </si>
  <si>
    <t>0.195</t>
  </si>
  <si>
    <t>0.217</t>
  </si>
  <si>
    <t>0.515</t>
  </si>
  <si>
    <t>0.092</t>
  </si>
  <si>
    <t>0.095</t>
  </si>
  <si>
    <t>0.088</t>
  </si>
  <si>
    <t>0.098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</si>
</sst>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color rgb="FF1F4E78"/>
      <name val="Arial"/>
      <charset val="1"/>
    </font>
    <font>
      <b/>
      <sz val="10"/>
      <name val="Arial"/>
      <charset val="1"/>
    </font>
    <font>
      <b/>
      <sz val="16"/>
      <color rgb="FFFFFFFF"/>
      <name val="Arial"/>
      <charset val="1"/>
    </font>
    <font>
      <b/>
      <sz val="10"/>
      <color rgb="FF1F4E78"/>
      <name val="Arial"/>
      <charset val="1"/>
    </font>
    <font>
      <i/>
      <sz val="9"/>
      <color rgb="FF595959"/>
      <name val="Arial"/>
      <charset val="1"/>
    </font>
    <font>
      <i/>
      <sz val="10"/>
      <color rgb="FF404040"/>
      <name val="Arial"/>
      <charset val="1"/>
    </font>
    <font>
      <b/>
      <sz val="11"/>
      <color rgb="FFFFFFFF"/>
      <name val="Arial"/>
      <charset val="1"/>
    </font>
    <font>
      <b/>
      <sz val="9"/>
      <color rgb="FF1F4E78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i/>
      <sz val="9"/>
      <color rgb="FF808080"/>
      <name val="Arial"/>
      <charset val="1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CCFFFF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0" xfId="0" applyFont="1"/>
    <xf numFmtId="0" fontId="2" fillId="0" borderId="0" xfId="0" applyFont="1"/>
    <xf numFmtId="0" fontId="6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165" fontId="1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6" fontId="10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 indent="1"/>
    </xf>
    <xf numFmtId="0" fontId="8" fillId="3" borderId="0" xfId="0" applyFont="1" applyFill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13" fillId="0" borderId="2" xfId="0" applyFont="1" applyBorder="1" applyAlignment="1">
      <alignment horizontal="center" vertical="center" wrapText="1"/>
    </xf>
    <xf numFmtId="3" fontId="13" fillId="0" borderId="2" xfId="0" applyNumberFormat="1" applyFont="1" applyBorder="1" applyAlignment="1">
      <alignment horizontal="center" vertical="center" wrapText="1"/>
    </xf>
    <xf numFmtId="0" fontId="0" fillId="0" borderId="0" xfId="0" applyBorder="1"/>
    <xf numFmtId="0" fontId="13" fillId="0" borderId="0" xfId="0" applyFont="1" applyBorder="1" applyAlignment="1">
      <alignment vertical="center" wrapText="1"/>
    </xf>
    <xf numFmtId="3" fontId="13" fillId="0" borderId="0" xfId="0" applyNumberFormat="1" applyFont="1" applyBorder="1" applyAlignment="1">
      <alignment vertical="center" wrapText="1"/>
    </xf>
  </cellXfs>
  <cellStyles count="1">
    <cellStyle name="Normal" xfId="0" builtinId="0"/>
  </cellStyles>
  <dxfs count="12"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</xdr:col>
      <xdr:colOff>288720</xdr:colOff>
      <xdr:row>9</xdr:row>
      <xdr:rowOff>122400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41120" y="514440"/>
          <a:ext cx="3672000" cy="1455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4</xdr:col>
      <xdr:colOff>10800</xdr:colOff>
      <xdr:row>8</xdr:row>
      <xdr:rowOff>160920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524400" y="514440"/>
          <a:ext cx="3252960" cy="1303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2110680</xdr:colOff>
      <xdr:row>10</xdr:row>
      <xdr:rowOff>123480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41120" y="1847880"/>
          <a:ext cx="2110680" cy="313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1791360</xdr:colOff>
      <xdr:row>10</xdr:row>
      <xdr:rowOff>34560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3524400" y="1847880"/>
          <a:ext cx="1791360" cy="22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2136960</xdr:colOff>
      <xdr:row>17</xdr:row>
      <xdr:rowOff>147960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141120" y="2990880"/>
          <a:ext cx="2136960" cy="528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2702880</xdr:colOff>
      <xdr:row>18</xdr:row>
      <xdr:rowOff>15120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3524400" y="2990880"/>
          <a:ext cx="2702880" cy="586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1262160</xdr:colOff>
      <xdr:row>25</xdr:row>
      <xdr:rowOff>25200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141120" y="4324320"/>
          <a:ext cx="1262160" cy="596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1461240</xdr:colOff>
      <xdr:row>25</xdr:row>
      <xdr:rowOff>19800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3524400" y="4324320"/>
          <a:ext cx="1461240" cy="59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2519640</xdr:colOff>
      <xdr:row>35</xdr:row>
      <xdr:rowOff>19800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141120" y="5657760"/>
          <a:ext cx="2519640" cy="116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304800</xdr:colOff>
      <xdr:row>31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31FD7E0-D4A3-1A49-4EE4-13770660D075}"/>
            </a:ext>
          </a:extLst>
        </xdr:cNvPr>
        <xdr:cNvSpPr>
          <a:spLocks noChangeAspect="1" noChangeArrowheads="1"/>
        </xdr:cNvSpPr>
      </xdr:nvSpPr>
      <xdr:spPr bwMode="auto">
        <a:xfrm>
          <a:off x="3333750" y="584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304800</xdr:colOff>
      <xdr:row>44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7A8713C6-2C36-08C6-6B2E-4BE31E991B2B}"/>
            </a:ext>
          </a:extLst>
        </xdr:cNvPr>
        <xdr:cNvSpPr>
          <a:spLocks noChangeAspect="1" noChangeArrowheads="1"/>
        </xdr:cNvSpPr>
      </xdr:nvSpPr>
      <xdr:spPr bwMode="auto">
        <a:xfrm>
          <a:off x="3333750" y="832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125507</xdr:colOff>
      <xdr:row>25</xdr:row>
      <xdr:rowOff>51547</xdr:rowOff>
    </xdr:from>
    <xdr:to>
      <xdr:col>9</xdr:col>
      <xdr:colOff>443131</xdr:colOff>
      <xdr:row>33</xdr:row>
      <xdr:rowOff>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1AB0A87-D68D-B051-A625-94B112EA4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16407" y="4966447"/>
          <a:ext cx="4584824" cy="14724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H38"/>
  <sheetViews>
    <sheetView showGridLines="0" topLeftCell="A4" zoomScale="70" zoomScaleNormal="70" workbookViewId="0">
      <selection sqref="A1:J39"/>
    </sheetView>
  </sheetViews>
  <sheetFormatPr baseColWidth="10" defaultColWidth="8.5703125" defaultRowHeight="15" x14ac:dyDescent="0.25"/>
  <cols>
    <col min="1" max="1" width="2" customWidth="1"/>
    <col min="2" max="2" width="46" customWidth="1"/>
    <col min="3" max="3" width="2" customWidth="1"/>
    <col min="4" max="4" width="46" customWidth="1"/>
    <col min="5" max="8" width="2" customWidth="1"/>
  </cols>
  <sheetData>
    <row r="1" spans="1:8" ht="25.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</row>
    <row r="2" spans="1:8" x14ac:dyDescent="0.25">
      <c r="B2" s="1" t="s">
        <v>1</v>
      </c>
      <c r="D2" s="1" t="s">
        <v>2</v>
      </c>
    </row>
    <row r="9" spans="1:8" x14ac:dyDescent="0.25">
      <c r="B9" s="1" t="s">
        <v>3</v>
      </c>
      <c r="D9" s="1" t="s">
        <v>4</v>
      </c>
    </row>
    <row r="15" spans="1:8" x14ac:dyDescent="0.25">
      <c r="B15" s="1" t="s">
        <v>5</v>
      </c>
      <c r="D15" s="1" t="s">
        <v>6</v>
      </c>
    </row>
    <row r="22" spans="2:4" x14ac:dyDescent="0.25">
      <c r="B22" s="1" t="s">
        <v>7</v>
      </c>
      <c r="D22" s="1" t="s">
        <v>8</v>
      </c>
    </row>
    <row r="29" spans="2:4" x14ac:dyDescent="0.25">
      <c r="B29" s="1" t="s">
        <v>9</v>
      </c>
    </row>
    <row r="37" spans="2:2" x14ac:dyDescent="0.25">
      <c r="B37" s="2" t="s">
        <v>10</v>
      </c>
    </row>
    <row r="38" spans="2:2" x14ac:dyDescent="0.25">
      <c r="B38" s="3" t="s">
        <v>11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8F00"/>
  </sheetPr>
  <dimension ref="A1:T41"/>
  <sheetViews>
    <sheetView showGridLines="0" tabSelected="1" zoomScale="85" zoomScaleNormal="85" workbookViewId="0">
      <pane ySplit="3" topLeftCell="A13" activePane="bottomLeft" state="frozen"/>
      <selection pane="bottomLeft" activeCell="G47" sqref="G47"/>
    </sheetView>
  </sheetViews>
  <sheetFormatPr baseColWidth="10" defaultColWidth="8.5703125" defaultRowHeight="15" x14ac:dyDescent="0.25"/>
  <cols>
    <col min="1" max="1" width="10" customWidth="1"/>
    <col min="2" max="13" width="12" customWidth="1"/>
  </cols>
  <sheetData>
    <row r="1" spans="1:15" ht="25.5" customHeight="1" x14ac:dyDescent="0.25">
      <c r="A1" s="15" t="s">
        <v>66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5" x14ac:dyDescent="0.25">
      <c r="A2" s="18" t="s">
        <v>64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5" ht="18" customHeight="1" x14ac:dyDescent="0.25">
      <c r="A4" s="16" t="s">
        <v>12</v>
      </c>
      <c r="B4" s="16"/>
      <c r="C4" s="16"/>
      <c r="D4" s="16"/>
      <c r="E4" s="16"/>
      <c r="F4" s="16"/>
      <c r="G4" s="16"/>
      <c r="H4" s="16"/>
    </row>
    <row r="5" spans="1:15" ht="36" x14ac:dyDescent="0.25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</row>
    <row r="6" spans="1:15" x14ac:dyDescent="0.25">
      <c r="A6" s="5" t="s">
        <v>50</v>
      </c>
      <c r="B6" s="6">
        <v>5</v>
      </c>
      <c r="C6" s="7">
        <v>1.9</v>
      </c>
      <c r="D6" s="7">
        <v>93.5</v>
      </c>
      <c r="E6" s="7">
        <v>59.16</v>
      </c>
      <c r="F6" s="7">
        <v>0.3</v>
      </c>
      <c r="G6" s="8">
        <f>F6*98.0665</f>
        <v>29.41995</v>
      </c>
      <c r="H6" s="9" t="s">
        <v>51</v>
      </c>
    </row>
    <row r="7" spans="1:15" x14ac:dyDescent="0.25">
      <c r="A7" s="5" t="s">
        <v>52</v>
      </c>
      <c r="B7" s="6">
        <v>6</v>
      </c>
      <c r="C7" s="7">
        <v>1.75</v>
      </c>
      <c r="D7" s="7">
        <v>112.5</v>
      </c>
      <c r="E7" s="7">
        <v>68.349999999999994</v>
      </c>
      <c r="F7" s="7">
        <v>0.15</v>
      </c>
      <c r="G7" s="8">
        <f>F7*98.0665</f>
        <v>14.709975</v>
      </c>
      <c r="H7" s="9" t="s">
        <v>53</v>
      </c>
    </row>
    <row r="8" spans="1:15" x14ac:dyDescent="0.25">
      <c r="A8" s="5" t="s">
        <v>54</v>
      </c>
      <c r="B8" s="6">
        <v>4</v>
      </c>
      <c r="C8" s="7">
        <v>2.0499999999999998</v>
      </c>
      <c r="D8" s="7">
        <v>74.5</v>
      </c>
      <c r="E8" s="7">
        <v>49.97</v>
      </c>
      <c r="F8" s="7">
        <v>0.42</v>
      </c>
      <c r="G8" s="8">
        <f>F8*98.0665</f>
        <v>41.187930000000001</v>
      </c>
      <c r="H8" s="9" t="s">
        <v>55</v>
      </c>
    </row>
    <row r="9" spans="1:15" x14ac:dyDescent="0.25">
      <c r="A9" s="5" t="s">
        <v>56</v>
      </c>
      <c r="B9" s="6">
        <v>8</v>
      </c>
      <c r="C9" s="7">
        <v>1.65</v>
      </c>
      <c r="D9" s="7">
        <v>150.5</v>
      </c>
      <c r="E9" s="7">
        <v>86.73</v>
      </c>
      <c r="F9" s="7">
        <v>0.05</v>
      </c>
      <c r="G9" s="8">
        <f>F9*98.0665</f>
        <v>4.9033250000000006</v>
      </c>
      <c r="H9" s="9" t="s">
        <v>57</v>
      </c>
    </row>
    <row r="11" spans="1:15" x14ac:dyDescent="0.25">
      <c r="A11" s="10"/>
    </row>
    <row r="13" spans="1:15" ht="18" customHeight="1" x14ac:dyDescent="0.25">
      <c r="A13" s="16" t="s">
        <v>21</v>
      </c>
      <c r="B13" s="16"/>
      <c r="C13" s="16"/>
      <c r="D13" s="16"/>
      <c r="E13" s="16"/>
      <c r="F13" s="16"/>
      <c r="G13" s="16"/>
      <c r="H13" s="16"/>
      <c r="I13" s="16"/>
    </row>
    <row r="14" spans="1:15" ht="36.75" thickBot="1" x14ac:dyDescent="0.3">
      <c r="A14" s="4" t="s">
        <v>13</v>
      </c>
      <c r="B14" s="4" t="s">
        <v>22</v>
      </c>
      <c r="C14" s="4" t="s">
        <v>23</v>
      </c>
      <c r="D14" s="4" t="s">
        <v>24</v>
      </c>
      <c r="E14" s="4" t="s">
        <v>25</v>
      </c>
      <c r="F14" s="4" t="s">
        <v>26</v>
      </c>
      <c r="G14" s="4" t="s">
        <v>27</v>
      </c>
      <c r="H14" s="4" t="s">
        <v>28</v>
      </c>
      <c r="I14" s="4" t="s">
        <v>29</v>
      </c>
      <c r="K14" s="21"/>
      <c r="L14" s="21"/>
      <c r="M14" s="21"/>
      <c r="N14" s="21"/>
      <c r="O14" s="21"/>
    </row>
    <row r="15" spans="1:15" ht="17.25" thickBot="1" x14ac:dyDescent="0.3">
      <c r="A15" s="5" t="s">
        <v>50</v>
      </c>
      <c r="B15" s="7">
        <v>16</v>
      </c>
      <c r="C15" s="7">
        <v>0.77</v>
      </c>
      <c r="D15" s="8">
        <f>B15*C15</f>
        <v>12.32</v>
      </c>
      <c r="E15" s="6">
        <v>15</v>
      </c>
      <c r="F15" s="20">
        <v>1157</v>
      </c>
      <c r="G15" s="19" t="s">
        <v>67</v>
      </c>
      <c r="H15" s="19" t="s">
        <v>68</v>
      </c>
      <c r="I15" s="19" t="s">
        <v>69</v>
      </c>
      <c r="K15" s="22"/>
      <c r="L15" s="23"/>
      <c r="M15" s="22"/>
      <c r="N15" s="22"/>
      <c r="O15" s="22"/>
    </row>
    <row r="16" spans="1:15" ht="17.25" thickBot="1" x14ac:dyDescent="0.3">
      <c r="A16" s="5" t="s">
        <v>52</v>
      </c>
      <c r="B16" s="7">
        <v>9</v>
      </c>
      <c r="C16" s="8">
        <f>$C$15</f>
        <v>0.77</v>
      </c>
      <c r="D16" s="8">
        <f>B16*C16</f>
        <v>6.93</v>
      </c>
      <c r="E16" s="6">
        <v>38</v>
      </c>
      <c r="F16" s="20">
        <v>1370</v>
      </c>
      <c r="G16" s="19" t="s">
        <v>70</v>
      </c>
      <c r="H16" s="19" t="s">
        <v>71</v>
      </c>
      <c r="I16" s="19" t="s">
        <v>72</v>
      </c>
      <c r="K16" s="22"/>
      <c r="L16" s="23"/>
      <c r="M16" s="22"/>
      <c r="N16" s="22"/>
      <c r="O16" s="22"/>
    </row>
    <row r="17" spans="1:15" ht="17.25" thickBot="1" x14ac:dyDescent="0.3">
      <c r="A17" s="5" t="s">
        <v>54</v>
      </c>
      <c r="B17" s="7">
        <v>20</v>
      </c>
      <c r="C17" s="8">
        <f>$C$15</f>
        <v>0.77</v>
      </c>
      <c r="D17" s="8">
        <f>B17*C17</f>
        <v>15.4</v>
      </c>
      <c r="E17" s="6">
        <v>12</v>
      </c>
      <c r="F17" s="20">
        <v>1099</v>
      </c>
      <c r="G17" s="19" t="s">
        <v>73</v>
      </c>
      <c r="H17" s="19" t="s">
        <v>74</v>
      </c>
      <c r="I17" s="19" t="s">
        <v>75</v>
      </c>
      <c r="K17" s="22"/>
      <c r="L17" s="23"/>
      <c r="M17" s="22"/>
      <c r="N17" s="22"/>
      <c r="O17" s="22"/>
    </row>
    <row r="18" spans="1:15" ht="17.25" thickBot="1" x14ac:dyDescent="0.3">
      <c r="A18" s="5" t="s">
        <v>56</v>
      </c>
      <c r="B18" s="7">
        <v>7</v>
      </c>
      <c r="C18" s="8">
        <f>$C$15</f>
        <v>0.77</v>
      </c>
      <c r="D18" s="8">
        <f>B18*C18</f>
        <v>5.3900000000000006</v>
      </c>
      <c r="E18" s="6">
        <v>42</v>
      </c>
      <c r="F18" s="20">
        <v>1396</v>
      </c>
      <c r="G18" s="19" t="s">
        <v>76</v>
      </c>
      <c r="H18" s="19" t="s">
        <v>77</v>
      </c>
      <c r="I18" s="19" t="s">
        <v>78</v>
      </c>
      <c r="K18" s="22"/>
      <c r="L18" s="23"/>
      <c r="M18" s="22"/>
      <c r="N18" s="22"/>
      <c r="O18" s="22"/>
    </row>
    <row r="19" spans="1:15" x14ac:dyDescent="0.25">
      <c r="K19" s="21"/>
      <c r="L19" s="21"/>
      <c r="M19" s="21"/>
      <c r="N19" s="21"/>
      <c r="O19" s="21"/>
    </row>
    <row r="20" spans="1:15" ht="18" customHeight="1" x14ac:dyDescent="0.25">
      <c r="A20" s="16" t="s">
        <v>30</v>
      </c>
      <c r="B20" s="16"/>
      <c r="C20" s="16"/>
      <c r="K20" s="21"/>
      <c r="L20" s="21"/>
      <c r="M20" s="21"/>
      <c r="N20" s="21"/>
      <c r="O20" s="21"/>
    </row>
    <row r="21" spans="1:15" x14ac:dyDescent="0.25">
      <c r="A21" s="12" t="s">
        <v>31</v>
      </c>
      <c r="B21" s="13">
        <v>7.0000000000000007E-2</v>
      </c>
      <c r="C21" s="12" t="s">
        <v>32</v>
      </c>
    </row>
    <row r="22" spans="1:15" x14ac:dyDescent="0.25">
      <c r="A22" s="12" t="s">
        <v>33</v>
      </c>
      <c r="B22" s="13">
        <v>4.1999999999999997E-3</v>
      </c>
    </row>
    <row r="23" spans="1:15" x14ac:dyDescent="0.25">
      <c r="A23" s="12" t="s">
        <v>34</v>
      </c>
      <c r="B23" s="6">
        <v>42</v>
      </c>
    </row>
    <row r="25" spans="1:15" ht="18" customHeight="1" x14ac:dyDescent="0.25">
      <c r="A25" s="16" t="s">
        <v>35</v>
      </c>
      <c r="B25" s="16"/>
      <c r="C25" s="16"/>
      <c r="D25" s="16"/>
      <c r="E25" s="16"/>
    </row>
    <row r="26" spans="1:15" ht="24" x14ac:dyDescent="0.25">
      <c r="A26" s="4" t="s">
        <v>36</v>
      </c>
      <c r="B26" s="4" t="s">
        <v>37</v>
      </c>
      <c r="C26" s="4" t="s">
        <v>38</v>
      </c>
      <c r="D26" s="4" t="s">
        <v>39</v>
      </c>
      <c r="E26" s="4" t="s">
        <v>40</v>
      </c>
    </row>
    <row r="27" spans="1:15" x14ac:dyDescent="0.25">
      <c r="A27" s="9" t="s">
        <v>41</v>
      </c>
      <c r="B27" s="6">
        <v>7.8</v>
      </c>
      <c r="C27" s="7">
        <v>0.35</v>
      </c>
      <c r="D27" s="11">
        <f>(B27/7.5)^-1.8</f>
        <v>0.93183708257941211</v>
      </c>
      <c r="E27" s="9" t="s">
        <v>58</v>
      </c>
    </row>
    <row r="28" spans="1:15" x14ac:dyDescent="0.25">
      <c r="A28" s="9" t="s">
        <v>42</v>
      </c>
      <c r="B28" s="6">
        <v>6.8</v>
      </c>
      <c r="C28" s="7">
        <v>0.25</v>
      </c>
      <c r="D28" s="11">
        <f>(B28/7.5)^-1.8</f>
        <v>1.1928730619293144</v>
      </c>
      <c r="E28" s="9" t="s">
        <v>59</v>
      </c>
    </row>
    <row r="29" spans="1:15" x14ac:dyDescent="0.25">
      <c r="A29" s="9" t="s">
        <v>43</v>
      </c>
      <c r="B29" s="6">
        <v>5.8</v>
      </c>
      <c r="C29" s="7">
        <v>0.15</v>
      </c>
      <c r="D29" s="11">
        <f>(B29/7.5)^-1.8</f>
        <v>1.588326879858764</v>
      </c>
      <c r="E29" s="9" t="s">
        <v>60</v>
      </c>
    </row>
    <row r="32" spans="1:15" ht="18" customHeight="1" x14ac:dyDescent="0.25">
      <c r="A32" s="16" t="s">
        <v>44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 spans="1:20" x14ac:dyDescent="0.25">
      <c r="B33" s="17" t="s">
        <v>61</v>
      </c>
      <c r="C33" s="17"/>
      <c r="D33" s="17"/>
      <c r="E33" s="17"/>
      <c r="F33" s="17" t="s">
        <v>62</v>
      </c>
      <c r="G33" s="17"/>
      <c r="H33" s="17"/>
      <c r="I33" s="17"/>
      <c r="J33" s="17" t="s">
        <v>63</v>
      </c>
      <c r="K33" s="17"/>
      <c r="L33" s="17"/>
      <c r="M33" s="17"/>
      <c r="O33" s="21"/>
      <c r="P33" s="21"/>
      <c r="Q33" s="21"/>
      <c r="R33" s="21"/>
      <c r="S33" s="21"/>
      <c r="T33" s="21"/>
    </row>
    <row r="34" spans="1:20" ht="15.75" thickBot="1" x14ac:dyDescent="0.3">
      <c r="A34" s="4" t="s">
        <v>13</v>
      </c>
      <c r="B34" s="4" t="s">
        <v>45</v>
      </c>
      <c r="C34" s="4" t="s">
        <v>46</v>
      </c>
      <c r="D34" s="4" t="s">
        <v>47</v>
      </c>
      <c r="E34" s="4" t="s">
        <v>48</v>
      </c>
      <c r="F34" s="4" t="s">
        <v>45</v>
      </c>
      <c r="G34" s="4" t="s">
        <v>46</v>
      </c>
      <c r="H34" s="4" t="s">
        <v>47</v>
      </c>
      <c r="I34" s="4" t="s">
        <v>48</v>
      </c>
      <c r="J34" s="4" t="s">
        <v>45</v>
      </c>
      <c r="K34" s="4" t="s">
        <v>46</v>
      </c>
      <c r="L34" s="4" t="s">
        <v>47</v>
      </c>
      <c r="M34" s="4" t="s">
        <v>48</v>
      </c>
      <c r="O34" s="21"/>
      <c r="P34" s="21"/>
      <c r="Q34" s="21"/>
      <c r="R34" s="21"/>
      <c r="S34" s="21"/>
      <c r="T34" s="21"/>
    </row>
    <row r="35" spans="1:20" ht="17.25" thickBot="1" x14ac:dyDescent="0.3">
      <c r="A35" s="5" t="s">
        <v>50</v>
      </c>
      <c r="B35" s="19" t="s">
        <v>79</v>
      </c>
      <c r="C35" s="19" t="s">
        <v>80</v>
      </c>
      <c r="D35" s="19" t="s">
        <v>81</v>
      </c>
      <c r="E35" s="19" t="s">
        <v>82</v>
      </c>
      <c r="F35" s="19" t="s">
        <v>79</v>
      </c>
      <c r="G35" s="19" t="s">
        <v>92</v>
      </c>
      <c r="H35" s="20">
        <v>1023</v>
      </c>
      <c r="I35" s="19" t="s">
        <v>93</v>
      </c>
      <c r="J35" s="19" t="s">
        <v>79</v>
      </c>
      <c r="K35" s="19" t="s">
        <v>99</v>
      </c>
      <c r="L35" s="20">
        <v>2269</v>
      </c>
      <c r="M35" s="19" t="s">
        <v>93</v>
      </c>
      <c r="O35" s="22"/>
      <c r="P35" s="22"/>
      <c r="Q35" s="22"/>
      <c r="R35" s="23"/>
      <c r="S35" s="22"/>
      <c r="T35" s="21"/>
    </row>
    <row r="36" spans="1:20" ht="17.25" thickBot="1" x14ac:dyDescent="0.3">
      <c r="A36" s="5" t="s">
        <v>52</v>
      </c>
      <c r="B36" s="19" t="s">
        <v>83</v>
      </c>
      <c r="C36" s="19" t="s">
        <v>84</v>
      </c>
      <c r="D36" s="19" t="s">
        <v>85</v>
      </c>
      <c r="E36" s="19" t="s">
        <v>82</v>
      </c>
      <c r="F36" s="19" t="s">
        <v>83</v>
      </c>
      <c r="G36" s="19" t="s">
        <v>94</v>
      </c>
      <c r="H36" s="19" t="s">
        <v>95</v>
      </c>
      <c r="I36" s="19" t="s">
        <v>82</v>
      </c>
      <c r="J36" s="19" t="s">
        <v>83</v>
      </c>
      <c r="K36" s="19" t="s">
        <v>100</v>
      </c>
      <c r="L36" s="20">
        <v>1436</v>
      </c>
      <c r="M36" s="19" t="s">
        <v>93</v>
      </c>
      <c r="O36" s="22"/>
      <c r="P36" s="22"/>
      <c r="Q36" s="22"/>
      <c r="R36" s="23"/>
      <c r="S36" s="22"/>
      <c r="T36" s="21"/>
    </row>
    <row r="37" spans="1:20" ht="17.25" thickBot="1" x14ac:dyDescent="0.3">
      <c r="A37" s="5" t="s">
        <v>54</v>
      </c>
      <c r="B37" s="19" t="s">
        <v>86</v>
      </c>
      <c r="C37" s="19" t="s">
        <v>87</v>
      </c>
      <c r="D37" s="19" t="s">
        <v>88</v>
      </c>
      <c r="E37" s="19" t="s">
        <v>82</v>
      </c>
      <c r="F37" s="19" t="s">
        <v>86</v>
      </c>
      <c r="G37" s="19" t="s">
        <v>96</v>
      </c>
      <c r="H37" s="20">
        <v>1559</v>
      </c>
      <c r="I37" s="19" t="s">
        <v>93</v>
      </c>
      <c r="J37" s="19" t="s">
        <v>86</v>
      </c>
      <c r="K37" s="19" t="s">
        <v>101</v>
      </c>
      <c r="L37" s="20">
        <v>3458</v>
      </c>
      <c r="M37" s="19" t="s">
        <v>93</v>
      </c>
      <c r="O37" s="22"/>
      <c r="P37" s="22"/>
      <c r="Q37" s="22"/>
      <c r="R37" s="23"/>
      <c r="S37" s="22"/>
      <c r="T37" s="21"/>
    </row>
    <row r="38" spans="1:20" ht="17.25" thickBot="1" x14ac:dyDescent="0.3">
      <c r="A38" s="5" t="s">
        <v>56</v>
      </c>
      <c r="B38" s="19" t="s">
        <v>89</v>
      </c>
      <c r="C38" s="19" t="s">
        <v>90</v>
      </c>
      <c r="D38" s="19" t="s">
        <v>91</v>
      </c>
      <c r="E38" s="19" t="s">
        <v>82</v>
      </c>
      <c r="F38" s="19" t="s">
        <v>89</v>
      </c>
      <c r="G38" s="19" t="s">
        <v>97</v>
      </c>
      <c r="H38" s="19" t="s">
        <v>98</v>
      </c>
      <c r="I38" s="19" t="s">
        <v>82</v>
      </c>
      <c r="J38" s="19" t="s">
        <v>89</v>
      </c>
      <c r="K38" s="19" t="s">
        <v>102</v>
      </c>
      <c r="L38" s="20">
        <v>1143</v>
      </c>
      <c r="M38" s="19" t="s">
        <v>93</v>
      </c>
      <c r="O38" s="22"/>
      <c r="P38" s="22"/>
      <c r="Q38" s="22"/>
      <c r="R38" s="23"/>
      <c r="S38" s="22"/>
      <c r="T38" s="21"/>
    </row>
    <row r="39" spans="1:20" x14ac:dyDescent="0.25">
      <c r="O39" s="21"/>
      <c r="P39" s="21"/>
      <c r="Q39" s="21"/>
      <c r="R39" s="21"/>
      <c r="S39" s="21"/>
      <c r="T39" s="21"/>
    </row>
    <row r="40" spans="1:20" x14ac:dyDescent="0.25">
      <c r="A40" s="14" t="s">
        <v>49</v>
      </c>
      <c r="O40" s="21"/>
      <c r="P40" s="21"/>
      <c r="Q40" s="21"/>
      <c r="R40" s="21"/>
      <c r="S40" s="21"/>
      <c r="T40" s="21"/>
    </row>
    <row r="41" spans="1:20" x14ac:dyDescent="0.25">
      <c r="A41" s="12" t="s">
        <v>65</v>
      </c>
    </row>
  </sheetData>
  <mergeCells count="10">
    <mergeCell ref="A1:M1"/>
    <mergeCell ref="A2:M2"/>
    <mergeCell ref="A4:H4"/>
    <mergeCell ref="A13:I13"/>
    <mergeCell ref="A20:C20"/>
    <mergeCell ref="A25:E25"/>
    <mergeCell ref="A32:M32"/>
    <mergeCell ref="B33:E33"/>
    <mergeCell ref="F33:I33"/>
    <mergeCell ref="J33:M33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Metodologia</vt:lpstr>
      <vt:lpstr>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Ivan Carreto</cp:lastModifiedBy>
  <cp:revision>0</cp:revision>
  <dcterms:created xsi:type="dcterms:W3CDTF">2026-07-18T13:08:34Z</dcterms:created>
  <dcterms:modified xsi:type="dcterms:W3CDTF">2026-07-18T15:38:56Z</dcterms:modified>
  <dc:language>en-US</dc:language>
</cp:coreProperties>
</file>