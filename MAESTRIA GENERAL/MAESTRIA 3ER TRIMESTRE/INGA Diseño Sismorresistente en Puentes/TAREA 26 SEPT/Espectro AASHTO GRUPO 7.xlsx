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van\Downloads\"/>
    </mc:Choice>
  </mc:AlternateContent>
  <xr:revisionPtr revIDLastSave="0" documentId="13_ncr:1_{F5FBC96B-EF40-479F-94A8-15F6FF39895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arametros" sheetId="1" r:id="rId1"/>
    <sheet name="Espectro AASHTO" sheetId="2" r:id="rId2"/>
  </sheets>
  <calcPr calcId="191028" forceFullCalc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2" l="1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<sst xmlns="http://schemas.openxmlformats.org/spreadsheetml/2006/main" count="43" uniqueCount="35">
  <si>
    <t>4. Demanda Sísmica y Condiciones de Sitio</t>
  </si>
  <si>
    <t>Categoría Operativa: Puente "Normal" (período de retorno de 1,000 años)</t>
  </si>
  <si>
    <t>Perfil de Suelo: Tipo D (Perfil de suelo rígido)</t>
  </si>
  <si>
    <t>Espectro de Diseño</t>
  </si>
  <si>
    <t>Parámetro</t>
  </si>
  <si>
    <t>Valor</t>
  </si>
  <si>
    <t>Unidad</t>
  </si>
  <si>
    <t>Descripción</t>
  </si>
  <si>
    <t>PGA</t>
  </si>
  <si>
    <t>g</t>
  </si>
  <si>
    <t>Aceleración pico en roca</t>
  </si>
  <si>
    <t>Sₛ</t>
  </si>
  <si>
    <t>Aceleración espectral a 0.2s</t>
  </si>
  <si>
    <t>S₁</t>
  </si>
  <si>
    <t>Aceleración espectral a 1.0s</t>
  </si>
  <si>
    <t>F₍PGA₎</t>
  </si>
  <si>
    <t>-</t>
  </si>
  <si>
    <t>Factor de sitio para PGA (Suelo D)</t>
  </si>
  <si>
    <t>Fₐ</t>
  </si>
  <si>
    <t>Factor de sitio para Ss (Suelo D)</t>
  </si>
  <si>
    <t>Fᵥ</t>
  </si>
  <si>
    <t>Factor de sitio para S1 (Suelo D)</t>
  </si>
  <si>
    <t>Aₛ</t>
  </si>
  <si>
    <t>Punto inicial: F_PGA * PGA</t>
  </si>
  <si>
    <t>S_DS</t>
  </si>
  <si>
    <t>Meseta corta: F_a * Ss</t>
  </si>
  <si>
    <t>S_D1</t>
  </si>
  <si>
    <t>Caída a 1s: F_v * S1</t>
  </si>
  <si>
    <t>Tₛ</t>
  </si>
  <si>
    <t>s</t>
  </si>
  <si>
    <t>Período de transición: SD1 / SDS</t>
  </si>
  <si>
    <t>T₀</t>
  </si>
  <si>
    <t>Período inicial: 0.2 * Ts</t>
  </si>
  <si>
    <t>Período T (s)</t>
  </si>
  <si>
    <t>Csm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</si>
</sst>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00"/>
  </numFmts>
  <fonts count="5">
    <font>
      <sz val="11"/>
      <color theme="1"/>
      <name val="Calibri"/>
      <family val="2"/>
      <scheme val="minor"/>
    </font>
    <font>
      <b/>
      <sz val="20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3A63"/>
      </patternFill>
    </fill>
    <fill>
      <patternFill patternType="solid">
        <fgColor rgb="FFDCE6F7"/>
      </patternFill>
    </fill>
  </fills>
  <borders count="3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GT"/>
              <a:t>Espectro de Diseño AASHTO LRFD (Suelo Tipo D)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28575">
              <a:solidFill>
                <a:srgbClr val="17365D"/>
              </a:solidFill>
              <a:prstDash val="solid"/>
            </a:ln>
          </c:spPr>
          <c:marker>
            <c:symbol val="none"/>
          </c:marker>
          <c:xVal>
            <c:numRef>
              <c:f>'Espectro AASHTO'!$A$2:$A$62</c:f>
              <c:numCache>
                <c:formatCode>0.00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</c:numCache>
            </c:numRef>
          </c:xVal>
          <c:yVal>
            <c:numRef>
              <c:f>'Espectro AASHTO'!$B$2:$B$62</c:f>
              <c:numCache>
                <c:formatCode>0.000</c:formatCode>
                <c:ptCount val="61"/>
                <c:pt idx="0">
                  <c:v>0.5</c:v>
                </c:pt>
                <c:pt idx="1">
                  <c:v>0.8125</c:v>
                </c:pt>
                <c:pt idx="2">
                  <c:v>1.125</c:v>
                </c:pt>
                <c:pt idx="3">
                  <c:v>1.25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1.25</c:v>
                </c:pt>
                <c:pt idx="11">
                  <c:v>1.25</c:v>
                </c:pt>
                <c:pt idx="12">
                  <c:v>1.25</c:v>
                </c:pt>
                <c:pt idx="13">
                  <c:v>1.1538461538461537</c:v>
                </c:pt>
                <c:pt idx="14">
                  <c:v>1.0714285714285714</c:v>
                </c:pt>
                <c:pt idx="15">
                  <c:v>1</c:v>
                </c:pt>
                <c:pt idx="16">
                  <c:v>0.9375</c:v>
                </c:pt>
                <c:pt idx="17">
                  <c:v>0.88235294117647045</c:v>
                </c:pt>
                <c:pt idx="18">
                  <c:v>0.83333333333333326</c:v>
                </c:pt>
                <c:pt idx="19">
                  <c:v>0.78947368421052622</c:v>
                </c:pt>
                <c:pt idx="20">
                  <c:v>0.75</c:v>
                </c:pt>
                <c:pt idx="21">
                  <c:v>0.7142857142857143</c:v>
                </c:pt>
                <c:pt idx="22">
                  <c:v>0.68181818181818177</c:v>
                </c:pt>
                <c:pt idx="23">
                  <c:v>0.65217391304347827</c:v>
                </c:pt>
                <c:pt idx="24">
                  <c:v>0.625</c:v>
                </c:pt>
                <c:pt idx="25">
                  <c:v>0.6</c:v>
                </c:pt>
                <c:pt idx="26">
                  <c:v>0.57692307692307687</c:v>
                </c:pt>
                <c:pt idx="27">
                  <c:v>0.55555555555555547</c:v>
                </c:pt>
                <c:pt idx="28">
                  <c:v>0.5357142857142857</c:v>
                </c:pt>
                <c:pt idx="29">
                  <c:v>0.51724137931034486</c:v>
                </c:pt>
                <c:pt idx="30">
                  <c:v>0.5</c:v>
                </c:pt>
                <c:pt idx="31">
                  <c:v>0.48387096774193544</c:v>
                </c:pt>
                <c:pt idx="32">
                  <c:v>0.46875</c:v>
                </c:pt>
                <c:pt idx="33">
                  <c:v>0.45454545454545459</c:v>
                </c:pt>
                <c:pt idx="34">
                  <c:v>0.44117647058823528</c:v>
                </c:pt>
                <c:pt idx="35">
                  <c:v>0.42857142857142855</c:v>
                </c:pt>
                <c:pt idx="36">
                  <c:v>0.41666666666666663</c:v>
                </c:pt>
                <c:pt idx="37">
                  <c:v>0.40540540540540537</c:v>
                </c:pt>
                <c:pt idx="38">
                  <c:v>0.39473684210526316</c:v>
                </c:pt>
                <c:pt idx="39">
                  <c:v>0.38461538461538464</c:v>
                </c:pt>
                <c:pt idx="40">
                  <c:v>0.375</c:v>
                </c:pt>
                <c:pt idx="41">
                  <c:v>0.36585365853658541</c:v>
                </c:pt>
                <c:pt idx="42">
                  <c:v>0.35714285714285715</c:v>
                </c:pt>
                <c:pt idx="43">
                  <c:v>0.34883720930232559</c:v>
                </c:pt>
                <c:pt idx="44">
                  <c:v>0.34090909090909088</c:v>
                </c:pt>
                <c:pt idx="45">
                  <c:v>0.33333333333333331</c:v>
                </c:pt>
                <c:pt idx="46">
                  <c:v>0.32608695652173914</c:v>
                </c:pt>
                <c:pt idx="47">
                  <c:v>0.31914893617021273</c:v>
                </c:pt>
                <c:pt idx="48">
                  <c:v>0.3125</c:v>
                </c:pt>
                <c:pt idx="49">
                  <c:v>0.30612244897959179</c:v>
                </c:pt>
                <c:pt idx="50">
                  <c:v>0.3</c:v>
                </c:pt>
                <c:pt idx="51">
                  <c:v>0.29411764705882354</c:v>
                </c:pt>
                <c:pt idx="52">
                  <c:v>0.28846153846153844</c:v>
                </c:pt>
                <c:pt idx="53">
                  <c:v>0.28301886792452829</c:v>
                </c:pt>
                <c:pt idx="54">
                  <c:v>0.27777777777777773</c:v>
                </c:pt>
                <c:pt idx="55">
                  <c:v>0.27272727272727271</c:v>
                </c:pt>
                <c:pt idx="56">
                  <c:v>0.26785714285714285</c:v>
                </c:pt>
                <c:pt idx="57">
                  <c:v>0.26315789473684209</c:v>
                </c:pt>
                <c:pt idx="58">
                  <c:v>0.25862068965517243</c:v>
                </c:pt>
                <c:pt idx="59">
                  <c:v>0.25423728813559321</c:v>
                </c:pt>
                <c:pt idx="60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C9-4154-A9EF-2DFA52793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.5"/>
          <c:min val="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Período Estructural T (s)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20"/>
        <c:crosses val="autoZero"/>
        <c:crossBetween val="midCat"/>
        <c:majorUnit val="0.5"/>
      </c:valAx>
      <c:valAx>
        <c:axId val="20"/>
        <c:scaling>
          <c:orientation val="minMax"/>
          <c:max val="1.4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GT"/>
                  <a:t>Coeficiente de Respuesta Elástica Csm (g)</a:t>
                </a:r>
              </a:p>
            </c:rich>
          </c:tx>
          <c:overlay val="1"/>
        </c:title>
        <c:numFmt formatCode="0.000" sourceLinked="0"/>
        <c:majorTickMark val="none"/>
        <c:minorTickMark val="none"/>
        <c:tickLblPos val="nextTo"/>
        <c:crossAx val="10"/>
        <c:crosses val="autoZero"/>
        <c:crossBetween val="midCat"/>
        <c:majorUnit val="0.2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9180000" cy="52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4"/>
  <sheetViews>
    <sheetView topLeftCell="A7" workbookViewId="0">
      <selection activeCell="H11" sqref="H11"/>
    </sheetView>
  </sheetViews>
  <sheetFormatPr baseColWidth="10" defaultColWidth="9.140625" defaultRowHeight="15"/>
  <cols>
    <col min="1" max="1" width="5" customWidth="1"/>
    <col min="2" max="3" width="14" customWidth="1"/>
    <col min="4" max="4" width="11" customWidth="1"/>
    <col min="5" max="5" width="42" customWidth="1"/>
    <col min="6" max="6" width="4" customWidth="1"/>
  </cols>
  <sheetData>
    <row r="1" spans="2:5" ht="20.100000000000001" customHeight="1"/>
    <row r="2" spans="2:5" ht="20.100000000000001" customHeight="1"/>
    <row r="3" spans="2:5" ht="20.100000000000001" customHeight="1"/>
    <row r="4" spans="2:5" ht="27.95" customHeight="1">
      <c r="B4" s="13" t="s">
        <v>0</v>
      </c>
      <c r="C4" s="12"/>
      <c r="D4" s="12"/>
      <c r="E4" s="12"/>
    </row>
    <row r="5" spans="2:5" ht="20.100000000000001" customHeight="1"/>
    <row r="6" spans="2:5" ht="20.100000000000001" customHeight="1">
      <c r="B6" s="11" t="s">
        <v>1</v>
      </c>
      <c r="C6" s="12"/>
      <c r="D6" s="12"/>
      <c r="E6" s="12"/>
    </row>
    <row r="7" spans="2:5" ht="20.100000000000001" customHeight="1">
      <c r="B7" s="11" t="s">
        <v>2</v>
      </c>
      <c r="C7" s="12"/>
      <c r="D7" s="12"/>
      <c r="E7" s="12"/>
    </row>
    <row r="8" spans="2:5" ht="20.100000000000001" customHeight="1">
      <c r="B8" s="11" t="s">
        <v>3</v>
      </c>
      <c r="C8" s="12"/>
      <c r="D8" s="12"/>
      <c r="E8" s="12"/>
    </row>
    <row r="9" spans="2:5" ht="20.100000000000001" customHeight="1"/>
    <row r="10" spans="2:5" ht="20.100000000000001" customHeight="1">
      <c r="B10" s="1" t="s">
        <v>4</v>
      </c>
      <c r="C10" s="1" t="s">
        <v>5</v>
      </c>
      <c r="D10" s="1" t="s">
        <v>6</v>
      </c>
      <c r="E10" s="1" t="s">
        <v>7</v>
      </c>
    </row>
    <row r="11" spans="2:5" ht="20.100000000000001" customHeight="1">
      <c r="B11" s="2" t="s">
        <v>8</v>
      </c>
      <c r="C11" s="3">
        <v>0.5</v>
      </c>
      <c r="D11" s="2" t="s">
        <v>9</v>
      </c>
      <c r="E11" s="4" t="s">
        <v>10</v>
      </c>
    </row>
    <row r="12" spans="2:5" ht="20.100000000000001" customHeight="1">
      <c r="B12" s="2" t="s">
        <v>11</v>
      </c>
      <c r="C12" s="3">
        <v>1.25</v>
      </c>
      <c r="D12" s="2" t="s">
        <v>9</v>
      </c>
      <c r="E12" s="4" t="s">
        <v>12</v>
      </c>
    </row>
    <row r="13" spans="2:5" ht="20.100000000000001" customHeight="1">
      <c r="B13" s="2" t="s">
        <v>13</v>
      </c>
      <c r="C13" s="3">
        <v>0.5</v>
      </c>
      <c r="D13" s="2" t="s">
        <v>9</v>
      </c>
      <c r="E13" s="4" t="s">
        <v>14</v>
      </c>
    </row>
    <row r="14" spans="2:5" ht="20.100000000000001" customHeight="1">
      <c r="B14" s="2" t="s">
        <v>15</v>
      </c>
      <c r="C14" s="3">
        <v>1</v>
      </c>
      <c r="D14" s="2" t="s">
        <v>16</v>
      </c>
      <c r="E14" s="4" t="s">
        <v>17</v>
      </c>
    </row>
    <row r="15" spans="2:5" ht="20.100000000000001" customHeight="1">
      <c r="B15" s="2" t="s">
        <v>18</v>
      </c>
      <c r="C15" s="3">
        <v>1</v>
      </c>
      <c r="D15" s="2" t="s">
        <v>16</v>
      </c>
      <c r="E15" s="4" t="s">
        <v>19</v>
      </c>
    </row>
    <row r="16" spans="2:5" ht="20.100000000000001" customHeight="1">
      <c r="B16" s="2" t="s">
        <v>20</v>
      </c>
      <c r="C16" s="3">
        <v>1.5</v>
      </c>
      <c r="D16" s="2" t="s">
        <v>16</v>
      </c>
      <c r="E16" s="4" t="s">
        <v>21</v>
      </c>
    </row>
    <row r="17" spans="2:5" ht="20.100000000000001" customHeight="1">
      <c r="B17" s="5" t="s">
        <v>22</v>
      </c>
      <c r="C17" s="6">
        <v>0.5</v>
      </c>
      <c r="D17" s="5" t="s">
        <v>9</v>
      </c>
      <c r="E17" s="7" t="s">
        <v>23</v>
      </c>
    </row>
    <row r="18" spans="2:5" ht="20.100000000000001" customHeight="1">
      <c r="B18" s="5" t="s">
        <v>24</v>
      </c>
      <c r="C18" s="6">
        <v>1.25</v>
      </c>
      <c r="D18" s="5" t="s">
        <v>9</v>
      </c>
      <c r="E18" s="7" t="s">
        <v>25</v>
      </c>
    </row>
    <row r="19" spans="2:5" ht="20.100000000000001" customHeight="1">
      <c r="B19" s="5" t="s">
        <v>26</v>
      </c>
      <c r="C19" s="6">
        <v>0.75</v>
      </c>
      <c r="D19" s="5" t="s">
        <v>9</v>
      </c>
      <c r="E19" s="7" t="s">
        <v>27</v>
      </c>
    </row>
    <row r="20" spans="2:5" ht="20.100000000000001" customHeight="1">
      <c r="B20" s="5" t="s">
        <v>28</v>
      </c>
      <c r="C20" s="6">
        <v>0.6</v>
      </c>
      <c r="D20" s="5" t="s">
        <v>29</v>
      </c>
      <c r="E20" s="7" t="s">
        <v>30</v>
      </c>
    </row>
    <row r="21" spans="2:5" ht="20.100000000000001" customHeight="1">
      <c r="B21" s="5" t="s">
        <v>31</v>
      </c>
      <c r="C21" s="6">
        <v>0.12</v>
      </c>
      <c r="D21" s="5" t="s">
        <v>29</v>
      </c>
      <c r="E21" s="7" t="s">
        <v>32</v>
      </c>
    </row>
    <row r="22" spans="2:5" ht="20.100000000000001" customHeight="1"/>
    <row r="23" spans="2:5" ht="20.100000000000001" customHeight="1"/>
    <row r="24" spans="2:5" ht="20.100000000000001" customHeight="1"/>
  </sheetData>
  <mergeCells count="4">
    <mergeCell ref="B8:E8"/>
    <mergeCell ref="B7:E7"/>
    <mergeCell ref="B6:E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workbookViewId="0">
      <pane ySplit="1" topLeftCell="A14" activePane="bottomLeft" state="frozen"/>
      <selection pane="bottomLeft"/>
    </sheetView>
  </sheetViews>
  <sheetFormatPr baseColWidth="10" defaultColWidth="9.140625" defaultRowHeight="15"/>
  <cols>
    <col min="1" max="1" width="15" customWidth="1"/>
    <col min="2" max="2" width="16" customWidth="1"/>
    <col min="3" max="14" width="8" customWidth="1"/>
  </cols>
  <sheetData>
    <row r="1" spans="1:2" ht="21.95" customHeight="1">
      <c r="A1" s="8" t="s">
        <v>33</v>
      </c>
      <c r="B1" s="8" t="s">
        <v>34</v>
      </c>
    </row>
    <row r="2" spans="1:2">
      <c r="A2" s="9">
        <v>0</v>
      </c>
      <c r="B2" s="10">
        <f>IF(A2&lt;Parametros!$C$21,Parametros!$C$17+(Parametros!$C$18-Parametros!$C$17)*(A2/Parametros!$C$21),IF(A2&lt;=Parametros!$C$20,Parametros!$C$18,Parametros!$C$19/A2))</f>
        <v>0.5</v>
      </c>
    </row>
    <row r="3" spans="1:2">
      <c r="A3" s="9">
        <v>0.05</v>
      </c>
      <c r="B3" s="10">
        <f>IF(A3&lt;Parametros!$C$21,Parametros!$C$17+(Parametros!$C$18-Parametros!$C$17)*(A3/Parametros!$C$21),IF(A3&lt;=Parametros!$C$20,Parametros!$C$18,Parametros!$C$19/A3))</f>
        <v>0.8125</v>
      </c>
    </row>
    <row r="4" spans="1:2">
      <c r="A4" s="9">
        <v>0.1</v>
      </c>
      <c r="B4" s="10">
        <f>IF(A4&lt;Parametros!$C$21,Parametros!$C$17+(Parametros!$C$18-Parametros!$C$17)*(A4/Parametros!$C$21),IF(A4&lt;=Parametros!$C$20,Parametros!$C$18,Parametros!$C$19/A4))</f>
        <v>1.125</v>
      </c>
    </row>
    <row r="5" spans="1:2">
      <c r="A5" s="9">
        <v>0.15</v>
      </c>
      <c r="B5" s="10">
        <f>IF(A5&lt;Parametros!$C$21,Parametros!$C$17+(Parametros!$C$18-Parametros!$C$17)*(A5/Parametros!$C$21),IF(A5&lt;=Parametros!$C$20,Parametros!$C$18,Parametros!$C$19/A5))</f>
        <v>1.25</v>
      </c>
    </row>
    <row r="6" spans="1:2">
      <c r="A6" s="9">
        <v>0.2</v>
      </c>
      <c r="B6" s="10">
        <f>IF(A6&lt;Parametros!$C$21,Parametros!$C$17+(Parametros!$C$18-Parametros!$C$17)*(A6/Parametros!$C$21),IF(A6&lt;=Parametros!$C$20,Parametros!$C$18,Parametros!$C$19/A6))</f>
        <v>1.25</v>
      </c>
    </row>
    <row r="7" spans="1:2">
      <c r="A7" s="9">
        <v>0.25</v>
      </c>
      <c r="B7" s="10">
        <f>IF(A7&lt;Parametros!$C$21,Parametros!$C$17+(Parametros!$C$18-Parametros!$C$17)*(A7/Parametros!$C$21),IF(A7&lt;=Parametros!$C$20,Parametros!$C$18,Parametros!$C$19/A7))</f>
        <v>1.25</v>
      </c>
    </row>
    <row r="8" spans="1:2">
      <c r="A8" s="9">
        <v>0.3</v>
      </c>
      <c r="B8" s="10">
        <f>IF(A8&lt;Parametros!$C$21,Parametros!$C$17+(Parametros!$C$18-Parametros!$C$17)*(A8/Parametros!$C$21),IF(A8&lt;=Parametros!$C$20,Parametros!$C$18,Parametros!$C$19/A8))</f>
        <v>1.25</v>
      </c>
    </row>
    <row r="9" spans="1:2">
      <c r="A9" s="9">
        <v>0.35</v>
      </c>
      <c r="B9" s="10">
        <f>IF(A9&lt;Parametros!$C$21,Parametros!$C$17+(Parametros!$C$18-Parametros!$C$17)*(A9/Parametros!$C$21),IF(A9&lt;=Parametros!$C$20,Parametros!$C$18,Parametros!$C$19/A9))</f>
        <v>1.25</v>
      </c>
    </row>
    <row r="10" spans="1:2">
      <c r="A10" s="9">
        <v>0.4</v>
      </c>
      <c r="B10" s="10">
        <f>IF(A10&lt;Parametros!$C$21,Parametros!$C$17+(Parametros!$C$18-Parametros!$C$17)*(A10/Parametros!$C$21),IF(A10&lt;=Parametros!$C$20,Parametros!$C$18,Parametros!$C$19/A10))</f>
        <v>1.25</v>
      </c>
    </row>
    <row r="11" spans="1:2">
      <c r="A11" s="9">
        <v>0.45</v>
      </c>
      <c r="B11" s="10">
        <f>IF(A11&lt;Parametros!$C$21,Parametros!$C$17+(Parametros!$C$18-Parametros!$C$17)*(A11/Parametros!$C$21),IF(A11&lt;=Parametros!$C$20,Parametros!$C$18,Parametros!$C$19/A11))</f>
        <v>1.25</v>
      </c>
    </row>
    <row r="12" spans="1:2">
      <c r="A12" s="9">
        <v>0.5</v>
      </c>
      <c r="B12" s="10">
        <f>IF(A12&lt;Parametros!$C$21,Parametros!$C$17+(Parametros!$C$18-Parametros!$C$17)*(A12/Parametros!$C$21),IF(A12&lt;=Parametros!$C$20,Parametros!$C$18,Parametros!$C$19/A12))</f>
        <v>1.25</v>
      </c>
    </row>
    <row r="13" spans="1:2">
      <c r="A13" s="9">
        <v>0.55000000000000004</v>
      </c>
      <c r="B13" s="10">
        <f>IF(A13&lt;Parametros!$C$21,Parametros!$C$17+(Parametros!$C$18-Parametros!$C$17)*(A13/Parametros!$C$21),IF(A13&lt;=Parametros!$C$20,Parametros!$C$18,Parametros!$C$19/A13))</f>
        <v>1.25</v>
      </c>
    </row>
    <row r="14" spans="1:2">
      <c r="A14" s="9">
        <v>0.60000000000000009</v>
      </c>
      <c r="B14" s="10">
        <f>IF(A14&lt;Parametros!$C$21,Parametros!$C$17+(Parametros!$C$18-Parametros!$C$17)*(A14/Parametros!$C$21),IF(A14&lt;=Parametros!$C$20,Parametros!$C$18,Parametros!$C$19/A14))</f>
        <v>1.25</v>
      </c>
    </row>
    <row r="15" spans="1:2">
      <c r="A15" s="9">
        <v>0.65</v>
      </c>
      <c r="B15" s="10">
        <f>IF(A15&lt;Parametros!$C$21,Parametros!$C$17+(Parametros!$C$18-Parametros!$C$17)*(A15/Parametros!$C$21),IF(A15&lt;=Parametros!$C$20,Parametros!$C$18,Parametros!$C$19/A15))</f>
        <v>1.1538461538461537</v>
      </c>
    </row>
    <row r="16" spans="1:2">
      <c r="A16" s="9">
        <v>0.70000000000000007</v>
      </c>
      <c r="B16" s="10">
        <f>IF(A16&lt;Parametros!$C$21,Parametros!$C$17+(Parametros!$C$18-Parametros!$C$17)*(A16/Parametros!$C$21),IF(A16&lt;=Parametros!$C$20,Parametros!$C$18,Parametros!$C$19/A16))</f>
        <v>1.0714285714285714</v>
      </c>
    </row>
    <row r="17" spans="1:2">
      <c r="A17" s="9">
        <v>0.75</v>
      </c>
      <c r="B17" s="10">
        <f>IF(A17&lt;Parametros!$C$21,Parametros!$C$17+(Parametros!$C$18-Parametros!$C$17)*(A17/Parametros!$C$21),IF(A17&lt;=Parametros!$C$20,Parametros!$C$18,Parametros!$C$19/A17))</f>
        <v>1</v>
      </c>
    </row>
    <row r="18" spans="1:2">
      <c r="A18" s="9">
        <v>0.8</v>
      </c>
      <c r="B18" s="10">
        <f>IF(A18&lt;Parametros!$C$21,Parametros!$C$17+(Parametros!$C$18-Parametros!$C$17)*(A18/Parametros!$C$21),IF(A18&lt;=Parametros!$C$20,Parametros!$C$18,Parametros!$C$19/A18))</f>
        <v>0.9375</v>
      </c>
    </row>
    <row r="19" spans="1:2">
      <c r="A19" s="9">
        <v>0.85000000000000009</v>
      </c>
      <c r="B19" s="10">
        <f>IF(A19&lt;Parametros!$C$21,Parametros!$C$17+(Parametros!$C$18-Parametros!$C$17)*(A19/Parametros!$C$21),IF(A19&lt;=Parametros!$C$20,Parametros!$C$18,Parametros!$C$19/A19))</f>
        <v>0.88235294117647045</v>
      </c>
    </row>
    <row r="20" spans="1:2">
      <c r="A20" s="9">
        <v>0.9</v>
      </c>
      <c r="B20" s="10">
        <f>IF(A20&lt;Parametros!$C$21,Parametros!$C$17+(Parametros!$C$18-Parametros!$C$17)*(A20/Parametros!$C$21),IF(A20&lt;=Parametros!$C$20,Parametros!$C$18,Parametros!$C$19/A20))</f>
        <v>0.83333333333333326</v>
      </c>
    </row>
    <row r="21" spans="1:2">
      <c r="A21" s="9">
        <v>0.95000000000000007</v>
      </c>
      <c r="B21" s="10">
        <f>IF(A21&lt;Parametros!$C$21,Parametros!$C$17+(Parametros!$C$18-Parametros!$C$17)*(A21/Parametros!$C$21),IF(A21&lt;=Parametros!$C$20,Parametros!$C$18,Parametros!$C$19/A21))</f>
        <v>0.78947368421052622</v>
      </c>
    </row>
    <row r="22" spans="1:2">
      <c r="A22" s="9">
        <v>1</v>
      </c>
      <c r="B22" s="10">
        <f>IF(A22&lt;Parametros!$C$21,Parametros!$C$17+(Parametros!$C$18-Parametros!$C$17)*(A22/Parametros!$C$21),IF(A22&lt;=Parametros!$C$20,Parametros!$C$18,Parametros!$C$19/A22))</f>
        <v>0.75</v>
      </c>
    </row>
    <row r="23" spans="1:2">
      <c r="A23" s="9">
        <v>1.05</v>
      </c>
      <c r="B23" s="10">
        <f>IF(A23&lt;Parametros!$C$21,Parametros!$C$17+(Parametros!$C$18-Parametros!$C$17)*(A23/Parametros!$C$21),IF(A23&lt;=Parametros!$C$20,Parametros!$C$18,Parametros!$C$19/A23))</f>
        <v>0.7142857142857143</v>
      </c>
    </row>
    <row r="24" spans="1:2">
      <c r="A24" s="9">
        <v>1.1000000000000001</v>
      </c>
      <c r="B24" s="10">
        <f>IF(A24&lt;Parametros!$C$21,Parametros!$C$17+(Parametros!$C$18-Parametros!$C$17)*(A24/Parametros!$C$21),IF(A24&lt;=Parametros!$C$20,Parametros!$C$18,Parametros!$C$19/A24))</f>
        <v>0.68181818181818177</v>
      </c>
    </row>
    <row r="25" spans="1:2">
      <c r="A25" s="9">
        <v>1.1499999999999999</v>
      </c>
      <c r="B25" s="10">
        <f>IF(A25&lt;Parametros!$C$21,Parametros!$C$17+(Parametros!$C$18-Parametros!$C$17)*(A25/Parametros!$C$21),IF(A25&lt;=Parametros!$C$20,Parametros!$C$18,Parametros!$C$19/A25))</f>
        <v>0.65217391304347827</v>
      </c>
    </row>
    <row r="26" spans="1:2">
      <c r="A26" s="9">
        <v>1.2</v>
      </c>
      <c r="B26" s="10">
        <f>IF(A26&lt;Parametros!$C$21,Parametros!$C$17+(Parametros!$C$18-Parametros!$C$17)*(A26/Parametros!$C$21),IF(A26&lt;=Parametros!$C$20,Parametros!$C$18,Parametros!$C$19/A26))</f>
        <v>0.625</v>
      </c>
    </row>
    <row r="27" spans="1:2">
      <c r="A27" s="9">
        <v>1.25</v>
      </c>
      <c r="B27" s="10">
        <f>IF(A27&lt;Parametros!$C$21,Parametros!$C$17+(Parametros!$C$18-Parametros!$C$17)*(A27/Parametros!$C$21),IF(A27&lt;=Parametros!$C$20,Parametros!$C$18,Parametros!$C$19/A27))</f>
        <v>0.6</v>
      </c>
    </row>
    <row r="28" spans="1:2">
      <c r="A28" s="9">
        <v>1.3</v>
      </c>
      <c r="B28" s="10">
        <f>IF(A28&lt;Parametros!$C$21,Parametros!$C$17+(Parametros!$C$18-Parametros!$C$17)*(A28/Parametros!$C$21),IF(A28&lt;=Parametros!$C$20,Parametros!$C$18,Parametros!$C$19/A28))</f>
        <v>0.57692307692307687</v>
      </c>
    </row>
    <row r="29" spans="1:2">
      <c r="A29" s="9">
        <v>1.35</v>
      </c>
      <c r="B29" s="10">
        <f>IF(A29&lt;Parametros!$C$21,Parametros!$C$17+(Parametros!$C$18-Parametros!$C$17)*(A29/Parametros!$C$21),IF(A29&lt;=Parametros!$C$20,Parametros!$C$18,Parametros!$C$19/A29))</f>
        <v>0.55555555555555547</v>
      </c>
    </row>
    <row r="30" spans="1:2">
      <c r="A30" s="9">
        <v>1.4</v>
      </c>
      <c r="B30" s="10">
        <f>IF(A30&lt;Parametros!$C$21,Parametros!$C$17+(Parametros!$C$18-Parametros!$C$17)*(A30/Parametros!$C$21),IF(A30&lt;=Parametros!$C$20,Parametros!$C$18,Parametros!$C$19/A30))</f>
        <v>0.5357142857142857</v>
      </c>
    </row>
    <row r="31" spans="1:2">
      <c r="A31" s="9">
        <v>1.45</v>
      </c>
      <c r="B31" s="10">
        <f>IF(A31&lt;Parametros!$C$21,Parametros!$C$17+(Parametros!$C$18-Parametros!$C$17)*(A31/Parametros!$C$21),IF(A31&lt;=Parametros!$C$20,Parametros!$C$18,Parametros!$C$19/A31))</f>
        <v>0.51724137931034486</v>
      </c>
    </row>
    <row r="32" spans="1:2">
      <c r="A32" s="9">
        <v>1.5</v>
      </c>
      <c r="B32" s="10">
        <f>IF(A32&lt;Parametros!$C$21,Parametros!$C$17+(Parametros!$C$18-Parametros!$C$17)*(A32/Parametros!$C$21),IF(A32&lt;=Parametros!$C$20,Parametros!$C$18,Parametros!$C$19/A32))</f>
        <v>0.5</v>
      </c>
    </row>
    <row r="33" spans="1:2">
      <c r="A33" s="9">
        <v>1.55</v>
      </c>
      <c r="B33" s="10">
        <f>IF(A33&lt;Parametros!$C$21,Parametros!$C$17+(Parametros!$C$18-Parametros!$C$17)*(A33/Parametros!$C$21),IF(A33&lt;=Parametros!$C$20,Parametros!$C$18,Parametros!$C$19/A33))</f>
        <v>0.48387096774193544</v>
      </c>
    </row>
    <row r="34" spans="1:2">
      <c r="A34" s="9">
        <v>1.6</v>
      </c>
      <c r="B34" s="10">
        <f>IF(A34&lt;Parametros!$C$21,Parametros!$C$17+(Parametros!$C$18-Parametros!$C$17)*(A34/Parametros!$C$21),IF(A34&lt;=Parametros!$C$20,Parametros!$C$18,Parametros!$C$19/A34))</f>
        <v>0.46875</v>
      </c>
    </row>
    <row r="35" spans="1:2">
      <c r="A35" s="9">
        <v>1.65</v>
      </c>
      <c r="B35" s="10">
        <f>IF(A35&lt;Parametros!$C$21,Parametros!$C$17+(Parametros!$C$18-Parametros!$C$17)*(A35/Parametros!$C$21),IF(A35&lt;=Parametros!$C$20,Parametros!$C$18,Parametros!$C$19/A35))</f>
        <v>0.45454545454545459</v>
      </c>
    </row>
    <row r="36" spans="1:2">
      <c r="A36" s="9">
        <v>1.7</v>
      </c>
      <c r="B36" s="10">
        <f>IF(A36&lt;Parametros!$C$21,Parametros!$C$17+(Parametros!$C$18-Parametros!$C$17)*(A36/Parametros!$C$21),IF(A36&lt;=Parametros!$C$20,Parametros!$C$18,Parametros!$C$19/A36))</f>
        <v>0.44117647058823528</v>
      </c>
    </row>
    <row r="37" spans="1:2">
      <c r="A37" s="9">
        <v>1.75</v>
      </c>
      <c r="B37" s="10">
        <f>IF(A37&lt;Parametros!$C$21,Parametros!$C$17+(Parametros!$C$18-Parametros!$C$17)*(A37/Parametros!$C$21),IF(A37&lt;=Parametros!$C$20,Parametros!$C$18,Parametros!$C$19/A37))</f>
        <v>0.42857142857142855</v>
      </c>
    </row>
    <row r="38" spans="1:2">
      <c r="A38" s="9">
        <v>1.8</v>
      </c>
      <c r="B38" s="10">
        <f>IF(A38&lt;Parametros!$C$21,Parametros!$C$17+(Parametros!$C$18-Parametros!$C$17)*(A38/Parametros!$C$21),IF(A38&lt;=Parametros!$C$20,Parametros!$C$18,Parametros!$C$19/A38))</f>
        <v>0.41666666666666663</v>
      </c>
    </row>
    <row r="39" spans="1:2">
      <c r="A39" s="9">
        <v>1.85</v>
      </c>
      <c r="B39" s="10">
        <f>IF(A39&lt;Parametros!$C$21,Parametros!$C$17+(Parametros!$C$18-Parametros!$C$17)*(A39/Parametros!$C$21),IF(A39&lt;=Parametros!$C$20,Parametros!$C$18,Parametros!$C$19/A39))</f>
        <v>0.40540540540540537</v>
      </c>
    </row>
    <row r="40" spans="1:2">
      <c r="A40" s="9">
        <v>1.9</v>
      </c>
      <c r="B40" s="10">
        <f>IF(A40&lt;Parametros!$C$21,Parametros!$C$17+(Parametros!$C$18-Parametros!$C$17)*(A40/Parametros!$C$21),IF(A40&lt;=Parametros!$C$20,Parametros!$C$18,Parametros!$C$19/A40))</f>
        <v>0.39473684210526316</v>
      </c>
    </row>
    <row r="41" spans="1:2">
      <c r="A41" s="9">
        <v>1.95</v>
      </c>
      <c r="B41" s="10">
        <f>IF(A41&lt;Parametros!$C$21,Parametros!$C$17+(Parametros!$C$18-Parametros!$C$17)*(A41/Parametros!$C$21),IF(A41&lt;=Parametros!$C$20,Parametros!$C$18,Parametros!$C$19/A41))</f>
        <v>0.38461538461538464</v>
      </c>
    </row>
    <row r="42" spans="1:2">
      <c r="A42" s="9">
        <v>2</v>
      </c>
      <c r="B42" s="10">
        <f>IF(A42&lt;Parametros!$C$21,Parametros!$C$17+(Parametros!$C$18-Parametros!$C$17)*(A42/Parametros!$C$21),IF(A42&lt;=Parametros!$C$20,Parametros!$C$18,Parametros!$C$19/A42))</f>
        <v>0.375</v>
      </c>
    </row>
    <row r="43" spans="1:2">
      <c r="A43" s="9">
        <v>2.0499999999999998</v>
      </c>
      <c r="B43" s="10">
        <f>IF(A43&lt;Parametros!$C$21,Parametros!$C$17+(Parametros!$C$18-Parametros!$C$17)*(A43/Parametros!$C$21),IF(A43&lt;=Parametros!$C$20,Parametros!$C$18,Parametros!$C$19/A43))</f>
        <v>0.36585365853658541</v>
      </c>
    </row>
    <row r="44" spans="1:2">
      <c r="A44" s="9">
        <v>2.1</v>
      </c>
      <c r="B44" s="10">
        <f>IF(A44&lt;Parametros!$C$21,Parametros!$C$17+(Parametros!$C$18-Parametros!$C$17)*(A44/Parametros!$C$21),IF(A44&lt;=Parametros!$C$20,Parametros!$C$18,Parametros!$C$19/A44))</f>
        <v>0.35714285714285715</v>
      </c>
    </row>
    <row r="45" spans="1:2">
      <c r="A45" s="9">
        <v>2.15</v>
      </c>
      <c r="B45" s="10">
        <f>IF(A45&lt;Parametros!$C$21,Parametros!$C$17+(Parametros!$C$18-Parametros!$C$17)*(A45/Parametros!$C$21),IF(A45&lt;=Parametros!$C$20,Parametros!$C$18,Parametros!$C$19/A45))</f>
        <v>0.34883720930232559</v>
      </c>
    </row>
    <row r="46" spans="1:2">
      <c r="A46" s="9">
        <v>2.2000000000000002</v>
      </c>
      <c r="B46" s="10">
        <f>IF(A46&lt;Parametros!$C$21,Parametros!$C$17+(Parametros!$C$18-Parametros!$C$17)*(A46/Parametros!$C$21),IF(A46&lt;=Parametros!$C$20,Parametros!$C$18,Parametros!$C$19/A46))</f>
        <v>0.34090909090909088</v>
      </c>
    </row>
    <row r="47" spans="1:2">
      <c r="A47" s="9">
        <v>2.25</v>
      </c>
      <c r="B47" s="10">
        <f>IF(A47&lt;Parametros!$C$21,Parametros!$C$17+(Parametros!$C$18-Parametros!$C$17)*(A47/Parametros!$C$21),IF(A47&lt;=Parametros!$C$20,Parametros!$C$18,Parametros!$C$19/A47))</f>
        <v>0.33333333333333331</v>
      </c>
    </row>
    <row r="48" spans="1:2">
      <c r="A48" s="9">
        <v>2.2999999999999998</v>
      </c>
      <c r="B48" s="10">
        <f>IF(A48&lt;Parametros!$C$21,Parametros!$C$17+(Parametros!$C$18-Parametros!$C$17)*(A48/Parametros!$C$21),IF(A48&lt;=Parametros!$C$20,Parametros!$C$18,Parametros!$C$19/A48))</f>
        <v>0.32608695652173914</v>
      </c>
    </row>
    <row r="49" spans="1:2">
      <c r="A49" s="9">
        <v>2.35</v>
      </c>
      <c r="B49" s="10">
        <f>IF(A49&lt;Parametros!$C$21,Parametros!$C$17+(Parametros!$C$18-Parametros!$C$17)*(A49/Parametros!$C$21),IF(A49&lt;=Parametros!$C$20,Parametros!$C$18,Parametros!$C$19/A49))</f>
        <v>0.31914893617021273</v>
      </c>
    </row>
    <row r="50" spans="1:2">
      <c r="A50" s="9">
        <v>2.4</v>
      </c>
      <c r="B50" s="10">
        <f>IF(A50&lt;Parametros!$C$21,Parametros!$C$17+(Parametros!$C$18-Parametros!$C$17)*(A50/Parametros!$C$21),IF(A50&lt;=Parametros!$C$20,Parametros!$C$18,Parametros!$C$19/A50))</f>
        <v>0.3125</v>
      </c>
    </row>
    <row r="51" spans="1:2">
      <c r="A51" s="9">
        <v>2.4500000000000002</v>
      </c>
      <c r="B51" s="10">
        <f>IF(A51&lt;Parametros!$C$21,Parametros!$C$17+(Parametros!$C$18-Parametros!$C$17)*(A51/Parametros!$C$21),IF(A51&lt;=Parametros!$C$20,Parametros!$C$18,Parametros!$C$19/A51))</f>
        <v>0.30612244897959179</v>
      </c>
    </row>
    <row r="52" spans="1:2">
      <c r="A52" s="9">
        <v>2.5</v>
      </c>
      <c r="B52" s="10">
        <f>IF(A52&lt;Parametros!$C$21,Parametros!$C$17+(Parametros!$C$18-Parametros!$C$17)*(A52/Parametros!$C$21),IF(A52&lt;=Parametros!$C$20,Parametros!$C$18,Parametros!$C$19/A52))</f>
        <v>0.3</v>
      </c>
    </row>
    <row r="53" spans="1:2">
      <c r="A53" s="9">
        <v>2.5499999999999998</v>
      </c>
      <c r="B53" s="10">
        <f>IF(A53&lt;Parametros!$C$21,Parametros!$C$17+(Parametros!$C$18-Parametros!$C$17)*(A53/Parametros!$C$21),IF(A53&lt;=Parametros!$C$20,Parametros!$C$18,Parametros!$C$19/A53))</f>
        <v>0.29411764705882354</v>
      </c>
    </row>
    <row r="54" spans="1:2">
      <c r="A54" s="9">
        <v>2.6</v>
      </c>
      <c r="B54" s="10">
        <f>IF(A54&lt;Parametros!$C$21,Parametros!$C$17+(Parametros!$C$18-Parametros!$C$17)*(A54/Parametros!$C$21),IF(A54&lt;=Parametros!$C$20,Parametros!$C$18,Parametros!$C$19/A54))</f>
        <v>0.28846153846153844</v>
      </c>
    </row>
    <row r="55" spans="1:2">
      <c r="A55" s="9">
        <v>2.65</v>
      </c>
      <c r="B55" s="10">
        <f>IF(A55&lt;Parametros!$C$21,Parametros!$C$17+(Parametros!$C$18-Parametros!$C$17)*(A55/Parametros!$C$21),IF(A55&lt;=Parametros!$C$20,Parametros!$C$18,Parametros!$C$19/A55))</f>
        <v>0.28301886792452829</v>
      </c>
    </row>
    <row r="56" spans="1:2">
      <c r="A56" s="9">
        <v>2.7</v>
      </c>
      <c r="B56" s="10">
        <f>IF(A56&lt;Parametros!$C$21,Parametros!$C$17+(Parametros!$C$18-Parametros!$C$17)*(A56/Parametros!$C$21),IF(A56&lt;=Parametros!$C$20,Parametros!$C$18,Parametros!$C$19/A56))</f>
        <v>0.27777777777777773</v>
      </c>
    </row>
    <row r="57" spans="1:2">
      <c r="A57" s="9">
        <v>2.75</v>
      </c>
      <c r="B57" s="10">
        <f>IF(A57&lt;Parametros!$C$21,Parametros!$C$17+(Parametros!$C$18-Parametros!$C$17)*(A57/Parametros!$C$21),IF(A57&lt;=Parametros!$C$20,Parametros!$C$18,Parametros!$C$19/A57))</f>
        <v>0.27272727272727271</v>
      </c>
    </row>
    <row r="58" spans="1:2">
      <c r="A58" s="9">
        <v>2.8</v>
      </c>
      <c r="B58" s="10">
        <f>IF(A58&lt;Parametros!$C$21,Parametros!$C$17+(Parametros!$C$18-Parametros!$C$17)*(A58/Parametros!$C$21),IF(A58&lt;=Parametros!$C$20,Parametros!$C$18,Parametros!$C$19/A58))</f>
        <v>0.26785714285714285</v>
      </c>
    </row>
    <row r="59" spans="1:2">
      <c r="A59" s="9">
        <v>2.85</v>
      </c>
      <c r="B59" s="10">
        <f>IF(A59&lt;Parametros!$C$21,Parametros!$C$17+(Parametros!$C$18-Parametros!$C$17)*(A59/Parametros!$C$21),IF(A59&lt;=Parametros!$C$20,Parametros!$C$18,Parametros!$C$19/A59))</f>
        <v>0.26315789473684209</v>
      </c>
    </row>
    <row r="60" spans="1:2">
      <c r="A60" s="9">
        <v>2.9</v>
      </c>
      <c r="B60" s="10">
        <f>IF(A60&lt;Parametros!$C$21,Parametros!$C$17+(Parametros!$C$18-Parametros!$C$17)*(A60/Parametros!$C$21),IF(A60&lt;=Parametros!$C$20,Parametros!$C$18,Parametros!$C$19/A60))</f>
        <v>0.25862068965517243</v>
      </c>
    </row>
    <row r="61" spans="1:2">
      <c r="A61" s="9">
        <v>2.95</v>
      </c>
      <c r="B61" s="10">
        <f>IF(A61&lt;Parametros!$C$21,Parametros!$C$17+(Parametros!$C$18-Parametros!$C$17)*(A61/Parametros!$C$21),IF(A61&lt;=Parametros!$C$20,Parametros!$C$18,Parametros!$C$19/A61))</f>
        <v>0.25423728813559321</v>
      </c>
    </row>
    <row r="62" spans="1:2">
      <c r="A62" s="9">
        <v>3</v>
      </c>
      <c r="B62" s="10">
        <f>IF(A62&lt;Parametros!$C$21,Parametros!$C$17+(Parametros!$C$18-Parametros!$C$17)*(A62/Parametros!$C$21),IF(A62&lt;=Parametros!$C$20,Parametros!$C$18,Parametros!$C$19/A62))</f>
        <v>0.25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Espectro AASHTO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Marlon Ivan Carreto Rivera</dc:creator>
  <cp:keywords/>
  <dc:description/>
  <cp:lastModifiedBy>Ivan Carreto</cp:lastModifiedBy>
  <cp:revision/>
  <dcterms:created xsi:type="dcterms:W3CDTF">2026-09-26T16:09:56Z</dcterms:created>
  <dcterms:modified xsi:type="dcterms:W3CDTF">2026-09-26T18:56:46Z</dcterms:modified>
  <cp:category/>
  <cp:contentStatus/>
</cp:coreProperties>
</file>