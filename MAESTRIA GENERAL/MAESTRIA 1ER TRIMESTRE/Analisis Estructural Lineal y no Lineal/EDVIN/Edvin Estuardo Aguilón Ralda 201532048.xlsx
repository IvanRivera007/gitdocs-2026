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icacion C a D\Documentos\gitdocs-2026\PRIMER TRIMESTRE\Analisis Estructural Lineal y no Lineal\EDVIN\"/>
    </mc:Choice>
  </mc:AlternateContent>
  <xr:revisionPtr revIDLastSave="0" documentId="8_{9700556D-58F6-441E-BCC6-992DA2325489}" xr6:coauthVersionLast="47" xr6:coauthVersionMax="47" xr10:uidLastSave="{00000000-0000-0000-0000-000000000000}"/>
  <bookViews>
    <workbookView xWindow="-108" yWindow="-108" windowWidth="23256" windowHeight="12576" xr2:uid="{C5EF35D5-5E1D-4AB8-92CE-6C389F5701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74" i="1" l="1"/>
  <c r="A90" i="1"/>
  <c r="O159" i="1"/>
  <c r="O160" i="1"/>
  <c r="O161" i="1"/>
  <c r="O162" i="1"/>
  <c r="O163" i="1"/>
  <c r="O165" i="1"/>
  <c r="O166" i="1"/>
  <c r="O167" i="1"/>
  <c r="O158" i="1"/>
  <c r="B143" i="1"/>
  <c r="O164" i="1" s="1"/>
  <c r="A117" i="1" a="1"/>
  <c r="A122" i="1" s="1"/>
  <c r="CM92" i="1" a="1"/>
  <c r="CM97" i="1" s="1"/>
  <c r="CM90" i="1"/>
  <c r="CQ83" i="1"/>
  <c r="CP83" i="1"/>
  <c r="CO83" i="1"/>
  <c r="CN83" i="1"/>
  <c r="CM77" i="1" a="1"/>
  <c r="CM80" i="1" s="1"/>
  <c r="CM76" i="1"/>
  <c r="CM83" i="1" s="1"/>
  <c r="CM74" i="1"/>
  <c r="CN68" i="1"/>
  <c r="CR70" i="1" s="1"/>
  <c r="BU92" i="1" a="1"/>
  <c r="BU104" i="1" s="1"/>
  <c r="BC92" i="1" a="1"/>
  <c r="BC105" i="1" s="1"/>
  <c r="AK92" i="1" a="1"/>
  <c r="AK103" i="1" s="1"/>
  <c r="S92" i="1" a="1"/>
  <c r="S97" i="1" s="1"/>
  <c r="A92" i="1" a="1"/>
  <c r="A94" i="1" s="1"/>
  <c r="BU90" i="1"/>
  <c r="BC90" i="1"/>
  <c r="AK90" i="1"/>
  <c r="S90" i="1"/>
  <c r="BY83" i="1"/>
  <c r="BX83" i="1"/>
  <c r="BW83" i="1"/>
  <c r="BV83" i="1"/>
  <c r="BG83" i="1"/>
  <c r="BF83" i="1"/>
  <c r="BE83" i="1"/>
  <c r="BD83" i="1"/>
  <c r="AO83" i="1"/>
  <c r="AN83" i="1"/>
  <c r="AM83" i="1"/>
  <c r="AL83" i="1"/>
  <c r="W83" i="1"/>
  <c r="V83" i="1"/>
  <c r="U83" i="1"/>
  <c r="T83" i="1"/>
  <c r="E83" i="1"/>
  <c r="D83" i="1"/>
  <c r="C83" i="1"/>
  <c r="B83" i="1"/>
  <c r="BU77" i="1" a="1"/>
  <c r="BU80" i="1" s="1"/>
  <c r="BC77" i="1" a="1"/>
  <c r="BC80" i="1" s="1"/>
  <c r="AK77" i="1" a="1"/>
  <c r="AK80" i="1" s="1"/>
  <c r="S77" i="1" a="1"/>
  <c r="S80" i="1" s="1"/>
  <c r="A77" i="1" a="1"/>
  <c r="A80" i="1" s="1"/>
  <c r="BU76" i="1"/>
  <c r="BU83" i="1" s="1"/>
  <c r="BC76" i="1"/>
  <c r="BC83" i="1" s="1"/>
  <c r="AK76" i="1"/>
  <c r="AK83" i="1" s="1"/>
  <c r="S76" i="1"/>
  <c r="S83" i="1" s="1"/>
  <c r="A76" i="1"/>
  <c r="A83" i="1" s="1"/>
  <c r="BU74" i="1"/>
  <c r="BC74" i="1"/>
  <c r="AK74" i="1"/>
  <c r="A74" i="1"/>
  <c r="BV68" i="1"/>
  <c r="BZ70" i="1" s="1"/>
  <c r="BD68" i="1"/>
  <c r="BG66" i="1" s="1"/>
  <c r="BE78" i="1" s="1"/>
  <c r="AL68" i="1"/>
  <c r="AP70" i="1" s="1"/>
  <c r="T68" i="1"/>
  <c r="B68" i="1"/>
  <c r="E66" i="1" s="1"/>
  <c r="C78" i="1" s="1"/>
  <c r="BU40" i="1" a="1"/>
  <c r="BU45" i="1" s="1"/>
  <c r="BU38" i="1"/>
  <c r="BY31" i="1"/>
  <c r="BX31" i="1"/>
  <c r="BW31" i="1"/>
  <c r="BV31" i="1"/>
  <c r="BU25" i="1" a="1"/>
  <c r="BU27" i="1" s="1"/>
  <c r="BU24" i="1"/>
  <c r="BU31" i="1" s="1"/>
  <c r="BU22" i="1"/>
  <c r="BV16" i="1"/>
  <c r="BZ18" i="1" s="1"/>
  <c r="BC40" i="1" a="1"/>
  <c r="BC45" i="1" s="1"/>
  <c r="BC38" i="1"/>
  <c r="BG31" i="1"/>
  <c r="BF31" i="1"/>
  <c r="BE31" i="1"/>
  <c r="BD31" i="1"/>
  <c r="BC25" i="1" a="1"/>
  <c r="BC25" i="1" s="1"/>
  <c r="BC24" i="1"/>
  <c r="BC31" i="1" s="1"/>
  <c r="BC22" i="1"/>
  <c r="BD16" i="1"/>
  <c r="BH18" i="1" s="1"/>
  <c r="AK40" i="1" a="1"/>
  <c r="AK38" i="1"/>
  <c r="AO31" i="1"/>
  <c r="AN31" i="1"/>
  <c r="AM31" i="1"/>
  <c r="AL31" i="1"/>
  <c r="AK25" i="1" a="1"/>
  <c r="AK28" i="1" s="1"/>
  <c r="AK24" i="1"/>
  <c r="AK31" i="1" s="1"/>
  <c r="AK22" i="1"/>
  <c r="AL16" i="1"/>
  <c r="AP18" i="1" s="1"/>
  <c r="T31" i="1"/>
  <c r="S40" i="1" a="1"/>
  <c r="S45" i="1" s="1"/>
  <c r="S38" i="1"/>
  <c r="W31" i="1"/>
  <c r="V31" i="1"/>
  <c r="U31" i="1"/>
  <c r="S25" i="1" a="1"/>
  <c r="S27" i="1" s="1"/>
  <c r="S24" i="1"/>
  <c r="S31" i="1" s="1"/>
  <c r="S22" i="1"/>
  <c r="T16" i="1"/>
  <c r="C31" i="1"/>
  <c r="D31" i="1"/>
  <c r="E31" i="1"/>
  <c r="B31" i="1"/>
  <c r="S32" i="1" l="1" a="1"/>
  <c r="S34" i="1" s="1"/>
  <c r="S48" i="1"/>
  <c r="AA48" i="1" s="1"/>
  <c r="A84" i="1" a="1"/>
  <c r="A87" i="1" s="1"/>
  <c r="CM100" i="1"/>
  <c r="CT100" i="1" s="1"/>
  <c r="CM77" i="1"/>
  <c r="CM79" i="1"/>
  <c r="BH45" i="1"/>
  <c r="CG45" i="1"/>
  <c r="BC43" i="1"/>
  <c r="BM43" i="1" s="1"/>
  <c r="BF45" i="1"/>
  <c r="BC44" i="1"/>
  <c r="BP44" i="1" s="1"/>
  <c r="CM96" i="1"/>
  <c r="CQ96" i="1" s="1"/>
  <c r="X45" i="1"/>
  <c r="Y45" i="1"/>
  <c r="AA45" i="1"/>
  <c r="AB45" i="1"/>
  <c r="AC45" i="1"/>
  <c r="U45" i="1"/>
  <c r="AG45" i="1"/>
  <c r="AK45" i="1"/>
  <c r="AK43" i="1"/>
  <c r="AK42" i="1"/>
  <c r="AK48" i="1"/>
  <c r="Z45" i="1"/>
  <c r="X18" i="1"/>
  <c r="W14" i="1"/>
  <c r="U26" i="1" s="1"/>
  <c r="BU32" i="1" a="1"/>
  <c r="BU34" i="1" s="1"/>
  <c r="CI45" i="1"/>
  <c r="BG45" i="1"/>
  <c r="BC84" i="1" a="1"/>
  <c r="BC87" i="1" s="1"/>
  <c r="A105" i="1"/>
  <c r="N105" i="1" s="1"/>
  <c r="A119" i="1"/>
  <c r="A121" i="1"/>
  <c r="BC46" i="1"/>
  <c r="BQ45" i="1"/>
  <c r="CH45" i="1"/>
  <c r="A92" i="1"/>
  <c r="H92" i="1" s="1"/>
  <c r="S92" i="1"/>
  <c r="U92" i="1" s="1"/>
  <c r="BU93" i="1"/>
  <c r="CF93" i="1" s="1"/>
  <c r="A123" i="1"/>
  <c r="CM94" i="1"/>
  <c r="CS94" i="1" s="1"/>
  <c r="A124" i="1"/>
  <c r="A93" i="1"/>
  <c r="O93" i="1" s="1"/>
  <c r="S95" i="1"/>
  <c r="AC95" i="1" s="1"/>
  <c r="BU96" i="1"/>
  <c r="CE96" i="1" s="1"/>
  <c r="S42" i="1"/>
  <c r="AY42" i="1" s="1"/>
  <c r="AK32" i="1" a="1"/>
  <c r="AK35" i="1" s="1"/>
  <c r="BC49" i="1"/>
  <c r="BU46" i="1"/>
  <c r="CC46" i="1" s="1"/>
  <c r="BO45" i="1"/>
  <c r="A95" i="1"/>
  <c r="N95" i="1" s="1"/>
  <c r="S98" i="1"/>
  <c r="AC98" i="1" s="1"/>
  <c r="BU97" i="1"/>
  <c r="BY97" i="1" s="1"/>
  <c r="CM95" i="1"/>
  <c r="CP95" i="1" s="1"/>
  <c r="A129" i="1"/>
  <c r="AF45" i="1"/>
  <c r="T45" i="1"/>
  <c r="BC48" i="1"/>
  <c r="BU41" i="1"/>
  <c r="CG41" i="1" s="1"/>
  <c r="BP45" i="1"/>
  <c r="S46" i="1"/>
  <c r="AT46" i="1" s="1"/>
  <c r="BU48" i="1"/>
  <c r="CE48" i="1" s="1"/>
  <c r="BN45" i="1"/>
  <c r="A96" i="1"/>
  <c r="N96" i="1" s="1"/>
  <c r="S103" i="1"/>
  <c r="AF103" i="1" s="1"/>
  <c r="BU98" i="1"/>
  <c r="BY98" i="1" s="1"/>
  <c r="BU53" i="1"/>
  <c r="CD53" i="1" s="1"/>
  <c r="BM45" i="1"/>
  <c r="A97" i="1"/>
  <c r="I97" i="1" s="1"/>
  <c r="S105" i="1"/>
  <c r="AC105" i="1" s="1"/>
  <c r="BU99" i="1"/>
  <c r="BY99" i="1" s="1"/>
  <c r="CM78" i="1"/>
  <c r="CM98" i="1"/>
  <c r="CN98" i="1" s="1"/>
  <c r="BL45" i="1"/>
  <c r="A98" i="1"/>
  <c r="J98" i="1" s="1"/>
  <c r="BU100" i="1"/>
  <c r="CE100" i="1" s="1"/>
  <c r="A99" i="1"/>
  <c r="K99" i="1" s="1"/>
  <c r="AK95" i="1"/>
  <c r="AS95" i="1" s="1"/>
  <c r="BU101" i="1"/>
  <c r="BX101" i="1" s="1"/>
  <c r="CM101" i="1"/>
  <c r="CP101" i="1" s="1"/>
  <c r="A100" i="1"/>
  <c r="N100" i="1" s="1"/>
  <c r="AK98" i="1"/>
  <c r="AL98" i="1" s="1"/>
  <c r="BU105" i="1"/>
  <c r="BY105" i="1" s="1"/>
  <c r="CM102" i="1"/>
  <c r="CR102" i="1" s="1"/>
  <c r="BI45" i="1"/>
  <c r="A102" i="1"/>
  <c r="J102" i="1" s="1"/>
  <c r="AK101" i="1"/>
  <c r="AR101" i="1" s="1"/>
  <c r="BC42" i="1"/>
  <c r="A104" i="1"/>
  <c r="B104" i="1" s="1"/>
  <c r="A117" i="1"/>
  <c r="A125" i="1"/>
  <c r="A126" i="1"/>
  <c r="A127" i="1"/>
  <c r="A128" i="1"/>
  <c r="A118" i="1"/>
  <c r="A130" i="1"/>
  <c r="A120" i="1"/>
  <c r="CM84" i="1" a="1"/>
  <c r="CM85" i="1" s="1"/>
  <c r="CQ66" i="1"/>
  <c r="CO78" i="1" s="1"/>
  <c r="CQ97" i="1"/>
  <c r="CP97" i="1"/>
  <c r="CO97" i="1"/>
  <c r="CN97" i="1"/>
  <c r="CY97" i="1"/>
  <c r="CX97" i="1"/>
  <c r="CO94" i="1"/>
  <c r="CT97" i="1"/>
  <c r="CS97" i="1"/>
  <c r="CR97" i="1"/>
  <c r="CM99" i="1"/>
  <c r="CP99" i="1" s="1"/>
  <c r="CM103" i="1"/>
  <c r="CQ103" i="1" s="1"/>
  <c r="CM92" i="1"/>
  <c r="CT92" i="1" s="1"/>
  <c r="CM104" i="1"/>
  <c r="CN104" i="1" s="1"/>
  <c r="CQ65" i="1"/>
  <c r="CM93" i="1"/>
  <c r="CO93" i="1" s="1"/>
  <c r="CM105" i="1"/>
  <c r="CS105" i="1" s="1"/>
  <c r="BU79" i="1"/>
  <c r="BU78" i="1"/>
  <c r="BU84" i="1" a="1"/>
  <c r="BU87" i="1" s="1"/>
  <c r="CF104" i="1"/>
  <c r="BV104" i="1"/>
  <c r="CG104" i="1"/>
  <c r="CE104" i="1"/>
  <c r="CD104" i="1"/>
  <c r="BY104" i="1"/>
  <c r="BX104" i="1"/>
  <c r="BY65" i="1"/>
  <c r="BY66" i="1"/>
  <c r="BW78" i="1" s="1"/>
  <c r="BC78" i="1"/>
  <c r="BC79" i="1"/>
  <c r="BI105" i="1"/>
  <c r="BH105" i="1"/>
  <c r="BG105" i="1"/>
  <c r="BF105" i="1"/>
  <c r="BQ105" i="1"/>
  <c r="BP105" i="1"/>
  <c r="BD105" i="1"/>
  <c r="BO105" i="1"/>
  <c r="BN105" i="1"/>
  <c r="AK84" i="1" a="1"/>
  <c r="AK86" i="1" s="1"/>
  <c r="AK79" i="1"/>
  <c r="AO66" i="1"/>
  <c r="AM78" i="1" s="1"/>
  <c r="AO65" i="1"/>
  <c r="S84" i="1" a="1"/>
  <c r="S86" i="1" s="1"/>
  <c r="V97" i="1"/>
  <c r="AG97" i="1"/>
  <c r="U97" i="1"/>
  <c r="AF97" i="1"/>
  <c r="T97" i="1"/>
  <c r="AC97" i="1"/>
  <c r="AB97" i="1"/>
  <c r="F70" i="1"/>
  <c r="AY103" i="1"/>
  <c r="AX103" i="1"/>
  <c r="AL103" i="1"/>
  <c r="AW103" i="1"/>
  <c r="AV103" i="1"/>
  <c r="AS103" i="1"/>
  <c r="AR103" i="1"/>
  <c r="K94" i="1"/>
  <c r="J94" i="1"/>
  <c r="I94" i="1"/>
  <c r="H94" i="1"/>
  <c r="O94" i="1"/>
  <c r="C94" i="1"/>
  <c r="N94" i="1"/>
  <c r="B94" i="1"/>
  <c r="L94" i="1"/>
  <c r="W66" i="1"/>
  <c r="U78" i="1" s="1"/>
  <c r="X70" i="1"/>
  <c r="W65" i="1"/>
  <c r="E65" i="1"/>
  <c r="A101" i="1"/>
  <c r="B101" i="1" s="1"/>
  <c r="S96" i="1"/>
  <c r="AB96" i="1" s="1"/>
  <c r="AK99" i="1"/>
  <c r="AR99" i="1" s="1"/>
  <c r="BC97" i="1"/>
  <c r="BQ97" i="1" s="1"/>
  <c r="BC95" i="1"/>
  <c r="BH95" i="1" s="1"/>
  <c r="BC100" i="1"/>
  <c r="BH100" i="1" s="1"/>
  <c r="BC99" i="1"/>
  <c r="BH99" i="1" s="1"/>
  <c r="A103" i="1"/>
  <c r="J103" i="1" s="1"/>
  <c r="S99" i="1"/>
  <c r="AF99" i="1" s="1"/>
  <c r="BC92" i="1"/>
  <c r="BQ92" i="1" s="1"/>
  <c r="S100" i="1"/>
  <c r="AB100" i="1" s="1"/>
  <c r="BC93" i="1"/>
  <c r="BI93" i="1" s="1"/>
  <c r="S101" i="1"/>
  <c r="AB101" i="1" s="1"/>
  <c r="BC94" i="1"/>
  <c r="BH94" i="1" s="1"/>
  <c r="BG65" i="1"/>
  <c r="S102" i="1"/>
  <c r="AC102" i="1" s="1"/>
  <c r="BC96" i="1"/>
  <c r="BF96" i="1" s="1"/>
  <c r="BH70" i="1"/>
  <c r="AK102" i="1"/>
  <c r="AV102" i="1" s="1"/>
  <c r="AK100" i="1"/>
  <c r="AW100" i="1" s="1"/>
  <c r="AK105" i="1"/>
  <c r="AS105" i="1" s="1"/>
  <c r="AK93" i="1"/>
  <c r="AR93" i="1" s="1"/>
  <c r="AK104" i="1"/>
  <c r="AY104" i="1" s="1"/>
  <c r="AK92" i="1"/>
  <c r="AY92" i="1" s="1"/>
  <c r="BC98" i="1"/>
  <c r="BF98" i="1" s="1"/>
  <c r="A77" i="1"/>
  <c r="S77" i="1"/>
  <c r="AK77" i="1"/>
  <c r="BC77" i="1"/>
  <c r="BU77" i="1"/>
  <c r="S104" i="1"/>
  <c r="V104" i="1" s="1"/>
  <c r="AK94" i="1"/>
  <c r="AY94" i="1" s="1"/>
  <c r="BC101" i="1"/>
  <c r="BG101" i="1" s="1"/>
  <c r="A78" i="1"/>
  <c r="S78" i="1"/>
  <c r="AK78" i="1"/>
  <c r="BC102" i="1"/>
  <c r="BH102" i="1" s="1"/>
  <c r="A79" i="1"/>
  <c r="S79" i="1"/>
  <c r="S93" i="1"/>
  <c r="AG93" i="1" s="1"/>
  <c r="AK96" i="1"/>
  <c r="AR96" i="1" s="1"/>
  <c r="BC103" i="1"/>
  <c r="BF103" i="1" s="1"/>
  <c r="S94" i="1"/>
  <c r="AF94" i="1" s="1"/>
  <c r="AK97" i="1"/>
  <c r="AY97" i="1" s="1"/>
  <c r="BC104" i="1"/>
  <c r="BF104" i="1" s="1"/>
  <c r="BU94" i="1"/>
  <c r="CD94" i="1" s="1"/>
  <c r="BU95" i="1"/>
  <c r="CE95" i="1" s="1"/>
  <c r="BU102" i="1"/>
  <c r="CE102" i="1" s="1"/>
  <c r="BU103" i="1"/>
  <c r="BY103" i="1" s="1"/>
  <c r="BU92" i="1"/>
  <c r="BY92" i="1" s="1"/>
  <c r="CC45" i="1"/>
  <c r="CB45" i="1"/>
  <c r="BU28" i="1"/>
  <c r="BX45" i="1"/>
  <c r="CF45" i="1"/>
  <c r="CE45" i="1"/>
  <c r="BU25" i="1"/>
  <c r="CD45" i="1"/>
  <c r="BY13" i="1"/>
  <c r="BV25" i="1" s="1"/>
  <c r="BC28" i="1"/>
  <c r="BC26" i="1"/>
  <c r="BC27" i="1"/>
  <c r="BC32" i="1" a="1"/>
  <c r="BC35" i="1" s="1"/>
  <c r="BG14" i="1"/>
  <c r="BE26" i="1" s="1"/>
  <c r="BU47" i="1"/>
  <c r="CE47" i="1" s="1"/>
  <c r="BU26" i="1"/>
  <c r="BU49" i="1"/>
  <c r="CC49" i="1" s="1"/>
  <c r="BU50" i="1"/>
  <c r="CG50" i="1" s="1"/>
  <c r="BU51" i="1"/>
  <c r="CC51" i="1" s="1"/>
  <c r="BU40" i="1"/>
  <c r="BU52" i="1"/>
  <c r="CH52" i="1" s="1"/>
  <c r="BY14" i="1"/>
  <c r="BW26" i="1" s="1"/>
  <c r="BU42" i="1"/>
  <c r="CG42" i="1" s="1"/>
  <c r="BU43" i="1"/>
  <c r="CB43" i="1" s="1"/>
  <c r="BU44" i="1"/>
  <c r="CH44" i="1" s="1"/>
  <c r="BC47" i="1"/>
  <c r="BC50" i="1"/>
  <c r="BC51" i="1"/>
  <c r="BC40" i="1"/>
  <c r="BC52" i="1"/>
  <c r="BG13" i="1"/>
  <c r="BC41" i="1"/>
  <c r="BC53" i="1"/>
  <c r="AK25" i="1"/>
  <c r="AO14" i="1"/>
  <c r="AM26" i="1" s="1"/>
  <c r="AS45" i="1"/>
  <c r="AR45" i="1"/>
  <c r="AQ45" i="1"/>
  <c r="AY45" i="1"/>
  <c r="AU45" i="1"/>
  <c r="AX45" i="1"/>
  <c r="AT45" i="1"/>
  <c r="AP45" i="1"/>
  <c r="AK32" i="1"/>
  <c r="AK46" i="1"/>
  <c r="AK47" i="1"/>
  <c r="AK26" i="1"/>
  <c r="AK49" i="1"/>
  <c r="AK27" i="1"/>
  <c r="AK50" i="1"/>
  <c r="AK51" i="1"/>
  <c r="AK40" i="1"/>
  <c r="AK52" i="1"/>
  <c r="AO13" i="1"/>
  <c r="AK41" i="1"/>
  <c r="AK53" i="1"/>
  <c r="AK44" i="1"/>
  <c r="S26" i="1"/>
  <c r="S28" i="1"/>
  <c r="S25" i="1"/>
  <c r="S47" i="1"/>
  <c r="AR47" i="1" s="1"/>
  <c r="S49" i="1"/>
  <c r="AQ49" i="1" s="1"/>
  <c r="S50" i="1"/>
  <c r="AS50" i="1" s="1"/>
  <c r="S51" i="1"/>
  <c r="AS51" i="1" s="1"/>
  <c r="S40" i="1"/>
  <c r="AS40" i="1" s="1"/>
  <c r="S52" i="1"/>
  <c r="AR52" i="1" s="1"/>
  <c r="W13" i="1"/>
  <c r="S41" i="1"/>
  <c r="AY41" i="1" s="1"/>
  <c r="S53" i="1"/>
  <c r="AR53" i="1" s="1"/>
  <c r="S43" i="1"/>
  <c r="AX43" i="1" s="1"/>
  <c r="S44" i="1"/>
  <c r="AU44" i="1" s="1"/>
  <c r="CH46" i="1" l="1"/>
  <c r="AX48" i="1"/>
  <c r="AX46" i="1"/>
  <c r="AP46" i="1"/>
  <c r="CY100" i="1"/>
  <c r="AF95" i="1"/>
  <c r="AY48" i="1"/>
  <c r="T105" i="1"/>
  <c r="V105" i="1"/>
  <c r="AR46" i="1"/>
  <c r="AR48" i="1"/>
  <c r="S32" i="1"/>
  <c r="AS48" i="1"/>
  <c r="AF105" i="1"/>
  <c r="U105" i="1"/>
  <c r="AG105" i="1"/>
  <c r="I99" i="1"/>
  <c r="AB105" i="1"/>
  <c r="CO100" i="1"/>
  <c r="CG100" i="1"/>
  <c r="CP100" i="1"/>
  <c r="AP48" i="1"/>
  <c r="BX100" i="1"/>
  <c r="V98" i="1"/>
  <c r="AT48" i="1"/>
  <c r="AQ46" i="1"/>
  <c r="CF41" i="1"/>
  <c r="AF98" i="1"/>
  <c r="AG98" i="1"/>
  <c r="AU48" i="1"/>
  <c r="CI41" i="1"/>
  <c r="AB98" i="1"/>
  <c r="AQ48" i="1"/>
  <c r="CQ94" i="1"/>
  <c r="AY46" i="1"/>
  <c r="CR94" i="1"/>
  <c r="AS46" i="1"/>
  <c r="AU46" i="1"/>
  <c r="I98" i="1"/>
  <c r="CN94" i="1"/>
  <c r="AT42" i="1"/>
  <c r="T92" i="1"/>
  <c r="AQ42" i="1"/>
  <c r="A85" i="1"/>
  <c r="J105" i="1"/>
  <c r="BH43" i="1"/>
  <c r="A86" i="1"/>
  <c r="S33" i="1"/>
  <c r="S35" i="1"/>
  <c r="H102" i="1"/>
  <c r="I100" i="1"/>
  <c r="CR96" i="1"/>
  <c r="CF48" i="1"/>
  <c r="AX42" i="1"/>
  <c r="J100" i="1"/>
  <c r="CS96" i="1"/>
  <c r="AY50" i="1"/>
  <c r="AU42" i="1"/>
  <c r="AP42" i="1"/>
  <c r="CG44" i="1"/>
  <c r="O100" i="1"/>
  <c r="K100" i="1"/>
  <c r="AQ50" i="1"/>
  <c r="N102" i="1"/>
  <c r="CY96" i="1"/>
  <c r="AS42" i="1"/>
  <c r="AR42" i="1"/>
  <c r="H100" i="1"/>
  <c r="Z48" i="1"/>
  <c r="AF48" i="1"/>
  <c r="B99" i="1"/>
  <c r="AG103" i="1"/>
  <c r="A84" i="1"/>
  <c r="N99" i="1"/>
  <c r="O102" i="1"/>
  <c r="I102" i="1"/>
  <c r="T95" i="1"/>
  <c r="CT96" i="1"/>
  <c r="CO101" i="1"/>
  <c r="O99" i="1"/>
  <c r="CN96" i="1"/>
  <c r="J99" i="1"/>
  <c r="BG102" i="1"/>
  <c r="CO96" i="1"/>
  <c r="B100" i="1"/>
  <c r="T48" i="1"/>
  <c r="S87" i="1"/>
  <c r="W98" i="1" s="1"/>
  <c r="U103" i="1"/>
  <c r="T98" i="1"/>
  <c r="CS100" i="1"/>
  <c r="U48" i="1"/>
  <c r="BC84" i="1"/>
  <c r="CP96" i="1"/>
  <c r="BC85" i="1"/>
  <c r="CX96" i="1"/>
  <c r="BC86" i="1"/>
  <c r="K104" i="1"/>
  <c r="AC103" i="1"/>
  <c r="CD48" i="1"/>
  <c r="BN94" i="1"/>
  <c r="BY101" i="1"/>
  <c r="AW98" i="1"/>
  <c r="CG99" i="1"/>
  <c r="AX98" i="1"/>
  <c r="BV99" i="1"/>
  <c r="CE99" i="1"/>
  <c r="CT101" i="1"/>
  <c r="BQ43" i="1"/>
  <c r="CX101" i="1"/>
  <c r="BU35" i="1"/>
  <c r="CB48" i="1"/>
  <c r="AY98" i="1"/>
  <c r="BX48" i="1"/>
  <c r="I95" i="1"/>
  <c r="CI49" i="1"/>
  <c r="CF99" i="1"/>
  <c r="CY101" i="1"/>
  <c r="BU32" i="1"/>
  <c r="AR104" i="1"/>
  <c r="CD100" i="1"/>
  <c r="CN92" i="1"/>
  <c r="CQ101" i="1"/>
  <c r="Y48" i="1"/>
  <c r="AB48" i="1"/>
  <c r="CD99" i="1"/>
  <c r="AT53" i="1"/>
  <c r="B95" i="1"/>
  <c r="AY95" i="1"/>
  <c r="BX99" i="1"/>
  <c r="CX94" i="1"/>
  <c r="CT94" i="1"/>
  <c r="BP43" i="1"/>
  <c r="X48" i="1"/>
  <c r="AG48" i="1"/>
  <c r="AY53" i="1"/>
  <c r="J95" i="1"/>
  <c r="J97" i="1"/>
  <c r="AS98" i="1"/>
  <c r="AC48" i="1"/>
  <c r="CG101" i="1"/>
  <c r="BF43" i="1"/>
  <c r="AK84" i="1"/>
  <c r="O95" i="1"/>
  <c r="H95" i="1"/>
  <c r="CR101" i="1"/>
  <c r="T103" i="1"/>
  <c r="AG92" i="1"/>
  <c r="BV101" i="1"/>
  <c r="CR100" i="1"/>
  <c r="BU33" i="1"/>
  <c r="AK87" i="1"/>
  <c r="B97" i="1"/>
  <c r="N104" i="1"/>
  <c r="AB103" i="1"/>
  <c r="CP94" i="1"/>
  <c r="AU50" i="1"/>
  <c r="AP44" i="1"/>
  <c r="CD41" i="1"/>
  <c r="CH41" i="1"/>
  <c r="BU85" i="1"/>
  <c r="K95" i="1"/>
  <c r="N97" i="1"/>
  <c r="AV98" i="1"/>
  <c r="AG95" i="1"/>
  <c r="V92" i="1"/>
  <c r="U98" i="1"/>
  <c r="CD101" i="1"/>
  <c r="CY94" i="1"/>
  <c r="BG43" i="1"/>
  <c r="AX44" i="1"/>
  <c r="H97" i="1"/>
  <c r="K97" i="1"/>
  <c r="BO43" i="1"/>
  <c r="BI43" i="1"/>
  <c r="AK34" i="1"/>
  <c r="CF46" i="1"/>
  <c r="O97" i="1"/>
  <c r="AC92" i="1"/>
  <c r="CN100" i="1"/>
  <c r="AB92" i="1"/>
  <c r="CE101" i="1"/>
  <c r="CE41" i="1"/>
  <c r="AB95" i="1"/>
  <c r="CQ100" i="1"/>
  <c r="AR95" i="1"/>
  <c r="AF92" i="1"/>
  <c r="U95" i="1"/>
  <c r="BY102" i="1"/>
  <c r="AT43" i="1"/>
  <c r="AQ40" i="1"/>
  <c r="H99" i="1"/>
  <c r="AR98" i="1"/>
  <c r="T96" i="1"/>
  <c r="CF101" i="1"/>
  <c r="CR92" i="1"/>
  <c r="AS44" i="1"/>
  <c r="AK85" i="1"/>
  <c r="AY43" i="1"/>
  <c r="CB41" i="1"/>
  <c r="CY98" i="1"/>
  <c r="AR43" i="1"/>
  <c r="CC41" i="1"/>
  <c r="B105" i="1"/>
  <c r="AP50" i="1"/>
  <c r="K92" i="1"/>
  <c r="AL101" i="1"/>
  <c r="AW104" i="1"/>
  <c r="BQ102" i="1"/>
  <c r="CG98" i="1"/>
  <c r="BH44" i="1"/>
  <c r="AR50" i="1"/>
  <c r="AT50" i="1"/>
  <c r="CD46" i="1"/>
  <c r="CC43" i="1"/>
  <c r="V99" i="1"/>
  <c r="CN101" i="1"/>
  <c r="CS101" i="1"/>
  <c r="BL44" i="1"/>
  <c r="CF42" i="1"/>
  <c r="AL104" i="1"/>
  <c r="BV98" i="1"/>
  <c r="CQ92" i="1"/>
  <c r="BI44" i="1"/>
  <c r="BX49" i="1"/>
  <c r="AS43" i="1"/>
  <c r="CH49" i="1"/>
  <c r="H105" i="1"/>
  <c r="AX92" i="1"/>
  <c r="AV105" i="1"/>
  <c r="BF44" i="1"/>
  <c r="AU53" i="1"/>
  <c r="K105" i="1"/>
  <c r="AV95" i="1"/>
  <c r="AR92" i="1"/>
  <c r="U100" i="1"/>
  <c r="BI94" i="1"/>
  <c r="CE97" i="1"/>
  <c r="CO92" i="1"/>
  <c r="BO44" i="1"/>
  <c r="BN44" i="1"/>
  <c r="BU86" i="1"/>
  <c r="AW101" i="1"/>
  <c r="CE98" i="1"/>
  <c r="BM44" i="1"/>
  <c r="AF101" i="1"/>
  <c r="N101" i="1"/>
  <c r="H101" i="1"/>
  <c r="AX95" i="1"/>
  <c r="BI98" i="1"/>
  <c r="BP102" i="1"/>
  <c r="BX96" i="1"/>
  <c r="CX100" i="1"/>
  <c r="CP92" i="1"/>
  <c r="AY49" i="1"/>
  <c r="CG51" i="1"/>
  <c r="BF99" i="1"/>
  <c r="AX47" i="1"/>
  <c r="AQ53" i="1"/>
  <c r="AP43" i="1"/>
  <c r="AX52" i="1"/>
  <c r="AU49" i="1"/>
  <c r="CD51" i="1"/>
  <c r="CD50" i="1"/>
  <c r="K96" i="1"/>
  <c r="I93" i="1"/>
  <c r="AV101" i="1"/>
  <c r="AV104" i="1"/>
  <c r="AW93" i="1"/>
  <c r="AF100" i="1"/>
  <c r="BF93" i="1"/>
  <c r="BX97" i="1"/>
  <c r="BY100" i="1"/>
  <c r="CF96" i="1"/>
  <c r="CG95" i="1"/>
  <c r="CM86" i="1"/>
  <c r="CQ98" i="1"/>
  <c r="CY95" i="1"/>
  <c r="CR95" i="1"/>
  <c r="CO98" i="1"/>
  <c r="BD97" i="1"/>
  <c r="AS52" i="1"/>
  <c r="I96" i="1"/>
  <c r="K93" i="1"/>
  <c r="CX102" i="1"/>
  <c r="CD43" i="1"/>
  <c r="CG52" i="1"/>
  <c r="K101" i="1"/>
  <c r="O96" i="1"/>
  <c r="AY101" i="1"/>
  <c r="AS92" i="1"/>
  <c r="AF102" i="1"/>
  <c r="BG99" i="1"/>
  <c r="BX98" i="1"/>
  <c r="BV100" i="1"/>
  <c r="CD96" i="1"/>
  <c r="CF98" i="1"/>
  <c r="CM87" i="1"/>
  <c r="CS98" i="1"/>
  <c r="CN102" i="1"/>
  <c r="CQ102" i="1"/>
  <c r="CS102" i="1"/>
  <c r="CO102" i="1"/>
  <c r="AX53" i="1"/>
  <c r="AS53" i="1"/>
  <c r="CD52" i="1"/>
  <c r="CB51" i="1"/>
  <c r="H96" i="1"/>
  <c r="O105" i="1"/>
  <c r="O101" i="1"/>
  <c r="AW95" i="1"/>
  <c r="BQ101" i="1"/>
  <c r="CF97" i="1"/>
  <c r="CO95" i="1"/>
  <c r="CX103" i="1"/>
  <c r="CO103" i="1"/>
  <c r="CO104" i="1"/>
  <c r="BG44" i="1"/>
  <c r="N93" i="1"/>
  <c r="CF94" i="1"/>
  <c r="AU43" i="1"/>
  <c r="AR41" i="1"/>
  <c r="AQ43" i="1"/>
  <c r="CB50" i="1"/>
  <c r="CI43" i="1"/>
  <c r="S84" i="1"/>
  <c r="K102" i="1"/>
  <c r="I104" i="1"/>
  <c r="I105" i="1"/>
  <c r="O104" i="1"/>
  <c r="AY100" i="1"/>
  <c r="AL102" i="1"/>
  <c r="AC94" i="1"/>
  <c r="AG94" i="1"/>
  <c r="BG93" i="1"/>
  <c r="CF100" i="1"/>
  <c r="BY96" i="1"/>
  <c r="BV102" i="1"/>
  <c r="CG96" i="1"/>
  <c r="CX95" i="1"/>
  <c r="CS92" i="1"/>
  <c r="CX98" i="1"/>
  <c r="CX93" i="1"/>
  <c r="CX92" i="1"/>
  <c r="BQ44" i="1"/>
  <c r="BL43" i="1"/>
  <c r="BN43" i="1"/>
  <c r="I103" i="1"/>
  <c r="BF97" i="1"/>
  <c r="CT95" i="1"/>
  <c r="CS103" i="1"/>
  <c r="BX52" i="1"/>
  <c r="S85" i="1"/>
  <c r="Y103" i="1" s="1"/>
  <c r="H93" i="1"/>
  <c r="J93" i="1"/>
  <c r="AB102" i="1"/>
  <c r="AQ52" i="1"/>
  <c r="CD47" i="1"/>
  <c r="J101" i="1"/>
  <c r="J96" i="1"/>
  <c r="B96" i="1"/>
  <c r="AX93" i="1"/>
  <c r="AY102" i="1"/>
  <c r="AS101" i="1"/>
  <c r="AG102" i="1"/>
  <c r="U102" i="1"/>
  <c r="BH98" i="1"/>
  <c r="BN97" i="1"/>
  <c r="BF101" i="1"/>
  <c r="CP98" i="1"/>
  <c r="CR98" i="1"/>
  <c r="CQ95" i="1"/>
  <c r="AX99" i="1"/>
  <c r="U104" i="1"/>
  <c r="BV105" i="1"/>
  <c r="CD97" i="1"/>
  <c r="CG97" i="1"/>
  <c r="CY102" i="1"/>
  <c r="CP102" i="1"/>
  <c r="AR102" i="1"/>
  <c r="AB93" i="1"/>
  <c r="AB104" i="1"/>
  <c r="CT102" i="1"/>
  <c r="CN95" i="1"/>
  <c r="CN103" i="1"/>
  <c r="CN93" i="1"/>
  <c r="AT52" i="1"/>
  <c r="CC52" i="1"/>
  <c r="AB94" i="1"/>
  <c r="T93" i="1"/>
  <c r="BN99" i="1"/>
  <c r="BO97" i="1"/>
  <c r="CR103" i="1"/>
  <c r="CT103" i="1"/>
  <c r="CS95" i="1"/>
  <c r="AS102" i="1"/>
  <c r="AL97" i="1"/>
  <c r="CE49" i="1"/>
  <c r="H104" i="1"/>
  <c r="J104" i="1"/>
  <c r="AM105" i="1"/>
  <c r="AX101" i="1"/>
  <c r="BD104" i="1"/>
  <c r="CD103" i="1"/>
  <c r="CG103" i="1"/>
  <c r="CY92" i="1"/>
  <c r="CR104" i="1"/>
  <c r="CP103" i="1"/>
  <c r="BF95" i="1"/>
  <c r="CX105" i="1"/>
  <c r="CG46" i="1"/>
  <c r="CI46" i="1"/>
  <c r="CE46" i="1"/>
  <c r="T50" i="1"/>
  <c r="AF50" i="1"/>
  <c r="U50" i="1"/>
  <c r="AG50" i="1"/>
  <c r="Y50" i="1"/>
  <c r="Z50" i="1"/>
  <c r="AA50" i="1"/>
  <c r="AB50" i="1"/>
  <c r="AC50" i="1"/>
  <c r="X50" i="1"/>
  <c r="AK33" i="1"/>
  <c r="AU51" i="1"/>
  <c r="AT47" i="1"/>
  <c r="AX40" i="1"/>
  <c r="BP41" i="1"/>
  <c r="BQ41" i="1"/>
  <c r="BG41" i="1"/>
  <c r="BH41" i="1"/>
  <c r="BI41" i="1"/>
  <c r="BL41" i="1"/>
  <c r="BM41" i="1"/>
  <c r="BO41" i="1"/>
  <c r="BN41" i="1"/>
  <c r="BF41" i="1"/>
  <c r="CF52" i="1"/>
  <c r="CI52" i="1"/>
  <c r="CD49" i="1"/>
  <c r="CB46" i="1"/>
  <c r="CE52" i="1"/>
  <c r="O103" i="1"/>
  <c r="AV100" i="1"/>
  <c r="AY105" i="1"/>
  <c r="AS97" i="1"/>
  <c r="AW96" i="1"/>
  <c r="AX102" i="1"/>
  <c r="AR94" i="1"/>
  <c r="AS100" i="1"/>
  <c r="AX104" i="1"/>
  <c r="T100" i="1"/>
  <c r="AG104" i="1"/>
  <c r="AC93" i="1"/>
  <c r="AF96" i="1"/>
  <c r="U94" i="1"/>
  <c r="BH97" i="1"/>
  <c r="BI101" i="1"/>
  <c r="BP104" i="1"/>
  <c r="BF94" i="1"/>
  <c r="BG94" i="1"/>
  <c r="BD96" i="1"/>
  <c r="BG95" i="1"/>
  <c r="BP97" i="1"/>
  <c r="BG100" i="1"/>
  <c r="BD102" i="1"/>
  <c r="BO103" i="1"/>
  <c r="CF102" i="1"/>
  <c r="CD98" i="1"/>
  <c r="CF105" i="1"/>
  <c r="CE92" i="1"/>
  <c r="CS104" i="1"/>
  <c r="CR105" i="1"/>
  <c r="CT93" i="1"/>
  <c r="CY104" i="1"/>
  <c r="CY93" i="1"/>
  <c r="BL49" i="1"/>
  <c r="BM49" i="1"/>
  <c r="BO49" i="1"/>
  <c r="BP49" i="1"/>
  <c r="BQ49" i="1"/>
  <c r="BF49" i="1"/>
  <c r="BH49" i="1"/>
  <c r="BG49" i="1"/>
  <c r="BI49" i="1"/>
  <c r="BN49" i="1"/>
  <c r="J92" i="1"/>
  <c r="O98" i="1"/>
  <c r="AL105" i="1"/>
  <c r="AX94" i="1"/>
  <c r="AR105" i="1"/>
  <c r="AX97" i="1"/>
  <c r="U99" i="1"/>
  <c r="V101" i="1"/>
  <c r="AC99" i="1"/>
  <c r="BH101" i="1"/>
  <c r="BQ103" i="1"/>
  <c r="BP92" i="1"/>
  <c r="BP95" i="1"/>
  <c r="BO96" i="1"/>
  <c r="BF100" i="1"/>
  <c r="BO102" i="1"/>
  <c r="BN103" i="1"/>
  <c r="BP93" i="1"/>
  <c r="BY93" i="1"/>
  <c r="CD102" i="1"/>
  <c r="CF103" i="1"/>
  <c r="CD95" i="1"/>
  <c r="CD105" i="1"/>
  <c r="CN99" i="1"/>
  <c r="CO99" i="1"/>
  <c r="CS93" i="1"/>
  <c r="AV49" i="1"/>
  <c r="CG40" i="1"/>
  <c r="CE40" i="1"/>
  <c r="BD95" i="1"/>
  <c r="CQ105" i="1"/>
  <c r="AP47" i="1"/>
  <c r="AU41" i="1"/>
  <c r="AX41" i="1"/>
  <c r="AX49" i="1"/>
  <c r="AP40" i="1"/>
  <c r="AR51" i="1"/>
  <c r="BO40" i="1"/>
  <c r="BP40" i="1"/>
  <c r="BF40" i="1"/>
  <c r="BG40" i="1"/>
  <c r="BH40" i="1"/>
  <c r="BI40" i="1"/>
  <c r="BL40" i="1"/>
  <c r="BN40" i="1"/>
  <c r="BM40" i="1"/>
  <c r="BQ40" i="1"/>
  <c r="CH51" i="1"/>
  <c r="CI51" i="1"/>
  <c r="CH53" i="1"/>
  <c r="CF50" i="1"/>
  <c r="CF47" i="1"/>
  <c r="CI40" i="1"/>
  <c r="K103" i="1"/>
  <c r="AX105" i="1"/>
  <c r="AW102" i="1"/>
  <c r="AV92" i="1"/>
  <c r="AG99" i="1"/>
  <c r="T104" i="1"/>
  <c r="T102" i="1"/>
  <c r="AF93" i="1"/>
  <c r="AC100" i="1"/>
  <c r="BF102" i="1"/>
  <c r="BO104" i="1"/>
  <c r="BQ94" i="1"/>
  <c r="BN96" i="1"/>
  <c r="BO98" i="1"/>
  <c r="BP98" i="1"/>
  <c r="BQ98" i="1"/>
  <c r="BD101" i="1"/>
  <c r="BY94" i="1"/>
  <c r="BY95" i="1"/>
  <c r="CE93" i="1"/>
  <c r="CE105" i="1"/>
  <c r="CG105" i="1"/>
  <c r="CP105" i="1"/>
  <c r="U42" i="1"/>
  <c r="AG42" i="1"/>
  <c r="X42" i="1"/>
  <c r="Z42" i="1"/>
  <c r="Y42" i="1"/>
  <c r="AA42" i="1"/>
  <c r="AC42" i="1"/>
  <c r="AF42" i="1"/>
  <c r="T42" i="1"/>
  <c r="AB42" i="1"/>
  <c r="BP53" i="1"/>
  <c r="BQ53" i="1"/>
  <c r="BG53" i="1"/>
  <c r="BH53" i="1"/>
  <c r="BI53" i="1"/>
  <c r="BL53" i="1"/>
  <c r="BM53" i="1"/>
  <c r="BO53" i="1"/>
  <c r="BF53" i="1"/>
  <c r="BN53" i="1"/>
  <c r="Z47" i="1"/>
  <c r="AB47" i="1"/>
  <c r="AA47" i="1"/>
  <c r="T47" i="1"/>
  <c r="U47" i="1"/>
  <c r="AC47" i="1"/>
  <c r="AG47" i="1"/>
  <c r="X47" i="1"/>
  <c r="Y47" i="1"/>
  <c r="AF47" i="1"/>
  <c r="BF52" i="1"/>
  <c r="BG52" i="1"/>
  <c r="BI52" i="1"/>
  <c r="BL52" i="1"/>
  <c r="BN52" i="1"/>
  <c r="BM52" i="1"/>
  <c r="BO52" i="1"/>
  <c r="BQ52" i="1"/>
  <c r="BH52" i="1"/>
  <c r="BP52" i="1"/>
  <c r="Z44" i="1"/>
  <c r="AA44" i="1"/>
  <c r="AC44" i="1"/>
  <c r="T44" i="1"/>
  <c r="AF44" i="1"/>
  <c r="U44" i="1"/>
  <c r="AG44" i="1"/>
  <c r="Y44" i="1"/>
  <c r="AB44" i="1"/>
  <c r="X44" i="1"/>
  <c r="AT44" i="1"/>
  <c r="AY51" i="1"/>
  <c r="AS41" i="1"/>
  <c r="AQ44" i="1"/>
  <c r="BH51" i="1"/>
  <c r="BI51" i="1"/>
  <c r="BL51" i="1"/>
  <c r="BM51" i="1"/>
  <c r="BN51" i="1"/>
  <c r="BP51" i="1"/>
  <c r="BO51" i="1"/>
  <c r="BG51" i="1"/>
  <c r="BQ51" i="1"/>
  <c r="BF51" i="1"/>
  <c r="CI42" i="1"/>
  <c r="N103" i="1"/>
  <c r="I101" i="1"/>
  <c r="AW92" i="1"/>
  <c r="AR97" i="1"/>
  <c r="AS104" i="1"/>
  <c r="AS93" i="1"/>
  <c r="AR100" i="1"/>
  <c r="AW99" i="1"/>
  <c r="AC101" i="1"/>
  <c r="AF104" i="1"/>
  <c r="U101" i="1"/>
  <c r="V93" i="1"/>
  <c r="BD103" i="1"/>
  <c r="BO92" i="1"/>
  <c r="BO95" i="1"/>
  <c r="BN98" i="1"/>
  <c r="BQ99" i="1"/>
  <c r="BD100" i="1"/>
  <c r="BQ100" i="1"/>
  <c r="BP101" i="1"/>
  <c r="BI92" i="1"/>
  <c r="BO93" i="1"/>
  <c r="CD92" i="1"/>
  <c r="CG92" i="1"/>
  <c r="BX93" i="1"/>
  <c r="CQ104" i="1"/>
  <c r="CR93" i="1"/>
  <c r="CX104" i="1"/>
  <c r="CY99" i="1"/>
  <c r="AR49" i="1"/>
  <c r="CB47" i="1"/>
  <c r="CE53" i="1"/>
  <c r="AT51" i="1"/>
  <c r="AY40" i="1"/>
  <c r="CC50" i="1"/>
  <c r="CE50" i="1"/>
  <c r="BX50" i="1"/>
  <c r="CI50" i="1"/>
  <c r="CH50" i="1"/>
  <c r="AB43" i="1"/>
  <c r="AC43" i="1"/>
  <c r="T43" i="1"/>
  <c r="AF43" i="1"/>
  <c r="U43" i="1"/>
  <c r="AG43" i="1"/>
  <c r="X43" i="1"/>
  <c r="Y43" i="1"/>
  <c r="AA43" i="1"/>
  <c r="Z43" i="1"/>
  <c r="AR44" i="1"/>
  <c r="AP52" i="1"/>
  <c r="AT40" i="1"/>
  <c r="AY44" i="1"/>
  <c r="AX50" i="1"/>
  <c r="AU40" i="1"/>
  <c r="BM50" i="1"/>
  <c r="BN50" i="1"/>
  <c r="BO50" i="1"/>
  <c r="BP50" i="1"/>
  <c r="BF50" i="1"/>
  <c r="BQ50" i="1"/>
  <c r="BG50" i="1"/>
  <c r="BI50" i="1"/>
  <c r="BL50" i="1"/>
  <c r="BH50" i="1"/>
  <c r="CF49" i="1"/>
  <c r="CG49" i="1"/>
  <c r="CB52" i="1"/>
  <c r="CE51" i="1"/>
  <c r="CF51" i="1"/>
  <c r="CB49" i="1"/>
  <c r="CC47" i="1"/>
  <c r="BU84" i="1"/>
  <c r="H103" i="1"/>
  <c r="H98" i="1"/>
  <c r="B98" i="1"/>
  <c r="AY93" i="1"/>
  <c r="AL100" i="1"/>
  <c r="AV96" i="1"/>
  <c r="AY96" i="1"/>
  <c r="AV93" i="1"/>
  <c r="AW105" i="1"/>
  <c r="V100" i="1"/>
  <c r="AG101" i="1"/>
  <c r="V96" i="1"/>
  <c r="T94" i="1"/>
  <c r="AC104" i="1"/>
  <c r="BP103" i="1"/>
  <c r="BD94" i="1"/>
  <c r="BO99" i="1"/>
  <c r="BP99" i="1"/>
  <c r="BO100" i="1"/>
  <c r="BP100" i="1"/>
  <c r="BO101" i="1"/>
  <c r="BN102" i="1"/>
  <c r="BN93" i="1"/>
  <c r="BI96" i="1"/>
  <c r="BX94" i="1"/>
  <c r="CG93" i="1"/>
  <c r="BV94" i="1"/>
  <c r="CF92" i="1"/>
  <c r="CP93" i="1"/>
  <c r="CQ93" i="1"/>
  <c r="CY103" i="1"/>
  <c r="Z53" i="1"/>
  <c r="AA53" i="1"/>
  <c r="AB53" i="1"/>
  <c r="AF53" i="1"/>
  <c r="AG53" i="1"/>
  <c r="AC53" i="1"/>
  <c r="Y53" i="1"/>
  <c r="T53" i="1"/>
  <c r="U53" i="1"/>
  <c r="X53" i="1"/>
  <c r="AP53" i="1"/>
  <c r="AQ41" i="1"/>
  <c r="AS47" i="1"/>
  <c r="AU47" i="1"/>
  <c r="BP47" i="1"/>
  <c r="BQ47" i="1"/>
  <c r="BG47" i="1"/>
  <c r="BH47" i="1"/>
  <c r="BI47" i="1"/>
  <c r="BL47" i="1"/>
  <c r="BM47" i="1"/>
  <c r="BO47" i="1"/>
  <c r="BN47" i="1"/>
  <c r="BF47" i="1"/>
  <c r="CB42" i="1"/>
  <c r="CB40" i="1"/>
  <c r="BX51" i="1"/>
  <c r="O92" i="1"/>
  <c r="K98" i="1"/>
  <c r="I92" i="1"/>
  <c r="N98" i="1"/>
  <c r="AW94" i="1"/>
  <c r="AX100" i="1"/>
  <c r="AW97" i="1"/>
  <c r="T101" i="1"/>
  <c r="BN104" i="1"/>
  <c r="BP94" i="1"/>
  <c r="BI102" i="1"/>
  <c r="BN100" i="1"/>
  <c r="BI103" i="1"/>
  <c r="BN101" i="1"/>
  <c r="BI104" i="1"/>
  <c r="BH96" i="1"/>
  <c r="BG97" i="1"/>
  <c r="BV95" i="1"/>
  <c r="CG102" i="1"/>
  <c r="CE94" i="1"/>
  <c r="BX102" i="1"/>
  <c r="CF95" i="1"/>
  <c r="CP104" i="1"/>
  <c r="CS99" i="1"/>
  <c r="CX99" i="1"/>
  <c r="BF46" i="1"/>
  <c r="BG46" i="1"/>
  <c r="BI46" i="1"/>
  <c r="BL46" i="1"/>
  <c r="BN46" i="1"/>
  <c r="BM46" i="1"/>
  <c r="BO46" i="1"/>
  <c r="BQ46" i="1"/>
  <c r="BH46" i="1"/>
  <c r="BP46" i="1"/>
  <c r="BC34" i="1"/>
  <c r="CG47" i="1"/>
  <c r="CI47" i="1"/>
  <c r="BX47" i="1"/>
  <c r="CB53" i="1"/>
  <c r="AS96" i="1"/>
  <c r="AL96" i="1"/>
  <c r="AS99" i="1"/>
  <c r="AC96" i="1"/>
  <c r="BN92" i="1"/>
  <c r="BN95" i="1"/>
  <c r="BG103" i="1"/>
  <c r="BH103" i="1"/>
  <c r="BG104" i="1"/>
  <c r="BH104" i="1"/>
  <c r="BH92" i="1"/>
  <c r="BG98" i="1"/>
  <c r="CE103" i="1"/>
  <c r="BV103" i="1"/>
  <c r="BX105" i="1"/>
  <c r="CN105" i="1"/>
  <c r="BN42" i="1"/>
  <c r="BO42" i="1"/>
  <c r="BQ42" i="1"/>
  <c r="BF42" i="1"/>
  <c r="BG42" i="1"/>
  <c r="BH42" i="1"/>
  <c r="BI42" i="1"/>
  <c r="BM42" i="1"/>
  <c r="BL42" i="1"/>
  <c r="BP42" i="1"/>
  <c r="CC48" i="1"/>
  <c r="CG48" i="1"/>
  <c r="CI48" i="1"/>
  <c r="CH48" i="1"/>
  <c r="T51" i="1"/>
  <c r="AF51" i="1"/>
  <c r="Z51" i="1"/>
  <c r="AA51" i="1"/>
  <c r="AB51" i="1"/>
  <c r="AC51" i="1"/>
  <c r="U51" i="1"/>
  <c r="AG51" i="1"/>
  <c r="X51" i="1"/>
  <c r="Y51" i="1"/>
  <c r="AX51" i="1"/>
  <c r="BP96" i="1"/>
  <c r="T41" i="1"/>
  <c r="AF41" i="1"/>
  <c r="U41" i="1"/>
  <c r="AG41" i="1"/>
  <c r="X41" i="1"/>
  <c r="Y41" i="1"/>
  <c r="Z41" i="1"/>
  <c r="AB41" i="1"/>
  <c r="AA41" i="1"/>
  <c r="AC41" i="1"/>
  <c r="CD44" i="1"/>
  <c r="CE44" i="1"/>
  <c r="CI44" i="1"/>
  <c r="CC40" i="1"/>
  <c r="CG53" i="1"/>
  <c r="AV94" i="1"/>
  <c r="AX96" i="1"/>
  <c r="T99" i="1"/>
  <c r="U96" i="1"/>
  <c r="AB99" i="1"/>
  <c r="BQ93" i="1"/>
  <c r="BQ104" i="1"/>
  <c r="BG92" i="1"/>
  <c r="BI95" i="1"/>
  <c r="BI99" i="1"/>
  <c r="CD93" i="1"/>
  <c r="CG94" i="1"/>
  <c r="CR99" i="1"/>
  <c r="CY105" i="1"/>
  <c r="AB46" i="1"/>
  <c r="AC46" i="1"/>
  <c r="AG46" i="1"/>
  <c r="T46" i="1"/>
  <c r="U46" i="1"/>
  <c r="AA46" i="1"/>
  <c r="Y46" i="1"/>
  <c r="X46" i="1"/>
  <c r="AF46" i="1"/>
  <c r="Z46" i="1"/>
  <c r="X49" i="1"/>
  <c r="U49" i="1"/>
  <c r="Y49" i="1"/>
  <c r="Z49" i="1"/>
  <c r="AA49" i="1"/>
  <c r="AB49" i="1"/>
  <c r="AC49" i="1"/>
  <c r="AG49" i="1"/>
  <c r="T49" i="1"/>
  <c r="AF49" i="1"/>
  <c r="BQ95" i="1"/>
  <c r="BN48" i="1"/>
  <c r="BO48" i="1"/>
  <c r="BQ48" i="1"/>
  <c r="BF48" i="1"/>
  <c r="BG48" i="1"/>
  <c r="BH48" i="1"/>
  <c r="BI48" i="1"/>
  <c r="BM48" i="1"/>
  <c r="BL48" i="1"/>
  <c r="BP48" i="1"/>
  <c r="AS49" i="1"/>
  <c r="AT49" i="1"/>
  <c r="AY47" i="1"/>
  <c r="CB44" i="1"/>
  <c r="CD40" i="1"/>
  <c r="CF53" i="1"/>
  <c r="AY99" i="1"/>
  <c r="AB52" i="1"/>
  <c r="AC52" i="1"/>
  <c r="AA52" i="1"/>
  <c r="AF52" i="1"/>
  <c r="AG52" i="1"/>
  <c r="T52" i="1"/>
  <c r="U52" i="1"/>
  <c r="X52" i="1"/>
  <c r="Y52" i="1"/>
  <c r="Z52" i="1"/>
  <c r="AU52" i="1"/>
  <c r="AT41" i="1"/>
  <c r="AY52" i="1"/>
  <c r="CF43" i="1"/>
  <c r="CG43" i="1"/>
  <c r="CE43" i="1"/>
  <c r="BX46" i="1"/>
  <c r="CH43" i="1"/>
  <c r="CH40" i="1"/>
  <c r="BX44" i="1"/>
  <c r="N92" i="1"/>
  <c r="AV97" i="1"/>
  <c r="AS94" i="1"/>
  <c r="AV99" i="1"/>
  <c r="AG100" i="1"/>
  <c r="AG96" i="1"/>
  <c r="U93" i="1"/>
  <c r="BO94" i="1"/>
  <c r="BH93" i="1"/>
  <c r="BF92" i="1"/>
  <c r="BG96" i="1"/>
  <c r="BI100" i="1"/>
  <c r="BX95" i="1"/>
  <c r="CO105" i="1"/>
  <c r="CQ99" i="1"/>
  <c r="AQ51" i="1"/>
  <c r="CF40" i="1"/>
  <c r="BQ96" i="1"/>
  <c r="CC53" i="1"/>
  <c r="BX53" i="1"/>
  <c r="CI53" i="1"/>
  <c r="Y40" i="1"/>
  <c r="AA40" i="1"/>
  <c r="Z40" i="1"/>
  <c r="AG40" i="1"/>
  <c r="T40" i="1"/>
  <c r="U40" i="1"/>
  <c r="X40" i="1"/>
  <c r="AB40" i="1"/>
  <c r="AF40" i="1"/>
  <c r="AC40" i="1"/>
  <c r="AP51" i="1"/>
  <c r="AP41" i="1"/>
  <c r="AQ47" i="1"/>
  <c r="AP49" i="1"/>
  <c r="AR40" i="1"/>
  <c r="CD42" i="1"/>
  <c r="CE42" i="1"/>
  <c r="CC42" i="1"/>
  <c r="CH47" i="1"/>
  <c r="CF44" i="1"/>
  <c r="CH42" i="1"/>
  <c r="CC44" i="1"/>
  <c r="AL99" i="1"/>
  <c r="BI97" i="1"/>
  <c r="BX103" i="1"/>
  <c r="BX92" i="1"/>
  <c r="CM84" i="1"/>
  <c r="CU102" i="1"/>
  <c r="CU92" i="1"/>
  <c r="CU97" i="1"/>
  <c r="CU94" i="1"/>
  <c r="CU101" i="1"/>
  <c r="CU96" i="1"/>
  <c r="CU93" i="1"/>
  <c r="CU103" i="1"/>
  <c r="CU100" i="1"/>
  <c r="CU95" i="1"/>
  <c r="CO77" i="1"/>
  <c r="CN77" i="1"/>
  <c r="CN78" i="1"/>
  <c r="BW94" i="1"/>
  <c r="BZ102" i="1"/>
  <c r="BZ103" i="1"/>
  <c r="CA103" i="1"/>
  <c r="BW100" i="1"/>
  <c r="BZ99" i="1"/>
  <c r="CA95" i="1"/>
  <c r="BW103" i="1"/>
  <c r="BW105" i="1"/>
  <c r="BW95" i="1"/>
  <c r="BZ104" i="1"/>
  <c r="CA99" i="1"/>
  <c r="BZ94" i="1"/>
  <c r="CA104" i="1"/>
  <c r="CA94" i="1"/>
  <c r="BW101" i="1"/>
  <c r="BZ105" i="1"/>
  <c r="BW99" i="1"/>
  <c r="BZ95" i="1"/>
  <c r="BZ98" i="1"/>
  <c r="CA100" i="1"/>
  <c r="BZ100" i="1"/>
  <c r="CA102" i="1"/>
  <c r="BW98" i="1"/>
  <c r="BW104" i="1"/>
  <c r="CA98" i="1"/>
  <c r="CA105" i="1"/>
  <c r="BW102" i="1"/>
  <c r="BZ101" i="1"/>
  <c r="CA101" i="1"/>
  <c r="BW77" i="1"/>
  <c r="BV78" i="1"/>
  <c r="BV77" i="1"/>
  <c r="BE105" i="1"/>
  <c r="BE100" i="1"/>
  <c r="BE95" i="1"/>
  <c r="BE97" i="1"/>
  <c r="BE102" i="1"/>
  <c r="BE104" i="1"/>
  <c r="BE94" i="1"/>
  <c r="BE101" i="1"/>
  <c r="BE96" i="1"/>
  <c r="BE103" i="1"/>
  <c r="AO102" i="1"/>
  <c r="AN96" i="1"/>
  <c r="AN98" i="1"/>
  <c r="AN100" i="1"/>
  <c r="AO101" i="1"/>
  <c r="AM98" i="1"/>
  <c r="AM103" i="1"/>
  <c r="AN97" i="1"/>
  <c r="AM102" i="1"/>
  <c r="AN105" i="1"/>
  <c r="AO100" i="1"/>
  <c r="AO97" i="1"/>
  <c r="AO98" i="1"/>
  <c r="AM101" i="1"/>
  <c r="AM99" i="1"/>
  <c r="AO105" i="1"/>
  <c r="AO96" i="1"/>
  <c r="AM104" i="1"/>
  <c r="AM97" i="1"/>
  <c r="AN104" i="1"/>
  <c r="AM96" i="1"/>
  <c r="AN102" i="1"/>
  <c r="AN99" i="1"/>
  <c r="AO103" i="1"/>
  <c r="AN101" i="1"/>
  <c r="AN103" i="1"/>
  <c r="AO99" i="1"/>
  <c r="AO104" i="1"/>
  <c r="AM100" i="1"/>
  <c r="AL78" i="1"/>
  <c r="AM77" i="1"/>
  <c r="AL77" i="1"/>
  <c r="AD92" i="1"/>
  <c r="AD104" i="1"/>
  <c r="AE97" i="1"/>
  <c r="AD99" i="1"/>
  <c r="W97" i="1"/>
  <c r="AE92" i="1"/>
  <c r="W104" i="1"/>
  <c r="W92" i="1"/>
  <c r="AE104" i="1"/>
  <c r="AD101" i="1"/>
  <c r="W99" i="1"/>
  <c r="AD96" i="1"/>
  <c r="AE99" i="1"/>
  <c r="W101" i="1"/>
  <c r="AE101" i="1"/>
  <c r="AE96" i="1"/>
  <c r="AD93" i="1"/>
  <c r="AD98" i="1"/>
  <c r="W96" i="1"/>
  <c r="AD105" i="1"/>
  <c r="AD100" i="1"/>
  <c r="AE93" i="1"/>
  <c r="W105" i="1"/>
  <c r="AE98" i="1"/>
  <c r="W93" i="1"/>
  <c r="AE105" i="1"/>
  <c r="W100" i="1"/>
  <c r="AD97" i="1"/>
  <c r="AE100" i="1"/>
  <c r="L99" i="1"/>
  <c r="M99" i="1"/>
  <c r="M97" i="1"/>
  <c r="M94" i="1"/>
  <c r="C100" i="1"/>
  <c r="L96" i="1"/>
  <c r="L98" i="1"/>
  <c r="C97" i="1"/>
  <c r="L105" i="1"/>
  <c r="C95" i="1"/>
  <c r="M101" i="1"/>
  <c r="L95" i="1"/>
  <c r="M98" i="1"/>
  <c r="C104" i="1"/>
  <c r="L100" i="1"/>
  <c r="M96" i="1"/>
  <c r="C99" i="1"/>
  <c r="M105" i="1"/>
  <c r="L104" i="1"/>
  <c r="M100" i="1"/>
  <c r="M95" i="1"/>
  <c r="L97" i="1"/>
  <c r="C98" i="1"/>
  <c r="C105" i="1"/>
  <c r="C101" i="1"/>
  <c r="C96" i="1"/>
  <c r="M104" i="1"/>
  <c r="L101" i="1"/>
  <c r="BD78" i="1"/>
  <c r="BE77" i="1"/>
  <c r="BD77" i="1"/>
  <c r="T78" i="1"/>
  <c r="U77" i="1"/>
  <c r="T77" i="1"/>
  <c r="B78" i="1"/>
  <c r="C77" i="1"/>
  <c r="B77" i="1"/>
  <c r="BY46" i="1"/>
  <c r="BY52" i="1"/>
  <c r="BY47" i="1"/>
  <c r="BY53" i="1"/>
  <c r="BY49" i="1"/>
  <c r="BY44" i="1"/>
  <c r="BY50" i="1"/>
  <c r="BY45" i="1"/>
  <c r="BY51" i="1"/>
  <c r="BY48" i="1"/>
  <c r="BC32" i="1"/>
  <c r="BC33" i="1"/>
  <c r="BV26" i="1"/>
  <c r="BW25" i="1"/>
  <c r="BE25" i="1"/>
  <c r="BD25" i="1"/>
  <c r="BD26" i="1"/>
  <c r="AV40" i="1"/>
  <c r="AW40" i="1"/>
  <c r="AW52" i="1"/>
  <c r="AW44" i="1"/>
  <c r="AV47" i="1"/>
  <c r="AW41" i="1"/>
  <c r="AW53" i="1"/>
  <c r="AV48" i="1"/>
  <c r="AW48" i="1"/>
  <c r="AV45" i="1"/>
  <c r="AW46" i="1"/>
  <c r="AV41" i="1"/>
  <c r="AV44" i="1"/>
  <c r="AW45" i="1"/>
  <c r="AV46" i="1"/>
  <c r="AV53" i="1"/>
  <c r="AW47" i="1"/>
  <c r="AV52" i="1"/>
  <c r="AW49" i="1"/>
  <c r="AM25" i="1"/>
  <c r="AL25" i="1"/>
  <c r="AL26" i="1"/>
  <c r="U25" i="1"/>
  <c r="T25" i="1"/>
  <c r="T26" i="1"/>
  <c r="V46" i="1" l="1"/>
  <c r="W46" i="1"/>
  <c r="V48" i="1"/>
  <c r="AD52" i="1"/>
  <c r="W52" i="1"/>
  <c r="V53" i="1"/>
  <c r="V45" i="1"/>
  <c r="AE44" i="1"/>
  <c r="AD40" i="1"/>
  <c r="AE47" i="1"/>
  <c r="AM53" i="1"/>
  <c r="AT98" i="1"/>
  <c r="G103" i="1"/>
  <c r="AM50" i="1"/>
  <c r="Z94" i="1"/>
  <c r="E99" i="1"/>
  <c r="Z101" i="1"/>
  <c r="F98" i="1"/>
  <c r="AN45" i="1"/>
  <c r="F99" i="1"/>
  <c r="G93" i="1"/>
  <c r="D101" i="1"/>
  <c r="W48" i="1"/>
  <c r="E103" i="1"/>
  <c r="AQ92" i="1"/>
  <c r="Z104" i="1"/>
  <c r="AN49" i="1"/>
  <c r="X104" i="1"/>
  <c r="X105" i="1"/>
  <c r="Y101" i="1"/>
  <c r="AA94" i="1"/>
  <c r="Z103" i="1"/>
  <c r="AD44" i="1"/>
  <c r="AN53" i="1"/>
  <c r="Y94" i="1"/>
  <c r="Y102" i="1"/>
  <c r="AA102" i="1"/>
  <c r="AL49" i="1"/>
  <c r="AN48" i="1"/>
  <c r="X95" i="1"/>
  <c r="X103" i="1"/>
  <c r="X100" i="1"/>
  <c r="Y93" i="1"/>
  <c r="AA101" i="1"/>
  <c r="X92" i="1"/>
  <c r="AU93" i="1"/>
  <c r="AN46" i="1"/>
  <c r="X94" i="1"/>
  <c r="AO44" i="1"/>
  <c r="Y95" i="1"/>
  <c r="AA104" i="1"/>
  <c r="Y100" i="1"/>
  <c r="AO46" i="1"/>
  <c r="Z100" i="1"/>
  <c r="AO47" i="1"/>
  <c r="X102" i="1"/>
  <c r="X93" i="1"/>
  <c r="Z92" i="1"/>
  <c r="AA95" i="1"/>
  <c r="X101" i="1"/>
  <c r="Y92" i="1"/>
  <c r="Z102" i="1"/>
  <c r="AA103" i="1"/>
  <c r="Z93" i="1"/>
  <c r="AM48" i="1"/>
  <c r="AL48" i="1"/>
  <c r="Z95" i="1"/>
  <c r="AM45" i="1"/>
  <c r="AL53" i="1"/>
  <c r="AM49" i="1"/>
  <c r="Y105" i="1"/>
  <c r="Z105" i="1"/>
  <c r="AO52" i="1"/>
  <c r="Y104" i="1"/>
  <c r="CH94" i="1"/>
  <c r="AA92" i="1"/>
  <c r="AA105" i="1"/>
  <c r="BZ42" i="1"/>
  <c r="W40" i="1"/>
  <c r="AE46" i="1"/>
  <c r="W41" i="1"/>
  <c r="AE45" i="1"/>
  <c r="AD47" i="1"/>
  <c r="V40" i="1"/>
  <c r="W53" i="1"/>
  <c r="AD45" i="1"/>
  <c r="W44" i="1"/>
  <c r="AE40" i="1"/>
  <c r="AE52" i="1"/>
  <c r="AD41" i="1"/>
  <c r="AD53" i="1"/>
  <c r="V44" i="1"/>
  <c r="V52" i="1"/>
  <c r="W49" i="1"/>
  <c r="AE48" i="1"/>
  <c r="V49" i="1"/>
  <c r="V41" i="1"/>
  <c r="W47" i="1"/>
  <c r="AD49" i="1"/>
  <c r="AD48" i="1"/>
  <c r="AE41" i="1"/>
  <c r="W45" i="1"/>
  <c r="AD46" i="1"/>
  <c r="AE53" i="1"/>
  <c r="V47" i="1"/>
  <c r="AE49" i="1"/>
  <c r="D100" i="1"/>
  <c r="E102" i="1"/>
  <c r="E92" i="1"/>
  <c r="G98" i="1"/>
  <c r="D92" i="1"/>
  <c r="D93" i="1"/>
  <c r="F100" i="1"/>
  <c r="AU95" i="1"/>
  <c r="BM96" i="1"/>
  <c r="G101" i="1"/>
  <c r="CI102" i="1"/>
  <c r="D99" i="1"/>
  <c r="D98" i="1"/>
  <c r="E93" i="1"/>
  <c r="G92" i="1"/>
  <c r="F101" i="1"/>
  <c r="G99" i="1"/>
  <c r="D104" i="1"/>
  <c r="F104" i="1"/>
  <c r="G104" i="1"/>
  <c r="G105" i="1"/>
  <c r="D103" i="1"/>
  <c r="E105" i="1"/>
  <c r="D105" i="1"/>
  <c r="G102" i="1"/>
  <c r="E104" i="1"/>
  <c r="F102" i="1"/>
  <c r="E101" i="1"/>
  <c r="F93" i="1"/>
  <c r="F103" i="1"/>
  <c r="E100" i="1"/>
  <c r="F105" i="1"/>
  <c r="G100" i="1"/>
  <c r="D102" i="1"/>
  <c r="E98" i="1"/>
  <c r="F92" i="1"/>
  <c r="AQ102" i="1"/>
  <c r="BZ52" i="1"/>
  <c r="AQ105" i="1"/>
  <c r="AT95" i="1"/>
  <c r="AU92" i="1"/>
  <c r="BL105" i="1"/>
  <c r="CZ102" i="1"/>
  <c r="BJ97" i="1"/>
  <c r="AT103" i="1"/>
  <c r="AU94" i="1"/>
  <c r="BJ95" i="1"/>
  <c r="BK104" i="1"/>
  <c r="BM94" i="1"/>
  <c r="BM93" i="1"/>
  <c r="AP103" i="1"/>
  <c r="AP102" i="1"/>
  <c r="AP94" i="1"/>
  <c r="AQ98" i="1"/>
  <c r="AT94" i="1"/>
  <c r="BK102" i="1"/>
  <c r="BK103" i="1"/>
  <c r="BJ96" i="1"/>
  <c r="BM92" i="1"/>
  <c r="AU104" i="1"/>
  <c r="CA43" i="1"/>
  <c r="AP99" i="1"/>
  <c r="AT93" i="1"/>
  <c r="BK97" i="1"/>
  <c r="BJ94" i="1"/>
  <c r="BM102" i="1"/>
  <c r="BJ102" i="1"/>
  <c r="BM105" i="1"/>
  <c r="AU105" i="1"/>
  <c r="BL94" i="1"/>
  <c r="BM104" i="1"/>
  <c r="AQ95" i="1"/>
  <c r="AP105" i="1"/>
  <c r="AQ99" i="1"/>
  <c r="AU98" i="1"/>
  <c r="BK95" i="1"/>
  <c r="BJ105" i="1"/>
  <c r="BL97" i="1"/>
  <c r="BM103" i="1"/>
  <c r="AP95" i="1"/>
  <c r="BL95" i="1"/>
  <c r="AT99" i="1"/>
  <c r="AP93" i="1"/>
  <c r="AQ94" i="1"/>
  <c r="AT104" i="1"/>
  <c r="AU99" i="1"/>
  <c r="BJ104" i="1"/>
  <c r="BL92" i="1"/>
  <c r="BL104" i="1"/>
  <c r="CA46" i="1"/>
  <c r="BL102" i="1"/>
  <c r="AP98" i="1"/>
  <c r="AQ103" i="1"/>
  <c r="AT105" i="1"/>
  <c r="AU103" i="1"/>
  <c r="BK96" i="1"/>
  <c r="BL93" i="1"/>
  <c r="BM97" i="1"/>
  <c r="CI95" i="1"/>
  <c r="BK94" i="1"/>
  <c r="AP92" i="1"/>
  <c r="AQ104" i="1"/>
  <c r="AT92" i="1"/>
  <c r="AU102" i="1"/>
  <c r="BK105" i="1"/>
  <c r="BJ103" i="1"/>
  <c r="BL96" i="1"/>
  <c r="BM95" i="1"/>
  <c r="AP104" i="1"/>
  <c r="AQ93" i="1"/>
  <c r="AT102" i="1"/>
  <c r="BL103" i="1"/>
  <c r="CA48" i="1"/>
  <c r="BZ50" i="1"/>
  <c r="CB102" i="1"/>
  <c r="CB103" i="1"/>
  <c r="CH95" i="1"/>
  <c r="CA49" i="1"/>
  <c r="DA97" i="1"/>
  <c r="CA52" i="1"/>
  <c r="BZ43" i="1"/>
  <c r="CA51" i="1"/>
  <c r="AL45" i="1"/>
  <c r="AO49" i="1"/>
  <c r="AL46" i="1"/>
  <c r="AM52" i="1"/>
  <c r="BW52" i="1"/>
  <c r="BW50" i="1"/>
  <c r="BW47" i="1"/>
  <c r="CB92" i="1"/>
  <c r="CB93" i="1"/>
  <c r="CC101" i="1"/>
  <c r="CH100" i="1"/>
  <c r="CA42" i="1"/>
  <c r="BV48" i="1"/>
  <c r="BZ51" i="1"/>
  <c r="CC93" i="1"/>
  <c r="BW53" i="1"/>
  <c r="CH97" i="1"/>
  <c r="AO53" i="1"/>
  <c r="AM46" i="1"/>
  <c r="BW46" i="1"/>
  <c r="BV50" i="1"/>
  <c r="CB97" i="1"/>
  <c r="CB101" i="1"/>
  <c r="CC96" i="1"/>
  <c r="CI92" i="1"/>
  <c r="CH102" i="1"/>
  <c r="BZ46" i="1"/>
  <c r="CI96" i="1"/>
  <c r="AL44" i="1"/>
  <c r="AL50" i="1"/>
  <c r="AN44" i="1"/>
  <c r="BV52" i="1"/>
  <c r="BV49" i="1"/>
  <c r="BV47" i="1"/>
  <c r="CC94" i="1"/>
  <c r="CI103" i="1"/>
  <c r="CI97" i="1"/>
  <c r="CA47" i="1"/>
  <c r="BZ47" i="1"/>
  <c r="BZ49" i="1"/>
  <c r="CH101" i="1"/>
  <c r="BV53" i="1"/>
  <c r="CB100" i="1"/>
  <c r="AL51" i="1"/>
  <c r="BV46" i="1"/>
  <c r="CB94" i="1"/>
  <c r="CC95" i="1"/>
  <c r="CI101" i="1"/>
  <c r="CA53" i="1"/>
  <c r="AN52" i="1"/>
  <c r="AL52" i="1"/>
  <c r="AN47" i="1"/>
  <c r="BW48" i="1"/>
  <c r="CH96" i="1"/>
  <c r="BV51" i="1"/>
  <c r="BW49" i="1"/>
  <c r="CB95" i="1"/>
  <c r="AM47" i="1"/>
  <c r="BZ53" i="1"/>
  <c r="AL47" i="1"/>
  <c r="AM51" i="1"/>
  <c r="BW51" i="1"/>
  <c r="BZ48" i="1"/>
  <c r="AO48" i="1"/>
  <c r="AM44" i="1"/>
  <c r="AO45" i="1"/>
  <c r="CH93" i="1"/>
  <c r="AA100" i="1"/>
  <c r="CC102" i="1"/>
  <c r="CC97" i="1"/>
  <c r="CI93" i="1"/>
  <c r="CA50" i="1"/>
  <c r="CC103" i="1"/>
  <c r="CH92" i="1"/>
  <c r="CI100" i="1"/>
  <c r="BJ53" i="1"/>
  <c r="CC100" i="1"/>
  <c r="CH103" i="1"/>
  <c r="CB96" i="1"/>
  <c r="CC92" i="1"/>
  <c r="CI94" i="1"/>
  <c r="BD51" i="1"/>
  <c r="CV92" i="1"/>
  <c r="CV103" i="1"/>
  <c r="AA93" i="1"/>
  <c r="DA92" i="1"/>
  <c r="DA102" i="1"/>
  <c r="CZ103" i="1"/>
  <c r="CZ95" i="1"/>
  <c r="BX25" i="1" a="1"/>
  <c r="BX26" i="1" s="1"/>
  <c r="CV96" i="1"/>
  <c r="BJ52" i="1"/>
  <c r="CV94" i="1"/>
  <c r="CZ97" i="1"/>
  <c r="CZ94" i="1"/>
  <c r="BD50" i="1"/>
  <c r="BD52" i="1"/>
  <c r="BE42" i="1"/>
  <c r="DA93" i="1"/>
  <c r="BE48" i="1"/>
  <c r="BD42" i="1"/>
  <c r="BK51" i="1"/>
  <c r="CZ96" i="1"/>
  <c r="CV97" i="1"/>
  <c r="DA96" i="1"/>
  <c r="BJ51" i="1"/>
  <c r="BE49" i="1"/>
  <c r="DA94" i="1"/>
  <c r="CZ92" i="1"/>
  <c r="CZ93" i="1"/>
  <c r="BK50" i="1"/>
  <c r="BE52" i="1"/>
  <c r="BE53" i="1"/>
  <c r="CV99" i="1"/>
  <c r="DA103" i="1"/>
  <c r="CV95" i="1"/>
  <c r="BD48" i="1"/>
  <c r="BJ50" i="1"/>
  <c r="BD49" i="1"/>
  <c r="BK42" i="1"/>
  <c r="BD53" i="1"/>
  <c r="BX77" i="1" a="1"/>
  <c r="BX78" i="1" s="1"/>
  <c r="BK48" i="1"/>
  <c r="BE51" i="1"/>
  <c r="BJ49" i="1"/>
  <c r="BX79" i="1" a="1"/>
  <c r="BY80" i="1" s="1"/>
  <c r="BJ42" i="1"/>
  <c r="BJ43" i="1"/>
  <c r="BJ45" i="1"/>
  <c r="BD45" i="1"/>
  <c r="BE43" i="1"/>
  <c r="BE44" i="1"/>
  <c r="BK45" i="1"/>
  <c r="BJ44" i="1"/>
  <c r="BD43" i="1"/>
  <c r="BK44" i="1"/>
  <c r="BE45" i="1"/>
  <c r="BD44" i="1"/>
  <c r="BK43" i="1"/>
  <c r="AN79" i="1" a="1"/>
  <c r="AN79" i="1" s="1"/>
  <c r="AN77" i="1" a="1"/>
  <c r="AO77" i="1" s="1"/>
  <c r="CV98" i="1"/>
  <c r="BJ48" i="1"/>
  <c r="BE50" i="1"/>
  <c r="BK52" i="1"/>
  <c r="BK53" i="1"/>
  <c r="BK49" i="1"/>
  <c r="DA95" i="1"/>
  <c r="CV93" i="1"/>
  <c r="CW103" i="1"/>
  <c r="CW102" i="1"/>
  <c r="CV102" i="1"/>
  <c r="CW94" i="1"/>
  <c r="CW93" i="1"/>
  <c r="CW92" i="1"/>
  <c r="CW95" i="1"/>
  <c r="CW97" i="1"/>
  <c r="CW96" i="1"/>
  <c r="CW98" i="1"/>
  <c r="CW99" i="1"/>
  <c r="CP79" i="1" a="1"/>
  <c r="CP77" i="1" a="1"/>
  <c r="D79" i="1" a="1"/>
  <c r="D77" i="1" a="1"/>
  <c r="BF79" i="1" a="1"/>
  <c r="BF77" i="1" a="1"/>
  <c r="V79" i="1" a="1"/>
  <c r="V77" i="1" a="1"/>
  <c r="BX27" i="1" a="1"/>
  <c r="BF27" i="1" a="1"/>
  <c r="BF25" i="1" a="1"/>
  <c r="AN27" i="1" a="1"/>
  <c r="AN25" i="1" a="1"/>
  <c r="V27" i="1" a="1"/>
  <c r="V25" i="1" a="1"/>
  <c r="BY78" i="1" l="1"/>
  <c r="BX77" i="1"/>
  <c r="BY77" i="1"/>
  <c r="BX25" i="1"/>
  <c r="BY25" i="1"/>
  <c r="BY26" i="1"/>
  <c r="BY79" i="1"/>
  <c r="BX79" i="1"/>
  <c r="BX80" i="1"/>
  <c r="AO78" i="1"/>
  <c r="AN78" i="1"/>
  <c r="AN77" i="1"/>
  <c r="AO80" i="1"/>
  <c r="AN80" i="1"/>
  <c r="AO79" i="1"/>
  <c r="CP78" i="1"/>
  <c r="CQ77" i="1"/>
  <c r="CP77" i="1"/>
  <c r="CQ78" i="1"/>
  <c r="CP80" i="1"/>
  <c r="CQ79" i="1"/>
  <c r="CP79" i="1"/>
  <c r="CQ80" i="1"/>
  <c r="BG78" i="1"/>
  <c r="BF78" i="1"/>
  <c r="BG77" i="1"/>
  <c r="BF77" i="1"/>
  <c r="BG80" i="1"/>
  <c r="BF80" i="1"/>
  <c r="BG79" i="1"/>
  <c r="BF79" i="1"/>
  <c r="E78" i="1"/>
  <c r="D78" i="1"/>
  <c r="E77" i="1"/>
  <c r="D77" i="1"/>
  <c r="W78" i="1"/>
  <c r="V78" i="1"/>
  <c r="W77" i="1"/>
  <c r="V77" i="1"/>
  <c r="D79" i="1"/>
  <c r="E80" i="1"/>
  <c r="D80" i="1"/>
  <c r="E79" i="1"/>
  <c r="V80" i="1"/>
  <c r="W79" i="1"/>
  <c r="V79" i="1"/>
  <c r="W80" i="1"/>
  <c r="BX28" i="1"/>
  <c r="BY27" i="1"/>
  <c r="BX27" i="1"/>
  <c r="BY28" i="1"/>
  <c r="BF26" i="1"/>
  <c r="BG25" i="1"/>
  <c r="BF25" i="1"/>
  <c r="BG26" i="1"/>
  <c r="BF28" i="1"/>
  <c r="BG27" i="1"/>
  <c r="BF27" i="1"/>
  <c r="BG28" i="1"/>
  <c r="AN28" i="1"/>
  <c r="AO27" i="1"/>
  <c r="AN27" i="1"/>
  <c r="AO28" i="1"/>
  <c r="AN26" i="1"/>
  <c r="AO25" i="1"/>
  <c r="AN25" i="1"/>
  <c r="AO26" i="1"/>
  <c r="V26" i="1"/>
  <c r="W25" i="1"/>
  <c r="V25" i="1"/>
  <c r="W26" i="1"/>
  <c r="V28" i="1"/>
  <c r="W27" i="1"/>
  <c r="W28" i="1"/>
  <c r="V27" i="1"/>
  <c r="BV27" i="1" l="1" a="1"/>
  <c r="BW28" i="1" s="1"/>
  <c r="BV79" i="1" a="1"/>
  <c r="BW79" i="1" s="1"/>
  <c r="AL79" i="1" a="1"/>
  <c r="CN79" i="1" a="1"/>
  <c r="T79" i="1" a="1"/>
  <c r="B79" i="1" a="1"/>
  <c r="BD79" i="1" a="1"/>
  <c r="BD27" i="1" a="1"/>
  <c r="AL27" i="1" a="1"/>
  <c r="T27" i="1" a="1"/>
  <c r="BV27" i="1" l="1"/>
  <c r="BW27" i="1"/>
  <c r="BV28" i="1"/>
  <c r="BV80" i="1"/>
  <c r="BW80" i="1"/>
  <c r="BV79" i="1"/>
  <c r="AM80" i="1"/>
  <c r="AM79" i="1"/>
  <c r="AL79" i="1"/>
  <c r="AL80" i="1"/>
  <c r="CO80" i="1"/>
  <c r="CN80" i="1"/>
  <c r="CO79" i="1"/>
  <c r="CN79" i="1"/>
  <c r="C80" i="1"/>
  <c r="B80" i="1"/>
  <c r="C79" i="1"/>
  <c r="B79" i="1"/>
  <c r="U80" i="1"/>
  <c r="T80" i="1"/>
  <c r="U79" i="1"/>
  <c r="T79" i="1"/>
  <c r="BE80" i="1"/>
  <c r="BD80" i="1"/>
  <c r="BE79" i="1"/>
  <c r="BD79" i="1"/>
  <c r="BE28" i="1"/>
  <c r="BD28" i="1"/>
  <c r="BE27" i="1"/>
  <c r="BD27" i="1"/>
  <c r="AM28" i="1"/>
  <c r="AL28" i="1"/>
  <c r="AM27" i="1"/>
  <c r="AL27" i="1"/>
  <c r="U28" i="1"/>
  <c r="T28" i="1"/>
  <c r="U27" i="1"/>
  <c r="T27" i="1"/>
  <c r="T32" i="1" l="1" a="1"/>
  <c r="V34" i="1" s="1"/>
  <c r="AD50" i="1" s="1"/>
  <c r="BV32" i="1" a="1"/>
  <c r="BW33" i="1" s="1"/>
  <c r="BW41" i="1" s="1"/>
  <c r="BV84" i="1" a="1"/>
  <c r="BV87" i="1" s="1"/>
  <c r="B84" i="1" a="1"/>
  <c r="D87" i="1" s="1"/>
  <c r="BD84" i="1" a="1"/>
  <c r="BG87" i="1" s="1"/>
  <c r="AL32" i="1" a="1"/>
  <c r="AL34" i="1" s="1"/>
  <c r="AL84" i="1" a="1"/>
  <c r="CN84" i="1" a="1"/>
  <c r="T84" i="1" a="1"/>
  <c r="BD32" i="1" a="1"/>
  <c r="V35" i="1" l="1"/>
  <c r="AD51" i="1" s="1"/>
  <c r="T33" i="1"/>
  <c r="V43" i="1" s="1"/>
  <c r="BX33" i="1"/>
  <c r="BZ41" i="1" s="1"/>
  <c r="V32" i="1"/>
  <c r="AD42" i="1" s="1"/>
  <c r="BV34" i="1"/>
  <c r="W35" i="1"/>
  <c r="AE51" i="1" s="1"/>
  <c r="BV35" i="1"/>
  <c r="V33" i="1"/>
  <c r="AD43" i="1" s="1"/>
  <c r="W32" i="1"/>
  <c r="AE42" i="1" s="1"/>
  <c r="W34" i="1"/>
  <c r="AE50" i="1" s="1"/>
  <c r="U33" i="1"/>
  <c r="W43" i="1" s="1"/>
  <c r="T35" i="1"/>
  <c r="V51" i="1" s="1"/>
  <c r="U32" i="1"/>
  <c r="W42" i="1" s="1"/>
  <c r="T34" i="1"/>
  <c r="V50" i="1" s="1"/>
  <c r="W33" i="1"/>
  <c r="AE43" i="1" s="1"/>
  <c r="U35" i="1"/>
  <c r="W51" i="1" s="1"/>
  <c r="U34" i="1"/>
  <c r="W50" i="1" s="1"/>
  <c r="T32" i="1"/>
  <c r="V42" i="1" s="1"/>
  <c r="BW32" i="1"/>
  <c r="BW40" i="1" s="1"/>
  <c r="BX34" i="1"/>
  <c r="BW35" i="1"/>
  <c r="BW45" i="1" s="1"/>
  <c r="BY33" i="1"/>
  <c r="CA41" i="1" s="1"/>
  <c r="BX32" i="1"/>
  <c r="BW84" i="1"/>
  <c r="CC98" i="1" s="1"/>
  <c r="BY32" i="1"/>
  <c r="BY34" i="1"/>
  <c r="BY35" i="1"/>
  <c r="CA45" i="1" s="1"/>
  <c r="BV32" i="1"/>
  <c r="BV40" i="1" s="1"/>
  <c r="BW34" i="1"/>
  <c r="BW44" i="1" s="1"/>
  <c r="BX35" i="1"/>
  <c r="BZ45" i="1" s="1"/>
  <c r="BV33" i="1"/>
  <c r="BV41" i="1" s="1"/>
  <c r="BY85" i="1"/>
  <c r="CI99" i="1" s="1"/>
  <c r="BY86" i="1"/>
  <c r="CI104" i="1" s="1"/>
  <c r="BV84" i="1"/>
  <c r="CB98" i="1" s="1"/>
  <c r="BW87" i="1"/>
  <c r="BY84" i="1"/>
  <c r="BY87" i="1"/>
  <c r="CI105" i="1" s="1"/>
  <c r="BX85" i="1"/>
  <c r="CH99" i="1" s="1"/>
  <c r="BX84" i="1"/>
  <c r="CH98" i="1" s="1"/>
  <c r="BX87" i="1"/>
  <c r="CH105" i="1" s="1"/>
  <c r="BV86" i="1"/>
  <c r="CB104" i="1" s="1"/>
  <c r="BV85" i="1"/>
  <c r="CB99" i="1" s="1"/>
  <c r="BW86" i="1"/>
  <c r="CC104" i="1" s="1"/>
  <c r="BW85" i="1"/>
  <c r="CC99" i="1" s="1"/>
  <c r="BX86" i="1"/>
  <c r="CH104" i="1" s="1"/>
  <c r="E84" i="1"/>
  <c r="G94" i="1" s="1"/>
  <c r="E87" i="1"/>
  <c r="G97" i="1" s="1"/>
  <c r="B85" i="1"/>
  <c r="D95" i="1" s="1"/>
  <c r="B86" i="1"/>
  <c r="D96" i="1" s="1"/>
  <c r="AL32" i="1"/>
  <c r="AL40" i="1" s="1"/>
  <c r="C86" i="1"/>
  <c r="E96" i="1" s="1"/>
  <c r="C85" i="1"/>
  <c r="E95" i="1" s="1"/>
  <c r="BD86" i="1"/>
  <c r="BJ100" i="1" s="1"/>
  <c r="BE86" i="1"/>
  <c r="BK100" i="1" s="1"/>
  <c r="AO33" i="1"/>
  <c r="AO41" i="1" s="1"/>
  <c r="B87" i="1"/>
  <c r="D97" i="1" s="1"/>
  <c r="BE84" i="1"/>
  <c r="BE92" i="1" s="1"/>
  <c r="C84" i="1"/>
  <c r="E94" i="1" s="1"/>
  <c r="BE87" i="1"/>
  <c r="BK101" i="1" s="1"/>
  <c r="AM35" i="1"/>
  <c r="AM43" i="1" s="1"/>
  <c r="AN32" i="1"/>
  <c r="AN40" i="1" s="1"/>
  <c r="AN33" i="1"/>
  <c r="AN41" i="1" s="1"/>
  <c r="B84" i="1"/>
  <c r="D94" i="1" s="1"/>
  <c r="BF86" i="1"/>
  <c r="BL100" i="1" s="1"/>
  <c r="C87" i="1"/>
  <c r="E97" i="1" s="1"/>
  <c r="AL35" i="1"/>
  <c r="AL43" i="1" s="1"/>
  <c r="BG86" i="1"/>
  <c r="BM100" i="1" s="1"/>
  <c r="AM34" i="1"/>
  <c r="AM42" i="1" s="1"/>
  <c r="AN34" i="1"/>
  <c r="AV50" i="1" s="1"/>
  <c r="D86" i="1"/>
  <c r="F96" i="1" s="1"/>
  <c r="D85" i="1"/>
  <c r="F95" i="1" s="1"/>
  <c r="BD84" i="1"/>
  <c r="BD92" i="1" s="1"/>
  <c r="AM32" i="1"/>
  <c r="AM40" i="1" s="1"/>
  <c r="AO34" i="1"/>
  <c r="AW50" i="1" s="1"/>
  <c r="E86" i="1"/>
  <c r="G96" i="1" s="1"/>
  <c r="E85" i="1"/>
  <c r="G95" i="1" s="1"/>
  <c r="BD87" i="1"/>
  <c r="BJ101" i="1" s="1"/>
  <c r="AO32" i="1"/>
  <c r="AO40" i="1" s="1"/>
  <c r="BD85" i="1"/>
  <c r="BD93" i="1" s="1"/>
  <c r="BF84" i="1"/>
  <c r="BL98" i="1" s="1"/>
  <c r="AN35" i="1"/>
  <c r="AV51" i="1" s="1"/>
  <c r="BE85" i="1"/>
  <c r="BE93" i="1" s="1"/>
  <c r="BF87" i="1"/>
  <c r="BL101" i="1" s="1"/>
  <c r="AL33" i="1"/>
  <c r="AL41" i="1" s="1"/>
  <c r="D84" i="1"/>
  <c r="F94" i="1" s="1"/>
  <c r="BF85" i="1"/>
  <c r="BL99" i="1" s="1"/>
  <c r="BG84" i="1"/>
  <c r="BM98" i="1" s="1"/>
  <c r="AO35" i="1"/>
  <c r="AW51" i="1" s="1"/>
  <c r="AM33" i="1"/>
  <c r="AM41" i="1" s="1"/>
  <c r="BG85" i="1"/>
  <c r="BM99" i="1" s="1"/>
  <c r="BW43" i="1"/>
  <c r="BZ97" i="1"/>
  <c r="L103" i="1"/>
  <c r="F97" i="1"/>
  <c r="BM101" i="1"/>
  <c r="BX40" i="1"/>
  <c r="BZ40" i="1"/>
  <c r="BZ93" i="1"/>
  <c r="CA92" i="1"/>
  <c r="CI98" i="1"/>
  <c r="M92" i="1"/>
  <c r="BD98" i="1"/>
  <c r="AV43" i="1"/>
  <c r="BX43" i="1"/>
  <c r="CA93" i="1"/>
  <c r="M103" i="1"/>
  <c r="BE98" i="1"/>
  <c r="AM84" i="1"/>
  <c r="AO84" i="1"/>
  <c r="AL87" i="1"/>
  <c r="AL84" i="1"/>
  <c r="AN84" i="1"/>
  <c r="AO86" i="1"/>
  <c r="AN86" i="1"/>
  <c r="AO85" i="1"/>
  <c r="AN87" i="1"/>
  <c r="AM86" i="1"/>
  <c r="AN85" i="1"/>
  <c r="AM85" i="1"/>
  <c r="AL85" i="1"/>
  <c r="AM87" i="1"/>
  <c r="AL86" i="1"/>
  <c r="AO87" i="1"/>
  <c r="AW43" i="1"/>
  <c r="BV96" i="1"/>
  <c r="BV93" i="1"/>
  <c r="B93" i="1"/>
  <c r="AN51" i="1"/>
  <c r="AN50" i="1"/>
  <c r="AL42" i="1"/>
  <c r="BW96" i="1"/>
  <c r="BW93" i="1"/>
  <c r="C93" i="1"/>
  <c r="BY42" i="1"/>
  <c r="CA44" i="1"/>
  <c r="L92" i="1"/>
  <c r="BJ93" i="1"/>
  <c r="BX41" i="1"/>
  <c r="BZ96" i="1"/>
  <c r="L102" i="1"/>
  <c r="L93" i="1"/>
  <c r="BV42" i="1"/>
  <c r="BV44" i="1"/>
  <c r="CA96" i="1"/>
  <c r="M102" i="1"/>
  <c r="M93" i="1"/>
  <c r="BD99" i="1"/>
  <c r="AO51" i="1"/>
  <c r="AW42" i="1"/>
  <c r="BW42" i="1"/>
  <c r="BV97" i="1"/>
  <c r="CB105" i="1"/>
  <c r="B103" i="1"/>
  <c r="C102" i="1"/>
  <c r="BE99" i="1"/>
  <c r="BY41" i="1"/>
  <c r="BW97" i="1"/>
  <c r="CC105" i="1"/>
  <c r="C103" i="1"/>
  <c r="BY43" i="1"/>
  <c r="BK93" i="1"/>
  <c r="AV42" i="1"/>
  <c r="CA97" i="1"/>
  <c r="AO50" i="1"/>
  <c r="BV43" i="1"/>
  <c r="BV45" i="1"/>
  <c r="BV92" i="1"/>
  <c r="B92" i="1"/>
  <c r="B102" i="1"/>
  <c r="BX42" i="1"/>
  <c r="BZ44" i="1"/>
  <c r="BW92" i="1"/>
  <c r="C92" i="1"/>
  <c r="BJ92" i="1"/>
  <c r="BY40" i="1"/>
  <c r="CA40" i="1"/>
  <c r="BZ92" i="1"/>
  <c r="BK92" i="1"/>
  <c r="CQ86" i="1"/>
  <c r="DA104" i="1" s="1"/>
  <c r="CP86" i="1"/>
  <c r="CZ104" i="1" s="1"/>
  <c r="CN84" i="1"/>
  <c r="CO86" i="1"/>
  <c r="CN86" i="1"/>
  <c r="CN87" i="1"/>
  <c r="CQ85" i="1"/>
  <c r="CP85" i="1"/>
  <c r="CO85" i="1"/>
  <c r="CN85" i="1"/>
  <c r="CQ87" i="1"/>
  <c r="DA105" i="1" s="1"/>
  <c r="CQ84" i="1"/>
  <c r="CP87" i="1"/>
  <c r="CZ105" i="1" s="1"/>
  <c r="CP84" i="1"/>
  <c r="CO87" i="1"/>
  <c r="CO84" i="1"/>
  <c r="W86" i="1"/>
  <c r="V86" i="1"/>
  <c r="U86" i="1"/>
  <c r="T86" i="1"/>
  <c r="W85" i="1"/>
  <c r="V85" i="1"/>
  <c r="U85" i="1"/>
  <c r="T85" i="1"/>
  <c r="W87" i="1"/>
  <c r="W84" i="1"/>
  <c r="V87" i="1"/>
  <c r="V84" i="1"/>
  <c r="U87" i="1"/>
  <c r="U84" i="1"/>
  <c r="T84" i="1"/>
  <c r="T87" i="1"/>
  <c r="BG34" i="1"/>
  <c r="BK46" i="1" s="1"/>
  <c r="BE34" i="1"/>
  <c r="BE46" i="1" s="1"/>
  <c r="BF34" i="1"/>
  <c r="BJ46" i="1" s="1"/>
  <c r="BD34" i="1"/>
  <c r="BD46" i="1" s="1"/>
  <c r="BG33" i="1"/>
  <c r="BK41" i="1" s="1"/>
  <c r="BF33" i="1"/>
  <c r="BJ41" i="1" s="1"/>
  <c r="BF32" i="1"/>
  <c r="BJ40" i="1" s="1"/>
  <c r="BD35" i="1"/>
  <c r="BD47" i="1" s="1"/>
  <c r="BE33" i="1"/>
  <c r="BE41" i="1" s="1"/>
  <c r="BF35" i="1"/>
  <c r="BJ47" i="1" s="1"/>
  <c r="BD33" i="1"/>
  <c r="BD41" i="1" s="1"/>
  <c r="BG35" i="1"/>
  <c r="BK47" i="1" s="1"/>
  <c r="BG32" i="1"/>
  <c r="BK40" i="1" s="1"/>
  <c r="BE35" i="1"/>
  <c r="BE47" i="1" s="1"/>
  <c r="BE32" i="1"/>
  <c r="BE40" i="1" s="1"/>
  <c r="BD32" i="1"/>
  <c r="BD40" i="1" s="1"/>
  <c r="BJ98" i="1" l="1"/>
  <c r="BJ99" i="1"/>
  <c r="BK98" i="1"/>
  <c r="AN42" i="1"/>
  <c r="AN43" i="1"/>
  <c r="AO43" i="1"/>
  <c r="BK99" i="1"/>
  <c r="AO42" i="1"/>
  <c r="CU99" i="1"/>
  <c r="CW101" i="1"/>
  <c r="CU98" i="1"/>
  <c r="CW100" i="1"/>
  <c r="CU104" i="1"/>
  <c r="CW104" i="1"/>
  <c r="AO93" i="1"/>
  <c r="AU97" i="1"/>
  <c r="CU105" i="1"/>
  <c r="CW105" i="1"/>
  <c r="CT98" i="1"/>
  <c r="CV100" i="1"/>
  <c r="AN94" i="1"/>
  <c r="AT100" i="1"/>
  <c r="AL93" i="1"/>
  <c r="AP97" i="1"/>
  <c r="DA99" i="1"/>
  <c r="DA101" i="1"/>
  <c r="AO94" i="1"/>
  <c r="AU100" i="1"/>
  <c r="CT105" i="1"/>
  <c r="CV105" i="1"/>
  <c r="CZ98" i="1"/>
  <c r="CZ100" i="1"/>
  <c r="AN92" i="1"/>
  <c r="AT96" i="1"/>
  <c r="DA98" i="1"/>
  <c r="DA100" i="1"/>
  <c r="AO95" i="1"/>
  <c r="AU101" i="1"/>
  <c r="AL92" i="1"/>
  <c r="AP96" i="1"/>
  <c r="AL94" i="1"/>
  <c r="AP100" i="1"/>
  <c r="AL95" i="1"/>
  <c r="AP101" i="1"/>
  <c r="CT104" i="1"/>
  <c r="CV104" i="1"/>
  <c r="CT99" i="1"/>
  <c r="CV101" i="1"/>
  <c r="AM95" i="1"/>
  <c r="AQ101" i="1"/>
  <c r="AO92" i="1"/>
  <c r="AU96" i="1"/>
  <c r="AM93" i="1"/>
  <c r="AQ97" i="1"/>
  <c r="AM92" i="1"/>
  <c r="AQ96" i="1"/>
  <c r="CZ99" i="1"/>
  <c r="CZ101" i="1"/>
  <c r="AN93" i="1"/>
  <c r="AT97" i="1"/>
  <c r="AM94" i="1"/>
  <c r="AQ100" i="1"/>
  <c r="AN95" i="1"/>
  <c r="AT101" i="1"/>
  <c r="AD94" i="1"/>
  <c r="Z96" i="1"/>
  <c r="W95" i="1"/>
  <c r="Y97" i="1"/>
  <c r="V94" i="1"/>
  <c r="X96" i="1"/>
  <c r="AD103" i="1"/>
  <c r="Z99" i="1"/>
  <c r="AE103" i="1"/>
  <c r="AA99" i="1"/>
  <c r="AD102" i="1"/>
  <c r="Z98" i="1"/>
  <c r="AE94" i="1"/>
  <c r="AA96" i="1"/>
  <c r="V95" i="1"/>
  <c r="X97" i="1"/>
  <c r="AD95" i="1"/>
  <c r="Z97" i="1"/>
  <c r="AE95" i="1"/>
  <c r="AA97" i="1"/>
  <c r="V103" i="1"/>
  <c r="X99" i="1"/>
  <c r="V102" i="1"/>
  <c r="X98" i="1"/>
  <c r="W102" i="1"/>
  <c r="Y98" i="1"/>
  <c r="W94" i="1"/>
  <c r="Y96" i="1"/>
  <c r="W103" i="1"/>
  <c r="Y99" i="1"/>
  <c r="AE102" i="1"/>
  <c r="AA98" i="1"/>
  <c r="B16" i="1"/>
  <c r="E13" i="1" s="1"/>
  <c r="A40" i="1" a="1"/>
  <c r="A44" i="1" s="1"/>
  <c r="A38" i="1"/>
  <c r="A24" i="1"/>
  <c r="A31" i="1" s="1"/>
  <c r="A32" i="1" a="1"/>
  <c r="A34" i="1" s="1"/>
  <c r="A25" i="1" a="1"/>
  <c r="A26" i="1" s="1"/>
  <c r="B269" i="1" l="1"/>
  <c r="B194" i="1"/>
  <c r="B315" i="1"/>
  <c r="B285" i="1"/>
  <c r="B330" i="1"/>
  <c r="B209" i="1"/>
  <c r="B224" i="1"/>
  <c r="B300" i="1"/>
  <c r="B239" i="1"/>
  <c r="B345" i="1"/>
  <c r="B254" i="1"/>
  <c r="H44" i="1"/>
  <c r="D44" i="1"/>
  <c r="I44" i="1"/>
  <c r="N44" i="1"/>
  <c r="O44" i="1"/>
  <c r="F44" i="1"/>
  <c r="E44" i="1"/>
  <c r="G44" i="1"/>
  <c r="F18" i="1"/>
  <c r="A43" i="1"/>
  <c r="A42" i="1"/>
  <c r="A53" i="1"/>
  <c r="A41" i="1"/>
  <c r="A52" i="1"/>
  <c r="A40" i="1"/>
  <c r="A51" i="1"/>
  <c r="A50" i="1"/>
  <c r="A49" i="1"/>
  <c r="A48" i="1"/>
  <c r="A47" i="1"/>
  <c r="A46" i="1"/>
  <c r="A45" i="1"/>
  <c r="B25" i="1"/>
  <c r="E14" i="1"/>
  <c r="A33" i="1"/>
  <c r="A35" i="1"/>
  <c r="A32" i="1"/>
  <c r="A25" i="1"/>
  <c r="A28" i="1"/>
  <c r="A27" i="1"/>
  <c r="B344" i="1" l="1"/>
  <c r="B253" i="1"/>
  <c r="B268" i="1"/>
  <c r="B193" i="1"/>
  <c r="B314" i="1"/>
  <c r="B284" i="1"/>
  <c r="B329" i="1"/>
  <c r="B208" i="1"/>
  <c r="B223" i="1"/>
  <c r="B299" i="1"/>
  <c r="B238" i="1"/>
  <c r="B195" i="1"/>
  <c r="B316" i="1"/>
  <c r="B286" i="1"/>
  <c r="B331" i="1"/>
  <c r="B210" i="1"/>
  <c r="B225" i="1"/>
  <c r="B301" i="1"/>
  <c r="B240" i="1"/>
  <c r="B346" i="1"/>
  <c r="B255" i="1"/>
  <c r="B270" i="1"/>
  <c r="D197" i="1"/>
  <c r="D318" i="1"/>
  <c r="F288" i="1"/>
  <c r="F333" i="1"/>
  <c r="D288" i="1"/>
  <c r="F212" i="1"/>
  <c r="D333" i="1"/>
  <c r="F227" i="1"/>
  <c r="D212" i="1"/>
  <c r="F303" i="1"/>
  <c r="F242" i="1"/>
  <c r="F348" i="1"/>
  <c r="F257" i="1"/>
  <c r="D227" i="1"/>
  <c r="D303" i="1"/>
  <c r="F272" i="1"/>
  <c r="D242" i="1"/>
  <c r="D348" i="1"/>
  <c r="D257" i="1"/>
  <c r="D272" i="1"/>
  <c r="F197" i="1"/>
  <c r="F318" i="1"/>
  <c r="F52" i="1"/>
  <c r="I52" i="1"/>
  <c r="G52" i="1"/>
  <c r="E52" i="1"/>
  <c r="D52" i="1"/>
  <c r="H52" i="1"/>
  <c r="O52" i="1"/>
  <c r="N52" i="1"/>
  <c r="E48" i="1"/>
  <c r="N48" i="1"/>
  <c r="F48" i="1"/>
  <c r="O48" i="1"/>
  <c r="G48" i="1"/>
  <c r="H48" i="1"/>
  <c r="I48" i="1"/>
  <c r="D48" i="1"/>
  <c r="D49" i="1"/>
  <c r="F49" i="1"/>
  <c r="G49" i="1"/>
  <c r="I49" i="1"/>
  <c r="O49" i="1"/>
  <c r="N49" i="1"/>
  <c r="E49" i="1"/>
  <c r="H49" i="1"/>
  <c r="N51" i="1"/>
  <c r="O51" i="1"/>
  <c r="G51" i="1"/>
  <c r="E51" i="1"/>
  <c r="F51" i="1"/>
  <c r="H51" i="1"/>
  <c r="D51" i="1"/>
  <c r="I51" i="1"/>
  <c r="N40" i="1"/>
  <c r="D40" i="1"/>
  <c r="I40" i="1"/>
  <c r="F40" i="1"/>
  <c r="G40" i="1"/>
  <c r="E40" i="1"/>
  <c r="H40" i="1"/>
  <c r="O40" i="1"/>
  <c r="G41" i="1"/>
  <c r="H41" i="1"/>
  <c r="N41" i="1"/>
  <c r="E41" i="1"/>
  <c r="O41" i="1"/>
  <c r="F41" i="1"/>
  <c r="I41" i="1"/>
  <c r="D41" i="1"/>
  <c r="E53" i="1"/>
  <c r="D53" i="1"/>
  <c r="G53" i="1"/>
  <c r="N53" i="1"/>
  <c r="H53" i="1"/>
  <c r="O53" i="1"/>
  <c r="I53" i="1"/>
  <c r="F53" i="1"/>
  <c r="O42" i="1"/>
  <c r="I42" i="1"/>
  <c r="H42" i="1"/>
  <c r="F42" i="1"/>
  <c r="G42" i="1"/>
  <c r="D42" i="1"/>
  <c r="E42" i="1"/>
  <c r="N42" i="1"/>
  <c r="G45" i="1"/>
  <c r="I45" i="1"/>
  <c r="H45" i="1"/>
  <c r="F45" i="1"/>
  <c r="E45" i="1"/>
  <c r="O45" i="1"/>
  <c r="N45" i="1"/>
  <c r="D45" i="1"/>
  <c r="E43" i="1"/>
  <c r="D43" i="1"/>
  <c r="F43" i="1"/>
  <c r="I43" i="1"/>
  <c r="O43" i="1"/>
  <c r="G43" i="1"/>
  <c r="H43" i="1"/>
  <c r="N43" i="1"/>
  <c r="D46" i="1"/>
  <c r="G46" i="1"/>
  <c r="E46" i="1"/>
  <c r="I46" i="1"/>
  <c r="O46" i="1"/>
  <c r="F46" i="1"/>
  <c r="N46" i="1"/>
  <c r="H46" i="1"/>
  <c r="I47" i="1"/>
  <c r="O47" i="1"/>
  <c r="G47" i="1"/>
  <c r="H47" i="1"/>
  <c r="F47" i="1"/>
  <c r="N47" i="1"/>
  <c r="D47" i="1"/>
  <c r="E47" i="1"/>
  <c r="E50" i="1"/>
  <c r="H50" i="1"/>
  <c r="G50" i="1"/>
  <c r="N50" i="1"/>
  <c r="O50" i="1"/>
  <c r="I50" i="1"/>
  <c r="F50" i="1"/>
  <c r="D50" i="1"/>
  <c r="L43" i="1"/>
  <c r="M43" i="1"/>
  <c r="L46" i="1"/>
  <c r="M46" i="1"/>
  <c r="L49" i="1"/>
  <c r="L42" i="1"/>
  <c r="M49" i="1"/>
  <c r="L52" i="1"/>
  <c r="M48" i="1"/>
  <c r="M44" i="1"/>
  <c r="M47" i="1"/>
  <c r="M53" i="1"/>
  <c r="L47" i="1"/>
  <c r="L48" i="1"/>
  <c r="L44" i="1"/>
  <c r="L45" i="1"/>
  <c r="M42" i="1"/>
  <c r="M45" i="1"/>
  <c r="L53" i="1"/>
  <c r="M52" i="1"/>
  <c r="C46" i="1"/>
  <c r="C52" i="1"/>
  <c r="J43" i="1"/>
  <c r="B47" i="1"/>
  <c r="C47" i="1"/>
  <c r="B53" i="1"/>
  <c r="C53" i="1"/>
  <c r="K43" i="1"/>
  <c r="K49" i="1"/>
  <c r="B42" i="1"/>
  <c r="J44" i="1"/>
  <c r="B48" i="1"/>
  <c r="J50" i="1"/>
  <c r="C42" i="1"/>
  <c r="K44" i="1"/>
  <c r="C48" i="1"/>
  <c r="K50" i="1"/>
  <c r="K51" i="1"/>
  <c r="J52" i="1"/>
  <c r="J40" i="1"/>
  <c r="K45" i="1"/>
  <c r="C49" i="1"/>
  <c r="B44" i="1"/>
  <c r="K52" i="1"/>
  <c r="J46" i="1"/>
  <c r="C44" i="1"/>
  <c r="K46" i="1"/>
  <c r="J41" i="1"/>
  <c r="B45" i="1"/>
  <c r="J47" i="1"/>
  <c r="J53" i="1"/>
  <c r="K41" i="1"/>
  <c r="C45" i="1"/>
  <c r="K47" i="1"/>
  <c r="K53" i="1"/>
  <c r="K48" i="1"/>
  <c r="J49" i="1"/>
  <c r="K42" i="1"/>
  <c r="B46" i="1"/>
  <c r="K40" i="1"/>
  <c r="B49" i="1"/>
  <c r="J42" i="1"/>
  <c r="B52" i="1"/>
  <c r="C43" i="1"/>
  <c r="J45" i="1"/>
  <c r="J48" i="1"/>
  <c r="B43" i="1"/>
  <c r="J51" i="1"/>
  <c r="C26" i="1"/>
  <c r="C25" i="1"/>
  <c r="B26" i="1"/>
  <c r="E318" i="1" l="1"/>
  <c r="G288" i="1"/>
  <c r="G333" i="1"/>
  <c r="E288" i="1"/>
  <c r="G212" i="1"/>
  <c r="E333" i="1"/>
  <c r="G227" i="1"/>
  <c r="E212" i="1"/>
  <c r="G303" i="1"/>
  <c r="G242" i="1"/>
  <c r="G348" i="1"/>
  <c r="G257" i="1"/>
  <c r="E227" i="1"/>
  <c r="E303" i="1"/>
  <c r="G272" i="1"/>
  <c r="E242" i="1"/>
  <c r="E348" i="1"/>
  <c r="E257" i="1"/>
  <c r="E272" i="1"/>
  <c r="G197" i="1"/>
  <c r="G318" i="1"/>
  <c r="E197" i="1"/>
  <c r="D27" i="1" a="1"/>
  <c r="E28" i="1" s="1"/>
  <c r="D25" i="1" a="1"/>
  <c r="D25" i="1" s="1"/>
  <c r="D27" i="1" l="1"/>
  <c r="E27" i="1"/>
  <c r="E25" i="1"/>
  <c r="D28" i="1"/>
  <c r="E26" i="1"/>
  <c r="D26" i="1"/>
  <c r="B27" i="1" l="1" a="1"/>
  <c r="C27" i="1" s="1"/>
  <c r="B27" i="1" l="1"/>
  <c r="C28" i="1"/>
  <c r="B28" i="1"/>
  <c r="B32" i="1" l="1" a="1"/>
  <c r="B32" i="1" s="1"/>
  <c r="B40" i="1" s="1"/>
  <c r="D35" i="1" l="1"/>
  <c r="E33" i="1"/>
  <c r="C33" i="1"/>
  <c r="E35" i="1"/>
  <c r="D34" i="1"/>
  <c r="B33" i="1"/>
  <c r="C32" i="1"/>
  <c r="E32" i="1"/>
  <c r="D32" i="1"/>
  <c r="E34" i="1"/>
  <c r="D33" i="1"/>
  <c r="C35" i="1"/>
  <c r="C34" i="1"/>
  <c r="B35" i="1"/>
  <c r="B34" i="1"/>
  <c r="L51" i="1" l="1"/>
  <c r="L41" i="1"/>
  <c r="M40" i="1"/>
  <c r="B41" i="1"/>
  <c r="C50" i="1"/>
  <c r="C51" i="1"/>
  <c r="M50" i="1"/>
  <c r="L40" i="1"/>
  <c r="C40" i="1"/>
  <c r="L50" i="1"/>
  <c r="M51" i="1"/>
  <c r="B50" i="1"/>
  <c r="C41" i="1"/>
  <c r="B51" i="1"/>
  <c r="M41" i="1"/>
  <c r="B117" i="1" l="1" a="1"/>
  <c r="K127" i="1" l="1"/>
  <c r="N130" i="1"/>
  <c r="O120" i="1"/>
  <c r="D124" i="1"/>
  <c r="K128" i="1"/>
  <c r="C128" i="1"/>
  <c r="J130" i="1"/>
  <c r="J118" i="1"/>
  <c r="N127" i="1"/>
  <c r="B120" i="1"/>
  <c r="K120" i="1"/>
  <c r="E123" i="1"/>
  <c r="J121" i="1"/>
  <c r="B121" i="1"/>
  <c r="K117" i="1"/>
  <c r="N125" i="1"/>
  <c r="O117" i="1"/>
  <c r="N126" i="1"/>
  <c r="J126" i="1"/>
  <c r="C127" i="1"/>
  <c r="D117" i="1"/>
  <c r="B118" i="1"/>
  <c r="B122" i="1"/>
  <c r="C130" i="1"/>
  <c r="I118" i="1"/>
  <c r="N123" i="1"/>
  <c r="J125" i="1"/>
  <c r="C120" i="1"/>
  <c r="C122" i="1"/>
  <c r="D122" i="1"/>
  <c r="O119" i="1"/>
  <c r="B117" i="1"/>
  <c r="D123" i="1"/>
  <c r="K123" i="1"/>
  <c r="N124" i="1"/>
  <c r="J129" i="1"/>
  <c r="O123" i="1"/>
  <c r="J123" i="1"/>
  <c r="N120" i="1"/>
  <c r="C117" i="1"/>
  <c r="N122" i="1"/>
  <c r="C123" i="1"/>
  <c r="K122" i="1"/>
  <c r="K119" i="1"/>
  <c r="B123" i="1"/>
  <c r="J117" i="1"/>
  <c r="J128" i="1"/>
  <c r="C125" i="1"/>
  <c r="K130" i="1"/>
  <c r="N119" i="1"/>
  <c r="J122" i="1"/>
  <c r="B128" i="1"/>
  <c r="J120" i="1"/>
  <c r="C129" i="1"/>
  <c r="J119" i="1"/>
  <c r="D129" i="1"/>
  <c r="O122" i="1"/>
  <c r="O130" i="1"/>
  <c r="O127" i="1"/>
  <c r="O118" i="1"/>
  <c r="N128" i="1"/>
  <c r="D130" i="1"/>
  <c r="O128" i="1"/>
  <c r="N117" i="1"/>
  <c r="B130" i="1"/>
  <c r="J127" i="1"/>
  <c r="O129" i="1"/>
  <c r="F119" i="1"/>
  <c r="M122" i="1"/>
  <c r="F127" i="1"/>
  <c r="G129" i="1"/>
  <c r="D118" i="1"/>
  <c r="O124" i="1"/>
  <c r="B125" i="1"/>
  <c r="L117" i="1"/>
  <c r="O121" i="1"/>
  <c r="K129" i="1"/>
  <c r="B119" i="1"/>
  <c r="L122" i="1"/>
  <c r="K126" i="1"/>
  <c r="H126" i="1"/>
  <c r="I130" i="1"/>
  <c r="D126" i="1"/>
  <c r="L125" i="1"/>
  <c r="M121" i="1"/>
  <c r="D125" i="1"/>
  <c r="C121" i="1"/>
  <c r="H128" i="1"/>
  <c r="F125" i="1"/>
  <c r="N129" i="1"/>
  <c r="L123" i="1"/>
  <c r="B124" i="1"/>
  <c r="I128" i="1"/>
  <c r="N121" i="1"/>
  <c r="F120" i="1"/>
  <c r="I125" i="1"/>
  <c r="E130" i="1"/>
  <c r="H120" i="1"/>
  <c r="K124" i="1"/>
  <c r="M118" i="1"/>
  <c r="I120" i="1"/>
  <c r="M130" i="1"/>
  <c r="L121" i="1"/>
  <c r="O125" i="1"/>
  <c r="M125" i="1"/>
  <c r="N118" i="1"/>
  <c r="M129" i="1"/>
  <c r="E118" i="1"/>
  <c r="M123" i="1"/>
  <c r="F130" i="1"/>
  <c r="E122" i="1"/>
  <c r="K121" i="1"/>
  <c r="G118" i="1"/>
  <c r="K118" i="1"/>
  <c r="L130" i="1"/>
  <c r="E121" i="1"/>
  <c r="B127" i="1"/>
  <c r="G117" i="1"/>
  <c r="E125" i="1"/>
  <c r="M126" i="1"/>
  <c r="F117" i="1"/>
  <c r="G119" i="1"/>
  <c r="F128" i="1"/>
  <c r="I117" i="1"/>
  <c r="D121" i="1"/>
  <c r="E129" i="1"/>
  <c r="C118" i="1"/>
  <c r="K125" i="1"/>
  <c r="E124" i="1"/>
  <c r="L126" i="1"/>
  <c r="H127" i="1"/>
  <c r="L118" i="1"/>
  <c r="C119" i="1"/>
  <c r="O126" i="1"/>
  <c r="M117" i="1"/>
  <c r="L129" i="1"/>
  <c r="F118" i="1"/>
  <c r="I129" i="1"/>
  <c r="E117" i="1"/>
  <c r="G128" i="1"/>
  <c r="G127" i="1"/>
  <c r="F126" i="1"/>
  <c r="G130" i="1"/>
  <c r="F129" i="1"/>
  <c r="B129" i="1"/>
  <c r="H119" i="1"/>
  <c r="H129" i="1"/>
  <c r="I126" i="1"/>
  <c r="H125" i="1"/>
  <c r="M124" i="1"/>
  <c r="H130" i="1"/>
  <c r="L124" i="1"/>
  <c r="I119" i="1"/>
  <c r="G125" i="1"/>
  <c r="J124" i="1"/>
  <c r="H118" i="1"/>
  <c r="B126" i="1"/>
  <c r="C124" i="1"/>
  <c r="C126" i="1"/>
  <c r="G120" i="1"/>
  <c r="H117" i="1"/>
  <c r="E126" i="1"/>
  <c r="I127" i="1"/>
  <c r="G126" i="1"/>
  <c r="L120" i="1"/>
  <c r="E120" i="1"/>
  <c r="L128" i="1"/>
  <c r="F122" i="1"/>
  <c r="F123" i="1"/>
  <c r="G124" i="1"/>
  <c r="I124" i="1"/>
  <c r="G123" i="1"/>
  <c r="D127" i="1"/>
  <c r="D128" i="1"/>
  <c r="F121" i="1"/>
  <c r="I121" i="1"/>
  <c r="L127" i="1"/>
  <c r="M128" i="1"/>
  <c r="I123" i="1"/>
  <c r="I122" i="1"/>
  <c r="H124" i="1"/>
  <c r="D119" i="1"/>
  <c r="H121" i="1"/>
  <c r="E128" i="1"/>
  <c r="G122" i="1"/>
  <c r="E119" i="1"/>
  <c r="D120" i="1"/>
  <c r="E127" i="1"/>
  <c r="M127" i="1"/>
  <c r="M119" i="1"/>
  <c r="H122" i="1"/>
  <c r="L119" i="1"/>
  <c r="M120" i="1"/>
  <c r="F124" i="1"/>
  <c r="H123" i="1"/>
  <c r="G121" i="1"/>
  <c r="C137" i="1" l="1" a="1"/>
  <c r="J142" i="1" s="1"/>
  <c r="O139" i="1" l="1"/>
  <c r="F145" i="1"/>
  <c r="F150" i="1"/>
  <c r="D146" i="1"/>
  <c r="N147" i="1"/>
  <c r="P144" i="1"/>
  <c r="M149" i="1"/>
  <c r="E143" i="1"/>
  <c r="C148" i="1"/>
  <c r="D138" i="1"/>
  <c r="E145" i="1"/>
  <c r="J147" i="1"/>
  <c r="H141" i="1"/>
  <c r="E140" i="1"/>
  <c r="E149" i="1"/>
  <c r="J148" i="1"/>
  <c r="N142" i="1"/>
  <c r="K137" i="1"/>
  <c r="H142" i="1"/>
  <c r="C139" i="1"/>
  <c r="D145" i="1"/>
  <c r="D141" i="1"/>
  <c r="C138" i="1"/>
  <c r="G137" i="1"/>
  <c r="P150" i="1"/>
  <c r="O148" i="1"/>
  <c r="E137" i="1"/>
  <c r="F137" i="1"/>
  <c r="M150" i="1"/>
  <c r="N141" i="1"/>
  <c r="G142" i="1"/>
  <c r="H137" i="1"/>
  <c r="L143" i="1"/>
  <c r="O137" i="1"/>
  <c r="L148" i="1"/>
  <c r="J137" i="1"/>
  <c r="L146" i="1"/>
  <c r="H145" i="1"/>
  <c r="N145" i="1"/>
  <c r="J150" i="1"/>
  <c r="E144" i="1"/>
  <c r="M144" i="1"/>
  <c r="J146" i="1"/>
  <c r="O145" i="1"/>
  <c r="C140" i="1"/>
  <c r="H140" i="1"/>
  <c r="C137" i="1"/>
  <c r="O142" i="1"/>
  <c r="C142" i="1"/>
  <c r="L139" i="1"/>
  <c r="K140" i="1"/>
  <c r="F138" i="1"/>
  <c r="K144" i="1"/>
  <c r="M139" i="1"/>
  <c r="I146" i="1"/>
  <c r="H139" i="1"/>
  <c r="D148" i="1"/>
  <c r="L147" i="1"/>
  <c r="P140" i="1"/>
  <c r="F146" i="1"/>
  <c r="P147" i="1"/>
  <c r="C147" i="1"/>
  <c r="M146" i="1"/>
  <c r="G144" i="1"/>
  <c r="M141" i="1"/>
  <c r="E150" i="1"/>
  <c r="O149" i="1"/>
  <c r="P137" i="1"/>
  <c r="N150" i="1"/>
  <c r="D137" i="1"/>
  <c r="P142" i="1"/>
  <c r="N143" i="1"/>
  <c r="F142" i="1"/>
  <c r="G145" i="1"/>
  <c r="I148" i="1"/>
  <c r="M147" i="1"/>
  <c r="D139" i="1"/>
  <c r="J145" i="1"/>
  <c r="N144" i="1"/>
  <c r="E141" i="1"/>
  <c r="I149" i="1"/>
  <c r="O146" i="1"/>
  <c r="L142" i="1"/>
  <c r="C146" i="1"/>
  <c r="L137" i="1"/>
  <c r="D142" i="1"/>
  <c r="K139" i="1"/>
  <c r="P145" i="1"/>
  <c r="F144" i="1"/>
  <c r="E146" i="1"/>
  <c r="L141" i="1"/>
  <c r="D147" i="1"/>
  <c r="M137" i="1"/>
  <c r="H146" i="1"/>
  <c r="D140" i="1"/>
  <c r="C143" i="1"/>
  <c r="F148" i="1"/>
  <c r="F147" i="1"/>
  <c r="L140" i="1"/>
  <c r="G150" i="1"/>
  <c r="J149" i="1"/>
  <c r="H147" i="1"/>
  <c r="P138" i="1"/>
  <c r="C150" i="1"/>
  <c r="G146" i="1"/>
  <c r="I138" i="1"/>
  <c r="O141" i="1"/>
  <c r="C144" i="1"/>
  <c r="G138" i="1"/>
  <c r="P149" i="1"/>
  <c r="F143" i="1"/>
  <c r="F141" i="1"/>
  <c r="E138" i="1"/>
  <c r="J139" i="1"/>
  <c r="I142" i="1"/>
  <c r="M140" i="1"/>
  <c r="N149" i="1"/>
  <c r="L144" i="1"/>
  <c r="M145" i="1"/>
  <c r="I140" i="1"/>
  <c r="K150" i="1"/>
  <c r="G148" i="1"/>
  <c r="K146" i="1"/>
  <c r="J140" i="1"/>
  <c r="N137" i="1"/>
  <c r="P139" i="1"/>
  <c r="C149" i="1"/>
  <c r="P146" i="1"/>
  <c r="H143" i="1"/>
  <c r="O144" i="1"/>
  <c r="O150" i="1"/>
  <c r="J144" i="1"/>
  <c r="E142" i="1"/>
  <c r="I147" i="1"/>
  <c r="J138" i="1"/>
  <c r="I145" i="1"/>
  <c r="D149" i="1"/>
  <c r="I150" i="1"/>
  <c r="M142" i="1"/>
  <c r="M138" i="1"/>
  <c r="L145" i="1"/>
  <c r="N146" i="1"/>
  <c r="N139" i="1"/>
  <c r="K149" i="1"/>
  <c r="P148" i="1"/>
  <c r="G149" i="1"/>
  <c r="I141" i="1"/>
  <c r="O138" i="1"/>
  <c r="C145" i="1"/>
  <c r="J141" i="1"/>
  <c r="F140" i="1"/>
  <c r="L138" i="1"/>
  <c r="H149" i="1"/>
  <c r="F149" i="1"/>
  <c r="J143" i="1"/>
  <c r="G139" i="1"/>
  <c r="K141" i="1"/>
  <c r="I139" i="1"/>
  <c r="N148" i="1"/>
  <c r="E148" i="1"/>
  <c r="H150" i="1"/>
  <c r="G143" i="1"/>
  <c r="C141" i="1"/>
  <c r="D144" i="1"/>
  <c r="K145" i="1"/>
  <c r="I143" i="1"/>
  <c r="G140" i="1"/>
  <c r="L149" i="1"/>
  <c r="D143" i="1"/>
  <c r="F139" i="1"/>
  <c r="P143" i="1"/>
  <c r="I144" i="1"/>
  <c r="I137" i="1"/>
  <c r="O143" i="1"/>
  <c r="H144" i="1"/>
  <c r="O140" i="1"/>
  <c r="P141" i="1"/>
  <c r="M148" i="1"/>
  <c r="H138" i="1"/>
  <c r="L150" i="1"/>
  <c r="N140" i="1"/>
  <c r="E147" i="1"/>
  <c r="K143" i="1"/>
  <c r="E139" i="1"/>
  <c r="K142" i="1"/>
  <c r="N138" i="1"/>
  <c r="D150" i="1"/>
  <c r="G147" i="1"/>
  <c r="K147" i="1"/>
  <c r="G141" i="1"/>
  <c r="M143" i="1"/>
  <c r="K138" i="1"/>
  <c r="H148" i="1"/>
  <c r="O147" i="1"/>
  <c r="K148" i="1"/>
  <c r="E173" i="1" l="1" a="1"/>
  <c r="E158" i="1" a="1"/>
  <c r="H173" i="1" l="1"/>
  <c r="F173" i="1"/>
  <c r="N174" i="1"/>
  <c r="I176" i="1"/>
  <c r="G173" i="1"/>
  <c r="E175" i="1"/>
  <c r="J176" i="1"/>
  <c r="K173" i="1"/>
  <c r="F175" i="1"/>
  <c r="K176" i="1"/>
  <c r="L173" i="1"/>
  <c r="G175" i="1"/>
  <c r="L176" i="1"/>
  <c r="M173" i="1"/>
  <c r="H175" i="1"/>
  <c r="M176" i="1"/>
  <c r="N173" i="1"/>
  <c r="I175" i="1"/>
  <c r="E174" i="1"/>
  <c r="J175" i="1"/>
  <c r="F174" i="1"/>
  <c r="K175" i="1"/>
  <c r="G174" i="1"/>
  <c r="E176" i="1"/>
  <c r="H174" i="1"/>
  <c r="F176" i="1"/>
  <c r="I174" i="1"/>
  <c r="G176" i="1"/>
  <c r="E173" i="1"/>
  <c r="M174" i="1"/>
  <c r="H176" i="1"/>
  <c r="J174" i="1"/>
  <c r="I173" i="1"/>
  <c r="N175" i="1"/>
  <c r="L174" i="1"/>
  <c r="J173" i="1"/>
  <c r="M175" i="1"/>
  <c r="K174" i="1"/>
  <c r="N176" i="1"/>
  <c r="L175" i="1"/>
  <c r="E158" i="1"/>
  <c r="I167" i="1"/>
  <c r="J162" i="1"/>
  <c r="H162" i="1"/>
  <c r="M159" i="1"/>
  <c r="N163" i="1"/>
  <c r="K163" i="1"/>
  <c r="M167" i="1"/>
  <c r="H159" i="1"/>
  <c r="I160" i="1"/>
  <c r="N162" i="1"/>
  <c r="G166" i="1"/>
  <c r="H161" i="1"/>
  <c r="F161" i="1"/>
  <c r="K158" i="1"/>
  <c r="E166" i="1"/>
  <c r="N167" i="1"/>
  <c r="I165" i="1"/>
  <c r="F158" i="1"/>
  <c r="G159" i="1"/>
  <c r="I163" i="1"/>
  <c r="H158" i="1"/>
  <c r="E165" i="1"/>
  <c r="F160" i="1"/>
  <c r="N159" i="1"/>
  <c r="L162" i="1"/>
  <c r="G161" i="1"/>
  <c r="L166" i="1"/>
  <c r="G164" i="1"/>
  <c r="F165" i="1"/>
  <c r="M163" i="1"/>
  <c r="N158" i="1"/>
  <c r="L158" i="1"/>
  <c r="I162" i="1"/>
  <c r="M166" i="1"/>
  <c r="J165" i="1"/>
  <c r="M161" i="1"/>
  <c r="K166" i="1"/>
  <c r="K162" i="1"/>
  <c r="M164" i="1"/>
  <c r="F159" i="1"/>
  <c r="N166" i="1"/>
  <c r="K165" i="1"/>
  <c r="H164" i="1"/>
  <c r="I159" i="1"/>
  <c r="E163" i="1"/>
  <c r="I161" i="1"/>
  <c r="J161" i="1"/>
  <c r="E160" i="1"/>
  <c r="L165" i="1"/>
  <c r="I164" i="1"/>
  <c r="F163" i="1"/>
  <c r="L167" i="1"/>
  <c r="G158" i="1"/>
  <c r="N165" i="1"/>
  <c r="N160" i="1"/>
  <c r="E164" i="1"/>
  <c r="G160" i="1"/>
  <c r="G167" i="1"/>
  <c r="E167" i="1"/>
  <c r="J164" i="1"/>
  <c r="G163" i="1"/>
  <c r="N161" i="1"/>
  <c r="J166" i="1"/>
  <c r="K167" i="1"/>
  <c r="F166" i="1"/>
  <c r="E159" i="1"/>
  <c r="M158" i="1"/>
  <c r="M165" i="1"/>
  <c r="H163" i="1"/>
  <c r="E162" i="1"/>
  <c r="L160" i="1"/>
  <c r="H165" i="1"/>
  <c r="I166" i="1"/>
  <c r="K159" i="1"/>
  <c r="H167" i="1"/>
  <c r="F167" i="1"/>
  <c r="K164" i="1"/>
  <c r="F162" i="1"/>
  <c r="M160" i="1"/>
  <c r="J159" i="1"/>
  <c r="F164" i="1"/>
  <c r="G165" i="1"/>
  <c r="N164" i="1"/>
  <c r="L164" i="1"/>
  <c r="G162" i="1"/>
  <c r="L159" i="1"/>
  <c r="I158" i="1"/>
  <c r="K160" i="1"/>
  <c r="L161" i="1"/>
  <c r="M162" i="1"/>
  <c r="H160" i="1"/>
  <c r="L163" i="1"/>
  <c r="J163" i="1"/>
  <c r="E161" i="1"/>
  <c r="J158" i="1"/>
  <c r="J167" i="1"/>
  <c r="H166" i="1"/>
  <c r="J160" i="1"/>
  <c r="K161" i="1"/>
  <c r="C158" i="1" l="1" a="1"/>
  <c r="C159" i="1" l="1"/>
  <c r="C158" i="1"/>
  <c r="C162" i="1"/>
  <c r="C166" i="1"/>
  <c r="C167" i="1"/>
  <c r="C165" i="1"/>
  <c r="C164" i="1"/>
  <c r="C161" i="1"/>
  <c r="C163" i="1"/>
  <c r="C160" i="1"/>
  <c r="H214" i="1" l="1"/>
  <c r="O175" i="1"/>
  <c r="H227" i="1"/>
  <c r="H274" i="1"/>
  <c r="H291" i="1"/>
  <c r="H258" i="1"/>
  <c r="O178" i="1"/>
  <c r="H273" i="1"/>
  <c r="H306" i="1"/>
  <c r="H215" i="1"/>
  <c r="H228" i="1"/>
  <c r="O176" i="1"/>
  <c r="H275" i="1"/>
  <c r="H335" i="1"/>
  <c r="H288" i="1"/>
  <c r="H242" i="1"/>
  <c r="H320" i="1"/>
  <c r="O179" i="1"/>
  <c r="H336" i="1"/>
  <c r="H289" i="1"/>
  <c r="H243" i="1"/>
  <c r="H321" i="1"/>
  <c r="O180" i="1"/>
  <c r="H351" i="1"/>
  <c r="H319" i="1"/>
  <c r="O182" i="1"/>
  <c r="H304" i="1"/>
  <c r="H350" i="1"/>
  <c r="H318" i="1"/>
  <c r="O181" i="1"/>
  <c r="H303" i="1"/>
  <c r="H290" i="1"/>
  <c r="O177" i="1"/>
  <c r="H257" i="1"/>
  <c r="H272" i="1"/>
  <c r="H305" i="1"/>
  <c r="H229" i="1"/>
  <c r="H244" i="1"/>
  <c r="H259" i="1"/>
  <c r="H199" i="1"/>
  <c r="O173" i="1"/>
  <c r="H230" i="1"/>
  <c r="O174" i="1"/>
  <c r="H245" i="1"/>
  <c r="H260" i="1"/>
  <c r="H200" i="1"/>
  <c r="B355" i="1" l="1"/>
  <c r="C355" i="1" s="1"/>
  <c r="B249" i="1"/>
  <c r="C249" i="1" s="1"/>
  <c r="B264" i="1"/>
  <c r="C264" i="1" s="1"/>
  <c r="B295" i="1"/>
  <c r="C295" i="1" s="1"/>
  <c r="B325" i="1"/>
  <c r="C325" i="1" s="1"/>
  <c r="B204" i="1"/>
  <c r="C204" i="1" s="1"/>
  <c r="B310" i="1"/>
  <c r="C310" i="1" s="1"/>
  <c r="B234" i="1"/>
  <c r="C234" i="1" s="1"/>
  <c r="C173" i="1" a="1"/>
  <c r="B340" i="1"/>
  <c r="C340" i="1" s="1"/>
  <c r="B279" i="1"/>
  <c r="C279" i="1" s="1"/>
  <c r="B219" i="1"/>
  <c r="C219" i="1" s="1"/>
  <c r="C176" i="1" l="1"/>
  <c r="C173" i="1"/>
  <c r="C174" i="1"/>
  <c r="C175" i="1"/>
  <c r="R176" i="1" l="1"/>
  <c r="R175" i="1"/>
</calcChain>
</file>

<file path=xl/sharedStrings.xml><?xml version="1.0" encoding="utf-8"?>
<sst xmlns="http://schemas.openxmlformats.org/spreadsheetml/2006/main" count="435" uniqueCount="77">
  <si>
    <t>COORDENADAS</t>
  </si>
  <si>
    <t>XN:</t>
  </si>
  <si>
    <t>XF:</t>
  </si>
  <si>
    <t>YN:</t>
  </si>
  <si>
    <t>YF:</t>
  </si>
  <si>
    <t>A:</t>
  </si>
  <si>
    <t>L:</t>
  </si>
  <si>
    <t>E:</t>
  </si>
  <si>
    <t>λx</t>
  </si>
  <si>
    <t>λy</t>
  </si>
  <si>
    <t>AE/L:</t>
  </si>
  <si>
    <t>*AE/L</t>
  </si>
  <si>
    <t xml:space="preserve">K </t>
  </si>
  <si>
    <t xml:space="preserve">MATRIZ GLOBAL DE LOS ELEMENTOS </t>
  </si>
  <si>
    <t>ECUACIÓN DE FUERZAS</t>
  </si>
  <si>
    <t>GDL</t>
  </si>
  <si>
    <t>QK</t>
  </si>
  <si>
    <t>pulg2</t>
  </si>
  <si>
    <t>Klb/pulg2</t>
  </si>
  <si>
    <t>pulg</t>
  </si>
  <si>
    <t>ft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</si>
  <si>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</si>
  <si>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</si>
  <si>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</si>
  <si>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</si>
  <si>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</si>
  <si>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</si>
  <si>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</si>
  <si>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</si>
  <si>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</si>
  <si>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</si>
  <si>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</si>
  <si>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K</t>
  </si>
  <si>
    <t>ECUACION DE DESPLAZAMIENTO</t>
  </si>
  <si>
    <t>UNIDADES</t>
  </si>
  <si>
    <t>Inversa k11</t>
  </si>
  <si>
    <t>Qk</t>
  </si>
  <si>
    <t>ECUACIÓN DE REACCION EN LOS APOYOS</t>
  </si>
  <si>
    <t>Qu</t>
  </si>
  <si>
    <t>Reacción</t>
  </si>
  <si>
    <t xml:space="preserve">Unidades </t>
  </si>
  <si>
    <t>klb</t>
  </si>
  <si>
    <t>k21</t>
  </si>
  <si>
    <t>Dm</t>
  </si>
  <si>
    <t>Σfx=0</t>
  </si>
  <si>
    <t>Σfy=0</t>
  </si>
  <si>
    <t>x</t>
  </si>
  <si>
    <t>y</t>
  </si>
  <si>
    <t>AE/L</t>
  </si>
  <si>
    <t>.-λx</t>
  </si>
  <si>
    <t>.-λy</t>
  </si>
  <si>
    <t>gdl</t>
  </si>
  <si>
    <t>FUERZA INTERNA kgf</t>
  </si>
  <si>
    <t>ELEMENTO 1</t>
  </si>
  <si>
    <t>ELEMENTO 2</t>
  </si>
  <si>
    <t>ELEMENTO 3</t>
  </si>
  <si>
    <t>ELEMENTO 4</t>
  </si>
  <si>
    <t>ELEMENTO 5</t>
  </si>
  <si>
    <t>ELEMENTO 6</t>
  </si>
  <si>
    <t>ELEMENTO 7</t>
  </si>
  <si>
    <t>ELEMENTO 8</t>
  </si>
  <si>
    <t>ELEMENTO 9</t>
  </si>
  <si>
    <t>ELEMENTO 10</t>
  </si>
  <si>
    <t>ELEMENTO 11</t>
  </si>
  <si>
    <t xml:space="preserve">EJEMPLO DE ANALISIS MATRICIAL DE ARMADURAS </t>
  </si>
  <si>
    <t>MATRIZ DE RIGIDEZ DE ELEMENTO 1</t>
  </si>
  <si>
    <t>DESPLAZAMIENTO</t>
  </si>
  <si>
    <t>ELEMENTO3</t>
  </si>
  <si>
    <t>ELEMENTO4</t>
  </si>
  <si>
    <t>ELEMENTO5</t>
  </si>
  <si>
    <t>ELEMENTO6</t>
  </si>
  <si>
    <t>ELEMENTO7</t>
  </si>
  <si>
    <t>ELEMENT8</t>
  </si>
  <si>
    <t>ELEMENTO9</t>
  </si>
  <si>
    <t>ELEMENTO10</t>
  </si>
  <si>
    <t>ELEMENTO11</t>
  </si>
  <si>
    <t>Edvin Estuardo Aguilón Ralda 201532048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</si>
</sst>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Q&quot;#,##0;[Red]\-&quot;Q&quot;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6" fontId="0" fillId="6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4" borderId="1" xfId="0" applyFill="1" applyBorder="1"/>
    <xf numFmtId="0" fontId="0" fillId="4" borderId="0" xfId="0" applyFill="1"/>
    <xf numFmtId="0" fontId="0" fillId="3" borderId="0" xfId="0" applyFill="1"/>
    <xf numFmtId="0" fontId="4" fillId="5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6" fontId="0" fillId="11" borderId="0" xfId="0" applyNumberFormat="1" applyFill="1"/>
    <xf numFmtId="0" fontId="0" fillId="12" borderId="0" xfId="0" applyFill="1"/>
    <xf numFmtId="0" fontId="0" fillId="13" borderId="0" xfId="0" applyFill="1"/>
    <xf numFmtId="0" fontId="4" fillId="1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12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4" fillId="7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/>
    <xf numFmtId="0" fontId="5" fillId="1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0" borderId="0" xfId="0" applyFill="1"/>
    <xf numFmtId="0" fontId="0" fillId="20" borderId="0" xfId="0" applyFill="1" applyAlignment="1">
      <alignment horizontal="center"/>
    </xf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3366FF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979715</xdr:colOff>
      <xdr:row>10</xdr:row>
      <xdr:rowOff>87086</xdr:rowOff>
    </xdr:from>
    <xdr:to>
      <xdr:col>12</xdr:col>
      <xdr:colOff>339644</xdr:colOff>
      <xdr:row>19</xdr:row>
      <xdr:rowOff>86790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6086" y="1426029"/>
          <a:ext cx="4116987" cy="1665218"/>
        </a:xfrm>
        <a:prstGeom prst="rect">
          <a:avLst/>
        </a:prstGeom>
      </xdr:spPr>
    </xdr:pic>
    <xdr:clientData/>
  </xdr:twoCellAnchor>
  <xdr:oneCellAnchor>
    <xdr:from>
      <xdr:col>26</xdr:col>
      <xdr:colOff>163286</xdr:colOff>
      <xdr:row>10</xdr:row>
      <xdr:rowOff>21772</xdr:rowOff>
    </xdr:from>
    <xdr:ext cx="4122925" cy="1628602"/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83800" y="1328058"/>
          <a:ext cx="4122925" cy="1628602"/>
        </a:xfrm>
        <a:prstGeom prst="rect">
          <a:avLst/>
        </a:prstGeom>
      </xdr:spPr>
    </xdr:pic>
    <xdr:clientData/>
  </xdr:oneCellAnchor>
  <xdr:oneCellAnchor>
    <xdr:from>
      <xdr:col>44</xdr:col>
      <xdr:colOff>729343</xdr:colOff>
      <xdr:row>12</xdr:row>
      <xdr:rowOff>32657</xdr:rowOff>
    </xdr:from>
    <xdr:ext cx="4122925" cy="1628602"/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653686" y="1709057"/>
          <a:ext cx="4122925" cy="1628602"/>
        </a:xfrm>
        <a:prstGeom prst="rect">
          <a:avLst/>
        </a:prstGeom>
      </xdr:spPr>
    </xdr:pic>
    <xdr:clientData/>
  </xdr:oneCellAnchor>
  <xdr:oneCellAnchor>
    <xdr:from>
      <xdr:col>62</xdr:col>
      <xdr:colOff>381001</xdr:colOff>
      <xdr:row>12</xdr:row>
      <xdr:rowOff>32658</xdr:rowOff>
    </xdr:from>
    <xdr:ext cx="4122925" cy="1628602"/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609172" y="1709058"/>
          <a:ext cx="4122925" cy="1628602"/>
        </a:xfrm>
        <a:prstGeom prst="rect">
          <a:avLst/>
        </a:prstGeom>
      </xdr:spPr>
    </xdr:pic>
    <xdr:clientData/>
  </xdr:oneCellAnchor>
  <xdr:oneCellAnchor>
    <xdr:from>
      <xdr:col>78</xdr:col>
      <xdr:colOff>0</xdr:colOff>
      <xdr:row>8</xdr:row>
      <xdr:rowOff>0</xdr:rowOff>
    </xdr:from>
    <xdr:ext cx="4122925" cy="1628602"/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32109" y="374073"/>
          <a:ext cx="4122925" cy="1628602"/>
        </a:xfrm>
        <a:prstGeom prst="rect">
          <a:avLst/>
        </a:prstGeom>
      </xdr:spPr>
    </xdr:pic>
    <xdr:clientData/>
  </xdr:oneCellAnchor>
  <xdr:oneCellAnchor>
    <xdr:from>
      <xdr:col>6</xdr:col>
      <xdr:colOff>555171</xdr:colOff>
      <xdr:row>61</xdr:row>
      <xdr:rowOff>152400</xdr:rowOff>
    </xdr:from>
    <xdr:ext cx="4122925" cy="1628602"/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6257" y="10983686"/>
          <a:ext cx="4122925" cy="1628602"/>
        </a:xfrm>
        <a:prstGeom prst="rect">
          <a:avLst/>
        </a:prstGeom>
      </xdr:spPr>
    </xdr:pic>
    <xdr:clientData/>
  </xdr:oneCellAnchor>
  <xdr:oneCellAnchor>
    <xdr:from>
      <xdr:col>25</xdr:col>
      <xdr:colOff>261257</xdr:colOff>
      <xdr:row>62</xdr:row>
      <xdr:rowOff>10886</xdr:rowOff>
    </xdr:from>
    <xdr:ext cx="4122925" cy="1628602"/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87114" y="11114315"/>
          <a:ext cx="4122925" cy="1628602"/>
        </a:xfrm>
        <a:prstGeom prst="rect">
          <a:avLst/>
        </a:prstGeom>
      </xdr:spPr>
    </xdr:pic>
    <xdr:clientData/>
  </xdr:oneCellAnchor>
  <xdr:oneCellAnchor>
    <xdr:from>
      <xdr:col>44</xdr:col>
      <xdr:colOff>119743</xdr:colOff>
      <xdr:row>64</xdr:row>
      <xdr:rowOff>10885</xdr:rowOff>
    </xdr:from>
    <xdr:ext cx="4122925" cy="1628602"/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44086" y="11484428"/>
          <a:ext cx="4122925" cy="1628602"/>
        </a:xfrm>
        <a:prstGeom prst="rect">
          <a:avLst/>
        </a:prstGeom>
      </xdr:spPr>
    </xdr:pic>
    <xdr:clientData/>
  </xdr:oneCellAnchor>
  <xdr:oneCellAnchor>
    <xdr:from>
      <xdr:col>61</xdr:col>
      <xdr:colOff>500743</xdr:colOff>
      <xdr:row>61</xdr:row>
      <xdr:rowOff>185057</xdr:rowOff>
    </xdr:from>
    <xdr:ext cx="4122925" cy="1628602"/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934257" y="11016343"/>
          <a:ext cx="4122925" cy="1628602"/>
        </a:xfrm>
        <a:prstGeom prst="rect">
          <a:avLst/>
        </a:prstGeom>
      </xdr:spPr>
    </xdr:pic>
    <xdr:clientData/>
  </xdr:oneCellAnchor>
  <xdr:oneCellAnchor>
    <xdr:from>
      <xdr:col>78</xdr:col>
      <xdr:colOff>631371</xdr:colOff>
      <xdr:row>61</xdr:row>
      <xdr:rowOff>206828</xdr:rowOff>
    </xdr:from>
    <xdr:ext cx="4122925" cy="1628602"/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574057" y="11038114"/>
          <a:ext cx="4122925" cy="1628602"/>
        </a:xfrm>
        <a:prstGeom prst="rect">
          <a:avLst/>
        </a:prstGeom>
      </xdr:spPr>
    </xdr:pic>
    <xdr:clientData/>
  </xdr:oneCellAnchor>
  <xdr:oneCellAnchor>
    <xdr:from>
      <xdr:col>98</xdr:col>
      <xdr:colOff>21770</xdr:colOff>
      <xdr:row>61</xdr:row>
      <xdr:rowOff>163285</xdr:rowOff>
    </xdr:from>
    <xdr:ext cx="4122925" cy="1628602"/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857599" y="10994571"/>
          <a:ext cx="4122925" cy="1628602"/>
        </a:xfrm>
        <a:prstGeom prst="rect">
          <a:avLst/>
        </a:prstGeom>
      </xdr:spPr>
    </xdr:pic>
    <xdr:clientData/>
  </xdr:oneCellAnchor>
  <xdr:twoCellAnchor editAs="oneCell">
    <xdr:from>
      <xdr:col>7</xdr:col>
      <xdr:colOff>125703</xdr:colOff>
      <xdr:row>178</xdr:row>
      <xdr:rowOff>107152</xdr:rowOff>
    </xdr:from>
    <xdr:to>
      <xdr:col>10</xdr:col>
      <xdr:colOff>806824</xdr:colOff>
      <xdr:row>189</xdr:row>
      <xdr:rowOff>27689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092821-D421-EE2A-6A9D-2DD39A298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54785" y="30999528"/>
          <a:ext cx="3585686" cy="18927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C7E3F-936C-4E9D-AB88-A0A991316EF1}">
  <dimension ref="A2:DB355"/>
  <sheetViews>
    <sheetView tabSelected="1" zoomScale="55" zoomScaleNormal="55" workbookViewId="0">
      <selection activeCell="N200" sqref="N200"/>
    </sheetView>
  </sheetViews>
  <sheetFormatPr baseColWidth="10" defaultRowHeight="14.4" x14ac:dyDescent="0.3"/>
  <cols>
    <col min="1" max="1" width="20" customWidth="1"/>
    <col min="2" max="2" width="13.44140625" bestFit="1" customWidth="1"/>
    <col min="3" max="3" width="16.5546875" customWidth="1"/>
    <col min="4" max="7" width="13.44140625" bestFit="1" customWidth="1"/>
    <col min="8" max="8" width="15.44140625" bestFit="1" customWidth="1"/>
    <col min="9" max="10" width="13.44140625" bestFit="1" customWidth="1"/>
    <col min="11" max="12" width="13.44140625" customWidth="1"/>
    <col min="13" max="15" width="13.44140625" bestFit="1" customWidth="1"/>
  </cols>
  <sheetData>
    <row r="2" spans="1:88" ht="36.6" x14ac:dyDescent="0.7">
      <c r="A2" s="30" t="s">
        <v>76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4" spans="1:88" x14ac:dyDescent="0.3">
      <c r="A4" s="26" t="s">
        <v>64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</row>
    <row r="7" spans="1:88" x14ac:dyDescent="0.3">
      <c r="A7" s="31" t="s">
        <v>53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S7" s="31" t="s">
        <v>54</v>
      </c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K7" s="31" t="s">
        <v>55</v>
      </c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C7" s="31" t="s">
        <v>56</v>
      </c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U7" s="31" t="s">
        <v>57</v>
      </c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</row>
    <row r="8" spans="1:88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</row>
    <row r="9" spans="1:88" ht="14.4" customHeight="1" x14ac:dyDescent="0.3">
      <c r="A9" s="32" t="s">
        <v>0</v>
      </c>
      <c r="B9" s="32"/>
      <c r="C9" s="32"/>
      <c r="P9" s="20"/>
      <c r="Q9" s="19"/>
      <c r="R9" s="19"/>
      <c r="S9" s="32" t="s">
        <v>0</v>
      </c>
      <c r="T9" s="32"/>
      <c r="U9" s="32"/>
      <c r="AH9" s="20"/>
      <c r="AK9" s="32" t="s">
        <v>0</v>
      </c>
      <c r="AL9" s="32"/>
      <c r="AM9" s="32"/>
      <c r="AZ9" s="20"/>
      <c r="BC9" s="32" t="s">
        <v>0</v>
      </c>
      <c r="BD9" s="32"/>
      <c r="BE9" s="32"/>
      <c r="BR9" s="20"/>
      <c r="BU9" s="32" t="s">
        <v>0</v>
      </c>
      <c r="BV9" s="32"/>
      <c r="BW9" s="32"/>
      <c r="CJ9" s="20"/>
    </row>
    <row r="10" spans="1:88" ht="15" customHeight="1" x14ac:dyDescent="0.3">
      <c r="P10" s="20"/>
      <c r="Q10" s="19"/>
      <c r="R10" s="19"/>
      <c r="AH10" s="20"/>
      <c r="AZ10" s="20"/>
      <c r="BR10" s="20"/>
      <c r="CJ10" s="20"/>
    </row>
    <row r="11" spans="1:88" x14ac:dyDescent="0.3">
      <c r="A11" t="s">
        <v>1</v>
      </c>
      <c r="B11">
        <v>0</v>
      </c>
      <c r="C11" t="s">
        <v>20</v>
      </c>
      <c r="S11" t="s">
        <v>1</v>
      </c>
      <c r="T11">
        <v>0</v>
      </c>
      <c r="U11" t="s">
        <v>20</v>
      </c>
      <c r="AK11" t="s">
        <v>1</v>
      </c>
      <c r="AL11">
        <v>0</v>
      </c>
      <c r="AM11" t="s">
        <v>20</v>
      </c>
      <c r="BC11" t="s">
        <v>1</v>
      </c>
      <c r="BD11">
        <v>5</v>
      </c>
      <c r="BE11" t="s">
        <v>20</v>
      </c>
      <c r="BU11" t="s">
        <v>1</v>
      </c>
      <c r="BV11">
        <v>5</v>
      </c>
      <c r="BW11" t="s">
        <v>20</v>
      </c>
    </row>
    <row r="12" spans="1:88" x14ac:dyDescent="0.3">
      <c r="A12" t="s">
        <v>2</v>
      </c>
      <c r="B12">
        <v>5</v>
      </c>
      <c r="C12" t="s">
        <v>20</v>
      </c>
      <c r="S12" t="s">
        <v>2</v>
      </c>
      <c r="T12">
        <v>0</v>
      </c>
      <c r="U12" t="s">
        <v>20</v>
      </c>
      <c r="AK12" t="s">
        <v>2</v>
      </c>
      <c r="AL12">
        <v>5</v>
      </c>
      <c r="AM12" t="s">
        <v>20</v>
      </c>
      <c r="BC12" t="s">
        <v>2</v>
      </c>
      <c r="BD12">
        <v>15</v>
      </c>
      <c r="BE12" t="s">
        <v>20</v>
      </c>
      <c r="BU12" t="s">
        <v>2</v>
      </c>
      <c r="BV12">
        <v>10</v>
      </c>
      <c r="BW12" t="s">
        <v>20</v>
      </c>
    </row>
    <row r="13" spans="1:88" x14ac:dyDescent="0.3">
      <c r="A13" t="s">
        <v>3</v>
      </c>
      <c r="B13">
        <v>0</v>
      </c>
      <c r="C13" t="s">
        <v>20</v>
      </c>
      <c r="D13" s="1" t="s">
        <v>8</v>
      </c>
      <c r="E13">
        <f>+(B12-B11)/B16</f>
        <v>0.44721359549995793</v>
      </c>
      <c r="S13" t="s">
        <v>3</v>
      </c>
      <c r="T13">
        <v>0</v>
      </c>
      <c r="U13" t="s">
        <v>20</v>
      </c>
      <c r="V13" s="1" t="s">
        <v>8</v>
      </c>
      <c r="W13">
        <f>+(T12-T11)/T16</f>
        <v>0</v>
      </c>
      <c r="AK13" t="s">
        <v>3</v>
      </c>
      <c r="AL13">
        <v>16</v>
      </c>
      <c r="AM13" t="s">
        <v>20</v>
      </c>
      <c r="AN13" s="1" t="s">
        <v>8</v>
      </c>
      <c r="AO13">
        <f>+(AL12-AL11)/AL16</f>
        <v>0.64018439966447993</v>
      </c>
      <c r="BC13" t="s">
        <v>3</v>
      </c>
      <c r="BD13">
        <v>10</v>
      </c>
      <c r="BE13" t="s">
        <v>20</v>
      </c>
      <c r="BF13" s="1" t="s">
        <v>8</v>
      </c>
      <c r="BG13">
        <f>+(BD12-BD11)/BD16</f>
        <v>1</v>
      </c>
      <c r="BU13" t="s">
        <v>3</v>
      </c>
      <c r="BV13">
        <v>10</v>
      </c>
      <c r="BW13" t="s">
        <v>20</v>
      </c>
      <c r="BX13" s="1" t="s">
        <v>8</v>
      </c>
      <c r="BY13">
        <f>+(BV12-BV11)/BV16</f>
        <v>0.44721359549995793</v>
      </c>
    </row>
    <row r="14" spans="1:88" x14ac:dyDescent="0.3">
      <c r="A14" t="s">
        <v>4</v>
      </c>
      <c r="B14">
        <v>10</v>
      </c>
      <c r="C14" t="s">
        <v>20</v>
      </c>
      <c r="D14" s="1" t="s">
        <v>9</v>
      </c>
      <c r="E14">
        <f>+(B14-B13)/B16</f>
        <v>0.89442719099991586</v>
      </c>
      <c r="S14" t="s">
        <v>4</v>
      </c>
      <c r="T14">
        <v>16</v>
      </c>
      <c r="U14" t="s">
        <v>20</v>
      </c>
      <c r="V14" s="1" t="s">
        <v>9</v>
      </c>
      <c r="W14">
        <f>+(T14-T13)/T16</f>
        <v>1</v>
      </c>
      <c r="AK14" t="s">
        <v>4</v>
      </c>
      <c r="AL14">
        <v>10</v>
      </c>
      <c r="AM14" t="s">
        <v>20</v>
      </c>
      <c r="AN14" s="1" t="s">
        <v>9</v>
      </c>
      <c r="AO14">
        <f>+(AL14-AL13)/AL16</f>
        <v>-0.76822127959737585</v>
      </c>
      <c r="BC14" t="s">
        <v>4</v>
      </c>
      <c r="BD14">
        <v>10</v>
      </c>
      <c r="BE14" t="s">
        <v>20</v>
      </c>
      <c r="BF14" s="1" t="s">
        <v>9</v>
      </c>
      <c r="BG14">
        <f>+(BD14-BD13)/BD16</f>
        <v>0</v>
      </c>
      <c r="BU14" t="s">
        <v>4</v>
      </c>
      <c r="BV14">
        <v>20</v>
      </c>
      <c r="BW14" t="s">
        <v>20</v>
      </c>
      <c r="BX14" s="1" t="s">
        <v>9</v>
      </c>
      <c r="BY14">
        <f>+(BV14-BV13)/BV16</f>
        <v>0.89442719099991586</v>
      </c>
    </row>
    <row r="16" spans="1:88" x14ac:dyDescent="0.3">
      <c r="A16" t="s">
        <v>6</v>
      </c>
      <c r="B16">
        <f>SQRT(((B12-B11)^2)+(B14-B13)^2)</f>
        <v>11.180339887498949</v>
      </c>
      <c r="C16" t="s">
        <v>19</v>
      </c>
      <c r="S16" t="s">
        <v>6</v>
      </c>
      <c r="T16">
        <f>SQRT(((T12-T11)^2)+(T14-T13)^2)</f>
        <v>16</v>
      </c>
      <c r="U16" t="s">
        <v>19</v>
      </c>
      <c r="AK16" t="s">
        <v>6</v>
      </c>
      <c r="AL16">
        <f>SQRT(((AL12-AL11)^2)+(AL14-AL13)^2)</f>
        <v>7.810249675906654</v>
      </c>
      <c r="AM16" t="s">
        <v>19</v>
      </c>
      <c r="BC16" t="s">
        <v>6</v>
      </c>
      <c r="BD16">
        <f>SQRT(((BD12-BD11)^2)+(BD14-BD13)^2)</f>
        <v>10</v>
      </c>
      <c r="BE16" t="s">
        <v>19</v>
      </c>
      <c r="BU16" t="s">
        <v>6</v>
      </c>
      <c r="BV16">
        <f>SQRT(((BV12-BV11)^2)+(BV14-BV13)^2)</f>
        <v>11.180339887498949</v>
      </c>
      <c r="BW16" t="s">
        <v>19</v>
      </c>
    </row>
    <row r="18" spans="1:79" x14ac:dyDescent="0.3">
      <c r="A18" t="s">
        <v>5</v>
      </c>
      <c r="B18">
        <v>1.5</v>
      </c>
      <c r="C18" t="s">
        <v>17</v>
      </c>
      <c r="E18" t="s">
        <v>10</v>
      </c>
      <c r="F18">
        <f>B18*B19/(B16*12)</f>
        <v>324.22985673746945</v>
      </c>
      <c r="S18" t="s">
        <v>5</v>
      </c>
      <c r="T18">
        <v>1.5</v>
      </c>
      <c r="U18" t="s">
        <v>17</v>
      </c>
      <c r="W18" t="s">
        <v>10</v>
      </c>
      <c r="X18">
        <f>T18*T19/(T16*12)</f>
        <v>226.5625</v>
      </c>
      <c r="AK18" t="s">
        <v>5</v>
      </c>
      <c r="AL18">
        <v>1.5</v>
      </c>
      <c r="AM18" t="s">
        <v>17</v>
      </c>
      <c r="AO18" t="s">
        <v>10</v>
      </c>
      <c r="AP18">
        <f>AL18*AL19/(AL16*12)</f>
        <v>464.13368975674791</v>
      </c>
      <c r="BC18" t="s">
        <v>5</v>
      </c>
      <c r="BD18">
        <v>1.5</v>
      </c>
      <c r="BE18" t="s">
        <v>17</v>
      </c>
      <c r="BG18" t="s">
        <v>10</v>
      </c>
      <c r="BH18">
        <f>BD18*BD19/(BD16*12)</f>
        <v>362.5</v>
      </c>
      <c r="BU18" t="s">
        <v>5</v>
      </c>
      <c r="BV18">
        <v>1.5</v>
      </c>
      <c r="BW18" t="s">
        <v>17</v>
      </c>
      <c r="BY18" t="s">
        <v>10</v>
      </c>
      <c r="BZ18">
        <f>BV18*BV19/(BV16*12)</f>
        <v>324.22985673746945</v>
      </c>
    </row>
    <row r="19" spans="1:79" x14ac:dyDescent="0.3">
      <c r="A19" t="s">
        <v>7</v>
      </c>
      <c r="B19">
        <v>29000</v>
      </c>
      <c r="C19" t="s">
        <v>18</v>
      </c>
      <c r="S19" t="s">
        <v>7</v>
      </c>
      <c r="T19">
        <v>29000</v>
      </c>
      <c r="U19" t="s">
        <v>18</v>
      </c>
      <c r="AK19" t="s">
        <v>7</v>
      </c>
      <c r="AL19">
        <v>29000</v>
      </c>
      <c r="AM19" t="s">
        <v>18</v>
      </c>
      <c r="BC19" t="s">
        <v>7</v>
      </c>
      <c r="BD19">
        <v>29000</v>
      </c>
      <c r="BE19" t="s">
        <v>18</v>
      </c>
      <c r="BU19" t="s">
        <v>7</v>
      </c>
      <c r="BV19">
        <v>29000</v>
      </c>
      <c r="BW19" t="s">
        <v>18</v>
      </c>
    </row>
    <row r="22" spans="1:79" x14ac:dyDescent="0.3">
      <c r="A22" s="33" t="s">
        <v>65</v>
      </c>
      <c r="B22" s="33"/>
      <c r="C22" s="33"/>
      <c r="D22" s="33"/>
      <c r="E22" s="33"/>
      <c r="F22" s="33"/>
      <c r="G22" s="33"/>
      <c r="S22" s="33" t="str">
        <f>CONCATENATE("MATRIZ RIGIDEZ ELEMENTO"," ",AH9)</f>
        <v xml:space="preserve">MATRIZ RIGIDEZ ELEMENTO </v>
      </c>
      <c r="T22" s="33"/>
      <c r="U22" s="33"/>
      <c r="V22" s="33"/>
      <c r="W22" s="33"/>
      <c r="X22" s="33"/>
      <c r="Y22" s="33"/>
      <c r="AK22" s="33" t="str">
        <f>CONCATENATE("MATRIZ RIGIDEZ ELEMENTO"," ",AZ9)</f>
        <v xml:space="preserve">MATRIZ RIGIDEZ ELEMENTO </v>
      </c>
      <c r="AL22" s="33"/>
      <c r="AM22" s="33"/>
      <c r="AN22" s="33"/>
      <c r="AO22" s="33"/>
      <c r="AP22" s="33"/>
      <c r="AQ22" s="33"/>
      <c r="BC22" s="33" t="str">
        <f>CONCATENATE("MATRIZ RIGIDEZ ELEMENTO"," ",BR9)</f>
        <v xml:space="preserve">MATRIZ RIGIDEZ ELEMENTO </v>
      </c>
      <c r="BD22" s="33"/>
      <c r="BE22" s="33"/>
      <c r="BF22" s="33"/>
      <c r="BG22" s="33"/>
      <c r="BH22" s="33"/>
      <c r="BI22" s="33"/>
      <c r="BU22" s="33" t="str">
        <f>CONCATENATE("MATRIZ RIGIDEZ ELEMENTO"," ",CJ9)</f>
        <v xml:space="preserve">MATRIZ RIGIDEZ ELEMENTO </v>
      </c>
      <c r="BV22" s="33"/>
      <c r="BW22" s="33"/>
      <c r="BX22" s="33"/>
      <c r="BY22" s="33"/>
      <c r="BZ22" s="33"/>
      <c r="CA22" s="33"/>
    </row>
    <row r="24" spans="1:79" x14ac:dyDescent="0.3">
      <c r="A24" s="7" t="str">
        <f>CONCATENATE("K"," ",P9)</f>
        <v xml:space="preserve">K </v>
      </c>
      <c r="B24">
        <v>1</v>
      </c>
      <c r="C24">
        <v>2</v>
      </c>
      <c r="D24">
        <v>11</v>
      </c>
      <c r="E24">
        <v>12</v>
      </c>
      <c r="S24" s="7" t="str">
        <f>CONCATENATE("K"," ",AH9)</f>
        <v xml:space="preserve">K </v>
      </c>
      <c r="T24">
        <v>3</v>
      </c>
      <c r="U24">
        <v>4</v>
      </c>
      <c r="V24">
        <v>11</v>
      </c>
      <c r="W24">
        <v>12</v>
      </c>
      <c r="AK24" s="7" t="str">
        <f>CONCATENATE("K"," ",AZ9)</f>
        <v xml:space="preserve">K </v>
      </c>
      <c r="AL24">
        <v>1</v>
      </c>
      <c r="AM24">
        <v>2</v>
      </c>
      <c r="AN24">
        <v>3</v>
      </c>
      <c r="AO24">
        <v>4</v>
      </c>
      <c r="BC24" s="7" t="str">
        <f>CONCATENATE("K"," ",BR9)</f>
        <v xml:space="preserve">K </v>
      </c>
      <c r="BD24">
        <v>1</v>
      </c>
      <c r="BE24">
        <v>2</v>
      </c>
      <c r="BF24">
        <v>7</v>
      </c>
      <c r="BG24">
        <v>8</v>
      </c>
      <c r="BU24" s="7" t="str">
        <f>CONCATENATE("K"," ",CJ9)</f>
        <v xml:space="preserve">K </v>
      </c>
      <c r="BV24">
        <v>1</v>
      </c>
      <c r="BW24">
        <v>2</v>
      </c>
      <c r="BX24">
        <v>5</v>
      </c>
      <c r="BY24">
        <v>6</v>
      </c>
    </row>
    <row r="25" spans="1:79" x14ac:dyDescent="0.3">
      <c r="A25">
        <f t="array" ref="A25:A28">TRANSPOSE(B24:E24)</f>
        <v>1</v>
      </c>
      <c r="B25" s="34">
        <f>E13^2</f>
        <v>0.19999999999999998</v>
      </c>
      <c r="C25" s="34">
        <f>+E13*E14</f>
        <v>0.39999999999999997</v>
      </c>
      <c r="D25" s="16">
        <f t="array" ref="D25:E26">-B25:C26</f>
        <v>-0.19999999999999998</v>
      </c>
      <c r="E25" s="16">
        <v>-0.39999999999999997</v>
      </c>
      <c r="S25">
        <f t="array" ref="S25:S28">TRANSPOSE(T24:W24)</f>
        <v>3</v>
      </c>
      <c r="T25" s="34">
        <f>W13^2</f>
        <v>0</v>
      </c>
      <c r="U25" s="34">
        <f>+W13*W14</f>
        <v>0</v>
      </c>
      <c r="V25" s="16">
        <f t="array" ref="V25:W26">-T25:U26</f>
        <v>0</v>
      </c>
      <c r="W25" s="16">
        <v>0</v>
      </c>
      <c r="AK25">
        <f t="array" ref="AK25:AK28">TRANSPOSE(AL24:AO24)</f>
        <v>1</v>
      </c>
      <c r="AL25" s="34">
        <f>AO13^2</f>
        <v>0.40983606557377056</v>
      </c>
      <c r="AM25" s="34">
        <f>+AO13*AO14</f>
        <v>-0.49180327868852464</v>
      </c>
      <c r="AN25" s="16">
        <f t="array" ref="AN25:AO26">-AL25:AM26</f>
        <v>-0.40983606557377056</v>
      </c>
      <c r="AO25" s="16">
        <v>0.49180327868852464</v>
      </c>
      <c r="BC25">
        <f t="array" ref="BC25:BC28">TRANSPOSE(BD24:BG24)</f>
        <v>1</v>
      </c>
      <c r="BD25" s="34">
        <f>BG13^2</f>
        <v>1</v>
      </c>
      <c r="BE25" s="34">
        <f>+BG13*BG14</f>
        <v>0</v>
      </c>
      <c r="BF25" s="16">
        <f t="array" ref="BF25:BG26">-BD25:BE26</f>
        <v>-1</v>
      </c>
      <c r="BG25" s="16">
        <v>0</v>
      </c>
      <c r="BU25">
        <f t="array" ref="BU25:BU28">TRANSPOSE(BV24:BY24)</f>
        <v>1</v>
      </c>
      <c r="BV25" s="34">
        <f>BY13^2</f>
        <v>0.19999999999999998</v>
      </c>
      <c r="BW25" s="34">
        <f>+BY13*BY14</f>
        <v>0.39999999999999997</v>
      </c>
      <c r="BX25" s="16">
        <f t="array" ref="BX25:BY26">-BV25:BW26</f>
        <v>-0.19999999999999998</v>
      </c>
      <c r="BY25" s="16">
        <v>-0.39999999999999997</v>
      </c>
    </row>
    <row r="26" spans="1:79" x14ac:dyDescent="0.3">
      <c r="A26">
        <v>2</v>
      </c>
      <c r="B26" s="34">
        <f>+E13*E14</f>
        <v>0.39999999999999997</v>
      </c>
      <c r="C26" s="34">
        <f>+E14^2</f>
        <v>0.79999999999999993</v>
      </c>
      <c r="D26" s="16">
        <v>-0.39999999999999997</v>
      </c>
      <c r="E26" s="16">
        <v>-0.79999999999999993</v>
      </c>
      <c r="F26" t="s">
        <v>11</v>
      </c>
      <c r="S26">
        <v>4</v>
      </c>
      <c r="T26" s="34">
        <f>+W13*W14</f>
        <v>0</v>
      </c>
      <c r="U26" s="34">
        <f>+W14^2</f>
        <v>1</v>
      </c>
      <c r="V26" s="16">
        <v>0</v>
      </c>
      <c r="W26" s="16">
        <v>-1</v>
      </c>
      <c r="X26" t="s">
        <v>11</v>
      </c>
      <c r="AK26">
        <v>2</v>
      </c>
      <c r="AL26" s="34">
        <f>+AO13*AO14</f>
        <v>-0.49180327868852464</v>
      </c>
      <c r="AM26" s="34">
        <f>+AO14^2</f>
        <v>0.5901639344262295</v>
      </c>
      <c r="AN26" s="16">
        <v>0.49180327868852464</v>
      </c>
      <c r="AO26" s="16">
        <v>-0.5901639344262295</v>
      </c>
      <c r="AP26" t="s">
        <v>11</v>
      </c>
      <c r="BC26">
        <v>2</v>
      </c>
      <c r="BD26" s="34">
        <f>+BG13*BG14</f>
        <v>0</v>
      </c>
      <c r="BE26" s="34">
        <f>+BG14^2</f>
        <v>0</v>
      </c>
      <c r="BF26" s="16">
        <v>0</v>
      </c>
      <c r="BG26" s="16">
        <v>0</v>
      </c>
      <c r="BH26" t="s">
        <v>11</v>
      </c>
      <c r="BU26">
        <v>2</v>
      </c>
      <c r="BV26" s="34">
        <f>+BY13*BY14</f>
        <v>0.39999999999999997</v>
      </c>
      <c r="BW26" s="34">
        <f>+BY14^2</f>
        <v>0.79999999999999993</v>
      </c>
      <c r="BX26" s="16">
        <v>-0.39999999999999997</v>
      </c>
      <c r="BY26" s="16">
        <v>-0.79999999999999993</v>
      </c>
      <c r="BZ26" t="s">
        <v>11</v>
      </c>
    </row>
    <row r="27" spans="1:79" x14ac:dyDescent="0.3">
      <c r="A27">
        <v>11</v>
      </c>
      <c r="B27" s="16">
        <f t="array" ref="B27:C28">D25:E26</f>
        <v>-0.19999999999999998</v>
      </c>
      <c r="C27" s="16">
        <v>-0.39999999999999997</v>
      </c>
      <c r="D27" s="34">
        <f t="array" ref="D27:E28">B25:C26</f>
        <v>0.19999999999999998</v>
      </c>
      <c r="E27" s="34">
        <v>0.39999999999999997</v>
      </c>
      <c r="S27">
        <v>11</v>
      </c>
      <c r="T27" s="16">
        <f t="array" ref="T27:U28">V25:W26</f>
        <v>0</v>
      </c>
      <c r="U27" s="16">
        <v>0</v>
      </c>
      <c r="V27" s="34">
        <f t="array" ref="V27:W28">T25:U26</f>
        <v>0</v>
      </c>
      <c r="W27" s="34">
        <v>0</v>
      </c>
      <c r="AK27">
        <v>3</v>
      </c>
      <c r="AL27" s="16">
        <f t="array" ref="AL27:AM28">AN25:AO26</f>
        <v>-0.40983606557377056</v>
      </c>
      <c r="AM27" s="16">
        <v>0.49180327868852464</v>
      </c>
      <c r="AN27" s="34">
        <f t="array" ref="AN27:AO28">AL25:AM26</f>
        <v>0.40983606557377056</v>
      </c>
      <c r="AO27" s="34">
        <v>-0.49180327868852464</v>
      </c>
      <c r="BC27">
        <v>7</v>
      </c>
      <c r="BD27" s="16">
        <f t="array" ref="BD27:BE28">BF25:BG26</f>
        <v>-1</v>
      </c>
      <c r="BE27" s="16">
        <v>0</v>
      </c>
      <c r="BF27" s="34">
        <f t="array" ref="BF27:BG28">BD25:BE26</f>
        <v>1</v>
      </c>
      <c r="BG27" s="34">
        <v>0</v>
      </c>
      <c r="BU27">
        <v>5</v>
      </c>
      <c r="BV27" s="16">
        <f t="array" ref="BV27:BW28">BX25:BY26</f>
        <v>-0.19999999999999998</v>
      </c>
      <c r="BW27" s="16">
        <v>-0.39999999999999997</v>
      </c>
      <c r="BX27" s="34">
        <f t="array" ref="BX27:BY28">BV25:BW26</f>
        <v>0.19999999999999998</v>
      </c>
      <c r="BY27" s="34">
        <v>0.39999999999999997</v>
      </c>
    </row>
    <row r="28" spans="1:79" x14ac:dyDescent="0.3">
      <c r="A28">
        <v>12</v>
      </c>
      <c r="B28" s="16">
        <v>-0.39999999999999997</v>
      </c>
      <c r="C28" s="16">
        <v>-0.79999999999999993</v>
      </c>
      <c r="D28" s="34">
        <v>0.39999999999999997</v>
      </c>
      <c r="E28" s="34">
        <v>0.79999999999999993</v>
      </c>
      <c r="S28">
        <v>12</v>
      </c>
      <c r="T28" s="16">
        <v>0</v>
      </c>
      <c r="U28" s="16">
        <v>-1</v>
      </c>
      <c r="V28" s="34">
        <v>0</v>
      </c>
      <c r="W28" s="34">
        <v>1</v>
      </c>
      <c r="AK28">
        <v>4</v>
      </c>
      <c r="AL28" s="16">
        <v>0.49180327868852464</v>
      </c>
      <c r="AM28" s="16">
        <v>-0.5901639344262295</v>
      </c>
      <c r="AN28" s="34">
        <v>-0.49180327868852464</v>
      </c>
      <c r="AO28" s="34">
        <v>0.5901639344262295</v>
      </c>
      <c r="BC28">
        <v>8</v>
      </c>
      <c r="BD28" s="16">
        <v>0</v>
      </c>
      <c r="BE28" s="16">
        <v>0</v>
      </c>
      <c r="BF28" s="34">
        <v>0</v>
      </c>
      <c r="BG28" s="34">
        <v>0</v>
      </c>
      <c r="BU28">
        <v>6</v>
      </c>
      <c r="BV28" s="16">
        <v>-0.39999999999999997</v>
      </c>
      <c r="BW28" s="16">
        <v>-0.79999999999999993</v>
      </c>
      <c r="BX28" s="34">
        <v>0.39999999999999997</v>
      </c>
      <c r="BY28" s="34">
        <v>0.79999999999999993</v>
      </c>
    </row>
    <row r="31" spans="1:79" x14ac:dyDescent="0.3">
      <c r="A31" s="7" t="str">
        <f>+A24</f>
        <v xml:space="preserve">K </v>
      </c>
      <c r="B31">
        <f>+B24</f>
        <v>1</v>
      </c>
      <c r="C31">
        <f t="shared" ref="C31:E31" si="0">+C24</f>
        <v>2</v>
      </c>
      <c r="D31">
        <f t="shared" si="0"/>
        <v>11</v>
      </c>
      <c r="E31">
        <f t="shared" si="0"/>
        <v>12</v>
      </c>
      <c r="S31" s="7" t="str">
        <f>+S24</f>
        <v xml:space="preserve">K </v>
      </c>
      <c r="T31">
        <f>+T24</f>
        <v>3</v>
      </c>
      <c r="U31">
        <f t="shared" ref="U31:W31" si="1">+U24</f>
        <v>4</v>
      </c>
      <c r="V31">
        <f t="shared" si="1"/>
        <v>11</v>
      </c>
      <c r="W31">
        <f t="shared" si="1"/>
        <v>12</v>
      </c>
      <c r="AK31" s="7" t="str">
        <f>+AK24</f>
        <v xml:space="preserve">K </v>
      </c>
      <c r="AL31">
        <f>+AL24</f>
        <v>1</v>
      </c>
      <c r="AM31">
        <f t="shared" ref="AM31:AO31" si="2">+AM24</f>
        <v>2</v>
      </c>
      <c r="AN31">
        <f t="shared" si="2"/>
        <v>3</v>
      </c>
      <c r="AO31">
        <f t="shared" si="2"/>
        <v>4</v>
      </c>
      <c r="BC31" s="7" t="str">
        <f>+BC24</f>
        <v xml:space="preserve">K </v>
      </c>
      <c r="BD31">
        <f>+BD24</f>
        <v>1</v>
      </c>
      <c r="BE31">
        <f t="shared" ref="BE31:BG31" si="3">+BE24</f>
        <v>2</v>
      </c>
      <c r="BF31">
        <f t="shared" si="3"/>
        <v>7</v>
      </c>
      <c r="BG31">
        <f t="shared" si="3"/>
        <v>8</v>
      </c>
      <c r="BU31" s="7" t="str">
        <f>+BU24</f>
        <v xml:space="preserve">K </v>
      </c>
      <c r="BV31">
        <f>+BV24</f>
        <v>1</v>
      </c>
      <c r="BW31">
        <f t="shared" ref="BW31:BY31" si="4">+BW24</f>
        <v>2</v>
      </c>
      <c r="BX31">
        <f t="shared" si="4"/>
        <v>5</v>
      </c>
      <c r="BY31">
        <f t="shared" si="4"/>
        <v>6</v>
      </c>
    </row>
    <row r="32" spans="1:79" x14ac:dyDescent="0.3">
      <c r="A32">
        <f t="array" ref="A32:A35">TRANSPOSE(B31:E31)</f>
        <v>1</v>
      </c>
      <c r="B32" s="34">
        <f t="array" ref="B32:E35">F18*B25:E28</f>
        <v>64.845971347493887</v>
      </c>
      <c r="C32" s="34">
        <v>129.69194269498777</v>
      </c>
      <c r="D32" s="16">
        <v>-64.845971347493887</v>
      </c>
      <c r="E32" s="16">
        <v>-129.69194269498777</v>
      </c>
      <c r="S32">
        <f t="array" ref="S32:S35">TRANSPOSE(T31:W31)</f>
        <v>3</v>
      </c>
      <c r="T32" s="34">
        <f t="array" ref="T32:W35">X18*T25:W28</f>
        <v>0</v>
      </c>
      <c r="U32" s="34">
        <v>0</v>
      </c>
      <c r="V32" s="16">
        <v>0</v>
      </c>
      <c r="W32" s="16">
        <v>0</v>
      </c>
      <c r="AK32">
        <f t="array" ref="AK32:AK35">TRANSPOSE(AL31:AO31)</f>
        <v>1</v>
      </c>
      <c r="AL32" s="34">
        <f t="array" ref="AL32:AO35">AP18*AL25:AO28</f>
        <v>190.21872531014262</v>
      </c>
      <c r="AM32" s="34">
        <v>-228.26247037217112</v>
      </c>
      <c r="AN32" s="16">
        <v>-190.21872531014262</v>
      </c>
      <c r="AO32" s="16">
        <v>228.26247037217112</v>
      </c>
      <c r="BC32">
        <f t="array" ref="BC32:BC35">TRANSPOSE(BD31:BG31)</f>
        <v>1</v>
      </c>
      <c r="BD32" s="34">
        <f t="array" ref="BD32:BG35">BH18*BD25:BG28</f>
        <v>362.5</v>
      </c>
      <c r="BE32" s="34">
        <v>0</v>
      </c>
      <c r="BF32" s="16">
        <v>-362.5</v>
      </c>
      <c r="BG32" s="16">
        <v>0</v>
      </c>
      <c r="BU32">
        <f t="array" ref="BU32:BU35">TRANSPOSE(BV31:BY31)</f>
        <v>1</v>
      </c>
      <c r="BV32" s="34">
        <f t="array" ref="BV32:BY35">BZ18*BV25:BY28</f>
        <v>64.845971347493887</v>
      </c>
      <c r="BW32" s="34">
        <v>129.69194269498777</v>
      </c>
      <c r="BX32" s="16">
        <v>-64.845971347493887</v>
      </c>
      <c r="BY32" s="16">
        <v>-129.69194269498777</v>
      </c>
    </row>
    <row r="33" spans="1:87" x14ac:dyDescent="0.3">
      <c r="A33">
        <v>2</v>
      </c>
      <c r="B33" s="34">
        <v>129.69194269498777</v>
      </c>
      <c r="C33" s="34">
        <v>259.38388538997555</v>
      </c>
      <c r="D33" s="16">
        <v>-129.69194269498777</v>
      </c>
      <c r="E33" s="16">
        <v>-259.38388538997555</v>
      </c>
      <c r="S33">
        <v>4</v>
      </c>
      <c r="T33" s="34">
        <v>0</v>
      </c>
      <c r="U33" s="34">
        <v>226.5625</v>
      </c>
      <c r="V33" s="16">
        <v>0</v>
      </c>
      <c r="W33" s="16">
        <v>-226.5625</v>
      </c>
      <c r="AK33">
        <v>2</v>
      </c>
      <c r="AL33" s="34">
        <v>-228.26247037217112</v>
      </c>
      <c r="AM33" s="34">
        <v>273.91496444660532</v>
      </c>
      <c r="AN33" s="16">
        <v>228.26247037217112</v>
      </c>
      <c r="AO33" s="16">
        <v>-273.91496444660532</v>
      </c>
      <c r="BC33">
        <v>2</v>
      </c>
      <c r="BD33" s="34">
        <v>0</v>
      </c>
      <c r="BE33" s="34">
        <v>0</v>
      </c>
      <c r="BF33" s="16">
        <v>0</v>
      </c>
      <c r="BG33" s="16">
        <v>0</v>
      </c>
      <c r="BU33">
        <v>2</v>
      </c>
      <c r="BV33" s="34">
        <v>129.69194269498777</v>
      </c>
      <c r="BW33" s="34">
        <v>259.38388538997555</v>
      </c>
      <c r="BX33" s="16">
        <v>-129.69194269498777</v>
      </c>
      <c r="BY33" s="16">
        <v>-259.38388538997555</v>
      </c>
    </row>
    <row r="34" spans="1:87" x14ac:dyDescent="0.3">
      <c r="A34">
        <v>11</v>
      </c>
      <c r="B34" s="16">
        <v>-64.845971347493887</v>
      </c>
      <c r="C34" s="16">
        <v>-129.69194269498777</v>
      </c>
      <c r="D34" s="34">
        <v>64.845971347493887</v>
      </c>
      <c r="E34" s="34">
        <v>129.69194269498777</v>
      </c>
      <c r="S34">
        <v>11</v>
      </c>
      <c r="T34" s="16">
        <v>0</v>
      </c>
      <c r="U34" s="16">
        <v>0</v>
      </c>
      <c r="V34" s="34">
        <v>0</v>
      </c>
      <c r="W34" s="34">
        <v>0</v>
      </c>
      <c r="AK34">
        <v>3</v>
      </c>
      <c r="AL34" s="16">
        <v>-190.21872531014262</v>
      </c>
      <c r="AM34" s="16">
        <v>228.26247037217112</v>
      </c>
      <c r="AN34" s="34">
        <v>190.21872531014262</v>
      </c>
      <c r="AO34" s="34">
        <v>-228.26247037217112</v>
      </c>
      <c r="BC34">
        <v>7</v>
      </c>
      <c r="BD34" s="16">
        <v>-362.5</v>
      </c>
      <c r="BE34" s="16">
        <v>0</v>
      </c>
      <c r="BF34" s="34">
        <v>362.5</v>
      </c>
      <c r="BG34" s="34">
        <v>0</v>
      </c>
      <c r="BU34">
        <v>5</v>
      </c>
      <c r="BV34" s="16">
        <v>-64.845971347493887</v>
      </c>
      <c r="BW34" s="16">
        <v>-129.69194269498777</v>
      </c>
      <c r="BX34" s="34">
        <v>64.845971347493887</v>
      </c>
      <c r="BY34" s="34">
        <v>129.69194269498777</v>
      </c>
    </row>
    <row r="35" spans="1:87" x14ac:dyDescent="0.3">
      <c r="A35">
        <v>12</v>
      </c>
      <c r="B35" s="16">
        <v>-129.69194269498777</v>
      </c>
      <c r="C35" s="16">
        <v>-259.38388538997555</v>
      </c>
      <c r="D35" s="34">
        <v>129.69194269498777</v>
      </c>
      <c r="E35" s="34">
        <v>259.38388538997555</v>
      </c>
      <c r="S35">
        <v>12</v>
      </c>
      <c r="T35" s="16">
        <v>0</v>
      </c>
      <c r="U35" s="16">
        <v>-226.5625</v>
      </c>
      <c r="V35" s="34">
        <v>0</v>
      </c>
      <c r="W35" s="34">
        <v>226.5625</v>
      </c>
      <c r="AK35">
        <v>4</v>
      </c>
      <c r="AL35" s="16">
        <v>228.26247037217112</v>
      </c>
      <c r="AM35" s="16">
        <v>-273.91496444660532</v>
      </c>
      <c r="AN35" s="34">
        <v>-228.26247037217112</v>
      </c>
      <c r="AO35" s="34">
        <v>273.91496444660532</v>
      </c>
      <c r="BC35">
        <v>8</v>
      </c>
      <c r="BD35" s="16">
        <v>0</v>
      </c>
      <c r="BE35" s="16">
        <v>0</v>
      </c>
      <c r="BF35" s="34">
        <v>0</v>
      </c>
      <c r="BG35" s="34">
        <v>0</v>
      </c>
      <c r="BU35">
        <v>6</v>
      </c>
      <c r="BV35" s="16">
        <v>-129.69194269498777</v>
      </c>
      <c r="BW35" s="16">
        <v>-259.38388538997555</v>
      </c>
      <c r="BX35" s="34">
        <v>129.69194269498777</v>
      </c>
      <c r="BY35" s="34">
        <v>259.38388538997555</v>
      </c>
    </row>
    <row r="38" spans="1:87" x14ac:dyDescent="0.3">
      <c r="A38" s="28" t="str">
        <f xml:space="preserve"> CONCATENATE("MATRIZ LOCAL DEL ELEMENTO"," ",P9)</f>
        <v xml:space="preserve">MATRIZ LOCAL DEL ELEMENTO 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S38" s="28" t="str">
        <f xml:space="preserve"> CONCATENATE("MATRIZ LOCAL DEL ELEMENTO"," ",AH9)</f>
        <v xml:space="preserve">MATRIZ LOCAL DEL ELEMENTO </v>
      </c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K38" s="28" t="str">
        <f xml:space="preserve"> CONCATENATE("MATRIZ LOCAL DEL ELEMENTO"," ",AZ9)</f>
        <v xml:space="preserve">MATRIZ LOCAL DEL ELEMENTO </v>
      </c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BC38" s="28" t="str">
        <f xml:space="preserve"> CONCATENATE("MATRIZ LOCAL DEL ELEMENTO"," ",BR9)</f>
        <v xml:space="preserve">MATRIZ LOCAL DEL ELEMENTO </v>
      </c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U38" s="28" t="str">
        <f xml:space="preserve"> CONCATENATE("MATRIZ LOCAL DEL ELEMENTO"," ",CJ9)</f>
        <v xml:space="preserve">MATRIZ LOCAL DEL ELEMENTO </v>
      </c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</row>
    <row r="39" spans="1:87" x14ac:dyDescent="0.3">
      <c r="A39" t="s">
        <v>12</v>
      </c>
      <c r="B39">
        <v>1</v>
      </c>
      <c r="C39">
        <v>2</v>
      </c>
      <c r="D39">
        <v>3</v>
      </c>
      <c r="E39">
        <v>4</v>
      </c>
      <c r="F39">
        <v>5</v>
      </c>
      <c r="G39">
        <v>6</v>
      </c>
      <c r="H39">
        <v>7</v>
      </c>
      <c r="I39">
        <v>8</v>
      </c>
      <c r="J39">
        <v>9</v>
      </c>
      <c r="K39">
        <v>10</v>
      </c>
      <c r="L39">
        <v>11</v>
      </c>
      <c r="M39">
        <v>12</v>
      </c>
      <c r="N39">
        <v>13</v>
      </c>
      <c r="O39">
        <v>14</v>
      </c>
      <c r="S39" t="s">
        <v>12</v>
      </c>
      <c r="T39">
        <v>1</v>
      </c>
      <c r="U39">
        <v>2</v>
      </c>
      <c r="V39">
        <v>3</v>
      </c>
      <c r="W39">
        <v>4</v>
      </c>
      <c r="X39">
        <v>5</v>
      </c>
      <c r="Y39">
        <v>6</v>
      </c>
      <c r="Z39">
        <v>7</v>
      </c>
      <c r="AA39">
        <v>8</v>
      </c>
      <c r="AB39">
        <v>9</v>
      </c>
      <c r="AC39">
        <v>10</v>
      </c>
      <c r="AD39">
        <v>11</v>
      </c>
      <c r="AE39">
        <v>12</v>
      </c>
      <c r="AF39">
        <v>13</v>
      </c>
      <c r="AG39">
        <v>14</v>
      </c>
      <c r="AK39" t="s">
        <v>12</v>
      </c>
      <c r="AL39">
        <v>1</v>
      </c>
      <c r="AM39">
        <v>2</v>
      </c>
      <c r="AN39">
        <v>3</v>
      </c>
      <c r="AO39">
        <v>4</v>
      </c>
      <c r="AP39">
        <v>5</v>
      </c>
      <c r="AQ39">
        <v>6</v>
      </c>
      <c r="AR39">
        <v>7</v>
      </c>
      <c r="AS39">
        <v>8</v>
      </c>
      <c r="AT39">
        <v>9</v>
      </c>
      <c r="AU39">
        <v>10</v>
      </c>
      <c r="AV39">
        <v>11</v>
      </c>
      <c r="AW39">
        <v>12</v>
      </c>
      <c r="AX39">
        <v>13</v>
      </c>
      <c r="AY39">
        <v>14</v>
      </c>
      <c r="BC39" t="s">
        <v>12</v>
      </c>
      <c r="BD39">
        <v>1</v>
      </c>
      <c r="BE39">
        <v>2</v>
      </c>
      <c r="BF39">
        <v>3</v>
      </c>
      <c r="BG39">
        <v>4</v>
      </c>
      <c r="BH39">
        <v>5</v>
      </c>
      <c r="BI39">
        <v>6</v>
      </c>
      <c r="BJ39">
        <v>7</v>
      </c>
      <c r="BK39">
        <v>8</v>
      </c>
      <c r="BL39">
        <v>9</v>
      </c>
      <c r="BM39">
        <v>10</v>
      </c>
      <c r="BN39">
        <v>11</v>
      </c>
      <c r="BO39">
        <v>12</v>
      </c>
      <c r="BP39">
        <v>13</v>
      </c>
      <c r="BQ39">
        <v>14</v>
      </c>
      <c r="BU39" t="s">
        <v>12</v>
      </c>
      <c r="BV39">
        <v>1</v>
      </c>
      <c r="BW39">
        <v>2</v>
      </c>
      <c r="BX39">
        <v>3</v>
      </c>
      <c r="BY39">
        <v>4</v>
      </c>
      <c r="BZ39">
        <v>5</v>
      </c>
      <c r="CA39">
        <v>6</v>
      </c>
      <c r="CB39">
        <v>7</v>
      </c>
      <c r="CC39">
        <v>8</v>
      </c>
      <c r="CD39">
        <v>9</v>
      </c>
      <c r="CE39">
        <v>10</v>
      </c>
      <c r="CF39">
        <v>11</v>
      </c>
      <c r="CG39">
        <v>12</v>
      </c>
      <c r="CH39">
        <v>13</v>
      </c>
      <c r="CI39">
        <v>14</v>
      </c>
    </row>
    <row r="40" spans="1:87" x14ac:dyDescent="0.3">
      <c r="A40">
        <f t="array" ref="A40:A53">TRANSPOSE(B39:O39)</f>
        <v>1</v>
      </c>
      <c r="B40">
        <f>IFERROR(VLOOKUP($A40,$A$31:$E$35,MATCH(B$39,$A$31:$E$31,0),FALSE),0)</f>
        <v>64.845971347493887</v>
      </c>
      <c r="C40">
        <f t="shared" ref="C40:O53" si="5">IFERROR(VLOOKUP($A40,$A$31:$E$35,MATCH(C$39,$A$31:$E$31,0),FALSE),0)</f>
        <v>129.69194269498777</v>
      </c>
      <c r="D40">
        <f t="shared" si="5"/>
        <v>0</v>
      </c>
      <c r="E40">
        <f t="shared" si="5"/>
        <v>0</v>
      </c>
      <c r="F40">
        <f t="shared" si="5"/>
        <v>0</v>
      </c>
      <c r="G40">
        <f t="shared" si="5"/>
        <v>0</v>
      </c>
      <c r="H40">
        <f t="shared" si="5"/>
        <v>0</v>
      </c>
      <c r="I40">
        <f t="shared" si="5"/>
        <v>0</v>
      </c>
      <c r="J40">
        <f t="shared" si="5"/>
        <v>0</v>
      </c>
      <c r="K40">
        <f t="shared" si="5"/>
        <v>0</v>
      </c>
      <c r="L40">
        <f t="shared" si="5"/>
        <v>-64.845971347493887</v>
      </c>
      <c r="M40">
        <f t="shared" si="5"/>
        <v>-129.69194269498777</v>
      </c>
      <c r="N40">
        <f t="shared" si="5"/>
        <v>0</v>
      </c>
      <c r="O40">
        <f t="shared" si="5"/>
        <v>0</v>
      </c>
      <c r="S40">
        <f t="array" ref="S40:S53">TRANSPOSE(T39:AG39)</f>
        <v>1</v>
      </c>
      <c r="T40">
        <f>IFERROR(VLOOKUP($S40,$S$31:$W$35,MATCH(T$39,$S$31:$W$31,0),FALSE),0)</f>
        <v>0</v>
      </c>
      <c r="U40">
        <f t="shared" ref="U40:AG53" si="6">IFERROR(VLOOKUP($S40,$S$31:$W$35,MATCH(U$39,$S$31:$W$31,0),FALSE),0)</f>
        <v>0</v>
      </c>
      <c r="V40">
        <f t="shared" si="6"/>
        <v>0</v>
      </c>
      <c r="W40">
        <f t="shared" si="6"/>
        <v>0</v>
      </c>
      <c r="X40">
        <f t="shared" si="6"/>
        <v>0</v>
      </c>
      <c r="Y40">
        <f t="shared" si="6"/>
        <v>0</v>
      </c>
      <c r="Z40">
        <f t="shared" si="6"/>
        <v>0</v>
      </c>
      <c r="AA40">
        <f t="shared" si="6"/>
        <v>0</v>
      </c>
      <c r="AB40">
        <f t="shared" si="6"/>
        <v>0</v>
      </c>
      <c r="AC40">
        <f t="shared" si="6"/>
        <v>0</v>
      </c>
      <c r="AD40">
        <f t="shared" si="6"/>
        <v>0</v>
      </c>
      <c r="AE40">
        <f t="shared" si="6"/>
        <v>0</v>
      </c>
      <c r="AF40">
        <f t="shared" si="6"/>
        <v>0</v>
      </c>
      <c r="AG40">
        <f t="shared" si="6"/>
        <v>0</v>
      </c>
      <c r="AK40">
        <f t="array" ref="AK40:AK53">TRANSPOSE(AL39:AY39)</f>
        <v>1</v>
      </c>
      <c r="AL40">
        <f>IFERROR(VLOOKUP($AK40,$AK$31:$AO$35,MATCH(AL$39,$AK$31:$AO$31,0),FALSE),0)</f>
        <v>190.21872531014262</v>
      </c>
      <c r="AM40">
        <f t="shared" ref="AM40:AY53" si="7">IFERROR(VLOOKUP($S40,$AK$31:$AO$35,MATCH(AM$39,$AK$31:$AO$31,0),FALSE),0)</f>
        <v>-228.26247037217112</v>
      </c>
      <c r="AN40">
        <f t="shared" si="7"/>
        <v>-190.21872531014262</v>
      </c>
      <c r="AO40">
        <f t="shared" si="7"/>
        <v>228.26247037217112</v>
      </c>
      <c r="AP40">
        <f t="shared" si="7"/>
        <v>0</v>
      </c>
      <c r="AQ40">
        <f t="shared" si="7"/>
        <v>0</v>
      </c>
      <c r="AR40">
        <f t="shared" si="7"/>
        <v>0</v>
      </c>
      <c r="AS40">
        <f t="shared" si="7"/>
        <v>0</v>
      </c>
      <c r="AT40">
        <f t="shared" si="7"/>
        <v>0</v>
      </c>
      <c r="AU40">
        <f t="shared" si="7"/>
        <v>0</v>
      </c>
      <c r="AV40">
        <f t="shared" si="7"/>
        <v>0</v>
      </c>
      <c r="AW40">
        <f t="shared" si="7"/>
        <v>0</v>
      </c>
      <c r="AX40">
        <f t="shared" si="7"/>
        <v>0</v>
      </c>
      <c r="AY40">
        <f t="shared" si="7"/>
        <v>0</v>
      </c>
      <c r="BC40">
        <f t="array" ref="BC40:BC53">TRANSPOSE(BD39:BQ39)</f>
        <v>1</v>
      </c>
      <c r="BD40">
        <f>IFERROR(VLOOKUP($BC40,$BC$31:$BG$35,MATCH(BD$39,$BC$31:$BG$31,0),FALSE),0)</f>
        <v>362.5</v>
      </c>
      <c r="BE40">
        <f t="shared" ref="BE40:BQ53" si="8">IFERROR(VLOOKUP($BC40,$BC$31:$BG$35,MATCH(BE$39,$BC$31:$BG$31,0),FALSE),0)</f>
        <v>0</v>
      </c>
      <c r="BF40">
        <f t="shared" si="8"/>
        <v>0</v>
      </c>
      <c r="BG40">
        <f t="shared" si="8"/>
        <v>0</v>
      </c>
      <c r="BH40">
        <f t="shared" si="8"/>
        <v>0</v>
      </c>
      <c r="BI40">
        <f t="shared" si="8"/>
        <v>0</v>
      </c>
      <c r="BJ40">
        <f t="shared" si="8"/>
        <v>-362.5</v>
      </c>
      <c r="BK40">
        <f t="shared" si="8"/>
        <v>0</v>
      </c>
      <c r="BL40">
        <f t="shared" si="8"/>
        <v>0</v>
      </c>
      <c r="BM40">
        <f t="shared" si="8"/>
        <v>0</v>
      </c>
      <c r="BN40">
        <f t="shared" si="8"/>
        <v>0</v>
      </c>
      <c r="BO40">
        <f t="shared" si="8"/>
        <v>0</v>
      </c>
      <c r="BP40">
        <f t="shared" si="8"/>
        <v>0</v>
      </c>
      <c r="BQ40">
        <f t="shared" si="8"/>
        <v>0</v>
      </c>
      <c r="BU40">
        <f t="array" ref="BU40:BU53">TRANSPOSE(BV39:CI39)</f>
        <v>1</v>
      </c>
      <c r="BV40">
        <f>IFERROR(VLOOKUP($BU40,$BU$31:$BY$35,MATCH(BV$39,$BU$31:$BY$31,0),FALSE),0)</f>
        <v>64.845971347493887</v>
      </c>
      <c r="BW40">
        <f t="shared" ref="BW40:CI53" si="9">IFERROR(VLOOKUP($BU40,$BU$31:$BY$35,MATCH(BW$39,$BU$31:$BY$31,0),FALSE),0)</f>
        <v>129.69194269498777</v>
      </c>
      <c r="BX40">
        <f t="shared" si="9"/>
        <v>0</v>
      </c>
      <c r="BY40">
        <f t="shared" si="9"/>
        <v>0</v>
      </c>
      <c r="BZ40">
        <f t="shared" si="9"/>
        <v>-64.845971347493887</v>
      </c>
      <c r="CA40">
        <f t="shared" si="9"/>
        <v>-129.69194269498777</v>
      </c>
      <c r="CB40">
        <f t="shared" si="9"/>
        <v>0</v>
      </c>
      <c r="CC40">
        <f t="shared" si="9"/>
        <v>0</v>
      </c>
      <c r="CD40">
        <f t="shared" si="9"/>
        <v>0</v>
      </c>
      <c r="CE40">
        <f t="shared" si="9"/>
        <v>0</v>
      </c>
      <c r="CF40">
        <f t="shared" si="9"/>
        <v>0</v>
      </c>
      <c r="CG40">
        <f t="shared" si="9"/>
        <v>0</v>
      </c>
      <c r="CH40">
        <f t="shared" si="9"/>
        <v>0</v>
      </c>
      <c r="CI40">
        <f t="shared" si="9"/>
        <v>0</v>
      </c>
    </row>
    <row r="41" spans="1:87" x14ac:dyDescent="0.3">
      <c r="A41">
        <v>2</v>
      </c>
      <c r="B41">
        <f t="shared" ref="B41:B53" si="10">IFERROR(VLOOKUP($A41,$A$31:$E$35,MATCH(B$39,$A$31:$E$31,0),FALSE),0)</f>
        <v>129.69194269498777</v>
      </c>
      <c r="C41">
        <f t="shared" si="5"/>
        <v>259.38388538997555</v>
      </c>
      <c r="D41">
        <f t="shared" si="5"/>
        <v>0</v>
      </c>
      <c r="E41">
        <f t="shared" si="5"/>
        <v>0</v>
      </c>
      <c r="F41">
        <f t="shared" si="5"/>
        <v>0</v>
      </c>
      <c r="G41">
        <f t="shared" si="5"/>
        <v>0</v>
      </c>
      <c r="H41">
        <f t="shared" si="5"/>
        <v>0</v>
      </c>
      <c r="I41">
        <f t="shared" si="5"/>
        <v>0</v>
      </c>
      <c r="J41">
        <f t="shared" si="5"/>
        <v>0</v>
      </c>
      <c r="K41">
        <f t="shared" si="5"/>
        <v>0</v>
      </c>
      <c r="L41">
        <f t="shared" si="5"/>
        <v>-129.69194269498777</v>
      </c>
      <c r="M41">
        <f t="shared" si="5"/>
        <v>-259.38388538997555</v>
      </c>
      <c r="N41">
        <f t="shared" si="5"/>
        <v>0</v>
      </c>
      <c r="O41">
        <f t="shared" si="5"/>
        <v>0</v>
      </c>
      <c r="S41">
        <v>2</v>
      </c>
      <c r="T41">
        <f t="shared" ref="T41:T53" si="11">IFERROR(VLOOKUP($S41,$S$31:$W$35,MATCH(T$39,$S$31:$W$31,0),FALSE),0)</f>
        <v>0</v>
      </c>
      <c r="U41">
        <f t="shared" si="6"/>
        <v>0</v>
      </c>
      <c r="V41">
        <f t="shared" si="6"/>
        <v>0</v>
      </c>
      <c r="W41">
        <f t="shared" si="6"/>
        <v>0</v>
      </c>
      <c r="X41">
        <f t="shared" si="6"/>
        <v>0</v>
      </c>
      <c r="Y41">
        <f t="shared" si="6"/>
        <v>0</v>
      </c>
      <c r="Z41">
        <f t="shared" si="6"/>
        <v>0</v>
      </c>
      <c r="AA41">
        <f t="shared" si="6"/>
        <v>0</v>
      </c>
      <c r="AB41">
        <f t="shared" si="6"/>
        <v>0</v>
      </c>
      <c r="AC41">
        <f t="shared" si="6"/>
        <v>0</v>
      </c>
      <c r="AD41">
        <f t="shared" si="6"/>
        <v>0</v>
      </c>
      <c r="AE41">
        <f t="shared" si="6"/>
        <v>0</v>
      </c>
      <c r="AF41">
        <f t="shared" si="6"/>
        <v>0</v>
      </c>
      <c r="AG41">
        <f t="shared" si="6"/>
        <v>0</v>
      </c>
      <c r="AK41">
        <v>2</v>
      </c>
      <c r="AL41">
        <f t="shared" ref="AL41:AL53" si="12">IFERROR(VLOOKUP($S41,$AK$31:$AO$35,MATCH(AL$39,$AK$31:$AO$31,0),FALSE),0)</f>
        <v>-228.26247037217112</v>
      </c>
      <c r="AM41">
        <f t="shared" si="7"/>
        <v>273.91496444660532</v>
      </c>
      <c r="AN41">
        <f t="shared" si="7"/>
        <v>228.26247037217112</v>
      </c>
      <c r="AO41">
        <f t="shared" si="7"/>
        <v>-273.91496444660532</v>
      </c>
      <c r="AP41">
        <f t="shared" si="7"/>
        <v>0</v>
      </c>
      <c r="AQ41">
        <f t="shared" si="7"/>
        <v>0</v>
      </c>
      <c r="AR41">
        <f t="shared" si="7"/>
        <v>0</v>
      </c>
      <c r="AS41">
        <f t="shared" si="7"/>
        <v>0</v>
      </c>
      <c r="AT41">
        <f t="shared" si="7"/>
        <v>0</v>
      </c>
      <c r="AU41">
        <f t="shared" si="7"/>
        <v>0</v>
      </c>
      <c r="AV41">
        <f t="shared" si="7"/>
        <v>0</v>
      </c>
      <c r="AW41">
        <f t="shared" si="7"/>
        <v>0</v>
      </c>
      <c r="AX41">
        <f t="shared" si="7"/>
        <v>0</v>
      </c>
      <c r="AY41">
        <f t="shared" si="7"/>
        <v>0</v>
      </c>
      <c r="BC41">
        <v>2</v>
      </c>
      <c r="BD41">
        <f t="shared" ref="BD41:BD53" si="13">IFERROR(VLOOKUP($BC41,$BC$31:$BG$35,MATCH(BD$39,$BC$31:$BG$31,0),FALSE),0)</f>
        <v>0</v>
      </c>
      <c r="BE41">
        <f t="shared" si="8"/>
        <v>0</v>
      </c>
      <c r="BF41">
        <f t="shared" si="8"/>
        <v>0</v>
      </c>
      <c r="BG41">
        <f t="shared" si="8"/>
        <v>0</v>
      </c>
      <c r="BH41">
        <f t="shared" si="8"/>
        <v>0</v>
      </c>
      <c r="BI41">
        <f t="shared" si="8"/>
        <v>0</v>
      </c>
      <c r="BJ41">
        <f t="shared" si="8"/>
        <v>0</v>
      </c>
      <c r="BK41">
        <f t="shared" si="8"/>
        <v>0</v>
      </c>
      <c r="BL41">
        <f t="shared" si="8"/>
        <v>0</v>
      </c>
      <c r="BM41">
        <f t="shared" si="8"/>
        <v>0</v>
      </c>
      <c r="BN41">
        <f t="shared" si="8"/>
        <v>0</v>
      </c>
      <c r="BO41">
        <f t="shared" si="8"/>
        <v>0</v>
      </c>
      <c r="BP41">
        <f t="shared" si="8"/>
        <v>0</v>
      </c>
      <c r="BQ41">
        <f t="shared" si="8"/>
        <v>0</v>
      </c>
      <c r="BU41">
        <v>2</v>
      </c>
      <c r="BV41">
        <f t="shared" ref="BV41:BV53" si="14">IFERROR(VLOOKUP($BU41,$BU$31:$BY$35,MATCH(BV$39,$BU$31:$BY$31,0),FALSE),0)</f>
        <v>129.69194269498777</v>
      </c>
      <c r="BW41">
        <f t="shared" si="9"/>
        <v>259.38388538997555</v>
      </c>
      <c r="BX41">
        <f t="shared" si="9"/>
        <v>0</v>
      </c>
      <c r="BY41">
        <f t="shared" si="9"/>
        <v>0</v>
      </c>
      <c r="BZ41">
        <f t="shared" si="9"/>
        <v>-129.69194269498777</v>
      </c>
      <c r="CA41">
        <f t="shared" si="9"/>
        <v>-259.38388538997555</v>
      </c>
      <c r="CB41">
        <f t="shared" si="9"/>
        <v>0</v>
      </c>
      <c r="CC41">
        <f t="shared" si="9"/>
        <v>0</v>
      </c>
      <c r="CD41">
        <f t="shared" si="9"/>
        <v>0</v>
      </c>
      <c r="CE41">
        <f t="shared" si="9"/>
        <v>0</v>
      </c>
      <c r="CF41">
        <f t="shared" si="9"/>
        <v>0</v>
      </c>
      <c r="CG41">
        <f t="shared" si="9"/>
        <v>0</v>
      </c>
      <c r="CH41">
        <f t="shared" si="9"/>
        <v>0</v>
      </c>
      <c r="CI41">
        <f t="shared" si="9"/>
        <v>0</v>
      </c>
    </row>
    <row r="42" spans="1:87" x14ac:dyDescent="0.3">
      <c r="A42">
        <v>3</v>
      </c>
      <c r="B42">
        <f t="shared" si="10"/>
        <v>0</v>
      </c>
      <c r="C42">
        <f t="shared" si="5"/>
        <v>0</v>
      </c>
      <c r="D42">
        <f t="shared" si="5"/>
        <v>0</v>
      </c>
      <c r="E42">
        <f t="shared" si="5"/>
        <v>0</v>
      </c>
      <c r="F42">
        <f t="shared" si="5"/>
        <v>0</v>
      </c>
      <c r="G42">
        <f t="shared" si="5"/>
        <v>0</v>
      </c>
      <c r="H42">
        <f t="shared" si="5"/>
        <v>0</v>
      </c>
      <c r="I42">
        <f t="shared" si="5"/>
        <v>0</v>
      </c>
      <c r="J42">
        <f t="shared" si="5"/>
        <v>0</v>
      </c>
      <c r="K42">
        <f t="shared" si="5"/>
        <v>0</v>
      </c>
      <c r="L42">
        <f t="shared" si="5"/>
        <v>0</v>
      </c>
      <c r="M42">
        <f t="shared" si="5"/>
        <v>0</v>
      </c>
      <c r="N42">
        <f t="shared" si="5"/>
        <v>0</v>
      </c>
      <c r="O42">
        <f t="shared" si="5"/>
        <v>0</v>
      </c>
      <c r="S42">
        <v>3</v>
      </c>
      <c r="T42">
        <f t="shared" si="11"/>
        <v>0</v>
      </c>
      <c r="U42">
        <f t="shared" si="6"/>
        <v>0</v>
      </c>
      <c r="V42">
        <f t="shared" si="6"/>
        <v>0</v>
      </c>
      <c r="W42">
        <f t="shared" si="6"/>
        <v>0</v>
      </c>
      <c r="X42">
        <f t="shared" si="6"/>
        <v>0</v>
      </c>
      <c r="Y42">
        <f t="shared" si="6"/>
        <v>0</v>
      </c>
      <c r="Z42">
        <f t="shared" si="6"/>
        <v>0</v>
      </c>
      <c r="AA42">
        <f t="shared" si="6"/>
        <v>0</v>
      </c>
      <c r="AB42">
        <f t="shared" si="6"/>
        <v>0</v>
      </c>
      <c r="AC42">
        <f t="shared" si="6"/>
        <v>0</v>
      </c>
      <c r="AD42">
        <f t="shared" si="6"/>
        <v>0</v>
      </c>
      <c r="AE42">
        <f t="shared" si="6"/>
        <v>0</v>
      </c>
      <c r="AF42">
        <f t="shared" si="6"/>
        <v>0</v>
      </c>
      <c r="AG42">
        <f t="shared" si="6"/>
        <v>0</v>
      </c>
      <c r="AK42">
        <v>3</v>
      </c>
      <c r="AL42">
        <f t="shared" si="12"/>
        <v>-190.21872531014262</v>
      </c>
      <c r="AM42">
        <f t="shared" si="7"/>
        <v>228.26247037217112</v>
      </c>
      <c r="AN42">
        <f t="shared" si="7"/>
        <v>190.21872531014262</v>
      </c>
      <c r="AO42">
        <f t="shared" si="7"/>
        <v>-228.26247037217112</v>
      </c>
      <c r="AP42">
        <f t="shared" si="7"/>
        <v>0</v>
      </c>
      <c r="AQ42">
        <f t="shared" si="7"/>
        <v>0</v>
      </c>
      <c r="AR42">
        <f t="shared" si="7"/>
        <v>0</v>
      </c>
      <c r="AS42">
        <f t="shared" si="7"/>
        <v>0</v>
      </c>
      <c r="AT42">
        <f t="shared" si="7"/>
        <v>0</v>
      </c>
      <c r="AU42">
        <f t="shared" si="7"/>
        <v>0</v>
      </c>
      <c r="AV42">
        <f t="shared" si="7"/>
        <v>0</v>
      </c>
      <c r="AW42">
        <f t="shared" si="7"/>
        <v>0</v>
      </c>
      <c r="AX42">
        <f t="shared" si="7"/>
        <v>0</v>
      </c>
      <c r="AY42">
        <f t="shared" si="7"/>
        <v>0</v>
      </c>
      <c r="BC42">
        <v>3</v>
      </c>
      <c r="BD42">
        <f t="shared" si="13"/>
        <v>0</v>
      </c>
      <c r="BE42">
        <f t="shared" si="8"/>
        <v>0</v>
      </c>
      <c r="BF42">
        <f t="shared" si="8"/>
        <v>0</v>
      </c>
      <c r="BG42">
        <f t="shared" si="8"/>
        <v>0</v>
      </c>
      <c r="BH42">
        <f t="shared" si="8"/>
        <v>0</v>
      </c>
      <c r="BI42">
        <f t="shared" si="8"/>
        <v>0</v>
      </c>
      <c r="BJ42">
        <f t="shared" si="8"/>
        <v>0</v>
      </c>
      <c r="BK42">
        <f t="shared" si="8"/>
        <v>0</v>
      </c>
      <c r="BL42">
        <f t="shared" si="8"/>
        <v>0</v>
      </c>
      <c r="BM42">
        <f t="shared" si="8"/>
        <v>0</v>
      </c>
      <c r="BN42">
        <f t="shared" si="8"/>
        <v>0</v>
      </c>
      <c r="BO42">
        <f t="shared" si="8"/>
        <v>0</v>
      </c>
      <c r="BP42">
        <f t="shared" si="8"/>
        <v>0</v>
      </c>
      <c r="BQ42">
        <f t="shared" si="8"/>
        <v>0</v>
      </c>
      <c r="BU42">
        <v>3</v>
      </c>
      <c r="BV42">
        <f t="shared" si="14"/>
        <v>0</v>
      </c>
      <c r="BW42">
        <f t="shared" si="9"/>
        <v>0</v>
      </c>
      <c r="BX42">
        <f t="shared" si="9"/>
        <v>0</v>
      </c>
      <c r="BY42">
        <f t="shared" si="9"/>
        <v>0</v>
      </c>
      <c r="BZ42">
        <f t="shared" si="9"/>
        <v>0</v>
      </c>
      <c r="CA42">
        <f t="shared" si="9"/>
        <v>0</v>
      </c>
      <c r="CB42">
        <f t="shared" si="9"/>
        <v>0</v>
      </c>
      <c r="CC42">
        <f t="shared" si="9"/>
        <v>0</v>
      </c>
      <c r="CD42">
        <f t="shared" si="9"/>
        <v>0</v>
      </c>
      <c r="CE42">
        <f t="shared" si="9"/>
        <v>0</v>
      </c>
      <c r="CF42">
        <f t="shared" si="9"/>
        <v>0</v>
      </c>
      <c r="CG42">
        <f t="shared" si="9"/>
        <v>0</v>
      </c>
      <c r="CH42">
        <f t="shared" si="9"/>
        <v>0</v>
      </c>
      <c r="CI42">
        <f t="shared" si="9"/>
        <v>0</v>
      </c>
    </row>
    <row r="43" spans="1:87" x14ac:dyDescent="0.3">
      <c r="A43">
        <v>4</v>
      </c>
      <c r="B43">
        <f t="shared" si="10"/>
        <v>0</v>
      </c>
      <c r="C43">
        <f t="shared" si="5"/>
        <v>0</v>
      </c>
      <c r="D43">
        <f t="shared" si="5"/>
        <v>0</v>
      </c>
      <c r="E43">
        <f t="shared" si="5"/>
        <v>0</v>
      </c>
      <c r="F43">
        <f t="shared" si="5"/>
        <v>0</v>
      </c>
      <c r="G43">
        <f t="shared" si="5"/>
        <v>0</v>
      </c>
      <c r="H43">
        <f t="shared" si="5"/>
        <v>0</v>
      </c>
      <c r="I43">
        <f t="shared" si="5"/>
        <v>0</v>
      </c>
      <c r="J43">
        <f t="shared" si="5"/>
        <v>0</v>
      </c>
      <c r="K43">
        <f t="shared" si="5"/>
        <v>0</v>
      </c>
      <c r="L43">
        <f t="shared" si="5"/>
        <v>0</v>
      </c>
      <c r="M43">
        <f t="shared" si="5"/>
        <v>0</v>
      </c>
      <c r="N43">
        <f t="shared" si="5"/>
        <v>0</v>
      </c>
      <c r="O43">
        <f t="shared" si="5"/>
        <v>0</v>
      </c>
      <c r="S43">
        <v>4</v>
      </c>
      <c r="T43">
        <f t="shared" si="11"/>
        <v>0</v>
      </c>
      <c r="U43">
        <f t="shared" si="6"/>
        <v>0</v>
      </c>
      <c r="V43">
        <f t="shared" si="6"/>
        <v>0</v>
      </c>
      <c r="W43">
        <f t="shared" si="6"/>
        <v>226.5625</v>
      </c>
      <c r="X43">
        <f t="shared" si="6"/>
        <v>0</v>
      </c>
      <c r="Y43">
        <f t="shared" si="6"/>
        <v>0</v>
      </c>
      <c r="Z43">
        <f t="shared" si="6"/>
        <v>0</v>
      </c>
      <c r="AA43">
        <f t="shared" si="6"/>
        <v>0</v>
      </c>
      <c r="AB43">
        <f t="shared" si="6"/>
        <v>0</v>
      </c>
      <c r="AC43">
        <f t="shared" si="6"/>
        <v>0</v>
      </c>
      <c r="AD43">
        <f t="shared" si="6"/>
        <v>0</v>
      </c>
      <c r="AE43">
        <f t="shared" si="6"/>
        <v>-226.5625</v>
      </c>
      <c r="AF43">
        <f t="shared" si="6"/>
        <v>0</v>
      </c>
      <c r="AG43">
        <f t="shared" si="6"/>
        <v>0</v>
      </c>
      <c r="AK43">
        <v>4</v>
      </c>
      <c r="AL43">
        <f t="shared" si="12"/>
        <v>228.26247037217112</v>
      </c>
      <c r="AM43">
        <f t="shared" si="7"/>
        <v>-273.91496444660532</v>
      </c>
      <c r="AN43">
        <f t="shared" si="7"/>
        <v>-228.26247037217112</v>
      </c>
      <c r="AO43">
        <f t="shared" si="7"/>
        <v>273.91496444660532</v>
      </c>
      <c r="AP43">
        <f t="shared" si="7"/>
        <v>0</v>
      </c>
      <c r="AQ43">
        <f t="shared" si="7"/>
        <v>0</v>
      </c>
      <c r="AR43">
        <f t="shared" si="7"/>
        <v>0</v>
      </c>
      <c r="AS43">
        <f t="shared" si="7"/>
        <v>0</v>
      </c>
      <c r="AT43">
        <f t="shared" si="7"/>
        <v>0</v>
      </c>
      <c r="AU43">
        <f t="shared" si="7"/>
        <v>0</v>
      </c>
      <c r="AV43">
        <f t="shared" si="7"/>
        <v>0</v>
      </c>
      <c r="AW43">
        <f t="shared" si="7"/>
        <v>0</v>
      </c>
      <c r="AX43">
        <f t="shared" si="7"/>
        <v>0</v>
      </c>
      <c r="AY43">
        <f t="shared" si="7"/>
        <v>0</v>
      </c>
      <c r="BC43">
        <v>4</v>
      </c>
      <c r="BD43">
        <f t="shared" si="13"/>
        <v>0</v>
      </c>
      <c r="BE43">
        <f t="shared" si="8"/>
        <v>0</v>
      </c>
      <c r="BF43">
        <f t="shared" si="8"/>
        <v>0</v>
      </c>
      <c r="BG43">
        <f t="shared" si="8"/>
        <v>0</v>
      </c>
      <c r="BH43">
        <f t="shared" si="8"/>
        <v>0</v>
      </c>
      <c r="BI43">
        <f t="shared" si="8"/>
        <v>0</v>
      </c>
      <c r="BJ43">
        <f t="shared" si="8"/>
        <v>0</v>
      </c>
      <c r="BK43">
        <f t="shared" si="8"/>
        <v>0</v>
      </c>
      <c r="BL43">
        <f t="shared" si="8"/>
        <v>0</v>
      </c>
      <c r="BM43">
        <f t="shared" si="8"/>
        <v>0</v>
      </c>
      <c r="BN43">
        <f t="shared" si="8"/>
        <v>0</v>
      </c>
      <c r="BO43">
        <f t="shared" si="8"/>
        <v>0</v>
      </c>
      <c r="BP43">
        <f t="shared" si="8"/>
        <v>0</v>
      </c>
      <c r="BQ43">
        <f t="shared" si="8"/>
        <v>0</v>
      </c>
      <c r="BU43">
        <v>4</v>
      </c>
      <c r="BV43">
        <f t="shared" si="14"/>
        <v>0</v>
      </c>
      <c r="BW43">
        <f t="shared" si="9"/>
        <v>0</v>
      </c>
      <c r="BX43">
        <f t="shared" si="9"/>
        <v>0</v>
      </c>
      <c r="BY43">
        <f t="shared" si="9"/>
        <v>0</v>
      </c>
      <c r="BZ43">
        <f t="shared" si="9"/>
        <v>0</v>
      </c>
      <c r="CA43">
        <f t="shared" si="9"/>
        <v>0</v>
      </c>
      <c r="CB43">
        <f t="shared" si="9"/>
        <v>0</v>
      </c>
      <c r="CC43">
        <f t="shared" si="9"/>
        <v>0</v>
      </c>
      <c r="CD43">
        <f t="shared" si="9"/>
        <v>0</v>
      </c>
      <c r="CE43">
        <f t="shared" si="9"/>
        <v>0</v>
      </c>
      <c r="CF43">
        <f t="shared" si="9"/>
        <v>0</v>
      </c>
      <c r="CG43">
        <f t="shared" si="9"/>
        <v>0</v>
      </c>
      <c r="CH43">
        <f t="shared" si="9"/>
        <v>0</v>
      </c>
      <c r="CI43">
        <f t="shared" si="9"/>
        <v>0</v>
      </c>
    </row>
    <row r="44" spans="1:87" x14ac:dyDescent="0.3">
      <c r="A44">
        <v>5</v>
      </c>
      <c r="B44">
        <f t="shared" si="10"/>
        <v>0</v>
      </c>
      <c r="C44">
        <f t="shared" si="5"/>
        <v>0</v>
      </c>
      <c r="D44">
        <f t="shared" si="5"/>
        <v>0</v>
      </c>
      <c r="E44">
        <f t="shared" si="5"/>
        <v>0</v>
      </c>
      <c r="F44">
        <f t="shared" si="5"/>
        <v>0</v>
      </c>
      <c r="G44">
        <f t="shared" si="5"/>
        <v>0</v>
      </c>
      <c r="H44">
        <f t="shared" si="5"/>
        <v>0</v>
      </c>
      <c r="I44">
        <f t="shared" si="5"/>
        <v>0</v>
      </c>
      <c r="J44">
        <f t="shared" si="5"/>
        <v>0</v>
      </c>
      <c r="K44">
        <f t="shared" si="5"/>
        <v>0</v>
      </c>
      <c r="L44">
        <f t="shared" si="5"/>
        <v>0</v>
      </c>
      <c r="M44">
        <f t="shared" si="5"/>
        <v>0</v>
      </c>
      <c r="N44">
        <f t="shared" si="5"/>
        <v>0</v>
      </c>
      <c r="O44">
        <f t="shared" si="5"/>
        <v>0</v>
      </c>
      <c r="S44">
        <v>5</v>
      </c>
      <c r="T44">
        <f t="shared" si="11"/>
        <v>0</v>
      </c>
      <c r="U44">
        <f t="shared" si="6"/>
        <v>0</v>
      </c>
      <c r="V44">
        <f t="shared" si="6"/>
        <v>0</v>
      </c>
      <c r="W44">
        <f t="shared" si="6"/>
        <v>0</v>
      </c>
      <c r="X44">
        <f t="shared" si="6"/>
        <v>0</v>
      </c>
      <c r="Y44">
        <f t="shared" si="6"/>
        <v>0</v>
      </c>
      <c r="Z44">
        <f t="shared" si="6"/>
        <v>0</v>
      </c>
      <c r="AA44">
        <f t="shared" si="6"/>
        <v>0</v>
      </c>
      <c r="AB44">
        <f t="shared" si="6"/>
        <v>0</v>
      </c>
      <c r="AC44">
        <f t="shared" si="6"/>
        <v>0</v>
      </c>
      <c r="AD44">
        <f t="shared" si="6"/>
        <v>0</v>
      </c>
      <c r="AE44">
        <f t="shared" si="6"/>
        <v>0</v>
      </c>
      <c r="AF44">
        <f t="shared" si="6"/>
        <v>0</v>
      </c>
      <c r="AG44">
        <f t="shared" si="6"/>
        <v>0</v>
      </c>
      <c r="AK44">
        <v>5</v>
      </c>
      <c r="AL44">
        <f t="shared" si="12"/>
        <v>0</v>
      </c>
      <c r="AM44">
        <f t="shared" si="7"/>
        <v>0</v>
      </c>
      <c r="AN44">
        <f t="shared" si="7"/>
        <v>0</v>
      </c>
      <c r="AO44">
        <f t="shared" si="7"/>
        <v>0</v>
      </c>
      <c r="AP44">
        <f t="shared" si="7"/>
        <v>0</v>
      </c>
      <c r="AQ44">
        <f t="shared" si="7"/>
        <v>0</v>
      </c>
      <c r="AR44">
        <f t="shared" si="7"/>
        <v>0</v>
      </c>
      <c r="AS44">
        <f t="shared" si="7"/>
        <v>0</v>
      </c>
      <c r="AT44">
        <f t="shared" si="7"/>
        <v>0</v>
      </c>
      <c r="AU44">
        <f t="shared" si="7"/>
        <v>0</v>
      </c>
      <c r="AV44">
        <f t="shared" si="7"/>
        <v>0</v>
      </c>
      <c r="AW44">
        <f t="shared" si="7"/>
        <v>0</v>
      </c>
      <c r="AX44">
        <f t="shared" si="7"/>
        <v>0</v>
      </c>
      <c r="AY44">
        <f t="shared" si="7"/>
        <v>0</v>
      </c>
      <c r="BC44">
        <v>5</v>
      </c>
      <c r="BD44">
        <f t="shared" si="13"/>
        <v>0</v>
      </c>
      <c r="BE44">
        <f t="shared" si="8"/>
        <v>0</v>
      </c>
      <c r="BF44">
        <f t="shared" si="8"/>
        <v>0</v>
      </c>
      <c r="BG44">
        <f t="shared" si="8"/>
        <v>0</v>
      </c>
      <c r="BH44">
        <f t="shared" si="8"/>
        <v>0</v>
      </c>
      <c r="BI44">
        <f t="shared" si="8"/>
        <v>0</v>
      </c>
      <c r="BJ44">
        <f t="shared" si="8"/>
        <v>0</v>
      </c>
      <c r="BK44">
        <f t="shared" si="8"/>
        <v>0</v>
      </c>
      <c r="BL44">
        <f t="shared" si="8"/>
        <v>0</v>
      </c>
      <c r="BM44">
        <f t="shared" si="8"/>
        <v>0</v>
      </c>
      <c r="BN44">
        <f t="shared" si="8"/>
        <v>0</v>
      </c>
      <c r="BO44">
        <f t="shared" si="8"/>
        <v>0</v>
      </c>
      <c r="BP44">
        <f t="shared" si="8"/>
        <v>0</v>
      </c>
      <c r="BQ44">
        <f t="shared" si="8"/>
        <v>0</v>
      </c>
      <c r="BU44">
        <v>5</v>
      </c>
      <c r="BV44">
        <f t="shared" si="14"/>
        <v>-64.845971347493887</v>
      </c>
      <c r="BW44">
        <f t="shared" si="9"/>
        <v>-129.69194269498777</v>
      </c>
      <c r="BX44">
        <f t="shared" si="9"/>
        <v>0</v>
      </c>
      <c r="BY44">
        <f t="shared" si="9"/>
        <v>0</v>
      </c>
      <c r="BZ44">
        <f t="shared" si="9"/>
        <v>64.845971347493887</v>
      </c>
      <c r="CA44">
        <f t="shared" si="9"/>
        <v>129.69194269498777</v>
      </c>
      <c r="CB44">
        <f t="shared" si="9"/>
        <v>0</v>
      </c>
      <c r="CC44">
        <f t="shared" si="9"/>
        <v>0</v>
      </c>
      <c r="CD44">
        <f t="shared" si="9"/>
        <v>0</v>
      </c>
      <c r="CE44">
        <f t="shared" si="9"/>
        <v>0</v>
      </c>
      <c r="CF44">
        <f t="shared" si="9"/>
        <v>0</v>
      </c>
      <c r="CG44">
        <f t="shared" si="9"/>
        <v>0</v>
      </c>
      <c r="CH44">
        <f t="shared" si="9"/>
        <v>0</v>
      </c>
      <c r="CI44">
        <f t="shared" si="9"/>
        <v>0</v>
      </c>
    </row>
    <row r="45" spans="1:87" x14ac:dyDescent="0.3">
      <c r="A45">
        <v>6</v>
      </c>
      <c r="B45">
        <f t="shared" si="10"/>
        <v>0</v>
      </c>
      <c r="C45">
        <f t="shared" si="5"/>
        <v>0</v>
      </c>
      <c r="D45">
        <f t="shared" si="5"/>
        <v>0</v>
      </c>
      <c r="E45">
        <f t="shared" si="5"/>
        <v>0</v>
      </c>
      <c r="F45">
        <f t="shared" si="5"/>
        <v>0</v>
      </c>
      <c r="G45">
        <f t="shared" si="5"/>
        <v>0</v>
      </c>
      <c r="H45">
        <f t="shared" si="5"/>
        <v>0</v>
      </c>
      <c r="I45">
        <f t="shared" si="5"/>
        <v>0</v>
      </c>
      <c r="J45">
        <f t="shared" si="5"/>
        <v>0</v>
      </c>
      <c r="K45">
        <f t="shared" si="5"/>
        <v>0</v>
      </c>
      <c r="L45">
        <f t="shared" si="5"/>
        <v>0</v>
      </c>
      <c r="M45">
        <f t="shared" si="5"/>
        <v>0</v>
      </c>
      <c r="N45">
        <f t="shared" si="5"/>
        <v>0</v>
      </c>
      <c r="O45">
        <f t="shared" si="5"/>
        <v>0</v>
      </c>
      <c r="S45">
        <v>6</v>
      </c>
      <c r="T45">
        <f t="shared" si="11"/>
        <v>0</v>
      </c>
      <c r="U45">
        <f t="shared" si="6"/>
        <v>0</v>
      </c>
      <c r="V45">
        <f t="shared" si="6"/>
        <v>0</v>
      </c>
      <c r="W45">
        <f t="shared" si="6"/>
        <v>0</v>
      </c>
      <c r="X45">
        <f t="shared" si="6"/>
        <v>0</v>
      </c>
      <c r="Y45">
        <f t="shared" si="6"/>
        <v>0</v>
      </c>
      <c r="Z45">
        <f t="shared" si="6"/>
        <v>0</v>
      </c>
      <c r="AA45">
        <f t="shared" si="6"/>
        <v>0</v>
      </c>
      <c r="AB45">
        <f t="shared" si="6"/>
        <v>0</v>
      </c>
      <c r="AC45">
        <f t="shared" si="6"/>
        <v>0</v>
      </c>
      <c r="AD45">
        <f t="shared" si="6"/>
        <v>0</v>
      </c>
      <c r="AE45">
        <f t="shared" si="6"/>
        <v>0</v>
      </c>
      <c r="AF45">
        <f t="shared" si="6"/>
        <v>0</v>
      </c>
      <c r="AG45">
        <f t="shared" si="6"/>
        <v>0</v>
      </c>
      <c r="AK45">
        <v>6</v>
      </c>
      <c r="AL45">
        <f t="shared" si="12"/>
        <v>0</v>
      </c>
      <c r="AM45">
        <f t="shared" si="7"/>
        <v>0</v>
      </c>
      <c r="AN45">
        <f t="shared" si="7"/>
        <v>0</v>
      </c>
      <c r="AO45">
        <f t="shared" si="7"/>
        <v>0</v>
      </c>
      <c r="AP45">
        <f t="shared" si="7"/>
        <v>0</v>
      </c>
      <c r="AQ45">
        <f t="shared" si="7"/>
        <v>0</v>
      </c>
      <c r="AR45">
        <f t="shared" si="7"/>
        <v>0</v>
      </c>
      <c r="AS45">
        <f t="shared" si="7"/>
        <v>0</v>
      </c>
      <c r="AT45">
        <f t="shared" si="7"/>
        <v>0</v>
      </c>
      <c r="AU45">
        <f t="shared" si="7"/>
        <v>0</v>
      </c>
      <c r="AV45">
        <f t="shared" si="7"/>
        <v>0</v>
      </c>
      <c r="AW45">
        <f t="shared" si="7"/>
        <v>0</v>
      </c>
      <c r="AX45">
        <f t="shared" si="7"/>
        <v>0</v>
      </c>
      <c r="AY45">
        <f t="shared" si="7"/>
        <v>0</v>
      </c>
      <c r="BC45">
        <v>6</v>
      </c>
      <c r="BD45">
        <f t="shared" si="13"/>
        <v>0</v>
      </c>
      <c r="BE45">
        <f t="shared" si="8"/>
        <v>0</v>
      </c>
      <c r="BF45">
        <f t="shared" si="8"/>
        <v>0</v>
      </c>
      <c r="BG45">
        <f t="shared" si="8"/>
        <v>0</v>
      </c>
      <c r="BH45">
        <f t="shared" si="8"/>
        <v>0</v>
      </c>
      <c r="BI45">
        <f t="shared" si="8"/>
        <v>0</v>
      </c>
      <c r="BJ45">
        <f t="shared" si="8"/>
        <v>0</v>
      </c>
      <c r="BK45">
        <f t="shared" si="8"/>
        <v>0</v>
      </c>
      <c r="BL45">
        <f t="shared" si="8"/>
        <v>0</v>
      </c>
      <c r="BM45">
        <f t="shared" si="8"/>
        <v>0</v>
      </c>
      <c r="BN45">
        <f t="shared" si="8"/>
        <v>0</v>
      </c>
      <c r="BO45">
        <f t="shared" si="8"/>
        <v>0</v>
      </c>
      <c r="BP45">
        <f t="shared" si="8"/>
        <v>0</v>
      </c>
      <c r="BQ45">
        <f t="shared" si="8"/>
        <v>0</v>
      </c>
      <c r="BU45">
        <v>6</v>
      </c>
      <c r="BV45">
        <f t="shared" si="14"/>
        <v>-129.69194269498777</v>
      </c>
      <c r="BW45">
        <f t="shared" si="9"/>
        <v>-259.38388538997555</v>
      </c>
      <c r="BX45">
        <f t="shared" si="9"/>
        <v>0</v>
      </c>
      <c r="BY45">
        <f t="shared" si="9"/>
        <v>0</v>
      </c>
      <c r="BZ45">
        <f t="shared" si="9"/>
        <v>129.69194269498777</v>
      </c>
      <c r="CA45">
        <f t="shared" si="9"/>
        <v>259.38388538997555</v>
      </c>
      <c r="CB45">
        <f t="shared" si="9"/>
        <v>0</v>
      </c>
      <c r="CC45">
        <f t="shared" si="9"/>
        <v>0</v>
      </c>
      <c r="CD45">
        <f t="shared" si="9"/>
        <v>0</v>
      </c>
      <c r="CE45">
        <f t="shared" si="9"/>
        <v>0</v>
      </c>
      <c r="CF45">
        <f t="shared" si="9"/>
        <v>0</v>
      </c>
      <c r="CG45">
        <f t="shared" si="9"/>
        <v>0</v>
      </c>
      <c r="CH45">
        <f t="shared" si="9"/>
        <v>0</v>
      </c>
      <c r="CI45">
        <f t="shared" si="9"/>
        <v>0</v>
      </c>
    </row>
    <row r="46" spans="1:87" x14ac:dyDescent="0.3">
      <c r="A46">
        <v>7</v>
      </c>
      <c r="B46">
        <f t="shared" si="10"/>
        <v>0</v>
      </c>
      <c r="C46">
        <f t="shared" si="5"/>
        <v>0</v>
      </c>
      <c r="D46">
        <f t="shared" si="5"/>
        <v>0</v>
      </c>
      <c r="E46">
        <f t="shared" si="5"/>
        <v>0</v>
      </c>
      <c r="F46">
        <f t="shared" si="5"/>
        <v>0</v>
      </c>
      <c r="G46">
        <f t="shared" si="5"/>
        <v>0</v>
      </c>
      <c r="H46">
        <f t="shared" si="5"/>
        <v>0</v>
      </c>
      <c r="I46">
        <f t="shared" si="5"/>
        <v>0</v>
      </c>
      <c r="J46">
        <f t="shared" si="5"/>
        <v>0</v>
      </c>
      <c r="K46">
        <f t="shared" si="5"/>
        <v>0</v>
      </c>
      <c r="L46">
        <f t="shared" si="5"/>
        <v>0</v>
      </c>
      <c r="M46">
        <f t="shared" si="5"/>
        <v>0</v>
      </c>
      <c r="N46">
        <f t="shared" si="5"/>
        <v>0</v>
      </c>
      <c r="O46">
        <f t="shared" si="5"/>
        <v>0</v>
      </c>
      <c r="S46">
        <v>7</v>
      </c>
      <c r="T46">
        <f t="shared" si="11"/>
        <v>0</v>
      </c>
      <c r="U46">
        <f t="shared" si="6"/>
        <v>0</v>
      </c>
      <c r="V46">
        <f t="shared" si="6"/>
        <v>0</v>
      </c>
      <c r="W46">
        <f t="shared" si="6"/>
        <v>0</v>
      </c>
      <c r="X46">
        <f t="shared" si="6"/>
        <v>0</v>
      </c>
      <c r="Y46">
        <f t="shared" si="6"/>
        <v>0</v>
      </c>
      <c r="Z46">
        <f t="shared" si="6"/>
        <v>0</v>
      </c>
      <c r="AA46">
        <f t="shared" si="6"/>
        <v>0</v>
      </c>
      <c r="AB46">
        <f t="shared" si="6"/>
        <v>0</v>
      </c>
      <c r="AC46">
        <f t="shared" si="6"/>
        <v>0</v>
      </c>
      <c r="AD46">
        <f t="shared" si="6"/>
        <v>0</v>
      </c>
      <c r="AE46">
        <f t="shared" si="6"/>
        <v>0</v>
      </c>
      <c r="AF46">
        <f t="shared" si="6"/>
        <v>0</v>
      </c>
      <c r="AG46">
        <f t="shared" si="6"/>
        <v>0</v>
      </c>
      <c r="AK46">
        <v>7</v>
      </c>
      <c r="AL46">
        <f t="shared" si="12"/>
        <v>0</v>
      </c>
      <c r="AM46">
        <f t="shared" si="7"/>
        <v>0</v>
      </c>
      <c r="AN46">
        <f t="shared" si="7"/>
        <v>0</v>
      </c>
      <c r="AO46">
        <f t="shared" si="7"/>
        <v>0</v>
      </c>
      <c r="AP46">
        <f t="shared" si="7"/>
        <v>0</v>
      </c>
      <c r="AQ46">
        <f t="shared" si="7"/>
        <v>0</v>
      </c>
      <c r="AR46">
        <f t="shared" si="7"/>
        <v>0</v>
      </c>
      <c r="AS46">
        <f t="shared" si="7"/>
        <v>0</v>
      </c>
      <c r="AT46">
        <f t="shared" si="7"/>
        <v>0</v>
      </c>
      <c r="AU46">
        <f t="shared" si="7"/>
        <v>0</v>
      </c>
      <c r="AV46">
        <f t="shared" si="7"/>
        <v>0</v>
      </c>
      <c r="AW46">
        <f t="shared" si="7"/>
        <v>0</v>
      </c>
      <c r="AX46">
        <f t="shared" si="7"/>
        <v>0</v>
      </c>
      <c r="AY46">
        <f t="shared" si="7"/>
        <v>0</v>
      </c>
      <c r="BC46">
        <v>7</v>
      </c>
      <c r="BD46">
        <f t="shared" si="13"/>
        <v>-362.5</v>
      </c>
      <c r="BE46">
        <f t="shared" si="8"/>
        <v>0</v>
      </c>
      <c r="BF46">
        <f t="shared" si="8"/>
        <v>0</v>
      </c>
      <c r="BG46">
        <f t="shared" si="8"/>
        <v>0</v>
      </c>
      <c r="BH46">
        <f t="shared" si="8"/>
        <v>0</v>
      </c>
      <c r="BI46">
        <f t="shared" si="8"/>
        <v>0</v>
      </c>
      <c r="BJ46">
        <f t="shared" si="8"/>
        <v>362.5</v>
      </c>
      <c r="BK46">
        <f t="shared" si="8"/>
        <v>0</v>
      </c>
      <c r="BL46">
        <f t="shared" si="8"/>
        <v>0</v>
      </c>
      <c r="BM46">
        <f t="shared" si="8"/>
        <v>0</v>
      </c>
      <c r="BN46">
        <f t="shared" si="8"/>
        <v>0</v>
      </c>
      <c r="BO46">
        <f t="shared" si="8"/>
        <v>0</v>
      </c>
      <c r="BP46">
        <f t="shared" si="8"/>
        <v>0</v>
      </c>
      <c r="BQ46">
        <f t="shared" si="8"/>
        <v>0</v>
      </c>
      <c r="BU46">
        <v>7</v>
      </c>
      <c r="BV46">
        <f t="shared" si="14"/>
        <v>0</v>
      </c>
      <c r="BW46">
        <f t="shared" si="9"/>
        <v>0</v>
      </c>
      <c r="BX46">
        <f t="shared" si="9"/>
        <v>0</v>
      </c>
      <c r="BY46">
        <f t="shared" si="9"/>
        <v>0</v>
      </c>
      <c r="BZ46">
        <f t="shared" si="9"/>
        <v>0</v>
      </c>
      <c r="CA46">
        <f t="shared" si="9"/>
        <v>0</v>
      </c>
      <c r="CB46">
        <f t="shared" si="9"/>
        <v>0</v>
      </c>
      <c r="CC46">
        <f t="shared" si="9"/>
        <v>0</v>
      </c>
      <c r="CD46">
        <f t="shared" si="9"/>
        <v>0</v>
      </c>
      <c r="CE46">
        <f t="shared" si="9"/>
        <v>0</v>
      </c>
      <c r="CF46">
        <f t="shared" si="9"/>
        <v>0</v>
      </c>
      <c r="CG46">
        <f t="shared" si="9"/>
        <v>0</v>
      </c>
      <c r="CH46">
        <f t="shared" si="9"/>
        <v>0</v>
      </c>
      <c r="CI46">
        <f t="shared" si="9"/>
        <v>0</v>
      </c>
    </row>
    <row r="47" spans="1:87" x14ac:dyDescent="0.3">
      <c r="A47">
        <v>8</v>
      </c>
      <c r="B47">
        <f t="shared" si="10"/>
        <v>0</v>
      </c>
      <c r="C47">
        <f t="shared" si="5"/>
        <v>0</v>
      </c>
      <c r="D47">
        <f t="shared" si="5"/>
        <v>0</v>
      </c>
      <c r="E47">
        <f t="shared" si="5"/>
        <v>0</v>
      </c>
      <c r="F47">
        <f t="shared" si="5"/>
        <v>0</v>
      </c>
      <c r="G47">
        <f t="shared" si="5"/>
        <v>0</v>
      </c>
      <c r="H47">
        <f t="shared" si="5"/>
        <v>0</v>
      </c>
      <c r="I47">
        <f t="shared" si="5"/>
        <v>0</v>
      </c>
      <c r="J47">
        <f t="shared" si="5"/>
        <v>0</v>
      </c>
      <c r="K47">
        <f t="shared" si="5"/>
        <v>0</v>
      </c>
      <c r="L47">
        <f t="shared" si="5"/>
        <v>0</v>
      </c>
      <c r="M47">
        <f t="shared" si="5"/>
        <v>0</v>
      </c>
      <c r="N47">
        <f t="shared" si="5"/>
        <v>0</v>
      </c>
      <c r="O47">
        <f t="shared" si="5"/>
        <v>0</v>
      </c>
      <c r="S47">
        <v>8</v>
      </c>
      <c r="T47">
        <f t="shared" si="11"/>
        <v>0</v>
      </c>
      <c r="U47">
        <f t="shared" si="6"/>
        <v>0</v>
      </c>
      <c r="V47">
        <f t="shared" si="6"/>
        <v>0</v>
      </c>
      <c r="W47">
        <f t="shared" si="6"/>
        <v>0</v>
      </c>
      <c r="X47">
        <f t="shared" si="6"/>
        <v>0</v>
      </c>
      <c r="Y47">
        <f t="shared" si="6"/>
        <v>0</v>
      </c>
      <c r="Z47">
        <f t="shared" si="6"/>
        <v>0</v>
      </c>
      <c r="AA47">
        <f t="shared" si="6"/>
        <v>0</v>
      </c>
      <c r="AB47">
        <f t="shared" si="6"/>
        <v>0</v>
      </c>
      <c r="AC47">
        <f t="shared" si="6"/>
        <v>0</v>
      </c>
      <c r="AD47">
        <f t="shared" si="6"/>
        <v>0</v>
      </c>
      <c r="AE47">
        <f t="shared" si="6"/>
        <v>0</v>
      </c>
      <c r="AF47">
        <f t="shared" si="6"/>
        <v>0</v>
      </c>
      <c r="AG47">
        <f t="shared" si="6"/>
        <v>0</v>
      </c>
      <c r="AK47">
        <v>8</v>
      </c>
      <c r="AL47">
        <f t="shared" si="12"/>
        <v>0</v>
      </c>
      <c r="AM47">
        <f t="shared" si="7"/>
        <v>0</v>
      </c>
      <c r="AN47">
        <f t="shared" si="7"/>
        <v>0</v>
      </c>
      <c r="AO47">
        <f t="shared" si="7"/>
        <v>0</v>
      </c>
      <c r="AP47">
        <f t="shared" si="7"/>
        <v>0</v>
      </c>
      <c r="AQ47">
        <f t="shared" si="7"/>
        <v>0</v>
      </c>
      <c r="AR47">
        <f t="shared" si="7"/>
        <v>0</v>
      </c>
      <c r="AS47">
        <f t="shared" si="7"/>
        <v>0</v>
      </c>
      <c r="AT47">
        <f t="shared" si="7"/>
        <v>0</v>
      </c>
      <c r="AU47">
        <f t="shared" si="7"/>
        <v>0</v>
      </c>
      <c r="AV47">
        <f t="shared" si="7"/>
        <v>0</v>
      </c>
      <c r="AW47">
        <f t="shared" si="7"/>
        <v>0</v>
      </c>
      <c r="AX47">
        <f t="shared" si="7"/>
        <v>0</v>
      </c>
      <c r="AY47">
        <f t="shared" si="7"/>
        <v>0</v>
      </c>
      <c r="BC47">
        <v>8</v>
      </c>
      <c r="BD47">
        <f t="shared" si="13"/>
        <v>0</v>
      </c>
      <c r="BE47">
        <f t="shared" si="8"/>
        <v>0</v>
      </c>
      <c r="BF47">
        <f t="shared" si="8"/>
        <v>0</v>
      </c>
      <c r="BG47">
        <f t="shared" si="8"/>
        <v>0</v>
      </c>
      <c r="BH47">
        <f t="shared" si="8"/>
        <v>0</v>
      </c>
      <c r="BI47">
        <f t="shared" si="8"/>
        <v>0</v>
      </c>
      <c r="BJ47">
        <f t="shared" si="8"/>
        <v>0</v>
      </c>
      <c r="BK47">
        <f t="shared" si="8"/>
        <v>0</v>
      </c>
      <c r="BL47">
        <f t="shared" si="8"/>
        <v>0</v>
      </c>
      <c r="BM47">
        <f t="shared" si="8"/>
        <v>0</v>
      </c>
      <c r="BN47">
        <f t="shared" si="8"/>
        <v>0</v>
      </c>
      <c r="BO47">
        <f t="shared" si="8"/>
        <v>0</v>
      </c>
      <c r="BP47">
        <f t="shared" si="8"/>
        <v>0</v>
      </c>
      <c r="BQ47">
        <f t="shared" si="8"/>
        <v>0</v>
      </c>
      <c r="BU47">
        <v>8</v>
      </c>
      <c r="BV47">
        <f t="shared" si="14"/>
        <v>0</v>
      </c>
      <c r="BW47">
        <f t="shared" si="9"/>
        <v>0</v>
      </c>
      <c r="BX47">
        <f t="shared" si="9"/>
        <v>0</v>
      </c>
      <c r="BY47">
        <f t="shared" si="9"/>
        <v>0</v>
      </c>
      <c r="BZ47">
        <f t="shared" si="9"/>
        <v>0</v>
      </c>
      <c r="CA47">
        <f t="shared" si="9"/>
        <v>0</v>
      </c>
      <c r="CB47">
        <f t="shared" si="9"/>
        <v>0</v>
      </c>
      <c r="CC47">
        <f t="shared" si="9"/>
        <v>0</v>
      </c>
      <c r="CD47">
        <f t="shared" si="9"/>
        <v>0</v>
      </c>
      <c r="CE47">
        <f t="shared" si="9"/>
        <v>0</v>
      </c>
      <c r="CF47">
        <f t="shared" si="9"/>
        <v>0</v>
      </c>
      <c r="CG47">
        <f t="shared" si="9"/>
        <v>0</v>
      </c>
      <c r="CH47">
        <f t="shared" si="9"/>
        <v>0</v>
      </c>
      <c r="CI47">
        <f t="shared" si="9"/>
        <v>0</v>
      </c>
    </row>
    <row r="48" spans="1:87" x14ac:dyDescent="0.3">
      <c r="A48">
        <v>9</v>
      </c>
      <c r="B48">
        <f t="shared" si="10"/>
        <v>0</v>
      </c>
      <c r="C48">
        <f t="shared" si="5"/>
        <v>0</v>
      </c>
      <c r="D48">
        <f t="shared" si="5"/>
        <v>0</v>
      </c>
      <c r="E48">
        <f t="shared" si="5"/>
        <v>0</v>
      </c>
      <c r="F48">
        <f t="shared" si="5"/>
        <v>0</v>
      </c>
      <c r="G48">
        <f t="shared" si="5"/>
        <v>0</v>
      </c>
      <c r="H48">
        <f t="shared" si="5"/>
        <v>0</v>
      </c>
      <c r="I48">
        <f t="shared" si="5"/>
        <v>0</v>
      </c>
      <c r="J48">
        <f t="shared" si="5"/>
        <v>0</v>
      </c>
      <c r="K48">
        <f t="shared" si="5"/>
        <v>0</v>
      </c>
      <c r="L48">
        <f t="shared" si="5"/>
        <v>0</v>
      </c>
      <c r="M48">
        <f t="shared" si="5"/>
        <v>0</v>
      </c>
      <c r="N48">
        <f t="shared" si="5"/>
        <v>0</v>
      </c>
      <c r="O48">
        <f t="shared" si="5"/>
        <v>0</v>
      </c>
      <c r="S48">
        <v>9</v>
      </c>
      <c r="T48">
        <f t="shared" si="11"/>
        <v>0</v>
      </c>
      <c r="U48">
        <f t="shared" si="6"/>
        <v>0</v>
      </c>
      <c r="V48">
        <f t="shared" si="6"/>
        <v>0</v>
      </c>
      <c r="W48">
        <f t="shared" si="6"/>
        <v>0</v>
      </c>
      <c r="X48">
        <f t="shared" si="6"/>
        <v>0</v>
      </c>
      <c r="Y48">
        <f t="shared" si="6"/>
        <v>0</v>
      </c>
      <c r="Z48">
        <f t="shared" si="6"/>
        <v>0</v>
      </c>
      <c r="AA48">
        <f t="shared" si="6"/>
        <v>0</v>
      </c>
      <c r="AB48">
        <f t="shared" si="6"/>
        <v>0</v>
      </c>
      <c r="AC48">
        <f t="shared" si="6"/>
        <v>0</v>
      </c>
      <c r="AD48">
        <f t="shared" si="6"/>
        <v>0</v>
      </c>
      <c r="AE48">
        <f t="shared" si="6"/>
        <v>0</v>
      </c>
      <c r="AF48">
        <f t="shared" si="6"/>
        <v>0</v>
      </c>
      <c r="AG48">
        <f t="shared" si="6"/>
        <v>0</v>
      </c>
      <c r="AK48">
        <v>9</v>
      </c>
      <c r="AL48">
        <f t="shared" si="12"/>
        <v>0</v>
      </c>
      <c r="AM48">
        <f t="shared" si="7"/>
        <v>0</v>
      </c>
      <c r="AN48">
        <f t="shared" si="7"/>
        <v>0</v>
      </c>
      <c r="AO48">
        <f t="shared" si="7"/>
        <v>0</v>
      </c>
      <c r="AP48">
        <f t="shared" si="7"/>
        <v>0</v>
      </c>
      <c r="AQ48">
        <f t="shared" si="7"/>
        <v>0</v>
      </c>
      <c r="AR48">
        <f t="shared" si="7"/>
        <v>0</v>
      </c>
      <c r="AS48">
        <f t="shared" si="7"/>
        <v>0</v>
      </c>
      <c r="AT48">
        <f t="shared" si="7"/>
        <v>0</v>
      </c>
      <c r="AU48">
        <f t="shared" si="7"/>
        <v>0</v>
      </c>
      <c r="AV48">
        <f t="shared" si="7"/>
        <v>0</v>
      </c>
      <c r="AW48">
        <f t="shared" si="7"/>
        <v>0</v>
      </c>
      <c r="AX48">
        <f t="shared" si="7"/>
        <v>0</v>
      </c>
      <c r="AY48">
        <f t="shared" si="7"/>
        <v>0</v>
      </c>
      <c r="BC48">
        <v>9</v>
      </c>
      <c r="BD48">
        <f t="shared" si="13"/>
        <v>0</v>
      </c>
      <c r="BE48">
        <f t="shared" si="8"/>
        <v>0</v>
      </c>
      <c r="BF48">
        <f t="shared" si="8"/>
        <v>0</v>
      </c>
      <c r="BG48">
        <f t="shared" si="8"/>
        <v>0</v>
      </c>
      <c r="BH48">
        <f t="shared" si="8"/>
        <v>0</v>
      </c>
      <c r="BI48">
        <f t="shared" si="8"/>
        <v>0</v>
      </c>
      <c r="BJ48">
        <f t="shared" si="8"/>
        <v>0</v>
      </c>
      <c r="BK48">
        <f t="shared" si="8"/>
        <v>0</v>
      </c>
      <c r="BL48">
        <f t="shared" si="8"/>
        <v>0</v>
      </c>
      <c r="BM48">
        <f t="shared" si="8"/>
        <v>0</v>
      </c>
      <c r="BN48">
        <f t="shared" si="8"/>
        <v>0</v>
      </c>
      <c r="BO48">
        <f t="shared" si="8"/>
        <v>0</v>
      </c>
      <c r="BP48">
        <f t="shared" si="8"/>
        <v>0</v>
      </c>
      <c r="BQ48">
        <f t="shared" si="8"/>
        <v>0</v>
      </c>
      <c r="BU48">
        <v>9</v>
      </c>
      <c r="BV48">
        <f t="shared" si="14"/>
        <v>0</v>
      </c>
      <c r="BW48">
        <f t="shared" si="9"/>
        <v>0</v>
      </c>
      <c r="BX48">
        <f t="shared" si="9"/>
        <v>0</v>
      </c>
      <c r="BY48">
        <f t="shared" si="9"/>
        <v>0</v>
      </c>
      <c r="BZ48">
        <f t="shared" si="9"/>
        <v>0</v>
      </c>
      <c r="CA48">
        <f t="shared" si="9"/>
        <v>0</v>
      </c>
      <c r="CB48">
        <f t="shared" si="9"/>
        <v>0</v>
      </c>
      <c r="CC48">
        <f t="shared" si="9"/>
        <v>0</v>
      </c>
      <c r="CD48">
        <f t="shared" si="9"/>
        <v>0</v>
      </c>
      <c r="CE48">
        <f t="shared" si="9"/>
        <v>0</v>
      </c>
      <c r="CF48">
        <f t="shared" si="9"/>
        <v>0</v>
      </c>
      <c r="CG48">
        <f t="shared" si="9"/>
        <v>0</v>
      </c>
      <c r="CH48">
        <f t="shared" si="9"/>
        <v>0</v>
      </c>
      <c r="CI48">
        <f t="shared" si="9"/>
        <v>0</v>
      </c>
    </row>
    <row r="49" spans="1:106" x14ac:dyDescent="0.3">
      <c r="A49">
        <v>10</v>
      </c>
      <c r="B49">
        <f t="shared" si="10"/>
        <v>0</v>
      </c>
      <c r="C49">
        <f t="shared" si="5"/>
        <v>0</v>
      </c>
      <c r="D49">
        <f t="shared" si="5"/>
        <v>0</v>
      </c>
      <c r="E49">
        <f t="shared" si="5"/>
        <v>0</v>
      </c>
      <c r="F49">
        <f t="shared" si="5"/>
        <v>0</v>
      </c>
      <c r="G49">
        <f t="shared" si="5"/>
        <v>0</v>
      </c>
      <c r="H49">
        <f t="shared" si="5"/>
        <v>0</v>
      </c>
      <c r="I49">
        <f t="shared" si="5"/>
        <v>0</v>
      </c>
      <c r="J49">
        <f t="shared" si="5"/>
        <v>0</v>
      </c>
      <c r="K49">
        <f t="shared" si="5"/>
        <v>0</v>
      </c>
      <c r="L49">
        <f t="shared" si="5"/>
        <v>0</v>
      </c>
      <c r="M49">
        <f t="shared" si="5"/>
        <v>0</v>
      </c>
      <c r="N49">
        <f t="shared" si="5"/>
        <v>0</v>
      </c>
      <c r="O49">
        <f t="shared" si="5"/>
        <v>0</v>
      </c>
      <c r="S49">
        <v>10</v>
      </c>
      <c r="T49">
        <f t="shared" si="11"/>
        <v>0</v>
      </c>
      <c r="U49">
        <f t="shared" si="6"/>
        <v>0</v>
      </c>
      <c r="V49">
        <f t="shared" si="6"/>
        <v>0</v>
      </c>
      <c r="W49">
        <f t="shared" si="6"/>
        <v>0</v>
      </c>
      <c r="X49">
        <f t="shared" si="6"/>
        <v>0</v>
      </c>
      <c r="Y49">
        <f t="shared" si="6"/>
        <v>0</v>
      </c>
      <c r="Z49">
        <f t="shared" si="6"/>
        <v>0</v>
      </c>
      <c r="AA49">
        <f t="shared" si="6"/>
        <v>0</v>
      </c>
      <c r="AB49">
        <f t="shared" si="6"/>
        <v>0</v>
      </c>
      <c r="AC49">
        <f t="shared" si="6"/>
        <v>0</v>
      </c>
      <c r="AD49">
        <f t="shared" si="6"/>
        <v>0</v>
      </c>
      <c r="AE49">
        <f t="shared" si="6"/>
        <v>0</v>
      </c>
      <c r="AF49">
        <f t="shared" si="6"/>
        <v>0</v>
      </c>
      <c r="AG49">
        <f t="shared" si="6"/>
        <v>0</v>
      </c>
      <c r="AK49">
        <v>10</v>
      </c>
      <c r="AL49">
        <f t="shared" si="12"/>
        <v>0</v>
      </c>
      <c r="AM49">
        <f t="shared" si="7"/>
        <v>0</v>
      </c>
      <c r="AN49">
        <f t="shared" si="7"/>
        <v>0</v>
      </c>
      <c r="AO49">
        <f t="shared" si="7"/>
        <v>0</v>
      </c>
      <c r="AP49">
        <f t="shared" si="7"/>
        <v>0</v>
      </c>
      <c r="AQ49">
        <f t="shared" si="7"/>
        <v>0</v>
      </c>
      <c r="AR49">
        <f t="shared" si="7"/>
        <v>0</v>
      </c>
      <c r="AS49">
        <f t="shared" si="7"/>
        <v>0</v>
      </c>
      <c r="AT49">
        <f t="shared" si="7"/>
        <v>0</v>
      </c>
      <c r="AU49">
        <f t="shared" si="7"/>
        <v>0</v>
      </c>
      <c r="AV49">
        <f t="shared" si="7"/>
        <v>0</v>
      </c>
      <c r="AW49">
        <f t="shared" si="7"/>
        <v>0</v>
      </c>
      <c r="AX49">
        <f t="shared" si="7"/>
        <v>0</v>
      </c>
      <c r="AY49">
        <f t="shared" si="7"/>
        <v>0</v>
      </c>
      <c r="BC49">
        <v>10</v>
      </c>
      <c r="BD49">
        <f t="shared" si="13"/>
        <v>0</v>
      </c>
      <c r="BE49">
        <f t="shared" si="8"/>
        <v>0</v>
      </c>
      <c r="BF49">
        <f t="shared" si="8"/>
        <v>0</v>
      </c>
      <c r="BG49">
        <f t="shared" si="8"/>
        <v>0</v>
      </c>
      <c r="BH49">
        <f t="shared" si="8"/>
        <v>0</v>
      </c>
      <c r="BI49">
        <f t="shared" si="8"/>
        <v>0</v>
      </c>
      <c r="BJ49">
        <f t="shared" si="8"/>
        <v>0</v>
      </c>
      <c r="BK49">
        <f t="shared" si="8"/>
        <v>0</v>
      </c>
      <c r="BL49">
        <f t="shared" si="8"/>
        <v>0</v>
      </c>
      <c r="BM49">
        <f t="shared" si="8"/>
        <v>0</v>
      </c>
      <c r="BN49">
        <f t="shared" si="8"/>
        <v>0</v>
      </c>
      <c r="BO49">
        <f t="shared" si="8"/>
        <v>0</v>
      </c>
      <c r="BP49">
        <f t="shared" si="8"/>
        <v>0</v>
      </c>
      <c r="BQ49">
        <f t="shared" si="8"/>
        <v>0</v>
      </c>
      <c r="BU49">
        <v>10</v>
      </c>
      <c r="BV49">
        <f t="shared" si="14"/>
        <v>0</v>
      </c>
      <c r="BW49">
        <f t="shared" si="9"/>
        <v>0</v>
      </c>
      <c r="BX49">
        <f t="shared" si="9"/>
        <v>0</v>
      </c>
      <c r="BY49">
        <f t="shared" si="9"/>
        <v>0</v>
      </c>
      <c r="BZ49">
        <f t="shared" si="9"/>
        <v>0</v>
      </c>
      <c r="CA49">
        <f t="shared" si="9"/>
        <v>0</v>
      </c>
      <c r="CB49">
        <f t="shared" si="9"/>
        <v>0</v>
      </c>
      <c r="CC49">
        <f t="shared" si="9"/>
        <v>0</v>
      </c>
      <c r="CD49">
        <f t="shared" si="9"/>
        <v>0</v>
      </c>
      <c r="CE49">
        <f t="shared" si="9"/>
        <v>0</v>
      </c>
      <c r="CF49">
        <f t="shared" si="9"/>
        <v>0</v>
      </c>
      <c r="CG49">
        <f t="shared" si="9"/>
        <v>0</v>
      </c>
      <c r="CH49">
        <f t="shared" si="9"/>
        <v>0</v>
      </c>
      <c r="CI49">
        <f t="shared" si="9"/>
        <v>0</v>
      </c>
    </row>
    <row r="50" spans="1:106" x14ac:dyDescent="0.3">
      <c r="A50">
        <v>11</v>
      </c>
      <c r="B50">
        <f t="shared" si="10"/>
        <v>-64.845971347493887</v>
      </c>
      <c r="C50">
        <f t="shared" si="5"/>
        <v>-129.69194269498777</v>
      </c>
      <c r="D50">
        <f t="shared" si="5"/>
        <v>0</v>
      </c>
      <c r="E50">
        <f t="shared" si="5"/>
        <v>0</v>
      </c>
      <c r="F50">
        <f t="shared" si="5"/>
        <v>0</v>
      </c>
      <c r="G50">
        <f t="shared" si="5"/>
        <v>0</v>
      </c>
      <c r="H50">
        <f t="shared" si="5"/>
        <v>0</v>
      </c>
      <c r="I50">
        <f t="shared" si="5"/>
        <v>0</v>
      </c>
      <c r="J50">
        <f t="shared" si="5"/>
        <v>0</v>
      </c>
      <c r="K50">
        <f t="shared" si="5"/>
        <v>0</v>
      </c>
      <c r="L50">
        <f t="shared" si="5"/>
        <v>64.845971347493887</v>
      </c>
      <c r="M50">
        <f t="shared" si="5"/>
        <v>129.69194269498777</v>
      </c>
      <c r="N50">
        <f t="shared" si="5"/>
        <v>0</v>
      </c>
      <c r="O50">
        <f t="shared" si="5"/>
        <v>0</v>
      </c>
      <c r="S50">
        <v>11</v>
      </c>
      <c r="T50">
        <f t="shared" si="11"/>
        <v>0</v>
      </c>
      <c r="U50">
        <f t="shared" si="6"/>
        <v>0</v>
      </c>
      <c r="V50">
        <f t="shared" si="6"/>
        <v>0</v>
      </c>
      <c r="W50">
        <f t="shared" si="6"/>
        <v>0</v>
      </c>
      <c r="X50">
        <f t="shared" si="6"/>
        <v>0</v>
      </c>
      <c r="Y50">
        <f t="shared" si="6"/>
        <v>0</v>
      </c>
      <c r="Z50">
        <f t="shared" si="6"/>
        <v>0</v>
      </c>
      <c r="AA50">
        <f t="shared" si="6"/>
        <v>0</v>
      </c>
      <c r="AB50">
        <f t="shared" si="6"/>
        <v>0</v>
      </c>
      <c r="AC50">
        <f t="shared" si="6"/>
        <v>0</v>
      </c>
      <c r="AD50">
        <f t="shared" si="6"/>
        <v>0</v>
      </c>
      <c r="AE50">
        <f t="shared" si="6"/>
        <v>0</v>
      </c>
      <c r="AF50">
        <f t="shared" si="6"/>
        <v>0</v>
      </c>
      <c r="AG50">
        <f t="shared" si="6"/>
        <v>0</v>
      </c>
      <c r="AK50">
        <v>11</v>
      </c>
      <c r="AL50">
        <f t="shared" si="12"/>
        <v>0</v>
      </c>
      <c r="AM50">
        <f t="shared" si="7"/>
        <v>0</v>
      </c>
      <c r="AN50">
        <f t="shared" si="7"/>
        <v>0</v>
      </c>
      <c r="AO50">
        <f t="shared" si="7"/>
        <v>0</v>
      </c>
      <c r="AP50">
        <f t="shared" si="7"/>
        <v>0</v>
      </c>
      <c r="AQ50">
        <f t="shared" si="7"/>
        <v>0</v>
      </c>
      <c r="AR50">
        <f t="shared" si="7"/>
        <v>0</v>
      </c>
      <c r="AS50">
        <f t="shared" si="7"/>
        <v>0</v>
      </c>
      <c r="AT50">
        <f t="shared" si="7"/>
        <v>0</v>
      </c>
      <c r="AU50">
        <f t="shared" si="7"/>
        <v>0</v>
      </c>
      <c r="AV50">
        <f t="shared" si="7"/>
        <v>0</v>
      </c>
      <c r="AW50">
        <f t="shared" si="7"/>
        <v>0</v>
      </c>
      <c r="AX50">
        <f t="shared" si="7"/>
        <v>0</v>
      </c>
      <c r="AY50">
        <f t="shared" si="7"/>
        <v>0</v>
      </c>
      <c r="BC50">
        <v>11</v>
      </c>
      <c r="BD50">
        <f t="shared" si="13"/>
        <v>0</v>
      </c>
      <c r="BE50">
        <f t="shared" si="8"/>
        <v>0</v>
      </c>
      <c r="BF50">
        <f t="shared" si="8"/>
        <v>0</v>
      </c>
      <c r="BG50">
        <f t="shared" si="8"/>
        <v>0</v>
      </c>
      <c r="BH50">
        <f t="shared" si="8"/>
        <v>0</v>
      </c>
      <c r="BI50">
        <f t="shared" si="8"/>
        <v>0</v>
      </c>
      <c r="BJ50">
        <f t="shared" si="8"/>
        <v>0</v>
      </c>
      <c r="BK50">
        <f t="shared" si="8"/>
        <v>0</v>
      </c>
      <c r="BL50">
        <f t="shared" si="8"/>
        <v>0</v>
      </c>
      <c r="BM50">
        <f t="shared" si="8"/>
        <v>0</v>
      </c>
      <c r="BN50">
        <f t="shared" si="8"/>
        <v>0</v>
      </c>
      <c r="BO50">
        <f t="shared" si="8"/>
        <v>0</v>
      </c>
      <c r="BP50">
        <f t="shared" si="8"/>
        <v>0</v>
      </c>
      <c r="BQ50">
        <f t="shared" si="8"/>
        <v>0</v>
      </c>
      <c r="BU50">
        <v>11</v>
      </c>
      <c r="BV50">
        <f t="shared" si="14"/>
        <v>0</v>
      </c>
      <c r="BW50">
        <f t="shared" si="9"/>
        <v>0</v>
      </c>
      <c r="BX50">
        <f t="shared" si="9"/>
        <v>0</v>
      </c>
      <c r="BY50">
        <f t="shared" si="9"/>
        <v>0</v>
      </c>
      <c r="BZ50">
        <f t="shared" si="9"/>
        <v>0</v>
      </c>
      <c r="CA50">
        <f t="shared" si="9"/>
        <v>0</v>
      </c>
      <c r="CB50">
        <f t="shared" si="9"/>
        <v>0</v>
      </c>
      <c r="CC50">
        <f t="shared" si="9"/>
        <v>0</v>
      </c>
      <c r="CD50">
        <f t="shared" si="9"/>
        <v>0</v>
      </c>
      <c r="CE50">
        <f t="shared" si="9"/>
        <v>0</v>
      </c>
      <c r="CF50">
        <f t="shared" si="9"/>
        <v>0</v>
      </c>
      <c r="CG50">
        <f t="shared" si="9"/>
        <v>0</v>
      </c>
      <c r="CH50">
        <f t="shared" si="9"/>
        <v>0</v>
      </c>
      <c r="CI50">
        <f t="shared" si="9"/>
        <v>0</v>
      </c>
    </row>
    <row r="51" spans="1:106" x14ac:dyDescent="0.3">
      <c r="A51">
        <v>12</v>
      </c>
      <c r="B51">
        <f t="shared" si="10"/>
        <v>-129.69194269498777</v>
      </c>
      <c r="C51">
        <f t="shared" si="5"/>
        <v>-259.38388538997555</v>
      </c>
      <c r="D51">
        <f t="shared" si="5"/>
        <v>0</v>
      </c>
      <c r="E51">
        <f t="shared" si="5"/>
        <v>0</v>
      </c>
      <c r="F51">
        <f t="shared" si="5"/>
        <v>0</v>
      </c>
      <c r="G51">
        <f t="shared" si="5"/>
        <v>0</v>
      </c>
      <c r="H51">
        <f t="shared" si="5"/>
        <v>0</v>
      </c>
      <c r="I51">
        <f t="shared" si="5"/>
        <v>0</v>
      </c>
      <c r="J51">
        <f t="shared" si="5"/>
        <v>0</v>
      </c>
      <c r="K51">
        <f t="shared" si="5"/>
        <v>0</v>
      </c>
      <c r="L51">
        <f t="shared" si="5"/>
        <v>129.69194269498777</v>
      </c>
      <c r="M51">
        <f t="shared" si="5"/>
        <v>259.38388538997555</v>
      </c>
      <c r="N51">
        <f t="shared" si="5"/>
        <v>0</v>
      </c>
      <c r="O51">
        <f t="shared" si="5"/>
        <v>0</v>
      </c>
      <c r="S51">
        <v>12</v>
      </c>
      <c r="T51">
        <f t="shared" si="11"/>
        <v>0</v>
      </c>
      <c r="U51">
        <f t="shared" si="6"/>
        <v>0</v>
      </c>
      <c r="V51">
        <f t="shared" si="6"/>
        <v>0</v>
      </c>
      <c r="W51">
        <f t="shared" si="6"/>
        <v>-226.5625</v>
      </c>
      <c r="X51">
        <f t="shared" si="6"/>
        <v>0</v>
      </c>
      <c r="Y51">
        <f t="shared" si="6"/>
        <v>0</v>
      </c>
      <c r="Z51">
        <f t="shared" si="6"/>
        <v>0</v>
      </c>
      <c r="AA51">
        <f t="shared" si="6"/>
        <v>0</v>
      </c>
      <c r="AB51">
        <f t="shared" si="6"/>
        <v>0</v>
      </c>
      <c r="AC51">
        <f t="shared" si="6"/>
        <v>0</v>
      </c>
      <c r="AD51">
        <f t="shared" si="6"/>
        <v>0</v>
      </c>
      <c r="AE51">
        <f t="shared" si="6"/>
        <v>226.5625</v>
      </c>
      <c r="AF51">
        <f t="shared" si="6"/>
        <v>0</v>
      </c>
      <c r="AG51">
        <f t="shared" si="6"/>
        <v>0</v>
      </c>
      <c r="AK51">
        <v>12</v>
      </c>
      <c r="AL51">
        <f t="shared" si="12"/>
        <v>0</v>
      </c>
      <c r="AM51">
        <f t="shared" si="7"/>
        <v>0</v>
      </c>
      <c r="AN51">
        <f t="shared" si="7"/>
        <v>0</v>
      </c>
      <c r="AO51">
        <f t="shared" si="7"/>
        <v>0</v>
      </c>
      <c r="AP51">
        <f t="shared" si="7"/>
        <v>0</v>
      </c>
      <c r="AQ51">
        <f t="shared" si="7"/>
        <v>0</v>
      </c>
      <c r="AR51">
        <f t="shared" si="7"/>
        <v>0</v>
      </c>
      <c r="AS51">
        <f t="shared" si="7"/>
        <v>0</v>
      </c>
      <c r="AT51">
        <f t="shared" si="7"/>
        <v>0</v>
      </c>
      <c r="AU51">
        <f t="shared" si="7"/>
        <v>0</v>
      </c>
      <c r="AV51">
        <f t="shared" si="7"/>
        <v>0</v>
      </c>
      <c r="AW51">
        <f t="shared" si="7"/>
        <v>0</v>
      </c>
      <c r="AX51">
        <f t="shared" si="7"/>
        <v>0</v>
      </c>
      <c r="AY51">
        <f t="shared" si="7"/>
        <v>0</v>
      </c>
      <c r="BC51">
        <v>12</v>
      </c>
      <c r="BD51">
        <f t="shared" si="13"/>
        <v>0</v>
      </c>
      <c r="BE51">
        <f t="shared" si="8"/>
        <v>0</v>
      </c>
      <c r="BF51">
        <f t="shared" si="8"/>
        <v>0</v>
      </c>
      <c r="BG51">
        <f t="shared" si="8"/>
        <v>0</v>
      </c>
      <c r="BH51">
        <f t="shared" si="8"/>
        <v>0</v>
      </c>
      <c r="BI51">
        <f t="shared" si="8"/>
        <v>0</v>
      </c>
      <c r="BJ51">
        <f t="shared" si="8"/>
        <v>0</v>
      </c>
      <c r="BK51">
        <f t="shared" si="8"/>
        <v>0</v>
      </c>
      <c r="BL51">
        <f t="shared" si="8"/>
        <v>0</v>
      </c>
      <c r="BM51">
        <f t="shared" si="8"/>
        <v>0</v>
      </c>
      <c r="BN51">
        <f t="shared" si="8"/>
        <v>0</v>
      </c>
      <c r="BO51">
        <f t="shared" si="8"/>
        <v>0</v>
      </c>
      <c r="BP51">
        <f t="shared" si="8"/>
        <v>0</v>
      </c>
      <c r="BQ51">
        <f t="shared" si="8"/>
        <v>0</v>
      </c>
      <c r="BU51">
        <v>12</v>
      </c>
      <c r="BV51">
        <f t="shared" si="14"/>
        <v>0</v>
      </c>
      <c r="BW51">
        <f t="shared" si="9"/>
        <v>0</v>
      </c>
      <c r="BX51">
        <f t="shared" si="9"/>
        <v>0</v>
      </c>
      <c r="BY51">
        <f t="shared" si="9"/>
        <v>0</v>
      </c>
      <c r="BZ51">
        <f t="shared" si="9"/>
        <v>0</v>
      </c>
      <c r="CA51">
        <f t="shared" si="9"/>
        <v>0</v>
      </c>
      <c r="CB51">
        <f t="shared" si="9"/>
        <v>0</v>
      </c>
      <c r="CC51">
        <f t="shared" si="9"/>
        <v>0</v>
      </c>
      <c r="CD51">
        <f t="shared" si="9"/>
        <v>0</v>
      </c>
      <c r="CE51">
        <f t="shared" si="9"/>
        <v>0</v>
      </c>
      <c r="CF51">
        <f t="shared" si="9"/>
        <v>0</v>
      </c>
      <c r="CG51">
        <f t="shared" si="9"/>
        <v>0</v>
      </c>
      <c r="CH51">
        <f t="shared" si="9"/>
        <v>0</v>
      </c>
      <c r="CI51">
        <f t="shared" si="9"/>
        <v>0</v>
      </c>
    </row>
    <row r="52" spans="1:106" x14ac:dyDescent="0.3">
      <c r="A52">
        <v>13</v>
      </c>
      <c r="B52">
        <f t="shared" si="10"/>
        <v>0</v>
      </c>
      <c r="C52">
        <f t="shared" si="5"/>
        <v>0</v>
      </c>
      <c r="D52">
        <f t="shared" si="5"/>
        <v>0</v>
      </c>
      <c r="E52">
        <f t="shared" si="5"/>
        <v>0</v>
      </c>
      <c r="F52">
        <f t="shared" si="5"/>
        <v>0</v>
      </c>
      <c r="G52">
        <f t="shared" si="5"/>
        <v>0</v>
      </c>
      <c r="H52">
        <f t="shared" si="5"/>
        <v>0</v>
      </c>
      <c r="I52">
        <f t="shared" si="5"/>
        <v>0</v>
      </c>
      <c r="J52">
        <f t="shared" si="5"/>
        <v>0</v>
      </c>
      <c r="K52">
        <f t="shared" si="5"/>
        <v>0</v>
      </c>
      <c r="L52">
        <f t="shared" si="5"/>
        <v>0</v>
      </c>
      <c r="M52">
        <f t="shared" si="5"/>
        <v>0</v>
      </c>
      <c r="N52">
        <f t="shared" si="5"/>
        <v>0</v>
      </c>
      <c r="O52">
        <f t="shared" si="5"/>
        <v>0</v>
      </c>
      <c r="S52">
        <v>13</v>
      </c>
      <c r="T52">
        <f t="shared" si="11"/>
        <v>0</v>
      </c>
      <c r="U52">
        <f t="shared" si="6"/>
        <v>0</v>
      </c>
      <c r="V52">
        <f t="shared" si="6"/>
        <v>0</v>
      </c>
      <c r="W52">
        <f t="shared" si="6"/>
        <v>0</v>
      </c>
      <c r="X52">
        <f t="shared" si="6"/>
        <v>0</v>
      </c>
      <c r="Y52">
        <f t="shared" si="6"/>
        <v>0</v>
      </c>
      <c r="Z52">
        <f t="shared" si="6"/>
        <v>0</v>
      </c>
      <c r="AA52">
        <f t="shared" si="6"/>
        <v>0</v>
      </c>
      <c r="AB52">
        <f t="shared" si="6"/>
        <v>0</v>
      </c>
      <c r="AC52">
        <f t="shared" si="6"/>
        <v>0</v>
      </c>
      <c r="AD52">
        <f t="shared" si="6"/>
        <v>0</v>
      </c>
      <c r="AE52">
        <f t="shared" si="6"/>
        <v>0</v>
      </c>
      <c r="AF52">
        <f t="shared" si="6"/>
        <v>0</v>
      </c>
      <c r="AG52">
        <f t="shared" si="6"/>
        <v>0</v>
      </c>
      <c r="AK52">
        <v>13</v>
      </c>
      <c r="AL52">
        <f t="shared" si="12"/>
        <v>0</v>
      </c>
      <c r="AM52">
        <f t="shared" si="7"/>
        <v>0</v>
      </c>
      <c r="AN52">
        <f t="shared" si="7"/>
        <v>0</v>
      </c>
      <c r="AO52">
        <f t="shared" si="7"/>
        <v>0</v>
      </c>
      <c r="AP52">
        <f t="shared" si="7"/>
        <v>0</v>
      </c>
      <c r="AQ52">
        <f t="shared" si="7"/>
        <v>0</v>
      </c>
      <c r="AR52">
        <f t="shared" si="7"/>
        <v>0</v>
      </c>
      <c r="AS52">
        <f t="shared" si="7"/>
        <v>0</v>
      </c>
      <c r="AT52">
        <f t="shared" si="7"/>
        <v>0</v>
      </c>
      <c r="AU52">
        <f t="shared" si="7"/>
        <v>0</v>
      </c>
      <c r="AV52">
        <f t="shared" si="7"/>
        <v>0</v>
      </c>
      <c r="AW52">
        <f t="shared" si="7"/>
        <v>0</v>
      </c>
      <c r="AX52">
        <f t="shared" si="7"/>
        <v>0</v>
      </c>
      <c r="AY52">
        <f t="shared" si="7"/>
        <v>0</v>
      </c>
      <c r="BC52">
        <v>13</v>
      </c>
      <c r="BD52">
        <f t="shared" si="13"/>
        <v>0</v>
      </c>
      <c r="BE52">
        <f t="shared" si="8"/>
        <v>0</v>
      </c>
      <c r="BF52">
        <f t="shared" si="8"/>
        <v>0</v>
      </c>
      <c r="BG52">
        <f t="shared" si="8"/>
        <v>0</v>
      </c>
      <c r="BH52">
        <f t="shared" si="8"/>
        <v>0</v>
      </c>
      <c r="BI52">
        <f t="shared" si="8"/>
        <v>0</v>
      </c>
      <c r="BJ52">
        <f t="shared" si="8"/>
        <v>0</v>
      </c>
      <c r="BK52">
        <f t="shared" si="8"/>
        <v>0</v>
      </c>
      <c r="BL52">
        <f t="shared" si="8"/>
        <v>0</v>
      </c>
      <c r="BM52">
        <f t="shared" si="8"/>
        <v>0</v>
      </c>
      <c r="BN52">
        <f t="shared" si="8"/>
        <v>0</v>
      </c>
      <c r="BO52">
        <f t="shared" si="8"/>
        <v>0</v>
      </c>
      <c r="BP52">
        <f t="shared" si="8"/>
        <v>0</v>
      </c>
      <c r="BQ52">
        <f t="shared" si="8"/>
        <v>0</v>
      </c>
      <c r="BU52">
        <v>13</v>
      </c>
      <c r="BV52">
        <f t="shared" si="14"/>
        <v>0</v>
      </c>
      <c r="BW52">
        <f t="shared" si="9"/>
        <v>0</v>
      </c>
      <c r="BX52">
        <f t="shared" si="9"/>
        <v>0</v>
      </c>
      <c r="BY52">
        <f t="shared" si="9"/>
        <v>0</v>
      </c>
      <c r="BZ52">
        <f t="shared" si="9"/>
        <v>0</v>
      </c>
      <c r="CA52">
        <f t="shared" si="9"/>
        <v>0</v>
      </c>
      <c r="CB52">
        <f t="shared" si="9"/>
        <v>0</v>
      </c>
      <c r="CC52">
        <f t="shared" si="9"/>
        <v>0</v>
      </c>
      <c r="CD52">
        <f t="shared" si="9"/>
        <v>0</v>
      </c>
      <c r="CE52">
        <f t="shared" si="9"/>
        <v>0</v>
      </c>
      <c r="CF52">
        <f t="shared" si="9"/>
        <v>0</v>
      </c>
      <c r="CG52">
        <f t="shared" si="9"/>
        <v>0</v>
      </c>
      <c r="CH52">
        <f t="shared" si="9"/>
        <v>0</v>
      </c>
      <c r="CI52">
        <f t="shared" si="9"/>
        <v>0</v>
      </c>
    </row>
    <row r="53" spans="1:106" x14ac:dyDescent="0.3">
      <c r="A53">
        <v>14</v>
      </c>
      <c r="B53">
        <f t="shared" si="10"/>
        <v>0</v>
      </c>
      <c r="C53">
        <f t="shared" si="5"/>
        <v>0</v>
      </c>
      <c r="D53">
        <f t="shared" si="5"/>
        <v>0</v>
      </c>
      <c r="E53">
        <f t="shared" si="5"/>
        <v>0</v>
      </c>
      <c r="F53">
        <f t="shared" si="5"/>
        <v>0</v>
      </c>
      <c r="G53">
        <f t="shared" si="5"/>
        <v>0</v>
      </c>
      <c r="H53">
        <f t="shared" si="5"/>
        <v>0</v>
      </c>
      <c r="I53">
        <f t="shared" si="5"/>
        <v>0</v>
      </c>
      <c r="J53">
        <f t="shared" si="5"/>
        <v>0</v>
      </c>
      <c r="K53">
        <f t="shared" si="5"/>
        <v>0</v>
      </c>
      <c r="L53">
        <f t="shared" si="5"/>
        <v>0</v>
      </c>
      <c r="M53">
        <f t="shared" si="5"/>
        <v>0</v>
      </c>
      <c r="N53">
        <f t="shared" si="5"/>
        <v>0</v>
      </c>
      <c r="O53">
        <f t="shared" si="5"/>
        <v>0</v>
      </c>
      <c r="S53">
        <v>14</v>
      </c>
      <c r="T53">
        <f t="shared" si="11"/>
        <v>0</v>
      </c>
      <c r="U53">
        <f t="shared" si="6"/>
        <v>0</v>
      </c>
      <c r="V53">
        <f t="shared" si="6"/>
        <v>0</v>
      </c>
      <c r="W53">
        <f t="shared" si="6"/>
        <v>0</v>
      </c>
      <c r="X53">
        <f t="shared" si="6"/>
        <v>0</v>
      </c>
      <c r="Y53">
        <f t="shared" si="6"/>
        <v>0</v>
      </c>
      <c r="Z53">
        <f t="shared" si="6"/>
        <v>0</v>
      </c>
      <c r="AA53">
        <f t="shared" si="6"/>
        <v>0</v>
      </c>
      <c r="AB53">
        <f t="shared" si="6"/>
        <v>0</v>
      </c>
      <c r="AC53">
        <f t="shared" si="6"/>
        <v>0</v>
      </c>
      <c r="AD53">
        <f t="shared" si="6"/>
        <v>0</v>
      </c>
      <c r="AE53">
        <f t="shared" si="6"/>
        <v>0</v>
      </c>
      <c r="AF53">
        <f t="shared" si="6"/>
        <v>0</v>
      </c>
      <c r="AG53">
        <f t="shared" si="6"/>
        <v>0</v>
      </c>
      <c r="AK53">
        <v>14</v>
      </c>
      <c r="AL53">
        <f t="shared" si="12"/>
        <v>0</v>
      </c>
      <c r="AM53">
        <f t="shared" si="7"/>
        <v>0</v>
      </c>
      <c r="AN53">
        <f t="shared" si="7"/>
        <v>0</v>
      </c>
      <c r="AO53">
        <f t="shared" si="7"/>
        <v>0</v>
      </c>
      <c r="AP53">
        <f t="shared" si="7"/>
        <v>0</v>
      </c>
      <c r="AQ53">
        <f t="shared" si="7"/>
        <v>0</v>
      </c>
      <c r="AR53">
        <f t="shared" si="7"/>
        <v>0</v>
      </c>
      <c r="AS53">
        <f t="shared" si="7"/>
        <v>0</v>
      </c>
      <c r="AT53">
        <f t="shared" si="7"/>
        <v>0</v>
      </c>
      <c r="AU53">
        <f t="shared" si="7"/>
        <v>0</v>
      </c>
      <c r="AV53">
        <f t="shared" si="7"/>
        <v>0</v>
      </c>
      <c r="AW53">
        <f t="shared" si="7"/>
        <v>0</v>
      </c>
      <c r="AX53">
        <f t="shared" si="7"/>
        <v>0</v>
      </c>
      <c r="AY53">
        <f t="shared" si="7"/>
        <v>0</v>
      </c>
      <c r="BC53">
        <v>14</v>
      </c>
      <c r="BD53">
        <f t="shared" si="13"/>
        <v>0</v>
      </c>
      <c r="BE53">
        <f t="shared" si="8"/>
        <v>0</v>
      </c>
      <c r="BF53">
        <f t="shared" si="8"/>
        <v>0</v>
      </c>
      <c r="BG53">
        <f t="shared" si="8"/>
        <v>0</v>
      </c>
      <c r="BH53">
        <f t="shared" si="8"/>
        <v>0</v>
      </c>
      <c r="BI53">
        <f t="shared" si="8"/>
        <v>0</v>
      </c>
      <c r="BJ53">
        <f t="shared" si="8"/>
        <v>0</v>
      </c>
      <c r="BK53">
        <f t="shared" si="8"/>
        <v>0</v>
      </c>
      <c r="BL53">
        <f t="shared" si="8"/>
        <v>0</v>
      </c>
      <c r="BM53">
        <f t="shared" si="8"/>
        <v>0</v>
      </c>
      <c r="BN53">
        <f t="shared" si="8"/>
        <v>0</v>
      </c>
      <c r="BO53">
        <f t="shared" si="8"/>
        <v>0</v>
      </c>
      <c r="BP53">
        <f t="shared" si="8"/>
        <v>0</v>
      </c>
      <c r="BQ53">
        <f t="shared" si="8"/>
        <v>0</v>
      </c>
      <c r="BU53">
        <v>14</v>
      </c>
      <c r="BV53">
        <f t="shared" si="14"/>
        <v>0</v>
      </c>
      <c r="BW53">
        <f t="shared" si="9"/>
        <v>0</v>
      </c>
      <c r="BX53">
        <f t="shared" si="9"/>
        <v>0</v>
      </c>
      <c r="BY53">
        <f t="shared" si="9"/>
        <v>0</v>
      </c>
      <c r="BZ53">
        <f t="shared" si="9"/>
        <v>0</v>
      </c>
      <c r="CA53">
        <f t="shared" si="9"/>
        <v>0</v>
      </c>
      <c r="CB53">
        <f t="shared" si="9"/>
        <v>0</v>
      </c>
      <c r="CC53">
        <f t="shared" si="9"/>
        <v>0</v>
      </c>
      <c r="CD53">
        <f t="shared" si="9"/>
        <v>0</v>
      </c>
      <c r="CE53">
        <f t="shared" si="9"/>
        <v>0</v>
      </c>
      <c r="CF53">
        <f t="shared" si="9"/>
        <v>0</v>
      </c>
      <c r="CG53">
        <f t="shared" si="9"/>
        <v>0</v>
      </c>
      <c r="CH53">
        <f t="shared" si="9"/>
        <v>0</v>
      </c>
      <c r="CI53">
        <f t="shared" si="9"/>
        <v>0</v>
      </c>
    </row>
    <row r="58" spans="1:106" x14ac:dyDescent="0.3"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</row>
    <row r="59" spans="1:106" x14ac:dyDescent="0.3">
      <c r="A59" s="31" t="s">
        <v>58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S59" s="31" t="s">
        <v>59</v>
      </c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K59" s="18" t="s">
        <v>60</v>
      </c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C59" s="31" t="s">
        <v>61</v>
      </c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U59" s="31" t="s">
        <v>62</v>
      </c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M59" s="31" t="s">
        <v>63</v>
      </c>
      <c r="CN59" s="31"/>
      <c r="CO59" s="31"/>
      <c r="CP59" s="31"/>
      <c r="CQ59" s="31"/>
      <c r="CR59" s="31"/>
      <c r="CS59" s="31"/>
      <c r="CT59" s="31"/>
      <c r="CU59" s="31"/>
      <c r="CV59" s="31"/>
      <c r="CW59" s="31"/>
      <c r="CX59" s="31"/>
      <c r="CY59" s="31"/>
      <c r="CZ59" s="31"/>
      <c r="DA59" s="31"/>
      <c r="DB59" s="31"/>
    </row>
    <row r="60" spans="1:106" ht="21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K60" s="32"/>
      <c r="AL60" s="32"/>
      <c r="AM60" s="32"/>
      <c r="AZ60" s="20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</row>
    <row r="61" spans="1:106" ht="21" x14ac:dyDescent="0.3">
      <c r="A61" s="32" t="s">
        <v>0</v>
      </c>
      <c r="B61" s="32"/>
      <c r="C61" s="32"/>
      <c r="P61" s="20"/>
      <c r="Q61" s="19"/>
      <c r="R61" s="19"/>
      <c r="S61" s="32" t="s">
        <v>0</v>
      </c>
      <c r="T61" s="32"/>
      <c r="U61" s="32"/>
      <c r="AH61" s="20"/>
      <c r="AK61" t="s">
        <v>0</v>
      </c>
      <c r="AZ61" s="20"/>
      <c r="BC61" s="32" t="s">
        <v>0</v>
      </c>
      <c r="BD61" s="32"/>
      <c r="BE61" s="32"/>
      <c r="BR61" s="20"/>
      <c r="BU61" s="32" t="s">
        <v>0</v>
      </c>
      <c r="BV61" s="32"/>
      <c r="BW61" s="32"/>
      <c r="CJ61" s="20"/>
      <c r="CM61" s="32" t="s">
        <v>0</v>
      </c>
      <c r="CN61" s="32"/>
      <c r="CO61" s="32"/>
      <c r="DB61" s="20"/>
    </row>
    <row r="62" spans="1:106" ht="21" x14ac:dyDescent="0.3">
      <c r="P62" s="20"/>
      <c r="Q62" s="19"/>
      <c r="R62" s="19"/>
      <c r="AH62" s="20"/>
      <c r="BR62" s="20"/>
      <c r="CJ62" s="20"/>
      <c r="DB62" s="20"/>
    </row>
    <row r="63" spans="1:106" x14ac:dyDescent="0.3">
      <c r="A63" t="s">
        <v>1</v>
      </c>
      <c r="B63">
        <v>0</v>
      </c>
      <c r="C63" t="s">
        <v>20</v>
      </c>
      <c r="S63" t="s">
        <v>1</v>
      </c>
      <c r="T63">
        <v>10</v>
      </c>
      <c r="U63" t="s">
        <v>20</v>
      </c>
      <c r="AK63" t="s">
        <v>1</v>
      </c>
      <c r="AL63">
        <v>10</v>
      </c>
      <c r="AM63" t="s">
        <v>20</v>
      </c>
      <c r="BC63" t="s">
        <v>1</v>
      </c>
      <c r="BD63">
        <v>15</v>
      </c>
      <c r="BE63" t="s">
        <v>20</v>
      </c>
      <c r="BU63" t="s">
        <v>1</v>
      </c>
      <c r="BV63">
        <v>15</v>
      </c>
      <c r="BW63" t="s">
        <v>20</v>
      </c>
      <c r="CM63" t="s">
        <v>1</v>
      </c>
      <c r="CN63">
        <v>20</v>
      </c>
      <c r="CO63" t="s">
        <v>20</v>
      </c>
    </row>
    <row r="64" spans="1:106" x14ac:dyDescent="0.3">
      <c r="A64" t="s">
        <v>2</v>
      </c>
      <c r="B64">
        <v>10</v>
      </c>
      <c r="C64" t="s">
        <v>20</v>
      </c>
      <c r="S64" t="s">
        <v>2</v>
      </c>
      <c r="T64">
        <v>15</v>
      </c>
      <c r="U64" t="s">
        <v>20</v>
      </c>
      <c r="AK64" t="s">
        <v>2</v>
      </c>
      <c r="AL64">
        <v>20</v>
      </c>
      <c r="AM64" t="s">
        <v>20</v>
      </c>
      <c r="AN64" s="1"/>
      <c r="BC64" t="s">
        <v>2</v>
      </c>
      <c r="BD64">
        <v>20</v>
      </c>
      <c r="BE64" t="s">
        <v>20</v>
      </c>
      <c r="BU64" t="s">
        <v>2</v>
      </c>
      <c r="BV64">
        <v>20</v>
      </c>
      <c r="BW64" t="s">
        <v>20</v>
      </c>
      <c r="CM64" t="s">
        <v>2</v>
      </c>
      <c r="CN64">
        <v>20</v>
      </c>
      <c r="CO64" t="s">
        <v>20</v>
      </c>
    </row>
    <row r="65" spans="1:97" x14ac:dyDescent="0.3">
      <c r="A65" t="s">
        <v>3</v>
      </c>
      <c r="B65">
        <v>16</v>
      </c>
      <c r="C65" t="s">
        <v>20</v>
      </c>
      <c r="D65" s="1" t="s">
        <v>8</v>
      </c>
      <c r="E65">
        <f>+(B64-B63)/B68</f>
        <v>0.92847669088525941</v>
      </c>
      <c r="S65" t="s">
        <v>3</v>
      </c>
      <c r="T65">
        <v>20</v>
      </c>
      <c r="U65" t="s">
        <v>20</v>
      </c>
      <c r="V65" s="1" t="s">
        <v>8</v>
      </c>
      <c r="W65">
        <f>+(T64-T63)/T68</f>
        <v>0.44721359549995793</v>
      </c>
      <c r="AK65" t="s">
        <v>3</v>
      </c>
      <c r="AL65">
        <v>20</v>
      </c>
      <c r="AM65" t="s">
        <v>20</v>
      </c>
      <c r="AN65" s="1" t="s">
        <v>8</v>
      </c>
      <c r="AO65">
        <f>+(AL64-AL63)/AL68</f>
        <v>0.92847669088525941</v>
      </c>
      <c r="BC65" t="s">
        <v>3</v>
      </c>
      <c r="BD65">
        <v>10</v>
      </c>
      <c r="BE65" t="s">
        <v>20</v>
      </c>
      <c r="BF65" s="1" t="s">
        <v>8</v>
      </c>
      <c r="BG65">
        <f>+(BD64-BD63)/BD68</f>
        <v>0.64018439966447993</v>
      </c>
      <c r="BU65" t="s">
        <v>3</v>
      </c>
      <c r="BV65">
        <v>10</v>
      </c>
      <c r="BW65" t="s">
        <v>20</v>
      </c>
      <c r="BX65" s="1" t="s">
        <v>8</v>
      </c>
      <c r="BY65">
        <f>+(BV64-BV63)/BV68</f>
        <v>0.44721359549995793</v>
      </c>
      <c r="CM65" t="s">
        <v>3</v>
      </c>
      <c r="CN65">
        <v>0</v>
      </c>
      <c r="CO65" t="s">
        <v>20</v>
      </c>
      <c r="CP65" s="1" t="s">
        <v>8</v>
      </c>
      <c r="CQ65">
        <f>+(CN64-CN63)/CN68</f>
        <v>0</v>
      </c>
    </row>
    <row r="66" spans="1:97" x14ac:dyDescent="0.3">
      <c r="A66" t="s">
        <v>4</v>
      </c>
      <c r="B66">
        <v>20</v>
      </c>
      <c r="C66" t="s">
        <v>20</v>
      </c>
      <c r="D66" s="1" t="s">
        <v>9</v>
      </c>
      <c r="E66">
        <f>+(B66-B65)/B68</f>
        <v>0.37139067635410372</v>
      </c>
      <c r="S66" t="s">
        <v>4</v>
      </c>
      <c r="T66">
        <v>10</v>
      </c>
      <c r="U66" t="s">
        <v>20</v>
      </c>
      <c r="V66" s="1" t="s">
        <v>9</v>
      </c>
      <c r="W66">
        <f>+(T66-T65)/T68</f>
        <v>-0.89442719099991586</v>
      </c>
      <c r="AK66" t="s">
        <v>4</v>
      </c>
      <c r="AL66">
        <v>16</v>
      </c>
      <c r="AM66" t="s">
        <v>20</v>
      </c>
      <c r="AN66" t="s">
        <v>9</v>
      </c>
      <c r="AO66">
        <f>+(AL66-AL65)/AL68</f>
        <v>-0.37139067635410372</v>
      </c>
      <c r="BC66" t="s">
        <v>4</v>
      </c>
      <c r="BD66">
        <v>16</v>
      </c>
      <c r="BE66" t="s">
        <v>20</v>
      </c>
      <c r="BF66" s="1" t="s">
        <v>9</v>
      </c>
      <c r="BG66">
        <f>+(BD66-BD65)/BD68</f>
        <v>0.76822127959737585</v>
      </c>
      <c r="BU66" t="s">
        <v>4</v>
      </c>
      <c r="BV66">
        <v>0</v>
      </c>
      <c r="BW66" t="s">
        <v>20</v>
      </c>
      <c r="BX66" s="1" t="s">
        <v>9</v>
      </c>
      <c r="BY66">
        <f>+(BV66-BV65)/BV68</f>
        <v>-0.89442719099991586</v>
      </c>
      <c r="CM66" t="s">
        <v>4</v>
      </c>
      <c r="CN66">
        <v>16</v>
      </c>
      <c r="CO66" t="s">
        <v>20</v>
      </c>
      <c r="CP66" s="1" t="s">
        <v>9</v>
      </c>
      <c r="CQ66">
        <f>+(CN66-CN65)/CN68</f>
        <v>1</v>
      </c>
    </row>
    <row r="68" spans="1:97" x14ac:dyDescent="0.3">
      <c r="A68" t="s">
        <v>6</v>
      </c>
      <c r="B68">
        <f>SQRT(((B64-B63)^2)+(B66-B65)^2)</f>
        <v>10.770329614269007</v>
      </c>
      <c r="C68" t="s">
        <v>19</v>
      </c>
      <c r="S68" t="s">
        <v>6</v>
      </c>
      <c r="T68">
        <f>SQRT(((T64-T63)^2)+(T66-T65)^2)</f>
        <v>11.180339887498949</v>
      </c>
      <c r="U68" t="s">
        <v>19</v>
      </c>
      <c r="AK68" t="s">
        <v>6</v>
      </c>
      <c r="AL68">
        <f>SQRT(((AL64-AL63)^2)+(AL66-AL65)^2)</f>
        <v>10.770329614269007</v>
      </c>
      <c r="AM68" t="s">
        <v>19</v>
      </c>
      <c r="BC68" t="s">
        <v>6</v>
      </c>
      <c r="BD68">
        <f>SQRT(((BD64-BD63)^2)+(BD66-BD65)^2)</f>
        <v>7.810249675906654</v>
      </c>
      <c r="BE68" t="s">
        <v>19</v>
      </c>
      <c r="BU68" t="s">
        <v>6</v>
      </c>
      <c r="BV68">
        <f>SQRT(((BV64-BV63)^2)+(BV66-BV65)^2)</f>
        <v>11.180339887498949</v>
      </c>
      <c r="BW68" t="s">
        <v>19</v>
      </c>
      <c r="CM68" t="s">
        <v>6</v>
      </c>
      <c r="CN68">
        <f>SQRT(((CN64-CN63)^2)+(CN66-CN65)^2)</f>
        <v>16</v>
      </c>
      <c r="CO68" t="s">
        <v>19</v>
      </c>
    </row>
    <row r="70" spans="1:97" x14ac:dyDescent="0.3">
      <c r="A70" t="s">
        <v>5</v>
      </c>
      <c r="B70">
        <v>1.5</v>
      </c>
      <c r="C70" t="s">
        <v>17</v>
      </c>
      <c r="E70" t="s">
        <v>10</v>
      </c>
      <c r="F70">
        <f>B70*B71/(B68*12)</f>
        <v>336.57280044590652</v>
      </c>
      <c r="S70" t="s">
        <v>5</v>
      </c>
      <c r="T70">
        <v>1.5</v>
      </c>
      <c r="U70" t="s">
        <v>17</v>
      </c>
      <c r="W70" t="s">
        <v>10</v>
      </c>
      <c r="X70">
        <f>T70*T71/(T68*12)</f>
        <v>324.22985673746945</v>
      </c>
      <c r="AK70" t="s">
        <v>5</v>
      </c>
      <c r="AL70">
        <v>1.5</v>
      </c>
      <c r="AM70" t="s">
        <v>17</v>
      </c>
      <c r="AO70" t="s">
        <v>10</v>
      </c>
      <c r="AP70">
        <f>AL70*AL71/(AL68*12)</f>
        <v>336.57280044590652</v>
      </c>
      <c r="BC70" t="s">
        <v>5</v>
      </c>
      <c r="BD70">
        <v>1.5</v>
      </c>
      <c r="BE70" t="s">
        <v>17</v>
      </c>
      <c r="BG70" t="s">
        <v>10</v>
      </c>
      <c r="BH70">
        <f>BD70*BD71/(BD68*12)</f>
        <v>464.13368975674791</v>
      </c>
      <c r="BU70" t="s">
        <v>5</v>
      </c>
      <c r="BV70">
        <v>1.5</v>
      </c>
      <c r="BW70" t="s">
        <v>17</v>
      </c>
      <c r="BY70" t="s">
        <v>10</v>
      </c>
      <c r="BZ70">
        <f>BV70*BV71/(BV68*12)</f>
        <v>324.22985673746945</v>
      </c>
      <c r="CM70" t="s">
        <v>5</v>
      </c>
      <c r="CN70">
        <v>1.5</v>
      </c>
      <c r="CO70" t="s">
        <v>17</v>
      </c>
      <c r="CQ70" t="s">
        <v>10</v>
      </c>
      <c r="CR70">
        <f>CN70*CN71/(CN68*12)</f>
        <v>226.5625</v>
      </c>
    </row>
    <row r="71" spans="1:97" x14ac:dyDescent="0.3">
      <c r="A71" t="s">
        <v>7</v>
      </c>
      <c r="B71">
        <v>29000</v>
      </c>
      <c r="C71" t="s">
        <v>18</v>
      </c>
      <c r="S71" t="s">
        <v>7</v>
      </c>
      <c r="T71">
        <v>29000</v>
      </c>
      <c r="U71" t="s">
        <v>18</v>
      </c>
      <c r="AK71" t="s">
        <v>7</v>
      </c>
      <c r="AL71">
        <v>29000</v>
      </c>
      <c r="AM71" t="s">
        <v>18</v>
      </c>
      <c r="BC71" t="s">
        <v>7</v>
      </c>
      <c r="BD71">
        <v>29000</v>
      </c>
      <c r="BE71" t="s">
        <v>18</v>
      </c>
      <c r="BU71" t="s">
        <v>7</v>
      </c>
      <c r="BV71">
        <v>29000</v>
      </c>
      <c r="BW71" t="s">
        <v>18</v>
      </c>
      <c r="CM71" t="s">
        <v>7</v>
      </c>
      <c r="CN71">
        <v>29000</v>
      </c>
      <c r="CO71" t="s">
        <v>18</v>
      </c>
    </row>
    <row r="73" spans="1:97" x14ac:dyDescent="0.3">
      <c r="AK73" s="33"/>
      <c r="AL73" s="33"/>
      <c r="AM73" s="33"/>
      <c r="AN73" s="33"/>
      <c r="AO73" s="33"/>
      <c r="AP73" s="33"/>
      <c r="AQ73" s="33"/>
    </row>
    <row r="74" spans="1:97" x14ac:dyDescent="0.3">
      <c r="A74" s="33" t="str">
        <f>CONCATENATE("MATRIZ RIGIDEZ ELEMENTO"," ",P61)</f>
        <v xml:space="preserve">MATRIZ RIGIDEZ ELEMENTO </v>
      </c>
      <c r="B74" s="33"/>
      <c r="C74" s="33"/>
      <c r="D74" s="33"/>
      <c r="E74" s="33"/>
      <c r="F74" s="33"/>
      <c r="G74" s="33"/>
      <c r="S74" s="33" t="str">
        <f>CONCATENATE("MATRIZ RIGIDEZ ELEMENTO"," ",AH61)</f>
        <v xml:space="preserve">MATRIZ RIGIDEZ ELEMENTO </v>
      </c>
      <c r="T74" s="33"/>
      <c r="U74" s="33"/>
      <c r="V74" s="33"/>
      <c r="W74" s="33"/>
      <c r="X74" s="33"/>
      <c r="Y74" s="33"/>
      <c r="AK74" t="str">
        <f>CONCATENATE("MATRIZ RIGIDEZ ELEMENTO"," ",AZ61)</f>
        <v xml:space="preserve">MATRIZ RIGIDEZ ELEMENTO </v>
      </c>
      <c r="BC74" s="33" t="str">
        <f>CONCATENATE("MATRIZ RIGIDEZ ELEMENTO"," ",BR61)</f>
        <v xml:space="preserve">MATRIZ RIGIDEZ ELEMENTO </v>
      </c>
      <c r="BD74" s="33"/>
      <c r="BE74" s="33"/>
      <c r="BF74" s="33"/>
      <c r="BG74" s="33"/>
      <c r="BH74" s="33"/>
      <c r="BI74" s="33"/>
      <c r="BU74" s="33" t="str">
        <f>CONCATENATE("MATRIZ RIGIDEZ ELEMENTO"," ",CJ61)</f>
        <v xml:space="preserve">MATRIZ RIGIDEZ ELEMENTO </v>
      </c>
      <c r="BV74" s="33"/>
      <c r="BW74" s="33"/>
      <c r="BX74" s="33"/>
      <c r="BY74" s="33"/>
      <c r="BZ74" s="33"/>
      <c r="CA74" s="33"/>
      <c r="CM74" s="33" t="str">
        <f>CONCATENATE("MATRIZ RIGIDEZ ELEMENTO"," ",DB61)</f>
        <v xml:space="preserve">MATRIZ RIGIDEZ ELEMENTO </v>
      </c>
      <c r="CN74" s="33"/>
      <c r="CO74" s="33"/>
      <c r="CP74" s="33"/>
      <c r="CQ74" s="33"/>
      <c r="CR74" s="33"/>
      <c r="CS74" s="33"/>
    </row>
    <row r="75" spans="1:97" x14ac:dyDescent="0.3">
      <c r="AK75" s="7"/>
    </row>
    <row r="76" spans="1:97" x14ac:dyDescent="0.3">
      <c r="A76" s="7" t="str">
        <f>CONCATENATE("K"," ",P61)</f>
        <v xml:space="preserve">K </v>
      </c>
      <c r="B76">
        <v>3</v>
      </c>
      <c r="C76">
        <v>4</v>
      </c>
      <c r="D76">
        <v>5</v>
      </c>
      <c r="E76">
        <v>6</v>
      </c>
      <c r="S76" s="7" t="str">
        <f>CONCATENATE("K"," ",AH61)</f>
        <v xml:space="preserve">K </v>
      </c>
      <c r="T76">
        <v>5</v>
      </c>
      <c r="U76">
        <v>6</v>
      </c>
      <c r="V76">
        <v>7</v>
      </c>
      <c r="W76">
        <v>8</v>
      </c>
      <c r="AK76" t="str">
        <f>CONCATENATE("K"," ",AZ61)</f>
        <v xml:space="preserve">K </v>
      </c>
      <c r="AL76" s="34">
        <v>5</v>
      </c>
      <c r="AM76" s="34">
        <v>6</v>
      </c>
      <c r="AN76" s="16">
        <v>9</v>
      </c>
      <c r="AO76" s="16">
        <v>10</v>
      </c>
      <c r="BC76" s="7" t="str">
        <f>CONCATENATE("K"," ",BR61)</f>
        <v xml:space="preserve">K </v>
      </c>
      <c r="BD76">
        <v>7</v>
      </c>
      <c r="BE76">
        <v>8</v>
      </c>
      <c r="BF76">
        <v>9</v>
      </c>
      <c r="BG76">
        <v>10</v>
      </c>
      <c r="BU76" s="7" t="str">
        <f>CONCATENATE("K"," ",CJ61)</f>
        <v xml:space="preserve">K </v>
      </c>
      <c r="BV76">
        <v>7</v>
      </c>
      <c r="BW76">
        <v>8</v>
      </c>
      <c r="BX76">
        <v>13</v>
      </c>
      <c r="BY76">
        <v>14</v>
      </c>
      <c r="CM76" s="7" t="str">
        <f>CONCATENATE("K"," ",DB61)</f>
        <v xml:space="preserve">K </v>
      </c>
      <c r="CN76">
        <v>9</v>
      </c>
      <c r="CO76">
        <v>10</v>
      </c>
      <c r="CP76">
        <v>13</v>
      </c>
      <c r="CQ76">
        <v>14</v>
      </c>
    </row>
    <row r="77" spans="1:97" x14ac:dyDescent="0.3">
      <c r="A77">
        <f t="array" ref="A77:A80">TRANSPOSE(B76:E76)</f>
        <v>3</v>
      </c>
      <c r="B77" s="34">
        <f>E65^2</f>
        <v>0.86206896551724155</v>
      </c>
      <c r="C77" s="34">
        <f>+E65*E66</f>
        <v>0.34482758620689657</v>
      </c>
      <c r="D77" s="16">
        <f t="array" ref="D77:E78">-B77:C78</f>
        <v>-0.86206896551724155</v>
      </c>
      <c r="E77" s="16">
        <v>-0.34482758620689657</v>
      </c>
      <c r="S77">
        <f t="array" ref="S77:S80">TRANSPOSE(T76:W76)</f>
        <v>5</v>
      </c>
      <c r="T77" s="34">
        <f>W65^2</f>
        <v>0.19999999999999998</v>
      </c>
      <c r="U77" s="34">
        <f>+W65*W66</f>
        <v>-0.39999999999999997</v>
      </c>
      <c r="V77" s="16">
        <f t="array" ref="V77:W78">-T77:U78</f>
        <v>-0.19999999999999998</v>
      </c>
      <c r="W77" s="16">
        <v>0.39999999999999997</v>
      </c>
      <c r="AK77">
        <f t="array" ref="AK77:AK80">TRANSPOSE(AL76:AO76)</f>
        <v>5</v>
      </c>
      <c r="AL77" s="34">
        <f>AO65^2</f>
        <v>0.86206896551724155</v>
      </c>
      <c r="AM77" s="34">
        <f>+AO65*AO66</f>
        <v>-0.34482758620689657</v>
      </c>
      <c r="AN77" s="16">
        <f t="array" ref="AN77:AO78">-AL77:AM78</f>
        <v>-0.86206896551724155</v>
      </c>
      <c r="AO77" s="16">
        <v>0.34482758620689657</v>
      </c>
      <c r="BC77">
        <f t="array" ref="BC77:BC80">TRANSPOSE(BD76:BG76)</f>
        <v>7</v>
      </c>
      <c r="BD77" s="34">
        <f>BG65^2</f>
        <v>0.40983606557377056</v>
      </c>
      <c r="BE77" s="34">
        <f>+BG65*BG66</f>
        <v>0.49180327868852464</v>
      </c>
      <c r="BF77" s="16">
        <f t="array" ref="BF77:BG78">-BD77:BE78</f>
        <v>-0.40983606557377056</v>
      </c>
      <c r="BG77" s="16">
        <v>-0.49180327868852464</v>
      </c>
      <c r="BU77">
        <f t="array" ref="BU77:BU80">TRANSPOSE(BV76:BY76)</f>
        <v>7</v>
      </c>
      <c r="BV77" s="34">
        <f>BY65^2</f>
        <v>0.19999999999999998</v>
      </c>
      <c r="BW77" s="34">
        <f>+BY65*BY66</f>
        <v>-0.39999999999999997</v>
      </c>
      <c r="BX77" s="16">
        <f t="array" ref="BX77:BY78">-BV77:BW78</f>
        <v>-0.19999999999999998</v>
      </c>
      <c r="BY77" s="16">
        <v>0.39999999999999997</v>
      </c>
      <c r="CM77">
        <f t="array" ref="CM77:CM80">TRANSPOSE(CN76:CQ76)</f>
        <v>9</v>
      </c>
      <c r="CN77" s="34">
        <f>CQ65^2</f>
        <v>0</v>
      </c>
      <c r="CO77" s="34">
        <f>+CQ65*CQ66</f>
        <v>0</v>
      </c>
      <c r="CP77" s="16">
        <f t="array" ref="CP77:CQ78">-CN77:CO78</f>
        <v>0</v>
      </c>
      <c r="CQ77" s="16">
        <v>0</v>
      </c>
    </row>
    <row r="78" spans="1:97" x14ac:dyDescent="0.3">
      <c r="A78">
        <v>4</v>
      </c>
      <c r="B78" s="34">
        <f>+E65*E66</f>
        <v>0.34482758620689657</v>
      </c>
      <c r="C78" s="34">
        <f>+E66^2</f>
        <v>0.13793103448275862</v>
      </c>
      <c r="D78" s="16">
        <v>-0.34482758620689657</v>
      </c>
      <c r="E78" s="16">
        <v>-0.13793103448275862</v>
      </c>
      <c r="F78" t="s">
        <v>11</v>
      </c>
      <c r="S78">
        <v>6</v>
      </c>
      <c r="T78" s="34">
        <f>+W65*W66</f>
        <v>-0.39999999999999997</v>
      </c>
      <c r="U78" s="34">
        <f>+W66^2</f>
        <v>0.79999999999999993</v>
      </c>
      <c r="V78" s="16">
        <v>0.39999999999999997</v>
      </c>
      <c r="W78" s="16">
        <v>-0.79999999999999993</v>
      </c>
      <c r="X78" t="s">
        <v>11</v>
      </c>
      <c r="AK78">
        <v>6</v>
      </c>
      <c r="AL78" s="16">
        <f>+AO65*AO66</f>
        <v>-0.34482758620689657</v>
      </c>
      <c r="AM78" s="16">
        <f>+AO66^2</f>
        <v>0.13793103448275862</v>
      </c>
      <c r="AN78" s="34">
        <v>0.34482758620689657</v>
      </c>
      <c r="AO78" s="34">
        <v>-0.13793103448275862</v>
      </c>
      <c r="AP78" t="s">
        <v>11</v>
      </c>
      <c r="BC78">
        <v>8</v>
      </c>
      <c r="BD78" s="34">
        <f>+BG65*BG66</f>
        <v>0.49180327868852464</v>
      </c>
      <c r="BE78" s="34">
        <f>+BG66^2</f>
        <v>0.5901639344262295</v>
      </c>
      <c r="BF78" s="16">
        <v>-0.49180327868852464</v>
      </c>
      <c r="BG78" s="16">
        <v>-0.5901639344262295</v>
      </c>
      <c r="BH78" t="s">
        <v>11</v>
      </c>
      <c r="BU78">
        <v>8</v>
      </c>
      <c r="BV78" s="34">
        <f>+BY65*BY66</f>
        <v>-0.39999999999999997</v>
      </c>
      <c r="BW78" s="34">
        <f>+BY66^2</f>
        <v>0.79999999999999993</v>
      </c>
      <c r="BX78" s="16">
        <v>0.39999999999999997</v>
      </c>
      <c r="BY78" s="16">
        <v>-0.79999999999999993</v>
      </c>
      <c r="BZ78" t="s">
        <v>11</v>
      </c>
      <c r="CM78">
        <v>10</v>
      </c>
      <c r="CN78" s="34">
        <f>+CQ65*CQ66</f>
        <v>0</v>
      </c>
      <c r="CO78" s="34">
        <f>+CQ66^2</f>
        <v>1</v>
      </c>
      <c r="CP78" s="16">
        <v>0</v>
      </c>
      <c r="CQ78" s="16">
        <v>-1</v>
      </c>
      <c r="CR78" t="s">
        <v>11</v>
      </c>
    </row>
    <row r="79" spans="1:97" x14ac:dyDescent="0.3">
      <c r="A79">
        <v>5</v>
      </c>
      <c r="B79" s="16">
        <f t="array" ref="B79:C80">D77:E78</f>
        <v>-0.86206896551724155</v>
      </c>
      <c r="C79" s="16">
        <v>-0.34482758620689657</v>
      </c>
      <c r="D79" s="34">
        <f t="array" ref="D79:E80">B77:C78</f>
        <v>0.86206896551724155</v>
      </c>
      <c r="E79" s="34">
        <v>0.34482758620689657</v>
      </c>
      <c r="S79">
        <v>7</v>
      </c>
      <c r="T79" s="16">
        <f t="array" ref="T79:U80">V77:W78</f>
        <v>-0.19999999999999998</v>
      </c>
      <c r="U79" s="16">
        <v>0.39999999999999997</v>
      </c>
      <c r="V79" s="34">
        <f t="array" ref="V79:W80">T77:U78</f>
        <v>0.19999999999999998</v>
      </c>
      <c r="W79" s="34">
        <v>-0.39999999999999997</v>
      </c>
      <c r="AK79">
        <v>9</v>
      </c>
      <c r="AL79" s="16">
        <f t="array" ref="AL79:AM80">AN77:AO78</f>
        <v>-0.86206896551724155</v>
      </c>
      <c r="AM79" s="16">
        <v>0.34482758620689657</v>
      </c>
      <c r="AN79" s="34">
        <f t="array" ref="AN79:AO80">AL77:AM78</f>
        <v>0.86206896551724155</v>
      </c>
      <c r="AO79" s="34">
        <v>-0.34482758620689657</v>
      </c>
      <c r="BC79">
        <v>9</v>
      </c>
      <c r="BD79" s="16">
        <f t="array" ref="BD79:BE80">BF77:BG78</f>
        <v>-0.40983606557377056</v>
      </c>
      <c r="BE79" s="16">
        <v>-0.49180327868852464</v>
      </c>
      <c r="BF79" s="34">
        <f t="array" ref="BF79:BG80">BD77:BE78</f>
        <v>0.40983606557377056</v>
      </c>
      <c r="BG79" s="34">
        <v>0.49180327868852464</v>
      </c>
      <c r="BU79">
        <v>13</v>
      </c>
      <c r="BV79" s="16">
        <f t="array" ref="BV79:BW80">BX77:BY78</f>
        <v>-0.19999999999999998</v>
      </c>
      <c r="BW79" s="16">
        <v>0.39999999999999997</v>
      </c>
      <c r="BX79" s="34">
        <f t="array" ref="BX79:BY80">BV77:BW78</f>
        <v>0.19999999999999998</v>
      </c>
      <c r="BY79" s="34">
        <v>-0.39999999999999997</v>
      </c>
      <c r="CM79">
        <v>13</v>
      </c>
      <c r="CN79" s="16">
        <f t="array" ref="CN79:CO80">CP77:CQ78</f>
        <v>0</v>
      </c>
      <c r="CO79" s="16">
        <v>0</v>
      </c>
      <c r="CP79" s="34">
        <f t="array" ref="CP79:CQ80">CN77:CO78</f>
        <v>0</v>
      </c>
      <c r="CQ79" s="34">
        <v>0</v>
      </c>
    </row>
    <row r="80" spans="1:97" x14ac:dyDescent="0.3">
      <c r="A80">
        <v>6</v>
      </c>
      <c r="B80" s="16">
        <v>-0.34482758620689657</v>
      </c>
      <c r="C80" s="16">
        <v>-0.13793103448275862</v>
      </c>
      <c r="D80" s="34">
        <v>0.34482758620689657</v>
      </c>
      <c r="E80" s="34">
        <v>0.13793103448275862</v>
      </c>
      <c r="S80">
        <v>8</v>
      </c>
      <c r="T80" s="16">
        <v>0.39999999999999997</v>
      </c>
      <c r="U80" s="16">
        <v>-0.79999999999999993</v>
      </c>
      <c r="V80" s="34">
        <v>-0.39999999999999997</v>
      </c>
      <c r="W80" s="34">
        <v>0.79999999999999993</v>
      </c>
      <c r="AK80">
        <v>10</v>
      </c>
      <c r="AL80">
        <v>0.34482758620689657</v>
      </c>
      <c r="AM80">
        <v>-0.13793103448275862</v>
      </c>
      <c r="AN80">
        <v>-0.34482758620689657</v>
      </c>
      <c r="AO80">
        <v>0.13793103448275862</v>
      </c>
      <c r="BC80">
        <v>10</v>
      </c>
      <c r="BD80" s="16">
        <v>-0.49180327868852464</v>
      </c>
      <c r="BE80" s="16">
        <v>-0.5901639344262295</v>
      </c>
      <c r="BF80" s="34">
        <v>0.49180327868852464</v>
      </c>
      <c r="BG80" s="34">
        <v>0.5901639344262295</v>
      </c>
      <c r="BU80">
        <v>14</v>
      </c>
      <c r="BV80" s="16">
        <v>0.39999999999999997</v>
      </c>
      <c r="BW80" s="16">
        <v>-0.79999999999999993</v>
      </c>
      <c r="BX80" s="34">
        <v>-0.39999999999999997</v>
      </c>
      <c r="BY80" s="34">
        <v>0.79999999999999993</v>
      </c>
      <c r="CM80">
        <v>14</v>
      </c>
      <c r="CN80" s="16">
        <v>0</v>
      </c>
      <c r="CO80" s="16">
        <v>-1</v>
      </c>
      <c r="CP80" s="34">
        <v>0</v>
      </c>
      <c r="CQ80" s="34">
        <v>1</v>
      </c>
    </row>
    <row r="82" spans="1:105" x14ac:dyDescent="0.3">
      <c r="AK82" s="7"/>
    </row>
    <row r="83" spans="1:105" x14ac:dyDescent="0.3">
      <c r="A83" s="7" t="str">
        <f>+A76</f>
        <v xml:space="preserve">K </v>
      </c>
      <c r="B83">
        <f>+B76</f>
        <v>3</v>
      </c>
      <c r="C83">
        <f t="shared" ref="C83:E83" si="15">+C76</f>
        <v>4</v>
      </c>
      <c r="D83">
        <f t="shared" si="15"/>
        <v>5</v>
      </c>
      <c r="E83">
        <f t="shared" si="15"/>
        <v>6</v>
      </c>
      <c r="S83" s="7" t="str">
        <f>+S76</f>
        <v xml:space="preserve">K </v>
      </c>
      <c r="T83">
        <f>+T76</f>
        <v>5</v>
      </c>
      <c r="U83">
        <f t="shared" ref="U83:W83" si="16">+U76</f>
        <v>6</v>
      </c>
      <c r="V83">
        <f t="shared" si="16"/>
        <v>7</v>
      </c>
      <c r="W83">
        <f t="shared" si="16"/>
        <v>8</v>
      </c>
      <c r="AK83" t="str">
        <f>+AK76</f>
        <v xml:space="preserve">K </v>
      </c>
      <c r="AL83" s="34">
        <f>+AL76</f>
        <v>5</v>
      </c>
      <c r="AM83" s="34">
        <f t="shared" ref="AM83:AO83" si="17">+AM76</f>
        <v>6</v>
      </c>
      <c r="AN83" s="16">
        <f t="shared" si="17"/>
        <v>9</v>
      </c>
      <c r="AO83" s="16">
        <f t="shared" si="17"/>
        <v>10</v>
      </c>
      <c r="BC83" s="7" t="str">
        <f>+BC76</f>
        <v xml:space="preserve">K </v>
      </c>
      <c r="BD83">
        <f>+BD76</f>
        <v>7</v>
      </c>
      <c r="BE83">
        <f t="shared" ref="BE83:BG83" si="18">+BE76</f>
        <v>8</v>
      </c>
      <c r="BF83">
        <f t="shared" si="18"/>
        <v>9</v>
      </c>
      <c r="BG83">
        <f t="shared" si="18"/>
        <v>10</v>
      </c>
      <c r="BU83" s="7" t="str">
        <f>+BU76</f>
        <v xml:space="preserve">K </v>
      </c>
      <c r="BV83">
        <f>+BV76</f>
        <v>7</v>
      </c>
      <c r="BW83">
        <f t="shared" ref="BW83:BY83" si="19">+BW76</f>
        <v>8</v>
      </c>
      <c r="BX83">
        <f t="shared" si="19"/>
        <v>13</v>
      </c>
      <c r="BY83">
        <f t="shared" si="19"/>
        <v>14</v>
      </c>
      <c r="CM83" s="7" t="str">
        <f>+CM76</f>
        <v xml:space="preserve">K </v>
      </c>
      <c r="CN83">
        <f>+CN76</f>
        <v>9</v>
      </c>
      <c r="CO83">
        <f t="shared" ref="CO83:CQ83" si="20">+CO76</f>
        <v>10</v>
      </c>
      <c r="CP83">
        <f t="shared" si="20"/>
        <v>13</v>
      </c>
      <c r="CQ83">
        <f t="shared" si="20"/>
        <v>14</v>
      </c>
    </row>
    <row r="84" spans="1:105" x14ac:dyDescent="0.3">
      <c r="A84">
        <f t="array" ref="A84:A87">TRANSPOSE(B83:E83)</f>
        <v>3</v>
      </c>
      <c r="B84" s="34">
        <f t="array" ref="B84:E87">F70*B77:E80</f>
        <v>290.14896590164363</v>
      </c>
      <c r="C84" s="34">
        <v>116.05958636065743</v>
      </c>
      <c r="D84" s="16">
        <v>-290.14896590164363</v>
      </c>
      <c r="E84" s="16">
        <v>-116.05958636065743</v>
      </c>
      <c r="S84">
        <f t="array" ref="S84:S87">TRANSPOSE(T83:W83)</f>
        <v>5</v>
      </c>
      <c r="T84" s="34">
        <f t="array" ref="T84:W87">X70*T77:W80</f>
        <v>64.845971347493887</v>
      </c>
      <c r="U84" s="34">
        <v>-129.69194269498777</v>
      </c>
      <c r="V84" s="16">
        <v>-64.845971347493887</v>
      </c>
      <c r="W84" s="16">
        <v>129.69194269498777</v>
      </c>
      <c r="AK84">
        <f t="array" ref="AK84:AK87">TRANSPOSE(AL83:AO83)</f>
        <v>5</v>
      </c>
      <c r="AL84" s="34">
        <f t="array" ref="AL84:AO87">AP70*AL77:AO80</f>
        <v>290.14896590164363</v>
      </c>
      <c r="AM84" s="34">
        <v>-116.05958636065743</v>
      </c>
      <c r="AN84" s="16">
        <v>-290.14896590164363</v>
      </c>
      <c r="AO84" s="16">
        <v>116.05958636065743</v>
      </c>
      <c r="BC84">
        <f t="array" ref="BC84:BC87">TRANSPOSE(BD83:BG83)</f>
        <v>7</v>
      </c>
      <c r="BD84" s="34">
        <f t="array" ref="BD84:BG87">BH70*BD77:BG80</f>
        <v>190.21872531014262</v>
      </c>
      <c r="BE84" s="34">
        <v>228.26247037217112</v>
      </c>
      <c r="BF84" s="16">
        <v>-190.21872531014262</v>
      </c>
      <c r="BG84" s="16">
        <v>-228.26247037217112</v>
      </c>
      <c r="BU84">
        <f t="array" ref="BU84:BU87">TRANSPOSE(BV83:BY83)</f>
        <v>7</v>
      </c>
      <c r="BV84" s="34">
        <f t="array" ref="BV84:BY87">BZ70*BV77:BY80</f>
        <v>64.845971347493887</v>
      </c>
      <c r="BW84" s="34">
        <v>-129.69194269498777</v>
      </c>
      <c r="BX84" s="16">
        <v>-64.845971347493887</v>
      </c>
      <c r="BY84" s="16">
        <v>129.69194269498777</v>
      </c>
      <c r="CM84">
        <f t="array" ref="CM84:CM87">TRANSPOSE(CN83:CQ83)</f>
        <v>9</v>
      </c>
      <c r="CN84" s="34">
        <f t="array" ref="CN84:CQ87">CR70*CN77:CQ80</f>
        <v>0</v>
      </c>
      <c r="CO84" s="34">
        <v>0</v>
      </c>
      <c r="CP84" s="16">
        <v>0</v>
      </c>
      <c r="CQ84" s="16">
        <v>0</v>
      </c>
    </row>
    <row r="85" spans="1:105" x14ac:dyDescent="0.3">
      <c r="A85">
        <v>4</v>
      </c>
      <c r="B85" s="34">
        <v>116.05958636065743</v>
      </c>
      <c r="C85" s="34">
        <v>46.423834544262967</v>
      </c>
      <c r="D85" s="16">
        <v>-116.05958636065743</v>
      </c>
      <c r="E85" s="16">
        <v>-46.423834544262967</v>
      </c>
      <c r="S85">
        <v>6</v>
      </c>
      <c r="T85" s="34">
        <v>-129.69194269498777</v>
      </c>
      <c r="U85" s="34">
        <v>259.38388538997555</v>
      </c>
      <c r="V85" s="16">
        <v>129.69194269498777</v>
      </c>
      <c r="W85" s="16">
        <v>-259.38388538997555</v>
      </c>
      <c r="AK85">
        <v>6</v>
      </c>
      <c r="AL85" s="16">
        <v>-116.05958636065743</v>
      </c>
      <c r="AM85" s="16">
        <v>46.423834544262967</v>
      </c>
      <c r="AN85" s="34">
        <v>116.05958636065743</v>
      </c>
      <c r="AO85" s="34">
        <v>-46.423834544262967</v>
      </c>
      <c r="BC85">
        <v>8</v>
      </c>
      <c r="BD85" s="34">
        <v>228.26247037217112</v>
      </c>
      <c r="BE85" s="34">
        <v>273.91496444660532</v>
      </c>
      <c r="BF85" s="16">
        <v>-228.26247037217112</v>
      </c>
      <c r="BG85" s="16">
        <v>-273.91496444660532</v>
      </c>
      <c r="BU85">
        <v>8</v>
      </c>
      <c r="BV85" s="34">
        <v>-129.69194269498777</v>
      </c>
      <c r="BW85" s="34">
        <v>259.38388538997555</v>
      </c>
      <c r="BX85" s="16">
        <v>129.69194269498777</v>
      </c>
      <c r="BY85" s="16">
        <v>-259.38388538997555</v>
      </c>
      <c r="CM85">
        <v>10</v>
      </c>
      <c r="CN85" s="34">
        <v>0</v>
      </c>
      <c r="CO85" s="34">
        <v>226.5625</v>
      </c>
      <c r="CP85" s="16">
        <v>0</v>
      </c>
      <c r="CQ85" s="16">
        <v>-226.5625</v>
      </c>
    </row>
    <row r="86" spans="1:105" x14ac:dyDescent="0.3">
      <c r="A86">
        <v>5</v>
      </c>
      <c r="B86" s="16">
        <v>-290.14896590164363</v>
      </c>
      <c r="C86" s="16">
        <v>-116.05958636065743</v>
      </c>
      <c r="D86" s="34">
        <v>290.14896590164363</v>
      </c>
      <c r="E86" s="34">
        <v>116.05958636065743</v>
      </c>
      <c r="S86">
        <v>7</v>
      </c>
      <c r="T86" s="16">
        <v>-64.845971347493887</v>
      </c>
      <c r="U86" s="16">
        <v>129.69194269498777</v>
      </c>
      <c r="V86" s="34">
        <v>64.845971347493887</v>
      </c>
      <c r="W86" s="34">
        <v>-129.69194269498777</v>
      </c>
      <c r="AK86">
        <v>9</v>
      </c>
      <c r="AL86" s="16">
        <v>-290.14896590164363</v>
      </c>
      <c r="AM86" s="16">
        <v>116.05958636065743</v>
      </c>
      <c r="AN86" s="34">
        <v>290.14896590164363</v>
      </c>
      <c r="AO86" s="34">
        <v>-116.05958636065743</v>
      </c>
      <c r="BC86">
        <v>9</v>
      </c>
      <c r="BD86" s="16">
        <v>-190.21872531014262</v>
      </c>
      <c r="BE86" s="16">
        <v>-228.26247037217112</v>
      </c>
      <c r="BF86" s="34">
        <v>190.21872531014262</v>
      </c>
      <c r="BG86" s="34">
        <v>228.26247037217112</v>
      </c>
      <c r="BU86">
        <v>13</v>
      </c>
      <c r="BV86" s="16">
        <v>-64.845971347493887</v>
      </c>
      <c r="BW86" s="16">
        <v>129.69194269498777</v>
      </c>
      <c r="BX86" s="34">
        <v>64.845971347493887</v>
      </c>
      <c r="BY86" s="34">
        <v>-129.69194269498777</v>
      </c>
      <c r="CM86">
        <v>13</v>
      </c>
      <c r="CN86" s="16">
        <v>0</v>
      </c>
      <c r="CO86" s="16">
        <v>0</v>
      </c>
      <c r="CP86" s="34">
        <v>0</v>
      </c>
      <c r="CQ86" s="34">
        <v>0</v>
      </c>
    </row>
    <row r="87" spans="1:105" x14ac:dyDescent="0.3">
      <c r="A87">
        <v>6</v>
      </c>
      <c r="B87" s="16">
        <v>-116.05958636065743</v>
      </c>
      <c r="C87" s="16">
        <v>-46.423834544262967</v>
      </c>
      <c r="D87" s="34">
        <v>116.05958636065743</v>
      </c>
      <c r="E87" s="34">
        <v>46.423834544262967</v>
      </c>
      <c r="S87">
        <v>8</v>
      </c>
      <c r="T87" s="16">
        <v>129.69194269498777</v>
      </c>
      <c r="U87" s="16">
        <v>-259.38388538997555</v>
      </c>
      <c r="V87" s="34">
        <v>-129.69194269498777</v>
      </c>
      <c r="W87" s="34">
        <v>259.38388538997555</v>
      </c>
      <c r="AK87">
        <v>10</v>
      </c>
      <c r="AL87">
        <v>116.05958636065743</v>
      </c>
      <c r="AM87">
        <v>-46.423834544262967</v>
      </c>
      <c r="AN87">
        <v>-116.05958636065743</v>
      </c>
      <c r="AO87">
        <v>46.423834544262967</v>
      </c>
      <c r="BC87">
        <v>10</v>
      </c>
      <c r="BD87" s="16">
        <v>-228.26247037217112</v>
      </c>
      <c r="BE87" s="16">
        <v>-273.91496444660532</v>
      </c>
      <c r="BF87" s="34">
        <v>228.26247037217112</v>
      </c>
      <c r="BG87" s="34">
        <v>273.91496444660532</v>
      </c>
      <c r="BU87">
        <v>14</v>
      </c>
      <c r="BV87" s="16">
        <v>129.69194269498777</v>
      </c>
      <c r="BW87" s="16">
        <v>-259.38388538997555</v>
      </c>
      <c r="BX87" s="34">
        <v>-129.69194269498777</v>
      </c>
      <c r="BY87" s="34">
        <v>259.38388538997555</v>
      </c>
      <c r="CM87">
        <v>14</v>
      </c>
      <c r="CN87" s="16">
        <v>0</v>
      </c>
      <c r="CO87" s="16">
        <v>-226.5625</v>
      </c>
      <c r="CP87" s="34">
        <v>0</v>
      </c>
      <c r="CQ87" s="34">
        <v>226.5625</v>
      </c>
    </row>
    <row r="89" spans="1:105" x14ac:dyDescent="0.3"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</row>
    <row r="90" spans="1:105" x14ac:dyDescent="0.3">
      <c r="A90" s="28" t="str">
        <f xml:space="preserve"> CONCATENATE("MATRIZ LOCAL DEL ELEMENTO"," ",P61)</f>
        <v xml:space="preserve">MATRIZ LOCAL DEL ELEMENTO </v>
      </c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S90" s="28" t="str">
        <f xml:space="preserve"> CONCATENATE("MATRIZ LOCAL DEL ELEMENTO"," ",AH61)</f>
        <v xml:space="preserve">MATRIZ LOCAL DEL ELEMENTO </v>
      </c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K90" t="str">
        <f xml:space="preserve"> CONCATENATE("MATRIZ LOCAL DEL ELEMENTO"," ",AZ61)</f>
        <v xml:space="preserve">MATRIZ LOCAL DEL ELEMENTO </v>
      </c>
      <c r="BC90" s="28" t="str">
        <f xml:space="preserve"> CONCATENATE("MATRIZ LOCAL DEL ELEMENTO"," ",BR61)</f>
        <v xml:space="preserve">MATRIZ LOCAL DEL ELEMENTO </v>
      </c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U90" s="28" t="str">
        <f xml:space="preserve"> CONCATENATE("MATRIZ LOCAL DEL ELEMENTO"," ",CJ61)</f>
        <v xml:space="preserve">MATRIZ LOCAL DEL ELEMENTO </v>
      </c>
      <c r="BV90" s="28"/>
      <c r="BW90" s="28"/>
      <c r="BX90" s="28"/>
      <c r="BY90" s="28"/>
      <c r="BZ90" s="28"/>
      <c r="CA90" s="28"/>
      <c r="CB90" s="28"/>
      <c r="CC90" s="28"/>
      <c r="CD90" s="28"/>
      <c r="CE90" s="28"/>
      <c r="CF90" s="28"/>
      <c r="CG90" s="28"/>
      <c r="CH90" s="28"/>
      <c r="CI90" s="28"/>
      <c r="CM90" s="28" t="str">
        <f xml:space="preserve"> CONCATENATE("MATRIZ LOCAL DEL ELEMENTO"," ",DB61)</f>
        <v xml:space="preserve">MATRIZ LOCAL DEL ELEMENTO </v>
      </c>
      <c r="CN90" s="28"/>
      <c r="CO90" s="28"/>
      <c r="CP90" s="28"/>
      <c r="CQ90" s="28"/>
      <c r="CR90" s="28"/>
      <c r="CS90" s="28"/>
      <c r="CT90" s="28"/>
      <c r="CU90" s="28"/>
      <c r="CV90" s="28"/>
      <c r="CW90" s="28"/>
      <c r="CX90" s="28"/>
      <c r="CY90" s="28"/>
      <c r="CZ90" s="28"/>
      <c r="DA90" s="28"/>
    </row>
    <row r="91" spans="1:105" x14ac:dyDescent="0.3">
      <c r="A91" t="s">
        <v>12</v>
      </c>
      <c r="B91">
        <v>1</v>
      </c>
      <c r="C91">
        <v>2</v>
      </c>
      <c r="D91">
        <v>3</v>
      </c>
      <c r="E91">
        <v>4</v>
      </c>
      <c r="F91">
        <v>5</v>
      </c>
      <c r="G91">
        <v>6</v>
      </c>
      <c r="H91">
        <v>7</v>
      </c>
      <c r="I91">
        <v>8</v>
      </c>
      <c r="J91">
        <v>9</v>
      </c>
      <c r="K91">
        <v>10</v>
      </c>
      <c r="L91">
        <v>11</v>
      </c>
      <c r="M91">
        <v>12</v>
      </c>
      <c r="N91">
        <v>13</v>
      </c>
      <c r="O91">
        <v>14</v>
      </c>
      <c r="S91" t="s">
        <v>12</v>
      </c>
      <c r="T91">
        <v>1</v>
      </c>
      <c r="U91">
        <v>2</v>
      </c>
      <c r="V91">
        <v>3</v>
      </c>
      <c r="W91">
        <v>4</v>
      </c>
      <c r="X91">
        <v>5</v>
      </c>
      <c r="Y91">
        <v>6</v>
      </c>
      <c r="Z91">
        <v>7</v>
      </c>
      <c r="AA91">
        <v>8</v>
      </c>
      <c r="AB91">
        <v>9</v>
      </c>
      <c r="AC91">
        <v>10</v>
      </c>
      <c r="AD91">
        <v>11</v>
      </c>
      <c r="AE91">
        <v>12</v>
      </c>
      <c r="AF91">
        <v>13</v>
      </c>
      <c r="AG91">
        <v>14</v>
      </c>
      <c r="AK91" t="s">
        <v>12</v>
      </c>
      <c r="AL91">
        <v>1</v>
      </c>
      <c r="AM91">
        <v>2</v>
      </c>
      <c r="AN91">
        <v>3</v>
      </c>
      <c r="AO91">
        <v>4</v>
      </c>
      <c r="AP91">
        <v>5</v>
      </c>
      <c r="AQ91">
        <v>6</v>
      </c>
      <c r="AR91">
        <v>7</v>
      </c>
      <c r="AS91">
        <v>8</v>
      </c>
      <c r="AT91">
        <v>9</v>
      </c>
      <c r="AU91">
        <v>10</v>
      </c>
      <c r="AV91">
        <v>11</v>
      </c>
      <c r="AW91">
        <v>12</v>
      </c>
      <c r="AX91">
        <v>13</v>
      </c>
      <c r="AY91">
        <v>14</v>
      </c>
      <c r="BC91" t="s">
        <v>12</v>
      </c>
      <c r="BD91">
        <v>1</v>
      </c>
      <c r="BE91">
        <v>2</v>
      </c>
      <c r="BF91">
        <v>3</v>
      </c>
      <c r="BG91">
        <v>4</v>
      </c>
      <c r="BH91">
        <v>5</v>
      </c>
      <c r="BI91">
        <v>6</v>
      </c>
      <c r="BJ91">
        <v>7</v>
      </c>
      <c r="BK91">
        <v>8</v>
      </c>
      <c r="BL91">
        <v>9</v>
      </c>
      <c r="BM91">
        <v>10</v>
      </c>
      <c r="BN91">
        <v>11</v>
      </c>
      <c r="BO91">
        <v>12</v>
      </c>
      <c r="BP91">
        <v>13</v>
      </c>
      <c r="BQ91">
        <v>14</v>
      </c>
      <c r="BU91" t="s">
        <v>12</v>
      </c>
      <c r="BV91">
        <v>1</v>
      </c>
      <c r="BW91">
        <v>2</v>
      </c>
      <c r="BX91">
        <v>3</v>
      </c>
      <c r="BY91">
        <v>4</v>
      </c>
      <c r="BZ91">
        <v>5</v>
      </c>
      <c r="CA91">
        <v>6</v>
      </c>
      <c r="CB91">
        <v>7</v>
      </c>
      <c r="CC91">
        <v>8</v>
      </c>
      <c r="CD91">
        <v>9</v>
      </c>
      <c r="CE91">
        <v>10</v>
      </c>
      <c r="CF91">
        <v>11</v>
      </c>
      <c r="CG91">
        <v>12</v>
      </c>
      <c r="CH91">
        <v>13</v>
      </c>
      <c r="CI91">
        <v>14</v>
      </c>
      <c r="CM91" t="s">
        <v>12</v>
      </c>
      <c r="CN91">
        <v>1</v>
      </c>
      <c r="CO91">
        <v>2</v>
      </c>
      <c r="CP91">
        <v>3</v>
      </c>
      <c r="CQ91">
        <v>4</v>
      </c>
      <c r="CR91">
        <v>5</v>
      </c>
      <c r="CS91">
        <v>6</v>
      </c>
      <c r="CT91">
        <v>7</v>
      </c>
      <c r="CU91">
        <v>8</v>
      </c>
      <c r="CV91">
        <v>9</v>
      </c>
      <c r="CW91">
        <v>10</v>
      </c>
      <c r="CX91">
        <v>11</v>
      </c>
      <c r="CY91">
        <v>12</v>
      </c>
      <c r="CZ91">
        <v>13</v>
      </c>
      <c r="DA91">
        <v>14</v>
      </c>
    </row>
    <row r="92" spans="1:105" x14ac:dyDescent="0.3">
      <c r="A92">
        <f t="array" ref="A92:A105">TRANSPOSE(B91:O91)</f>
        <v>1</v>
      </c>
      <c r="B92">
        <f>IFERROR(VLOOKUP($A92,$A$83:$E$87,MATCH(B$91,$A$83:$E$83,0),FALSE),0)</f>
        <v>0</v>
      </c>
      <c r="C92">
        <f t="shared" ref="C92:O105" si="21">IFERROR(VLOOKUP($A92,$A$83:$E$87,MATCH(C$91,$A$83:$E$83,0),FALSE),0)</f>
        <v>0</v>
      </c>
      <c r="D92">
        <f t="shared" si="21"/>
        <v>0</v>
      </c>
      <c r="E92">
        <f t="shared" si="21"/>
        <v>0</v>
      </c>
      <c r="F92">
        <f t="shared" si="21"/>
        <v>0</v>
      </c>
      <c r="G92">
        <f t="shared" si="21"/>
        <v>0</v>
      </c>
      <c r="H92">
        <f t="shared" si="21"/>
        <v>0</v>
      </c>
      <c r="I92">
        <f t="shared" si="21"/>
        <v>0</v>
      </c>
      <c r="J92">
        <f t="shared" si="21"/>
        <v>0</v>
      </c>
      <c r="K92">
        <f t="shared" si="21"/>
        <v>0</v>
      </c>
      <c r="L92">
        <f t="shared" si="21"/>
        <v>0</v>
      </c>
      <c r="M92">
        <f t="shared" si="21"/>
        <v>0</v>
      </c>
      <c r="N92">
        <f t="shared" si="21"/>
        <v>0</v>
      </c>
      <c r="O92">
        <f t="shared" si="21"/>
        <v>0</v>
      </c>
      <c r="S92">
        <f t="array" ref="S92:S105">TRANSPOSE(T91:AG91)</f>
        <v>1</v>
      </c>
      <c r="T92">
        <f>IFERROR(VLOOKUP($S92,$S$83:$W$87,MATCH(T$91,$S$83:$W$83,0),FALSE),0)</f>
        <v>0</v>
      </c>
      <c r="U92">
        <f t="shared" ref="U92:AG105" si="22">IFERROR(VLOOKUP($S92,$S$83:$W$87,MATCH(U$91,$S$83:$W$83,0),FALSE),0)</f>
        <v>0</v>
      </c>
      <c r="V92">
        <f t="shared" si="22"/>
        <v>0</v>
      </c>
      <c r="W92">
        <f t="shared" si="22"/>
        <v>0</v>
      </c>
      <c r="X92">
        <f t="shared" si="22"/>
        <v>0</v>
      </c>
      <c r="Y92">
        <f t="shared" si="22"/>
        <v>0</v>
      </c>
      <c r="Z92">
        <f t="shared" si="22"/>
        <v>0</v>
      </c>
      <c r="AA92">
        <f t="shared" si="22"/>
        <v>0</v>
      </c>
      <c r="AB92">
        <f t="shared" si="22"/>
        <v>0</v>
      </c>
      <c r="AC92">
        <f t="shared" si="22"/>
        <v>0</v>
      </c>
      <c r="AD92">
        <f t="shared" si="22"/>
        <v>0</v>
      </c>
      <c r="AE92">
        <f t="shared" si="22"/>
        <v>0</v>
      </c>
      <c r="AF92">
        <f t="shared" si="22"/>
        <v>0</v>
      </c>
      <c r="AG92">
        <f t="shared" si="22"/>
        <v>0</v>
      </c>
      <c r="AK92">
        <f t="array" ref="AK92:AK105">TRANSPOSE(AL91:AY91)</f>
        <v>1</v>
      </c>
      <c r="AL92">
        <f>IFERROR(VLOOKUP($AK92,$AK$83:$AO$87,MATCH(AL$91,$AK$83:$AO$83,0),FALSE),0)</f>
        <v>0</v>
      </c>
      <c r="AM92">
        <f t="shared" ref="AM92:AY105" si="23">IFERROR(VLOOKUP($AK92,$AK$83:$AO$87,MATCH(AM$91,$AK$83:$AO$83,0),FALSE),0)</f>
        <v>0</v>
      </c>
      <c r="AN92">
        <f t="shared" si="23"/>
        <v>0</v>
      </c>
      <c r="AO92">
        <f t="shared" si="23"/>
        <v>0</v>
      </c>
      <c r="AP92">
        <f t="shared" si="23"/>
        <v>0</v>
      </c>
      <c r="AQ92">
        <f t="shared" si="23"/>
        <v>0</v>
      </c>
      <c r="AR92">
        <f t="shared" si="23"/>
        <v>0</v>
      </c>
      <c r="AS92">
        <f t="shared" si="23"/>
        <v>0</v>
      </c>
      <c r="AT92">
        <f t="shared" si="23"/>
        <v>0</v>
      </c>
      <c r="AU92">
        <f t="shared" si="23"/>
        <v>0</v>
      </c>
      <c r="AV92">
        <f t="shared" si="23"/>
        <v>0</v>
      </c>
      <c r="AW92">
        <f t="shared" si="23"/>
        <v>0</v>
      </c>
      <c r="AX92">
        <f t="shared" si="23"/>
        <v>0</v>
      </c>
      <c r="AY92">
        <f t="shared" si="23"/>
        <v>0</v>
      </c>
      <c r="BC92">
        <f t="array" ref="BC92:BC105">TRANSPOSE(BD91:BQ91)</f>
        <v>1</v>
      </c>
      <c r="BD92">
        <f>IFERROR(VLOOKUP($BC92,$BC$83:$BG$87,MATCH(BD$91,$BC$83:$BG$83,0),FALSE),0)</f>
        <v>0</v>
      </c>
      <c r="BE92">
        <f t="shared" ref="BE92:BQ105" si="24">IFERROR(VLOOKUP($BC92,$BC$83:$BG$87,MATCH(BE$91,$BC$83:$BG$83,0),FALSE),0)</f>
        <v>0</v>
      </c>
      <c r="BF92">
        <f t="shared" si="24"/>
        <v>0</v>
      </c>
      <c r="BG92">
        <f t="shared" si="24"/>
        <v>0</v>
      </c>
      <c r="BH92">
        <f t="shared" si="24"/>
        <v>0</v>
      </c>
      <c r="BI92">
        <f t="shared" si="24"/>
        <v>0</v>
      </c>
      <c r="BJ92">
        <f t="shared" si="24"/>
        <v>0</v>
      </c>
      <c r="BK92">
        <f t="shared" si="24"/>
        <v>0</v>
      </c>
      <c r="BL92">
        <f t="shared" si="24"/>
        <v>0</v>
      </c>
      <c r="BM92">
        <f t="shared" si="24"/>
        <v>0</v>
      </c>
      <c r="BN92">
        <f t="shared" si="24"/>
        <v>0</v>
      </c>
      <c r="BO92">
        <f t="shared" si="24"/>
        <v>0</v>
      </c>
      <c r="BP92">
        <f t="shared" si="24"/>
        <v>0</v>
      </c>
      <c r="BQ92">
        <f t="shared" si="24"/>
        <v>0</v>
      </c>
      <c r="BU92">
        <f t="array" ref="BU92:BU105">TRANSPOSE(BV91:CI91)</f>
        <v>1</v>
      </c>
      <c r="BV92">
        <f>IFERROR(VLOOKUP($BU92,$BU$83:$BY$87,MATCH(BV$91,$BU$83:$BY$83,0),FALSE),0)</f>
        <v>0</v>
      </c>
      <c r="BW92">
        <f t="shared" ref="BW92:CI105" si="25">IFERROR(VLOOKUP($BU92,$BU$83:$BY$87,MATCH(BW$91,$BU$83:$BY$83,0),FALSE),0)</f>
        <v>0</v>
      </c>
      <c r="BX92">
        <f t="shared" si="25"/>
        <v>0</v>
      </c>
      <c r="BY92">
        <f t="shared" si="25"/>
        <v>0</v>
      </c>
      <c r="BZ92">
        <f t="shared" si="25"/>
        <v>0</v>
      </c>
      <c r="CA92">
        <f t="shared" si="25"/>
        <v>0</v>
      </c>
      <c r="CB92">
        <f t="shared" si="25"/>
        <v>0</v>
      </c>
      <c r="CC92">
        <f t="shared" si="25"/>
        <v>0</v>
      </c>
      <c r="CD92">
        <f t="shared" si="25"/>
        <v>0</v>
      </c>
      <c r="CE92">
        <f t="shared" si="25"/>
        <v>0</v>
      </c>
      <c r="CF92">
        <f t="shared" si="25"/>
        <v>0</v>
      </c>
      <c r="CG92">
        <f t="shared" si="25"/>
        <v>0</v>
      </c>
      <c r="CH92">
        <f t="shared" si="25"/>
        <v>0</v>
      </c>
      <c r="CI92">
        <f t="shared" si="25"/>
        <v>0</v>
      </c>
      <c r="CM92">
        <f t="array" ref="CM92:CM105">TRANSPOSE(CN91:DA91)</f>
        <v>1</v>
      </c>
      <c r="CN92">
        <f>IFERROR(VLOOKUP($CM92,$CM$83:$CQ$87,MATCH(CN$91,$CM$83:$CQ$83,0),FALSE),0)</f>
        <v>0</v>
      </c>
      <c r="CO92">
        <f t="shared" ref="CO92:DA105" si="26">IFERROR(VLOOKUP($CM92,$CM$83:$CQ$87,MATCH(CO$91,$CM$83:$CQ$83,0),FALSE),0)</f>
        <v>0</v>
      </c>
      <c r="CP92">
        <f t="shared" si="26"/>
        <v>0</v>
      </c>
      <c r="CQ92">
        <f t="shared" si="26"/>
        <v>0</v>
      </c>
      <c r="CR92">
        <f t="shared" si="26"/>
        <v>0</v>
      </c>
      <c r="CS92">
        <f t="shared" si="26"/>
        <v>0</v>
      </c>
      <c r="CT92">
        <f t="shared" si="26"/>
        <v>0</v>
      </c>
      <c r="CU92">
        <f t="shared" si="26"/>
        <v>0</v>
      </c>
      <c r="CV92">
        <f t="shared" si="26"/>
        <v>0</v>
      </c>
      <c r="CW92">
        <f t="shared" si="26"/>
        <v>0</v>
      </c>
      <c r="CX92">
        <f t="shared" si="26"/>
        <v>0</v>
      </c>
      <c r="CY92">
        <f t="shared" si="26"/>
        <v>0</v>
      </c>
      <c r="CZ92">
        <f t="shared" si="26"/>
        <v>0</v>
      </c>
      <c r="DA92">
        <f t="shared" si="26"/>
        <v>0</v>
      </c>
    </row>
    <row r="93" spans="1:105" x14ac:dyDescent="0.3">
      <c r="A93">
        <v>2</v>
      </c>
      <c r="B93">
        <f t="shared" ref="B93:B105" si="27">IFERROR(VLOOKUP($A93,$A$83:$E$87,MATCH(B$91,$A$83:$E$83,0),FALSE),0)</f>
        <v>0</v>
      </c>
      <c r="C93">
        <f t="shared" si="21"/>
        <v>0</v>
      </c>
      <c r="D93">
        <f t="shared" si="21"/>
        <v>0</v>
      </c>
      <c r="E93">
        <f t="shared" si="21"/>
        <v>0</v>
      </c>
      <c r="F93">
        <f t="shared" si="21"/>
        <v>0</v>
      </c>
      <c r="G93">
        <f t="shared" si="21"/>
        <v>0</v>
      </c>
      <c r="H93">
        <f t="shared" si="21"/>
        <v>0</v>
      </c>
      <c r="I93">
        <f t="shared" si="21"/>
        <v>0</v>
      </c>
      <c r="J93">
        <f t="shared" si="21"/>
        <v>0</v>
      </c>
      <c r="K93">
        <f t="shared" si="21"/>
        <v>0</v>
      </c>
      <c r="L93">
        <f t="shared" si="21"/>
        <v>0</v>
      </c>
      <c r="M93">
        <f t="shared" si="21"/>
        <v>0</v>
      </c>
      <c r="N93">
        <f t="shared" si="21"/>
        <v>0</v>
      </c>
      <c r="O93">
        <f t="shared" si="21"/>
        <v>0</v>
      </c>
      <c r="S93">
        <v>2</v>
      </c>
      <c r="T93">
        <f t="shared" ref="T93:T105" si="28">IFERROR(VLOOKUP($S93,$S$83:$W$87,MATCH(T$91,$S$83:$W$83,0),FALSE),0)</f>
        <v>0</v>
      </c>
      <c r="U93">
        <f t="shared" si="22"/>
        <v>0</v>
      </c>
      <c r="V93">
        <f t="shared" si="22"/>
        <v>0</v>
      </c>
      <c r="W93">
        <f t="shared" si="22"/>
        <v>0</v>
      </c>
      <c r="X93">
        <f t="shared" si="22"/>
        <v>0</v>
      </c>
      <c r="Y93">
        <f t="shared" si="22"/>
        <v>0</v>
      </c>
      <c r="Z93">
        <f t="shared" si="22"/>
        <v>0</v>
      </c>
      <c r="AA93">
        <f t="shared" si="22"/>
        <v>0</v>
      </c>
      <c r="AB93">
        <f t="shared" si="22"/>
        <v>0</v>
      </c>
      <c r="AC93">
        <f t="shared" si="22"/>
        <v>0</v>
      </c>
      <c r="AD93">
        <f t="shared" si="22"/>
        <v>0</v>
      </c>
      <c r="AE93">
        <f t="shared" si="22"/>
        <v>0</v>
      </c>
      <c r="AF93">
        <f t="shared" si="22"/>
        <v>0</v>
      </c>
      <c r="AG93">
        <f t="shared" si="22"/>
        <v>0</v>
      </c>
      <c r="AK93">
        <v>2</v>
      </c>
      <c r="AL93">
        <f t="shared" ref="AL93:AL105" si="29">IFERROR(VLOOKUP($AK93,$AK$83:$AO$87,MATCH(AL$91,$AK$83:$AO$83,0),FALSE),0)</f>
        <v>0</v>
      </c>
      <c r="AM93">
        <f t="shared" si="23"/>
        <v>0</v>
      </c>
      <c r="AN93">
        <f t="shared" si="23"/>
        <v>0</v>
      </c>
      <c r="AO93">
        <f t="shared" si="23"/>
        <v>0</v>
      </c>
      <c r="AP93">
        <f t="shared" si="23"/>
        <v>0</v>
      </c>
      <c r="AQ93">
        <f t="shared" si="23"/>
        <v>0</v>
      </c>
      <c r="AR93">
        <f t="shared" si="23"/>
        <v>0</v>
      </c>
      <c r="AS93">
        <f t="shared" si="23"/>
        <v>0</v>
      </c>
      <c r="AT93">
        <f t="shared" si="23"/>
        <v>0</v>
      </c>
      <c r="AU93">
        <f t="shared" si="23"/>
        <v>0</v>
      </c>
      <c r="AV93">
        <f t="shared" si="23"/>
        <v>0</v>
      </c>
      <c r="AW93">
        <f t="shared" si="23"/>
        <v>0</v>
      </c>
      <c r="AX93">
        <f t="shared" si="23"/>
        <v>0</v>
      </c>
      <c r="AY93">
        <f t="shared" si="23"/>
        <v>0</v>
      </c>
      <c r="BC93">
        <v>2</v>
      </c>
      <c r="BD93">
        <f t="shared" ref="BD93:BD105" si="30">IFERROR(VLOOKUP($BC93,$BC$83:$BG$87,MATCH(BD$91,$BC$83:$BG$83,0),FALSE),0)</f>
        <v>0</v>
      </c>
      <c r="BE93">
        <f t="shared" si="24"/>
        <v>0</v>
      </c>
      <c r="BF93">
        <f t="shared" si="24"/>
        <v>0</v>
      </c>
      <c r="BG93">
        <f t="shared" si="24"/>
        <v>0</v>
      </c>
      <c r="BH93">
        <f t="shared" si="24"/>
        <v>0</v>
      </c>
      <c r="BI93">
        <f t="shared" si="24"/>
        <v>0</v>
      </c>
      <c r="BJ93">
        <f t="shared" si="24"/>
        <v>0</v>
      </c>
      <c r="BK93">
        <f t="shared" si="24"/>
        <v>0</v>
      </c>
      <c r="BL93">
        <f t="shared" si="24"/>
        <v>0</v>
      </c>
      <c r="BM93">
        <f t="shared" si="24"/>
        <v>0</v>
      </c>
      <c r="BN93">
        <f t="shared" si="24"/>
        <v>0</v>
      </c>
      <c r="BO93">
        <f t="shared" si="24"/>
        <v>0</v>
      </c>
      <c r="BP93">
        <f t="shared" si="24"/>
        <v>0</v>
      </c>
      <c r="BQ93">
        <f t="shared" si="24"/>
        <v>0</v>
      </c>
      <c r="BU93">
        <v>2</v>
      </c>
      <c r="BV93">
        <f t="shared" ref="BV93:BV105" si="31">IFERROR(VLOOKUP($BU93,$BU$83:$BY$87,MATCH(BV$91,$BU$83:$BY$83,0),FALSE),0)</f>
        <v>0</v>
      </c>
      <c r="BW93">
        <f t="shared" si="25"/>
        <v>0</v>
      </c>
      <c r="BX93">
        <f t="shared" si="25"/>
        <v>0</v>
      </c>
      <c r="BY93">
        <f t="shared" si="25"/>
        <v>0</v>
      </c>
      <c r="BZ93">
        <f t="shared" si="25"/>
        <v>0</v>
      </c>
      <c r="CA93">
        <f t="shared" si="25"/>
        <v>0</v>
      </c>
      <c r="CB93">
        <f t="shared" si="25"/>
        <v>0</v>
      </c>
      <c r="CC93">
        <f t="shared" si="25"/>
        <v>0</v>
      </c>
      <c r="CD93">
        <f t="shared" si="25"/>
        <v>0</v>
      </c>
      <c r="CE93">
        <f t="shared" si="25"/>
        <v>0</v>
      </c>
      <c r="CF93">
        <f t="shared" si="25"/>
        <v>0</v>
      </c>
      <c r="CG93">
        <f t="shared" si="25"/>
        <v>0</v>
      </c>
      <c r="CH93">
        <f t="shared" si="25"/>
        <v>0</v>
      </c>
      <c r="CI93">
        <f t="shared" si="25"/>
        <v>0</v>
      </c>
      <c r="CM93">
        <v>2</v>
      </c>
      <c r="CN93">
        <f t="shared" ref="CN93:CN105" si="32">IFERROR(VLOOKUP($CM93,$CM$83:$CQ$87,MATCH(CN$91,$CM$83:$CQ$83,0),FALSE),0)</f>
        <v>0</v>
      </c>
      <c r="CO93">
        <f t="shared" si="26"/>
        <v>0</v>
      </c>
      <c r="CP93">
        <f t="shared" si="26"/>
        <v>0</v>
      </c>
      <c r="CQ93">
        <f t="shared" si="26"/>
        <v>0</v>
      </c>
      <c r="CR93">
        <f t="shared" si="26"/>
        <v>0</v>
      </c>
      <c r="CS93">
        <f t="shared" si="26"/>
        <v>0</v>
      </c>
      <c r="CT93">
        <f t="shared" si="26"/>
        <v>0</v>
      </c>
      <c r="CU93">
        <f t="shared" si="26"/>
        <v>0</v>
      </c>
      <c r="CV93">
        <f t="shared" si="26"/>
        <v>0</v>
      </c>
      <c r="CW93">
        <f t="shared" si="26"/>
        <v>0</v>
      </c>
      <c r="CX93">
        <f t="shared" si="26"/>
        <v>0</v>
      </c>
      <c r="CY93">
        <f t="shared" si="26"/>
        <v>0</v>
      </c>
      <c r="CZ93">
        <f t="shared" si="26"/>
        <v>0</v>
      </c>
      <c r="DA93">
        <f t="shared" si="26"/>
        <v>0</v>
      </c>
    </row>
    <row r="94" spans="1:105" x14ac:dyDescent="0.3">
      <c r="A94">
        <v>3</v>
      </c>
      <c r="B94">
        <f t="shared" si="27"/>
        <v>0</v>
      </c>
      <c r="C94">
        <f t="shared" si="21"/>
        <v>0</v>
      </c>
      <c r="D94">
        <f t="shared" si="21"/>
        <v>290.14896590164363</v>
      </c>
      <c r="E94">
        <f t="shared" si="21"/>
        <v>116.05958636065743</v>
      </c>
      <c r="F94">
        <f t="shared" si="21"/>
        <v>-290.14896590164363</v>
      </c>
      <c r="G94">
        <f t="shared" si="21"/>
        <v>-116.05958636065743</v>
      </c>
      <c r="H94">
        <f t="shared" si="21"/>
        <v>0</v>
      </c>
      <c r="I94">
        <f t="shared" si="21"/>
        <v>0</v>
      </c>
      <c r="J94">
        <f t="shared" si="21"/>
        <v>0</v>
      </c>
      <c r="K94">
        <f t="shared" si="21"/>
        <v>0</v>
      </c>
      <c r="L94">
        <f t="shared" si="21"/>
        <v>0</v>
      </c>
      <c r="M94">
        <f t="shared" si="21"/>
        <v>0</v>
      </c>
      <c r="N94">
        <f t="shared" si="21"/>
        <v>0</v>
      </c>
      <c r="O94">
        <f t="shared" si="21"/>
        <v>0</v>
      </c>
      <c r="S94">
        <v>3</v>
      </c>
      <c r="T94">
        <f t="shared" si="28"/>
        <v>0</v>
      </c>
      <c r="U94">
        <f t="shared" si="22"/>
        <v>0</v>
      </c>
      <c r="V94">
        <f t="shared" si="22"/>
        <v>0</v>
      </c>
      <c r="W94">
        <f t="shared" si="22"/>
        <v>0</v>
      </c>
      <c r="X94">
        <f t="shared" si="22"/>
        <v>0</v>
      </c>
      <c r="Y94">
        <f t="shared" si="22"/>
        <v>0</v>
      </c>
      <c r="Z94">
        <f t="shared" si="22"/>
        <v>0</v>
      </c>
      <c r="AA94">
        <f t="shared" si="22"/>
        <v>0</v>
      </c>
      <c r="AB94">
        <f t="shared" si="22"/>
        <v>0</v>
      </c>
      <c r="AC94">
        <f t="shared" si="22"/>
        <v>0</v>
      </c>
      <c r="AD94">
        <f t="shared" si="22"/>
        <v>0</v>
      </c>
      <c r="AE94">
        <f t="shared" si="22"/>
        <v>0</v>
      </c>
      <c r="AF94">
        <f t="shared" si="22"/>
        <v>0</v>
      </c>
      <c r="AG94">
        <f t="shared" si="22"/>
        <v>0</v>
      </c>
      <c r="AK94">
        <v>3</v>
      </c>
      <c r="AL94">
        <f t="shared" si="29"/>
        <v>0</v>
      </c>
      <c r="AM94">
        <f t="shared" si="23"/>
        <v>0</v>
      </c>
      <c r="AN94">
        <f t="shared" si="23"/>
        <v>0</v>
      </c>
      <c r="AO94">
        <f t="shared" si="23"/>
        <v>0</v>
      </c>
      <c r="AP94">
        <f t="shared" si="23"/>
        <v>0</v>
      </c>
      <c r="AQ94">
        <f t="shared" si="23"/>
        <v>0</v>
      </c>
      <c r="AR94">
        <f t="shared" si="23"/>
        <v>0</v>
      </c>
      <c r="AS94">
        <f t="shared" si="23"/>
        <v>0</v>
      </c>
      <c r="AT94">
        <f t="shared" si="23"/>
        <v>0</v>
      </c>
      <c r="AU94">
        <f t="shared" si="23"/>
        <v>0</v>
      </c>
      <c r="AV94">
        <f t="shared" si="23"/>
        <v>0</v>
      </c>
      <c r="AW94">
        <f t="shared" si="23"/>
        <v>0</v>
      </c>
      <c r="AX94">
        <f t="shared" si="23"/>
        <v>0</v>
      </c>
      <c r="AY94">
        <f t="shared" si="23"/>
        <v>0</v>
      </c>
      <c r="BC94">
        <v>3</v>
      </c>
      <c r="BD94">
        <f t="shared" si="30"/>
        <v>0</v>
      </c>
      <c r="BE94">
        <f t="shared" si="24"/>
        <v>0</v>
      </c>
      <c r="BF94">
        <f t="shared" si="24"/>
        <v>0</v>
      </c>
      <c r="BG94">
        <f t="shared" si="24"/>
        <v>0</v>
      </c>
      <c r="BH94">
        <f t="shared" si="24"/>
        <v>0</v>
      </c>
      <c r="BI94">
        <f t="shared" si="24"/>
        <v>0</v>
      </c>
      <c r="BJ94">
        <f t="shared" si="24"/>
        <v>0</v>
      </c>
      <c r="BK94">
        <f t="shared" si="24"/>
        <v>0</v>
      </c>
      <c r="BL94">
        <f t="shared" si="24"/>
        <v>0</v>
      </c>
      <c r="BM94">
        <f t="shared" si="24"/>
        <v>0</v>
      </c>
      <c r="BN94">
        <f t="shared" si="24"/>
        <v>0</v>
      </c>
      <c r="BO94">
        <f t="shared" si="24"/>
        <v>0</v>
      </c>
      <c r="BP94">
        <f t="shared" si="24"/>
        <v>0</v>
      </c>
      <c r="BQ94">
        <f t="shared" si="24"/>
        <v>0</v>
      </c>
      <c r="BU94">
        <v>3</v>
      </c>
      <c r="BV94">
        <f t="shared" si="31"/>
        <v>0</v>
      </c>
      <c r="BW94">
        <f t="shared" si="25"/>
        <v>0</v>
      </c>
      <c r="BX94">
        <f t="shared" si="25"/>
        <v>0</v>
      </c>
      <c r="BY94">
        <f t="shared" si="25"/>
        <v>0</v>
      </c>
      <c r="BZ94">
        <f t="shared" si="25"/>
        <v>0</v>
      </c>
      <c r="CA94">
        <f t="shared" si="25"/>
        <v>0</v>
      </c>
      <c r="CB94">
        <f t="shared" si="25"/>
        <v>0</v>
      </c>
      <c r="CC94">
        <f t="shared" si="25"/>
        <v>0</v>
      </c>
      <c r="CD94">
        <f t="shared" si="25"/>
        <v>0</v>
      </c>
      <c r="CE94">
        <f t="shared" si="25"/>
        <v>0</v>
      </c>
      <c r="CF94">
        <f t="shared" si="25"/>
        <v>0</v>
      </c>
      <c r="CG94">
        <f t="shared" si="25"/>
        <v>0</v>
      </c>
      <c r="CH94">
        <f t="shared" si="25"/>
        <v>0</v>
      </c>
      <c r="CI94">
        <f t="shared" si="25"/>
        <v>0</v>
      </c>
      <c r="CM94">
        <v>3</v>
      </c>
      <c r="CN94">
        <f t="shared" si="32"/>
        <v>0</v>
      </c>
      <c r="CO94">
        <f t="shared" si="26"/>
        <v>0</v>
      </c>
      <c r="CP94">
        <f t="shared" si="26"/>
        <v>0</v>
      </c>
      <c r="CQ94">
        <f t="shared" si="26"/>
        <v>0</v>
      </c>
      <c r="CR94">
        <f t="shared" si="26"/>
        <v>0</v>
      </c>
      <c r="CS94">
        <f t="shared" si="26"/>
        <v>0</v>
      </c>
      <c r="CT94">
        <f t="shared" si="26"/>
        <v>0</v>
      </c>
      <c r="CU94">
        <f t="shared" si="26"/>
        <v>0</v>
      </c>
      <c r="CV94">
        <f t="shared" si="26"/>
        <v>0</v>
      </c>
      <c r="CW94">
        <f t="shared" si="26"/>
        <v>0</v>
      </c>
      <c r="CX94">
        <f t="shared" si="26"/>
        <v>0</v>
      </c>
      <c r="CY94">
        <f t="shared" si="26"/>
        <v>0</v>
      </c>
      <c r="CZ94">
        <f t="shared" si="26"/>
        <v>0</v>
      </c>
      <c r="DA94">
        <f t="shared" si="26"/>
        <v>0</v>
      </c>
    </row>
    <row r="95" spans="1:105" x14ac:dyDescent="0.3">
      <c r="A95">
        <v>4</v>
      </c>
      <c r="B95">
        <f t="shared" si="27"/>
        <v>0</v>
      </c>
      <c r="C95">
        <f t="shared" si="21"/>
        <v>0</v>
      </c>
      <c r="D95">
        <f t="shared" si="21"/>
        <v>116.05958636065743</v>
      </c>
      <c r="E95">
        <f t="shared" si="21"/>
        <v>46.423834544262967</v>
      </c>
      <c r="F95">
        <f t="shared" si="21"/>
        <v>-116.05958636065743</v>
      </c>
      <c r="G95">
        <f t="shared" si="21"/>
        <v>-46.423834544262967</v>
      </c>
      <c r="H95">
        <f t="shared" si="21"/>
        <v>0</v>
      </c>
      <c r="I95">
        <f t="shared" si="21"/>
        <v>0</v>
      </c>
      <c r="J95">
        <f t="shared" si="21"/>
        <v>0</v>
      </c>
      <c r="K95">
        <f t="shared" si="21"/>
        <v>0</v>
      </c>
      <c r="L95">
        <f t="shared" si="21"/>
        <v>0</v>
      </c>
      <c r="M95">
        <f t="shared" si="21"/>
        <v>0</v>
      </c>
      <c r="N95">
        <f t="shared" si="21"/>
        <v>0</v>
      </c>
      <c r="O95">
        <f t="shared" si="21"/>
        <v>0</v>
      </c>
      <c r="S95">
        <v>4</v>
      </c>
      <c r="T95">
        <f t="shared" si="28"/>
        <v>0</v>
      </c>
      <c r="U95">
        <f t="shared" si="22"/>
        <v>0</v>
      </c>
      <c r="V95">
        <f t="shared" si="22"/>
        <v>0</v>
      </c>
      <c r="W95">
        <f t="shared" si="22"/>
        <v>0</v>
      </c>
      <c r="X95">
        <f t="shared" si="22"/>
        <v>0</v>
      </c>
      <c r="Y95">
        <f t="shared" si="22"/>
        <v>0</v>
      </c>
      <c r="Z95">
        <f t="shared" si="22"/>
        <v>0</v>
      </c>
      <c r="AA95">
        <f t="shared" si="22"/>
        <v>0</v>
      </c>
      <c r="AB95">
        <f t="shared" si="22"/>
        <v>0</v>
      </c>
      <c r="AC95">
        <f t="shared" si="22"/>
        <v>0</v>
      </c>
      <c r="AD95">
        <f t="shared" si="22"/>
        <v>0</v>
      </c>
      <c r="AE95">
        <f t="shared" si="22"/>
        <v>0</v>
      </c>
      <c r="AF95">
        <f t="shared" si="22"/>
        <v>0</v>
      </c>
      <c r="AG95">
        <f t="shared" si="22"/>
        <v>0</v>
      </c>
      <c r="AK95">
        <v>4</v>
      </c>
      <c r="AL95">
        <f t="shared" si="29"/>
        <v>0</v>
      </c>
      <c r="AM95">
        <f t="shared" si="23"/>
        <v>0</v>
      </c>
      <c r="AN95">
        <f t="shared" si="23"/>
        <v>0</v>
      </c>
      <c r="AO95">
        <f t="shared" si="23"/>
        <v>0</v>
      </c>
      <c r="AP95">
        <f t="shared" si="23"/>
        <v>0</v>
      </c>
      <c r="AQ95">
        <f t="shared" si="23"/>
        <v>0</v>
      </c>
      <c r="AR95">
        <f t="shared" si="23"/>
        <v>0</v>
      </c>
      <c r="AS95">
        <f t="shared" si="23"/>
        <v>0</v>
      </c>
      <c r="AT95">
        <f t="shared" si="23"/>
        <v>0</v>
      </c>
      <c r="AU95">
        <f t="shared" si="23"/>
        <v>0</v>
      </c>
      <c r="AV95">
        <f t="shared" si="23"/>
        <v>0</v>
      </c>
      <c r="AW95">
        <f t="shared" si="23"/>
        <v>0</v>
      </c>
      <c r="AX95">
        <f t="shared" si="23"/>
        <v>0</v>
      </c>
      <c r="AY95">
        <f t="shared" si="23"/>
        <v>0</v>
      </c>
      <c r="BC95">
        <v>4</v>
      </c>
      <c r="BD95">
        <f t="shared" si="30"/>
        <v>0</v>
      </c>
      <c r="BE95">
        <f t="shared" si="24"/>
        <v>0</v>
      </c>
      <c r="BF95">
        <f t="shared" si="24"/>
        <v>0</v>
      </c>
      <c r="BG95">
        <f t="shared" si="24"/>
        <v>0</v>
      </c>
      <c r="BH95">
        <f t="shared" si="24"/>
        <v>0</v>
      </c>
      <c r="BI95">
        <f t="shared" si="24"/>
        <v>0</v>
      </c>
      <c r="BJ95">
        <f t="shared" si="24"/>
        <v>0</v>
      </c>
      <c r="BK95">
        <f t="shared" si="24"/>
        <v>0</v>
      </c>
      <c r="BL95">
        <f t="shared" si="24"/>
        <v>0</v>
      </c>
      <c r="BM95">
        <f t="shared" si="24"/>
        <v>0</v>
      </c>
      <c r="BN95">
        <f t="shared" si="24"/>
        <v>0</v>
      </c>
      <c r="BO95">
        <f t="shared" si="24"/>
        <v>0</v>
      </c>
      <c r="BP95">
        <f t="shared" si="24"/>
        <v>0</v>
      </c>
      <c r="BQ95">
        <f t="shared" si="24"/>
        <v>0</v>
      </c>
      <c r="BU95">
        <v>4</v>
      </c>
      <c r="BV95">
        <f t="shared" si="31"/>
        <v>0</v>
      </c>
      <c r="BW95">
        <f t="shared" si="25"/>
        <v>0</v>
      </c>
      <c r="BX95">
        <f t="shared" si="25"/>
        <v>0</v>
      </c>
      <c r="BY95">
        <f t="shared" si="25"/>
        <v>0</v>
      </c>
      <c r="BZ95">
        <f t="shared" si="25"/>
        <v>0</v>
      </c>
      <c r="CA95">
        <f t="shared" si="25"/>
        <v>0</v>
      </c>
      <c r="CB95">
        <f t="shared" si="25"/>
        <v>0</v>
      </c>
      <c r="CC95">
        <f t="shared" si="25"/>
        <v>0</v>
      </c>
      <c r="CD95">
        <f t="shared" si="25"/>
        <v>0</v>
      </c>
      <c r="CE95">
        <f t="shared" si="25"/>
        <v>0</v>
      </c>
      <c r="CF95">
        <f t="shared" si="25"/>
        <v>0</v>
      </c>
      <c r="CG95">
        <f t="shared" si="25"/>
        <v>0</v>
      </c>
      <c r="CH95">
        <f t="shared" si="25"/>
        <v>0</v>
      </c>
      <c r="CI95">
        <f t="shared" si="25"/>
        <v>0</v>
      </c>
      <c r="CM95">
        <v>4</v>
      </c>
      <c r="CN95">
        <f t="shared" si="32"/>
        <v>0</v>
      </c>
      <c r="CO95">
        <f t="shared" si="26"/>
        <v>0</v>
      </c>
      <c r="CP95">
        <f t="shared" si="26"/>
        <v>0</v>
      </c>
      <c r="CQ95">
        <f t="shared" si="26"/>
        <v>0</v>
      </c>
      <c r="CR95">
        <f t="shared" si="26"/>
        <v>0</v>
      </c>
      <c r="CS95">
        <f t="shared" si="26"/>
        <v>0</v>
      </c>
      <c r="CT95">
        <f t="shared" si="26"/>
        <v>0</v>
      </c>
      <c r="CU95">
        <f t="shared" si="26"/>
        <v>0</v>
      </c>
      <c r="CV95">
        <f t="shared" si="26"/>
        <v>0</v>
      </c>
      <c r="CW95">
        <f t="shared" si="26"/>
        <v>0</v>
      </c>
      <c r="CX95">
        <f t="shared" si="26"/>
        <v>0</v>
      </c>
      <c r="CY95">
        <f t="shared" si="26"/>
        <v>0</v>
      </c>
      <c r="CZ95">
        <f t="shared" si="26"/>
        <v>0</v>
      </c>
      <c r="DA95">
        <f t="shared" si="26"/>
        <v>0</v>
      </c>
    </row>
    <row r="96" spans="1:105" x14ac:dyDescent="0.3">
      <c r="A96">
        <v>5</v>
      </c>
      <c r="B96">
        <f t="shared" si="27"/>
        <v>0</v>
      </c>
      <c r="C96">
        <f t="shared" si="21"/>
        <v>0</v>
      </c>
      <c r="D96">
        <f t="shared" si="21"/>
        <v>-290.14896590164363</v>
      </c>
      <c r="E96">
        <f t="shared" si="21"/>
        <v>-116.05958636065743</v>
      </c>
      <c r="F96">
        <f t="shared" si="21"/>
        <v>290.14896590164363</v>
      </c>
      <c r="G96">
        <f t="shared" si="21"/>
        <v>116.05958636065743</v>
      </c>
      <c r="H96">
        <f t="shared" si="21"/>
        <v>0</v>
      </c>
      <c r="I96">
        <f t="shared" si="21"/>
        <v>0</v>
      </c>
      <c r="J96">
        <f t="shared" si="21"/>
        <v>0</v>
      </c>
      <c r="K96">
        <f t="shared" si="21"/>
        <v>0</v>
      </c>
      <c r="L96">
        <f t="shared" si="21"/>
        <v>0</v>
      </c>
      <c r="M96">
        <f t="shared" si="21"/>
        <v>0</v>
      </c>
      <c r="N96">
        <f t="shared" si="21"/>
        <v>0</v>
      </c>
      <c r="O96">
        <f t="shared" si="21"/>
        <v>0</v>
      </c>
      <c r="S96">
        <v>5</v>
      </c>
      <c r="T96">
        <f t="shared" si="28"/>
        <v>0</v>
      </c>
      <c r="U96">
        <f t="shared" si="22"/>
        <v>0</v>
      </c>
      <c r="V96">
        <f t="shared" si="22"/>
        <v>0</v>
      </c>
      <c r="W96">
        <f t="shared" si="22"/>
        <v>0</v>
      </c>
      <c r="X96">
        <f t="shared" si="22"/>
        <v>64.845971347493887</v>
      </c>
      <c r="Y96">
        <f t="shared" si="22"/>
        <v>-129.69194269498777</v>
      </c>
      <c r="Z96">
        <f t="shared" si="22"/>
        <v>-64.845971347493887</v>
      </c>
      <c r="AA96">
        <f t="shared" si="22"/>
        <v>129.69194269498777</v>
      </c>
      <c r="AB96">
        <f t="shared" si="22"/>
        <v>0</v>
      </c>
      <c r="AC96">
        <f t="shared" si="22"/>
        <v>0</v>
      </c>
      <c r="AD96">
        <f t="shared" si="22"/>
        <v>0</v>
      </c>
      <c r="AE96">
        <f t="shared" si="22"/>
        <v>0</v>
      </c>
      <c r="AF96">
        <f t="shared" si="22"/>
        <v>0</v>
      </c>
      <c r="AG96">
        <f t="shared" si="22"/>
        <v>0</v>
      </c>
      <c r="AK96">
        <v>5</v>
      </c>
      <c r="AL96">
        <f t="shared" si="29"/>
        <v>0</v>
      </c>
      <c r="AM96">
        <f t="shared" si="23"/>
        <v>0</v>
      </c>
      <c r="AN96">
        <f t="shared" si="23"/>
        <v>0</v>
      </c>
      <c r="AO96">
        <f t="shared" si="23"/>
        <v>0</v>
      </c>
      <c r="AP96">
        <f t="shared" si="23"/>
        <v>290.14896590164363</v>
      </c>
      <c r="AQ96">
        <f t="shared" si="23"/>
        <v>-116.05958636065743</v>
      </c>
      <c r="AR96">
        <f t="shared" si="23"/>
        <v>0</v>
      </c>
      <c r="AS96">
        <f t="shared" si="23"/>
        <v>0</v>
      </c>
      <c r="AT96">
        <f t="shared" si="23"/>
        <v>-290.14896590164363</v>
      </c>
      <c r="AU96">
        <f t="shared" si="23"/>
        <v>116.05958636065743</v>
      </c>
      <c r="AV96">
        <f t="shared" si="23"/>
        <v>0</v>
      </c>
      <c r="AW96">
        <f t="shared" si="23"/>
        <v>0</v>
      </c>
      <c r="AX96">
        <f t="shared" si="23"/>
        <v>0</v>
      </c>
      <c r="AY96">
        <f t="shared" si="23"/>
        <v>0</v>
      </c>
      <c r="BC96">
        <v>5</v>
      </c>
      <c r="BD96">
        <f t="shared" si="30"/>
        <v>0</v>
      </c>
      <c r="BE96">
        <f t="shared" si="24"/>
        <v>0</v>
      </c>
      <c r="BF96">
        <f t="shared" si="24"/>
        <v>0</v>
      </c>
      <c r="BG96">
        <f t="shared" si="24"/>
        <v>0</v>
      </c>
      <c r="BH96">
        <f t="shared" si="24"/>
        <v>0</v>
      </c>
      <c r="BI96">
        <f t="shared" si="24"/>
        <v>0</v>
      </c>
      <c r="BJ96">
        <f t="shared" si="24"/>
        <v>0</v>
      </c>
      <c r="BK96">
        <f t="shared" si="24"/>
        <v>0</v>
      </c>
      <c r="BL96">
        <f t="shared" si="24"/>
        <v>0</v>
      </c>
      <c r="BM96">
        <f t="shared" si="24"/>
        <v>0</v>
      </c>
      <c r="BN96">
        <f t="shared" si="24"/>
        <v>0</v>
      </c>
      <c r="BO96">
        <f t="shared" si="24"/>
        <v>0</v>
      </c>
      <c r="BP96">
        <f t="shared" si="24"/>
        <v>0</v>
      </c>
      <c r="BQ96">
        <f t="shared" si="24"/>
        <v>0</v>
      </c>
      <c r="BU96">
        <v>5</v>
      </c>
      <c r="BV96">
        <f t="shared" si="31"/>
        <v>0</v>
      </c>
      <c r="BW96">
        <f t="shared" si="25"/>
        <v>0</v>
      </c>
      <c r="BX96">
        <f t="shared" si="25"/>
        <v>0</v>
      </c>
      <c r="BY96">
        <f t="shared" si="25"/>
        <v>0</v>
      </c>
      <c r="BZ96">
        <f t="shared" si="25"/>
        <v>0</v>
      </c>
      <c r="CA96">
        <f t="shared" si="25"/>
        <v>0</v>
      </c>
      <c r="CB96">
        <f t="shared" si="25"/>
        <v>0</v>
      </c>
      <c r="CC96">
        <f t="shared" si="25"/>
        <v>0</v>
      </c>
      <c r="CD96">
        <f t="shared" si="25"/>
        <v>0</v>
      </c>
      <c r="CE96">
        <f t="shared" si="25"/>
        <v>0</v>
      </c>
      <c r="CF96">
        <f t="shared" si="25"/>
        <v>0</v>
      </c>
      <c r="CG96">
        <f t="shared" si="25"/>
        <v>0</v>
      </c>
      <c r="CH96">
        <f t="shared" si="25"/>
        <v>0</v>
      </c>
      <c r="CI96">
        <f t="shared" si="25"/>
        <v>0</v>
      </c>
      <c r="CM96">
        <v>5</v>
      </c>
      <c r="CN96">
        <f t="shared" si="32"/>
        <v>0</v>
      </c>
      <c r="CO96">
        <f t="shared" si="26"/>
        <v>0</v>
      </c>
      <c r="CP96">
        <f t="shared" si="26"/>
        <v>0</v>
      </c>
      <c r="CQ96">
        <f t="shared" si="26"/>
        <v>0</v>
      </c>
      <c r="CR96">
        <f t="shared" si="26"/>
        <v>0</v>
      </c>
      <c r="CS96">
        <f t="shared" si="26"/>
        <v>0</v>
      </c>
      <c r="CT96">
        <f t="shared" si="26"/>
        <v>0</v>
      </c>
      <c r="CU96">
        <f t="shared" si="26"/>
        <v>0</v>
      </c>
      <c r="CV96">
        <f t="shared" si="26"/>
        <v>0</v>
      </c>
      <c r="CW96">
        <f t="shared" si="26"/>
        <v>0</v>
      </c>
      <c r="CX96">
        <f t="shared" si="26"/>
        <v>0</v>
      </c>
      <c r="CY96">
        <f t="shared" si="26"/>
        <v>0</v>
      </c>
      <c r="CZ96">
        <f t="shared" si="26"/>
        <v>0</v>
      </c>
      <c r="DA96">
        <f t="shared" si="26"/>
        <v>0</v>
      </c>
    </row>
    <row r="97" spans="1:105" x14ac:dyDescent="0.3">
      <c r="A97">
        <v>6</v>
      </c>
      <c r="B97">
        <f t="shared" si="27"/>
        <v>0</v>
      </c>
      <c r="C97">
        <f t="shared" si="21"/>
        <v>0</v>
      </c>
      <c r="D97">
        <f t="shared" si="21"/>
        <v>-116.05958636065743</v>
      </c>
      <c r="E97">
        <f t="shared" si="21"/>
        <v>-46.423834544262967</v>
      </c>
      <c r="F97">
        <f t="shared" si="21"/>
        <v>116.05958636065743</v>
      </c>
      <c r="G97">
        <f t="shared" si="21"/>
        <v>46.423834544262967</v>
      </c>
      <c r="H97">
        <f t="shared" si="21"/>
        <v>0</v>
      </c>
      <c r="I97">
        <f t="shared" si="21"/>
        <v>0</v>
      </c>
      <c r="J97">
        <f t="shared" si="21"/>
        <v>0</v>
      </c>
      <c r="K97">
        <f t="shared" si="21"/>
        <v>0</v>
      </c>
      <c r="L97">
        <f t="shared" si="21"/>
        <v>0</v>
      </c>
      <c r="M97">
        <f t="shared" si="21"/>
        <v>0</v>
      </c>
      <c r="N97">
        <f t="shared" si="21"/>
        <v>0</v>
      </c>
      <c r="O97">
        <f t="shared" si="21"/>
        <v>0</v>
      </c>
      <c r="S97">
        <v>6</v>
      </c>
      <c r="T97">
        <f t="shared" si="28"/>
        <v>0</v>
      </c>
      <c r="U97">
        <f t="shared" si="22"/>
        <v>0</v>
      </c>
      <c r="V97">
        <f t="shared" si="22"/>
        <v>0</v>
      </c>
      <c r="W97">
        <f t="shared" si="22"/>
        <v>0</v>
      </c>
      <c r="X97">
        <f t="shared" si="22"/>
        <v>-129.69194269498777</v>
      </c>
      <c r="Y97">
        <f t="shared" si="22"/>
        <v>259.38388538997555</v>
      </c>
      <c r="Z97">
        <f t="shared" si="22"/>
        <v>129.69194269498777</v>
      </c>
      <c r="AA97">
        <f t="shared" si="22"/>
        <v>-259.38388538997555</v>
      </c>
      <c r="AB97">
        <f t="shared" si="22"/>
        <v>0</v>
      </c>
      <c r="AC97">
        <f t="shared" si="22"/>
        <v>0</v>
      </c>
      <c r="AD97">
        <f t="shared" si="22"/>
        <v>0</v>
      </c>
      <c r="AE97">
        <f t="shared" si="22"/>
        <v>0</v>
      </c>
      <c r="AF97">
        <f t="shared" si="22"/>
        <v>0</v>
      </c>
      <c r="AG97">
        <f t="shared" si="22"/>
        <v>0</v>
      </c>
      <c r="AK97">
        <v>6</v>
      </c>
      <c r="AL97">
        <f t="shared" si="29"/>
        <v>0</v>
      </c>
      <c r="AM97">
        <f t="shared" si="23"/>
        <v>0</v>
      </c>
      <c r="AN97">
        <f t="shared" si="23"/>
        <v>0</v>
      </c>
      <c r="AO97">
        <f t="shared" si="23"/>
        <v>0</v>
      </c>
      <c r="AP97">
        <f t="shared" si="23"/>
        <v>-116.05958636065743</v>
      </c>
      <c r="AQ97">
        <f t="shared" si="23"/>
        <v>46.423834544262967</v>
      </c>
      <c r="AR97">
        <f t="shared" si="23"/>
        <v>0</v>
      </c>
      <c r="AS97">
        <f t="shared" si="23"/>
        <v>0</v>
      </c>
      <c r="AT97">
        <f t="shared" si="23"/>
        <v>116.05958636065743</v>
      </c>
      <c r="AU97">
        <f t="shared" si="23"/>
        <v>-46.423834544262967</v>
      </c>
      <c r="AV97">
        <f t="shared" si="23"/>
        <v>0</v>
      </c>
      <c r="AW97">
        <f t="shared" si="23"/>
        <v>0</v>
      </c>
      <c r="AX97">
        <f t="shared" si="23"/>
        <v>0</v>
      </c>
      <c r="AY97">
        <f t="shared" si="23"/>
        <v>0</v>
      </c>
      <c r="BC97">
        <v>6</v>
      </c>
      <c r="BD97">
        <f t="shared" si="30"/>
        <v>0</v>
      </c>
      <c r="BE97">
        <f t="shared" si="24"/>
        <v>0</v>
      </c>
      <c r="BF97">
        <f t="shared" si="24"/>
        <v>0</v>
      </c>
      <c r="BG97">
        <f t="shared" si="24"/>
        <v>0</v>
      </c>
      <c r="BH97">
        <f t="shared" si="24"/>
        <v>0</v>
      </c>
      <c r="BI97">
        <f t="shared" si="24"/>
        <v>0</v>
      </c>
      <c r="BJ97">
        <f t="shared" si="24"/>
        <v>0</v>
      </c>
      <c r="BK97">
        <f t="shared" si="24"/>
        <v>0</v>
      </c>
      <c r="BL97">
        <f t="shared" si="24"/>
        <v>0</v>
      </c>
      <c r="BM97">
        <f t="shared" si="24"/>
        <v>0</v>
      </c>
      <c r="BN97">
        <f t="shared" si="24"/>
        <v>0</v>
      </c>
      <c r="BO97">
        <f t="shared" si="24"/>
        <v>0</v>
      </c>
      <c r="BP97">
        <f t="shared" si="24"/>
        <v>0</v>
      </c>
      <c r="BQ97">
        <f t="shared" si="24"/>
        <v>0</v>
      </c>
      <c r="BU97">
        <v>6</v>
      </c>
      <c r="BV97">
        <f t="shared" si="31"/>
        <v>0</v>
      </c>
      <c r="BW97">
        <f t="shared" si="25"/>
        <v>0</v>
      </c>
      <c r="BX97">
        <f t="shared" si="25"/>
        <v>0</v>
      </c>
      <c r="BY97">
        <f t="shared" si="25"/>
        <v>0</v>
      </c>
      <c r="BZ97">
        <f t="shared" si="25"/>
        <v>0</v>
      </c>
      <c r="CA97">
        <f t="shared" si="25"/>
        <v>0</v>
      </c>
      <c r="CB97">
        <f t="shared" si="25"/>
        <v>0</v>
      </c>
      <c r="CC97">
        <f t="shared" si="25"/>
        <v>0</v>
      </c>
      <c r="CD97">
        <f t="shared" si="25"/>
        <v>0</v>
      </c>
      <c r="CE97">
        <f t="shared" si="25"/>
        <v>0</v>
      </c>
      <c r="CF97">
        <f t="shared" si="25"/>
        <v>0</v>
      </c>
      <c r="CG97">
        <f t="shared" si="25"/>
        <v>0</v>
      </c>
      <c r="CH97">
        <f t="shared" si="25"/>
        <v>0</v>
      </c>
      <c r="CI97">
        <f t="shared" si="25"/>
        <v>0</v>
      </c>
      <c r="CM97">
        <v>6</v>
      </c>
      <c r="CN97">
        <f t="shared" si="32"/>
        <v>0</v>
      </c>
      <c r="CO97">
        <f t="shared" si="26"/>
        <v>0</v>
      </c>
      <c r="CP97">
        <f t="shared" si="26"/>
        <v>0</v>
      </c>
      <c r="CQ97">
        <f t="shared" si="26"/>
        <v>0</v>
      </c>
      <c r="CR97">
        <f t="shared" si="26"/>
        <v>0</v>
      </c>
      <c r="CS97">
        <f t="shared" si="26"/>
        <v>0</v>
      </c>
      <c r="CT97">
        <f t="shared" si="26"/>
        <v>0</v>
      </c>
      <c r="CU97">
        <f t="shared" si="26"/>
        <v>0</v>
      </c>
      <c r="CV97">
        <f t="shared" si="26"/>
        <v>0</v>
      </c>
      <c r="CW97">
        <f t="shared" si="26"/>
        <v>0</v>
      </c>
      <c r="CX97">
        <f t="shared" si="26"/>
        <v>0</v>
      </c>
      <c r="CY97">
        <f t="shared" si="26"/>
        <v>0</v>
      </c>
      <c r="CZ97">
        <f t="shared" si="26"/>
        <v>0</v>
      </c>
      <c r="DA97">
        <f t="shared" si="26"/>
        <v>0</v>
      </c>
    </row>
    <row r="98" spans="1:105" x14ac:dyDescent="0.3">
      <c r="A98">
        <v>7</v>
      </c>
      <c r="B98">
        <f t="shared" si="27"/>
        <v>0</v>
      </c>
      <c r="C98">
        <f t="shared" si="21"/>
        <v>0</v>
      </c>
      <c r="D98">
        <f t="shared" si="21"/>
        <v>0</v>
      </c>
      <c r="E98">
        <f t="shared" si="21"/>
        <v>0</v>
      </c>
      <c r="F98">
        <f t="shared" si="21"/>
        <v>0</v>
      </c>
      <c r="G98">
        <f t="shared" si="21"/>
        <v>0</v>
      </c>
      <c r="H98">
        <f t="shared" si="21"/>
        <v>0</v>
      </c>
      <c r="I98">
        <f t="shared" si="21"/>
        <v>0</v>
      </c>
      <c r="J98">
        <f t="shared" si="21"/>
        <v>0</v>
      </c>
      <c r="K98">
        <f t="shared" si="21"/>
        <v>0</v>
      </c>
      <c r="L98">
        <f t="shared" si="21"/>
        <v>0</v>
      </c>
      <c r="M98">
        <f t="shared" si="21"/>
        <v>0</v>
      </c>
      <c r="N98">
        <f t="shared" si="21"/>
        <v>0</v>
      </c>
      <c r="O98">
        <f t="shared" si="21"/>
        <v>0</v>
      </c>
      <c r="S98">
        <v>7</v>
      </c>
      <c r="T98">
        <f t="shared" si="28"/>
        <v>0</v>
      </c>
      <c r="U98">
        <f t="shared" si="22"/>
        <v>0</v>
      </c>
      <c r="V98">
        <f t="shared" si="22"/>
        <v>0</v>
      </c>
      <c r="W98">
        <f t="shared" si="22"/>
        <v>0</v>
      </c>
      <c r="X98">
        <f t="shared" si="22"/>
        <v>-64.845971347493887</v>
      </c>
      <c r="Y98">
        <f t="shared" si="22"/>
        <v>129.69194269498777</v>
      </c>
      <c r="Z98">
        <f t="shared" si="22"/>
        <v>64.845971347493887</v>
      </c>
      <c r="AA98">
        <f t="shared" si="22"/>
        <v>-129.69194269498777</v>
      </c>
      <c r="AB98">
        <f t="shared" si="22"/>
        <v>0</v>
      </c>
      <c r="AC98">
        <f t="shared" si="22"/>
        <v>0</v>
      </c>
      <c r="AD98">
        <f t="shared" si="22"/>
        <v>0</v>
      </c>
      <c r="AE98">
        <f t="shared" si="22"/>
        <v>0</v>
      </c>
      <c r="AF98">
        <f t="shared" si="22"/>
        <v>0</v>
      </c>
      <c r="AG98">
        <f t="shared" si="22"/>
        <v>0</v>
      </c>
      <c r="AK98">
        <v>7</v>
      </c>
      <c r="AL98">
        <f t="shared" si="29"/>
        <v>0</v>
      </c>
      <c r="AM98">
        <f t="shared" si="23"/>
        <v>0</v>
      </c>
      <c r="AN98">
        <f t="shared" si="23"/>
        <v>0</v>
      </c>
      <c r="AO98">
        <f t="shared" si="23"/>
        <v>0</v>
      </c>
      <c r="AP98">
        <f t="shared" si="23"/>
        <v>0</v>
      </c>
      <c r="AQ98">
        <f t="shared" si="23"/>
        <v>0</v>
      </c>
      <c r="AR98">
        <f t="shared" si="23"/>
        <v>0</v>
      </c>
      <c r="AS98">
        <f t="shared" si="23"/>
        <v>0</v>
      </c>
      <c r="AT98">
        <f t="shared" si="23"/>
        <v>0</v>
      </c>
      <c r="AU98">
        <f t="shared" si="23"/>
        <v>0</v>
      </c>
      <c r="AV98">
        <f t="shared" si="23"/>
        <v>0</v>
      </c>
      <c r="AW98">
        <f t="shared" si="23"/>
        <v>0</v>
      </c>
      <c r="AX98">
        <f t="shared" si="23"/>
        <v>0</v>
      </c>
      <c r="AY98">
        <f t="shared" si="23"/>
        <v>0</v>
      </c>
      <c r="BC98">
        <v>7</v>
      </c>
      <c r="BD98">
        <f t="shared" si="30"/>
        <v>0</v>
      </c>
      <c r="BE98">
        <f t="shared" si="24"/>
        <v>0</v>
      </c>
      <c r="BF98">
        <f t="shared" si="24"/>
        <v>0</v>
      </c>
      <c r="BG98">
        <f t="shared" si="24"/>
        <v>0</v>
      </c>
      <c r="BH98">
        <f t="shared" si="24"/>
        <v>0</v>
      </c>
      <c r="BI98">
        <f t="shared" si="24"/>
        <v>0</v>
      </c>
      <c r="BJ98">
        <f t="shared" si="24"/>
        <v>190.21872531014262</v>
      </c>
      <c r="BK98">
        <f t="shared" si="24"/>
        <v>228.26247037217112</v>
      </c>
      <c r="BL98">
        <f t="shared" si="24"/>
        <v>-190.21872531014262</v>
      </c>
      <c r="BM98">
        <f t="shared" si="24"/>
        <v>-228.26247037217112</v>
      </c>
      <c r="BN98">
        <f t="shared" si="24"/>
        <v>0</v>
      </c>
      <c r="BO98">
        <f t="shared" si="24"/>
        <v>0</v>
      </c>
      <c r="BP98">
        <f t="shared" si="24"/>
        <v>0</v>
      </c>
      <c r="BQ98">
        <f t="shared" si="24"/>
        <v>0</v>
      </c>
      <c r="BU98">
        <v>7</v>
      </c>
      <c r="BV98">
        <f t="shared" si="31"/>
        <v>0</v>
      </c>
      <c r="BW98">
        <f t="shared" si="25"/>
        <v>0</v>
      </c>
      <c r="BX98">
        <f t="shared" si="25"/>
        <v>0</v>
      </c>
      <c r="BY98">
        <f t="shared" si="25"/>
        <v>0</v>
      </c>
      <c r="BZ98">
        <f t="shared" si="25"/>
        <v>0</v>
      </c>
      <c r="CA98">
        <f t="shared" si="25"/>
        <v>0</v>
      </c>
      <c r="CB98">
        <f t="shared" si="25"/>
        <v>64.845971347493887</v>
      </c>
      <c r="CC98">
        <f t="shared" si="25"/>
        <v>-129.69194269498777</v>
      </c>
      <c r="CD98">
        <f t="shared" si="25"/>
        <v>0</v>
      </c>
      <c r="CE98">
        <f t="shared" si="25"/>
        <v>0</v>
      </c>
      <c r="CF98">
        <f t="shared" si="25"/>
        <v>0</v>
      </c>
      <c r="CG98">
        <f t="shared" si="25"/>
        <v>0</v>
      </c>
      <c r="CH98">
        <f t="shared" si="25"/>
        <v>-64.845971347493887</v>
      </c>
      <c r="CI98">
        <f t="shared" si="25"/>
        <v>129.69194269498777</v>
      </c>
      <c r="CM98">
        <v>7</v>
      </c>
      <c r="CN98">
        <f t="shared" si="32"/>
        <v>0</v>
      </c>
      <c r="CO98">
        <f t="shared" si="26"/>
        <v>0</v>
      </c>
      <c r="CP98">
        <f t="shared" si="26"/>
        <v>0</v>
      </c>
      <c r="CQ98">
        <f t="shared" si="26"/>
        <v>0</v>
      </c>
      <c r="CR98">
        <f t="shared" si="26"/>
        <v>0</v>
      </c>
      <c r="CS98">
        <f t="shared" si="26"/>
        <v>0</v>
      </c>
      <c r="CT98">
        <f t="shared" si="26"/>
        <v>0</v>
      </c>
      <c r="CU98">
        <f t="shared" si="26"/>
        <v>0</v>
      </c>
      <c r="CV98">
        <f t="shared" si="26"/>
        <v>0</v>
      </c>
      <c r="CW98">
        <f t="shared" si="26"/>
        <v>0</v>
      </c>
      <c r="CX98">
        <f t="shared" si="26"/>
        <v>0</v>
      </c>
      <c r="CY98">
        <f t="shared" si="26"/>
        <v>0</v>
      </c>
      <c r="CZ98">
        <f t="shared" si="26"/>
        <v>0</v>
      </c>
      <c r="DA98">
        <f t="shared" si="26"/>
        <v>0</v>
      </c>
    </row>
    <row r="99" spans="1:105" x14ac:dyDescent="0.3">
      <c r="A99">
        <v>8</v>
      </c>
      <c r="B99">
        <f t="shared" si="27"/>
        <v>0</v>
      </c>
      <c r="C99">
        <f t="shared" si="21"/>
        <v>0</v>
      </c>
      <c r="D99">
        <f t="shared" si="21"/>
        <v>0</v>
      </c>
      <c r="E99">
        <f t="shared" si="21"/>
        <v>0</v>
      </c>
      <c r="F99">
        <f t="shared" si="21"/>
        <v>0</v>
      </c>
      <c r="G99">
        <f t="shared" si="21"/>
        <v>0</v>
      </c>
      <c r="H99">
        <f t="shared" si="21"/>
        <v>0</v>
      </c>
      <c r="I99">
        <f t="shared" si="21"/>
        <v>0</v>
      </c>
      <c r="J99">
        <f t="shared" si="21"/>
        <v>0</v>
      </c>
      <c r="K99">
        <f t="shared" si="21"/>
        <v>0</v>
      </c>
      <c r="L99">
        <f t="shared" si="21"/>
        <v>0</v>
      </c>
      <c r="M99">
        <f t="shared" si="21"/>
        <v>0</v>
      </c>
      <c r="N99">
        <f t="shared" si="21"/>
        <v>0</v>
      </c>
      <c r="O99">
        <f t="shared" si="21"/>
        <v>0</v>
      </c>
      <c r="S99">
        <v>8</v>
      </c>
      <c r="T99">
        <f t="shared" si="28"/>
        <v>0</v>
      </c>
      <c r="U99">
        <f t="shared" si="22"/>
        <v>0</v>
      </c>
      <c r="V99">
        <f t="shared" si="22"/>
        <v>0</v>
      </c>
      <c r="W99">
        <f t="shared" si="22"/>
        <v>0</v>
      </c>
      <c r="X99">
        <f t="shared" si="22"/>
        <v>129.69194269498777</v>
      </c>
      <c r="Y99">
        <f t="shared" si="22"/>
        <v>-259.38388538997555</v>
      </c>
      <c r="Z99">
        <f t="shared" si="22"/>
        <v>-129.69194269498777</v>
      </c>
      <c r="AA99">
        <f t="shared" si="22"/>
        <v>259.38388538997555</v>
      </c>
      <c r="AB99">
        <f t="shared" si="22"/>
        <v>0</v>
      </c>
      <c r="AC99">
        <f t="shared" si="22"/>
        <v>0</v>
      </c>
      <c r="AD99">
        <f t="shared" si="22"/>
        <v>0</v>
      </c>
      <c r="AE99">
        <f t="shared" si="22"/>
        <v>0</v>
      </c>
      <c r="AF99">
        <f t="shared" si="22"/>
        <v>0</v>
      </c>
      <c r="AG99">
        <f t="shared" si="22"/>
        <v>0</v>
      </c>
      <c r="AK99">
        <v>8</v>
      </c>
      <c r="AL99">
        <f t="shared" si="29"/>
        <v>0</v>
      </c>
      <c r="AM99">
        <f t="shared" si="23"/>
        <v>0</v>
      </c>
      <c r="AN99">
        <f t="shared" si="23"/>
        <v>0</v>
      </c>
      <c r="AO99">
        <f t="shared" si="23"/>
        <v>0</v>
      </c>
      <c r="AP99">
        <f t="shared" si="23"/>
        <v>0</v>
      </c>
      <c r="AQ99">
        <f t="shared" si="23"/>
        <v>0</v>
      </c>
      <c r="AR99">
        <f t="shared" si="23"/>
        <v>0</v>
      </c>
      <c r="AS99">
        <f t="shared" si="23"/>
        <v>0</v>
      </c>
      <c r="AT99">
        <f t="shared" si="23"/>
        <v>0</v>
      </c>
      <c r="AU99">
        <f t="shared" si="23"/>
        <v>0</v>
      </c>
      <c r="AV99">
        <f t="shared" si="23"/>
        <v>0</v>
      </c>
      <c r="AW99">
        <f t="shared" si="23"/>
        <v>0</v>
      </c>
      <c r="AX99">
        <f t="shared" si="23"/>
        <v>0</v>
      </c>
      <c r="AY99">
        <f t="shared" si="23"/>
        <v>0</v>
      </c>
      <c r="BC99">
        <v>8</v>
      </c>
      <c r="BD99">
        <f t="shared" si="30"/>
        <v>0</v>
      </c>
      <c r="BE99">
        <f t="shared" si="24"/>
        <v>0</v>
      </c>
      <c r="BF99">
        <f t="shared" si="24"/>
        <v>0</v>
      </c>
      <c r="BG99">
        <f t="shared" si="24"/>
        <v>0</v>
      </c>
      <c r="BH99">
        <f t="shared" si="24"/>
        <v>0</v>
      </c>
      <c r="BI99">
        <f t="shared" si="24"/>
        <v>0</v>
      </c>
      <c r="BJ99">
        <f t="shared" si="24"/>
        <v>228.26247037217112</v>
      </c>
      <c r="BK99">
        <f t="shared" si="24"/>
        <v>273.91496444660532</v>
      </c>
      <c r="BL99">
        <f t="shared" si="24"/>
        <v>-228.26247037217112</v>
      </c>
      <c r="BM99">
        <f t="shared" si="24"/>
        <v>-273.91496444660532</v>
      </c>
      <c r="BN99">
        <f t="shared" si="24"/>
        <v>0</v>
      </c>
      <c r="BO99">
        <f t="shared" si="24"/>
        <v>0</v>
      </c>
      <c r="BP99">
        <f t="shared" si="24"/>
        <v>0</v>
      </c>
      <c r="BQ99">
        <f t="shared" si="24"/>
        <v>0</v>
      </c>
      <c r="BU99">
        <v>8</v>
      </c>
      <c r="BV99">
        <f t="shared" si="31"/>
        <v>0</v>
      </c>
      <c r="BW99">
        <f t="shared" si="25"/>
        <v>0</v>
      </c>
      <c r="BX99">
        <f t="shared" si="25"/>
        <v>0</v>
      </c>
      <c r="BY99">
        <f t="shared" si="25"/>
        <v>0</v>
      </c>
      <c r="BZ99">
        <f t="shared" si="25"/>
        <v>0</v>
      </c>
      <c r="CA99">
        <f t="shared" si="25"/>
        <v>0</v>
      </c>
      <c r="CB99">
        <f t="shared" si="25"/>
        <v>-129.69194269498777</v>
      </c>
      <c r="CC99">
        <f t="shared" si="25"/>
        <v>259.38388538997555</v>
      </c>
      <c r="CD99">
        <f t="shared" si="25"/>
        <v>0</v>
      </c>
      <c r="CE99">
        <f t="shared" si="25"/>
        <v>0</v>
      </c>
      <c r="CF99">
        <f t="shared" si="25"/>
        <v>0</v>
      </c>
      <c r="CG99">
        <f t="shared" si="25"/>
        <v>0</v>
      </c>
      <c r="CH99">
        <f t="shared" si="25"/>
        <v>129.69194269498777</v>
      </c>
      <c r="CI99">
        <f t="shared" si="25"/>
        <v>-259.38388538997555</v>
      </c>
      <c r="CM99">
        <v>8</v>
      </c>
      <c r="CN99">
        <f t="shared" si="32"/>
        <v>0</v>
      </c>
      <c r="CO99">
        <f t="shared" si="26"/>
        <v>0</v>
      </c>
      <c r="CP99">
        <f t="shared" si="26"/>
        <v>0</v>
      </c>
      <c r="CQ99">
        <f t="shared" si="26"/>
        <v>0</v>
      </c>
      <c r="CR99">
        <f t="shared" si="26"/>
        <v>0</v>
      </c>
      <c r="CS99">
        <f t="shared" si="26"/>
        <v>0</v>
      </c>
      <c r="CT99">
        <f t="shared" si="26"/>
        <v>0</v>
      </c>
      <c r="CU99">
        <f t="shared" si="26"/>
        <v>0</v>
      </c>
      <c r="CV99">
        <f t="shared" si="26"/>
        <v>0</v>
      </c>
      <c r="CW99">
        <f t="shared" si="26"/>
        <v>0</v>
      </c>
      <c r="CX99">
        <f t="shared" si="26"/>
        <v>0</v>
      </c>
      <c r="CY99">
        <f t="shared" si="26"/>
        <v>0</v>
      </c>
      <c r="CZ99">
        <f t="shared" si="26"/>
        <v>0</v>
      </c>
      <c r="DA99">
        <f t="shared" si="26"/>
        <v>0</v>
      </c>
    </row>
    <row r="100" spans="1:105" x14ac:dyDescent="0.3">
      <c r="A100">
        <v>9</v>
      </c>
      <c r="B100">
        <f t="shared" si="27"/>
        <v>0</v>
      </c>
      <c r="C100">
        <f t="shared" si="21"/>
        <v>0</v>
      </c>
      <c r="D100">
        <f t="shared" si="21"/>
        <v>0</v>
      </c>
      <c r="E100">
        <f t="shared" si="21"/>
        <v>0</v>
      </c>
      <c r="F100">
        <f t="shared" si="21"/>
        <v>0</v>
      </c>
      <c r="G100">
        <f t="shared" si="21"/>
        <v>0</v>
      </c>
      <c r="H100">
        <f t="shared" si="21"/>
        <v>0</v>
      </c>
      <c r="I100">
        <f t="shared" si="21"/>
        <v>0</v>
      </c>
      <c r="J100">
        <f t="shared" si="21"/>
        <v>0</v>
      </c>
      <c r="K100">
        <f t="shared" si="21"/>
        <v>0</v>
      </c>
      <c r="L100">
        <f t="shared" si="21"/>
        <v>0</v>
      </c>
      <c r="M100">
        <f t="shared" si="21"/>
        <v>0</v>
      </c>
      <c r="N100">
        <f t="shared" si="21"/>
        <v>0</v>
      </c>
      <c r="O100">
        <f t="shared" si="21"/>
        <v>0</v>
      </c>
      <c r="S100">
        <v>9</v>
      </c>
      <c r="T100">
        <f t="shared" si="28"/>
        <v>0</v>
      </c>
      <c r="U100">
        <f t="shared" si="22"/>
        <v>0</v>
      </c>
      <c r="V100">
        <f t="shared" si="22"/>
        <v>0</v>
      </c>
      <c r="W100">
        <f t="shared" si="22"/>
        <v>0</v>
      </c>
      <c r="X100">
        <f t="shared" si="22"/>
        <v>0</v>
      </c>
      <c r="Y100">
        <f t="shared" si="22"/>
        <v>0</v>
      </c>
      <c r="Z100">
        <f t="shared" si="22"/>
        <v>0</v>
      </c>
      <c r="AA100">
        <f t="shared" si="22"/>
        <v>0</v>
      </c>
      <c r="AB100">
        <f t="shared" si="22"/>
        <v>0</v>
      </c>
      <c r="AC100">
        <f t="shared" si="22"/>
        <v>0</v>
      </c>
      <c r="AD100">
        <f t="shared" si="22"/>
        <v>0</v>
      </c>
      <c r="AE100">
        <f t="shared" si="22"/>
        <v>0</v>
      </c>
      <c r="AF100">
        <f t="shared" si="22"/>
        <v>0</v>
      </c>
      <c r="AG100">
        <f t="shared" si="22"/>
        <v>0</v>
      </c>
      <c r="AK100">
        <v>9</v>
      </c>
      <c r="AL100">
        <f t="shared" si="29"/>
        <v>0</v>
      </c>
      <c r="AM100">
        <f t="shared" si="23"/>
        <v>0</v>
      </c>
      <c r="AN100">
        <f t="shared" si="23"/>
        <v>0</v>
      </c>
      <c r="AO100">
        <f t="shared" si="23"/>
        <v>0</v>
      </c>
      <c r="AP100">
        <f t="shared" si="23"/>
        <v>-290.14896590164363</v>
      </c>
      <c r="AQ100">
        <f t="shared" si="23"/>
        <v>116.05958636065743</v>
      </c>
      <c r="AR100">
        <f t="shared" si="23"/>
        <v>0</v>
      </c>
      <c r="AS100">
        <f t="shared" si="23"/>
        <v>0</v>
      </c>
      <c r="AT100">
        <f t="shared" si="23"/>
        <v>290.14896590164363</v>
      </c>
      <c r="AU100">
        <f t="shared" si="23"/>
        <v>-116.05958636065743</v>
      </c>
      <c r="AV100">
        <f t="shared" si="23"/>
        <v>0</v>
      </c>
      <c r="AW100">
        <f t="shared" si="23"/>
        <v>0</v>
      </c>
      <c r="AX100">
        <f t="shared" si="23"/>
        <v>0</v>
      </c>
      <c r="AY100">
        <f t="shared" si="23"/>
        <v>0</v>
      </c>
      <c r="BC100">
        <v>9</v>
      </c>
      <c r="BD100">
        <f t="shared" si="30"/>
        <v>0</v>
      </c>
      <c r="BE100">
        <f t="shared" si="24"/>
        <v>0</v>
      </c>
      <c r="BF100">
        <f t="shared" si="24"/>
        <v>0</v>
      </c>
      <c r="BG100">
        <f t="shared" si="24"/>
        <v>0</v>
      </c>
      <c r="BH100">
        <f t="shared" si="24"/>
        <v>0</v>
      </c>
      <c r="BI100">
        <f t="shared" si="24"/>
        <v>0</v>
      </c>
      <c r="BJ100">
        <f t="shared" si="24"/>
        <v>-190.21872531014262</v>
      </c>
      <c r="BK100">
        <f t="shared" si="24"/>
        <v>-228.26247037217112</v>
      </c>
      <c r="BL100">
        <f t="shared" si="24"/>
        <v>190.21872531014262</v>
      </c>
      <c r="BM100">
        <f t="shared" si="24"/>
        <v>228.26247037217112</v>
      </c>
      <c r="BN100">
        <f t="shared" si="24"/>
        <v>0</v>
      </c>
      <c r="BO100">
        <f t="shared" si="24"/>
        <v>0</v>
      </c>
      <c r="BP100">
        <f t="shared" si="24"/>
        <v>0</v>
      </c>
      <c r="BQ100">
        <f t="shared" si="24"/>
        <v>0</v>
      </c>
      <c r="BU100">
        <v>9</v>
      </c>
      <c r="BV100">
        <f t="shared" si="31"/>
        <v>0</v>
      </c>
      <c r="BW100">
        <f t="shared" si="25"/>
        <v>0</v>
      </c>
      <c r="BX100">
        <f t="shared" si="25"/>
        <v>0</v>
      </c>
      <c r="BY100">
        <f t="shared" si="25"/>
        <v>0</v>
      </c>
      <c r="BZ100">
        <f t="shared" si="25"/>
        <v>0</v>
      </c>
      <c r="CA100">
        <f t="shared" si="25"/>
        <v>0</v>
      </c>
      <c r="CB100">
        <f t="shared" si="25"/>
        <v>0</v>
      </c>
      <c r="CC100">
        <f t="shared" si="25"/>
        <v>0</v>
      </c>
      <c r="CD100">
        <f t="shared" si="25"/>
        <v>0</v>
      </c>
      <c r="CE100">
        <f t="shared" si="25"/>
        <v>0</v>
      </c>
      <c r="CF100">
        <f t="shared" si="25"/>
        <v>0</v>
      </c>
      <c r="CG100">
        <f t="shared" si="25"/>
        <v>0</v>
      </c>
      <c r="CH100">
        <f t="shared" si="25"/>
        <v>0</v>
      </c>
      <c r="CI100">
        <f t="shared" si="25"/>
        <v>0</v>
      </c>
      <c r="CM100">
        <v>9</v>
      </c>
      <c r="CN100">
        <f t="shared" si="32"/>
        <v>0</v>
      </c>
      <c r="CO100">
        <f t="shared" si="26"/>
        <v>0</v>
      </c>
      <c r="CP100">
        <f t="shared" si="26"/>
        <v>0</v>
      </c>
      <c r="CQ100">
        <f t="shared" si="26"/>
        <v>0</v>
      </c>
      <c r="CR100">
        <f t="shared" si="26"/>
        <v>0</v>
      </c>
      <c r="CS100">
        <f t="shared" si="26"/>
        <v>0</v>
      </c>
      <c r="CT100">
        <f t="shared" si="26"/>
        <v>0</v>
      </c>
      <c r="CU100">
        <f t="shared" si="26"/>
        <v>0</v>
      </c>
      <c r="CV100">
        <f t="shared" si="26"/>
        <v>0</v>
      </c>
      <c r="CW100">
        <f t="shared" si="26"/>
        <v>0</v>
      </c>
      <c r="CX100">
        <f t="shared" si="26"/>
        <v>0</v>
      </c>
      <c r="CY100">
        <f t="shared" si="26"/>
        <v>0</v>
      </c>
      <c r="CZ100">
        <f t="shared" si="26"/>
        <v>0</v>
      </c>
      <c r="DA100">
        <f t="shared" si="26"/>
        <v>0</v>
      </c>
    </row>
    <row r="101" spans="1:105" x14ac:dyDescent="0.3">
      <c r="A101">
        <v>10</v>
      </c>
      <c r="B101">
        <f t="shared" si="27"/>
        <v>0</v>
      </c>
      <c r="C101">
        <f t="shared" si="21"/>
        <v>0</v>
      </c>
      <c r="D101">
        <f t="shared" si="21"/>
        <v>0</v>
      </c>
      <c r="E101">
        <f t="shared" si="21"/>
        <v>0</v>
      </c>
      <c r="F101">
        <f t="shared" si="21"/>
        <v>0</v>
      </c>
      <c r="G101">
        <f t="shared" si="21"/>
        <v>0</v>
      </c>
      <c r="H101">
        <f t="shared" si="21"/>
        <v>0</v>
      </c>
      <c r="I101">
        <f t="shared" si="21"/>
        <v>0</v>
      </c>
      <c r="J101">
        <f t="shared" si="21"/>
        <v>0</v>
      </c>
      <c r="K101">
        <f t="shared" si="21"/>
        <v>0</v>
      </c>
      <c r="L101">
        <f t="shared" si="21"/>
        <v>0</v>
      </c>
      <c r="M101">
        <f t="shared" si="21"/>
        <v>0</v>
      </c>
      <c r="N101">
        <f t="shared" si="21"/>
        <v>0</v>
      </c>
      <c r="O101">
        <f t="shared" si="21"/>
        <v>0</v>
      </c>
      <c r="S101">
        <v>10</v>
      </c>
      <c r="T101">
        <f t="shared" si="28"/>
        <v>0</v>
      </c>
      <c r="U101">
        <f t="shared" si="22"/>
        <v>0</v>
      </c>
      <c r="V101">
        <f t="shared" si="22"/>
        <v>0</v>
      </c>
      <c r="W101">
        <f t="shared" si="22"/>
        <v>0</v>
      </c>
      <c r="X101">
        <f t="shared" si="22"/>
        <v>0</v>
      </c>
      <c r="Y101">
        <f t="shared" si="22"/>
        <v>0</v>
      </c>
      <c r="Z101">
        <f t="shared" si="22"/>
        <v>0</v>
      </c>
      <c r="AA101">
        <f t="shared" si="22"/>
        <v>0</v>
      </c>
      <c r="AB101">
        <f t="shared" si="22"/>
        <v>0</v>
      </c>
      <c r="AC101">
        <f t="shared" si="22"/>
        <v>0</v>
      </c>
      <c r="AD101">
        <f t="shared" si="22"/>
        <v>0</v>
      </c>
      <c r="AE101">
        <f t="shared" si="22"/>
        <v>0</v>
      </c>
      <c r="AF101">
        <f t="shared" si="22"/>
        <v>0</v>
      </c>
      <c r="AG101">
        <f t="shared" si="22"/>
        <v>0</v>
      </c>
      <c r="AK101">
        <v>10</v>
      </c>
      <c r="AL101">
        <f t="shared" si="29"/>
        <v>0</v>
      </c>
      <c r="AM101">
        <f t="shared" si="23"/>
        <v>0</v>
      </c>
      <c r="AN101">
        <f t="shared" si="23"/>
        <v>0</v>
      </c>
      <c r="AO101">
        <f t="shared" si="23"/>
        <v>0</v>
      </c>
      <c r="AP101">
        <f t="shared" si="23"/>
        <v>116.05958636065743</v>
      </c>
      <c r="AQ101">
        <f t="shared" si="23"/>
        <v>-46.423834544262967</v>
      </c>
      <c r="AR101">
        <f t="shared" si="23"/>
        <v>0</v>
      </c>
      <c r="AS101">
        <f t="shared" si="23"/>
        <v>0</v>
      </c>
      <c r="AT101">
        <f t="shared" si="23"/>
        <v>-116.05958636065743</v>
      </c>
      <c r="AU101">
        <f t="shared" si="23"/>
        <v>46.423834544262967</v>
      </c>
      <c r="AV101">
        <f t="shared" si="23"/>
        <v>0</v>
      </c>
      <c r="AW101">
        <f t="shared" si="23"/>
        <v>0</v>
      </c>
      <c r="AX101">
        <f t="shared" si="23"/>
        <v>0</v>
      </c>
      <c r="AY101">
        <f t="shared" si="23"/>
        <v>0</v>
      </c>
      <c r="BC101">
        <v>10</v>
      </c>
      <c r="BD101">
        <f t="shared" si="30"/>
        <v>0</v>
      </c>
      <c r="BE101">
        <f t="shared" si="24"/>
        <v>0</v>
      </c>
      <c r="BF101">
        <f t="shared" si="24"/>
        <v>0</v>
      </c>
      <c r="BG101">
        <f t="shared" si="24"/>
        <v>0</v>
      </c>
      <c r="BH101">
        <f t="shared" si="24"/>
        <v>0</v>
      </c>
      <c r="BI101">
        <f t="shared" si="24"/>
        <v>0</v>
      </c>
      <c r="BJ101">
        <f t="shared" si="24"/>
        <v>-228.26247037217112</v>
      </c>
      <c r="BK101">
        <f t="shared" si="24"/>
        <v>-273.91496444660532</v>
      </c>
      <c r="BL101">
        <f t="shared" si="24"/>
        <v>228.26247037217112</v>
      </c>
      <c r="BM101">
        <f t="shared" si="24"/>
        <v>273.91496444660532</v>
      </c>
      <c r="BN101">
        <f t="shared" si="24"/>
        <v>0</v>
      </c>
      <c r="BO101">
        <f t="shared" si="24"/>
        <v>0</v>
      </c>
      <c r="BP101">
        <f t="shared" si="24"/>
        <v>0</v>
      </c>
      <c r="BQ101">
        <f t="shared" si="24"/>
        <v>0</v>
      </c>
      <c r="BU101">
        <v>10</v>
      </c>
      <c r="BV101">
        <f t="shared" si="31"/>
        <v>0</v>
      </c>
      <c r="BW101">
        <f t="shared" si="25"/>
        <v>0</v>
      </c>
      <c r="BX101">
        <f t="shared" si="25"/>
        <v>0</v>
      </c>
      <c r="BY101">
        <f t="shared" si="25"/>
        <v>0</v>
      </c>
      <c r="BZ101">
        <f t="shared" si="25"/>
        <v>0</v>
      </c>
      <c r="CA101">
        <f t="shared" si="25"/>
        <v>0</v>
      </c>
      <c r="CB101">
        <f t="shared" si="25"/>
        <v>0</v>
      </c>
      <c r="CC101">
        <f t="shared" si="25"/>
        <v>0</v>
      </c>
      <c r="CD101">
        <f t="shared" si="25"/>
        <v>0</v>
      </c>
      <c r="CE101">
        <f t="shared" si="25"/>
        <v>0</v>
      </c>
      <c r="CF101">
        <f t="shared" si="25"/>
        <v>0</v>
      </c>
      <c r="CG101">
        <f t="shared" si="25"/>
        <v>0</v>
      </c>
      <c r="CH101">
        <f t="shared" si="25"/>
        <v>0</v>
      </c>
      <c r="CI101">
        <f t="shared" si="25"/>
        <v>0</v>
      </c>
      <c r="CM101">
        <v>10</v>
      </c>
      <c r="CN101">
        <f t="shared" si="32"/>
        <v>0</v>
      </c>
      <c r="CO101">
        <f t="shared" si="26"/>
        <v>0</v>
      </c>
      <c r="CP101">
        <f t="shared" si="26"/>
        <v>0</v>
      </c>
      <c r="CQ101">
        <f t="shared" si="26"/>
        <v>0</v>
      </c>
      <c r="CR101">
        <f t="shared" si="26"/>
        <v>0</v>
      </c>
      <c r="CS101">
        <f t="shared" si="26"/>
        <v>0</v>
      </c>
      <c r="CT101">
        <f t="shared" si="26"/>
        <v>0</v>
      </c>
      <c r="CU101">
        <f t="shared" si="26"/>
        <v>0</v>
      </c>
      <c r="CV101">
        <f t="shared" si="26"/>
        <v>0</v>
      </c>
      <c r="CW101">
        <f t="shared" si="26"/>
        <v>226.5625</v>
      </c>
      <c r="CX101">
        <f t="shared" si="26"/>
        <v>0</v>
      </c>
      <c r="CY101">
        <f t="shared" si="26"/>
        <v>0</v>
      </c>
      <c r="CZ101">
        <f t="shared" si="26"/>
        <v>0</v>
      </c>
      <c r="DA101">
        <f t="shared" si="26"/>
        <v>-226.5625</v>
      </c>
    </row>
    <row r="102" spans="1:105" x14ac:dyDescent="0.3">
      <c r="A102">
        <v>11</v>
      </c>
      <c r="B102">
        <f t="shared" si="27"/>
        <v>0</v>
      </c>
      <c r="C102">
        <f t="shared" si="21"/>
        <v>0</v>
      </c>
      <c r="D102">
        <f t="shared" si="21"/>
        <v>0</v>
      </c>
      <c r="E102">
        <f t="shared" si="21"/>
        <v>0</v>
      </c>
      <c r="F102">
        <f t="shared" si="21"/>
        <v>0</v>
      </c>
      <c r="G102">
        <f t="shared" si="21"/>
        <v>0</v>
      </c>
      <c r="H102">
        <f t="shared" si="21"/>
        <v>0</v>
      </c>
      <c r="I102">
        <f t="shared" si="21"/>
        <v>0</v>
      </c>
      <c r="J102">
        <f t="shared" si="21"/>
        <v>0</v>
      </c>
      <c r="K102">
        <f t="shared" si="21"/>
        <v>0</v>
      </c>
      <c r="L102">
        <f t="shared" si="21"/>
        <v>0</v>
      </c>
      <c r="M102">
        <f t="shared" si="21"/>
        <v>0</v>
      </c>
      <c r="N102">
        <f t="shared" si="21"/>
        <v>0</v>
      </c>
      <c r="O102">
        <f t="shared" si="21"/>
        <v>0</v>
      </c>
      <c r="S102">
        <v>11</v>
      </c>
      <c r="T102">
        <f t="shared" si="28"/>
        <v>0</v>
      </c>
      <c r="U102">
        <f t="shared" si="22"/>
        <v>0</v>
      </c>
      <c r="V102">
        <f t="shared" si="22"/>
        <v>0</v>
      </c>
      <c r="W102">
        <f t="shared" si="22"/>
        <v>0</v>
      </c>
      <c r="X102">
        <f t="shared" si="22"/>
        <v>0</v>
      </c>
      <c r="Y102">
        <f t="shared" si="22"/>
        <v>0</v>
      </c>
      <c r="Z102">
        <f t="shared" si="22"/>
        <v>0</v>
      </c>
      <c r="AA102">
        <f t="shared" si="22"/>
        <v>0</v>
      </c>
      <c r="AB102">
        <f t="shared" si="22"/>
        <v>0</v>
      </c>
      <c r="AC102">
        <f t="shared" si="22"/>
        <v>0</v>
      </c>
      <c r="AD102">
        <f t="shared" si="22"/>
        <v>0</v>
      </c>
      <c r="AE102">
        <f t="shared" si="22"/>
        <v>0</v>
      </c>
      <c r="AF102">
        <f t="shared" si="22"/>
        <v>0</v>
      </c>
      <c r="AG102">
        <f t="shared" si="22"/>
        <v>0</v>
      </c>
      <c r="AK102">
        <v>11</v>
      </c>
      <c r="AL102">
        <f t="shared" si="29"/>
        <v>0</v>
      </c>
      <c r="AM102">
        <f t="shared" si="23"/>
        <v>0</v>
      </c>
      <c r="AN102">
        <f t="shared" si="23"/>
        <v>0</v>
      </c>
      <c r="AO102">
        <f t="shared" si="23"/>
        <v>0</v>
      </c>
      <c r="AP102">
        <f t="shared" si="23"/>
        <v>0</v>
      </c>
      <c r="AQ102">
        <f t="shared" si="23"/>
        <v>0</v>
      </c>
      <c r="AR102">
        <f t="shared" si="23"/>
        <v>0</v>
      </c>
      <c r="AS102">
        <f t="shared" si="23"/>
        <v>0</v>
      </c>
      <c r="AT102">
        <f t="shared" si="23"/>
        <v>0</v>
      </c>
      <c r="AU102">
        <f t="shared" si="23"/>
        <v>0</v>
      </c>
      <c r="AV102">
        <f t="shared" si="23"/>
        <v>0</v>
      </c>
      <c r="AW102">
        <f t="shared" si="23"/>
        <v>0</v>
      </c>
      <c r="AX102">
        <f t="shared" si="23"/>
        <v>0</v>
      </c>
      <c r="AY102">
        <f t="shared" si="23"/>
        <v>0</v>
      </c>
      <c r="BC102">
        <v>11</v>
      </c>
      <c r="BD102">
        <f t="shared" si="30"/>
        <v>0</v>
      </c>
      <c r="BE102">
        <f t="shared" si="24"/>
        <v>0</v>
      </c>
      <c r="BF102">
        <f t="shared" si="24"/>
        <v>0</v>
      </c>
      <c r="BG102">
        <f t="shared" si="24"/>
        <v>0</v>
      </c>
      <c r="BH102">
        <f t="shared" si="24"/>
        <v>0</v>
      </c>
      <c r="BI102">
        <f t="shared" si="24"/>
        <v>0</v>
      </c>
      <c r="BJ102">
        <f t="shared" si="24"/>
        <v>0</v>
      </c>
      <c r="BK102">
        <f t="shared" si="24"/>
        <v>0</v>
      </c>
      <c r="BL102">
        <f t="shared" si="24"/>
        <v>0</v>
      </c>
      <c r="BM102">
        <f t="shared" si="24"/>
        <v>0</v>
      </c>
      <c r="BN102">
        <f t="shared" si="24"/>
        <v>0</v>
      </c>
      <c r="BO102">
        <f t="shared" si="24"/>
        <v>0</v>
      </c>
      <c r="BP102">
        <f t="shared" si="24"/>
        <v>0</v>
      </c>
      <c r="BQ102">
        <f t="shared" si="24"/>
        <v>0</v>
      </c>
      <c r="BU102">
        <v>11</v>
      </c>
      <c r="BV102">
        <f t="shared" si="31"/>
        <v>0</v>
      </c>
      <c r="BW102">
        <f t="shared" si="25"/>
        <v>0</v>
      </c>
      <c r="BX102">
        <f t="shared" si="25"/>
        <v>0</v>
      </c>
      <c r="BY102">
        <f t="shared" si="25"/>
        <v>0</v>
      </c>
      <c r="BZ102">
        <f t="shared" si="25"/>
        <v>0</v>
      </c>
      <c r="CA102">
        <f t="shared" si="25"/>
        <v>0</v>
      </c>
      <c r="CB102">
        <f t="shared" si="25"/>
        <v>0</v>
      </c>
      <c r="CC102">
        <f t="shared" si="25"/>
        <v>0</v>
      </c>
      <c r="CD102">
        <f t="shared" si="25"/>
        <v>0</v>
      </c>
      <c r="CE102">
        <f t="shared" si="25"/>
        <v>0</v>
      </c>
      <c r="CF102">
        <f t="shared" si="25"/>
        <v>0</v>
      </c>
      <c r="CG102">
        <f t="shared" si="25"/>
        <v>0</v>
      </c>
      <c r="CH102">
        <f t="shared" si="25"/>
        <v>0</v>
      </c>
      <c r="CI102">
        <f t="shared" si="25"/>
        <v>0</v>
      </c>
      <c r="CM102">
        <v>11</v>
      </c>
      <c r="CN102">
        <f t="shared" si="32"/>
        <v>0</v>
      </c>
      <c r="CO102">
        <f t="shared" si="26"/>
        <v>0</v>
      </c>
      <c r="CP102">
        <f t="shared" si="26"/>
        <v>0</v>
      </c>
      <c r="CQ102">
        <f t="shared" si="26"/>
        <v>0</v>
      </c>
      <c r="CR102">
        <f t="shared" si="26"/>
        <v>0</v>
      </c>
      <c r="CS102">
        <f t="shared" si="26"/>
        <v>0</v>
      </c>
      <c r="CT102">
        <f t="shared" si="26"/>
        <v>0</v>
      </c>
      <c r="CU102">
        <f t="shared" si="26"/>
        <v>0</v>
      </c>
      <c r="CV102">
        <f t="shared" si="26"/>
        <v>0</v>
      </c>
      <c r="CW102">
        <f t="shared" si="26"/>
        <v>0</v>
      </c>
      <c r="CX102">
        <f t="shared" si="26"/>
        <v>0</v>
      </c>
      <c r="CY102">
        <f t="shared" si="26"/>
        <v>0</v>
      </c>
      <c r="CZ102">
        <f t="shared" si="26"/>
        <v>0</v>
      </c>
      <c r="DA102">
        <f t="shared" si="26"/>
        <v>0</v>
      </c>
    </row>
    <row r="103" spans="1:105" x14ac:dyDescent="0.3">
      <c r="A103">
        <v>12</v>
      </c>
      <c r="B103">
        <f t="shared" si="27"/>
        <v>0</v>
      </c>
      <c r="C103">
        <f t="shared" si="21"/>
        <v>0</v>
      </c>
      <c r="D103">
        <f t="shared" si="21"/>
        <v>0</v>
      </c>
      <c r="E103">
        <f t="shared" si="21"/>
        <v>0</v>
      </c>
      <c r="F103">
        <f t="shared" si="21"/>
        <v>0</v>
      </c>
      <c r="G103">
        <f t="shared" si="21"/>
        <v>0</v>
      </c>
      <c r="H103">
        <f t="shared" si="21"/>
        <v>0</v>
      </c>
      <c r="I103">
        <f t="shared" si="21"/>
        <v>0</v>
      </c>
      <c r="J103">
        <f t="shared" si="21"/>
        <v>0</v>
      </c>
      <c r="K103">
        <f t="shared" si="21"/>
        <v>0</v>
      </c>
      <c r="L103">
        <f t="shared" si="21"/>
        <v>0</v>
      </c>
      <c r="M103">
        <f t="shared" si="21"/>
        <v>0</v>
      </c>
      <c r="N103">
        <f t="shared" si="21"/>
        <v>0</v>
      </c>
      <c r="O103">
        <f t="shared" si="21"/>
        <v>0</v>
      </c>
      <c r="S103">
        <v>12</v>
      </c>
      <c r="T103">
        <f t="shared" si="28"/>
        <v>0</v>
      </c>
      <c r="U103">
        <f t="shared" si="22"/>
        <v>0</v>
      </c>
      <c r="V103">
        <f t="shared" si="22"/>
        <v>0</v>
      </c>
      <c r="W103">
        <f t="shared" si="22"/>
        <v>0</v>
      </c>
      <c r="X103">
        <f t="shared" si="22"/>
        <v>0</v>
      </c>
      <c r="Y103">
        <f t="shared" si="22"/>
        <v>0</v>
      </c>
      <c r="Z103">
        <f t="shared" si="22"/>
        <v>0</v>
      </c>
      <c r="AA103">
        <f t="shared" si="22"/>
        <v>0</v>
      </c>
      <c r="AB103">
        <f t="shared" si="22"/>
        <v>0</v>
      </c>
      <c r="AC103">
        <f t="shared" si="22"/>
        <v>0</v>
      </c>
      <c r="AD103">
        <f t="shared" si="22"/>
        <v>0</v>
      </c>
      <c r="AE103">
        <f t="shared" si="22"/>
        <v>0</v>
      </c>
      <c r="AF103">
        <f t="shared" si="22"/>
        <v>0</v>
      </c>
      <c r="AG103">
        <f t="shared" si="22"/>
        <v>0</v>
      </c>
      <c r="AK103">
        <v>12</v>
      </c>
      <c r="AL103">
        <f t="shared" si="29"/>
        <v>0</v>
      </c>
      <c r="AM103">
        <f t="shared" si="23"/>
        <v>0</v>
      </c>
      <c r="AN103">
        <f t="shared" si="23"/>
        <v>0</v>
      </c>
      <c r="AO103">
        <f t="shared" si="23"/>
        <v>0</v>
      </c>
      <c r="AP103">
        <f t="shared" si="23"/>
        <v>0</v>
      </c>
      <c r="AQ103">
        <f t="shared" si="23"/>
        <v>0</v>
      </c>
      <c r="AR103">
        <f t="shared" si="23"/>
        <v>0</v>
      </c>
      <c r="AS103">
        <f t="shared" si="23"/>
        <v>0</v>
      </c>
      <c r="AT103">
        <f t="shared" si="23"/>
        <v>0</v>
      </c>
      <c r="AU103">
        <f t="shared" si="23"/>
        <v>0</v>
      </c>
      <c r="AV103">
        <f t="shared" si="23"/>
        <v>0</v>
      </c>
      <c r="AW103">
        <f t="shared" si="23"/>
        <v>0</v>
      </c>
      <c r="AX103">
        <f t="shared" si="23"/>
        <v>0</v>
      </c>
      <c r="AY103">
        <f t="shared" si="23"/>
        <v>0</v>
      </c>
      <c r="BC103">
        <v>12</v>
      </c>
      <c r="BD103">
        <f t="shared" si="30"/>
        <v>0</v>
      </c>
      <c r="BE103">
        <f t="shared" si="24"/>
        <v>0</v>
      </c>
      <c r="BF103">
        <f t="shared" si="24"/>
        <v>0</v>
      </c>
      <c r="BG103">
        <f t="shared" si="24"/>
        <v>0</v>
      </c>
      <c r="BH103">
        <f t="shared" si="24"/>
        <v>0</v>
      </c>
      <c r="BI103">
        <f t="shared" si="24"/>
        <v>0</v>
      </c>
      <c r="BJ103">
        <f t="shared" si="24"/>
        <v>0</v>
      </c>
      <c r="BK103">
        <f t="shared" si="24"/>
        <v>0</v>
      </c>
      <c r="BL103">
        <f t="shared" si="24"/>
        <v>0</v>
      </c>
      <c r="BM103">
        <f t="shared" si="24"/>
        <v>0</v>
      </c>
      <c r="BN103">
        <f t="shared" si="24"/>
        <v>0</v>
      </c>
      <c r="BO103">
        <f t="shared" si="24"/>
        <v>0</v>
      </c>
      <c r="BP103">
        <f t="shared" si="24"/>
        <v>0</v>
      </c>
      <c r="BQ103">
        <f t="shared" si="24"/>
        <v>0</v>
      </c>
      <c r="BU103">
        <v>12</v>
      </c>
      <c r="BV103">
        <f t="shared" si="31"/>
        <v>0</v>
      </c>
      <c r="BW103">
        <f t="shared" si="25"/>
        <v>0</v>
      </c>
      <c r="BX103">
        <f t="shared" si="25"/>
        <v>0</v>
      </c>
      <c r="BY103">
        <f t="shared" si="25"/>
        <v>0</v>
      </c>
      <c r="BZ103">
        <f t="shared" si="25"/>
        <v>0</v>
      </c>
      <c r="CA103">
        <f t="shared" si="25"/>
        <v>0</v>
      </c>
      <c r="CB103">
        <f t="shared" si="25"/>
        <v>0</v>
      </c>
      <c r="CC103">
        <f t="shared" si="25"/>
        <v>0</v>
      </c>
      <c r="CD103">
        <f t="shared" si="25"/>
        <v>0</v>
      </c>
      <c r="CE103">
        <f t="shared" si="25"/>
        <v>0</v>
      </c>
      <c r="CF103">
        <f t="shared" si="25"/>
        <v>0</v>
      </c>
      <c r="CG103">
        <f t="shared" si="25"/>
        <v>0</v>
      </c>
      <c r="CH103">
        <f t="shared" si="25"/>
        <v>0</v>
      </c>
      <c r="CI103">
        <f t="shared" si="25"/>
        <v>0</v>
      </c>
      <c r="CM103">
        <v>12</v>
      </c>
      <c r="CN103">
        <f t="shared" si="32"/>
        <v>0</v>
      </c>
      <c r="CO103">
        <f t="shared" si="26"/>
        <v>0</v>
      </c>
      <c r="CP103">
        <f t="shared" si="26"/>
        <v>0</v>
      </c>
      <c r="CQ103">
        <f t="shared" si="26"/>
        <v>0</v>
      </c>
      <c r="CR103">
        <f t="shared" si="26"/>
        <v>0</v>
      </c>
      <c r="CS103">
        <f t="shared" si="26"/>
        <v>0</v>
      </c>
      <c r="CT103">
        <f t="shared" si="26"/>
        <v>0</v>
      </c>
      <c r="CU103">
        <f t="shared" si="26"/>
        <v>0</v>
      </c>
      <c r="CV103">
        <f t="shared" si="26"/>
        <v>0</v>
      </c>
      <c r="CW103">
        <f t="shared" si="26"/>
        <v>0</v>
      </c>
      <c r="CX103">
        <f t="shared" si="26"/>
        <v>0</v>
      </c>
      <c r="CY103">
        <f t="shared" si="26"/>
        <v>0</v>
      </c>
      <c r="CZ103">
        <f t="shared" si="26"/>
        <v>0</v>
      </c>
      <c r="DA103">
        <f t="shared" si="26"/>
        <v>0</v>
      </c>
    </row>
    <row r="104" spans="1:105" x14ac:dyDescent="0.3">
      <c r="A104">
        <v>13</v>
      </c>
      <c r="B104">
        <f t="shared" si="27"/>
        <v>0</v>
      </c>
      <c r="C104">
        <f t="shared" si="21"/>
        <v>0</v>
      </c>
      <c r="D104">
        <f t="shared" si="21"/>
        <v>0</v>
      </c>
      <c r="E104">
        <f t="shared" si="21"/>
        <v>0</v>
      </c>
      <c r="F104">
        <f t="shared" si="21"/>
        <v>0</v>
      </c>
      <c r="G104">
        <f t="shared" si="21"/>
        <v>0</v>
      </c>
      <c r="H104">
        <f t="shared" si="21"/>
        <v>0</v>
      </c>
      <c r="I104">
        <f t="shared" si="21"/>
        <v>0</v>
      </c>
      <c r="J104">
        <f t="shared" si="21"/>
        <v>0</v>
      </c>
      <c r="K104">
        <f t="shared" si="21"/>
        <v>0</v>
      </c>
      <c r="L104">
        <f t="shared" si="21"/>
        <v>0</v>
      </c>
      <c r="M104">
        <f t="shared" si="21"/>
        <v>0</v>
      </c>
      <c r="N104">
        <f t="shared" si="21"/>
        <v>0</v>
      </c>
      <c r="O104">
        <f t="shared" si="21"/>
        <v>0</v>
      </c>
      <c r="S104">
        <v>13</v>
      </c>
      <c r="T104">
        <f t="shared" si="28"/>
        <v>0</v>
      </c>
      <c r="U104">
        <f t="shared" si="22"/>
        <v>0</v>
      </c>
      <c r="V104">
        <f t="shared" si="22"/>
        <v>0</v>
      </c>
      <c r="W104">
        <f t="shared" si="22"/>
        <v>0</v>
      </c>
      <c r="X104">
        <f t="shared" si="22"/>
        <v>0</v>
      </c>
      <c r="Y104">
        <f t="shared" si="22"/>
        <v>0</v>
      </c>
      <c r="Z104">
        <f t="shared" si="22"/>
        <v>0</v>
      </c>
      <c r="AA104">
        <f t="shared" si="22"/>
        <v>0</v>
      </c>
      <c r="AB104">
        <f t="shared" si="22"/>
        <v>0</v>
      </c>
      <c r="AC104">
        <f t="shared" si="22"/>
        <v>0</v>
      </c>
      <c r="AD104">
        <f t="shared" si="22"/>
        <v>0</v>
      </c>
      <c r="AE104">
        <f t="shared" si="22"/>
        <v>0</v>
      </c>
      <c r="AF104">
        <f t="shared" si="22"/>
        <v>0</v>
      </c>
      <c r="AG104">
        <f t="shared" si="22"/>
        <v>0</v>
      </c>
      <c r="AK104">
        <v>13</v>
      </c>
      <c r="AL104">
        <f t="shared" si="29"/>
        <v>0</v>
      </c>
      <c r="AM104">
        <f t="shared" si="23"/>
        <v>0</v>
      </c>
      <c r="AN104">
        <f t="shared" si="23"/>
        <v>0</v>
      </c>
      <c r="AO104">
        <f t="shared" si="23"/>
        <v>0</v>
      </c>
      <c r="AP104">
        <f t="shared" si="23"/>
        <v>0</v>
      </c>
      <c r="AQ104">
        <f t="shared" si="23"/>
        <v>0</v>
      </c>
      <c r="AR104">
        <f t="shared" si="23"/>
        <v>0</v>
      </c>
      <c r="AS104">
        <f t="shared" si="23"/>
        <v>0</v>
      </c>
      <c r="AT104">
        <f t="shared" si="23"/>
        <v>0</v>
      </c>
      <c r="AU104">
        <f t="shared" si="23"/>
        <v>0</v>
      </c>
      <c r="AV104">
        <f t="shared" si="23"/>
        <v>0</v>
      </c>
      <c r="AW104">
        <f t="shared" si="23"/>
        <v>0</v>
      </c>
      <c r="AX104">
        <f t="shared" si="23"/>
        <v>0</v>
      </c>
      <c r="AY104">
        <f t="shared" si="23"/>
        <v>0</v>
      </c>
      <c r="BC104">
        <v>13</v>
      </c>
      <c r="BD104">
        <f t="shared" si="30"/>
        <v>0</v>
      </c>
      <c r="BE104">
        <f t="shared" si="24"/>
        <v>0</v>
      </c>
      <c r="BF104">
        <f t="shared" si="24"/>
        <v>0</v>
      </c>
      <c r="BG104">
        <f t="shared" si="24"/>
        <v>0</v>
      </c>
      <c r="BH104">
        <f t="shared" si="24"/>
        <v>0</v>
      </c>
      <c r="BI104">
        <f t="shared" si="24"/>
        <v>0</v>
      </c>
      <c r="BJ104">
        <f t="shared" si="24"/>
        <v>0</v>
      </c>
      <c r="BK104">
        <f t="shared" si="24"/>
        <v>0</v>
      </c>
      <c r="BL104">
        <f t="shared" si="24"/>
        <v>0</v>
      </c>
      <c r="BM104">
        <f t="shared" si="24"/>
        <v>0</v>
      </c>
      <c r="BN104">
        <f t="shared" si="24"/>
        <v>0</v>
      </c>
      <c r="BO104">
        <f t="shared" si="24"/>
        <v>0</v>
      </c>
      <c r="BP104">
        <f t="shared" si="24"/>
        <v>0</v>
      </c>
      <c r="BQ104">
        <f t="shared" si="24"/>
        <v>0</v>
      </c>
      <c r="BU104">
        <v>13</v>
      </c>
      <c r="BV104">
        <f t="shared" si="31"/>
        <v>0</v>
      </c>
      <c r="BW104">
        <f t="shared" si="25"/>
        <v>0</v>
      </c>
      <c r="BX104">
        <f t="shared" si="25"/>
        <v>0</v>
      </c>
      <c r="BY104">
        <f t="shared" si="25"/>
        <v>0</v>
      </c>
      <c r="BZ104">
        <f t="shared" si="25"/>
        <v>0</v>
      </c>
      <c r="CA104">
        <f t="shared" si="25"/>
        <v>0</v>
      </c>
      <c r="CB104">
        <f t="shared" si="25"/>
        <v>-64.845971347493887</v>
      </c>
      <c r="CC104">
        <f t="shared" si="25"/>
        <v>129.69194269498777</v>
      </c>
      <c r="CD104">
        <f t="shared" si="25"/>
        <v>0</v>
      </c>
      <c r="CE104">
        <f t="shared" si="25"/>
        <v>0</v>
      </c>
      <c r="CF104">
        <f t="shared" si="25"/>
        <v>0</v>
      </c>
      <c r="CG104">
        <f t="shared" si="25"/>
        <v>0</v>
      </c>
      <c r="CH104">
        <f t="shared" si="25"/>
        <v>64.845971347493887</v>
      </c>
      <c r="CI104">
        <f t="shared" si="25"/>
        <v>-129.69194269498777</v>
      </c>
      <c r="CM104">
        <v>13</v>
      </c>
      <c r="CN104">
        <f t="shared" si="32"/>
        <v>0</v>
      </c>
      <c r="CO104">
        <f t="shared" si="26"/>
        <v>0</v>
      </c>
      <c r="CP104">
        <f t="shared" si="26"/>
        <v>0</v>
      </c>
      <c r="CQ104">
        <f t="shared" si="26"/>
        <v>0</v>
      </c>
      <c r="CR104">
        <f t="shared" si="26"/>
        <v>0</v>
      </c>
      <c r="CS104">
        <f t="shared" si="26"/>
        <v>0</v>
      </c>
      <c r="CT104">
        <f t="shared" si="26"/>
        <v>0</v>
      </c>
      <c r="CU104">
        <f t="shared" si="26"/>
        <v>0</v>
      </c>
      <c r="CV104">
        <f t="shared" si="26"/>
        <v>0</v>
      </c>
      <c r="CW104">
        <f t="shared" si="26"/>
        <v>0</v>
      </c>
      <c r="CX104">
        <f t="shared" si="26"/>
        <v>0</v>
      </c>
      <c r="CY104">
        <f t="shared" si="26"/>
        <v>0</v>
      </c>
      <c r="CZ104">
        <f t="shared" si="26"/>
        <v>0</v>
      </c>
      <c r="DA104">
        <f t="shared" si="26"/>
        <v>0</v>
      </c>
    </row>
    <row r="105" spans="1:105" x14ac:dyDescent="0.3">
      <c r="A105">
        <v>14</v>
      </c>
      <c r="B105">
        <f t="shared" si="27"/>
        <v>0</v>
      </c>
      <c r="C105">
        <f t="shared" si="21"/>
        <v>0</v>
      </c>
      <c r="D105">
        <f t="shared" si="21"/>
        <v>0</v>
      </c>
      <c r="E105">
        <f t="shared" si="21"/>
        <v>0</v>
      </c>
      <c r="F105">
        <f t="shared" si="21"/>
        <v>0</v>
      </c>
      <c r="G105">
        <f t="shared" si="21"/>
        <v>0</v>
      </c>
      <c r="H105">
        <f t="shared" si="21"/>
        <v>0</v>
      </c>
      <c r="I105">
        <f t="shared" si="21"/>
        <v>0</v>
      </c>
      <c r="J105">
        <f t="shared" si="21"/>
        <v>0</v>
      </c>
      <c r="K105">
        <f t="shared" si="21"/>
        <v>0</v>
      </c>
      <c r="L105">
        <f t="shared" si="21"/>
        <v>0</v>
      </c>
      <c r="M105">
        <f t="shared" si="21"/>
        <v>0</v>
      </c>
      <c r="N105">
        <f t="shared" si="21"/>
        <v>0</v>
      </c>
      <c r="O105">
        <f t="shared" si="21"/>
        <v>0</v>
      </c>
      <c r="S105">
        <v>14</v>
      </c>
      <c r="T105">
        <f t="shared" si="28"/>
        <v>0</v>
      </c>
      <c r="U105">
        <f t="shared" si="22"/>
        <v>0</v>
      </c>
      <c r="V105">
        <f t="shared" si="22"/>
        <v>0</v>
      </c>
      <c r="W105">
        <f t="shared" si="22"/>
        <v>0</v>
      </c>
      <c r="X105">
        <f t="shared" si="22"/>
        <v>0</v>
      </c>
      <c r="Y105">
        <f t="shared" si="22"/>
        <v>0</v>
      </c>
      <c r="Z105">
        <f t="shared" si="22"/>
        <v>0</v>
      </c>
      <c r="AA105">
        <f t="shared" si="22"/>
        <v>0</v>
      </c>
      <c r="AB105">
        <f t="shared" si="22"/>
        <v>0</v>
      </c>
      <c r="AC105">
        <f t="shared" si="22"/>
        <v>0</v>
      </c>
      <c r="AD105">
        <f t="shared" si="22"/>
        <v>0</v>
      </c>
      <c r="AE105">
        <f t="shared" si="22"/>
        <v>0</v>
      </c>
      <c r="AF105">
        <f t="shared" si="22"/>
        <v>0</v>
      </c>
      <c r="AG105">
        <f t="shared" si="22"/>
        <v>0</v>
      </c>
      <c r="AK105">
        <v>14</v>
      </c>
      <c r="AL105">
        <f t="shared" si="29"/>
        <v>0</v>
      </c>
      <c r="AM105">
        <f t="shared" si="23"/>
        <v>0</v>
      </c>
      <c r="AN105">
        <f t="shared" si="23"/>
        <v>0</v>
      </c>
      <c r="AO105">
        <f t="shared" si="23"/>
        <v>0</v>
      </c>
      <c r="AP105">
        <f t="shared" si="23"/>
        <v>0</v>
      </c>
      <c r="AQ105">
        <f t="shared" si="23"/>
        <v>0</v>
      </c>
      <c r="AR105">
        <f t="shared" si="23"/>
        <v>0</v>
      </c>
      <c r="AS105">
        <f t="shared" si="23"/>
        <v>0</v>
      </c>
      <c r="AT105">
        <f t="shared" si="23"/>
        <v>0</v>
      </c>
      <c r="AU105">
        <f t="shared" si="23"/>
        <v>0</v>
      </c>
      <c r="AV105">
        <f t="shared" si="23"/>
        <v>0</v>
      </c>
      <c r="AW105">
        <f t="shared" si="23"/>
        <v>0</v>
      </c>
      <c r="AX105">
        <f t="shared" si="23"/>
        <v>0</v>
      </c>
      <c r="AY105">
        <f t="shared" si="23"/>
        <v>0</v>
      </c>
      <c r="BC105">
        <v>14</v>
      </c>
      <c r="BD105">
        <f t="shared" si="30"/>
        <v>0</v>
      </c>
      <c r="BE105">
        <f t="shared" si="24"/>
        <v>0</v>
      </c>
      <c r="BF105">
        <f t="shared" si="24"/>
        <v>0</v>
      </c>
      <c r="BG105">
        <f t="shared" si="24"/>
        <v>0</v>
      </c>
      <c r="BH105">
        <f t="shared" si="24"/>
        <v>0</v>
      </c>
      <c r="BI105">
        <f t="shared" si="24"/>
        <v>0</v>
      </c>
      <c r="BJ105">
        <f t="shared" si="24"/>
        <v>0</v>
      </c>
      <c r="BK105">
        <f t="shared" si="24"/>
        <v>0</v>
      </c>
      <c r="BL105">
        <f t="shared" si="24"/>
        <v>0</v>
      </c>
      <c r="BM105">
        <f t="shared" si="24"/>
        <v>0</v>
      </c>
      <c r="BN105">
        <f t="shared" si="24"/>
        <v>0</v>
      </c>
      <c r="BO105">
        <f t="shared" si="24"/>
        <v>0</v>
      </c>
      <c r="BP105">
        <f t="shared" si="24"/>
        <v>0</v>
      </c>
      <c r="BQ105">
        <f t="shared" si="24"/>
        <v>0</v>
      </c>
      <c r="BU105">
        <v>14</v>
      </c>
      <c r="BV105">
        <f t="shared" si="31"/>
        <v>0</v>
      </c>
      <c r="BW105">
        <f t="shared" si="25"/>
        <v>0</v>
      </c>
      <c r="BX105">
        <f t="shared" si="25"/>
        <v>0</v>
      </c>
      <c r="BY105">
        <f t="shared" si="25"/>
        <v>0</v>
      </c>
      <c r="BZ105">
        <f t="shared" si="25"/>
        <v>0</v>
      </c>
      <c r="CA105">
        <f t="shared" si="25"/>
        <v>0</v>
      </c>
      <c r="CB105">
        <f t="shared" si="25"/>
        <v>129.69194269498777</v>
      </c>
      <c r="CC105">
        <f t="shared" si="25"/>
        <v>-259.38388538997555</v>
      </c>
      <c r="CD105">
        <f t="shared" si="25"/>
        <v>0</v>
      </c>
      <c r="CE105">
        <f t="shared" si="25"/>
        <v>0</v>
      </c>
      <c r="CF105">
        <f t="shared" si="25"/>
        <v>0</v>
      </c>
      <c r="CG105">
        <f t="shared" si="25"/>
        <v>0</v>
      </c>
      <c r="CH105">
        <f t="shared" si="25"/>
        <v>-129.69194269498777</v>
      </c>
      <c r="CI105">
        <f t="shared" si="25"/>
        <v>259.38388538997555</v>
      </c>
      <c r="CM105">
        <v>14</v>
      </c>
      <c r="CN105">
        <f t="shared" si="32"/>
        <v>0</v>
      </c>
      <c r="CO105">
        <f t="shared" si="26"/>
        <v>0</v>
      </c>
      <c r="CP105">
        <f t="shared" si="26"/>
        <v>0</v>
      </c>
      <c r="CQ105">
        <f t="shared" si="26"/>
        <v>0</v>
      </c>
      <c r="CR105">
        <f t="shared" si="26"/>
        <v>0</v>
      </c>
      <c r="CS105">
        <f t="shared" si="26"/>
        <v>0</v>
      </c>
      <c r="CT105">
        <f t="shared" si="26"/>
        <v>0</v>
      </c>
      <c r="CU105">
        <f t="shared" si="26"/>
        <v>0</v>
      </c>
      <c r="CV105">
        <f t="shared" si="26"/>
        <v>0</v>
      </c>
      <c r="CW105">
        <f t="shared" si="26"/>
        <v>-226.5625</v>
      </c>
      <c r="CX105">
        <f t="shared" si="26"/>
        <v>0</v>
      </c>
      <c r="CY105">
        <f t="shared" si="26"/>
        <v>0</v>
      </c>
      <c r="CZ105">
        <f t="shared" si="26"/>
        <v>0</v>
      </c>
      <c r="DA105">
        <f t="shared" si="26"/>
        <v>226.5625</v>
      </c>
    </row>
    <row r="114" spans="1:15" x14ac:dyDescent="0.3">
      <c r="A114" s="21" t="s">
        <v>13</v>
      </c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</row>
    <row r="115" spans="1:15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x14ac:dyDescent="0.3">
      <c r="A116" s="5" t="s">
        <v>12</v>
      </c>
      <c r="B116" s="6">
        <v>1</v>
      </c>
      <c r="C116" s="6">
        <v>2</v>
      </c>
      <c r="D116" s="6">
        <v>3</v>
      </c>
      <c r="E116" s="6">
        <v>4</v>
      </c>
      <c r="F116" s="6">
        <v>5</v>
      </c>
      <c r="G116" s="6">
        <v>6</v>
      </c>
      <c r="H116" s="6">
        <v>7</v>
      </c>
      <c r="I116" s="6">
        <v>8</v>
      </c>
      <c r="J116" s="6">
        <v>9</v>
      </c>
      <c r="K116" s="6">
        <v>10</v>
      </c>
      <c r="L116" s="6">
        <v>11</v>
      </c>
      <c r="M116" s="6">
        <v>12</v>
      </c>
      <c r="N116" s="6">
        <v>13</v>
      </c>
      <c r="O116" s="6">
        <v>14</v>
      </c>
    </row>
    <row r="117" spans="1:15" x14ac:dyDescent="0.3">
      <c r="A117" s="5">
        <f t="array" ref="A117:A130">TRANSPOSE(B116:O116)</f>
        <v>1</v>
      </c>
      <c r="B117" s="7">
        <f t="array" ref="B117:O130">+B40:O53+T40:AG53+AL40:AY53+BD40:BQ53+BV40:CI53+B92:O105+T92:AG105+AL92:AY105+BD92:BQ105+BV92:CI105+CN92:DA105</f>
        <v>682.41066800513033</v>
      </c>
      <c r="C117">
        <v>31.121415017804424</v>
      </c>
      <c r="D117">
        <v>-190.21872531014262</v>
      </c>
      <c r="E117">
        <v>228.26247037217112</v>
      </c>
      <c r="F117">
        <v>-64.845971347493887</v>
      </c>
      <c r="G117">
        <v>-129.69194269498777</v>
      </c>
      <c r="H117">
        <v>-362.5</v>
      </c>
      <c r="I117">
        <v>0</v>
      </c>
      <c r="J117">
        <v>0</v>
      </c>
      <c r="K117">
        <v>0</v>
      </c>
      <c r="L117">
        <v>-64.845971347493887</v>
      </c>
      <c r="M117">
        <v>-129.69194269498777</v>
      </c>
      <c r="N117">
        <v>0</v>
      </c>
      <c r="O117">
        <v>0</v>
      </c>
    </row>
    <row r="118" spans="1:15" x14ac:dyDescent="0.3">
      <c r="A118" s="5">
        <v>2</v>
      </c>
      <c r="B118">
        <v>31.121415017804424</v>
      </c>
      <c r="C118" s="7">
        <v>792.68273522655636</v>
      </c>
      <c r="D118">
        <v>228.26247037217112</v>
      </c>
      <c r="E118">
        <v>-273.91496444660532</v>
      </c>
      <c r="F118">
        <v>-129.69194269498777</v>
      </c>
      <c r="G118">
        <v>-259.38388538997555</v>
      </c>
      <c r="H118">
        <v>0</v>
      </c>
      <c r="I118">
        <v>0</v>
      </c>
      <c r="J118">
        <v>0</v>
      </c>
      <c r="K118">
        <v>0</v>
      </c>
      <c r="L118">
        <v>-129.69194269498777</v>
      </c>
      <c r="M118">
        <v>-259.38388538997555</v>
      </c>
      <c r="N118">
        <v>0</v>
      </c>
      <c r="O118">
        <v>0</v>
      </c>
    </row>
    <row r="119" spans="1:15" x14ac:dyDescent="0.3">
      <c r="A119" s="5">
        <v>3</v>
      </c>
      <c r="B119">
        <v>-190.21872531014262</v>
      </c>
      <c r="C119">
        <v>228.26247037217112</v>
      </c>
      <c r="D119" s="7">
        <v>480.36769121178622</v>
      </c>
      <c r="E119">
        <v>-112.20288401151369</v>
      </c>
      <c r="F119">
        <v>-290.14896590164363</v>
      </c>
      <c r="G119">
        <v>-116.05958636065743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3">
      <c r="A120" s="5">
        <v>4</v>
      </c>
      <c r="B120">
        <v>228.26247037217112</v>
      </c>
      <c r="C120">
        <v>-273.91496444660532</v>
      </c>
      <c r="D120">
        <v>-112.20288401151369</v>
      </c>
      <c r="E120" s="7">
        <v>546.90129899086833</v>
      </c>
      <c r="F120">
        <v>-116.05958636065743</v>
      </c>
      <c r="G120">
        <v>-46.423834544262967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-226.5625</v>
      </c>
      <c r="N120">
        <v>0</v>
      </c>
      <c r="O120">
        <v>0</v>
      </c>
    </row>
    <row r="121" spans="1:15" x14ac:dyDescent="0.3">
      <c r="A121" s="5">
        <v>5</v>
      </c>
      <c r="B121">
        <v>-64.845971347493887</v>
      </c>
      <c r="C121">
        <v>-129.69194269498777</v>
      </c>
      <c r="D121">
        <v>-290.14896590164363</v>
      </c>
      <c r="E121">
        <v>-116.05958636065743</v>
      </c>
      <c r="F121" s="7">
        <v>709.98987449827507</v>
      </c>
      <c r="G121">
        <v>1.4210854715202004E-14</v>
      </c>
      <c r="H121">
        <v>-64.845971347493887</v>
      </c>
      <c r="I121">
        <v>129.69194269498777</v>
      </c>
      <c r="J121">
        <v>-290.14896590164363</v>
      </c>
      <c r="K121">
        <v>116.05958636065743</v>
      </c>
      <c r="L121">
        <v>0</v>
      </c>
      <c r="M121">
        <v>0</v>
      </c>
      <c r="N121">
        <v>0</v>
      </c>
      <c r="O121">
        <v>0</v>
      </c>
    </row>
    <row r="122" spans="1:15" x14ac:dyDescent="0.3">
      <c r="A122" s="5">
        <v>6</v>
      </c>
      <c r="B122">
        <v>-129.69194269498777</v>
      </c>
      <c r="C122">
        <v>-259.38388538997555</v>
      </c>
      <c r="D122">
        <v>-116.05958636065743</v>
      </c>
      <c r="E122">
        <v>-46.423834544262967</v>
      </c>
      <c r="F122">
        <v>1.4210854715202004E-14</v>
      </c>
      <c r="G122" s="7">
        <v>611.61543986847698</v>
      </c>
      <c r="H122">
        <v>129.69194269498777</v>
      </c>
      <c r="I122">
        <v>-259.38388538997555</v>
      </c>
      <c r="J122">
        <v>116.05958636065743</v>
      </c>
      <c r="K122">
        <v>-46.423834544262967</v>
      </c>
      <c r="L122">
        <v>0</v>
      </c>
      <c r="M122">
        <v>0</v>
      </c>
      <c r="N122">
        <v>0</v>
      </c>
      <c r="O122">
        <v>0</v>
      </c>
    </row>
    <row r="123" spans="1:15" x14ac:dyDescent="0.3">
      <c r="A123" s="5">
        <v>7</v>
      </c>
      <c r="B123">
        <v>-362.5</v>
      </c>
      <c r="C123">
        <v>0</v>
      </c>
      <c r="D123">
        <v>0</v>
      </c>
      <c r="E123">
        <v>0</v>
      </c>
      <c r="F123">
        <v>-64.845971347493887</v>
      </c>
      <c r="G123">
        <v>129.69194269498777</v>
      </c>
      <c r="H123" s="7">
        <v>682.41066800513045</v>
      </c>
      <c r="I123">
        <v>-31.121415017804424</v>
      </c>
      <c r="J123">
        <v>-190.21872531014262</v>
      </c>
      <c r="K123">
        <v>-228.26247037217112</v>
      </c>
      <c r="L123">
        <v>0</v>
      </c>
      <c r="M123">
        <v>0</v>
      </c>
      <c r="N123">
        <v>-64.845971347493887</v>
      </c>
      <c r="O123">
        <v>129.69194269498777</v>
      </c>
    </row>
    <row r="124" spans="1:15" x14ac:dyDescent="0.3">
      <c r="A124" s="5">
        <v>8</v>
      </c>
      <c r="B124">
        <v>0</v>
      </c>
      <c r="C124">
        <v>0</v>
      </c>
      <c r="D124">
        <v>0</v>
      </c>
      <c r="E124">
        <v>0</v>
      </c>
      <c r="F124">
        <v>129.69194269498777</v>
      </c>
      <c r="G124">
        <v>-259.38388538997555</v>
      </c>
      <c r="H124">
        <v>-31.121415017804424</v>
      </c>
      <c r="I124" s="7">
        <v>792.68273522655636</v>
      </c>
      <c r="J124">
        <v>-228.26247037217112</v>
      </c>
      <c r="K124">
        <v>-273.91496444660532</v>
      </c>
      <c r="L124">
        <v>0</v>
      </c>
      <c r="M124">
        <v>0</v>
      </c>
      <c r="N124">
        <v>129.69194269498777</v>
      </c>
      <c r="O124">
        <v>-259.38388538997555</v>
      </c>
    </row>
    <row r="125" spans="1:15" x14ac:dyDescent="0.3">
      <c r="A125" s="5">
        <v>9</v>
      </c>
      <c r="B125">
        <v>0</v>
      </c>
      <c r="C125">
        <v>0</v>
      </c>
      <c r="D125">
        <v>0</v>
      </c>
      <c r="E125">
        <v>0</v>
      </c>
      <c r="F125">
        <v>-290.14896590164363</v>
      </c>
      <c r="G125">
        <v>116.05958636065743</v>
      </c>
      <c r="H125">
        <v>-190.21872531014262</v>
      </c>
      <c r="I125">
        <v>-228.26247037217112</v>
      </c>
      <c r="J125" s="7">
        <v>480.36769121178622</v>
      </c>
      <c r="K125">
        <v>112.20288401151369</v>
      </c>
      <c r="L125">
        <v>0</v>
      </c>
      <c r="M125">
        <v>0</v>
      </c>
      <c r="N125">
        <v>0</v>
      </c>
      <c r="O125">
        <v>0</v>
      </c>
    </row>
    <row r="126" spans="1:15" x14ac:dyDescent="0.3">
      <c r="A126" s="5">
        <v>10</v>
      </c>
      <c r="B126">
        <v>0</v>
      </c>
      <c r="C126">
        <v>0</v>
      </c>
      <c r="D126">
        <v>0</v>
      </c>
      <c r="E126">
        <v>0</v>
      </c>
      <c r="F126">
        <v>116.05958636065743</v>
      </c>
      <c r="G126">
        <v>-46.423834544262967</v>
      </c>
      <c r="H126">
        <v>-228.26247037217112</v>
      </c>
      <c r="I126">
        <v>-273.91496444660532</v>
      </c>
      <c r="J126">
        <v>112.20288401151369</v>
      </c>
      <c r="K126" s="7">
        <v>546.90129899086833</v>
      </c>
      <c r="L126">
        <v>0</v>
      </c>
      <c r="M126">
        <v>0</v>
      </c>
      <c r="N126">
        <v>0</v>
      </c>
      <c r="O126">
        <v>-226.5625</v>
      </c>
    </row>
    <row r="127" spans="1:15" x14ac:dyDescent="0.3">
      <c r="A127" s="5">
        <v>11</v>
      </c>
      <c r="B127">
        <v>-64.845971347493887</v>
      </c>
      <c r="C127">
        <v>-129.69194269498777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7">
        <v>64.845971347493887</v>
      </c>
      <c r="M127">
        <v>129.69194269498777</v>
      </c>
      <c r="N127">
        <v>0</v>
      </c>
      <c r="O127">
        <v>0</v>
      </c>
    </row>
    <row r="128" spans="1:15" x14ac:dyDescent="0.3">
      <c r="A128" s="5">
        <v>12</v>
      </c>
      <c r="B128">
        <v>-129.69194269498777</v>
      </c>
      <c r="C128">
        <v>-259.38388538997555</v>
      </c>
      <c r="D128">
        <v>0</v>
      </c>
      <c r="E128">
        <v>-226.5625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129.69194269498777</v>
      </c>
      <c r="M128" s="7">
        <v>485.94638538997555</v>
      </c>
      <c r="N128">
        <v>0</v>
      </c>
      <c r="O128">
        <v>0</v>
      </c>
    </row>
    <row r="129" spans="1:17" x14ac:dyDescent="0.3">
      <c r="A129" s="5">
        <v>13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-64.845971347493887</v>
      </c>
      <c r="I129">
        <v>129.69194269498777</v>
      </c>
      <c r="J129">
        <v>0</v>
      </c>
      <c r="K129">
        <v>0</v>
      </c>
      <c r="L129">
        <v>0</v>
      </c>
      <c r="M129">
        <v>0</v>
      </c>
      <c r="N129" s="7">
        <v>64.845971347493887</v>
      </c>
      <c r="O129">
        <v>-129.69194269498777</v>
      </c>
    </row>
    <row r="130" spans="1:17" x14ac:dyDescent="0.3">
      <c r="A130" s="5">
        <v>14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129.69194269498777</v>
      </c>
      <c r="I130">
        <v>-259.38388538997555</v>
      </c>
      <c r="J130">
        <v>0</v>
      </c>
      <c r="K130">
        <v>-226.5625</v>
      </c>
      <c r="L130">
        <v>0</v>
      </c>
      <c r="M130">
        <v>0</v>
      </c>
      <c r="N130">
        <v>-129.69194269498777</v>
      </c>
      <c r="O130" s="7">
        <v>485.94638538997555</v>
      </c>
    </row>
    <row r="134" spans="1:17" x14ac:dyDescent="0.3">
      <c r="A134" s="21" t="s">
        <v>14</v>
      </c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17"/>
    </row>
    <row r="136" spans="1:17" x14ac:dyDescent="0.3">
      <c r="A136" s="8" t="s">
        <v>15</v>
      </c>
      <c r="B136" s="8" t="s">
        <v>16</v>
      </c>
      <c r="C136" s="23" t="s">
        <v>32</v>
      </c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9" t="s">
        <v>21</v>
      </c>
    </row>
    <row r="137" spans="1:17" x14ac:dyDescent="0.3">
      <c r="A137" s="3">
        <v>1</v>
      </c>
      <c r="B137" s="3">
        <v>0</v>
      </c>
      <c r="C137" s="10">
        <f t="array" ref="C137:P150">+B117:O130</f>
        <v>682.41066800513033</v>
      </c>
      <c r="D137" s="10">
        <v>31.121415017804424</v>
      </c>
      <c r="E137" s="10">
        <v>-190.21872531014262</v>
      </c>
      <c r="F137" s="10">
        <v>228.26247037217112</v>
      </c>
      <c r="G137" s="10">
        <v>-64.845971347493887</v>
      </c>
      <c r="H137" s="10">
        <v>-129.69194269498777</v>
      </c>
      <c r="I137" s="10">
        <v>-362.5</v>
      </c>
      <c r="J137" s="10">
        <v>0</v>
      </c>
      <c r="K137" s="10">
        <v>0</v>
      </c>
      <c r="L137" s="10">
        <v>0</v>
      </c>
      <c r="M137" s="11">
        <v>-64.845971347493887</v>
      </c>
      <c r="N137" s="11">
        <v>-129.69194269498777</v>
      </c>
      <c r="O137" s="11">
        <v>0</v>
      </c>
      <c r="P137" s="11">
        <v>0</v>
      </c>
      <c r="Q137" s="4" t="s">
        <v>22</v>
      </c>
    </row>
    <row r="138" spans="1:17" x14ac:dyDescent="0.3">
      <c r="A138" s="3">
        <v>2</v>
      </c>
      <c r="B138" s="3">
        <v>0</v>
      </c>
      <c r="C138" s="10">
        <v>31.121415017804424</v>
      </c>
      <c r="D138" s="10">
        <v>792.68273522655636</v>
      </c>
      <c r="E138" s="10">
        <v>228.26247037217112</v>
      </c>
      <c r="F138" s="10">
        <v>-273.91496444660532</v>
      </c>
      <c r="G138" s="10">
        <v>-129.69194269498777</v>
      </c>
      <c r="H138" s="10">
        <v>-259.38388538997555</v>
      </c>
      <c r="I138" s="10">
        <v>0</v>
      </c>
      <c r="J138" s="10">
        <v>0</v>
      </c>
      <c r="K138" s="10">
        <v>0</v>
      </c>
      <c r="L138" s="10">
        <v>0</v>
      </c>
      <c r="M138" s="11">
        <v>-129.69194269498777</v>
      </c>
      <c r="N138" s="11">
        <v>-259.38388538997555</v>
      </c>
      <c r="O138" s="11">
        <v>0</v>
      </c>
      <c r="P138" s="11">
        <v>0</v>
      </c>
      <c r="Q138" s="4" t="s">
        <v>23</v>
      </c>
    </row>
    <row r="139" spans="1:17" x14ac:dyDescent="0.3">
      <c r="A139" s="3">
        <v>3</v>
      </c>
      <c r="B139" s="3">
        <v>15</v>
      </c>
      <c r="C139" s="10">
        <v>-190.21872531014262</v>
      </c>
      <c r="D139" s="10">
        <v>228.26247037217112</v>
      </c>
      <c r="E139" s="10">
        <v>480.36769121178622</v>
      </c>
      <c r="F139" s="10">
        <v>-112.20288401151369</v>
      </c>
      <c r="G139" s="10">
        <v>-290.14896590164363</v>
      </c>
      <c r="H139" s="10">
        <v>-116.05958636065743</v>
      </c>
      <c r="I139" s="10">
        <v>0</v>
      </c>
      <c r="J139" s="10">
        <v>0</v>
      </c>
      <c r="K139" s="10">
        <v>0</v>
      </c>
      <c r="L139" s="10">
        <v>0</v>
      </c>
      <c r="M139" s="11">
        <v>0</v>
      </c>
      <c r="N139" s="11">
        <v>0</v>
      </c>
      <c r="O139" s="11">
        <v>0</v>
      </c>
      <c r="P139" s="11">
        <v>0</v>
      </c>
      <c r="Q139" s="4" t="s">
        <v>24</v>
      </c>
    </row>
    <row r="140" spans="1:17" x14ac:dyDescent="0.3">
      <c r="A140" s="3">
        <v>4</v>
      </c>
      <c r="B140" s="3">
        <v>0</v>
      </c>
      <c r="C140" s="10">
        <v>228.26247037217112</v>
      </c>
      <c r="D140" s="10">
        <v>-273.91496444660532</v>
      </c>
      <c r="E140" s="10">
        <v>-112.20288401151369</v>
      </c>
      <c r="F140" s="10">
        <v>546.90129899086833</v>
      </c>
      <c r="G140" s="10">
        <v>-116.05958636065743</v>
      </c>
      <c r="H140" s="10">
        <v>-46.423834544262967</v>
      </c>
      <c r="I140" s="10">
        <v>0</v>
      </c>
      <c r="J140" s="10">
        <v>0</v>
      </c>
      <c r="K140" s="10">
        <v>0</v>
      </c>
      <c r="L140" s="10">
        <v>0</v>
      </c>
      <c r="M140" s="11">
        <v>0</v>
      </c>
      <c r="N140" s="11">
        <v>-226.5625</v>
      </c>
      <c r="O140" s="11">
        <v>0</v>
      </c>
      <c r="P140" s="11">
        <v>0</v>
      </c>
      <c r="Q140" s="4" t="s">
        <v>25</v>
      </c>
    </row>
    <row r="141" spans="1:17" x14ac:dyDescent="0.3">
      <c r="A141" s="3">
        <v>5</v>
      </c>
      <c r="B141" s="3">
        <v>0</v>
      </c>
      <c r="C141" s="10">
        <v>-64.845971347493887</v>
      </c>
      <c r="D141" s="10">
        <v>-129.69194269498777</v>
      </c>
      <c r="E141" s="10">
        <v>-290.14896590164363</v>
      </c>
      <c r="F141" s="10">
        <v>-116.05958636065743</v>
      </c>
      <c r="G141" s="10">
        <v>709.98987449827507</v>
      </c>
      <c r="H141" s="10">
        <v>1.4210854715202004E-14</v>
      </c>
      <c r="I141" s="10">
        <v>-64.845971347493887</v>
      </c>
      <c r="J141" s="10">
        <v>129.69194269498777</v>
      </c>
      <c r="K141" s="10">
        <v>-290.14896590164363</v>
      </c>
      <c r="L141" s="10">
        <v>116.05958636065743</v>
      </c>
      <c r="M141" s="11">
        <v>0</v>
      </c>
      <c r="N141" s="11">
        <v>0</v>
      </c>
      <c r="O141" s="11">
        <v>0</v>
      </c>
      <c r="P141" s="11">
        <v>0</v>
      </c>
      <c r="Q141" s="4" t="s">
        <v>26</v>
      </c>
    </row>
    <row r="142" spans="1:17" x14ac:dyDescent="0.3">
      <c r="A142" s="3">
        <v>6</v>
      </c>
      <c r="B142" s="3">
        <v>0</v>
      </c>
      <c r="C142" s="10">
        <v>-129.69194269498777</v>
      </c>
      <c r="D142" s="10">
        <v>-259.38388538997555</v>
      </c>
      <c r="E142" s="10">
        <v>-116.05958636065743</v>
      </c>
      <c r="F142" s="10">
        <v>-46.423834544262967</v>
      </c>
      <c r="G142" s="10">
        <v>1.4210854715202004E-14</v>
      </c>
      <c r="H142" s="10">
        <v>611.61543986847698</v>
      </c>
      <c r="I142" s="10">
        <v>129.69194269498777</v>
      </c>
      <c r="J142" s="10">
        <v>-259.38388538997555</v>
      </c>
      <c r="K142" s="10">
        <v>116.05958636065743</v>
      </c>
      <c r="L142" s="10">
        <v>-46.423834544262967</v>
      </c>
      <c r="M142" s="11">
        <v>0</v>
      </c>
      <c r="N142" s="11">
        <v>0</v>
      </c>
      <c r="O142" s="11">
        <v>0</v>
      </c>
      <c r="P142" s="11">
        <v>0</v>
      </c>
      <c r="Q142" s="4" t="s">
        <v>27</v>
      </c>
    </row>
    <row r="143" spans="1:17" x14ac:dyDescent="0.3">
      <c r="A143" s="3">
        <v>7</v>
      </c>
      <c r="B143" s="3">
        <f>+S138</f>
        <v>0</v>
      </c>
      <c r="C143" s="10">
        <v>-362.5</v>
      </c>
      <c r="D143" s="10">
        <v>0</v>
      </c>
      <c r="E143" s="10">
        <v>0</v>
      </c>
      <c r="F143" s="10">
        <v>0</v>
      </c>
      <c r="G143" s="10">
        <v>-64.845971347493887</v>
      </c>
      <c r="H143" s="10">
        <v>129.69194269498777</v>
      </c>
      <c r="I143" s="10">
        <v>682.41066800513045</v>
      </c>
      <c r="J143" s="10">
        <v>-31.121415017804424</v>
      </c>
      <c r="K143" s="10">
        <v>-190.21872531014262</v>
      </c>
      <c r="L143" s="10">
        <v>-228.26247037217112</v>
      </c>
      <c r="M143" s="11">
        <v>0</v>
      </c>
      <c r="N143" s="11">
        <v>0</v>
      </c>
      <c r="O143" s="11">
        <v>-64.845971347493887</v>
      </c>
      <c r="P143" s="11">
        <v>129.69194269498777</v>
      </c>
      <c r="Q143" s="4" t="s">
        <v>28</v>
      </c>
    </row>
    <row r="144" spans="1:17" x14ac:dyDescent="0.3">
      <c r="A144" s="3">
        <v>8</v>
      </c>
      <c r="B144" s="3">
        <v>-40</v>
      </c>
      <c r="C144" s="10">
        <v>0</v>
      </c>
      <c r="D144" s="10">
        <v>0</v>
      </c>
      <c r="E144" s="10">
        <v>0</v>
      </c>
      <c r="F144" s="10">
        <v>0</v>
      </c>
      <c r="G144" s="10">
        <v>129.69194269498777</v>
      </c>
      <c r="H144" s="10">
        <v>-259.38388538997555</v>
      </c>
      <c r="I144" s="10">
        <v>-31.121415017804424</v>
      </c>
      <c r="J144" s="10">
        <v>792.68273522655636</v>
      </c>
      <c r="K144" s="10">
        <v>-228.26247037217112</v>
      </c>
      <c r="L144" s="10">
        <v>-273.91496444660532</v>
      </c>
      <c r="M144" s="11">
        <v>0</v>
      </c>
      <c r="N144" s="11">
        <v>0</v>
      </c>
      <c r="O144" s="11">
        <v>129.69194269498777</v>
      </c>
      <c r="P144" s="11">
        <v>-259.38388538997555</v>
      </c>
      <c r="Q144" s="4" t="s">
        <v>29</v>
      </c>
    </row>
    <row r="145" spans="1:17" x14ac:dyDescent="0.3">
      <c r="A145" s="3">
        <v>9</v>
      </c>
      <c r="B145" s="3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-290.14896590164363</v>
      </c>
      <c r="H145" s="10">
        <v>116.05958636065743</v>
      </c>
      <c r="I145" s="10">
        <v>-190.21872531014262</v>
      </c>
      <c r="J145" s="10">
        <v>-228.26247037217112</v>
      </c>
      <c r="K145" s="10">
        <v>480.36769121178622</v>
      </c>
      <c r="L145" s="10">
        <v>112.20288401151369</v>
      </c>
      <c r="M145" s="11">
        <v>0</v>
      </c>
      <c r="N145" s="11">
        <v>0</v>
      </c>
      <c r="O145" s="11">
        <v>0</v>
      </c>
      <c r="P145" s="11">
        <v>0</v>
      </c>
      <c r="Q145" s="4" t="s">
        <v>30</v>
      </c>
    </row>
    <row r="146" spans="1:17" x14ac:dyDescent="0.3">
      <c r="A146" s="3">
        <v>10</v>
      </c>
      <c r="B146" s="3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116.05958636065743</v>
      </c>
      <c r="H146" s="10">
        <v>-46.423834544262967</v>
      </c>
      <c r="I146" s="10">
        <v>-228.26247037217112</v>
      </c>
      <c r="J146" s="10">
        <v>-273.91496444660532</v>
      </c>
      <c r="K146" s="10">
        <v>112.20288401151369</v>
      </c>
      <c r="L146" s="10">
        <v>546.90129899086833</v>
      </c>
      <c r="M146" s="11">
        <v>0</v>
      </c>
      <c r="N146" s="11">
        <v>0</v>
      </c>
      <c r="O146" s="11">
        <v>0</v>
      </c>
      <c r="P146" s="11">
        <v>-226.5625</v>
      </c>
      <c r="Q146" s="4" t="s">
        <v>31</v>
      </c>
    </row>
    <row r="147" spans="1:17" x14ac:dyDescent="0.3">
      <c r="A147" s="3">
        <v>11</v>
      </c>
      <c r="B147" s="2">
        <v>11</v>
      </c>
      <c r="C147" s="7">
        <v>-64.845971347493887</v>
      </c>
      <c r="D147" s="7">
        <v>-129.69194269498777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12">
        <v>64.845971347493887</v>
      </c>
      <c r="N147" s="12">
        <v>129.69194269498777</v>
      </c>
      <c r="O147" s="12">
        <v>0</v>
      </c>
      <c r="P147" s="12">
        <v>0</v>
      </c>
      <c r="Q147" s="3">
        <v>0</v>
      </c>
    </row>
    <row r="148" spans="1:17" x14ac:dyDescent="0.3">
      <c r="A148" s="3">
        <v>12</v>
      </c>
      <c r="B148" s="2">
        <v>12</v>
      </c>
      <c r="C148" s="7">
        <v>-129.69194269498777</v>
      </c>
      <c r="D148" s="7">
        <v>-259.38388538997555</v>
      </c>
      <c r="E148" s="7">
        <v>0</v>
      </c>
      <c r="F148" s="7">
        <v>-226.5625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12">
        <v>129.69194269498777</v>
      </c>
      <c r="N148" s="12">
        <v>485.94638538997555</v>
      </c>
      <c r="O148" s="12">
        <v>0</v>
      </c>
      <c r="P148" s="12">
        <v>0</v>
      </c>
      <c r="Q148" s="3">
        <v>0</v>
      </c>
    </row>
    <row r="149" spans="1:17" x14ac:dyDescent="0.3">
      <c r="A149" s="3">
        <v>13</v>
      </c>
      <c r="B149" s="2">
        <v>13</v>
      </c>
      <c r="C149" s="7">
        <v>0</v>
      </c>
      <c r="D149" s="7">
        <v>0</v>
      </c>
      <c r="E149" s="7">
        <v>0</v>
      </c>
      <c r="F149" s="7">
        <v>0</v>
      </c>
      <c r="G149" s="7">
        <v>0</v>
      </c>
      <c r="H149" s="7">
        <v>0</v>
      </c>
      <c r="I149" s="7">
        <v>-64.845971347493887</v>
      </c>
      <c r="J149" s="7">
        <v>129.69194269498777</v>
      </c>
      <c r="K149" s="7">
        <v>0</v>
      </c>
      <c r="L149" s="7">
        <v>0</v>
      </c>
      <c r="M149" s="12">
        <v>0</v>
      </c>
      <c r="N149" s="12">
        <v>0</v>
      </c>
      <c r="O149" s="12">
        <v>64.845971347493887</v>
      </c>
      <c r="P149" s="12">
        <v>-129.69194269498777</v>
      </c>
      <c r="Q149" s="3">
        <v>0</v>
      </c>
    </row>
    <row r="150" spans="1:17" x14ac:dyDescent="0.3">
      <c r="A150" s="3">
        <v>14</v>
      </c>
      <c r="B150" s="2">
        <v>14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129.69194269498777</v>
      </c>
      <c r="J150" s="7">
        <v>-259.38388538997555</v>
      </c>
      <c r="K150" s="7">
        <v>0</v>
      </c>
      <c r="L150" s="7">
        <v>-226.5625</v>
      </c>
      <c r="M150" s="12">
        <v>0</v>
      </c>
      <c r="N150" s="12">
        <v>0</v>
      </c>
      <c r="O150" s="12">
        <v>-129.69194269498777</v>
      </c>
      <c r="P150" s="12">
        <v>485.94638538997555</v>
      </c>
      <c r="Q150" s="3">
        <v>0</v>
      </c>
    </row>
    <row r="155" spans="1:17" x14ac:dyDescent="0.3">
      <c r="B155" s="21" t="s">
        <v>33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</row>
    <row r="157" spans="1:17" x14ac:dyDescent="0.3">
      <c r="B157" s="9" t="s">
        <v>21</v>
      </c>
      <c r="C157" s="29" t="s">
        <v>66</v>
      </c>
      <c r="D157" t="s">
        <v>34</v>
      </c>
      <c r="E157" s="24" t="s">
        <v>35</v>
      </c>
      <c r="F157" s="24"/>
      <c r="G157" s="24"/>
      <c r="H157" s="24"/>
      <c r="I157" s="24"/>
      <c r="J157" s="24"/>
      <c r="K157" s="24"/>
      <c r="L157" s="24"/>
      <c r="M157" s="24"/>
      <c r="N157" s="24"/>
      <c r="O157" t="s">
        <v>36</v>
      </c>
    </row>
    <row r="158" spans="1:17" x14ac:dyDescent="0.3">
      <c r="B158" s="35" t="s">
        <v>22</v>
      </c>
      <c r="C158" s="29">
        <f t="array" ref="C158:C167">MMULT(E158:N167,O158:O167)</f>
        <v>8.7877177360798531E-2</v>
      </c>
      <c r="D158" t="s">
        <v>19</v>
      </c>
      <c r="E158" s="13">
        <f t="array" ref="E158:N167">MINVERSE(C137:L146)</f>
        <v>1.5247419497069745E-2</v>
      </c>
      <c r="F158" s="13">
        <v>-3.5683463093182191E-3</v>
      </c>
      <c r="G158" s="13">
        <v>1.4792930142776354E-2</v>
      </c>
      <c r="H158" s="13">
        <v>-2.4359544299364178E-3</v>
      </c>
      <c r="I158" s="13">
        <v>1.2529691253231584E-2</v>
      </c>
      <c r="J158" s="13">
        <v>2.5009227854713039E-4</v>
      </c>
      <c r="K158" s="13">
        <v>1.4011270326124824E-2</v>
      </c>
      <c r="L158" s="13">
        <v>3.3504193695211696E-3</v>
      </c>
      <c r="M158" s="13">
        <v>1.4186035527919923E-2</v>
      </c>
      <c r="N158" s="13">
        <v>1.9778386735118574E-3</v>
      </c>
      <c r="O158">
        <f>B137</f>
        <v>0</v>
      </c>
      <c r="P158" t="s">
        <v>46</v>
      </c>
    </row>
    <row r="159" spans="1:17" x14ac:dyDescent="0.3">
      <c r="B159" s="35" t="s">
        <v>23</v>
      </c>
      <c r="C159" s="29">
        <v>-3.8001173168462063E-2</v>
      </c>
      <c r="D159" t="s">
        <v>19</v>
      </c>
      <c r="E159" s="13">
        <v>-3.5683463093182195E-3</v>
      </c>
      <c r="F159" s="13">
        <v>3.0525577159505358E-3</v>
      </c>
      <c r="G159" s="13">
        <v>-3.6182785404818966E-3</v>
      </c>
      <c r="H159" s="13">
        <v>1.8582134480488635E-3</v>
      </c>
      <c r="I159" s="13">
        <v>-2.4095560102368441E-3</v>
      </c>
      <c r="J159" s="13">
        <v>1.1035694995669137E-3</v>
      </c>
      <c r="K159" s="13">
        <v>-3.3504193695211714E-3</v>
      </c>
      <c r="L159" s="13">
        <v>-4.0682512346915957E-4</v>
      </c>
      <c r="M159" s="13">
        <v>-3.1606250621083478E-3</v>
      </c>
      <c r="N159" s="13">
        <v>-3.4868310367527488E-4</v>
      </c>
      <c r="O159">
        <f t="shared" ref="O159:O167" si="33">B138</f>
        <v>0</v>
      </c>
      <c r="P159" t="s">
        <v>47</v>
      </c>
    </row>
    <row r="160" spans="1:17" x14ac:dyDescent="0.3">
      <c r="B160" s="35" t="s">
        <v>24</v>
      </c>
      <c r="C160" s="29">
        <v>0.1571399644468422</v>
      </c>
      <c r="D160" t="s">
        <v>19</v>
      </c>
      <c r="E160" s="13">
        <v>1.4792930142776354E-2</v>
      </c>
      <c r="F160" s="13">
        <v>-3.6182785404818962E-3</v>
      </c>
      <c r="G160" s="13">
        <v>1.890433112874507E-2</v>
      </c>
      <c r="H160" s="13">
        <v>-7.9448585760902432E-4</v>
      </c>
      <c r="I160" s="13">
        <v>1.5421158465515795E-2</v>
      </c>
      <c r="J160" s="13">
        <v>4.8191458561600882E-4</v>
      </c>
      <c r="K160" s="13">
        <v>1.4186035527919923E-2</v>
      </c>
      <c r="L160" s="13">
        <v>3.1606250621083465E-3</v>
      </c>
      <c r="M160" s="13">
        <v>1.6090698175404327E-2</v>
      </c>
      <c r="N160" s="13">
        <v>9.7103138377028499E-4</v>
      </c>
      <c r="O160">
        <f t="shared" si="33"/>
        <v>15</v>
      </c>
      <c r="P160" t="s">
        <v>46</v>
      </c>
    </row>
    <row r="161" spans="1:18" x14ac:dyDescent="0.3">
      <c r="B161" s="35" t="s">
        <v>25</v>
      </c>
      <c r="C161" s="29">
        <v>2.0300362828756507E-3</v>
      </c>
      <c r="D161" t="s">
        <v>19</v>
      </c>
      <c r="E161" s="13">
        <v>-2.4359544299364195E-3</v>
      </c>
      <c r="F161" s="13">
        <v>1.8582134480488637E-3</v>
      </c>
      <c r="G161" s="13">
        <v>-7.9448585760902367E-4</v>
      </c>
      <c r="H161" s="13">
        <v>3.6808078931689844E-3</v>
      </c>
      <c r="I161" s="13">
        <v>-1.8268698439496291E-18</v>
      </c>
      <c r="J161" s="13">
        <v>8.0029529135081838E-4</v>
      </c>
      <c r="K161" s="13">
        <v>-1.9778386735118591E-3</v>
      </c>
      <c r="L161" s="13">
        <v>-3.4868310367527515E-4</v>
      </c>
      <c r="M161" s="13">
        <v>-9.7103138377028901E-4</v>
      </c>
      <c r="N161" s="13">
        <v>-7.3298521027929258E-4</v>
      </c>
      <c r="O161">
        <f t="shared" si="33"/>
        <v>0</v>
      </c>
      <c r="P161" t="s">
        <v>47</v>
      </c>
    </row>
    <row r="162" spans="1:18" x14ac:dyDescent="0.3">
      <c r="B162" s="35" t="s">
        <v>26</v>
      </c>
      <c r="C162" s="29">
        <v>0.13493513657326325</v>
      </c>
      <c r="D162" t="s">
        <v>19</v>
      </c>
      <c r="E162" s="13">
        <v>1.2529691253231582E-2</v>
      </c>
      <c r="F162" s="13">
        <v>-2.4095560102368441E-3</v>
      </c>
      <c r="G162" s="13">
        <v>1.5421158465515795E-2</v>
      </c>
      <c r="H162" s="13">
        <v>-7.1881056088407267E-19</v>
      </c>
      <c r="I162" s="13">
        <v>1.5421158465515793E-2</v>
      </c>
      <c r="J162" s="13">
        <v>-2.1876843157341344E-19</v>
      </c>
      <c r="K162" s="13">
        <v>1.2529691253231581E-2</v>
      </c>
      <c r="L162" s="13">
        <v>2.409556010236842E-3</v>
      </c>
      <c r="M162" s="13">
        <v>1.5421158465515793E-2</v>
      </c>
      <c r="N162" s="13">
        <v>-2.0001685172426369E-18</v>
      </c>
      <c r="O162">
        <f t="shared" si="33"/>
        <v>0</v>
      </c>
      <c r="P162" t="s">
        <v>46</v>
      </c>
    </row>
    <row r="163" spans="1:18" x14ac:dyDescent="0.3">
      <c r="B163" s="35" t="s">
        <v>27</v>
      </c>
      <c r="C163" s="29">
        <v>-3.6914061198436425E-2</v>
      </c>
      <c r="D163" t="s">
        <v>19</v>
      </c>
      <c r="E163" s="13">
        <v>2.5009227854712925E-4</v>
      </c>
      <c r="F163" s="13">
        <v>1.1035694995669141E-3</v>
      </c>
      <c r="G163" s="13">
        <v>4.8191458561600801E-4</v>
      </c>
      <c r="H163" s="13">
        <v>8.0029529135081849E-4</v>
      </c>
      <c r="I163" s="13">
        <v>-1.5920011723930419E-18</v>
      </c>
      <c r="J163" s="13">
        <v>2.9815031546927043E-3</v>
      </c>
      <c r="K163" s="13">
        <v>-2.5009227854713164E-4</v>
      </c>
      <c r="L163" s="13">
        <v>1.1035694995669137E-3</v>
      </c>
      <c r="M163" s="13">
        <v>-4.8191458561601077E-4</v>
      </c>
      <c r="N163" s="13">
        <v>8.0029529135081806E-4</v>
      </c>
      <c r="O163">
        <f t="shared" si="33"/>
        <v>0</v>
      </c>
      <c r="P163" t="s">
        <v>47</v>
      </c>
    </row>
    <row r="164" spans="1:18" x14ac:dyDescent="0.3">
      <c r="B164" s="35" t="s">
        <v>28</v>
      </c>
      <c r="C164" s="29">
        <v>7.0056680546070199E-2</v>
      </c>
      <c r="D164" t="s">
        <v>19</v>
      </c>
      <c r="E164" s="13">
        <v>1.4011270326124828E-2</v>
      </c>
      <c r="F164" s="13">
        <v>-3.3504193695211714E-3</v>
      </c>
      <c r="G164" s="13">
        <v>1.4186035527919921E-2</v>
      </c>
      <c r="H164" s="13">
        <v>-1.97783867351186E-3</v>
      </c>
      <c r="I164" s="13">
        <v>1.2529691253231581E-2</v>
      </c>
      <c r="J164" s="13">
        <v>-2.5009227854713099E-4</v>
      </c>
      <c r="K164" s="13">
        <v>1.5247419497069734E-2</v>
      </c>
      <c r="L164" s="13">
        <v>3.5683463093182156E-3</v>
      </c>
      <c r="M164" s="13">
        <v>1.4792930142776351E-2</v>
      </c>
      <c r="N164" s="13">
        <v>2.4359544299364148E-3</v>
      </c>
      <c r="O164">
        <f t="shared" si="33"/>
        <v>0</v>
      </c>
      <c r="P164" t="s">
        <v>46</v>
      </c>
    </row>
    <row r="165" spans="1:18" x14ac:dyDescent="0.3">
      <c r="B165" s="35" t="s">
        <v>29</v>
      </c>
      <c r="C165" s="29">
        <v>-7.4692932706396181E-2</v>
      </c>
      <c r="D165" t="s">
        <v>19</v>
      </c>
      <c r="E165" s="13">
        <v>3.3504193695211696E-3</v>
      </c>
      <c r="F165" s="13">
        <v>-4.0682512346915952E-4</v>
      </c>
      <c r="G165" s="13">
        <v>3.1606250621083456E-3</v>
      </c>
      <c r="H165" s="13">
        <v>-3.486831036752752E-4</v>
      </c>
      <c r="I165" s="13">
        <v>2.4095560102368411E-3</v>
      </c>
      <c r="J165" s="13">
        <v>1.1035694995669137E-3</v>
      </c>
      <c r="K165" s="13">
        <v>3.5683463093182156E-3</v>
      </c>
      <c r="L165" s="13">
        <v>3.0525577159505341E-3</v>
      </c>
      <c r="M165" s="13">
        <v>3.6182785404818931E-3</v>
      </c>
      <c r="N165" s="13">
        <v>1.8582134480488624E-3</v>
      </c>
      <c r="O165">
        <f t="shared" si="33"/>
        <v>-40</v>
      </c>
      <c r="P165" t="s">
        <v>47</v>
      </c>
    </row>
    <row r="166" spans="1:18" x14ac:dyDescent="0.3">
      <c r="B166" s="35" t="s">
        <v>30</v>
      </c>
      <c r="C166" s="29">
        <v>9.6629331011789193E-2</v>
      </c>
      <c r="D166" t="s">
        <v>19</v>
      </c>
      <c r="E166" s="13">
        <v>1.4186035527919924E-2</v>
      </c>
      <c r="F166" s="13">
        <v>-3.1606250621083478E-3</v>
      </c>
      <c r="G166" s="13">
        <v>1.6090698175404327E-2</v>
      </c>
      <c r="H166" s="13">
        <v>-9.7103138377028781E-4</v>
      </c>
      <c r="I166" s="13">
        <v>1.5421158465515793E-2</v>
      </c>
      <c r="J166" s="13">
        <v>-4.8191458561600931E-4</v>
      </c>
      <c r="K166" s="13">
        <v>1.4792930142776349E-2</v>
      </c>
      <c r="L166" s="13">
        <v>3.6182785404818931E-3</v>
      </c>
      <c r="M166" s="13">
        <v>1.8904331128745067E-2</v>
      </c>
      <c r="N166" s="13">
        <v>7.9448585760902085E-4</v>
      </c>
      <c r="O166">
        <f t="shared" si="33"/>
        <v>0</v>
      </c>
      <c r="P166" t="s">
        <v>46</v>
      </c>
    </row>
    <row r="167" spans="1:18" x14ac:dyDescent="0.3">
      <c r="B167" s="35" t="s">
        <v>31</v>
      </c>
      <c r="C167" s="29">
        <v>-5.9763067165400224E-2</v>
      </c>
      <c r="D167" t="s">
        <v>19</v>
      </c>
      <c r="E167" s="13">
        <v>1.9778386735118587E-3</v>
      </c>
      <c r="F167" s="13">
        <v>-3.4868310367527477E-4</v>
      </c>
      <c r="G167" s="13">
        <v>9.7103138377028575E-4</v>
      </c>
      <c r="H167" s="13">
        <v>-7.3298521027929248E-4</v>
      </c>
      <c r="I167" s="13">
        <v>-1.2259553016654658E-18</v>
      </c>
      <c r="J167" s="13">
        <v>8.0029529135081828E-4</v>
      </c>
      <c r="K167" s="13">
        <v>2.4359544299364156E-3</v>
      </c>
      <c r="L167" s="13">
        <v>1.8582134480488628E-3</v>
      </c>
      <c r="M167" s="13">
        <v>7.9448585760902182E-4</v>
      </c>
      <c r="N167" s="13">
        <v>3.6808078931689836E-3</v>
      </c>
      <c r="O167">
        <f t="shared" si="33"/>
        <v>0</v>
      </c>
      <c r="P167" t="s">
        <v>47</v>
      </c>
    </row>
    <row r="170" spans="1:18" x14ac:dyDescent="0.3">
      <c r="B170" s="21" t="s">
        <v>37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</row>
    <row r="172" spans="1:18" x14ac:dyDescent="0.3">
      <c r="B172" s="13" t="s">
        <v>38</v>
      </c>
      <c r="C172" t="s">
        <v>39</v>
      </c>
      <c r="D172" t="s">
        <v>40</v>
      </c>
      <c r="E172" s="25" t="s">
        <v>42</v>
      </c>
      <c r="F172" s="25"/>
      <c r="G172" s="25"/>
      <c r="H172" s="25"/>
      <c r="I172" s="25"/>
      <c r="J172" s="25"/>
      <c r="K172" s="25"/>
      <c r="L172" s="25"/>
      <c r="M172" s="25"/>
      <c r="N172" s="25"/>
      <c r="O172" t="s">
        <v>43</v>
      </c>
    </row>
    <row r="173" spans="1:18" x14ac:dyDescent="0.3">
      <c r="A173" t="s">
        <v>46</v>
      </c>
      <c r="B173" s="14">
        <v>11</v>
      </c>
      <c r="C173">
        <f t="array" ref="C173:C176">MMULT(E173:N176,O173:O182)</f>
        <v>-0.77003495233049168</v>
      </c>
      <c r="D173" t="s">
        <v>41</v>
      </c>
      <c r="E173" s="15">
        <f t="array" ref="E173:N176">C147:L150</f>
        <v>-64.845971347493887</v>
      </c>
      <c r="F173" s="15">
        <v>-129.69194269498777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>
        <f>C158</f>
        <v>8.7877177360798531E-2</v>
      </c>
    </row>
    <row r="174" spans="1:18" x14ac:dyDescent="0.3">
      <c r="A174" t="s">
        <v>47</v>
      </c>
      <c r="B174" s="14">
        <v>12</v>
      </c>
      <c r="C174">
        <v>-1.999999999999998</v>
      </c>
      <c r="D174" t="s">
        <v>41</v>
      </c>
      <c r="E174" s="15">
        <v>-129.69194269498777</v>
      </c>
      <c r="F174" s="15">
        <v>-259.38388538997555</v>
      </c>
      <c r="G174" s="15">
        <v>0</v>
      </c>
      <c r="H174" s="15">
        <v>-226.5625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>
        <f t="shared" ref="O174:O182" si="34">C159</f>
        <v>-3.8001173168462063E-2</v>
      </c>
    </row>
    <row r="175" spans="1:18" x14ac:dyDescent="0.3">
      <c r="A175" t="s">
        <v>46</v>
      </c>
      <c r="B175" s="14">
        <v>13</v>
      </c>
      <c r="C175">
        <v>-14.229965047669513</v>
      </c>
      <c r="D175" t="s">
        <v>41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-64.845971347493887</v>
      </c>
      <c r="L175" s="15">
        <v>129.69194269498777</v>
      </c>
      <c r="M175" s="15">
        <v>0</v>
      </c>
      <c r="N175" s="15">
        <v>0</v>
      </c>
      <c r="O175">
        <f t="shared" si="34"/>
        <v>0.1571399644468422</v>
      </c>
      <c r="Q175" t="s">
        <v>44</v>
      </c>
      <c r="R175">
        <f>O158+O160+O162+O164+O166+C173+C175</f>
        <v>0</v>
      </c>
    </row>
    <row r="176" spans="1:18" x14ac:dyDescent="0.3">
      <c r="A176" t="s">
        <v>47</v>
      </c>
      <c r="B176" s="14">
        <v>14</v>
      </c>
      <c r="C176">
        <v>42.000000000000014</v>
      </c>
      <c r="D176" t="s">
        <v>41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129.69194269498777</v>
      </c>
      <c r="L176" s="15">
        <v>-259.38388538997555</v>
      </c>
      <c r="M176" s="15">
        <v>0</v>
      </c>
      <c r="N176" s="15">
        <v>-226.5625</v>
      </c>
      <c r="O176">
        <f t="shared" si="34"/>
        <v>2.0300362828756507E-3</v>
      </c>
      <c r="Q176" t="s">
        <v>45</v>
      </c>
      <c r="R176">
        <f>O159+O161+O163+O165+O167+C174+C176</f>
        <v>0</v>
      </c>
    </row>
    <row r="177" spans="1:15" x14ac:dyDescent="0.3">
      <c r="O177">
        <f t="shared" si="34"/>
        <v>0.13493513657326325</v>
      </c>
    </row>
    <row r="178" spans="1:15" x14ac:dyDescent="0.3">
      <c r="O178">
        <f t="shared" si="34"/>
        <v>-3.6914061198436425E-2</v>
      </c>
    </row>
    <row r="179" spans="1:15" x14ac:dyDescent="0.3">
      <c r="O179">
        <f t="shared" si="34"/>
        <v>7.0056680546070199E-2</v>
      </c>
    </row>
    <row r="180" spans="1:15" x14ac:dyDescent="0.3">
      <c r="O180">
        <f t="shared" si="34"/>
        <v>-7.4692932706396181E-2</v>
      </c>
    </row>
    <row r="181" spans="1:15" x14ac:dyDescent="0.3">
      <c r="O181">
        <f t="shared" si="34"/>
        <v>9.6629331011789193E-2</v>
      </c>
    </row>
    <row r="182" spans="1:15" x14ac:dyDescent="0.3">
      <c r="O182">
        <f t="shared" si="34"/>
        <v>-5.9763067165400224E-2</v>
      </c>
    </row>
    <row r="192" spans="1:15" x14ac:dyDescent="0.3">
      <c r="A192" s="22" t="s">
        <v>53</v>
      </c>
      <c r="B192" s="22"/>
      <c r="C192" s="22"/>
      <c r="D192" s="22"/>
      <c r="E192" s="22"/>
      <c r="F192" s="22"/>
      <c r="G192" s="22"/>
      <c r="H192" s="22"/>
      <c r="I192" s="22"/>
    </row>
    <row r="193" spans="1:9" x14ac:dyDescent="0.3">
      <c r="A193" t="s">
        <v>48</v>
      </c>
      <c r="B193" s="13">
        <f>$F$18</f>
        <v>324.22985673746945</v>
      </c>
    </row>
    <row r="194" spans="1:9" x14ac:dyDescent="0.3">
      <c r="A194" s="1" t="s">
        <v>8</v>
      </c>
      <c r="B194">
        <f>$E$13</f>
        <v>0.44721359549995793</v>
      </c>
    </row>
    <row r="195" spans="1:9" x14ac:dyDescent="0.3">
      <c r="A195" s="1" t="s">
        <v>9</v>
      </c>
      <c r="B195">
        <f>$E$14</f>
        <v>0.89442719099991586</v>
      </c>
    </row>
    <row r="196" spans="1:9" x14ac:dyDescent="0.3">
      <c r="D196" s="1" t="s">
        <v>49</v>
      </c>
      <c r="E196" s="1" t="s">
        <v>50</v>
      </c>
      <c r="F196" s="1" t="s">
        <v>8</v>
      </c>
      <c r="G196" s="1" t="s">
        <v>9</v>
      </c>
      <c r="H196" s="1" t="s">
        <v>21</v>
      </c>
      <c r="I196" s="1" t="s">
        <v>51</v>
      </c>
    </row>
    <row r="197" spans="1:9" x14ac:dyDescent="0.3">
      <c r="D197">
        <f>-$B$194</f>
        <v>-0.44721359549995793</v>
      </c>
      <c r="E197">
        <f>-$B$195</f>
        <v>-0.89442719099991586</v>
      </c>
      <c r="F197">
        <f>$B$194</f>
        <v>0.44721359549995793</v>
      </c>
      <c r="G197">
        <f>$B$195</f>
        <v>0.89442719099991586</v>
      </c>
      <c r="H197">
        <v>0</v>
      </c>
      <c r="I197">
        <v>11</v>
      </c>
    </row>
    <row r="198" spans="1:9" x14ac:dyDescent="0.3">
      <c r="H198">
        <v>0</v>
      </c>
      <c r="I198">
        <v>12</v>
      </c>
    </row>
    <row r="199" spans="1:9" x14ac:dyDescent="0.3">
      <c r="H199">
        <f>C158</f>
        <v>8.7877177360798531E-2</v>
      </c>
      <c r="I199">
        <v>1</v>
      </c>
    </row>
    <row r="200" spans="1:9" x14ac:dyDescent="0.3">
      <c r="H200">
        <f>C159</f>
        <v>-3.8001173168462063E-2</v>
      </c>
      <c r="I200">
        <v>2</v>
      </c>
    </row>
    <row r="202" spans="1:9" x14ac:dyDescent="0.3">
      <c r="B202" t="s">
        <v>52</v>
      </c>
    </row>
    <row r="204" spans="1:9" x14ac:dyDescent="0.3">
      <c r="A204" s="36" t="s">
        <v>53</v>
      </c>
      <c r="B204" s="36">
        <f>B193*MMULT(D197:G197,H197:H200)</f>
        <v>1.7218504984617895</v>
      </c>
      <c r="C204" s="36" t="str">
        <f>IF(B204&gt;0,"TENSION","COMPRESION")</f>
        <v>TENSION</v>
      </c>
    </row>
    <row r="207" spans="1:9" x14ac:dyDescent="0.3">
      <c r="A207" s="22" t="s">
        <v>54</v>
      </c>
      <c r="B207" s="22"/>
      <c r="C207" s="22"/>
      <c r="D207" s="22"/>
      <c r="E207" s="22"/>
      <c r="F207" s="22"/>
      <c r="G207" s="22"/>
      <c r="H207" s="22"/>
      <c r="I207" s="22"/>
    </row>
    <row r="208" spans="1:9" x14ac:dyDescent="0.3">
      <c r="A208" t="s">
        <v>48</v>
      </c>
      <c r="B208" s="13">
        <f>$F$18</f>
        <v>324.22985673746945</v>
      </c>
    </row>
    <row r="209" spans="1:9" x14ac:dyDescent="0.3">
      <c r="A209" s="1" t="s">
        <v>8</v>
      </c>
      <c r="B209">
        <f>$E$13</f>
        <v>0.44721359549995793</v>
      </c>
    </row>
    <row r="210" spans="1:9" x14ac:dyDescent="0.3">
      <c r="A210" s="1" t="s">
        <v>9</v>
      </c>
      <c r="B210">
        <f>$E$14</f>
        <v>0.89442719099991586</v>
      </c>
    </row>
    <row r="211" spans="1:9" x14ac:dyDescent="0.3">
      <c r="D211" s="1" t="s">
        <v>49</v>
      </c>
      <c r="E211" s="1" t="s">
        <v>50</v>
      </c>
      <c r="F211" s="1" t="s">
        <v>8</v>
      </c>
      <c r="G211" s="1" t="s">
        <v>9</v>
      </c>
      <c r="H211" s="1" t="s">
        <v>21</v>
      </c>
      <c r="I211" s="1" t="s">
        <v>51</v>
      </c>
    </row>
    <row r="212" spans="1:9" x14ac:dyDescent="0.3">
      <c r="D212">
        <f>-$B$194</f>
        <v>-0.44721359549995793</v>
      </c>
      <c r="E212">
        <f>-$B$195</f>
        <v>-0.89442719099991586</v>
      </c>
      <c r="F212">
        <f>$B$194</f>
        <v>0.44721359549995793</v>
      </c>
      <c r="G212">
        <f>$B$195</f>
        <v>0.89442719099991586</v>
      </c>
      <c r="H212">
        <v>0</v>
      </c>
      <c r="I212">
        <v>11</v>
      </c>
    </row>
    <row r="213" spans="1:9" x14ac:dyDescent="0.3">
      <c r="H213">
        <v>0</v>
      </c>
      <c r="I213">
        <v>12</v>
      </c>
    </row>
    <row r="214" spans="1:9" x14ac:dyDescent="0.3">
      <c r="H214">
        <f>C160</f>
        <v>0.1571399644468422</v>
      </c>
      <c r="I214">
        <v>3</v>
      </c>
    </row>
    <row r="215" spans="1:9" x14ac:dyDescent="0.3">
      <c r="H215">
        <f>C161</f>
        <v>2.0300362828756507E-3</v>
      </c>
      <c r="I215">
        <v>4</v>
      </c>
    </row>
    <row r="217" spans="1:9" x14ac:dyDescent="0.3">
      <c r="B217" t="s">
        <v>52</v>
      </c>
    </row>
    <row r="219" spans="1:9" x14ac:dyDescent="0.3">
      <c r="A219" s="36" t="s">
        <v>54</v>
      </c>
      <c r="B219" s="36">
        <f>B208*MMULT(D212:G212,H212:H215)</f>
        <v>23.374005366826054</v>
      </c>
      <c r="C219" s="36" t="str">
        <f>IF(B219&gt;0,"TENSION","COMPRESION")</f>
        <v>TENSION</v>
      </c>
    </row>
    <row r="222" spans="1:9" x14ac:dyDescent="0.3">
      <c r="A222" s="22" t="s">
        <v>55</v>
      </c>
      <c r="B222" s="22"/>
      <c r="C222" s="22"/>
      <c r="D222" s="22"/>
      <c r="E222" s="22"/>
      <c r="F222" s="22"/>
      <c r="G222" s="22"/>
      <c r="H222" s="22"/>
      <c r="I222" s="22"/>
    </row>
    <row r="223" spans="1:9" x14ac:dyDescent="0.3">
      <c r="A223" t="s">
        <v>48</v>
      </c>
      <c r="B223" s="13">
        <f>$F$18</f>
        <v>324.22985673746945</v>
      </c>
    </row>
    <row r="224" spans="1:9" x14ac:dyDescent="0.3">
      <c r="A224" s="1" t="s">
        <v>8</v>
      </c>
      <c r="B224">
        <f>$E$13</f>
        <v>0.44721359549995793</v>
      </c>
    </row>
    <row r="225" spans="1:9" x14ac:dyDescent="0.3">
      <c r="A225" s="1" t="s">
        <v>9</v>
      </c>
      <c r="B225">
        <f>$E$14</f>
        <v>0.89442719099991586</v>
      </c>
    </row>
    <row r="226" spans="1:9" x14ac:dyDescent="0.3">
      <c r="D226" s="1" t="s">
        <v>49</v>
      </c>
      <c r="E226" s="1" t="s">
        <v>50</v>
      </c>
      <c r="F226" s="1" t="s">
        <v>8</v>
      </c>
      <c r="G226" s="1" t="s">
        <v>9</v>
      </c>
      <c r="H226" s="1" t="s">
        <v>21</v>
      </c>
      <c r="I226" s="1" t="s">
        <v>51</v>
      </c>
    </row>
    <row r="227" spans="1:9" x14ac:dyDescent="0.3">
      <c r="D227">
        <f>-$B$194</f>
        <v>-0.44721359549995793</v>
      </c>
      <c r="E227">
        <f>-$B$195</f>
        <v>-0.89442719099991586</v>
      </c>
      <c r="F227">
        <f>$B$194</f>
        <v>0.44721359549995793</v>
      </c>
      <c r="G227">
        <f>$B$195</f>
        <v>0.89442719099991586</v>
      </c>
      <c r="H227">
        <f>C160</f>
        <v>0.1571399644468422</v>
      </c>
      <c r="I227">
        <v>3</v>
      </c>
    </row>
    <row r="228" spans="1:9" x14ac:dyDescent="0.3">
      <c r="H228">
        <f>C161</f>
        <v>2.0300362828756507E-3</v>
      </c>
      <c r="I228">
        <v>4</v>
      </c>
    </row>
    <row r="229" spans="1:9" x14ac:dyDescent="0.3">
      <c r="H229">
        <f>C158</f>
        <v>8.7877177360798531E-2</v>
      </c>
      <c r="I229">
        <v>1</v>
      </c>
    </row>
    <row r="230" spans="1:9" x14ac:dyDescent="0.3">
      <c r="H230">
        <f>C159</f>
        <v>-3.8001173168462063E-2</v>
      </c>
      <c r="I230">
        <v>2</v>
      </c>
    </row>
    <row r="232" spans="1:9" x14ac:dyDescent="0.3">
      <c r="B232" t="s">
        <v>52</v>
      </c>
    </row>
    <row r="234" spans="1:9" x14ac:dyDescent="0.3">
      <c r="A234" s="36" t="s">
        <v>67</v>
      </c>
      <c r="B234" s="36">
        <f>B223*MMULT(D227:G227,H227:H230)</f>
        <v>-21.652154868364267</v>
      </c>
      <c r="C234" s="36" t="str">
        <f>IF(B234&gt;0,"TENSION","COMPRESION")</f>
        <v>COMPRESION</v>
      </c>
    </row>
    <row r="237" spans="1:9" x14ac:dyDescent="0.3">
      <c r="A237" s="22" t="s">
        <v>56</v>
      </c>
      <c r="B237" s="22"/>
      <c r="C237" s="22"/>
      <c r="D237" s="22"/>
      <c r="E237" s="22"/>
      <c r="F237" s="22"/>
      <c r="G237" s="22"/>
      <c r="H237" s="22"/>
      <c r="I237" s="22"/>
    </row>
    <row r="238" spans="1:9" x14ac:dyDescent="0.3">
      <c r="A238" t="s">
        <v>48</v>
      </c>
      <c r="B238" s="13">
        <f>$F$18</f>
        <v>324.22985673746945</v>
      </c>
    </row>
    <row r="239" spans="1:9" x14ac:dyDescent="0.3">
      <c r="A239" s="1" t="s">
        <v>8</v>
      </c>
      <c r="B239">
        <f>$E$13</f>
        <v>0.44721359549995793</v>
      </c>
    </row>
    <row r="240" spans="1:9" x14ac:dyDescent="0.3">
      <c r="A240" s="1" t="s">
        <v>9</v>
      </c>
      <c r="B240">
        <f>$E$14</f>
        <v>0.89442719099991586</v>
      </c>
    </row>
    <row r="241" spans="1:9" x14ac:dyDescent="0.3">
      <c r="D241" s="1" t="s">
        <v>49</v>
      </c>
      <c r="E241" s="1" t="s">
        <v>50</v>
      </c>
      <c r="F241" s="1" t="s">
        <v>8</v>
      </c>
      <c r="G241" s="1" t="s">
        <v>9</v>
      </c>
      <c r="H241" s="1" t="s">
        <v>21</v>
      </c>
      <c r="I241" s="1" t="s">
        <v>51</v>
      </c>
    </row>
    <row r="242" spans="1:9" x14ac:dyDescent="0.3">
      <c r="D242">
        <f>-$B$194</f>
        <v>-0.44721359549995793</v>
      </c>
      <c r="E242">
        <f>-$B$195</f>
        <v>-0.89442719099991586</v>
      </c>
      <c r="F242">
        <f>$B$194</f>
        <v>0.44721359549995793</v>
      </c>
      <c r="G242">
        <f>$B$195</f>
        <v>0.89442719099991586</v>
      </c>
      <c r="H242">
        <f>C164</f>
        <v>7.0056680546070199E-2</v>
      </c>
      <c r="I242">
        <v>7</v>
      </c>
    </row>
    <row r="243" spans="1:9" x14ac:dyDescent="0.3">
      <c r="H243">
        <f>C165</f>
        <v>-7.4692932706396181E-2</v>
      </c>
      <c r="I243">
        <v>8</v>
      </c>
    </row>
    <row r="244" spans="1:9" x14ac:dyDescent="0.3">
      <c r="H244">
        <f>C158</f>
        <v>8.7877177360798531E-2</v>
      </c>
      <c r="I244">
        <v>1</v>
      </c>
    </row>
    <row r="245" spans="1:9" x14ac:dyDescent="0.3">
      <c r="H245">
        <f>C159</f>
        <v>-3.8001173168462063E-2</v>
      </c>
      <c r="I245">
        <v>2</v>
      </c>
    </row>
    <row r="247" spans="1:9" x14ac:dyDescent="0.3">
      <c r="B247" t="s">
        <v>52</v>
      </c>
    </row>
    <row r="249" spans="1:9" x14ac:dyDescent="0.3">
      <c r="A249" s="36" t="s">
        <v>68</v>
      </c>
      <c r="B249" s="36">
        <f>B238*MMULT(D242:G242,H242:H245)</f>
        <v>13.224582304136502</v>
      </c>
      <c r="C249" s="36" t="str">
        <f>IF(B249&gt;0,"TENSION","COMPRESION")</f>
        <v>TENSION</v>
      </c>
    </row>
    <row r="252" spans="1:9" x14ac:dyDescent="0.3">
      <c r="A252" s="22" t="s">
        <v>57</v>
      </c>
      <c r="B252" s="22"/>
      <c r="C252" s="22"/>
      <c r="D252" s="22"/>
      <c r="E252" s="22"/>
      <c r="F252" s="22"/>
      <c r="G252" s="22"/>
      <c r="H252" s="22"/>
      <c r="I252" s="22"/>
    </row>
    <row r="253" spans="1:9" x14ac:dyDescent="0.3">
      <c r="A253" t="s">
        <v>48</v>
      </c>
      <c r="B253" s="13">
        <f>$F$18</f>
        <v>324.22985673746945</v>
      </c>
    </row>
    <row r="254" spans="1:9" x14ac:dyDescent="0.3">
      <c r="A254" s="1" t="s">
        <v>8</v>
      </c>
      <c r="B254">
        <f>$E$13</f>
        <v>0.44721359549995793</v>
      </c>
    </row>
    <row r="255" spans="1:9" x14ac:dyDescent="0.3">
      <c r="A255" s="1" t="s">
        <v>9</v>
      </c>
      <c r="B255">
        <f>$E$14</f>
        <v>0.89442719099991586</v>
      </c>
    </row>
    <row r="256" spans="1:9" x14ac:dyDescent="0.3">
      <c r="D256" s="1" t="s">
        <v>49</v>
      </c>
      <c r="E256" s="1" t="s">
        <v>50</v>
      </c>
      <c r="F256" s="1" t="s">
        <v>8</v>
      </c>
      <c r="G256" s="1" t="s">
        <v>9</v>
      </c>
      <c r="H256" s="1" t="s">
        <v>21</v>
      </c>
      <c r="I256" s="1" t="s">
        <v>51</v>
      </c>
    </row>
    <row r="257" spans="1:9" x14ac:dyDescent="0.3">
      <c r="D257">
        <f>-$B$194</f>
        <v>-0.44721359549995793</v>
      </c>
      <c r="E257">
        <f>-$B$195</f>
        <v>-0.89442719099991586</v>
      </c>
      <c r="F257">
        <f>$B$194</f>
        <v>0.44721359549995793</v>
      </c>
      <c r="G257">
        <f>$B$195</f>
        <v>0.89442719099991586</v>
      </c>
      <c r="H257">
        <f>C162</f>
        <v>0.13493513657326325</v>
      </c>
      <c r="I257">
        <v>5</v>
      </c>
    </row>
    <row r="258" spans="1:9" x14ac:dyDescent="0.3">
      <c r="H258">
        <f>C163</f>
        <v>-3.6914061198436425E-2</v>
      </c>
      <c r="I258">
        <v>6</v>
      </c>
    </row>
    <row r="259" spans="1:9" x14ac:dyDescent="0.3">
      <c r="H259">
        <f>C158</f>
        <v>8.7877177360798531E-2</v>
      </c>
      <c r="I259">
        <v>1</v>
      </c>
    </row>
    <row r="260" spans="1:9" x14ac:dyDescent="0.3">
      <c r="H260">
        <f>C159</f>
        <v>-3.8001173168462063E-2</v>
      </c>
      <c r="I260">
        <v>2</v>
      </c>
    </row>
    <row r="262" spans="1:9" x14ac:dyDescent="0.3">
      <c r="B262" t="s">
        <v>52</v>
      </c>
    </row>
    <row r="264" spans="1:9" x14ac:dyDescent="0.3">
      <c r="A264" s="36" t="s">
        <v>69</v>
      </c>
      <c r="B264" s="36">
        <f>B253*MMULT(D257:G257,H257:H260)</f>
        <v>-7.1386665571148171</v>
      </c>
      <c r="C264" s="36" t="str">
        <f>IF(B264&gt;0,"TENSION","COMPRESION")</f>
        <v>COMPRESION</v>
      </c>
    </row>
    <row r="267" spans="1:9" x14ac:dyDescent="0.3">
      <c r="A267" s="22" t="s">
        <v>58</v>
      </c>
      <c r="B267" s="22"/>
      <c r="C267" s="22"/>
      <c r="D267" s="22"/>
      <c r="E267" s="22"/>
      <c r="F267" s="22"/>
      <c r="G267" s="22"/>
      <c r="H267" s="22"/>
      <c r="I267" s="22"/>
    </row>
    <row r="268" spans="1:9" x14ac:dyDescent="0.3">
      <c r="A268" t="s">
        <v>48</v>
      </c>
      <c r="B268" s="13">
        <f>$F$18</f>
        <v>324.22985673746945</v>
      </c>
    </row>
    <row r="269" spans="1:9" x14ac:dyDescent="0.3">
      <c r="A269" s="1" t="s">
        <v>8</v>
      </c>
      <c r="B269">
        <f>$E$13</f>
        <v>0.44721359549995793</v>
      </c>
    </row>
    <row r="270" spans="1:9" x14ac:dyDescent="0.3">
      <c r="A270" s="1" t="s">
        <v>9</v>
      </c>
      <c r="B270">
        <f>$E$14</f>
        <v>0.89442719099991586</v>
      </c>
    </row>
    <row r="271" spans="1:9" x14ac:dyDescent="0.3">
      <c r="D271" s="1" t="s">
        <v>49</v>
      </c>
      <c r="E271" s="1" t="s">
        <v>50</v>
      </c>
      <c r="F271" s="1" t="s">
        <v>8</v>
      </c>
      <c r="G271" s="1" t="s">
        <v>9</v>
      </c>
      <c r="H271" s="1" t="s">
        <v>21</v>
      </c>
      <c r="I271" s="1" t="s">
        <v>51</v>
      </c>
    </row>
    <row r="272" spans="1:9" x14ac:dyDescent="0.3">
      <c r="D272">
        <f>-$B$194</f>
        <v>-0.44721359549995793</v>
      </c>
      <c r="E272">
        <f>-$B$195</f>
        <v>-0.89442719099991586</v>
      </c>
      <c r="F272">
        <f>$B$194</f>
        <v>0.44721359549995793</v>
      </c>
      <c r="G272">
        <f>$B$195</f>
        <v>0.89442719099991586</v>
      </c>
      <c r="H272">
        <f>C162</f>
        <v>0.13493513657326325</v>
      </c>
      <c r="I272">
        <v>5</v>
      </c>
    </row>
    <row r="273" spans="1:9" x14ac:dyDescent="0.3">
      <c r="H273">
        <f>C163</f>
        <v>-3.6914061198436425E-2</v>
      </c>
      <c r="I273">
        <v>6</v>
      </c>
    </row>
    <row r="274" spans="1:9" x14ac:dyDescent="0.3">
      <c r="H274">
        <f>C160</f>
        <v>0.1571399644468422</v>
      </c>
      <c r="I274">
        <v>3</v>
      </c>
    </row>
    <row r="275" spans="1:9" x14ac:dyDescent="0.3">
      <c r="H275">
        <f>C161</f>
        <v>2.0300362828756507E-3</v>
      </c>
      <c r="I275">
        <v>4</v>
      </c>
    </row>
    <row r="277" spans="1:9" x14ac:dyDescent="0.3">
      <c r="B277" t="s">
        <v>52</v>
      </c>
    </row>
    <row r="279" spans="1:9" x14ac:dyDescent="0.3">
      <c r="A279" s="36" t="s">
        <v>70</v>
      </c>
      <c r="B279" s="36">
        <f>B268*MMULT(D272:G272,H272:H275)</f>
        <v>14.513488311249448</v>
      </c>
      <c r="C279" s="36" t="str">
        <f>IF(B279&gt;0,"TENSION","COMPRESION")</f>
        <v>TENSION</v>
      </c>
    </row>
    <row r="280" spans="1:9" x14ac:dyDescent="0.3">
      <c r="A280" s="36"/>
      <c r="B280" s="36"/>
      <c r="C280" s="36"/>
    </row>
    <row r="283" spans="1:9" x14ac:dyDescent="0.3">
      <c r="A283" s="22" t="s">
        <v>59</v>
      </c>
      <c r="B283" s="22"/>
      <c r="C283" s="22"/>
      <c r="D283" s="22"/>
      <c r="E283" s="22"/>
      <c r="F283" s="22"/>
      <c r="G283" s="22"/>
      <c r="H283" s="22"/>
      <c r="I283" s="22"/>
    </row>
    <row r="284" spans="1:9" x14ac:dyDescent="0.3">
      <c r="A284" t="s">
        <v>48</v>
      </c>
      <c r="B284" s="13">
        <f>$F$18</f>
        <v>324.22985673746945</v>
      </c>
    </row>
    <row r="285" spans="1:9" x14ac:dyDescent="0.3">
      <c r="A285" s="1" t="s">
        <v>8</v>
      </c>
      <c r="B285">
        <f>$E$13</f>
        <v>0.44721359549995793</v>
      </c>
    </row>
    <row r="286" spans="1:9" x14ac:dyDescent="0.3">
      <c r="A286" s="1" t="s">
        <v>9</v>
      </c>
      <c r="B286">
        <f>$E$14</f>
        <v>0.89442719099991586</v>
      </c>
    </row>
    <row r="287" spans="1:9" x14ac:dyDescent="0.3">
      <c r="D287" s="1" t="s">
        <v>49</v>
      </c>
      <c r="E287" s="1" t="s">
        <v>50</v>
      </c>
      <c r="F287" s="1" t="s">
        <v>8</v>
      </c>
      <c r="G287" s="1" t="s">
        <v>9</v>
      </c>
      <c r="H287" s="1" t="s">
        <v>21</v>
      </c>
      <c r="I287" s="1" t="s">
        <v>51</v>
      </c>
    </row>
    <row r="288" spans="1:9" x14ac:dyDescent="0.3">
      <c r="D288">
        <f>-$B$194</f>
        <v>-0.44721359549995793</v>
      </c>
      <c r="E288">
        <f>-$B$195</f>
        <v>-0.89442719099991586</v>
      </c>
      <c r="F288">
        <f>$B$194</f>
        <v>0.44721359549995793</v>
      </c>
      <c r="G288">
        <f>$B$195</f>
        <v>0.89442719099991586</v>
      </c>
      <c r="H288">
        <f>C164</f>
        <v>7.0056680546070199E-2</v>
      </c>
      <c r="I288">
        <v>7</v>
      </c>
    </row>
    <row r="289" spans="1:9" x14ac:dyDescent="0.3">
      <c r="H289">
        <f>C165</f>
        <v>-7.4692932706396181E-2</v>
      </c>
      <c r="I289">
        <v>8</v>
      </c>
    </row>
    <row r="290" spans="1:9" x14ac:dyDescent="0.3">
      <c r="H290">
        <f>C162</f>
        <v>0.13493513657326325</v>
      </c>
      <c r="I290">
        <v>5</v>
      </c>
    </row>
    <row r="291" spans="1:9" x14ac:dyDescent="0.3">
      <c r="H291">
        <f>C163</f>
        <v>-3.6914061198436425E-2</v>
      </c>
      <c r="I291">
        <v>6</v>
      </c>
    </row>
    <row r="293" spans="1:9" x14ac:dyDescent="0.3">
      <c r="B293" t="s">
        <v>52</v>
      </c>
    </row>
    <row r="295" spans="1:9" x14ac:dyDescent="0.3">
      <c r="A295" s="36" t="s">
        <v>71</v>
      </c>
      <c r="B295" s="36">
        <f>B284*MMULT(D288:G288,H288:H291)</f>
        <v>20.363248861251321</v>
      </c>
      <c r="C295" s="36" t="str">
        <f>IF(B295&gt;0,"TENSION","COMPRESION")</f>
        <v>TENSION</v>
      </c>
    </row>
    <row r="298" spans="1:9" x14ac:dyDescent="0.3">
      <c r="A298" s="22" t="s">
        <v>60</v>
      </c>
      <c r="B298" s="22"/>
      <c r="C298" s="22"/>
      <c r="D298" s="22"/>
      <c r="E298" s="22"/>
      <c r="F298" s="22"/>
      <c r="G298" s="22"/>
      <c r="H298" s="22"/>
      <c r="I298" s="22"/>
    </row>
    <row r="299" spans="1:9" x14ac:dyDescent="0.3">
      <c r="A299" t="s">
        <v>48</v>
      </c>
      <c r="B299" s="13">
        <f>$F$18</f>
        <v>324.22985673746945</v>
      </c>
    </row>
    <row r="300" spans="1:9" x14ac:dyDescent="0.3">
      <c r="A300" s="1" t="s">
        <v>8</v>
      </c>
      <c r="B300">
        <f>$E$13</f>
        <v>0.44721359549995793</v>
      </c>
    </row>
    <row r="301" spans="1:9" x14ac:dyDescent="0.3">
      <c r="A301" s="1" t="s">
        <v>9</v>
      </c>
      <c r="B301">
        <f>$E$14</f>
        <v>0.89442719099991586</v>
      </c>
    </row>
    <row r="302" spans="1:9" x14ac:dyDescent="0.3">
      <c r="D302" s="1" t="s">
        <v>49</v>
      </c>
      <c r="E302" s="1" t="s">
        <v>50</v>
      </c>
      <c r="F302" s="1" t="s">
        <v>8</v>
      </c>
      <c r="G302" s="1" t="s">
        <v>9</v>
      </c>
      <c r="H302" s="1" t="s">
        <v>21</v>
      </c>
      <c r="I302" s="1" t="s">
        <v>51</v>
      </c>
    </row>
    <row r="303" spans="1:9" x14ac:dyDescent="0.3">
      <c r="D303">
        <f>-$B$194</f>
        <v>-0.44721359549995793</v>
      </c>
      <c r="E303">
        <f>-$B$195</f>
        <v>-0.89442719099991586</v>
      </c>
      <c r="F303">
        <f>$B$194</f>
        <v>0.44721359549995793</v>
      </c>
      <c r="G303">
        <f>$B$195</f>
        <v>0.89442719099991586</v>
      </c>
      <c r="H303">
        <f>C166</f>
        <v>9.6629331011789193E-2</v>
      </c>
      <c r="I303">
        <v>9</v>
      </c>
    </row>
    <row r="304" spans="1:9" x14ac:dyDescent="0.3">
      <c r="H304">
        <f>C167</f>
        <v>-5.9763067165400224E-2</v>
      </c>
      <c r="I304">
        <v>10</v>
      </c>
    </row>
    <row r="305" spans="1:9" x14ac:dyDescent="0.3">
      <c r="H305">
        <f>C162</f>
        <v>0.13493513657326325</v>
      </c>
      <c r="I305">
        <v>5</v>
      </c>
    </row>
    <row r="306" spans="1:9" x14ac:dyDescent="0.3">
      <c r="H306">
        <f>C163</f>
        <v>-3.6914061198436425E-2</v>
      </c>
      <c r="I306">
        <v>6</v>
      </c>
    </row>
    <row r="308" spans="1:9" x14ac:dyDescent="0.3">
      <c r="B308" t="s">
        <v>52</v>
      </c>
    </row>
    <row r="310" spans="1:9" x14ac:dyDescent="0.3">
      <c r="A310" s="36" t="s">
        <v>72</v>
      </c>
      <c r="B310" s="36">
        <f>B299*MMULT(D303:G303,H303:H306)</f>
        <v>12.180553536833235</v>
      </c>
      <c r="C310" s="36" t="str">
        <f>IF(B310&gt;0,"TENSION","COMPRESION")</f>
        <v>TENSION</v>
      </c>
    </row>
    <row r="313" spans="1:9" x14ac:dyDescent="0.3">
      <c r="A313" s="22" t="s">
        <v>61</v>
      </c>
      <c r="B313" s="22"/>
      <c r="C313" s="22"/>
      <c r="D313" s="22"/>
      <c r="E313" s="22"/>
      <c r="F313" s="22"/>
      <c r="G313" s="22"/>
      <c r="H313" s="22"/>
      <c r="I313" s="22"/>
    </row>
    <row r="314" spans="1:9" x14ac:dyDescent="0.3">
      <c r="A314" t="s">
        <v>48</v>
      </c>
      <c r="B314" s="13">
        <f>$F$18</f>
        <v>324.22985673746945</v>
      </c>
    </row>
    <row r="315" spans="1:9" x14ac:dyDescent="0.3">
      <c r="A315" s="1" t="s">
        <v>8</v>
      </c>
      <c r="B315">
        <f>$E$13</f>
        <v>0.44721359549995793</v>
      </c>
    </row>
    <row r="316" spans="1:9" x14ac:dyDescent="0.3">
      <c r="A316" s="1" t="s">
        <v>9</v>
      </c>
      <c r="B316">
        <f>$E$14</f>
        <v>0.89442719099991586</v>
      </c>
    </row>
    <row r="317" spans="1:9" x14ac:dyDescent="0.3">
      <c r="D317" s="1" t="s">
        <v>49</v>
      </c>
      <c r="E317" s="1" t="s">
        <v>50</v>
      </c>
      <c r="F317" s="1" t="s">
        <v>8</v>
      </c>
      <c r="G317" s="1" t="s">
        <v>9</v>
      </c>
      <c r="H317" s="1" t="s">
        <v>21</v>
      </c>
      <c r="I317" s="1" t="s">
        <v>51</v>
      </c>
    </row>
    <row r="318" spans="1:9" x14ac:dyDescent="0.3">
      <c r="D318">
        <f>-$B$194</f>
        <v>-0.44721359549995793</v>
      </c>
      <c r="E318">
        <f>-$B$195</f>
        <v>-0.89442719099991586</v>
      </c>
      <c r="F318">
        <f>$B$194</f>
        <v>0.44721359549995793</v>
      </c>
      <c r="G318">
        <f>$B$195</f>
        <v>0.89442719099991586</v>
      </c>
      <c r="H318">
        <f>C166</f>
        <v>9.6629331011789193E-2</v>
      </c>
      <c r="I318">
        <v>9</v>
      </c>
    </row>
    <row r="319" spans="1:9" x14ac:dyDescent="0.3">
      <c r="H319">
        <f>C167</f>
        <v>-5.9763067165400224E-2</v>
      </c>
      <c r="I319">
        <v>10</v>
      </c>
    </row>
    <row r="320" spans="1:9" x14ac:dyDescent="0.3">
      <c r="H320">
        <f>C164</f>
        <v>7.0056680546070199E-2</v>
      </c>
      <c r="I320">
        <v>7</v>
      </c>
    </row>
    <row r="321" spans="1:9" x14ac:dyDescent="0.3">
      <c r="H321">
        <f>C165</f>
        <v>-7.4692932706396181E-2</v>
      </c>
      <c r="I321">
        <v>8</v>
      </c>
    </row>
    <row r="323" spans="1:9" x14ac:dyDescent="0.3">
      <c r="B323" t="s">
        <v>52</v>
      </c>
    </row>
    <row r="325" spans="1:9" x14ac:dyDescent="0.3">
      <c r="A325" s="36" t="s">
        <v>73</v>
      </c>
      <c r="B325" s="36">
        <f>B314*MMULT(D318:G318,H318:H321)</f>
        <v>-8.1826953244180842</v>
      </c>
      <c r="C325" s="36" t="str">
        <f>IF(B325&gt;0,"TENSION","COMPRESION")</f>
        <v>COMPRESION</v>
      </c>
    </row>
    <row r="328" spans="1:9" x14ac:dyDescent="0.3">
      <c r="A328" s="22" t="s">
        <v>62</v>
      </c>
      <c r="B328" s="22"/>
      <c r="C328" s="22"/>
      <c r="D328" s="22"/>
      <c r="E328" s="22"/>
      <c r="F328" s="22"/>
      <c r="G328" s="22"/>
      <c r="H328" s="22"/>
      <c r="I328" s="22"/>
    </row>
    <row r="329" spans="1:9" x14ac:dyDescent="0.3">
      <c r="A329" t="s">
        <v>48</v>
      </c>
      <c r="B329" s="13">
        <f>$F$18</f>
        <v>324.22985673746945</v>
      </c>
    </row>
    <row r="330" spans="1:9" x14ac:dyDescent="0.3">
      <c r="A330" s="1" t="s">
        <v>8</v>
      </c>
      <c r="B330">
        <f>$E$13</f>
        <v>0.44721359549995793</v>
      </c>
    </row>
    <row r="331" spans="1:9" x14ac:dyDescent="0.3">
      <c r="A331" s="1" t="s">
        <v>9</v>
      </c>
      <c r="B331">
        <f>$E$14</f>
        <v>0.89442719099991586</v>
      </c>
    </row>
    <row r="332" spans="1:9" x14ac:dyDescent="0.3">
      <c r="D332" s="1" t="s">
        <v>49</v>
      </c>
      <c r="E332" s="1" t="s">
        <v>50</v>
      </c>
      <c r="F332" s="1" t="s">
        <v>8</v>
      </c>
      <c r="G332" s="1" t="s">
        <v>9</v>
      </c>
      <c r="H332" s="1" t="s">
        <v>21</v>
      </c>
      <c r="I332" s="1" t="s">
        <v>51</v>
      </c>
    </row>
    <row r="333" spans="1:9" x14ac:dyDescent="0.3">
      <c r="D333">
        <f>-$B$194</f>
        <v>-0.44721359549995793</v>
      </c>
      <c r="E333">
        <f>-$B$195</f>
        <v>-0.89442719099991586</v>
      </c>
      <c r="F333">
        <f>$B$194</f>
        <v>0.44721359549995793</v>
      </c>
      <c r="G333">
        <f>$B$195</f>
        <v>0.89442719099991586</v>
      </c>
      <c r="H333">
        <v>0</v>
      </c>
      <c r="I333">
        <v>14</v>
      </c>
    </row>
    <row r="334" spans="1:9" x14ac:dyDescent="0.3">
      <c r="H334">
        <v>0</v>
      </c>
      <c r="I334">
        <v>13</v>
      </c>
    </row>
    <row r="335" spans="1:9" x14ac:dyDescent="0.3">
      <c r="H335">
        <f>C164</f>
        <v>7.0056680546070199E-2</v>
      </c>
      <c r="I335">
        <v>7</v>
      </c>
    </row>
    <row r="336" spans="1:9" x14ac:dyDescent="0.3">
      <c r="H336">
        <f>C165</f>
        <v>-7.4692932706396181E-2</v>
      </c>
      <c r="I336">
        <v>8</v>
      </c>
    </row>
    <row r="338" spans="1:9" x14ac:dyDescent="0.3">
      <c r="B338" t="s">
        <v>52</v>
      </c>
    </row>
    <row r="340" spans="1:9" x14ac:dyDescent="0.3">
      <c r="A340" s="36" t="s">
        <v>74</v>
      </c>
      <c r="B340" s="36">
        <f>B329*MMULT(D333:G333,H333:H336)</f>
        <v>-11.502731805674713</v>
      </c>
      <c r="C340" s="36" t="str">
        <f>IF(B340&gt;0,"TENSION","COMPRESION")</f>
        <v>COMPRESION</v>
      </c>
    </row>
    <row r="343" spans="1:9" x14ac:dyDescent="0.3">
      <c r="A343" s="22" t="s">
        <v>63</v>
      </c>
      <c r="B343" s="22"/>
      <c r="C343" s="22"/>
      <c r="D343" s="22"/>
      <c r="E343" s="22"/>
      <c r="F343" s="22"/>
      <c r="G343" s="22"/>
      <c r="H343" s="22"/>
      <c r="I343" s="22"/>
    </row>
    <row r="344" spans="1:9" x14ac:dyDescent="0.3">
      <c r="A344" t="s">
        <v>48</v>
      </c>
      <c r="B344" s="13">
        <f>$F$18</f>
        <v>324.22985673746945</v>
      </c>
    </row>
    <row r="345" spans="1:9" x14ac:dyDescent="0.3">
      <c r="A345" s="1" t="s">
        <v>8</v>
      </c>
      <c r="B345">
        <f>$E$13</f>
        <v>0.44721359549995793</v>
      </c>
    </row>
    <row r="346" spans="1:9" x14ac:dyDescent="0.3">
      <c r="A346" s="1" t="s">
        <v>9</v>
      </c>
      <c r="B346">
        <f>$E$14</f>
        <v>0.89442719099991586</v>
      </c>
    </row>
    <row r="347" spans="1:9" x14ac:dyDescent="0.3">
      <c r="D347" s="1" t="s">
        <v>49</v>
      </c>
      <c r="E347" s="1" t="s">
        <v>50</v>
      </c>
      <c r="F347" s="1" t="s">
        <v>8</v>
      </c>
      <c r="G347" s="1" t="s">
        <v>9</v>
      </c>
      <c r="H347" s="1" t="s">
        <v>21</v>
      </c>
      <c r="I347" s="1" t="s">
        <v>51</v>
      </c>
    </row>
    <row r="348" spans="1:9" x14ac:dyDescent="0.3">
      <c r="D348">
        <f>-$B$194</f>
        <v>-0.44721359549995793</v>
      </c>
      <c r="E348">
        <f>-$B$195</f>
        <v>-0.89442719099991586</v>
      </c>
      <c r="F348">
        <f>$B$194</f>
        <v>0.44721359549995793</v>
      </c>
      <c r="G348">
        <f>$B$195</f>
        <v>0.89442719099991586</v>
      </c>
      <c r="H348">
        <v>0</v>
      </c>
      <c r="I348">
        <v>14</v>
      </c>
    </row>
    <row r="349" spans="1:9" x14ac:dyDescent="0.3">
      <c r="H349">
        <v>0</v>
      </c>
      <c r="I349">
        <v>13</v>
      </c>
    </row>
    <row r="350" spans="1:9" x14ac:dyDescent="0.3">
      <c r="H350">
        <f>C166</f>
        <v>9.6629331011789193E-2</v>
      </c>
      <c r="I350">
        <v>9</v>
      </c>
    </row>
    <row r="351" spans="1:9" x14ac:dyDescent="0.3">
      <c r="H351">
        <f>C167</f>
        <v>-5.9763067165400224E-2</v>
      </c>
      <c r="I351">
        <v>10</v>
      </c>
    </row>
    <row r="353" spans="1:3" x14ac:dyDescent="0.3">
      <c r="B353" t="s">
        <v>52</v>
      </c>
    </row>
    <row r="355" spans="1:3" x14ac:dyDescent="0.3">
      <c r="A355" s="36" t="s">
        <v>75</v>
      </c>
      <c r="B355" s="36">
        <f>B344*MMULT(D348:G348,H348:H351)</f>
        <v>-3.3200364812566296</v>
      </c>
      <c r="C355" s="36" t="str">
        <f>IF(B355&gt;0,"TENSION","COMPRESION")</f>
        <v>COMPRESION</v>
      </c>
    </row>
  </sheetData>
  <mergeCells count="65">
    <mergeCell ref="CM90:DA90"/>
    <mergeCell ref="A2:M2"/>
    <mergeCell ref="AK58:AZ58"/>
    <mergeCell ref="AK60:AM60"/>
    <mergeCell ref="AK73:AQ73"/>
    <mergeCell ref="AK89:AY89"/>
    <mergeCell ref="S90:AG90"/>
    <mergeCell ref="BC90:BQ90"/>
    <mergeCell ref="BU90:CI90"/>
    <mergeCell ref="S74:Y74"/>
    <mergeCell ref="BU9:BW9"/>
    <mergeCell ref="AK9:AM9"/>
    <mergeCell ref="CM61:CO61"/>
    <mergeCell ref="CM74:CS74"/>
    <mergeCell ref="CM58:DB58"/>
    <mergeCell ref="BU61:BW61"/>
    <mergeCell ref="BC74:BI74"/>
    <mergeCell ref="BU74:CA74"/>
    <mergeCell ref="BU22:CA22"/>
    <mergeCell ref="BU38:CI38"/>
    <mergeCell ref="BC22:BI22"/>
    <mergeCell ref="BC38:BQ38"/>
    <mergeCell ref="S22:Y22"/>
    <mergeCell ref="S38:AG38"/>
    <mergeCell ref="BC61:BE61"/>
    <mergeCell ref="A61:C61"/>
    <mergeCell ref="S61:U61"/>
    <mergeCell ref="E172:N172"/>
    <mergeCell ref="A4:M4"/>
    <mergeCell ref="A9:C9"/>
    <mergeCell ref="A22:G22"/>
    <mergeCell ref="A38:O38"/>
    <mergeCell ref="A114:O114"/>
    <mergeCell ref="A90:O90"/>
    <mergeCell ref="A74:G74"/>
    <mergeCell ref="A343:I343"/>
    <mergeCell ref="A7:P7"/>
    <mergeCell ref="S7:AH7"/>
    <mergeCell ref="AK7:AZ7"/>
    <mergeCell ref="BC7:BR7"/>
    <mergeCell ref="A267:I267"/>
    <mergeCell ref="A283:I283"/>
    <mergeCell ref="A298:I298"/>
    <mergeCell ref="A313:I313"/>
    <mergeCell ref="A328:I328"/>
    <mergeCell ref="A192:I192"/>
    <mergeCell ref="A207:I207"/>
    <mergeCell ref="A222:I222"/>
    <mergeCell ref="A237:I237"/>
    <mergeCell ref="A252:I252"/>
    <mergeCell ref="C136:P136"/>
    <mergeCell ref="CM59:DB59"/>
    <mergeCell ref="A134:O134"/>
    <mergeCell ref="B170:O170"/>
    <mergeCell ref="BU7:CJ7"/>
    <mergeCell ref="A59:P59"/>
    <mergeCell ref="S59:AH59"/>
    <mergeCell ref="BC59:BR59"/>
    <mergeCell ref="BU59:CJ59"/>
    <mergeCell ref="E157:N157"/>
    <mergeCell ref="B155:O155"/>
    <mergeCell ref="BC9:BE9"/>
    <mergeCell ref="AK22:AQ22"/>
    <mergeCell ref="AK38:AY38"/>
    <mergeCell ref="S9:U9"/>
  </mergeCells>
  <phoneticPr fontId="3" type="noConversion"/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garcia</dc:creator>
  <cp:lastModifiedBy>Ivan Rivera</cp:lastModifiedBy>
  <dcterms:created xsi:type="dcterms:W3CDTF">2026-03-07T19:33:42Z</dcterms:created>
  <dcterms:modified xsi:type="dcterms:W3CDTF">2026-03-17T06:02:34Z</dcterms:modified>
</cp:coreProperties>
</file>