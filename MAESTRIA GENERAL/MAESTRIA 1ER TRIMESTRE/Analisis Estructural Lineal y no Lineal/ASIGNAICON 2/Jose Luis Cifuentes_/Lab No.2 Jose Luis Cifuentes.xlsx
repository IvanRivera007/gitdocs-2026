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MAESTRIA ESTRUCTURAS\PRIMER TRIMESTRE 26\3. Analisis Estructural Avanzado\"/>
    </mc:Choice>
  </mc:AlternateContent>
  <bookViews>
    <workbookView xWindow="0" yWindow="0" windowWidth="23040" windowHeight="9192"/>
  </bookViews>
  <sheets>
    <sheet name="Lab. # 2" sheetId="3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27" i="3" l="1"/>
  <c r="A419" i="3"/>
  <c r="A412" i="3"/>
  <c r="A406" i="3" a="1"/>
  <c r="A432" i="3" s="1"/>
  <c r="B396" i="3" a="1"/>
  <c r="F396" i="3" s="1"/>
  <c r="A396" i="3"/>
  <c r="B390" i="3"/>
  <c r="B389" i="3"/>
  <c r="G384" i="3"/>
  <c r="J390" i="3" s="1"/>
  <c r="G402" i="3" s="1"/>
  <c r="E382" i="3"/>
  <c r="J388" i="3" s="1"/>
  <c r="F380" i="3"/>
  <c r="F389" i="3" s="1"/>
  <c r="A379" i="3" a="1"/>
  <c r="A384" i="3" s="1"/>
  <c r="C375" i="3"/>
  <c r="D384" i="3" s="1"/>
  <c r="H390" i="3" s="1"/>
  <c r="D402" i="3" s="1"/>
  <c r="C374" i="3"/>
  <c r="D381" i="3" s="1"/>
  <c r="D390" i="3" s="1"/>
  <c r="D399" i="3" s="1"/>
  <c r="C373" i="3"/>
  <c r="G383" i="3" s="1"/>
  <c r="J391" i="3" s="1"/>
  <c r="C372" i="3"/>
  <c r="F383" i="3" s="1"/>
  <c r="J389" i="3" s="1"/>
  <c r="C371" i="3"/>
  <c r="B379" i="3" s="1"/>
  <c r="D388" i="3" s="1"/>
  <c r="A338" i="3"/>
  <c r="A337" i="3"/>
  <c r="A334" i="3" a="1"/>
  <c r="A360" i="3" s="1"/>
  <c r="C324" i="3"/>
  <c r="B324" i="3" a="1"/>
  <c r="F324" i="3" s="1"/>
  <c r="A324" i="3"/>
  <c r="D319" i="3"/>
  <c r="B318" i="3"/>
  <c r="D326" i="3" s="1"/>
  <c r="B317" i="3"/>
  <c r="C312" i="3"/>
  <c r="H320" i="3" s="1"/>
  <c r="D311" i="3"/>
  <c r="H319" i="3" s="1"/>
  <c r="E310" i="3"/>
  <c r="J316" i="3" s="1"/>
  <c r="F309" i="3"/>
  <c r="F320" i="3" s="1"/>
  <c r="D308" i="3"/>
  <c r="C308" i="3"/>
  <c r="D317" i="3" s="1"/>
  <c r="E307" i="3"/>
  <c r="F316" i="3" s="1"/>
  <c r="B307" i="3"/>
  <c r="D316" i="3" s="1"/>
  <c r="A307" i="3" a="1"/>
  <c r="A310" i="3" s="1"/>
  <c r="C303" i="3"/>
  <c r="G309" i="3" s="1"/>
  <c r="F318" i="3" s="1"/>
  <c r="G327" i="3" s="1"/>
  <c r="C302" i="3"/>
  <c r="D309" i="3" s="1"/>
  <c r="D318" i="3" s="1"/>
  <c r="D327" i="3" s="1"/>
  <c r="C301" i="3"/>
  <c r="G311" i="3" s="1"/>
  <c r="J319" i="3" s="1"/>
  <c r="C300" i="3"/>
  <c r="F311" i="3" s="1"/>
  <c r="J317" i="3" s="1"/>
  <c r="C299" i="3"/>
  <c r="B310" i="3" s="1"/>
  <c r="H316" i="3" s="1"/>
  <c r="A262" i="3" a="1"/>
  <c r="A288" i="3" s="1"/>
  <c r="A180" i="3"/>
  <c r="A190" i="3" a="1"/>
  <c r="A216" i="3" s="1"/>
  <c r="B180" i="3" a="1"/>
  <c r="B180" i="3" s="1"/>
  <c r="B174" i="3"/>
  <c r="B173" i="3"/>
  <c r="A163" i="3" a="1"/>
  <c r="A165" i="3" s="1"/>
  <c r="C159" i="3"/>
  <c r="D168" i="3" s="1"/>
  <c r="H174" i="3" s="1"/>
  <c r="C158" i="3"/>
  <c r="G168" i="3" s="1"/>
  <c r="J174" i="3" s="1"/>
  <c r="D183" i="3" s="1"/>
  <c r="C157" i="3"/>
  <c r="D164" i="3" s="1"/>
  <c r="D175" i="3" s="1"/>
  <c r="C156" i="3"/>
  <c r="C167" i="3" s="1"/>
  <c r="H173" i="3" s="1"/>
  <c r="C155" i="3"/>
  <c r="B163" i="3" s="1"/>
  <c r="D172" i="3" s="1"/>
  <c r="C230" i="3"/>
  <c r="A118" i="3" a="1"/>
  <c r="A141" i="3" s="1"/>
  <c r="A46" i="3" a="1"/>
  <c r="A46" i="3" s="1"/>
  <c r="G380" i="3" l="1"/>
  <c r="F391" i="3" s="1"/>
  <c r="G397" i="3" s="1"/>
  <c r="A420" i="3"/>
  <c r="D325" i="3"/>
  <c r="F381" i="3"/>
  <c r="F392" i="3" s="1"/>
  <c r="G164" i="3"/>
  <c r="F175" i="3" s="1"/>
  <c r="D312" i="3"/>
  <c r="H318" i="3" s="1"/>
  <c r="D330" i="3" s="1"/>
  <c r="G308" i="3"/>
  <c r="F319" i="3" s="1"/>
  <c r="G326" i="3" s="1"/>
  <c r="F312" i="3"/>
  <c r="J320" i="3" s="1"/>
  <c r="E330" i="3" s="1"/>
  <c r="C383" i="3"/>
  <c r="H389" i="3" s="1"/>
  <c r="B401" i="3" s="1"/>
  <c r="A409" i="3"/>
  <c r="G312" i="3"/>
  <c r="J318" i="3" s="1"/>
  <c r="G330" i="3" s="1"/>
  <c r="D383" i="3"/>
  <c r="H391" i="3" s="1"/>
  <c r="A411" i="3"/>
  <c r="C384" i="3"/>
  <c r="H392" i="3" s="1"/>
  <c r="C402" i="3" s="1"/>
  <c r="G324" i="3"/>
  <c r="D380" i="3"/>
  <c r="D391" i="3" s="1"/>
  <c r="D397" i="3" s="1"/>
  <c r="F384" i="3"/>
  <c r="J392" i="3" s="1"/>
  <c r="A417" i="3"/>
  <c r="A380" i="3"/>
  <c r="B402" i="3"/>
  <c r="F400" i="3"/>
  <c r="E401" i="3"/>
  <c r="E400" i="3"/>
  <c r="F401" i="3"/>
  <c r="G400" i="3"/>
  <c r="G401" i="3"/>
  <c r="E399" i="3"/>
  <c r="F399" i="3"/>
  <c r="E379" i="3"/>
  <c r="F388" i="3" s="1"/>
  <c r="G381" i="3"/>
  <c r="F390" i="3" s="1"/>
  <c r="G399" i="3" s="1"/>
  <c r="G396" i="3"/>
  <c r="A425" i="3"/>
  <c r="A379" i="3"/>
  <c r="C380" i="3"/>
  <c r="D389" i="3" s="1"/>
  <c r="C398" i="3" s="1"/>
  <c r="B382" i="3"/>
  <c r="H388" i="3" s="1"/>
  <c r="A410" i="3"/>
  <c r="A418" i="3"/>
  <c r="A426" i="3"/>
  <c r="A413" i="3"/>
  <c r="A421" i="3"/>
  <c r="A429" i="3"/>
  <c r="A381" i="3"/>
  <c r="G398" i="3"/>
  <c r="A428" i="3"/>
  <c r="A383" i="3"/>
  <c r="C381" i="3"/>
  <c r="D392" i="3" s="1"/>
  <c r="D396" i="3"/>
  <c r="A406" i="3"/>
  <c r="A414" i="3"/>
  <c r="A422" i="3"/>
  <c r="A430" i="3"/>
  <c r="B396" i="3"/>
  <c r="A382" i="3"/>
  <c r="C396" i="3"/>
  <c r="E396" i="3"/>
  <c r="A407" i="3"/>
  <c r="A415" i="3"/>
  <c r="A423" i="3"/>
  <c r="A431" i="3"/>
  <c r="A408" i="3"/>
  <c r="A416" i="3"/>
  <c r="A424" i="3"/>
  <c r="G325" i="3"/>
  <c r="C326" i="3"/>
  <c r="C325" i="3"/>
  <c r="B326" i="3"/>
  <c r="B325" i="3"/>
  <c r="F328" i="3"/>
  <c r="E328" i="3"/>
  <c r="F329" i="3"/>
  <c r="E329" i="3"/>
  <c r="G328" i="3"/>
  <c r="G329" i="3"/>
  <c r="F325" i="3"/>
  <c r="E326" i="3"/>
  <c r="F326" i="3"/>
  <c r="D328" i="3"/>
  <c r="D329" i="3"/>
  <c r="E327" i="3"/>
  <c r="F327" i="3"/>
  <c r="C330" i="3"/>
  <c r="B330" i="3"/>
  <c r="A345" i="3"/>
  <c r="A339" i="3"/>
  <c r="A347" i="3"/>
  <c r="A355" i="3"/>
  <c r="A346" i="3"/>
  <c r="A354" i="3"/>
  <c r="A308" i="3"/>
  <c r="A309" i="3"/>
  <c r="F308" i="3"/>
  <c r="F317" i="3" s="1"/>
  <c r="E325" i="3" s="1"/>
  <c r="C311" i="3"/>
  <c r="H317" i="3" s="1"/>
  <c r="B329" i="3" s="1"/>
  <c r="B324" i="3"/>
  <c r="A340" i="3"/>
  <c r="A348" i="3"/>
  <c r="A356" i="3"/>
  <c r="A341" i="3"/>
  <c r="A349" i="3"/>
  <c r="A357" i="3"/>
  <c r="A311" i="3"/>
  <c r="C309" i="3"/>
  <c r="D320" i="3" s="1"/>
  <c r="D324" i="3"/>
  <c r="A334" i="3"/>
  <c r="A342" i="3"/>
  <c r="A350" i="3"/>
  <c r="A358" i="3"/>
  <c r="A307" i="3"/>
  <c r="A312" i="3"/>
  <c r="E324" i="3"/>
  <c r="A335" i="3"/>
  <c r="A343" i="3"/>
  <c r="A351" i="3"/>
  <c r="A359" i="3"/>
  <c r="A353" i="3"/>
  <c r="A336" i="3"/>
  <c r="A344" i="3"/>
  <c r="A352" i="3"/>
  <c r="A266" i="3"/>
  <c r="A274" i="3"/>
  <c r="A282" i="3"/>
  <c r="A267" i="3"/>
  <c r="A275" i="3"/>
  <c r="A283" i="3"/>
  <c r="A268" i="3"/>
  <c r="A276" i="3"/>
  <c r="A284" i="3"/>
  <c r="A265" i="3"/>
  <c r="A273" i="3"/>
  <c r="A281" i="3"/>
  <c r="A269" i="3"/>
  <c r="A277" i="3"/>
  <c r="A285" i="3"/>
  <c r="A262" i="3"/>
  <c r="A270" i="3"/>
  <c r="A278" i="3"/>
  <c r="A286" i="3"/>
  <c r="A263" i="3"/>
  <c r="A271" i="3"/>
  <c r="A279" i="3"/>
  <c r="A287" i="3"/>
  <c r="A264" i="3"/>
  <c r="A272" i="3"/>
  <c r="A280" i="3"/>
  <c r="G180" i="3"/>
  <c r="C180" i="3"/>
  <c r="A193" i="3"/>
  <c r="D180" i="3"/>
  <c r="E180" i="3"/>
  <c r="E163" i="3"/>
  <c r="F172" i="3" s="1"/>
  <c r="G165" i="3"/>
  <c r="F174" i="3" s="1"/>
  <c r="B166" i="3"/>
  <c r="H172" i="3" s="1"/>
  <c r="E166" i="3"/>
  <c r="J172" i="3" s="1"/>
  <c r="D167" i="3"/>
  <c r="H175" i="3" s="1"/>
  <c r="A166" i="3"/>
  <c r="A201" i="3"/>
  <c r="A209" i="3"/>
  <c r="A167" i="3"/>
  <c r="C165" i="3"/>
  <c r="D176" i="3" s="1"/>
  <c r="F167" i="3"/>
  <c r="J173" i="3" s="1"/>
  <c r="A194" i="3"/>
  <c r="A202" i="3"/>
  <c r="A210" i="3"/>
  <c r="A168" i="3"/>
  <c r="D165" i="3"/>
  <c r="D174" i="3" s="1"/>
  <c r="G167" i="3"/>
  <c r="J175" i="3" s="1"/>
  <c r="A195" i="3"/>
  <c r="A203" i="3"/>
  <c r="A211" i="3"/>
  <c r="F165" i="3"/>
  <c r="F176" i="3" s="1"/>
  <c r="C168" i="3"/>
  <c r="H176" i="3" s="1"/>
  <c r="F180" i="3"/>
  <c r="A196" i="3"/>
  <c r="A204" i="3"/>
  <c r="A212" i="3"/>
  <c r="A197" i="3"/>
  <c r="A205" i="3"/>
  <c r="A163" i="3"/>
  <c r="C164" i="3"/>
  <c r="D173" i="3" s="1"/>
  <c r="F168" i="3"/>
  <c r="J176" i="3" s="1"/>
  <c r="A191" i="3"/>
  <c r="A199" i="3"/>
  <c r="A207" i="3"/>
  <c r="A215" i="3"/>
  <c r="A213" i="3"/>
  <c r="A190" i="3"/>
  <c r="A198" i="3"/>
  <c r="A206" i="3"/>
  <c r="A214" i="3"/>
  <c r="A164" i="3"/>
  <c r="F164" i="3"/>
  <c r="F173" i="3" s="1"/>
  <c r="A192" i="3"/>
  <c r="A200" i="3"/>
  <c r="A208" i="3"/>
  <c r="A118" i="3"/>
  <c r="A126" i="3"/>
  <c r="A134" i="3"/>
  <c r="A142" i="3"/>
  <c r="A119" i="3"/>
  <c r="A127" i="3"/>
  <c r="A135" i="3"/>
  <c r="A143" i="3"/>
  <c r="A120" i="3"/>
  <c r="A128" i="3"/>
  <c r="A136" i="3"/>
  <c r="A144" i="3"/>
  <c r="A121" i="3"/>
  <c r="A129" i="3"/>
  <c r="A137" i="3"/>
  <c r="A122" i="3"/>
  <c r="A130" i="3"/>
  <c r="A138" i="3"/>
  <c r="A123" i="3"/>
  <c r="A131" i="3"/>
  <c r="A139" i="3"/>
  <c r="A124" i="3"/>
  <c r="A132" i="3"/>
  <c r="A140" i="3"/>
  <c r="A125" i="3"/>
  <c r="A133" i="3"/>
  <c r="A52" i="3"/>
  <c r="A69" i="3"/>
  <c r="A61" i="3"/>
  <c r="A53" i="3"/>
  <c r="A68" i="3"/>
  <c r="A60" i="3"/>
  <c r="A67" i="3"/>
  <c r="A59" i="3"/>
  <c r="A51" i="3"/>
  <c r="A66" i="3"/>
  <c r="A58" i="3"/>
  <c r="A50" i="3"/>
  <c r="A65" i="3"/>
  <c r="A57" i="3"/>
  <c r="A49" i="3"/>
  <c r="A72" i="3"/>
  <c r="A64" i="3"/>
  <c r="A56" i="3"/>
  <c r="A48" i="3"/>
  <c r="A71" i="3"/>
  <c r="A63" i="3"/>
  <c r="A55" i="3"/>
  <c r="A47" i="3"/>
  <c r="A70" i="3"/>
  <c r="A62" i="3"/>
  <c r="A54" i="3"/>
  <c r="N337" i="3" l="1" a="1"/>
  <c r="B398" i="3"/>
  <c r="D398" i="3"/>
  <c r="F330" i="3"/>
  <c r="N346" i="3" a="1"/>
  <c r="Q421" i="3" a="1"/>
  <c r="D400" i="3"/>
  <c r="D401" i="3"/>
  <c r="C329" i="3"/>
  <c r="B328" i="3"/>
  <c r="B397" i="3"/>
  <c r="E402" i="3"/>
  <c r="F402" i="3"/>
  <c r="C397" i="3"/>
  <c r="C400" i="3"/>
  <c r="B400" i="3"/>
  <c r="C401" i="3"/>
  <c r="B399" i="3"/>
  <c r="C399" i="3"/>
  <c r="F397" i="3"/>
  <c r="E397" i="3"/>
  <c r="F398" i="3"/>
  <c r="E398" i="3"/>
  <c r="A397" i="3" a="1"/>
  <c r="A325" i="3" a="1"/>
  <c r="C328" i="3"/>
  <c r="B327" i="3"/>
  <c r="E337" i="3" s="1" a="1"/>
  <c r="C327" i="3"/>
  <c r="A181" i="3" a="1"/>
  <c r="A183" i="3" s="1"/>
  <c r="C181" i="3"/>
  <c r="C182" i="3"/>
  <c r="B181" i="3"/>
  <c r="D181" i="3"/>
  <c r="D182" i="3"/>
  <c r="C183" i="3"/>
  <c r="B183" i="3"/>
  <c r="G338" i="3" l="1"/>
  <c r="E339" i="3"/>
  <c r="F339" i="3"/>
  <c r="E337" i="3"/>
  <c r="G339" i="3"/>
  <c r="F338" i="3"/>
  <c r="F337" i="3"/>
  <c r="G337" i="3"/>
  <c r="E338" i="3"/>
  <c r="A184" i="3"/>
  <c r="O346" i="3"/>
  <c r="N347" i="3"/>
  <c r="P348" i="3"/>
  <c r="N348" i="3"/>
  <c r="O348" i="3"/>
  <c r="P346" i="3"/>
  <c r="P347" i="3"/>
  <c r="N346" i="3"/>
  <c r="O347" i="3"/>
  <c r="Q421" i="3"/>
  <c r="S422" i="3"/>
  <c r="S423" i="3"/>
  <c r="R423" i="3"/>
  <c r="R422" i="3"/>
  <c r="Q422" i="3"/>
  <c r="S421" i="3"/>
  <c r="Q423" i="3"/>
  <c r="R421" i="3"/>
  <c r="A186" i="3"/>
  <c r="H412" i="3" a="1"/>
  <c r="Q412" i="3" a="1"/>
  <c r="A185" i="3"/>
  <c r="A181" i="3"/>
  <c r="E346" i="3" a="1"/>
  <c r="A182" i="3"/>
  <c r="H421" i="3" a="1"/>
  <c r="O338" i="3"/>
  <c r="N337" i="3"/>
  <c r="O339" i="3"/>
  <c r="N338" i="3"/>
  <c r="N339" i="3"/>
  <c r="P338" i="3"/>
  <c r="P337" i="3"/>
  <c r="O337" i="3"/>
  <c r="P339" i="3"/>
  <c r="A402" i="3"/>
  <c r="A401" i="3"/>
  <c r="A400" i="3"/>
  <c r="A399" i="3"/>
  <c r="A398" i="3"/>
  <c r="A397" i="3"/>
  <c r="A330" i="3"/>
  <c r="A327" i="3"/>
  <c r="A329" i="3"/>
  <c r="A328" i="3"/>
  <c r="A326" i="3"/>
  <c r="A325" i="3"/>
  <c r="H196" i="3" a="1"/>
  <c r="J196" i="3" s="1"/>
  <c r="A252" i="3"/>
  <c r="A108" i="3"/>
  <c r="B252" i="3" a="1"/>
  <c r="E252" i="3" s="1"/>
  <c r="B246" i="3"/>
  <c r="B245" i="3"/>
  <c r="A235" i="3" a="1"/>
  <c r="A237" i="3" s="1"/>
  <c r="C231" i="3"/>
  <c r="D240" i="3" s="1"/>
  <c r="H246" i="3" s="1"/>
  <c r="D258" i="3" s="1"/>
  <c r="D237" i="3"/>
  <c r="D246" i="3" s="1"/>
  <c r="D255" i="3" s="1"/>
  <c r="C229" i="3"/>
  <c r="C237" i="3" s="1"/>
  <c r="D248" i="3" s="1"/>
  <c r="C228" i="3"/>
  <c r="C239" i="3" s="1"/>
  <c r="H245" i="3" s="1"/>
  <c r="C227" i="3"/>
  <c r="B108" i="3" a="1"/>
  <c r="C108" i="3" s="1"/>
  <c r="B102" i="3"/>
  <c r="B101" i="3"/>
  <c r="A91" i="3" a="1"/>
  <c r="A94" i="3" s="1"/>
  <c r="C87" i="3"/>
  <c r="D96" i="3" s="1"/>
  <c r="H102" i="3" s="1"/>
  <c r="C86" i="3"/>
  <c r="D93" i="3" s="1"/>
  <c r="D102" i="3" s="1"/>
  <c r="C85" i="3"/>
  <c r="D95" i="3" s="1"/>
  <c r="H103" i="3" s="1"/>
  <c r="C84" i="3"/>
  <c r="F95" i="3" s="1"/>
  <c r="J101" i="3" s="1"/>
  <c r="C83" i="3"/>
  <c r="B30" i="3"/>
  <c r="B29" i="3"/>
  <c r="A37" i="3" a="1"/>
  <c r="A38" i="3" s="1"/>
  <c r="A19" i="3" a="1"/>
  <c r="A19" i="3" s="1"/>
  <c r="C15" i="3"/>
  <c r="D24" i="3" s="1"/>
  <c r="H30" i="3" s="1"/>
  <c r="C14" i="3"/>
  <c r="D21" i="3" s="1"/>
  <c r="D30" i="3" s="1"/>
  <c r="C13" i="3"/>
  <c r="G20" i="3" s="1"/>
  <c r="F31" i="3" s="1"/>
  <c r="C12" i="3"/>
  <c r="F20" i="3" s="1"/>
  <c r="F29" i="3" s="1"/>
  <c r="C11" i="3"/>
  <c r="E22" i="3" s="1"/>
  <c r="J28" i="3" s="1"/>
  <c r="H412" i="3" l="1"/>
  <c r="J412" i="3"/>
  <c r="I413" i="3"/>
  <c r="H414" i="3"/>
  <c r="J413" i="3"/>
  <c r="H413" i="3"/>
  <c r="J414" i="3"/>
  <c r="I412" i="3"/>
  <c r="I414" i="3"/>
  <c r="H422" i="3"/>
  <c r="J421" i="3"/>
  <c r="I421" i="3"/>
  <c r="H423" i="3"/>
  <c r="J423" i="3"/>
  <c r="H421" i="3"/>
  <c r="I423" i="3"/>
  <c r="J422" i="3"/>
  <c r="I422" i="3"/>
  <c r="Q412" i="3"/>
  <c r="R414" i="3"/>
  <c r="Q414" i="3"/>
  <c r="R412" i="3"/>
  <c r="S413" i="3"/>
  <c r="Q413" i="3"/>
  <c r="S412" i="3"/>
  <c r="R413" i="3"/>
  <c r="S414" i="3"/>
  <c r="I196" i="3"/>
  <c r="F346" i="3"/>
  <c r="F347" i="3"/>
  <c r="G348" i="3"/>
  <c r="E348" i="3"/>
  <c r="E347" i="3"/>
  <c r="G346" i="3"/>
  <c r="G347" i="3"/>
  <c r="E346" i="3"/>
  <c r="F348" i="3"/>
  <c r="I197" i="3"/>
  <c r="H196" i="3"/>
  <c r="H198" i="3"/>
  <c r="J198" i="3"/>
  <c r="H197" i="3"/>
  <c r="J197" i="3"/>
  <c r="I198" i="3"/>
  <c r="G21" i="3"/>
  <c r="F30" i="3" s="1"/>
  <c r="C92" i="3"/>
  <c r="D101" i="3" s="1"/>
  <c r="C95" i="3"/>
  <c r="H101" i="3" s="1"/>
  <c r="F21" i="3"/>
  <c r="F32" i="3" s="1"/>
  <c r="B19" i="3"/>
  <c r="D28" i="3" s="1"/>
  <c r="D92" i="3"/>
  <c r="D103" i="3" s="1"/>
  <c r="B257" i="3"/>
  <c r="F23" i="3"/>
  <c r="J29" i="3" s="1"/>
  <c r="B37" i="3" s="1"/>
  <c r="B252" i="3"/>
  <c r="G23" i="3"/>
  <c r="J31" i="3" s="1"/>
  <c r="D38" i="3" s="1"/>
  <c r="G96" i="3"/>
  <c r="J102" i="3" s="1"/>
  <c r="D111" i="3" s="1"/>
  <c r="G252" i="3"/>
  <c r="G236" i="3"/>
  <c r="F247" i="3" s="1"/>
  <c r="G253" i="3" s="1"/>
  <c r="C20" i="3"/>
  <c r="D29" i="3" s="1"/>
  <c r="E19" i="3"/>
  <c r="F28" i="3" s="1"/>
  <c r="B238" i="3"/>
  <c r="H244" i="3" s="1"/>
  <c r="B235" i="3"/>
  <c r="D244" i="3" s="1"/>
  <c r="B94" i="3"/>
  <c r="H100" i="3" s="1"/>
  <c r="E91" i="3"/>
  <c r="F100" i="3" s="1"/>
  <c r="E94" i="3"/>
  <c r="J100" i="3" s="1"/>
  <c r="C109" i="3" s="1"/>
  <c r="D20" i="3"/>
  <c r="D31" i="3" s="1"/>
  <c r="B22" i="3"/>
  <c r="H28" i="3" s="1"/>
  <c r="F24" i="3"/>
  <c r="J32" i="3" s="1"/>
  <c r="F92" i="3"/>
  <c r="F101" i="3" s="1"/>
  <c r="C255" i="3"/>
  <c r="B255" i="3"/>
  <c r="C21" i="3"/>
  <c r="D32" i="3" s="1"/>
  <c r="C23" i="3"/>
  <c r="H29" i="3" s="1"/>
  <c r="G24" i="3"/>
  <c r="J30" i="3" s="1"/>
  <c r="D39" i="3" s="1"/>
  <c r="G93" i="3"/>
  <c r="F102" i="3" s="1"/>
  <c r="D23" i="3"/>
  <c r="H31" i="3" s="1"/>
  <c r="C24" i="3"/>
  <c r="H32" i="3" s="1"/>
  <c r="C252" i="3"/>
  <c r="D252" i="3"/>
  <c r="D236" i="3"/>
  <c r="D247" i="3" s="1"/>
  <c r="F252" i="3"/>
  <c r="A236" i="3"/>
  <c r="E238" i="3"/>
  <c r="J244" i="3" s="1"/>
  <c r="G240" i="3"/>
  <c r="J246" i="3" s="1"/>
  <c r="G258" i="3" s="1"/>
  <c r="F237" i="3"/>
  <c r="F248" i="3" s="1"/>
  <c r="D239" i="3"/>
  <c r="H247" i="3" s="1"/>
  <c r="G239" i="3"/>
  <c r="J247" i="3" s="1"/>
  <c r="C240" i="3"/>
  <c r="H248" i="3" s="1"/>
  <c r="C258" i="3" s="1"/>
  <c r="F240" i="3"/>
  <c r="J248" i="3" s="1"/>
  <c r="F258" i="3" s="1"/>
  <c r="A238" i="3"/>
  <c r="A239" i="3"/>
  <c r="F239" i="3"/>
  <c r="J245" i="3" s="1"/>
  <c r="A240" i="3"/>
  <c r="G237" i="3"/>
  <c r="F246" i="3" s="1"/>
  <c r="G255" i="3" s="1"/>
  <c r="E235" i="3"/>
  <c r="F244" i="3" s="1"/>
  <c r="A235" i="3"/>
  <c r="C236" i="3"/>
  <c r="D245" i="3" s="1"/>
  <c r="F236" i="3"/>
  <c r="F245" i="3" s="1"/>
  <c r="G108" i="3"/>
  <c r="F108" i="3"/>
  <c r="B108" i="3"/>
  <c r="E108" i="3"/>
  <c r="D108" i="3"/>
  <c r="A92" i="3"/>
  <c r="A95" i="3"/>
  <c r="C93" i="3"/>
  <c r="D104" i="3" s="1"/>
  <c r="A96" i="3"/>
  <c r="G95" i="3"/>
  <c r="J103" i="3" s="1"/>
  <c r="B91" i="3"/>
  <c r="D100" i="3" s="1"/>
  <c r="F93" i="3"/>
  <c r="F104" i="3" s="1"/>
  <c r="C96" i="3"/>
  <c r="H104" i="3" s="1"/>
  <c r="A91" i="3"/>
  <c r="F96" i="3"/>
  <c r="J104" i="3" s="1"/>
  <c r="B111" i="3" s="1"/>
  <c r="A93" i="3"/>
  <c r="G92" i="3"/>
  <c r="F103" i="3" s="1"/>
  <c r="A40" i="3"/>
  <c r="A41" i="3"/>
  <c r="A42" i="3"/>
  <c r="A37" i="3"/>
  <c r="A39" i="3"/>
  <c r="A24" i="3"/>
  <c r="A23" i="3"/>
  <c r="A22" i="3"/>
  <c r="A21" i="3"/>
  <c r="A20" i="3"/>
  <c r="H122" i="2"/>
  <c r="H121" i="2"/>
  <c r="B120" i="2"/>
  <c r="E119" i="2" s="1"/>
  <c r="A120" i="2"/>
  <c r="G119" i="2"/>
  <c r="F119" i="2"/>
  <c r="B119" i="2"/>
  <c r="D119" i="2" s="1"/>
  <c r="B123" i="2" s="1"/>
  <c r="A119" i="2"/>
  <c r="B118" i="2"/>
  <c r="H113" i="2"/>
  <c r="H112" i="2"/>
  <c r="M111" i="2"/>
  <c r="S110" i="2" s="1"/>
  <c r="L111" i="2"/>
  <c r="B111" i="2"/>
  <c r="E110" i="2" s="1"/>
  <c r="A111" i="2"/>
  <c r="Q110" i="2"/>
  <c r="M110" i="2"/>
  <c r="P110" i="2" s="1"/>
  <c r="L110" i="2"/>
  <c r="G110" i="2"/>
  <c r="B110" i="2"/>
  <c r="F110" i="2" s="1"/>
  <c r="A110" i="2"/>
  <c r="M109" i="2"/>
  <c r="B109" i="2"/>
  <c r="M101" i="2"/>
  <c r="L101" i="2"/>
  <c r="B101" i="2"/>
  <c r="G100" i="2" s="1"/>
  <c r="A101" i="2"/>
  <c r="S100" i="2"/>
  <c r="R100" i="2"/>
  <c r="Q100" i="2"/>
  <c r="M100" i="2"/>
  <c r="P100" i="2" s="1"/>
  <c r="L100" i="2"/>
  <c r="F100" i="2"/>
  <c r="E100" i="2"/>
  <c r="D100" i="2"/>
  <c r="B100" i="2"/>
  <c r="A100" i="2"/>
  <c r="M99" i="2"/>
  <c r="B99" i="2"/>
  <c r="M91" i="2"/>
  <c r="L91" i="2"/>
  <c r="B91" i="2"/>
  <c r="A91" i="2"/>
  <c r="S90" i="2"/>
  <c r="Q90" i="2"/>
  <c r="P90" i="2"/>
  <c r="M90" i="2"/>
  <c r="R90" i="2" s="1"/>
  <c r="L90" i="2"/>
  <c r="G90" i="2"/>
  <c r="E90" i="2"/>
  <c r="B90" i="2"/>
  <c r="F90" i="2" s="1"/>
  <c r="A90" i="2"/>
  <c r="M89" i="2"/>
  <c r="B89" i="2"/>
  <c r="T81" i="2"/>
  <c r="M81" i="2"/>
  <c r="L81" i="2"/>
  <c r="H81" i="2"/>
  <c r="B81" i="2"/>
  <c r="A81" i="2"/>
  <c r="T80" i="2"/>
  <c r="S80" i="2"/>
  <c r="Q80" i="2"/>
  <c r="M80" i="2"/>
  <c r="R80" i="2" s="1"/>
  <c r="L80" i="2"/>
  <c r="H80" i="2"/>
  <c r="G80" i="2"/>
  <c r="F80" i="2"/>
  <c r="E80" i="2"/>
  <c r="B80" i="2"/>
  <c r="D80" i="2" s="1"/>
  <c r="B84" i="2" s="1" a="1"/>
  <c r="B84" i="2" s="1"/>
  <c r="A80" i="2"/>
  <c r="M79" i="2"/>
  <c r="B79" i="2"/>
  <c r="A64" i="2"/>
  <c r="A63" i="2"/>
  <c r="A62" i="2"/>
  <c r="A61" i="2"/>
  <c r="A56" i="2"/>
  <c r="A55" i="2"/>
  <c r="L54" i="2"/>
  <c r="A54" i="2"/>
  <c r="L53" i="2"/>
  <c r="A53" i="2"/>
  <c r="L52" i="2"/>
  <c r="A52" i="2"/>
  <c r="L51" i="2"/>
  <c r="A51" i="2"/>
  <c r="L50" i="2"/>
  <c r="A50" i="2"/>
  <c r="L49" i="2"/>
  <c r="A49" i="2"/>
  <c r="L43" i="2"/>
  <c r="I43" i="2"/>
  <c r="D43" i="2"/>
  <c r="M42" i="2"/>
  <c r="H42" i="2"/>
  <c r="E42" i="2"/>
  <c r="L41" i="2"/>
  <c r="I41" i="2"/>
  <c r="D41" i="2"/>
  <c r="M40" i="2"/>
  <c r="H40" i="2"/>
  <c r="E40" i="2"/>
  <c r="L39" i="2"/>
  <c r="I39" i="2"/>
  <c r="D39" i="2"/>
  <c r="M38" i="2"/>
  <c r="H38" i="2"/>
  <c r="E38" i="2"/>
  <c r="L37" i="2"/>
  <c r="I37" i="2"/>
  <c r="D37" i="2"/>
  <c r="M36" i="2"/>
  <c r="I36" i="2"/>
  <c r="H36" i="2"/>
  <c r="E36" i="2"/>
  <c r="M35" i="2"/>
  <c r="L35" i="2"/>
  <c r="I35" i="2"/>
  <c r="E35" i="2"/>
  <c r="D35" i="2"/>
  <c r="C35" i="2"/>
  <c r="M34" i="2"/>
  <c r="I34" i="2"/>
  <c r="H34" i="2"/>
  <c r="G34" i="2"/>
  <c r="E34" i="2"/>
  <c r="M33" i="2"/>
  <c r="L33" i="2"/>
  <c r="K33" i="2"/>
  <c r="I33" i="2"/>
  <c r="E33" i="2"/>
  <c r="D33" i="2"/>
  <c r="C33" i="2"/>
  <c r="M32" i="2"/>
  <c r="I32" i="2"/>
  <c r="H32" i="2"/>
  <c r="G32" i="2"/>
  <c r="E32" i="2"/>
  <c r="C32" i="2" a="1"/>
  <c r="H43" i="2" s="1"/>
  <c r="P24" i="2"/>
  <c r="B38" i="2" s="1"/>
  <c r="L55" i="2" s="1"/>
  <c r="P23" i="2"/>
  <c r="P25" i="2" s="1"/>
  <c r="B39" i="2" s="1"/>
  <c r="L56" i="2" s="1"/>
  <c r="D37" i="3" l="1"/>
  <c r="B38" i="3"/>
  <c r="G254" i="3"/>
  <c r="C37" i="3"/>
  <c r="C38" i="3"/>
  <c r="A253" i="3" a="1"/>
  <c r="A258" i="3" s="1"/>
  <c r="B109" i="3"/>
  <c r="C110" i="3"/>
  <c r="F255" i="3"/>
  <c r="E255" i="3"/>
  <c r="C39" i="3"/>
  <c r="B39" i="3"/>
  <c r="D257" i="3"/>
  <c r="D256" i="3"/>
  <c r="E256" i="3"/>
  <c r="K271" i="3" s="1" a="1"/>
  <c r="F257" i="3"/>
  <c r="E257" i="3"/>
  <c r="F256" i="3"/>
  <c r="E254" i="3"/>
  <c r="F253" i="3"/>
  <c r="E253" i="3"/>
  <c r="F254" i="3"/>
  <c r="D253" i="3"/>
  <c r="D254" i="3"/>
  <c r="E258" i="3"/>
  <c r="C253" i="3"/>
  <c r="B253" i="3"/>
  <c r="B254" i="3"/>
  <c r="C254" i="3"/>
  <c r="G257" i="3"/>
  <c r="G256" i="3"/>
  <c r="B258" i="3"/>
  <c r="B256" i="3"/>
  <c r="C257" i="3"/>
  <c r="C256" i="3"/>
  <c r="A109" i="3" a="1"/>
  <c r="C111" i="3"/>
  <c r="D110" i="3"/>
  <c r="D109" i="3"/>
  <c r="M125" i="2"/>
  <c r="C123" i="2"/>
  <c r="N125" i="2" s="1"/>
  <c r="M117" i="2"/>
  <c r="C84" i="2"/>
  <c r="N117" i="2" s="1"/>
  <c r="F32" i="2"/>
  <c r="N32" i="2"/>
  <c r="J33" i="2"/>
  <c r="F34" i="2"/>
  <c r="N34" i="2"/>
  <c r="J35" i="2"/>
  <c r="F36" i="2"/>
  <c r="N36" i="2"/>
  <c r="J37" i="2"/>
  <c r="F38" i="2"/>
  <c r="N38" i="2"/>
  <c r="J39" i="2"/>
  <c r="F40" i="2"/>
  <c r="N40" i="2"/>
  <c r="J41" i="2"/>
  <c r="F42" i="2"/>
  <c r="N42" i="2"/>
  <c r="J43" i="2"/>
  <c r="P80" i="2"/>
  <c r="M84" i="2" s="1"/>
  <c r="D90" i="2"/>
  <c r="K35" i="2"/>
  <c r="G36" i="2"/>
  <c r="C37" i="2"/>
  <c r="K37" i="2"/>
  <c r="G38" i="2"/>
  <c r="C39" i="2"/>
  <c r="K39" i="2"/>
  <c r="G40" i="2"/>
  <c r="C41" i="2"/>
  <c r="K41" i="2"/>
  <c r="G42" i="2"/>
  <c r="C43" i="2"/>
  <c r="K43" i="2"/>
  <c r="J32" i="2"/>
  <c r="J36" i="2"/>
  <c r="J40" i="2"/>
  <c r="F43" i="2"/>
  <c r="D110" i="2"/>
  <c r="B114" i="2" s="1"/>
  <c r="F33" i="2"/>
  <c r="N33" i="2"/>
  <c r="J34" i="2"/>
  <c r="F35" i="2"/>
  <c r="N35" i="2"/>
  <c r="F37" i="2"/>
  <c r="N37" i="2"/>
  <c r="J38" i="2"/>
  <c r="F39" i="2"/>
  <c r="N39" i="2"/>
  <c r="F41" i="2"/>
  <c r="N41" i="2"/>
  <c r="J42" i="2"/>
  <c r="N43" i="2"/>
  <c r="C32" i="2"/>
  <c r="D49" i="2" s="1" a="1"/>
  <c r="K32" i="2"/>
  <c r="G33" i="2"/>
  <c r="C34" i="2"/>
  <c r="K34" i="2"/>
  <c r="G35" i="2"/>
  <c r="C36" i="2"/>
  <c r="K36" i="2"/>
  <c r="G37" i="2"/>
  <c r="C38" i="2"/>
  <c r="K38" i="2"/>
  <c r="G39" i="2"/>
  <c r="C40" i="2"/>
  <c r="K40" i="2"/>
  <c r="G41" i="2"/>
  <c r="C42" i="2"/>
  <c r="K42" i="2"/>
  <c r="G43" i="2"/>
  <c r="R110" i="2"/>
  <c r="E37" i="2"/>
  <c r="M37" i="2"/>
  <c r="I38" i="2"/>
  <c r="E39" i="2"/>
  <c r="M39" i="2"/>
  <c r="I40" i="2"/>
  <c r="E41" i="2"/>
  <c r="M41" i="2"/>
  <c r="I42" i="2"/>
  <c r="E43" i="2"/>
  <c r="M43" i="2"/>
  <c r="D32" i="2"/>
  <c r="L32" i="2"/>
  <c r="H33" i="2"/>
  <c r="D34" i="2"/>
  <c r="L34" i="2"/>
  <c r="H35" i="2"/>
  <c r="D36" i="2"/>
  <c r="L36" i="2"/>
  <c r="H37" i="2"/>
  <c r="D38" i="2"/>
  <c r="L38" i="2"/>
  <c r="H39" i="2"/>
  <c r="D40" i="2"/>
  <c r="L40" i="2"/>
  <c r="H41" i="2"/>
  <c r="D42" i="2"/>
  <c r="L42" i="2"/>
  <c r="K262" i="3" l="1" a="1"/>
  <c r="B262" i="3" a="1"/>
  <c r="K271" i="3"/>
  <c r="M272" i="3"/>
  <c r="M271" i="3"/>
  <c r="L271" i="3"/>
  <c r="M273" i="3"/>
  <c r="L273" i="3"/>
  <c r="K273" i="3"/>
  <c r="L272" i="3"/>
  <c r="K272" i="3"/>
  <c r="B271" i="3" a="1"/>
  <c r="A257" i="3"/>
  <c r="A254" i="3"/>
  <c r="B46" i="3" a="1"/>
  <c r="B48" i="3" s="1"/>
  <c r="E121" i="3" a="1"/>
  <c r="F122" i="3" s="1"/>
  <c r="A256" i="3"/>
  <c r="A255" i="3"/>
  <c r="A253" i="3"/>
  <c r="A111" i="3"/>
  <c r="A110" i="3"/>
  <c r="A109" i="3"/>
  <c r="A113" i="3"/>
  <c r="A112" i="3"/>
  <c r="A114" i="3"/>
  <c r="N84" i="2"/>
  <c r="N118" i="2" s="1"/>
  <c r="M118" i="2"/>
  <c r="H56" i="2"/>
  <c r="H55" i="2"/>
  <c r="H54" i="2"/>
  <c r="H53" i="2"/>
  <c r="H52" i="2"/>
  <c r="H51" i="2"/>
  <c r="H50" i="2"/>
  <c r="H49" i="2"/>
  <c r="E56" i="2"/>
  <c r="E55" i="2"/>
  <c r="E54" i="2"/>
  <c r="E53" i="2"/>
  <c r="E52" i="2"/>
  <c r="E51" i="2"/>
  <c r="E50" i="2"/>
  <c r="E49" i="2"/>
  <c r="D56" i="2"/>
  <c r="D55" i="2"/>
  <c r="D54" i="2"/>
  <c r="D52" i="2"/>
  <c r="D51" i="2"/>
  <c r="D50" i="2"/>
  <c r="G56" i="2"/>
  <c r="G55" i="2"/>
  <c r="G54" i="2"/>
  <c r="G53" i="2"/>
  <c r="G52" i="2"/>
  <c r="G51" i="2"/>
  <c r="G50" i="2"/>
  <c r="G49" i="2"/>
  <c r="F56" i="2"/>
  <c r="F55" i="2"/>
  <c r="F54" i="2"/>
  <c r="F53" i="2"/>
  <c r="F52" i="2"/>
  <c r="F50" i="2"/>
  <c r="F49" i="2"/>
  <c r="F51" i="2"/>
  <c r="D53" i="2"/>
  <c r="D49" i="2"/>
  <c r="B49" i="2" s="1" a="1"/>
  <c r="K56" i="2"/>
  <c r="K55" i="2"/>
  <c r="K54" i="2"/>
  <c r="K53" i="2"/>
  <c r="K52" i="2"/>
  <c r="K51" i="2"/>
  <c r="K50" i="2"/>
  <c r="K49" i="2"/>
  <c r="I56" i="2"/>
  <c r="I55" i="2"/>
  <c r="I54" i="2"/>
  <c r="I53" i="2"/>
  <c r="I52" i="2"/>
  <c r="I51" i="2"/>
  <c r="I50" i="2"/>
  <c r="I49" i="2"/>
  <c r="J56" i="2"/>
  <c r="J55" i="2"/>
  <c r="J54" i="2"/>
  <c r="J53" i="2"/>
  <c r="J52" i="2"/>
  <c r="J51" i="2"/>
  <c r="J50" i="2"/>
  <c r="J49" i="2"/>
  <c r="D61" i="2" a="1"/>
  <c r="C114" i="2"/>
  <c r="N123" i="2" s="1"/>
  <c r="M123" i="2"/>
  <c r="B262" i="3" l="1"/>
  <c r="D264" i="3"/>
  <c r="D263" i="3"/>
  <c r="C264" i="3"/>
  <c r="C263" i="3"/>
  <c r="B264" i="3"/>
  <c r="B263" i="3"/>
  <c r="D262" i="3"/>
  <c r="C262" i="3"/>
  <c r="K262" i="3"/>
  <c r="M264" i="3"/>
  <c r="M262" i="3"/>
  <c r="M263" i="3"/>
  <c r="K263" i="3"/>
  <c r="L264" i="3"/>
  <c r="K264" i="3"/>
  <c r="L263" i="3"/>
  <c r="L262" i="3"/>
  <c r="C271" i="3"/>
  <c r="B271" i="3"/>
  <c r="D271" i="3"/>
  <c r="C272" i="3"/>
  <c r="D272" i="3"/>
  <c r="B273" i="3"/>
  <c r="D273" i="3"/>
  <c r="B272" i="3"/>
  <c r="C273" i="3"/>
  <c r="D47" i="3"/>
  <c r="B46" i="3"/>
  <c r="D46" i="3"/>
  <c r="C46" i="3"/>
  <c r="C48" i="3"/>
  <c r="D48" i="3"/>
  <c r="B47" i="3"/>
  <c r="C47" i="3"/>
  <c r="F123" i="3"/>
  <c r="G122" i="3"/>
  <c r="G121" i="3"/>
  <c r="E122" i="3"/>
  <c r="F121" i="3"/>
  <c r="G123" i="3"/>
  <c r="E123" i="3"/>
  <c r="E121" i="3"/>
  <c r="J64" i="2"/>
  <c r="J63" i="2"/>
  <c r="J62" i="2"/>
  <c r="J61" i="2"/>
  <c r="I64" i="2"/>
  <c r="I63" i="2"/>
  <c r="I62" i="2"/>
  <c r="I61" i="2"/>
  <c r="H62" i="2"/>
  <c r="H61" i="2"/>
  <c r="H64" i="2"/>
  <c r="H63" i="2"/>
  <c r="G64" i="2"/>
  <c r="G63" i="2"/>
  <c r="G62" i="2"/>
  <c r="G61" i="2"/>
  <c r="F64" i="2"/>
  <c r="F63" i="2"/>
  <c r="F62" i="2"/>
  <c r="F61" i="2"/>
  <c r="E64" i="2"/>
  <c r="E63" i="2"/>
  <c r="E62" i="2"/>
  <c r="E61" i="2"/>
  <c r="K64" i="2"/>
  <c r="K62" i="2"/>
  <c r="K61" i="2"/>
  <c r="D64" i="2"/>
  <c r="D63" i="2"/>
  <c r="D62" i="2"/>
  <c r="D61" i="2"/>
  <c r="K63" i="2"/>
  <c r="B54" i="2"/>
  <c r="B51" i="2"/>
  <c r="B53" i="2"/>
  <c r="B52" i="2"/>
  <c r="B49" i="2"/>
  <c r="B55" i="2"/>
  <c r="B56" i="2"/>
  <c r="B50" i="2"/>
  <c r="L67" i="2" l="1"/>
  <c r="H119" i="2"/>
  <c r="T102" i="2"/>
  <c r="H102" i="2"/>
  <c r="T112" i="2"/>
  <c r="T111" i="2"/>
  <c r="T93" i="2"/>
  <c r="H111" i="2"/>
  <c r="L64" i="2"/>
  <c r="T90" i="2"/>
  <c r="M94" i="2" s="1"/>
  <c r="H82" i="2"/>
  <c r="H90" i="2"/>
  <c r="B94" i="2" s="1"/>
  <c r="H100" i="2"/>
  <c r="B104" i="2" s="1"/>
  <c r="L61" i="2"/>
  <c r="B61" i="2" s="1" a="1"/>
  <c r="H92" i="2"/>
  <c r="T82" i="2"/>
  <c r="T100" i="2"/>
  <c r="M104" i="2" s="1"/>
  <c r="L65" i="2"/>
  <c r="L63" i="2"/>
  <c r="T92" i="2"/>
  <c r="H110" i="2"/>
  <c r="T110" i="2"/>
  <c r="M114" i="2" s="1"/>
  <c r="H91" i="2"/>
  <c r="H83" i="2"/>
  <c r="H101" i="2"/>
  <c r="L62" i="2"/>
  <c r="T91" i="2"/>
  <c r="H120" i="2"/>
  <c r="T103" i="2"/>
  <c r="L68" i="2"/>
  <c r="H103" i="2"/>
  <c r="T113" i="2"/>
  <c r="T83" i="2"/>
  <c r="H93" i="2"/>
  <c r="L66" i="2"/>
  <c r="T101" i="2"/>
  <c r="B64" i="2" l="1"/>
  <c r="B63" i="2"/>
  <c r="B62" i="2"/>
  <c r="N64" i="2" s="1"/>
  <c r="B61" i="2"/>
  <c r="N63" i="2" s="1"/>
  <c r="N114" i="2"/>
  <c r="N124" i="2" s="1"/>
  <c r="M124" i="2"/>
  <c r="C104" i="2"/>
  <c r="N121" i="2" s="1"/>
  <c r="M121" i="2"/>
  <c r="N94" i="2"/>
  <c r="N120" i="2" s="1"/>
  <c r="M120" i="2"/>
  <c r="M122" i="2"/>
  <c r="N104" i="2"/>
  <c r="N122" i="2" s="1"/>
  <c r="M119" i="2"/>
  <c r="C94" i="2"/>
  <c r="N119" i="2" s="1"/>
</calcChain>
</file>

<file path=xl/sharedStrings.xml><?xml version="1.0" encoding="utf-8"?>
<sst xmlns="http://schemas.openxmlformats.org/spreadsheetml/2006/main" count="727" uniqueCount="156">
  <si>
    <t>K1</t>
  </si>
  <si>
    <t>CM</t>
  </si>
  <si>
    <t>L=</t>
  </si>
  <si>
    <t>A=</t>
  </si>
  <si>
    <t>E=</t>
  </si>
  <si>
    <t>AE/L=</t>
  </si>
  <si>
    <t>MATRIZ DE RIGIDEZ GLOBAL DEL ELEMENTO 1</t>
  </si>
  <si>
    <t>Q</t>
  </si>
  <si>
    <t xml:space="preserve">GDL </t>
  </si>
  <si>
    <t>OP</t>
  </si>
  <si>
    <t>AD</t>
  </si>
  <si>
    <t>ANGULO=</t>
  </si>
  <si>
    <t>F7</t>
  </si>
  <si>
    <t>Q9</t>
  </si>
  <si>
    <t>Q10</t>
  </si>
  <si>
    <t>Q11</t>
  </si>
  <si>
    <t>Q12</t>
  </si>
  <si>
    <t>F8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</si>
  <si>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</si>
  <si>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</si>
  <si>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</si>
  <si>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</si>
  <si>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</si>
  <si>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</si>
  <si>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</si>
  <si>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</si>
  <si>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</si>
  <si>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ECUACION DE FUERZAS</t>
  </si>
  <si>
    <t>UNIDADES</t>
  </si>
  <si>
    <t>QK</t>
  </si>
  <si>
    <t>MATRIZ DE RIGIDEZ LOCAL DEL ELEMENTO 1</t>
  </si>
  <si>
    <t>MATRIZ DE RIGIDEZ LOCAL DEL ELEMENTO 2</t>
  </si>
  <si>
    <t>ELEMENTO 2</t>
  </si>
  <si>
    <t>K</t>
  </si>
  <si>
    <t>ELEMENTO 3</t>
  </si>
  <si>
    <t>MATRIZ DE RIGIDEZ GLOBAL DEL ELEMENTO 2</t>
  </si>
  <si>
    <t>K2</t>
  </si>
  <si>
    <t>K3</t>
  </si>
  <si>
    <t>MATRIZ DE RIGIDEZ LOCAL DEL ELEMENTO 3</t>
  </si>
  <si>
    <t>MATRIZ DE RIGIDEZ GLOBAL DEL ELEMENTO 3</t>
  </si>
  <si>
    <t>ELEMENTO 4</t>
  </si>
  <si>
    <t>MATRIZ DE RIGIDEZ LOCAL DEL ELEMENTO 4</t>
  </si>
  <si>
    <t>MATRIZ DE RIGIDEZ GLOBAL DEL ELEMENTO 4</t>
  </si>
  <si>
    <t>ELEMENTO 5</t>
  </si>
  <si>
    <t>K5</t>
  </si>
  <si>
    <t>ELEMENTO 6</t>
  </si>
  <si>
    <t>MATRIZ DE RIGIDEZ LOCAL DEL ELEMENTO 6</t>
  </si>
  <si>
    <t>MATRIZ DE RIGIDEZ LOCAL DEL ELEMENTO 5</t>
  </si>
  <si>
    <t>K6</t>
  </si>
  <si>
    <t>MATRIZ DE RIGIDEZ GLOBAL DEL ELEMENTO 6</t>
  </si>
  <si>
    <t>MATRIZ DE RIGIDEZ GLOBAL DEL ELEMENTO 5</t>
  </si>
  <si>
    <t>ELEMENTO 7</t>
  </si>
  <si>
    <t>ELEMENTO 8</t>
  </si>
  <si>
    <t>ELEMENTO 9</t>
  </si>
  <si>
    <t>ECUACION DE DESPLAZAMIENTOS</t>
  </si>
  <si>
    <t>DESPLAZ</t>
  </si>
  <si>
    <t>UNIDAD</t>
  </si>
  <si>
    <t>INVERSA DE K11</t>
  </si>
  <si>
    <t>ECUACION DE REACCION EN LOS APOYOS</t>
  </si>
  <si>
    <t>QU</t>
  </si>
  <si>
    <t>REACCION</t>
  </si>
  <si>
    <t>K21</t>
  </si>
  <si>
    <t xml:space="preserve">DM </t>
  </si>
  <si>
    <t>Kgf</t>
  </si>
  <si>
    <t>Σx=0</t>
  </si>
  <si>
    <t>Σxy=0</t>
  </si>
  <si>
    <t>x</t>
  </si>
  <si>
    <t>y</t>
  </si>
  <si>
    <t>CHEQUEO DE FUERZAS INTERNAS</t>
  </si>
  <si>
    <t>ʎx</t>
  </si>
  <si>
    <t>ʎY</t>
  </si>
  <si>
    <t>ʎY-</t>
  </si>
  <si>
    <t>ʎx-</t>
  </si>
  <si>
    <t>DEZPLA</t>
  </si>
  <si>
    <t>GDL</t>
  </si>
  <si>
    <t>INICIO</t>
  </si>
  <si>
    <t xml:space="preserve">FINAL </t>
  </si>
  <si>
    <t>ELEMENTO 1</t>
  </si>
  <si>
    <t>FUERZA=</t>
  </si>
  <si>
    <t>EJEMPLO DE ANALISIS MATRICIAL DE UN MARCO VIGA COLUMNA BIDIMENSIONAL</t>
  </si>
  <si>
    <t>ELEMENTO 1 COLUMNA</t>
  </si>
  <si>
    <t>I=</t>
  </si>
  <si>
    <t>E</t>
  </si>
  <si>
    <t>RAZ</t>
  </si>
  <si>
    <t>RAAX</t>
  </si>
  <si>
    <t>RABX=RBAX</t>
  </si>
  <si>
    <t>R11X=R22X</t>
  </si>
  <si>
    <t>R12X=R21X</t>
  </si>
  <si>
    <t>EI</t>
  </si>
  <si>
    <t>COEFICIENTES</t>
  </si>
  <si>
    <t>k1</t>
  </si>
  <si>
    <t>1x</t>
  </si>
  <si>
    <t>1z</t>
  </si>
  <si>
    <t>az</t>
  </si>
  <si>
    <t>ax</t>
  </si>
  <si>
    <t>2x</t>
  </si>
  <si>
    <t>2z</t>
  </si>
  <si>
    <t>3x</t>
  </si>
  <si>
    <t>3z</t>
  </si>
  <si>
    <t>4x</t>
  </si>
  <si>
    <t>4z</t>
  </si>
  <si>
    <t>bx</t>
  </si>
  <si>
    <t>bz</t>
  </si>
  <si>
    <t>ϴ=</t>
  </si>
  <si>
    <t>Sen ϴ=</t>
  </si>
  <si>
    <t>Cos ϴ=</t>
  </si>
  <si>
    <t>ϴ 1</t>
  </si>
  <si>
    <t>ϴ a</t>
  </si>
  <si>
    <t>ϴ 2</t>
  </si>
  <si>
    <t>ϴ 3</t>
  </si>
  <si>
    <t>ϴ 4</t>
  </si>
  <si>
    <t>ϴ b</t>
  </si>
  <si>
    <t>B</t>
  </si>
  <si>
    <t>C</t>
  </si>
  <si>
    <t>A:</t>
  </si>
  <si>
    <t>CUADR 1</t>
  </si>
  <si>
    <t>CUADR 2</t>
  </si>
  <si>
    <t>CUADR 3</t>
  </si>
  <si>
    <t>CUADR 4</t>
  </si>
  <si>
    <t>SE USA CUADRANTE 4 SUMA FUERZAS RESTA CORTANTES</t>
  </si>
  <si>
    <t>ELEMENTO 2 COLUMNA</t>
  </si>
  <si>
    <t>ELEMENTO 3 COLUMNA</t>
  </si>
  <si>
    <t>k2</t>
  </si>
  <si>
    <t>k3</t>
  </si>
  <si>
    <t>ELEMENTO 4 COLUMNA</t>
  </si>
  <si>
    <t>k4</t>
  </si>
  <si>
    <t>k5</t>
  </si>
  <si>
    <t>k6</t>
  </si>
  <si>
    <t>No hay restriccion en gdl se programa 4 cuadrantes</t>
  </si>
  <si>
    <t>cm2</t>
  </si>
  <si>
    <t>cm</t>
  </si>
  <si>
    <t>Kgf/cm2</t>
  </si>
  <si>
    <t>cm4</t>
  </si>
  <si>
    <t>5x</t>
  </si>
  <si>
    <t>5z</t>
  </si>
  <si>
    <t>ϴ 5</t>
  </si>
  <si>
    <t>6x</t>
  </si>
  <si>
    <t>6z</t>
  </si>
  <si>
    <t>ϴ 6</t>
  </si>
  <si>
    <t>cx</t>
  </si>
  <si>
    <t>cz</t>
  </si>
  <si>
    <t>ϴ c</t>
  </si>
  <si>
    <t>ELEMENTO 5 COLUMNA</t>
  </si>
  <si>
    <t>ELEMENTO 6 COLUMNA</t>
  </si>
  <si>
    <t>U1z</t>
  </si>
  <si>
    <t>U2x</t>
  </si>
  <si>
    <t>U2z</t>
  </si>
  <si>
    <t>U1x</t>
  </si>
  <si>
    <t>U3z</t>
  </si>
  <si>
    <t>U3x</t>
  </si>
  <si>
    <t>U4z</t>
  </si>
  <si>
    <t>U4x</t>
  </si>
  <si>
    <t>U5z</t>
  </si>
  <si>
    <t>U5x</t>
  </si>
  <si>
    <t>U6z</t>
  </si>
  <si>
    <t>U6x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</si>
</sst>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3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/>
    <xf numFmtId="0" fontId="0" fillId="10" borderId="0" xfId="0" applyFill="1"/>
    <xf numFmtId="0" fontId="0" fillId="11" borderId="0" xfId="0" applyFill="1"/>
    <xf numFmtId="0" fontId="0" fillId="2" borderId="0" xfId="0" applyFill="1"/>
    <xf numFmtId="0" fontId="0" fillId="5" borderId="0" xfId="0" applyFill="1"/>
    <xf numFmtId="0" fontId="0" fillId="1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2" borderId="0" xfId="0" applyFill="1"/>
    <xf numFmtId="0" fontId="0" fillId="0" borderId="0" xfId="0" applyAlignment="1"/>
    <xf numFmtId="0" fontId="0" fillId="15" borderId="0" xfId="0" applyFill="1"/>
    <xf numFmtId="0" fontId="0" fillId="7" borderId="0" xfId="0" applyFill="1"/>
    <xf numFmtId="0" fontId="0" fillId="16" borderId="0" xfId="0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17" borderId="0" xfId="0" applyFill="1"/>
    <xf numFmtId="0" fontId="0" fillId="4" borderId="0" xfId="0" applyFill="1"/>
    <xf numFmtId="0" fontId="0" fillId="8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17" borderId="0" xfId="0" applyNumberFormat="1" applyFill="1"/>
    <xf numFmtId="165" fontId="0" fillId="8" borderId="0" xfId="0" applyNumberFormat="1" applyFill="1"/>
    <xf numFmtId="165" fontId="0" fillId="12" borderId="0" xfId="0" applyNumberFormat="1" applyFill="1"/>
    <xf numFmtId="165" fontId="0" fillId="4" borderId="0" xfId="0" applyNumberFormat="1" applyFill="1"/>
    <xf numFmtId="165" fontId="0" fillId="5" borderId="0" xfId="0" applyNumberFormat="1" applyFill="1" applyAlignment="1">
      <alignment horizontal="center"/>
    </xf>
    <xf numFmtId="165" fontId="0" fillId="5" borderId="0" xfId="0" applyNumberFormat="1" applyFill="1"/>
    <xf numFmtId="0" fontId="0" fillId="13" borderId="0" xfId="0" applyFill="1" applyAlignment="1"/>
    <xf numFmtId="0" fontId="0" fillId="1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2" xfId="0" applyBorder="1" applyAlignment="1">
      <alignment horizontal="center"/>
    </xf>
    <xf numFmtId="4" fontId="0" fillId="0" borderId="1" xfId="0" applyNumberFormat="1" applyBorder="1"/>
    <xf numFmtId="2" fontId="0" fillId="17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2" fontId="0" fillId="0" borderId="0" xfId="0" applyNumberFormat="1"/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748937</xdr:colOff>
      <xdr:row>27</xdr:row>
      <xdr:rowOff>11975</xdr:rowOff>
    </xdr:from>
    <xdr:to>
      <xdr:col>16</xdr:col>
      <xdr:colOff>701571</xdr:colOff>
      <xdr:row>41</xdr:row>
      <xdr:rowOff>91927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3308" y="5008518"/>
          <a:ext cx="4470205" cy="2670752"/>
        </a:xfrm>
        <a:prstGeom prst="rect">
          <a:avLst/>
        </a:prstGeom>
      </xdr:spPr>
    </xdr:pic>
    <xdr:clientData/>
  </xdr:twoCellAnchor>
  <xdr:twoCellAnchor editAs="oneCell">
    <xdr:from>
      <xdr:col>5</xdr:col>
      <xdr:colOff>530133</xdr:colOff>
      <xdr:row>2</xdr:row>
      <xdr:rowOff>32658</xdr:rowOff>
    </xdr:from>
    <xdr:to>
      <xdr:col>7</xdr:col>
      <xdr:colOff>578809</xdr:colOff>
      <xdr:row>14</xdr:row>
      <xdr:rowOff>184206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4162" y="402772"/>
          <a:ext cx="2280247" cy="2372234"/>
        </a:xfrm>
        <a:prstGeom prst="rect">
          <a:avLst/>
        </a:prstGeom>
      </xdr:spPr>
    </xdr:pic>
    <xdr:clientData/>
  </xdr:twoCellAnchor>
  <xdr:twoCellAnchor editAs="oneCell">
    <xdr:from>
      <xdr:col>7</xdr:col>
      <xdr:colOff>182880</xdr:colOff>
      <xdr:row>33</xdr:row>
      <xdr:rowOff>30480</xdr:rowOff>
    </xdr:from>
    <xdr:to>
      <xdr:col>9</xdr:col>
      <xdr:colOff>1101633</xdr:colOff>
      <xdr:row>42</xdr:row>
      <xdr:rowOff>163134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8380" y="6065520"/>
          <a:ext cx="2849880" cy="1778574"/>
        </a:xfrm>
        <a:prstGeom prst="rect">
          <a:avLst/>
        </a:prstGeom>
      </xdr:spPr>
    </xdr:pic>
    <xdr:clientData/>
  </xdr:twoCellAnchor>
  <xdr:oneCellAnchor>
    <xdr:from>
      <xdr:col>5</xdr:col>
      <xdr:colOff>345077</xdr:colOff>
      <xdr:row>73</xdr:row>
      <xdr:rowOff>169817</xdr:rowOff>
    </xdr:from>
    <xdr:ext cx="1771429" cy="2457143"/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9106" y="12013474"/>
          <a:ext cx="1771429" cy="2457143"/>
        </a:xfrm>
        <a:prstGeom prst="rect">
          <a:avLst/>
        </a:prstGeom>
      </xdr:spPr>
    </xdr:pic>
    <xdr:clientData/>
  </xdr:oneCellAnchor>
  <xdr:oneCellAnchor>
    <xdr:from>
      <xdr:col>7</xdr:col>
      <xdr:colOff>160020</xdr:colOff>
      <xdr:row>105</xdr:row>
      <xdr:rowOff>129540</xdr:rowOff>
    </xdr:from>
    <xdr:ext cx="2609524" cy="1628571"/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5520" y="18051780"/>
          <a:ext cx="2609524" cy="1628571"/>
        </a:xfrm>
        <a:prstGeom prst="rect">
          <a:avLst/>
        </a:prstGeom>
      </xdr:spPr>
    </xdr:pic>
    <xdr:clientData/>
  </xdr:oneCellAnchor>
  <xdr:oneCellAnchor>
    <xdr:from>
      <xdr:col>7</xdr:col>
      <xdr:colOff>85996</xdr:colOff>
      <xdr:row>249</xdr:row>
      <xdr:rowOff>119157</xdr:rowOff>
    </xdr:from>
    <xdr:ext cx="2711631" cy="1692295"/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7825" y="29543243"/>
          <a:ext cx="2711631" cy="1692295"/>
        </a:xfrm>
        <a:prstGeom prst="rect">
          <a:avLst/>
        </a:prstGeom>
      </xdr:spPr>
    </xdr:pic>
    <xdr:clientData/>
  </xdr:oneCellAnchor>
  <xdr:oneCellAnchor>
    <xdr:from>
      <xdr:col>25</xdr:col>
      <xdr:colOff>130629</xdr:colOff>
      <xdr:row>433</xdr:row>
      <xdr:rowOff>0</xdr:rowOff>
    </xdr:from>
    <xdr:ext cx="1476190" cy="695238"/>
    <xdr:pic>
      <xdr:nvPicPr>
        <xdr:cNvPr id="55" name="Imagen 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31086" y="81327171"/>
          <a:ext cx="1476190" cy="695238"/>
        </a:xfrm>
        <a:prstGeom prst="rect">
          <a:avLst/>
        </a:prstGeom>
      </xdr:spPr>
    </xdr:pic>
    <xdr:clientData/>
  </xdr:oneCellAnchor>
  <xdr:oneCellAnchor>
    <xdr:from>
      <xdr:col>25</xdr:col>
      <xdr:colOff>130629</xdr:colOff>
      <xdr:row>433</xdr:row>
      <xdr:rowOff>0</xdr:rowOff>
    </xdr:from>
    <xdr:ext cx="1476190" cy="695238"/>
    <xdr:pic>
      <xdr:nvPicPr>
        <xdr:cNvPr id="58" name="Imagen 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31086" y="85975371"/>
          <a:ext cx="1476190" cy="695238"/>
        </a:xfrm>
        <a:prstGeom prst="rect">
          <a:avLst/>
        </a:prstGeom>
      </xdr:spPr>
    </xdr:pic>
    <xdr:clientData/>
  </xdr:oneCellAnchor>
  <xdr:oneCellAnchor>
    <xdr:from>
      <xdr:col>26</xdr:col>
      <xdr:colOff>130629</xdr:colOff>
      <xdr:row>433</xdr:row>
      <xdr:rowOff>0</xdr:rowOff>
    </xdr:from>
    <xdr:ext cx="1476190" cy="695238"/>
    <xdr:pic>
      <xdr:nvPicPr>
        <xdr:cNvPr id="62" name="Imagen 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31086" y="90623571"/>
          <a:ext cx="1476190" cy="695238"/>
        </a:xfrm>
        <a:prstGeom prst="rect">
          <a:avLst/>
        </a:prstGeom>
      </xdr:spPr>
    </xdr:pic>
    <xdr:clientData/>
  </xdr:oneCellAnchor>
  <xdr:twoCellAnchor editAs="oneCell">
    <xdr:from>
      <xdr:col>11</xdr:col>
      <xdr:colOff>214807</xdr:colOff>
      <xdr:row>1</xdr:row>
      <xdr:rowOff>43219</xdr:rowOff>
    </xdr:from>
    <xdr:to>
      <xdr:col>17</xdr:col>
      <xdr:colOff>60250</xdr:colOff>
      <xdr:row>24</xdr:row>
      <xdr:rowOff>10885</xdr:rowOff>
    </xdr:to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09178" y="228276"/>
          <a:ext cx="5233871" cy="4223980"/>
        </a:xfrm>
        <a:prstGeom prst="rect">
          <a:avLst/>
        </a:prstGeom>
      </xdr:spPr>
    </xdr:pic>
    <xdr:clientData/>
  </xdr:twoCellAnchor>
  <xdr:oneCellAnchor>
    <xdr:from>
      <xdr:col>12</xdr:col>
      <xdr:colOff>250372</xdr:colOff>
      <xdr:row>14</xdr:row>
      <xdr:rowOff>108858</xdr:rowOff>
    </xdr:from>
    <xdr:ext cx="468086" cy="348343"/>
    <xdr:sp macro="" textlink="">
      <xdr:nvSpPr>
        <xdr:cNvPr id="30" name="CuadroTexto 29"/>
        <xdr:cNvSpPr txBox="1"/>
      </xdr:nvSpPr>
      <xdr:spPr>
        <a:xfrm>
          <a:off x="10145486" y="2699658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E1</a:t>
          </a:r>
        </a:p>
      </xdr:txBody>
    </xdr:sp>
    <xdr:clientData/>
  </xdr:oneCellAnchor>
  <xdr:oneCellAnchor>
    <xdr:from>
      <xdr:col>16</xdr:col>
      <xdr:colOff>73292</xdr:colOff>
      <xdr:row>14</xdr:row>
      <xdr:rowOff>162961</xdr:rowOff>
    </xdr:from>
    <xdr:ext cx="468086" cy="348343"/>
    <xdr:sp macro="" textlink="">
      <xdr:nvSpPr>
        <xdr:cNvPr id="56" name="CuadroTexto 55"/>
        <xdr:cNvSpPr txBox="1"/>
      </xdr:nvSpPr>
      <xdr:spPr>
        <a:xfrm>
          <a:off x="13147035" y="2753761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E3</a:t>
          </a:r>
        </a:p>
      </xdr:txBody>
    </xdr:sp>
    <xdr:clientData/>
  </xdr:oneCellAnchor>
  <xdr:oneCellAnchor>
    <xdr:from>
      <xdr:col>14</xdr:col>
      <xdr:colOff>541378</xdr:colOff>
      <xdr:row>14</xdr:row>
      <xdr:rowOff>162962</xdr:rowOff>
    </xdr:from>
    <xdr:ext cx="468086" cy="348343"/>
    <xdr:sp macro="" textlink="">
      <xdr:nvSpPr>
        <xdr:cNvPr id="63" name="CuadroTexto 62"/>
        <xdr:cNvSpPr txBox="1"/>
      </xdr:nvSpPr>
      <xdr:spPr>
        <a:xfrm>
          <a:off x="12025807" y="2753762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E2</a:t>
          </a:r>
        </a:p>
      </xdr:txBody>
    </xdr:sp>
    <xdr:clientData/>
  </xdr:oneCellAnchor>
  <xdr:oneCellAnchor>
    <xdr:from>
      <xdr:col>16</xdr:col>
      <xdr:colOff>105949</xdr:colOff>
      <xdr:row>7</xdr:row>
      <xdr:rowOff>32333</xdr:rowOff>
    </xdr:from>
    <xdr:ext cx="468086" cy="348343"/>
    <xdr:sp macro="" textlink="">
      <xdr:nvSpPr>
        <xdr:cNvPr id="64" name="CuadroTexto 63"/>
        <xdr:cNvSpPr txBox="1"/>
      </xdr:nvSpPr>
      <xdr:spPr>
        <a:xfrm>
          <a:off x="13179692" y="1327733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E6</a:t>
          </a:r>
        </a:p>
      </xdr:txBody>
    </xdr:sp>
    <xdr:clientData/>
  </xdr:oneCellAnchor>
  <xdr:oneCellAnchor>
    <xdr:from>
      <xdr:col>14</xdr:col>
      <xdr:colOff>519605</xdr:colOff>
      <xdr:row>7</xdr:row>
      <xdr:rowOff>32332</xdr:rowOff>
    </xdr:from>
    <xdr:ext cx="468086" cy="348343"/>
    <xdr:sp macro="" textlink="">
      <xdr:nvSpPr>
        <xdr:cNvPr id="65" name="CuadroTexto 64"/>
        <xdr:cNvSpPr txBox="1"/>
      </xdr:nvSpPr>
      <xdr:spPr>
        <a:xfrm>
          <a:off x="12004034" y="1327732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E5</a:t>
          </a:r>
        </a:p>
      </xdr:txBody>
    </xdr:sp>
    <xdr:clientData/>
  </xdr:oneCellAnchor>
  <xdr:oneCellAnchor>
    <xdr:from>
      <xdr:col>12</xdr:col>
      <xdr:colOff>225692</xdr:colOff>
      <xdr:row>7</xdr:row>
      <xdr:rowOff>21447</xdr:rowOff>
    </xdr:from>
    <xdr:ext cx="468086" cy="348343"/>
    <xdr:sp macro="" textlink="">
      <xdr:nvSpPr>
        <xdr:cNvPr id="66" name="CuadroTexto 65"/>
        <xdr:cNvSpPr txBox="1"/>
      </xdr:nvSpPr>
      <xdr:spPr>
        <a:xfrm>
          <a:off x="10120806" y="1316847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E4</a:t>
          </a:r>
        </a:p>
      </xdr:txBody>
    </xdr:sp>
    <xdr:clientData/>
  </xdr:oneCellAnchor>
  <xdr:oneCellAnchor>
    <xdr:from>
      <xdr:col>15</xdr:col>
      <xdr:colOff>552263</xdr:colOff>
      <xdr:row>5</xdr:row>
      <xdr:rowOff>21447</xdr:rowOff>
    </xdr:from>
    <xdr:ext cx="601621" cy="348343"/>
    <xdr:sp macro="" textlink="">
      <xdr:nvSpPr>
        <xdr:cNvPr id="67" name="CuadroTexto 66"/>
        <xdr:cNvSpPr txBox="1"/>
      </xdr:nvSpPr>
      <xdr:spPr>
        <a:xfrm>
          <a:off x="12831349" y="946733"/>
          <a:ext cx="601621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E10</a:t>
          </a:r>
        </a:p>
      </xdr:txBody>
    </xdr:sp>
    <xdr:clientData/>
  </xdr:oneCellAnchor>
  <xdr:oneCellAnchor>
    <xdr:from>
      <xdr:col>13</xdr:col>
      <xdr:colOff>584921</xdr:colOff>
      <xdr:row>5</xdr:row>
      <xdr:rowOff>64990</xdr:rowOff>
    </xdr:from>
    <xdr:ext cx="468086" cy="348343"/>
    <xdr:sp macro="" textlink="">
      <xdr:nvSpPr>
        <xdr:cNvPr id="68" name="CuadroTexto 67"/>
        <xdr:cNvSpPr txBox="1"/>
      </xdr:nvSpPr>
      <xdr:spPr>
        <a:xfrm>
          <a:off x="11274692" y="990276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E9</a:t>
          </a:r>
        </a:p>
      </xdr:txBody>
    </xdr:sp>
    <xdr:clientData/>
  </xdr:oneCellAnchor>
  <xdr:oneCellAnchor>
    <xdr:from>
      <xdr:col>15</xdr:col>
      <xdr:colOff>617578</xdr:colOff>
      <xdr:row>11</xdr:row>
      <xdr:rowOff>86761</xdr:rowOff>
    </xdr:from>
    <xdr:ext cx="468086" cy="348343"/>
    <xdr:sp macro="" textlink="">
      <xdr:nvSpPr>
        <xdr:cNvPr id="69" name="CuadroTexto 68"/>
        <xdr:cNvSpPr txBox="1"/>
      </xdr:nvSpPr>
      <xdr:spPr>
        <a:xfrm>
          <a:off x="12896664" y="2122390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E8</a:t>
          </a:r>
        </a:p>
      </xdr:txBody>
    </xdr:sp>
    <xdr:clientData/>
  </xdr:oneCellAnchor>
  <xdr:oneCellAnchor>
    <xdr:from>
      <xdr:col>13</xdr:col>
      <xdr:colOff>617579</xdr:colOff>
      <xdr:row>11</xdr:row>
      <xdr:rowOff>64990</xdr:rowOff>
    </xdr:from>
    <xdr:ext cx="468086" cy="348343"/>
    <xdr:sp macro="" textlink="">
      <xdr:nvSpPr>
        <xdr:cNvPr id="70" name="CuadroTexto 69"/>
        <xdr:cNvSpPr txBox="1"/>
      </xdr:nvSpPr>
      <xdr:spPr>
        <a:xfrm>
          <a:off x="11307350" y="2100619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E7</a:t>
          </a:r>
        </a:p>
      </xdr:txBody>
    </xdr:sp>
    <xdr:clientData/>
  </xdr:oneCellAnchor>
  <xdr:oneCellAnchor>
    <xdr:from>
      <xdr:col>12</xdr:col>
      <xdr:colOff>315686</xdr:colOff>
      <xdr:row>18</xdr:row>
      <xdr:rowOff>21772</xdr:rowOff>
    </xdr:from>
    <xdr:ext cx="468086" cy="348343"/>
    <xdr:sp macro="" textlink="">
      <xdr:nvSpPr>
        <xdr:cNvPr id="71" name="CuadroTexto 70"/>
        <xdr:cNvSpPr txBox="1"/>
      </xdr:nvSpPr>
      <xdr:spPr>
        <a:xfrm>
          <a:off x="10210800" y="3352801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a</a:t>
          </a:r>
        </a:p>
      </xdr:txBody>
    </xdr:sp>
    <xdr:clientData/>
  </xdr:oneCellAnchor>
  <xdr:oneCellAnchor>
    <xdr:from>
      <xdr:col>16</xdr:col>
      <xdr:colOff>130628</xdr:colOff>
      <xdr:row>18</xdr:row>
      <xdr:rowOff>10886</xdr:rowOff>
    </xdr:from>
    <xdr:ext cx="468086" cy="348343"/>
    <xdr:sp macro="" textlink="">
      <xdr:nvSpPr>
        <xdr:cNvPr id="72" name="CuadroTexto 71"/>
        <xdr:cNvSpPr txBox="1"/>
      </xdr:nvSpPr>
      <xdr:spPr>
        <a:xfrm>
          <a:off x="13204371" y="3341915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c</a:t>
          </a:r>
        </a:p>
      </xdr:txBody>
    </xdr:sp>
    <xdr:clientData/>
  </xdr:oneCellAnchor>
  <xdr:oneCellAnchor>
    <xdr:from>
      <xdr:col>14</xdr:col>
      <xdr:colOff>609599</xdr:colOff>
      <xdr:row>18</xdr:row>
      <xdr:rowOff>1</xdr:rowOff>
    </xdr:from>
    <xdr:ext cx="468086" cy="348343"/>
    <xdr:sp macro="" textlink="">
      <xdr:nvSpPr>
        <xdr:cNvPr id="73" name="CuadroTexto 72"/>
        <xdr:cNvSpPr txBox="1"/>
      </xdr:nvSpPr>
      <xdr:spPr>
        <a:xfrm>
          <a:off x="12094028" y="3331030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b</a:t>
          </a:r>
        </a:p>
      </xdr:txBody>
    </xdr:sp>
    <xdr:clientData/>
  </xdr:oneCellAnchor>
  <xdr:oneCellAnchor>
    <xdr:from>
      <xdr:col>12</xdr:col>
      <xdr:colOff>348344</xdr:colOff>
      <xdr:row>9</xdr:row>
      <xdr:rowOff>141514</xdr:rowOff>
    </xdr:from>
    <xdr:ext cx="468086" cy="348343"/>
    <xdr:sp macro="" textlink="">
      <xdr:nvSpPr>
        <xdr:cNvPr id="74" name="CuadroTexto 73"/>
        <xdr:cNvSpPr txBox="1"/>
      </xdr:nvSpPr>
      <xdr:spPr>
        <a:xfrm>
          <a:off x="10243458" y="1807028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1</a:t>
          </a:r>
        </a:p>
      </xdr:txBody>
    </xdr:sp>
    <xdr:clientData/>
  </xdr:oneCellAnchor>
  <xdr:oneCellAnchor>
    <xdr:from>
      <xdr:col>14</xdr:col>
      <xdr:colOff>674914</xdr:colOff>
      <xdr:row>9</xdr:row>
      <xdr:rowOff>76199</xdr:rowOff>
    </xdr:from>
    <xdr:ext cx="468086" cy="348343"/>
    <xdr:sp macro="" textlink="">
      <xdr:nvSpPr>
        <xdr:cNvPr id="75" name="CuadroTexto 74"/>
        <xdr:cNvSpPr txBox="1"/>
      </xdr:nvSpPr>
      <xdr:spPr>
        <a:xfrm>
          <a:off x="12159343" y="1741713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2</a:t>
          </a:r>
        </a:p>
      </xdr:txBody>
    </xdr:sp>
    <xdr:clientData/>
  </xdr:oneCellAnchor>
  <xdr:oneCellAnchor>
    <xdr:from>
      <xdr:col>16</xdr:col>
      <xdr:colOff>402771</xdr:colOff>
      <xdr:row>9</xdr:row>
      <xdr:rowOff>32658</xdr:rowOff>
    </xdr:from>
    <xdr:ext cx="468086" cy="348343"/>
    <xdr:sp macro="" textlink="">
      <xdr:nvSpPr>
        <xdr:cNvPr id="76" name="CuadroTexto 75"/>
        <xdr:cNvSpPr txBox="1"/>
      </xdr:nvSpPr>
      <xdr:spPr>
        <a:xfrm>
          <a:off x="13476514" y="1698172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3</a:t>
          </a:r>
        </a:p>
      </xdr:txBody>
    </xdr:sp>
    <xdr:clientData/>
  </xdr:oneCellAnchor>
  <xdr:oneCellAnchor>
    <xdr:from>
      <xdr:col>12</xdr:col>
      <xdr:colOff>391886</xdr:colOff>
      <xdr:row>3</xdr:row>
      <xdr:rowOff>163286</xdr:rowOff>
    </xdr:from>
    <xdr:ext cx="468086" cy="348343"/>
    <xdr:sp macro="" textlink="">
      <xdr:nvSpPr>
        <xdr:cNvPr id="77" name="CuadroTexto 76"/>
        <xdr:cNvSpPr txBox="1"/>
      </xdr:nvSpPr>
      <xdr:spPr>
        <a:xfrm>
          <a:off x="10287000" y="718457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4</a:t>
          </a:r>
        </a:p>
      </xdr:txBody>
    </xdr:sp>
    <xdr:clientData/>
  </xdr:oneCellAnchor>
  <xdr:oneCellAnchor>
    <xdr:from>
      <xdr:col>14</xdr:col>
      <xdr:colOff>653143</xdr:colOff>
      <xdr:row>2</xdr:row>
      <xdr:rowOff>174171</xdr:rowOff>
    </xdr:from>
    <xdr:ext cx="468086" cy="348343"/>
    <xdr:sp macro="" textlink="">
      <xdr:nvSpPr>
        <xdr:cNvPr id="78" name="CuadroTexto 77"/>
        <xdr:cNvSpPr txBox="1"/>
      </xdr:nvSpPr>
      <xdr:spPr>
        <a:xfrm>
          <a:off x="12137572" y="544285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5</a:t>
          </a:r>
        </a:p>
      </xdr:txBody>
    </xdr:sp>
    <xdr:clientData/>
  </xdr:oneCellAnchor>
  <xdr:oneCellAnchor>
    <xdr:from>
      <xdr:col>16</xdr:col>
      <xdr:colOff>261258</xdr:colOff>
      <xdr:row>2</xdr:row>
      <xdr:rowOff>163286</xdr:rowOff>
    </xdr:from>
    <xdr:ext cx="468086" cy="348343"/>
    <xdr:sp macro="" textlink="">
      <xdr:nvSpPr>
        <xdr:cNvPr id="79" name="CuadroTexto 78"/>
        <xdr:cNvSpPr txBox="1"/>
      </xdr:nvSpPr>
      <xdr:spPr>
        <a:xfrm>
          <a:off x="13335001" y="533400"/>
          <a:ext cx="468086" cy="3483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>
              <a:solidFill>
                <a:schemeClr val="bg1"/>
              </a:solidFill>
            </a:rPr>
            <a:t>6</a:t>
          </a:r>
        </a:p>
      </xdr:txBody>
    </xdr:sp>
    <xdr:clientData/>
  </xdr:oneCellAnchor>
  <xdr:twoCellAnchor editAs="oneCell">
    <xdr:from>
      <xdr:col>19</xdr:col>
      <xdr:colOff>119743</xdr:colOff>
      <xdr:row>22</xdr:row>
      <xdr:rowOff>87085</xdr:rowOff>
    </xdr:from>
    <xdr:to>
      <xdr:col>24</xdr:col>
      <xdr:colOff>727409</xdr:colOff>
      <xdr:row>42</xdr:row>
      <xdr:rowOff>128799</xdr:rowOff>
    </xdr:to>
    <xdr:pic>
      <xdr:nvPicPr>
        <xdr:cNvPr id="37" name="Imagen 3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71372" y="4158342"/>
          <a:ext cx="4580952" cy="3742857"/>
        </a:xfrm>
        <a:prstGeom prst="rect">
          <a:avLst/>
        </a:prstGeom>
      </xdr:spPr>
    </xdr:pic>
    <xdr:clientData/>
  </xdr:twoCellAnchor>
  <xdr:twoCellAnchor editAs="oneCell">
    <xdr:from>
      <xdr:col>12</xdr:col>
      <xdr:colOff>642257</xdr:colOff>
      <xdr:row>74</xdr:row>
      <xdr:rowOff>65313</xdr:rowOff>
    </xdr:from>
    <xdr:to>
      <xdr:col>17</xdr:col>
      <xdr:colOff>640323</xdr:colOff>
      <xdr:row>94</xdr:row>
      <xdr:rowOff>107028</xdr:rowOff>
    </xdr:to>
    <xdr:pic>
      <xdr:nvPicPr>
        <xdr:cNvPr id="80" name="Imagen 7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31286" y="13759542"/>
          <a:ext cx="4580952" cy="3742857"/>
        </a:xfrm>
        <a:prstGeom prst="rect">
          <a:avLst/>
        </a:prstGeom>
      </xdr:spPr>
    </xdr:pic>
    <xdr:clientData/>
  </xdr:twoCellAnchor>
  <xdr:twoCellAnchor editAs="oneCell">
    <xdr:from>
      <xdr:col>7</xdr:col>
      <xdr:colOff>348343</xdr:colOff>
      <xdr:row>80</xdr:row>
      <xdr:rowOff>87086</xdr:rowOff>
    </xdr:from>
    <xdr:to>
      <xdr:col>11</xdr:col>
      <xdr:colOff>276888</xdr:colOff>
      <xdr:row>93</xdr:row>
      <xdr:rowOff>25524</xdr:rowOff>
    </xdr:to>
    <xdr:pic>
      <xdr:nvPicPr>
        <xdr:cNvPr id="81" name="Imagen 8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4086" y="14891657"/>
          <a:ext cx="3923603" cy="2344181"/>
        </a:xfrm>
        <a:prstGeom prst="rect">
          <a:avLst/>
        </a:prstGeom>
      </xdr:spPr>
    </xdr:pic>
    <xdr:clientData/>
  </xdr:twoCellAnchor>
  <xdr:oneCellAnchor>
    <xdr:from>
      <xdr:col>5</xdr:col>
      <xdr:colOff>345077</xdr:colOff>
      <xdr:row>145</xdr:row>
      <xdr:rowOff>169817</xdr:rowOff>
    </xdr:from>
    <xdr:ext cx="1771429" cy="2457143"/>
    <xdr:pic>
      <xdr:nvPicPr>
        <xdr:cNvPr id="86" name="Imagen 8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9477" y="13678988"/>
          <a:ext cx="1771429" cy="2457143"/>
        </a:xfrm>
        <a:prstGeom prst="rect">
          <a:avLst/>
        </a:prstGeom>
      </xdr:spPr>
    </xdr:pic>
    <xdr:clientData/>
  </xdr:oneCellAnchor>
  <xdr:oneCellAnchor>
    <xdr:from>
      <xdr:col>7</xdr:col>
      <xdr:colOff>160020</xdr:colOff>
      <xdr:row>177</xdr:row>
      <xdr:rowOff>129540</xdr:rowOff>
    </xdr:from>
    <xdr:ext cx="2609524" cy="1628571"/>
    <xdr:pic>
      <xdr:nvPicPr>
        <xdr:cNvPr id="87" name="Imagen 8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9420" y="19560540"/>
          <a:ext cx="2609524" cy="1628571"/>
        </a:xfrm>
        <a:prstGeom prst="rect">
          <a:avLst/>
        </a:prstGeom>
      </xdr:spPr>
    </xdr:pic>
    <xdr:clientData/>
  </xdr:oneCellAnchor>
  <xdr:oneCellAnchor>
    <xdr:from>
      <xdr:col>12</xdr:col>
      <xdr:colOff>642257</xdr:colOff>
      <xdr:row>146</xdr:row>
      <xdr:rowOff>65313</xdr:rowOff>
    </xdr:from>
    <xdr:ext cx="4580952" cy="3742857"/>
    <xdr:pic>
      <xdr:nvPicPr>
        <xdr:cNvPr id="88" name="Imagen 8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44943" y="13759542"/>
          <a:ext cx="4580952" cy="3742857"/>
        </a:xfrm>
        <a:prstGeom prst="rect">
          <a:avLst/>
        </a:prstGeom>
      </xdr:spPr>
    </xdr:pic>
    <xdr:clientData/>
  </xdr:oneCellAnchor>
  <xdr:oneCellAnchor>
    <xdr:from>
      <xdr:col>7</xdr:col>
      <xdr:colOff>348343</xdr:colOff>
      <xdr:row>152</xdr:row>
      <xdr:rowOff>87086</xdr:rowOff>
    </xdr:from>
    <xdr:ext cx="3923603" cy="2344181"/>
    <xdr:pic>
      <xdr:nvPicPr>
        <xdr:cNvPr id="89" name="Imagen 8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7743" y="14891657"/>
          <a:ext cx="3923603" cy="2344181"/>
        </a:xfrm>
        <a:prstGeom prst="rect">
          <a:avLst/>
        </a:prstGeom>
      </xdr:spPr>
    </xdr:pic>
    <xdr:clientData/>
  </xdr:oneCellAnchor>
  <xdr:oneCellAnchor>
    <xdr:from>
      <xdr:col>10</xdr:col>
      <xdr:colOff>272142</xdr:colOff>
      <xdr:row>217</xdr:row>
      <xdr:rowOff>141514</xdr:rowOff>
    </xdr:from>
    <xdr:ext cx="4580952" cy="3742857"/>
    <xdr:pic>
      <xdr:nvPicPr>
        <xdr:cNvPr id="90" name="Imagen 8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35885" y="40298914"/>
          <a:ext cx="4580952" cy="3742857"/>
        </a:xfrm>
        <a:prstGeom prst="rect">
          <a:avLst/>
        </a:prstGeom>
      </xdr:spPr>
    </xdr:pic>
    <xdr:clientData/>
  </xdr:oneCellAnchor>
  <xdr:oneCellAnchor>
    <xdr:from>
      <xdr:col>5</xdr:col>
      <xdr:colOff>816428</xdr:colOff>
      <xdr:row>219</xdr:row>
      <xdr:rowOff>21771</xdr:rowOff>
    </xdr:from>
    <xdr:ext cx="3923603" cy="2344181"/>
    <xdr:pic>
      <xdr:nvPicPr>
        <xdr:cNvPr id="91" name="Imagen 9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7028" y="40549285"/>
          <a:ext cx="3923603" cy="2344181"/>
        </a:xfrm>
        <a:prstGeom prst="rect">
          <a:avLst/>
        </a:prstGeom>
      </xdr:spPr>
    </xdr:pic>
    <xdr:clientData/>
  </xdr:oneCellAnchor>
  <xdr:oneCellAnchor>
    <xdr:from>
      <xdr:col>7</xdr:col>
      <xdr:colOff>85996</xdr:colOff>
      <xdr:row>321</xdr:row>
      <xdr:rowOff>119157</xdr:rowOff>
    </xdr:from>
    <xdr:ext cx="2711631" cy="1692295"/>
    <xdr:pic>
      <xdr:nvPicPr>
        <xdr:cNvPr id="92" name="Imagen 9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2967" y="46198386"/>
          <a:ext cx="2711631" cy="1692295"/>
        </a:xfrm>
        <a:prstGeom prst="rect">
          <a:avLst/>
        </a:prstGeom>
      </xdr:spPr>
    </xdr:pic>
    <xdr:clientData/>
  </xdr:oneCellAnchor>
  <xdr:oneCellAnchor>
    <xdr:from>
      <xdr:col>10</xdr:col>
      <xdr:colOff>272142</xdr:colOff>
      <xdr:row>289</xdr:row>
      <xdr:rowOff>141514</xdr:rowOff>
    </xdr:from>
    <xdr:ext cx="4580952" cy="3742857"/>
    <xdr:pic>
      <xdr:nvPicPr>
        <xdr:cNvPr id="93" name="Imagen 9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3313" y="40298914"/>
          <a:ext cx="4580952" cy="3742857"/>
        </a:xfrm>
        <a:prstGeom prst="rect">
          <a:avLst/>
        </a:prstGeom>
      </xdr:spPr>
    </xdr:pic>
    <xdr:clientData/>
  </xdr:oneCellAnchor>
  <xdr:oneCellAnchor>
    <xdr:from>
      <xdr:col>5</xdr:col>
      <xdr:colOff>816428</xdr:colOff>
      <xdr:row>291</xdr:row>
      <xdr:rowOff>21771</xdr:rowOff>
    </xdr:from>
    <xdr:ext cx="3923603" cy="2344181"/>
    <xdr:pic>
      <xdr:nvPicPr>
        <xdr:cNvPr id="94" name="Imagen 9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1828" y="40549285"/>
          <a:ext cx="3923603" cy="2344181"/>
        </a:xfrm>
        <a:prstGeom prst="rect">
          <a:avLst/>
        </a:prstGeom>
      </xdr:spPr>
    </xdr:pic>
    <xdr:clientData/>
  </xdr:oneCellAnchor>
  <xdr:oneCellAnchor>
    <xdr:from>
      <xdr:col>7</xdr:col>
      <xdr:colOff>85996</xdr:colOff>
      <xdr:row>393</xdr:row>
      <xdr:rowOff>119157</xdr:rowOff>
    </xdr:from>
    <xdr:ext cx="2711631" cy="1692295"/>
    <xdr:pic>
      <xdr:nvPicPr>
        <xdr:cNvPr id="95" name="Imagen 9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2967" y="59522500"/>
          <a:ext cx="2711631" cy="1692295"/>
        </a:xfrm>
        <a:prstGeom prst="rect">
          <a:avLst/>
        </a:prstGeom>
      </xdr:spPr>
    </xdr:pic>
    <xdr:clientData/>
  </xdr:oneCellAnchor>
  <xdr:oneCellAnchor>
    <xdr:from>
      <xdr:col>10</xdr:col>
      <xdr:colOff>272142</xdr:colOff>
      <xdr:row>361</xdr:row>
      <xdr:rowOff>141514</xdr:rowOff>
    </xdr:from>
    <xdr:ext cx="4580952" cy="3742857"/>
    <xdr:pic>
      <xdr:nvPicPr>
        <xdr:cNvPr id="96" name="Imagen 9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33313" y="53623028"/>
          <a:ext cx="4580952" cy="3742857"/>
        </a:xfrm>
        <a:prstGeom prst="rect">
          <a:avLst/>
        </a:prstGeom>
      </xdr:spPr>
    </xdr:pic>
    <xdr:clientData/>
  </xdr:oneCellAnchor>
  <xdr:oneCellAnchor>
    <xdr:from>
      <xdr:col>5</xdr:col>
      <xdr:colOff>816428</xdr:colOff>
      <xdr:row>363</xdr:row>
      <xdr:rowOff>21771</xdr:rowOff>
    </xdr:from>
    <xdr:ext cx="3923603" cy="2344181"/>
    <xdr:pic>
      <xdr:nvPicPr>
        <xdr:cNvPr id="97" name="Imagen 9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1828" y="53873400"/>
          <a:ext cx="3923603" cy="234418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670560</xdr:colOff>
      <xdr:row>16</xdr:row>
      <xdr:rowOff>152400</xdr:rowOff>
    </xdr:from>
    <xdr:to>
      <xdr:col>12</xdr:col>
      <xdr:colOff>581851</xdr:colOff>
      <xdr:row>27</xdr:row>
      <xdr:rowOff>178815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" y="3078480"/>
          <a:ext cx="8628571" cy="2038095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44</xdr:row>
      <xdr:rowOff>152400</xdr:rowOff>
    </xdr:from>
    <xdr:to>
      <xdr:col>17</xdr:col>
      <xdr:colOff>260489</xdr:colOff>
      <xdr:row>55</xdr:row>
      <xdr:rowOff>7620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302" b="2958"/>
        <a:stretch/>
      </xdr:blipFill>
      <xdr:spPr>
        <a:xfrm>
          <a:off x="10416540" y="55199280"/>
          <a:ext cx="3879989" cy="1866900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64</xdr:row>
      <xdr:rowOff>144888</xdr:rowOff>
    </xdr:from>
    <xdr:to>
      <xdr:col>4</xdr:col>
      <xdr:colOff>617220</xdr:colOff>
      <xdr:row>75</xdr:row>
      <xdr:rowOff>24463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" y="58849368"/>
          <a:ext cx="3543300" cy="1891255"/>
        </a:xfrm>
        <a:prstGeom prst="rect">
          <a:avLst/>
        </a:prstGeom>
      </xdr:spPr>
    </xdr:pic>
    <xdr:clientData/>
  </xdr:twoCellAnchor>
  <xdr:oneCellAnchor>
    <xdr:from>
      <xdr:col>5</xdr:col>
      <xdr:colOff>746761</xdr:colOff>
      <xdr:row>64</xdr:row>
      <xdr:rowOff>53832</xdr:rowOff>
    </xdr:from>
    <xdr:ext cx="4122420" cy="198670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61561" y="58758312"/>
          <a:ext cx="4122420" cy="19867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32"/>
  <sheetViews>
    <sheetView tabSelected="1" topLeftCell="A334" zoomScale="70" zoomScaleNormal="70" workbookViewId="0">
      <selection activeCell="L437" sqref="L437"/>
    </sheetView>
  </sheetViews>
  <sheetFormatPr baseColWidth="10" defaultRowHeight="14.4" x14ac:dyDescent="0.3"/>
  <cols>
    <col min="2" max="2" width="15.44140625" customWidth="1"/>
    <col min="3" max="3" width="16.5546875" customWidth="1"/>
    <col min="4" max="4" width="16.6640625" customWidth="1"/>
    <col min="5" max="5" width="14.33203125" customWidth="1"/>
    <col min="6" max="6" width="16.33203125" customWidth="1"/>
    <col min="7" max="7" width="16.109375" customWidth="1"/>
    <col min="8" max="8" width="16.5546875" customWidth="1"/>
    <col min="9" max="9" width="11.6640625" bestFit="1" customWidth="1"/>
    <col min="10" max="10" width="17.21875" customWidth="1"/>
    <col min="11" max="11" width="12.6640625" bestFit="1" customWidth="1"/>
    <col min="12" max="12" width="11.6640625" bestFit="1" customWidth="1"/>
    <col min="13" max="13" width="14.88671875" bestFit="1" customWidth="1"/>
    <col min="14" max="14" width="12.6640625" bestFit="1" customWidth="1"/>
    <col min="15" max="15" width="11.5546875" customWidth="1"/>
    <col min="16" max="16" width="14.88671875" bestFit="1" customWidth="1"/>
    <col min="17" max="17" width="12.6640625" bestFit="1" customWidth="1"/>
    <col min="18" max="18" width="11.6640625" bestFit="1" customWidth="1"/>
    <col min="19" max="19" width="14.88671875" bestFit="1" customWidth="1"/>
  </cols>
  <sheetData>
    <row r="1" spans="1:21" x14ac:dyDescent="0.3">
      <c r="A1" s="40" t="s">
        <v>79</v>
      </c>
      <c r="B1" s="40"/>
      <c r="C1" s="40"/>
      <c r="D1" s="40"/>
      <c r="E1" s="40"/>
      <c r="F1" s="40"/>
      <c r="G1" s="40"/>
    </row>
    <row r="3" spans="1:21" x14ac:dyDescent="0.3">
      <c r="A3" s="46" t="s">
        <v>80</v>
      </c>
      <c r="B3" s="46"/>
      <c r="C3" s="46"/>
      <c r="T3" t="s">
        <v>144</v>
      </c>
      <c r="U3">
        <v>1500</v>
      </c>
    </row>
    <row r="4" spans="1:21" x14ac:dyDescent="0.3">
      <c r="T4" t="s">
        <v>147</v>
      </c>
    </row>
    <row r="5" spans="1:21" x14ac:dyDescent="0.3">
      <c r="A5" s="27" t="s">
        <v>3</v>
      </c>
      <c r="B5" s="26">
        <v>625</v>
      </c>
      <c r="C5" s="26" t="s">
        <v>129</v>
      </c>
      <c r="T5" t="s">
        <v>106</v>
      </c>
      <c r="U5">
        <v>0</v>
      </c>
    </row>
    <row r="6" spans="1:21" x14ac:dyDescent="0.3">
      <c r="A6" s="27" t="s">
        <v>81</v>
      </c>
      <c r="B6" s="49">
        <v>32552.082999999999</v>
      </c>
      <c r="C6" s="26" t="s">
        <v>132</v>
      </c>
      <c r="T6" t="s">
        <v>146</v>
      </c>
      <c r="U6">
        <v>0</v>
      </c>
    </row>
    <row r="7" spans="1:21" x14ac:dyDescent="0.3">
      <c r="A7" s="27" t="s">
        <v>2</v>
      </c>
      <c r="B7" s="26">
        <v>400</v>
      </c>
      <c r="C7" s="26" t="s">
        <v>130</v>
      </c>
      <c r="T7" t="s">
        <v>145</v>
      </c>
    </row>
    <row r="8" spans="1:21" x14ac:dyDescent="0.3">
      <c r="A8" s="27" t="s">
        <v>4</v>
      </c>
      <c r="B8" s="26">
        <v>218819.79</v>
      </c>
      <c r="C8" s="26" t="s">
        <v>131</v>
      </c>
      <c r="T8" t="s">
        <v>108</v>
      </c>
      <c r="U8">
        <v>0</v>
      </c>
    </row>
    <row r="9" spans="1:21" x14ac:dyDescent="0.3">
      <c r="T9" t="s">
        <v>148</v>
      </c>
    </row>
    <row r="10" spans="1:21" x14ac:dyDescent="0.3">
      <c r="A10" s="14"/>
      <c r="B10" s="48" t="s">
        <v>89</v>
      </c>
      <c r="C10" s="48"/>
      <c r="D10" s="48"/>
      <c r="E10" s="14"/>
      <c r="T10" t="s">
        <v>149</v>
      </c>
    </row>
    <row r="11" spans="1:21" x14ac:dyDescent="0.3">
      <c r="B11" s="26" t="s">
        <v>83</v>
      </c>
      <c r="C11" s="54">
        <f>(B8*B5)/B7</f>
        <v>341905.921875</v>
      </c>
      <c r="D11" s="26" t="s">
        <v>88</v>
      </c>
      <c r="T11" t="s">
        <v>109</v>
      </c>
      <c r="U11">
        <v>0</v>
      </c>
    </row>
    <row r="12" spans="1:21" x14ac:dyDescent="0.3">
      <c r="B12" s="26" t="s">
        <v>84</v>
      </c>
      <c r="C12" s="54">
        <f>(12*B8*B6)/(B7^3)</f>
        <v>1335.5699936479818</v>
      </c>
      <c r="D12" s="26" t="s">
        <v>88</v>
      </c>
      <c r="T12" t="s">
        <v>150</v>
      </c>
      <c r="U12">
        <v>1000</v>
      </c>
    </row>
    <row r="13" spans="1:21" x14ac:dyDescent="0.3">
      <c r="B13" s="26" t="s">
        <v>85</v>
      </c>
      <c r="C13" s="54">
        <f>(6*B8*B6)/(B7^2)</f>
        <v>267113.99872959638</v>
      </c>
      <c r="D13" s="26" t="s">
        <v>88</v>
      </c>
      <c r="T13" t="s">
        <v>151</v>
      </c>
    </row>
    <row r="14" spans="1:21" x14ac:dyDescent="0.3">
      <c r="B14" s="26" t="s">
        <v>86</v>
      </c>
      <c r="C14" s="54">
        <f>+(4*B8*B6)/(B7)</f>
        <v>71230399.661225706</v>
      </c>
      <c r="D14" s="26" t="s">
        <v>88</v>
      </c>
      <c r="T14" t="s">
        <v>110</v>
      </c>
      <c r="U14">
        <v>0</v>
      </c>
    </row>
    <row r="15" spans="1:21" x14ac:dyDescent="0.3">
      <c r="B15" s="26" t="s">
        <v>87</v>
      </c>
      <c r="C15" s="54">
        <f>+(2*B8*B6)/B7</f>
        <v>35615199.830612853</v>
      </c>
      <c r="D15" s="26" t="s">
        <v>88</v>
      </c>
      <c r="T15" t="s">
        <v>152</v>
      </c>
      <c r="U15">
        <v>0</v>
      </c>
    </row>
    <row r="16" spans="1:21" x14ac:dyDescent="0.3">
      <c r="T16" t="s">
        <v>153</v>
      </c>
    </row>
    <row r="17" spans="1:21" x14ac:dyDescent="0.3">
      <c r="A17" s="43" t="s">
        <v>30</v>
      </c>
      <c r="B17" s="43"/>
      <c r="C17" s="43"/>
      <c r="D17" s="43"/>
      <c r="E17" s="43"/>
      <c r="F17" s="43"/>
      <c r="G17" s="43"/>
      <c r="T17" t="s">
        <v>135</v>
      </c>
      <c r="U17">
        <v>0</v>
      </c>
    </row>
    <row r="18" spans="1:21" x14ac:dyDescent="0.3">
      <c r="A18" t="s">
        <v>90</v>
      </c>
      <c r="B18" s="29" t="s">
        <v>91</v>
      </c>
      <c r="C18" s="29" t="s">
        <v>92</v>
      </c>
      <c r="D18" s="29" t="s">
        <v>106</v>
      </c>
      <c r="E18" s="29" t="s">
        <v>94</v>
      </c>
      <c r="F18" s="29" t="s">
        <v>93</v>
      </c>
      <c r="G18" s="29" t="s">
        <v>107</v>
      </c>
      <c r="T18" t="s">
        <v>154</v>
      </c>
      <c r="U18">
        <v>0</v>
      </c>
    </row>
    <row r="19" spans="1:21" x14ac:dyDescent="0.3">
      <c r="A19" s="29" t="str">
        <f t="array" ref="A19:A24">+TRANSPOSE(B18:G18)</f>
        <v>1x</v>
      </c>
      <c r="B19" s="28">
        <f>+C11</f>
        <v>341905.921875</v>
      </c>
      <c r="C19" s="28">
        <v>0</v>
      </c>
      <c r="D19" s="28">
        <v>0</v>
      </c>
      <c r="E19" s="30">
        <f>+-C11</f>
        <v>-341905.921875</v>
      </c>
      <c r="F19" s="30">
        <v>0</v>
      </c>
      <c r="G19" s="30">
        <v>0</v>
      </c>
      <c r="T19" t="s">
        <v>155</v>
      </c>
    </row>
    <row r="20" spans="1:21" x14ac:dyDescent="0.3">
      <c r="A20" s="29" t="str">
        <v>1z</v>
      </c>
      <c r="B20" s="28">
        <v>0</v>
      </c>
      <c r="C20" s="28">
        <f>+C12</f>
        <v>1335.5699936479818</v>
      </c>
      <c r="D20" s="28">
        <f>+C13</f>
        <v>267113.99872959638</v>
      </c>
      <c r="E20" s="30">
        <v>0</v>
      </c>
      <c r="F20" s="30">
        <f>-C12</f>
        <v>-1335.5699936479818</v>
      </c>
      <c r="G20" s="30">
        <f>+C13</f>
        <v>267113.99872959638</v>
      </c>
      <c r="T20" t="s">
        <v>138</v>
      </c>
      <c r="U20">
        <v>0</v>
      </c>
    </row>
    <row r="21" spans="1:21" x14ac:dyDescent="0.3">
      <c r="A21" s="29" t="str">
        <v>ϴ 1</v>
      </c>
      <c r="B21" s="28">
        <v>0</v>
      </c>
      <c r="C21" s="28">
        <f>+C13</f>
        <v>267113.99872959638</v>
      </c>
      <c r="D21" s="28">
        <f>+C14</f>
        <v>71230399.661225706</v>
      </c>
      <c r="E21" s="30">
        <v>0</v>
      </c>
      <c r="F21" s="30">
        <f>+-C13</f>
        <v>-267113.99872959638</v>
      </c>
      <c r="G21" s="30">
        <f>+C15</f>
        <v>35615199.830612853</v>
      </c>
    </row>
    <row r="22" spans="1:21" x14ac:dyDescent="0.3">
      <c r="A22" s="29" t="str">
        <v>ax</v>
      </c>
      <c r="B22" s="13">
        <f>-C11</f>
        <v>-341905.921875</v>
      </c>
      <c r="C22" s="13">
        <v>0</v>
      </c>
      <c r="D22" s="13">
        <v>0</v>
      </c>
      <c r="E22" s="29">
        <f>+C11</f>
        <v>341905.921875</v>
      </c>
      <c r="F22" s="29">
        <v>0</v>
      </c>
      <c r="G22" s="29">
        <v>0</v>
      </c>
    </row>
    <row r="23" spans="1:21" x14ac:dyDescent="0.3">
      <c r="A23" s="29" t="str">
        <v>az</v>
      </c>
      <c r="B23" s="13">
        <v>0</v>
      </c>
      <c r="C23" s="13">
        <f>-C12</f>
        <v>-1335.5699936479818</v>
      </c>
      <c r="D23" s="13">
        <f>-C13</f>
        <v>-267113.99872959638</v>
      </c>
      <c r="E23" s="29">
        <v>0</v>
      </c>
      <c r="F23" s="29">
        <f>C12</f>
        <v>1335.5699936479818</v>
      </c>
      <c r="G23" s="29">
        <f>-C13</f>
        <v>-267113.99872959638</v>
      </c>
    </row>
    <row r="24" spans="1:21" x14ac:dyDescent="0.3">
      <c r="A24" s="29" t="str">
        <v>ϴ a</v>
      </c>
      <c r="B24" s="13">
        <v>0</v>
      </c>
      <c r="C24" s="13">
        <f>+C13</f>
        <v>267113.99872959638</v>
      </c>
      <c r="D24" s="13">
        <f>+C15</f>
        <v>35615199.830612853</v>
      </c>
      <c r="E24" s="29">
        <v>0</v>
      </c>
      <c r="F24" s="29">
        <f>-C13</f>
        <v>-267113.99872959638</v>
      </c>
      <c r="G24" s="29">
        <f>C14</f>
        <v>71230399.661225706</v>
      </c>
      <c r="H24" t="s">
        <v>119</v>
      </c>
    </row>
    <row r="26" spans="1:21" x14ac:dyDescent="0.3">
      <c r="A26" s="43" t="s">
        <v>6</v>
      </c>
      <c r="B26" s="43"/>
      <c r="C26" s="43"/>
      <c r="D26" s="43"/>
      <c r="E26" s="43"/>
      <c r="F26" s="43"/>
      <c r="G26" s="43"/>
      <c r="H26" s="43"/>
      <c r="I26" s="43"/>
      <c r="J26" s="43"/>
    </row>
    <row r="27" spans="1:21" x14ac:dyDescent="0.3">
      <c r="A27" s="24"/>
      <c r="B27" s="24"/>
      <c r="C27" s="43" t="s">
        <v>115</v>
      </c>
      <c r="D27" s="43"/>
      <c r="E27" s="43" t="s">
        <v>116</v>
      </c>
      <c r="F27" s="43"/>
      <c r="G27" s="43" t="s">
        <v>117</v>
      </c>
      <c r="H27" s="43"/>
      <c r="I27" s="43" t="s">
        <v>118</v>
      </c>
      <c r="J27" s="43"/>
    </row>
    <row r="28" spans="1:21" x14ac:dyDescent="0.3">
      <c r="A28" s="24" t="s">
        <v>103</v>
      </c>
      <c r="B28" s="10">
        <v>90</v>
      </c>
      <c r="C28" s="24" t="s">
        <v>114</v>
      </c>
      <c r="D28" s="2">
        <f>+B19</f>
        <v>341905.921875</v>
      </c>
      <c r="E28" s="24" t="s">
        <v>114</v>
      </c>
      <c r="F28" s="2">
        <f>+E19</f>
        <v>-341905.921875</v>
      </c>
      <c r="G28" s="24" t="s">
        <v>114</v>
      </c>
      <c r="H28" s="2">
        <f>+B22</f>
        <v>-341905.921875</v>
      </c>
      <c r="I28" s="24" t="s">
        <v>114</v>
      </c>
      <c r="J28" s="8">
        <f>+E22</f>
        <v>341905.921875</v>
      </c>
    </row>
    <row r="29" spans="1:21" x14ac:dyDescent="0.3">
      <c r="A29" s="24" t="s">
        <v>104</v>
      </c>
      <c r="B29" s="24">
        <f>SIN(RADIANS(B28))</f>
        <v>1</v>
      </c>
      <c r="C29" s="24" t="s">
        <v>112</v>
      </c>
      <c r="D29" s="2">
        <f>+C20</f>
        <v>1335.5699936479818</v>
      </c>
      <c r="E29" s="24" t="s">
        <v>112</v>
      </c>
      <c r="F29" s="2">
        <f>+F20</f>
        <v>-1335.5699936479818</v>
      </c>
      <c r="G29" s="24" t="s">
        <v>112</v>
      </c>
      <c r="H29" s="2">
        <f>+C23</f>
        <v>-1335.5699936479818</v>
      </c>
      <c r="I29" s="24" t="s">
        <v>112</v>
      </c>
      <c r="J29" s="8">
        <f>+F23</f>
        <v>1335.5699936479818</v>
      </c>
    </row>
    <row r="30" spans="1:21" x14ac:dyDescent="0.3">
      <c r="A30" s="24" t="s">
        <v>105</v>
      </c>
      <c r="B30" s="33">
        <f>COS(RADIANS(B28))</f>
        <v>6.1257422745431001E-17</v>
      </c>
      <c r="C30" s="24" t="s">
        <v>113</v>
      </c>
      <c r="D30" s="2">
        <f>+D21</f>
        <v>71230399.661225706</v>
      </c>
      <c r="E30" s="24" t="s">
        <v>113</v>
      </c>
      <c r="F30" s="2">
        <f>+G21</f>
        <v>35615199.830612853</v>
      </c>
      <c r="G30" s="24" t="s">
        <v>113</v>
      </c>
      <c r="H30" s="2">
        <f>+D24</f>
        <v>35615199.830612853</v>
      </c>
      <c r="I30" s="24" t="s">
        <v>113</v>
      </c>
      <c r="J30" s="8">
        <f>+G24</f>
        <v>71230399.661225706</v>
      </c>
    </row>
    <row r="31" spans="1:21" x14ac:dyDescent="0.3">
      <c r="A31" s="24"/>
      <c r="B31" s="24"/>
      <c r="C31" s="24" t="s">
        <v>18</v>
      </c>
      <c r="D31" s="2">
        <f>+D20</f>
        <v>267113.99872959638</v>
      </c>
      <c r="E31" s="24" t="s">
        <v>18</v>
      </c>
      <c r="F31" s="2">
        <f>+G20</f>
        <v>267113.99872959638</v>
      </c>
      <c r="G31" s="24" t="s">
        <v>18</v>
      </c>
      <c r="H31" s="2">
        <f>+D23</f>
        <v>-267113.99872959638</v>
      </c>
      <c r="I31" s="24" t="s">
        <v>18</v>
      </c>
      <c r="J31" s="8">
        <f>+G23</f>
        <v>-267113.99872959638</v>
      </c>
    </row>
    <row r="32" spans="1:21" x14ac:dyDescent="0.3">
      <c r="C32" s="24" t="s">
        <v>82</v>
      </c>
      <c r="D32" s="2">
        <f>+C21</f>
        <v>267113.99872959638</v>
      </c>
      <c r="E32" s="24" t="s">
        <v>82</v>
      </c>
      <c r="F32" s="2">
        <f>+F21</f>
        <v>-267113.99872959638</v>
      </c>
      <c r="G32" s="24" t="s">
        <v>82</v>
      </c>
      <c r="H32" s="2">
        <f>+C24</f>
        <v>267113.99872959638</v>
      </c>
      <c r="I32" s="24" t="s">
        <v>82</v>
      </c>
      <c r="J32" s="8">
        <f>+F24</f>
        <v>-267113.99872959638</v>
      </c>
    </row>
    <row r="33" spans="1:37" x14ac:dyDescent="0.3">
      <c r="H33" s="24"/>
      <c r="I33" s="24"/>
    </row>
    <row r="34" spans="1:37" x14ac:dyDescent="0.3">
      <c r="H34" s="24"/>
      <c r="I34" s="24"/>
    </row>
    <row r="35" spans="1:37" x14ac:dyDescent="0.3">
      <c r="H35" s="24"/>
      <c r="I35" s="24"/>
    </row>
    <row r="36" spans="1:37" x14ac:dyDescent="0.3">
      <c r="A36" t="s">
        <v>90</v>
      </c>
      <c r="B36" s="29" t="s">
        <v>91</v>
      </c>
      <c r="C36" s="29" t="s">
        <v>92</v>
      </c>
      <c r="D36" s="29" t="s">
        <v>106</v>
      </c>
      <c r="E36" s="29" t="s">
        <v>94</v>
      </c>
      <c r="F36" s="29" t="s">
        <v>93</v>
      </c>
      <c r="G36" s="29" t="s">
        <v>107</v>
      </c>
      <c r="H36" s="24"/>
      <c r="I36" s="24"/>
    </row>
    <row r="37" spans="1:37" x14ac:dyDescent="0.3">
      <c r="A37" s="29" t="str">
        <f t="array" ref="A37:A42">+TRANSPOSE(B36:G36)</f>
        <v>1x</v>
      </c>
      <c r="B37" s="50">
        <f>(J28*B30*B30)+(J29*B29*B29)</f>
        <v>1335.5699936479818</v>
      </c>
      <c r="C37" s="50">
        <f>(J28-J29)*B30*B29</f>
        <v>2.0862462019756174E-11</v>
      </c>
      <c r="D37" s="50">
        <f>-J31*B29</f>
        <v>267113.99872959638</v>
      </c>
      <c r="E37" s="35">
        <v>0</v>
      </c>
      <c r="F37" s="35">
        <v>0</v>
      </c>
      <c r="G37" s="35">
        <v>0</v>
      </c>
      <c r="H37" s="24"/>
      <c r="I37" s="24"/>
    </row>
    <row r="38" spans="1:37" x14ac:dyDescent="0.3">
      <c r="A38" s="29" t="str">
        <v>1z</v>
      </c>
      <c r="B38" s="50">
        <f>(J28-J29)*B30*B29</f>
        <v>2.0862462019756174E-11</v>
      </c>
      <c r="C38" s="50">
        <f>+(J28*B29*B29)+(J29*B30*B30)</f>
        <v>341905.921875</v>
      </c>
      <c r="D38" s="50">
        <f>J31*B30</f>
        <v>-1.6362715141401403E-11</v>
      </c>
      <c r="E38" s="35">
        <v>0</v>
      </c>
      <c r="F38" s="35">
        <v>0</v>
      </c>
      <c r="G38" s="35">
        <v>0</v>
      </c>
      <c r="H38" s="24"/>
      <c r="I38" s="24"/>
    </row>
    <row r="39" spans="1:37" x14ac:dyDescent="0.3">
      <c r="A39" s="29" t="str">
        <v>ϴ 1</v>
      </c>
      <c r="B39" s="50">
        <f>-J32*B29</f>
        <v>267113.99872959638</v>
      </c>
      <c r="C39" s="50">
        <f>J32*B30</f>
        <v>-1.6362715141401403E-11</v>
      </c>
      <c r="D39" s="50">
        <f>+J30</f>
        <v>71230399.661225706</v>
      </c>
      <c r="E39" s="35">
        <v>0</v>
      </c>
      <c r="F39" s="35">
        <v>0</v>
      </c>
      <c r="G39" s="35">
        <v>0</v>
      </c>
      <c r="H39" s="24"/>
      <c r="I39" s="24"/>
    </row>
    <row r="40" spans="1:37" x14ac:dyDescent="0.3">
      <c r="A40" s="29" t="str">
        <v>ax</v>
      </c>
      <c r="B40" s="36">
        <v>0</v>
      </c>
      <c r="C40" s="36">
        <v>0</v>
      </c>
      <c r="D40" s="36">
        <v>0</v>
      </c>
      <c r="E40" s="37">
        <v>0</v>
      </c>
      <c r="F40" s="37">
        <v>0</v>
      </c>
      <c r="G40" s="37">
        <v>0</v>
      </c>
      <c r="H40" s="24"/>
      <c r="I40" s="24"/>
    </row>
    <row r="41" spans="1:37" x14ac:dyDescent="0.3">
      <c r="A41" s="29" t="str">
        <v>az</v>
      </c>
      <c r="B41" s="36">
        <v>0</v>
      </c>
      <c r="C41" s="36">
        <v>0</v>
      </c>
      <c r="D41" s="36">
        <v>0</v>
      </c>
      <c r="E41" s="37">
        <v>0</v>
      </c>
      <c r="F41" s="37">
        <v>0</v>
      </c>
      <c r="G41" s="37">
        <v>0</v>
      </c>
      <c r="H41" s="24"/>
      <c r="I41" s="24"/>
    </row>
    <row r="42" spans="1:37" x14ac:dyDescent="0.3">
      <c r="A42" s="29" t="str">
        <v>ϴ a</v>
      </c>
      <c r="B42" s="36">
        <v>0</v>
      </c>
      <c r="C42" s="36">
        <v>0</v>
      </c>
      <c r="D42" s="36">
        <v>0</v>
      </c>
      <c r="E42" s="37">
        <v>0</v>
      </c>
      <c r="F42" s="37">
        <v>0</v>
      </c>
      <c r="G42" s="37">
        <v>0</v>
      </c>
      <c r="H42" s="24"/>
      <c r="I42" s="24"/>
    </row>
    <row r="43" spans="1:37" x14ac:dyDescent="0.3">
      <c r="A43" s="24"/>
      <c r="B43" s="24"/>
      <c r="C43" s="24"/>
      <c r="D43" s="24"/>
      <c r="E43" s="24"/>
      <c r="F43" s="24"/>
      <c r="G43" s="24"/>
      <c r="H43" s="24"/>
      <c r="I43" s="24"/>
    </row>
    <row r="45" spans="1:37" x14ac:dyDescent="0.3">
      <c r="A45" t="s">
        <v>0</v>
      </c>
      <c r="B45" s="25" t="s">
        <v>91</v>
      </c>
      <c r="C45" s="25" t="s">
        <v>92</v>
      </c>
      <c r="D45" s="25" t="s">
        <v>106</v>
      </c>
      <c r="E45" s="25" t="s">
        <v>95</v>
      </c>
      <c r="F45" s="25" t="s">
        <v>96</v>
      </c>
      <c r="G45" s="25" t="s">
        <v>108</v>
      </c>
      <c r="H45" s="25" t="s">
        <v>97</v>
      </c>
      <c r="I45" s="25" t="s">
        <v>98</v>
      </c>
      <c r="J45" s="25" t="s">
        <v>109</v>
      </c>
      <c r="K45" s="25" t="s">
        <v>99</v>
      </c>
      <c r="L45" s="25" t="s">
        <v>100</v>
      </c>
      <c r="M45" s="25" t="s">
        <v>110</v>
      </c>
      <c r="N45" s="25" t="s">
        <v>133</v>
      </c>
      <c r="O45" s="25" t="s">
        <v>134</v>
      </c>
      <c r="P45" s="25" t="s">
        <v>135</v>
      </c>
      <c r="Q45" s="31" t="s">
        <v>136</v>
      </c>
      <c r="R45" s="31" t="s">
        <v>137</v>
      </c>
      <c r="S45" s="31" t="s">
        <v>138</v>
      </c>
      <c r="T45" s="31" t="s">
        <v>94</v>
      </c>
      <c r="U45" s="31" t="s">
        <v>93</v>
      </c>
      <c r="V45" s="31" t="s">
        <v>107</v>
      </c>
      <c r="W45" s="31" t="s">
        <v>101</v>
      </c>
      <c r="X45" s="31" t="s">
        <v>102</v>
      </c>
      <c r="Y45" s="31" t="s">
        <v>111</v>
      </c>
      <c r="Z45" s="31" t="s">
        <v>139</v>
      </c>
      <c r="AA45" s="31" t="s">
        <v>140</v>
      </c>
      <c r="AB45" s="31" t="s">
        <v>141</v>
      </c>
      <c r="AC45" s="51"/>
      <c r="AD45" s="51"/>
      <c r="AE45" s="51"/>
      <c r="AF45" s="51"/>
      <c r="AG45" s="51"/>
      <c r="AH45" s="51"/>
      <c r="AI45" s="51"/>
      <c r="AJ45" s="51"/>
      <c r="AK45" s="51"/>
    </row>
    <row r="46" spans="1:37" x14ac:dyDescent="0.3">
      <c r="A46" s="25" t="str">
        <f t="array" ref="A46:A72">TRANSPOSE(B45:AB45)</f>
        <v>1x</v>
      </c>
      <c r="B46" s="53">
        <f t="array" ref="B46:D48">B37:D39</f>
        <v>1335.5699936479818</v>
      </c>
      <c r="C46" s="53">
        <v>2.0862462019756174E-11</v>
      </c>
      <c r="D46" s="53">
        <v>267113.99872959638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0</v>
      </c>
      <c r="X46" s="53">
        <v>0</v>
      </c>
      <c r="Y46" s="53">
        <v>0</v>
      </c>
      <c r="Z46" s="53">
        <v>0</v>
      </c>
      <c r="AA46" s="53">
        <v>0</v>
      </c>
      <c r="AB46" s="53">
        <v>0</v>
      </c>
      <c r="AC46" s="52"/>
      <c r="AD46" s="52"/>
      <c r="AE46" s="52"/>
      <c r="AF46" s="52"/>
      <c r="AG46" s="52"/>
      <c r="AH46" s="52"/>
      <c r="AI46" s="52"/>
      <c r="AJ46" s="52"/>
      <c r="AK46" s="52"/>
    </row>
    <row r="47" spans="1:37" x14ac:dyDescent="0.3">
      <c r="A47" s="25" t="str">
        <v>1z</v>
      </c>
      <c r="B47" s="53">
        <v>2.0862462019756174E-11</v>
      </c>
      <c r="C47" s="53">
        <v>341905.921875</v>
      </c>
      <c r="D47" s="53">
        <v>-1.6362715141401403E-11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  <c r="N47" s="53">
        <v>0</v>
      </c>
      <c r="O47" s="53">
        <v>0</v>
      </c>
      <c r="P47" s="53">
        <v>0</v>
      </c>
      <c r="Q47" s="53">
        <v>0</v>
      </c>
      <c r="R47" s="53">
        <v>0</v>
      </c>
      <c r="S47" s="53">
        <v>0</v>
      </c>
      <c r="T47" s="53">
        <v>0</v>
      </c>
      <c r="U47" s="53">
        <v>0</v>
      </c>
      <c r="V47" s="53">
        <v>0</v>
      </c>
      <c r="W47" s="53">
        <v>0</v>
      </c>
      <c r="X47" s="53">
        <v>0</v>
      </c>
      <c r="Y47" s="53">
        <v>0</v>
      </c>
      <c r="Z47" s="53">
        <v>0</v>
      </c>
      <c r="AA47" s="53">
        <v>0</v>
      </c>
      <c r="AB47" s="53">
        <v>0</v>
      </c>
    </row>
    <row r="48" spans="1:37" x14ac:dyDescent="0.3">
      <c r="A48" s="25" t="str">
        <v>ϴ 1</v>
      </c>
      <c r="B48" s="53">
        <v>267113.99872959638</v>
      </c>
      <c r="C48" s="53">
        <v>-1.6362715141401403E-11</v>
      </c>
      <c r="D48" s="53">
        <v>71230399.661225706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  <c r="N48" s="53">
        <v>0</v>
      </c>
      <c r="O48" s="53">
        <v>0</v>
      </c>
      <c r="P48" s="53">
        <v>0</v>
      </c>
      <c r="Q48" s="53">
        <v>0</v>
      </c>
      <c r="R48" s="53">
        <v>0</v>
      </c>
      <c r="S48" s="53">
        <v>0</v>
      </c>
      <c r="T48" s="53">
        <v>0</v>
      </c>
      <c r="U48" s="53">
        <v>0</v>
      </c>
      <c r="V48" s="53">
        <v>0</v>
      </c>
      <c r="W48" s="53">
        <v>0</v>
      </c>
      <c r="X48" s="53">
        <v>0</v>
      </c>
      <c r="Y48" s="53">
        <v>0</v>
      </c>
      <c r="Z48" s="53">
        <v>0</v>
      </c>
      <c r="AA48" s="53">
        <v>0</v>
      </c>
      <c r="AB48" s="53">
        <v>0</v>
      </c>
    </row>
    <row r="49" spans="1:28" x14ac:dyDescent="0.3">
      <c r="A49" s="25" t="str">
        <v>2x</v>
      </c>
      <c r="B49" s="53">
        <v>0</v>
      </c>
      <c r="C49" s="53">
        <v>0</v>
      </c>
      <c r="D49" s="53">
        <v>0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  <c r="N49" s="53">
        <v>0</v>
      </c>
      <c r="O49" s="53">
        <v>0</v>
      </c>
      <c r="P49" s="53">
        <v>0</v>
      </c>
      <c r="Q49" s="53">
        <v>0</v>
      </c>
      <c r="R49" s="53">
        <v>0</v>
      </c>
      <c r="S49" s="53">
        <v>0</v>
      </c>
      <c r="T49" s="53">
        <v>0</v>
      </c>
      <c r="U49" s="53">
        <v>0</v>
      </c>
      <c r="V49" s="53">
        <v>0</v>
      </c>
      <c r="W49" s="53">
        <v>0</v>
      </c>
      <c r="X49" s="53">
        <v>0</v>
      </c>
      <c r="Y49" s="53">
        <v>0</v>
      </c>
      <c r="Z49" s="53">
        <v>0</v>
      </c>
      <c r="AA49" s="53">
        <v>0</v>
      </c>
      <c r="AB49" s="53">
        <v>0</v>
      </c>
    </row>
    <row r="50" spans="1:28" x14ac:dyDescent="0.3">
      <c r="A50" s="25" t="str">
        <v>2z</v>
      </c>
      <c r="B50" s="53">
        <v>0</v>
      </c>
      <c r="C50" s="53">
        <v>0</v>
      </c>
      <c r="D50" s="53">
        <v>0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  <c r="N50" s="53">
        <v>0</v>
      </c>
      <c r="O50" s="53">
        <v>0</v>
      </c>
      <c r="P50" s="53">
        <v>0</v>
      </c>
      <c r="Q50" s="53">
        <v>0</v>
      </c>
      <c r="R50" s="53">
        <v>0</v>
      </c>
      <c r="S50" s="53">
        <v>0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0</v>
      </c>
      <c r="AA50" s="53">
        <v>0</v>
      </c>
      <c r="AB50" s="53">
        <v>0</v>
      </c>
    </row>
    <row r="51" spans="1:28" x14ac:dyDescent="0.3">
      <c r="A51" s="25" t="str">
        <v>ϴ 2</v>
      </c>
      <c r="B51" s="53">
        <v>0</v>
      </c>
      <c r="C51" s="53">
        <v>0</v>
      </c>
      <c r="D51" s="53">
        <v>0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  <c r="N51" s="53">
        <v>0</v>
      </c>
      <c r="O51" s="53">
        <v>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</row>
    <row r="52" spans="1:28" x14ac:dyDescent="0.3">
      <c r="A52" s="25" t="str">
        <v>3x</v>
      </c>
      <c r="B52" s="53">
        <v>0</v>
      </c>
      <c r="C52" s="53">
        <v>0</v>
      </c>
      <c r="D52" s="53">
        <v>0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  <c r="N52" s="53">
        <v>0</v>
      </c>
      <c r="O52" s="53">
        <v>0</v>
      </c>
      <c r="P52" s="53">
        <v>0</v>
      </c>
      <c r="Q52" s="53">
        <v>0</v>
      </c>
      <c r="R52" s="53">
        <v>0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</row>
    <row r="53" spans="1:28" x14ac:dyDescent="0.3">
      <c r="A53" s="25" t="str">
        <v>3z</v>
      </c>
      <c r="B53" s="53">
        <v>0</v>
      </c>
      <c r="C53" s="53">
        <v>0</v>
      </c>
      <c r="D53" s="53">
        <v>0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</row>
    <row r="54" spans="1:28" x14ac:dyDescent="0.3">
      <c r="A54" s="25" t="str">
        <v>ϴ 3</v>
      </c>
      <c r="B54" s="53">
        <v>0</v>
      </c>
      <c r="C54" s="53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</row>
    <row r="55" spans="1:28" x14ac:dyDescent="0.3">
      <c r="A55" s="25" t="str">
        <v>4x</v>
      </c>
      <c r="B55" s="53">
        <v>0</v>
      </c>
      <c r="C55" s="53">
        <v>0</v>
      </c>
      <c r="D55" s="53">
        <v>0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  <c r="N55" s="53">
        <v>0</v>
      </c>
      <c r="O55" s="53">
        <v>0</v>
      </c>
      <c r="P55" s="53">
        <v>0</v>
      </c>
      <c r="Q55" s="53">
        <v>0</v>
      </c>
      <c r="R55" s="53">
        <v>0</v>
      </c>
      <c r="S55" s="53">
        <v>0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0</v>
      </c>
    </row>
    <row r="56" spans="1:28" x14ac:dyDescent="0.3">
      <c r="A56" s="25" t="str">
        <v>4z</v>
      </c>
      <c r="B56" s="53">
        <v>0</v>
      </c>
      <c r="C56" s="53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</row>
    <row r="57" spans="1:28" x14ac:dyDescent="0.3">
      <c r="A57" s="25" t="str">
        <v>ϴ 4</v>
      </c>
      <c r="B57" s="53">
        <v>0</v>
      </c>
      <c r="C57" s="53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</row>
    <row r="58" spans="1:28" x14ac:dyDescent="0.3">
      <c r="A58" s="25" t="str">
        <v>5x</v>
      </c>
      <c r="B58" s="53">
        <v>0</v>
      </c>
      <c r="C58" s="53">
        <v>0</v>
      </c>
      <c r="D58" s="53">
        <v>0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0</v>
      </c>
      <c r="T58" s="53">
        <v>0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0</v>
      </c>
      <c r="AA58" s="53">
        <v>0</v>
      </c>
      <c r="AB58" s="53">
        <v>0</v>
      </c>
    </row>
    <row r="59" spans="1:28" x14ac:dyDescent="0.3">
      <c r="A59" s="25" t="str">
        <v>5z</v>
      </c>
      <c r="B59" s="53">
        <v>0</v>
      </c>
      <c r="C59" s="53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</row>
    <row r="60" spans="1:28" x14ac:dyDescent="0.3">
      <c r="A60" s="25" t="str">
        <v>ϴ 5</v>
      </c>
      <c r="B60" s="53">
        <v>0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</row>
    <row r="61" spans="1:28" x14ac:dyDescent="0.3">
      <c r="A61" s="25" t="str">
        <v>6x</v>
      </c>
      <c r="B61" s="53">
        <v>0</v>
      </c>
      <c r="C61" s="53">
        <v>0</v>
      </c>
      <c r="D61" s="53">
        <v>0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</row>
    <row r="62" spans="1:28" x14ac:dyDescent="0.3">
      <c r="A62" s="25" t="str">
        <v>6z</v>
      </c>
      <c r="B62" s="53">
        <v>0</v>
      </c>
      <c r="C62" s="53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</row>
    <row r="63" spans="1:28" x14ac:dyDescent="0.3">
      <c r="A63" s="25" t="str">
        <v>ϴ 6</v>
      </c>
      <c r="B63" s="53">
        <v>0</v>
      </c>
      <c r="C63" s="53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</row>
    <row r="64" spans="1:28" x14ac:dyDescent="0.3">
      <c r="A64" s="31" t="str">
        <v>ax</v>
      </c>
      <c r="B64" s="53">
        <v>0</v>
      </c>
      <c r="C64" s="53">
        <v>0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</row>
    <row r="65" spans="1:28" x14ac:dyDescent="0.3">
      <c r="A65" s="31" t="str">
        <v>az</v>
      </c>
      <c r="B65" s="53">
        <v>0</v>
      </c>
      <c r="C65" s="53">
        <v>0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</row>
    <row r="66" spans="1:28" x14ac:dyDescent="0.3">
      <c r="A66" s="31" t="str">
        <v>ϴ a</v>
      </c>
      <c r="B66" s="53">
        <v>0</v>
      </c>
      <c r="C66" s="53">
        <v>0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</row>
    <row r="67" spans="1:28" x14ac:dyDescent="0.3">
      <c r="A67" s="31" t="str">
        <v>bx</v>
      </c>
      <c r="B67" s="53">
        <v>0</v>
      </c>
      <c r="C67" s="53">
        <v>0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</row>
    <row r="68" spans="1:28" x14ac:dyDescent="0.3">
      <c r="A68" s="31" t="str">
        <v>bz</v>
      </c>
      <c r="B68" s="53">
        <v>0</v>
      </c>
      <c r="C68" s="53">
        <v>0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</row>
    <row r="69" spans="1:28" x14ac:dyDescent="0.3">
      <c r="A69" s="31" t="str">
        <v>ϴ b</v>
      </c>
      <c r="B69" s="53">
        <v>0</v>
      </c>
      <c r="C69" s="53">
        <v>0</v>
      </c>
      <c r="D69" s="53">
        <v>0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</row>
    <row r="70" spans="1:28" x14ac:dyDescent="0.3">
      <c r="A70" s="31" t="str">
        <v>cx</v>
      </c>
      <c r="B70" s="53">
        <v>0</v>
      </c>
      <c r="C70" s="53">
        <v>0</v>
      </c>
      <c r="D70" s="53">
        <v>0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</row>
    <row r="71" spans="1:28" x14ac:dyDescent="0.3">
      <c r="A71" s="31" t="str">
        <v>cz</v>
      </c>
      <c r="B71" s="53">
        <v>0</v>
      </c>
      <c r="C71" s="53">
        <v>0</v>
      </c>
      <c r="D71" s="53">
        <v>0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</row>
    <row r="72" spans="1:28" x14ac:dyDescent="0.3">
      <c r="A72" s="31" t="str">
        <v>ϴ c</v>
      </c>
      <c r="B72" s="53">
        <v>0</v>
      </c>
      <c r="C72" s="53">
        <v>0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</row>
    <row r="75" spans="1:28" x14ac:dyDescent="0.3">
      <c r="A75" s="46" t="s">
        <v>120</v>
      </c>
      <c r="B75" s="46"/>
      <c r="C75" s="46"/>
    </row>
    <row r="77" spans="1:28" x14ac:dyDescent="0.3">
      <c r="A77" s="27" t="s">
        <v>3</v>
      </c>
      <c r="B77" s="26">
        <v>625</v>
      </c>
      <c r="C77" s="26" t="s">
        <v>129</v>
      </c>
    </row>
    <row r="78" spans="1:28" x14ac:dyDescent="0.3">
      <c r="A78" s="27" t="s">
        <v>81</v>
      </c>
      <c r="B78" s="49">
        <v>32552.082999999999</v>
      </c>
      <c r="C78" s="26" t="s">
        <v>132</v>
      </c>
    </row>
    <row r="79" spans="1:28" x14ac:dyDescent="0.3">
      <c r="A79" s="27" t="s">
        <v>2</v>
      </c>
      <c r="B79" s="26">
        <v>400</v>
      </c>
      <c r="C79" s="26" t="s">
        <v>130</v>
      </c>
    </row>
    <row r="80" spans="1:28" x14ac:dyDescent="0.3">
      <c r="A80" s="27" t="s">
        <v>4</v>
      </c>
      <c r="B80" s="26">
        <v>218819.79</v>
      </c>
      <c r="C80" s="26" t="s">
        <v>131</v>
      </c>
    </row>
    <row r="82" spans="1:8" x14ac:dyDescent="0.3">
      <c r="A82" s="14"/>
      <c r="B82" s="48" t="s">
        <v>89</v>
      </c>
      <c r="C82" s="48"/>
      <c r="D82" s="48"/>
      <c r="E82" s="14"/>
    </row>
    <row r="83" spans="1:8" x14ac:dyDescent="0.3">
      <c r="B83" s="26" t="s">
        <v>83</v>
      </c>
      <c r="C83" s="54">
        <f>(B80*B77)/B79</f>
        <v>341905.921875</v>
      </c>
      <c r="D83" s="26" t="s">
        <v>88</v>
      </c>
    </row>
    <row r="84" spans="1:8" x14ac:dyDescent="0.3">
      <c r="B84" s="26" t="s">
        <v>84</v>
      </c>
      <c r="C84" s="54">
        <f>(12*B80*B78)/(B79^3)</f>
        <v>1335.5699936479818</v>
      </c>
      <c r="D84" s="26" t="s">
        <v>88</v>
      </c>
    </row>
    <row r="85" spans="1:8" x14ac:dyDescent="0.3">
      <c r="B85" s="26" t="s">
        <v>85</v>
      </c>
      <c r="C85" s="54">
        <f>(6*B80*B78)/(B79^2)</f>
        <v>267113.99872959638</v>
      </c>
      <c r="D85" s="26" t="s">
        <v>88</v>
      </c>
    </row>
    <row r="86" spans="1:8" x14ac:dyDescent="0.3">
      <c r="B86" s="26" t="s">
        <v>86</v>
      </c>
      <c r="C86" s="54">
        <f>+(4*B80*B78)/(B79)</f>
        <v>71230399.661225706</v>
      </c>
      <c r="D86" s="26" t="s">
        <v>88</v>
      </c>
    </row>
    <row r="87" spans="1:8" x14ac:dyDescent="0.3">
      <c r="B87" s="26" t="s">
        <v>87</v>
      </c>
      <c r="C87" s="54">
        <f>+(2*B80*B78)/B79</f>
        <v>35615199.830612853</v>
      </c>
      <c r="D87" s="26" t="s">
        <v>88</v>
      </c>
    </row>
    <row r="89" spans="1:8" x14ac:dyDescent="0.3">
      <c r="A89" s="43" t="s">
        <v>31</v>
      </c>
      <c r="B89" s="43"/>
      <c r="C89" s="43"/>
      <c r="D89" s="43"/>
      <c r="E89" s="43"/>
      <c r="F89" s="43"/>
      <c r="G89" s="43"/>
    </row>
    <row r="90" spans="1:8" x14ac:dyDescent="0.3">
      <c r="A90" t="s">
        <v>122</v>
      </c>
      <c r="B90" s="29" t="s">
        <v>95</v>
      </c>
      <c r="C90" s="29" t="s">
        <v>96</v>
      </c>
      <c r="D90" s="29" t="s">
        <v>108</v>
      </c>
      <c r="E90" s="29" t="s">
        <v>101</v>
      </c>
      <c r="F90" s="29" t="s">
        <v>102</v>
      </c>
      <c r="G90" s="29" t="s">
        <v>111</v>
      </c>
    </row>
    <row r="91" spans="1:8" x14ac:dyDescent="0.3">
      <c r="A91" s="29" t="str">
        <f t="array" ref="A91:A96">+TRANSPOSE(B90:G90)</f>
        <v>2x</v>
      </c>
      <c r="B91" s="28">
        <f>+C83</f>
        <v>341905.921875</v>
      </c>
      <c r="C91" s="28">
        <v>0</v>
      </c>
      <c r="D91" s="28">
        <v>0</v>
      </c>
      <c r="E91" s="30">
        <f>+-C83</f>
        <v>-341905.921875</v>
      </c>
      <c r="F91" s="30">
        <v>0</v>
      </c>
      <c r="G91" s="30">
        <v>0</v>
      </c>
    </row>
    <row r="92" spans="1:8" x14ac:dyDescent="0.3">
      <c r="A92" s="29" t="str">
        <v>2z</v>
      </c>
      <c r="B92" s="28">
        <v>0</v>
      </c>
      <c r="C92" s="28">
        <f>+C84</f>
        <v>1335.5699936479818</v>
      </c>
      <c r="D92" s="28">
        <f>+C85</f>
        <v>267113.99872959638</v>
      </c>
      <c r="E92" s="30">
        <v>0</v>
      </c>
      <c r="F92" s="30">
        <f>-C84</f>
        <v>-1335.5699936479818</v>
      </c>
      <c r="G92" s="30">
        <f>+C85</f>
        <v>267113.99872959638</v>
      </c>
    </row>
    <row r="93" spans="1:8" x14ac:dyDescent="0.3">
      <c r="A93" s="29" t="str">
        <v>ϴ 2</v>
      </c>
      <c r="B93" s="28">
        <v>0</v>
      </c>
      <c r="C93" s="28">
        <f>+C85</f>
        <v>267113.99872959638</v>
      </c>
      <c r="D93" s="28">
        <f>+C86</f>
        <v>71230399.661225706</v>
      </c>
      <c r="E93" s="30">
        <v>0</v>
      </c>
      <c r="F93" s="30">
        <f>+-C85</f>
        <v>-267113.99872959638</v>
      </c>
      <c r="G93" s="30">
        <f>+C87</f>
        <v>35615199.830612853</v>
      </c>
    </row>
    <row r="94" spans="1:8" x14ac:dyDescent="0.3">
      <c r="A94" s="29" t="str">
        <v>bx</v>
      </c>
      <c r="B94" s="13">
        <f>-C83</f>
        <v>-341905.921875</v>
      </c>
      <c r="C94" s="13">
        <v>0</v>
      </c>
      <c r="D94" s="13">
        <v>0</v>
      </c>
      <c r="E94" s="29">
        <f>+C83</f>
        <v>341905.921875</v>
      </c>
      <c r="F94" s="29">
        <v>0</v>
      </c>
      <c r="G94" s="29">
        <v>0</v>
      </c>
    </row>
    <row r="95" spans="1:8" x14ac:dyDescent="0.3">
      <c r="A95" s="29" t="str">
        <v>bz</v>
      </c>
      <c r="B95" s="13">
        <v>0</v>
      </c>
      <c r="C95" s="13">
        <f>-C84</f>
        <v>-1335.5699936479818</v>
      </c>
      <c r="D95" s="13">
        <f>-C85</f>
        <v>-267113.99872959638</v>
      </c>
      <c r="E95" s="29">
        <v>0</v>
      </c>
      <c r="F95" s="29">
        <f>C84</f>
        <v>1335.5699936479818</v>
      </c>
      <c r="G95" s="29">
        <f>-C85</f>
        <v>-267113.99872959638</v>
      </c>
    </row>
    <row r="96" spans="1:8" x14ac:dyDescent="0.3">
      <c r="A96" s="29" t="str">
        <v>ϴ b</v>
      </c>
      <c r="B96" s="13">
        <v>0</v>
      </c>
      <c r="C96" s="13">
        <f>+C85</f>
        <v>267113.99872959638</v>
      </c>
      <c r="D96" s="13">
        <f>+C87</f>
        <v>35615199.830612853</v>
      </c>
      <c r="E96" s="29">
        <v>0</v>
      </c>
      <c r="F96" s="29">
        <f>-C85</f>
        <v>-267113.99872959638</v>
      </c>
      <c r="G96" s="29">
        <f>C86</f>
        <v>71230399.661225706</v>
      </c>
      <c r="H96" t="s">
        <v>119</v>
      </c>
    </row>
    <row r="98" spans="1:10" x14ac:dyDescent="0.3">
      <c r="A98" s="43" t="s">
        <v>35</v>
      </c>
      <c r="B98" s="43"/>
      <c r="C98" s="43"/>
      <c r="D98" s="43"/>
      <c r="E98" s="43"/>
      <c r="F98" s="43"/>
      <c r="G98" s="43"/>
      <c r="H98" s="43"/>
      <c r="I98" s="43"/>
      <c r="J98" s="43"/>
    </row>
    <row r="99" spans="1:10" x14ac:dyDescent="0.3">
      <c r="A99" s="24"/>
      <c r="B99" s="24"/>
      <c r="C99" s="43" t="s">
        <v>115</v>
      </c>
      <c r="D99" s="43"/>
      <c r="E99" s="43" t="s">
        <v>116</v>
      </c>
      <c r="F99" s="43"/>
      <c r="G99" s="43" t="s">
        <v>117</v>
      </c>
      <c r="H99" s="43"/>
      <c r="I99" s="43" t="s">
        <v>118</v>
      </c>
      <c r="J99" s="43"/>
    </row>
    <row r="100" spans="1:10" x14ac:dyDescent="0.3">
      <c r="A100" s="24" t="s">
        <v>103</v>
      </c>
      <c r="B100" s="10">
        <v>90</v>
      </c>
      <c r="C100" s="24" t="s">
        <v>114</v>
      </c>
      <c r="D100" s="2">
        <f>+B91</f>
        <v>341905.921875</v>
      </c>
      <c r="E100" s="24" t="s">
        <v>114</v>
      </c>
      <c r="F100" s="2">
        <f>+E91</f>
        <v>-341905.921875</v>
      </c>
      <c r="G100" s="24" t="s">
        <v>114</v>
      </c>
      <c r="H100" s="2">
        <f>+B94</f>
        <v>-341905.921875</v>
      </c>
      <c r="I100" s="24" t="s">
        <v>114</v>
      </c>
      <c r="J100" s="8">
        <f>+E94</f>
        <v>341905.921875</v>
      </c>
    </row>
    <row r="101" spans="1:10" x14ac:dyDescent="0.3">
      <c r="A101" s="24" t="s">
        <v>104</v>
      </c>
      <c r="B101" s="24">
        <f>SIN(RADIANS(B100))</f>
        <v>1</v>
      </c>
      <c r="C101" s="24" t="s">
        <v>112</v>
      </c>
      <c r="D101" s="2">
        <f>+C92</f>
        <v>1335.5699936479818</v>
      </c>
      <c r="E101" s="24" t="s">
        <v>112</v>
      </c>
      <c r="F101" s="2">
        <f>+F92</f>
        <v>-1335.5699936479818</v>
      </c>
      <c r="G101" s="24" t="s">
        <v>112</v>
      </c>
      <c r="H101" s="2">
        <f>+C95</f>
        <v>-1335.5699936479818</v>
      </c>
      <c r="I101" s="24" t="s">
        <v>112</v>
      </c>
      <c r="J101" s="8">
        <f>+F95</f>
        <v>1335.5699936479818</v>
      </c>
    </row>
    <row r="102" spans="1:10" x14ac:dyDescent="0.3">
      <c r="A102" s="24" t="s">
        <v>105</v>
      </c>
      <c r="B102" s="33">
        <f>COS(RADIANS(B100))</f>
        <v>6.1257422745431001E-17</v>
      </c>
      <c r="C102" s="24" t="s">
        <v>113</v>
      </c>
      <c r="D102" s="2">
        <f>+D93</f>
        <v>71230399.661225706</v>
      </c>
      <c r="E102" s="24" t="s">
        <v>113</v>
      </c>
      <c r="F102" s="2">
        <f>+G93</f>
        <v>35615199.830612853</v>
      </c>
      <c r="G102" s="24" t="s">
        <v>113</v>
      </c>
      <c r="H102" s="2">
        <f>+D96</f>
        <v>35615199.830612853</v>
      </c>
      <c r="I102" s="24" t="s">
        <v>113</v>
      </c>
      <c r="J102" s="8">
        <f>+G96</f>
        <v>71230399.661225706</v>
      </c>
    </row>
    <row r="103" spans="1:10" x14ac:dyDescent="0.3">
      <c r="A103" s="24"/>
      <c r="B103" s="24"/>
      <c r="C103" s="24" t="s">
        <v>18</v>
      </c>
      <c r="D103" s="2">
        <f>+D92</f>
        <v>267113.99872959638</v>
      </c>
      <c r="E103" s="24" t="s">
        <v>18</v>
      </c>
      <c r="F103" s="2">
        <f>+G92</f>
        <v>267113.99872959638</v>
      </c>
      <c r="G103" s="24" t="s">
        <v>18</v>
      </c>
      <c r="H103" s="2">
        <f>+D95</f>
        <v>-267113.99872959638</v>
      </c>
      <c r="I103" s="24" t="s">
        <v>18</v>
      </c>
      <c r="J103" s="8">
        <f>+G95</f>
        <v>-267113.99872959638</v>
      </c>
    </row>
    <row r="104" spans="1:10" x14ac:dyDescent="0.3">
      <c r="C104" s="24" t="s">
        <v>82</v>
      </c>
      <c r="D104" s="2">
        <f>+C93</f>
        <v>267113.99872959638</v>
      </c>
      <c r="E104" s="24" t="s">
        <v>82</v>
      </c>
      <c r="F104" s="2">
        <f>+F93</f>
        <v>-267113.99872959638</v>
      </c>
      <c r="G104" s="24" t="s">
        <v>82</v>
      </c>
      <c r="H104" s="2">
        <f>+C96</f>
        <v>267113.99872959638</v>
      </c>
      <c r="I104" s="24" t="s">
        <v>82</v>
      </c>
      <c r="J104" s="8">
        <f>+F96</f>
        <v>-267113.99872959638</v>
      </c>
    </row>
    <row r="105" spans="1:10" x14ac:dyDescent="0.3">
      <c r="H105" s="24"/>
      <c r="I105" s="24"/>
    </row>
    <row r="106" spans="1:10" x14ac:dyDescent="0.3">
      <c r="H106" s="24"/>
      <c r="I106" s="24"/>
    </row>
    <row r="107" spans="1:10" x14ac:dyDescent="0.3">
      <c r="H107" s="24"/>
      <c r="I107" s="24"/>
    </row>
    <row r="108" spans="1:10" x14ac:dyDescent="0.3">
      <c r="A108" t="str">
        <f>+A90</f>
        <v>k2</v>
      </c>
      <c r="B108" s="29" t="str">
        <f t="array" ref="B108:G108">B90:G90</f>
        <v>2x</v>
      </c>
      <c r="C108" s="29" t="str">
        <v>2z</v>
      </c>
      <c r="D108" s="29" t="str">
        <v>ϴ 2</v>
      </c>
      <c r="E108" s="29" t="str">
        <v>bx</v>
      </c>
      <c r="F108" s="29" t="str">
        <v>bz</v>
      </c>
      <c r="G108" s="29" t="str">
        <v>ϴ b</v>
      </c>
      <c r="H108" s="24"/>
      <c r="I108" s="24"/>
    </row>
    <row r="109" spans="1:10" x14ac:dyDescent="0.3">
      <c r="A109" s="29" t="str">
        <f t="array" ref="A109:A114">+TRANSPOSE(B108:G108)</f>
        <v>2x</v>
      </c>
      <c r="B109" s="34">
        <f>(J100*B102*B102)+(J101*B101*B101)</f>
        <v>1335.5699936479818</v>
      </c>
      <c r="C109" s="34">
        <f>(J100-J101)*(B102*B101)</f>
        <v>2.0862462019756174E-11</v>
      </c>
      <c r="D109" s="34">
        <f>-J103*B101</f>
        <v>267113.99872959638</v>
      </c>
      <c r="E109" s="35">
        <v>0</v>
      </c>
      <c r="F109" s="35">
        <v>0</v>
      </c>
      <c r="G109" s="35">
        <v>0</v>
      </c>
      <c r="H109" s="24"/>
      <c r="I109" s="24"/>
    </row>
    <row r="110" spans="1:10" x14ac:dyDescent="0.3">
      <c r="A110" s="29" t="str">
        <v>2z</v>
      </c>
      <c r="B110" s="34">
        <v>0</v>
      </c>
      <c r="C110" s="34">
        <f>+(J100*B101*B101)+(J101*B102*B102)</f>
        <v>341905.921875</v>
      </c>
      <c r="D110" s="34">
        <f>J103*B102</f>
        <v>-1.6362715141401403E-11</v>
      </c>
      <c r="E110" s="35">
        <v>0</v>
      </c>
      <c r="F110" s="35">
        <v>0</v>
      </c>
      <c r="G110" s="35">
        <v>0</v>
      </c>
      <c r="H110" s="24"/>
      <c r="I110" s="24"/>
    </row>
    <row r="111" spans="1:10" x14ac:dyDescent="0.3">
      <c r="A111" s="29" t="str">
        <v>ϴ 2</v>
      </c>
      <c r="B111" s="34">
        <f>-J104*B101</f>
        <v>267113.99872959638</v>
      </c>
      <c r="C111" s="34">
        <f>J104*B102</f>
        <v>-1.6362715141401403E-11</v>
      </c>
      <c r="D111" s="34">
        <f>+J102</f>
        <v>71230399.661225706</v>
      </c>
      <c r="E111" s="35">
        <v>0</v>
      </c>
      <c r="F111" s="35">
        <v>0</v>
      </c>
      <c r="G111" s="35">
        <v>0</v>
      </c>
      <c r="H111" s="24"/>
      <c r="I111" s="24"/>
    </row>
    <row r="112" spans="1:10" x14ac:dyDescent="0.3">
      <c r="A112" s="29" t="str">
        <v>bx</v>
      </c>
      <c r="B112" s="36">
        <v>0</v>
      </c>
      <c r="C112" s="36">
        <v>0</v>
      </c>
      <c r="D112" s="36">
        <v>0</v>
      </c>
      <c r="E112" s="37">
        <v>0</v>
      </c>
      <c r="F112" s="37">
        <v>0</v>
      </c>
      <c r="G112" s="37">
        <v>0</v>
      </c>
      <c r="H112" s="24"/>
      <c r="I112" s="24"/>
    </row>
    <row r="113" spans="1:28" x14ac:dyDescent="0.3">
      <c r="A113" s="29" t="str">
        <v>bz</v>
      </c>
      <c r="B113" s="36">
        <v>0</v>
      </c>
      <c r="C113" s="36">
        <v>0</v>
      </c>
      <c r="D113" s="36">
        <v>0</v>
      </c>
      <c r="E113" s="37">
        <v>0</v>
      </c>
      <c r="F113" s="37">
        <v>0</v>
      </c>
      <c r="G113" s="37">
        <v>0</v>
      </c>
      <c r="H113" s="24"/>
      <c r="I113" s="24"/>
    </row>
    <row r="114" spans="1:28" x14ac:dyDescent="0.3">
      <c r="A114" s="29" t="str">
        <v>ϴ b</v>
      </c>
      <c r="B114" s="36">
        <v>0</v>
      </c>
      <c r="C114" s="36">
        <v>0</v>
      </c>
      <c r="D114" s="36">
        <v>0</v>
      </c>
      <c r="E114" s="37">
        <v>0</v>
      </c>
      <c r="F114" s="37">
        <v>0</v>
      </c>
      <c r="G114" s="37">
        <v>0</v>
      </c>
      <c r="H114" s="24"/>
      <c r="I114" s="24"/>
    </row>
    <row r="115" spans="1:28" x14ac:dyDescent="0.3">
      <c r="A115" s="24"/>
      <c r="B115" s="24"/>
      <c r="C115" s="24"/>
      <c r="D115" s="24"/>
      <c r="E115" s="24"/>
      <c r="F115" s="24"/>
      <c r="G115" s="24"/>
      <c r="H115" s="24"/>
      <c r="I115" s="24"/>
    </row>
    <row r="117" spans="1:28" x14ac:dyDescent="0.3">
      <c r="A117" t="s">
        <v>36</v>
      </c>
      <c r="B117" s="31" t="s">
        <v>91</v>
      </c>
      <c r="C117" s="31" t="s">
        <v>92</v>
      </c>
      <c r="D117" s="31" t="s">
        <v>106</v>
      </c>
      <c r="E117" s="31" t="s">
        <v>95</v>
      </c>
      <c r="F117" s="31" t="s">
        <v>96</v>
      </c>
      <c r="G117" s="31" t="s">
        <v>108</v>
      </c>
      <c r="H117" s="31" t="s">
        <v>97</v>
      </c>
      <c r="I117" s="31" t="s">
        <v>98</v>
      </c>
      <c r="J117" s="31" t="s">
        <v>109</v>
      </c>
      <c r="K117" s="31" t="s">
        <v>99</v>
      </c>
      <c r="L117" s="31" t="s">
        <v>100</v>
      </c>
      <c r="M117" s="31" t="s">
        <v>110</v>
      </c>
      <c r="N117" s="31" t="s">
        <v>133</v>
      </c>
      <c r="O117" s="31" t="s">
        <v>134</v>
      </c>
      <c r="P117" s="31" t="s">
        <v>135</v>
      </c>
      <c r="Q117" s="31" t="s">
        <v>136</v>
      </c>
      <c r="R117" s="31" t="s">
        <v>137</v>
      </c>
      <c r="S117" s="31" t="s">
        <v>138</v>
      </c>
      <c r="T117" s="31" t="s">
        <v>94</v>
      </c>
      <c r="U117" s="31" t="s">
        <v>93</v>
      </c>
      <c r="V117" s="31" t="s">
        <v>107</v>
      </c>
      <c r="W117" s="31" t="s">
        <v>101</v>
      </c>
      <c r="X117" s="31" t="s">
        <v>102</v>
      </c>
      <c r="Y117" s="31" t="s">
        <v>111</v>
      </c>
      <c r="Z117" s="31" t="s">
        <v>139</v>
      </c>
      <c r="AA117" s="31" t="s">
        <v>140</v>
      </c>
      <c r="AB117" s="31" t="s">
        <v>141</v>
      </c>
    </row>
    <row r="118" spans="1:28" x14ac:dyDescent="0.3">
      <c r="A118" s="31" t="str">
        <f t="array" ref="A118:A144">TRANSPOSE(B117:AB117)</f>
        <v>1x</v>
      </c>
      <c r="B118" s="53">
        <v>0</v>
      </c>
      <c r="C118" s="53">
        <v>0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</row>
    <row r="119" spans="1:28" x14ac:dyDescent="0.3">
      <c r="A119" s="31" t="str">
        <v>1z</v>
      </c>
      <c r="B119" s="53">
        <v>0</v>
      </c>
      <c r="C119" s="53">
        <v>0</v>
      </c>
      <c r="D119" s="53">
        <v>0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</row>
    <row r="120" spans="1:28" x14ac:dyDescent="0.3">
      <c r="A120" s="31" t="str">
        <v>ϴ 1</v>
      </c>
      <c r="B120" s="53">
        <v>0</v>
      </c>
      <c r="C120" s="53">
        <v>0</v>
      </c>
      <c r="D120" s="53">
        <v>0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  <c r="N120" s="53">
        <v>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</row>
    <row r="121" spans="1:28" x14ac:dyDescent="0.3">
      <c r="A121" s="31" t="str">
        <v>2x</v>
      </c>
      <c r="B121" s="53">
        <v>0</v>
      </c>
      <c r="C121" s="53">
        <v>0</v>
      </c>
      <c r="D121" s="53">
        <v>0</v>
      </c>
      <c r="E121" s="53">
        <f t="array" ref="E121:G123">B109:D111</f>
        <v>1335.5699936479818</v>
      </c>
      <c r="F121" s="53">
        <v>2.0862462019756174E-11</v>
      </c>
      <c r="G121" s="53">
        <v>267113.99872959638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  <c r="N121" s="53">
        <v>0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</row>
    <row r="122" spans="1:28" x14ac:dyDescent="0.3">
      <c r="A122" s="31" t="str">
        <v>2z</v>
      </c>
      <c r="B122" s="53">
        <v>0</v>
      </c>
      <c r="C122" s="53">
        <v>0</v>
      </c>
      <c r="D122" s="53">
        <v>0</v>
      </c>
      <c r="E122" s="53">
        <v>0</v>
      </c>
      <c r="F122" s="53">
        <v>341905.921875</v>
      </c>
      <c r="G122" s="53">
        <v>-1.6362715141401403E-11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0</v>
      </c>
      <c r="Q122" s="53">
        <v>0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0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</row>
    <row r="123" spans="1:28" x14ac:dyDescent="0.3">
      <c r="A123" s="31" t="str">
        <v>ϴ 2</v>
      </c>
      <c r="B123" s="53">
        <v>0</v>
      </c>
      <c r="C123" s="53">
        <v>0</v>
      </c>
      <c r="D123" s="53">
        <v>0</v>
      </c>
      <c r="E123" s="53">
        <v>267113.99872959638</v>
      </c>
      <c r="F123" s="53">
        <v>-1.6362715141401403E-11</v>
      </c>
      <c r="G123" s="53">
        <v>71230399.661225706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0</v>
      </c>
      <c r="Q123" s="53">
        <v>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</row>
    <row r="124" spans="1:28" x14ac:dyDescent="0.3">
      <c r="A124" s="31" t="str">
        <v>3x</v>
      </c>
      <c r="B124" s="53">
        <v>0</v>
      </c>
      <c r="C124" s="53">
        <v>0</v>
      </c>
      <c r="D124" s="53">
        <v>0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0</v>
      </c>
      <c r="Q124" s="53">
        <v>0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0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</row>
    <row r="125" spans="1:28" x14ac:dyDescent="0.3">
      <c r="A125" s="31" t="str">
        <v>3z</v>
      </c>
      <c r="B125" s="53">
        <v>0</v>
      </c>
      <c r="C125" s="53">
        <v>0</v>
      </c>
      <c r="D125" s="53">
        <v>0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  <c r="N125" s="53">
        <v>0</v>
      </c>
      <c r="O125" s="53">
        <v>0</v>
      </c>
      <c r="P125" s="53">
        <v>0</v>
      </c>
      <c r="Q125" s="53">
        <v>0</v>
      </c>
      <c r="R125" s="53">
        <v>0</v>
      </c>
      <c r="S125" s="53">
        <v>0</v>
      </c>
      <c r="T125" s="53">
        <v>0</v>
      </c>
      <c r="U125" s="53">
        <v>0</v>
      </c>
      <c r="V125" s="53">
        <v>0</v>
      </c>
      <c r="W125" s="53">
        <v>0</v>
      </c>
      <c r="X125" s="53">
        <v>0</v>
      </c>
      <c r="Y125" s="53">
        <v>0</v>
      </c>
      <c r="Z125" s="53">
        <v>0</v>
      </c>
      <c r="AA125" s="53">
        <v>0</v>
      </c>
      <c r="AB125" s="53">
        <v>0</v>
      </c>
    </row>
    <row r="126" spans="1:28" x14ac:dyDescent="0.3">
      <c r="A126" s="31" t="str">
        <v>ϴ 3</v>
      </c>
      <c r="B126" s="53">
        <v>0</v>
      </c>
      <c r="C126" s="53">
        <v>0</v>
      </c>
      <c r="D126" s="53">
        <v>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  <c r="N126" s="53">
        <v>0</v>
      </c>
      <c r="O126" s="53">
        <v>0</v>
      </c>
      <c r="P126" s="53">
        <v>0</v>
      </c>
      <c r="Q126" s="53">
        <v>0</v>
      </c>
      <c r="R126" s="53">
        <v>0</v>
      </c>
      <c r="S126" s="53">
        <v>0</v>
      </c>
      <c r="T126" s="53">
        <v>0</v>
      </c>
      <c r="U126" s="53">
        <v>0</v>
      </c>
      <c r="V126" s="53">
        <v>0</v>
      </c>
      <c r="W126" s="53">
        <v>0</v>
      </c>
      <c r="X126" s="53">
        <v>0</v>
      </c>
      <c r="Y126" s="53">
        <v>0</v>
      </c>
      <c r="Z126" s="53">
        <v>0</v>
      </c>
      <c r="AA126" s="53">
        <v>0</v>
      </c>
      <c r="AB126" s="53">
        <v>0</v>
      </c>
    </row>
    <row r="127" spans="1:28" x14ac:dyDescent="0.3">
      <c r="A127" s="31" t="str">
        <v>4x</v>
      </c>
      <c r="B127" s="53">
        <v>0</v>
      </c>
      <c r="C127" s="53">
        <v>0</v>
      </c>
      <c r="D127" s="53">
        <v>0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  <c r="N127" s="53">
        <v>0</v>
      </c>
      <c r="O127" s="53">
        <v>0</v>
      </c>
      <c r="P127" s="53">
        <v>0</v>
      </c>
      <c r="Q127" s="53">
        <v>0</v>
      </c>
      <c r="R127" s="53">
        <v>0</v>
      </c>
      <c r="S127" s="53">
        <v>0</v>
      </c>
      <c r="T127" s="53">
        <v>0</v>
      </c>
      <c r="U127" s="53">
        <v>0</v>
      </c>
      <c r="V127" s="53">
        <v>0</v>
      </c>
      <c r="W127" s="53">
        <v>0</v>
      </c>
      <c r="X127" s="53">
        <v>0</v>
      </c>
      <c r="Y127" s="53">
        <v>0</v>
      </c>
      <c r="Z127" s="53">
        <v>0</v>
      </c>
      <c r="AA127" s="53">
        <v>0</v>
      </c>
      <c r="AB127" s="53">
        <v>0</v>
      </c>
    </row>
    <row r="128" spans="1:28" x14ac:dyDescent="0.3">
      <c r="A128" s="31" t="str">
        <v>4z</v>
      </c>
      <c r="B128" s="53">
        <v>0</v>
      </c>
      <c r="C128" s="53">
        <v>0</v>
      </c>
      <c r="D128" s="53">
        <v>0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0</v>
      </c>
    </row>
    <row r="129" spans="1:28" x14ac:dyDescent="0.3">
      <c r="A129" s="31" t="str">
        <v>ϴ 4</v>
      </c>
      <c r="B129" s="53">
        <v>0</v>
      </c>
      <c r="C129" s="53">
        <v>0</v>
      </c>
      <c r="D129" s="53">
        <v>0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0</v>
      </c>
    </row>
    <row r="130" spans="1:28" x14ac:dyDescent="0.3">
      <c r="A130" s="31" t="str">
        <v>5x</v>
      </c>
      <c r="B130" s="53">
        <v>0</v>
      </c>
      <c r="C130" s="53">
        <v>0</v>
      </c>
      <c r="D130" s="53">
        <v>0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</row>
    <row r="131" spans="1:28" x14ac:dyDescent="0.3">
      <c r="A131" s="31" t="str">
        <v>5z</v>
      </c>
      <c r="B131" s="53">
        <v>0</v>
      </c>
      <c r="C131" s="53">
        <v>0</v>
      </c>
      <c r="D131" s="53">
        <v>0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  <c r="N131" s="53">
        <v>0</v>
      </c>
      <c r="O131" s="53">
        <v>0</v>
      </c>
      <c r="P131" s="53">
        <v>0</v>
      </c>
      <c r="Q131" s="53">
        <v>0</v>
      </c>
      <c r="R131" s="53">
        <v>0</v>
      </c>
      <c r="S131" s="53">
        <v>0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</row>
    <row r="132" spans="1:28" x14ac:dyDescent="0.3">
      <c r="A132" s="31" t="str">
        <v>ϴ 5</v>
      </c>
      <c r="B132" s="53">
        <v>0</v>
      </c>
      <c r="C132" s="53">
        <v>0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</row>
    <row r="133" spans="1:28" x14ac:dyDescent="0.3">
      <c r="A133" s="31" t="str">
        <v>6x</v>
      </c>
      <c r="B133" s="53">
        <v>0</v>
      </c>
      <c r="C133" s="53">
        <v>0</v>
      </c>
      <c r="D133" s="53">
        <v>0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  <c r="N133" s="53">
        <v>0</v>
      </c>
      <c r="O133" s="53">
        <v>0</v>
      </c>
      <c r="P133" s="53">
        <v>0</v>
      </c>
      <c r="Q133" s="53">
        <v>0</v>
      </c>
      <c r="R133" s="53">
        <v>0</v>
      </c>
      <c r="S133" s="53">
        <v>0</v>
      </c>
      <c r="T133" s="53">
        <v>0</v>
      </c>
      <c r="U133" s="53">
        <v>0</v>
      </c>
      <c r="V133" s="53">
        <v>0</v>
      </c>
      <c r="W133" s="53">
        <v>0</v>
      </c>
      <c r="X133" s="53">
        <v>0</v>
      </c>
      <c r="Y133" s="53">
        <v>0</v>
      </c>
      <c r="Z133" s="53">
        <v>0</v>
      </c>
      <c r="AA133" s="53">
        <v>0</v>
      </c>
      <c r="AB133" s="53">
        <v>0</v>
      </c>
    </row>
    <row r="134" spans="1:28" x14ac:dyDescent="0.3">
      <c r="A134" s="31" t="str">
        <v>6z</v>
      </c>
      <c r="B134" s="53">
        <v>0</v>
      </c>
      <c r="C134" s="53">
        <v>0</v>
      </c>
      <c r="D134" s="53">
        <v>0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  <c r="N134" s="53">
        <v>0</v>
      </c>
      <c r="O134" s="53">
        <v>0</v>
      </c>
      <c r="P134" s="53">
        <v>0</v>
      </c>
      <c r="Q134" s="53">
        <v>0</v>
      </c>
      <c r="R134" s="53">
        <v>0</v>
      </c>
      <c r="S134" s="53">
        <v>0</v>
      </c>
      <c r="T134" s="53">
        <v>0</v>
      </c>
      <c r="U134" s="53">
        <v>0</v>
      </c>
      <c r="V134" s="53">
        <v>0</v>
      </c>
      <c r="W134" s="53">
        <v>0</v>
      </c>
      <c r="X134" s="53">
        <v>0</v>
      </c>
      <c r="Y134" s="53">
        <v>0</v>
      </c>
      <c r="Z134" s="53">
        <v>0</v>
      </c>
      <c r="AA134" s="53">
        <v>0</v>
      </c>
      <c r="AB134" s="53">
        <v>0</v>
      </c>
    </row>
    <row r="135" spans="1:28" x14ac:dyDescent="0.3">
      <c r="A135" s="31" t="str">
        <v>ϴ 6</v>
      </c>
      <c r="B135" s="53">
        <v>0</v>
      </c>
      <c r="C135" s="53">
        <v>0</v>
      </c>
      <c r="D135" s="53">
        <v>0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  <c r="N135" s="53">
        <v>0</v>
      </c>
      <c r="O135" s="53">
        <v>0</v>
      </c>
      <c r="P135" s="53">
        <v>0</v>
      </c>
      <c r="Q135" s="53">
        <v>0</v>
      </c>
      <c r="R135" s="53">
        <v>0</v>
      </c>
      <c r="S135" s="53">
        <v>0</v>
      </c>
      <c r="T135" s="53">
        <v>0</v>
      </c>
      <c r="U135" s="53">
        <v>0</v>
      </c>
      <c r="V135" s="53">
        <v>0</v>
      </c>
      <c r="W135" s="53">
        <v>0</v>
      </c>
      <c r="X135" s="53">
        <v>0</v>
      </c>
      <c r="Y135" s="53">
        <v>0</v>
      </c>
      <c r="Z135" s="53">
        <v>0</v>
      </c>
      <c r="AA135" s="53">
        <v>0</v>
      </c>
      <c r="AB135" s="53">
        <v>0</v>
      </c>
    </row>
    <row r="136" spans="1:28" x14ac:dyDescent="0.3">
      <c r="A136" s="31" t="str">
        <v>ax</v>
      </c>
      <c r="B136" s="53">
        <v>0</v>
      </c>
      <c r="C136" s="53">
        <v>0</v>
      </c>
      <c r="D136" s="53">
        <v>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  <c r="N136" s="53">
        <v>0</v>
      </c>
      <c r="O136" s="53">
        <v>0</v>
      </c>
      <c r="P136" s="53">
        <v>0</v>
      </c>
      <c r="Q136" s="53">
        <v>0</v>
      </c>
      <c r="R136" s="53">
        <v>0</v>
      </c>
      <c r="S136" s="53">
        <v>0</v>
      </c>
      <c r="T136" s="53">
        <v>0</v>
      </c>
      <c r="U136" s="53">
        <v>0</v>
      </c>
      <c r="V136" s="53">
        <v>0</v>
      </c>
      <c r="W136" s="53">
        <v>0</v>
      </c>
      <c r="X136" s="53">
        <v>0</v>
      </c>
      <c r="Y136" s="53">
        <v>0</v>
      </c>
      <c r="Z136" s="53">
        <v>0</v>
      </c>
      <c r="AA136" s="53">
        <v>0</v>
      </c>
      <c r="AB136" s="53">
        <v>0</v>
      </c>
    </row>
    <row r="137" spans="1:28" x14ac:dyDescent="0.3">
      <c r="A137" s="31" t="str">
        <v>az</v>
      </c>
      <c r="B137" s="53">
        <v>0</v>
      </c>
      <c r="C137" s="53">
        <v>0</v>
      </c>
      <c r="D137" s="53">
        <v>0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  <c r="N137" s="53">
        <v>0</v>
      </c>
      <c r="O137" s="53">
        <v>0</v>
      </c>
      <c r="P137" s="53">
        <v>0</v>
      </c>
      <c r="Q137" s="53">
        <v>0</v>
      </c>
      <c r="R137" s="53">
        <v>0</v>
      </c>
      <c r="S137" s="53">
        <v>0</v>
      </c>
      <c r="T137" s="53">
        <v>0</v>
      </c>
      <c r="U137" s="53">
        <v>0</v>
      </c>
      <c r="V137" s="53">
        <v>0</v>
      </c>
      <c r="W137" s="53">
        <v>0</v>
      </c>
      <c r="X137" s="53">
        <v>0</v>
      </c>
      <c r="Y137" s="53">
        <v>0</v>
      </c>
      <c r="Z137" s="53">
        <v>0</v>
      </c>
      <c r="AA137" s="53">
        <v>0</v>
      </c>
      <c r="AB137" s="53">
        <v>0</v>
      </c>
    </row>
    <row r="138" spans="1:28" x14ac:dyDescent="0.3">
      <c r="A138" s="31" t="str">
        <v>ϴ a</v>
      </c>
      <c r="B138" s="53">
        <v>0</v>
      </c>
      <c r="C138" s="53">
        <v>0</v>
      </c>
      <c r="D138" s="53">
        <v>0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  <c r="N138" s="53">
        <v>0</v>
      </c>
      <c r="O138" s="53">
        <v>0</v>
      </c>
      <c r="P138" s="53">
        <v>0</v>
      </c>
      <c r="Q138" s="53">
        <v>0</v>
      </c>
      <c r="R138" s="53">
        <v>0</v>
      </c>
      <c r="S138" s="53">
        <v>0</v>
      </c>
      <c r="T138" s="53">
        <v>0</v>
      </c>
      <c r="U138" s="53">
        <v>0</v>
      </c>
      <c r="V138" s="53">
        <v>0</v>
      </c>
      <c r="W138" s="53">
        <v>0</v>
      </c>
      <c r="X138" s="53">
        <v>0</v>
      </c>
      <c r="Y138" s="53">
        <v>0</v>
      </c>
      <c r="Z138" s="53">
        <v>0</v>
      </c>
      <c r="AA138" s="53">
        <v>0</v>
      </c>
      <c r="AB138" s="53">
        <v>0</v>
      </c>
    </row>
    <row r="139" spans="1:28" x14ac:dyDescent="0.3">
      <c r="A139" s="31" t="str">
        <v>bx</v>
      </c>
      <c r="B139" s="53">
        <v>0</v>
      </c>
      <c r="C139" s="53">
        <v>0</v>
      </c>
      <c r="D139" s="53">
        <v>0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  <c r="N139" s="53">
        <v>0</v>
      </c>
      <c r="O139" s="53">
        <v>0</v>
      </c>
      <c r="P139" s="53">
        <v>0</v>
      </c>
      <c r="Q139" s="53">
        <v>0</v>
      </c>
      <c r="R139" s="53">
        <v>0</v>
      </c>
      <c r="S139" s="53">
        <v>0</v>
      </c>
      <c r="T139" s="53">
        <v>0</v>
      </c>
      <c r="U139" s="53">
        <v>0</v>
      </c>
      <c r="V139" s="53">
        <v>0</v>
      </c>
      <c r="W139" s="53">
        <v>0</v>
      </c>
      <c r="X139" s="53">
        <v>0</v>
      </c>
      <c r="Y139" s="53">
        <v>0</v>
      </c>
      <c r="Z139" s="53">
        <v>0</v>
      </c>
      <c r="AA139" s="53">
        <v>0</v>
      </c>
      <c r="AB139" s="53">
        <v>0</v>
      </c>
    </row>
    <row r="140" spans="1:28" x14ac:dyDescent="0.3">
      <c r="A140" s="31" t="str">
        <v>bz</v>
      </c>
      <c r="B140" s="53">
        <v>0</v>
      </c>
      <c r="C140" s="53">
        <v>0</v>
      </c>
      <c r="D140" s="53">
        <v>0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  <c r="N140" s="53">
        <v>0</v>
      </c>
      <c r="O140" s="53">
        <v>0</v>
      </c>
      <c r="P140" s="53">
        <v>0</v>
      </c>
      <c r="Q140" s="53">
        <v>0</v>
      </c>
      <c r="R140" s="53">
        <v>0</v>
      </c>
      <c r="S140" s="53">
        <v>0</v>
      </c>
      <c r="T140" s="53">
        <v>0</v>
      </c>
      <c r="U140" s="53">
        <v>0</v>
      </c>
      <c r="V140" s="53">
        <v>0</v>
      </c>
      <c r="W140" s="53">
        <v>0</v>
      </c>
      <c r="X140" s="53">
        <v>0</v>
      </c>
      <c r="Y140" s="53">
        <v>0</v>
      </c>
      <c r="Z140" s="53">
        <v>0</v>
      </c>
      <c r="AA140" s="53">
        <v>0</v>
      </c>
      <c r="AB140" s="53">
        <v>0</v>
      </c>
    </row>
    <row r="141" spans="1:28" x14ac:dyDescent="0.3">
      <c r="A141" s="31" t="str">
        <v>ϴ b</v>
      </c>
      <c r="B141" s="53">
        <v>0</v>
      </c>
      <c r="C141" s="53">
        <v>0</v>
      </c>
      <c r="D141" s="53">
        <v>0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  <c r="N141" s="53">
        <v>0</v>
      </c>
      <c r="O141" s="53">
        <v>0</v>
      </c>
      <c r="P141" s="53">
        <v>0</v>
      </c>
      <c r="Q141" s="53">
        <v>0</v>
      </c>
      <c r="R141" s="53">
        <v>0</v>
      </c>
      <c r="S141" s="53">
        <v>0</v>
      </c>
      <c r="T141" s="53">
        <v>0</v>
      </c>
      <c r="U141" s="53">
        <v>0</v>
      </c>
      <c r="V141" s="53">
        <v>0</v>
      </c>
      <c r="W141" s="53">
        <v>0</v>
      </c>
      <c r="X141" s="53">
        <v>0</v>
      </c>
      <c r="Y141" s="53">
        <v>0</v>
      </c>
      <c r="Z141" s="53">
        <v>0</v>
      </c>
      <c r="AA141" s="53">
        <v>0</v>
      </c>
      <c r="AB141" s="53">
        <v>0</v>
      </c>
    </row>
    <row r="142" spans="1:28" x14ac:dyDescent="0.3">
      <c r="A142" s="31" t="str">
        <v>cx</v>
      </c>
      <c r="B142" s="53">
        <v>0</v>
      </c>
      <c r="C142" s="53">
        <v>0</v>
      </c>
      <c r="D142" s="53">
        <v>0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  <c r="N142" s="53">
        <v>0</v>
      </c>
      <c r="O142" s="53">
        <v>0</v>
      </c>
      <c r="P142" s="53">
        <v>0</v>
      </c>
      <c r="Q142" s="53">
        <v>0</v>
      </c>
      <c r="R142" s="53">
        <v>0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</row>
    <row r="143" spans="1:28" x14ac:dyDescent="0.3">
      <c r="A143" s="31" t="str">
        <v>cz</v>
      </c>
      <c r="B143" s="53">
        <v>0</v>
      </c>
      <c r="C143" s="53">
        <v>0</v>
      </c>
      <c r="D143" s="53">
        <v>0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0</v>
      </c>
      <c r="Q143" s="53">
        <v>0</v>
      </c>
      <c r="R143" s="53">
        <v>0</v>
      </c>
      <c r="S143" s="53">
        <v>0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</row>
    <row r="144" spans="1:28" x14ac:dyDescent="0.3">
      <c r="A144" s="31" t="str">
        <v>ϴ c</v>
      </c>
      <c r="B144" s="53">
        <v>0</v>
      </c>
      <c r="C144" s="53">
        <v>0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</row>
    <row r="145" spans="1:28" x14ac:dyDescent="0.3">
      <c r="A145" s="51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 spans="1:28" x14ac:dyDescent="0.3">
      <c r="A146" s="51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 spans="1:28" x14ac:dyDescent="0.3">
      <c r="A147" s="46" t="s">
        <v>121</v>
      </c>
      <c r="B147" s="46"/>
      <c r="C147" s="46"/>
    </row>
    <row r="149" spans="1:28" x14ac:dyDescent="0.3">
      <c r="A149" s="27" t="s">
        <v>3</v>
      </c>
      <c r="B149" s="26">
        <v>625</v>
      </c>
      <c r="C149" s="26" t="s">
        <v>129</v>
      </c>
    </row>
    <row r="150" spans="1:28" x14ac:dyDescent="0.3">
      <c r="A150" s="27" t="s">
        <v>81</v>
      </c>
      <c r="B150" s="49">
        <v>813802.09299999999</v>
      </c>
      <c r="C150" s="26" t="s">
        <v>132</v>
      </c>
    </row>
    <row r="151" spans="1:28" x14ac:dyDescent="0.3">
      <c r="A151" s="27" t="s">
        <v>2</v>
      </c>
      <c r="B151" s="26">
        <v>400</v>
      </c>
      <c r="C151" s="26" t="s">
        <v>130</v>
      </c>
    </row>
    <row r="152" spans="1:28" x14ac:dyDescent="0.3">
      <c r="A152" s="27" t="s">
        <v>4</v>
      </c>
      <c r="B152" s="26">
        <v>218819.79</v>
      </c>
      <c r="C152" s="26" t="s">
        <v>131</v>
      </c>
    </row>
    <row r="154" spans="1:28" x14ac:dyDescent="0.3">
      <c r="A154" s="14"/>
      <c r="B154" s="48" t="s">
        <v>89</v>
      </c>
      <c r="C154" s="48"/>
      <c r="D154" s="48"/>
      <c r="E154" s="14"/>
    </row>
    <row r="155" spans="1:28" x14ac:dyDescent="0.3">
      <c r="B155" s="26" t="s">
        <v>83</v>
      </c>
      <c r="C155" s="54">
        <f>(B152*B149)/B151</f>
        <v>341905.921875</v>
      </c>
      <c r="D155" s="26" t="s">
        <v>88</v>
      </c>
    </row>
    <row r="156" spans="1:28" x14ac:dyDescent="0.3">
      <c r="B156" s="26" t="s">
        <v>84</v>
      </c>
      <c r="C156" s="54">
        <f>(12*B152*B150)/(B151^3)</f>
        <v>33389.250579716339</v>
      </c>
      <c r="D156" s="26" t="s">
        <v>88</v>
      </c>
    </row>
    <row r="157" spans="1:28" x14ac:dyDescent="0.3">
      <c r="B157" s="26" t="s">
        <v>85</v>
      </c>
      <c r="C157" s="54">
        <f>(6*B152*B150)/(B151^2)</f>
        <v>6677850.1159432679</v>
      </c>
      <c r="D157" s="26" t="s">
        <v>88</v>
      </c>
    </row>
    <row r="158" spans="1:28" x14ac:dyDescent="0.3">
      <c r="B158" s="26" t="s">
        <v>86</v>
      </c>
      <c r="C158" s="54">
        <f>+(4*B152*B150)/(B151)</f>
        <v>1780760030.9182045</v>
      </c>
      <c r="D158" s="26" t="s">
        <v>88</v>
      </c>
    </row>
    <row r="159" spans="1:28" x14ac:dyDescent="0.3">
      <c r="B159" s="26" t="s">
        <v>87</v>
      </c>
      <c r="C159" s="54">
        <f>+(2*B152*B150)/B151</f>
        <v>890380015.45910227</v>
      </c>
      <c r="D159" s="26" t="s">
        <v>88</v>
      </c>
    </row>
    <row r="161" spans="1:10" x14ac:dyDescent="0.3">
      <c r="A161" s="43" t="s">
        <v>38</v>
      </c>
      <c r="B161" s="43"/>
      <c r="C161" s="43"/>
      <c r="D161" s="43"/>
      <c r="E161" s="43"/>
      <c r="F161" s="43"/>
      <c r="G161" s="43"/>
    </row>
    <row r="162" spans="1:10" x14ac:dyDescent="0.3">
      <c r="A162" t="s">
        <v>123</v>
      </c>
      <c r="B162" s="29" t="s">
        <v>97</v>
      </c>
      <c r="C162" s="29" t="s">
        <v>98</v>
      </c>
      <c r="D162" s="29" t="s">
        <v>109</v>
      </c>
      <c r="E162" s="29" t="s">
        <v>139</v>
      </c>
      <c r="F162" s="29" t="s">
        <v>140</v>
      </c>
      <c r="G162" s="29" t="s">
        <v>141</v>
      </c>
    </row>
    <row r="163" spans="1:10" x14ac:dyDescent="0.3">
      <c r="A163" s="29" t="str">
        <f t="array" ref="A163:A168">+TRANSPOSE(B162:G162)</f>
        <v>3x</v>
      </c>
      <c r="B163" s="28">
        <f>+C155</f>
        <v>341905.921875</v>
      </c>
      <c r="C163" s="28">
        <v>0</v>
      </c>
      <c r="D163" s="28">
        <v>0</v>
      </c>
      <c r="E163" s="30">
        <f>+-C155</f>
        <v>-341905.921875</v>
      </c>
      <c r="F163" s="30">
        <v>0</v>
      </c>
      <c r="G163" s="30">
        <v>0</v>
      </c>
    </row>
    <row r="164" spans="1:10" x14ac:dyDescent="0.3">
      <c r="A164" s="29" t="str">
        <v>3z</v>
      </c>
      <c r="B164" s="28">
        <v>0</v>
      </c>
      <c r="C164" s="28">
        <f>+C156</f>
        <v>33389.250579716339</v>
      </c>
      <c r="D164" s="28">
        <f>+C157</f>
        <v>6677850.1159432679</v>
      </c>
      <c r="E164" s="30">
        <v>0</v>
      </c>
      <c r="F164" s="30">
        <f>-C156</f>
        <v>-33389.250579716339</v>
      </c>
      <c r="G164" s="30">
        <f>+C157</f>
        <v>6677850.1159432679</v>
      </c>
    </row>
    <row r="165" spans="1:10" x14ac:dyDescent="0.3">
      <c r="A165" s="29" t="str">
        <v>ϴ 3</v>
      </c>
      <c r="B165" s="28">
        <v>0</v>
      </c>
      <c r="C165" s="28">
        <f>+C157</f>
        <v>6677850.1159432679</v>
      </c>
      <c r="D165" s="28">
        <f>+C158</f>
        <v>1780760030.9182045</v>
      </c>
      <c r="E165" s="30">
        <v>0</v>
      </c>
      <c r="F165" s="30">
        <f>+-C157</f>
        <v>-6677850.1159432679</v>
      </c>
      <c r="G165" s="30">
        <f>+C159</f>
        <v>890380015.45910227</v>
      </c>
    </row>
    <row r="166" spans="1:10" x14ac:dyDescent="0.3">
      <c r="A166" s="29" t="str">
        <v>cx</v>
      </c>
      <c r="B166" s="13">
        <f>-C155</f>
        <v>-341905.921875</v>
      </c>
      <c r="C166" s="13">
        <v>0</v>
      </c>
      <c r="D166" s="13">
        <v>0</v>
      </c>
      <c r="E166" s="29">
        <f>+C155</f>
        <v>341905.921875</v>
      </c>
      <c r="F166" s="29">
        <v>0</v>
      </c>
      <c r="G166" s="29">
        <v>0</v>
      </c>
    </row>
    <row r="167" spans="1:10" x14ac:dyDescent="0.3">
      <c r="A167" s="29" t="str">
        <v>cz</v>
      </c>
      <c r="B167" s="13">
        <v>0</v>
      </c>
      <c r="C167" s="13">
        <f>-C156</f>
        <v>-33389.250579716339</v>
      </c>
      <c r="D167" s="13">
        <f>-C157</f>
        <v>-6677850.1159432679</v>
      </c>
      <c r="E167" s="29">
        <v>0</v>
      </c>
      <c r="F167" s="29">
        <f>C156</f>
        <v>33389.250579716339</v>
      </c>
      <c r="G167" s="29">
        <f>-C157</f>
        <v>-6677850.1159432679</v>
      </c>
    </row>
    <row r="168" spans="1:10" x14ac:dyDescent="0.3">
      <c r="A168" s="29" t="str">
        <v>ϴ c</v>
      </c>
      <c r="B168" s="13">
        <v>0</v>
      </c>
      <c r="C168" s="13">
        <f>+C157</f>
        <v>6677850.1159432679</v>
      </c>
      <c r="D168" s="13">
        <f>+C159</f>
        <v>890380015.45910227</v>
      </c>
      <c r="E168" s="29">
        <v>0</v>
      </c>
      <c r="F168" s="29">
        <f>-C157</f>
        <v>-6677850.1159432679</v>
      </c>
      <c r="G168" s="29">
        <f>C158</f>
        <v>1780760030.9182045</v>
      </c>
      <c r="H168" t="s">
        <v>119</v>
      </c>
    </row>
    <row r="170" spans="1:10" x14ac:dyDescent="0.3">
      <c r="A170" s="43" t="s">
        <v>39</v>
      </c>
      <c r="B170" s="43"/>
      <c r="C170" s="43"/>
      <c r="D170" s="43"/>
      <c r="E170" s="43"/>
      <c r="F170" s="43"/>
      <c r="G170" s="43"/>
      <c r="H170" s="43"/>
      <c r="I170" s="43"/>
      <c r="J170" s="43"/>
    </row>
    <row r="171" spans="1:10" x14ac:dyDescent="0.3">
      <c r="A171" s="32"/>
      <c r="B171" s="32"/>
      <c r="C171" s="43" t="s">
        <v>115</v>
      </c>
      <c r="D171" s="43"/>
      <c r="E171" s="43" t="s">
        <v>116</v>
      </c>
      <c r="F171" s="43"/>
      <c r="G171" s="43" t="s">
        <v>117</v>
      </c>
      <c r="H171" s="43"/>
      <c r="I171" s="43" t="s">
        <v>118</v>
      </c>
      <c r="J171" s="43"/>
    </row>
    <row r="172" spans="1:10" x14ac:dyDescent="0.3">
      <c r="A172" s="32" t="s">
        <v>103</v>
      </c>
      <c r="B172" s="10">
        <v>90</v>
      </c>
      <c r="C172" s="32" t="s">
        <v>114</v>
      </c>
      <c r="D172" s="2">
        <f>+B163</f>
        <v>341905.921875</v>
      </c>
      <c r="E172" s="32" t="s">
        <v>114</v>
      </c>
      <c r="F172" s="2">
        <f>+E163</f>
        <v>-341905.921875</v>
      </c>
      <c r="G172" s="32" t="s">
        <v>114</v>
      </c>
      <c r="H172" s="2">
        <f>+B166</f>
        <v>-341905.921875</v>
      </c>
      <c r="I172" s="32" t="s">
        <v>114</v>
      </c>
      <c r="J172" s="8">
        <f>+E166</f>
        <v>341905.921875</v>
      </c>
    </row>
    <row r="173" spans="1:10" x14ac:dyDescent="0.3">
      <c r="A173" s="32" t="s">
        <v>104</v>
      </c>
      <c r="B173" s="32">
        <f>SIN(RADIANS(B172))</f>
        <v>1</v>
      </c>
      <c r="C173" s="32" t="s">
        <v>112</v>
      </c>
      <c r="D173" s="2">
        <f>+C164</f>
        <v>33389.250579716339</v>
      </c>
      <c r="E173" s="32" t="s">
        <v>112</v>
      </c>
      <c r="F173" s="2">
        <f>+F164</f>
        <v>-33389.250579716339</v>
      </c>
      <c r="G173" s="32" t="s">
        <v>112</v>
      </c>
      <c r="H173" s="2">
        <f>+C167</f>
        <v>-33389.250579716339</v>
      </c>
      <c r="I173" s="32" t="s">
        <v>112</v>
      </c>
      <c r="J173" s="8">
        <f>+F167</f>
        <v>33389.250579716339</v>
      </c>
    </row>
    <row r="174" spans="1:10" x14ac:dyDescent="0.3">
      <c r="A174" s="32" t="s">
        <v>105</v>
      </c>
      <c r="B174" s="33">
        <f>COS(RADIANS(B172))</f>
        <v>6.1257422745431001E-17</v>
      </c>
      <c r="C174" s="32" t="s">
        <v>113</v>
      </c>
      <c r="D174" s="2">
        <f>+D165</f>
        <v>1780760030.9182045</v>
      </c>
      <c r="E174" s="32" t="s">
        <v>113</v>
      </c>
      <c r="F174" s="2">
        <f>+G165</f>
        <v>890380015.45910227</v>
      </c>
      <c r="G174" s="32" t="s">
        <v>113</v>
      </c>
      <c r="H174" s="2">
        <f>+D168</f>
        <v>890380015.45910227</v>
      </c>
      <c r="I174" s="32" t="s">
        <v>113</v>
      </c>
      <c r="J174" s="8">
        <f>+G168</f>
        <v>1780760030.9182045</v>
      </c>
    </row>
    <row r="175" spans="1:10" x14ac:dyDescent="0.3">
      <c r="A175" s="32"/>
      <c r="B175" s="32"/>
      <c r="C175" s="32" t="s">
        <v>18</v>
      </c>
      <c r="D175" s="2">
        <f>+D164</f>
        <v>6677850.1159432679</v>
      </c>
      <c r="E175" s="32" t="s">
        <v>18</v>
      </c>
      <c r="F175" s="2">
        <f>+G164</f>
        <v>6677850.1159432679</v>
      </c>
      <c r="G175" s="32" t="s">
        <v>18</v>
      </c>
      <c r="H175" s="2">
        <f>+D167</f>
        <v>-6677850.1159432679</v>
      </c>
      <c r="I175" s="32" t="s">
        <v>18</v>
      </c>
      <c r="J175" s="8">
        <f>+G167</f>
        <v>-6677850.1159432679</v>
      </c>
    </row>
    <row r="176" spans="1:10" x14ac:dyDescent="0.3">
      <c r="C176" s="32" t="s">
        <v>82</v>
      </c>
      <c r="D176" s="2">
        <f>+C165</f>
        <v>6677850.1159432679</v>
      </c>
      <c r="E176" s="32" t="s">
        <v>82</v>
      </c>
      <c r="F176" s="2">
        <f>+F165</f>
        <v>-6677850.1159432679</v>
      </c>
      <c r="G176" s="32" t="s">
        <v>82</v>
      </c>
      <c r="H176" s="2">
        <f>+C168</f>
        <v>6677850.1159432679</v>
      </c>
      <c r="I176" s="32" t="s">
        <v>82</v>
      </c>
      <c r="J176" s="8">
        <f>+F168</f>
        <v>-6677850.1159432679</v>
      </c>
    </row>
    <row r="177" spans="1:28" x14ac:dyDescent="0.3">
      <c r="H177" s="32"/>
      <c r="I177" s="32"/>
    </row>
    <row r="178" spans="1:28" x14ac:dyDescent="0.3">
      <c r="H178" s="32"/>
      <c r="I178" s="32"/>
    </row>
    <row r="179" spans="1:28" x14ac:dyDescent="0.3">
      <c r="H179" s="32"/>
      <c r="I179" s="32"/>
    </row>
    <row r="180" spans="1:28" x14ac:dyDescent="0.3">
      <c r="A180" t="str">
        <f>+A162</f>
        <v>k3</v>
      </c>
      <c r="B180" s="29" t="str">
        <f t="array" ref="B180:G180">B162:G162</f>
        <v>3x</v>
      </c>
      <c r="C180" s="29" t="str">
        <v>3z</v>
      </c>
      <c r="D180" s="29" t="str">
        <v>ϴ 3</v>
      </c>
      <c r="E180" s="29" t="str">
        <v>cx</v>
      </c>
      <c r="F180" s="29" t="str">
        <v>cz</v>
      </c>
      <c r="G180" s="29" t="str">
        <v>ϴ c</v>
      </c>
      <c r="H180" s="32"/>
      <c r="I180" s="32"/>
    </row>
    <row r="181" spans="1:28" x14ac:dyDescent="0.3">
      <c r="A181" s="29" t="str">
        <f t="array" ref="A181:A186">+TRANSPOSE(B180:G180)</f>
        <v>3x</v>
      </c>
      <c r="B181" s="34">
        <f>(J172*B174*B174)+(J173*B173*B173)</f>
        <v>33389.250579716339</v>
      </c>
      <c r="C181" s="34">
        <f>(J172-J173)*(B174*B173)</f>
        <v>1.8898936157548368E-11</v>
      </c>
      <c r="D181" s="34">
        <f>-J175*B173</f>
        <v>6677850.1159432679</v>
      </c>
      <c r="E181" s="35">
        <v>0</v>
      </c>
      <c r="F181" s="35">
        <v>0</v>
      </c>
      <c r="G181" s="35">
        <v>0</v>
      </c>
      <c r="H181" s="32"/>
      <c r="I181" s="32"/>
    </row>
    <row r="182" spans="1:28" x14ac:dyDescent="0.3">
      <c r="A182" s="29" t="str">
        <v>3z</v>
      </c>
      <c r="B182" s="34">
        <v>0</v>
      </c>
      <c r="C182" s="34">
        <f>+(J172*B173*B173)+(J173*B174*B174)</f>
        <v>341905.921875</v>
      </c>
      <c r="D182" s="34">
        <f>J175*B174</f>
        <v>-4.090678875829622E-10</v>
      </c>
      <c r="E182" s="35">
        <v>0</v>
      </c>
      <c r="F182" s="35">
        <v>0</v>
      </c>
      <c r="G182" s="35">
        <v>0</v>
      </c>
      <c r="H182" s="32"/>
      <c r="I182" s="32"/>
    </row>
    <row r="183" spans="1:28" x14ac:dyDescent="0.3">
      <c r="A183" s="29" t="str">
        <v>ϴ 3</v>
      </c>
      <c r="B183" s="34">
        <f>-J176*B173</f>
        <v>6677850.1159432679</v>
      </c>
      <c r="C183" s="34">
        <f>J176*B174</f>
        <v>-4.090678875829622E-10</v>
      </c>
      <c r="D183" s="34">
        <f>+J174</f>
        <v>1780760030.9182045</v>
      </c>
      <c r="E183" s="35">
        <v>0</v>
      </c>
      <c r="F183" s="35">
        <v>0</v>
      </c>
      <c r="G183" s="35">
        <v>0</v>
      </c>
      <c r="H183" s="32"/>
      <c r="I183" s="32"/>
    </row>
    <row r="184" spans="1:28" x14ac:dyDescent="0.3">
      <c r="A184" s="29" t="str">
        <v>cx</v>
      </c>
      <c r="B184" s="36">
        <v>0</v>
      </c>
      <c r="C184" s="36">
        <v>0</v>
      </c>
      <c r="D184" s="36">
        <v>0</v>
      </c>
      <c r="E184" s="37">
        <v>0</v>
      </c>
      <c r="F184" s="37">
        <v>0</v>
      </c>
      <c r="G184" s="37">
        <v>0</v>
      </c>
      <c r="H184" s="32"/>
      <c r="I184" s="32"/>
    </row>
    <row r="185" spans="1:28" x14ac:dyDescent="0.3">
      <c r="A185" s="29" t="str">
        <v>cz</v>
      </c>
      <c r="B185" s="36">
        <v>0</v>
      </c>
      <c r="C185" s="36">
        <v>0</v>
      </c>
      <c r="D185" s="36">
        <v>0</v>
      </c>
      <c r="E185" s="37">
        <v>0</v>
      </c>
      <c r="F185" s="37">
        <v>0</v>
      </c>
      <c r="G185" s="37">
        <v>0</v>
      </c>
      <c r="H185" s="32"/>
      <c r="I185" s="32"/>
    </row>
    <row r="186" spans="1:28" x14ac:dyDescent="0.3">
      <c r="A186" s="29" t="str">
        <v>ϴ c</v>
      </c>
      <c r="B186" s="36">
        <v>0</v>
      </c>
      <c r="C186" s="36">
        <v>0</v>
      </c>
      <c r="D186" s="36">
        <v>0</v>
      </c>
      <c r="E186" s="37">
        <v>0</v>
      </c>
      <c r="F186" s="37">
        <v>0</v>
      </c>
      <c r="G186" s="37">
        <v>0</v>
      </c>
      <c r="H186" s="32"/>
      <c r="I186" s="32"/>
    </row>
    <row r="187" spans="1:28" x14ac:dyDescent="0.3">
      <c r="A187" s="32"/>
      <c r="B187" s="32"/>
      <c r="C187" s="32"/>
      <c r="D187" s="32"/>
      <c r="E187" s="32"/>
      <c r="F187" s="32"/>
      <c r="G187" s="32"/>
      <c r="H187" s="32"/>
      <c r="I187" s="32"/>
    </row>
    <row r="189" spans="1:28" x14ac:dyDescent="0.3">
      <c r="A189" t="s">
        <v>37</v>
      </c>
      <c r="B189" s="31" t="s">
        <v>91</v>
      </c>
      <c r="C189" s="31" t="s">
        <v>92</v>
      </c>
      <c r="D189" s="31" t="s">
        <v>106</v>
      </c>
      <c r="E189" s="31" t="s">
        <v>95</v>
      </c>
      <c r="F189" s="31" t="s">
        <v>96</v>
      </c>
      <c r="G189" s="31" t="s">
        <v>108</v>
      </c>
      <c r="H189" s="31" t="s">
        <v>97</v>
      </c>
      <c r="I189" s="31" t="s">
        <v>98</v>
      </c>
      <c r="J189" s="31" t="s">
        <v>109</v>
      </c>
      <c r="K189" s="31" t="s">
        <v>99</v>
      </c>
      <c r="L189" s="31" t="s">
        <v>100</v>
      </c>
      <c r="M189" s="31" t="s">
        <v>110</v>
      </c>
      <c r="N189" s="31" t="s">
        <v>133</v>
      </c>
      <c r="O189" s="31" t="s">
        <v>134</v>
      </c>
      <c r="P189" s="31" t="s">
        <v>135</v>
      </c>
      <c r="Q189" s="31" t="s">
        <v>136</v>
      </c>
      <c r="R189" s="31" t="s">
        <v>137</v>
      </c>
      <c r="S189" s="31" t="s">
        <v>138</v>
      </c>
      <c r="T189" s="31" t="s">
        <v>94</v>
      </c>
      <c r="U189" s="31" t="s">
        <v>93</v>
      </c>
      <c r="V189" s="31" t="s">
        <v>107</v>
      </c>
      <c r="W189" s="31" t="s">
        <v>101</v>
      </c>
      <c r="X189" s="31" t="s">
        <v>102</v>
      </c>
      <c r="Y189" s="31" t="s">
        <v>111</v>
      </c>
      <c r="Z189" s="31" t="s">
        <v>139</v>
      </c>
      <c r="AA189" s="31" t="s">
        <v>140</v>
      </c>
      <c r="AB189" s="31" t="s">
        <v>141</v>
      </c>
    </row>
    <row r="190" spans="1:28" x14ac:dyDescent="0.3">
      <c r="A190" s="31" t="str">
        <f t="array" ref="A190:A216">TRANSPOSE(B189:AB189)</f>
        <v>1x</v>
      </c>
      <c r="B190" s="53">
        <v>0</v>
      </c>
      <c r="C190" s="53">
        <v>0</v>
      </c>
      <c r="D190" s="53">
        <v>0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0</v>
      </c>
      <c r="Q190" s="53">
        <v>0</v>
      </c>
      <c r="R190" s="53">
        <v>0</v>
      </c>
      <c r="S190" s="53">
        <v>0</v>
      </c>
      <c r="T190" s="53">
        <v>0</v>
      </c>
      <c r="U190" s="53">
        <v>0</v>
      </c>
      <c r="V190" s="53">
        <v>0</v>
      </c>
      <c r="W190" s="53">
        <v>0</v>
      </c>
      <c r="X190" s="53">
        <v>0</v>
      </c>
      <c r="Y190" s="53">
        <v>0</v>
      </c>
      <c r="Z190" s="53">
        <v>0</v>
      </c>
      <c r="AA190" s="53">
        <v>0</v>
      </c>
      <c r="AB190" s="53">
        <v>0</v>
      </c>
    </row>
    <row r="191" spans="1:28" x14ac:dyDescent="0.3">
      <c r="A191" s="31" t="str">
        <v>1z</v>
      </c>
      <c r="B191" s="53">
        <v>0</v>
      </c>
      <c r="C191" s="53">
        <v>0</v>
      </c>
      <c r="D191" s="53">
        <v>0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  <c r="N191" s="53">
        <v>0</v>
      </c>
      <c r="O191" s="53">
        <v>0</v>
      </c>
      <c r="P191" s="53">
        <v>0</v>
      </c>
      <c r="Q191" s="53">
        <v>0</v>
      </c>
      <c r="R191" s="53">
        <v>0</v>
      </c>
      <c r="S191" s="53">
        <v>0</v>
      </c>
      <c r="T191" s="53">
        <v>0</v>
      </c>
      <c r="U191" s="53">
        <v>0</v>
      </c>
      <c r="V191" s="53">
        <v>0</v>
      </c>
      <c r="W191" s="53">
        <v>0</v>
      </c>
      <c r="X191" s="53">
        <v>0</v>
      </c>
      <c r="Y191" s="53">
        <v>0</v>
      </c>
      <c r="Z191" s="53">
        <v>0</v>
      </c>
      <c r="AA191" s="53">
        <v>0</v>
      </c>
      <c r="AB191" s="53">
        <v>0</v>
      </c>
    </row>
    <row r="192" spans="1:28" x14ac:dyDescent="0.3">
      <c r="A192" s="31" t="str">
        <v>ϴ 1</v>
      </c>
      <c r="B192" s="53">
        <v>0</v>
      </c>
      <c r="C192" s="53">
        <v>0</v>
      </c>
      <c r="D192" s="53">
        <v>0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  <c r="N192" s="53">
        <v>0</v>
      </c>
      <c r="O192" s="53">
        <v>0</v>
      </c>
      <c r="P192" s="53">
        <v>0</v>
      </c>
      <c r="Q192" s="53">
        <v>0</v>
      </c>
      <c r="R192" s="53">
        <v>0</v>
      </c>
      <c r="S192" s="53">
        <v>0</v>
      </c>
      <c r="T192" s="53">
        <v>0</v>
      </c>
      <c r="U192" s="53">
        <v>0</v>
      </c>
      <c r="V192" s="53">
        <v>0</v>
      </c>
      <c r="W192" s="53">
        <v>0</v>
      </c>
      <c r="X192" s="53">
        <v>0</v>
      </c>
      <c r="Y192" s="53">
        <v>0</v>
      </c>
      <c r="Z192" s="53">
        <v>0</v>
      </c>
      <c r="AA192" s="53">
        <v>0</v>
      </c>
      <c r="AB192" s="53">
        <v>0</v>
      </c>
    </row>
    <row r="193" spans="1:28" x14ac:dyDescent="0.3">
      <c r="A193" s="31" t="str">
        <v>2x</v>
      </c>
      <c r="B193" s="53">
        <v>0</v>
      </c>
      <c r="C193" s="53">
        <v>0</v>
      </c>
      <c r="D193" s="53">
        <v>0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  <c r="N193" s="53">
        <v>0</v>
      </c>
      <c r="O193" s="53">
        <v>0</v>
      </c>
      <c r="P193" s="53">
        <v>0</v>
      </c>
      <c r="Q193" s="53">
        <v>0</v>
      </c>
      <c r="R193" s="53">
        <v>0</v>
      </c>
      <c r="S193" s="53">
        <v>0</v>
      </c>
      <c r="T193" s="53">
        <v>0</v>
      </c>
      <c r="U193" s="53">
        <v>0</v>
      </c>
      <c r="V193" s="53">
        <v>0</v>
      </c>
      <c r="W193" s="53">
        <v>0</v>
      </c>
      <c r="X193" s="53">
        <v>0</v>
      </c>
      <c r="Y193" s="53">
        <v>0</v>
      </c>
      <c r="Z193" s="53">
        <v>0</v>
      </c>
      <c r="AA193" s="53">
        <v>0</v>
      </c>
      <c r="AB193" s="53">
        <v>0</v>
      </c>
    </row>
    <row r="194" spans="1:28" x14ac:dyDescent="0.3">
      <c r="A194" s="31" t="str">
        <v>2z</v>
      </c>
      <c r="B194" s="53">
        <v>0</v>
      </c>
      <c r="C194" s="53">
        <v>0</v>
      </c>
      <c r="D194" s="53">
        <v>0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  <c r="N194" s="53">
        <v>0</v>
      </c>
      <c r="O194" s="53">
        <v>0</v>
      </c>
      <c r="P194" s="53">
        <v>0</v>
      </c>
      <c r="Q194" s="53">
        <v>0</v>
      </c>
      <c r="R194" s="53">
        <v>0</v>
      </c>
      <c r="S194" s="53">
        <v>0</v>
      </c>
      <c r="T194" s="53">
        <v>0</v>
      </c>
      <c r="U194" s="53">
        <v>0</v>
      </c>
      <c r="V194" s="53">
        <v>0</v>
      </c>
      <c r="W194" s="53">
        <v>0</v>
      </c>
      <c r="X194" s="53">
        <v>0</v>
      </c>
      <c r="Y194" s="53">
        <v>0</v>
      </c>
      <c r="Z194" s="53">
        <v>0</v>
      </c>
      <c r="AA194" s="53">
        <v>0</v>
      </c>
      <c r="AB194" s="53">
        <v>0</v>
      </c>
    </row>
    <row r="195" spans="1:28" x14ac:dyDescent="0.3">
      <c r="A195" s="31" t="str">
        <v>ϴ 2</v>
      </c>
      <c r="B195" s="53">
        <v>0</v>
      </c>
      <c r="C195" s="53">
        <v>0</v>
      </c>
      <c r="D195" s="53">
        <v>0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  <c r="N195" s="53">
        <v>0</v>
      </c>
      <c r="O195" s="53">
        <v>0</v>
      </c>
      <c r="P195" s="53">
        <v>0</v>
      </c>
      <c r="Q195" s="53">
        <v>0</v>
      </c>
      <c r="R195" s="53">
        <v>0</v>
      </c>
      <c r="S195" s="53">
        <v>0</v>
      </c>
      <c r="T195" s="53">
        <v>0</v>
      </c>
      <c r="U195" s="53">
        <v>0</v>
      </c>
      <c r="V195" s="53">
        <v>0</v>
      </c>
      <c r="W195" s="53">
        <v>0</v>
      </c>
      <c r="X195" s="53">
        <v>0</v>
      </c>
      <c r="Y195" s="53">
        <v>0</v>
      </c>
      <c r="Z195" s="53">
        <v>0</v>
      </c>
      <c r="AA195" s="53">
        <v>0</v>
      </c>
      <c r="AB195" s="53">
        <v>0</v>
      </c>
    </row>
    <row r="196" spans="1:28" x14ac:dyDescent="0.3">
      <c r="A196" s="31" t="str">
        <v>3x</v>
      </c>
      <c r="B196" s="53">
        <v>0</v>
      </c>
      <c r="C196" s="53">
        <v>0</v>
      </c>
      <c r="D196" s="53">
        <v>0</v>
      </c>
      <c r="E196" s="53">
        <v>0</v>
      </c>
      <c r="F196" s="53">
        <v>0</v>
      </c>
      <c r="G196" s="53">
        <v>0</v>
      </c>
      <c r="H196" s="53">
        <f t="array" ref="H196:J198">B181:D183</f>
        <v>33389.250579716339</v>
      </c>
      <c r="I196" s="53">
        <v>1.8898936157548368E-11</v>
      </c>
      <c r="J196" s="53">
        <v>6677850.1159432679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0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</row>
    <row r="197" spans="1:28" x14ac:dyDescent="0.3">
      <c r="A197" s="31" t="str">
        <v>3z</v>
      </c>
      <c r="B197" s="53">
        <v>0</v>
      </c>
      <c r="C197" s="53">
        <v>0</v>
      </c>
      <c r="D197" s="53">
        <v>0</v>
      </c>
      <c r="E197" s="53">
        <v>0</v>
      </c>
      <c r="F197" s="53">
        <v>0</v>
      </c>
      <c r="G197" s="53">
        <v>0</v>
      </c>
      <c r="H197" s="53">
        <v>0</v>
      </c>
      <c r="I197" s="53">
        <v>341905.921875</v>
      </c>
      <c r="J197" s="53">
        <v>-4.090678875829622E-10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0</v>
      </c>
      <c r="Q197" s="53">
        <v>0</v>
      </c>
      <c r="R197" s="53">
        <v>0</v>
      </c>
      <c r="S197" s="53">
        <v>0</v>
      </c>
      <c r="T197" s="53">
        <v>0</v>
      </c>
      <c r="U197" s="53">
        <v>0</v>
      </c>
      <c r="V197" s="53">
        <v>0</v>
      </c>
      <c r="W197" s="53">
        <v>0</v>
      </c>
      <c r="X197" s="53">
        <v>0</v>
      </c>
      <c r="Y197" s="53">
        <v>0</v>
      </c>
      <c r="Z197" s="53">
        <v>0</v>
      </c>
      <c r="AA197" s="53">
        <v>0</v>
      </c>
      <c r="AB197" s="53">
        <v>0</v>
      </c>
    </row>
    <row r="198" spans="1:28" x14ac:dyDescent="0.3">
      <c r="A198" s="31" t="str">
        <v>ϴ 3</v>
      </c>
      <c r="B198" s="53">
        <v>0</v>
      </c>
      <c r="C198" s="53">
        <v>0</v>
      </c>
      <c r="D198" s="53">
        <v>0</v>
      </c>
      <c r="E198" s="53">
        <v>0</v>
      </c>
      <c r="F198" s="53">
        <v>0</v>
      </c>
      <c r="G198" s="53">
        <v>0</v>
      </c>
      <c r="H198" s="53">
        <v>6677850.1159432679</v>
      </c>
      <c r="I198" s="53">
        <v>-4.090678875829622E-10</v>
      </c>
      <c r="J198" s="53">
        <v>1780760030.9182045</v>
      </c>
      <c r="K198" s="53">
        <v>0</v>
      </c>
      <c r="L198" s="53">
        <v>0</v>
      </c>
      <c r="M198" s="53">
        <v>0</v>
      </c>
      <c r="N198" s="53">
        <v>0</v>
      </c>
      <c r="O198" s="53">
        <v>0</v>
      </c>
      <c r="P198" s="53">
        <v>0</v>
      </c>
      <c r="Q198" s="53">
        <v>0</v>
      </c>
      <c r="R198" s="53">
        <v>0</v>
      </c>
      <c r="S198" s="53">
        <v>0</v>
      </c>
      <c r="T198" s="53">
        <v>0</v>
      </c>
      <c r="U198" s="53">
        <v>0</v>
      </c>
      <c r="V198" s="53">
        <v>0</v>
      </c>
      <c r="W198" s="53">
        <v>0</v>
      </c>
      <c r="X198" s="53">
        <v>0</v>
      </c>
      <c r="Y198" s="53">
        <v>0</v>
      </c>
      <c r="Z198" s="53">
        <v>0</v>
      </c>
      <c r="AA198" s="53">
        <v>0</v>
      </c>
      <c r="AB198" s="53">
        <v>0</v>
      </c>
    </row>
    <row r="199" spans="1:28" x14ac:dyDescent="0.3">
      <c r="A199" s="31" t="str">
        <v>4x</v>
      </c>
      <c r="B199" s="53">
        <v>0</v>
      </c>
      <c r="C199" s="53">
        <v>0</v>
      </c>
      <c r="D199" s="53">
        <v>0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  <c r="N199" s="53">
        <v>0</v>
      </c>
      <c r="O199" s="53">
        <v>0</v>
      </c>
      <c r="P199" s="53">
        <v>0</v>
      </c>
      <c r="Q199" s="53">
        <v>0</v>
      </c>
      <c r="R199" s="53">
        <v>0</v>
      </c>
      <c r="S199" s="53">
        <v>0</v>
      </c>
      <c r="T199" s="53">
        <v>0</v>
      </c>
      <c r="U199" s="53">
        <v>0</v>
      </c>
      <c r="V199" s="53">
        <v>0</v>
      </c>
      <c r="W199" s="53">
        <v>0</v>
      </c>
      <c r="X199" s="53">
        <v>0</v>
      </c>
      <c r="Y199" s="53">
        <v>0</v>
      </c>
      <c r="Z199" s="53">
        <v>0</v>
      </c>
      <c r="AA199" s="53">
        <v>0</v>
      </c>
      <c r="AB199" s="53">
        <v>0</v>
      </c>
    </row>
    <row r="200" spans="1:28" x14ac:dyDescent="0.3">
      <c r="A200" s="31" t="str">
        <v>4z</v>
      </c>
      <c r="B200" s="53">
        <v>0</v>
      </c>
      <c r="C200" s="53">
        <v>0</v>
      </c>
      <c r="D200" s="53">
        <v>0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  <c r="N200" s="53">
        <v>0</v>
      </c>
      <c r="O200" s="53">
        <v>0</v>
      </c>
      <c r="P200" s="53">
        <v>0</v>
      </c>
      <c r="Q200" s="53">
        <v>0</v>
      </c>
      <c r="R200" s="53">
        <v>0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</row>
    <row r="201" spans="1:28" x14ac:dyDescent="0.3">
      <c r="A201" s="31" t="str">
        <v>ϴ 4</v>
      </c>
      <c r="B201" s="53">
        <v>0</v>
      </c>
      <c r="C201" s="53">
        <v>0</v>
      </c>
      <c r="D201" s="53">
        <v>0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</row>
    <row r="202" spans="1:28" x14ac:dyDescent="0.3">
      <c r="A202" s="31" t="str">
        <v>5x</v>
      </c>
      <c r="B202" s="53">
        <v>0</v>
      </c>
      <c r="C202" s="53">
        <v>0</v>
      </c>
      <c r="D202" s="53">
        <v>0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</row>
    <row r="203" spans="1:28" x14ac:dyDescent="0.3">
      <c r="A203" s="31" t="str">
        <v>5z</v>
      </c>
      <c r="B203" s="53">
        <v>0</v>
      </c>
      <c r="C203" s="53">
        <v>0</v>
      </c>
      <c r="D203" s="53">
        <v>0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</row>
    <row r="204" spans="1:28" x14ac:dyDescent="0.3">
      <c r="A204" s="31" t="str">
        <v>ϴ 5</v>
      </c>
      <c r="B204" s="53">
        <v>0</v>
      </c>
      <c r="C204" s="53">
        <v>0</v>
      </c>
      <c r="D204" s="53">
        <v>0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  <c r="N204" s="53">
        <v>0</v>
      </c>
      <c r="O204" s="53">
        <v>0</v>
      </c>
      <c r="P204" s="53">
        <v>0</v>
      </c>
      <c r="Q204" s="53">
        <v>0</v>
      </c>
      <c r="R204" s="53">
        <v>0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</row>
    <row r="205" spans="1:28" x14ac:dyDescent="0.3">
      <c r="A205" s="31" t="str">
        <v>6x</v>
      </c>
      <c r="B205" s="53">
        <v>0</v>
      </c>
      <c r="C205" s="53">
        <v>0</v>
      </c>
      <c r="D205" s="53">
        <v>0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  <c r="N205" s="53">
        <v>0</v>
      </c>
      <c r="O205" s="53">
        <v>0</v>
      </c>
      <c r="P205" s="53">
        <v>0</v>
      </c>
      <c r="Q205" s="53">
        <v>0</v>
      </c>
      <c r="R205" s="53">
        <v>0</v>
      </c>
      <c r="S205" s="53">
        <v>0</v>
      </c>
      <c r="T205" s="53">
        <v>0</v>
      </c>
      <c r="U205" s="53">
        <v>0</v>
      </c>
      <c r="V205" s="53">
        <v>0</v>
      </c>
      <c r="W205" s="53">
        <v>0</v>
      </c>
      <c r="X205" s="53">
        <v>0</v>
      </c>
      <c r="Y205" s="53">
        <v>0</v>
      </c>
      <c r="Z205" s="53">
        <v>0</v>
      </c>
      <c r="AA205" s="53">
        <v>0</v>
      </c>
      <c r="AB205" s="53">
        <v>0</v>
      </c>
    </row>
    <row r="206" spans="1:28" x14ac:dyDescent="0.3">
      <c r="A206" s="31" t="str">
        <v>6z</v>
      </c>
      <c r="B206" s="53">
        <v>0</v>
      </c>
      <c r="C206" s="53">
        <v>0</v>
      </c>
      <c r="D206" s="53">
        <v>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  <c r="N206" s="53">
        <v>0</v>
      </c>
      <c r="O206" s="53">
        <v>0</v>
      </c>
      <c r="P206" s="53">
        <v>0</v>
      </c>
      <c r="Q206" s="53">
        <v>0</v>
      </c>
      <c r="R206" s="53">
        <v>0</v>
      </c>
      <c r="S206" s="53">
        <v>0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</row>
    <row r="207" spans="1:28" x14ac:dyDescent="0.3">
      <c r="A207" s="31" t="str">
        <v>ϴ 6</v>
      </c>
      <c r="B207" s="53">
        <v>0</v>
      </c>
      <c r="C207" s="53">
        <v>0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</row>
    <row r="208" spans="1:28" x14ac:dyDescent="0.3">
      <c r="A208" s="31" t="str">
        <v>ax</v>
      </c>
      <c r="B208" s="53">
        <v>0</v>
      </c>
      <c r="C208" s="53">
        <v>0</v>
      </c>
      <c r="D208" s="53">
        <v>0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  <c r="N208" s="53">
        <v>0</v>
      </c>
      <c r="O208" s="53">
        <v>0</v>
      </c>
      <c r="P208" s="53">
        <v>0</v>
      </c>
      <c r="Q208" s="53">
        <v>0</v>
      </c>
      <c r="R208" s="53">
        <v>0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</row>
    <row r="209" spans="1:28" x14ac:dyDescent="0.3">
      <c r="A209" s="31" t="str">
        <v>az</v>
      </c>
      <c r="B209" s="53">
        <v>0</v>
      </c>
      <c r="C209" s="53">
        <v>0</v>
      </c>
      <c r="D209" s="53">
        <v>0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</row>
    <row r="210" spans="1:28" x14ac:dyDescent="0.3">
      <c r="A210" s="31" t="str">
        <v>ϴ a</v>
      </c>
      <c r="B210" s="53">
        <v>0</v>
      </c>
      <c r="C210" s="53">
        <v>0</v>
      </c>
      <c r="D210" s="53">
        <v>0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0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</row>
    <row r="211" spans="1:28" x14ac:dyDescent="0.3">
      <c r="A211" s="31" t="str">
        <v>bx</v>
      </c>
      <c r="B211" s="53">
        <v>0</v>
      </c>
      <c r="C211" s="53">
        <v>0</v>
      </c>
      <c r="D211" s="53">
        <v>0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  <c r="N211" s="53">
        <v>0</v>
      </c>
      <c r="O211" s="53">
        <v>0</v>
      </c>
      <c r="P211" s="53">
        <v>0</v>
      </c>
      <c r="Q211" s="53">
        <v>0</v>
      </c>
      <c r="R211" s="53">
        <v>0</v>
      </c>
      <c r="S211" s="53">
        <v>0</v>
      </c>
      <c r="T211" s="53">
        <v>0</v>
      </c>
      <c r="U211" s="53">
        <v>0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</row>
    <row r="212" spans="1:28" x14ac:dyDescent="0.3">
      <c r="A212" s="31" t="str">
        <v>bz</v>
      </c>
      <c r="B212" s="53">
        <v>0</v>
      </c>
      <c r="C212" s="53">
        <v>0</v>
      </c>
      <c r="D212" s="53">
        <v>0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  <c r="N212" s="53">
        <v>0</v>
      </c>
      <c r="O212" s="53">
        <v>0</v>
      </c>
      <c r="P212" s="53">
        <v>0</v>
      </c>
      <c r="Q212" s="53">
        <v>0</v>
      </c>
      <c r="R212" s="53">
        <v>0</v>
      </c>
      <c r="S212" s="53">
        <v>0</v>
      </c>
      <c r="T212" s="53">
        <v>0</v>
      </c>
      <c r="U212" s="53">
        <v>0</v>
      </c>
      <c r="V212" s="53">
        <v>0</v>
      </c>
      <c r="W212" s="53">
        <v>0</v>
      </c>
      <c r="X212" s="53">
        <v>0</v>
      </c>
      <c r="Y212" s="53">
        <v>0</v>
      </c>
      <c r="Z212" s="53">
        <v>0</v>
      </c>
      <c r="AA212" s="53">
        <v>0</v>
      </c>
      <c r="AB212" s="53">
        <v>0</v>
      </c>
    </row>
    <row r="213" spans="1:28" x14ac:dyDescent="0.3">
      <c r="A213" s="31" t="str">
        <v>ϴ b</v>
      </c>
      <c r="B213" s="53">
        <v>0</v>
      </c>
      <c r="C213" s="53">
        <v>0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</row>
    <row r="214" spans="1:28" x14ac:dyDescent="0.3">
      <c r="A214" s="31" t="str">
        <v>cx</v>
      </c>
      <c r="B214" s="53">
        <v>0</v>
      </c>
      <c r="C214" s="53">
        <v>0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</row>
    <row r="215" spans="1:28" x14ac:dyDescent="0.3">
      <c r="A215" s="31" t="str">
        <v>cz</v>
      </c>
      <c r="B215" s="53">
        <v>0</v>
      </c>
      <c r="C215" s="53">
        <v>0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</row>
    <row r="216" spans="1:28" x14ac:dyDescent="0.3">
      <c r="A216" s="31" t="str">
        <v>ϴ c</v>
      </c>
      <c r="B216" s="53">
        <v>0</v>
      </c>
      <c r="C216" s="53">
        <v>0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</row>
    <row r="217" spans="1:28" x14ac:dyDescent="0.3">
      <c r="A217" s="51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 spans="1:28" x14ac:dyDescent="0.3">
      <c r="A218" s="51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 spans="1:28" x14ac:dyDescent="0.3">
      <c r="A219" s="46" t="s">
        <v>124</v>
      </c>
      <c r="B219" s="46"/>
      <c r="C219" s="46"/>
    </row>
    <row r="221" spans="1:28" x14ac:dyDescent="0.3">
      <c r="A221" s="27" t="s">
        <v>3</v>
      </c>
      <c r="B221" s="26">
        <v>625</v>
      </c>
      <c r="C221" s="26" t="s">
        <v>129</v>
      </c>
    </row>
    <row r="222" spans="1:28" x14ac:dyDescent="0.3">
      <c r="A222" s="27" t="s">
        <v>81</v>
      </c>
      <c r="B222" s="49">
        <v>813802.09299999999</v>
      </c>
      <c r="C222" s="26" t="s">
        <v>132</v>
      </c>
    </row>
    <row r="223" spans="1:28" x14ac:dyDescent="0.3">
      <c r="A223" s="27" t="s">
        <v>2</v>
      </c>
      <c r="B223" s="26">
        <v>300</v>
      </c>
      <c r="C223" s="26" t="s">
        <v>130</v>
      </c>
    </row>
    <row r="224" spans="1:28" x14ac:dyDescent="0.3">
      <c r="A224" s="27" t="s">
        <v>4</v>
      </c>
      <c r="B224" s="26">
        <v>218819.79</v>
      </c>
      <c r="C224" s="26" t="s">
        <v>131</v>
      </c>
    </row>
    <row r="226" spans="1:8" x14ac:dyDescent="0.3">
      <c r="A226" s="14"/>
      <c r="B226" s="48" t="s">
        <v>89</v>
      </c>
      <c r="C226" s="48"/>
      <c r="D226" s="48"/>
      <c r="E226" s="14"/>
    </row>
    <row r="227" spans="1:8" x14ac:dyDescent="0.3">
      <c r="B227" s="26" t="s">
        <v>83</v>
      </c>
      <c r="C227" s="54">
        <f>(B224*B221)/B223</f>
        <v>455874.5625</v>
      </c>
      <c r="D227" s="26" t="s">
        <v>88</v>
      </c>
    </row>
    <row r="228" spans="1:8" x14ac:dyDescent="0.3">
      <c r="B228" s="26" t="s">
        <v>84</v>
      </c>
      <c r="C228" s="54">
        <f>(12*B224*B222)/(B223^3)</f>
        <v>79144.890263031324</v>
      </c>
      <c r="D228" s="26" t="s">
        <v>88</v>
      </c>
    </row>
    <row r="229" spans="1:8" x14ac:dyDescent="0.3">
      <c r="B229" s="26" t="s">
        <v>85</v>
      </c>
      <c r="C229" s="54">
        <f>(6*B224*B222)/(B223^2)</f>
        <v>11871733.539454699</v>
      </c>
      <c r="D229" s="26" t="s">
        <v>88</v>
      </c>
    </row>
    <row r="230" spans="1:8" x14ac:dyDescent="0.3">
      <c r="B230" s="26" t="s">
        <v>86</v>
      </c>
      <c r="C230" s="54">
        <f>+(4*B224*B222)/(B223)</f>
        <v>2374346707.8909397</v>
      </c>
      <c r="D230" s="26" t="s">
        <v>88</v>
      </c>
    </row>
    <row r="231" spans="1:8" x14ac:dyDescent="0.3">
      <c r="B231" s="26" t="s">
        <v>87</v>
      </c>
      <c r="C231" s="54">
        <f>+(2*B224*B222)/B223</f>
        <v>1187173353.9454699</v>
      </c>
      <c r="D231" s="26" t="s">
        <v>88</v>
      </c>
    </row>
    <row r="233" spans="1:8" x14ac:dyDescent="0.3">
      <c r="A233" s="43" t="s">
        <v>41</v>
      </c>
      <c r="B233" s="43"/>
      <c r="C233" s="43"/>
      <c r="D233" s="43"/>
      <c r="E233" s="43"/>
      <c r="F233" s="43"/>
      <c r="G233" s="43"/>
    </row>
    <row r="234" spans="1:8" x14ac:dyDescent="0.3">
      <c r="A234" t="s">
        <v>125</v>
      </c>
      <c r="B234" s="29" t="s">
        <v>91</v>
      </c>
      <c r="C234" s="29" t="s">
        <v>92</v>
      </c>
      <c r="D234" s="29" t="s">
        <v>106</v>
      </c>
      <c r="E234" s="29" t="s">
        <v>99</v>
      </c>
      <c r="F234" s="29" t="s">
        <v>100</v>
      </c>
      <c r="G234" s="29" t="s">
        <v>110</v>
      </c>
    </row>
    <row r="235" spans="1:8" x14ac:dyDescent="0.3">
      <c r="A235" s="29" t="str">
        <f t="array" ref="A235:A240">+TRANSPOSE(B234:G234)</f>
        <v>1x</v>
      </c>
      <c r="B235" s="34">
        <f>+C227</f>
        <v>455874.5625</v>
      </c>
      <c r="C235" s="34">
        <v>0</v>
      </c>
      <c r="D235" s="34">
        <v>0</v>
      </c>
      <c r="E235" s="35">
        <f>+-C227</f>
        <v>-455874.5625</v>
      </c>
      <c r="F235" s="35">
        <v>0</v>
      </c>
      <c r="G235" s="35">
        <v>0</v>
      </c>
    </row>
    <row r="236" spans="1:8" x14ac:dyDescent="0.3">
      <c r="A236" s="29" t="str">
        <v>1z</v>
      </c>
      <c r="B236" s="34">
        <v>0</v>
      </c>
      <c r="C236" s="34">
        <f>+C228</f>
        <v>79144.890263031324</v>
      </c>
      <c r="D236" s="34">
        <f>+C229</f>
        <v>11871733.539454699</v>
      </c>
      <c r="E236" s="35">
        <v>0</v>
      </c>
      <c r="F236" s="35">
        <f>-C228</f>
        <v>-79144.890263031324</v>
      </c>
      <c r="G236" s="35">
        <f>+C229</f>
        <v>11871733.539454699</v>
      </c>
    </row>
    <row r="237" spans="1:8" x14ac:dyDescent="0.3">
      <c r="A237" s="29" t="str">
        <v>ϴ 1</v>
      </c>
      <c r="B237" s="34">
        <v>0</v>
      </c>
      <c r="C237" s="34">
        <f>+C229</f>
        <v>11871733.539454699</v>
      </c>
      <c r="D237" s="34">
        <f>+C230</f>
        <v>2374346707.8909397</v>
      </c>
      <c r="E237" s="35">
        <v>0</v>
      </c>
      <c r="F237" s="35">
        <f>+-C229</f>
        <v>-11871733.539454699</v>
      </c>
      <c r="G237" s="35">
        <f>+C231</f>
        <v>1187173353.9454699</v>
      </c>
    </row>
    <row r="238" spans="1:8" x14ac:dyDescent="0.3">
      <c r="A238" s="29" t="str">
        <v>4x</v>
      </c>
      <c r="B238" s="36">
        <f>-C227</f>
        <v>-455874.5625</v>
      </c>
      <c r="C238" s="36">
        <v>0</v>
      </c>
      <c r="D238" s="36">
        <v>0</v>
      </c>
      <c r="E238" s="37">
        <f>+C227</f>
        <v>455874.5625</v>
      </c>
      <c r="F238" s="37">
        <v>0</v>
      </c>
      <c r="G238" s="37">
        <v>0</v>
      </c>
    </row>
    <row r="239" spans="1:8" x14ac:dyDescent="0.3">
      <c r="A239" s="29" t="str">
        <v>4z</v>
      </c>
      <c r="B239" s="36">
        <v>0</v>
      </c>
      <c r="C239" s="36">
        <f>-C228</f>
        <v>-79144.890263031324</v>
      </c>
      <c r="D239" s="36">
        <f>-C229</f>
        <v>-11871733.539454699</v>
      </c>
      <c r="E239" s="37">
        <v>0</v>
      </c>
      <c r="F239" s="37">
        <f>C228</f>
        <v>79144.890263031324</v>
      </c>
      <c r="G239" s="37">
        <f>-C229</f>
        <v>-11871733.539454699</v>
      </c>
    </row>
    <row r="240" spans="1:8" x14ac:dyDescent="0.3">
      <c r="A240" s="29" t="str">
        <v>ϴ 4</v>
      </c>
      <c r="B240" s="36">
        <v>0</v>
      </c>
      <c r="C240" s="36">
        <f>+C229</f>
        <v>11871733.539454699</v>
      </c>
      <c r="D240" s="36">
        <f>+C231</f>
        <v>1187173353.9454699</v>
      </c>
      <c r="E240" s="37">
        <v>0</v>
      </c>
      <c r="F240" s="37">
        <f>-C229</f>
        <v>-11871733.539454699</v>
      </c>
      <c r="G240" s="37">
        <f>C230</f>
        <v>2374346707.8909397</v>
      </c>
      <c r="H240" t="s">
        <v>128</v>
      </c>
    </row>
    <row r="242" spans="1:10" x14ac:dyDescent="0.3">
      <c r="A242" s="43" t="s">
        <v>42</v>
      </c>
      <c r="B242" s="43"/>
      <c r="C242" s="43"/>
      <c r="D242" s="43"/>
      <c r="E242" s="43"/>
      <c r="F242" s="43"/>
      <c r="G242" s="43"/>
      <c r="H242" s="43"/>
      <c r="I242" s="43"/>
      <c r="J242" s="43"/>
    </row>
    <row r="243" spans="1:10" x14ac:dyDescent="0.3">
      <c r="A243" s="24"/>
      <c r="B243" s="24"/>
      <c r="C243" s="43" t="s">
        <v>115</v>
      </c>
      <c r="D243" s="43"/>
      <c r="E243" s="43" t="s">
        <v>116</v>
      </c>
      <c r="F243" s="43"/>
      <c r="G243" s="43" t="s">
        <v>117</v>
      </c>
      <c r="H243" s="43"/>
      <c r="I243" s="43" t="s">
        <v>118</v>
      </c>
      <c r="J243" s="43"/>
    </row>
    <row r="244" spans="1:10" x14ac:dyDescent="0.3">
      <c r="A244" s="24" t="s">
        <v>103</v>
      </c>
      <c r="B244" s="10">
        <v>90</v>
      </c>
      <c r="C244" s="24" t="s">
        <v>114</v>
      </c>
      <c r="D244" s="38">
        <f>+B235</f>
        <v>455874.5625</v>
      </c>
      <c r="E244" s="24" t="s">
        <v>114</v>
      </c>
      <c r="F244" s="38">
        <f>+E235</f>
        <v>-455874.5625</v>
      </c>
      <c r="G244" s="24" t="s">
        <v>114</v>
      </c>
      <c r="H244" s="38">
        <f>+B238</f>
        <v>-455874.5625</v>
      </c>
      <c r="I244" s="24" t="s">
        <v>114</v>
      </c>
      <c r="J244" s="39">
        <f>+E238</f>
        <v>455874.5625</v>
      </c>
    </row>
    <row r="245" spans="1:10" x14ac:dyDescent="0.3">
      <c r="A245" s="24" t="s">
        <v>104</v>
      </c>
      <c r="B245" s="24">
        <f>SIN(RADIANS(B244))</f>
        <v>1</v>
      </c>
      <c r="C245" s="24" t="s">
        <v>112</v>
      </c>
      <c r="D245" s="38">
        <f>+C236</f>
        <v>79144.890263031324</v>
      </c>
      <c r="E245" s="24" t="s">
        <v>112</v>
      </c>
      <c r="F245" s="38">
        <f>+F236</f>
        <v>-79144.890263031324</v>
      </c>
      <c r="G245" s="24" t="s">
        <v>112</v>
      </c>
      <c r="H245" s="38">
        <f>+C239</f>
        <v>-79144.890263031324</v>
      </c>
      <c r="I245" s="24" t="s">
        <v>112</v>
      </c>
      <c r="J245" s="39">
        <f>+F239</f>
        <v>79144.890263031324</v>
      </c>
    </row>
    <row r="246" spans="1:10" x14ac:dyDescent="0.3">
      <c r="A246" s="24" t="s">
        <v>105</v>
      </c>
      <c r="B246" s="33">
        <f>COS(RADIANS(B244))</f>
        <v>6.1257422745431001E-17</v>
      </c>
      <c r="C246" s="24" t="s">
        <v>113</v>
      </c>
      <c r="D246" s="38">
        <f>+D237</f>
        <v>2374346707.8909397</v>
      </c>
      <c r="E246" s="24" t="s">
        <v>113</v>
      </c>
      <c r="F246" s="38">
        <f>+G237</f>
        <v>1187173353.9454699</v>
      </c>
      <c r="G246" s="24" t="s">
        <v>113</v>
      </c>
      <c r="H246" s="38">
        <f>+D240</f>
        <v>1187173353.9454699</v>
      </c>
      <c r="I246" s="24" t="s">
        <v>113</v>
      </c>
      <c r="J246" s="39">
        <f>+G240</f>
        <v>2374346707.8909397</v>
      </c>
    </row>
    <row r="247" spans="1:10" x14ac:dyDescent="0.3">
      <c r="A247" s="24"/>
      <c r="B247" s="24"/>
      <c r="C247" s="24" t="s">
        <v>18</v>
      </c>
      <c r="D247" s="38">
        <f>+D236</f>
        <v>11871733.539454699</v>
      </c>
      <c r="E247" s="24" t="s">
        <v>18</v>
      </c>
      <c r="F247" s="38">
        <f>+G236</f>
        <v>11871733.539454699</v>
      </c>
      <c r="G247" s="24" t="s">
        <v>18</v>
      </c>
      <c r="H247" s="38">
        <f>+D239</f>
        <v>-11871733.539454699</v>
      </c>
      <c r="I247" s="24" t="s">
        <v>18</v>
      </c>
      <c r="J247" s="39">
        <f>+G239</f>
        <v>-11871733.539454699</v>
      </c>
    </row>
    <row r="248" spans="1:10" x14ac:dyDescent="0.3">
      <c r="C248" s="24" t="s">
        <v>82</v>
      </c>
      <c r="D248" s="38">
        <f>+C237</f>
        <v>11871733.539454699</v>
      </c>
      <c r="E248" s="24" t="s">
        <v>82</v>
      </c>
      <c r="F248" s="38">
        <f>+F237</f>
        <v>-11871733.539454699</v>
      </c>
      <c r="G248" s="24" t="s">
        <v>82</v>
      </c>
      <c r="H248" s="38">
        <f>+C240</f>
        <v>11871733.539454699</v>
      </c>
      <c r="I248" s="24" t="s">
        <v>82</v>
      </c>
      <c r="J248" s="39">
        <f>+F240</f>
        <v>-11871733.539454699</v>
      </c>
    </row>
    <row r="249" spans="1:10" x14ac:dyDescent="0.3">
      <c r="H249" s="24"/>
      <c r="I249" s="24"/>
    </row>
    <row r="250" spans="1:10" x14ac:dyDescent="0.3">
      <c r="H250" s="24"/>
      <c r="I250" s="24"/>
    </row>
    <row r="251" spans="1:10" x14ac:dyDescent="0.3">
      <c r="H251" s="24"/>
      <c r="I251" s="24"/>
    </row>
    <row r="252" spans="1:10" x14ac:dyDescent="0.3">
      <c r="A252" t="str">
        <f>+A234</f>
        <v>k4</v>
      </c>
      <c r="B252" s="29" t="str">
        <f t="array" ref="B252:G252">B234:G234</f>
        <v>1x</v>
      </c>
      <c r="C252" s="29" t="str">
        <v>1z</v>
      </c>
      <c r="D252" s="29" t="str">
        <v>ϴ 1</v>
      </c>
      <c r="E252" s="29" t="str">
        <v>4x</v>
      </c>
      <c r="F252" s="29" t="str">
        <v>4z</v>
      </c>
      <c r="G252" s="29" t="str">
        <v>ϴ 4</v>
      </c>
      <c r="H252" s="24"/>
      <c r="I252" s="24"/>
    </row>
    <row r="253" spans="1:10" x14ac:dyDescent="0.3">
      <c r="A253" s="29" t="str">
        <f t="array" ref="A253:A258">+TRANSPOSE(B252:G252)</f>
        <v>1x</v>
      </c>
      <c r="B253" s="34">
        <f>(D244*B246*B246)+(D245*B245*B245)</f>
        <v>79144.890263031324</v>
      </c>
      <c r="C253" s="34">
        <f>(D244-D245)*B246*B245</f>
        <v>2.307748879296765E-11</v>
      </c>
      <c r="D253" s="34">
        <f>-D247*B245</f>
        <v>-11871733.539454699</v>
      </c>
      <c r="E253" s="35">
        <f>(F244*B246*B246)+(F245*B245*B245)</f>
        <v>-79144.890263031324</v>
      </c>
      <c r="F253" s="35">
        <f>(F244-F245)*B246*B245</f>
        <v>-2.307748879296765E-11</v>
      </c>
      <c r="G253" s="35">
        <f>-F247*B245</f>
        <v>-11871733.539454699</v>
      </c>
      <c r="H253" s="24"/>
      <c r="I253" s="24"/>
    </row>
    <row r="254" spans="1:10" x14ac:dyDescent="0.3">
      <c r="A254" s="29" t="str">
        <v>1z</v>
      </c>
      <c r="B254" s="34">
        <f>(D244-D245)*B246*B245</f>
        <v>2.307748879296765E-11</v>
      </c>
      <c r="C254" s="34">
        <f>(D244*B245*B245)+(D245*B246*B246)</f>
        <v>455874.5625</v>
      </c>
      <c r="D254" s="34">
        <f>D247*B246</f>
        <v>7.272318001474883E-10</v>
      </c>
      <c r="E254" s="35">
        <f>(F244-F245)*B246*B245</f>
        <v>-2.307748879296765E-11</v>
      </c>
      <c r="F254" s="35">
        <f>(F244*B245*B245)+(F245*B246*B246)</f>
        <v>-455874.5625</v>
      </c>
      <c r="G254" s="35">
        <f>F247*B246</f>
        <v>7.272318001474883E-10</v>
      </c>
      <c r="H254" s="24"/>
      <c r="I254" s="24"/>
    </row>
    <row r="255" spans="1:10" x14ac:dyDescent="0.3">
      <c r="A255" s="29" t="str">
        <v>ϴ 1</v>
      </c>
      <c r="B255" s="34">
        <f>-D248*B245</f>
        <v>-11871733.539454699</v>
      </c>
      <c r="C255" s="34">
        <f>D248*B246</f>
        <v>7.272318001474883E-10</v>
      </c>
      <c r="D255" s="34">
        <f>+D246</f>
        <v>2374346707.8909397</v>
      </c>
      <c r="E255" s="35">
        <f>-F248*B245</f>
        <v>11871733.539454699</v>
      </c>
      <c r="F255" s="35">
        <f>F248*B246</f>
        <v>-7.272318001474883E-10</v>
      </c>
      <c r="G255" s="35">
        <f>+F246</f>
        <v>1187173353.9454699</v>
      </c>
      <c r="H255" s="24"/>
      <c r="I255" s="24"/>
    </row>
    <row r="256" spans="1:10" x14ac:dyDescent="0.3">
      <c r="A256" s="29" t="str">
        <v>4x</v>
      </c>
      <c r="B256" s="36">
        <f>(H244*B246*B246)+(H245*B245*B245)</f>
        <v>-79144.890263031324</v>
      </c>
      <c r="C256" s="36">
        <f>(H244-H245)*B246*B245</f>
        <v>-2.307748879296765E-11</v>
      </c>
      <c r="D256" s="36">
        <f>-H247*B245</f>
        <v>11871733.539454699</v>
      </c>
      <c r="E256" s="37">
        <f>(J244*B246*B246)+(J245*B245*B245)</f>
        <v>79144.890263031324</v>
      </c>
      <c r="F256" s="37">
        <f>(J244-J245)*B246*B245</f>
        <v>2.307748879296765E-11</v>
      </c>
      <c r="G256" s="37">
        <f>-J247*B245</f>
        <v>11871733.539454699</v>
      </c>
      <c r="H256" s="24"/>
      <c r="I256" s="24"/>
    </row>
    <row r="257" spans="1:28" x14ac:dyDescent="0.3">
      <c r="A257" s="29" t="str">
        <v>4z</v>
      </c>
      <c r="B257" s="36">
        <f>(H245-H246)*B246*B245</f>
        <v>-7.2728028226749817E-8</v>
      </c>
      <c r="C257" s="36">
        <f>(H244*B245*B245)+(H245*B246*B246)</f>
        <v>-455874.5625</v>
      </c>
      <c r="D257" s="36">
        <f>+H247*B246</f>
        <v>-7.272318001474883E-10</v>
      </c>
      <c r="E257" s="37">
        <f>(J244-J245)*B246*B245</f>
        <v>2.307748879296765E-11</v>
      </c>
      <c r="F257" s="37">
        <f>(J244*B245*B245)+(J245*B246*B246)</f>
        <v>455874.5625</v>
      </c>
      <c r="G257" s="37">
        <f>-J247*B246</f>
        <v>7.272318001474883E-10</v>
      </c>
      <c r="H257" s="24"/>
      <c r="I257" s="24"/>
    </row>
    <row r="258" spans="1:28" x14ac:dyDescent="0.3">
      <c r="A258" s="29" t="str">
        <v>ϴ 4</v>
      </c>
      <c r="B258" s="36">
        <f>-H248*B245</f>
        <v>-11871733.539454699</v>
      </c>
      <c r="C258" s="36">
        <f>H248*B246</f>
        <v>7.272318001474883E-10</v>
      </c>
      <c r="D258" s="36">
        <f>+H246</f>
        <v>1187173353.9454699</v>
      </c>
      <c r="E258" s="37">
        <f>-J248*B245</f>
        <v>11871733.539454699</v>
      </c>
      <c r="F258" s="37">
        <f>J248*B246</f>
        <v>-7.272318001474883E-10</v>
      </c>
      <c r="G258" s="37">
        <f>+J246</f>
        <v>2374346707.8909397</v>
      </c>
      <c r="H258" s="24"/>
      <c r="I258" s="24"/>
    </row>
    <row r="259" spans="1:28" x14ac:dyDescent="0.3">
      <c r="A259" s="24"/>
      <c r="B259" s="24"/>
      <c r="C259" s="24"/>
      <c r="D259" s="24"/>
      <c r="E259" s="24"/>
      <c r="F259" s="24"/>
      <c r="G259" s="24"/>
      <c r="H259" s="24"/>
      <c r="I259" s="24"/>
    </row>
    <row r="260" spans="1:28" x14ac:dyDescent="0.3">
      <c r="A260" s="32"/>
      <c r="B260" s="32"/>
      <c r="C260" s="32"/>
      <c r="D260" s="32"/>
      <c r="E260" s="32"/>
      <c r="F260" s="32"/>
      <c r="G260" s="32"/>
      <c r="H260" s="32"/>
      <c r="I260" s="32"/>
    </row>
    <row r="261" spans="1:28" x14ac:dyDescent="0.3">
      <c r="A261" t="s">
        <v>37</v>
      </c>
      <c r="B261" s="31" t="s">
        <v>91</v>
      </c>
      <c r="C261" s="31" t="s">
        <v>92</v>
      </c>
      <c r="D261" s="31" t="s">
        <v>106</v>
      </c>
      <c r="E261" s="31" t="s">
        <v>95</v>
      </c>
      <c r="F261" s="31" t="s">
        <v>96</v>
      </c>
      <c r="G261" s="31" t="s">
        <v>108</v>
      </c>
      <c r="H261" s="31" t="s">
        <v>97</v>
      </c>
      <c r="I261" s="31" t="s">
        <v>98</v>
      </c>
      <c r="J261" s="31" t="s">
        <v>109</v>
      </c>
      <c r="K261" s="31" t="s">
        <v>99</v>
      </c>
      <c r="L261" s="31" t="s">
        <v>100</v>
      </c>
      <c r="M261" s="31" t="s">
        <v>110</v>
      </c>
      <c r="N261" s="31" t="s">
        <v>133</v>
      </c>
      <c r="O261" s="31" t="s">
        <v>134</v>
      </c>
      <c r="P261" s="31" t="s">
        <v>135</v>
      </c>
      <c r="Q261" s="31" t="s">
        <v>136</v>
      </c>
      <c r="R261" s="31" t="s">
        <v>137</v>
      </c>
      <c r="S261" s="31" t="s">
        <v>138</v>
      </c>
      <c r="T261" s="31" t="s">
        <v>94</v>
      </c>
      <c r="U261" s="31" t="s">
        <v>93</v>
      </c>
      <c r="V261" s="31" t="s">
        <v>107</v>
      </c>
      <c r="W261" s="31" t="s">
        <v>101</v>
      </c>
      <c r="X261" s="31" t="s">
        <v>102</v>
      </c>
      <c r="Y261" s="31" t="s">
        <v>111</v>
      </c>
      <c r="Z261" s="31" t="s">
        <v>139</v>
      </c>
      <c r="AA261" s="31" t="s">
        <v>140</v>
      </c>
      <c r="AB261" s="31" t="s">
        <v>141</v>
      </c>
    </row>
    <row r="262" spans="1:28" x14ac:dyDescent="0.3">
      <c r="A262" s="31" t="str">
        <f t="array" ref="A262:A288">TRANSPOSE(B261:AB261)</f>
        <v>1x</v>
      </c>
      <c r="B262" s="53">
        <f t="array" ref="B262:D264">B253:D255</f>
        <v>79144.890263031324</v>
      </c>
      <c r="C262" s="53">
        <v>2.307748879296765E-11</v>
      </c>
      <c r="D262" s="53">
        <v>-11871733.539454699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f t="array" ref="K262:M264">E253:G255</f>
        <v>-79144.890263031324</v>
      </c>
      <c r="L262" s="53">
        <v>-2.307748879296765E-11</v>
      </c>
      <c r="M262" s="53">
        <v>-11871733.539454699</v>
      </c>
      <c r="N262" s="53">
        <v>0</v>
      </c>
      <c r="O262" s="53">
        <v>0</v>
      </c>
      <c r="P262" s="53">
        <v>0</v>
      </c>
      <c r="Q262" s="53">
        <v>0</v>
      </c>
      <c r="R262" s="53">
        <v>0</v>
      </c>
      <c r="S262" s="53">
        <v>0</v>
      </c>
      <c r="T262" s="53">
        <v>0</v>
      </c>
      <c r="U262" s="53">
        <v>0</v>
      </c>
      <c r="V262" s="53">
        <v>0</v>
      </c>
      <c r="W262" s="53">
        <v>0</v>
      </c>
      <c r="X262" s="53">
        <v>0</v>
      </c>
      <c r="Y262" s="53">
        <v>0</v>
      </c>
      <c r="Z262" s="53">
        <v>0</v>
      </c>
      <c r="AA262" s="53">
        <v>0</v>
      </c>
      <c r="AB262" s="53">
        <v>0</v>
      </c>
    </row>
    <row r="263" spans="1:28" x14ac:dyDescent="0.3">
      <c r="A263" s="31" t="str">
        <v>1z</v>
      </c>
      <c r="B263" s="53">
        <v>2.307748879296765E-11</v>
      </c>
      <c r="C263" s="53">
        <v>455874.5625</v>
      </c>
      <c r="D263" s="53">
        <v>7.272318001474883E-10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-2.307748879296765E-11</v>
      </c>
      <c r="L263" s="53">
        <v>-455874.5625</v>
      </c>
      <c r="M263" s="53">
        <v>7.272318001474883E-10</v>
      </c>
      <c r="N263" s="53">
        <v>0</v>
      </c>
      <c r="O263" s="53">
        <v>0</v>
      </c>
      <c r="P263" s="53">
        <v>0</v>
      </c>
      <c r="Q263" s="53">
        <v>0</v>
      </c>
      <c r="R263" s="53">
        <v>0</v>
      </c>
      <c r="S263" s="53">
        <v>0</v>
      </c>
      <c r="T263" s="53">
        <v>0</v>
      </c>
      <c r="U263" s="53">
        <v>0</v>
      </c>
      <c r="V263" s="53">
        <v>0</v>
      </c>
      <c r="W263" s="53">
        <v>0</v>
      </c>
      <c r="X263" s="53">
        <v>0</v>
      </c>
      <c r="Y263" s="53">
        <v>0</v>
      </c>
      <c r="Z263" s="53">
        <v>0</v>
      </c>
      <c r="AA263" s="53">
        <v>0</v>
      </c>
      <c r="AB263" s="53">
        <v>0</v>
      </c>
    </row>
    <row r="264" spans="1:28" x14ac:dyDescent="0.3">
      <c r="A264" s="31" t="str">
        <v>ϴ 1</v>
      </c>
      <c r="B264" s="53">
        <v>-11871733.539454699</v>
      </c>
      <c r="C264" s="53">
        <v>7.272318001474883E-10</v>
      </c>
      <c r="D264" s="53">
        <v>2374346707.8909397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11871733.539454699</v>
      </c>
      <c r="L264" s="53">
        <v>-7.272318001474883E-10</v>
      </c>
      <c r="M264" s="53">
        <v>1187173353.9454699</v>
      </c>
      <c r="N264" s="53">
        <v>0</v>
      </c>
      <c r="O264" s="53">
        <v>0</v>
      </c>
      <c r="P264" s="53">
        <v>0</v>
      </c>
      <c r="Q264" s="53">
        <v>0</v>
      </c>
      <c r="R264" s="53">
        <v>0</v>
      </c>
      <c r="S264" s="53">
        <v>0</v>
      </c>
      <c r="T264" s="53">
        <v>0</v>
      </c>
      <c r="U264" s="53">
        <v>0</v>
      </c>
      <c r="V264" s="53">
        <v>0</v>
      </c>
      <c r="W264" s="53">
        <v>0</v>
      </c>
      <c r="X264" s="53">
        <v>0</v>
      </c>
      <c r="Y264" s="53">
        <v>0</v>
      </c>
      <c r="Z264" s="53">
        <v>0</v>
      </c>
      <c r="AA264" s="53">
        <v>0</v>
      </c>
      <c r="AB264" s="53">
        <v>0</v>
      </c>
    </row>
    <row r="265" spans="1:28" x14ac:dyDescent="0.3">
      <c r="A265" s="31" t="str">
        <v>2x</v>
      </c>
      <c r="B265" s="53">
        <v>0</v>
      </c>
      <c r="C265" s="53">
        <v>0</v>
      </c>
      <c r="D265" s="53">
        <v>0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  <c r="N265" s="53">
        <v>0</v>
      </c>
      <c r="O265" s="53">
        <v>0</v>
      </c>
      <c r="P265" s="53">
        <v>0</v>
      </c>
      <c r="Q265" s="53">
        <v>0</v>
      </c>
      <c r="R265" s="53">
        <v>0</v>
      </c>
      <c r="S265" s="53">
        <v>0</v>
      </c>
      <c r="T265" s="53">
        <v>0</v>
      </c>
      <c r="U265" s="53">
        <v>0</v>
      </c>
      <c r="V265" s="53">
        <v>0</v>
      </c>
      <c r="W265" s="53">
        <v>0</v>
      </c>
      <c r="X265" s="53">
        <v>0</v>
      </c>
      <c r="Y265" s="53">
        <v>0</v>
      </c>
      <c r="Z265" s="53">
        <v>0</v>
      </c>
      <c r="AA265" s="53">
        <v>0</v>
      </c>
      <c r="AB265" s="53">
        <v>0</v>
      </c>
    </row>
    <row r="266" spans="1:28" x14ac:dyDescent="0.3">
      <c r="A266" s="31" t="str">
        <v>2z</v>
      </c>
      <c r="B266" s="53">
        <v>0</v>
      </c>
      <c r="C266" s="53">
        <v>0</v>
      </c>
      <c r="D266" s="53">
        <v>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  <c r="N266" s="53">
        <v>0</v>
      </c>
      <c r="O266" s="53">
        <v>0</v>
      </c>
      <c r="P266" s="53">
        <v>0</v>
      </c>
      <c r="Q266" s="53">
        <v>0</v>
      </c>
      <c r="R266" s="53">
        <v>0</v>
      </c>
      <c r="S266" s="53">
        <v>0</v>
      </c>
      <c r="T266" s="53">
        <v>0</v>
      </c>
      <c r="U266" s="53">
        <v>0</v>
      </c>
      <c r="V266" s="53">
        <v>0</v>
      </c>
      <c r="W266" s="53">
        <v>0</v>
      </c>
      <c r="X266" s="53">
        <v>0</v>
      </c>
      <c r="Y266" s="53">
        <v>0</v>
      </c>
      <c r="Z266" s="53">
        <v>0</v>
      </c>
      <c r="AA266" s="53">
        <v>0</v>
      </c>
      <c r="AB266" s="53">
        <v>0</v>
      </c>
    </row>
    <row r="267" spans="1:28" x14ac:dyDescent="0.3">
      <c r="A267" s="31" t="str">
        <v>ϴ 2</v>
      </c>
      <c r="B267" s="53">
        <v>0</v>
      </c>
      <c r="C267" s="53">
        <v>0</v>
      </c>
      <c r="D267" s="53">
        <v>0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  <c r="N267" s="53">
        <v>0</v>
      </c>
      <c r="O267" s="53">
        <v>0</v>
      </c>
      <c r="P267" s="53">
        <v>0</v>
      </c>
      <c r="Q267" s="53">
        <v>0</v>
      </c>
      <c r="R267" s="53">
        <v>0</v>
      </c>
      <c r="S267" s="53">
        <v>0</v>
      </c>
      <c r="T267" s="53">
        <v>0</v>
      </c>
      <c r="U267" s="53">
        <v>0</v>
      </c>
      <c r="V267" s="53">
        <v>0</v>
      </c>
      <c r="W267" s="53">
        <v>0</v>
      </c>
      <c r="X267" s="53">
        <v>0</v>
      </c>
      <c r="Y267" s="53">
        <v>0</v>
      </c>
      <c r="Z267" s="53">
        <v>0</v>
      </c>
      <c r="AA267" s="53">
        <v>0</v>
      </c>
      <c r="AB267" s="53">
        <v>0</v>
      </c>
    </row>
    <row r="268" spans="1:28" x14ac:dyDescent="0.3">
      <c r="A268" s="31" t="str">
        <v>3x</v>
      </c>
      <c r="B268" s="53">
        <v>0</v>
      </c>
      <c r="C268" s="53">
        <v>0</v>
      </c>
      <c r="D268" s="53">
        <v>0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  <c r="N268" s="53">
        <v>0</v>
      </c>
      <c r="O268" s="53">
        <v>0</v>
      </c>
      <c r="P268" s="53">
        <v>0</v>
      </c>
      <c r="Q268" s="53">
        <v>0</v>
      </c>
      <c r="R268" s="53">
        <v>0</v>
      </c>
      <c r="S268" s="53">
        <v>0</v>
      </c>
      <c r="T268" s="53">
        <v>0</v>
      </c>
      <c r="U268" s="53">
        <v>0</v>
      </c>
      <c r="V268" s="53">
        <v>0</v>
      </c>
      <c r="W268" s="53">
        <v>0</v>
      </c>
      <c r="X268" s="53">
        <v>0</v>
      </c>
      <c r="Y268" s="53">
        <v>0</v>
      </c>
      <c r="Z268" s="53">
        <v>0</v>
      </c>
      <c r="AA268" s="53">
        <v>0</v>
      </c>
      <c r="AB268" s="53">
        <v>0</v>
      </c>
    </row>
    <row r="269" spans="1:28" x14ac:dyDescent="0.3">
      <c r="A269" s="31" t="str">
        <v>3z</v>
      </c>
      <c r="B269" s="53">
        <v>0</v>
      </c>
      <c r="C269" s="53">
        <v>0</v>
      </c>
      <c r="D269" s="53">
        <v>0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  <c r="N269" s="53">
        <v>0</v>
      </c>
      <c r="O269" s="53">
        <v>0</v>
      </c>
      <c r="P269" s="53">
        <v>0</v>
      </c>
      <c r="Q269" s="53">
        <v>0</v>
      </c>
      <c r="R269" s="53">
        <v>0</v>
      </c>
      <c r="S269" s="53">
        <v>0</v>
      </c>
      <c r="T269" s="53">
        <v>0</v>
      </c>
      <c r="U269" s="53">
        <v>0</v>
      </c>
      <c r="V269" s="53">
        <v>0</v>
      </c>
      <c r="W269" s="53">
        <v>0</v>
      </c>
      <c r="X269" s="53">
        <v>0</v>
      </c>
      <c r="Y269" s="53">
        <v>0</v>
      </c>
      <c r="Z269" s="53">
        <v>0</v>
      </c>
      <c r="AA269" s="53">
        <v>0</v>
      </c>
      <c r="AB269" s="53">
        <v>0</v>
      </c>
    </row>
    <row r="270" spans="1:28" x14ac:dyDescent="0.3">
      <c r="A270" s="31" t="str">
        <v>ϴ 3</v>
      </c>
      <c r="B270" s="53">
        <v>0</v>
      </c>
      <c r="C270" s="53">
        <v>0</v>
      </c>
      <c r="D270" s="53">
        <v>0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  <c r="N270" s="53">
        <v>0</v>
      </c>
      <c r="O270" s="53">
        <v>0</v>
      </c>
      <c r="P270" s="53">
        <v>0</v>
      </c>
      <c r="Q270" s="53">
        <v>0</v>
      </c>
      <c r="R270" s="53">
        <v>0</v>
      </c>
      <c r="S270" s="53">
        <v>0</v>
      </c>
      <c r="T270" s="53">
        <v>0</v>
      </c>
      <c r="U270" s="53">
        <v>0</v>
      </c>
      <c r="V270" s="53">
        <v>0</v>
      </c>
      <c r="W270" s="53">
        <v>0</v>
      </c>
      <c r="X270" s="53">
        <v>0</v>
      </c>
      <c r="Y270" s="53">
        <v>0</v>
      </c>
      <c r="Z270" s="53">
        <v>0</v>
      </c>
      <c r="AA270" s="53">
        <v>0</v>
      </c>
      <c r="AB270" s="53">
        <v>0</v>
      </c>
    </row>
    <row r="271" spans="1:28" x14ac:dyDescent="0.3">
      <c r="A271" s="31" t="str">
        <v>4x</v>
      </c>
      <c r="B271" s="53">
        <f t="array" ref="B271:D273">B256:D258</f>
        <v>-79144.890263031324</v>
      </c>
      <c r="C271" s="53">
        <v>-2.307748879296765E-11</v>
      </c>
      <c r="D271" s="53">
        <v>11871733.539454699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f t="array" ref="K271:M273">E256:G258</f>
        <v>79144.890263031324</v>
      </c>
      <c r="L271" s="53">
        <v>2.307748879296765E-11</v>
      </c>
      <c r="M271" s="53">
        <v>11871733.539454699</v>
      </c>
      <c r="N271" s="53">
        <v>0</v>
      </c>
      <c r="O271" s="53">
        <v>0</v>
      </c>
      <c r="P271" s="53">
        <v>0</v>
      </c>
      <c r="Q271" s="53">
        <v>0</v>
      </c>
      <c r="R271" s="53">
        <v>0</v>
      </c>
      <c r="S271" s="53">
        <v>0</v>
      </c>
      <c r="T271" s="53">
        <v>0</v>
      </c>
      <c r="U271" s="53">
        <v>0</v>
      </c>
      <c r="V271" s="53">
        <v>0</v>
      </c>
      <c r="W271" s="53">
        <v>0</v>
      </c>
      <c r="X271" s="53">
        <v>0</v>
      </c>
      <c r="Y271" s="53">
        <v>0</v>
      </c>
      <c r="Z271" s="53">
        <v>0</v>
      </c>
      <c r="AA271" s="53">
        <v>0</v>
      </c>
      <c r="AB271" s="53">
        <v>0</v>
      </c>
    </row>
    <row r="272" spans="1:28" x14ac:dyDescent="0.3">
      <c r="A272" s="31" t="str">
        <v>4z</v>
      </c>
      <c r="B272" s="53">
        <v>-7.2728028226749817E-8</v>
      </c>
      <c r="C272" s="53">
        <v>-455874.5625</v>
      </c>
      <c r="D272" s="53">
        <v>-7.272318001474883E-10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2.307748879296765E-11</v>
      </c>
      <c r="L272" s="53">
        <v>455874.5625</v>
      </c>
      <c r="M272" s="53">
        <v>7.272318001474883E-10</v>
      </c>
      <c r="N272" s="53">
        <v>0</v>
      </c>
      <c r="O272" s="53">
        <v>0</v>
      </c>
      <c r="P272" s="53">
        <v>0</v>
      </c>
      <c r="Q272" s="53">
        <v>0</v>
      </c>
      <c r="R272" s="53">
        <v>0</v>
      </c>
      <c r="S272" s="53">
        <v>0</v>
      </c>
      <c r="T272" s="53">
        <v>0</v>
      </c>
      <c r="U272" s="53">
        <v>0</v>
      </c>
      <c r="V272" s="53">
        <v>0</v>
      </c>
      <c r="W272" s="53">
        <v>0</v>
      </c>
      <c r="X272" s="53">
        <v>0</v>
      </c>
      <c r="Y272" s="53">
        <v>0</v>
      </c>
      <c r="Z272" s="53">
        <v>0</v>
      </c>
      <c r="AA272" s="53">
        <v>0</v>
      </c>
      <c r="AB272" s="53">
        <v>0</v>
      </c>
    </row>
    <row r="273" spans="1:28" x14ac:dyDescent="0.3">
      <c r="A273" s="31" t="str">
        <v>ϴ 4</v>
      </c>
      <c r="B273" s="53">
        <v>-11871733.539454699</v>
      </c>
      <c r="C273" s="53">
        <v>7.272318001474883E-10</v>
      </c>
      <c r="D273" s="53">
        <v>1187173353.9454699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11871733.539454699</v>
      </c>
      <c r="L273" s="53">
        <v>-7.272318001474883E-10</v>
      </c>
      <c r="M273" s="53">
        <v>2374346707.8909397</v>
      </c>
      <c r="N273" s="53">
        <v>0</v>
      </c>
      <c r="O273" s="53">
        <v>0</v>
      </c>
      <c r="P273" s="53">
        <v>0</v>
      </c>
      <c r="Q273" s="53">
        <v>0</v>
      </c>
      <c r="R273" s="53">
        <v>0</v>
      </c>
      <c r="S273" s="53">
        <v>0</v>
      </c>
      <c r="T273" s="53">
        <v>0</v>
      </c>
      <c r="U273" s="53">
        <v>0</v>
      </c>
      <c r="V273" s="53">
        <v>0</v>
      </c>
      <c r="W273" s="53">
        <v>0</v>
      </c>
      <c r="X273" s="53">
        <v>0</v>
      </c>
      <c r="Y273" s="53">
        <v>0</v>
      </c>
      <c r="Z273" s="53">
        <v>0</v>
      </c>
      <c r="AA273" s="53">
        <v>0</v>
      </c>
      <c r="AB273" s="53">
        <v>0</v>
      </c>
    </row>
    <row r="274" spans="1:28" x14ac:dyDescent="0.3">
      <c r="A274" s="31" t="str">
        <v>5x</v>
      </c>
      <c r="B274" s="53">
        <v>0</v>
      </c>
      <c r="C274" s="53">
        <v>0</v>
      </c>
      <c r="D274" s="53">
        <v>0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  <c r="N274" s="53">
        <v>0</v>
      </c>
      <c r="O274" s="53">
        <v>0</v>
      </c>
      <c r="P274" s="53">
        <v>0</v>
      </c>
      <c r="Q274" s="53">
        <v>0</v>
      </c>
      <c r="R274" s="53">
        <v>0</v>
      </c>
      <c r="S274" s="53">
        <v>0</v>
      </c>
      <c r="T274" s="53">
        <v>0</v>
      </c>
      <c r="U274" s="53">
        <v>0</v>
      </c>
      <c r="V274" s="53">
        <v>0</v>
      </c>
      <c r="W274" s="53">
        <v>0</v>
      </c>
      <c r="X274" s="53">
        <v>0</v>
      </c>
      <c r="Y274" s="53">
        <v>0</v>
      </c>
      <c r="Z274" s="53">
        <v>0</v>
      </c>
      <c r="AA274" s="53">
        <v>0</v>
      </c>
      <c r="AB274" s="53">
        <v>0</v>
      </c>
    </row>
    <row r="275" spans="1:28" x14ac:dyDescent="0.3">
      <c r="A275" s="31" t="str">
        <v>5z</v>
      </c>
      <c r="B275" s="53">
        <v>0</v>
      </c>
      <c r="C275" s="53">
        <v>0</v>
      </c>
      <c r="D275" s="53">
        <v>0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  <c r="N275" s="53">
        <v>0</v>
      </c>
      <c r="O275" s="53">
        <v>0</v>
      </c>
      <c r="P275" s="53">
        <v>0</v>
      </c>
      <c r="Q275" s="53">
        <v>0</v>
      </c>
      <c r="R275" s="53">
        <v>0</v>
      </c>
      <c r="S275" s="53">
        <v>0</v>
      </c>
      <c r="T275" s="53">
        <v>0</v>
      </c>
      <c r="U275" s="53">
        <v>0</v>
      </c>
      <c r="V275" s="53">
        <v>0</v>
      </c>
      <c r="W275" s="53">
        <v>0</v>
      </c>
      <c r="X275" s="53">
        <v>0</v>
      </c>
      <c r="Y275" s="53">
        <v>0</v>
      </c>
      <c r="Z275" s="53">
        <v>0</v>
      </c>
      <c r="AA275" s="53">
        <v>0</v>
      </c>
      <c r="AB275" s="53">
        <v>0</v>
      </c>
    </row>
    <row r="276" spans="1:28" x14ac:dyDescent="0.3">
      <c r="A276" s="31" t="str">
        <v>ϴ 5</v>
      </c>
      <c r="B276" s="53">
        <v>0</v>
      </c>
      <c r="C276" s="53">
        <v>0</v>
      </c>
      <c r="D276" s="53">
        <v>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  <c r="N276" s="53">
        <v>0</v>
      </c>
      <c r="O276" s="53">
        <v>0</v>
      </c>
      <c r="P276" s="53">
        <v>0</v>
      </c>
      <c r="Q276" s="53">
        <v>0</v>
      </c>
      <c r="R276" s="53">
        <v>0</v>
      </c>
      <c r="S276" s="53">
        <v>0</v>
      </c>
      <c r="T276" s="53">
        <v>0</v>
      </c>
      <c r="U276" s="53">
        <v>0</v>
      </c>
      <c r="V276" s="53">
        <v>0</v>
      </c>
      <c r="W276" s="53">
        <v>0</v>
      </c>
      <c r="X276" s="53">
        <v>0</v>
      </c>
      <c r="Y276" s="53">
        <v>0</v>
      </c>
      <c r="Z276" s="53">
        <v>0</v>
      </c>
      <c r="AA276" s="53">
        <v>0</v>
      </c>
      <c r="AB276" s="53">
        <v>0</v>
      </c>
    </row>
    <row r="277" spans="1:28" x14ac:dyDescent="0.3">
      <c r="A277" s="31" t="str">
        <v>6x</v>
      </c>
      <c r="B277" s="53">
        <v>0</v>
      </c>
      <c r="C277" s="53">
        <v>0</v>
      </c>
      <c r="D277" s="53">
        <v>0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  <c r="N277" s="53">
        <v>0</v>
      </c>
      <c r="O277" s="53">
        <v>0</v>
      </c>
      <c r="P277" s="53">
        <v>0</v>
      </c>
      <c r="Q277" s="53">
        <v>0</v>
      </c>
      <c r="R277" s="53">
        <v>0</v>
      </c>
      <c r="S277" s="53">
        <v>0</v>
      </c>
      <c r="T277" s="53">
        <v>0</v>
      </c>
      <c r="U277" s="53">
        <v>0</v>
      </c>
      <c r="V277" s="53">
        <v>0</v>
      </c>
      <c r="W277" s="53">
        <v>0</v>
      </c>
      <c r="X277" s="53">
        <v>0</v>
      </c>
      <c r="Y277" s="53">
        <v>0</v>
      </c>
      <c r="Z277" s="53">
        <v>0</v>
      </c>
      <c r="AA277" s="53">
        <v>0</v>
      </c>
      <c r="AB277" s="53">
        <v>0</v>
      </c>
    </row>
    <row r="278" spans="1:28" x14ac:dyDescent="0.3">
      <c r="A278" s="31" t="str">
        <v>6z</v>
      </c>
      <c r="B278" s="53">
        <v>0</v>
      </c>
      <c r="C278" s="53">
        <v>0</v>
      </c>
      <c r="D278" s="53">
        <v>0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  <c r="N278" s="53">
        <v>0</v>
      </c>
      <c r="O278" s="53">
        <v>0</v>
      </c>
      <c r="P278" s="53">
        <v>0</v>
      </c>
      <c r="Q278" s="53">
        <v>0</v>
      </c>
      <c r="R278" s="53">
        <v>0</v>
      </c>
      <c r="S278" s="53">
        <v>0</v>
      </c>
      <c r="T278" s="53">
        <v>0</v>
      </c>
      <c r="U278" s="53">
        <v>0</v>
      </c>
      <c r="V278" s="53">
        <v>0</v>
      </c>
      <c r="W278" s="53">
        <v>0</v>
      </c>
      <c r="X278" s="53">
        <v>0</v>
      </c>
      <c r="Y278" s="53">
        <v>0</v>
      </c>
      <c r="Z278" s="53">
        <v>0</v>
      </c>
      <c r="AA278" s="53">
        <v>0</v>
      </c>
      <c r="AB278" s="53">
        <v>0</v>
      </c>
    </row>
    <row r="279" spans="1:28" x14ac:dyDescent="0.3">
      <c r="A279" s="31" t="str">
        <v>ϴ 6</v>
      </c>
      <c r="B279" s="53">
        <v>0</v>
      </c>
      <c r="C279" s="53">
        <v>0</v>
      </c>
      <c r="D279" s="53">
        <v>0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  <c r="N279" s="53">
        <v>0</v>
      </c>
      <c r="O279" s="53">
        <v>0</v>
      </c>
      <c r="P279" s="53">
        <v>0</v>
      </c>
      <c r="Q279" s="53">
        <v>0</v>
      </c>
      <c r="R279" s="53">
        <v>0</v>
      </c>
      <c r="S279" s="53">
        <v>0</v>
      </c>
      <c r="T279" s="53">
        <v>0</v>
      </c>
      <c r="U279" s="53">
        <v>0</v>
      </c>
      <c r="V279" s="53">
        <v>0</v>
      </c>
      <c r="W279" s="53">
        <v>0</v>
      </c>
      <c r="X279" s="53">
        <v>0</v>
      </c>
      <c r="Y279" s="53">
        <v>0</v>
      </c>
      <c r="Z279" s="53">
        <v>0</v>
      </c>
      <c r="AA279" s="53">
        <v>0</v>
      </c>
      <c r="AB279" s="53">
        <v>0</v>
      </c>
    </row>
    <row r="280" spans="1:28" x14ac:dyDescent="0.3">
      <c r="A280" s="31" t="str">
        <v>ax</v>
      </c>
      <c r="B280" s="53">
        <v>0</v>
      </c>
      <c r="C280" s="53">
        <v>0</v>
      </c>
      <c r="D280" s="53">
        <v>0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  <c r="N280" s="53">
        <v>0</v>
      </c>
      <c r="O280" s="53">
        <v>0</v>
      </c>
      <c r="P280" s="53">
        <v>0</v>
      </c>
      <c r="Q280" s="53">
        <v>0</v>
      </c>
      <c r="R280" s="53">
        <v>0</v>
      </c>
      <c r="S280" s="53">
        <v>0</v>
      </c>
      <c r="T280" s="53">
        <v>0</v>
      </c>
      <c r="U280" s="53">
        <v>0</v>
      </c>
      <c r="V280" s="53">
        <v>0</v>
      </c>
      <c r="W280" s="53">
        <v>0</v>
      </c>
      <c r="X280" s="53">
        <v>0</v>
      </c>
      <c r="Y280" s="53">
        <v>0</v>
      </c>
      <c r="Z280" s="53">
        <v>0</v>
      </c>
      <c r="AA280" s="53">
        <v>0</v>
      </c>
      <c r="AB280" s="53">
        <v>0</v>
      </c>
    </row>
    <row r="281" spans="1:28" x14ac:dyDescent="0.3">
      <c r="A281" s="31" t="str">
        <v>az</v>
      </c>
      <c r="B281" s="53">
        <v>0</v>
      </c>
      <c r="C281" s="53">
        <v>0</v>
      </c>
      <c r="D281" s="53">
        <v>0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  <c r="N281" s="53">
        <v>0</v>
      </c>
      <c r="O281" s="53">
        <v>0</v>
      </c>
      <c r="P281" s="53">
        <v>0</v>
      </c>
      <c r="Q281" s="53">
        <v>0</v>
      </c>
      <c r="R281" s="53">
        <v>0</v>
      </c>
      <c r="S281" s="53">
        <v>0</v>
      </c>
      <c r="T281" s="53">
        <v>0</v>
      </c>
      <c r="U281" s="53">
        <v>0</v>
      </c>
      <c r="V281" s="53">
        <v>0</v>
      </c>
      <c r="W281" s="53">
        <v>0</v>
      </c>
      <c r="X281" s="53">
        <v>0</v>
      </c>
      <c r="Y281" s="53">
        <v>0</v>
      </c>
      <c r="Z281" s="53">
        <v>0</v>
      </c>
      <c r="AA281" s="53">
        <v>0</v>
      </c>
      <c r="AB281" s="53">
        <v>0</v>
      </c>
    </row>
    <row r="282" spans="1:28" x14ac:dyDescent="0.3">
      <c r="A282" s="31" t="str">
        <v>ϴ a</v>
      </c>
      <c r="B282" s="53">
        <v>0</v>
      </c>
      <c r="C282" s="53">
        <v>0</v>
      </c>
      <c r="D282" s="53">
        <v>0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  <c r="N282" s="53">
        <v>0</v>
      </c>
      <c r="O282" s="53">
        <v>0</v>
      </c>
      <c r="P282" s="53">
        <v>0</v>
      </c>
      <c r="Q282" s="53">
        <v>0</v>
      </c>
      <c r="R282" s="53">
        <v>0</v>
      </c>
      <c r="S282" s="53">
        <v>0</v>
      </c>
      <c r="T282" s="53">
        <v>0</v>
      </c>
      <c r="U282" s="53">
        <v>0</v>
      </c>
      <c r="V282" s="53">
        <v>0</v>
      </c>
      <c r="W282" s="53">
        <v>0</v>
      </c>
      <c r="X282" s="53">
        <v>0</v>
      </c>
      <c r="Y282" s="53">
        <v>0</v>
      </c>
      <c r="Z282" s="53">
        <v>0</v>
      </c>
      <c r="AA282" s="53">
        <v>0</v>
      </c>
      <c r="AB282" s="53">
        <v>0</v>
      </c>
    </row>
    <row r="283" spans="1:28" x14ac:dyDescent="0.3">
      <c r="A283" s="31" t="str">
        <v>bx</v>
      </c>
      <c r="B283" s="53">
        <v>0</v>
      </c>
      <c r="C283" s="53">
        <v>0</v>
      </c>
      <c r="D283" s="53">
        <v>0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  <c r="N283" s="53">
        <v>0</v>
      </c>
      <c r="O283" s="53">
        <v>0</v>
      </c>
      <c r="P283" s="53">
        <v>0</v>
      </c>
      <c r="Q283" s="53">
        <v>0</v>
      </c>
      <c r="R283" s="53">
        <v>0</v>
      </c>
      <c r="S283" s="53">
        <v>0</v>
      </c>
      <c r="T283" s="53">
        <v>0</v>
      </c>
      <c r="U283" s="53">
        <v>0</v>
      </c>
      <c r="V283" s="53">
        <v>0</v>
      </c>
      <c r="W283" s="53">
        <v>0</v>
      </c>
      <c r="X283" s="53">
        <v>0</v>
      </c>
      <c r="Y283" s="53">
        <v>0</v>
      </c>
      <c r="Z283" s="53">
        <v>0</v>
      </c>
      <c r="AA283" s="53">
        <v>0</v>
      </c>
      <c r="AB283" s="53">
        <v>0</v>
      </c>
    </row>
    <row r="284" spans="1:28" x14ac:dyDescent="0.3">
      <c r="A284" s="31" t="str">
        <v>bz</v>
      </c>
      <c r="B284" s="53">
        <v>0</v>
      </c>
      <c r="C284" s="53">
        <v>0</v>
      </c>
      <c r="D284" s="53">
        <v>0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  <c r="N284" s="53">
        <v>0</v>
      </c>
      <c r="O284" s="53">
        <v>0</v>
      </c>
      <c r="P284" s="53">
        <v>0</v>
      </c>
      <c r="Q284" s="53">
        <v>0</v>
      </c>
      <c r="R284" s="53">
        <v>0</v>
      </c>
      <c r="S284" s="53">
        <v>0</v>
      </c>
      <c r="T284" s="53">
        <v>0</v>
      </c>
      <c r="U284" s="53">
        <v>0</v>
      </c>
      <c r="V284" s="53">
        <v>0</v>
      </c>
      <c r="W284" s="53">
        <v>0</v>
      </c>
      <c r="X284" s="53">
        <v>0</v>
      </c>
      <c r="Y284" s="53">
        <v>0</v>
      </c>
      <c r="Z284" s="53">
        <v>0</v>
      </c>
      <c r="AA284" s="53">
        <v>0</v>
      </c>
      <c r="AB284" s="53">
        <v>0</v>
      </c>
    </row>
    <row r="285" spans="1:28" x14ac:dyDescent="0.3">
      <c r="A285" s="31" t="str">
        <v>ϴ b</v>
      </c>
      <c r="B285" s="53">
        <v>0</v>
      </c>
      <c r="C285" s="53">
        <v>0</v>
      </c>
      <c r="D285" s="53">
        <v>0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  <c r="N285" s="53">
        <v>0</v>
      </c>
      <c r="O285" s="53">
        <v>0</v>
      </c>
      <c r="P285" s="53">
        <v>0</v>
      </c>
      <c r="Q285" s="53">
        <v>0</v>
      </c>
      <c r="R285" s="53">
        <v>0</v>
      </c>
      <c r="S285" s="53">
        <v>0</v>
      </c>
      <c r="T285" s="53">
        <v>0</v>
      </c>
      <c r="U285" s="53">
        <v>0</v>
      </c>
      <c r="V285" s="53">
        <v>0</v>
      </c>
      <c r="W285" s="53">
        <v>0</v>
      </c>
      <c r="X285" s="53">
        <v>0</v>
      </c>
      <c r="Y285" s="53">
        <v>0</v>
      </c>
      <c r="Z285" s="53">
        <v>0</v>
      </c>
      <c r="AA285" s="53">
        <v>0</v>
      </c>
      <c r="AB285" s="53">
        <v>0</v>
      </c>
    </row>
    <row r="286" spans="1:28" x14ac:dyDescent="0.3">
      <c r="A286" s="31" t="str">
        <v>cx</v>
      </c>
      <c r="B286" s="53">
        <v>0</v>
      </c>
      <c r="C286" s="53">
        <v>0</v>
      </c>
      <c r="D286" s="53">
        <v>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  <c r="N286" s="53">
        <v>0</v>
      </c>
      <c r="O286" s="53">
        <v>0</v>
      </c>
      <c r="P286" s="53">
        <v>0</v>
      </c>
      <c r="Q286" s="53">
        <v>0</v>
      </c>
      <c r="R286" s="53">
        <v>0</v>
      </c>
      <c r="S286" s="53">
        <v>0</v>
      </c>
      <c r="T286" s="53">
        <v>0</v>
      </c>
      <c r="U286" s="53">
        <v>0</v>
      </c>
      <c r="V286" s="53">
        <v>0</v>
      </c>
      <c r="W286" s="53">
        <v>0</v>
      </c>
      <c r="X286" s="53">
        <v>0</v>
      </c>
      <c r="Y286" s="53">
        <v>0</v>
      </c>
      <c r="Z286" s="53">
        <v>0</v>
      </c>
      <c r="AA286" s="53">
        <v>0</v>
      </c>
      <c r="AB286" s="53">
        <v>0</v>
      </c>
    </row>
    <row r="287" spans="1:28" x14ac:dyDescent="0.3">
      <c r="A287" s="31" t="str">
        <v>cz</v>
      </c>
      <c r="B287" s="53">
        <v>0</v>
      </c>
      <c r="C287" s="53">
        <v>0</v>
      </c>
      <c r="D287" s="53">
        <v>0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  <c r="N287" s="53">
        <v>0</v>
      </c>
      <c r="O287" s="53">
        <v>0</v>
      </c>
      <c r="P287" s="53">
        <v>0</v>
      </c>
      <c r="Q287" s="53">
        <v>0</v>
      </c>
      <c r="R287" s="53">
        <v>0</v>
      </c>
      <c r="S287" s="53">
        <v>0</v>
      </c>
      <c r="T287" s="53">
        <v>0</v>
      </c>
      <c r="U287" s="53">
        <v>0</v>
      </c>
      <c r="V287" s="53">
        <v>0</v>
      </c>
      <c r="W287" s="53">
        <v>0</v>
      </c>
      <c r="X287" s="53">
        <v>0</v>
      </c>
      <c r="Y287" s="53">
        <v>0</v>
      </c>
      <c r="Z287" s="53">
        <v>0</v>
      </c>
      <c r="AA287" s="53">
        <v>0</v>
      </c>
      <c r="AB287" s="53">
        <v>0</v>
      </c>
    </row>
    <row r="288" spans="1:28" x14ac:dyDescent="0.3">
      <c r="A288" s="31" t="str">
        <v>ϴ c</v>
      </c>
      <c r="B288" s="53">
        <v>0</v>
      </c>
      <c r="C288" s="53">
        <v>0</v>
      </c>
      <c r="D288" s="53">
        <v>0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  <c r="N288" s="53">
        <v>0</v>
      </c>
      <c r="O288" s="53">
        <v>0</v>
      </c>
      <c r="P288" s="53">
        <v>0</v>
      </c>
      <c r="Q288" s="53">
        <v>0</v>
      </c>
      <c r="R288" s="53">
        <v>0</v>
      </c>
      <c r="S288" s="53">
        <v>0</v>
      </c>
      <c r="T288" s="53">
        <v>0</v>
      </c>
      <c r="U288" s="53">
        <v>0</v>
      </c>
      <c r="V288" s="53">
        <v>0</v>
      </c>
      <c r="W288" s="53">
        <v>0</v>
      </c>
      <c r="X288" s="53">
        <v>0</v>
      </c>
      <c r="Y288" s="53">
        <v>0</v>
      </c>
      <c r="Z288" s="53">
        <v>0</v>
      </c>
      <c r="AA288" s="53">
        <v>0</v>
      </c>
      <c r="AB288" s="53">
        <v>0</v>
      </c>
    </row>
    <row r="289" spans="1:9" x14ac:dyDescent="0.3">
      <c r="A289" s="32"/>
      <c r="B289" s="32"/>
      <c r="C289" s="32"/>
      <c r="D289" s="32"/>
      <c r="E289" s="32"/>
      <c r="F289" s="32"/>
      <c r="G289" s="32"/>
      <c r="H289" s="32"/>
      <c r="I289" s="32"/>
    </row>
    <row r="290" spans="1:9" x14ac:dyDescent="0.3">
      <c r="A290" s="32"/>
      <c r="B290" s="32"/>
      <c r="C290" s="32"/>
      <c r="D290" s="32"/>
      <c r="E290" s="32"/>
      <c r="F290" s="32"/>
      <c r="G290" s="32"/>
      <c r="H290" s="32"/>
      <c r="I290" s="32"/>
    </row>
    <row r="291" spans="1:9" x14ac:dyDescent="0.3">
      <c r="A291" s="46" t="s">
        <v>142</v>
      </c>
      <c r="B291" s="46"/>
      <c r="C291" s="46"/>
    </row>
    <row r="293" spans="1:9" x14ac:dyDescent="0.3">
      <c r="A293" s="27" t="s">
        <v>3</v>
      </c>
      <c r="B293" s="26">
        <v>625</v>
      </c>
      <c r="C293" s="26" t="s">
        <v>129</v>
      </c>
    </row>
    <row r="294" spans="1:9" x14ac:dyDescent="0.3">
      <c r="A294" s="27" t="s">
        <v>81</v>
      </c>
      <c r="B294" s="49">
        <v>813802.09299999999</v>
      </c>
      <c r="C294" s="26" t="s">
        <v>132</v>
      </c>
    </row>
    <row r="295" spans="1:9" x14ac:dyDescent="0.3">
      <c r="A295" s="27" t="s">
        <v>2</v>
      </c>
      <c r="B295" s="26">
        <v>300</v>
      </c>
      <c r="C295" s="26" t="s">
        <v>130</v>
      </c>
    </row>
    <row r="296" spans="1:9" x14ac:dyDescent="0.3">
      <c r="A296" s="27" t="s">
        <v>4</v>
      </c>
      <c r="B296" s="26">
        <v>218819.79</v>
      </c>
      <c r="C296" s="26" t="s">
        <v>131</v>
      </c>
    </row>
    <row r="298" spans="1:9" x14ac:dyDescent="0.3">
      <c r="A298" s="14"/>
      <c r="B298" s="48" t="s">
        <v>89</v>
      </c>
      <c r="C298" s="48"/>
      <c r="D298" s="48"/>
      <c r="E298" s="14"/>
    </row>
    <row r="299" spans="1:9" x14ac:dyDescent="0.3">
      <c r="B299" s="26" t="s">
        <v>83</v>
      </c>
      <c r="C299" s="54">
        <f>(B296*B293)/B295</f>
        <v>455874.5625</v>
      </c>
      <c r="D299" s="26" t="s">
        <v>88</v>
      </c>
    </row>
    <row r="300" spans="1:9" x14ac:dyDescent="0.3">
      <c r="B300" s="26" t="s">
        <v>84</v>
      </c>
      <c r="C300" s="54">
        <f>(12*B296*B294)/(B295^3)</f>
        <v>79144.890263031324</v>
      </c>
      <c r="D300" s="26" t="s">
        <v>88</v>
      </c>
    </row>
    <row r="301" spans="1:9" x14ac:dyDescent="0.3">
      <c r="B301" s="26" t="s">
        <v>85</v>
      </c>
      <c r="C301" s="54">
        <f>(6*B296*B294)/(B295^2)</f>
        <v>11871733.539454699</v>
      </c>
      <c r="D301" s="26" t="s">
        <v>88</v>
      </c>
    </row>
    <row r="302" spans="1:9" x14ac:dyDescent="0.3">
      <c r="B302" s="26" t="s">
        <v>86</v>
      </c>
      <c r="C302" s="54">
        <f>+(4*B296*B294)/(B295)</f>
        <v>2374346707.8909397</v>
      </c>
      <c r="D302" s="26" t="s">
        <v>88</v>
      </c>
    </row>
    <row r="303" spans="1:9" x14ac:dyDescent="0.3">
      <c r="B303" s="26" t="s">
        <v>87</v>
      </c>
      <c r="C303" s="54">
        <f>+(2*B296*B294)/B295</f>
        <v>1187173353.9454699</v>
      </c>
      <c r="D303" s="26" t="s">
        <v>88</v>
      </c>
    </row>
    <row r="305" spans="1:10" x14ac:dyDescent="0.3">
      <c r="A305" s="43" t="s">
        <v>47</v>
      </c>
      <c r="B305" s="43"/>
      <c r="C305" s="43"/>
      <c r="D305" s="43"/>
      <c r="E305" s="43"/>
      <c r="F305" s="43"/>
      <c r="G305" s="43"/>
    </row>
    <row r="306" spans="1:10" x14ac:dyDescent="0.3">
      <c r="A306" t="s">
        <v>126</v>
      </c>
      <c r="B306" s="29" t="s">
        <v>95</v>
      </c>
      <c r="C306" s="29" t="s">
        <v>96</v>
      </c>
      <c r="D306" s="29" t="s">
        <v>108</v>
      </c>
      <c r="E306" s="29" t="s">
        <v>133</v>
      </c>
      <c r="F306" s="29" t="s">
        <v>134</v>
      </c>
      <c r="G306" s="29" t="s">
        <v>135</v>
      </c>
    </row>
    <row r="307" spans="1:10" x14ac:dyDescent="0.3">
      <c r="A307" s="29" t="str">
        <f t="array" ref="A307:A312">+TRANSPOSE(B306:G306)</f>
        <v>2x</v>
      </c>
      <c r="B307" s="34">
        <f>+C299</f>
        <v>455874.5625</v>
      </c>
      <c r="C307" s="34">
        <v>0</v>
      </c>
      <c r="D307" s="34">
        <v>0</v>
      </c>
      <c r="E307" s="35">
        <f>+-C299</f>
        <v>-455874.5625</v>
      </c>
      <c r="F307" s="35">
        <v>0</v>
      </c>
      <c r="G307" s="35">
        <v>0</v>
      </c>
    </row>
    <row r="308" spans="1:10" x14ac:dyDescent="0.3">
      <c r="A308" s="29" t="str">
        <v>2z</v>
      </c>
      <c r="B308" s="34">
        <v>0</v>
      </c>
      <c r="C308" s="34">
        <f>+C300</f>
        <v>79144.890263031324</v>
      </c>
      <c r="D308" s="34">
        <f>+C301</f>
        <v>11871733.539454699</v>
      </c>
      <c r="E308" s="35">
        <v>0</v>
      </c>
      <c r="F308" s="35">
        <f>-C300</f>
        <v>-79144.890263031324</v>
      </c>
      <c r="G308" s="35">
        <f>+C301</f>
        <v>11871733.539454699</v>
      </c>
    </row>
    <row r="309" spans="1:10" x14ac:dyDescent="0.3">
      <c r="A309" s="29" t="str">
        <v>ϴ 2</v>
      </c>
      <c r="B309" s="34">
        <v>0</v>
      </c>
      <c r="C309" s="34">
        <f>+C301</f>
        <v>11871733.539454699</v>
      </c>
      <c r="D309" s="34">
        <f>+C302</f>
        <v>2374346707.8909397</v>
      </c>
      <c r="E309" s="35">
        <v>0</v>
      </c>
      <c r="F309" s="35">
        <f>+-C301</f>
        <v>-11871733.539454699</v>
      </c>
      <c r="G309" s="35">
        <f>+C303</f>
        <v>1187173353.9454699</v>
      </c>
    </row>
    <row r="310" spans="1:10" x14ac:dyDescent="0.3">
      <c r="A310" s="29" t="str">
        <v>5x</v>
      </c>
      <c r="B310" s="36">
        <f>-C299</f>
        <v>-455874.5625</v>
      </c>
      <c r="C310" s="36">
        <v>0</v>
      </c>
      <c r="D310" s="36">
        <v>0</v>
      </c>
      <c r="E310" s="37">
        <f>+C299</f>
        <v>455874.5625</v>
      </c>
      <c r="F310" s="37">
        <v>0</v>
      </c>
      <c r="G310" s="37">
        <v>0</v>
      </c>
    </row>
    <row r="311" spans="1:10" x14ac:dyDescent="0.3">
      <c r="A311" s="29" t="str">
        <v>5z</v>
      </c>
      <c r="B311" s="36">
        <v>0</v>
      </c>
      <c r="C311" s="36">
        <f>-C300</f>
        <v>-79144.890263031324</v>
      </c>
      <c r="D311" s="36">
        <f>-C301</f>
        <v>-11871733.539454699</v>
      </c>
      <c r="E311" s="37">
        <v>0</v>
      </c>
      <c r="F311" s="37">
        <f>C300</f>
        <v>79144.890263031324</v>
      </c>
      <c r="G311" s="37">
        <f>-C301</f>
        <v>-11871733.539454699</v>
      </c>
    </row>
    <row r="312" spans="1:10" x14ac:dyDescent="0.3">
      <c r="A312" s="29" t="str">
        <v>ϴ 5</v>
      </c>
      <c r="B312" s="36">
        <v>0</v>
      </c>
      <c r="C312" s="36">
        <f>+C301</f>
        <v>11871733.539454699</v>
      </c>
      <c r="D312" s="36">
        <f>+C303</f>
        <v>1187173353.9454699</v>
      </c>
      <c r="E312" s="37">
        <v>0</v>
      </c>
      <c r="F312" s="37">
        <f>-C301</f>
        <v>-11871733.539454699</v>
      </c>
      <c r="G312" s="37">
        <f>C302</f>
        <v>2374346707.8909397</v>
      </c>
      <c r="H312" t="s">
        <v>128</v>
      </c>
    </row>
    <row r="314" spans="1:10" x14ac:dyDescent="0.3">
      <c r="A314" s="43" t="s">
        <v>50</v>
      </c>
      <c r="B314" s="43"/>
      <c r="C314" s="43"/>
      <c r="D314" s="43"/>
      <c r="E314" s="43"/>
      <c r="F314" s="43"/>
      <c r="G314" s="43"/>
      <c r="H314" s="43"/>
      <c r="I314" s="43"/>
      <c r="J314" s="43"/>
    </row>
    <row r="315" spans="1:10" x14ac:dyDescent="0.3">
      <c r="A315" s="32"/>
      <c r="B315" s="32"/>
      <c r="C315" s="43" t="s">
        <v>115</v>
      </c>
      <c r="D315" s="43"/>
      <c r="E315" s="43" t="s">
        <v>116</v>
      </c>
      <c r="F315" s="43"/>
      <c r="G315" s="43" t="s">
        <v>117</v>
      </c>
      <c r="H315" s="43"/>
      <c r="I315" s="43" t="s">
        <v>118</v>
      </c>
      <c r="J315" s="43"/>
    </row>
    <row r="316" spans="1:10" x14ac:dyDescent="0.3">
      <c r="A316" s="32" t="s">
        <v>103</v>
      </c>
      <c r="B316" s="10">
        <v>90</v>
      </c>
      <c r="C316" s="32" t="s">
        <v>114</v>
      </c>
      <c r="D316" s="38">
        <f>+B307</f>
        <v>455874.5625</v>
      </c>
      <c r="E316" s="32" t="s">
        <v>114</v>
      </c>
      <c r="F316" s="38">
        <f>+E307</f>
        <v>-455874.5625</v>
      </c>
      <c r="G316" s="32" t="s">
        <v>114</v>
      </c>
      <c r="H316" s="38">
        <f>+B310</f>
        <v>-455874.5625</v>
      </c>
      <c r="I316" s="32" t="s">
        <v>114</v>
      </c>
      <c r="J316" s="39">
        <f>+E310</f>
        <v>455874.5625</v>
      </c>
    </row>
    <row r="317" spans="1:10" x14ac:dyDescent="0.3">
      <c r="A317" s="32" t="s">
        <v>104</v>
      </c>
      <c r="B317" s="32">
        <f>SIN(RADIANS(B316))</f>
        <v>1</v>
      </c>
      <c r="C317" s="32" t="s">
        <v>112</v>
      </c>
      <c r="D317" s="38">
        <f>+C308</f>
        <v>79144.890263031324</v>
      </c>
      <c r="E317" s="32" t="s">
        <v>112</v>
      </c>
      <c r="F317" s="38">
        <f>+F308</f>
        <v>-79144.890263031324</v>
      </c>
      <c r="G317" s="32" t="s">
        <v>112</v>
      </c>
      <c r="H317" s="38">
        <f>+C311</f>
        <v>-79144.890263031324</v>
      </c>
      <c r="I317" s="32" t="s">
        <v>112</v>
      </c>
      <c r="J317" s="39">
        <f>+F311</f>
        <v>79144.890263031324</v>
      </c>
    </row>
    <row r="318" spans="1:10" x14ac:dyDescent="0.3">
      <c r="A318" s="32" t="s">
        <v>105</v>
      </c>
      <c r="B318" s="33">
        <f>COS(RADIANS(B316))</f>
        <v>6.1257422745431001E-17</v>
      </c>
      <c r="C318" s="32" t="s">
        <v>113</v>
      </c>
      <c r="D318" s="38">
        <f>+D309</f>
        <v>2374346707.8909397</v>
      </c>
      <c r="E318" s="32" t="s">
        <v>113</v>
      </c>
      <c r="F318" s="38">
        <f>+G309</f>
        <v>1187173353.9454699</v>
      </c>
      <c r="G318" s="32" t="s">
        <v>113</v>
      </c>
      <c r="H318" s="38">
        <f>+D312</f>
        <v>1187173353.9454699</v>
      </c>
      <c r="I318" s="32" t="s">
        <v>113</v>
      </c>
      <c r="J318" s="39">
        <f>+G312</f>
        <v>2374346707.8909397</v>
      </c>
    </row>
    <row r="319" spans="1:10" x14ac:dyDescent="0.3">
      <c r="A319" s="32"/>
      <c r="B319" s="32"/>
      <c r="C319" s="32" t="s">
        <v>18</v>
      </c>
      <c r="D319" s="38">
        <f>+D308</f>
        <v>11871733.539454699</v>
      </c>
      <c r="E319" s="32" t="s">
        <v>18</v>
      </c>
      <c r="F319" s="38">
        <f>+G308</f>
        <v>11871733.539454699</v>
      </c>
      <c r="G319" s="32" t="s">
        <v>18</v>
      </c>
      <c r="H319" s="38">
        <f>+D311</f>
        <v>-11871733.539454699</v>
      </c>
      <c r="I319" s="32" t="s">
        <v>18</v>
      </c>
      <c r="J319" s="39">
        <f>+G311</f>
        <v>-11871733.539454699</v>
      </c>
    </row>
    <row r="320" spans="1:10" x14ac:dyDescent="0.3">
      <c r="C320" s="32" t="s">
        <v>82</v>
      </c>
      <c r="D320" s="38">
        <f>+C309</f>
        <v>11871733.539454699</v>
      </c>
      <c r="E320" s="32" t="s">
        <v>82</v>
      </c>
      <c r="F320" s="38">
        <f>+F309</f>
        <v>-11871733.539454699</v>
      </c>
      <c r="G320" s="32" t="s">
        <v>82</v>
      </c>
      <c r="H320" s="38">
        <f>+C312</f>
        <v>11871733.539454699</v>
      </c>
      <c r="I320" s="32" t="s">
        <v>82</v>
      </c>
      <c r="J320" s="39">
        <f>+F312</f>
        <v>-11871733.539454699</v>
      </c>
    </row>
    <row r="321" spans="1:28" x14ac:dyDescent="0.3">
      <c r="H321" s="32"/>
      <c r="I321" s="32"/>
    </row>
    <row r="322" spans="1:28" x14ac:dyDescent="0.3">
      <c r="H322" s="32"/>
      <c r="I322" s="32"/>
    </row>
    <row r="323" spans="1:28" x14ac:dyDescent="0.3">
      <c r="H323" s="32"/>
      <c r="I323" s="32"/>
    </row>
    <row r="324" spans="1:28" x14ac:dyDescent="0.3">
      <c r="A324" t="str">
        <f>+A306</f>
        <v>k5</v>
      </c>
      <c r="B324" s="29" t="str">
        <f t="array" ref="B324:G324">B306:G306</f>
        <v>2x</v>
      </c>
      <c r="C324" s="29" t="str">
        <v>2z</v>
      </c>
      <c r="D324" s="29" t="str">
        <v>ϴ 2</v>
      </c>
      <c r="E324" s="29" t="str">
        <v>5x</v>
      </c>
      <c r="F324" s="29" t="str">
        <v>5z</v>
      </c>
      <c r="G324" s="29" t="str">
        <v>ϴ 5</v>
      </c>
      <c r="H324" s="32"/>
      <c r="I324" s="32"/>
    </row>
    <row r="325" spans="1:28" x14ac:dyDescent="0.3">
      <c r="A325" s="29" t="str">
        <f t="array" ref="A325:A330">+TRANSPOSE(B324:G324)</f>
        <v>2x</v>
      </c>
      <c r="B325" s="34">
        <f>(D316*B318*B318)+(D317*B317*B317)</f>
        <v>79144.890263031324</v>
      </c>
      <c r="C325" s="34">
        <f>(D316-D317)*B318*B317</f>
        <v>2.307748879296765E-11</v>
      </c>
      <c r="D325" s="34">
        <f>-D319*B317</f>
        <v>-11871733.539454699</v>
      </c>
      <c r="E325" s="35">
        <f>(F316*B318*B318)+(F317*B317*B317)</f>
        <v>-79144.890263031324</v>
      </c>
      <c r="F325" s="35">
        <f>(F316-F317)*B318*B317</f>
        <v>-2.307748879296765E-11</v>
      </c>
      <c r="G325" s="35">
        <f>-F319*B317</f>
        <v>-11871733.539454699</v>
      </c>
      <c r="H325" s="32"/>
      <c r="I325" s="32"/>
    </row>
    <row r="326" spans="1:28" x14ac:dyDescent="0.3">
      <c r="A326" s="29" t="str">
        <v>2z</v>
      </c>
      <c r="B326" s="34">
        <f>(D316-D317)*B318*B317</f>
        <v>2.307748879296765E-11</v>
      </c>
      <c r="C326" s="34">
        <f>(D316*B317*B317)+(D317*B318*B318)</f>
        <v>455874.5625</v>
      </c>
      <c r="D326" s="34">
        <f>D319*B318</f>
        <v>7.272318001474883E-10</v>
      </c>
      <c r="E326" s="35">
        <f>(F316-F317)*B318*B317</f>
        <v>-2.307748879296765E-11</v>
      </c>
      <c r="F326" s="35">
        <f>(F316*B317*B317)+(F317*B318*B318)</f>
        <v>-455874.5625</v>
      </c>
      <c r="G326" s="35">
        <f>F319*B318</f>
        <v>7.272318001474883E-10</v>
      </c>
      <c r="H326" s="32"/>
      <c r="I326" s="32"/>
    </row>
    <row r="327" spans="1:28" x14ac:dyDescent="0.3">
      <c r="A327" s="29" t="str">
        <v>ϴ 2</v>
      </c>
      <c r="B327" s="34">
        <f>-D320*B317</f>
        <v>-11871733.539454699</v>
      </c>
      <c r="C327" s="34">
        <f>D320*B318</f>
        <v>7.272318001474883E-10</v>
      </c>
      <c r="D327" s="34">
        <f>+D318</f>
        <v>2374346707.8909397</v>
      </c>
      <c r="E327" s="35">
        <f>-F320*B317</f>
        <v>11871733.539454699</v>
      </c>
      <c r="F327" s="35">
        <f>F320*B318</f>
        <v>-7.272318001474883E-10</v>
      </c>
      <c r="G327" s="35">
        <f>+F318</f>
        <v>1187173353.9454699</v>
      </c>
      <c r="H327" s="32"/>
      <c r="I327" s="32"/>
    </row>
    <row r="328" spans="1:28" x14ac:dyDescent="0.3">
      <c r="A328" s="29" t="str">
        <v>5x</v>
      </c>
      <c r="B328" s="36">
        <f>(H316*B318*B318)+(H317*B317*B317)</f>
        <v>-79144.890263031324</v>
      </c>
      <c r="C328" s="36">
        <f>(H316-H317)*B318*B317</f>
        <v>-2.307748879296765E-11</v>
      </c>
      <c r="D328" s="36">
        <f>-H319*B317</f>
        <v>11871733.539454699</v>
      </c>
      <c r="E328" s="37">
        <f>(J316*B318*B318)+(J317*B317*B317)</f>
        <v>79144.890263031324</v>
      </c>
      <c r="F328" s="37">
        <f>(J316-J317)*B318*B317</f>
        <v>2.307748879296765E-11</v>
      </c>
      <c r="G328" s="37">
        <f>-J319*B317</f>
        <v>11871733.539454699</v>
      </c>
      <c r="H328" s="32"/>
      <c r="I328" s="32"/>
    </row>
    <row r="329" spans="1:28" x14ac:dyDescent="0.3">
      <c r="A329" s="29" t="str">
        <v>5z</v>
      </c>
      <c r="B329" s="36">
        <f>(H317-H318)*B318*B317</f>
        <v>-7.2728028226749817E-8</v>
      </c>
      <c r="C329" s="36">
        <f>(H316*B317*B317)+(H317*B318*B318)</f>
        <v>-455874.5625</v>
      </c>
      <c r="D329" s="36">
        <f>+H319*B318</f>
        <v>-7.272318001474883E-10</v>
      </c>
      <c r="E329" s="37">
        <f>(J316-J317)*B318*B317</f>
        <v>2.307748879296765E-11</v>
      </c>
      <c r="F329" s="37">
        <f>(J316*B317*B317)+(J317*B318*B318)</f>
        <v>455874.5625</v>
      </c>
      <c r="G329" s="37">
        <f>-J319*B318</f>
        <v>7.272318001474883E-10</v>
      </c>
      <c r="H329" s="32"/>
      <c r="I329" s="32"/>
    </row>
    <row r="330" spans="1:28" x14ac:dyDescent="0.3">
      <c r="A330" s="29" t="str">
        <v>ϴ 5</v>
      </c>
      <c r="B330" s="36">
        <f>-H320*B317</f>
        <v>-11871733.539454699</v>
      </c>
      <c r="C330" s="36">
        <f>+H320*B318</f>
        <v>7.272318001474883E-10</v>
      </c>
      <c r="D330" s="36">
        <f>+H318</f>
        <v>1187173353.9454699</v>
      </c>
      <c r="E330" s="37">
        <f>-J320*B317</f>
        <v>11871733.539454699</v>
      </c>
      <c r="F330" s="37">
        <f>+J320*B318</f>
        <v>-7.272318001474883E-10</v>
      </c>
      <c r="G330" s="37">
        <f>+J318</f>
        <v>2374346707.8909397</v>
      </c>
      <c r="H330" s="32"/>
      <c r="I330" s="32"/>
    </row>
    <row r="331" spans="1:28" x14ac:dyDescent="0.3">
      <c r="A331" s="32"/>
      <c r="B331" s="32"/>
      <c r="C331" s="32"/>
      <c r="D331" s="32"/>
      <c r="E331" s="32"/>
      <c r="F331" s="32"/>
      <c r="G331" s="32"/>
      <c r="H331" s="32"/>
      <c r="I331" s="32"/>
    </row>
    <row r="332" spans="1:28" x14ac:dyDescent="0.3">
      <c r="A332" s="32"/>
      <c r="B332" s="32"/>
      <c r="C332" s="32"/>
      <c r="D332" s="32"/>
      <c r="E332" s="32"/>
      <c r="F332" s="32"/>
      <c r="G332" s="32"/>
      <c r="H332" s="32"/>
      <c r="I332" s="32"/>
    </row>
    <row r="333" spans="1:28" x14ac:dyDescent="0.3">
      <c r="A333" t="s">
        <v>44</v>
      </c>
      <c r="B333" s="31" t="s">
        <v>91</v>
      </c>
      <c r="C333" s="31" t="s">
        <v>92</v>
      </c>
      <c r="D333" s="31" t="s">
        <v>106</v>
      </c>
      <c r="E333" s="31" t="s">
        <v>95</v>
      </c>
      <c r="F333" s="31" t="s">
        <v>96</v>
      </c>
      <c r="G333" s="31" t="s">
        <v>108</v>
      </c>
      <c r="H333" s="31" t="s">
        <v>97</v>
      </c>
      <c r="I333" s="31" t="s">
        <v>98</v>
      </c>
      <c r="J333" s="31" t="s">
        <v>109</v>
      </c>
      <c r="K333" s="31" t="s">
        <v>99</v>
      </c>
      <c r="L333" s="31" t="s">
        <v>100</v>
      </c>
      <c r="M333" s="31" t="s">
        <v>110</v>
      </c>
      <c r="N333" s="31" t="s">
        <v>133</v>
      </c>
      <c r="O333" s="31" t="s">
        <v>134</v>
      </c>
      <c r="P333" s="31" t="s">
        <v>135</v>
      </c>
      <c r="Q333" s="31" t="s">
        <v>136</v>
      </c>
      <c r="R333" s="31" t="s">
        <v>137</v>
      </c>
      <c r="S333" s="31" t="s">
        <v>138</v>
      </c>
      <c r="T333" s="31" t="s">
        <v>94</v>
      </c>
      <c r="U333" s="31" t="s">
        <v>93</v>
      </c>
      <c r="V333" s="31" t="s">
        <v>107</v>
      </c>
      <c r="W333" s="31" t="s">
        <v>101</v>
      </c>
      <c r="X333" s="31" t="s">
        <v>102</v>
      </c>
      <c r="Y333" s="31" t="s">
        <v>111</v>
      </c>
      <c r="Z333" s="31" t="s">
        <v>139</v>
      </c>
      <c r="AA333" s="31" t="s">
        <v>140</v>
      </c>
      <c r="AB333" s="31" t="s">
        <v>141</v>
      </c>
    </row>
    <row r="334" spans="1:28" x14ac:dyDescent="0.3">
      <c r="A334" s="31" t="str">
        <f t="array" ref="A334:A360">TRANSPOSE(B333:AB333)</f>
        <v>1x</v>
      </c>
      <c r="B334" s="53">
        <v>0</v>
      </c>
      <c r="C334" s="53">
        <v>0</v>
      </c>
      <c r="D334" s="53">
        <v>0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  <c r="N334" s="53">
        <v>0</v>
      </c>
      <c r="O334" s="53">
        <v>0</v>
      </c>
      <c r="P334" s="53">
        <v>0</v>
      </c>
      <c r="Q334" s="53">
        <v>0</v>
      </c>
      <c r="R334" s="53">
        <v>0</v>
      </c>
      <c r="S334" s="53">
        <v>0</v>
      </c>
      <c r="T334" s="53">
        <v>0</v>
      </c>
      <c r="U334" s="53">
        <v>0</v>
      </c>
      <c r="V334" s="53">
        <v>0</v>
      </c>
      <c r="W334" s="53">
        <v>0</v>
      </c>
      <c r="X334" s="53">
        <v>0</v>
      </c>
      <c r="Y334" s="53">
        <v>0</v>
      </c>
      <c r="Z334" s="53">
        <v>0</v>
      </c>
      <c r="AA334" s="53">
        <v>0</v>
      </c>
      <c r="AB334" s="53">
        <v>0</v>
      </c>
    </row>
    <row r="335" spans="1:28" x14ac:dyDescent="0.3">
      <c r="A335" s="31" t="str">
        <v>1z</v>
      </c>
      <c r="B335" s="53">
        <v>0</v>
      </c>
      <c r="C335" s="53">
        <v>0</v>
      </c>
      <c r="D335" s="53">
        <v>0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  <c r="N335" s="53">
        <v>0</v>
      </c>
      <c r="O335" s="53">
        <v>0</v>
      </c>
      <c r="P335" s="53">
        <v>0</v>
      </c>
      <c r="Q335" s="53">
        <v>0</v>
      </c>
      <c r="R335" s="53">
        <v>0</v>
      </c>
      <c r="S335" s="53">
        <v>0</v>
      </c>
      <c r="T335" s="53">
        <v>0</v>
      </c>
      <c r="U335" s="53">
        <v>0</v>
      </c>
      <c r="V335" s="53">
        <v>0</v>
      </c>
      <c r="W335" s="53">
        <v>0</v>
      </c>
      <c r="X335" s="53">
        <v>0</v>
      </c>
      <c r="Y335" s="53">
        <v>0</v>
      </c>
      <c r="Z335" s="53">
        <v>0</v>
      </c>
      <c r="AA335" s="53">
        <v>0</v>
      </c>
      <c r="AB335" s="53">
        <v>0</v>
      </c>
    </row>
    <row r="336" spans="1:28" x14ac:dyDescent="0.3">
      <c r="A336" s="31" t="str">
        <v>ϴ 1</v>
      </c>
      <c r="B336" s="53">
        <v>0</v>
      </c>
      <c r="C336" s="53">
        <v>0</v>
      </c>
      <c r="D336" s="53">
        <v>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  <c r="N336" s="53">
        <v>0</v>
      </c>
      <c r="O336" s="53">
        <v>0</v>
      </c>
      <c r="P336" s="53">
        <v>0</v>
      </c>
      <c r="Q336" s="53">
        <v>0</v>
      </c>
      <c r="R336" s="53">
        <v>0</v>
      </c>
      <c r="S336" s="53">
        <v>0</v>
      </c>
      <c r="T336" s="53">
        <v>0</v>
      </c>
      <c r="U336" s="53">
        <v>0</v>
      </c>
      <c r="V336" s="53">
        <v>0</v>
      </c>
      <c r="W336" s="53">
        <v>0</v>
      </c>
      <c r="X336" s="53">
        <v>0</v>
      </c>
      <c r="Y336" s="53">
        <v>0</v>
      </c>
      <c r="Z336" s="53">
        <v>0</v>
      </c>
      <c r="AA336" s="53">
        <v>0</v>
      </c>
      <c r="AB336" s="53">
        <v>0</v>
      </c>
    </row>
    <row r="337" spans="1:28" x14ac:dyDescent="0.3">
      <c r="A337" s="31" t="str">
        <v>2x</v>
      </c>
      <c r="B337" s="53">
        <v>0</v>
      </c>
      <c r="C337" s="53">
        <v>0</v>
      </c>
      <c r="D337" s="53">
        <v>0</v>
      </c>
      <c r="E337" s="53">
        <f t="array" ref="E337:G339">B325:D327</f>
        <v>79144.890263031324</v>
      </c>
      <c r="F337" s="53">
        <v>2.307748879296765E-11</v>
      </c>
      <c r="G337" s="53">
        <v>-11871733.539454699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  <c r="N337" s="53">
        <f t="array" ref="N337:P339">E325:G327</f>
        <v>-79144.890263031324</v>
      </c>
      <c r="O337" s="53">
        <v>-2.307748879296765E-11</v>
      </c>
      <c r="P337" s="53">
        <v>-11871733.539454699</v>
      </c>
      <c r="Q337" s="53">
        <v>0</v>
      </c>
      <c r="R337" s="53">
        <v>0</v>
      </c>
      <c r="S337" s="53">
        <v>0</v>
      </c>
      <c r="T337" s="53">
        <v>0</v>
      </c>
      <c r="U337" s="53">
        <v>0</v>
      </c>
      <c r="V337" s="53">
        <v>0</v>
      </c>
      <c r="W337" s="53">
        <v>0</v>
      </c>
      <c r="X337" s="53">
        <v>0</v>
      </c>
      <c r="Y337" s="53">
        <v>0</v>
      </c>
      <c r="Z337" s="53">
        <v>0</v>
      </c>
      <c r="AA337" s="53">
        <v>0</v>
      </c>
      <c r="AB337" s="53">
        <v>0</v>
      </c>
    </row>
    <row r="338" spans="1:28" x14ac:dyDescent="0.3">
      <c r="A338" s="31" t="str">
        <v>2z</v>
      </c>
      <c r="B338" s="53">
        <v>0</v>
      </c>
      <c r="C338" s="53">
        <v>0</v>
      </c>
      <c r="D338" s="53">
        <v>0</v>
      </c>
      <c r="E338" s="53">
        <v>2.307748879296765E-11</v>
      </c>
      <c r="F338" s="53">
        <v>455874.5625</v>
      </c>
      <c r="G338" s="53">
        <v>7.272318001474883E-10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  <c r="N338" s="53">
        <v>-2.307748879296765E-11</v>
      </c>
      <c r="O338" s="53">
        <v>-455874.5625</v>
      </c>
      <c r="P338" s="53">
        <v>7.272318001474883E-10</v>
      </c>
      <c r="Q338" s="53">
        <v>0</v>
      </c>
      <c r="R338" s="53">
        <v>0</v>
      </c>
      <c r="S338" s="53">
        <v>0</v>
      </c>
      <c r="T338" s="53">
        <v>0</v>
      </c>
      <c r="U338" s="53">
        <v>0</v>
      </c>
      <c r="V338" s="53">
        <v>0</v>
      </c>
      <c r="W338" s="53">
        <v>0</v>
      </c>
      <c r="X338" s="53">
        <v>0</v>
      </c>
      <c r="Y338" s="53">
        <v>0</v>
      </c>
      <c r="Z338" s="53">
        <v>0</v>
      </c>
      <c r="AA338" s="53">
        <v>0</v>
      </c>
      <c r="AB338" s="53">
        <v>0</v>
      </c>
    </row>
    <row r="339" spans="1:28" x14ac:dyDescent="0.3">
      <c r="A339" s="31" t="str">
        <v>ϴ 2</v>
      </c>
      <c r="B339" s="53">
        <v>0</v>
      </c>
      <c r="C339" s="53">
        <v>0</v>
      </c>
      <c r="D339" s="53">
        <v>0</v>
      </c>
      <c r="E339" s="53">
        <v>-11871733.539454699</v>
      </c>
      <c r="F339" s="53">
        <v>7.272318001474883E-10</v>
      </c>
      <c r="G339" s="53">
        <v>2374346707.8909397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  <c r="N339" s="53">
        <v>11871733.539454699</v>
      </c>
      <c r="O339" s="53">
        <v>-7.272318001474883E-10</v>
      </c>
      <c r="P339" s="53">
        <v>1187173353.9454699</v>
      </c>
      <c r="Q339" s="53">
        <v>0</v>
      </c>
      <c r="R339" s="53">
        <v>0</v>
      </c>
      <c r="S339" s="53">
        <v>0</v>
      </c>
      <c r="T339" s="53">
        <v>0</v>
      </c>
      <c r="U339" s="53">
        <v>0</v>
      </c>
      <c r="V339" s="53">
        <v>0</v>
      </c>
      <c r="W339" s="53">
        <v>0</v>
      </c>
      <c r="X339" s="53">
        <v>0</v>
      </c>
      <c r="Y339" s="53">
        <v>0</v>
      </c>
      <c r="Z339" s="53">
        <v>0</v>
      </c>
      <c r="AA339" s="53">
        <v>0</v>
      </c>
      <c r="AB339" s="53">
        <v>0</v>
      </c>
    </row>
    <row r="340" spans="1:28" x14ac:dyDescent="0.3">
      <c r="A340" s="31" t="str">
        <v>3x</v>
      </c>
      <c r="B340" s="53">
        <v>0</v>
      </c>
      <c r="C340" s="53">
        <v>0</v>
      </c>
      <c r="D340" s="53">
        <v>0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  <c r="N340" s="53">
        <v>0</v>
      </c>
      <c r="O340" s="53">
        <v>0</v>
      </c>
      <c r="P340" s="53">
        <v>0</v>
      </c>
      <c r="Q340" s="53">
        <v>0</v>
      </c>
      <c r="R340" s="53">
        <v>0</v>
      </c>
      <c r="S340" s="53">
        <v>0</v>
      </c>
      <c r="T340" s="53">
        <v>0</v>
      </c>
      <c r="U340" s="53">
        <v>0</v>
      </c>
      <c r="V340" s="53">
        <v>0</v>
      </c>
      <c r="W340" s="53">
        <v>0</v>
      </c>
      <c r="X340" s="53">
        <v>0</v>
      </c>
      <c r="Y340" s="53">
        <v>0</v>
      </c>
      <c r="Z340" s="53">
        <v>0</v>
      </c>
      <c r="AA340" s="53">
        <v>0</v>
      </c>
      <c r="AB340" s="53">
        <v>0</v>
      </c>
    </row>
    <row r="341" spans="1:28" x14ac:dyDescent="0.3">
      <c r="A341" s="31" t="str">
        <v>3z</v>
      </c>
      <c r="B341" s="53">
        <v>0</v>
      </c>
      <c r="C341" s="53">
        <v>0</v>
      </c>
      <c r="D341" s="53">
        <v>0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  <c r="N341" s="53">
        <v>0</v>
      </c>
      <c r="O341" s="53">
        <v>0</v>
      </c>
      <c r="P341" s="53">
        <v>0</v>
      </c>
      <c r="Q341" s="53">
        <v>0</v>
      </c>
      <c r="R341" s="53">
        <v>0</v>
      </c>
      <c r="S341" s="53">
        <v>0</v>
      </c>
      <c r="T341" s="53">
        <v>0</v>
      </c>
      <c r="U341" s="53">
        <v>0</v>
      </c>
      <c r="V341" s="53">
        <v>0</v>
      </c>
      <c r="W341" s="53">
        <v>0</v>
      </c>
      <c r="X341" s="53">
        <v>0</v>
      </c>
      <c r="Y341" s="53">
        <v>0</v>
      </c>
      <c r="Z341" s="53">
        <v>0</v>
      </c>
      <c r="AA341" s="53">
        <v>0</v>
      </c>
      <c r="AB341" s="53">
        <v>0</v>
      </c>
    </row>
    <row r="342" spans="1:28" x14ac:dyDescent="0.3">
      <c r="A342" s="31" t="str">
        <v>ϴ 3</v>
      </c>
      <c r="B342" s="53">
        <v>0</v>
      </c>
      <c r="C342" s="53">
        <v>0</v>
      </c>
      <c r="D342" s="53">
        <v>0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  <c r="N342" s="53">
        <v>0</v>
      </c>
      <c r="O342" s="53">
        <v>0</v>
      </c>
      <c r="P342" s="53">
        <v>0</v>
      </c>
      <c r="Q342" s="53">
        <v>0</v>
      </c>
      <c r="R342" s="53">
        <v>0</v>
      </c>
      <c r="S342" s="53">
        <v>0</v>
      </c>
      <c r="T342" s="53">
        <v>0</v>
      </c>
      <c r="U342" s="53">
        <v>0</v>
      </c>
      <c r="V342" s="53">
        <v>0</v>
      </c>
      <c r="W342" s="53">
        <v>0</v>
      </c>
      <c r="X342" s="53">
        <v>0</v>
      </c>
      <c r="Y342" s="53">
        <v>0</v>
      </c>
      <c r="Z342" s="53">
        <v>0</v>
      </c>
      <c r="AA342" s="53">
        <v>0</v>
      </c>
      <c r="AB342" s="53">
        <v>0</v>
      </c>
    </row>
    <row r="343" spans="1:28" x14ac:dyDescent="0.3">
      <c r="A343" s="31" t="str">
        <v>4x</v>
      </c>
      <c r="B343" s="53">
        <v>0</v>
      </c>
      <c r="C343" s="53">
        <v>0</v>
      </c>
      <c r="D343" s="53">
        <v>0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  <c r="N343" s="53">
        <v>0</v>
      </c>
      <c r="O343" s="53">
        <v>0</v>
      </c>
      <c r="P343" s="53">
        <v>0</v>
      </c>
      <c r="Q343" s="53">
        <v>0</v>
      </c>
      <c r="R343" s="53">
        <v>0</v>
      </c>
      <c r="S343" s="53">
        <v>0</v>
      </c>
      <c r="T343" s="53">
        <v>0</v>
      </c>
      <c r="U343" s="53">
        <v>0</v>
      </c>
      <c r="V343" s="53">
        <v>0</v>
      </c>
      <c r="W343" s="53">
        <v>0</v>
      </c>
      <c r="X343" s="53">
        <v>0</v>
      </c>
      <c r="Y343" s="53">
        <v>0</v>
      </c>
      <c r="Z343" s="53">
        <v>0</v>
      </c>
      <c r="AA343" s="53">
        <v>0</v>
      </c>
      <c r="AB343" s="53">
        <v>0</v>
      </c>
    </row>
    <row r="344" spans="1:28" x14ac:dyDescent="0.3">
      <c r="A344" s="31" t="str">
        <v>4z</v>
      </c>
      <c r="B344" s="53">
        <v>0</v>
      </c>
      <c r="C344" s="53">
        <v>0</v>
      </c>
      <c r="D344" s="53">
        <v>0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  <c r="N344" s="53">
        <v>0</v>
      </c>
      <c r="O344" s="53">
        <v>0</v>
      </c>
      <c r="P344" s="53">
        <v>0</v>
      </c>
      <c r="Q344" s="53">
        <v>0</v>
      </c>
      <c r="R344" s="53">
        <v>0</v>
      </c>
      <c r="S344" s="53">
        <v>0</v>
      </c>
      <c r="T344" s="53">
        <v>0</v>
      </c>
      <c r="U344" s="53">
        <v>0</v>
      </c>
      <c r="V344" s="53">
        <v>0</v>
      </c>
      <c r="W344" s="53">
        <v>0</v>
      </c>
      <c r="X344" s="53">
        <v>0</v>
      </c>
      <c r="Y344" s="53">
        <v>0</v>
      </c>
      <c r="Z344" s="53">
        <v>0</v>
      </c>
      <c r="AA344" s="53">
        <v>0</v>
      </c>
      <c r="AB344" s="53">
        <v>0</v>
      </c>
    </row>
    <row r="345" spans="1:28" x14ac:dyDescent="0.3">
      <c r="A345" s="31" t="str">
        <v>ϴ 4</v>
      </c>
      <c r="B345" s="53">
        <v>0</v>
      </c>
      <c r="C345" s="53">
        <v>0</v>
      </c>
      <c r="D345" s="53">
        <v>0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  <c r="N345" s="53">
        <v>0</v>
      </c>
      <c r="O345" s="53">
        <v>0</v>
      </c>
      <c r="P345" s="53">
        <v>0</v>
      </c>
      <c r="Q345" s="53">
        <v>0</v>
      </c>
      <c r="R345" s="53">
        <v>0</v>
      </c>
      <c r="S345" s="53">
        <v>0</v>
      </c>
      <c r="T345" s="53">
        <v>0</v>
      </c>
      <c r="U345" s="53">
        <v>0</v>
      </c>
      <c r="V345" s="53">
        <v>0</v>
      </c>
      <c r="W345" s="53">
        <v>0</v>
      </c>
      <c r="X345" s="53">
        <v>0</v>
      </c>
      <c r="Y345" s="53">
        <v>0</v>
      </c>
      <c r="Z345" s="53">
        <v>0</v>
      </c>
      <c r="AA345" s="53">
        <v>0</v>
      </c>
      <c r="AB345" s="53">
        <v>0</v>
      </c>
    </row>
    <row r="346" spans="1:28" x14ac:dyDescent="0.3">
      <c r="A346" s="31" t="str">
        <v>5x</v>
      </c>
      <c r="B346" s="53">
        <v>0</v>
      </c>
      <c r="C346" s="53">
        <v>0</v>
      </c>
      <c r="D346" s="53">
        <v>0</v>
      </c>
      <c r="E346" s="53">
        <f t="array" ref="E346:G348">B328:D330</f>
        <v>-79144.890263031324</v>
      </c>
      <c r="F346" s="53">
        <v>-2.307748879296765E-11</v>
      </c>
      <c r="G346" s="53">
        <v>11871733.539454699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  <c r="N346" s="53">
        <f t="array" ref="N346:P348">E328:G330</f>
        <v>79144.890263031324</v>
      </c>
      <c r="O346" s="53">
        <v>2.307748879296765E-11</v>
      </c>
      <c r="P346" s="53">
        <v>11871733.539454699</v>
      </c>
      <c r="Q346" s="53">
        <v>0</v>
      </c>
      <c r="R346" s="53">
        <v>0</v>
      </c>
      <c r="S346" s="53">
        <v>0</v>
      </c>
      <c r="T346" s="53">
        <v>0</v>
      </c>
      <c r="U346" s="53">
        <v>0</v>
      </c>
      <c r="V346" s="53">
        <v>0</v>
      </c>
      <c r="W346" s="53">
        <v>0</v>
      </c>
      <c r="X346" s="53">
        <v>0</v>
      </c>
      <c r="Y346" s="53">
        <v>0</v>
      </c>
      <c r="Z346" s="53">
        <v>0</v>
      </c>
      <c r="AA346" s="53">
        <v>0</v>
      </c>
      <c r="AB346" s="53">
        <v>0</v>
      </c>
    </row>
    <row r="347" spans="1:28" x14ac:dyDescent="0.3">
      <c r="A347" s="31" t="str">
        <v>5z</v>
      </c>
      <c r="B347" s="53">
        <v>0</v>
      </c>
      <c r="C347" s="53">
        <v>0</v>
      </c>
      <c r="D347" s="53">
        <v>0</v>
      </c>
      <c r="E347" s="53">
        <v>-7.2728028226749817E-8</v>
      </c>
      <c r="F347" s="53">
        <v>-455874.5625</v>
      </c>
      <c r="G347" s="53">
        <v>-7.272318001474883E-10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  <c r="N347" s="53">
        <v>2.307748879296765E-11</v>
      </c>
      <c r="O347" s="53">
        <v>455874.5625</v>
      </c>
      <c r="P347" s="53">
        <v>7.272318001474883E-10</v>
      </c>
      <c r="Q347" s="53">
        <v>0</v>
      </c>
      <c r="R347" s="53">
        <v>0</v>
      </c>
      <c r="S347" s="53">
        <v>0</v>
      </c>
      <c r="T347" s="53">
        <v>0</v>
      </c>
      <c r="U347" s="53">
        <v>0</v>
      </c>
      <c r="V347" s="53">
        <v>0</v>
      </c>
      <c r="W347" s="53">
        <v>0</v>
      </c>
      <c r="X347" s="53">
        <v>0</v>
      </c>
      <c r="Y347" s="53">
        <v>0</v>
      </c>
      <c r="Z347" s="53">
        <v>0</v>
      </c>
      <c r="AA347" s="53">
        <v>0</v>
      </c>
      <c r="AB347" s="53">
        <v>0</v>
      </c>
    </row>
    <row r="348" spans="1:28" x14ac:dyDescent="0.3">
      <c r="A348" s="31" t="str">
        <v>ϴ 5</v>
      </c>
      <c r="B348" s="53">
        <v>0</v>
      </c>
      <c r="C348" s="53">
        <v>0</v>
      </c>
      <c r="D348" s="53">
        <v>0</v>
      </c>
      <c r="E348" s="53">
        <v>-11871733.539454699</v>
      </c>
      <c r="F348" s="53">
        <v>7.272318001474883E-10</v>
      </c>
      <c r="G348" s="53">
        <v>1187173353.9454699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  <c r="N348" s="53">
        <v>11871733.539454699</v>
      </c>
      <c r="O348" s="53">
        <v>-7.272318001474883E-10</v>
      </c>
      <c r="P348" s="53">
        <v>2374346707.8909397</v>
      </c>
      <c r="Q348" s="53">
        <v>0</v>
      </c>
      <c r="R348" s="53">
        <v>0</v>
      </c>
      <c r="S348" s="53">
        <v>0</v>
      </c>
      <c r="T348" s="53">
        <v>0</v>
      </c>
      <c r="U348" s="53">
        <v>0</v>
      </c>
      <c r="V348" s="53">
        <v>0</v>
      </c>
      <c r="W348" s="53">
        <v>0</v>
      </c>
      <c r="X348" s="53">
        <v>0</v>
      </c>
      <c r="Y348" s="53">
        <v>0</v>
      </c>
      <c r="Z348" s="53">
        <v>0</v>
      </c>
      <c r="AA348" s="53">
        <v>0</v>
      </c>
      <c r="AB348" s="53">
        <v>0</v>
      </c>
    </row>
    <row r="349" spans="1:28" x14ac:dyDescent="0.3">
      <c r="A349" s="31" t="str">
        <v>6x</v>
      </c>
      <c r="B349" s="53">
        <v>0</v>
      </c>
      <c r="C349" s="53">
        <v>0</v>
      </c>
      <c r="D349" s="53">
        <v>0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  <c r="N349" s="53">
        <v>0</v>
      </c>
      <c r="O349" s="53">
        <v>0</v>
      </c>
      <c r="P349" s="53">
        <v>0</v>
      </c>
      <c r="Q349" s="53">
        <v>0</v>
      </c>
      <c r="R349" s="53">
        <v>0</v>
      </c>
      <c r="S349" s="53">
        <v>0</v>
      </c>
      <c r="T349" s="53">
        <v>0</v>
      </c>
      <c r="U349" s="53">
        <v>0</v>
      </c>
      <c r="V349" s="53">
        <v>0</v>
      </c>
      <c r="W349" s="53">
        <v>0</v>
      </c>
      <c r="X349" s="53">
        <v>0</v>
      </c>
      <c r="Y349" s="53">
        <v>0</v>
      </c>
      <c r="Z349" s="53">
        <v>0</v>
      </c>
      <c r="AA349" s="53">
        <v>0</v>
      </c>
      <c r="AB349" s="53">
        <v>0</v>
      </c>
    </row>
    <row r="350" spans="1:28" x14ac:dyDescent="0.3">
      <c r="A350" s="31" t="str">
        <v>6z</v>
      </c>
      <c r="B350" s="53">
        <v>0</v>
      </c>
      <c r="C350" s="53">
        <v>0</v>
      </c>
      <c r="D350" s="53">
        <v>0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  <c r="N350" s="53">
        <v>0</v>
      </c>
      <c r="O350" s="53">
        <v>0</v>
      </c>
      <c r="P350" s="53">
        <v>0</v>
      </c>
      <c r="Q350" s="53">
        <v>0</v>
      </c>
      <c r="R350" s="53">
        <v>0</v>
      </c>
      <c r="S350" s="53">
        <v>0</v>
      </c>
      <c r="T350" s="53">
        <v>0</v>
      </c>
      <c r="U350" s="53">
        <v>0</v>
      </c>
      <c r="V350" s="53">
        <v>0</v>
      </c>
      <c r="W350" s="53">
        <v>0</v>
      </c>
      <c r="X350" s="53">
        <v>0</v>
      </c>
      <c r="Y350" s="53">
        <v>0</v>
      </c>
      <c r="Z350" s="53">
        <v>0</v>
      </c>
      <c r="AA350" s="53">
        <v>0</v>
      </c>
      <c r="AB350" s="53">
        <v>0</v>
      </c>
    </row>
    <row r="351" spans="1:28" x14ac:dyDescent="0.3">
      <c r="A351" s="31" t="str">
        <v>ϴ 6</v>
      </c>
      <c r="B351" s="53">
        <v>0</v>
      </c>
      <c r="C351" s="53">
        <v>0</v>
      </c>
      <c r="D351" s="53">
        <v>0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  <c r="N351" s="53">
        <v>0</v>
      </c>
      <c r="O351" s="53">
        <v>0</v>
      </c>
      <c r="P351" s="53">
        <v>0</v>
      </c>
      <c r="Q351" s="53">
        <v>0</v>
      </c>
      <c r="R351" s="53">
        <v>0</v>
      </c>
      <c r="S351" s="53">
        <v>0</v>
      </c>
      <c r="T351" s="53">
        <v>0</v>
      </c>
      <c r="U351" s="53">
        <v>0</v>
      </c>
      <c r="V351" s="53">
        <v>0</v>
      </c>
      <c r="W351" s="53">
        <v>0</v>
      </c>
      <c r="X351" s="53">
        <v>0</v>
      </c>
      <c r="Y351" s="53">
        <v>0</v>
      </c>
      <c r="Z351" s="53">
        <v>0</v>
      </c>
      <c r="AA351" s="53">
        <v>0</v>
      </c>
      <c r="AB351" s="53">
        <v>0</v>
      </c>
    </row>
    <row r="352" spans="1:28" x14ac:dyDescent="0.3">
      <c r="A352" s="31" t="str">
        <v>ax</v>
      </c>
      <c r="B352" s="53">
        <v>0</v>
      </c>
      <c r="C352" s="53">
        <v>0</v>
      </c>
      <c r="D352" s="53">
        <v>0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  <c r="N352" s="53">
        <v>0</v>
      </c>
      <c r="O352" s="53">
        <v>0</v>
      </c>
      <c r="P352" s="53">
        <v>0</v>
      </c>
      <c r="Q352" s="53">
        <v>0</v>
      </c>
      <c r="R352" s="53">
        <v>0</v>
      </c>
      <c r="S352" s="53">
        <v>0</v>
      </c>
      <c r="T352" s="53">
        <v>0</v>
      </c>
      <c r="U352" s="53">
        <v>0</v>
      </c>
      <c r="V352" s="53">
        <v>0</v>
      </c>
      <c r="W352" s="53">
        <v>0</v>
      </c>
      <c r="X352" s="53">
        <v>0</v>
      </c>
      <c r="Y352" s="53">
        <v>0</v>
      </c>
      <c r="Z352" s="53">
        <v>0</v>
      </c>
      <c r="AA352" s="53">
        <v>0</v>
      </c>
      <c r="AB352" s="53">
        <v>0</v>
      </c>
    </row>
    <row r="353" spans="1:28" x14ac:dyDescent="0.3">
      <c r="A353" s="31" t="str">
        <v>az</v>
      </c>
      <c r="B353" s="53">
        <v>0</v>
      </c>
      <c r="C353" s="53">
        <v>0</v>
      </c>
      <c r="D353" s="53">
        <v>0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  <c r="N353" s="53">
        <v>0</v>
      </c>
      <c r="O353" s="53">
        <v>0</v>
      </c>
      <c r="P353" s="53">
        <v>0</v>
      </c>
      <c r="Q353" s="53">
        <v>0</v>
      </c>
      <c r="R353" s="53">
        <v>0</v>
      </c>
      <c r="S353" s="53">
        <v>0</v>
      </c>
      <c r="T353" s="53">
        <v>0</v>
      </c>
      <c r="U353" s="53">
        <v>0</v>
      </c>
      <c r="V353" s="53">
        <v>0</v>
      </c>
      <c r="W353" s="53">
        <v>0</v>
      </c>
      <c r="X353" s="53">
        <v>0</v>
      </c>
      <c r="Y353" s="53">
        <v>0</v>
      </c>
      <c r="Z353" s="53">
        <v>0</v>
      </c>
      <c r="AA353" s="53">
        <v>0</v>
      </c>
      <c r="AB353" s="53">
        <v>0</v>
      </c>
    </row>
    <row r="354" spans="1:28" x14ac:dyDescent="0.3">
      <c r="A354" s="31" t="str">
        <v>ϴ a</v>
      </c>
      <c r="B354" s="53">
        <v>0</v>
      </c>
      <c r="C354" s="53">
        <v>0</v>
      </c>
      <c r="D354" s="53">
        <v>0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  <c r="N354" s="53">
        <v>0</v>
      </c>
      <c r="O354" s="53">
        <v>0</v>
      </c>
      <c r="P354" s="53">
        <v>0</v>
      </c>
      <c r="Q354" s="53">
        <v>0</v>
      </c>
      <c r="R354" s="53">
        <v>0</v>
      </c>
      <c r="S354" s="53">
        <v>0</v>
      </c>
      <c r="T354" s="53">
        <v>0</v>
      </c>
      <c r="U354" s="53">
        <v>0</v>
      </c>
      <c r="V354" s="53">
        <v>0</v>
      </c>
      <c r="W354" s="53">
        <v>0</v>
      </c>
      <c r="X354" s="53">
        <v>0</v>
      </c>
      <c r="Y354" s="53">
        <v>0</v>
      </c>
      <c r="Z354" s="53">
        <v>0</v>
      </c>
      <c r="AA354" s="53">
        <v>0</v>
      </c>
      <c r="AB354" s="53">
        <v>0</v>
      </c>
    </row>
    <row r="355" spans="1:28" x14ac:dyDescent="0.3">
      <c r="A355" s="31" t="str">
        <v>bx</v>
      </c>
      <c r="B355" s="53">
        <v>0</v>
      </c>
      <c r="C355" s="53">
        <v>0</v>
      </c>
      <c r="D355" s="53">
        <v>0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  <c r="N355" s="53">
        <v>0</v>
      </c>
      <c r="O355" s="53">
        <v>0</v>
      </c>
      <c r="P355" s="53">
        <v>0</v>
      </c>
      <c r="Q355" s="53">
        <v>0</v>
      </c>
      <c r="R355" s="53">
        <v>0</v>
      </c>
      <c r="S355" s="53">
        <v>0</v>
      </c>
      <c r="T355" s="53">
        <v>0</v>
      </c>
      <c r="U355" s="53">
        <v>0</v>
      </c>
      <c r="V355" s="53">
        <v>0</v>
      </c>
      <c r="W355" s="53">
        <v>0</v>
      </c>
      <c r="X355" s="53">
        <v>0</v>
      </c>
      <c r="Y355" s="53">
        <v>0</v>
      </c>
      <c r="Z355" s="53">
        <v>0</v>
      </c>
      <c r="AA355" s="53">
        <v>0</v>
      </c>
      <c r="AB355" s="53">
        <v>0</v>
      </c>
    </row>
    <row r="356" spans="1:28" x14ac:dyDescent="0.3">
      <c r="A356" s="31" t="str">
        <v>bz</v>
      </c>
      <c r="B356" s="53">
        <v>0</v>
      </c>
      <c r="C356" s="53">
        <v>0</v>
      </c>
      <c r="D356" s="53">
        <v>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  <c r="N356" s="53">
        <v>0</v>
      </c>
      <c r="O356" s="53">
        <v>0</v>
      </c>
      <c r="P356" s="53">
        <v>0</v>
      </c>
      <c r="Q356" s="53">
        <v>0</v>
      </c>
      <c r="R356" s="53">
        <v>0</v>
      </c>
      <c r="S356" s="53">
        <v>0</v>
      </c>
      <c r="T356" s="53">
        <v>0</v>
      </c>
      <c r="U356" s="53">
        <v>0</v>
      </c>
      <c r="V356" s="53">
        <v>0</v>
      </c>
      <c r="W356" s="53">
        <v>0</v>
      </c>
      <c r="X356" s="53">
        <v>0</v>
      </c>
      <c r="Y356" s="53">
        <v>0</v>
      </c>
      <c r="Z356" s="53">
        <v>0</v>
      </c>
      <c r="AA356" s="53">
        <v>0</v>
      </c>
      <c r="AB356" s="53">
        <v>0</v>
      </c>
    </row>
    <row r="357" spans="1:28" x14ac:dyDescent="0.3">
      <c r="A357" s="31" t="str">
        <v>ϴ b</v>
      </c>
      <c r="B357" s="53">
        <v>0</v>
      </c>
      <c r="C357" s="53">
        <v>0</v>
      </c>
      <c r="D357" s="53">
        <v>0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  <c r="N357" s="53">
        <v>0</v>
      </c>
      <c r="O357" s="53">
        <v>0</v>
      </c>
      <c r="P357" s="53">
        <v>0</v>
      </c>
      <c r="Q357" s="53">
        <v>0</v>
      </c>
      <c r="R357" s="53">
        <v>0</v>
      </c>
      <c r="S357" s="53">
        <v>0</v>
      </c>
      <c r="T357" s="53">
        <v>0</v>
      </c>
      <c r="U357" s="53">
        <v>0</v>
      </c>
      <c r="V357" s="53">
        <v>0</v>
      </c>
      <c r="W357" s="53">
        <v>0</v>
      </c>
      <c r="X357" s="53">
        <v>0</v>
      </c>
      <c r="Y357" s="53">
        <v>0</v>
      </c>
      <c r="Z357" s="53">
        <v>0</v>
      </c>
      <c r="AA357" s="53">
        <v>0</v>
      </c>
      <c r="AB357" s="53">
        <v>0</v>
      </c>
    </row>
    <row r="358" spans="1:28" x14ac:dyDescent="0.3">
      <c r="A358" s="31" t="str">
        <v>cx</v>
      </c>
      <c r="B358" s="53">
        <v>0</v>
      </c>
      <c r="C358" s="53">
        <v>0</v>
      </c>
      <c r="D358" s="53">
        <v>0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  <c r="N358" s="53">
        <v>0</v>
      </c>
      <c r="O358" s="53">
        <v>0</v>
      </c>
      <c r="P358" s="53">
        <v>0</v>
      </c>
      <c r="Q358" s="53">
        <v>0</v>
      </c>
      <c r="R358" s="53">
        <v>0</v>
      </c>
      <c r="S358" s="53">
        <v>0</v>
      </c>
      <c r="T358" s="53">
        <v>0</v>
      </c>
      <c r="U358" s="53">
        <v>0</v>
      </c>
      <c r="V358" s="53">
        <v>0</v>
      </c>
      <c r="W358" s="53">
        <v>0</v>
      </c>
      <c r="X358" s="53">
        <v>0</v>
      </c>
      <c r="Y358" s="53">
        <v>0</v>
      </c>
      <c r="Z358" s="53">
        <v>0</v>
      </c>
      <c r="AA358" s="53">
        <v>0</v>
      </c>
      <c r="AB358" s="53">
        <v>0</v>
      </c>
    </row>
    <row r="359" spans="1:28" x14ac:dyDescent="0.3">
      <c r="A359" s="31" t="str">
        <v>cz</v>
      </c>
      <c r="B359" s="53">
        <v>0</v>
      </c>
      <c r="C359" s="53">
        <v>0</v>
      </c>
      <c r="D359" s="53">
        <v>0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  <c r="N359" s="53">
        <v>0</v>
      </c>
      <c r="O359" s="53">
        <v>0</v>
      </c>
      <c r="P359" s="53">
        <v>0</v>
      </c>
      <c r="Q359" s="53">
        <v>0</v>
      </c>
      <c r="R359" s="53">
        <v>0</v>
      </c>
      <c r="S359" s="53">
        <v>0</v>
      </c>
      <c r="T359" s="53">
        <v>0</v>
      </c>
      <c r="U359" s="53">
        <v>0</v>
      </c>
      <c r="V359" s="53">
        <v>0</v>
      </c>
      <c r="W359" s="53">
        <v>0</v>
      </c>
      <c r="X359" s="53">
        <v>0</v>
      </c>
      <c r="Y359" s="53">
        <v>0</v>
      </c>
      <c r="Z359" s="53">
        <v>0</v>
      </c>
      <c r="AA359" s="53">
        <v>0</v>
      </c>
      <c r="AB359" s="53">
        <v>0</v>
      </c>
    </row>
    <row r="360" spans="1:28" x14ac:dyDescent="0.3">
      <c r="A360" s="31" t="str">
        <v>ϴ c</v>
      </c>
      <c r="B360" s="53">
        <v>0</v>
      </c>
      <c r="C360" s="53">
        <v>0</v>
      </c>
      <c r="D360" s="53">
        <v>0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  <c r="N360" s="53">
        <v>0</v>
      </c>
      <c r="O360" s="53">
        <v>0</v>
      </c>
      <c r="P360" s="53">
        <v>0</v>
      </c>
      <c r="Q360" s="53">
        <v>0</v>
      </c>
      <c r="R360" s="53">
        <v>0</v>
      </c>
      <c r="S360" s="53">
        <v>0</v>
      </c>
      <c r="T360" s="53">
        <v>0</v>
      </c>
      <c r="U360" s="53">
        <v>0</v>
      </c>
      <c r="V360" s="53">
        <v>0</v>
      </c>
      <c r="W360" s="53">
        <v>0</v>
      </c>
      <c r="X360" s="53">
        <v>0</v>
      </c>
      <c r="Y360" s="53">
        <v>0</v>
      </c>
      <c r="Z360" s="53">
        <v>0</v>
      </c>
      <c r="AA360" s="53">
        <v>0</v>
      </c>
      <c r="AB360" s="53">
        <v>0</v>
      </c>
    </row>
    <row r="361" spans="1:28" x14ac:dyDescent="0.3">
      <c r="A361" s="32"/>
      <c r="B361" s="32"/>
      <c r="C361" s="32"/>
      <c r="D361" s="32"/>
      <c r="E361" s="32"/>
      <c r="F361" s="32"/>
      <c r="G361" s="32"/>
      <c r="H361" s="32"/>
      <c r="I361" s="32"/>
    </row>
    <row r="362" spans="1:28" x14ac:dyDescent="0.3">
      <c r="A362" s="32"/>
      <c r="B362" s="32"/>
      <c r="C362" s="32"/>
      <c r="D362" s="32"/>
      <c r="E362" s="32"/>
      <c r="F362" s="32"/>
      <c r="G362" s="32"/>
      <c r="H362" s="32"/>
      <c r="I362" s="32"/>
    </row>
    <row r="363" spans="1:28" x14ac:dyDescent="0.3">
      <c r="A363" s="46" t="s">
        <v>143</v>
      </c>
      <c r="B363" s="46"/>
      <c r="C363" s="46"/>
    </row>
    <row r="365" spans="1:28" x14ac:dyDescent="0.3">
      <c r="A365" s="27" t="s">
        <v>3</v>
      </c>
      <c r="B365" s="26">
        <v>625</v>
      </c>
      <c r="C365" s="26" t="s">
        <v>129</v>
      </c>
    </row>
    <row r="366" spans="1:28" x14ac:dyDescent="0.3">
      <c r="A366" s="27" t="s">
        <v>81</v>
      </c>
      <c r="B366" s="49">
        <v>813802.09299999999</v>
      </c>
      <c r="C366" s="26" t="s">
        <v>132</v>
      </c>
    </row>
    <row r="367" spans="1:28" x14ac:dyDescent="0.3">
      <c r="A367" s="27" t="s">
        <v>2</v>
      </c>
      <c r="B367" s="26">
        <v>300</v>
      </c>
      <c r="C367" s="26" t="s">
        <v>130</v>
      </c>
    </row>
    <row r="368" spans="1:28" x14ac:dyDescent="0.3">
      <c r="A368" s="27" t="s">
        <v>4</v>
      </c>
      <c r="B368" s="26">
        <v>218819.79</v>
      </c>
      <c r="C368" s="26" t="s">
        <v>131</v>
      </c>
    </row>
    <row r="370" spans="1:8" x14ac:dyDescent="0.3">
      <c r="A370" s="14"/>
      <c r="B370" s="48" t="s">
        <v>89</v>
      </c>
      <c r="C370" s="48"/>
      <c r="D370" s="48"/>
      <c r="E370" s="14"/>
    </row>
    <row r="371" spans="1:8" x14ac:dyDescent="0.3">
      <c r="B371" s="26" t="s">
        <v>83</v>
      </c>
      <c r="C371" s="54">
        <f>(B368*B365)/B367</f>
        <v>455874.5625</v>
      </c>
      <c r="D371" s="26" t="s">
        <v>88</v>
      </c>
    </row>
    <row r="372" spans="1:8" x14ac:dyDescent="0.3">
      <c r="B372" s="26" t="s">
        <v>84</v>
      </c>
      <c r="C372" s="54">
        <f>(12*B368*B366)/(B367^3)</f>
        <v>79144.890263031324</v>
      </c>
      <c r="D372" s="26" t="s">
        <v>88</v>
      </c>
    </row>
    <row r="373" spans="1:8" x14ac:dyDescent="0.3">
      <c r="B373" s="26" t="s">
        <v>85</v>
      </c>
      <c r="C373" s="54">
        <f>(6*B368*B366)/(B367^2)</f>
        <v>11871733.539454699</v>
      </c>
      <c r="D373" s="26" t="s">
        <v>88</v>
      </c>
    </row>
    <row r="374" spans="1:8" x14ac:dyDescent="0.3">
      <c r="B374" s="26" t="s">
        <v>86</v>
      </c>
      <c r="C374" s="54">
        <f>+(4*B368*B366)/(B367)</f>
        <v>2374346707.8909397</v>
      </c>
      <c r="D374" s="26" t="s">
        <v>88</v>
      </c>
    </row>
    <row r="375" spans="1:8" x14ac:dyDescent="0.3">
      <c r="B375" s="26" t="s">
        <v>87</v>
      </c>
      <c r="C375" s="54">
        <f>+(2*B368*B366)/B367</f>
        <v>1187173353.9454699</v>
      </c>
      <c r="D375" s="26" t="s">
        <v>88</v>
      </c>
    </row>
    <row r="377" spans="1:8" x14ac:dyDescent="0.3">
      <c r="A377" s="43" t="s">
        <v>46</v>
      </c>
      <c r="B377" s="43"/>
      <c r="C377" s="43"/>
      <c r="D377" s="43"/>
      <c r="E377" s="43"/>
      <c r="F377" s="43"/>
      <c r="G377" s="43"/>
    </row>
    <row r="378" spans="1:8" x14ac:dyDescent="0.3">
      <c r="A378" t="s">
        <v>127</v>
      </c>
      <c r="B378" s="29" t="s">
        <v>97</v>
      </c>
      <c r="C378" s="29" t="s">
        <v>98</v>
      </c>
      <c r="D378" s="29" t="s">
        <v>109</v>
      </c>
      <c r="E378" s="29" t="s">
        <v>136</v>
      </c>
      <c r="F378" s="29" t="s">
        <v>137</v>
      </c>
      <c r="G378" s="29" t="s">
        <v>138</v>
      </c>
    </row>
    <row r="379" spans="1:8" x14ac:dyDescent="0.3">
      <c r="A379" s="29" t="str">
        <f t="array" ref="A379:A384">+TRANSPOSE(B378:G378)</f>
        <v>3x</v>
      </c>
      <c r="B379" s="34">
        <f>+C371</f>
        <v>455874.5625</v>
      </c>
      <c r="C379" s="34">
        <v>0</v>
      </c>
      <c r="D379" s="34">
        <v>0</v>
      </c>
      <c r="E379" s="35">
        <f>+-C371</f>
        <v>-455874.5625</v>
      </c>
      <c r="F379" s="35">
        <v>0</v>
      </c>
      <c r="G379" s="35">
        <v>0</v>
      </c>
    </row>
    <row r="380" spans="1:8" x14ac:dyDescent="0.3">
      <c r="A380" s="29" t="str">
        <v>3z</v>
      </c>
      <c r="B380" s="34">
        <v>0</v>
      </c>
      <c r="C380" s="34">
        <f>+C372</f>
        <v>79144.890263031324</v>
      </c>
      <c r="D380" s="34">
        <f>+C373</f>
        <v>11871733.539454699</v>
      </c>
      <c r="E380" s="35">
        <v>0</v>
      </c>
      <c r="F380" s="35">
        <f>-C372</f>
        <v>-79144.890263031324</v>
      </c>
      <c r="G380" s="35">
        <f>+C373</f>
        <v>11871733.539454699</v>
      </c>
    </row>
    <row r="381" spans="1:8" x14ac:dyDescent="0.3">
      <c r="A381" s="29" t="str">
        <v>ϴ 3</v>
      </c>
      <c r="B381" s="34">
        <v>0</v>
      </c>
      <c r="C381" s="34">
        <f>+C373</f>
        <v>11871733.539454699</v>
      </c>
      <c r="D381" s="34">
        <f>+C374</f>
        <v>2374346707.8909397</v>
      </c>
      <c r="E381" s="35">
        <v>0</v>
      </c>
      <c r="F381" s="35">
        <f>+-C373</f>
        <v>-11871733.539454699</v>
      </c>
      <c r="G381" s="35">
        <f>+C375</f>
        <v>1187173353.9454699</v>
      </c>
    </row>
    <row r="382" spans="1:8" x14ac:dyDescent="0.3">
      <c r="A382" s="29" t="str">
        <v>6x</v>
      </c>
      <c r="B382" s="36">
        <f>-C371</f>
        <v>-455874.5625</v>
      </c>
      <c r="C382" s="36">
        <v>0</v>
      </c>
      <c r="D382" s="36">
        <v>0</v>
      </c>
      <c r="E382" s="37">
        <f>+C371</f>
        <v>455874.5625</v>
      </c>
      <c r="F382" s="37">
        <v>0</v>
      </c>
      <c r="G382" s="37">
        <v>0</v>
      </c>
    </row>
    <row r="383" spans="1:8" x14ac:dyDescent="0.3">
      <c r="A383" s="29" t="str">
        <v>6z</v>
      </c>
      <c r="B383" s="36">
        <v>0</v>
      </c>
      <c r="C383" s="36">
        <f>-C372</f>
        <v>-79144.890263031324</v>
      </c>
      <c r="D383" s="36">
        <f>-C373</f>
        <v>-11871733.539454699</v>
      </c>
      <c r="E383" s="37">
        <v>0</v>
      </c>
      <c r="F383" s="37">
        <f>C372</f>
        <v>79144.890263031324</v>
      </c>
      <c r="G383" s="37">
        <f>-C373</f>
        <v>-11871733.539454699</v>
      </c>
    </row>
    <row r="384" spans="1:8" x14ac:dyDescent="0.3">
      <c r="A384" s="29" t="str">
        <v>ϴ 6</v>
      </c>
      <c r="B384" s="36">
        <v>0</v>
      </c>
      <c r="C384" s="36">
        <f>+C373</f>
        <v>11871733.539454699</v>
      </c>
      <c r="D384" s="36">
        <f>+C375</f>
        <v>1187173353.9454699</v>
      </c>
      <c r="E384" s="37">
        <v>0</v>
      </c>
      <c r="F384" s="37">
        <f>-C373</f>
        <v>-11871733.539454699</v>
      </c>
      <c r="G384" s="37">
        <f>C374</f>
        <v>2374346707.8909397</v>
      </c>
      <c r="H384" t="s">
        <v>128</v>
      </c>
    </row>
    <row r="386" spans="1:10" x14ac:dyDescent="0.3">
      <c r="A386" s="43" t="s">
        <v>49</v>
      </c>
      <c r="B386" s="43"/>
      <c r="C386" s="43"/>
      <c r="D386" s="43"/>
      <c r="E386" s="43"/>
      <c r="F386" s="43"/>
      <c r="G386" s="43"/>
      <c r="H386" s="43"/>
      <c r="I386" s="43"/>
      <c r="J386" s="43"/>
    </row>
    <row r="387" spans="1:10" x14ac:dyDescent="0.3">
      <c r="A387" s="32"/>
      <c r="B387" s="32"/>
      <c r="C387" s="43" t="s">
        <v>115</v>
      </c>
      <c r="D387" s="43"/>
      <c r="E387" s="43" t="s">
        <v>116</v>
      </c>
      <c r="F387" s="43"/>
      <c r="G387" s="43" t="s">
        <v>117</v>
      </c>
      <c r="H387" s="43"/>
      <c r="I387" s="43" t="s">
        <v>118</v>
      </c>
      <c r="J387" s="43"/>
    </row>
    <row r="388" spans="1:10" x14ac:dyDescent="0.3">
      <c r="A388" s="32" t="s">
        <v>103</v>
      </c>
      <c r="B388" s="10">
        <v>90</v>
      </c>
      <c r="C388" s="32" t="s">
        <v>114</v>
      </c>
      <c r="D388" s="38">
        <f>+B379</f>
        <v>455874.5625</v>
      </c>
      <c r="E388" s="32" t="s">
        <v>114</v>
      </c>
      <c r="F388" s="38">
        <f>+E379</f>
        <v>-455874.5625</v>
      </c>
      <c r="G388" s="32" t="s">
        <v>114</v>
      </c>
      <c r="H388" s="38">
        <f>+B382</f>
        <v>-455874.5625</v>
      </c>
      <c r="I388" s="32" t="s">
        <v>114</v>
      </c>
      <c r="J388" s="39">
        <f>+E382</f>
        <v>455874.5625</v>
      </c>
    </row>
    <row r="389" spans="1:10" x14ac:dyDescent="0.3">
      <c r="A389" s="32" t="s">
        <v>104</v>
      </c>
      <c r="B389" s="32">
        <f>SIN(RADIANS(B388))</f>
        <v>1</v>
      </c>
      <c r="C389" s="32" t="s">
        <v>112</v>
      </c>
      <c r="D389" s="38">
        <f>+C380</f>
        <v>79144.890263031324</v>
      </c>
      <c r="E389" s="32" t="s">
        <v>112</v>
      </c>
      <c r="F389" s="38">
        <f>+F380</f>
        <v>-79144.890263031324</v>
      </c>
      <c r="G389" s="32" t="s">
        <v>112</v>
      </c>
      <c r="H389" s="38">
        <f>+C383</f>
        <v>-79144.890263031324</v>
      </c>
      <c r="I389" s="32" t="s">
        <v>112</v>
      </c>
      <c r="J389" s="39">
        <f>+F383</f>
        <v>79144.890263031324</v>
      </c>
    </row>
    <row r="390" spans="1:10" x14ac:dyDescent="0.3">
      <c r="A390" s="32" t="s">
        <v>105</v>
      </c>
      <c r="B390" s="33">
        <f>COS(RADIANS(B388))</f>
        <v>6.1257422745431001E-17</v>
      </c>
      <c r="C390" s="32" t="s">
        <v>113</v>
      </c>
      <c r="D390" s="38">
        <f>+D381</f>
        <v>2374346707.8909397</v>
      </c>
      <c r="E390" s="32" t="s">
        <v>113</v>
      </c>
      <c r="F390" s="38">
        <f>+G381</f>
        <v>1187173353.9454699</v>
      </c>
      <c r="G390" s="32" t="s">
        <v>113</v>
      </c>
      <c r="H390" s="38">
        <f>+D384</f>
        <v>1187173353.9454699</v>
      </c>
      <c r="I390" s="32" t="s">
        <v>113</v>
      </c>
      <c r="J390" s="39">
        <f>+G384</f>
        <v>2374346707.8909397</v>
      </c>
    </row>
    <row r="391" spans="1:10" x14ac:dyDescent="0.3">
      <c r="A391" s="32"/>
      <c r="B391" s="32"/>
      <c r="C391" s="32" t="s">
        <v>18</v>
      </c>
      <c r="D391" s="38">
        <f>+D380</f>
        <v>11871733.539454699</v>
      </c>
      <c r="E391" s="32" t="s">
        <v>18</v>
      </c>
      <c r="F391" s="38">
        <f>+G380</f>
        <v>11871733.539454699</v>
      </c>
      <c r="G391" s="32" t="s">
        <v>18</v>
      </c>
      <c r="H391" s="38">
        <f>+D383</f>
        <v>-11871733.539454699</v>
      </c>
      <c r="I391" s="32" t="s">
        <v>18</v>
      </c>
      <c r="J391" s="39">
        <f>+G383</f>
        <v>-11871733.539454699</v>
      </c>
    </row>
    <row r="392" spans="1:10" x14ac:dyDescent="0.3">
      <c r="C392" s="32" t="s">
        <v>82</v>
      </c>
      <c r="D392" s="38">
        <f>+C381</f>
        <v>11871733.539454699</v>
      </c>
      <c r="E392" s="32" t="s">
        <v>82</v>
      </c>
      <c r="F392" s="38">
        <f>+F381</f>
        <v>-11871733.539454699</v>
      </c>
      <c r="G392" s="32" t="s">
        <v>82</v>
      </c>
      <c r="H392" s="38">
        <f>+C384</f>
        <v>11871733.539454699</v>
      </c>
      <c r="I392" s="32" t="s">
        <v>82</v>
      </c>
      <c r="J392" s="39">
        <f>+F384</f>
        <v>-11871733.539454699</v>
      </c>
    </row>
    <row r="393" spans="1:10" x14ac:dyDescent="0.3">
      <c r="H393" s="32"/>
      <c r="I393" s="32"/>
    </row>
    <row r="394" spans="1:10" x14ac:dyDescent="0.3">
      <c r="H394" s="32"/>
      <c r="I394" s="32"/>
    </row>
    <row r="395" spans="1:10" x14ac:dyDescent="0.3">
      <c r="H395" s="32"/>
      <c r="I395" s="32"/>
    </row>
    <row r="396" spans="1:10" x14ac:dyDescent="0.3">
      <c r="A396" t="str">
        <f>+A378</f>
        <v>k6</v>
      </c>
      <c r="B396" s="29" t="str">
        <f t="array" ref="B396:G396">B378:G378</f>
        <v>3x</v>
      </c>
      <c r="C396" s="29" t="str">
        <v>3z</v>
      </c>
      <c r="D396" s="29" t="str">
        <v>ϴ 3</v>
      </c>
      <c r="E396" s="29" t="str">
        <v>6x</v>
      </c>
      <c r="F396" s="29" t="str">
        <v>6z</v>
      </c>
      <c r="G396" s="29" t="str">
        <v>ϴ 6</v>
      </c>
      <c r="H396" s="32"/>
      <c r="I396" s="32"/>
    </row>
    <row r="397" spans="1:10" x14ac:dyDescent="0.3">
      <c r="A397" s="29" t="str">
        <f t="array" ref="A397:A402">+TRANSPOSE(B396:G396)</f>
        <v>3x</v>
      </c>
      <c r="B397" s="34">
        <f>(D388*B390*B390)+(D389*B389*B389)</f>
        <v>79144.890263031324</v>
      </c>
      <c r="C397" s="34">
        <f>(D388-D389)*B390*B389</f>
        <v>2.307748879296765E-11</v>
      </c>
      <c r="D397" s="34">
        <f>-D391*B389</f>
        <v>-11871733.539454699</v>
      </c>
      <c r="E397" s="35">
        <f>(F388*B390*B390)+(F389*B389*B389)</f>
        <v>-79144.890263031324</v>
      </c>
      <c r="F397" s="35">
        <f>(F388-F389)*B390*B389</f>
        <v>-2.307748879296765E-11</v>
      </c>
      <c r="G397" s="35">
        <f>-F391*B389</f>
        <v>-11871733.539454699</v>
      </c>
      <c r="H397" s="32"/>
      <c r="I397" s="32"/>
    </row>
    <row r="398" spans="1:10" x14ac:dyDescent="0.3">
      <c r="A398" s="29" t="str">
        <v>3z</v>
      </c>
      <c r="B398" s="34">
        <f>(D388-D389)*B390*B389</f>
        <v>2.307748879296765E-11</v>
      </c>
      <c r="C398" s="34">
        <f>(D388*B389*B389)+(D389*B390*B390)</f>
        <v>455874.5625</v>
      </c>
      <c r="D398" s="34">
        <f>D391*B390</f>
        <v>7.272318001474883E-10</v>
      </c>
      <c r="E398" s="35">
        <f>(F388-F389)*B390*B389</f>
        <v>-2.307748879296765E-11</v>
      </c>
      <c r="F398" s="35">
        <f>(F388*B389*B389)+(F389*B390*B390)</f>
        <v>-455874.5625</v>
      </c>
      <c r="G398" s="35">
        <f>F391*B390</f>
        <v>7.272318001474883E-10</v>
      </c>
      <c r="H398" s="32"/>
      <c r="I398" s="32"/>
    </row>
    <row r="399" spans="1:10" x14ac:dyDescent="0.3">
      <c r="A399" s="29" t="str">
        <v>ϴ 3</v>
      </c>
      <c r="B399" s="34">
        <f>-D392*B389</f>
        <v>-11871733.539454699</v>
      </c>
      <c r="C399" s="34">
        <f>D392*B390</f>
        <v>7.272318001474883E-10</v>
      </c>
      <c r="D399" s="34">
        <f>+D390</f>
        <v>2374346707.8909397</v>
      </c>
      <c r="E399" s="35">
        <f>-F392*B389</f>
        <v>11871733.539454699</v>
      </c>
      <c r="F399" s="35">
        <f>F392*B390</f>
        <v>-7.272318001474883E-10</v>
      </c>
      <c r="G399" s="35">
        <f>+F390</f>
        <v>1187173353.9454699</v>
      </c>
      <c r="H399" s="32"/>
      <c r="I399" s="32"/>
    </row>
    <row r="400" spans="1:10" x14ac:dyDescent="0.3">
      <c r="A400" s="29" t="str">
        <v>6x</v>
      </c>
      <c r="B400" s="36">
        <f>(H388*B390*B390)+(H389*B389*B389)</f>
        <v>-79144.890263031324</v>
      </c>
      <c r="C400" s="36">
        <f>(H388-H389)*B390*B389</f>
        <v>-2.307748879296765E-11</v>
      </c>
      <c r="D400" s="36">
        <f>-H391*B389</f>
        <v>11871733.539454699</v>
      </c>
      <c r="E400" s="37">
        <f>(J388*B390*B390)+(J389*B389*B389)</f>
        <v>79144.890263031324</v>
      </c>
      <c r="F400" s="37">
        <f>(J388-J389)*B390*B389</f>
        <v>2.307748879296765E-11</v>
      </c>
      <c r="G400" s="37">
        <f>-J391*B389</f>
        <v>11871733.539454699</v>
      </c>
      <c r="H400" s="32"/>
      <c r="I400" s="32"/>
    </row>
    <row r="401" spans="1:28" x14ac:dyDescent="0.3">
      <c r="A401" s="29" t="str">
        <v>6z</v>
      </c>
      <c r="B401" s="36">
        <f>(H389-H390)*B390*B389</f>
        <v>-7.2728028226749817E-8</v>
      </c>
      <c r="C401" s="36">
        <f>(H388*B389*B389)+(H389*B390*B390)</f>
        <v>-455874.5625</v>
      </c>
      <c r="D401" s="36">
        <f>+H391*B390</f>
        <v>-7.272318001474883E-10</v>
      </c>
      <c r="E401" s="37">
        <f>(J388-J389)*B390*B389</f>
        <v>2.307748879296765E-11</v>
      </c>
      <c r="F401" s="37">
        <f>(J388*B389*B389)+(J389*B390*B390)</f>
        <v>455874.5625</v>
      </c>
      <c r="G401" s="37">
        <f>-J391*B390</f>
        <v>7.272318001474883E-10</v>
      </c>
      <c r="H401" s="32"/>
      <c r="I401" s="32"/>
    </row>
    <row r="402" spans="1:28" x14ac:dyDescent="0.3">
      <c r="A402" s="29" t="str">
        <v>ϴ 6</v>
      </c>
      <c r="B402" s="36">
        <f>-H392*B389</f>
        <v>-11871733.539454699</v>
      </c>
      <c r="C402" s="36">
        <f>+H392*B390</f>
        <v>7.272318001474883E-10</v>
      </c>
      <c r="D402" s="36">
        <f>+H390</f>
        <v>1187173353.9454699</v>
      </c>
      <c r="E402" s="37">
        <f>-J392*B389</f>
        <v>11871733.539454699</v>
      </c>
      <c r="F402" s="37">
        <f>+J392*B390</f>
        <v>-7.272318001474883E-10</v>
      </c>
      <c r="G402" s="37">
        <f>+J390</f>
        <v>2374346707.8909397</v>
      </c>
      <c r="H402" s="32"/>
      <c r="I402" s="32"/>
    </row>
    <row r="403" spans="1:28" x14ac:dyDescent="0.3">
      <c r="A403" s="32"/>
      <c r="B403" s="32"/>
      <c r="C403" s="32"/>
      <c r="D403" s="32"/>
      <c r="E403" s="32"/>
      <c r="F403" s="32"/>
      <c r="G403" s="32"/>
      <c r="H403" s="32"/>
      <c r="I403" s="32"/>
    </row>
    <row r="404" spans="1:28" x14ac:dyDescent="0.3">
      <c r="A404" s="32"/>
      <c r="B404" s="32"/>
      <c r="C404" s="32"/>
      <c r="D404" s="32"/>
      <c r="E404" s="32"/>
      <c r="F404" s="32"/>
      <c r="G404" s="32"/>
      <c r="H404" s="32"/>
      <c r="I404" s="32"/>
    </row>
    <row r="405" spans="1:28" x14ac:dyDescent="0.3">
      <c r="A405" t="s">
        <v>48</v>
      </c>
      <c r="B405" s="31" t="s">
        <v>91</v>
      </c>
      <c r="C405" s="31" t="s">
        <v>92</v>
      </c>
      <c r="D405" s="31" t="s">
        <v>106</v>
      </c>
      <c r="E405" s="31" t="s">
        <v>95</v>
      </c>
      <c r="F405" s="31" t="s">
        <v>96</v>
      </c>
      <c r="G405" s="31" t="s">
        <v>108</v>
      </c>
      <c r="H405" s="31" t="s">
        <v>97</v>
      </c>
      <c r="I405" s="31" t="s">
        <v>98</v>
      </c>
      <c r="J405" s="31" t="s">
        <v>109</v>
      </c>
      <c r="K405" s="31" t="s">
        <v>99</v>
      </c>
      <c r="L405" s="31" t="s">
        <v>100</v>
      </c>
      <c r="M405" s="31" t="s">
        <v>110</v>
      </c>
      <c r="N405" s="31" t="s">
        <v>133</v>
      </c>
      <c r="O405" s="31" t="s">
        <v>134</v>
      </c>
      <c r="P405" s="31" t="s">
        <v>135</v>
      </c>
      <c r="Q405" s="31" t="s">
        <v>136</v>
      </c>
      <c r="R405" s="31" t="s">
        <v>137</v>
      </c>
      <c r="S405" s="31" t="s">
        <v>138</v>
      </c>
      <c r="T405" s="31" t="s">
        <v>94</v>
      </c>
      <c r="U405" s="31" t="s">
        <v>93</v>
      </c>
      <c r="V405" s="31" t="s">
        <v>107</v>
      </c>
      <c r="W405" s="31" t="s">
        <v>101</v>
      </c>
      <c r="X405" s="31" t="s">
        <v>102</v>
      </c>
      <c r="Y405" s="31" t="s">
        <v>111</v>
      </c>
      <c r="Z405" s="31" t="s">
        <v>139</v>
      </c>
      <c r="AA405" s="31" t="s">
        <v>140</v>
      </c>
      <c r="AB405" s="31" t="s">
        <v>141</v>
      </c>
    </row>
    <row r="406" spans="1:28" x14ac:dyDescent="0.3">
      <c r="A406" s="31" t="str">
        <f t="array" ref="A406:A432">TRANSPOSE(B405:AB405)</f>
        <v>1x</v>
      </c>
      <c r="B406" s="53">
        <v>0</v>
      </c>
      <c r="C406" s="53">
        <v>0</v>
      </c>
      <c r="D406" s="53">
        <v>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  <c r="N406" s="53">
        <v>0</v>
      </c>
      <c r="O406" s="53">
        <v>0</v>
      </c>
      <c r="P406" s="53">
        <v>0</v>
      </c>
      <c r="Q406" s="53">
        <v>0</v>
      </c>
      <c r="R406" s="53">
        <v>0</v>
      </c>
      <c r="S406" s="53">
        <v>0</v>
      </c>
      <c r="T406" s="53">
        <v>0</v>
      </c>
      <c r="U406" s="53">
        <v>0</v>
      </c>
      <c r="V406" s="53">
        <v>0</v>
      </c>
      <c r="W406" s="53">
        <v>0</v>
      </c>
      <c r="X406" s="53">
        <v>0</v>
      </c>
      <c r="Y406" s="53">
        <v>0</v>
      </c>
      <c r="Z406" s="53">
        <v>0</v>
      </c>
      <c r="AA406" s="53">
        <v>0</v>
      </c>
      <c r="AB406" s="53">
        <v>0</v>
      </c>
    </row>
    <row r="407" spans="1:28" x14ac:dyDescent="0.3">
      <c r="A407" s="31" t="str">
        <v>1z</v>
      </c>
      <c r="B407" s="53">
        <v>0</v>
      </c>
      <c r="C407" s="53">
        <v>0</v>
      </c>
      <c r="D407" s="53">
        <v>0</v>
      </c>
      <c r="E407" s="53">
        <v>0</v>
      </c>
      <c r="F407" s="53">
        <v>0</v>
      </c>
      <c r="G407" s="53">
        <v>0</v>
      </c>
      <c r="H407" s="53">
        <v>0</v>
      </c>
      <c r="I407" s="53">
        <v>0</v>
      </c>
      <c r="J407" s="53">
        <v>0</v>
      </c>
      <c r="K407" s="53">
        <v>0</v>
      </c>
      <c r="L407" s="53">
        <v>0</v>
      </c>
      <c r="M407" s="53">
        <v>0</v>
      </c>
      <c r="N407" s="53">
        <v>0</v>
      </c>
      <c r="O407" s="53">
        <v>0</v>
      </c>
      <c r="P407" s="53">
        <v>0</v>
      </c>
      <c r="Q407" s="53">
        <v>0</v>
      </c>
      <c r="R407" s="53">
        <v>0</v>
      </c>
      <c r="S407" s="53">
        <v>0</v>
      </c>
      <c r="T407" s="53">
        <v>0</v>
      </c>
      <c r="U407" s="53">
        <v>0</v>
      </c>
      <c r="V407" s="53">
        <v>0</v>
      </c>
      <c r="W407" s="53">
        <v>0</v>
      </c>
      <c r="X407" s="53">
        <v>0</v>
      </c>
      <c r="Y407" s="53">
        <v>0</v>
      </c>
      <c r="Z407" s="53">
        <v>0</v>
      </c>
      <c r="AA407" s="53">
        <v>0</v>
      </c>
      <c r="AB407" s="53">
        <v>0</v>
      </c>
    </row>
    <row r="408" spans="1:28" x14ac:dyDescent="0.3">
      <c r="A408" s="31" t="str">
        <v>ϴ 1</v>
      </c>
      <c r="B408" s="53">
        <v>0</v>
      </c>
      <c r="C408" s="53">
        <v>0</v>
      </c>
      <c r="D408" s="53">
        <v>0</v>
      </c>
      <c r="E408" s="53">
        <v>0</v>
      </c>
      <c r="F408" s="53">
        <v>0</v>
      </c>
      <c r="G408" s="53">
        <v>0</v>
      </c>
      <c r="H408" s="53">
        <v>0</v>
      </c>
      <c r="I408" s="53">
        <v>0</v>
      </c>
      <c r="J408" s="53">
        <v>0</v>
      </c>
      <c r="K408" s="53">
        <v>0</v>
      </c>
      <c r="L408" s="53">
        <v>0</v>
      </c>
      <c r="M408" s="53">
        <v>0</v>
      </c>
      <c r="N408" s="53">
        <v>0</v>
      </c>
      <c r="O408" s="53">
        <v>0</v>
      </c>
      <c r="P408" s="53">
        <v>0</v>
      </c>
      <c r="Q408" s="53">
        <v>0</v>
      </c>
      <c r="R408" s="53">
        <v>0</v>
      </c>
      <c r="S408" s="53">
        <v>0</v>
      </c>
      <c r="T408" s="53">
        <v>0</v>
      </c>
      <c r="U408" s="53">
        <v>0</v>
      </c>
      <c r="V408" s="53">
        <v>0</v>
      </c>
      <c r="W408" s="53">
        <v>0</v>
      </c>
      <c r="X408" s="53">
        <v>0</v>
      </c>
      <c r="Y408" s="53">
        <v>0</v>
      </c>
      <c r="Z408" s="53">
        <v>0</v>
      </c>
      <c r="AA408" s="53">
        <v>0</v>
      </c>
      <c r="AB408" s="53">
        <v>0</v>
      </c>
    </row>
    <row r="409" spans="1:28" x14ac:dyDescent="0.3">
      <c r="A409" s="31" t="str">
        <v>2x</v>
      </c>
      <c r="B409" s="53">
        <v>0</v>
      </c>
      <c r="C409" s="53">
        <v>0</v>
      </c>
      <c r="D409" s="53">
        <v>0</v>
      </c>
      <c r="E409" s="53">
        <v>0</v>
      </c>
      <c r="F409" s="53">
        <v>0</v>
      </c>
      <c r="G409" s="53">
        <v>0</v>
      </c>
      <c r="H409" s="53">
        <v>0</v>
      </c>
      <c r="I409" s="53">
        <v>0</v>
      </c>
      <c r="J409" s="53">
        <v>0</v>
      </c>
      <c r="K409" s="53">
        <v>0</v>
      </c>
      <c r="L409" s="53">
        <v>0</v>
      </c>
      <c r="M409" s="53">
        <v>0</v>
      </c>
      <c r="N409" s="53">
        <v>0</v>
      </c>
      <c r="O409" s="53">
        <v>0</v>
      </c>
      <c r="P409" s="53">
        <v>0</v>
      </c>
      <c r="Q409" s="53">
        <v>0</v>
      </c>
      <c r="R409" s="53">
        <v>0</v>
      </c>
      <c r="S409" s="53">
        <v>0</v>
      </c>
      <c r="T409" s="53">
        <v>0</v>
      </c>
      <c r="U409" s="53">
        <v>0</v>
      </c>
      <c r="V409" s="53">
        <v>0</v>
      </c>
      <c r="W409" s="53">
        <v>0</v>
      </c>
      <c r="X409" s="53">
        <v>0</v>
      </c>
      <c r="Y409" s="53">
        <v>0</v>
      </c>
      <c r="Z409" s="53">
        <v>0</v>
      </c>
      <c r="AA409" s="53">
        <v>0</v>
      </c>
      <c r="AB409" s="53">
        <v>0</v>
      </c>
    </row>
    <row r="410" spans="1:28" x14ac:dyDescent="0.3">
      <c r="A410" s="31" t="str">
        <v>2z</v>
      </c>
      <c r="B410" s="53">
        <v>0</v>
      </c>
      <c r="C410" s="53">
        <v>0</v>
      </c>
      <c r="D410" s="53">
        <v>0</v>
      </c>
      <c r="E410" s="53">
        <v>0</v>
      </c>
      <c r="F410" s="53">
        <v>0</v>
      </c>
      <c r="G410" s="53">
        <v>0</v>
      </c>
      <c r="H410" s="53">
        <v>0</v>
      </c>
      <c r="I410" s="53">
        <v>0</v>
      </c>
      <c r="J410" s="53">
        <v>0</v>
      </c>
      <c r="K410" s="53">
        <v>0</v>
      </c>
      <c r="L410" s="53">
        <v>0</v>
      </c>
      <c r="M410" s="53">
        <v>0</v>
      </c>
      <c r="N410" s="53">
        <v>0</v>
      </c>
      <c r="O410" s="53">
        <v>0</v>
      </c>
      <c r="P410" s="53">
        <v>0</v>
      </c>
      <c r="Q410" s="53">
        <v>0</v>
      </c>
      <c r="R410" s="53">
        <v>0</v>
      </c>
      <c r="S410" s="53">
        <v>0</v>
      </c>
      <c r="T410" s="53">
        <v>0</v>
      </c>
      <c r="U410" s="53">
        <v>0</v>
      </c>
      <c r="V410" s="53">
        <v>0</v>
      </c>
      <c r="W410" s="53">
        <v>0</v>
      </c>
      <c r="X410" s="53">
        <v>0</v>
      </c>
      <c r="Y410" s="53">
        <v>0</v>
      </c>
      <c r="Z410" s="53">
        <v>0</v>
      </c>
      <c r="AA410" s="53">
        <v>0</v>
      </c>
      <c r="AB410" s="53">
        <v>0</v>
      </c>
    </row>
    <row r="411" spans="1:28" x14ac:dyDescent="0.3">
      <c r="A411" s="31" t="str">
        <v>ϴ 2</v>
      </c>
      <c r="B411" s="53">
        <v>0</v>
      </c>
      <c r="C411" s="53">
        <v>0</v>
      </c>
      <c r="D411" s="53">
        <v>0</v>
      </c>
      <c r="E411" s="53">
        <v>0</v>
      </c>
      <c r="F411" s="53">
        <v>0</v>
      </c>
      <c r="G411" s="53">
        <v>0</v>
      </c>
      <c r="H411" s="53">
        <v>0</v>
      </c>
      <c r="I411" s="53">
        <v>0</v>
      </c>
      <c r="J411" s="53">
        <v>0</v>
      </c>
      <c r="K411" s="53">
        <v>0</v>
      </c>
      <c r="L411" s="53">
        <v>0</v>
      </c>
      <c r="M411" s="53">
        <v>0</v>
      </c>
      <c r="N411" s="53">
        <v>0</v>
      </c>
      <c r="O411" s="53">
        <v>0</v>
      </c>
      <c r="P411" s="53">
        <v>0</v>
      </c>
      <c r="Q411" s="53">
        <v>0</v>
      </c>
      <c r="R411" s="53">
        <v>0</v>
      </c>
      <c r="S411" s="53">
        <v>0</v>
      </c>
      <c r="T411" s="53">
        <v>0</v>
      </c>
      <c r="U411" s="53">
        <v>0</v>
      </c>
      <c r="V411" s="53">
        <v>0</v>
      </c>
      <c r="W411" s="53">
        <v>0</v>
      </c>
      <c r="X411" s="53">
        <v>0</v>
      </c>
      <c r="Y411" s="53">
        <v>0</v>
      </c>
      <c r="Z411" s="53">
        <v>0</v>
      </c>
      <c r="AA411" s="53">
        <v>0</v>
      </c>
      <c r="AB411" s="53">
        <v>0</v>
      </c>
    </row>
    <row r="412" spans="1:28" x14ac:dyDescent="0.3">
      <c r="A412" s="31" t="str">
        <v>3x</v>
      </c>
      <c r="B412" s="53">
        <v>0</v>
      </c>
      <c r="C412" s="53">
        <v>0</v>
      </c>
      <c r="D412" s="53">
        <v>0</v>
      </c>
      <c r="E412" s="53">
        <v>0</v>
      </c>
      <c r="F412" s="53">
        <v>0</v>
      </c>
      <c r="G412" s="53">
        <v>0</v>
      </c>
      <c r="H412" s="53">
        <f t="array" ref="H412:J414">B397:D399</f>
        <v>79144.890263031324</v>
      </c>
      <c r="I412" s="53">
        <v>2.307748879296765E-11</v>
      </c>
      <c r="J412" s="53">
        <v>-11871733.539454699</v>
      </c>
      <c r="K412" s="53">
        <v>0</v>
      </c>
      <c r="L412" s="53">
        <v>0</v>
      </c>
      <c r="M412" s="53">
        <v>0</v>
      </c>
      <c r="N412" s="53">
        <v>0</v>
      </c>
      <c r="O412" s="53">
        <v>0</v>
      </c>
      <c r="P412" s="53">
        <v>0</v>
      </c>
      <c r="Q412" s="53">
        <f t="array" ref="Q412:S414">E397:G399</f>
        <v>-79144.890263031324</v>
      </c>
      <c r="R412" s="53">
        <v>-2.307748879296765E-11</v>
      </c>
      <c r="S412" s="53">
        <v>-11871733.539454699</v>
      </c>
      <c r="T412" s="53">
        <v>0</v>
      </c>
      <c r="U412" s="53">
        <v>0</v>
      </c>
      <c r="V412" s="53">
        <v>0</v>
      </c>
      <c r="W412" s="53">
        <v>0</v>
      </c>
      <c r="X412" s="53">
        <v>0</v>
      </c>
      <c r="Y412" s="53">
        <v>0</v>
      </c>
      <c r="Z412" s="53">
        <v>0</v>
      </c>
      <c r="AA412" s="53">
        <v>0</v>
      </c>
      <c r="AB412" s="53">
        <v>0</v>
      </c>
    </row>
    <row r="413" spans="1:28" x14ac:dyDescent="0.3">
      <c r="A413" s="31" t="str">
        <v>3z</v>
      </c>
      <c r="B413" s="53">
        <v>0</v>
      </c>
      <c r="C413" s="53">
        <v>0</v>
      </c>
      <c r="D413" s="53">
        <v>0</v>
      </c>
      <c r="E413" s="53">
        <v>0</v>
      </c>
      <c r="F413" s="53">
        <v>0</v>
      </c>
      <c r="G413" s="53">
        <v>0</v>
      </c>
      <c r="H413" s="53">
        <v>2.307748879296765E-11</v>
      </c>
      <c r="I413" s="53">
        <v>455874.5625</v>
      </c>
      <c r="J413" s="53">
        <v>7.272318001474883E-10</v>
      </c>
      <c r="K413" s="53">
        <v>0</v>
      </c>
      <c r="L413" s="53">
        <v>0</v>
      </c>
      <c r="M413" s="53">
        <v>0</v>
      </c>
      <c r="N413" s="53">
        <v>0</v>
      </c>
      <c r="O413" s="53">
        <v>0</v>
      </c>
      <c r="P413" s="53">
        <v>0</v>
      </c>
      <c r="Q413" s="53">
        <v>-2.307748879296765E-11</v>
      </c>
      <c r="R413" s="53">
        <v>-455874.5625</v>
      </c>
      <c r="S413" s="53">
        <v>7.272318001474883E-10</v>
      </c>
      <c r="T413" s="53">
        <v>0</v>
      </c>
      <c r="U413" s="53">
        <v>0</v>
      </c>
      <c r="V413" s="53">
        <v>0</v>
      </c>
      <c r="W413" s="53">
        <v>0</v>
      </c>
      <c r="X413" s="53">
        <v>0</v>
      </c>
      <c r="Y413" s="53">
        <v>0</v>
      </c>
      <c r="Z413" s="53">
        <v>0</v>
      </c>
      <c r="AA413" s="53">
        <v>0</v>
      </c>
      <c r="AB413" s="53">
        <v>0</v>
      </c>
    </row>
    <row r="414" spans="1:28" x14ac:dyDescent="0.3">
      <c r="A414" s="31" t="str">
        <v>ϴ 3</v>
      </c>
      <c r="B414" s="53">
        <v>0</v>
      </c>
      <c r="C414" s="53">
        <v>0</v>
      </c>
      <c r="D414" s="53">
        <v>0</v>
      </c>
      <c r="E414" s="53">
        <v>0</v>
      </c>
      <c r="F414" s="53">
        <v>0</v>
      </c>
      <c r="G414" s="53">
        <v>0</v>
      </c>
      <c r="H414" s="53">
        <v>-11871733.539454699</v>
      </c>
      <c r="I414" s="53">
        <v>7.272318001474883E-10</v>
      </c>
      <c r="J414" s="53">
        <v>2374346707.8909397</v>
      </c>
      <c r="K414" s="53">
        <v>0</v>
      </c>
      <c r="L414" s="53">
        <v>0</v>
      </c>
      <c r="M414" s="53">
        <v>0</v>
      </c>
      <c r="N414" s="53">
        <v>0</v>
      </c>
      <c r="O414" s="53">
        <v>0</v>
      </c>
      <c r="P414" s="53">
        <v>0</v>
      </c>
      <c r="Q414" s="53">
        <v>11871733.539454699</v>
      </c>
      <c r="R414" s="53">
        <v>-7.272318001474883E-10</v>
      </c>
      <c r="S414" s="53">
        <v>1187173353.9454699</v>
      </c>
      <c r="T414" s="53">
        <v>0</v>
      </c>
      <c r="U414" s="53">
        <v>0</v>
      </c>
      <c r="V414" s="53">
        <v>0</v>
      </c>
      <c r="W414" s="53">
        <v>0</v>
      </c>
      <c r="X414" s="53">
        <v>0</v>
      </c>
      <c r="Y414" s="53">
        <v>0</v>
      </c>
      <c r="Z414" s="53">
        <v>0</v>
      </c>
      <c r="AA414" s="53">
        <v>0</v>
      </c>
      <c r="AB414" s="53">
        <v>0</v>
      </c>
    </row>
    <row r="415" spans="1:28" x14ac:dyDescent="0.3">
      <c r="A415" s="31" t="str">
        <v>4x</v>
      </c>
      <c r="B415" s="53">
        <v>0</v>
      </c>
      <c r="C415" s="53">
        <v>0</v>
      </c>
      <c r="D415" s="53">
        <v>0</v>
      </c>
      <c r="E415" s="53">
        <v>0</v>
      </c>
      <c r="F415" s="53">
        <v>0</v>
      </c>
      <c r="G415" s="53">
        <v>0</v>
      </c>
      <c r="H415" s="53">
        <v>0</v>
      </c>
      <c r="I415" s="53">
        <v>0</v>
      </c>
      <c r="J415" s="53">
        <v>0</v>
      </c>
      <c r="K415" s="53">
        <v>0</v>
      </c>
      <c r="L415" s="53">
        <v>0</v>
      </c>
      <c r="M415" s="53">
        <v>0</v>
      </c>
      <c r="N415" s="53">
        <v>0</v>
      </c>
      <c r="O415" s="53">
        <v>0</v>
      </c>
      <c r="P415" s="53">
        <v>0</v>
      </c>
      <c r="Q415" s="53">
        <v>0</v>
      </c>
      <c r="R415" s="53">
        <v>0</v>
      </c>
      <c r="S415" s="53">
        <v>0</v>
      </c>
      <c r="T415" s="53">
        <v>0</v>
      </c>
      <c r="U415" s="53">
        <v>0</v>
      </c>
      <c r="V415" s="53">
        <v>0</v>
      </c>
      <c r="W415" s="53">
        <v>0</v>
      </c>
      <c r="X415" s="53">
        <v>0</v>
      </c>
      <c r="Y415" s="53">
        <v>0</v>
      </c>
      <c r="Z415" s="53">
        <v>0</v>
      </c>
      <c r="AA415" s="53">
        <v>0</v>
      </c>
      <c r="AB415" s="53">
        <v>0</v>
      </c>
    </row>
    <row r="416" spans="1:28" x14ac:dyDescent="0.3">
      <c r="A416" s="31" t="str">
        <v>4z</v>
      </c>
      <c r="B416" s="53">
        <v>0</v>
      </c>
      <c r="C416" s="53">
        <v>0</v>
      </c>
      <c r="D416" s="53">
        <v>0</v>
      </c>
      <c r="E416" s="53">
        <v>0</v>
      </c>
      <c r="F416" s="53">
        <v>0</v>
      </c>
      <c r="G416" s="53">
        <v>0</v>
      </c>
      <c r="H416" s="53">
        <v>0</v>
      </c>
      <c r="I416" s="53">
        <v>0</v>
      </c>
      <c r="J416" s="53">
        <v>0</v>
      </c>
      <c r="K416" s="53">
        <v>0</v>
      </c>
      <c r="L416" s="53">
        <v>0</v>
      </c>
      <c r="M416" s="53">
        <v>0</v>
      </c>
      <c r="N416" s="53">
        <v>0</v>
      </c>
      <c r="O416" s="53">
        <v>0</v>
      </c>
      <c r="P416" s="53">
        <v>0</v>
      </c>
      <c r="Q416" s="53">
        <v>0</v>
      </c>
      <c r="R416" s="53">
        <v>0</v>
      </c>
      <c r="S416" s="53">
        <v>0</v>
      </c>
      <c r="T416" s="53">
        <v>0</v>
      </c>
      <c r="U416" s="53">
        <v>0</v>
      </c>
      <c r="V416" s="53">
        <v>0</v>
      </c>
      <c r="W416" s="53">
        <v>0</v>
      </c>
      <c r="X416" s="53">
        <v>0</v>
      </c>
      <c r="Y416" s="53">
        <v>0</v>
      </c>
      <c r="Z416" s="53">
        <v>0</v>
      </c>
      <c r="AA416" s="53">
        <v>0</v>
      </c>
      <c r="AB416" s="53">
        <v>0</v>
      </c>
    </row>
    <row r="417" spans="1:28" x14ac:dyDescent="0.3">
      <c r="A417" s="31" t="str">
        <v>ϴ 4</v>
      </c>
      <c r="B417" s="53">
        <v>0</v>
      </c>
      <c r="C417" s="53">
        <v>0</v>
      </c>
      <c r="D417" s="53">
        <v>0</v>
      </c>
      <c r="E417" s="53">
        <v>0</v>
      </c>
      <c r="F417" s="53">
        <v>0</v>
      </c>
      <c r="G417" s="53">
        <v>0</v>
      </c>
      <c r="H417" s="53">
        <v>0</v>
      </c>
      <c r="I417" s="53">
        <v>0</v>
      </c>
      <c r="J417" s="53">
        <v>0</v>
      </c>
      <c r="K417" s="53">
        <v>0</v>
      </c>
      <c r="L417" s="53">
        <v>0</v>
      </c>
      <c r="M417" s="53">
        <v>0</v>
      </c>
      <c r="N417" s="53">
        <v>0</v>
      </c>
      <c r="O417" s="53">
        <v>0</v>
      </c>
      <c r="P417" s="53">
        <v>0</v>
      </c>
      <c r="Q417" s="53">
        <v>0</v>
      </c>
      <c r="R417" s="53">
        <v>0</v>
      </c>
      <c r="S417" s="53">
        <v>0</v>
      </c>
      <c r="T417" s="53">
        <v>0</v>
      </c>
      <c r="U417" s="53">
        <v>0</v>
      </c>
      <c r="V417" s="53">
        <v>0</v>
      </c>
      <c r="W417" s="53">
        <v>0</v>
      </c>
      <c r="X417" s="53">
        <v>0</v>
      </c>
      <c r="Y417" s="53">
        <v>0</v>
      </c>
      <c r="Z417" s="53">
        <v>0</v>
      </c>
      <c r="AA417" s="53">
        <v>0</v>
      </c>
      <c r="AB417" s="53">
        <v>0</v>
      </c>
    </row>
    <row r="418" spans="1:28" x14ac:dyDescent="0.3">
      <c r="A418" s="31" t="str">
        <v>5x</v>
      </c>
      <c r="B418" s="53">
        <v>0</v>
      </c>
      <c r="C418" s="53">
        <v>0</v>
      </c>
      <c r="D418" s="53">
        <v>0</v>
      </c>
      <c r="E418" s="53">
        <v>0</v>
      </c>
      <c r="F418" s="53">
        <v>0</v>
      </c>
      <c r="G418" s="53">
        <v>0</v>
      </c>
      <c r="H418" s="53">
        <v>0</v>
      </c>
      <c r="I418" s="53">
        <v>0</v>
      </c>
      <c r="J418" s="53">
        <v>0</v>
      </c>
      <c r="K418" s="53">
        <v>0</v>
      </c>
      <c r="L418" s="53">
        <v>0</v>
      </c>
      <c r="M418" s="53">
        <v>0</v>
      </c>
      <c r="N418" s="53">
        <v>0</v>
      </c>
      <c r="O418" s="53">
        <v>0</v>
      </c>
      <c r="P418" s="53">
        <v>0</v>
      </c>
      <c r="Q418" s="53">
        <v>0</v>
      </c>
      <c r="R418" s="53">
        <v>0</v>
      </c>
      <c r="S418" s="53">
        <v>0</v>
      </c>
      <c r="T418" s="53">
        <v>0</v>
      </c>
      <c r="U418" s="53">
        <v>0</v>
      </c>
      <c r="V418" s="53">
        <v>0</v>
      </c>
      <c r="W418" s="53">
        <v>0</v>
      </c>
      <c r="X418" s="53">
        <v>0</v>
      </c>
      <c r="Y418" s="53">
        <v>0</v>
      </c>
      <c r="Z418" s="53">
        <v>0</v>
      </c>
      <c r="AA418" s="53">
        <v>0</v>
      </c>
      <c r="AB418" s="53">
        <v>0</v>
      </c>
    </row>
    <row r="419" spans="1:28" x14ac:dyDescent="0.3">
      <c r="A419" s="31" t="str">
        <v>5z</v>
      </c>
      <c r="B419" s="53">
        <v>0</v>
      </c>
      <c r="C419" s="53">
        <v>0</v>
      </c>
      <c r="D419" s="53">
        <v>0</v>
      </c>
      <c r="E419" s="53">
        <v>0</v>
      </c>
      <c r="F419" s="53">
        <v>0</v>
      </c>
      <c r="G419" s="53">
        <v>0</v>
      </c>
      <c r="H419" s="53">
        <v>0</v>
      </c>
      <c r="I419" s="53">
        <v>0</v>
      </c>
      <c r="J419" s="53">
        <v>0</v>
      </c>
      <c r="K419" s="53">
        <v>0</v>
      </c>
      <c r="L419" s="53">
        <v>0</v>
      </c>
      <c r="M419" s="53">
        <v>0</v>
      </c>
      <c r="N419" s="53">
        <v>0</v>
      </c>
      <c r="O419" s="53">
        <v>0</v>
      </c>
      <c r="P419" s="53">
        <v>0</v>
      </c>
      <c r="Q419" s="53">
        <v>0</v>
      </c>
      <c r="R419" s="53">
        <v>0</v>
      </c>
      <c r="S419" s="53">
        <v>0</v>
      </c>
      <c r="T419" s="53">
        <v>0</v>
      </c>
      <c r="U419" s="53">
        <v>0</v>
      </c>
      <c r="V419" s="53">
        <v>0</v>
      </c>
      <c r="W419" s="53">
        <v>0</v>
      </c>
      <c r="X419" s="53">
        <v>0</v>
      </c>
      <c r="Y419" s="53">
        <v>0</v>
      </c>
      <c r="Z419" s="53">
        <v>0</v>
      </c>
      <c r="AA419" s="53">
        <v>0</v>
      </c>
      <c r="AB419" s="53">
        <v>0</v>
      </c>
    </row>
    <row r="420" spans="1:28" x14ac:dyDescent="0.3">
      <c r="A420" s="31" t="str">
        <v>ϴ 5</v>
      </c>
      <c r="B420" s="53">
        <v>0</v>
      </c>
      <c r="C420" s="53">
        <v>0</v>
      </c>
      <c r="D420" s="53">
        <v>0</v>
      </c>
      <c r="E420" s="53">
        <v>0</v>
      </c>
      <c r="F420" s="53">
        <v>0</v>
      </c>
      <c r="G420" s="53">
        <v>0</v>
      </c>
      <c r="H420" s="53">
        <v>0</v>
      </c>
      <c r="I420" s="53">
        <v>0</v>
      </c>
      <c r="J420" s="53">
        <v>0</v>
      </c>
      <c r="K420" s="53">
        <v>0</v>
      </c>
      <c r="L420" s="53">
        <v>0</v>
      </c>
      <c r="M420" s="53">
        <v>0</v>
      </c>
      <c r="N420" s="53">
        <v>0</v>
      </c>
      <c r="O420" s="53">
        <v>0</v>
      </c>
      <c r="P420" s="53">
        <v>0</v>
      </c>
      <c r="Q420" s="53">
        <v>0</v>
      </c>
      <c r="R420" s="53">
        <v>0</v>
      </c>
      <c r="S420" s="53">
        <v>0</v>
      </c>
      <c r="T420" s="53">
        <v>0</v>
      </c>
      <c r="U420" s="53">
        <v>0</v>
      </c>
      <c r="V420" s="53">
        <v>0</v>
      </c>
      <c r="W420" s="53">
        <v>0</v>
      </c>
      <c r="X420" s="53">
        <v>0</v>
      </c>
      <c r="Y420" s="53">
        <v>0</v>
      </c>
      <c r="Z420" s="53">
        <v>0</v>
      </c>
      <c r="AA420" s="53">
        <v>0</v>
      </c>
      <c r="AB420" s="53">
        <v>0</v>
      </c>
    </row>
    <row r="421" spans="1:28" x14ac:dyDescent="0.3">
      <c r="A421" s="31" t="str">
        <v>6x</v>
      </c>
      <c r="B421" s="53">
        <v>0</v>
      </c>
      <c r="C421" s="53">
        <v>0</v>
      </c>
      <c r="D421" s="53">
        <v>0</v>
      </c>
      <c r="E421" s="53">
        <v>0</v>
      </c>
      <c r="F421" s="53">
        <v>0</v>
      </c>
      <c r="G421" s="53">
        <v>0</v>
      </c>
      <c r="H421" s="53">
        <f t="array" ref="H421:J423">B400:D402</f>
        <v>-79144.890263031324</v>
      </c>
      <c r="I421" s="53">
        <v>-2.307748879296765E-11</v>
      </c>
      <c r="J421" s="53">
        <v>11871733.539454699</v>
      </c>
      <c r="K421" s="53">
        <v>0</v>
      </c>
      <c r="L421" s="53">
        <v>0</v>
      </c>
      <c r="M421" s="53">
        <v>0</v>
      </c>
      <c r="N421" s="53">
        <v>0</v>
      </c>
      <c r="O421" s="53">
        <v>0</v>
      </c>
      <c r="P421" s="53">
        <v>0</v>
      </c>
      <c r="Q421" s="53">
        <f t="array" ref="Q421:S423">E400:G402</f>
        <v>79144.890263031324</v>
      </c>
      <c r="R421" s="53">
        <v>2.307748879296765E-11</v>
      </c>
      <c r="S421" s="53">
        <v>11871733.539454699</v>
      </c>
      <c r="T421" s="53">
        <v>0</v>
      </c>
      <c r="U421" s="53">
        <v>0</v>
      </c>
      <c r="V421" s="53">
        <v>0</v>
      </c>
      <c r="W421" s="53">
        <v>0</v>
      </c>
      <c r="X421" s="53">
        <v>0</v>
      </c>
      <c r="Y421" s="53">
        <v>0</v>
      </c>
      <c r="Z421" s="53">
        <v>0</v>
      </c>
      <c r="AA421" s="53">
        <v>0</v>
      </c>
      <c r="AB421" s="53">
        <v>0</v>
      </c>
    </row>
    <row r="422" spans="1:28" x14ac:dyDescent="0.3">
      <c r="A422" s="31" t="str">
        <v>6z</v>
      </c>
      <c r="B422" s="53">
        <v>0</v>
      </c>
      <c r="C422" s="53">
        <v>0</v>
      </c>
      <c r="D422" s="53">
        <v>0</v>
      </c>
      <c r="E422" s="53">
        <v>0</v>
      </c>
      <c r="F422" s="53">
        <v>0</v>
      </c>
      <c r="G422" s="53">
        <v>0</v>
      </c>
      <c r="H422" s="53">
        <v>-7.2728028226749817E-8</v>
      </c>
      <c r="I422" s="53">
        <v>-455874.5625</v>
      </c>
      <c r="J422" s="53">
        <v>-7.272318001474883E-10</v>
      </c>
      <c r="K422" s="53">
        <v>0</v>
      </c>
      <c r="L422" s="53">
        <v>0</v>
      </c>
      <c r="M422" s="53">
        <v>0</v>
      </c>
      <c r="N422" s="53">
        <v>0</v>
      </c>
      <c r="O422" s="53">
        <v>0</v>
      </c>
      <c r="P422" s="53">
        <v>0</v>
      </c>
      <c r="Q422" s="53">
        <v>2.307748879296765E-11</v>
      </c>
      <c r="R422" s="53">
        <v>455874.5625</v>
      </c>
      <c r="S422" s="53">
        <v>7.272318001474883E-10</v>
      </c>
      <c r="T422" s="53">
        <v>0</v>
      </c>
      <c r="U422" s="53">
        <v>0</v>
      </c>
      <c r="V422" s="53">
        <v>0</v>
      </c>
      <c r="W422" s="53">
        <v>0</v>
      </c>
      <c r="X422" s="53">
        <v>0</v>
      </c>
      <c r="Y422" s="53">
        <v>0</v>
      </c>
      <c r="Z422" s="53">
        <v>0</v>
      </c>
      <c r="AA422" s="53">
        <v>0</v>
      </c>
      <c r="AB422" s="53">
        <v>0</v>
      </c>
    </row>
    <row r="423" spans="1:28" x14ac:dyDescent="0.3">
      <c r="A423" s="31" t="str">
        <v>ϴ 6</v>
      </c>
      <c r="B423" s="53">
        <v>0</v>
      </c>
      <c r="C423" s="53">
        <v>0</v>
      </c>
      <c r="D423" s="53">
        <v>0</v>
      </c>
      <c r="E423" s="53">
        <v>0</v>
      </c>
      <c r="F423" s="53">
        <v>0</v>
      </c>
      <c r="G423" s="53">
        <v>0</v>
      </c>
      <c r="H423" s="53">
        <v>-11871733.539454699</v>
      </c>
      <c r="I423" s="53">
        <v>7.272318001474883E-10</v>
      </c>
      <c r="J423" s="53">
        <v>1187173353.9454699</v>
      </c>
      <c r="K423" s="53">
        <v>0</v>
      </c>
      <c r="L423" s="53">
        <v>0</v>
      </c>
      <c r="M423" s="53">
        <v>0</v>
      </c>
      <c r="N423" s="53">
        <v>0</v>
      </c>
      <c r="O423" s="53">
        <v>0</v>
      </c>
      <c r="P423" s="53">
        <v>0</v>
      </c>
      <c r="Q423" s="53">
        <v>11871733.539454699</v>
      </c>
      <c r="R423" s="53">
        <v>-7.272318001474883E-10</v>
      </c>
      <c r="S423" s="53">
        <v>2374346707.8909397</v>
      </c>
      <c r="T423" s="53">
        <v>0</v>
      </c>
      <c r="U423" s="53">
        <v>0</v>
      </c>
      <c r="V423" s="53">
        <v>0</v>
      </c>
      <c r="W423" s="53">
        <v>0</v>
      </c>
      <c r="X423" s="53">
        <v>0</v>
      </c>
      <c r="Y423" s="53">
        <v>0</v>
      </c>
      <c r="Z423" s="53">
        <v>0</v>
      </c>
      <c r="AA423" s="53">
        <v>0</v>
      </c>
      <c r="AB423" s="53">
        <v>0</v>
      </c>
    </row>
    <row r="424" spans="1:28" x14ac:dyDescent="0.3">
      <c r="A424" s="31" t="str">
        <v>ax</v>
      </c>
      <c r="B424" s="53">
        <v>0</v>
      </c>
      <c r="C424" s="53">
        <v>0</v>
      </c>
      <c r="D424" s="53">
        <v>0</v>
      </c>
      <c r="E424" s="53">
        <v>0</v>
      </c>
      <c r="F424" s="53">
        <v>0</v>
      </c>
      <c r="G424" s="53">
        <v>0</v>
      </c>
      <c r="H424" s="53">
        <v>0</v>
      </c>
      <c r="I424" s="53">
        <v>0</v>
      </c>
      <c r="J424" s="53">
        <v>0</v>
      </c>
      <c r="K424" s="53">
        <v>0</v>
      </c>
      <c r="L424" s="53">
        <v>0</v>
      </c>
      <c r="M424" s="53">
        <v>0</v>
      </c>
      <c r="N424" s="53">
        <v>0</v>
      </c>
      <c r="O424" s="53">
        <v>0</v>
      </c>
      <c r="P424" s="53">
        <v>0</v>
      </c>
      <c r="Q424" s="53">
        <v>0</v>
      </c>
      <c r="R424" s="53">
        <v>0</v>
      </c>
      <c r="S424" s="53">
        <v>0</v>
      </c>
      <c r="T424" s="53">
        <v>0</v>
      </c>
      <c r="U424" s="53">
        <v>0</v>
      </c>
      <c r="V424" s="53">
        <v>0</v>
      </c>
      <c r="W424" s="53">
        <v>0</v>
      </c>
      <c r="X424" s="53">
        <v>0</v>
      </c>
      <c r="Y424" s="53">
        <v>0</v>
      </c>
      <c r="Z424" s="53">
        <v>0</v>
      </c>
      <c r="AA424" s="53">
        <v>0</v>
      </c>
      <c r="AB424" s="53">
        <v>0</v>
      </c>
    </row>
    <row r="425" spans="1:28" x14ac:dyDescent="0.3">
      <c r="A425" s="31" t="str">
        <v>az</v>
      </c>
      <c r="B425" s="53">
        <v>0</v>
      </c>
      <c r="C425" s="53">
        <v>0</v>
      </c>
      <c r="D425" s="53">
        <v>0</v>
      </c>
      <c r="E425" s="53">
        <v>0</v>
      </c>
      <c r="F425" s="53">
        <v>0</v>
      </c>
      <c r="G425" s="53">
        <v>0</v>
      </c>
      <c r="H425" s="53">
        <v>0</v>
      </c>
      <c r="I425" s="53">
        <v>0</v>
      </c>
      <c r="J425" s="53">
        <v>0</v>
      </c>
      <c r="K425" s="53">
        <v>0</v>
      </c>
      <c r="L425" s="53">
        <v>0</v>
      </c>
      <c r="M425" s="53">
        <v>0</v>
      </c>
      <c r="N425" s="53">
        <v>0</v>
      </c>
      <c r="O425" s="53">
        <v>0</v>
      </c>
      <c r="P425" s="53">
        <v>0</v>
      </c>
      <c r="Q425" s="53">
        <v>0</v>
      </c>
      <c r="R425" s="53">
        <v>0</v>
      </c>
      <c r="S425" s="53">
        <v>0</v>
      </c>
      <c r="T425" s="53">
        <v>0</v>
      </c>
      <c r="U425" s="53">
        <v>0</v>
      </c>
      <c r="V425" s="53">
        <v>0</v>
      </c>
      <c r="W425" s="53">
        <v>0</v>
      </c>
      <c r="X425" s="53">
        <v>0</v>
      </c>
      <c r="Y425" s="53">
        <v>0</v>
      </c>
      <c r="Z425" s="53">
        <v>0</v>
      </c>
      <c r="AA425" s="53">
        <v>0</v>
      </c>
      <c r="AB425" s="53">
        <v>0</v>
      </c>
    </row>
    <row r="426" spans="1:28" x14ac:dyDescent="0.3">
      <c r="A426" s="31" t="str">
        <v>ϴ a</v>
      </c>
      <c r="B426" s="53">
        <v>0</v>
      </c>
      <c r="C426" s="53">
        <v>0</v>
      </c>
      <c r="D426" s="53">
        <v>0</v>
      </c>
      <c r="E426" s="53">
        <v>0</v>
      </c>
      <c r="F426" s="53">
        <v>0</v>
      </c>
      <c r="G426" s="53">
        <v>0</v>
      </c>
      <c r="H426" s="53">
        <v>0</v>
      </c>
      <c r="I426" s="53">
        <v>0</v>
      </c>
      <c r="J426" s="53">
        <v>0</v>
      </c>
      <c r="K426" s="53">
        <v>0</v>
      </c>
      <c r="L426" s="53">
        <v>0</v>
      </c>
      <c r="M426" s="53">
        <v>0</v>
      </c>
      <c r="N426" s="53">
        <v>0</v>
      </c>
      <c r="O426" s="53">
        <v>0</v>
      </c>
      <c r="P426" s="53">
        <v>0</v>
      </c>
      <c r="Q426" s="53">
        <v>0</v>
      </c>
      <c r="R426" s="53">
        <v>0</v>
      </c>
      <c r="S426" s="53">
        <v>0</v>
      </c>
      <c r="T426" s="53">
        <v>0</v>
      </c>
      <c r="U426" s="53">
        <v>0</v>
      </c>
      <c r="V426" s="53">
        <v>0</v>
      </c>
      <c r="W426" s="53">
        <v>0</v>
      </c>
      <c r="X426" s="53">
        <v>0</v>
      </c>
      <c r="Y426" s="53">
        <v>0</v>
      </c>
      <c r="Z426" s="53">
        <v>0</v>
      </c>
      <c r="AA426" s="53">
        <v>0</v>
      </c>
      <c r="AB426" s="53">
        <v>0</v>
      </c>
    </row>
    <row r="427" spans="1:28" x14ac:dyDescent="0.3">
      <c r="A427" s="31" t="str">
        <v>bx</v>
      </c>
      <c r="B427" s="53">
        <v>0</v>
      </c>
      <c r="C427" s="53">
        <v>0</v>
      </c>
      <c r="D427" s="53">
        <v>0</v>
      </c>
      <c r="E427" s="53">
        <v>0</v>
      </c>
      <c r="F427" s="53">
        <v>0</v>
      </c>
      <c r="G427" s="53">
        <v>0</v>
      </c>
      <c r="H427" s="53">
        <v>0</v>
      </c>
      <c r="I427" s="53">
        <v>0</v>
      </c>
      <c r="J427" s="53">
        <v>0</v>
      </c>
      <c r="K427" s="53">
        <v>0</v>
      </c>
      <c r="L427" s="53">
        <v>0</v>
      </c>
      <c r="M427" s="53">
        <v>0</v>
      </c>
      <c r="N427" s="53">
        <v>0</v>
      </c>
      <c r="O427" s="53">
        <v>0</v>
      </c>
      <c r="P427" s="53">
        <v>0</v>
      </c>
      <c r="Q427" s="53">
        <v>0</v>
      </c>
      <c r="R427" s="53">
        <v>0</v>
      </c>
      <c r="S427" s="53">
        <v>0</v>
      </c>
      <c r="T427" s="53">
        <v>0</v>
      </c>
      <c r="U427" s="53">
        <v>0</v>
      </c>
      <c r="V427" s="53">
        <v>0</v>
      </c>
      <c r="W427" s="53">
        <v>0</v>
      </c>
      <c r="X427" s="53">
        <v>0</v>
      </c>
      <c r="Y427" s="53">
        <v>0</v>
      </c>
      <c r="Z427" s="53">
        <v>0</v>
      </c>
      <c r="AA427" s="53">
        <v>0</v>
      </c>
      <c r="AB427" s="53">
        <v>0</v>
      </c>
    </row>
    <row r="428" spans="1:28" x14ac:dyDescent="0.3">
      <c r="A428" s="31" t="str">
        <v>bz</v>
      </c>
      <c r="B428" s="53">
        <v>0</v>
      </c>
      <c r="C428" s="53">
        <v>0</v>
      </c>
      <c r="D428" s="53">
        <v>0</v>
      </c>
      <c r="E428" s="53">
        <v>0</v>
      </c>
      <c r="F428" s="53">
        <v>0</v>
      </c>
      <c r="G428" s="53">
        <v>0</v>
      </c>
      <c r="H428" s="53">
        <v>0</v>
      </c>
      <c r="I428" s="53">
        <v>0</v>
      </c>
      <c r="J428" s="53">
        <v>0</v>
      </c>
      <c r="K428" s="53">
        <v>0</v>
      </c>
      <c r="L428" s="53">
        <v>0</v>
      </c>
      <c r="M428" s="53">
        <v>0</v>
      </c>
      <c r="N428" s="53">
        <v>0</v>
      </c>
      <c r="O428" s="53">
        <v>0</v>
      </c>
      <c r="P428" s="53">
        <v>0</v>
      </c>
      <c r="Q428" s="53">
        <v>0</v>
      </c>
      <c r="R428" s="53">
        <v>0</v>
      </c>
      <c r="S428" s="53">
        <v>0</v>
      </c>
      <c r="T428" s="53">
        <v>0</v>
      </c>
      <c r="U428" s="53">
        <v>0</v>
      </c>
      <c r="V428" s="53">
        <v>0</v>
      </c>
      <c r="W428" s="53">
        <v>0</v>
      </c>
      <c r="X428" s="53">
        <v>0</v>
      </c>
      <c r="Y428" s="53">
        <v>0</v>
      </c>
      <c r="Z428" s="53">
        <v>0</v>
      </c>
      <c r="AA428" s="53">
        <v>0</v>
      </c>
      <c r="AB428" s="53">
        <v>0</v>
      </c>
    </row>
    <row r="429" spans="1:28" x14ac:dyDescent="0.3">
      <c r="A429" s="31" t="str">
        <v>ϴ b</v>
      </c>
      <c r="B429" s="53">
        <v>0</v>
      </c>
      <c r="C429" s="53">
        <v>0</v>
      </c>
      <c r="D429" s="53">
        <v>0</v>
      </c>
      <c r="E429" s="53">
        <v>0</v>
      </c>
      <c r="F429" s="53">
        <v>0</v>
      </c>
      <c r="G429" s="53">
        <v>0</v>
      </c>
      <c r="H429" s="53">
        <v>0</v>
      </c>
      <c r="I429" s="53">
        <v>0</v>
      </c>
      <c r="J429" s="53">
        <v>0</v>
      </c>
      <c r="K429" s="53">
        <v>0</v>
      </c>
      <c r="L429" s="53">
        <v>0</v>
      </c>
      <c r="M429" s="53">
        <v>0</v>
      </c>
      <c r="N429" s="53">
        <v>0</v>
      </c>
      <c r="O429" s="53">
        <v>0</v>
      </c>
      <c r="P429" s="53">
        <v>0</v>
      </c>
      <c r="Q429" s="53">
        <v>0</v>
      </c>
      <c r="R429" s="53">
        <v>0</v>
      </c>
      <c r="S429" s="53">
        <v>0</v>
      </c>
      <c r="T429" s="53">
        <v>0</v>
      </c>
      <c r="U429" s="53">
        <v>0</v>
      </c>
      <c r="V429" s="53">
        <v>0</v>
      </c>
      <c r="W429" s="53">
        <v>0</v>
      </c>
      <c r="X429" s="53">
        <v>0</v>
      </c>
      <c r="Y429" s="53">
        <v>0</v>
      </c>
      <c r="Z429" s="53">
        <v>0</v>
      </c>
      <c r="AA429" s="53">
        <v>0</v>
      </c>
      <c r="AB429" s="53">
        <v>0</v>
      </c>
    </row>
    <row r="430" spans="1:28" x14ac:dyDescent="0.3">
      <c r="A430" s="31" t="str">
        <v>cx</v>
      </c>
      <c r="B430" s="53">
        <v>0</v>
      </c>
      <c r="C430" s="53">
        <v>0</v>
      </c>
      <c r="D430" s="53">
        <v>0</v>
      </c>
      <c r="E430" s="53">
        <v>0</v>
      </c>
      <c r="F430" s="53">
        <v>0</v>
      </c>
      <c r="G430" s="53">
        <v>0</v>
      </c>
      <c r="H430" s="53">
        <v>0</v>
      </c>
      <c r="I430" s="53">
        <v>0</v>
      </c>
      <c r="J430" s="53">
        <v>0</v>
      </c>
      <c r="K430" s="53">
        <v>0</v>
      </c>
      <c r="L430" s="53">
        <v>0</v>
      </c>
      <c r="M430" s="53">
        <v>0</v>
      </c>
      <c r="N430" s="53">
        <v>0</v>
      </c>
      <c r="O430" s="53">
        <v>0</v>
      </c>
      <c r="P430" s="53">
        <v>0</v>
      </c>
      <c r="Q430" s="53">
        <v>0</v>
      </c>
      <c r="R430" s="53">
        <v>0</v>
      </c>
      <c r="S430" s="53">
        <v>0</v>
      </c>
      <c r="T430" s="53">
        <v>0</v>
      </c>
      <c r="U430" s="53">
        <v>0</v>
      </c>
      <c r="V430" s="53">
        <v>0</v>
      </c>
      <c r="W430" s="53">
        <v>0</v>
      </c>
      <c r="X430" s="53">
        <v>0</v>
      </c>
      <c r="Y430" s="53">
        <v>0</v>
      </c>
      <c r="Z430" s="53">
        <v>0</v>
      </c>
      <c r="AA430" s="53">
        <v>0</v>
      </c>
      <c r="AB430" s="53">
        <v>0</v>
      </c>
    </row>
    <row r="431" spans="1:28" x14ac:dyDescent="0.3">
      <c r="A431" s="31" t="str">
        <v>cz</v>
      </c>
      <c r="B431" s="53">
        <v>0</v>
      </c>
      <c r="C431" s="53">
        <v>0</v>
      </c>
      <c r="D431" s="53">
        <v>0</v>
      </c>
      <c r="E431" s="53">
        <v>0</v>
      </c>
      <c r="F431" s="53">
        <v>0</v>
      </c>
      <c r="G431" s="53">
        <v>0</v>
      </c>
      <c r="H431" s="53">
        <v>0</v>
      </c>
      <c r="I431" s="53">
        <v>0</v>
      </c>
      <c r="J431" s="53">
        <v>0</v>
      </c>
      <c r="K431" s="53">
        <v>0</v>
      </c>
      <c r="L431" s="53">
        <v>0</v>
      </c>
      <c r="M431" s="53">
        <v>0</v>
      </c>
      <c r="N431" s="53">
        <v>0</v>
      </c>
      <c r="O431" s="53">
        <v>0</v>
      </c>
      <c r="P431" s="53">
        <v>0</v>
      </c>
      <c r="Q431" s="53">
        <v>0</v>
      </c>
      <c r="R431" s="53">
        <v>0</v>
      </c>
      <c r="S431" s="53">
        <v>0</v>
      </c>
      <c r="T431" s="53">
        <v>0</v>
      </c>
      <c r="U431" s="53">
        <v>0</v>
      </c>
      <c r="V431" s="53">
        <v>0</v>
      </c>
      <c r="W431" s="53">
        <v>0</v>
      </c>
      <c r="X431" s="53">
        <v>0</v>
      </c>
      <c r="Y431" s="53">
        <v>0</v>
      </c>
      <c r="Z431" s="53">
        <v>0</v>
      </c>
      <c r="AA431" s="53">
        <v>0</v>
      </c>
      <c r="AB431" s="53">
        <v>0</v>
      </c>
    </row>
    <row r="432" spans="1:28" x14ac:dyDescent="0.3">
      <c r="A432" s="31" t="str">
        <v>ϴ c</v>
      </c>
      <c r="B432" s="53">
        <v>0</v>
      </c>
      <c r="C432" s="53">
        <v>0</v>
      </c>
      <c r="D432" s="53">
        <v>0</v>
      </c>
      <c r="E432" s="53">
        <v>0</v>
      </c>
      <c r="F432" s="53">
        <v>0</v>
      </c>
      <c r="G432" s="53">
        <v>0</v>
      </c>
      <c r="H432" s="53">
        <v>0</v>
      </c>
      <c r="I432" s="53">
        <v>0</v>
      </c>
      <c r="J432" s="53">
        <v>0</v>
      </c>
      <c r="K432" s="53">
        <v>0</v>
      </c>
      <c r="L432" s="53">
        <v>0</v>
      </c>
      <c r="M432" s="53">
        <v>0</v>
      </c>
      <c r="N432" s="53">
        <v>0</v>
      </c>
      <c r="O432" s="53">
        <v>0</v>
      </c>
      <c r="P432" s="53">
        <v>0</v>
      </c>
      <c r="Q432" s="53">
        <v>0</v>
      </c>
      <c r="R432" s="53">
        <v>0</v>
      </c>
      <c r="S432" s="53">
        <v>0</v>
      </c>
      <c r="T432" s="53">
        <v>0</v>
      </c>
      <c r="U432" s="53">
        <v>0</v>
      </c>
      <c r="V432" s="53">
        <v>0</v>
      </c>
      <c r="W432" s="53">
        <v>0</v>
      </c>
      <c r="X432" s="53">
        <v>0</v>
      </c>
      <c r="Y432" s="53">
        <v>0</v>
      </c>
      <c r="Z432" s="53">
        <v>0</v>
      </c>
      <c r="AA432" s="53">
        <v>0</v>
      </c>
      <c r="AB432" s="53">
        <v>0</v>
      </c>
    </row>
  </sheetData>
  <mergeCells count="48">
    <mergeCell ref="A363:C363"/>
    <mergeCell ref="B370:D370"/>
    <mergeCell ref="A377:G377"/>
    <mergeCell ref="A386:J386"/>
    <mergeCell ref="C387:D387"/>
    <mergeCell ref="E387:F387"/>
    <mergeCell ref="G387:H387"/>
    <mergeCell ref="I387:J387"/>
    <mergeCell ref="A291:C291"/>
    <mergeCell ref="B298:D298"/>
    <mergeCell ref="A305:G305"/>
    <mergeCell ref="A314:J314"/>
    <mergeCell ref="C315:D315"/>
    <mergeCell ref="E315:F315"/>
    <mergeCell ref="G315:H315"/>
    <mergeCell ref="I315:J315"/>
    <mergeCell ref="A233:G233"/>
    <mergeCell ref="A147:C147"/>
    <mergeCell ref="B154:D154"/>
    <mergeCell ref="A161:G161"/>
    <mergeCell ref="A170:J170"/>
    <mergeCell ref="C171:D171"/>
    <mergeCell ref="E171:F171"/>
    <mergeCell ref="G171:H171"/>
    <mergeCell ref="C243:D243"/>
    <mergeCell ref="E243:F243"/>
    <mergeCell ref="G243:H243"/>
    <mergeCell ref="I243:J243"/>
    <mergeCell ref="A242:J242"/>
    <mergeCell ref="I99:J99"/>
    <mergeCell ref="A98:J98"/>
    <mergeCell ref="A89:G89"/>
    <mergeCell ref="A219:C219"/>
    <mergeCell ref="B226:D226"/>
    <mergeCell ref="I171:J171"/>
    <mergeCell ref="A75:C75"/>
    <mergeCell ref="B82:D82"/>
    <mergeCell ref="C99:D99"/>
    <mergeCell ref="E99:F99"/>
    <mergeCell ref="G99:H99"/>
    <mergeCell ref="A3:C3"/>
    <mergeCell ref="B10:D10"/>
    <mergeCell ref="I27:J27"/>
    <mergeCell ref="G27:H27"/>
    <mergeCell ref="E27:F27"/>
    <mergeCell ref="C27:D27"/>
    <mergeCell ref="A26:J26"/>
    <mergeCell ref="A17:G17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V125"/>
  <sheetViews>
    <sheetView topLeftCell="A16" workbookViewId="0">
      <selection activeCell="K17" sqref="K17"/>
    </sheetView>
  </sheetViews>
  <sheetFormatPr baseColWidth="10" defaultRowHeight="14.4" x14ac:dyDescent="0.3"/>
  <sheetData>
    <row r="21" spans="1:16" x14ac:dyDescent="0.3">
      <c r="N21" t="s">
        <v>9</v>
      </c>
      <c r="P21">
        <v>6</v>
      </c>
    </row>
    <row r="22" spans="1:16" x14ac:dyDescent="0.3">
      <c r="N22" t="s">
        <v>10</v>
      </c>
      <c r="P22">
        <v>6</v>
      </c>
    </row>
    <row r="23" spans="1:16" x14ac:dyDescent="0.3">
      <c r="N23" t="s">
        <v>11</v>
      </c>
      <c r="P23">
        <f>ATAN(P21/P22)</f>
        <v>0.78539816339744828</v>
      </c>
    </row>
    <row r="24" spans="1:16" x14ac:dyDescent="0.3">
      <c r="N24" t="s">
        <v>12</v>
      </c>
      <c r="P24">
        <f>1500*COS(P23)</f>
        <v>1060.6601717798214</v>
      </c>
    </row>
    <row r="25" spans="1:16" x14ac:dyDescent="0.3">
      <c r="N25" t="s">
        <v>17</v>
      </c>
      <c r="P25">
        <f>1500*SIN(P23)</f>
        <v>1060.6601717798212</v>
      </c>
    </row>
    <row r="29" spans="1:16" x14ac:dyDescent="0.3">
      <c r="A29" s="43" t="s">
        <v>27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</row>
    <row r="31" spans="1:16" x14ac:dyDescent="0.3">
      <c r="A31" s="2" t="s">
        <v>8</v>
      </c>
      <c r="B31" s="19" t="s">
        <v>7</v>
      </c>
      <c r="C31" s="47" t="s">
        <v>33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19"/>
      <c r="P31" s="3" t="s">
        <v>18</v>
      </c>
    </row>
    <row r="32" spans="1:16" x14ac:dyDescent="0.3">
      <c r="A32" s="2">
        <v>1</v>
      </c>
      <c r="B32" s="23">
        <v>0</v>
      </c>
      <c r="C32" s="1">
        <f t="array" ref="C32:N43">B4:M15</f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6">
        <v>0</v>
      </c>
      <c r="L32" s="6">
        <v>0</v>
      </c>
      <c r="M32" s="6">
        <v>0</v>
      </c>
      <c r="N32" s="6">
        <v>0</v>
      </c>
      <c r="O32" s="6"/>
      <c r="P32" s="3" t="s">
        <v>19</v>
      </c>
    </row>
    <row r="33" spans="1:16" x14ac:dyDescent="0.3">
      <c r="A33" s="2">
        <v>2</v>
      </c>
      <c r="B33" s="23">
        <v>-1000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6">
        <v>0</v>
      </c>
      <c r="L33" s="6">
        <v>0</v>
      </c>
      <c r="M33" s="6">
        <v>0</v>
      </c>
      <c r="N33" s="6">
        <v>0</v>
      </c>
      <c r="O33" s="6"/>
      <c r="P33" s="3" t="s">
        <v>20</v>
      </c>
    </row>
    <row r="34" spans="1:16" x14ac:dyDescent="0.3">
      <c r="A34" s="2">
        <v>3</v>
      </c>
      <c r="B34" s="23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6">
        <v>0</v>
      </c>
      <c r="L34" s="6">
        <v>0</v>
      </c>
      <c r="M34" s="6">
        <v>0</v>
      </c>
      <c r="N34" s="6">
        <v>0</v>
      </c>
      <c r="O34" s="6"/>
      <c r="P34" s="3" t="s">
        <v>21</v>
      </c>
    </row>
    <row r="35" spans="1:16" x14ac:dyDescent="0.3">
      <c r="A35" s="2">
        <v>4</v>
      </c>
      <c r="B35" s="23">
        <v>-1000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6">
        <v>0</v>
      </c>
      <c r="L35" s="6">
        <v>0</v>
      </c>
      <c r="M35" s="6">
        <v>0</v>
      </c>
      <c r="N35" s="6">
        <v>0</v>
      </c>
      <c r="O35" s="6"/>
      <c r="P35" s="3" t="s">
        <v>22</v>
      </c>
    </row>
    <row r="36" spans="1:16" x14ac:dyDescent="0.3">
      <c r="A36" s="2">
        <v>5</v>
      </c>
      <c r="B36" s="23">
        <v>1500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6">
        <v>0</v>
      </c>
      <c r="L36" s="6">
        <v>0</v>
      </c>
      <c r="M36" s="6">
        <v>0</v>
      </c>
      <c r="N36" s="6">
        <v>0</v>
      </c>
      <c r="O36" s="6"/>
      <c r="P36" s="3" t="s">
        <v>23</v>
      </c>
    </row>
    <row r="37" spans="1:16" x14ac:dyDescent="0.3">
      <c r="A37" s="2">
        <v>6</v>
      </c>
      <c r="B37" s="23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6">
        <v>0</v>
      </c>
      <c r="L37" s="6">
        <v>0</v>
      </c>
      <c r="M37" s="6">
        <v>0</v>
      </c>
      <c r="N37" s="6">
        <v>0</v>
      </c>
      <c r="O37" s="6"/>
      <c r="P37" s="3" t="s">
        <v>24</v>
      </c>
    </row>
    <row r="38" spans="1:16" x14ac:dyDescent="0.3">
      <c r="A38" s="2">
        <v>7</v>
      </c>
      <c r="B38" s="23">
        <f>+P24</f>
        <v>1060.6601717798214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6">
        <v>0</v>
      </c>
      <c r="L38" s="6">
        <v>0</v>
      </c>
      <c r="M38" s="6">
        <v>0</v>
      </c>
      <c r="N38" s="6">
        <v>0</v>
      </c>
      <c r="O38" s="6"/>
      <c r="P38" s="3" t="s">
        <v>25</v>
      </c>
    </row>
    <row r="39" spans="1:16" x14ac:dyDescent="0.3">
      <c r="A39" s="2">
        <v>8</v>
      </c>
      <c r="B39" s="23">
        <f>+P25</f>
        <v>1060.6601717798212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6">
        <v>0</v>
      </c>
      <c r="L39" s="6">
        <v>0</v>
      </c>
      <c r="M39" s="6">
        <v>0</v>
      </c>
      <c r="N39" s="6">
        <v>0</v>
      </c>
      <c r="O39" s="6"/>
      <c r="P39" s="3" t="s">
        <v>26</v>
      </c>
    </row>
    <row r="40" spans="1:16" x14ac:dyDescent="0.3">
      <c r="A40" s="2">
        <v>9</v>
      </c>
      <c r="B40" s="20" t="s">
        <v>13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8">
        <v>0</v>
      </c>
      <c r="L40" s="8">
        <v>0</v>
      </c>
      <c r="M40" s="8">
        <v>0</v>
      </c>
      <c r="N40" s="8">
        <v>0</v>
      </c>
      <c r="O40" s="8"/>
      <c r="P40" s="3">
        <v>0</v>
      </c>
    </row>
    <row r="41" spans="1:16" x14ac:dyDescent="0.3">
      <c r="A41" s="2">
        <v>10</v>
      </c>
      <c r="B41" s="20" t="s">
        <v>14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8">
        <v>0</v>
      </c>
      <c r="L41" s="8">
        <v>0</v>
      </c>
      <c r="M41" s="8">
        <v>0</v>
      </c>
      <c r="N41" s="8">
        <v>0</v>
      </c>
      <c r="O41" s="8"/>
      <c r="P41" s="3">
        <v>0</v>
      </c>
    </row>
    <row r="42" spans="1:16" x14ac:dyDescent="0.3">
      <c r="A42" s="2">
        <v>11</v>
      </c>
      <c r="B42" s="20" t="s">
        <v>15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8">
        <v>0</v>
      </c>
      <c r="L42" s="8">
        <v>0</v>
      </c>
      <c r="M42" s="8">
        <v>0</v>
      </c>
      <c r="N42" s="8">
        <v>0</v>
      </c>
      <c r="O42" s="8"/>
      <c r="P42" s="3">
        <v>0</v>
      </c>
    </row>
    <row r="43" spans="1:16" x14ac:dyDescent="0.3">
      <c r="A43" s="2">
        <v>12</v>
      </c>
      <c r="B43" s="20" t="s">
        <v>16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8">
        <v>0</v>
      </c>
      <c r="L43" s="8">
        <v>0</v>
      </c>
      <c r="M43" s="8">
        <v>0</v>
      </c>
      <c r="N43" s="8">
        <v>0</v>
      </c>
      <c r="O43" s="8"/>
      <c r="P43" s="3">
        <v>0</v>
      </c>
    </row>
    <row r="46" spans="1:16" x14ac:dyDescent="0.3">
      <c r="A46" s="43" t="s">
        <v>54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</row>
    <row r="48" spans="1:16" x14ac:dyDescent="0.3">
      <c r="A48" s="9" t="s">
        <v>18</v>
      </c>
      <c r="B48" t="s">
        <v>55</v>
      </c>
      <c r="C48" s="21" t="s">
        <v>56</v>
      </c>
      <c r="D48" s="44" t="s">
        <v>57</v>
      </c>
      <c r="E48" s="44"/>
      <c r="F48" s="44"/>
      <c r="G48" s="44"/>
      <c r="H48" s="44"/>
      <c r="I48" s="44"/>
      <c r="J48" s="44"/>
      <c r="K48" s="44"/>
      <c r="L48" s="2" t="s">
        <v>29</v>
      </c>
    </row>
    <row r="49" spans="1:14" x14ac:dyDescent="0.3">
      <c r="A49" s="9" t="str">
        <f>+P32</f>
        <v>D1</v>
      </c>
      <c r="B49" t="e">
        <f t="array" ref="B49:B56">MMULT(D49:K56,L49:L56)</f>
        <v>#NUM!</v>
      </c>
      <c r="C49" s="21" t="s">
        <v>1</v>
      </c>
      <c r="D49" s="7" t="e">
        <f t="array" ref="D49:K56">MINVERSE(C32:J39)</f>
        <v>#NUM!</v>
      </c>
      <c r="E49" s="7" t="e">
        <v>#NUM!</v>
      </c>
      <c r="F49" s="7" t="e">
        <v>#NUM!</v>
      </c>
      <c r="G49" s="7" t="e">
        <v>#NUM!</v>
      </c>
      <c r="H49" s="7" t="e">
        <v>#NUM!</v>
      </c>
      <c r="I49" s="7" t="e">
        <v>#NUM!</v>
      </c>
      <c r="J49" s="7" t="e">
        <v>#NUM!</v>
      </c>
      <c r="K49" s="7" t="e">
        <v>#NUM!</v>
      </c>
      <c r="L49" s="2">
        <f>+B32</f>
        <v>0</v>
      </c>
      <c r="M49" t="s">
        <v>66</v>
      </c>
    </row>
    <row r="50" spans="1:14" x14ac:dyDescent="0.3">
      <c r="A50" s="9" t="str">
        <f t="shared" ref="A50:A56" si="0">+P33</f>
        <v>D2</v>
      </c>
      <c r="B50" t="e">
        <v>#NUM!</v>
      </c>
      <c r="C50" s="21" t="s">
        <v>1</v>
      </c>
      <c r="D50" s="7" t="e">
        <v>#NUM!</v>
      </c>
      <c r="E50" s="7" t="e">
        <v>#NUM!</v>
      </c>
      <c r="F50" s="7" t="e">
        <v>#NUM!</v>
      </c>
      <c r="G50" s="7" t="e">
        <v>#NUM!</v>
      </c>
      <c r="H50" s="7" t="e">
        <v>#NUM!</v>
      </c>
      <c r="I50" s="7" t="e">
        <v>#NUM!</v>
      </c>
      <c r="J50" s="7" t="e">
        <v>#NUM!</v>
      </c>
      <c r="K50" s="7" t="e">
        <v>#NUM!</v>
      </c>
      <c r="L50" s="2">
        <f t="shared" ref="L50:L56" si="1">+B33</f>
        <v>-1000</v>
      </c>
      <c r="M50" t="s">
        <v>67</v>
      </c>
    </row>
    <row r="51" spans="1:14" x14ac:dyDescent="0.3">
      <c r="A51" s="9" t="str">
        <f t="shared" si="0"/>
        <v>D3</v>
      </c>
      <c r="B51" t="e">
        <v>#NUM!</v>
      </c>
      <c r="C51" s="21" t="s">
        <v>1</v>
      </c>
      <c r="D51" s="7" t="e">
        <v>#NUM!</v>
      </c>
      <c r="E51" s="7" t="e">
        <v>#NUM!</v>
      </c>
      <c r="F51" s="7" t="e">
        <v>#NUM!</v>
      </c>
      <c r="G51" s="7" t="e">
        <v>#NUM!</v>
      </c>
      <c r="H51" s="7" t="e">
        <v>#NUM!</v>
      </c>
      <c r="I51" s="7" t="e">
        <v>#NUM!</v>
      </c>
      <c r="J51" s="7" t="e">
        <v>#NUM!</v>
      </c>
      <c r="K51" s="7" t="e">
        <v>#NUM!</v>
      </c>
      <c r="L51" s="2">
        <f t="shared" si="1"/>
        <v>0</v>
      </c>
      <c r="M51" t="s">
        <v>66</v>
      </c>
    </row>
    <row r="52" spans="1:14" x14ac:dyDescent="0.3">
      <c r="A52" s="9" t="str">
        <f t="shared" si="0"/>
        <v>D4</v>
      </c>
      <c r="B52" t="e">
        <v>#NUM!</v>
      </c>
      <c r="C52" s="21" t="s">
        <v>1</v>
      </c>
      <c r="D52" s="7" t="e">
        <v>#NUM!</v>
      </c>
      <c r="E52" s="7" t="e">
        <v>#NUM!</v>
      </c>
      <c r="F52" s="7" t="e">
        <v>#NUM!</v>
      </c>
      <c r="G52" s="7" t="e">
        <v>#NUM!</v>
      </c>
      <c r="H52" s="7" t="e">
        <v>#NUM!</v>
      </c>
      <c r="I52" s="7" t="e">
        <v>#NUM!</v>
      </c>
      <c r="J52" s="7" t="e">
        <v>#NUM!</v>
      </c>
      <c r="K52" s="7" t="e">
        <v>#NUM!</v>
      </c>
      <c r="L52" s="2">
        <f t="shared" si="1"/>
        <v>-1000</v>
      </c>
      <c r="M52" t="s">
        <v>67</v>
      </c>
    </row>
    <row r="53" spans="1:14" x14ac:dyDescent="0.3">
      <c r="A53" s="9" t="str">
        <f t="shared" si="0"/>
        <v>D5</v>
      </c>
      <c r="B53" t="e">
        <v>#NUM!</v>
      </c>
      <c r="C53" s="21" t="s">
        <v>1</v>
      </c>
      <c r="D53" s="7" t="e">
        <v>#NUM!</v>
      </c>
      <c r="E53" s="7" t="e">
        <v>#NUM!</v>
      </c>
      <c r="F53" s="7" t="e">
        <v>#NUM!</v>
      </c>
      <c r="G53" s="7" t="e">
        <v>#NUM!</v>
      </c>
      <c r="H53" s="7" t="e">
        <v>#NUM!</v>
      </c>
      <c r="I53" s="7" t="e">
        <v>#NUM!</v>
      </c>
      <c r="J53" s="7" t="e">
        <v>#NUM!</v>
      </c>
      <c r="K53" s="7" t="e">
        <v>#NUM!</v>
      </c>
      <c r="L53" s="2">
        <f t="shared" si="1"/>
        <v>1500</v>
      </c>
      <c r="M53" t="s">
        <v>66</v>
      </c>
    </row>
    <row r="54" spans="1:14" x14ac:dyDescent="0.3">
      <c r="A54" s="9" t="str">
        <f t="shared" si="0"/>
        <v>D6</v>
      </c>
      <c r="B54" t="e">
        <v>#NUM!</v>
      </c>
      <c r="C54" s="21" t="s">
        <v>1</v>
      </c>
      <c r="D54" s="7" t="e">
        <v>#NUM!</v>
      </c>
      <c r="E54" s="7" t="e">
        <v>#NUM!</v>
      </c>
      <c r="F54" s="7" t="e">
        <v>#NUM!</v>
      </c>
      <c r="G54" s="7" t="e">
        <v>#NUM!</v>
      </c>
      <c r="H54" s="7" t="e">
        <v>#NUM!</v>
      </c>
      <c r="I54" s="7" t="e">
        <v>#NUM!</v>
      </c>
      <c r="J54" s="7" t="e">
        <v>#NUM!</v>
      </c>
      <c r="K54" s="7" t="e">
        <v>#NUM!</v>
      </c>
      <c r="L54" s="2">
        <f t="shared" si="1"/>
        <v>0</v>
      </c>
      <c r="M54" t="s">
        <v>67</v>
      </c>
    </row>
    <row r="55" spans="1:14" x14ac:dyDescent="0.3">
      <c r="A55" s="9" t="str">
        <f t="shared" si="0"/>
        <v>D7</v>
      </c>
      <c r="B55" t="e">
        <v>#NUM!</v>
      </c>
      <c r="C55" s="21" t="s">
        <v>1</v>
      </c>
      <c r="D55" s="7" t="e">
        <v>#NUM!</v>
      </c>
      <c r="E55" s="7" t="e">
        <v>#NUM!</v>
      </c>
      <c r="F55" s="7" t="e">
        <v>#NUM!</v>
      </c>
      <c r="G55" s="7" t="e">
        <v>#NUM!</v>
      </c>
      <c r="H55" s="7" t="e">
        <v>#NUM!</v>
      </c>
      <c r="I55" s="7" t="e">
        <v>#NUM!</v>
      </c>
      <c r="J55" s="7" t="e">
        <v>#NUM!</v>
      </c>
      <c r="K55" s="7" t="e">
        <v>#NUM!</v>
      </c>
      <c r="L55" s="2">
        <f t="shared" si="1"/>
        <v>1060.6601717798214</v>
      </c>
      <c r="M55" t="s">
        <v>66</v>
      </c>
    </row>
    <row r="56" spans="1:14" x14ac:dyDescent="0.3">
      <c r="A56" s="9" t="str">
        <f t="shared" si="0"/>
        <v>D8</v>
      </c>
      <c r="B56" t="e">
        <v>#NUM!</v>
      </c>
      <c r="C56" s="21" t="s">
        <v>1</v>
      </c>
      <c r="D56" s="7" t="e">
        <v>#NUM!</v>
      </c>
      <c r="E56" s="7" t="e">
        <v>#NUM!</v>
      </c>
      <c r="F56" s="7" t="e">
        <v>#NUM!</v>
      </c>
      <c r="G56" s="7" t="e">
        <v>#NUM!</v>
      </c>
      <c r="H56" s="7" t="e">
        <v>#NUM!</v>
      </c>
      <c r="I56" s="7" t="e">
        <v>#NUM!</v>
      </c>
      <c r="J56" s="7" t="e">
        <v>#NUM!</v>
      </c>
      <c r="K56" s="7" t="e">
        <v>#NUM!</v>
      </c>
      <c r="L56" s="2">
        <f t="shared" si="1"/>
        <v>1060.6601717798212</v>
      </c>
      <c r="M56" t="s">
        <v>67</v>
      </c>
    </row>
    <row r="58" spans="1:14" x14ac:dyDescent="0.3">
      <c r="A58" s="43" t="s">
        <v>58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60" spans="1:14" x14ac:dyDescent="0.3">
      <c r="A60" s="22" t="s">
        <v>59</v>
      </c>
      <c r="B60" t="s">
        <v>60</v>
      </c>
      <c r="C60" t="s">
        <v>28</v>
      </c>
      <c r="D60" s="45" t="s">
        <v>61</v>
      </c>
      <c r="E60" s="45"/>
      <c r="F60" s="45"/>
      <c r="G60" s="45"/>
      <c r="H60" s="45"/>
      <c r="I60" s="45"/>
      <c r="J60" s="45"/>
      <c r="K60" s="45"/>
      <c r="L60" s="2" t="s">
        <v>62</v>
      </c>
    </row>
    <row r="61" spans="1:14" x14ac:dyDescent="0.3">
      <c r="A61" s="22" t="str">
        <f>+B40</f>
        <v>Q9</v>
      </c>
      <c r="B61" t="e">
        <f t="array" ref="B61:B64">MMULT(D61:K64,L61:L68)</f>
        <v>#NUM!</v>
      </c>
      <c r="C61" t="s">
        <v>63</v>
      </c>
      <c r="D61" s="7">
        <f t="array" ref="D61:K64">C40:J43</f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8" t="e">
        <f>+B49</f>
        <v>#NUM!</v>
      </c>
    </row>
    <row r="62" spans="1:14" x14ac:dyDescent="0.3">
      <c r="A62" s="22" t="str">
        <f t="shared" ref="A62:A64" si="2">+B41</f>
        <v>Q10</v>
      </c>
      <c r="B62" t="e">
        <v>#NUM!</v>
      </c>
      <c r="C62" t="s">
        <v>63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8" t="e">
        <f t="shared" ref="L62:L68" si="3">+B50</f>
        <v>#NUM!</v>
      </c>
    </row>
    <row r="63" spans="1:14" x14ac:dyDescent="0.3">
      <c r="A63" s="22" t="str">
        <f t="shared" si="2"/>
        <v>Q11</v>
      </c>
      <c r="B63" t="e">
        <v>#NUM!</v>
      </c>
      <c r="C63" t="s">
        <v>63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8" t="e">
        <f t="shared" si="3"/>
        <v>#NUM!</v>
      </c>
      <c r="M63" s="4" t="s">
        <v>64</v>
      </c>
      <c r="N63" t="e">
        <f>+L49+L51+L53+L55+B61+B63</f>
        <v>#NUM!</v>
      </c>
    </row>
    <row r="64" spans="1:14" x14ac:dyDescent="0.3">
      <c r="A64" s="22" t="str">
        <f t="shared" si="2"/>
        <v>Q12</v>
      </c>
      <c r="B64" t="e">
        <v>#NUM!</v>
      </c>
      <c r="C64" t="s">
        <v>63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8" t="e">
        <f t="shared" si="3"/>
        <v>#NUM!</v>
      </c>
      <c r="M64" s="4" t="s">
        <v>65</v>
      </c>
      <c r="N64" t="e">
        <f>+L50+L52+L54+L56+B62+B64</f>
        <v>#NUM!</v>
      </c>
    </row>
    <row r="65" spans="1:22" x14ac:dyDescent="0.3">
      <c r="L65" s="8" t="e">
        <f t="shared" si="3"/>
        <v>#NUM!</v>
      </c>
    </row>
    <row r="66" spans="1:22" x14ac:dyDescent="0.3">
      <c r="L66" s="8" t="e">
        <f t="shared" si="3"/>
        <v>#NUM!</v>
      </c>
    </row>
    <row r="67" spans="1:22" x14ac:dyDescent="0.3">
      <c r="L67" s="8" t="e">
        <f t="shared" si="3"/>
        <v>#NUM!</v>
      </c>
    </row>
    <row r="68" spans="1:22" x14ac:dyDescent="0.3">
      <c r="L68" s="8" t="e">
        <f t="shared" si="3"/>
        <v>#NUM!</v>
      </c>
    </row>
    <row r="77" spans="1:22" x14ac:dyDescent="0.3">
      <c r="A77" s="41" t="s">
        <v>68</v>
      </c>
      <c r="B77" s="41"/>
      <c r="C77" s="41"/>
      <c r="D77" s="41"/>
      <c r="E77" s="41"/>
      <c r="F77" s="41"/>
      <c r="G77" s="41"/>
      <c r="H77" s="41"/>
      <c r="I77" s="41"/>
      <c r="J77" s="41"/>
      <c r="K77" s="14"/>
      <c r="L77" s="41" t="s">
        <v>68</v>
      </c>
      <c r="M77" s="41"/>
      <c r="N77" s="41"/>
      <c r="O77" s="41"/>
      <c r="P77" s="41"/>
      <c r="Q77" s="41"/>
      <c r="R77" s="41"/>
      <c r="S77" s="41"/>
      <c r="T77" s="41"/>
      <c r="U77" s="41"/>
      <c r="V77" s="41"/>
    </row>
    <row r="78" spans="1:22" x14ac:dyDescent="0.3">
      <c r="A78" s="42" t="s">
        <v>77</v>
      </c>
      <c r="B78" s="42"/>
      <c r="C78" s="42"/>
      <c r="D78" s="42"/>
      <c r="E78" s="42"/>
      <c r="F78" s="42"/>
      <c r="G78" s="42"/>
      <c r="H78" s="42"/>
      <c r="I78" s="42"/>
      <c r="J78" s="42"/>
      <c r="L78" s="42" t="s">
        <v>32</v>
      </c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3">
      <c r="A79" t="s">
        <v>5</v>
      </c>
      <c r="B79" s="16" t="e">
        <f>+#REF!</f>
        <v>#REF!</v>
      </c>
      <c r="D79" s="10" t="s">
        <v>72</v>
      </c>
      <c r="E79" s="10" t="s">
        <v>71</v>
      </c>
      <c r="F79" s="10" t="s">
        <v>69</v>
      </c>
      <c r="G79" s="10" t="s">
        <v>70</v>
      </c>
      <c r="H79" s="10" t="s">
        <v>73</v>
      </c>
      <c r="I79" s="11" t="s">
        <v>74</v>
      </c>
      <c r="L79" t="s">
        <v>5</v>
      </c>
      <c r="M79" s="18" t="e">
        <f>+#REF!</f>
        <v>#REF!</v>
      </c>
      <c r="P79" s="10" t="s">
        <v>72</v>
      </c>
      <c r="Q79" s="10" t="s">
        <v>71</v>
      </c>
      <c r="R79" s="10" t="s">
        <v>69</v>
      </c>
      <c r="S79" s="10" t="s">
        <v>70</v>
      </c>
      <c r="T79" s="10" t="s">
        <v>73</v>
      </c>
      <c r="U79" s="11" t="s">
        <v>74</v>
      </c>
    </row>
    <row r="80" spans="1:22" x14ac:dyDescent="0.3">
      <c r="A80" t="e">
        <f>+#REF!</f>
        <v>#REF!</v>
      </c>
      <c r="B80" t="e">
        <f>+#REF!</f>
        <v>#REF!</v>
      </c>
      <c r="D80" s="15" t="e">
        <f>-B80</f>
        <v>#REF!</v>
      </c>
      <c r="E80" s="15" t="e">
        <f>-B81</f>
        <v>#REF!</v>
      </c>
      <c r="F80" s="15" t="e">
        <f>+B80</f>
        <v>#REF!</v>
      </c>
      <c r="G80" s="15" t="e">
        <f>+B81</f>
        <v>#REF!</v>
      </c>
      <c r="H80" s="17">
        <f>+P40</f>
        <v>0</v>
      </c>
      <c r="I80" s="12">
        <v>9</v>
      </c>
      <c r="J80" t="s">
        <v>75</v>
      </c>
      <c r="L80" t="e">
        <f>+#REF!</f>
        <v>#REF!</v>
      </c>
      <c r="M80" t="e">
        <f>+#REF!</f>
        <v>#REF!</v>
      </c>
      <c r="P80" s="15" t="e">
        <f>-M80</f>
        <v>#REF!</v>
      </c>
      <c r="Q80" s="15" t="e">
        <f>-M81</f>
        <v>#REF!</v>
      </c>
      <c r="R80" s="15" t="e">
        <f>+M80</f>
        <v>#REF!</v>
      </c>
      <c r="S80" s="15" t="e">
        <f>+M81</f>
        <v>#REF!</v>
      </c>
      <c r="T80" s="17">
        <f>+AA40</f>
        <v>0</v>
      </c>
      <c r="U80" s="12">
        <v>9</v>
      </c>
      <c r="V80" t="s">
        <v>75</v>
      </c>
    </row>
    <row r="81" spans="1:22" x14ac:dyDescent="0.3">
      <c r="A81" t="e">
        <f>+#REF!</f>
        <v>#REF!</v>
      </c>
      <c r="B81" t="e">
        <f>+#REF!</f>
        <v>#REF!</v>
      </c>
      <c r="H81" s="17">
        <f>+P41</f>
        <v>0</v>
      </c>
      <c r="I81" s="12">
        <v>10</v>
      </c>
      <c r="J81" t="s">
        <v>75</v>
      </c>
      <c r="L81" t="e">
        <f>+#REF!</f>
        <v>#REF!</v>
      </c>
      <c r="M81" t="e">
        <f>+#REF!</f>
        <v>#REF!</v>
      </c>
      <c r="T81" s="17">
        <f>+AA41</f>
        <v>0</v>
      </c>
      <c r="U81" s="12">
        <v>10</v>
      </c>
      <c r="V81" t="s">
        <v>75</v>
      </c>
    </row>
    <row r="82" spans="1:22" x14ac:dyDescent="0.3">
      <c r="H82" s="17" t="e">
        <f>+B49</f>
        <v>#NUM!</v>
      </c>
      <c r="I82" s="12">
        <v>1</v>
      </c>
      <c r="J82" t="s">
        <v>76</v>
      </c>
      <c r="T82" s="17" t="e">
        <f>+B53</f>
        <v>#NUM!</v>
      </c>
      <c r="U82" s="12">
        <v>5</v>
      </c>
      <c r="V82" t="s">
        <v>76</v>
      </c>
    </row>
    <row r="83" spans="1:22" x14ac:dyDescent="0.3">
      <c r="H83" s="17" t="e">
        <f>+B50</f>
        <v>#NUM!</v>
      </c>
      <c r="I83" s="12">
        <v>2</v>
      </c>
      <c r="J83" t="s">
        <v>76</v>
      </c>
      <c r="T83" s="17" t="e">
        <f>+B54</f>
        <v>#NUM!</v>
      </c>
      <c r="U83" s="12">
        <v>6</v>
      </c>
      <c r="V83" t="s">
        <v>76</v>
      </c>
    </row>
    <row r="84" spans="1:22" x14ac:dyDescent="0.3">
      <c r="A84" s="13" t="s">
        <v>78</v>
      </c>
      <c r="B84" s="13" t="e">
        <f t="array" ref="B84">B79*MMULT(D80:G80,H80:H83)</f>
        <v>#REF!</v>
      </c>
      <c r="C84" s="13" t="e">
        <f>IF(B84&gt;0,"TENSION", COMPRESION)</f>
        <v>#REF!</v>
      </c>
      <c r="L84" s="13" t="s">
        <v>78</v>
      </c>
      <c r="M84" s="13" t="e">
        <f>M79*MMULT(P80:S80,T80:T83)</f>
        <v>#REF!</v>
      </c>
      <c r="N84" s="13" t="e">
        <f>IF(M84&gt;0,"TENSION", COMPRESION)</f>
        <v>#REF!</v>
      </c>
      <c r="O84" s="13"/>
    </row>
    <row r="87" spans="1:22" x14ac:dyDescent="0.3">
      <c r="A87" s="41" t="s">
        <v>68</v>
      </c>
      <c r="B87" s="41"/>
      <c r="C87" s="41"/>
      <c r="D87" s="41"/>
      <c r="E87" s="41"/>
      <c r="F87" s="41"/>
      <c r="G87" s="41"/>
      <c r="H87" s="41"/>
      <c r="I87" s="41"/>
      <c r="J87" s="41"/>
      <c r="L87" s="41" t="s">
        <v>68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</row>
    <row r="88" spans="1:22" x14ac:dyDescent="0.3">
      <c r="A88" s="42" t="s">
        <v>34</v>
      </c>
      <c r="B88" s="42"/>
      <c r="C88" s="42"/>
      <c r="D88" s="42"/>
      <c r="E88" s="42"/>
      <c r="F88" s="42"/>
      <c r="G88" s="42"/>
      <c r="H88" s="42"/>
      <c r="I88" s="42"/>
      <c r="J88" s="42"/>
      <c r="L88" s="42" t="s">
        <v>40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3">
      <c r="A89" t="s">
        <v>5</v>
      </c>
      <c r="B89" s="18" t="e">
        <f>+#REF!</f>
        <v>#REF!</v>
      </c>
      <c r="D89" s="10" t="s">
        <v>72</v>
      </c>
      <c r="E89" s="10" t="s">
        <v>71</v>
      </c>
      <c r="F89" s="10" t="s">
        <v>69</v>
      </c>
      <c r="G89" s="10" t="s">
        <v>70</v>
      </c>
      <c r="H89" s="10" t="s">
        <v>73</v>
      </c>
      <c r="I89" s="11" t="s">
        <v>74</v>
      </c>
      <c r="L89" t="s">
        <v>5</v>
      </c>
      <c r="M89" s="18" t="e">
        <f>+#REF!</f>
        <v>#REF!</v>
      </c>
      <c r="P89" s="10" t="s">
        <v>72</v>
      </c>
      <c r="Q89" s="10" t="s">
        <v>71</v>
      </c>
      <c r="R89" s="10" t="s">
        <v>69</v>
      </c>
      <c r="S89" s="10" t="s">
        <v>70</v>
      </c>
      <c r="T89" s="10" t="s">
        <v>73</v>
      </c>
      <c r="U89" s="11" t="s">
        <v>74</v>
      </c>
    </row>
    <row r="90" spans="1:22" x14ac:dyDescent="0.3">
      <c r="A90" t="e">
        <f>+#REF!</f>
        <v>#REF!</v>
      </c>
      <c r="B90" t="e">
        <f>+#REF!</f>
        <v>#REF!</v>
      </c>
      <c r="D90" s="15" t="e">
        <f>-B90</f>
        <v>#REF!</v>
      </c>
      <c r="E90" s="15" t="e">
        <f>-B91</f>
        <v>#REF!</v>
      </c>
      <c r="F90" s="15" t="e">
        <f>+B90</f>
        <v>#REF!</v>
      </c>
      <c r="G90" s="15" t="e">
        <f>+B91</f>
        <v>#REF!</v>
      </c>
      <c r="H90" s="17" t="e">
        <f>+B49</f>
        <v>#NUM!</v>
      </c>
      <c r="I90" s="12">
        <v>1</v>
      </c>
      <c r="J90" t="s">
        <v>75</v>
      </c>
      <c r="L90" t="e">
        <f>+#REF!</f>
        <v>#REF!</v>
      </c>
      <c r="M90" t="e">
        <f>+#REF!</f>
        <v>#REF!</v>
      </c>
      <c r="P90" s="15" t="e">
        <f>-M90</f>
        <v>#REF!</v>
      </c>
      <c r="Q90" s="15" t="e">
        <f>-M91</f>
        <v>#REF!</v>
      </c>
      <c r="R90" s="15" t="e">
        <f>+M90</f>
        <v>#REF!</v>
      </c>
      <c r="S90" s="15" t="e">
        <f>+M91</f>
        <v>#REF!</v>
      </c>
      <c r="T90" s="17" t="e">
        <f>+B49</f>
        <v>#NUM!</v>
      </c>
      <c r="U90" s="12">
        <v>1</v>
      </c>
      <c r="V90" t="s">
        <v>75</v>
      </c>
    </row>
    <row r="91" spans="1:22" x14ac:dyDescent="0.3">
      <c r="A91" t="e">
        <f>+#REF!</f>
        <v>#REF!</v>
      </c>
      <c r="B91" t="e">
        <f>+#REF!</f>
        <v>#REF!</v>
      </c>
      <c r="H91" s="17" t="e">
        <f>+B50</f>
        <v>#NUM!</v>
      </c>
      <c r="I91" s="12">
        <v>2</v>
      </c>
      <c r="J91" t="s">
        <v>75</v>
      </c>
      <c r="L91" t="e">
        <f>+#REF!</f>
        <v>#REF!</v>
      </c>
      <c r="M91" t="e">
        <f>+#REF!</f>
        <v>#REF!</v>
      </c>
      <c r="T91" s="17" t="e">
        <f t="shared" ref="T91:T93" si="4">+B50</f>
        <v>#NUM!</v>
      </c>
      <c r="U91" s="12">
        <v>2</v>
      </c>
      <c r="V91" t="s">
        <v>75</v>
      </c>
    </row>
    <row r="92" spans="1:22" x14ac:dyDescent="0.3">
      <c r="H92" s="17" t="e">
        <f>+B53</f>
        <v>#NUM!</v>
      </c>
      <c r="I92" s="12">
        <v>5</v>
      </c>
      <c r="J92" t="s">
        <v>76</v>
      </c>
      <c r="T92" s="17" t="e">
        <f t="shared" si="4"/>
        <v>#NUM!</v>
      </c>
      <c r="U92" s="12">
        <v>3</v>
      </c>
      <c r="V92" t="s">
        <v>76</v>
      </c>
    </row>
    <row r="93" spans="1:22" x14ac:dyDescent="0.3">
      <c r="H93" s="17" t="e">
        <f>+B54</f>
        <v>#NUM!</v>
      </c>
      <c r="I93" s="12">
        <v>6</v>
      </c>
      <c r="J93" t="s">
        <v>76</v>
      </c>
      <c r="T93" s="17" t="e">
        <f t="shared" si="4"/>
        <v>#NUM!</v>
      </c>
      <c r="U93" s="12">
        <v>4</v>
      </c>
      <c r="V93" t="s">
        <v>76</v>
      </c>
    </row>
    <row r="94" spans="1:22" x14ac:dyDescent="0.3">
      <c r="A94" s="13" t="s">
        <v>78</v>
      </c>
      <c r="B94" s="13" t="e">
        <f>B89*MMULT(D90:G90,H90:H93)</f>
        <v>#REF!</v>
      </c>
      <c r="C94" s="13" t="e">
        <f>IF(B94&gt;0,"TENSION", "COMPRESION")</f>
        <v>#REF!</v>
      </c>
      <c r="L94" s="13" t="s">
        <v>78</v>
      </c>
      <c r="M94" s="13" t="e">
        <f>M89*MMULT(P90:S90,T90:T93)</f>
        <v>#REF!</v>
      </c>
      <c r="N94" s="13" t="e">
        <f>IF(M94&gt;0,"TENSION", "COMPRESION")</f>
        <v>#REF!</v>
      </c>
      <c r="O94" s="13"/>
    </row>
    <row r="97" spans="1:22" x14ac:dyDescent="0.3">
      <c r="A97" s="41" t="s">
        <v>68</v>
      </c>
      <c r="B97" s="41"/>
      <c r="C97" s="41"/>
      <c r="D97" s="41"/>
      <c r="E97" s="41"/>
      <c r="F97" s="41"/>
      <c r="G97" s="41"/>
      <c r="H97" s="41"/>
      <c r="I97" s="41"/>
      <c r="J97" s="41"/>
      <c r="L97" s="41" t="s">
        <v>68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</row>
    <row r="98" spans="1:22" x14ac:dyDescent="0.3">
      <c r="A98" s="42" t="s">
        <v>43</v>
      </c>
      <c r="B98" s="42"/>
      <c r="C98" s="42"/>
      <c r="D98" s="42"/>
      <c r="E98" s="42"/>
      <c r="F98" s="42"/>
      <c r="G98" s="42"/>
      <c r="H98" s="42"/>
      <c r="I98" s="42"/>
      <c r="J98" s="42"/>
      <c r="L98" s="42" t="s">
        <v>45</v>
      </c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3">
      <c r="A99" t="s">
        <v>5</v>
      </c>
      <c r="B99" s="18" t="e">
        <f>+#REF!</f>
        <v>#REF!</v>
      </c>
      <c r="D99" s="10" t="s">
        <v>72</v>
      </c>
      <c r="E99" s="10" t="s">
        <v>71</v>
      </c>
      <c r="F99" s="10" t="s">
        <v>69</v>
      </c>
      <c r="G99" s="10" t="s">
        <v>70</v>
      </c>
      <c r="H99" s="10" t="s">
        <v>73</v>
      </c>
      <c r="I99" s="11" t="s">
        <v>74</v>
      </c>
      <c r="L99" t="s">
        <v>5</v>
      </c>
      <c r="M99" s="18" t="e">
        <f>+#REF!</f>
        <v>#REF!</v>
      </c>
      <c r="P99" s="10" t="s">
        <v>72</v>
      </c>
      <c r="Q99" s="10" t="s">
        <v>71</v>
      </c>
      <c r="R99" s="10" t="s">
        <v>69</v>
      </c>
      <c r="S99" s="10" t="s">
        <v>70</v>
      </c>
      <c r="T99" s="10" t="s">
        <v>73</v>
      </c>
      <c r="U99" s="11" t="s">
        <v>74</v>
      </c>
    </row>
    <row r="100" spans="1:22" x14ac:dyDescent="0.3">
      <c r="A100" t="e">
        <f>+#REF!</f>
        <v>#REF!</v>
      </c>
      <c r="B100" t="e">
        <f>+#REF!</f>
        <v>#REF!</v>
      </c>
      <c r="D100" s="15" t="e">
        <f>-B100</f>
        <v>#REF!</v>
      </c>
      <c r="E100" s="15" t="e">
        <f>-B101</f>
        <v>#REF!</v>
      </c>
      <c r="F100" s="15" t="e">
        <f>+B100</f>
        <v>#REF!</v>
      </c>
      <c r="G100" s="15" t="e">
        <f>+B101</f>
        <v>#REF!</v>
      </c>
      <c r="H100" s="17" t="e">
        <f>+B49</f>
        <v>#NUM!</v>
      </c>
      <c r="I100" s="12">
        <v>1</v>
      </c>
      <c r="J100" t="s">
        <v>75</v>
      </c>
      <c r="L100" t="e">
        <f>+#REF!</f>
        <v>#REF!</v>
      </c>
      <c r="M100" t="e">
        <f>+#REF!</f>
        <v>#REF!</v>
      </c>
      <c r="P100" s="15" t="e">
        <f>-M100</f>
        <v>#REF!</v>
      </c>
      <c r="Q100" s="15" t="e">
        <f>-M101</f>
        <v>#REF!</v>
      </c>
      <c r="R100" s="15" t="e">
        <f>+M100</f>
        <v>#REF!</v>
      </c>
      <c r="S100" s="15" t="e">
        <f>+M101</f>
        <v>#REF!</v>
      </c>
      <c r="T100" s="17" t="e">
        <f>+B53</f>
        <v>#NUM!</v>
      </c>
      <c r="U100" s="12">
        <v>5</v>
      </c>
      <c r="V100" t="s">
        <v>75</v>
      </c>
    </row>
    <row r="101" spans="1:22" x14ac:dyDescent="0.3">
      <c r="A101" t="e">
        <f>+#REF!</f>
        <v>#REF!</v>
      </c>
      <c r="B101" t="e">
        <f>+#REF!</f>
        <v>#REF!</v>
      </c>
      <c r="H101" s="17" t="e">
        <f>+B50</f>
        <v>#NUM!</v>
      </c>
      <c r="I101" s="12">
        <v>2</v>
      </c>
      <c r="J101" t="s">
        <v>75</v>
      </c>
      <c r="L101" t="e">
        <f>+#REF!</f>
        <v>#REF!</v>
      </c>
      <c r="M101" t="e">
        <f>+#REF!</f>
        <v>#REF!</v>
      </c>
      <c r="T101" s="17" t="e">
        <f t="shared" ref="T101:T103" si="5">+B54</f>
        <v>#NUM!</v>
      </c>
      <c r="U101" s="12">
        <v>6</v>
      </c>
      <c r="V101" t="s">
        <v>75</v>
      </c>
    </row>
    <row r="102" spans="1:22" x14ac:dyDescent="0.3">
      <c r="H102" s="17" t="e">
        <f>+B55</f>
        <v>#NUM!</v>
      </c>
      <c r="I102" s="12">
        <v>7</v>
      </c>
      <c r="J102" t="s">
        <v>76</v>
      </c>
      <c r="T102" s="17" t="e">
        <f t="shared" si="5"/>
        <v>#NUM!</v>
      </c>
      <c r="U102" s="12">
        <v>7</v>
      </c>
      <c r="V102" t="s">
        <v>76</v>
      </c>
    </row>
    <row r="103" spans="1:22" x14ac:dyDescent="0.3">
      <c r="H103" s="17" t="e">
        <f>+B56</f>
        <v>#NUM!</v>
      </c>
      <c r="I103" s="12">
        <v>8</v>
      </c>
      <c r="J103" t="s">
        <v>76</v>
      </c>
      <c r="T103" s="17" t="e">
        <f t="shared" si="5"/>
        <v>#NUM!</v>
      </c>
      <c r="U103" s="12">
        <v>8</v>
      </c>
      <c r="V103" t="s">
        <v>76</v>
      </c>
    </row>
    <row r="104" spans="1:22" x14ac:dyDescent="0.3">
      <c r="A104" s="13" t="s">
        <v>78</v>
      </c>
      <c r="B104" s="13" t="e">
        <f>B99*MMULT(D100:G100,H100:H103)</f>
        <v>#REF!</v>
      </c>
      <c r="C104" s="13" t="e">
        <f>IF(B104&gt;0,"TENSION", "COMPRESION")</f>
        <v>#REF!</v>
      </c>
      <c r="L104" s="13" t="s">
        <v>78</v>
      </c>
      <c r="M104" s="13" t="e">
        <f>M99*MMULT(P100:S100,T100:T103)</f>
        <v>#REF!</v>
      </c>
      <c r="N104" s="13" t="e">
        <f>IF(M104&gt;0,"TENSION", "COMPRESION")</f>
        <v>#REF!</v>
      </c>
      <c r="O104" s="13"/>
    </row>
    <row r="107" spans="1:22" x14ac:dyDescent="0.3">
      <c r="A107" s="41" t="s">
        <v>68</v>
      </c>
      <c r="B107" s="41"/>
      <c r="C107" s="41"/>
      <c r="D107" s="41"/>
      <c r="E107" s="41"/>
      <c r="F107" s="41"/>
      <c r="G107" s="41"/>
      <c r="H107" s="41"/>
      <c r="I107" s="41"/>
      <c r="J107" s="41"/>
      <c r="L107" s="41" t="s">
        <v>68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</row>
    <row r="108" spans="1:22" x14ac:dyDescent="0.3">
      <c r="A108" s="42" t="s">
        <v>51</v>
      </c>
      <c r="B108" s="42"/>
      <c r="C108" s="42"/>
      <c r="D108" s="42"/>
      <c r="E108" s="42"/>
      <c r="F108" s="42"/>
      <c r="G108" s="42"/>
      <c r="H108" s="42"/>
      <c r="I108" s="42"/>
      <c r="J108" s="42"/>
      <c r="L108" s="42" t="s">
        <v>52</v>
      </c>
      <c r="M108" s="42"/>
      <c r="N108" s="42"/>
      <c r="O108" s="42"/>
      <c r="P108" s="42"/>
      <c r="Q108" s="42"/>
      <c r="R108" s="42"/>
      <c r="S108" s="42"/>
      <c r="T108" s="42"/>
      <c r="U108" s="42"/>
      <c r="V108" s="42"/>
    </row>
    <row r="109" spans="1:22" x14ac:dyDescent="0.3">
      <c r="A109" t="s">
        <v>5</v>
      </c>
      <c r="B109" s="18" t="e">
        <f>+#REF!</f>
        <v>#REF!</v>
      </c>
      <c r="D109" s="10" t="s">
        <v>72</v>
      </c>
      <c r="E109" s="10" t="s">
        <v>71</v>
      </c>
      <c r="F109" s="10" t="s">
        <v>69</v>
      </c>
      <c r="G109" s="10" t="s">
        <v>70</v>
      </c>
      <c r="H109" s="10" t="s">
        <v>73</v>
      </c>
      <c r="I109" s="11" t="s">
        <v>74</v>
      </c>
      <c r="L109" t="s">
        <v>5</v>
      </c>
      <c r="M109" s="18" t="e">
        <f>+#REF!</f>
        <v>#REF!</v>
      </c>
      <c r="P109" s="10" t="s">
        <v>72</v>
      </c>
      <c r="Q109" s="10" t="s">
        <v>71</v>
      </c>
      <c r="R109" s="10" t="s">
        <v>69</v>
      </c>
      <c r="S109" s="10" t="s">
        <v>70</v>
      </c>
      <c r="T109" s="10" t="s">
        <v>73</v>
      </c>
      <c r="U109" s="11" t="s">
        <v>74</v>
      </c>
    </row>
    <row r="110" spans="1:22" x14ac:dyDescent="0.3">
      <c r="A110" t="e">
        <f>+#REF!</f>
        <v>#REF!</v>
      </c>
      <c r="B110" t="e">
        <f>+#REF!</f>
        <v>#REF!</v>
      </c>
      <c r="D110" s="15" t="e">
        <f>-B110</f>
        <v>#REF!</v>
      </c>
      <c r="E110" s="15" t="e">
        <f>-B111</f>
        <v>#REF!</v>
      </c>
      <c r="F110" s="15" t="e">
        <f>+B110</f>
        <v>#REF!</v>
      </c>
      <c r="G110" s="15" t="e">
        <f>+B111</f>
        <v>#REF!</v>
      </c>
      <c r="H110" s="17" t="e">
        <f>+B51</f>
        <v>#NUM!</v>
      </c>
      <c r="I110" s="12">
        <v>3</v>
      </c>
      <c r="J110" t="s">
        <v>75</v>
      </c>
      <c r="L110" t="e">
        <f>+#REF!</f>
        <v>#REF!</v>
      </c>
      <c r="M110" t="e">
        <f>+#REF!</f>
        <v>#REF!</v>
      </c>
      <c r="P110" s="15" t="e">
        <f>-M110</f>
        <v>#REF!</v>
      </c>
      <c r="Q110" s="15" t="e">
        <f>-M111</f>
        <v>#REF!</v>
      </c>
      <c r="R110" s="15" t="e">
        <f>+M110</f>
        <v>#REF!</v>
      </c>
      <c r="S110" s="15" t="e">
        <f>+M111</f>
        <v>#REF!</v>
      </c>
      <c r="T110" s="17" t="e">
        <f>+B51</f>
        <v>#NUM!</v>
      </c>
      <c r="U110" s="12">
        <v>3</v>
      </c>
      <c r="V110" t="s">
        <v>75</v>
      </c>
    </row>
    <row r="111" spans="1:22" x14ac:dyDescent="0.3">
      <c r="A111" t="e">
        <f>+#REF!</f>
        <v>#REF!</v>
      </c>
      <c r="B111" t="e">
        <f>+#REF!</f>
        <v>#REF!</v>
      </c>
      <c r="H111" s="17" t="e">
        <f>+B52</f>
        <v>#NUM!</v>
      </c>
      <c r="I111" s="12">
        <v>4</v>
      </c>
      <c r="J111" t="s">
        <v>75</v>
      </c>
      <c r="L111" t="e">
        <f>+#REF!</f>
        <v>#REF!</v>
      </c>
      <c r="M111" t="e">
        <f>+#REF!</f>
        <v>#REF!</v>
      </c>
      <c r="T111" s="17" t="e">
        <f>+B52</f>
        <v>#NUM!</v>
      </c>
      <c r="U111" s="12">
        <v>4</v>
      </c>
      <c r="V111" t="s">
        <v>75</v>
      </c>
    </row>
    <row r="112" spans="1:22" x14ac:dyDescent="0.3">
      <c r="H112" s="17">
        <f>+D65</f>
        <v>0</v>
      </c>
      <c r="I112" s="12">
        <v>11</v>
      </c>
      <c r="J112" t="s">
        <v>76</v>
      </c>
      <c r="T112" s="17" t="e">
        <f>+B55</f>
        <v>#NUM!</v>
      </c>
      <c r="U112" s="12">
        <v>7</v>
      </c>
      <c r="V112" t="s">
        <v>76</v>
      </c>
    </row>
    <row r="113" spans="1:22" x14ac:dyDescent="0.3">
      <c r="H113" s="17">
        <f>+D66</f>
        <v>0</v>
      </c>
      <c r="I113" s="12">
        <v>12</v>
      </c>
      <c r="J113" t="s">
        <v>76</v>
      </c>
      <c r="T113" s="17" t="e">
        <f>+B56</f>
        <v>#NUM!</v>
      </c>
      <c r="U113" s="12">
        <v>8</v>
      </c>
      <c r="V113" t="s">
        <v>76</v>
      </c>
    </row>
    <row r="114" spans="1:22" x14ac:dyDescent="0.3">
      <c r="A114" s="13" t="s">
        <v>78</v>
      </c>
      <c r="B114" s="13" t="e">
        <f>B109*MMULT(D110:G110,H110:H113)</f>
        <v>#REF!</v>
      </c>
      <c r="C114" s="13" t="e">
        <f>IF(B114&gt;0,"TENSION", "COMPRESION")</f>
        <v>#REF!</v>
      </c>
      <c r="L114" s="13" t="s">
        <v>78</v>
      </c>
      <c r="M114" s="13" t="e">
        <f>M109*MMULT(P110:S110,T110:T113)</f>
        <v>#REF!</v>
      </c>
      <c r="N114" s="13" t="e">
        <f>IF(M114&gt;0,"TENSION", "COMPRESION")</f>
        <v>#REF!</v>
      </c>
      <c r="O114" s="13"/>
    </row>
    <row r="116" spans="1:22" x14ac:dyDescent="0.3">
      <c r="A116" s="41" t="s">
        <v>68</v>
      </c>
      <c r="B116" s="41"/>
      <c r="C116" s="41"/>
      <c r="D116" s="41"/>
      <c r="E116" s="41"/>
      <c r="F116" s="41"/>
      <c r="G116" s="41"/>
      <c r="H116" s="41"/>
      <c r="I116" s="41"/>
      <c r="J116" s="41"/>
    </row>
    <row r="117" spans="1:22" x14ac:dyDescent="0.3">
      <c r="A117" s="42" t="s">
        <v>53</v>
      </c>
      <c r="B117" s="42"/>
      <c r="C117" s="42"/>
      <c r="D117" s="42"/>
      <c r="E117" s="42"/>
      <c r="F117" s="42"/>
      <c r="G117" s="42"/>
      <c r="H117" s="42"/>
      <c r="I117" s="42"/>
      <c r="J117" s="42"/>
      <c r="L117" t="s">
        <v>77</v>
      </c>
      <c r="M117" t="e">
        <f>+B84</f>
        <v>#REF!</v>
      </c>
      <c r="N117" t="e">
        <f>+C84</f>
        <v>#REF!</v>
      </c>
    </row>
    <row r="118" spans="1:22" x14ac:dyDescent="0.3">
      <c r="A118" t="s">
        <v>5</v>
      </c>
      <c r="B118" s="18" t="e">
        <f>+#REF!</f>
        <v>#REF!</v>
      </c>
      <c r="D118" s="10" t="s">
        <v>72</v>
      </c>
      <c r="E118" s="10" t="s">
        <v>71</v>
      </c>
      <c r="F118" s="10" t="s">
        <v>69</v>
      </c>
      <c r="G118" s="10" t="s">
        <v>70</v>
      </c>
      <c r="H118" s="10" t="s">
        <v>73</v>
      </c>
      <c r="I118" s="11" t="s">
        <v>74</v>
      </c>
      <c r="L118" t="s">
        <v>32</v>
      </c>
      <c r="M118" t="e">
        <f>+M84</f>
        <v>#REF!</v>
      </c>
      <c r="N118" t="e">
        <f>+N84</f>
        <v>#REF!</v>
      </c>
    </row>
    <row r="119" spans="1:22" x14ac:dyDescent="0.3">
      <c r="A119" t="e">
        <f>+#REF!</f>
        <v>#REF!</v>
      </c>
      <c r="B119" t="e">
        <f>+#REF!</f>
        <v>#REF!</v>
      </c>
      <c r="D119" s="15" t="e">
        <f>-B119</f>
        <v>#REF!</v>
      </c>
      <c r="E119" s="15" t="e">
        <f>-B120</f>
        <v>#REF!</v>
      </c>
      <c r="F119" s="15" t="e">
        <f>+B119</f>
        <v>#REF!</v>
      </c>
      <c r="G119" s="15" t="e">
        <f>+B120</f>
        <v>#REF!</v>
      </c>
      <c r="H119" s="17" t="e">
        <f>+B55</f>
        <v>#NUM!</v>
      </c>
      <c r="I119" s="12">
        <v>7</v>
      </c>
      <c r="J119" t="s">
        <v>75</v>
      </c>
      <c r="L119" t="s">
        <v>34</v>
      </c>
      <c r="M119" t="e">
        <f>+B94</f>
        <v>#REF!</v>
      </c>
      <c r="N119" t="e">
        <f>+C94</f>
        <v>#REF!</v>
      </c>
    </row>
    <row r="120" spans="1:22" x14ac:dyDescent="0.3">
      <c r="A120" t="e">
        <f>+#REF!</f>
        <v>#REF!</v>
      </c>
      <c r="B120" t="e">
        <f>+#REF!</f>
        <v>#REF!</v>
      </c>
      <c r="H120" s="17" t="e">
        <f>+B56</f>
        <v>#NUM!</v>
      </c>
      <c r="I120" s="12">
        <v>8</v>
      </c>
      <c r="J120" t="s">
        <v>75</v>
      </c>
      <c r="L120" t="s">
        <v>40</v>
      </c>
      <c r="M120" t="e">
        <f>+M94</f>
        <v>#REF!</v>
      </c>
      <c r="N120" t="e">
        <f>+N94</f>
        <v>#REF!</v>
      </c>
    </row>
    <row r="121" spans="1:22" x14ac:dyDescent="0.3">
      <c r="H121" s="17">
        <f>+D74</f>
        <v>0</v>
      </c>
      <c r="I121" s="12">
        <v>11</v>
      </c>
      <c r="J121" t="s">
        <v>76</v>
      </c>
      <c r="L121" t="s">
        <v>43</v>
      </c>
      <c r="M121" t="e">
        <f>+B104</f>
        <v>#REF!</v>
      </c>
      <c r="N121" t="e">
        <f>+C104</f>
        <v>#REF!</v>
      </c>
    </row>
    <row r="122" spans="1:22" x14ac:dyDescent="0.3">
      <c r="H122" s="17">
        <f>+D75</f>
        <v>0</v>
      </c>
      <c r="I122" s="12">
        <v>12</v>
      </c>
      <c r="J122" t="s">
        <v>76</v>
      </c>
      <c r="L122" t="s">
        <v>45</v>
      </c>
      <c r="M122" t="e">
        <f>+M104</f>
        <v>#REF!</v>
      </c>
      <c r="N122" t="e">
        <f>+N104</f>
        <v>#REF!</v>
      </c>
    </row>
    <row r="123" spans="1:22" x14ac:dyDescent="0.3">
      <c r="A123" s="13" t="s">
        <v>78</v>
      </c>
      <c r="B123" s="13" t="e">
        <f>B118*MMULT(D119:G119,H119:H122)</f>
        <v>#REF!</v>
      </c>
      <c r="C123" s="13" t="e">
        <f>IF(B123&gt;0,"TENSION", "COMPRESION")</f>
        <v>#REF!</v>
      </c>
      <c r="L123" t="s">
        <v>51</v>
      </c>
      <c r="M123" t="e">
        <f>+B114</f>
        <v>#REF!</v>
      </c>
      <c r="N123" t="e">
        <f>+C114</f>
        <v>#REF!</v>
      </c>
    </row>
    <row r="124" spans="1:22" x14ac:dyDescent="0.3">
      <c r="L124" t="s">
        <v>52</v>
      </c>
      <c r="M124" t="e">
        <f>+M114</f>
        <v>#REF!</v>
      </c>
      <c r="N124" t="e">
        <f>+N114</f>
        <v>#REF!</v>
      </c>
    </row>
    <row r="125" spans="1:22" x14ac:dyDescent="0.3">
      <c r="L125" t="s">
        <v>53</v>
      </c>
      <c r="M125" t="e">
        <f>+B123</f>
        <v>#REF!</v>
      </c>
      <c r="N125" t="e">
        <f>+C123</f>
        <v>#REF!</v>
      </c>
    </row>
  </sheetData>
  <mergeCells count="24">
    <mergeCell ref="A117:J117"/>
    <mergeCell ref="A88:J88"/>
    <mergeCell ref="L88:V88"/>
    <mergeCell ref="A97:J97"/>
    <mergeCell ref="L97:V97"/>
    <mergeCell ref="A98:J98"/>
    <mergeCell ref="L98:V98"/>
    <mergeCell ref="A107:J107"/>
    <mergeCell ref="L107:V107"/>
    <mergeCell ref="A108:J108"/>
    <mergeCell ref="L108:V108"/>
    <mergeCell ref="A116:J116"/>
    <mergeCell ref="A77:J77"/>
    <mergeCell ref="L77:V77"/>
    <mergeCell ref="A78:J78"/>
    <mergeCell ref="L78:V78"/>
    <mergeCell ref="A87:J87"/>
    <mergeCell ref="L87:V87"/>
    <mergeCell ref="D60:K60"/>
    <mergeCell ref="A29:P29"/>
    <mergeCell ref="C31:N31"/>
    <mergeCell ref="A46:P46"/>
    <mergeCell ref="D48:K48"/>
    <mergeCell ref="A58:L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Lab. # 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2026-03-07T19:25:30Z</dcterms:created>
  <dcterms:modified xsi:type="dcterms:W3CDTF">2026-04-11T21:27:27Z</dcterms:modified>
</cp:coreProperties>
</file>