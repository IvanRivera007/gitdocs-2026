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NGEL\MAESTRIA\PRIMER TRIMESTRE\ANALISIS ESTRUCTURAL AVANZADO\"/>
    </mc:Choice>
  </mc:AlternateContent>
  <xr:revisionPtr revIDLastSave="0" documentId="13_ncr:1_{63A44312-5178-4538-BCCF-6CDA4138427C}" xr6:coauthVersionLast="47" xr6:coauthVersionMax="47" xr10:uidLastSave="{00000000-0000-0000-0000-000000000000}"/>
  <bookViews>
    <workbookView xWindow="-108" yWindow="-108" windowWidth="23256" windowHeight="12456" activeTab="2" xr2:uid="{68BB1F2B-8FB3-4429-BF06-14FDD7915767}"/>
  </bookViews>
  <sheets>
    <sheet name="CARATULA" sheetId="3" r:id="rId1"/>
    <sheet name="GDL" sheetId="2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1" l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A274" i="1" a="1"/>
  <c r="A278" i="1" s="1"/>
  <c r="A199" i="1" a="1"/>
  <c r="A203" i="1" s="1"/>
  <c r="A199" i="1"/>
  <c r="A200" i="1"/>
  <c r="A201" i="1"/>
  <c r="A202" i="1"/>
  <c r="A204" i="1"/>
  <c r="A206" i="1"/>
  <c r="A207" i="1"/>
  <c r="A208" i="1"/>
  <c r="A209" i="1"/>
  <c r="A210" i="1"/>
  <c r="A211" i="1"/>
  <c r="A212" i="1"/>
  <c r="A213" i="1"/>
  <c r="A214" i="1"/>
  <c r="A216" i="1"/>
  <c r="A218" i="1"/>
  <c r="A219" i="1"/>
  <c r="A220" i="1"/>
  <c r="A221" i="1"/>
  <c r="A222" i="1"/>
  <c r="A223" i="1"/>
  <c r="A224" i="1"/>
  <c r="A225" i="1"/>
  <c r="A124" i="1" a="1"/>
  <c r="A128" i="1" s="1"/>
  <c r="Q128" i="1" s="1"/>
  <c r="A49" i="1" a="1"/>
  <c r="A50" i="1" s="1"/>
  <c r="X50" i="1" s="1"/>
  <c r="B264" i="1" a="1"/>
  <c r="G264" i="1" s="1"/>
  <c r="B260" i="1"/>
  <c r="B259" i="1"/>
  <c r="A247" i="1" a="1"/>
  <c r="A248" i="1" s="1"/>
  <c r="B242" i="1"/>
  <c r="B241" i="1"/>
  <c r="G252" i="1" s="1"/>
  <c r="K260" i="1" s="1"/>
  <c r="G270" i="1" s="1"/>
  <c r="B240" i="1"/>
  <c r="F249" i="1" s="1"/>
  <c r="G262" i="1" s="1"/>
  <c r="B239" i="1"/>
  <c r="F248" i="1" s="1"/>
  <c r="G259" i="1" s="1"/>
  <c r="B238" i="1"/>
  <c r="B247" i="1" s="1"/>
  <c r="E258" i="1" s="1"/>
  <c r="B189" i="1" a="1"/>
  <c r="F189" i="1" s="1"/>
  <c r="B185" i="1"/>
  <c r="B184" i="1"/>
  <c r="A172" i="1" a="1"/>
  <c r="A177" i="1" s="1"/>
  <c r="B167" i="1"/>
  <c r="G174" i="1" s="1"/>
  <c r="G185" i="1" s="1"/>
  <c r="B166" i="1"/>
  <c r="G177" i="1" s="1"/>
  <c r="K185" i="1" s="1"/>
  <c r="D192" i="1" s="1"/>
  <c r="B165" i="1"/>
  <c r="C177" i="1" s="1"/>
  <c r="I187" i="1" s="1"/>
  <c r="B164" i="1"/>
  <c r="F173" i="1" s="1"/>
  <c r="G184" i="1" s="1"/>
  <c r="B163" i="1"/>
  <c r="B172" i="1" s="1"/>
  <c r="E183" i="1" s="1"/>
  <c r="A277" i="1" l="1"/>
  <c r="A288" i="1"/>
  <c r="A287" i="1"/>
  <c r="A286" i="1"/>
  <c r="A297" i="1"/>
  <c r="A284" i="1"/>
  <c r="A289" i="1"/>
  <c r="A300" i="1"/>
  <c r="A276" i="1"/>
  <c r="A299" i="1"/>
  <c r="A275" i="1"/>
  <c r="A298" i="1"/>
  <c r="A274" i="1"/>
  <c r="A285" i="1"/>
  <c r="A296" i="1"/>
  <c r="A295" i="1"/>
  <c r="A283" i="1"/>
  <c r="A294" i="1"/>
  <c r="A282" i="1"/>
  <c r="A293" i="1"/>
  <c r="A281" i="1"/>
  <c r="A292" i="1"/>
  <c r="A280" i="1"/>
  <c r="A291" i="1"/>
  <c r="A279" i="1"/>
  <c r="A290" i="1"/>
  <c r="A217" i="1"/>
  <c r="A205" i="1"/>
  <c r="A215" i="1"/>
  <c r="R128" i="1"/>
  <c r="B128" i="1"/>
  <c r="AB128" i="1"/>
  <c r="P128" i="1"/>
  <c r="D128" i="1"/>
  <c r="AA128" i="1"/>
  <c r="O128" i="1"/>
  <c r="C128" i="1"/>
  <c r="Z128" i="1"/>
  <c r="M128" i="1"/>
  <c r="N128" i="1"/>
  <c r="L128" i="1"/>
  <c r="K128" i="1"/>
  <c r="V128" i="1"/>
  <c r="J128" i="1"/>
  <c r="U128" i="1"/>
  <c r="I128" i="1"/>
  <c r="T128" i="1"/>
  <c r="H128" i="1"/>
  <c r="S128" i="1"/>
  <c r="A127" i="1"/>
  <c r="A149" i="1"/>
  <c r="A148" i="1"/>
  <c r="A150" i="1"/>
  <c r="A138" i="1"/>
  <c r="A137" i="1"/>
  <c r="A124" i="1"/>
  <c r="A135" i="1"/>
  <c r="A134" i="1"/>
  <c r="A145" i="1"/>
  <c r="A144" i="1"/>
  <c r="A142" i="1"/>
  <c r="A130" i="1"/>
  <c r="A139" i="1"/>
  <c r="A126" i="1"/>
  <c r="A125" i="1"/>
  <c r="A136" i="1"/>
  <c r="A147" i="1"/>
  <c r="A146" i="1"/>
  <c r="A133" i="1"/>
  <c r="A132" i="1"/>
  <c r="A143" i="1"/>
  <c r="A131" i="1"/>
  <c r="A141" i="1"/>
  <c r="A129" i="1"/>
  <c r="A140" i="1"/>
  <c r="L50" i="1"/>
  <c r="M50" i="1"/>
  <c r="Y50" i="1"/>
  <c r="N50" i="1"/>
  <c r="Z50" i="1"/>
  <c r="K50" i="1"/>
  <c r="O50" i="1"/>
  <c r="AA50" i="1"/>
  <c r="P50" i="1"/>
  <c r="AB50" i="1"/>
  <c r="W50" i="1"/>
  <c r="E50" i="1"/>
  <c r="Q50" i="1"/>
  <c r="G50" i="1"/>
  <c r="F50" i="1"/>
  <c r="R50" i="1"/>
  <c r="S50" i="1"/>
  <c r="H50" i="1"/>
  <c r="I50" i="1"/>
  <c r="J50" i="1"/>
  <c r="A60" i="1"/>
  <c r="A61" i="1"/>
  <c r="A72" i="1"/>
  <c r="A71" i="1"/>
  <c r="A58" i="1"/>
  <c r="A69" i="1"/>
  <c r="A56" i="1"/>
  <c r="A66" i="1"/>
  <c r="A64" i="1"/>
  <c r="A52" i="1"/>
  <c r="A49" i="1"/>
  <c r="A59" i="1"/>
  <c r="A70" i="1"/>
  <c r="A55" i="1"/>
  <c r="A53" i="1"/>
  <c r="A75" i="1"/>
  <c r="A63" i="1"/>
  <c r="A51" i="1"/>
  <c r="A73" i="1"/>
  <c r="A57" i="1"/>
  <c r="A68" i="1"/>
  <c r="A67" i="1"/>
  <c r="A54" i="1"/>
  <c r="A65" i="1"/>
  <c r="A74" i="1"/>
  <c r="A62" i="1"/>
  <c r="C174" i="1"/>
  <c r="E187" i="1" s="1"/>
  <c r="C176" i="1"/>
  <c r="I184" i="1" s="1"/>
  <c r="D177" i="1"/>
  <c r="I185" i="1" s="1"/>
  <c r="D251" i="1"/>
  <c r="I261" i="1" s="1"/>
  <c r="D269" i="1" s="1"/>
  <c r="F177" i="1"/>
  <c r="K187" i="1" s="1"/>
  <c r="C192" i="1" s="1"/>
  <c r="D252" i="1"/>
  <c r="I260" i="1" s="1"/>
  <c r="D270" i="1" s="1"/>
  <c r="G249" i="1"/>
  <c r="G260" i="1" s="1"/>
  <c r="G267" i="1" s="1"/>
  <c r="B264" i="1"/>
  <c r="C264" i="1"/>
  <c r="D264" i="1"/>
  <c r="F267" i="1"/>
  <c r="E264" i="1"/>
  <c r="G173" i="1"/>
  <c r="G186" i="1" s="1"/>
  <c r="F264" i="1"/>
  <c r="E250" i="1"/>
  <c r="K258" i="1" s="1"/>
  <c r="E247" i="1"/>
  <c r="G258" i="1" s="1"/>
  <c r="E267" i="1"/>
  <c r="B250" i="1"/>
  <c r="I258" i="1" s="1"/>
  <c r="A251" i="1"/>
  <c r="A252" i="1"/>
  <c r="A249" i="1"/>
  <c r="A250" i="1"/>
  <c r="C251" i="1"/>
  <c r="I259" i="1" s="1"/>
  <c r="C248" i="1"/>
  <c r="E259" i="1" s="1"/>
  <c r="C265" i="1" s="1"/>
  <c r="F251" i="1"/>
  <c r="K259" i="1" s="1"/>
  <c r="D248" i="1"/>
  <c r="E261" i="1" s="1"/>
  <c r="G251" i="1"/>
  <c r="K261" i="1" s="1"/>
  <c r="C252" i="1"/>
  <c r="I262" i="1" s="1"/>
  <c r="G248" i="1"/>
  <c r="G261" i="1" s="1"/>
  <c r="A247" i="1"/>
  <c r="C249" i="1"/>
  <c r="E262" i="1" s="1"/>
  <c r="F252" i="1"/>
  <c r="K262" i="1" s="1"/>
  <c r="D249" i="1"/>
  <c r="E260" i="1" s="1"/>
  <c r="D267" i="1" s="1"/>
  <c r="E189" i="1"/>
  <c r="D189" i="1"/>
  <c r="C189" i="1"/>
  <c r="B189" i="1"/>
  <c r="G189" i="1"/>
  <c r="A172" i="1"/>
  <c r="A173" i="1"/>
  <c r="D174" i="1"/>
  <c r="E185" i="1" s="1"/>
  <c r="A174" i="1"/>
  <c r="F174" i="1"/>
  <c r="G187" i="1" s="1"/>
  <c r="A175" i="1"/>
  <c r="A176" i="1"/>
  <c r="B175" i="1"/>
  <c r="I183" i="1" s="1"/>
  <c r="E175" i="1"/>
  <c r="K183" i="1" s="1"/>
  <c r="E172" i="1"/>
  <c r="G183" i="1" s="1"/>
  <c r="D176" i="1"/>
  <c r="I186" i="1" s="1"/>
  <c r="C173" i="1"/>
  <c r="E184" i="1" s="1"/>
  <c r="F176" i="1"/>
  <c r="K184" i="1" s="1"/>
  <c r="D173" i="1"/>
  <c r="E186" i="1" s="1"/>
  <c r="G176" i="1"/>
  <c r="K186" i="1" s="1"/>
  <c r="C130" i="1" l="1"/>
  <c r="O130" i="1"/>
  <c r="AA130" i="1"/>
  <c r="D130" i="1"/>
  <c r="P130" i="1"/>
  <c r="AB130" i="1"/>
  <c r="Q130" i="1"/>
  <c r="R130" i="1"/>
  <c r="M130" i="1"/>
  <c r="S130" i="1"/>
  <c r="V130" i="1"/>
  <c r="H130" i="1"/>
  <c r="T130" i="1"/>
  <c r="J130" i="1"/>
  <c r="I130" i="1"/>
  <c r="U130" i="1"/>
  <c r="K130" i="1"/>
  <c r="L130" i="1"/>
  <c r="N130" i="1"/>
  <c r="Z130" i="1"/>
  <c r="B130" i="1"/>
  <c r="I127" i="1"/>
  <c r="U127" i="1"/>
  <c r="J127" i="1"/>
  <c r="V127" i="1"/>
  <c r="K127" i="1"/>
  <c r="L127" i="1"/>
  <c r="S127" i="1"/>
  <c r="M127" i="1"/>
  <c r="N127" i="1"/>
  <c r="Z127" i="1"/>
  <c r="P127" i="1"/>
  <c r="C127" i="1"/>
  <c r="O127" i="1"/>
  <c r="AA127" i="1"/>
  <c r="D127" i="1"/>
  <c r="AB127" i="1"/>
  <c r="Q127" i="1"/>
  <c r="B127" i="1"/>
  <c r="R127" i="1"/>
  <c r="H127" i="1"/>
  <c r="T127" i="1"/>
  <c r="Q141" i="1"/>
  <c r="C141" i="1"/>
  <c r="R141" i="1"/>
  <c r="S141" i="1"/>
  <c r="H141" i="1"/>
  <c r="T141" i="1"/>
  <c r="L141" i="1"/>
  <c r="AA141" i="1"/>
  <c r="I141" i="1"/>
  <c r="U141" i="1"/>
  <c r="O141" i="1"/>
  <c r="J141" i="1"/>
  <c r="V141" i="1"/>
  <c r="K141" i="1"/>
  <c r="M141" i="1"/>
  <c r="N141" i="1"/>
  <c r="Z141" i="1"/>
  <c r="D141" i="1"/>
  <c r="P141" i="1"/>
  <c r="AB141" i="1"/>
  <c r="B141" i="1"/>
  <c r="C142" i="1"/>
  <c r="O142" i="1"/>
  <c r="AA142" i="1"/>
  <c r="M142" i="1"/>
  <c r="D142" i="1"/>
  <c r="P142" i="1"/>
  <c r="AB142" i="1"/>
  <c r="Q142" i="1"/>
  <c r="R142" i="1"/>
  <c r="S142" i="1"/>
  <c r="H142" i="1"/>
  <c r="T142" i="1"/>
  <c r="V142" i="1"/>
  <c r="I142" i="1"/>
  <c r="U142" i="1"/>
  <c r="J142" i="1"/>
  <c r="K142" i="1"/>
  <c r="L142" i="1"/>
  <c r="B142" i="1"/>
  <c r="N142" i="1"/>
  <c r="Z142" i="1"/>
  <c r="K132" i="1"/>
  <c r="U132" i="1"/>
  <c r="L132" i="1"/>
  <c r="B132" i="1"/>
  <c r="M132" i="1"/>
  <c r="N132" i="1"/>
  <c r="Z132" i="1"/>
  <c r="I132" i="1"/>
  <c r="C132" i="1"/>
  <c r="O132" i="1"/>
  <c r="AA132" i="1"/>
  <c r="D132" i="1"/>
  <c r="P132" i="1"/>
  <c r="AB132" i="1"/>
  <c r="R132" i="1"/>
  <c r="Q132" i="1"/>
  <c r="S132" i="1"/>
  <c r="H132" i="1"/>
  <c r="T132" i="1"/>
  <c r="V132" i="1"/>
  <c r="J132" i="1"/>
  <c r="S134" i="1"/>
  <c r="H134" i="1"/>
  <c r="T134" i="1"/>
  <c r="N134" i="1"/>
  <c r="I134" i="1"/>
  <c r="U134" i="1"/>
  <c r="J134" i="1"/>
  <c r="V134" i="1"/>
  <c r="B134" i="1"/>
  <c r="K134" i="1"/>
  <c r="Z134" i="1"/>
  <c r="L134" i="1"/>
  <c r="Q134" i="1"/>
  <c r="M134" i="1"/>
  <c r="C134" i="1"/>
  <c r="O134" i="1"/>
  <c r="AA134" i="1"/>
  <c r="D134" i="1"/>
  <c r="P134" i="1"/>
  <c r="AB134" i="1"/>
  <c r="R134" i="1"/>
  <c r="I133" i="1"/>
  <c r="U133" i="1"/>
  <c r="S133" i="1"/>
  <c r="J133" i="1"/>
  <c r="V133" i="1"/>
  <c r="K133" i="1"/>
  <c r="B133" i="1"/>
  <c r="L133" i="1"/>
  <c r="M133" i="1"/>
  <c r="N133" i="1"/>
  <c r="Z133" i="1"/>
  <c r="P133" i="1"/>
  <c r="C133" i="1"/>
  <c r="O133" i="1"/>
  <c r="AA133" i="1"/>
  <c r="D133" i="1"/>
  <c r="AB133" i="1"/>
  <c r="Q133" i="1"/>
  <c r="R133" i="1"/>
  <c r="T133" i="1"/>
  <c r="H133" i="1"/>
  <c r="Q135" i="1"/>
  <c r="C135" i="1"/>
  <c r="AA135" i="1"/>
  <c r="R135" i="1"/>
  <c r="S135" i="1"/>
  <c r="H135" i="1"/>
  <c r="T135" i="1"/>
  <c r="O135" i="1"/>
  <c r="I135" i="1"/>
  <c r="U135" i="1"/>
  <c r="B135" i="1"/>
  <c r="J135" i="1"/>
  <c r="V135" i="1"/>
  <c r="L135" i="1"/>
  <c r="K135" i="1"/>
  <c r="M135" i="1"/>
  <c r="N135" i="1"/>
  <c r="Z135" i="1"/>
  <c r="D135" i="1"/>
  <c r="P135" i="1"/>
  <c r="AB135" i="1"/>
  <c r="I145" i="1"/>
  <c r="U145" i="1"/>
  <c r="S145" i="1"/>
  <c r="J145" i="1"/>
  <c r="V145" i="1"/>
  <c r="K145" i="1"/>
  <c r="B145" i="1"/>
  <c r="L145" i="1"/>
  <c r="M145" i="1"/>
  <c r="AB145" i="1"/>
  <c r="N145" i="1"/>
  <c r="Z145" i="1"/>
  <c r="P145" i="1"/>
  <c r="C145" i="1"/>
  <c r="O145" i="1"/>
  <c r="AA145" i="1"/>
  <c r="D145" i="1"/>
  <c r="Q145" i="1"/>
  <c r="R145" i="1"/>
  <c r="H145" i="1"/>
  <c r="T145" i="1"/>
  <c r="S146" i="1"/>
  <c r="Z146" i="1"/>
  <c r="Q146" i="1"/>
  <c r="H146" i="1"/>
  <c r="T146" i="1"/>
  <c r="I146" i="1"/>
  <c r="U146" i="1"/>
  <c r="J146" i="1"/>
  <c r="V146" i="1"/>
  <c r="B146" i="1"/>
  <c r="K146" i="1"/>
  <c r="L146" i="1"/>
  <c r="M146" i="1"/>
  <c r="N146" i="1"/>
  <c r="C146" i="1"/>
  <c r="O146" i="1"/>
  <c r="AA146" i="1"/>
  <c r="D146" i="1"/>
  <c r="P146" i="1"/>
  <c r="AB146" i="1"/>
  <c r="R146" i="1"/>
  <c r="C124" i="1"/>
  <c r="O124" i="1"/>
  <c r="AA124" i="1"/>
  <c r="D124" i="1"/>
  <c r="P124" i="1"/>
  <c r="AB124" i="1"/>
  <c r="M124" i="1"/>
  <c r="Q124" i="1"/>
  <c r="R124" i="1"/>
  <c r="S124" i="1"/>
  <c r="H124" i="1"/>
  <c r="T124" i="1"/>
  <c r="V124" i="1"/>
  <c r="I124" i="1"/>
  <c r="U124" i="1"/>
  <c r="J124" i="1"/>
  <c r="K124" i="1"/>
  <c r="L124" i="1"/>
  <c r="N124" i="1"/>
  <c r="Z124" i="1"/>
  <c r="Q129" i="1"/>
  <c r="C129" i="1"/>
  <c r="AA129" i="1"/>
  <c r="R129" i="1"/>
  <c r="S129" i="1"/>
  <c r="H129" i="1"/>
  <c r="T129" i="1"/>
  <c r="O129" i="1"/>
  <c r="I129" i="1"/>
  <c r="U129" i="1"/>
  <c r="J129" i="1"/>
  <c r="V129" i="1"/>
  <c r="L129" i="1"/>
  <c r="K129" i="1"/>
  <c r="M129" i="1"/>
  <c r="N129" i="1"/>
  <c r="Z129" i="1"/>
  <c r="P129" i="1"/>
  <c r="D129" i="1"/>
  <c r="AB129" i="1"/>
  <c r="B129" i="1"/>
  <c r="Q147" i="1"/>
  <c r="R147" i="1"/>
  <c r="S147" i="1"/>
  <c r="H147" i="1"/>
  <c r="T147" i="1"/>
  <c r="I147" i="1"/>
  <c r="U147" i="1"/>
  <c r="B147" i="1"/>
  <c r="J147" i="1"/>
  <c r="V147" i="1"/>
  <c r="L147" i="1"/>
  <c r="K147" i="1"/>
  <c r="M147" i="1"/>
  <c r="N147" i="1"/>
  <c r="Z147" i="1"/>
  <c r="C147" i="1"/>
  <c r="D147" i="1"/>
  <c r="P147" i="1"/>
  <c r="O147" i="1"/>
  <c r="AB147" i="1"/>
  <c r="AA147" i="1"/>
  <c r="M137" i="1"/>
  <c r="T137" i="1"/>
  <c r="N137" i="1"/>
  <c r="Z137" i="1"/>
  <c r="C137" i="1"/>
  <c r="O137" i="1"/>
  <c r="AA137" i="1"/>
  <c r="D137" i="1"/>
  <c r="P137" i="1"/>
  <c r="AB137" i="1"/>
  <c r="K137" i="1"/>
  <c r="Q137" i="1"/>
  <c r="R137" i="1"/>
  <c r="H137" i="1"/>
  <c r="S137" i="1"/>
  <c r="B137" i="1"/>
  <c r="I137" i="1"/>
  <c r="U137" i="1"/>
  <c r="J137" i="1"/>
  <c r="V137" i="1"/>
  <c r="L137" i="1"/>
  <c r="M131" i="1"/>
  <c r="B131" i="1"/>
  <c r="N131" i="1"/>
  <c r="Z131" i="1"/>
  <c r="C131" i="1"/>
  <c r="O131" i="1"/>
  <c r="AA131" i="1"/>
  <c r="D131" i="1"/>
  <c r="P131" i="1"/>
  <c r="AB131" i="1"/>
  <c r="K131" i="1"/>
  <c r="Q131" i="1"/>
  <c r="R131" i="1"/>
  <c r="T131" i="1"/>
  <c r="S131" i="1"/>
  <c r="H131" i="1"/>
  <c r="I131" i="1"/>
  <c r="U131" i="1"/>
  <c r="J131" i="1"/>
  <c r="V131" i="1"/>
  <c r="L131" i="1"/>
  <c r="K144" i="1"/>
  <c r="U144" i="1"/>
  <c r="L144" i="1"/>
  <c r="B144" i="1"/>
  <c r="M144" i="1"/>
  <c r="N144" i="1"/>
  <c r="Z144" i="1"/>
  <c r="I144" i="1"/>
  <c r="C144" i="1"/>
  <c r="O144" i="1"/>
  <c r="AA144" i="1"/>
  <c r="D144" i="1"/>
  <c r="P144" i="1"/>
  <c r="AB144" i="1"/>
  <c r="R144" i="1"/>
  <c r="Q144" i="1"/>
  <c r="S144" i="1"/>
  <c r="H144" i="1"/>
  <c r="T144" i="1"/>
  <c r="J144" i="1"/>
  <c r="V144" i="1"/>
  <c r="C136" i="1"/>
  <c r="O136" i="1"/>
  <c r="AA136" i="1"/>
  <c r="D136" i="1"/>
  <c r="P136" i="1"/>
  <c r="AB136" i="1"/>
  <c r="Q136" i="1"/>
  <c r="R136" i="1"/>
  <c r="M136" i="1"/>
  <c r="S136" i="1"/>
  <c r="H136" i="1"/>
  <c r="T136" i="1"/>
  <c r="B136" i="1"/>
  <c r="J136" i="1"/>
  <c r="I136" i="1"/>
  <c r="U136" i="1"/>
  <c r="V136" i="1"/>
  <c r="K136" i="1"/>
  <c r="L136" i="1"/>
  <c r="N136" i="1"/>
  <c r="Z136" i="1"/>
  <c r="K138" i="1"/>
  <c r="I138" i="1"/>
  <c r="L138" i="1"/>
  <c r="M138" i="1"/>
  <c r="N138" i="1"/>
  <c r="Z138" i="1"/>
  <c r="U138" i="1"/>
  <c r="C138" i="1"/>
  <c r="O138" i="1"/>
  <c r="AA138" i="1"/>
  <c r="B138" i="1"/>
  <c r="D138" i="1"/>
  <c r="P138" i="1"/>
  <c r="AB138" i="1"/>
  <c r="Q138" i="1"/>
  <c r="R138" i="1"/>
  <c r="S138" i="1"/>
  <c r="H138" i="1"/>
  <c r="T138" i="1"/>
  <c r="J138" i="1"/>
  <c r="V138" i="1"/>
  <c r="M143" i="1"/>
  <c r="B143" i="1"/>
  <c r="N143" i="1"/>
  <c r="Z143" i="1"/>
  <c r="H143" i="1"/>
  <c r="C143" i="1"/>
  <c r="O143" i="1"/>
  <c r="AA143" i="1"/>
  <c r="D143" i="1"/>
  <c r="P143" i="1"/>
  <c r="AB143" i="1"/>
  <c r="K143" i="1"/>
  <c r="Q143" i="1"/>
  <c r="R143" i="1"/>
  <c r="S143" i="1"/>
  <c r="T143" i="1"/>
  <c r="I143" i="1"/>
  <c r="U143" i="1"/>
  <c r="J143" i="1"/>
  <c r="V143" i="1"/>
  <c r="L143" i="1"/>
  <c r="M125" i="1"/>
  <c r="N125" i="1"/>
  <c r="Z125" i="1"/>
  <c r="T125" i="1"/>
  <c r="C125" i="1"/>
  <c r="O125" i="1"/>
  <c r="AA125" i="1"/>
  <c r="D125" i="1"/>
  <c r="P125" i="1"/>
  <c r="AB125" i="1"/>
  <c r="Q125" i="1"/>
  <c r="H125" i="1"/>
  <c r="R125" i="1"/>
  <c r="S125" i="1"/>
  <c r="B125" i="1"/>
  <c r="K125" i="1"/>
  <c r="I125" i="1"/>
  <c r="U125" i="1"/>
  <c r="J125" i="1"/>
  <c r="V125" i="1"/>
  <c r="L125" i="1"/>
  <c r="K150" i="1"/>
  <c r="L150" i="1"/>
  <c r="B150" i="1"/>
  <c r="M150" i="1"/>
  <c r="N150" i="1"/>
  <c r="Z150" i="1"/>
  <c r="C150" i="1"/>
  <c r="O150" i="1"/>
  <c r="AA150" i="1"/>
  <c r="D150" i="1"/>
  <c r="P150" i="1"/>
  <c r="AB150" i="1"/>
  <c r="R150" i="1"/>
  <c r="Q150" i="1"/>
  <c r="S150" i="1"/>
  <c r="H150" i="1"/>
  <c r="T150" i="1"/>
  <c r="V150" i="1"/>
  <c r="I150" i="1"/>
  <c r="J150" i="1"/>
  <c r="U150" i="1"/>
  <c r="K126" i="1"/>
  <c r="B126" i="1"/>
  <c r="I126" i="1"/>
  <c r="L126" i="1"/>
  <c r="M126" i="1"/>
  <c r="N126" i="1"/>
  <c r="Z126" i="1"/>
  <c r="U126" i="1"/>
  <c r="C126" i="1"/>
  <c r="O126" i="1"/>
  <c r="AA126" i="1"/>
  <c r="D126" i="1"/>
  <c r="P126" i="1"/>
  <c r="AB126" i="1"/>
  <c r="R126" i="1"/>
  <c r="Q126" i="1"/>
  <c r="S126" i="1"/>
  <c r="H126" i="1"/>
  <c r="T126" i="1"/>
  <c r="J126" i="1"/>
  <c r="V126" i="1"/>
  <c r="C148" i="1"/>
  <c r="O148" i="1"/>
  <c r="AA148" i="1"/>
  <c r="D148" i="1"/>
  <c r="P148" i="1"/>
  <c r="AB148" i="1"/>
  <c r="Q148" i="1"/>
  <c r="R148" i="1"/>
  <c r="S148" i="1"/>
  <c r="H148" i="1"/>
  <c r="T148" i="1"/>
  <c r="B148" i="1"/>
  <c r="V148" i="1"/>
  <c r="I148" i="1"/>
  <c r="U148" i="1"/>
  <c r="J148" i="1"/>
  <c r="K148" i="1"/>
  <c r="L148" i="1"/>
  <c r="M148" i="1"/>
  <c r="Z148" i="1"/>
  <c r="N148" i="1"/>
  <c r="S140" i="1"/>
  <c r="H140" i="1"/>
  <c r="T140" i="1"/>
  <c r="I140" i="1"/>
  <c r="U140" i="1"/>
  <c r="J140" i="1"/>
  <c r="V140" i="1"/>
  <c r="Q140" i="1"/>
  <c r="K140" i="1"/>
  <c r="Z140" i="1"/>
  <c r="L140" i="1"/>
  <c r="M140" i="1"/>
  <c r="N140" i="1"/>
  <c r="C140" i="1"/>
  <c r="O140" i="1"/>
  <c r="AA140" i="1"/>
  <c r="D140" i="1"/>
  <c r="P140" i="1"/>
  <c r="AB140" i="1"/>
  <c r="B140" i="1"/>
  <c r="R140" i="1"/>
  <c r="I139" i="1"/>
  <c r="U139" i="1"/>
  <c r="J139" i="1"/>
  <c r="V139" i="1"/>
  <c r="P139" i="1"/>
  <c r="K139" i="1"/>
  <c r="L139" i="1"/>
  <c r="S139" i="1"/>
  <c r="M139" i="1"/>
  <c r="N139" i="1"/>
  <c r="Z139" i="1"/>
  <c r="D139" i="1"/>
  <c r="AB139" i="1"/>
  <c r="C139" i="1"/>
  <c r="O139" i="1"/>
  <c r="AA139" i="1"/>
  <c r="Q139" i="1"/>
  <c r="B139" i="1"/>
  <c r="R139" i="1"/>
  <c r="T139" i="1"/>
  <c r="H139" i="1"/>
  <c r="M149" i="1"/>
  <c r="N149" i="1"/>
  <c r="Z149" i="1"/>
  <c r="C149" i="1"/>
  <c r="O149" i="1"/>
  <c r="AA149" i="1"/>
  <c r="D149" i="1"/>
  <c r="P149" i="1"/>
  <c r="AB149" i="1"/>
  <c r="T149" i="1"/>
  <c r="Q149" i="1"/>
  <c r="H149" i="1"/>
  <c r="R149" i="1"/>
  <c r="S149" i="1"/>
  <c r="B149" i="1"/>
  <c r="I149" i="1"/>
  <c r="U149" i="1"/>
  <c r="J149" i="1"/>
  <c r="V149" i="1"/>
  <c r="K149" i="1"/>
  <c r="L149" i="1"/>
  <c r="E54" i="1"/>
  <c r="Q54" i="1"/>
  <c r="AA54" i="1"/>
  <c r="F54" i="1"/>
  <c r="R54" i="1"/>
  <c r="G54" i="1"/>
  <c r="S54" i="1"/>
  <c r="H54" i="1"/>
  <c r="I54" i="1"/>
  <c r="O54" i="1"/>
  <c r="J54" i="1"/>
  <c r="K54" i="1"/>
  <c r="W54" i="1"/>
  <c r="L54" i="1"/>
  <c r="X54" i="1"/>
  <c r="M54" i="1"/>
  <c r="Y54" i="1"/>
  <c r="N54" i="1"/>
  <c r="Z54" i="1"/>
  <c r="AB54" i="1"/>
  <c r="P54" i="1"/>
  <c r="O49" i="1"/>
  <c r="AA49" i="1"/>
  <c r="M49" i="1"/>
  <c r="P49" i="1"/>
  <c r="AB49" i="1"/>
  <c r="E49" i="1"/>
  <c r="Q49" i="1"/>
  <c r="F49" i="1"/>
  <c r="R49" i="1"/>
  <c r="G49" i="1"/>
  <c r="S49" i="1"/>
  <c r="Y49" i="1"/>
  <c r="H49" i="1"/>
  <c r="I49" i="1"/>
  <c r="J49" i="1"/>
  <c r="K49" i="1"/>
  <c r="W49" i="1"/>
  <c r="L49" i="1"/>
  <c r="X49" i="1"/>
  <c r="N49" i="1"/>
  <c r="Z49" i="1"/>
  <c r="I52" i="1"/>
  <c r="J52" i="1"/>
  <c r="K52" i="1"/>
  <c r="W52" i="1"/>
  <c r="L52" i="1"/>
  <c r="X52" i="1"/>
  <c r="M52" i="1"/>
  <c r="Y52" i="1"/>
  <c r="N52" i="1"/>
  <c r="Z52" i="1"/>
  <c r="O52" i="1"/>
  <c r="AA52" i="1"/>
  <c r="G52" i="1"/>
  <c r="P52" i="1"/>
  <c r="AB52" i="1"/>
  <c r="E52" i="1"/>
  <c r="Q52" i="1"/>
  <c r="F52" i="1"/>
  <c r="R52" i="1"/>
  <c r="S52" i="1"/>
  <c r="H52" i="1"/>
  <c r="M68" i="1"/>
  <c r="Y68" i="1"/>
  <c r="N68" i="1"/>
  <c r="Z68" i="1"/>
  <c r="I68" i="1"/>
  <c r="O68" i="1"/>
  <c r="AA68" i="1"/>
  <c r="P68" i="1"/>
  <c r="AB68" i="1"/>
  <c r="E68" i="1"/>
  <c r="Q68" i="1"/>
  <c r="S68" i="1"/>
  <c r="F68" i="1"/>
  <c r="R68" i="1"/>
  <c r="G68" i="1"/>
  <c r="H68" i="1"/>
  <c r="J68" i="1"/>
  <c r="L68" i="1"/>
  <c r="W68" i="1"/>
  <c r="X68" i="1"/>
  <c r="K68" i="1"/>
  <c r="I64" i="1"/>
  <c r="J64" i="1"/>
  <c r="K64" i="1"/>
  <c r="W64" i="1"/>
  <c r="L64" i="1"/>
  <c r="X64" i="1"/>
  <c r="M64" i="1"/>
  <c r="Y64" i="1"/>
  <c r="N64" i="1"/>
  <c r="Z64" i="1"/>
  <c r="O64" i="1"/>
  <c r="AA64" i="1"/>
  <c r="P64" i="1"/>
  <c r="AB64" i="1"/>
  <c r="E64" i="1"/>
  <c r="Q64" i="1"/>
  <c r="F64" i="1"/>
  <c r="R64" i="1"/>
  <c r="H64" i="1"/>
  <c r="S64" i="1"/>
  <c r="G64" i="1"/>
  <c r="K69" i="1"/>
  <c r="W69" i="1"/>
  <c r="M69" i="1"/>
  <c r="L69" i="1"/>
  <c r="X69" i="1"/>
  <c r="Y69" i="1"/>
  <c r="N69" i="1"/>
  <c r="Z69" i="1"/>
  <c r="O69" i="1"/>
  <c r="AA69" i="1"/>
  <c r="P69" i="1"/>
  <c r="AB69" i="1"/>
  <c r="Q69" i="1"/>
  <c r="E69" i="1"/>
  <c r="G69" i="1"/>
  <c r="F69" i="1"/>
  <c r="R69" i="1"/>
  <c r="S69" i="1"/>
  <c r="H69" i="1"/>
  <c r="I69" i="1"/>
  <c r="J69" i="1"/>
  <c r="E66" i="1"/>
  <c r="Q66" i="1"/>
  <c r="S66" i="1"/>
  <c r="Y66" i="1"/>
  <c r="F66" i="1"/>
  <c r="R66" i="1"/>
  <c r="G66" i="1"/>
  <c r="H66" i="1"/>
  <c r="I66" i="1"/>
  <c r="M66" i="1"/>
  <c r="J66" i="1"/>
  <c r="K66" i="1"/>
  <c r="W66" i="1"/>
  <c r="L66" i="1"/>
  <c r="X66" i="1"/>
  <c r="N66" i="1"/>
  <c r="Z66" i="1"/>
  <c r="O66" i="1"/>
  <c r="P66" i="1"/>
  <c r="AA66" i="1"/>
  <c r="AB66" i="1"/>
  <c r="M56" i="1"/>
  <c r="Y56" i="1"/>
  <c r="K56" i="1"/>
  <c r="N56" i="1"/>
  <c r="Z56" i="1"/>
  <c r="O56" i="1"/>
  <c r="AA56" i="1"/>
  <c r="P56" i="1"/>
  <c r="AB56" i="1"/>
  <c r="E56" i="1"/>
  <c r="Q56" i="1"/>
  <c r="W56" i="1"/>
  <c r="F56" i="1"/>
  <c r="R56" i="1"/>
  <c r="G56" i="1"/>
  <c r="S56" i="1"/>
  <c r="H56" i="1"/>
  <c r="I56" i="1"/>
  <c r="J56" i="1"/>
  <c r="L56" i="1"/>
  <c r="X56" i="1"/>
  <c r="O73" i="1"/>
  <c r="AA73" i="1"/>
  <c r="K73" i="1"/>
  <c r="P73" i="1"/>
  <c r="AB73" i="1"/>
  <c r="E73" i="1"/>
  <c r="Q73" i="1"/>
  <c r="W73" i="1"/>
  <c r="F73" i="1"/>
  <c r="R73" i="1"/>
  <c r="G73" i="1"/>
  <c r="S73" i="1"/>
  <c r="I73" i="1"/>
  <c r="H73" i="1"/>
  <c r="J73" i="1"/>
  <c r="L73" i="1"/>
  <c r="X73" i="1"/>
  <c r="Z73" i="1"/>
  <c r="M73" i="1"/>
  <c r="N73" i="1"/>
  <c r="Y73" i="1"/>
  <c r="G53" i="1"/>
  <c r="S53" i="1"/>
  <c r="E53" i="1"/>
  <c r="H53" i="1"/>
  <c r="I53" i="1"/>
  <c r="J53" i="1"/>
  <c r="K53" i="1"/>
  <c r="W53" i="1"/>
  <c r="Q53" i="1"/>
  <c r="L53" i="1"/>
  <c r="X53" i="1"/>
  <c r="M53" i="1"/>
  <c r="Y53" i="1"/>
  <c r="N53" i="1"/>
  <c r="Z53" i="1"/>
  <c r="O53" i="1"/>
  <c r="AA53" i="1"/>
  <c r="P53" i="1"/>
  <c r="AB53" i="1"/>
  <c r="R53" i="1"/>
  <c r="F53" i="1"/>
  <c r="E72" i="1"/>
  <c r="Q72" i="1"/>
  <c r="S72" i="1"/>
  <c r="F72" i="1"/>
  <c r="R72" i="1"/>
  <c r="G72" i="1"/>
  <c r="H72" i="1"/>
  <c r="Y72" i="1"/>
  <c r="I72" i="1"/>
  <c r="K72" i="1"/>
  <c r="J72" i="1"/>
  <c r="M72" i="1"/>
  <c r="W72" i="1"/>
  <c r="L72" i="1"/>
  <c r="X72" i="1"/>
  <c r="N72" i="1"/>
  <c r="Z72" i="1"/>
  <c r="O72" i="1"/>
  <c r="P72" i="1"/>
  <c r="AA72" i="1"/>
  <c r="AB72" i="1"/>
  <c r="M62" i="1"/>
  <c r="Y62" i="1"/>
  <c r="N62" i="1"/>
  <c r="Z62" i="1"/>
  <c r="O62" i="1"/>
  <c r="AA62" i="1"/>
  <c r="P62" i="1"/>
  <c r="AB62" i="1"/>
  <c r="E62" i="1"/>
  <c r="Q62" i="1"/>
  <c r="W62" i="1"/>
  <c r="F62" i="1"/>
  <c r="R62" i="1"/>
  <c r="G62" i="1"/>
  <c r="S62" i="1"/>
  <c r="H62" i="1"/>
  <c r="K62" i="1"/>
  <c r="I62" i="1"/>
  <c r="J62" i="1"/>
  <c r="L62" i="1"/>
  <c r="X62" i="1"/>
  <c r="O55" i="1"/>
  <c r="AA55" i="1"/>
  <c r="P55" i="1"/>
  <c r="AB55" i="1"/>
  <c r="Y55" i="1"/>
  <c r="E55" i="1"/>
  <c r="Q55" i="1"/>
  <c r="F55" i="1"/>
  <c r="R55" i="1"/>
  <c r="G55" i="1"/>
  <c r="S55" i="1"/>
  <c r="M55" i="1"/>
  <c r="H55" i="1"/>
  <c r="I55" i="1"/>
  <c r="J55" i="1"/>
  <c r="K55" i="1"/>
  <c r="W55" i="1"/>
  <c r="L55" i="1"/>
  <c r="X55" i="1"/>
  <c r="Z55" i="1"/>
  <c r="N55" i="1"/>
  <c r="O61" i="1"/>
  <c r="AA61" i="1"/>
  <c r="P61" i="1"/>
  <c r="AB61" i="1"/>
  <c r="E61" i="1"/>
  <c r="Q61" i="1"/>
  <c r="F61" i="1"/>
  <c r="R61" i="1"/>
  <c r="I61" i="1"/>
  <c r="Y61" i="1"/>
  <c r="G61" i="1"/>
  <c r="S61" i="1"/>
  <c r="M61" i="1"/>
  <c r="H61" i="1"/>
  <c r="J61" i="1"/>
  <c r="K61" i="1"/>
  <c r="W61" i="1"/>
  <c r="L61" i="1"/>
  <c r="X61" i="1"/>
  <c r="N61" i="1"/>
  <c r="Z61" i="1"/>
  <c r="O67" i="1"/>
  <c r="AA67" i="1"/>
  <c r="P67" i="1"/>
  <c r="AB67" i="1"/>
  <c r="E67" i="1"/>
  <c r="Q67" i="1"/>
  <c r="F67" i="1"/>
  <c r="R67" i="1"/>
  <c r="K67" i="1"/>
  <c r="G67" i="1"/>
  <c r="S67" i="1"/>
  <c r="I67" i="1"/>
  <c r="M67" i="1"/>
  <c r="H67" i="1"/>
  <c r="J67" i="1"/>
  <c r="W67" i="1"/>
  <c r="L67" i="1"/>
  <c r="X67" i="1"/>
  <c r="Y67" i="1"/>
  <c r="Z67" i="1"/>
  <c r="N67" i="1"/>
  <c r="K57" i="1"/>
  <c r="W57" i="1"/>
  <c r="L57" i="1"/>
  <c r="X57" i="1"/>
  <c r="M57" i="1"/>
  <c r="Y57" i="1"/>
  <c r="N57" i="1"/>
  <c r="Z57" i="1"/>
  <c r="I57" i="1"/>
  <c r="O57" i="1"/>
  <c r="AA57" i="1"/>
  <c r="P57" i="1"/>
  <c r="AB57" i="1"/>
  <c r="E57" i="1"/>
  <c r="Q57" i="1"/>
  <c r="F57" i="1"/>
  <c r="R57" i="1"/>
  <c r="G57" i="1"/>
  <c r="S57" i="1"/>
  <c r="H57" i="1"/>
  <c r="J57" i="1"/>
  <c r="K51" i="1"/>
  <c r="W51" i="1"/>
  <c r="L51" i="1"/>
  <c r="X51" i="1"/>
  <c r="M51" i="1"/>
  <c r="Y51" i="1"/>
  <c r="N51" i="1"/>
  <c r="Z51" i="1"/>
  <c r="O51" i="1"/>
  <c r="AA51" i="1"/>
  <c r="P51" i="1"/>
  <c r="AB51" i="1"/>
  <c r="E51" i="1"/>
  <c r="Q51" i="1"/>
  <c r="F51" i="1"/>
  <c r="R51" i="1"/>
  <c r="I51" i="1"/>
  <c r="G51" i="1"/>
  <c r="S51" i="1"/>
  <c r="H51" i="1"/>
  <c r="J51" i="1"/>
  <c r="K63" i="1"/>
  <c r="W63" i="1"/>
  <c r="I63" i="1"/>
  <c r="L63" i="1"/>
  <c r="X63" i="1"/>
  <c r="M63" i="1"/>
  <c r="Y63" i="1"/>
  <c r="N63" i="1"/>
  <c r="Z63" i="1"/>
  <c r="O63" i="1"/>
  <c r="AA63" i="1"/>
  <c r="P63" i="1"/>
  <c r="AB63" i="1"/>
  <c r="E63" i="1"/>
  <c r="Q63" i="1"/>
  <c r="F63" i="1"/>
  <c r="R63" i="1"/>
  <c r="G63" i="1"/>
  <c r="S63" i="1"/>
  <c r="H63" i="1"/>
  <c r="J63" i="1"/>
  <c r="I58" i="1"/>
  <c r="G58" i="1"/>
  <c r="J58" i="1"/>
  <c r="K58" i="1"/>
  <c r="W58" i="1"/>
  <c r="L58" i="1"/>
  <c r="X58" i="1"/>
  <c r="M58" i="1"/>
  <c r="Y58" i="1"/>
  <c r="S58" i="1"/>
  <c r="N58" i="1"/>
  <c r="Z58" i="1"/>
  <c r="O58" i="1"/>
  <c r="AA58" i="1"/>
  <c r="P58" i="1"/>
  <c r="AB58" i="1"/>
  <c r="E58" i="1"/>
  <c r="Q58" i="1"/>
  <c r="F58" i="1"/>
  <c r="R58" i="1"/>
  <c r="H58" i="1"/>
  <c r="K75" i="1"/>
  <c r="W75" i="1"/>
  <c r="Y75" i="1"/>
  <c r="L75" i="1"/>
  <c r="X75" i="1"/>
  <c r="M75" i="1"/>
  <c r="S75" i="1"/>
  <c r="N75" i="1"/>
  <c r="Z75" i="1"/>
  <c r="E75" i="1"/>
  <c r="O75" i="1"/>
  <c r="AA75" i="1"/>
  <c r="P75" i="1"/>
  <c r="AB75" i="1"/>
  <c r="Q75" i="1"/>
  <c r="G75" i="1"/>
  <c r="F75" i="1"/>
  <c r="R75" i="1"/>
  <c r="H75" i="1"/>
  <c r="I75" i="1"/>
  <c r="J75" i="1"/>
  <c r="G71" i="1"/>
  <c r="S71" i="1"/>
  <c r="H71" i="1"/>
  <c r="AA71" i="1"/>
  <c r="I71" i="1"/>
  <c r="J71" i="1"/>
  <c r="K71" i="1"/>
  <c r="W71" i="1"/>
  <c r="M71" i="1"/>
  <c r="L71" i="1"/>
  <c r="X71" i="1"/>
  <c r="Y71" i="1"/>
  <c r="N71" i="1"/>
  <c r="Z71" i="1"/>
  <c r="O71" i="1"/>
  <c r="P71" i="1"/>
  <c r="AB71" i="1"/>
  <c r="F71" i="1"/>
  <c r="Q71" i="1"/>
  <c r="R71" i="1"/>
  <c r="E71" i="1"/>
  <c r="M74" i="1"/>
  <c r="Y74" i="1"/>
  <c r="AA74" i="1"/>
  <c r="N74" i="1"/>
  <c r="Z74" i="1"/>
  <c r="O74" i="1"/>
  <c r="P74" i="1"/>
  <c r="AB74" i="1"/>
  <c r="E74" i="1"/>
  <c r="Q74" i="1"/>
  <c r="G74" i="1"/>
  <c r="I74" i="1"/>
  <c r="F74" i="1"/>
  <c r="R74" i="1"/>
  <c r="S74" i="1"/>
  <c r="H74" i="1"/>
  <c r="J74" i="1"/>
  <c r="K74" i="1"/>
  <c r="L74" i="1"/>
  <c r="W74" i="1"/>
  <c r="X74" i="1"/>
  <c r="I70" i="1"/>
  <c r="W70" i="1"/>
  <c r="J70" i="1"/>
  <c r="K70" i="1"/>
  <c r="L70" i="1"/>
  <c r="X70" i="1"/>
  <c r="O70" i="1"/>
  <c r="M70" i="1"/>
  <c r="Y70" i="1"/>
  <c r="N70" i="1"/>
  <c r="Z70" i="1"/>
  <c r="AA70" i="1"/>
  <c r="P70" i="1"/>
  <c r="AB70" i="1"/>
  <c r="E70" i="1"/>
  <c r="Q70" i="1"/>
  <c r="F70" i="1"/>
  <c r="R70" i="1"/>
  <c r="G70" i="1"/>
  <c r="S70" i="1"/>
  <c r="H70" i="1"/>
  <c r="E60" i="1"/>
  <c r="Q60" i="1"/>
  <c r="AA60" i="1"/>
  <c r="F60" i="1"/>
  <c r="R60" i="1"/>
  <c r="O60" i="1"/>
  <c r="G60" i="1"/>
  <c r="S60" i="1"/>
  <c r="H60" i="1"/>
  <c r="I60" i="1"/>
  <c r="J60" i="1"/>
  <c r="K60" i="1"/>
  <c r="W60" i="1"/>
  <c r="L60" i="1"/>
  <c r="X60" i="1"/>
  <c r="M60" i="1"/>
  <c r="Y60" i="1"/>
  <c r="N60" i="1"/>
  <c r="Z60" i="1"/>
  <c r="P60" i="1"/>
  <c r="AB60" i="1"/>
  <c r="G65" i="1"/>
  <c r="S65" i="1"/>
  <c r="I65" i="1"/>
  <c r="H65" i="1"/>
  <c r="J65" i="1"/>
  <c r="K65" i="1"/>
  <c r="W65" i="1"/>
  <c r="Q65" i="1"/>
  <c r="L65" i="1"/>
  <c r="X65" i="1"/>
  <c r="M65" i="1"/>
  <c r="Y65" i="1"/>
  <c r="N65" i="1"/>
  <c r="Z65" i="1"/>
  <c r="O65" i="1"/>
  <c r="AA65" i="1"/>
  <c r="P65" i="1"/>
  <c r="AB65" i="1"/>
  <c r="E65" i="1"/>
  <c r="F65" i="1"/>
  <c r="R65" i="1"/>
  <c r="G59" i="1"/>
  <c r="S59" i="1"/>
  <c r="Q59" i="1"/>
  <c r="H59" i="1"/>
  <c r="I59" i="1"/>
  <c r="J59" i="1"/>
  <c r="K59" i="1"/>
  <c r="W59" i="1"/>
  <c r="L59" i="1"/>
  <c r="X59" i="1"/>
  <c r="M59" i="1"/>
  <c r="Y59" i="1"/>
  <c r="N59" i="1"/>
  <c r="Z59" i="1"/>
  <c r="O59" i="1"/>
  <c r="AA59" i="1"/>
  <c r="E59" i="1"/>
  <c r="P59" i="1"/>
  <c r="AB59" i="1"/>
  <c r="R59" i="1"/>
  <c r="F59" i="1"/>
  <c r="B192" i="1"/>
  <c r="D268" i="1"/>
  <c r="A265" i="1" a="1"/>
  <c r="A269" i="1" s="1"/>
  <c r="G269" i="1"/>
  <c r="G268" i="1"/>
  <c r="F270" i="1"/>
  <c r="E270" i="1"/>
  <c r="B270" i="1"/>
  <c r="C270" i="1"/>
  <c r="B199" i="1"/>
  <c r="F268" i="1"/>
  <c r="E269" i="1" s="1"/>
  <c r="E268" i="1"/>
  <c r="F269" i="1"/>
  <c r="B265" i="1"/>
  <c r="B266" i="1"/>
  <c r="C266" i="1"/>
  <c r="C267" i="1"/>
  <c r="B267" i="1"/>
  <c r="G266" i="1"/>
  <c r="G265" i="1"/>
  <c r="C269" i="1"/>
  <c r="C268" i="1"/>
  <c r="B268" i="1"/>
  <c r="F266" i="1"/>
  <c r="F265" i="1"/>
  <c r="E265" i="1"/>
  <c r="D266" i="1"/>
  <c r="D265" i="1"/>
  <c r="A190" i="1" a="1"/>
  <c r="C190" i="1"/>
  <c r="B191" i="1" s="1"/>
  <c r="B190" i="1"/>
  <c r="C191" i="1"/>
  <c r="D190" i="1"/>
  <c r="D191" i="1"/>
  <c r="A270" i="1" l="1"/>
  <c r="A265" i="1"/>
  <c r="A266" i="1"/>
  <c r="A267" i="1"/>
  <c r="A268" i="1"/>
  <c r="E266" i="1"/>
  <c r="B269" i="1"/>
  <c r="A195" i="1"/>
  <c r="A192" i="1"/>
  <c r="A190" i="1"/>
  <c r="A191" i="1"/>
  <c r="A193" i="1"/>
  <c r="A194" i="1"/>
  <c r="B274" i="1" l="1"/>
  <c r="A115" i="1" l="1" a="1"/>
  <c r="A119" i="1" s="1"/>
  <c r="B110" i="1"/>
  <c r="B109" i="1"/>
  <c r="A97" i="1" a="1"/>
  <c r="A102" i="1" s="1"/>
  <c r="B92" i="1"/>
  <c r="G99" i="1" s="1"/>
  <c r="G110" i="1" s="1"/>
  <c r="B91" i="1"/>
  <c r="G102" i="1" s="1"/>
  <c r="K110" i="1" s="1"/>
  <c r="D117" i="1" s="1"/>
  <c r="B90" i="1"/>
  <c r="G101" i="1" s="1"/>
  <c r="K111" i="1" s="1"/>
  <c r="B89" i="1"/>
  <c r="C101" i="1" s="1"/>
  <c r="I109" i="1" s="1"/>
  <c r="B88" i="1"/>
  <c r="E97" i="1" s="1"/>
  <c r="G108" i="1" s="1"/>
  <c r="B34" i="1"/>
  <c r="A40" i="1" a="1"/>
  <c r="A40" i="1" s="1"/>
  <c r="B35" i="1"/>
  <c r="T49" i="1" l="1"/>
  <c r="U49" i="1"/>
  <c r="V49" i="1"/>
  <c r="C98" i="1"/>
  <c r="E109" i="1" s="1"/>
  <c r="F98" i="1"/>
  <c r="G109" i="1" s="1"/>
  <c r="F101" i="1"/>
  <c r="K109" i="1" s="1"/>
  <c r="A120" i="1"/>
  <c r="A118" i="1"/>
  <c r="A97" i="1"/>
  <c r="A101" i="1"/>
  <c r="D115" i="1"/>
  <c r="D116" i="1"/>
  <c r="G98" i="1"/>
  <c r="G111" i="1" s="1"/>
  <c r="D102" i="1"/>
  <c r="I110" i="1" s="1"/>
  <c r="C99" i="1"/>
  <c r="E112" i="1" s="1"/>
  <c r="F102" i="1"/>
  <c r="K112" i="1" s="1"/>
  <c r="A98" i="1"/>
  <c r="D99" i="1"/>
  <c r="E110" i="1" s="1"/>
  <c r="A115" i="1"/>
  <c r="A99" i="1"/>
  <c r="F99" i="1"/>
  <c r="G112" i="1" s="1"/>
  <c r="A116" i="1"/>
  <c r="A100" i="1"/>
  <c r="A117" i="1"/>
  <c r="C102" i="1"/>
  <c r="I112" i="1" s="1"/>
  <c r="B100" i="1"/>
  <c r="I108" i="1" s="1"/>
  <c r="E100" i="1"/>
  <c r="K108" i="1" s="1"/>
  <c r="B97" i="1"/>
  <c r="E108" i="1" s="1"/>
  <c r="D101" i="1"/>
  <c r="I111" i="1" s="1"/>
  <c r="D98" i="1"/>
  <c r="E111" i="1" s="1"/>
  <c r="A41" i="1"/>
  <c r="V50" i="1" s="1"/>
  <c r="A42" i="1"/>
  <c r="A45" i="1"/>
  <c r="A44" i="1"/>
  <c r="A43" i="1"/>
  <c r="G128" i="1" l="1"/>
  <c r="X128" i="1"/>
  <c r="W128" i="1"/>
  <c r="Y128" i="1"/>
  <c r="G130" i="1"/>
  <c r="W141" i="1"/>
  <c r="W133" i="1"/>
  <c r="X144" i="1"/>
  <c r="W150" i="1"/>
  <c r="F126" i="1"/>
  <c r="Y140" i="1"/>
  <c r="Y142" i="1"/>
  <c r="W132" i="1"/>
  <c r="E134" i="1"/>
  <c r="F135" i="1"/>
  <c r="G145" i="1"/>
  <c r="W129" i="1"/>
  <c r="F147" i="1"/>
  <c r="G125" i="1"/>
  <c r="F148" i="1"/>
  <c r="W148" i="1"/>
  <c r="G139" i="1"/>
  <c r="E149" i="1"/>
  <c r="F140" i="1"/>
  <c r="X127" i="1"/>
  <c r="G143" i="1"/>
  <c r="G126" i="1"/>
  <c r="Y127" i="1"/>
  <c r="Y141" i="1"/>
  <c r="E146" i="1"/>
  <c r="E124" i="1"/>
  <c r="G129" i="1"/>
  <c r="X129" i="1"/>
  <c r="W137" i="1"/>
  <c r="Y136" i="1"/>
  <c r="X150" i="1"/>
  <c r="W140" i="1"/>
  <c r="E139" i="1"/>
  <c r="G141" i="1"/>
  <c r="G131" i="1"/>
  <c r="Y130" i="1"/>
  <c r="G134" i="1"/>
  <c r="W134" i="1"/>
  <c r="X133" i="1"/>
  <c r="E133" i="1"/>
  <c r="G135" i="1"/>
  <c r="W135" i="1"/>
  <c r="G146" i="1"/>
  <c r="W124" i="1"/>
  <c r="X147" i="1"/>
  <c r="W147" i="1"/>
  <c r="Y137" i="1"/>
  <c r="E137" i="1"/>
  <c r="Y144" i="1"/>
  <c r="E144" i="1"/>
  <c r="W138" i="1"/>
  <c r="F138" i="1"/>
  <c r="E150" i="1"/>
  <c r="W126" i="1"/>
  <c r="G148" i="1"/>
  <c r="X148" i="1"/>
  <c r="Y149" i="1"/>
  <c r="W149" i="1"/>
  <c r="F144" i="1"/>
  <c r="F139" i="1"/>
  <c r="X130" i="1"/>
  <c r="Y139" i="1"/>
  <c r="E142" i="1"/>
  <c r="X132" i="1"/>
  <c r="F134" i="1"/>
  <c r="G133" i="1"/>
  <c r="X135" i="1"/>
  <c r="W146" i="1"/>
  <c r="F146" i="1"/>
  <c r="F124" i="1"/>
  <c r="Y129" i="1"/>
  <c r="G147" i="1"/>
  <c r="X137" i="1"/>
  <c r="F149" i="1"/>
  <c r="X149" i="1"/>
  <c r="E140" i="1"/>
  <c r="E147" i="1"/>
  <c r="G136" i="1"/>
  <c r="G127" i="1"/>
  <c r="F133" i="1"/>
  <c r="X124" i="1"/>
  <c r="Y147" i="1"/>
  <c r="F137" i="1"/>
  <c r="G144" i="1"/>
  <c r="Y150" i="1"/>
  <c r="F150" i="1"/>
  <c r="X125" i="1"/>
  <c r="X140" i="1"/>
  <c r="X136" i="1"/>
  <c r="E141" i="1"/>
  <c r="F142" i="1"/>
  <c r="W142" i="1"/>
  <c r="E132" i="1"/>
  <c r="X134" i="1"/>
  <c r="Y133" i="1"/>
  <c r="Y135" i="1"/>
  <c r="W145" i="1"/>
  <c r="X146" i="1"/>
  <c r="G124" i="1"/>
  <c r="Y131" i="1"/>
  <c r="E131" i="1"/>
  <c r="X131" i="1"/>
  <c r="E136" i="1"/>
  <c r="X138" i="1"/>
  <c r="Y143" i="1"/>
  <c r="X143" i="1"/>
  <c r="G150" i="1"/>
  <c r="Y148" i="1"/>
  <c r="W139" i="1"/>
  <c r="G149" i="1"/>
  <c r="X141" i="1"/>
  <c r="G138" i="1"/>
  <c r="E148" i="1"/>
  <c r="E130" i="1"/>
  <c r="Y132" i="1"/>
  <c r="E143" i="1"/>
  <c r="W125" i="1"/>
  <c r="X126" i="1"/>
  <c r="Y145" i="1"/>
  <c r="G142" i="1"/>
  <c r="X142" i="1"/>
  <c r="F132" i="1"/>
  <c r="Y146" i="1"/>
  <c r="G137" i="1"/>
  <c r="W131" i="1"/>
  <c r="F131" i="1"/>
  <c r="F136" i="1"/>
  <c r="Y138" i="1"/>
  <c r="E138" i="1"/>
  <c r="W143" i="1"/>
  <c r="E125" i="1"/>
  <c r="G140" i="1"/>
  <c r="X139" i="1"/>
  <c r="F125" i="1"/>
  <c r="F130" i="1"/>
  <c r="W130" i="1"/>
  <c r="W127" i="1"/>
  <c r="F141" i="1"/>
  <c r="G132" i="1"/>
  <c r="Y134" i="1"/>
  <c r="E135" i="1"/>
  <c r="X145" i="1"/>
  <c r="E145" i="1"/>
  <c r="Y124" i="1"/>
  <c r="W144" i="1"/>
  <c r="W136" i="1"/>
  <c r="F143" i="1"/>
  <c r="Y125" i="1"/>
  <c r="Y126" i="1"/>
  <c r="E126" i="1"/>
  <c r="F145" i="1"/>
  <c r="U64" i="1"/>
  <c r="B59" i="1"/>
  <c r="C55" i="1"/>
  <c r="B70" i="1"/>
  <c r="D59" i="1"/>
  <c r="C62" i="1"/>
  <c r="V75" i="1"/>
  <c r="C64" i="1"/>
  <c r="T51" i="1"/>
  <c r="U74" i="1"/>
  <c r="C58" i="1"/>
  <c r="V71" i="1"/>
  <c r="T58" i="1"/>
  <c r="V65" i="1"/>
  <c r="V68" i="1"/>
  <c r="C52" i="1"/>
  <c r="T56" i="1"/>
  <c r="T73" i="1"/>
  <c r="D55" i="1"/>
  <c r="V51" i="1"/>
  <c r="U63" i="1"/>
  <c r="V58" i="1"/>
  <c r="T57" i="1"/>
  <c r="T70" i="1"/>
  <c r="U52" i="1"/>
  <c r="V74" i="1"/>
  <c r="U66" i="1"/>
  <c r="D73" i="1"/>
  <c r="C72" i="1"/>
  <c r="B55" i="1"/>
  <c r="D53" i="1"/>
  <c r="D67" i="1"/>
  <c r="B61" i="1"/>
  <c r="U70" i="1"/>
  <c r="U65" i="1"/>
  <c r="V69" i="1"/>
  <c r="U69" i="1"/>
  <c r="B53" i="1"/>
  <c r="B62" i="1"/>
  <c r="B58" i="1"/>
  <c r="C73" i="1"/>
  <c r="T64" i="1"/>
  <c r="U51" i="1"/>
  <c r="U61" i="1"/>
  <c r="V72" i="1"/>
  <c r="C71" i="1"/>
  <c r="C65" i="1"/>
  <c r="C74" i="1"/>
  <c r="T68" i="1"/>
  <c r="D64" i="1"/>
  <c r="C56" i="1"/>
  <c r="U68" i="1"/>
  <c r="B57" i="1"/>
  <c r="V57" i="1"/>
  <c r="D57" i="1"/>
  <c r="V62" i="1"/>
  <c r="T53" i="1"/>
  <c r="T75" i="1"/>
  <c r="T60" i="1"/>
  <c r="B75" i="1"/>
  <c r="T69" i="1"/>
  <c r="B64" i="1"/>
  <c r="D66" i="1"/>
  <c r="B54" i="1"/>
  <c r="C69" i="1"/>
  <c r="U67" i="1"/>
  <c r="D70" i="1"/>
  <c r="T67" i="1"/>
  <c r="C53" i="1"/>
  <c r="V73" i="1"/>
  <c r="C75" i="1"/>
  <c r="C70" i="1"/>
  <c r="V63" i="1"/>
  <c r="T65" i="1"/>
  <c r="T66" i="1"/>
  <c r="B52" i="1"/>
  <c r="B63" i="1"/>
  <c r="C60" i="1"/>
  <c r="C68" i="1"/>
  <c r="U54" i="1"/>
  <c r="V61" i="1"/>
  <c r="V70" i="1"/>
  <c r="C66" i="1"/>
  <c r="V56" i="1"/>
  <c r="B66" i="1"/>
  <c r="U58" i="1"/>
  <c r="U57" i="1"/>
  <c r="B74" i="1"/>
  <c r="V67" i="1"/>
  <c r="D69" i="1"/>
  <c r="T74" i="1"/>
  <c r="D52" i="1"/>
  <c r="V52" i="1"/>
  <c r="V66" i="1"/>
  <c r="C57" i="1"/>
  <c r="C67" i="1"/>
  <c r="B67" i="1"/>
  <c r="T71" i="1"/>
  <c r="T72" i="1"/>
  <c r="V64" i="1"/>
  <c r="D74" i="1"/>
  <c r="T54" i="1"/>
  <c r="B69" i="1"/>
  <c r="T61" i="1"/>
  <c r="D61" i="1"/>
  <c r="U55" i="1"/>
  <c r="T62" i="1"/>
  <c r="T63" i="1"/>
  <c r="D54" i="1"/>
  <c r="U50" i="1"/>
  <c r="V60" i="1"/>
  <c r="V59" i="1"/>
  <c r="B56" i="1"/>
  <c r="B71" i="1"/>
  <c r="C59" i="1"/>
  <c r="D65" i="1"/>
  <c r="T52" i="1"/>
  <c r="V55" i="1"/>
  <c r="U73" i="1"/>
  <c r="B72" i="1"/>
  <c r="D62" i="1"/>
  <c r="D63" i="1"/>
  <c r="V54" i="1"/>
  <c r="V53" i="1"/>
  <c r="D58" i="1"/>
  <c r="U75" i="1"/>
  <c r="U59" i="1"/>
  <c r="U60" i="1"/>
  <c r="U62" i="1"/>
  <c r="D56" i="1"/>
  <c r="U53" i="1"/>
  <c r="D72" i="1"/>
  <c r="C61" i="1"/>
  <c r="C54" i="1"/>
  <c r="T50" i="1"/>
  <c r="B65" i="1"/>
  <c r="C63" i="1"/>
  <c r="D60" i="1"/>
  <c r="B68" i="1"/>
  <c r="D75" i="1"/>
  <c r="B60" i="1"/>
  <c r="D71" i="1"/>
  <c r="T59" i="1"/>
  <c r="U56" i="1"/>
  <c r="D68" i="1"/>
  <c r="B73" i="1"/>
  <c r="U72" i="1"/>
  <c r="T55" i="1"/>
  <c r="U71" i="1"/>
  <c r="B124" i="1"/>
  <c r="C117" i="1"/>
  <c r="F129" i="1" s="1"/>
  <c r="B117" i="1"/>
  <c r="E129" i="1" s="1"/>
  <c r="B115" i="1"/>
  <c r="E127" i="1" s="1"/>
  <c r="C115" i="1"/>
  <c r="F127" i="1" s="1"/>
  <c r="C116" i="1"/>
  <c r="F128" i="1" s="1"/>
  <c r="B116" i="1" l="1"/>
  <c r="E128" i="1" s="1"/>
  <c r="A22" i="1" a="1"/>
  <c r="A23" i="1" s="1"/>
  <c r="B17" i="1"/>
  <c r="G24" i="1" s="1"/>
  <c r="G35" i="1" s="1"/>
  <c r="B16" i="1"/>
  <c r="D24" i="1" s="1"/>
  <c r="E35" i="1" s="1"/>
  <c r="B15" i="1"/>
  <c r="G26" i="1" s="1"/>
  <c r="K36" i="1" s="1"/>
  <c r="B14" i="1"/>
  <c r="C23" i="1" s="1"/>
  <c r="E34" i="1" s="1"/>
  <c r="B13" i="1"/>
  <c r="E22" i="1" l="1"/>
  <c r="G33" i="1" s="1"/>
  <c r="B22" i="1"/>
  <c r="E33" i="1" s="1"/>
  <c r="D41" i="1"/>
  <c r="D50" i="1" s="1"/>
  <c r="D40" i="1"/>
  <c r="D49" i="1" s="1"/>
  <c r="F23" i="1"/>
  <c r="G34" i="1" s="1"/>
  <c r="G23" i="1"/>
  <c r="G36" i="1" s="1"/>
  <c r="G27" i="1"/>
  <c r="K35" i="1" s="1"/>
  <c r="D42" i="1" s="1"/>
  <c r="D51" i="1" s="1"/>
  <c r="F27" i="1"/>
  <c r="K37" i="1" s="1"/>
  <c r="D27" i="1"/>
  <c r="I35" i="1" s="1"/>
  <c r="F24" i="1"/>
  <c r="G37" i="1" s="1"/>
  <c r="C27" i="1"/>
  <c r="I37" i="1" s="1"/>
  <c r="F26" i="1"/>
  <c r="K34" i="1" s="1"/>
  <c r="B25" i="1"/>
  <c r="I33" i="1" s="1"/>
  <c r="C26" i="1"/>
  <c r="I34" i="1" s="1"/>
  <c r="D26" i="1"/>
  <c r="I36" i="1" s="1"/>
  <c r="D23" i="1"/>
  <c r="E36" i="1" s="1"/>
  <c r="C24" i="1"/>
  <c r="E37" i="1" s="1"/>
  <c r="E25" i="1"/>
  <c r="K33" i="1" s="1"/>
  <c r="A27" i="1"/>
  <c r="A26" i="1"/>
  <c r="A25" i="1"/>
  <c r="A22" i="1"/>
  <c r="A24" i="1"/>
  <c r="C42" i="1" l="1"/>
  <c r="C51" i="1" s="1"/>
  <c r="B42" i="1"/>
  <c r="B51" i="1" s="1"/>
  <c r="C41" i="1"/>
  <c r="C50" i="1" s="1"/>
  <c r="C40" i="1"/>
  <c r="C49" i="1" s="1"/>
  <c r="B40" i="1"/>
  <c r="B49" i="1" s="1"/>
  <c r="B41" i="1" l="1"/>
  <c r="B50" i="1" s="1"/>
</calcChain>
</file>

<file path=xl/sharedStrings.xml><?xml version="1.0" encoding="utf-8"?>
<sst xmlns="http://schemas.openxmlformats.org/spreadsheetml/2006/main" count="332" uniqueCount="63">
  <si>
    <t>EJEMPLO DE ANALISIS MATRICIAL DE UN MARCO VIGA COLUMNA BIDIMENCIONALS</t>
  </si>
  <si>
    <t>ELEMENTO 1, COLUMNA</t>
  </si>
  <si>
    <t>A</t>
  </si>
  <si>
    <t>I</t>
  </si>
  <si>
    <t>L</t>
  </si>
  <si>
    <t>E</t>
  </si>
  <si>
    <t>m</t>
  </si>
  <si>
    <t>raz</t>
  </si>
  <si>
    <t>raax</t>
  </si>
  <si>
    <t>r11x=r22x</t>
  </si>
  <si>
    <t>r12x=r21x</t>
  </si>
  <si>
    <t>EI</t>
  </si>
  <si>
    <t>COEFICIENTES</t>
  </si>
  <si>
    <t>MATRIZ DE RIGIDEZ LOCAL DEL ELEMENTO 1</t>
  </si>
  <si>
    <t>K1</t>
  </si>
  <si>
    <t>1x</t>
  </si>
  <si>
    <t>1z</t>
  </si>
  <si>
    <t>ϴ1</t>
  </si>
  <si>
    <t>ax</t>
  </si>
  <si>
    <t>az</t>
  </si>
  <si>
    <t>ϴa</t>
  </si>
  <si>
    <t>rabx=rbax</t>
  </si>
  <si>
    <t>MATRIZ DE RIGIDEZ GLOBAL DEL ELEMENTO 1</t>
  </si>
  <si>
    <t>ϴ2</t>
  </si>
  <si>
    <t>ϴ3</t>
  </si>
  <si>
    <t>2x</t>
  </si>
  <si>
    <t>2z</t>
  </si>
  <si>
    <t>3x</t>
  </si>
  <si>
    <t>3z</t>
  </si>
  <si>
    <t>4x</t>
  </si>
  <si>
    <t>4z</t>
  </si>
  <si>
    <t>ϴ4</t>
  </si>
  <si>
    <t>ϴ</t>
  </si>
  <si>
    <t>senϴ</t>
  </si>
  <si>
    <t>cosϴ</t>
  </si>
  <si>
    <t>A:</t>
  </si>
  <si>
    <t>B:</t>
  </si>
  <si>
    <t>C:</t>
  </si>
  <si>
    <t>D:</t>
  </si>
  <si>
    <t>E:</t>
  </si>
  <si>
    <t>bx</t>
  </si>
  <si>
    <t>bz</t>
  </si>
  <si>
    <t>ϴb</t>
  </si>
  <si>
    <t>k1</t>
  </si>
  <si>
    <t>ELEMENTO 2, COLUMNA</t>
  </si>
  <si>
    <t>MATRIZ DE RIGIDEZ LOCAL DEL ELEMENTO 2</t>
  </si>
  <si>
    <t>MATRIZ DE RIGIDEZ GLOBAL DEL ELEMENTO 2</t>
  </si>
  <si>
    <t>cm2</t>
  </si>
  <si>
    <t>ELEMENTO 4, COLUMNA</t>
  </si>
  <si>
    <t>ELEMENTO 3, COLUMNA</t>
  </si>
  <si>
    <t>MATRIZ DE RIGIDEZ LOCAL DEL ELEMENTO 4</t>
  </si>
  <si>
    <t>MATRIZ DE RIGIDEZ GLOBAL DEL ELEMENTO 4</t>
  </si>
  <si>
    <t>MATRIZ DE RIGIDEZ LOCAL DEL ELEMENTO 3</t>
  </si>
  <si>
    <t>MATRIZ DE RIGIDEZ GLOBAL DEL ELEMENTO 3</t>
  </si>
  <si>
    <t>5x</t>
  </si>
  <si>
    <t>5z</t>
  </si>
  <si>
    <t>ϴ5</t>
  </si>
  <si>
    <t>6x</t>
  </si>
  <si>
    <t>6z</t>
  </si>
  <si>
    <t>ϴ6</t>
  </si>
  <si>
    <t>cx</t>
  </si>
  <si>
    <t>cz</t>
  </si>
  <si>
    <t>ϴc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</si>
</sst>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0" fontId="0" fillId="6" borderId="1" xfId="0" applyFill="1" applyBorder="1"/>
    <xf numFmtId="0" fontId="2" fillId="6" borderId="1" xfId="0" applyFont="1" applyFill="1" applyBorder="1"/>
    <xf numFmtId="2" fontId="0" fillId="3" borderId="1" xfId="0" applyNumberFormat="1" applyFill="1" applyBorder="1"/>
    <xf numFmtId="2" fontId="0" fillId="2" borderId="1" xfId="0" applyNumberFormat="1" applyFill="1" applyBorder="1"/>
    <xf numFmtId="2" fontId="0" fillId="4" borderId="1" xfId="0" applyNumberFormat="1" applyFill="1" applyBorder="1"/>
    <xf numFmtId="2" fontId="0" fillId="5" borderId="1" xfId="0" applyNumberForma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64" fontId="0" fillId="2" borderId="1" xfId="0" applyNumberForma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6" borderId="8" xfId="0" applyFill="1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0" fillId="6" borderId="6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6" fontId="0" fillId="2" borderId="1" xfId="0" applyNumberFormat="1" applyFill="1" applyBorder="1"/>
    <xf numFmtId="166" fontId="0" fillId="3" borderId="1" xfId="0" applyNumberFormat="1" applyFill="1" applyBorder="1"/>
    <xf numFmtId="166" fontId="0" fillId="4" borderId="1" xfId="0" applyNumberFormat="1" applyFill="1" applyBorder="1"/>
    <xf numFmtId="166" fontId="0" fillId="5" borderId="1" xfId="0" applyNumberFormat="1" applyFill="1" applyBorder="1"/>
    <xf numFmtId="166" fontId="0" fillId="0" borderId="0" xfId="0" applyNumberFormat="1" applyBorder="1" applyAlignment="1">
      <alignment horizontal="center"/>
    </xf>
    <xf numFmtId="166" fontId="0" fillId="0" borderId="0" xfId="0" applyNumberFormat="1" applyBorder="1"/>
    <xf numFmtId="164" fontId="0" fillId="3" borderId="1" xfId="0" applyNumberFormat="1" applyFill="1" applyBorder="1"/>
    <xf numFmtId="164" fontId="0" fillId="7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254175</xdr:colOff>
      <xdr:row>38</xdr:row>
      <xdr:rowOff>90517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FD8A48-FDD7-40F2-91F2-EE7C72C4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01535" cy="70399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542312</xdr:colOff>
      <xdr:row>35</xdr:row>
      <xdr:rowOff>172367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D051B4-FC6C-49EF-8874-076A9E936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59592" cy="6573167"/>
        </a:xfrm>
        <a:prstGeom prst="rect">
          <a:avLst/>
        </a:prstGeom>
      </xdr:spPr>
    </xdr:pic>
    <xdr:clientData/>
  </xdr:twoCellAnchor>
  <xdr:twoCellAnchor editAs="oneCell">
    <xdr:from>
      <xdr:col>11</xdr:col>
      <xdr:colOff>522514</xdr:colOff>
      <xdr:row>0</xdr:row>
      <xdr:rowOff>108858</xdr:rowOff>
    </xdr:from>
    <xdr:to>
      <xdr:col>23</xdr:col>
      <xdr:colOff>46168</xdr:colOff>
      <xdr:row>34</xdr:row>
      <xdr:rowOff>180503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F1A84C-7359-42BE-9B1B-08A1CD8ED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3743" y="108858"/>
          <a:ext cx="9059539" cy="6363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457834</xdr:colOff>
      <xdr:row>4</xdr:row>
      <xdr:rowOff>24246</xdr:rowOff>
    </xdr:from>
    <xdr:to>
      <xdr:col>11</xdr:col>
      <xdr:colOff>327691</xdr:colOff>
      <xdr:row>14</xdr:row>
      <xdr:rowOff>176943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6DAE57-44F1-4241-8E16-488451E0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6154" y="763386"/>
          <a:ext cx="3237001" cy="1981497"/>
        </a:xfrm>
        <a:prstGeom prst="rect">
          <a:avLst/>
        </a:prstGeom>
      </xdr:spPr>
    </xdr:pic>
    <xdr:clientData/>
  </xdr:twoCellAnchor>
  <xdr:twoCellAnchor editAs="oneCell">
    <xdr:from>
      <xdr:col>19</xdr:col>
      <xdr:colOff>649777</xdr:colOff>
      <xdr:row>4</xdr:row>
      <xdr:rowOff>106680</xdr:rowOff>
    </xdr:from>
    <xdr:to>
      <xdr:col>25</xdr:col>
      <xdr:colOff>744490</xdr:colOff>
      <xdr:row>20</xdr:row>
      <xdr:rowOff>41565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86154-E71C-48CE-ABB6-87DBAE2BC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5268" y="840971"/>
          <a:ext cx="4832967" cy="2816630"/>
        </a:xfrm>
        <a:prstGeom prst="rect">
          <a:avLst/>
        </a:prstGeom>
      </xdr:spPr>
    </xdr:pic>
    <xdr:clientData/>
  </xdr:twoCellAnchor>
  <xdr:twoCellAnchor editAs="oneCell">
    <xdr:from>
      <xdr:col>8</xdr:col>
      <xdr:colOff>293891</xdr:colOff>
      <xdr:row>22</xdr:row>
      <xdr:rowOff>18744</xdr:rowOff>
    </xdr:from>
    <xdr:to>
      <xdr:col>12</xdr:col>
      <xdr:colOff>619657</xdr:colOff>
      <xdr:row>27</xdr:row>
      <xdr:rowOff>16825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BCA6F7-6E68-4DD1-856E-7E1A02D4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0836" y="3994999"/>
          <a:ext cx="3682642" cy="898626"/>
        </a:xfrm>
        <a:prstGeom prst="rect">
          <a:avLst/>
        </a:prstGeom>
      </xdr:spPr>
    </xdr:pic>
    <xdr:clientData/>
  </xdr:twoCellAnchor>
  <xdr:twoCellAnchor editAs="oneCell">
    <xdr:from>
      <xdr:col>10</xdr:col>
      <xdr:colOff>534868</xdr:colOff>
      <xdr:row>13</xdr:row>
      <xdr:rowOff>164544</xdr:rowOff>
    </xdr:from>
    <xdr:to>
      <xdr:col>12</xdr:col>
      <xdr:colOff>706175</xdr:colOff>
      <xdr:row>20</xdr:row>
      <xdr:rowOff>20366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912584-9A2E-4EC0-ADC6-8BD4CD9F6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1232" y="2519817"/>
          <a:ext cx="1850152" cy="1116585"/>
        </a:xfrm>
        <a:prstGeom prst="rect">
          <a:avLst/>
        </a:prstGeom>
      </xdr:spPr>
    </xdr:pic>
    <xdr:clientData/>
  </xdr:twoCellAnchor>
  <xdr:oneCellAnchor>
    <xdr:from>
      <xdr:col>4</xdr:col>
      <xdr:colOff>680200</xdr:colOff>
      <xdr:row>78</xdr:row>
      <xdr:rowOff>38101</xdr:rowOff>
    </xdr:from>
    <xdr:ext cx="3245710" cy="1997529"/>
    <xdr:pic>
      <xdr:nvPicPr>
        <xdr:cNvPr id="6" name="Imagen 5">
          <a:extLst>
            <a:ext uri="{FF2B5EF4-FFF2-40B4-BE49-F238E27FC236}">
              <a16:creationId xmlns:a16="http://schemas.microsoft.com/office/drawing/2014/main" id="{3A1073E1-0245-4475-98D9-C16B78BE1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3257" y="593272"/>
          <a:ext cx="3245710" cy="1997529"/>
        </a:xfrm>
        <a:prstGeom prst="rect">
          <a:avLst/>
        </a:prstGeom>
      </xdr:spPr>
    </xdr:pic>
    <xdr:clientData/>
  </xdr:oneCellAnchor>
  <xdr:oneCellAnchor>
    <xdr:from>
      <xdr:col>4</xdr:col>
      <xdr:colOff>594360</xdr:colOff>
      <xdr:row>85</xdr:row>
      <xdr:rowOff>106680</xdr:rowOff>
    </xdr:from>
    <xdr:ext cx="2420618" cy="1441657"/>
    <xdr:pic>
      <xdr:nvPicPr>
        <xdr:cNvPr id="7" name="Imagen 6">
          <a:extLst>
            <a:ext uri="{FF2B5EF4-FFF2-40B4-BE49-F238E27FC236}">
              <a16:creationId xmlns:a16="http://schemas.microsoft.com/office/drawing/2014/main" id="{969F6249-95E1-447F-AD13-EE8081499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7417" y="1968137"/>
          <a:ext cx="2420618" cy="1441657"/>
        </a:xfrm>
        <a:prstGeom prst="rect">
          <a:avLst/>
        </a:prstGeom>
      </xdr:spPr>
    </xdr:pic>
    <xdr:clientData/>
  </xdr:oneCellAnchor>
  <xdr:oneCellAnchor>
    <xdr:from>
      <xdr:col>7</xdr:col>
      <xdr:colOff>196910</xdr:colOff>
      <xdr:row>96</xdr:row>
      <xdr:rowOff>143435</xdr:rowOff>
    </xdr:from>
    <xdr:ext cx="3702433" cy="923365"/>
    <xdr:pic>
      <xdr:nvPicPr>
        <xdr:cNvPr id="8" name="Imagen 7">
          <a:extLst>
            <a:ext uri="{FF2B5EF4-FFF2-40B4-BE49-F238E27FC236}">
              <a16:creationId xmlns:a16="http://schemas.microsoft.com/office/drawing/2014/main" id="{7A27C535-BE35-4181-8CC3-1C9783F03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3939" y="4040521"/>
          <a:ext cx="3702433" cy="923365"/>
        </a:xfrm>
        <a:prstGeom prst="rect">
          <a:avLst/>
        </a:prstGeom>
      </xdr:spPr>
    </xdr:pic>
    <xdr:clientData/>
  </xdr:oneCellAnchor>
  <xdr:oneCellAnchor>
    <xdr:from>
      <xdr:col>9</xdr:col>
      <xdr:colOff>119231</xdr:colOff>
      <xdr:row>89</xdr:row>
      <xdr:rowOff>25998</xdr:rowOff>
    </xdr:from>
    <xdr:ext cx="1860048" cy="1146274"/>
    <xdr:pic>
      <xdr:nvPicPr>
        <xdr:cNvPr id="9" name="Imagen 8">
          <a:extLst>
            <a:ext uri="{FF2B5EF4-FFF2-40B4-BE49-F238E27FC236}">
              <a16:creationId xmlns:a16="http://schemas.microsoft.com/office/drawing/2014/main" id="{63A05357-4536-4DC0-9D9C-48D0518D8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25574" y="2627684"/>
          <a:ext cx="1860048" cy="1146274"/>
        </a:xfrm>
        <a:prstGeom prst="rect">
          <a:avLst/>
        </a:prstGeom>
      </xdr:spPr>
    </xdr:pic>
    <xdr:clientData/>
  </xdr:oneCellAnchor>
  <xdr:oneCellAnchor>
    <xdr:from>
      <xdr:col>4</xdr:col>
      <xdr:colOff>680200</xdr:colOff>
      <xdr:row>153</xdr:row>
      <xdr:rowOff>38101</xdr:rowOff>
    </xdr:from>
    <xdr:ext cx="3245710" cy="1997529"/>
    <xdr:pic>
      <xdr:nvPicPr>
        <xdr:cNvPr id="10" name="Imagen 9">
          <a:extLst>
            <a:ext uri="{FF2B5EF4-FFF2-40B4-BE49-F238E27FC236}">
              <a16:creationId xmlns:a16="http://schemas.microsoft.com/office/drawing/2014/main" id="{14D2DAE3-012E-4912-9CD0-407AF4D66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071" y="12427325"/>
          <a:ext cx="3245710" cy="1997529"/>
        </a:xfrm>
        <a:prstGeom prst="rect">
          <a:avLst/>
        </a:prstGeom>
      </xdr:spPr>
    </xdr:pic>
    <xdr:clientData/>
  </xdr:oneCellAnchor>
  <xdr:oneCellAnchor>
    <xdr:from>
      <xdr:col>4</xdr:col>
      <xdr:colOff>594360</xdr:colOff>
      <xdr:row>160</xdr:row>
      <xdr:rowOff>106680</xdr:rowOff>
    </xdr:from>
    <xdr:ext cx="2420618" cy="1441657"/>
    <xdr:pic>
      <xdr:nvPicPr>
        <xdr:cNvPr id="11" name="Imagen 10">
          <a:extLst>
            <a:ext uri="{FF2B5EF4-FFF2-40B4-BE49-F238E27FC236}">
              <a16:creationId xmlns:a16="http://schemas.microsoft.com/office/drawing/2014/main" id="{342B5331-2E74-4290-8FC0-D2E79C8A3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9231" y="13759927"/>
          <a:ext cx="2420618" cy="1441657"/>
        </a:xfrm>
        <a:prstGeom prst="rect">
          <a:avLst/>
        </a:prstGeom>
      </xdr:spPr>
    </xdr:pic>
    <xdr:clientData/>
  </xdr:oneCellAnchor>
  <xdr:oneCellAnchor>
    <xdr:from>
      <xdr:col>7</xdr:col>
      <xdr:colOff>196910</xdr:colOff>
      <xdr:row>171</xdr:row>
      <xdr:rowOff>143435</xdr:rowOff>
    </xdr:from>
    <xdr:ext cx="3702433" cy="923365"/>
    <xdr:pic>
      <xdr:nvPicPr>
        <xdr:cNvPr id="12" name="Imagen 11">
          <a:extLst>
            <a:ext uri="{FF2B5EF4-FFF2-40B4-BE49-F238E27FC236}">
              <a16:creationId xmlns:a16="http://schemas.microsoft.com/office/drawing/2014/main" id="{019D8024-4816-4D70-9A2F-45F61EF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4651" y="15768917"/>
          <a:ext cx="3702433" cy="923365"/>
        </a:xfrm>
        <a:prstGeom prst="rect">
          <a:avLst/>
        </a:prstGeom>
      </xdr:spPr>
    </xdr:pic>
    <xdr:clientData/>
  </xdr:oneCellAnchor>
  <xdr:oneCellAnchor>
    <xdr:from>
      <xdr:col>9</xdr:col>
      <xdr:colOff>119231</xdr:colOff>
      <xdr:row>164</xdr:row>
      <xdr:rowOff>25998</xdr:rowOff>
    </xdr:from>
    <xdr:ext cx="1860048" cy="1146274"/>
    <xdr:pic>
      <xdr:nvPicPr>
        <xdr:cNvPr id="13" name="Imagen 12">
          <a:extLst>
            <a:ext uri="{FF2B5EF4-FFF2-40B4-BE49-F238E27FC236}">
              <a16:creationId xmlns:a16="http://schemas.microsoft.com/office/drawing/2014/main" id="{30CC8D90-1998-41D0-B0D2-8150EEB6C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03372" y="14396422"/>
          <a:ext cx="1860048" cy="1146274"/>
        </a:xfrm>
        <a:prstGeom prst="rect">
          <a:avLst/>
        </a:prstGeom>
      </xdr:spPr>
    </xdr:pic>
    <xdr:clientData/>
  </xdr:oneCellAnchor>
  <xdr:oneCellAnchor>
    <xdr:from>
      <xdr:col>4</xdr:col>
      <xdr:colOff>680200</xdr:colOff>
      <xdr:row>228</xdr:row>
      <xdr:rowOff>38101</xdr:rowOff>
    </xdr:from>
    <xdr:ext cx="3245710" cy="1997529"/>
    <xdr:pic>
      <xdr:nvPicPr>
        <xdr:cNvPr id="14" name="Imagen 13">
          <a:extLst>
            <a:ext uri="{FF2B5EF4-FFF2-40B4-BE49-F238E27FC236}">
              <a16:creationId xmlns:a16="http://schemas.microsoft.com/office/drawing/2014/main" id="{B929D2CD-1932-4029-BAE6-26AA5DD7F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5071" y="24278666"/>
          <a:ext cx="3245710" cy="1997529"/>
        </a:xfrm>
        <a:prstGeom prst="rect">
          <a:avLst/>
        </a:prstGeom>
      </xdr:spPr>
    </xdr:pic>
    <xdr:clientData/>
  </xdr:oneCellAnchor>
  <xdr:oneCellAnchor>
    <xdr:from>
      <xdr:col>4</xdr:col>
      <xdr:colOff>594360</xdr:colOff>
      <xdr:row>235</xdr:row>
      <xdr:rowOff>106680</xdr:rowOff>
    </xdr:from>
    <xdr:ext cx="2420618" cy="1441657"/>
    <xdr:pic>
      <xdr:nvPicPr>
        <xdr:cNvPr id="15" name="Imagen 14">
          <a:extLst>
            <a:ext uri="{FF2B5EF4-FFF2-40B4-BE49-F238E27FC236}">
              <a16:creationId xmlns:a16="http://schemas.microsoft.com/office/drawing/2014/main" id="{1E3DABCF-78AD-4753-82D8-82A4FA8FF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9231" y="25611268"/>
          <a:ext cx="2420618" cy="1441657"/>
        </a:xfrm>
        <a:prstGeom prst="rect">
          <a:avLst/>
        </a:prstGeom>
      </xdr:spPr>
    </xdr:pic>
    <xdr:clientData/>
  </xdr:oneCellAnchor>
  <xdr:oneCellAnchor>
    <xdr:from>
      <xdr:col>7</xdr:col>
      <xdr:colOff>196910</xdr:colOff>
      <xdr:row>246</xdr:row>
      <xdr:rowOff>143435</xdr:rowOff>
    </xdr:from>
    <xdr:ext cx="3702433" cy="923365"/>
    <xdr:pic>
      <xdr:nvPicPr>
        <xdr:cNvPr id="16" name="Imagen 15">
          <a:extLst>
            <a:ext uri="{FF2B5EF4-FFF2-40B4-BE49-F238E27FC236}">
              <a16:creationId xmlns:a16="http://schemas.microsoft.com/office/drawing/2014/main" id="{F5135D4B-5D31-4B3A-8909-EA7F65D4D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04651" y="27620259"/>
          <a:ext cx="3702433" cy="923365"/>
        </a:xfrm>
        <a:prstGeom prst="rect">
          <a:avLst/>
        </a:prstGeom>
      </xdr:spPr>
    </xdr:pic>
    <xdr:clientData/>
  </xdr:oneCellAnchor>
  <xdr:oneCellAnchor>
    <xdr:from>
      <xdr:col>9</xdr:col>
      <xdr:colOff>119231</xdr:colOff>
      <xdr:row>239</xdr:row>
      <xdr:rowOff>25998</xdr:rowOff>
    </xdr:from>
    <xdr:ext cx="1860048" cy="1146274"/>
    <xdr:pic>
      <xdr:nvPicPr>
        <xdr:cNvPr id="17" name="Imagen 16">
          <a:extLst>
            <a:ext uri="{FF2B5EF4-FFF2-40B4-BE49-F238E27FC236}">
              <a16:creationId xmlns:a16="http://schemas.microsoft.com/office/drawing/2014/main" id="{735FBBCE-4758-44EE-8F8D-DC6C392A6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03372" y="26247763"/>
          <a:ext cx="1860048" cy="11462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EB91-E598-48E3-ABD4-83B5C2ED90A6}">
  <dimension ref="A1"/>
  <sheetViews>
    <sheetView topLeftCell="A7" zoomScale="85" zoomScaleNormal="85"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9257-D566-40E0-A284-C71D22E21DB1}">
  <dimension ref="A1"/>
  <sheetViews>
    <sheetView topLeftCell="A4" zoomScale="70" zoomScaleNormal="70" workbookViewId="0">
      <selection activeCell="V40" sqref="V40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ED09-E45B-440A-82DB-FC5BCB997BE8}">
  <dimension ref="A2:AC302"/>
  <sheetViews>
    <sheetView tabSelected="1" topLeftCell="A226" zoomScale="70" zoomScaleNormal="70" workbookViewId="0">
      <selection activeCell="AG224" sqref="AG224"/>
    </sheetView>
  </sheetViews>
  <sheetFormatPr baseColWidth="10" defaultRowHeight="14.4" x14ac:dyDescent="0.3"/>
  <cols>
    <col min="2" max="2" width="12.5546875" bestFit="1" customWidth="1"/>
    <col min="3" max="3" width="11.6640625" bestFit="1" customWidth="1"/>
    <col min="4" max="5" width="12.88671875" bestFit="1" customWidth="1"/>
    <col min="6" max="6" width="11.6640625" bestFit="1" customWidth="1"/>
    <col min="7" max="7" width="13" bestFit="1" customWidth="1"/>
    <col min="9" max="9" width="12.88671875" bestFit="1" customWidth="1"/>
    <col min="11" max="11" width="12.88671875" bestFit="1" customWidth="1"/>
  </cols>
  <sheetData>
    <row r="2" spans="1:29" x14ac:dyDescent="0.3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</row>
    <row r="4" spans="1:29" ht="15" thickBot="1" x14ac:dyDescent="0.35"/>
    <row r="5" spans="1:29" x14ac:dyDescent="0.3">
      <c r="A5" s="39" t="s">
        <v>1</v>
      </c>
      <c r="B5" s="40"/>
      <c r="C5" s="40"/>
      <c r="D5" s="40"/>
      <c r="E5" s="40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7"/>
    </row>
    <row r="6" spans="1:29" x14ac:dyDescent="0.3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20"/>
    </row>
    <row r="7" spans="1:29" x14ac:dyDescent="0.3">
      <c r="A7" s="18"/>
      <c r="B7" s="1" t="s">
        <v>2</v>
      </c>
      <c r="C7" s="1">
        <v>625</v>
      </c>
      <c r="D7" s="1" t="s">
        <v>47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0"/>
    </row>
    <row r="8" spans="1:29" x14ac:dyDescent="0.3">
      <c r="A8" s="18"/>
      <c r="B8" s="1" t="s">
        <v>3</v>
      </c>
      <c r="C8" s="1">
        <v>32552.080000000002</v>
      </c>
      <c r="D8" s="1" t="s">
        <v>3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20"/>
    </row>
    <row r="9" spans="1:29" x14ac:dyDescent="0.3">
      <c r="A9" s="18"/>
      <c r="B9" s="1" t="s">
        <v>4</v>
      </c>
      <c r="C9" s="1">
        <v>400</v>
      </c>
      <c r="D9" s="1" t="s">
        <v>6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</row>
    <row r="10" spans="1:29" x14ac:dyDescent="0.3">
      <c r="A10" s="18"/>
      <c r="B10" s="1" t="s">
        <v>5</v>
      </c>
      <c r="C10" s="1">
        <v>218819.79</v>
      </c>
      <c r="D10" s="1" t="s">
        <v>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20"/>
    </row>
    <row r="11" spans="1:29" x14ac:dyDescent="0.3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0"/>
    </row>
    <row r="12" spans="1:29" x14ac:dyDescent="0.3">
      <c r="A12" s="34" t="s">
        <v>12</v>
      </c>
      <c r="B12" s="35"/>
      <c r="C12" s="35"/>
      <c r="D12" s="35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20"/>
    </row>
    <row r="13" spans="1:29" x14ac:dyDescent="0.3">
      <c r="A13" s="21" t="s">
        <v>7</v>
      </c>
      <c r="B13" s="5">
        <f>C10*C7/C9</f>
        <v>341905.921875</v>
      </c>
      <c r="C13" s="4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0"/>
    </row>
    <row r="14" spans="1:29" x14ac:dyDescent="0.3">
      <c r="A14" s="22" t="s">
        <v>8</v>
      </c>
      <c r="B14" s="3">
        <f>(12*C10*C8)/(C9^3)</f>
        <v>1335.5698705618502</v>
      </c>
      <c r="C14" s="1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20"/>
    </row>
    <row r="15" spans="1:29" x14ac:dyDescent="0.3">
      <c r="A15" s="22" t="s">
        <v>21</v>
      </c>
      <c r="B15" s="3">
        <f>(6*C10*C8)/(C9^2)</f>
        <v>267113.97411236999</v>
      </c>
      <c r="C15" s="1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0"/>
    </row>
    <row r="16" spans="1:29" x14ac:dyDescent="0.3">
      <c r="A16" s="22" t="s">
        <v>9</v>
      </c>
      <c r="B16" s="2">
        <f>(4*C10*C8)/C9</f>
        <v>71230393.096632004</v>
      </c>
      <c r="C16" s="1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20"/>
    </row>
    <row r="17" spans="1:29" x14ac:dyDescent="0.3">
      <c r="A17" s="22" t="s">
        <v>10</v>
      </c>
      <c r="B17" s="2">
        <f>(2*C10*C8)/(C9)</f>
        <v>35615196.548316002</v>
      </c>
      <c r="C17" s="1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20"/>
    </row>
    <row r="18" spans="1:29" x14ac:dyDescent="0.3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20"/>
    </row>
    <row r="19" spans="1:29" x14ac:dyDescent="0.3">
      <c r="A19" s="36" t="s">
        <v>13</v>
      </c>
      <c r="B19" s="37"/>
      <c r="C19" s="37"/>
      <c r="D19" s="37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0"/>
    </row>
    <row r="20" spans="1:29" x14ac:dyDescent="0.3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20"/>
    </row>
    <row r="21" spans="1:29" x14ac:dyDescent="0.3">
      <c r="A21" s="22" t="s">
        <v>14</v>
      </c>
      <c r="B21" s="6" t="s">
        <v>15</v>
      </c>
      <c r="C21" s="6" t="s">
        <v>16</v>
      </c>
      <c r="D21" s="7" t="s">
        <v>17</v>
      </c>
      <c r="E21" s="7" t="s">
        <v>18</v>
      </c>
      <c r="F21" s="7" t="s">
        <v>19</v>
      </c>
      <c r="G21" s="7" t="s">
        <v>20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20"/>
    </row>
    <row r="22" spans="1:29" x14ac:dyDescent="0.3">
      <c r="A22" s="23" t="str">
        <f t="array" ref="A22:A27">TRANSPOSE(B21:G21)</f>
        <v>1x</v>
      </c>
      <c r="B22" s="41">
        <f>+B13</f>
        <v>341905.921875</v>
      </c>
      <c r="C22" s="41">
        <v>0</v>
      </c>
      <c r="D22" s="41">
        <v>0</v>
      </c>
      <c r="E22" s="42">
        <f>-B13</f>
        <v>-341905.921875</v>
      </c>
      <c r="F22" s="42">
        <v>0</v>
      </c>
      <c r="G22" s="42">
        <v>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20"/>
    </row>
    <row r="23" spans="1:29" x14ac:dyDescent="0.3">
      <c r="A23" s="23" t="str">
        <v>1z</v>
      </c>
      <c r="B23" s="41">
        <v>0</v>
      </c>
      <c r="C23" s="41">
        <f>+B14</f>
        <v>1335.5698705618502</v>
      </c>
      <c r="D23" s="41">
        <f>+B15</f>
        <v>267113.97411236999</v>
      </c>
      <c r="E23" s="42">
        <v>0</v>
      </c>
      <c r="F23" s="42">
        <f>-B14</f>
        <v>-1335.5698705618502</v>
      </c>
      <c r="G23" s="42">
        <f>+B15</f>
        <v>267113.97411236999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20"/>
    </row>
    <row r="24" spans="1:29" x14ac:dyDescent="0.3">
      <c r="A24" s="23" t="str">
        <v>ϴ1</v>
      </c>
      <c r="B24" s="41">
        <v>0</v>
      </c>
      <c r="C24" s="41">
        <f>+B15</f>
        <v>267113.97411236999</v>
      </c>
      <c r="D24" s="41">
        <f>+B16</f>
        <v>71230393.096632004</v>
      </c>
      <c r="E24" s="42">
        <v>0</v>
      </c>
      <c r="F24" s="42">
        <f>-B15</f>
        <v>-267113.97411236999</v>
      </c>
      <c r="G24" s="42">
        <f>+B17</f>
        <v>35615196.548316002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20"/>
    </row>
    <row r="25" spans="1:29" x14ac:dyDescent="0.3">
      <c r="A25" s="23" t="str">
        <v>ax</v>
      </c>
      <c r="B25" s="43">
        <f>-B13</f>
        <v>-341905.921875</v>
      </c>
      <c r="C25" s="43">
        <v>0</v>
      </c>
      <c r="D25" s="43">
        <v>0</v>
      </c>
      <c r="E25" s="44">
        <f>+B13</f>
        <v>341905.921875</v>
      </c>
      <c r="F25" s="44">
        <v>0</v>
      </c>
      <c r="G25" s="44">
        <v>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20"/>
    </row>
    <row r="26" spans="1:29" x14ac:dyDescent="0.3">
      <c r="A26" s="23" t="str">
        <v>az</v>
      </c>
      <c r="B26" s="43">
        <v>0</v>
      </c>
      <c r="C26" s="43">
        <f>-B14</f>
        <v>-1335.5698705618502</v>
      </c>
      <c r="D26" s="43">
        <f>-B15</f>
        <v>-267113.97411236999</v>
      </c>
      <c r="E26" s="44">
        <v>0</v>
      </c>
      <c r="F26" s="44">
        <f>+B14</f>
        <v>1335.5698705618502</v>
      </c>
      <c r="G26" s="44">
        <f>-B15</f>
        <v>-267113.97411236999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20"/>
    </row>
    <row r="27" spans="1:29" x14ac:dyDescent="0.3">
      <c r="A27" s="23" t="str">
        <v>ϴa</v>
      </c>
      <c r="B27" s="43">
        <v>0</v>
      </c>
      <c r="C27" s="43">
        <f>+B15</f>
        <v>267113.97411236999</v>
      </c>
      <c r="D27" s="43">
        <f>+B17</f>
        <v>35615196.548316002</v>
      </c>
      <c r="E27" s="44">
        <v>0</v>
      </c>
      <c r="F27" s="44">
        <f>-B15</f>
        <v>-267113.97411236999</v>
      </c>
      <c r="G27" s="44">
        <f>+B16</f>
        <v>71230393.096632004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0"/>
    </row>
    <row r="28" spans="1:29" x14ac:dyDescent="0.3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20"/>
    </row>
    <row r="29" spans="1:29" x14ac:dyDescent="0.3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20"/>
    </row>
    <row r="30" spans="1:29" x14ac:dyDescent="0.3">
      <c r="A30" s="36" t="s">
        <v>22</v>
      </c>
      <c r="B30" s="37"/>
      <c r="C30" s="37"/>
      <c r="D30" s="37"/>
      <c r="E30" s="37"/>
      <c r="F30" s="37"/>
      <c r="G30" s="37"/>
      <c r="H30" s="37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20"/>
    </row>
    <row r="31" spans="1:29" x14ac:dyDescent="0.3">
      <c r="A31" s="24"/>
      <c r="B31" s="25"/>
      <c r="C31" s="25"/>
      <c r="D31" s="25"/>
      <c r="E31" s="25"/>
      <c r="F31" s="25"/>
      <c r="G31" s="25"/>
      <c r="H31" s="25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20"/>
    </row>
    <row r="32" spans="1:29" x14ac:dyDescent="0.3">
      <c r="A32" s="24"/>
      <c r="B32" s="25"/>
      <c r="C32" s="25"/>
      <c r="D32" s="25"/>
      <c r="E32" s="25"/>
      <c r="F32" s="25"/>
      <c r="G32" s="25"/>
      <c r="H32" s="25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20"/>
    </row>
    <row r="33" spans="1:29" x14ac:dyDescent="0.3">
      <c r="A33" s="26" t="s">
        <v>32</v>
      </c>
      <c r="B33" s="25">
        <v>90</v>
      </c>
      <c r="C33" s="25"/>
      <c r="D33" s="25" t="s">
        <v>35</v>
      </c>
      <c r="E33" s="45">
        <f>+B22</f>
        <v>341905.921875</v>
      </c>
      <c r="F33" s="25" t="s">
        <v>35</v>
      </c>
      <c r="G33" s="45">
        <f>+E22</f>
        <v>-341905.921875</v>
      </c>
      <c r="H33" s="25" t="s">
        <v>35</v>
      </c>
      <c r="I33" s="46">
        <f>+B25</f>
        <v>-341905.921875</v>
      </c>
      <c r="J33" s="25" t="s">
        <v>35</v>
      </c>
      <c r="K33" s="46">
        <f>+E25</f>
        <v>341905.921875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0"/>
    </row>
    <row r="34" spans="1:29" x14ac:dyDescent="0.3">
      <c r="A34" s="26" t="s">
        <v>33</v>
      </c>
      <c r="B34" s="25">
        <f>SIN(RADIANS(B33))</f>
        <v>1</v>
      </c>
      <c r="C34" s="25"/>
      <c r="D34" s="25" t="s">
        <v>36</v>
      </c>
      <c r="E34" s="45">
        <f>+C23</f>
        <v>1335.5698705618502</v>
      </c>
      <c r="F34" s="25" t="s">
        <v>36</v>
      </c>
      <c r="G34" s="45">
        <f>+F23</f>
        <v>-1335.5698705618502</v>
      </c>
      <c r="H34" s="25" t="s">
        <v>36</v>
      </c>
      <c r="I34" s="46">
        <f>+C26</f>
        <v>-1335.5698705618502</v>
      </c>
      <c r="J34" s="25" t="s">
        <v>36</v>
      </c>
      <c r="K34" s="46">
        <f>+F26</f>
        <v>1335.5698705618502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20"/>
    </row>
    <row r="35" spans="1:29" x14ac:dyDescent="0.3">
      <c r="A35" s="26" t="s">
        <v>34</v>
      </c>
      <c r="B35" s="29">
        <f>COS(RADIANS(B33))</f>
        <v>6.1257422745431001E-17</v>
      </c>
      <c r="C35" s="25"/>
      <c r="D35" s="25" t="s">
        <v>37</v>
      </c>
      <c r="E35" s="45">
        <f>+D24</f>
        <v>71230393.096632004</v>
      </c>
      <c r="F35" s="25" t="s">
        <v>37</v>
      </c>
      <c r="G35" s="45">
        <f>+G24</f>
        <v>35615196.548316002</v>
      </c>
      <c r="H35" s="25" t="s">
        <v>37</v>
      </c>
      <c r="I35" s="46">
        <f>+D27</f>
        <v>35615196.548316002</v>
      </c>
      <c r="J35" s="25" t="s">
        <v>37</v>
      </c>
      <c r="K35" s="46">
        <f>+G27</f>
        <v>71230393.096632004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20"/>
    </row>
    <row r="36" spans="1:29" x14ac:dyDescent="0.3">
      <c r="A36" s="24"/>
      <c r="B36" s="25"/>
      <c r="C36" s="25"/>
      <c r="D36" s="25" t="s">
        <v>38</v>
      </c>
      <c r="E36" s="45">
        <f>+D23</f>
        <v>267113.97411236999</v>
      </c>
      <c r="F36" s="25" t="s">
        <v>38</v>
      </c>
      <c r="G36" s="45">
        <f>+G23</f>
        <v>267113.97411236999</v>
      </c>
      <c r="H36" s="25" t="s">
        <v>38</v>
      </c>
      <c r="I36" s="46">
        <f>+D26</f>
        <v>-267113.97411236999</v>
      </c>
      <c r="J36" s="25" t="s">
        <v>38</v>
      </c>
      <c r="K36" s="46">
        <f>+G26</f>
        <v>-267113.97411236999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20"/>
    </row>
    <row r="37" spans="1:29" x14ac:dyDescent="0.3">
      <c r="A37" s="24"/>
      <c r="B37" s="25"/>
      <c r="C37" s="25"/>
      <c r="D37" s="25" t="s">
        <v>39</v>
      </c>
      <c r="E37" s="45">
        <f>+C24</f>
        <v>267113.97411236999</v>
      </c>
      <c r="F37" s="25" t="s">
        <v>39</v>
      </c>
      <c r="G37" s="45">
        <f>+F24</f>
        <v>-267113.97411236999</v>
      </c>
      <c r="H37" s="25" t="s">
        <v>39</v>
      </c>
      <c r="I37" s="46">
        <f>+C27</f>
        <v>267113.97411236999</v>
      </c>
      <c r="J37" s="25" t="s">
        <v>39</v>
      </c>
      <c r="K37" s="46">
        <f>+F27</f>
        <v>-267113.97411236999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20"/>
    </row>
    <row r="38" spans="1:29" x14ac:dyDescent="0.3">
      <c r="A38" s="24"/>
      <c r="B38" s="25"/>
      <c r="C38" s="25"/>
      <c r="D38" s="25"/>
      <c r="E38" s="25"/>
      <c r="F38" s="25"/>
      <c r="G38" s="25"/>
      <c r="H38" s="25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20"/>
    </row>
    <row r="39" spans="1:29" x14ac:dyDescent="0.3">
      <c r="A39" s="22" t="s">
        <v>14</v>
      </c>
      <c r="B39" s="6" t="s">
        <v>15</v>
      </c>
      <c r="C39" s="6" t="s">
        <v>16</v>
      </c>
      <c r="D39" s="7" t="s">
        <v>17</v>
      </c>
      <c r="E39" s="7" t="s">
        <v>18</v>
      </c>
      <c r="F39" s="7" t="s">
        <v>19</v>
      </c>
      <c r="G39" s="7" t="s">
        <v>20</v>
      </c>
      <c r="H39" s="25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20"/>
    </row>
    <row r="40" spans="1:29" x14ac:dyDescent="0.3">
      <c r="A40" s="23" t="str">
        <f t="array" ref="A40:A45">TRANSPOSE(B39:G39)</f>
        <v>1x</v>
      </c>
      <c r="B40" s="15">
        <f>+K33*B35*B35+K34*B34*B34</f>
        <v>1335.5698705618502</v>
      </c>
      <c r="C40" s="15">
        <f>(K33-K34)*B34*B35</f>
        <v>2.0862462027296113E-11</v>
      </c>
      <c r="D40" s="15">
        <f>-K36*B34</f>
        <v>267113.97411236999</v>
      </c>
      <c r="E40" s="12">
        <v>0</v>
      </c>
      <c r="F40" s="12">
        <v>0</v>
      </c>
      <c r="G40" s="12">
        <v>0</v>
      </c>
      <c r="H40" s="25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20"/>
    </row>
    <row r="41" spans="1:29" x14ac:dyDescent="0.3">
      <c r="A41" s="23" t="str">
        <v>1z</v>
      </c>
      <c r="B41" s="15">
        <f>+C40</f>
        <v>2.0862462027296113E-11</v>
      </c>
      <c r="C41" s="15">
        <f>+K33*B34*B34+K34*B35*B35</f>
        <v>341905.921875</v>
      </c>
      <c r="D41" s="15">
        <f>+K36*B35</f>
        <v>-1.6362713633413562E-11</v>
      </c>
      <c r="E41" s="12">
        <v>0</v>
      </c>
      <c r="F41" s="12">
        <v>0</v>
      </c>
      <c r="G41" s="12">
        <v>0</v>
      </c>
      <c r="H41" s="25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20"/>
    </row>
    <row r="42" spans="1:29" x14ac:dyDescent="0.3">
      <c r="A42" s="23" t="str">
        <v>ϴ1</v>
      </c>
      <c r="B42" s="15">
        <f>-K37*B34</f>
        <v>267113.97411236999</v>
      </c>
      <c r="C42" s="15">
        <f>+K37*B35</f>
        <v>-1.6362713633413562E-11</v>
      </c>
      <c r="D42" s="41">
        <f>+K35</f>
        <v>71230393.096632004</v>
      </c>
      <c r="E42" s="12">
        <v>0</v>
      </c>
      <c r="F42" s="12">
        <v>0</v>
      </c>
      <c r="G42" s="12">
        <v>0</v>
      </c>
      <c r="H42" s="25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20"/>
    </row>
    <row r="43" spans="1:29" x14ac:dyDescent="0.3">
      <c r="A43" s="23" t="str">
        <v>ax</v>
      </c>
      <c r="B43" s="13">
        <v>0</v>
      </c>
      <c r="C43" s="13">
        <v>0</v>
      </c>
      <c r="D43" s="13">
        <v>0</v>
      </c>
      <c r="E43" s="14">
        <v>0</v>
      </c>
      <c r="F43" s="14">
        <v>0</v>
      </c>
      <c r="G43" s="14">
        <v>0</v>
      </c>
      <c r="H43" s="25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20"/>
    </row>
    <row r="44" spans="1:29" x14ac:dyDescent="0.3">
      <c r="A44" s="23" t="str">
        <v>az</v>
      </c>
      <c r="B44" s="13">
        <v>0</v>
      </c>
      <c r="C44" s="13">
        <v>0</v>
      </c>
      <c r="D44" s="13">
        <v>0</v>
      </c>
      <c r="E44" s="14">
        <v>0</v>
      </c>
      <c r="F44" s="14">
        <v>0</v>
      </c>
      <c r="G44" s="14">
        <v>0</v>
      </c>
      <c r="H44" s="25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20"/>
    </row>
    <row r="45" spans="1:29" x14ac:dyDescent="0.3">
      <c r="A45" s="23" t="str">
        <v>ϴa</v>
      </c>
      <c r="B45" s="13">
        <v>0</v>
      </c>
      <c r="C45" s="13">
        <v>0</v>
      </c>
      <c r="D45" s="13">
        <v>0</v>
      </c>
      <c r="E45" s="14">
        <v>0</v>
      </c>
      <c r="F45" s="14">
        <v>0</v>
      </c>
      <c r="G45" s="14">
        <v>0</v>
      </c>
      <c r="H45" s="25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20"/>
    </row>
    <row r="46" spans="1:29" x14ac:dyDescent="0.3">
      <c r="A46" s="24"/>
      <c r="B46" s="25"/>
      <c r="C46" s="25"/>
      <c r="D46" s="25"/>
      <c r="E46" s="25"/>
      <c r="F46" s="25"/>
      <c r="G46" s="25"/>
      <c r="H46" s="25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20"/>
    </row>
    <row r="47" spans="1:29" x14ac:dyDescent="0.3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20"/>
    </row>
    <row r="48" spans="1:29" x14ac:dyDescent="0.3">
      <c r="A48" s="18" t="s">
        <v>43</v>
      </c>
      <c r="B48" s="6" t="s">
        <v>15</v>
      </c>
      <c r="C48" s="6" t="s">
        <v>16</v>
      </c>
      <c r="D48" s="7" t="s">
        <v>17</v>
      </c>
      <c r="E48" s="7" t="s">
        <v>25</v>
      </c>
      <c r="F48" s="7" t="s">
        <v>26</v>
      </c>
      <c r="G48" s="7" t="s">
        <v>23</v>
      </c>
      <c r="H48" s="6" t="s">
        <v>27</v>
      </c>
      <c r="I48" s="6" t="s">
        <v>28</v>
      </c>
      <c r="J48" s="7" t="s">
        <v>24</v>
      </c>
      <c r="K48" s="7" t="s">
        <v>29</v>
      </c>
      <c r="L48" s="7" t="s">
        <v>30</v>
      </c>
      <c r="M48" s="7" t="s">
        <v>31</v>
      </c>
      <c r="N48" s="6" t="s">
        <v>54</v>
      </c>
      <c r="O48" s="6" t="s">
        <v>55</v>
      </c>
      <c r="P48" s="7" t="s">
        <v>56</v>
      </c>
      <c r="Q48" s="7" t="s">
        <v>57</v>
      </c>
      <c r="R48" s="7" t="s">
        <v>58</v>
      </c>
      <c r="S48" s="7" t="s">
        <v>59</v>
      </c>
      <c r="T48" s="6" t="s">
        <v>18</v>
      </c>
      <c r="U48" s="6" t="s">
        <v>19</v>
      </c>
      <c r="V48" s="7" t="s">
        <v>20</v>
      </c>
      <c r="W48" s="7" t="s">
        <v>40</v>
      </c>
      <c r="X48" s="7" t="s">
        <v>41</v>
      </c>
      <c r="Y48" s="7" t="s">
        <v>42</v>
      </c>
      <c r="Z48" s="7" t="s">
        <v>60</v>
      </c>
      <c r="AA48" s="7" t="s">
        <v>61</v>
      </c>
      <c r="AB48" s="7" t="s">
        <v>62</v>
      </c>
      <c r="AC48" s="20"/>
    </row>
    <row r="49" spans="1:29" x14ac:dyDescent="0.3">
      <c r="A49" s="30" t="str">
        <f t="array" ref="A49:A75">TRANSPOSE(B48:AB48)</f>
        <v>1x</v>
      </c>
      <c r="B49" s="19">
        <f>IFERROR(VLOOKUP($A49,$A$39:$G$45,MATCH(B$48,$A$39:$G$39,0),FALSE),0)</f>
        <v>1335.5698705618502</v>
      </c>
      <c r="C49" s="19">
        <f t="shared" ref="C49:AB59" si="0">IFERROR(VLOOKUP($A49,$A$39:$G$45,MATCH(C$48,$A$39:$G$39,0),FALSE),0)</f>
        <v>2.0862462027296113E-11</v>
      </c>
      <c r="D49" s="19">
        <f t="shared" si="0"/>
        <v>267113.97411236999</v>
      </c>
      <c r="E49" s="19">
        <f t="shared" si="0"/>
        <v>0</v>
      </c>
      <c r="F49" s="19">
        <f t="shared" si="0"/>
        <v>0</v>
      </c>
      <c r="G49" s="19">
        <f t="shared" si="0"/>
        <v>0</v>
      </c>
      <c r="H49" s="19">
        <f t="shared" si="0"/>
        <v>0</v>
      </c>
      <c r="I49" s="19">
        <f t="shared" si="0"/>
        <v>0</v>
      </c>
      <c r="J49" s="19">
        <f t="shared" si="0"/>
        <v>0</v>
      </c>
      <c r="K49" s="19">
        <f t="shared" si="0"/>
        <v>0</v>
      </c>
      <c r="L49" s="19">
        <f t="shared" si="0"/>
        <v>0</v>
      </c>
      <c r="M49" s="19">
        <f t="shared" si="0"/>
        <v>0</v>
      </c>
      <c r="N49" s="19">
        <f t="shared" si="0"/>
        <v>0</v>
      </c>
      <c r="O49" s="19">
        <f t="shared" si="0"/>
        <v>0</v>
      </c>
      <c r="P49" s="19">
        <f t="shared" si="0"/>
        <v>0</v>
      </c>
      <c r="Q49" s="19">
        <f t="shared" si="0"/>
        <v>0</v>
      </c>
      <c r="R49" s="19">
        <f t="shared" si="0"/>
        <v>0</v>
      </c>
      <c r="S49" s="19">
        <f t="shared" si="0"/>
        <v>0</v>
      </c>
      <c r="T49" s="19">
        <f t="shared" si="0"/>
        <v>0</v>
      </c>
      <c r="U49" s="19">
        <f t="shared" si="0"/>
        <v>0</v>
      </c>
      <c r="V49" s="19">
        <f t="shared" si="0"/>
        <v>0</v>
      </c>
      <c r="W49" s="19">
        <f t="shared" si="0"/>
        <v>0</v>
      </c>
      <c r="X49" s="19">
        <f t="shared" si="0"/>
        <v>0</v>
      </c>
      <c r="Y49" s="19">
        <f t="shared" si="0"/>
        <v>0</v>
      </c>
      <c r="Z49" s="19">
        <f t="shared" si="0"/>
        <v>0</v>
      </c>
      <c r="AA49" s="19">
        <f t="shared" si="0"/>
        <v>0</v>
      </c>
      <c r="AB49" s="19">
        <f t="shared" si="0"/>
        <v>0</v>
      </c>
      <c r="AC49" s="20"/>
    </row>
    <row r="50" spans="1:29" x14ac:dyDescent="0.3">
      <c r="A50" s="30" t="str">
        <v>1z</v>
      </c>
      <c r="B50" s="19">
        <f t="shared" ref="B50:Q75" si="1">IFERROR(VLOOKUP($A50,$A$39:$G$45,MATCH(B$48,$A$39:$G$39,0),FALSE),0)</f>
        <v>2.0862462027296113E-11</v>
      </c>
      <c r="C50" s="19">
        <f t="shared" si="1"/>
        <v>341905.921875</v>
      </c>
      <c r="D50" s="19">
        <f t="shared" si="1"/>
        <v>-1.6362713633413562E-11</v>
      </c>
      <c r="E50" s="19">
        <f t="shared" si="1"/>
        <v>0</v>
      </c>
      <c r="F50" s="19">
        <f t="shared" si="1"/>
        <v>0</v>
      </c>
      <c r="G50" s="19">
        <f t="shared" si="1"/>
        <v>0</v>
      </c>
      <c r="H50" s="19">
        <f t="shared" si="1"/>
        <v>0</v>
      </c>
      <c r="I50" s="19">
        <f t="shared" si="1"/>
        <v>0</v>
      </c>
      <c r="J50" s="19">
        <f t="shared" si="1"/>
        <v>0</v>
      </c>
      <c r="K50" s="19">
        <f t="shared" si="1"/>
        <v>0</v>
      </c>
      <c r="L50" s="19">
        <f t="shared" si="1"/>
        <v>0</v>
      </c>
      <c r="M50" s="19">
        <f t="shared" si="1"/>
        <v>0</v>
      </c>
      <c r="N50" s="19">
        <f t="shared" si="1"/>
        <v>0</v>
      </c>
      <c r="O50" s="19">
        <f t="shared" si="1"/>
        <v>0</v>
      </c>
      <c r="P50" s="19">
        <f t="shared" si="1"/>
        <v>0</v>
      </c>
      <c r="Q50" s="19">
        <f t="shared" si="1"/>
        <v>0</v>
      </c>
      <c r="R50" s="19">
        <f t="shared" si="0"/>
        <v>0</v>
      </c>
      <c r="S50" s="19">
        <f t="shared" si="0"/>
        <v>0</v>
      </c>
      <c r="T50" s="19">
        <f t="shared" si="0"/>
        <v>0</v>
      </c>
      <c r="U50" s="19">
        <f t="shared" si="0"/>
        <v>0</v>
      </c>
      <c r="V50" s="19">
        <f t="shared" si="0"/>
        <v>0</v>
      </c>
      <c r="W50" s="19">
        <f t="shared" si="0"/>
        <v>0</v>
      </c>
      <c r="X50" s="19">
        <f t="shared" si="0"/>
        <v>0</v>
      </c>
      <c r="Y50" s="19">
        <f t="shared" si="0"/>
        <v>0</v>
      </c>
      <c r="Z50" s="19">
        <f t="shared" si="0"/>
        <v>0</v>
      </c>
      <c r="AA50" s="19">
        <f t="shared" si="0"/>
        <v>0</v>
      </c>
      <c r="AB50" s="19">
        <f t="shared" si="0"/>
        <v>0</v>
      </c>
      <c r="AC50" s="20"/>
    </row>
    <row r="51" spans="1:29" x14ac:dyDescent="0.3">
      <c r="A51" s="30" t="str">
        <v>ϴ1</v>
      </c>
      <c r="B51" s="19">
        <f t="shared" si="1"/>
        <v>267113.97411236999</v>
      </c>
      <c r="C51" s="19">
        <f t="shared" si="0"/>
        <v>-1.6362713633413562E-11</v>
      </c>
      <c r="D51" s="19">
        <f t="shared" si="0"/>
        <v>71230393.096632004</v>
      </c>
      <c r="E51" s="19">
        <f t="shared" si="0"/>
        <v>0</v>
      </c>
      <c r="F51" s="19">
        <f t="shared" si="0"/>
        <v>0</v>
      </c>
      <c r="G51" s="19">
        <f t="shared" si="0"/>
        <v>0</v>
      </c>
      <c r="H51" s="19">
        <f t="shared" si="0"/>
        <v>0</v>
      </c>
      <c r="I51" s="19">
        <f t="shared" si="0"/>
        <v>0</v>
      </c>
      <c r="J51" s="19">
        <f t="shared" si="0"/>
        <v>0</v>
      </c>
      <c r="K51" s="19">
        <f t="shared" si="0"/>
        <v>0</v>
      </c>
      <c r="L51" s="19">
        <f t="shared" si="0"/>
        <v>0</v>
      </c>
      <c r="M51" s="19">
        <f t="shared" si="0"/>
        <v>0</v>
      </c>
      <c r="N51" s="19">
        <f t="shared" si="0"/>
        <v>0</v>
      </c>
      <c r="O51" s="19">
        <f t="shared" si="0"/>
        <v>0</v>
      </c>
      <c r="P51" s="19">
        <f t="shared" si="0"/>
        <v>0</v>
      </c>
      <c r="Q51" s="19">
        <f t="shared" si="0"/>
        <v>0</v>
      </c>
      <c r="R51" s="19">
        <f t="shared" si="0"/>
        <v>0</v>
      </c>
      <c r="S51" s="19">
        <f t="shared" si="0"/>
        <v>0</v>
      </c>
      <c r="T51" s="19">
        <f t="shared" si="0"/>
        <v>0</v>
      </c>
      <c r="U51" s="19">
        <f t="shared" si="0"/>
        <v>0</v>
      </c>
      <c r="V51" s="19">
        <f t="shared" si="0"/>
        <v>0</v>
      </c>
      <c r="W51" s="19">
        <f t="shared" si="0"/>
        <v>0</v>
      </c>
      <c r="X51" s="19">
        <f t="shared" si="0"/>
        <v>0</v>
      </c>
      <c r="Y51" s="19">
        <f t="shared" si="0"/>
        <v>0</v>
      </c>
      <c r="Z51" s="19">
        <f t="shared" si="0"/>
        <v>0</v>
      </c>
      <c r="AA51" s="19">
        <f t="shared" si="0"/>
        <v>0</v>
      </c>
      <c r="AB51" s="19">
        <f t="shared" si="0"/>
        <v>0</v>
      </c>
      <c r="AC51" s="20"/>
    </row>
    <row r="52" spans="1:29" x14ac:dyDescent="0.3">
      <c r="A52" s="30" t="str">
        <v>2x</v>
      </c>
      <c r="B52" s="19">
        <f t="shared" si="1"/>
        <v>0</v>
      </c>
      <c r="C52" s="19">
        <f t="shared" si="0"/>
        <v>0</v>
      </c>
      <c r="D52" s="19">
        <f t="shared" si="0"/>
        <v>0</v>
      </c>
      <c r="E52" s="19">
        <f t="shared" si="0"/>
        <v>0</v>
      </c>
      <c r="F52" s="19">
        <f t="shared" si="0"/>
        <v>0</v>
      </c>
      <c r="G52" s="19">
        <f t="shared" si="0"/>
        <v>0</v>
      </c>
      <c r="H52" s="19">
        <f t="shared" si="0"/>
        <v>0</v>
      </c>
      <c r="I52" s="19">
        <f t="shared" si="0"/>
        <v>0</v>
      </c>
      <c r="J52" s="19">
        <f t="shared" si="0"/>
        <v>0</v>
      </c>
      <c r="K52" s="19">
        <f t="shared" si="0"/>
        <v>0</v>
      </c>
      <c r="L52" s="19">
        <f t="shared" si="0"/>
        <v>0</v>
      </c>
      <c r="M52" s="19">
        <f t="shared" si="0"/>
        <v>0</v>
      </c>
      <c r="N52" s="19">
        <f t="shared" si="0"/>
        <v>0</v>
      </c>
      <c r="O52" s="19">
        <f t="shared" si="0"/>
        <v>0</v>
      </c>
      <c r="P52" s="19">
        <f t="shared" si="0"/>
        <v>0</v>
      </c>
      <c r="Q52" s="19">
        <f t="shared" si="0"/>
        <v>0</v>
      </c>
      <c r="R52" s="19">
        <f t="shared" si="0"/>
        <v>0</v>
      </c>
      <c r="S52" s="19">
        <f t="shared" si="0"/>
        <v>0</v>
      </c>
      <c r="T52" s="19">
        <f t="shared" si="0"/>
        <v>0</v>
      </c>
      <c r="U52" s="19">
        <f t="shared" si="0"/>
        <v>0</v>
      </c>
      <c r="V52" s="19">
        <f t="shared" si="0"/>
        <v>0</v>
      </c>
      <c r="W52" s="19">
        <f t="shared" si="0"/>
        <v>0</v>
      </c>
      <c r="X52" s="19">
        <f t="shared" si="0"/>
        <v>0</v>
      </c>
      <c r="Y52" s="19">
        <f t="shared" si="0"/>
        <v>0</v>
      </c>
      <c r="Z52" s="19">
        <f t="shared" si="0"/>
        <v>0</v>
      </c>
      <c r="AA52" s="19">
        <f t="shared" si="0"/>
        <v>0</v>
      </c>
      <c r="AB52" s="19">
        <f t="shared" si="0"/>
        <v>0</v>
      </c>
      <c r="AC52" s="20"/>
    </row>
    <row r="53" spans="1:29" x14ac:dyDescent="0.3">
      <c r="A53" s="30" t="str">
        <v>2z</v>
      </c>
      <c r="B53" s="19">
        <f t="shared" si="1"/>
        <v>0</v>
      </c>
      <c r="C53" s="19">
        <f t="shared" si="0"/>
        <v>0</v>
      </c>
      <c r="D53" s="19">
        <f t="shared" si="0"/>
        <v>0</v>
      </c>
      <c r="E53" s="19">
        <f t="shared" si="0"/>
        <v>0</v>
      </c>
      <c r="F53" s="19">
        <f t="shared" si="0"/>
        <v>0</v>
      </c>
      <c r="G53" s="19">
        <f t="shared" si="0"/>
        <v>0</v>
      </c>
      <c r="H53" s="19">
        <f t="shared" si="0"/>
        <v>0</v>
      </c>
      <c r="I53" s="19">
        <f t="shared" si="0"/>
        <v>0</v>
      </c>
      <c r="J53" s="19">
        <f t="shared" si="0"/>
        <v>0</v>
      </c>
      <c r="K53" s="19">
        <f t="shared" si="0"/>
        <v>0</v>
      </c>
      <c r="L53" s="19">
        <f t="shared" si="0"/>
        <v>0</v>
      </c>
      <c r="M53" s="19">
        <f t="shared" si="0"/>
        <v>0</v>
      </c>
      <c r="N53" s="19">
        <f t="shared" si="0"/>
        <v>0</v>
      </c>
      <c r="O53" s="19">
        <f t="shared" si="0"/>
        <v>0</v>
      </c>
      <c r="P53" s="19">
        <f t="shared" si="0"/>
        <v>0</v>
      </c>
      <c r="Q53" s="19">
        <f t="shared" si="0"/>
        <v>0</v>
      </c>
      <c r="R53" s="19">
        <f t="shared" si="0"/>
        <v>0</v>
      </c>
      <c r="S53" s="19">
        <f t="shared" si="0"/>
        <v>0</v>
      </c>
      <c r="T53" s="19">
        <f t="shared" si="0"/>
        <v>0</v>
      </c>
      <c r="U53" s="19">
        <f t="shared" si="0"/>
        <v>0</v>
      </c>
      <c r="V53" s="19">
        <f t="shared" si="0"/>
        <v>0</v>
      </c>
      <c r="W53" s="19">
        <f t="shared" si="0"/>
        <v>0</v>
      </c>
      <c r="X53" s="19">
        <f t="shared" si="0"/>
        <v>0</v>
      </c>
      <c r="Y53" s="19">
        <f t="shared" si="0"/>
        <v>0</v>
      </c>
      <c r="Z53" s="19">
        <f t="shared" si="0"/>
        <v>0</v>
      </c>
      <c r="AA53" s="19">
        <f t="shared" si="0"/>
        <v>0</v>
      </c>
      <c r="AB53" s="19">
        <f t="shared" si="0"/>
        <v>0</v>
      </c>
      <c r="AC53" s="20"/>
    </row>
    <row r="54" spans="1:29" x14ac:dyDescent="0.3">
      <c r="A54" s="30" t="str">
        <v>ϴ2</v>
      </c>
      <c r="B54" s="19">
        <f t="shared" si="1"/>
        <v>0</v>
      </c>
      <c r="C54" s="19">
        <f t="shared" si="0"/>
        <v>0</v>
      </c>
      <c r="D54" s="19">
        <f t="shared" si="0"/>
        <v>0</v>
      </c>
      <c r="E54" s="19">
        <f t="shared" si="0"/>
        <v>0</v>
      </c>
      <c r="F54" s="19">
        <f t="shared" si="0"/>
        <v>0</v>
      </c>
      <c r="G54" s="19">
        <f t="shared" si="0"/>
        <v>0</v>
      </c>
      <c r="H54" s="19">
        <f t="shared" si="0"/>
        <v>0</v>
      </c>
      <c r="I54" s="19">
        <f t="shared" si="0"/>
        <v>0</v>
      </c>
      <c r="J54" s="19">
        <f t="shared" si="0"/>
        <v>0</v>
      </c>
      <c r="K54" s="19">
        <f t="shared" si="0"/>
        <v>0</v>
      </c>
      <c r="L54" s="19">
        <f t="shared" si="0"/>
        <v>0</v>
      </c>
      <c r="M54" s="19">
        <f t="shared" si="0"/>
        <v>0</v>
      </c>
      <c r="N54" s="19">
        <f t="shared" si="0"/>
        <v>0</v>
      </c>
      <c r="O54" s="19">
        <f t="shared" si="0"/>
        <v>0</v>
      </c>
      <c r="P54" s="19">
        <f t="shared" si="0"/>
        <v>0</v>
      </c>
      <c r="Q54" s="19">
        <f t="shared" si="0"/>
        <v>0</v>
      </c>
      <c r="R54" s="19">
        <f t="shared" si="0"/>
        <v>0</v>
      </c>
      <c r="S54" s="19">
        <f t="shared" si="0"/>
        <v>0</v>
      </c>
      <c r="T54" s="19">
        <f t="shared" si="0"/>
        <v>0</v>
      </c>
      <c r="U54" s="19">
        <f t="shared" si="0"/>
        <v>0</v>
      </c>
      <c r="V54" s="19">
        <f t="shared" si="0"/>
        <v>0</v>
      </c>
      <c r="W54" s="19">
        <f t="shared" si="0"/>
        <v>0</v>
      </c>
      <c r="X54" s="19">
        <f t="shared" si="0"/>
        <v>0</v>
      </c>
      <c r="Y54" s="19">
        <f t="shared" si="0"/>
        <v>0</v>
      </c>
      <c r="Z54" s="19">
        <f t="shared" si="0"/>
        <v>0</v>
      </c>
      <c r="AA54" s="19">
        <f t="shared" si="0"/>
        <v>0</v>
      </c>
      <c r="AB54" s="19">
        <f t="shared" si="0"/>
        <v>0</v>
      </c>
      <c r="AC54" s="20"/>
    </row>
    <row r="55" spans="1:29" x14ac:dyDescent="0.3">
      <c r="A55" s="30" t="str">
        <v>3x</v>
      </c>
      <c r="B55" s="19">
        <f t="shared" si="1"/>
        <v>0</v>
      </c>
      <c r="C55" s="19">
        <f t="shared" si="0"/>
        <v>0</v>
      </c>
      <c r="D55" s="19">
        <f t="shared" si="0"/>
        <v>0</v>
      </c>
      <c r="E55" s="19">
        <f t="shared" si="0"/>
        <v>0</v>
      </c>
      <c r="F55" s="19">
        <f t="shared" si="0"/>
        <v>0</v>
      </c>
      <c r="G55" s="19">
        <f t="shared" si="0"/>
        <v>0</v>
      </c>
      <c r="H55" s="19">
        <f t="shared" si="0"/>
        <v>0</v>
      </c>
      <c r="I55" s="19">
        <f t="shared" si="0"/>
        <v>0</v>
      </c>
      <c r="J55" s="19">
        <f t="shared" si="0"/>
        <v>0</v>
      </c>
      <c r="K55" s="19">
        <f t="shared" si="0"/>
        <v>0</v>
      </c>
      <c r="L55" s="19">
        <f t="shared" si="0"/>
        <v>0</v>
      </c>
      <c r="M55" s="19">
        <f t="shared" si="0"/>
        <v>0</v>
      </c>
      <c r="N55" s="19">
        <f t="shared" si="0"/>
        <v>0</v>
      </c>
      <c r="O55" s="19">
        <f t="shared" si="0"/>
        <v>0</v>
      </c>
      <c r="P55" s="19">
        <f t="shared" si="0"/>
        <v>0</v>
      </c>
      <c r="Q55" s="19">
        <f t="shared" si="0"/>
        <v>0</v>
      </c>
      <c r="R55" s="19">
        <f t="shared" si="0"/>
        <v>0</v>
      </c>
      <c r="S55" s="19">
        <f t="shared" si="0"/>
        <v>0</v>
      </c>
      <c r="T55" s="19">
        <f t="shared" si="0"/>
        <v>0</v>
      </c>
      <c r="U55" s="19">
        <f t="shared" si="0"/>
        <v>0</v>
      </c>
      <c r="V55" s="19">
        <f t="shared" si="0"/>
        <v>0</v>
      </c>
      <c r="W55" s="19">
        <f t="shared" si="0"/>
        <v>0</v>
      </c>
      <c r="X55" s="19">
        <f t="shared" si="0"/>
        <v>0</v>
      </c>
      <c r="Y55" s="19">
        <f t="shared" si="0"/>
        <v>0</v>
      </c>
      <c r="Z55" s="19">
        <f t="shared" si="0"/>
        <v>0</v>
      </c>
      <c r="AA55" s="19">
        <f t="shared" si="0"/>
        <v>0</v>
      </c>
      <c r="AB55" s="19">
        <f t="shared" si="0"/>
        <v>0</v>
      </c>
      <c r="AC55" s="20"/>
    </row>
    <row r="56" spans="1:29" x14ac:dyDescent="0.3">
      <c r="A56" s="30" t="str">
        <v>3z</v>
      </c>
      <c r="B56" s="19">
        <f t="shared" si="1"/>
        <v>0</v>
      </c>
      <c r="C56" s="19">
        <f t="shared" si="0"/>
        <v>0</v>
      </c>
      <c r="D56" s="19">
        <f t="shared" si="0"/>
        <v>0</v>
      </c>
      <c r="E56" s="19">
        <f t="shared" si="0"/>
        <v>0</v>
      </c>
      <c r="F56" s="19">
        <f t="shared" si="0"/>
        <v>0</v>
      </c>
      <c r="G56" s="19">
        <f t="shared" si="0"/>
        <v>0</v>
      </c>
      <c r="H56" s="19">
        <f t="shared" si="0"/>
        <v>0</v>
      </c>
      <c r="I56" s="19">
        <f t="shared" si="0"/>
        <v>0</v>
      </c>
      <c r="J56" s="19">
        <f t="shared" si="0"/>
        <v>0</v>
      </c>
      <c r="K56" s="19">
        <f t="shared" si="0"/>
        <v>0</v>
      </c>
      <c r="L56" s="19">
        <f t="shared" si="0"/>
        <v>0</v>
      </c>
      <c r="M56" s="19">
        <f t="shared" si="0"/>
        <v>0</v>
      </c>
      <c r="N56" s="19">
        <f t="shared" si="0"/>
        <v>0</v>
      </c>
      <c r="O56" s="19">
        <f t="shared" si="0"/>
        <v>0</v>
      </c>
      <c r="P56" s="19">
        <f t="shared" si="0"/>
        <v>0</v>
      </c>
      <c r="Q56" s="19">
        <f t="shared" si="0"/>
        <v>0</v>
      </c>
      <c r="R56" s="19">
        <f t="shared" si="0"/>
        <v>0</v>
      </c>
      <c r="S56" s="19">
        <f t="shared" si="0"/>
        <v>0</v>
      </c>
      <c r="T56" s="19">
        <f t="shared" si="0"/>
        <v>0</v>
      </c>
      <c r="U56" s="19">
        <f t="shared" si="0"/>
        <v>0</v>
      </c>
      <c r="V56" s="19">
        <f t="shared" si="0"/>
        <v>0</v>
      </c>
      <c r="W56" s="19">
        <f t="shared" si="0"/>
        <v>0</v>
      </c>
      <c r="X56" s="19">
        <f t="shared" si="0"/>
        <v>0</v>
      </c>
      <c r="Y56" s="19">
        <f t="shared" si="0"/>
        <v>0</v>
      </c>
      <c r="Z56" s="19">
        <f t="shared" si="0"/>
        <v>0</v>
      </c>
      <c r="AA56" s="19">
        <f t="shared" si="0"/>
        <v>0</v>
      </c>
      <c r="AB56" s="19">
        <f t="shared" si="0"/>
        <v>0</v>
      </c>
      <c r="AC56" s="20"/>
    </row>
    <row r="57" spans="1:29" x14ac:dyDescent="0.3">
      <c r="A57" s="30" t="str">
        <v>ϴ3</v>
      </c>
      <c r="B57" s="19">
        <f t="shared" si="1"/>
        <v>0</v>
      </c>
      <c r="C57" s="19">
        <f t="shared" si="0"/>
        <v>0</v>
      </c>
      <c r="D57" s="19">
        <f t="shared" si="0"/>
        <v>0</v>
      </c>
      <c r="E57" s="19">
        <f t="shared" si="0"/>
        <v>0</v>
      </c>
      <c r="F57" s="19">
        <f t="shared" si="0"/>
        <v>0</v>
      </c>
      <c r="G57" s="19">
        <f t="shared" si="0"/>
        <v>0</v>
      </c>
      <c r="H57" s="19">
        <f t="shared" si="0"/>
        <v>0</v>
      </c>
      <c r="I57" s="19">
        <f t="shared" si="0"/>
        <v>0</v>
      </c>
      <c r="J57" s="19">
        <f t="shared" si="0"/>
        <v>0</v>
      </c>
      <c r="K57" s="19">
        <f t="shared" si="0"/>
        <v>0</v>
      </c>
      <c r="L57" s="19">
        <f t="shared" si="0"/>
        <v>0</v>
      </c>
      <c r="M57" s="19">
        <f t="shared" si="0"/>
        <v>0</v>
      </c>
      <c r="N57" s="19">
        <f t="shared" si="0"/>
        <v>0</v>
      </c>
      <c r="O57" s="19">
        <f t="shared" si="0"/>
        <v>0</v>
      </c>
      <c r="P57" s="19">
        <f t="shared" si="0"/>
        <v>0</v>
      </c>
      <c r="Q57" s="19">
        <f t="shared" si="0"/>
        <v>0</v>
      </c>
      <c r="R57" s="19">
        <f t="shared" si="0"/>
        <v>0</v>
      </c>
      <c r="S57" s="19">
        <f t="shared" si="0"/>
        <v>0</v>
      </c>
      <c r="T57" s="19">
        <f t="shared" si="0"/>
        <v>0</v>
      </c>
      <c r="U57" s="19">
        <f t="shared" si="0"/>
        <v>0</v>
      </c>
      <c r="V57" s="19">
        <f t="shared" si="0"/>
        <v>0</v>
      </c>
      <c r="W57" s="19">
        <f t="shared" si="0"/>
        <v>0</v>
      </c>
      <c r="X57" s="19">
        <f t="shared" si="0"/>
        <v>0</v>
      </c>
      <c r="Y57" s="19">
        <f t="shared" si="0"/>
        <v>0</v>
      </c>
      <c r="Z57" s="19">
        <f t="shared" si="0"/>
        <v>0</v>
      </c>
      <c r="AA57" s="19">
        <f t="shared" si="0"/>
        <v>0</v>
      </c>
      <c r="AB57" s="19">
        <f t="shared" si="0"/>
        <v>0</v>
      </c>
      <c r="AC57" s="20"/>
    </row>
    <row r="58" spans="1:29" x14ac:dyDescent="0.3">
      <c r="A58" s="30" t="str">
        <v>4x</v>
      </c>
      <c r="B58" s="19">
        <f t="shared" si="1"/>
        <v>0</v>
      </c>
      <c r="C58" s="19">
        <f t="shared" si="0"/>
        <v>0</v>
      </c>
      <c r="D58" s="19">
        <f t="shared" si="0"/>
        <v>0</v>
      </c>
      <c r="E58" s="19">
        <f t="shared" si="0"/>
        <v>0</v>
      </c>
      <c r="F58" s="19">
        <f t="shared" si="0"/>
        <v>0</v>
      </c>
      <c r="G58" s="19">
        <f t="shared" si="0"/>
        <v>0</v>
      </c>
      <c r="H58" s="19">
        <f t="shared" si="0"/>
        <v>0</v>
      </c>
      <c r="I58" s="19">
        <f t="shared" si="0"/>
        <v>0</v>
      </c>
      <c r="J58" s="19">
        <f t="shared" si="0"/>
        <v>0</v>
      </c>
      <c r="K58" s="19">
        <f t="shared" si="0"/>
        <v>0</v>
      </c>
      <c r="L58" s="19">
        <f t="shared" si="0"/>
        <v>0</v>
      </c>
      <c r="M58" s="19">
        <f t="shared" si="0"/>
        <v>0</v>
      </c>
      <c r="N58" s="19">
        <f t="shared" si="0"/>
        <v>0</v>
      </c>
      <c r="O58" s="19">
        <f t="shared" si="0"/>
        <v>0</v>
      </c>
      <c r="P58" s="19">
        <f t="shared" si="0"/>
        <v>0</v>
      </c>
      <c r="Q58" s="19">
        <f t="shared" si="0"/>
        <v>0</v>
      </c>
      <c r="R58" s="19">
        <f t="shared" si="0"/>
        <v>0</v>
      </c>
      <c r="S58" s="19">
        <f t="shared" si="0"/>
        <v>0</v>
      </c>
      <c r="T58" s="19">
        <f t="shared" si="0"/>
        <v>0</v>
      </c>
      <c r="U58" s="19">
        <f t="shared" si="0"/>
        <v>0</v>
      </c>
      <c r="V58" s="19">
        <f t="shared" si="0"/>
        <v>0</v>
      </c>
      <c r="W58" s="19">
        <f t="shared" si="0"/>
        <v>0</v>
      </c>
      <c r="X58" s="19">
        <f t="shared" si="0"/>
        <v>0</v>
      </c>
      <c r="Y58" s="19">
        <f t="shared" si="0"/>
        <v>0</v>
      </c>
      <c r="Z58" s="19">
        <f t="shared" si="0"/>
        <v>0</v>
      </c>
      <c r="AA58" s="19">
        <f t="shared" si="0"/>
        <v>0</v>
      </c>
      <c r="AB58" s="19">
        <f t="shared" si="0"/>
        <v>0</v>
      </c>
      <c r="AC58" s="20"/>
    </row>
    <row r="59" spans="1:29" x14ac:dyDescent="0.3">
      <c r="A59" s="30" t="str">
        <v>4z</v>
      </c>
      <c r="B59" s="19">
        <f t="shared" si="1"/>
        <v>0</v>
      </c>
      <c r="C59" s="19">
        <f t="shared" si="0"/>
        <v>0</v>
      </c>
      <c r="D59" s="19">
        <f t="shared" si="0"/>
        <v>0</v>
      </c>
      <c r="E59" s="19">
        <f t="shared" si="0"/>
        <v>0</v>
      </c>
      <c r="F59" s="19">
        <f t="shared" si="0"/>
        <v>0</v>
      </c>
      <c r="G59" s="19">
        <f t="shared" si="0"/>
        <v>0</v>
      </c>
      <c r="H59" s="19">
        <f t="shared" si="0"/>
        <v>0</v>
      </c>
      <c r="I59" s="19">
        <f t="shared" si="0"/>
        <v>0</v>
      </c>
      <c r="J59" s="19">
        <f t="shared" si="0"/>
        <v>0</v>
      </c>
      <c r="K59" s="19">
        <f t="shared" si="0"/>
        <v>0</v>
      </c>
      <c r="L59" s="19">
        <f t="shared" si="0"/>
        <v>0</v>
      </c>
      <c r="M59" s="19">
        <f t="shared" ref="C59:AB69" si="2">IFERROR(VLOOKUP($A59,$A$39:$G$45,MATCH(M$48,$A$39:$G$39,0),FALSE),0)</f>
        <v>0</v>
      </c>
      <c r="N59" s="19">
        <f t="shared" si="2"/>
        <v>0</v>
      </c>
      <c r="O59" s="19">
        <f t="shared" si="2"/>
        <v>0</v>
      </c>
      <c r="P59" s="19">
        <f t="shared" si="2"/>
        <v>0</v>
      </c>
      <c r="Q59" s="19">
        <f t="shared" si="2"/>
        <v>0</v>
      </c>
      <c r="R59" s="19">
        <f t="shared" si="2"/>
        <v>0</v>
      </c>
      <c r="S59" s="19">
        <f t="shared" si="2"/>
        <v>0</v>
      </c>
      <c r="T59" s="19">
        <f t="shared" si="2"/>
        <v>0</v>
      </c>
      <c r="U59" s="19">
        <f t="shared" si="2"/>
        <v>0</v>
      </c>
      <c r="V59" s="19">
        <f t="shared" si="2"/>
        <v>0</v>
      </c>
      <c r="W59" s="19">
        <f t="shared" si="2"/>
        <v>0</v>
      </c>
      <c r="X59" s="19">
        <f t="shared" si="2"/>
        <v>0</v>
      </c>
      <c r="Y59" s="19">
        <f t="shared" si="2"/>
        <v>0</v>
      </c>
      <c r="Z59" s="19">
        <f t="shared" si="2"/>
        <v>0</v>
      </c>
      <c r="AA59" s="19">
        <f t="shared" si="2"/>
        <v>0</v>
      </c>
      <c r="AB59" s="19">
        <f t="shared" si="2"/>
        <v>0</v>
      </c>
      <c r="AC59" s="20"/>
    </row>
    <row r="60" spans="1:29" x14ac:dyDescent="0.3">
      <c r="A60" s="30" t="str">
        <v>ϴ4</v>
      </c>
      <c r="B60" s="19">
        <f t="shared" si="1"/>
        <v>0</v>
      </c>
      <c r="C60" s="19">
        <f t="shared" si="2"/>
        <v>0</v>
      </c>
      <c r="D60" s="19">
        <f t="shared" si="2"/>
        <v>0</v>
      </c>
      <c r="E60" s="19">
        <f t="shared" si="2"/>
        <v>0</v>
      </c>
      <c r="F60" s="19">
        <f t="shared" si="2"/>
        <v>0</v>
      </c>
      <c r="G60" s="19">
        <f t="shared" si="2"/>
        <v>0</v>
      </c>
      <c r="H60" s="19">
        <f t="shared" si="2"/>
        <v>0</v>
      </c>
      <c r="I60" s="19">
        <f t="shared" si="2"/>
        <v>0</v>
      </c>
      <c r="J60" s="19">
        <f t="shared" si="2"/>
        <v>0</v>
      </c>
      <c r="K60" s="19">
        <f t="shared" si="2"/>
        <v>0</v>
      </c>
      <c r="L60" s="19">
        <f t="shared" si="2"/>
        <v>0</v>
      </c>
      <c r="M60" s="19">
        <f t="shared" si="2"/>
        <v>0</v>
      </c>
      <c r="N60" s="19">
        <f t="shared" si="2"/>
        <v>0</v>
      </c>
      <c r="O60" s="19">
        <f t="shared" si="2"/>
        <v>0</v>
      </c>
      <c r="P60" s="19">
        <f t="shared" si="2"/>
        <v>0</v>
      </c>
      <c r="Q60" s="19">
        <f t="shared" si="2"/>
        <v>0</v>
      </c>
      <c r="R60" s="19">
        <f t="shared" si="2"/>
        <v>0</v>
      </c>
      <c r="S60" s="19">
        <f t="shared" si="2"/>
        <v>0</v>
      </c>
      <c r="T60" s="19">
        <f t="shared" si="2"/>
        <v>0</v>
      </c>
      <c r="U60" s="19">
        <f t="shared" si="2"/>
        <v>0</v>
      </c>
      <c r="V60" s="19">
        <f t="shared" si="2"/>
        <v>0</v>
      </c>
      <c r="W60" s="19">
        <f t="shared" si="2"/>
        <v>0</v>
      </c>
      <c r="X60" s="19">
        <f t="shared" si="2"/>
        <v>0</v>
      </c>
      <c r="Y60" s="19">
        <f t="shared" si="2"/>
        <v>0</v>
      </c>
      <c r="Z60" s="19">
        <f t="shared" si="2"/>
        <v>0</v>
      </c>
      <c r="AA60" s="19">
        <f t="shared" si="2"/>
        <v>0</v>
      </c>
      <c r="AB60" s="19">
        <f t="shared" si="2"/>
        <v>0</v>
      </c>
      <c r="AC60" s="20"/>
    </row>
    <row r="61" spans="1:29" x14ac:dyDescent="0.3">
      <c r="A61" s="30" t="str">
        <v>5x</v>
      </c>
      <c r="B61" s="19">
        <f t="shared" si="1"/>
        <v>0</v>
      </c>
      <c r="C61" s="19">
        <f t="shared" si="2"/>
        <v>0</v>
      </c>
      <c r="D61" s="19">
        <f t="shared" si="2"/>
        <v>0</v>
      </c>
      <c r="E61" s="19">
        <f t="shared" si="2"/>
        <v>0</v>
      </c>
      <c r="F61" s="19">
        <f t="shared" si="2"/>
        <v>0</v>
      </c>
      <c r="G61" s="19">
        <f t="shared" si="2"/>
        <v>0</v>
      </c>
      <c r="H61" s="19">
        <f t="shared" si="2"/>
        <v>0</v>
      </c>
      <c r="I61" s="19">
        <f t="shared" si="2"/>
        <v>0</v>
      </c>
      <c r="J61" s="19">
        <f t="shared" si="2"/>
        <v>0</v>
      </c>
      <c r="K61" s="19">
        <f t="shared" si="2"/>
        <v>0</v>
      </c>
      <c r="L61" s="19">
        <f t="shared" si="2"/>
        <v>0</v>
      </c>
      <c r="M61" s="19">
        <f t="shared" si="2"/>
        <v>0</v>
      </c>
      <c r="N61" s="19">
        <f t="shared" si="2"/>
        <v>0</v>
      </c>
      <c r="O61" s="19">
        <f t="shared" si="2"/>
        <v>0</v>
      </c>
      <c r="P61" s="19">
        <f t="shared" si="2"/>
        <v>0</v>
      </c>
      <c r="Q61" s="19">
        <f t="shared" si="2"/>
        <v>0</v>
      </c>
      <c r="R61" s="19">
        <f t="shared" si="2"/>
        <v>0</v>
      </c>
      <c r="S61" s="19">
        <f t="shared" si="2"/>
        <v>0</v>
      </c>
      <c r="T61" s="19">
        <f t="shared" si="2"/>
        <v>0</v>
      </c>
      <c r="U61" s="19">
        <f t="shared" si="2"/>
        <v>0</v>
      </c>
      <c r="V61" s="19">
        <f t="shared" si="2"/>
        <v>0</v>
      </c>
      <c r="W61" s="19">
        <f t="shared" si="2"/>
        <v>0</v>
      </c>
      <c r="X61" s="19">
        <f t="shared" si="2"/>
        <v>0</v>
      </c>
      <c r="Y61" s="19">
        <f t="shared" si="2"/>
        <v>0</v>
      </c>
      <c r="Z61" s="19">
        <f t="shared" si="2"/>
        <v>0</v>
      </c>
      <c r="AA61" s="19">
        <f t="shared" si="2"/>
        <v>0</v>
      </c>
      <c r="AB61" s="19">
        <f t="shared" si="2"/>
        <v>0</v>
      </c>
      <c r="AC61" s="20"/>
    </row>
    <row r="62" spans="1:29" x14ac:dyDescent="0.3">
      <c r="A62" s="30" t="str">
        <v>5z</v>
      </c>
      <c r="B62" s="19">
        <f t="shared" si="1"/>
        <v>0</v>
      </c>
      <c r="C62" s="19">
        <f t="shared" si="2"/>
        <v>0</v>
      </c>
      <c r="D62" s="19">
        <f t="shared" si="2"/>
        <v>0</v>
      </c>
      <c r="E62" s="19">
        <f t="shared" si="2"/>
        <v>0</v>
      </c>
      <c r="F62" s="19">
        <f t="shared" si="2"/>
        <v>0</v>
      </c>
      <c r="G62" s="19">
        <f t="shared" si="2"/>
        <v>0</v>
      </c>
      <c r="H62" s="19">
        <f t="shared" si="2"/>
        <v>0</v>
      </c>
      <c r="I62" s="19">
        <f t="shared" si="2"/>
        <v>0</v>
      </c>
      <c r="J62" s="19">
        <f t="shared" si="2"/>
        <v>0</v>
      </c>
      <c r="K62" s="19">
        <f t="shared" si="2"/>
        <v>0</v>
      </c>
      <c r="L62" s="19">
        <f t="shared" si="2"/>
        <v>0</v>
      </c>
      <c r="M62" s="19">
        <f t="shared" si="2"/>
        <v>0</v>
      </c>
      <c r="N62" s="19">
        <f t="shared" si="2"/>
        <v>0</v>
      </c>
      <c r="O62" s="19">
        <f t="shared" si="2"/>
        <v>0</v>
      </c>
      <c r="P62" s="19">
        <f t="shared" si="2"/>
        <v>0</v>
      </c>
      <c r="Q62" s="19">
        <f t="shared" si="2"/>
        <v>0</v>
      </c>
      <c r="R62" s="19">
        <f t="shared" si="2"/>
        <v>0</v>
      </c>
      <c r="S62" s="19">
        <f t="shared" si="2"/>
        <v>0</v>
      </c>
      <c r="T62" s="19">
        <f t="shared" si="2"/>
        <v>0</v>
      </c>
      <c r="U62" s="19">
        <f t="shared" si="2"/>
        <v>0</v>
      </c>
      <c r="V62" s="19">
        <f t="shared" si="2"/>
        <v>0</v>
      </c>
      <c r="W62" s="19">
        <f t="shared" si="2"/>
        <v>0</v>
      </c>
      <c r="X62" s="19">
        <f t="shared" si="2"/>
        <v>0</v>
      </c>
      <c r="Y62" s="19">
        <f t="shared" si="2"/>
        <v>0</v>
      </c>
      <c r="Z62" s="19">
        <f t="shared" si="2"/>
        <v>0</v>
      </c>
      <c r="AA62" s="19">
        <f t="shared" si="2"/>
        <v>0</v>
      </c>
      <c r="AB62" s="19">
        <f t="shared" si="2"/>
        <v>0</v>
      </c>
      <c r="AC62" s="20"/>
    </row>
    <row r="63" spans="1:29" x14ac:dyDescent="0.3">
      <c r="A63" s="30" t="str">
        <v>ϴ5</v>
      </c>
      <c r="B63" s="19">
        <f t="shared" si="1"/>
        <v>0</v>
      </c>
      <c r="C63" s="19">
        <f t="shared" si="2"/>
        <v>0</v>
      </c>
      <c r="D63" s="19">
        <f t="shared" si="2"/>
        <v>0</v>
      </c>
      <c r="E63" s="19">
        <f t="shared" si="2"/>
        <v>0</v>
      </c>
      <c r="F63" s="19">
        <f t="shared" si="2"/>
        <v>0</v>
      </c>
      <c r="G63" s="19">
        <f t="shared" si="2"/>
        <v>0</v>
      </c>
      <c r="H63" s="19">
        <f t="shared" si="2"/>
        <v>0</v>
      </c>
      <c r="I63" s="19">
        <f t="shared" si="2"/>
        <v>0</v>
      </c>
      <c r="J63" s="19">
        <f t="shared" si="2"/>
        <v>0</v>
      </c>
      <c r="K63" s="19">
        <f t="shared" si="2"/>
        <v>0</v>
      </c>
      <c r="L63" s="19">
        <f t="shared" si="2"/>
        <v>0</v>
      </c>
      <c r="M63" s="19">
        <f t="shared" si="2"/>
        <v>0</v>
      </c>
      <c r="N63" s="19">
        <f t="shared" si="2"/>
        <v>0</v>
      </c>
      <c r="O63" s="19">
        <f t="shared" si="2"/>
        <v>0</v>
      </c>
      <c r="P63" s="19">
        <f t="shared" si="2"/>
        <v>0</v>
      </c>
      <c r="Q63" s="19">
        <f t="shared" si="2"/>
        <v>0</v>
      </c>
      <c r="R63" s="19">
        <f t="shared" si="2"/>
        <v>0</v>
      </c>
      <c r="S63" s="19">
        <f t="shared" si="2"/>
        <v>0</v>
      </c>
      <c r="T63" s="19">
        <f t="shared" si="2"/>
        <v>0</v>
      </c>
      <c r="U63" s="19">
        <f t="shared" si="2"/>
        <v>0</v>
      </c>
      <c r="V63" s="19">
        <f t="shared" si="2"/>
        <v>0</v>
      </c>
      <c r="W63" s="19">
        <f t="shared" si="2"/>
        <v>0</v>
      </c>
      <c r="X63" s="19">
        <f t="shared" si="2"/>
        <v>0</v>
      </c>
      <c r="Y63" s="19">
        <f t="shared" si="2"/>
        <v>0</v>
      </c>
      <c r="Z63" s="19">
        <f t="shared" si="2"/>
        <v>0</v>
      </c>
      <c r="AA63" s="19">
        <f t="shared" si="2"/>
        <v>0</v>
      </c>
      <c r="AB63" s="19">
        <f t="shared" si="2"/>
        <v>0</v>
      </c>
      <c r="AC63" s="20"/>
    </row>
    <row r="64" spans="1:29" x14ac:dyDescent="0.3">
      <c r="A64" s="30" t="str">
        <v>6x</v>
      </c>
      <c r="B64" s="19">
        <f t="shared" si="1"/>
        <v>0</v>
      </c>
      <c r="C64" s="19">
        <f t="shared" si="2"/>
        <v>0</v>
      </c>
      <c r="D64" s="19">
        <f t="shared" si="2"/>
        <v>0</v>
      </c>
      <c r="E64" s="19">
        <f t="shared" si="2"/>
        <v>0</v>
      </c>
      <c r="F64" s="19">
        <f t="shared" si="2"/>
        <v>0</v>
      </c>
      <c r="G64" s="19">
        <f t="shared" si="2"/>
        <v>0</v>
      </c>
      <c r="H64" s="19">
        <f t="shared" si="2"/>
        <v>0</v>
      </c>
      <c r="I64" s="19">
        <f t="shared" si="2"/>
        <v>0</v>
      </c>
      <c r="J64" s="19">
        <f t="shared" si="2"/>
        <v>0</v>
      </c>
      <c r="K64" s="19">
        <f t="shared" si="2"/>
        <v>0</v>
      </c>
      <c r="L64" s="19">
        <f t="shared" si="2"/>
        <v>0</v>
      </c>
      <c r="M64" s="19">
        <f t="shared" si="2"/>
        <v>0</v>
      </c>
      <c r="N64" s="19">
        <f t="shared" si="2"/>
        <v>0</v>
      </c>
      <c r="O64" s="19">
        <f t="shared" si="2"/>
        <v>0</v>
      </c>
      <c r="P64" s="19">
        <f t="shared" si="2"/>
        <v>0</v>
      </c>
      <c r="Q64" s="19">
        <f t="shared" si="2"/>
        <v>0</v>
      </c>
      <c r="R64" s="19">
        <f t="shared" si="2"/>
        <v>0</v>
      </c>
      <c r="S64" s="19">
        <f t="shared" si="2"/>
        <v>0</v>
      </c>
      <c r="T64" s="19">
        <f t="shared" si="2"/>
        <v>0</v>
      </c>
      <c r="U64" s="19">
        <f t="shared" si="2"/>
        <v>0</v>
      </c>
      <c r="V64" s="19">
        <f t="shared" si="2"/>
        <v>0</v>
      </c>
      <c r="W64" s="19">
        <f t="shared" si="2"/>
        <v>0</v>
      </c>
      <c r="X64" s="19">
        <f t="shared" si="2"/>
        <v>0</v>
      </c>
      <c r="Y64" s="19">
        <f t="shared" si="2"/>
        <v>0</v>
      </c>
      <c r="Z64" s="19">
        <f t="shared" si="2"/>
        <v>0</v>
      </c>
      <c r="AA64" s="19">
        <f t="shared" si="2"/>
        <v>0</v>
      </c>
      <c r="AB64" s="19">
        <f t="shared" si="2"/>
        <v>0</v>
      </c>
      <c r="AC64" s="20"/>
    </row>
    <row r="65" spans="1:29" x14ac:dyDescent="0.3">
      <c r="A65" s="30" t="str">
        <v>6z</v>
      </c>
      <c r="B65" s="19">
        <f t="shared" si="1"/>
        <v>0</v>
      </c>
      <c r="C65" s="19">
        <f t="shared" si="2"/>
        <v>0</v>
      </c>
      <c r="D65" s="19">
        <f t="shared" si="2"/>
        <v>0</v>
      </c>
      <c r="E65" s="19">
        <f t="shared" si="2"/>
        <v>0</v>
      </c>
      <c r="F65" s="19">
        <f t="shared" si="2"/>
        <v>0</v>
      </c>
      <c r="G65" s="19">
        <f t="shared" si="2"/>
        <v>0</v>
      </c>
      <c r="H65" s="19">
        <f t="shared" si="2"/>
        <v>0</v>
      </c>
      <c r="I65" s="19">
        <f t="shared" si="2"/>
        <v>0</v>
      </c>
      <c r="J65" s="19">
        <f t="shared" si="2"/>
        <v>0</v>
      </c>
      <c r="K65" s="19">
        <f t="shared" si="2"/>
        <v>0</v>
      </c>
      <c r="L65" s="19">
        <f t="shared" si="2"/>
        <v>0</v>
      </c>
      <c r="M65" s="19">
        <f t="shared" si="2"/>
        <v>0</v>
      </c>
      <c r="N65" s="19">
        <f t="shared" si="2"/>
        <v>0</v>
      </c>
      <c r="O65" s="19">
        <f t="shared" si="2"/>
        <v>0</v>
      </c>
      <c r="P65" s="19">
        <f t="shared" si="2"/>
        <v>0</v>
      </c>
      <c r="Q65" s="19">
        <f t="shared" si="2"/>
        <v>0</v>
      </c>
      <c r="R65" s="19">
        <f t="shared" si="2"/>
        <v>0</v>
      </c>
      <c r="S65" s="19">
        <f t="shared" si="2"/>
        <v>0</v>
      </c>
      <c r="T65" s="19">
        <f t="shared" si="2"/>
        <v>0</v>
      </c>
      <c r="U65" s="19">
        <f t="shared" si="2"/>
        <v>0</v>
      </c>
      <c r="V65" s="19">
        <f t="shared" si="2"/>
        <v>0</v>
      </c>
      <c r="W65" s="19">
        <f t="shared" si="2"/>
        <v>0</v>
      </c>
      <c r="X65" s="19">
        <f t="shared" si="2"/>
        <v>0</v>
      </c>
      <c r="Y65" s="19">
        <f t="shared" si="2"/>
        <v>0</v>
      </c>
      <c r="Z65" s="19">
        <f t="shared" si="2"/>
        <v>0</v>
      </c>
      <c r="AA65" s="19">
        <f t="shared" si="2"/>
        <v>0</v>
      </c>
      <c r="AB65" s="19">
        <f t="shared" si="2"/>
        <v>0</v>
      </c>
      <c r="AC65" s="20"/>
    </row>
    <row r="66" spans="1:29" x14ac:dyDescent="0.3">
      <c r="A66" s="30" t="str">
        <v>ϴ6</v>
      </c>
      <c r="B66" s="19">
        <f t="shared" si="1"/>
        <v>0</v>
      </c>
      <c r="C66" s="19">
        <f t="shared" si="2"/>
        <v>0</v>
      </c>
      <c r="D66" s="19">
        <f t="shared" si="2"/>
        <v>0</v>
      </c>
      <c r="E66" s="19">
        <f t="shared" si="2"/>
        <v>0</v>
      </c>
      <c r="F66" s="19">
        <f t="shared" si="2"/>
        <v>0</v>
      </c>
      <c r="G66" s="19">
        <f t="shared" si="2"/>
        <v>0</v>
      </c>
      <c r="H66" s="19">
        <f t="shared" si="2"/>
        <v>0</v>
      </c>
      <c r="I66" s="19">
        <f t="shared" si="2"/>
        <v>0</v>
      </c>
      <c r="J66" s="19">
        <f t="shared" si="2"/>
        <v>0</v>
      </c>
      <c r="K66" s="19">
        <f t="shared" si="2"/>
        <v>0</v>
      </c>
      <c r="L66" s="19">
        <f t="shared" si="2"/>
        <v>0</v>
      </c>
      <c r="M66" s="19">
        <f t="shared" si="2"/>
        <v>0</v>
      </c>
      <c r="N66" s="19">
        <f t="shared" si="2"/>
        <v>0</v>
      </c>
      <c r="O66" s="19">
        <f t="shared" si="2"/>
        <v>0</v>
      </c>
      <c r="P66" s="19">
        <f t="shared" si="2"/>
        <v>0</v>
      </c>
      <c r="Q66" s="19">
        <f t="shared" si="2"/>
        <v>0</v>
      </c>
      <c r="R66" s="19">
        <f t="shared" si="2"/>
        <v>0</v>
      </c>
      <c r="S66" s="19">
        <f t="shared" si="2"/>
        <v>0</v>
      </c>
      <c r="T66" s="19">
        <f t="shared" si="2"/>
        <v>0</v>
      </c>
      <c r="U66" s="19">
        <f t="shared" si="2"/>
        <v>0</v>
      </c>
      <c r="V66" s="19">
        <f t="shared" si="2"/>
        <v>0</v>
      </c>
      <c r="W66" s="19">
        <f t="shared" si="2"/>
        <v>0</v>
      </c>
      <c r="X66" s="19">
        <f t="shared" si="2"/>
        <v>0</v>
      </c>
      <c r="Y66" s="19">
        <f t="shared" si="2"/>
        <v>0</v>
      </c>
      <c r="Z66" s="19">
        <f t="shared" si="2"/>
        <v>0</v>
      </c>
      <c r="AA66" s="19">
        <f t="shared" si="2"/>
        <v>0</v>
      </c>
      <c r="AB66" s="19">
        <f t="shared" si="2"/>
        <v>0</v>
      </c>
      <c r="AC66" s="20"/>
    </row>
    <row r="67" spans="1:29" x14ac:dyDescent="0.3">
      <c r="A67" s="30" t="str">
        <v>ax</v>
      </c>
      <c r="B67" s="19">
        <f t="shared" si="1"/>
        <v>0</v>
      </c>
      <c r="C67" s="19">
        <f t="shared" si="2"/>
        <v>0</v>
      </c>
      <c r="D67" s="19">
        <f t="shared" si="2"/>
        <v>0</v>
      </c>
      <c r="E67" s="19">
        <f t="shared" si="2"/>
        <v>0</v>
      </c>
      <c r="F67" s="19">
        <f t="shared" si="2"/>
        <v>0</v>
      </c>
      <c r="G67" s="19">
        <f t="shared" si="2"/>
        <v>0</v>
      </c>
      <c r="H67" s="19">
        <f t="shared" si="2"/>
        <v>0</v>
      </c>
      <c r="I67" s="19">
        <f t="shared" si="2"/>
        <v>0</v>
      </c>
      <c r="J67" s="19">
        <f t="shared" si="2"/>
        <v>0</v>
      </c>
      <c r="K67" s="19">
        <f t="shared" si="2"/>
        <v>0</v>
      </c>
      <c r="L67" s="19">
        <f t="shared" si="2"/>
        <v>0</v>
      </c>
      <c r="M67" s="19">
        <f t="shared" si="2"/>
        <v>0</v>
      </c>
      <c r="N67" s="19">
        <f t="shared" si="2"/>
        <v>0</v>
      </c>
      <c r="O67" s="19">
        <f t="shared" si="2"/>
        <v>0</v>
      </c>
      <c r="P67" s="19">
        <f t="shared" si="2"/>
        <v>0</v>
      </c>
      <c r="Q67" s="19">
        <f t="shared" si="2"/>
        <v>0</v>
      </c>
      <c r="R67" s="19">
        <f t="shared" si="2"/>
        <v>0</v>
      </c>
      <c r="S67" s="19">
        <f t="shared" si="2"/>
        <v>0</v>
      </c>
      <c r="T67" s="19">
        <f t="shared" si="2"/>
        <v>0</v>
      </c>
      <c r="U67" s="19">
        <f t="shared" si="2"/>
        <v>0</v>
      </c>
      <c r="V67" s="19">
        <f t="shared" si="2"/>
        <v>0</v>
      </c>
      <c r="W67" s="19">
        <f t="shared" si="2"/>
        <v>0</v>
      </c>
      <c r="X67" s="19">
        <f t="shared" si="2"/>
        <v>0</v>
      </c>
      <c r="Y67" s="19">
        <f t="shared" si="2"/>
        <v>0</v>
      </c>
      <c r="Z67" s="19">
        <f t="shared" si="2"/>
        <v>0</v>
      </c>
      <c r="AA67" s="19">
        <f t="shared" si="2"/>
        <v>0</v>
      </c>
      <c r="AB67" s="19">
        <f t="shared" si="2"/>
        <v>0</v>
      </c>
      <c r="AC67" s="20"/>
    </row>
    <row r="68" spans="1:29" x14ac:dyDescent="0.3">
      <c r="A68" s="30" t="str">
        <v>az</v>
      </c>
      <c r="B68" s="19">
        <f t="shared" si="1"/>
        <v>0</v>
      </c>
      <c r="C68" s="19">
        <f t="shared" si="2"/>
        <v>0</v>
      </c>
      <c r="D68" s="19">
        <f t="shared" si="2"/>
        <v>0</v>
      </c>
      <c r="E68" s="19">
        <f t="shared" si="2"/>
        <v>0</v>
      </c>
      <c r="F68" s="19">
        <f t="shared" si="2"/>
        <v>0</v>
      </c>
      <c r="G68" s="19">
        <f t="shared" si="2"/>
        <v>0</v>
      </c>
      <c r="H68" s="19">
        <f t="shared" si="2"/>
        <v>0</v>
      </c>
      <c r="I68" s="19">
        <f t="shared" si="2"/>
        <v>0</v>
      </c>
      <c r="J68" s="19">
        <f t="shared" si="2"/>
        <v>0</v>
      </c>
      <c r="K68" s="19">
        <f t="shared" si="2"/>
        <v>0</v>
      </c>
      <c r="L68" s="19">
        <f t="shared" si="2"/>
        <v>0</v>
      </c>
      <c r="M68" s="19">
        <f t="shared" si="2"/>
        <v>0</v>
      </c>
      <c r="N68" s="19">
        <f t="shared" si="2"/>
        <v>0</v>
      </c>
      <c r="O68" s="19">
        <f t="shared" si="2"/>
        <v>0</v>
      </c>
      <c r="P68" s="19">
        <f t="shared" si="2"/>
        <v>0</v>
      </c>
      <c r="Q68" s="19">
        <f t="shared" si="2"/>
        <v>0</v>
      </c>
      <c r="R68" s="19">
        <f t="shared" si="2"/>
        <v>0</v>
      </c>
      <c r="S68" s="19">
        <f t="shared" si="2"/>
        <v>0</v>
      </c>
      <c r="T68" s="19">
        <f t="shared" si="2"/>
        <v>0</v>
      </c>
      <c r="U68" s="19">
        <f t="shared" si="2"/>
        <v>0</v>
      </c>
      <c r="V68" s="19">
        <f t="shared" si="2"/>
        <v>0</v>
      </c>
      <c r="W68" s="19">
        <f t="shared" si="2"/>
        <v>0</v>
      </c>
      <c r="X68" s="19">
        <f t="shared" si="2"/>
        <v>0</v>
      </c>
      <c r="Y68" s="19">
        <f t="shared" si="2"/>
        <v>0</v>
      </c>
      <c r="Z68" s="19">
        <f t="shared" si="2"/>
        <v>0</v>
      </c>
      <c r="AA68" s="19">
        <f t="shared" si="2"/>
        <v>0</v>
      </c>
      <c r="AB68" s="19">
        <f t="shared" si="2"/>
        <v>0</v>
      </c>
      <c r="AC68" s="20"/>
    </row>
    <row r="69" spans="1:29" x14ac:dyDescent="0.3">
      <c r="A69" s="30" t="str">
        <v>ϴa</v>
      </c>
      <c r="B69" s="19">
        <f t="shared" si="1"/>
        <v>0</v>
      </c>
      <c r="C69" s="19">
        <f t="shared" si="2"/>
        <v>0</v>
      </c>
      <c r="D69" s="19">
        <f t="shared" si="2"/>
        <v>0</v>
      </c>
      <c r="E69" s="19">
        <f t="shared" si="2"/>
        <v>0</v>
      </c>
      <c r="F69" s="19">
        <f t="shared" si="2"/>
        <v>0</v>
      </c>
      <c r="G69" s="19">
        <f t="shared" si="2"/>
        <v>0</v>
      </c>
      <c r="H69" s="19">
        <f t="shared" ref="C69:AB75" si="3">IFERROR(VLOOKUP($A69,$A$39:$G$45,MATCH(H$48,$A$39:$G$39,0),FALSE),0)</f>
        <v>0</v>
      </c>
      <c r="I69" s="19">
        <f t="shared" si="3"/>
        <v>0</v>
      </c>
      <c r="J69" s="19">
        <f t="shared" si="3"/>
        <v>0</v>
      </c>
      <c r="K69" s="19">
        <f t="shared" si="3"/>
        <v>0</v>
      </c>
      <c r="L69" s="19">
        <f t="shared" si="3"/>
        <v>0</v>
      </c>
      <c r="M69" s="19">
        <f t="shared" si="3"/>
        <v>0</v>
      </c>
      <c r="N69" s="19">
        <f t="shared" si="3"/>
        <v>0</v>
      </c>
      <c r="O69" s="19">
        <f t="shared" si="3"/>
        <v>0</v>
      </c>
      <c r="P69" s="19">
        <f t="shared" si="3"/>
        <v>0</v>
      </c>
      <c r="Q69" s="19">
        <f t="shared" si="3"/>
        <v>0</v>
      </c>
      <c r="R69" s="19">
        <f t="shared" si="3"/>
        <v>0</v>
      </c>
      <c r="S69" s="19">
        <f t="shared" si="3"/>
        <v>0</v>
      </c>
      <c r="T69" s="19">
        <f t="shared" si="3"/>
        <v>0</v>
      </c>
      <c r="U69" s="19">
        <f t="shared" si="3"/>
        <v>0</v>
      </c>
      <c r="V69" s="19">
        <f t="shared" si="3"/>
        <v>0</v>
      </c>
      <c r="W69" s="19">
        <f t="shared" si="3"/>
        <v>0</v>
      </c>
      <c r="X69" s="19">
        <f t="shared" si="3"/>
        <v>0</v>
      </c>
      <c r="Y69" s="19">
        <f t="shared" si="3"/>
        <v>0</v>
      </c>
      <c r="Z69" s="19">
        <f t="shared" si="3"/>
        <v>0</v>
      </c>
      <c r="AA69" s="19">
        <f t="shared" si="3"/>
        <v>0</v>
      </c>
      <c r="AB69" s="19">
        <f t="shared" si="3"/>
        <v>0</v>
      </c>
      <c r="AC69" s="20"/>
    </row>
    <row r="70" spans="1:29" x14ac:dyDescent="0.3">
      <c r="A70" s="30" t="str">
        <v>bx</v>
      </c>
      <c r="B70" s="19">
        <f t="shared" si="1"/>
        <v>0</v>
      </c>
      <c r="C70" s="19">
        <f t="shared" si="3"/>
        <v>0</v>
      </c>
      <c r="D70" s="19">
        <f t="shared" si="3"/>
        <v>0</v>
      </c>
      <c r="E70" s="19">
        <f t="shared" si="3"/>
        <v>0</v>
      </c>
      <c r="F70" s="19">
        <f t="shared" si="3"/>
        <v>0</v>
      </c>
      <c r="G70" s="19">
        <f t="shared" si="3"/>
        <v>0</v>
      </c>
      <c r="H70" s="19">
        <f t="shared" si="3"/>
        <v>0</v>
      </c>
      <c r="I70" s="19">
        <f t="shared" si="3"/>
        <v>0</v>
      </c>
      <c r="J70" s="19">
        <f t="shared" si="3"/>
        <v>0</v>
      </c>
      <c r="K70" s="19">
        <f t="shared" si="3"/>
        <v>0</v>
      </c>
      <c r="L70" s="19">
        <f t="shared" si="3"/>
        <v>0</v>
      </c>
      <c r="M70" s="19">
        <f t="shared" si="3"/>
        <v>0</v>
      </c>
      <c r="N70" s="19">
        <f t="shared" si="3"/>
        <v>0</v>
      </c>
      <c r="O70" s="19">
        <f t="shared" si="3"/>
        <v>0</v>
      </c>
      <c r="P70" s="19">
        <f t="shared" si="3"/>
        <v>0</v>
      </c>
      <c r="Q70" s="19">
        <f t="shared" si="3"/>
        <v>0</v>
      </c>
      <c r="R70" s="19">
        <f t="shared" si="3"/>
        <v>0</v>
      </c>
      <c r="S70" s="19">
        <f t="shared" si="3"/>
        <v>0</v>
      </c>
      <c r="T70" s="19">
        <f t="shared" si="3"/>
        <v>0</v>
      </c>
      <c r="U70" s="19">
        <f t="shared" si="3"/>
        <v>0</v>
      </c>
      <c r="V70" s="19">
        <f t="shared" si="3"/>
        <v>0</v>
      </c>
      <c r="W70" s="19">
        <f t="shared" si="3"/>
        <v>0</v>
      </c>
      <c r="X70" s="19">
        <f t="shared" si="3"/>
        <v>0</v>
      </c>
      <c r="Y70" s="19">
        <f t="shared" si="3"/>
        <v>0</v>
      </c>
      <c r="Z70" s="19">
        <f t="shared" si="3"/>
        <v>0</v>
      </c>
      <c r="AA70" s="19">
        <f t="shared" si="3"/>
        <v>0</v>
      </c>
      <c r="AB70" s="19">
        <f t="shared" si="3"/>
        <v>0</v>
      </c>
      <c r="AC70" s="20"/>
    </row>
    <row r="71" spans="1:29" x14ac:dyDescent="0.3">
      <c r="A71" s="30" t="str">
        <v>bz</v>
      </c>
      <c r="B71" s="19">
        <f t="shared" si="1"/>
        <v>0</v>
      </c>
      <c r="C71" s="19">
        <f t="shared" si="3"/>
        <v>0</v>
      </c>
      <c r="D71" s="19">
        <f t="shared" si="3"/>
        <v>0</v>
      </c>
      <c r="E71" s="19">
        <f t="shared" si="3"/>
        <v>0</v>
      </c>
      <c r="F71" s="19">
        <f t="shared" si="3"/>
        <v>0</v>
      </c>
      <c r="G71" s="19">
        <f t="shared" si="3"/>
        <v>0</v>
      </c>
      <c r="H71" s="19">
        <f t="shared" si="3"/>
        <v>0</v>
      </c>
      <c r="I71" s="19">
        <f t="shared" si="3"/>
        <v>0</v>
      </c>
      <c r="J71" s="19">
        <f t="shared" si="3"/>
        <v>0</v>
      </c>
      <c r="K71" s="19">
        <f t="shared" si="3"/>
        <v>0</v>
      </c>
      <c r="L71" s="19">
        <f t="shared" si="3"/>
        <v>0</v>
      </c>
      <c r="M71" s="19">
        <f t="shared" si="3"/>
        <v>0</v>
      </c>
      <c r="N71" s="19">
        <f t="shared" si="3"/>
        <v>0</v>
      </c>
      <c r="O71" s="19">
        <f t="shared" si="3"/>
        <v>0</v>
      </c>
      <c r="P71" s="19">
        <f t="shared" si="3"/>
        <v>0</v>
      </c>
      <c r="Q71" s="19">
        <f t="shared" si="3"/>
        <v>0</v>
      </c>
      <c r="R71" s="19">
        <f t="shared" si="3"/>
        <v>0</v>
      </c>
      <c r="S71" s="19">
        <f t="shared" si="3"/>
        <v>0</v>
      </c>
      <c r="T71" s="19">
        <f t="shared" si="3"/>
        <v>0</v>
      </c>
      <c r="U71" s="19">
        <f t="shared" si="3"/>
        <v>0</v>
      </c>
      <c r="V71" s="19">
        <f t="shared" si="3"/>
        <v>0</v>
      </c>
      <c r="W71" s="19">
        <f t="shared" si="3"/>
        <v>0</v>
      </c>
      <c r="X71" s="19">
        <f t="shared" si="3"/>
        <v>0</v>
      </c>
      <c r="Y71" s="19">
        <f t="shared" si="3"/>
        <v>0</v>
      </c>
      <c r="Z71" s="19">
        <f t="shared" si="3"/>
        <v>0</v>
      </c>
      <c r="AA71" s="19">
        <f t="shared" si="3"/>
        <v>0</v>
      </c>
      <c r="AB71" s="19">
        <f t="shared" si="3"/>
        <v>0</v>
      </c>
      <c r="AC71" s="20"/>
    </row>
    <row r="72" spans="1:29" x14ac:dyDescent="0.3">
      <c r="A72" s="30" t="str">
        <v>ϴb</v>
      </c>
      <c r="B72" s="19">
        <f t="shared" si="1"/>
        <v>0</v>
      </c>
      <c r="C72" s="19">
        <f t="shared" si="3"/>
        <v>0</v>
      </c>
      <c r="D72" s="19">
        <f t="shared" si="3"/>
        <v>0</v>
      </c>
      <c r="E72" s="19">
        <f t="shared" si="3"/>
        <v>0</v>
      </c>
      <c r="F72" s="19">
        <f t="shared" si="3"/>
        <v>0</v>
      </c>
      <c r="G72" s="19">
        <f t="shared" si="3"/>
        <v>0</v>
      </c>
      <c r="H72" s="19">
        <f t="shared" si="3"/>
        <v>0</v>
      </c>
      <c r="I72" s="19">
        <f t="shared" si="3"/>
        <v>0</v>
      </c>
      <c r="J72" s="19">
        <f t="shared" si="3"/>
        <v>0</v>
      </c>
      <c r="K72" s="19">
        <f t="shared" si="3"/>
        <v>0</v>
      </c>
      <c r="L72" s="19">
        <f t="shared" si="3"/>
        <v>0</v>
      </c>
      <c r="M72" s="19">
        <f t="shared" si="3"/>
        <v>0</v>
      </c>
      <c r="N72" s="19">
        <f t="shared" si="3"/>
        <v>0</v>
      </c>
      <c r="O72" s="19">
        <f t="shared" si="3"/>
        <v>0</v>
      </c>
      <c r="P72" s="19">
        <f t="shared" si="3"/>
        <v>0</v>
      </c>
      <c r="Q72" s="19">
        <f t="shared" si="3"/>
        <v>0</v>
      </c>
      <c r="R72" s="19">
        <f t="shared" si="3"/>
        <v>0</v>
      </c>
      <c r="S72" s="19">
        <f t="shared" si="3"/>
        <v>0</v>
      </c>
      <c r="T72" s="19">
        <f t="shared" si="3"/>
        <v>0</v>
      </c>
      <c r="U72" s="19">
        <f t="shared" si="3"/>
        <v>0</v>
      </c>
      <c r="V72" s="19">
        <f t="shared" si="3"/>
        <v>0</v>
      </c>
      <c r="W72" s="19">
        <f t="shared" si="3"/>
        <v>0</v>
      </c>
      <c r="X72" s="19">
        <f t="shared" si="3"/>
        <v>0</v>
      </c>
      <c r="Y72" s="19">
        <f t="shared" si="3"/>
        <v>0</v>
      </c>
      <c r="Z72" s="19">
        <f t="shared" si="3"/>
        <v>0</v>
      </c>
      <c r="AA72" s="19">
        <f t="shared" si="3"/>
        <v>0</v>
      </c>
      <c r="AB72" s="19">
        <f t="shared" si="3"/>
        <v>0</v>
      </c>
      <c r="AC72" s="20"/>
    </row>
    <row r="73" spans="1:29" x14ac:dyDescent="0.3">
      <c r="A73" s="30" t="str">
        <v>cx</v>
      </c>
      <c r="B73" s="19">
        <f t="shared" si="1"/>
        <v>0</v>
      </c>
      <c r="C73" s="19">
        <f t="shared" si="3"/>
        <v>0</v>
      </c>
      <c r="D73" s="19">
        <f t="shared" si="3"/>
        <v>0</v>
      </c>
      <c r="E73" s="19">
        <f t="shared" si="3"/>
        <v>0</v>
      </c>
      <c r="F73" s="19">
        <f t="shared" si="3"/>
        <v>0</v>
      </c>
      <c r="G73" s="19">
        <f t="shared" si="3"/>
        <v>0</v>
      </c>
      <c r="H73" s="19">
        <f t="shared" si="3"/>
        <v>0</v>
      </c>
      <c r="I73" s="19">
        <f t="shared" si="3"/>
        <v>0</v>
      </c>
      <c r="J73" s="19">
        <f t="shared" si="3"/>
        <v>0</v>
      </c>
      <c r="K73" s="19">
        <f t="shared" si="3"/>
        <v>0</v>
      </c>
      <c r="L73" s="19">
        <f t="shared" si="3"/>
        <v>0</v>
      </c>
      <c r="M73" s="19">
        <f t="shared" si="3"/>
        <v>0</v>
      </c>
      <c r="N73" s="19">
        <f t="shared" si="3"/>
        <v>0</v>
      </c>
      <c r="O73" s="19">
        <f t="shared" si="3"/>
        <v>0</v>
      </c>
      <c r="P73" s="19">
        <f t="shared" si="3"/>
        <v>0</v>
      </c>
      <c r="Q73" s="19">
        <f t="shared" si="3"/>
        <v>0</v>
      </c>
      <c r="R73" s="19">
        <f t="shared" si="3"/>
        <v>0</v>
      </c>
      <c r="S73" s="19">
        <f t="shared" si="3"/>
        <v>0</v>
      </c>
      <c r="T73" s="19">
        <f t="shared" si="3"/>
        <v>0</v>
      </c>
      <c r="U73" s="19">
        <f t="shared" si="3"/>
        <v>0</v>
      </c>
      <c r="V73" s="19">
        <f t="shared" si="3"/>
        <v>0</v>
      </c>
      <c r="W73" s="19">
        <f t="shared" si="3"/>
        <v>0</v>
      </c>
      <c r="X73" s="19">
        <f t="shared" si="3"/>
        <v>0</v>
      </c>
      <c r="Y73" s="19">
        <f t="shared" si="3"/>
        <v>0</v>
      </c>
      <c r="Z73" s="19">
        <f t="shared" si="3"/>
        <v>0</v>
      </c>
      <c r="AA73" s="19">
        <f t="shared" si="3"/>
        <v>0</v>
      </c>
      <c r="AB73" s="19">
        <f t="shared" si="3"/>
        <v>0</v>
      </c>
      <c r="AC73" s="20"/>
    </row>
    <row r="74" spans="1:29" x14ac:dyDescent="0.3">
      <c r="A74" s="30" t="str">
        <v>cz</v>
      </c>
      <c r="B74" s="19">
        <f t="shared" si="1"/>
        <v>0</v>
      </c>
      <c r="C74" s="19">
        <f t="shared" si="3"/>
        <v>0</v>
      </c>
      <c r="D74" s="19">
        <f t="shared" si="3"/>
        <v>0</v>
      </c>
      <c r="E74" s="19">
        <f t="shared" si="3"/>
        <v>0</v>
      </c>
      <c r="F74" s="19">
        <f t="shared" si="3"/>
        <v>0</v>
      </c>
      <c r="G74" s="19">
        <f t="shared" si="3"/>
        <v>0</v>
      </c>
      <c r="H74" s="19">
        <f t="shared" si="3"/>
        <v>0</v>
      </c>
      <c r="I74" s="19">
        <f t="shared" si="3"/>
        <v>0</v>
      </c>
      <c r="J74" s="19">
        <f t="shared" si="3"/>
        <v>0</v>
      </c>
      <c r="K74" s="19">
        <f t="shared" si="3"/>
        <v>0</v>
      </c>
      <c r="L74" s="19">
        <f t="shared" si="3"/>
        <v>0</v>
      </c>
      <c r="M74" s="19">
        <f t="shared" si="3"/>
        <v>0</v>
      </c>
      <c r="N74" s="19">
        <f t="shared" si="3"/>
        <v>0</v>
      </c>
      <c r="O74" s="19">
        <f t="shared" si="3"/>
        <v>0</v>
      </c>
      <c r="P74" s="19">
        <f t="shared" si="3"/>
        <v>0</v>
      </c>
      <c r="Q74" s="19">
        <f t="shared" si="3"/>
        <v>0</v>
      </c>
      <c r="R74" s="19">
        <f t="shared" si="3"/>
        <v>0</v>
      </c>
      <c r="S74" s="19">
        <f t="shared" si="3"/>
        <v>0</v>
      </c>
      <c r="T74" s="19">
        <f t="shared" si="3"/>
        <v>0</v>
      </c>
      <c r="U74" s="19">
        <f t="shared" si="3"/>
        <v>0</v>
      </c>
      <c r="V74" s="19">
        <f t="shared" si="3"/>
        <v>0</v>
      </c>
      <c r="W74" s="19">
        <f t="shared" si="3"/>
        <v>0</v>
      </c>
      <c r="X74" s="19">
        <f t="shared" si="3"/>
        <v>0</v>
      </c>
      <c r="Y74" s="19">
        <f t="shared" si="3"/>
        <v>0</v>
      </c>
      <c r="Z74" s="19">
        <f t="shared" si="3"/>
        <v>0</v>
      </c>
      <c r="AA74" s="19">
        <f t="shared" si="3"/>
        <v>0</v>
      </c>
      <c r="AB74" s="19">
        <f t="shared" si="3"/>
        <v>0</v>
      </c>
      <c r="AC74" s="20"/>
    </row>
    <row r="75" spans="1:29" x14ac:dyDescent="0.3">
      <c r="A75" s="30" t="str">
        <v>ϴc</v>
      </c>
      <c r="B75" s="19">
        <f t="shared" si="1"/>
        <v>0</v>
      </c>
      <c r="C75" s="19">
        <f t="shared" si="3"/>
        <v>0</v>
      </c>
      <c r="D75" s="19">
        <f t="shared" si="3"/>
        <v>0</v>
      </c>
      <c r="E75" s="19">
        <f t="shared" si="3"/>
        <v>0</v>
      </c>
      <c r="F75" s="19">
        <f t="shared" si="3"/>
        <v>0</v>
      </c>
      <c r="G75" s="19">
        <f t="shared" si="3"/>
        <v>0</v>
      </c>
      <c r="H75" s="19">
        <f t="shared" si="3"/>
        <v>0</v>
      </c>
      <c r="I75" s="19">
        <f t="shared" si="3"/>
        <v>0</v>
      </c>
      <c r="J75" s="19">
        <f t="shared" si="3"/>
        <v>0</v>
      </c>
      <c r="K75" s="19">
        <f t="shared" si="3"/>
        <v>0</v>
      </c>
      <c r="L75" s="19">
        <f t="shared" si="3"/>
        <v>0</v>
      </c>
      <c r="M75" s="19">
        <f t="shared" si="3"/>
        <v>0</v>
      </c>
      <c r="N75" s="19">
        <f t="shared" si="3"/>
        <v>0</v>
      </c>
      <c r="O75" s="19">
        <f t="shared" si="3"/>
        <v>0</v>
      </c>
      <c r="P75" s="19">
        <f t="shared" si="3"/>
        <v>0</v>
      </c>
      <c r="Q75" s="19">
        <f t="shared" si="3"/>
        <v>0</v>
      </c>
      <c r="R75" s="19">
        <f t="shared" si="3"/>
        <v>0</v>
      </c>
      <c r="S75" s="19">
        <f t="shared" si="3"/>
        <v>0</v>
      </c>
      <c r="T75" s="19">
        <f t="shared" si="3"/>
        <v>0</v>
      </c>
      <c r="U75" s="19">
        <f t="shared" si="3"/>
        <v>0</v>
      </c>
      <c r="V75" s="19">
        <f t="shared" si="3"/>
        <v>0</v>
      </c>
      <c r="W75" s="19">
        <f t="shared" si="3"/>
        <v>0</v>
      </c>
      <c r="X75" s="19">
        <f t="shared" si="3"/>
        <v>0</v>
      </c>
      <c r="Y75" s="19">
        <f t="shared" si="3"/>
        <v>0</v>
      </c>
      <c r="Z75" s="19">
        <f t="shared" si="3"/>
        <v>0</v>
      </c>
      <c r="AA75" s="19">
        <f t="shared" si="3"/>
        <v>0</v>
      </c>
      <c r="AB75" s="19">
        <f t="shared" si="3"/>
        <v>0</v>
      </c>
      <c r="AC75" s="20"/>
    </row>
    <row r="76" spans="1:29" x14ac:dyDescent="0.3">
      <c r="A76" s="18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20"/>
    </row>
    <row r="77" spans="1:29" ht="15" thickBot="1" x14ac:dyDescent="0.35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3"/>
    </row>
    <row r="79" spans="1:29" ht="15" thickBot="1" x14ac:dyDescent="0.35"/>
    <row r="80" spans="1:29" x14ac:dyDescent="0.3">
      <c r="A80" s="39" t="s">
        <v>44</v>
      </c>
      <c r="B80" s="40"/>
      <c r="C80" s="40"/>
      <c r="D80" s="40"/>
      <c r="E80" s="40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7"/>
    </row>
    <row r="81" spans="1:29" x14ac:dyDescent="0.3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20"/>
    </row>
    <row r="82" spans="1:29" x14ac:dyDescent="0.3">
      <c r="A82" s="18"/>
      <c r="B82" s="1" t="s">
        <v>2</v>
      </c>
      <c r="C82" s="1">
        <v>625</v>
      </c>
      <c r="D82" s="1" t="s">
        <v>47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20"/>
    </row>
    <row r="83" spans="1:29" x14ac:dyDescent="0.3">
      <c r="A83" s="18"/>
      <c r="B83" s="1" t="s">
        <v>3</v>
      </c>
      <c r="C83" s="1">
        <v>32552.080000000002</v>
      </c>
      <c r="D83" s="1" t="s">
        <v>3</v>
      </c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20"/>
    </row>
    <row r="84" spans="1:29" x14ac:dyDescent="0.3">
      <c r="A84" s="18"/>
      <c r="B84" s="1" t="s">
        <v>4</v>
      </c>
      <c r="C84" s="1">
        <v>400</v>
      </c>
      <c r="D84" s="1" t="s">
        <v>6</v>
      </c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20"/>
    </row>
    <row r="85" spans="1:29" x14ac:dyDescent="0.3">
      <c r="A85" s="18"/>
      <c r="B85" s="1" t="s">
        <v>5</v>
      </c>
      <c r="C85" s="1">
        <v>218819.79</v>
      </c>
      <c r="D85" s="1" t="s">
        <v>5</v>
      </c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20"/>
    </row>
    <row r="86" spans="1:29" x14ac:dyDescent="0.3">
      <c r="A86" s="18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20"/>
    </row>
    <row r="87" spans="1:29" x14ac:dyDescent="0.3">
      <c r="A87" s="34" t="s">
        <v>12</v>
      </c>
      <c r="B87" s="35"/>
      <c r="C87" s="35"/>
      <c r="D87" s="35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20"/>
    </row>
    <row r="88" spans="1:29" x14ac:dyDescent="0.3">
      <c r="A88" s="21" t="s">
        <v>7</v>
      </c>
      <c r="B88" s="5">
        <f>C85*C82/C84</f>
        <v>341905.921875</v>
      </c>
      <c r="C88" s="4" t="s">
        <v>11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20"/>
    </row>
    <row r="89" spans="1:29" x14ac:dyDescent="0.3">
      <c r="A89" s="22" t="s">
        <v>8</v>
      </c>
      <c r="B89" s="3">
        <f>(12*C85*C83)/(C84^3)</f>
        <v>1335.5698705618502</v>
      </c>
      <c r="C89" s="1" t="s">
        <v>11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20"/>
    </row>
    <row r="90" spans="1:29" x14ac:dyDescent="0.3">
      <c r="A90" s="22" t="s">
        <v>21</v>
      </c>
      <c r="B90" s="3">
        <f>(6*C85*C83)/(C84^2)</f>
        <v>267113.97411236999</v>
      </c>
      <c r="C90" s="1" t="s">
        <v>11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20"/>
    </row>
    <row r="91" spans="1:29" x14ac:dyDescent="0.3">
      <c r="A91" s="22" t="s">
        <v>9</v>
      </c>
      <c r="B91" s="2">
        <f>(4*C85*C83)/C84</f>
        <v>71230393.096632004</v>
      </c>
      <c r="C91" s="1" t="s">
        <v>11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20"/>
    </row>
    <row r="92" spans="1:29" x14ac:dyDescent="0.3">
      <c r="A92" s="22" t="s">
        <v>10</v>
      </c>
      <c r="B92" s="2">
        <f>(2*C85*C83)/(C84)</f>
        <v>35615196.548316002</v>
      </c>
      <c r="C92" s="1" t="s">
        <v>11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20"/>
    </row>
    <row r="93" spans="1:29" x14ac:dyDescent="0.3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20"/>
    </row>
    <row r="94" spans="1:29" x14ac:dyDescent="0.3">
      <c r="A94" s="36" t="s">
        <v>45</v>
      </c>
      <c r="B94" s="37"/>
      <c r="C94" s="37"/>
      <c r="D94" s="37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20"/>
    </row>
    <row r="95" spans="1:29" x14ac:dyDescent="0.3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20"/>
    </row>
    <row r="96" spans="1:29" x14ac:dyDescent="0.3">
      <c r="A96" s="22" t="s">
        <v>14</v>
      </c>
      <c r="B96" s="6" t="s">
        <v>25</v>
      </c>
      <c r="C96" s="6" t="s">
        <v>26</v>
      </c>
      <c r="D96" s="7" t="s">
        <v>23</v>
      </c>
      <c r="E96" s="7" t="s">
        <v>40</v>
      </c>
      <c r="F96" s="7" t="s">
        <v>41</v>
      </c>
      <c r="G96" s="7" t="s">
        <v>42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20"/>
    </row>
    <row r="97" spans="1:29" x14ac:dyDescent="0.3">
      <c r="A97" s="23" t="str">
        <f t="array" ref="A97:A102">TRANSPOSE(B96:G96)</f>
        <v>2x</v>
      </c>
      <c r="B97" s="9">
        <f>+B88</f>
        <v>341905.921875</v>
      </c>
      <c r="C97" s="9">
        <v>0</v>
      </c>
      <c r="D97" s="9">
        <v>0</v>
      </c>
      <c r="E97" s="8">
        <f>-B88</f>
        <v>-341905.921875</v>
      </c>
      <c r="F97" s="8">
        <v>0</v>
      </c>
      <c r="G97" s="8">
        <v>0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20"/>
    </row>
    <row r="98" spans="1:29" x14ac:dyDescent="0.3">
      <c r="A98" s="23" t="str">
        <v>2z</v>
      </c>
      <c r="B98" s="9">
        <v>0</v>
      </c>
      <c r="C98" s="9">
        <f>+B89</f>
        <v>1335.5698705618502</v>
      </c>
      <c r="D98" s="9">
        <f>+B90</f>
        <v>267113.97411236999</v>
      </c>
      <c r="E98" s="8">
        <v>0</v>
      </c>
      <c r="F98" s="8">
        <f>-B89</f>
        <v>-1335.5698705618502</v>
      </c>
      <c r="G98" s="8">
        <f>+B90</f>
        <v>267113.97411236999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20"/>
    </row>
    <row r="99" spans="1:29" x14ac:dyDescent="0.3">
      <c r="A99" s="23" t="str">
        <v>ϴ2</v>
      </c>
      <c r="B99" s="9">
        <v>0</v>
      </c>
      <c r="C99" s="9">
        <f>+B90</f>
        <v>267113.97411236999</v>
      </c>
      <c r="D99" s="9">
        <f>+B91</f>
        <v>71230393.096632004</v>
      </c>
      <c r="E99" s="8">
        <v>0</v>
      </c>
      <c r="F99" s="8">
        <f>-B90</f>
        <v>-267113.97411236999</v>
      </c>
      <c r="G99" s="8">
        <f>+B92</f>
        <v>35615196.548316002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20"/>
    </row>
    <row r="100" spans="1:29" x14ac:dyDescent="0.3">
      <c r="A100" s="23" t="str">
        <v>bx</v>
      </c>
      <c r="B100" s="10">
        <f>-B88</f>
        <v>-341905.921875</v>
      </c>
      <c r="C100" s="10">
        <v>0</v>
      </c>
      <c r="D100" s="10">
        <v>0</v>
      </c>
      <c r="E100" s="11">
        <f>+B88</f>
        <v>341905.921875</v>
      </c>
      <c r="F100" s="11">
        <v>0</v>
      </c>
      <c r="G100" s="11">
        <v>0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20"/>
    </row>
    <row r="101" spans="1:29" x14ac:dyDescent="0.3">
      <c r="A101" s="23" t="str">
        <v>bz</v>
      </c>
      <c r="B101" s="10">
        <v>0</v>
      </c>
      <c r="C101" s="10">
        <f>-B89</f>
        <v>-1335.5698705618502</v>
      </c>
      <c r="D101" s="10">
        <f>-B90</f>
        <v>-267113.97411236999</v>
      </c>
      <c r="E101" s="11">
        <v>0</v>
      </c>
      <c r="F101" s="11">
        <f>+B89</f>
        <v>1335.5698705618502</v>
      </c>
      <c r="G101" s="11">
        <f>-B90</f>
        <v>-267113.97411236999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20"/>
    </row>
    <row r="102" spans="1:29" x14ac:dyDescent="0.3">
      <c r="A102" s="23" t="str">
        <v>ϴb</v>
      </c>
      <c r="B102" s="10">
        <v>0</v>
      </c>
      <c r="C102" s="10">
        <f>+B90</f>
        <v>267113.97411236999</v>
      </c>
      <c r="D102" s="10">
        <f>+B92</f>
        <v>35615196.548316002</v>
      </c>
      <c r="E102" s="11">
        <v>0</v>
      </c>
      <c r="F102" s="11">
        <f>-B90</f>
        <v>-267113.97411236999</v>
      </c>
      <c r="G102" s="11">
        <f>+B91</f>
        <v>71230393.096632004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20"/>
    </row>
    <row r="103" spans="1:29" x14ac:dyDescent="0.3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20"/>
    </row>
    <row r="104" spans="1:29" x14ac:dyDescent="0.3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20"/>
    </row>
    <row r="105" spans="1:29" x14ac:dyDescent="0.3">
      <c r="A105" s="36" t="s">
        <v>46</v>
      </c>
      <c r="B105" s="37"/>
      <c r="C105" s="37"/>
      <c r="D105" s="37"/>
      <c r="E105" s="37"/>
      <c r="F105" s="37"/>
      <c r="G105" s="37"/>
      <c r="H105" s="37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20"/>
    </row>
    <row r="106" spans="1:29" x14ac:dyDescent="0.3">
      <c r="A106" s="24"/>
      <c r="B106" s="25"/>
      <c r="C106" s="25"/>
      <c r="D106" s="25"/>
      <c r="E106" s="25"/>
      <c r="F106" s="25"/>
      <c r="G106" s="25"/>
      <c r="H106" s="25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20"/>
    </row>
    <row r="107" spans="1:29" x14ac:dyDescent="0.3">
      <c r="A107" s="24"/>
      <c r="B107" s="25"/>
      <c r="C107" s="25"/>
      <c r="D107" s="25"/>
      <c r="E107" s="25"/>
      <c r="F107" s="25"/>
      <c r="G107" s="25"/>
      <c r="H107" s="25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20"/>
    </row>
    <row r="108" spans="1:29" x14ac:dyDescent="0.3">
      <c r="A108" s="26" t="s">
        <v>32</v>
      </c>
      <c r="B108" s="25">
        <v>90</v>
      </c>
      <c r="C108" s="25"/>
      <c r="D108" s="25" t="s">
        <v>35</v>
      </c>
      <c r="E108" s="27">
        <f>+B97</f>
        <v>341905.921875</v>
      </c>
      <c r="F108" s="27" t="s">
        <v>35</v>
      </c>
      <c r="G108" s="27">
        <f>+E97</f>
        <v>-341905.921875</v>
      </c>
      <c r="H108" s="27" t="s">
        <v>35</v>
      </c>
      <c r="I108" s="28">
        <f>+B100</f>
        <v>-341905.921875</v>
      </c>
      <c r="J108" s="27" t="s">
        <v>35</v>
      </c>
      <c r="K108" s="28">
        <f>+E100</f>
        <v>341905.921875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20"/>
    </row>
    <row r="109" spans="1:29" x14ac:dyDescent="0.3">
      <c r="A109" s="26" t="s">
        <v>33</v>
      </c>
      <c r="B109" s="25">
        <f>SIN(RADIANS(B108))</f>
        <v>1</v>
      </c>
      <c r="C109" s="25"/>
      <c r="D109" s="25" t="s">
        <v>36</v>
      </c>
      <c r="E109" s="27">
        <f>+C98</f>
        <v>1335.5698705618502</v>
      </c>
      <c r="F109" s="27" t="s">
        <v>36</v>
      </c>
      <c r="G109" s="27">
        <f>+F98</f>
        <v>-1335.5698705618502</v>
      </c>
      <c r="H109" s="27" t="s">
        <v>36</v>
      </c>
      <c r="I109" s="28">
        <f>+C101</f>
        <v>-1335.5698705618502</v>
      </c>
      <c r="J109" s="27" t="s">
        <v>36</v>
      </c>
      <c r="K109" s="28">
        <f>+F101</f>
        <v>1335.5698705618502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20"/>
    </row>
    <row r="110" spans="1:29" x14ac:dyDescent="0.3">
      <c r="A110" s="26" t="s">
        <v>34</v>
      </c>
      <c r="B110" s="29">
        <f>COS(RADIANS(B108))</f>
        <v>6.1257422745431001E-17</v>
      </c>
      <c r="C110" s="25"/>
      <c r="D110" s="25" t="s">
        <v>37</v>
      </c>
      <c r="E110" s="27">
        <f>+D99</f>
        <v>71230393.096632004</v>
      </c>
      <c r="F110" s="27" t="s">
        <v>37</v>
      </c>
      <c r="G110" s="27">
        <f>+G99</f>
        <v>35615196.548316002</v>
      </c>
      <c r="H110" s="27" t="s">
        <v>37</v>
      </c>
      <c r="I110" s="28">
        <f>+D102</f>
        <v>35615196.548316002</v>
      </c>
      <c r="J110" s="27" t="s">
        <v>37</v>
      </c>
      <c r="K110" s="28">
        <f>+G102</f>
        <v>71230393.096632004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20"/>
    </row>
    <row r="111" spans="1:29" x14ac:dyDescent="0.3">
      <c r="A111" s="24"/>
      <c r="B111" s="25"/>
      <c r="C111" s="25"/>
      <c r="D111" s="25" t="s">
        <v>38</v>
      </c>
      <c r="E111" s="27">
        <f>+D98</f>
        <v>267113.97411236999</v>
      </c>
      <c r="F111" s="27" t="s">
        <v>38</v>
      </c>
      <c r="G111" s="27">
        <f>+G98</f>
        <v>267113.97411236999</v>
      </c>
      <c r="H111" s="27" t="s">
        <v>38</v>
      </c>
      <c r="I111" s="28">
        <f>+D101</f>
        <v>-267113.97411236999</v>
      </c>
      <c r="J111" s="27" t="s">
        <v>38</v>
      </c>
      <c r="K111" s="28">
        <f>+G101</f>
        <v>-267113.97411236999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20"/>
    </row>
    <row r="112" spans="1:29" x14ac:dyDescent="0.3">
      <c r="A112" s="24"/>
      <c r="B112" s="25"/>
      <c r="C112" s="25"/>
      <c r="D112" s="25" t="s">
        <v>39</v>
      </c>
      <c r="E112" s="27">
        <f>+C99</f>
        <v>267113.97411236999</v>
      </c>
      <c r="F112" s="27" t="s">
        <v>39</v>
      </c>
      <c r="G112" s="27">
        <f>+F99</f>
        <v>-267113.97411236999</v>
      </c>
      <c r="H112" s="27" t="s">
        <v>39</v>
      </c>
      <c r="I112" s="28">
        <f>+C102</f>
        <v>267113.97411236999</v>
      </c>
      <c r="J112" s="27" t="s">
        <v>39</v>
      </c>
      <c r="K112" s="28">
        <f>+F102</f>
        <v>-267113.97411236999</v>
      </c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20"/>
    </row>
    <row r="113" spans="1:29" x14ac:dyDescent="0.3">
      <c r="A113" s="24"/>
      <c r="B113" s="25"/>
      <c r="C113" s="25"/>
      <c r="D113" s="25"/>
      <c r="E113" s="25"/>
      <c r="F113" s="25"/>
      <c r="G113" s="25"/>
      <c r="H113" s="25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20"/>
    </row>
    <row r="114" spans="1:29" x14ac:dyDescent="0.3">
      <c r="A114" s="22" t="s">
        <v>14</v>
      </c>
      <c r="B114" s="6" t="s">
        <v>25</v>
      </c>
      <c r="C114" s="6" t="s">
        <v>26</v>
      </c>
      <c r="D114" s="7" t="s">
        <v>23</v>
      </c>
      <c r="E114" s="7" t="s">
        <v>40</v>
      </c>
      <c r="F114" s="7" t="s">
        <v>41</v>
      </c>
      <c r="G114" s="7" t="s">
        <v>42</v>
      </c>
      <c r="H114" s="25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20"/>
    </row>
    <row r="115" spans="1:29" x14ac:dyDescent="0.3">
      <c r="A115" s="23" t="str">
        <f t="array" ref="A115:A120">TRANSPOSE(B114:G114)</f>
        <v>2x</v>
      </c>
      <c r="B115" s="15">
        <f>+K108*B110*B110+K109*B109*B109</f>
        <v>1335.5698705618502</v>
      </c>
      <c r="C115" s="15">
        <f>(K108-K109)*B109*B110</f>
        <v>2.0862462027296113E-11</v>
      </c>
      <c r="D115" s="15">
        <f>-K111*B109</f>
        <v>267113.97411236999</v>
      </c>
      <c r="E115" s="12">
        <v>0</v>
      </c>
      <c r="F115" s="12">
        <v>0</v>
      </c>
      <c r="G115" s="12">
        <v>0</v>
      </c>
      <c r="H115" s="25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20"/>
    </row>
    <row r="116" spans="1:29" x14ac:dyDescent="0.3">
      <c r="A116" s="23" t="str">
        <v>2z</v>
      </c>
      <c r="B116" s="15">
        <f>+C115</f>
        <v>2.0862462027296113E-11</v>
      </c>
      <c r="C116" s="15">
        <f>+K108*B109*B109+K109*B110*B110</f>
        <v>341905.921875</v>
      </c>
      <c r="D116" s="15">
        <f>+K111*B110</f>
        <v>-1.6362713633413562E-11</v>
      </c>
      <c r="E116" s="12">
        <v>0</v>
      </c>
      <c r="F116" s="12">
        <v>0</v>
      </c>
      <c r="G116" s="12">
        <v>0</v>
      </c>
      <c r="H116" s="25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20"/>
    </row>
    <row r="117" spans="1:29" x14ac:dyDescent="0.3">
      <c r="A117" s="23" t="str">
        <v>ϴ2</v>
      </c>
      <c r="B117" s="15">
        <f>-K112*B109</f>
        <v>267113.97411236999</v>
      </c>
      <c r="C117" s="15">
        <f>+K112*B110</f>
        <v>-1.6362713633413562E-11</v>
      </c>
      <c r="D117" s="15">
        <f>+K110</f>
        <v>71230393.096632004</v>
      </c>
      <c r="E117" s="12">
        <v>0</v>
      </c>
      <c r="F117" s="12">
        <v>0</v>
      </c>
      <c r="G117" s="12">
        <v>0</v>
      </c>
      <c r="H117" s="25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20"/>
    </row>
    <row r="118" spans="1:29" x14ac:dyDescent="0.3">
      <c r="A118" s="23" t="str">
        <v>bx</v>
      </c>
      <c r="B118" s="13">
        <v>0</v>
      </c>
      <c r="C118" s="13">
        <v>0</v>
      </c>
      <c r="D118" s="13">
        <v>0</v>
      </c>
      <c r="E118" s="14">
        <v>0</v>
      </c>
      <c r="F118" s="14">
        <v>0</v>
      </c>
      <c r="G118" s="14">
        <v>0</v>
      </c>
      <c r="H118" s="25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20"/>
    </row>
    <row r="119" spans="1:29" x14ac:dyDescent="0.3">
      <c r="A119" s="23" t="str">
        <v>bz</v>
      </c>
      <c r="B119" s="13">
        <v>0</v>
      </c>
      <c r="C119" s="13">
        <v>0</v>
      </c>
      <c r="D119" s="13">
        <v>0</v>
      </c>
      <c r="E119" s="14">
        <v>0</v>
      </c>
      <c r="F119" s="14">
        <v>0</v>
      </c>
      <c r="G119" s="14">
        <v>0</v>
      </c>
      <c r="H119" s="25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20"/>
    </row>
    <row r="120" spans="1:29" x14ac:dyDescent="0.3">
      <c r="A120" s="23" t="str">
        <v>ϴb</v>
      </c>
      <c r="B120" s="13">
        <v>0</v>
      </c>
      <c r="C120" s="13">
        <v>0</v>
      </c>
      <c r="D120" s="13">
        <v>0</v>
      </c>
      <c r="E120" s="14">
        <v>0</v>
      </c>
      <c r="F120" s="14">
        <v>0</v>
      </c>
      <c r="G120" s="14">
        <v>0</v>
      </c>
      <c r="H120" s="25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20"/>
    </row>
    <row r="121" spans="1:29" x14ac:dyDescent="0.3">
      <c r="A121" s="24"/>
      <c r="B121" s="25"/>
      <c r="C121" s="25"/>
      <c r="D121" s="25"/>
      <c r="E121" s="25"/>
      <c r="F121" s="25"/>
      <c r="G121" s="25"/>
      <c r="H121" s="25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20"/>
    </row>
    <row r="122" spans="1:29" x14ac:dyDescent="0.3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20"/>
    </row>
    <row r="123" spans="1:29" x14ac:dyDescent="0.3">
      <c r="A123" s="18" t="s">
        <v>43</v>
      </c>
      <c r="B123" s="6" t="s">
        <v>15</v>
      </c>
      <c r="C123" s="6" t="s">
        <v>16</v>
      </c>
      <c r="D123" s="7" t="s">
        <v>17</v>
      </c>
      <c r="E123" s="7" t="s">
        <v>25</v>
      </c>
      <c r="F123" s="7" t="s">
        <v>26</v>
      </c>
      <c r="G123" s="7" t="s">
        <v>23</v>
      </c>
      <c r="H123" s="6" t="s">
        <v>27</v>
      </c>
      <c r="I123" s="6" t="s">
        <v>28</v>
      </c>
      <c r="J123" s="7" t="s">
        <v>24</v>
      </c>
      <c r="K123" s="7" t="s">
        <v>29</v>
      </c>
      <c r="L123" s="7" t="s">
        <v>30</v>
      </c>
      <c r="M123" s="7" t="s">
        <v>31</v>
      </c>
      <c r="N123" s="6" t="s">
        <v>54</v>
      </c>
      <c r="O123" s="6" t="s">
        <v>55</v>
      </c>
      <c r="P123" s="7" t="s">
        <v>56</v>
      </c>
      <c r="Q123" s="7" t="s">
        <v>57</v>
      </c>
      <c r="R123" s="7" t="s">
        <v>58</v>
      </c>
      <c r="S123" s="7" t="s">
        <v>59</v>
      </c>
      <c r="T123" s="6" t="s">
        <v>18</v>
      </c>
      <c r="U123" s="6" t="s">
        <v>19</v>
      </c>
      <c r="V123" s="7" t="s">
        <v>20</v>
      </c>
      <c r="W123" s="7" t="s">
        <v>40</v>
      </c>
      <c r="X123" s="7" t="s">
        <v>41</v>
      </c>
      <c r="Y123" s="7" t="s">
        <v>42</v>
      </c>
      <c r="Z123" s="7" t="s">
        <v>60</v>
      </c>
      <c r="AA123" s="7" t="s">
        <v>61</v>
      </c>
      <c r="AB123" s="7" t="s">
        <v>62</v>
      </c>
      <c r="AC123" s="20"/>
    </row>
    <row r="124" spans="1:29" x14ac:dyDescent="0.3">
      <c r="A124" s="30" t="str">
        <f t="array" ref="A124:A150">TRANSPOSE(B123:AB123)</f>
        <v>1x</v>
      </c>
      <c r="B124" s="19">
        <f>IFERROR(VLOOKUP($A124,$A$114:$G$120,MATCH(B$123,$A$114:$G$114,0),FALSE),0)</f>
        <v>0</v>
      </c>
      <c r="C124" s="19">
        <f t="shared" ref="C124:AB134" si="4">IFERROR(VLOOKUP($A124,$A$114:$G$120,MATCH(C$123,$A$114:$G$114,0),FALSE),0)</f>
        <v>0</v>
      </c>
      <c r="D124" s="19">
        <f t="shared" si="4"/>
        <v>0</v>
      </c>
      <c r="E124" s="19">
        <f t="shared" si="4"/>
        <v>0</v>
      </c>
      <c r="F124" s="19">
        <f t="shared" si="4"/>
        <v>0</v>
      </c>
      <c r="G124" s="19">
        <f t="shared" si="4"/>
        <v>0</v>
      </c>
      <c r="H124" s="19">
        <f t="shared" si="4"/>
        <v>0</v>
      </c>
      <c r="I124" s="19">
        <f t="shared" si="4"/>
        <v>0</v>
      </c>
      <c r="J124" s="19">
        <f t="shared" si="4"/>
        <v>0</v>
      </c>
      <c r="K124" s="19">
        <f t="shared" si="4"/>
        <v>0</v>
      </c>
      <c r="L124" s="19">
        <f t="shared" si="4"/>
        <v>0</v>
      </c>
      <c r="M124" s="19">
        <f t="shared" si="4"/>
        <v>0</v>
      </c>
      <c r="N124" s="19">
        <f t="shared" si="4"/>
        <v>0</v>
      </c>
      <c r="O124" s="19">
        <f t="shared" si="4"/>
        <v>0</v>
      </c>
      <c r="P124" s="19">
        <f t="shared" si="4"/>
        <v>0</v>
      </c>
      <c r="Q124" s="19">
        <f t="shared" si="4"/>
        <v>0</v>
      </c>
      <c r="R124" s="19">
        <f t="shared" si="4"/>
        <v>0</v>
      </c>
      <c r="S124" s="19">
        <f t="shared" si="4"/>
        <v>0</v>
      </c>
      <c r="T124" s="19">
        <f t="shared" si="4"/>
        <v>0</v>
      </c>
      <c r="U124" s="19">
        <f t="shared" si="4"/>
        <v>0</v>
      </c>
      <c r="V124" s="19">
        <f t="shared" si="4"/>
        <v>0</v>
      </c>
      <c r="W124" s="19">
        <f t="shared" si="4"/>
        <v>0</v>
      </c>
      <c r="X124" s="19">
        <f t="shared" si="4"/>
        <v>0</v>
      </c>
      <c r="Y124" s="19">
        <f t="shared" si="4"/>
        <v>0</v>
      </c>
      <c r="Z124" s="19">
        <f t="shared" si="4"/>
        <v>0</v>
      </c>
      <c r="AA124" s="19">
        <f t="shared" si="4"/>
        <v>0</v>
      </c>
      <c r="AB124" s="19">
        <f t="shared" si="4"/>
        <v>0</v>
      </c>
      <c r="AC124" s="20"/>
    </row>
    <row r="125" spans="1:29" x14ac:dyDescent="0.3">
      <c r="A125" s="30" t="str">
        <v>1z</v>
      </c>
      <c r="B125" s="19">
        <f t="shared" ref="B125:Q150" si="5">IFERROR(VLOOKUP($A125,$A$114:$G$120,MATCH(B$123,$A$114:$G$114,0),FALSE),0)</f>
        <v>0</v>
      </c>
      <c r="C125" s="19">
        <f t="shared" si="5"/>
        <v>0</v>
      </c>
      <c r="D125" s="19">
        <f t="shared" si="5"/>
        <v>0</v>
      </c>
      <c r="E125" s="19">
        <f t="shared" si="5"/>
        <v>0</v>
      </c>
      <c r="F125" s="19">
        <f t="shared" si="5"/>
        <v>0</v>
      </c>
      <c r="G125" s="19">
        <f t="shared" si="5"/>
        <v>0</v>
      </c>
      <c r="H125" s="19">
        <f t="shared" si="5"/>
        <v>0</v>
      </c>
      <c r="I125" s="19">
        <f t="shared" si="5"/>
        <v>0</v>
      </c>
      <c r="J125" s="19">
        <f t="shared" si="5"/>
        <v>0</v>
      </c>
      <c r="K125" s="19">
        <f t="shared" si="5"/>
        <v>0</v>
      </c>
      <c r="L125" s="19">
        <f t="shared" si="5"/>
        <v>0</v>
      </c>
      <c r="M125" s="19">
        <f t="shared" si="5"/>
        <v>0</v>
      </c>
      <c r="N125" s="19">
        <f t="shared" si="5"/>
        <v>0</v>
      </c>
      <c r="O125" s="19">
        <f t="shared" si="5"/>
        <v>0</v>
      </c>
      <c r="P125" s="19">
        <f t="shared" si="5"/>
        <v>0</v>
      </c>
      <c r="Q125" s="19">
        <f t="shared" si="5"/>
        <v>0</v>
      </c>
      <c r="R125" s="19">
        <f t="shared" si="4"/>
        <v>0</v>
      </c>
      <c r="S125" s="19">
        <f t="shared" si="4"/>
        <v>0</v>
      </c>
      <c r="T125" s="19">
        <f t="shared" si="4"/>
        <v>0</v>
      </c>
      <c r="U125" s="19">
        <f t="shared" si="4"/>
        <v>0</v>
      </c>
      <c r="V125" s="19">
        <f t="shared" si="4"/>
        <v>0</v>
      </c>
      <c r="W125" s="19">
        <f t="shared" si="4"/>
        <v>0</v>
      </c>
      <c r="X125" s="19">
        <f t="shared" si="4"/>
        <v>0</v>
      </c>
      <c r="Y125" s="19">
        <f t="shared" si="4"/>
        <v>0</v>
      </c>
      <c r="Z125" s="19">
        <f t="shared" si="4"/>
        <v>0</v>
      </c>
      <c r="AA125" s="19">
        <f t="shared" si="4"/>
        <v>0</v>
      </c>
      <c r="AB125" s="19">
        <f t="shared" si="4"/>
        <v>0</v>
      </c>
      <c r="AC125" s="20"/>
    </row>
    <row r="126" spans="1:29" x14ac:dyDescent="0.3">
      <c r="A126" s="30" t="str">
        <v>ϴ1</v>
      </c>
      <c r="B126" s="19">
        <f t="shared" si="5"/>
        <v>0</v>
      </c>
      <c r="C126" s="19">
        <f t="shared" si="4"/>
        <v>0</v>
      </c>
      <c r="D126" s="19">
        <f t="shared" si="4"/>
        <v>0</v>
      </c>
      <c r="E126" s="19">
        <f t="shared" si="4"/>
        <v>0</v>
      </c>
      <c r="F126" s="19">
        <f t="shared" si="4"/>
        <v>0</v>
      </c>
      <c r="G126" s="19">
        <f t="shared" si="4"/>
        <v>0</v>
      </c>
      <c r="H126" s="19">
        <f t="shared" si="4"/>
        <v>0</v>
      </c>
      <c r="I126" s="19">
        <f t="shared" si="4"/>
        <v>0</v>
      </c>
      <c r="J126" s="19">
        <f t="shared" si="4"/>
        <v>0</v>
      </c>
      <c r="K126" s="19">
        <f t="shared" si="4"/>
        <v>0</v>
      </c>
      <c r="L126" s="19">
        <f t="shared" si="4"/>
        <v>0</v>
      </c>
      <c r="M126" s="19">
        <f t="shared" si="4"/>
        <v>0</v>
      </c>
      <c r="N126" s="19">
        <f t="shared" si="4"/>
        <v>0</v>
      </c>
      <c r="O126" s="19">
        <f t="shared" si="4"/>
        <v>0</v>
      </c>
      <c r="P126" s="19">
        <f t="shared" si="4"/>
        <v>0</v>
      </c>
      <c r="Q126" s="19">
        <f t="shared" si="4"/>
        <v>0</v>
      </c>
      <c r="R126" s="19">
        <f t="shared" si="4"/>
        <v>0</v>
      </c>
      <c r="S126" s="19">
        <f t="shared" si="4"/>
        <v>0</v>
      </c>
      <c r="T126" s="19">
        <f t="shared" si="4"/>
        <v>0</v>
      </c>
      <c r="U126" s="19">
        <f t="shared" si="4"/>
        <v>0</v>
      </c>
      <c r="V126" s="19">
        <f t="shared" si="4"/>
        <v>0</v>
      </c>
      <c r="W126" s="19">
        <f t="shared" si="4"/>
        <v>0</v>
      </c>
      <c r="X126" s="19">
        <f t="shared" si="4"/>
        <v>0</v>
      </c>
      <c r="Y126" s="19">
        <f t="shared" si="4"/>
        <v>0</v>
      </c>
      <c r="Z126" s="19">
        <f t="shared" si="4"/>
        <v>0</v>
      </c>
      <c r="AA126" s="19">
        <f t="shared" si="4"/>
        <v>0</v>
      </c>
      <c r="AB126" s="19">
        <f t="shared" si="4"/>
        <v>0</v>
      </c>
      <c r="AC126" s="20"/>
    </row>
    <row r="127" spans="1:29" x14ac:dyDescent="0.3">
      <c r="A127" s="30" t="str">
        <v>2x</v>
      </c>
      <c r="B127" s="19">
        <f t="shared" si="5"/>
        <v>0</v>
      </c>
      <c r="C127" s="19">
        <f t="shared" si="4"/>
        <v>0</v>
      </c>
      <c r="D127" s="19">
        <f t="shared" si="4"/>
        <v>0</v>
      </c>
      <c r="E127" s="19">
        <f t="shared" si="4"/>
        <v>1335.5698705618502</v>
      </c>
      <c r="F127" s="19">
        <f t="shared" si="4"/>
        <v>2.0862462027296113E-11</v>
      </c>
      <c r="G127" s="19">
        <f t="shared" si="4"/>
        <v>267113.97411236999</v>
      </c>
      <c r="H127" s="19">
        <f t="shared" si="4"/>
        <v>0</v>
      </c>
      <c r="I127" s="19">
        <f t="shared" si="4"/>
        <v>0</v>
      </c>
      <c r="J127" s="19">
        <f t="shared" si="4"/>
        <v>0</v>
      </c>
      <c r="K127" s="19">
        <f t="shared" si="4"/>
        <v>0</v>
      </c>
      <c r="L127" s="19">
        <f t="shared" si="4"/>
        <v>0</v>
      </c>
      <c r="M127" s="19">
        <f t="shared" si="4"/>
        <v>0</v>
      </c>
      <c r="N127" s="19">
        <f t="shared" si="4"/>
        <v>0</v>
      </c>
      <c r="O127" s="19">
        <f t="shared" si="4"/>
        <v>0</v>
      </c>
      <c r="P127" s="19">
        <f t="shared" si="4"/>
        <v>0</v>
      </c>
      <c r="Q127" s="19">
        <f t="shared" si="4"/>
        <v>0</v>
      </c>
      <c r="R127" s="19">
        <f t="shared" si="4"/>
        <v>0</v>
      </c>
      <c r="S127" s="19">
        <f t="shared" si="4"/>
        <v>0</v>
      </c>
      <c r="T127" s="19">
        <f t="shared" si="4"/>
        <v>0</v>
      </c>
      <c r="U127" s="19">
        <f t="shared" si="4"/>
        <v>0</v>
      </c>
      <c r="V127" s="19">
        <f t="shared" si="4"/>
        <v>0</v>
      </c>
      <c r="W127" s="19">
        <f t="shared" si="4"/>
        <v>0</v>
      </c>
      <c r="X127" s="19">
        <f t="shared" si="4"/>
        <v>0</v>
      </c>
      <c r="Y127" s="19">
        <f t="shared" si="4"/>
        <v>0</v>
      </c>
      <c r="Z127" s="19">
        <f t="shared" si="4"/>
        <v>0</v>
      </c>
      <c r="AA127" s="19">
        <f t="shared" si="4"/>
        <v>0</v>
      </c>
      <c r="AB127" s="19">
        <f t="shared" si="4"/>
        <v>0</v>
      </c>
      <c r="AC127" s="20"/>
    </row>
    <row r="128" spans="1:29" x14ac:dyDescent="0.3">
      <c r="A128" s="30" t="str">
        <v>2z</v>
      </c>
      <c r="B128" s="19">
        <f t="shared" si="5"/>
        <v>0</v>
      </c>
      <c r="C128" s="19">
        <f t="shared" si="4"/>
        <v>0</v>
      </c>
      <c r="D128" s="19">
        <f t="shared" si="4"/>
        <v>0</v>
      </c>
      <c r="E128" s="19">
        <f t="shared" si="4"/>
        <v>2.0862462027296113E-11</v>
      </c>
      <c r="F128" s="19">
        <f t="shared" si="4"/>
        <v>341905.921875</v>
      </c>
      <c r="G128" s="19">
        <f t="shared" si="4"/>
        <v>-1.6362713633413562E-11</v>
      </c>
      <c r="H128" s="19">
        <f t="shared" si="4"/>
        <v>0</v>
      </c>
      <c r="I128" s="19">
        <f t="shared" si="4"/>
        <v>0</v>
      </c>
      <c r="J128" s="19">
        <f t="shared" si="4"/>
        <v>0</v>
      </c>
      <c r="K128" s="19">
        <f t="shared" si="4"/>
        <v>0</v>
      </c>
      <c r="L128" s="19">
        <f t="shared" si="4"/>
        <v>0</v>
      </c>
      <c r="M128" s="19">
        <f t="shared" si="4"/>
        <v>0</v>
      </c>
      <c r="N128" s="19">
        <f t="shared" si="4"/>
        <v>0</v>
      </c>
      <c r="O128" s="19">
        <f t="shared" si="4"/>
        <v>0</v>
      </c>
      <c r="P128" s="19">
        <f t="shared" si="4"/>
        <v>0</v>
      </c>
      <c r="Q128" s="19">
        <f t="shared" si="4"/>
        <v>0</v>
      </c>
      <c r="R128" s="19">
        <f t="shared" si="4"/>
        <v>0</v>
      </c>
      <c r="S128" s="19">
        <f t="shared" si="4"/>
        <v>0</v>
      </c>
      <c r="T128" s="19">
        <f t="shared" si="4"/>
        <v>0</v>
      </c>
      <c r="U128" s="19">
        <f t="shared" si="4"/>
        <v>0</v>
      </c>
      <c r="V128" s="19">
        <f t="shared" si="4"/>
        <v>0</v>
      </c>
      <c r="W128" s="19">
        <f t="shared" si="4"/>
        <v>0</v>
      </c>
      <c r="X128" s="19">
        <f t="shared" si="4"/>
        <v>0</v>
      </c>
      <c r="Y128" s="19">
        <f t="shared" si="4"/>
        <v>0</v>
      </c>
      <c r="Z128" s="19">
        <f t="shared" si="4"/>
        <v>0</v>
      </c>
      <c r="AA128" s="19">
        <f t="shared" si="4"/>
        <v>0</v>
      </c>
      <c r="AB128" s="19">
        <f t="shared" si="4"/>
        <v>0</v>
      </c>
      <c r="AC128" s="20"/>
    </row>
    <row r="129" spans="1:29" x14ac:dyDescent="0.3">
      <c r="A129" s="30" t="str">
        <v>ϴ2</v>
      </c>
      <c r="B129" s="19">
        <f t="shared" si="5"/>
        <v>0</v>
      </c>
      <c r="C129" s="19">
        <f t="shared" si="4"/>
        <v>0</v>
      </c>
      <c r="D129" s="19">
        <f t="shared" si="4"/>
        <v>0</v>
      </c>
      <c r="E129" s="19">
        <f t="shared" si="4"/>
        <v>267113.97411236999</v>
      </c>
      <c r="F129" s="19">
        <f t="shared" si="4"/>
        <v>-1.6362713633413562E-11</v>
      </c>
      <c r="G129" s="19">
        <f t="shared" si="4"/>
        <v>71230393.096632004</v>
      </c>
      <c r="H129" s="19">
        <f t="shared" si="4"/>
        <v>0</v>
      </c>
      <c r="I129" s="19">
        <f t="shared" si="4"/>
        <v>0</v>
      </c>
      <c r="J129" s="19">
        <f t="shared" si="4"/>
        <v>0</v>
      </c>
      <c r="K129" s="19">
        <f t="shared" si="4"/>
        <v>0</v>
      </c>
      <c r="L129" s="19">
        <f t="shared" si="4"/>
        <v>0</v>
      </c>
      <c r="M129" s="19">
        <f t="shared" si="4"/>
        <v>0</v>
      </c>
      <c r="N129" s="19">
        <f t="shared" si="4"/>
        <v>0</v>
      </c>
      <c r="O129" s="19">
        <f t="shared" si="4"/>
        <v>0</v>
      </c>
      <c r="P129" s="19">
        <f t="shared" si="4"/>
        <v>0</v>
      </c>
      <c r="Q129" s="19">
        <f t="shared" si="4"/>
        <v>0</v>
      </c>
      <c r="R129" s="19">
        <f t="shared" si="4"/>
        <v>0</v>
      </c>
      <c r="S129" s="19">
        <f t="shared" si="4"/>
        <v>0</v>
      </c>
      <c r="T129" s="19">
        <f t="shared" si="4"/>
        <v>0</v>
      </c>
      <c r="U129" s="19">
        <f t="shared" si="4"/>
        <v>0</v>
      </c>
      <c r="V129" s="19">
        <f t="shared" si="4"/>
        <v>0</v>
      </c>
      <c r="W129" s="19">
        <f t="shared" si="4"/>
        <v>0</v>
      </c>
      <c r="X129" s="19">
        <f t="shared" si="4"/>
        <v>0</v>
      </c>
      <c r="Y129" s="19">
        <f t="shared" si="4"/>
        <v>0</v>
      </c>
      <c r="Z129" s="19">
        <f t="shared" si="4"/>
        <v>0</v>
      </c>
      <c r="AA129" s="19">
        <f t="shared" si="4"/>
        <v>0</v>
      </c>
      <c r="AB129" s="19">
        <f t="shared" si="4"/>
        <v>0</v>
      </c>
      <c r="AC129" s="20"/>
    </row>
    <row r="130" spans="1:29" x14ac:dyDescent="0.3">
      <c r="A130" s="30" t="str">
        <v>3x</v>
      </c>
      <c r="B130" s="19">
        <f t="shared" si="5"/>
        <v>0</v>
      </c>
      <c r="C130" s="19">
        <f t="shared" si="4"/>
        <v>0</v>
      </c>
      <c r="D130" s="19">
        <f t="shared" si="4"/>
        <v>0</v>
      </c>
      <c r="E130" s="19">
        <f t="shared" si="4"/>
        <v>0</v>
      </c>
      <c r="F130" s="19">
        <f t="shared" si="4"/>
        <v>0</v>
      </c>
      <c r="G130" s="19">
        <f t="shared" si="4"/>
        <v>0</v>
      </c>
      <c r="H130" s="19">
        <f t="shared" si="4"/>
        <v>0</v>
      </c>
      <c r="I130" s="19">
        <f t="shared" si="4"/>
        <v>0</v>
      </c>
      <c r="J130" s="19">
        <f t="shared" si="4"/>
        <v>0</v>
      </c>
      <c r="K130" s="19">
        <f t="shared" si="4"/>
        <v>0</v>
      </c>
      <c r="L130" s="19">
        <f t="shared" si="4"/>
        <v>0</v>
      </c>
      <c r="M130" s="19">
        <f t="shared" si="4"/>
        <v>0</v>
      </c>
      <c r="N130" s="19">
        <f t="shared" si="4"/>
        <v>0</v>
      </c>
      <c r="O130" s="19">
        <f t="shared" si="4"/>
        <v>0</v>
      </c>
      <c r="P130" s="19">
        <f t="shared" si="4"/>
        <v>0</v>
      </c>
      <c r="Q130" s="19">
        <f t="shared" si="4"/>
        <v>0</v>
      </c>
      <c r="R130" s="19">
        <f t="shared" si="4"/>
        <v>0</v>
      </c>
      <c r="S130" s="19">
        <f t="shared" si="4"/>
        <v>0</v>
      </c>
      <c r="T130" s="19">
        <f t="shared" si="4"/>
        <v>0</v>
      </c>
      <c r="U130" s="19">
        <f t="shared" si="4"/>
        <v>0</v>
      </c>
      <c r="V130" s="19">
        <f t="shared" si="4"/>
        <v>0</v>
      </c>
      <c r="W130" s="19">
        <f t="shared" si="4"/>
        <v>0</v>
      </c>
      <c r="X130" s="19">
        <f t="shared" si="4"/>
        <v>0</v>
      </c>
      <c r="Y130" s="19">
        <f t="shared" si="4"/>
        <v>0</v>
      </c>
      <c r="Z130" s="19">
        <f t="shared" si="4"/>
        <v>0</v>
      </c>
      <c r="AA130" s="19">
        <f t="shared" si="4"/>
        <v>0</v>
      </c>
      <c r="AB130" s="19">
        <f t="shared" si="4"/>
        <v>0</v>
      </c>
      <c r="AC130" s="20"/>
    </row>
    <row r="131" spans="1:29" x14ac:dyDescent="0.3">
      <c r="A131" s="30" t="str">
        <v>3z</v>
      </c>
      <c r="B131" s="19">
        <f t="shared" si="5"/>
        <v>0</v>
      </c>
      <c r="C131" s="19">
        <f t="shared" si="4"/>
        <v>0</v>
      </c>
      <c r="D131" s="19">
        <f t="shared" si="4"/>
        <v>0</v>
      </c>
      <c r="E131" s="19">
        <f t="shared" si="4"/>
        <v>0</v>
      </c>
      <c r="F131" s="19">
        <f t="shared" si="4"/>
        <v>0</v>
      </c>
      <c r="G131" s="19">
        <f t="shared" si="4"/>
        <v>0</v>
      </c>
      <c r="H131" s="19">
        <f t="shared" si="4"/>
        <v>0</v>
      </c>
      <c r="I131" s="19">
        <f t="shared" si="4"/>
        <v>0</v>
      </c>
      <c r="J131" s="19">
        <f t="shared" si="4"/>
        <v>0</v>
      </c>
      <c r="K131" s="19">
        <f t="shared" si="4"/>
        <v>0</v>
      </c>
      <c r="L131" s="19">
        <f t="shared" si="4"/>
        <v>0</v>
      </c>
      <c r="M131" s="19">
        <f t="shared" si="4"/>
        <v>0</v>
      </c>
      <c r="N131" s="19">
        <f t="shared" si="4"/>
        <v>0</v>
      </c>
      <c r="O131" s="19">
        <f t="shared" si="4"/>
        <v>0</v>
      </c>
      <c r="P131" s="19">
        <f t="shared" si="4"/>
        <v>0</v>
      </c>
      <c r="Q131" s="19">
        <f t="shared" si="4"/>
        <v>0</v>
      </c>
      <c r="R131" s="19">
        <f t="shared" si="4"/>
        <v>0</v>
      </c>
      <c r="S131" s="19">
        <f t="shared" si="4"/>
        <v>0</v>
      </c>
      <c r="T131" s="19">
        <f t="shared" si="4"/>
        <v>0</v>
      </c>
      <c r="U131" s="19">
        <f t="shared" si="4"/>
        <v>0</v>
      </c>
      <c r="V131" s="19">
        <f t="shared" si="4"/>
        <v>0</v>
      </c>
      <c r="W131" s="19">
        <f t="shared" si="4"/>
        <v>0</v>
      </c>
      <c r="X131" s="19">
        <f t="shared" si="4"/>
        <v>0</v>
      </c>
      <c r="Y131" s="19">
        <f t="shared" si="4"/>
        <v>0</v>
      </c>
      <c r="Z131" s="19">
        <f t="shared" si="4"/>
        <v>0</v>
      </c>
      <c r="AA131" s="19">
        <f t="shared" si="4"/>
        <v>0</v>
      </c>
      <c r="AB131" s="19">
        <f t="shared" si="4"/>
        <v>0</v>
      </c>
      <c r="AC131" s="20"/>
    </row>
    <row r="132" spans="1:29" x14ac:dyDescent="0.3">
      <c r="A132" s="30" t="str">
        <v>ϴ3</v>
      </c>
      <c r="B132" s="19">
        <f t="shared" si="5"/>
        <v>0</v>
      </c>
      <c r="C132" s="19">
        <f t="shared" si="4"/>
        <v>0</v>
      </c>
      <c r="D132" s="19">
        <f t="shared" si="4"/>
        <v>0</v>
      </c>
      <c r="E132" s="19">
        <f t="shared" si="4"/>
        <v>0</v>
      </c>
      <c r="F132" s="19">
        <f t="shared" si="4"/>
        <v>0</v>
      </c>
      <c r="G132" s="19">
        <f t="shared" si="4"/>
        <v>0</v>
      </c>
      <c r="H132" s="19">
        <f t="shared" si="4"/>
        <v>0</v>
      </c>
      <c r="I132" s="19">
        <f t="shared" si="4"/>
        <v>0</v>
      </c>
      <c r="J132" s="19">
        <f t="shared" si="4"/>
        <v>0</v>
      </c>
      <c r="K132" s="19">
        <f t="shared" si="4"/>
        <v>0</v>
      </c>
      <c r="L132" s="19">
        <f t="shared" si="4"/>
        <v>0</v>
      </c>
      <c r="M132" s="19">
        <f t="shared" si="4"/>
        <v>0</v>
      </c>
      <c r="N132" s="19">
        <f t="shared" si="4"/>
        <v>0</v>
      </c>
      <c r="O132" s="19">
        <f t="shared" si="4"/>
        <v>0</v>
      </c>
      <c r="P132" s="19">
        <f t="shared" si="4"/>
        <v>0</v>
      </c>
      <c r="Q132" s="19">
        <f t="shared" si="4"/>
        <v>0</v>
      </c>
      <c r="R132" s="19">
        <f t="shared" si="4"/>
        <v>0</v>
      </c>
      <c r="S132" s="19">
        <f t="shared" si="4"/>
        <v>0</v>
      </c>
      <c r="T132" s="19">
        <f t="shared" si="4"/>
        <v>0</v>
      </c>
      <c r="U132" s="19">
        <f t="shared" si="4"/>
        <v>0</v>
      </c>
      <c r="V132" s="19">
        <f t="shared" si="4"/>
        <v>0</v>
      </c>
      <c r="W132" s="19">
        <f t="shared" si="4"/>
        <v>0</v>
      </c>
      <c r="X132" s="19">
        <f t="shared" si="4"/>
        <v>0</v>
      </c>
      <c r="Y132" s="19">
        <f t="shared" si="4"/>
        <v>0</v>
      </c>
      <c r="Z132" s="19">
        <f t="shared" si="4"/>
        <v>0</v>
      </c>
      <c r="AA132" s="19">
        <f t="shared" si="4"/>
        <v>0</v>
      </c>
      <c r="AB132" s="19">
        <f t="shared" si="4"/>
        <v>0</v>
      </c>
      <c r="AC132" s="20"/>
    </row>
    <row r="133" spans="1:29" x14ac:dyDescent="0.3">
      <c r="A133" s="30" t="str">
        <v>4x</v>
      </c>
      <c r="B133" s="19">
        <f t="shared" si="5"/>
        <v>0</v>
      </c>
      <c r="C133" s="19">
        <f t="shared" si="4"/>
        <v>0</v>
      </c>
      <c r="D133" s="19">
        <f t="shared" si="4"/>
        <v>0</v>
      </c>
      <c r="E133" s="19">
        <f t="shared" si="4"/>
        <v>0</v>
      </c>
      <c r="F133" s="19">
        <f t="shared" si="4"/>
        <v>0</v>
      </c>
      <c r="G133" s="19">
        <f t="shared" si="4"/>
        <v>0</v>
      </c>
      <c r="H133" s="19">
        <f t="shared" si="4"/>
        <v>0</v>
      </c>
      <c r="I133" s="19">
        <f t="shared" si="4"/>
        <v>0</v>
      </c>
      <c r="J133" s="19">
        <f t="shared" si="4"/>
        <v>0</v>
      </c>
      <c r="K133" s="19">
        <f t="shared" si="4"/>
        <v>0</v>
      </c>
      <c r="L133" s="19">
        <f t="shared" si="4"/>
        <v>0</v>
      </c>
      <c r="M133" s="19">
        <f t="shared" si="4"/>
        <v>0</v>
      </c>
      <c r="N133" s="19">
        <f t="shared" si="4"/>
        <v>0</v>
      </c>
      <c r="O133" s="19">
        <f t="shared" si="4"/>
        <v>0</v>
      </c>
      <c r="P133" s="19">
        <f t="shared" si="4"/>
        <v>0</v>
      </c>
      <c r="Q133" s="19">
        <f t="shared" si="4"/>
        <v>0</v>
      </c>
      <c r="R133" s="19">
        <f t="shared" si="4"/>
        <v>0</v>
      </c>
      <c r="S133" s="19">
        <f t="shared" si="4"/>
        <v>0</v>
      </c>
      <c r="T133" s="19">
        <f t="shared" si="4"/>
        <v>0</v>
      </c>
      <c r="U133" s="19">
        <f t="shared" si="4"/>
        <v>0</v>
      </c>
      <c r="V133" s="19">
        <f t="shared" si="4"/>
        <v>0</v>
      </c>
      <c r="W133" s="19">
        <f t="shared" si="4"/>
        <v>0</v>
      </c>
      <c r="X133" s="19">
        <f t="shared" si="4"/>
        <v>0</v>
      </c>
      <c r="Y133" s="19">
        <f t="shared" si="4"/>
        <v>0</v>
      </c>
      <c r="Z133" s="19">
        <f t="shared" si="4"/>
        <v>0</v>
      </c>
      <c r="AA133" s="19">
        <f t="shared" si="4"/>
        <v>0</v>
      </c>
      <c r="AB133" s="19">
        <f t="shared" si="4"/>
        <v>0</v>
      </c>
      <c r="AC133" s="20"/>
    </row>
    <row r="134" spans="1:29" x14ac:dyDescent="0.3">
      <c r="A134" s="30" t="str">
        <v>4z</v>
      </c>
      <c r="B134" s="19">
        <f t="shared" si="5"/>
        <v>0</v>
      </c>
      <c r="C134" s="19">
        <f t="shared" si="4"/>
        <v>0</v>
      </c>
      <c r="D134" s="19">
        <f t="shared" si="4"/>
        <v>0</v>
      </c>
      <c r="E134" s="19">
        <f t="shared" si="4"/>
        <v>0</v>
      </c>
      <c r="F134" s="19">
        <f t="shared" si="4"/>
        <v>0</v>
      </c>
      <c r="G134" s="19">
        <f t="shared" si="4"/>
        <v>0</v>
      </c>
      <c r="H134" s="19">
        <f t="shared" si="4"/>
        <v>0</v>
      </c>
      <c r="I134" s="19">
        <f t="shared" si="4"/>
        <v>0</v>
      </c>
      <c r="J134" s="19">
        <f t="shared" si="4"/>
        <v>0</v>
      </c>
      <c r="K134" s="19">
        <f t="shared" si="4"/>
        <v>0</v>
      </c>
      <c r="L134" s="19">
        <f t="shared" si="4"/>
        <v>0</v>
      </c>
      <c r="M134" s="19">
        <f t="shared" ref="C134:AB144" si="6">IFERROR(VLOOKUP($A134,$A$114:$G$120,MATCH(M$123,$A$114:$G$114,0),FALSE),0)</f>
        <v>0</v>
      </c>
      <c r="N134" s="19">
        <f t="shared" si="6"/>
        <v>0</v>
      </c>
      <c r="O134" s="19">
        <f t="shared" si="6"/>
        <v>0</v>
      </c>
      <c r="P134" s="19">
        <f t="shared" si="6"/>
        <v>0</v>
      </c>
      <c r="Q134" s="19">
        <f t="shared" si="6"/>
        <v>0</v>
      </c>
      <c r="R134" s="19">
        <f t="shared" si="6"/>
        <v>0</v>
      </c>
      <c r="S134" s="19">
        <f t="shared" si="6"/>
        <v>0</v>
      </c>
      <c r="T134" s="19">
        <f t="shared" si="6"/>
        <v>0</v>
      </c>
      <c r="U134" s="19">
        <f t="shared" si="6"/>
        <v>0</v>
      </c>
      <c r="V134" s="19">
        <f t="shared" si="6"/>
        <v>0</v>
      </c>
      <c r="W134" s="19">
        <f t="shared" si="6"/>
        <v>0</v>
      </c>
      <c r="X134" s="19">
        <f t="shared" si="6"/>
        <v>0</v>
      </c>
      <c r="Y134" s="19">
        <f t="shared" si="6"/>
        <v>0</v>
      </c>
      <c r="Z134" s="19">
        <f t="shared" si="6"/>
        <v>0</v>
      </c>
      <c r="AA134" s="19">
        <f t="shared" si="6"/>
        <v>0</v>
      </c>
      <c r="AB134" s="19">
        <f t="shared" si="6"/>
        <v>0</v>
      </c>
      <c r="AC134" s="20"/>
    </row>
    <row r="135" spans="1:29" x14ac:dyDescent="0.3">
      <c r="A135" s="30" t="str">
        <v>ϴ4</v>
      </c>
      <c r="B135" s="19">
        <f t="shared" si="5"/>
        <v>0</v>
      </c>
      <c r="C135" s="19">
        <f t="shared" si="6"/>
        <v>0</v>
      </c>
      <c r="D135" s="19">
        <f t="shared" si="6"/>
        <v>0</v>
      </c>
      <c r="E135" s="19">
        <f t="shared" si="6"/>
        <v>0</v>
      </c>
      <c r="F135" s="19">
        <f t="shared" si="6"/>
        <v>0</v>
      </c>
      <c r="G135" s="19">
        <f t="shared" si="6"/>
        <v>0</v>
      </c>
      <c r="H135" s="19">
        <f t="shared" si="6"/>
        <v>0</v>
      </c>
      <c r="I135" s="19">
        <f t="shared" si="6"/>
        <v>0</v>
      </c>
      <c r="J135" s="19">
        <f t="shared" si="6"/>
        <v>0</v>
      </c>
      <c r="K135" s="19">
        <f t="shared" si="6"/>
        <v>0</v>
      </c>
      <c r="L135" s="19">
        <f t="shared" si="6"/>
        <v>0</v>
      </c>
      <c r="M135" s="19">
        <f t="shared" si="6"/>
        <v>0</v>
      </c>
      <c r="N135" s="19">
        <f t="shared" si="6"/>
        <v>0</v>
      </c>
      <c r="O135" s="19">
        <f t="shared" si="6"/>
        <v>0</v>
      </c>
      <c r="P135" s="19">
        <f t="shared" si="6"/>
        <v>0</v>
      </c>
      <c r="Q135" s="19">
        <f t="shared" si="6"/>
        <v>0</v>
      </c>
      <c r="R135" s="19">
        <f t="shared" si="6"/>
        <v>0</v>
      </c>
      <c r="S135" s="19">
        <f t="shared" si="6"/>
        <v>0</v>
      </c>
      <c r="T135" s="19">
        <f t="shared" si="6"/>
        <v>0</v>
      </c>
      <c r="U135" s="19">
        <f t="shared" si="6"/>
        <v>0</v>
      </c>
      <c r="V135" s="19">
        <f t="shared" si="6"/>
        <v>0</v>
      </c>
      <c r="W135" s="19">
        <f t="shared" si="6"/>
        <v>0</v>
      </c>
      <c r="X135" s="19">
        <f t="shared" si="6"/>
        <v>0</v>
      </c>
      <c r="Y135" s="19">
        <f t="shared" si="6"/>
        <v>0</v>
      </c>
      <c r="Z135" s="19">
        <f t="shared" si="6"/>
        <v>0</v>
      </c>
      <c r="AA135" s="19">
        <f t="shared" si="6"/>
        <v>0</v>
      </c>
      <c r="AB135" s="19">
        <f t="shared" si="6"/>
        <v>0</v>
      </c>
      <c r="AC135" s="20"/>
    </row>
    <row r="136" spans="1:29" x14ac:dyDescent="0.3">
      <c r="A136" s="30" t="str">
        <v>5x</v>
      </c>
      <c r="B136" s="19">
        <f t="shared" si="5"/>
        <v>0</v>
      </c>
      <c r="C136" s="19">
        <f t="shared" si="6"/>
        <v>0</v>
      </c>
      <c r="D136" s="19">
        <f t="shared" si="6"/>
        <v>0</v>
      </c>
      <c r="E136" s="19">
        <f t="shared" si="6"/>
        <v>0</v>
      </c>
      <c r="F136" s="19">
        <f t="shared" si="6"/>
        <v>0</v>
      </c>
      <c r="G136" s="19">
        <f t="shared" si="6"/>
        <v>0</v>
      </c>
      <c r="H136" s="19">
        <f t="shared" si="6"/>
        <v>0</v>
      </c>
      <c r="I136" s="19">
        <f t="shared" si="6"/>
        <v>0</v>
      </c>
      <c r="J136" s="19">
        <f t="shared" si="6"/>
        <v>0</v>
      </c>
      <c r="K136" s="19">
        <f t="shared" si="6"/>
        <v>0</v>
      </c>
      <c r="L136" s="19">
        <f t="shared" si="6"/>
        <v>0</v>
      </c>
      <c r="M136" s="19">
        <f t="shared" si="6"/>
        <v>0</v>
      </c>
      <c r="N136" s="19">
        <f t="shared" si="6"/>
        <v>0</v>
      </c>
      <c r="O136" s="19">
        <f t="shared" si="6"/>
        <v>0</v>
      </c>
      <c r="P136" s="19">
        <f t="shared" si="6"/>
        <v>0</v>
      </c>
      <c r="Q136" s="19">
        <f t="shared" si="6"/>
        <v>0</v>
      </c>
      <c r="R136" s="19">
        <f t="shared" si="6"/>
        <v>0</v>
      </c>
      <c r="S136" s="19">
        <f t="shared" si="6"/>
        <v>0</v>
      </c>
      <c r="T136" s="19">
        <f t="shared" si="6"/>
        <v>0</v>
      </c>
      <c r="U136" s="19">
        <f t="shared" si="6"/>
        <v>0</v>
      </c>
      <c r="V136" s="19">
        <f t="shared" si="6"/>
        <v>0</v>
      </c>
      <c r="W136" s="19">
        <f t="shared" si="6"/>
        <v>0</v>
      </c>
      <c r="X136" s="19">
        <f t="shared" si="6"/>
        <v>0</v>
      </c>
      <c r="Y136" s="19">
        <f t="shared" si="6"/>
        <v>0</v>
      </c>
      <c r="Z136" s="19">
        <f t="shared" si="6"/>
        <v>0</v>
      </c>
      <c r="AA136" s="19">
        <f t="shared" si="6"/>
        <v>0</v>
      </c>
      <c r="AB136" s="19">
        <f t="shared" si="6"/>
        <v>0</v>
      </c>
      <c r="AC136" s="20"/>
    </row>
    <row r="137" spans="1:29" x14ac:dyDescent="0.3">
      <c r="A137" s="30" t="str">
        <v>5z</v>
      </c>
      <c r="B137" s="19">
        <f t="shared" si="5"/>
        <v>0</v>
      </c>
      <c r="C137" s="19">
        <f t="shared" si="6"/>
        <v>0</v>
      </c>
      <c r="D137" s="19">
        <f t="shared" si="6"/>
        <v>0</v>
      </c>
      <c r="E137" s="19">
        <f t="shared" si="6"/>
        <v>0</v>
      </c>
      <c r="F137" s="19">
        <f t="shared" si="6"/>
        <v>0</v>
      </c>
      <c r="G137" s="19">
        <f t="shared" si="6"/>
        <v>0</v>
      </c>
      <c r="H137" s="19">
        <f t="shared" si="6"/>
        <v>0</v>
      </c>
      <c r="I137" s="19">
        <f t="shared" si="6"/>
        <v>0</v>
      </c>
      <c r="J137" s="19">
        <f t="shared" si="6"/>
        <v>0</v>
      </c>
      <c r="K137" s="19">
        <f t="shared" si="6"/>
        <v>0</v>
      </c>
      <c r="L137" s="19">
        <f t="shared" si="6"/>
        <v>0</v>
      </c>
      <c r="M137" s="19">
        <f t="shared" si="6"/>
        <v>0</v>
      </c>
      <c r="N137" s="19">
        <f t="shared" si="6"/>
        <v>0</v>
      </c>
      <c r="O137" s="19">
        <f t="shared" si="6"/>
        <v>0</v>
      </c>
      <c r="P137" s="19">
        <f t="shared" si="6"/>
        <v>0</v>
      </c>
      <c r="Q137" s="19">
        <f t="shared" si="6"/>
        <v>0</v>
      </c>
      <c r="R137" s="19">
        <f t="shared" si="6"/>
        <v>0</v>
      </c>
      <c r="S137" s="19">
        <f t="shared" si="6"/>
        <v>0</v>
      </c>
      <c r="T137" s="19">
        <f t="shared" si="6"/>
        <v>0</v>
      </c>
      <c r="U137" s="19">
        <f t="shared" si="6"/>
        <v>0</v>
      </c>
      <c r="V137" s="19">
        <f t="shared" si="6"/>
        <v>0</v>
      </c>
      <c r="W137" s="19">
        <f t="shared" si="6"/>
        <v>0</v>
      </c>
      <c r="X137" s="19">
        <f t="shared" si="6"/>
        <v>0</v>
      </c>
      <c r="Y137" s="19">
        <f t="shared" si="6"/>
        <v>0</v>
      </c>
      <c r="Z137" s="19">
        <f t="shared" si="6"/>
        <v>0</v>
      </c>
      <c r="AA137" s="19">
        <f t="shared" si="6"/>
        <v>0</v>
      </c>
      <c r="AB137" s="19">
        <f t="shared" si="6"/>
        <v>0</v>
      </c>
      <c r="AC137" s="20"/>
    </row>
    <row r="138" spans="1:29" x14ac:dyDescent="0.3">
      <c r="A138" s="30" t="str">
        <v>ϴ5</v>
      </c>
      <c r="B138" s="19">
        <f t="shared" si="5"/>
        <v>0</v>
      </c>
      <c r="C138" s="19">
        <f t="shared" si="6"/>
        <v>0</v>
      </c>
      <c r="D138" s="19">
        <f t="shared" si="6"/>
        <v>0</v>
      </c>
      <c r="E138" s="19">
        <f t="shared" si="6"/>
        <v>0</v>
      </c>
      <c r="F138" s="19">
        <f t="shared" si="6"/>
        <v>0</v>
      </c>
      <c r="G138" s="19">
        <f t="shared" si="6"/>
        <v>0</v>
      </c>
      <c r="H138" s="19">
        <f t="shared" si="6"/>
        <v>0</v>
      </c>
      <c r="I138" s="19">
        <f t="shared" si="6"/>
        <v>0</v>
      </c>
      <c r="J138" s="19">
        <f t="shared" si="6"/>
        <v>0</v>
      </c>
      <c r="K138" s="19">
        <f t="shared" si="6"/>
        <v>0</v>
      </c>
      <c r="L138" s="19">
        <f t="shared" si="6"/>
        <v>0</v>
      </c>
      <c r="M138" s="19">
        <f t="shared" si="6"/>
        <v>0</v>
      </c>
      <c r="N138" s="19">
        <f t="shared" si="6"/>
        <v>0</v>
      </c>
      <c r="O138" s="19">
        <f t="shared" si="6"/>
        <v>0</v>
      </c>
      <c r="P138" s="19">
        <f t="shared" si="6"/>
        <v>0</v>
      </c>
      <c r="Q138" s="19">
        <f t="shared" si="6"/>
        <v>0</v>
      </c>
      <c r="R138" s="19">
        <f t="shared" si="6"/>
        <v>0</v>
      </c>
      <c r="S138" s="19">
        <f t="shared" si="6"/>
        <v>0</v>
      </c>
      <c r="T138" s="19">
        <f t="shared" si="6"/>
        <v>0</v>
      </c>
      <c r="U138" s="19">
        <f t="shared" si="6"/>
        <v>0</v>
      </c>
      <c r="V138" s="19">
        <f t="shared" si="6"/>
        <v>0</v>
      </c>
      <c r="W138" s="19">
        <f t="shared" si="6"/>
        <v>0</v>
      </c>
      <c r="X138" s="19">
        <f t="shared" si="6"/>
        <v>0</v>
      </c>
      <c r="Y138" s="19">
        <f t="shared" si="6"/>
        <v>0</v>
      </c>
      <c r="Z138" s="19">
        <f t="shared" si="6"/>
        <v>0</v>
      </c>
      <c r="AA138" s="19">
        <f t="shared" si="6"/>
        <v>0</v>
      </c>
      <c r="AB138" s="19">
        <f t="shared" si="6"/>
        <v>0</v>
      </c>
      <c r="AC138" s="20"/>
    </row>
    <row r="139" spans="1:29" x14ac:dyDescent="0.3">
      <c r="A139" s="30" t="str">
        <v>6x</v>
      </c>
      <c r="B139" s="19">
        <f t="shared" si="5"/>
        <v>0</v>
      </c>
      <c r="C139" s="19">
        <f t="shared" si="6"/>
        <v>0</v>
      </c>
      <c r="D139" s="19">
        <f t="shared" si="6"/>
        <v>0</v>
      </c>
      <c r="E139" s="19">
        <f t="shared" si="6"/>
        <v>0</v>
      </c>
      <c r="F139" s="19">
        <f t="shared" si="6"/>
        <v>0</v>
      </c>
      <c r="G139" s="19">
        <f t="shared" si="6"/>
        <v>0</v>
      </c>
      <c r="H139" s="19">
        <f t="shared" si="6"/>
        <v>0</v>
      </c>
      <c r="I139" s="19">
        <f t="shared" si="6"/>
        <v>0</v>
      </c>
      <c r="J139" s="19">
        <f t="shared" si="6"/>
        <v>0</v>
      </c>
      <c r="K139" s="19">
        <f t="shared" si="6"/>
        <v>0</v>
      </c>
      <c r="L139" s="19">
        <f t="shared" si="6"/>
        <v>0</v>
      </c>
      <c r="M139" s="19">
        <f t="shared" si="6"/>
        <v>0</v>
      </c>
      <c r="N139" s="19">
        <f t="shared" si="6"/>
        <v>0</v>
      </c>
      <c r="O139" s="19">
        <f t="shared" si="6"/>
        <v>0</v>
      </c>
      <c r="P139" s="19">
        <f t="shared" si="6"/>
        <v>0</v>
      </c>
      <c r="Q139" s="19">
        <f t="shared" si="6"/>
        <v>0</v>
      </c>
      <c r="R139" s="19">
        <f t="shared" si="6"/>
        <v>0</v>
      </c>
      <c r="S139" s="19">
        <f t="shared" si="6"/>
        <v>0</v>
      </c>
      <c r="T139" s="19">
        <f t="shared" si="6"/>
        <v>0</v>
      </c>
      <c r="U139" s="19">
        <f t="shared" si="6"/>
        <v>0</v>
      </c>
      <c r="V139" s="19">
        <f t="shared" si="6"/>
        <v>0</v>
      </c>
      <c r="W139" s="19">
        <f t="shared" si="6"/>
        <v>0</v>
      </c>
      <c r="X139" s="19">
        <f t="shared" si="6"/>
        <v>0</v>
      </c>
      <c r="Y139" s="19">
        <f t="shared" si="6"/>
        <v>0</v>
      </c>
      <c r="Z139" s="19">
        <f t="shared" si="6"/>
        <v>0</v>
      </c>
      <c r="AA139" s="19">
        <f t="shared" si="6"/>
        <v>0</v>
      </c>
      <c r="AB139" s="19">
        <f t="shared" si="6"/>
        <v>0</v>
      </c>
      <c r="AC139" s="20"/>
    </row>
    <row r="140" spans="1:29" x14ac:dyDescent="0.3">
      <c r="A140" s="30" t="str">
        <v>6z</v>
      </c>
      <c r="B140" s="19">
        <f t="shared" si="5"/>
        <v>0</v>
      </c>
      <c r="C140" s="19">
        <f t="shared" si="6"/>
        <v>0</v>
      </c>
      <c r="D140" s="19">
        <f t="shared" si="6"/>
        <v>0</v>
      </c>
      <c r="E140" s="19">
        <f t="shared" si="6"/>
        <v>0</v>
      </c>
      <c r="F140" s="19">
        <f t="shared" si="6"/>
        <v>0</v>
      </c>
      <c r="G140" s="19">
        <f t="shared" si="6"/>
        <v>0</v>
      </c>
      <c r="H140" s="19">
        <f t="shared" si="6"/>
        <v>0</v>
      </c>
      <c r="I140" s="19">
        <f t="shared" si="6"/>
        <v>0</v>
      </c>
      <c r="J140" s="19">
        <f t="shared" si="6"/>
        <v>0</v>
      </c>
      <c r="K140" s="19">
        <f t="shared" si="6"/>
        <v>0</v>
      </c>
      <c r="L140" s="19">
        <f t="shared" si="6"/>
        <v>0</v>
      </c>
      <c r="M140" s="19">
        <f t="shared" si="6"/>
        <v>0</v>
      </c>
      <c r="N140" s="19">
        <f t="shared" si="6"/>
        <v>0</v>
      </c>
      <c r="O140" s="19">
        <f t="shared" si="6"/>
        <v>0</v>
      </c>
      <c r="P140" s="19">
        <f t="shared" si="6"/>
        <v>0</v>
      </c>
      <c r="Q140" s="19">
        <f t="shared" si="6"/>
        <v>0</v>
      </c>
      <c r="R140" s="19">
        <f t="shared" si="6"/>
        <v>0</v>
      </c>
      <c r="S140" s="19">
        <f t="shared" si="6"/>
        <v>0</v>
      </c>
      <c r="T140" s="19">
        <f t="shared" si="6"/>
        <v>0</v>
      </c>
      <c r="U140" s="19">
        <f t="shared" si="6"/>
        <v>0</v>
      </c>
      <c r="V140" s="19">
        <f t="shared" si="6"/>
        <v>0</v>
      </c>
      <c r="W140" s="19">
        <f t="shared" si="6"/>
        <v>0</v>
      </c>
      <c r="X140" s="19">
        <f t="shared" si="6"/>
        <v>0</v>
      </c>
      <c r="Y140" s="19">
        <f t="shared" si="6"/>
        <v>0</v>
      </c>
      <c r="Z140" s="19">
        <f t="shared" si="6"/>
        <v>0</v>
      </c>
      <c r="AA140" s="19">
        <f t="shared" si="6"/>
        <v>0</v>
      </c>
      <c r="AB140" s="19">
        <f t="shared" si="6"/>
        <v>0</v>
      </c>
      <c r="AC140" s="20"/>
    </row>
    <row r="141" spans="1:29" x14ac:dyDescent="0.3">
      <c r="A141" s="30" t="str">
        <v>ϴ6</v>
      </c>
      <c r="B141" s="19">
        <f t="shared" si="5"/>
        <v>0</v>
      </c>
      <c r="C141" s="19">
        <f t="shared" si="6"/>
        <v>0</v>
      </c>
      <c r="D141" s="19">
        <f t="shared" si="6"/>
        <v>0</v>
      </c>
      <c r="E141" s="19">
        <f t="shared" si="6"/>
        <v>0</v>
      </c>
      <c r="F141" s="19">
        <f t="shared" si="6"/>
        <v>0</v>
      </c>
      <c r="G141" s="19">
        <f t="shared" si="6"/>
        <v>0</v>
      </c>
      <c r="H141" s="19">
        <f t="shared" si="6"/>
        <v>0</v>
      </c>
      <c r="I141" s="19">
        <f t="shared" si="6"/>
        <v>0</v>
      </c>
      <c r="J141" s="19">
        <f t="shared" si="6"/>
        <v>0</v>
      </c>
      <c r="K141" s="19">
        <f t="shared" si="6"/>
        <v>0</v>
      </c>
      <c r="L141" s="19">
        <f t="shared" si="6"/>
        <v>0</v>
      </c>
      <c r="M141" s="19">
        <f t="shared" si="6"/>
        <v>0</v>
      </c>
      <c r="N141" s="19">
        <f t="shared" si="6"/>
        <v>0</v>
      </c>
      <c r="O141" s="19">
        <f t="shared" si="6"/>
        <v>0</v>
      </c>
      <c r="P141" s="19">
        <f t="shared" si="6"/>
        <v>0</v>
      </c>
      <c r="Q141" s="19">
        <f t="shared" si="6"/>
        <v>0</v>
      </c>
      <c r="R141" s="19">
        <f t="shared" si="6"/>
        <v>0</v>
      </c>
      <c r="S141" s="19">
        <f t="shared" si="6"/>
        <v>0</v>
      </c>
      <c r="T141" s="19">
        <f t="shared" si="6"/>
        <v>0</v>
      </c>
      <c r="U141" s="19">
        <f t="shared" si="6"/>
        <v>0</v>
      </c>
      <c r="V141" s="19">
        <f t="shared" si="6"/>
        <v>0</v>
      </c>
      <c r="W141" s="19">
        <f t="shared" si="6"/>
        <v>0</v>
      </c>
      <c r="X141" s="19">
        <f t="shared" si="6"/>
        <v>0</v>
      </c>
      <c r="Y141" s="19">
        <f t="shared" si="6"/>
        <v>0</v>
      </c>
      <c r="Z141" s="19">
        <f t="shared" si="6"/>
        <v>0</v>
      </c>
      <c r="AA141" s="19">
        <f t="shared" si="6"/>
        <v>0</v>
      </c>
      <c r="AB141" s="19">
        <f t="shared" si="6"/>
        <v>0</v>
      </c>
      <c r="AC141" s="20"/>
    </row>
    <row r="142" spans="1:29" x14ac:dyDescent="0.3">
      <c r="A142" s="30" t="str">
        <v>ax</v>
      </c>
      <c r="B142" s="19">
        <f t="shared" si="5"/>
        <v>0</v>
      </c>
      <c r="C142" s="19">
        <f t="shared" si="6"/>
        <v>0</v>
      </c>
      <c r="D142" s="19">
        <f t="shared" si="6"/>
        <v>0</v>
      </c>
      <c r="E142" s="19">
        <f t="shared" si="6"/>
        <v>0</v>
      </c>
      <c r="F142" s="19">
        <f t="shared" si="6"/>
        <v>0</v>
      </c>
      <c r="G142" s="19">
        <f t="shared" si="6"/>
        <v>0</v>
      </c>
      <c r="H142" s="19">
        <f t="shared" si="6"/>
        <v>0</v>
      </c>
      <c r="I142" s="19">
        <f t="shared" si="6"/>
        <v>0</v>
      </c>
      <c r="J142" s="19">
        <f t="shared" si="6"/>
        <v>0</v>
      </c>
      <c r="K142" s="19">
        <f t="shared" si="6"/>
        <v>0</v>
      </c>
      <c r="L142" s="19">
        <f t="shared" si="6"/>
        <v>0</v>
      </c>
      <c r="M142" s="19">
        <f t="shared" si="6"/>
        <v>0</v>
      </c>
      <c r="N142" s="19">
        <f t="shared" si="6"/>
        <v>0</v>
      </c>
      <c r="O142" s="19">
        <f t="shared" si="6"/>
        <v>0</v>
      </c>
      <c r="P142" s="19">
        <f t="shared" si="6"/>
        <v>0</v>
      </c>
      <c r="Q142" s="19">
        <f t="shared" si="6"/>
        <v>0</v>
      </c>
      <c r="R142" s="19">
        <f t="shared" si="6"/>
        <v>0</v>
      </c>
      <c r="S142" s="19">
        <f t="shared" si="6"/>
        <v>0</v>
      </c>
      <c r="T142" s="19">
        <f t="shared" si="6"/>
        <v>0</v>
      </c>
      <c r="U142" s="19">
        <f t="shared" si="6"/>
        <v>0</v>
      </c>
      <c r="V142" s="19">
        <f t="shared" si="6"/>
        <v>0</v>
      </c>
      <c r="W142" s="19">
        <f t="shared" si="6"/>
        <v>0</v>
      </c>
      <c r="X142" s="19">
        <f t="shared" si="6"/>
        <v>0</v>
      </c>
      <c r="Y142" s="19">
        <f t="shared" si="6"/>
        <v>0</v>
      </c>
      <c r="Z142" s="19">
        <f t="shared" si="6"/>
        <v>0</v>
      </c>
      <c r="AA142" s="19">
        <f t="shared" si="6"/>
        <v>0</v>
      </c>
      <c r="AB142" s="19">
        <f t="shared" si="6"/>
        <v>0</v>
      </c>
      <c r="AC142" s="20"/>
    </row>
    <row r="143" spans="1:29" x14ac:dyDescent="0.3">
      <c r="A143" s="30" t="str">
        <v>az</v>
      </c>
      <c r="B143" s="19">
        <f t="shared" si="5"/>
        <v>0</v>
      </c>
      <c r="C143" s="19">
        <f t="shared" si="6"/>
        <v>0</v>
      </c>
      <c r="D143" s="19">
        <f t="shared" si="6"/>
        <v>0</v>
      </c>
      <c r="E143" s="19">
        <f t="shared" si="6"/>
        <v>0</v>
      </c>
      <c r="F143" s="19">
        <f t="shared" si="6"/>
        <v>0</v>
      </c>
      <c r="G143" s="19">
        <f t="shared" si="6"/>
        <v>0</v>
      </c>
      <c r="H143" s="19">
        <f t="shared" si="6"/>
        <v>0</v>
      </c>
      <c r="I143" s="19">
        <f t="shared" si="6"/>
        <v>0</v>
      </c>
      <c r="J143" s="19">
        <f t="shared" si="6"/>
        <v>0</v>
      </c>
      <c r="K143" s="19">
        <f t="shared" si="6"/>
        <v>0</v>
      </c>
      <c r="L143" s="19">
        <f t="shared" si="6"/>
        <v>0</v>
      </c>
      <c r="M143" s="19">
        <f t="shared" si="6"/>
        <v>0</v>
      </c>
      <c r="N143" s="19">
        <f t="shared" si="6"/>
        <v>0</v>
      </c>
      <c r="O143" s="19">
        <f t="shared" si="6"/>
        <v>0</v>
      </c>
      <c r="P143" s="19">
        <f t="shared" si="6"/>
        <v>0</v>
      </c>
      <c r="Q143" s="19">
        <f t="shared" si="6"/>
        <v>0</v>
      </c>
      <c r="R143" s="19">
        <f t="shared" si="6"/>
        <v>0</v>
      </c>
      <c r="S143" s="19">
        <f t="shared" si="6"/>
        <v>0</v>
      </c>
      <c r="T143" s="19">
        <f t="shared" si="6"/>
        <v>0</v>
      </c>
      <c r="U143" s="19">
        <f t="shared" si="6"/>
        <v>0</v>
      </c>
      <c r="V143" s="19">
        <f t="shared" si="6"/>
        <v>0</v>
      </c>
      <c r="W143" s="19">
        <f t="shared" si="6"/>
        <v>0</v>
      </c>
      <c r="X143" s="19">
        <f t="shared" si="6"/>
        <v>0</v>
      </c>
      <c r="Y143" s="19">
        <f t="shared" si="6"/>
        <v>0</v>
      </c>
      <c r="Z143" s="19">
        <f t="shared" si="6"/>
        <v>0</v>
      </c>
      <c r="AA143" s="19">
        <f t="shared" si="6"/>
        <v>0</v>
      </c>
      <c r="AB143" s="19">
        <f t="shared" si="6"/>
        <v>0</v>
      </c>
      <c r="AC143" s="20"/>
    </row>
    <row r="144" spans="1:29" x14ac:dyDescent="0.3">
      <c r="A144" s="30" t="str">
        <v>ϴa</v>
      </c>
      <c r="B144" s="19">
        <f t="shared" si="5"/>
        <v>0</v>
      </c>
      <c r="C144" s="19">
        <f t="shared" si="6"/>
        <v>0</v>
      </c>
      <c r="D144" s="19">
        <f t="shared" si="6"/>
        <v>0</v>
      </c>
      <c r="E144" s="19">
        <f t="shared" si="6"/>
        <v>0</v>
      </c>
      <c r="F144" s="19">
        <f t="shared" si="6"/>
        <v>0</v>
      </c>
      <c r="G144" s="19">
        <f t="shared" si="6"/>
        <v>0</v>
      </c>
      <c r="H144" s="19">
        <f t="shared" ref="C144:AB150" si="7">IFERROR(VLOOKUP($A144,$A$114:$G$120,MATCH(H$123,$A$114:$G$114,0),FALSE),0)</f>
        <v>0</v>
      </c>
      <c r="I144" s="19">
        <f t="shared" si="7"/>
        <v>0</v>
      </c>
      <c r="J144" s="19">
        <f t="shared" si="7"/>
        <v>0</v>
      </c>
      <c r="K144" s="19">
        <f t="shared" si="7"/>
        <v>0</v>
      </c>
      <c r="L144" s="19">
        <f t="shared" si="7"/>
        <v>0</v>
      </c>
      <c r="M144" s="19">
        <f t="shared" si="7"/>
        <v>0</v>
      </c>
      <c r="N144" s="19">
        <f t="shared" si="7"/>
        <v>0</v>
      </c>
      <c r="O144" s="19">
        <f t="shared" si="7"/>
        <v>0</v>
      </c>
      <c r="P144" s="19">
        <f t="shared" si="7"/>
        <v>0</v>
      </c>
      <c r="Q144" s="19">
        <f t="shared" si="7"/>
        <v>0</v>
      </c>
      <c r="R144" s="19">
        <f t="shared" si="7"/>
        <v>0</v>
      </c>
      <c r="S144" s="19">
        <f t="shared" si="7"/>
        <v>0</v>
      </c>
      <c r="T144" s="19">
        <f t="shared" si="7"/>
        <v>0</v>
      </c>
      <c r="U144" s="19">
        <f t="shared" si="7"/>
        <v>0</v>
      </c>
      <c r="V144" s="19">
        <f t="shared" si="7"/>
        <v>0</v>
      </c>
      <c r="W144" s="19">
        <f t="shared" si="7"/>
        <v>0</v>
      </c>
      <c r="X144" s="19">
        <f t="shared" si="7"/>
        <v>0</v>
      </c>
      <c r="Y144" s="19">
        <f t="shared" si="7"/>
        <v>0</v>
      </c>
      <c r="Z144" s="19">
        <f t="shared" si="7"/>
        <v>0</v>
      </c>
      <c r="AA144" s="19">
        <f t="shared" si="7"/>
        <v>0</v>
      </c>
      <c r="AB144" s="19">
        <f t="shared" si="7"/>
        <v>0</v>
      </c>
      <c r="AC144" s="20"/>
    </row>
    <row r="145" spans="1:29" x14ac:dyDescent="0.3">
      <c r="A145" s="30" t="str">
        <v>bx</v>
      </c>
      <c r="B145" s="19">
        <f t="shared" si="5"/>
        <v>0</v>
      </c>
      <c r="C145" s="19">
        <f t="shared" si="7"/>
        <v>0</v>
      </c>
      <c r="D145" s="19">
        <f t="shared" si="7"/>
        <v>0</v>
      </c>
      <c r="E145" s="19">
        <f t="shared" si="7"/>
        <v>0</v>
      </c>
      <c r="F145" s="19">
        <f t="shared" si="7"/>
        <v>0</v>
      </c>
      <c r="G145" s="19">
        <f t="shared" si="7"/>
        <v>0</v>
      </c>
      <c r="H145" s="19">
        <f t="shared" si="7"/>
        <v>0</v>
      </c>
      <c r="I145" s="19">
        <f t="shared" si="7"/>
        <v>0</v>
      </c>
      <c r="J145" s="19">
        <f t="shared" si="7"/>
        <v>0</v>
      </c>
      <c r="K145" s="19">
        <f t="shared" si="7"/>
        <v>0</v>
      </c>
      <c r="L145" s="19">
        <f t="shared" si="7"/>
        <v>0</v>
      </c>
      <c r="M145" s="19">
        <f t="shared" si="7"/>
        <v>0</v>
      </c>
      <c r="N145" s="19">
        <f t="shared" si="7"/>
        <v>0</v>
      </c>
      <c r="O145" s="19">
        <f t="shared" si="7"/>
        <v>0</v>
      </c>
      <c r="P145" s="19">
        <f t="shared" si="7"/>
        <v>0</v>
      </c>
      <c r="Q145" s="19">
        <f t="shared" si="7"/>
        <v>0</v>
      </c>
      <c r="R145" s="19">
        <f t="shared" si="7"/>
        <v>0</v>
      </c>
      <c r="S145" s="19">
        <f t="shared" si="7"/>
        <v>0</v>
      </c>
      <c r="T145" s="19">
        <f t="shared" si="7"/>
        <v>0</v>
      </c>
      <c r="U145" s="19">
        <f t="shared" si="7"/>
        <v>0</v>
      </c>
      <c r="V145" s="19">
        <f t="shared" si="7"/>
        <v>0</v>
      </c>
      <c r="W145" s="19">
        <f t="shared" si="7"/>
        <v>0</v>
      </c>
      <c r="X145" s="19">
        <f t="shared" si="7"/>
        <v>0</v>
      </c>
      <c r="Y145" s="19">
        <f t="shared" si="7"/>
        <v>0</v>
      </c>
      <c r="Z145" s="19">
        <f t="shared" si="7"/>
        <v>0</v>
      </c>
      <c r="AA145" s="19">
        <f t="shared" si="7"/>
        <v>0</v>
      </c>
      <c r="AB145" s="19">
        <f t="shared" si="7"/>
        <v>0</v>
      </c>
      <c r="AC145" s="20"/>
    </row>
    <row r="146" spans="1:29" x14ac:dyDescent="0.3">
      <c r="A146" s="30" t="str">
        <v>bz</v>
      </c>
      <c r="B146" s="19">
        <f t="shared" si="5"/>
        <v>0</v>
      </c>
      <c r="C146" s="19">
        <f t="shared" si="7"/>
        <v>0</v>
      </c>
      <c r="D146" s="19">
        <f t="shared" si="7"/>
        <v>0</v>
      </c>
      <c r="E146" s="19">
        <f t="shared" si="7"/>
        <v>0</v>
      </c>
      <c r="F146" s="19">
        <f t="shared" si="7"/>
        <v>0</v>
      </c>
      <c r="G146" s="19">
        <f t="shared" si="7"/>
        <v>0</v>
      </c>
      <c r="H146" s="19">
        <f t="shared" si="7"/>
        <v>0</v>
      </c>
      <c r="I146" s="19">
        <f t="shared" si="7"/>
        <v>0</v>
      </c>
      <c r="J146" s="19">
        <f t="shared" si="7"/>
        <v>0</v>
      </c>
      <c r="K146" s="19">
        <f t="shared" si="7"/>
        <v>0</v>
      </c>
      <c r="L146" s="19">
        <f t="shared" si="7"/>
        <v>0</v>
      </c>
      <c r="M146" s="19">
        <f t="shared" si="7"/>
        <v>0</v>
      </c>
      <c r="N146" s="19">
        <f t="shared" si="7"/>
        <v>0</v>
      </c>
      <c r="O146" s="19">
        <f t="shared" si="7"/>
        <v>0</v>
      </c>
      <c r="P146" s="19">
        <f t="shared" si="7"/>
        <v>0</v>
      </c>
      <c r="Q146" s="19">
        <f t="shared" si="7"/>
        <v>0</v>
      </c>
      <c r="R146" s="19">
        <f t="shared" si="7"/>
        <v>0</v>
      </c>
      <c r="S146" s="19">
        <f t="shared" si="7"/>
        <v>0</v>
      </c>
      <c r="T146" s="19">
        <f t="shared" si="7"/>
        <v>0</v>
      </c>
      <c r="U146" s="19">
        <f t="shared" si="7"/>
        <v>0</v>
      </c>
      <c r="V146" s="19">
        <f t="shared" si="7"/>
        <v>0</v>
      </c>
      <c r="W146" s="19">
        <f t="shared" si="7"/>
        <v>0</v>
      </c>
      <c r="X146" s="19">
        <f t="shared" si="7"/>
        <v>0</v>
      </c>
      <c r="Y146" s="19">
        <f t="shared" si="7"/>
        <v>0</v>
      </c>
      <c r="Z146" s="19">
        <f t="shared" si="7"/>
        <v>0</v>
      </c>
      <c r="AA146" s="19">
        <f t="shared" si="7"/>
        <v>0</v>
      </c>
      <c r="AB146" s="19">
        <f t="shared" si="7"/>
        <v>0</v>
      </c>
      <c r="AC146" s="20"/>
    </row>
    <row r="147" spans="1:29" x14ac:dyDescent="0.3">
      <c r="A147" s="30" t="str">
        <v>ϴb</v>
      </c>
      <c r="B147" s="19">
        <f t="shared" si="5"/>
        <v>0</v>
      </c>
      <c r="C147" s="19">
        <f t="shared" si="7"/>
        <v>0</v>
      </c>
      <c r="D147" s="19">
        <f t="shared" si="7"/>
        <v>0</v>
      </c>
      <c r="E147" s="19">
        <f t="shared" si="7"/>
        <v>0</v>
      </c>
      <c r="F147" s="19">
        <f t="shared" si="7"/>
        <v>0</v>
      </c>
      <c r="G147" s="19">
        <f t="shared" si="7"/>
        <v>0</v>
      </c>
      <c r="H147" s="19">
        <f t="shared" si="7"/>
        <v>0</v>
      </c>
      <c r="I147" s="19">
        <f t="shared" si="7"/>
        <v>0</v>
      </c>
      <c r="J147" s="19">
        <f t="shared" si="7"/>
        <v>0</v>
      </c>
      <c r="K147" s="19">
        <f t="shared" si="7"/>
        <v>0</v>
      </c>
      <c r="L147" s="19">
        <f t="shared" si="7"/>
        <v>0</v>
      </c>
      <c r="M147" s="19">
        <f t="shared" si="7"/>
        <v>0</v>
      </c>
      <c r="N147" s="19">
        <f t="shared" si="7"/>
        <v>0</v>
      </c>
      <c r="O147" s="19">
        <f t="shared" si="7"/>
        <v>0</v>
      </c>
      <c r="P147" s="19">
        <f t="shared" si="7"/>
        <v>0</v>
      </c>
      <c r="Q147" s="19">
        <f t="shared" si="7"/>
        <v>0</v>
      </c>
      <c r="R147" s="19">
        <f t="shared" si="7"/>
        <v>0</v>
      </c>
      <c r="S147" s="19">
        <f t="shared" si="7"/>
        <v>0</v>
      </c>
      <c r="T147" s="19">
        <f t="shared" si="7"/>
        <v>0</v>
      </c>
      <c r="U147" s="19">
        <f t="shared" si="7"/>
        <v>0</v>
      </c>
      <c r="V147" s="19">
        <f t="shared" si="7"/>
        <v>0</v>
      </c>
      <c r="W147" s="19">
        <f t="shared" si="7"/>
        <v>0</v>
      </c>
      <c r="X147" s="19">
        <f t="shared" si="7"/>
        <v>0</v>
      </c>
      <c r="Y147" s="19">
        <f t="shared" si="7"/>
        <v>0</v>
      </c>
      <c r="Z147" s="19">
        <f t="shared" si="7"/>
        <v>0</v>
      </c>
      <c r="AA147" s="19">
        <f t="shared" si="7"/>
        <v>0</v>
      </c>
      <c r="AB147" s="19">
        <f t="shared" si="7"/>
        <v>0</v>
      </c>
      <c r="AC147" s="20"/>
    </row>
    <row r="148" spans="1:29" x14ac:dyDescent="0.3">
      <c r="A148" s="30" t="str">
        <v>cx</v>
      </c>
      <c r="B148" s="19">
        <f t="shared" si="5"/>
        <v>0</v>
      </c>
      <c r="C148" s="19">
        <f t="shared" si="7"/>
        <v>0</v>
      </c>
      <c r="D148" s="19">
        <f t="shared" si="7"/>
        <v>0</v>
      </c>
      <c r="E148" s="19">
        <f t="shared" si="7"/>
        <v>0</v>
      </c>
      <c r="F148" s="19">
        <f t="shared" si="7"/>
        <v>0</v>
      </c>
      <c r="G148" s="19">
        <f t="shared" si="7"/>
        <v>0</v>
      </c>
      <c r="H148" s="19">
        <f t="shared" si="7"/>
        <v>0</v>
      </c>
      <c r="I148" s="19">
        <f t="shared" si="7"/>
        <v>0</v>
      </c>
      <c r="J148" s="19">
        <f t="shared" si="7"/>
        <v>0</v>
      </c>
      <c r="K148" s="19">
        <f t="shared" si="7"/>
        <v>0</v>
      </c>
      <c r="L148" s="19">
        <f t="shared" si="7"/>
        <v>0</v>
      </c>
      <c r="M148" s="19">
        <f t="shared" si="7"/>
        <v>0</v>
      </c>
      <c r="N148" s="19">
        <f t="shared" si="7"/>
        <v>0</v>
      </c>
      <c r="O148" s="19">
        <f t="shared" si="7"/>
        <v>0</v>
      </c>
      <c r="P148" s="19">
        <f t="shared" si="7"/>
        <v>0</v>
      </c>
      <c r="Q148" s="19">
        <f t="shared" si="7"/>
        <v>0</v>
      </c>
      <c r="R148" s="19">
        <f t="shared" si="7"/>
        <v>0</v>
      </c>
      <c r="S148" s="19">
        <f t="shared" si="7"/>
        <v>0</v>
      </c>
      <c r="T148" s="19">
        <f t="shared" si="7"/>
        <v>0</v>
      </c>
      <c r="U148" s="19">
        <f t="shared" si="7"/>
        <v>0</v>
      </c>
      <c r="V148" s="19">
        <f t="shared" si="7"/>
        <v>0</v>
      </c>
      <c r="W148" s="19">
        <f t="shared" si="7"/>
        <v>0</v>
      </c>
      <c r="X148" s="19">
        <f t="shared" si="7"/>
        <v>0</v>
      </c>
      <c r="Y148" s="19">
        <f t="shared" si="7"/>
        <v>0</v>
      </c>
      <c r="Z148" s="19">
        <f t="shared" si="7"/>
        <v>0</v>
      </c>
      <c r="AA148" s="19">
        <f t="shared" si="7"/>
        <v>0</v>
      </c>
      <c r="AB148" s="19">
        <f t="shared" si="7"/>
        <v>0</v>
      </c>
      <c r="AC148" s="20"/>
    </row>
    <row r="149" spans="1:29" x14ac:dyDescent="0.3">
      <c r="A149" s="30" t="str">
        <v>cz</v>
      </c>
      <c r="B149" s="19">
        <f t="shared" si="5"/>
        <v>0</v>
      </c>
      <c r="C149" s="19">
        <f t="shared" si="7"/>
        <v>0</v>
      </c>
      <c r="D149" s="19">
        <f t="shared" si="7"/>
        <v>0</v>
      </c>
      <c r="E149" s="19">
        <f t="shared" si="7"/>
        <v>0</v>
      </c>
      <c r="F149" s="19">
        <f t="shared" si="7"/>
        <v>0</v>
      </c>
      <c r="G149" s="19">
        <f t="shared" si="7"/>
        <v>0</v>
      </c>
      <c r="H149" s="19">
        <f t="shared" si="7"/>
        <v>0</v>
      </c>
      <c r="I149" s="19">
        <f t="shared" si="7"/>
        <v>0</v>
      </c>
      <c r="J149" s="19">
        <f t="shared" si="7"/>
        <v>0</v>
      </c>
      <c r="K149" s="19">
        <f t="shared" si="7"/>
        <v>0</v>
      </c>
      <c r="L149" s="19">
        <f t="shared" si="7"/>
        <v>0</v>
      </c>
      <c r="M149" s="19">
        <f t="shared" si="7"/>
        <v>0</v>
      </c>
      <c r="N149" s="19">
        <f t="shared" si="7"/>
        <v>0</v>
      </c>
      <c r="O149" s="19">
        <f t="shared" si="7"/>
        <v>0</v>
      </c>
      <c r="P149" s="19">
        <f t="shared" si="7"/>
        <v>0</v>
      </c>
      <c r="Q149" s="19">
        <f t="shared" si="7"/>
        <v>0</v>
      </c>
      <c r="R149" s="19">
        <f t="shared" si="7"/>
        <v>0</v>
      </c>
      <c r="S149" s="19">
        <f t="shared" si="7"/>
        <v>0</v>
      </c>
      <c r="T149" s="19">
        <f t="shared" si="7"/>
        <v>0</v>
      </c>
      <c r="U149" s="19">
        <f t="shared" si="7"/>
        <v>0</v>
      </c>
      <c r="V149" s="19">
        <f t="shared" si="7"/>
        <v>0</v>
      </c>
      <c r="W149" s="19">
        <f t="shared" si="7"/>
        <v>0</v>
      </c>
      <c r="X149" s="19">
        <f t="shared" si="7"/>
        <v>0</v>
      </c>
      <c r="Y149" s="19">
        <f t="shared" si="7"/>
        <v>0</v>
      </c>
      <c r="Z149" s="19">
        <f t="shared" si="7"/>
        <v>0</v>
      </c>
      <c r="AA149" s="19">
        <f t="shared" si="7"/>
        <v>0</v>
      </c>
      <c r="AB149" s="19">
        <f t="shared" si="7"/>
        <v>0</v>
      </c>
      <c r="AC149" s="20"/>
    </row>
    <row r="150" spans="1:29" x14ac:dyDescent="0.3">
      <c r="A150" s="30" t="str">
        <v>ϴc</v>
      </c>
      <c r="B150" s="19">
        <f t="shared" si="5"/>
        <v>0</v>
      </c>
      <c r="C150" s="19">
        <f t="shared" si="7"/>
        <v>0</v>
      </c>
      <c r="D150" s="19">
        <f t="shared" si="7"/>
        <v>0</v>
      </c>
      <c r="E150" s="19">
        <f t="shared" si="7"/>
        <v>0</v>
      </c>
      <c r="F150" s="19">
        <f t="shared" si="7"/>
        <v>0</v>
      </c>
      <c r="G150" s="19">
        <f t="shared" si="7"/>
        <v>0</v>
      </c>
      <c r="H150" s="19">
        <f t="shared" si="7"/>
        <v>0</v>
      </c>
      <c r="I150" s="19">
        <f t="shared" si="7"/>
        <v>0</v>
      </c>
      <c r="J150" s="19">
        <f t="shared" si="7"/>
        <v>0</v>
      </c>
      <c r="K150" s="19">
        <f t="shared" si="7"/>
        <v>0</v>
      </c>
      <c r="L150" s="19">
        <f t="shared" si="7"/>
        <v>0</v>
      </c>
      <c r="M150" s="19">
        <f t="shared" si="7"/>
        <v>0</v>
      </c>
      <c r="N150" s="19">
        <f t="shared" si="7"/>
        <v>0</v>
      </c>
      <c r="O150" s="19">
        <f t="shared" si="7"/>
        <v>0</v>
      </c>
      <c r="P150" s="19">
        <f t="shared" si="7"/>
        <v>0</v>
      </c>
      <c r="Q150" s="19">
        <f t="shared" si="7"/>
        <v>0</v>
      </c>
      <c r="R150" s="19">
        <f t="shared" si="7"/>
        <v>0</v>
      </c>
      <c r="S150" s="19">
        <f t="shared" si="7"/>
        <v>0</v>
      </c>
      <c r="T150" s="19">
        <f t="shared" si="7"/>
        <v>0</v>
      </c>
      <c r="U150" s="19">
        <f t="shared" si="7"/>
        <v>0</v>
      </c>
      <c r="V150" s="19">
        <f t="shared" si="7"/>
        <v>0</v>
      </c>
      <c r="W150" s="19">
        <f t="shared" si="7"/>
        <v>0</v>
      </c>
      <c r="X150" s="19">
        <f t="shared" si="7"/>
        <v>0</v>
      </c>
      <c r="Y150" s="19">
        <f t="shared" si="7"/>
        <v>0</v>
      </c>
      <c r="Z150" s="19">
        <f t="shared" si="7"/>
        <v>0</v>
      </c>
      <c r="AA150" s="19">
        <f t="shared" si="7"/>
        <v>0</v>
      </c>
      <c r="AB150" s="19">
        <f t="shared" si="7"/>
        <v>0</v>
      </c>
      <c r="AC150" s="20"/>
    </row>
    <row r="151" spans="1:29" x14ac:dyDescent="0.3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20"/>
    </row>
    <row r="152" spans="1:29" ht="15" thickBot="1" x14ac:dyDescent="0.35">
      <c r="A152" s="31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3"/>
    </row>
    <row r="154" spans="1:29" ht="15" thickBot="1" x14ac:dyDescent="0.35"/>
    <row r="155" spans="1:29" x14ac:dyDescent="0.3">
      <c r="A155" s="39" t="s">
        <v>49</v>
      </c>
      <c r="B155" s="40"/>
      <c r="C155" s="40"/>
      <c r="D155" s="40"/>
      <c r="E155" s="40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7"/>
    </row>
    <row r="156" spans="1:29" x14ac:dyDescent="0.3">
      <c r="A156" s="18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20"/>
    </row>
    <row r="157" spans="1:29" x14ac:dyDescent="0.3">
      <c r="A157" s="18"/>
      <c r="B157" s="1" t="s">
        <v>2</v>
      </c>
      <c r="C157" s="1">
        <v>625</v>
      </c>
      <c r="D157" s="1" t="s">
        <v>47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20"/>
    </row>
    <row r="158" spans="1:29" x14ac:dyDescent="0.3">
      <c r="A158" s="18"/>
      <c r="B158" s="1" t="s">
        <v>3</v>
      </c>
      <c r="C158" s="1">
        <v>32552.080000000002</v>
      </c>
      <c r="D158" s="1" t="s">
        <v>3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20"/>
    </row>
    <row r="159" spans="1:29" x14ac:dyDescent="0.3">
      <c r="A159" s="18"/>
      <c r="B159" s="1" t="s">
        <v>4</v>
      </c>
      <c r="C159" s="1">
        <v>400</v>
      </c>
      <c r="D159" s="1" t="s">
        <v>6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20"/>
    </row>
    <row r="160" spans="1:29" x14ac:dyDescent="0.3">
      <c r="A160" s="18"/>
      <c r="B160" s="1" t="s">
        <v>5</v>
      </c>
      <c r="C160" s="1">
        <v>218819.79</v>
      </c>
      <c r="D160" s="1" t="s">
        <v>5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20"/>
    </row>
    <row r="161" spans="1:29" x14ac:dyDescent="0.3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20"/>
    </row>
    <row r="162" spans="1:29" x14ac:dyDescent="0.3">
      <c r="A162" s="34" t="s">
        <v>12</v>
      </c>
      <c r="B162" s="35"/>
      <c r="C162" s="35"/>
      <c r="D162" s="35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20"/>
    </row>
    <row r="163" spans="1:29" x14ac:dyDescent="0.3">
      <c r="A163" s="21" t="s">
        <v>7</v>
      </c>
      <c r="B163" s="5">
        <f>C160*C157/C159</f>
        <v>341905.921875</v>
      </c>
      <c r="C163" s="4" t="s">
        <v>11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20"/>
    </row>
    <row r="164" spans="1:29" x14ac:dyDescent="0.3">
      <c r="A164" s="22" t="s">
        <v>8</v>
      </c>
      <c r="B164" s="3">
        <f>(12*C160*C158)/(C159^3)</f>
        <v>1335.5698705618502</v>
      </c>
      <c r="C164" s="1" t="s">
        <v>11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20"/>
    </row>
    <row r="165" spans="1:29" x14ac:dyDescent="0.3">
      <c r="A165" s="22" t="s">
        <v>21</v>
      </c>
      <c r="B165" s="3">
        <f>(6*C160*C158)/(C159^2)</f>
        <v>267113.97411236999</v>
      </c>
      <c r="C165" s="1" t="s">
        <v>11</v>
      </c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20"/>
    </row>
    <row r="166" spans="1:29" x14ac:dyDescent="0.3">
      <c r="A166" s="22" t="s">
        <v>9</v>
      </c>
      <c r="B166" s="2">
        <f>(4*C160*C158)/C159</f>
        <v>71230393.096632004</v>
      </c>
      <c r="C166" s="1" t="s">
        <v>11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20"/>
    </row>
    <row r="167" spans="1:29" x14ac:dyDescent="0.3">
      <c r="A167" s="22" t="s">
        <v>10</v>
      </c>
      <c r="B167" s="2">
        <f>(2*C160*C158)/(C159)</f>
        <v>35615196.548316002</v>
      </c>
      <c r="C167" s="1" t="s">
        <v>11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20"/>
    </row>
    <row r="168" spans="1:29" x14ac:dyDescent="0.3">
      <c r="A168" s="18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20"/>
    </row>
    <row r="169" spans="1:29" x14ac:dyDescent="0.3">
      <c r="A169" s="36" t="s">
        <v>52</v>
      </c>
      <c r="B169" s="37"/>
      <c r="C169" s="37"/>
      <c r="D169" s="37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20"/>
    </row>
    <row r="170" spans="1:29" x14ac:dyDescent="0.3">
      <c r="A170" s="18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20"/>
    </row>
    <row r="171" spans="1:29" x14ac:dyDescent="0.3">
      <c r="A171" s="22" t="s">
        <v>14</v>
      </c>
      <c r="B171" s="6" t="s">
        <v>27</v>
      </c>
      <c r="C171" s="6" t="s">
        <v>28</v>
      </c>
      <c r="D171" s="7" t="s">
        <v>24</v>
      </c>
      <c r="E171" s="7" t="s">
        <v>40</v>
      </c>
      <c r="F171" s="7" t="s">
        <v>41</v>
      </c>
      <c r="G171" s="7" t="s">
        <v>42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20"/>
    </row>
    <row r="172" spans="1:29" x14ac:dyDescent="0.3">
      <c r="A172" s="23" t="str">
        <f t="array" ref="A172:A177">TRANSPOSE(B171:G171)</f>
        <v>3x</v>
      </c>
      <c r="B172" s="9">
        <f>+B163</f>
        <v>341905.921875</v>
      </c>
      <c r="C172" s="9">
        <v>0</v>
      </c>
      <c r="D172" s="9">
        <v>0</v>
      </c>
      <c r="E172" s="8">
        <f>-B163</f>
        <v>-341905.921875</v>
      </c>
      <c r="F172" s="8">
        <v>0</v>
      </c>
      <c r="G172" s="8">
        <v>0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20"/>
    </row>
    <row r="173" spans="1:29" x14ac:dyDescent="0.3">
      <c r="A173" s="23" t="str">
        <v>3z</v>
      </c>
      <c r="B173" s="9">
        <v>0</v>
      </c>
      <c r="C173" s="9">
        <f>+B164</f>
        <v>1335.5698705618502</v>
      </c>
      <c r="D173" s="9">
        <f>+B165</f>
        <v>267113.97411236999</v>
      </c>
      <c r="E173" s="8">
        <v>0</v>
      </c>
      <c r="F173" s="8">
        <f>-B164</f>
        <v>-1335.5698705618502</v>
      </c>
      <c r="G173" s="8">
        <f>+B165</f>
        <v>267113.97411236999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20"/>
    </row>
    <row r="174" spans="1:29" x14ac:dyDescent="0.3">
      <c r="A174" s="23" t="str">
        <v>ϴ3</v>
      </c>
      <c r="B174" s="9">
        <v>0</v>
      </c>
      <c r="C174" s="9">
        <f>+B165</f>
        <v>267113.97411236999</v>
      </c>
      <c r="D174" s="9">
        <f>+B166</f>
        <v>71230393.096632004</v>
      </c>
      <c r="E174" s="8">
        <v>0</v>
      </c>
      <c r="F174" s="8">
        <f>-B165</f>
        <v>-267113.97411236999</v>
      </c>
      <c r="G174" s="8">
        <f>+B167</f>
        <v>35615196.548316002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20"/>
    </row>
    <row r="175" spans="1:29" x14ac:dyDescent="0.3">
      <c r="A175" s="23" t="str">
        <v>bx</v>
      </c>
      <c r="B175" s="10">
        <f>-B163</f>
        <v>-341905.921875</v>
      </c>
      <c r="C175" s="10">
        <v>0</v>
      </c>
      <c r="D175" s="10">
        <v>0</v>
      </c>
      <c r="E175" s="11">
        <f>+B163</f>
        <v>341905.921875</v>
      </c>
      <c r="F175" s="11">
        <v>0</v>
      </c>
      <c r="G175" s="11">
        <v>0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20"/>
    </row>
    <row r="176" spans="1:29" x14ac:dyDescent="0.3">
      <c r="A176" s="23" t="str">
        <v>bz</v>
      </c>
      <c r="B176" s="10">
        <v>0</v>
      </c>
      <c r="C176" s="10">
        <f>-B164</f>
        <v>-1335.5698705618502</v>
      </c>
      <c r="D176" s="10">
        <f>-B165</f>
        <v>-267113.97411236999</v>
      </c>
      <c r="E176" s="11">
        <v>0</v>
      </c>
      <c r="F176" s="11">
        <f>+B164</f>
        <v>1335.5698705618502</v>
      </c>
      <c r="G176" s="11">
        <f>-B165</f>
        <v>-267113.97411236999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20"/>
    </row>
    <row r="177" spans="1:29" x14ac:dyDescent="0.3">
      <c r="A177" s="23" t="str">
        <v>ϴb</v>
      </c>
      <c r="B177" s="10">
        <v>0</v>
      </c>
      <c r="C177" s="10">
        <f>+B165</f>
        <v>267113.97411236999</v>
      </c>
      <c r="D177" s="10">
        <f>+B167</f>
        <v>35615196.548316002</v>
      </c>
      <c r="E177" s="11">
        <v>0</v>
      </c>
      <c r="F177" s="11">
        <f>-B165</f>
        <v>-267113.97411236999</v>
      </c>
      <c r="G177" s="11">
        <f>+B166</f>
        <v>71230393.096632004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20"/>
    </row>
    <row r="178" spans="1:29" x14ac:dyDescent="0.3">
      <c r="A178" s="18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20"/>
    </row>
    <row r="179" spans="1:29" x14ac:dyDescent="0.3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20"/>
    </row>
    <row r="180" spans="1:29" x14ac:dyDescent="0.3">
      <c r="A180" s="36" t="s">
        <v>53</v>
      </c>
      <c r="B180" s="37"/>
      <c r="C180" s="37"/>
      <c r="D180" s="37"/>
      <c r="E180" s="37"/>
      <c r="F180" s="37"/>
      <c r="G180" s="37"/>
      <c r="H180" s="37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20"/>
    </row>
    <row r="181" spans="1:29" x14ac:dyDescent="0.3">
      <c r="A181" s="24"/>
      <c r="B181" s="25"/>
      <c r="C181" s="25"/>
      <c r="D181" s="25"/>
      <c r="E181" s="25"/>
      <c r="F181" s="25"/>
      <c r="G181" s="25"/>
      <c r="H181" s="25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20"/>
    </row>
    <row r="182" spans="1:29" x14ac:dyDescent="0.3">
      <c r="A182" s="24"/>
      <c r="B182" s="25"/>
      <c r="C182" s="25"/>
      <c r="D182" s="25"/>
      <c r="E182" s="25"/>
      <c r="F182" s="25"/>
      <c r="G182" s="25"/>
      <c r="H182" s="25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20"/>
    </row>
    <row r="183" spans="1:29" x14ac:dyDescent="0.3">
      <c r="A183" s="26" t="s">
        <v>32</v>
      </c>
      <c r="B183" s="25">
        <v>90</v>
      </c>
      <c r="C183" s="25"/>
      <c r="D183" s="25" t="s">
        <v>35</v>
      </c>
      <c r="E183" s="27">
        <f>+B172</f>
        <v>341905.921875</v>
      </c>
      <c r="F183" s="27" t="s">
        <v>35</v>
      </c>
      <c r="G183" s="27">
        <f>+E172</f>
        <v>-341905.921875</v>
      </c>
      <c r="H183" s="27" t="s">
        <v>35</v>
      </c>
      <c r="I183" s="28">
        <f>+B175</f>
        <v>-341905.921875</v>
      </c>
      <c r="J183" s="27" t="s">
        <v>35</v>
      </c>
      <c r="K183" s="28">
        <f>+E175</f>
        <v>341905.921875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20"/>
    </row>
    <row r="184" spans="1:29" x14ac:dyDescent="0.3">
      <c r="A184" s="26" t="s">
        <v>33</v>
      </c>
      <c r="B184" s="25">
        <f>SIN(RADIANS(B183))</f>
        <v>1</v>
      </c>
      <c r="C184" s="25"/>
      <c r="D184" s="25" t="s">
        <v>36</v>
      </c>
      <c r="E184" s="27">
        <f>+C173</f>
        <v>1335.5698705618502</v>
      </c>
      <c r="F184" s="27" t="s">
        <v>36</v>
      </c>
      <c r="G184" s="27">
        <f>+F173</f>
        <v>-1335.5698705618502</v>
      </c>
      <c r="H184" s="27" t="s">
        <v>36</v>
      </c>
      <c r="I184" s="28">
        <f>+C176</f>
        <v>-1335.5698705618502</v>
      </c>
      <c r="J184" s="27" t="s">
        <v>36</v>
      </c>
      <c r="K184" s="28">
        <f>+F176</f>
        <v>1335.5698705618502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20"/>
    </row>
    <row r="185" spans="1:29" x14ac:dyDescent="0.3">
      <c r="A185" s="26" t="s">
        <v>34</v>
      </c>
      <c r="B185" s="29">
        <f>COS(RADIANS(B183))</f>
        <v>6.1257422745431001E-17</v>
      </c>
      <c r="C185" s="25"/>
      <c r="D185" s="25" t="s">
        <v>37</v>
      </c>
      <c r="E185" s="27">
        <f>+D174</f>
        <v>71230393.096632004</v>
      </c>
      <c r="F185" s="27" t="s">
        <v>37</v>
      </c>
      <c r="G185" s="27">
        <f>+G174</f>
        <v>35615196.548316002</v>
      </c>
      <c r="H185" s="27" t="s">
        <v>37</v>
      </c>
      <c r="I185" s="28">
        <f>+D177</f>
        <v>35615196.548316002</v>
      </c>
      <c r="J185" s="27" t="s">
        <v>37</v>
      </c>
      <c r="K185" s="28">
        <f>+G177</f>
        <v>71230393.096632004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20"/>
    </row>
    <row r="186" spans="1:29" x14ac:dyDescent="0.3">
      <c r="A186" s="24"/>
      <c r="B186" s="25"/>
      <c r="C186" s="25"/>
      <c r="D186" s="25" t="s">
        <v>38</v>
      </c>
      <c r="E186" s="27">
        <f>+D173</f>
        <v>267113.97411236999</v>
      </c>
      <c r="F186" s="27" t="s">
        <v>38</v>
      </c>
      <c r="G186" s="27">
        <f>+G173</f>
        <v>267113.97411236999</v>
      </c>
      <c r="H186" s="27" t="s">
        <v>38</v>
      </c>
      <c r="I186" s="28">
        <f>+D176</f>
        <v>-267113.97411236999</v>
      </c>
      <c r="J186" s="27" t="s">
        <v>38</v>
      </c>
      <c r="K186" s="28">
        <f>+G176</f>
        <v>-267113.97411236999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20"/>
    </row>
    <row r="187" spans="1:29" x14ac:dyDescent="0.3">
      <c r="A187" s="24"/>
      <c r="B187" s="25"/>
      <c r="C187" s="25"/>
      <c r="D187" s="25" t="s">
        <v>39</v>
      </c>
      <c r="E187" s="27">
        <f>+C174</f>
        <v>267113.97411236999</v>
      </c>
      <c r="F187" s="27" t="s">
        <v>39</v>
      </c>
      <c r="G187" s="27">
        <f>+F174</f>
        <v>-267113.97411236999</v>
      </c>
      <c r="H187" s="27" t="s">
        <v>39</v>
      </c>
      <c r="I187" s="28">
        <f>+C177</f>
        <v>267113.97411236999</v>
      </c>
      <c r="J187" s="27" t="s">
        <v>39</v>
      </c>
      <c r="K187" s="28">
        <f>+F177</f>
        <v>-267113.97411236999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20"/>
    </row>
    <row r="188" spans="1:29" x14ac:dyDescent="0.3">
      <c r="A188" s="24"/>
      <c r="B188" s="25"/>
      <c r="C188" s="25"/>
      <c r="D188" s="25"/>
      <c r="E188" s="25"/>
      <c r="F188" s="25"/>
      <c r="G188" s="25"/>
      <c r="H188" s="25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20"/>
    </row>
    <row r="189" spans="1:29" x14ac:dyDescent="0.3">
      <c r="A189" s="22" t="s">
        <v>14</v>
      </c>
      <c r="B189" s="6" t="str">
        <f t="array" ref="B189:G189">B171:G171</f>
        <v>3x</v>
      </c>
      <c r="C189" s="6" t="str">
        <v>3z</v>
      </c>
      <c r="D189" s="7" t="str">
        <v>ϴ3</v>
      </c>
      <c r="E189" s="7" t="str">
        <v>bx</v>
      </c>
      <c r="F189" s="7" t="str">
        <v>bz</v>
      </c>
      <c r="G189" s="7" t="str">
        <v>ϴb</v>
      </c>
      <c r="H189" s="25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20"/>
    </row>
    <row r="190" spans="1:29" x14ac:dyDescent="0.3">
      <c r="A190" s="23" t="str">
        <f t="array" ref="A190:A195">TRANSPOSE(B189:G189)</f>
        <v>3x</v>
      </c>
      <c r="B190" s="15">
        <f>+K183*B185*B185+K184*B184*B184</f>
        <v>1335.5698705618502</v>
      </c>
      <c r="C190" s="15">
        <f>(K183-K184)*B184*B185</f>
        <v>2.0862462027296113E-11</v>
      </c>
      <c r="D190" s="15">
        <f>-K186*B184</f>
        <v>267113.97411236999</v>
      </c>
      <c r="E190" s="12">
        <v>0</v>
      </c>
      <c r="F190" s="12">
        <v>0</v>
      </c>
      <c r="G190" s="12">
        <v>0</v>
      </c>
      <c r="H190" s="25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20"/>
    </row>
    <row r="191" spans="1:29" x14ac:dyDescent="0.3">
      <c r="A191" s="23" t="str">
        <v>3z</v>
      </c>
      <c r="B191" s="15">
        <f>+C190</f>
        <v>2.0862462027296113E-11</v>
      </c>
      <c r="C191" s="15">
        <f>+K183*B184*B184+K184*B185*B185</f>
        <v>341905.921875</v>
      </c>
      <c r="D191" s="15">
        <f>+K186*B185</f>
        <v>-1.6362713633413562E-11</v>
      </c>
      <c r="E191" s="12">
        <v>0</v>
      </c>
      <c r="F191" s="12">
        <v>0</v>
      </c>
      <c r="G191" s="12">
        <v>0</v>
      </c>
      <c r="H191" s="25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20"/>
    </row>
    <row r="192" spans="1:29" x14ac:dyDescent="0.3">
      <c r="A192" s="23" t="str">
        <v>ϴ3</v>
      </c>
      <c r="B192" s="15">
        <f>-K187*B184</f>
        <v>267113.97411236999</v>
      </c>
      <c r="C192" s="15">
        <f>+K187*B185</f>
        <v>-1.6362713633413562E-11</v>
      </c>
      <c r="D192" s="15">
        <f>+K185</f>
        <v>71230393.096632004</v>
      </c>
      <c r="E192" s="12">
        <v>0</v>
      </c>
      <c r="F192" s="12">
        <v>0</v>
      </c>
      <c r="G192" s="12">
        <v>0</v>
      </c>
      <c r="H192" s="25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20"/>
    </row>
    <row r="193" spans="1:29" x14ac:dyDescent="0.3">
      <c r="A193" s="23" t="str">
        <v>bx</v>
      </c>
      <c r="B193" s="13">
        <v>0</v>
      </c>
      <c r="C193" s="13">
        <v>0</v>
      </c>
      <c r="D193" s="13">
        <v>0</v>
      </c>
      <c r="E193" s="14">
        <v>0</v>
      </c>
      <c r="F193" s="14">
        <v>0</v>
      </c>
      <c r="G193" s="14">
        <v>0</v>
      </c>
      <c r="H193" s="25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20"/>
    </row>
    <row r="194" spans="1:29" x14ac:dyDescent="0.3">
      <c r="A194" s="23" t="str">
        <v>bz</v>
      </c>
      <c r="B194" s="13">
        <v>0</v>
      </c>
      <c r="C194" s="13">
        <v>0</v>
      </c>
      <c r="D194" s="13">
        <v>0</v>
      </c>
      <c r="E194" s="14">
        <v>0</v>
      </c>
      <c r="F194" s="14">
        <v>0</v>
      </c>
      <c r="G194" s="14">
        <v>0</v>
      </c>
      <c r="H194" s="25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20"/>
    </row>
    <row r="195" spans="1:29" x14ac:dyDescent="0.3">
      <c r="A195" s="23" t="str">
        <v>ϴb</v>
      </c>
      <c r="B195" s="13">
        <v>0</v>
      </c>
      <c r="C195" s="13">
        <v>0</v>
      </c>
      <c r="D195" s="13">
        <v>0</v>
      </c>
      <c r="E195" s="14">
        <v>0</v>
      </c>
      <c r="F195" s="14">
        <v>0</v>
      </c>
      <c r="G195" s="14">
        <v>0</v>
      </c>
      <c r="H195" s="25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20"/>
    </row>
    <row r="196" spans="1:29" x14ac:dyDescent="0.3">
      <c r="A196" s="24"/>
      <c r="B196" s="25"/>
      <c r="C196" s="25"/>
      <c r="D196" s="25"/>
      <c r="E196" s="25"/>
      <c r="F196" s="25"/>
      <c r="G196" s="25"/>
      <c r="H196" s="25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20"/>
    </row>
    <row r="197" spans="1:29" x14ac:dyDescent="0.3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20"/>
    </row>
    <row r="198" spans="1:29" x14ac:dyDescent="0.3">
      <c r="A198" s="18" t="s">
        <v>43</v>
      </c>
      <c r="B198" s="6" t="s">
        <v>15</v>
      </c>
      <c r="C198" s="6" t="s">
        <v>16</v>
      </c>
      <c r="D198" s="7" t="s">
        <v>17</v>
      </c>
      <c r="E198" s="7" t="s">
        <v>25</v>
      </c>
      <c r="F198" s="7" t="s">
        <v>26</v>
      </c>
      <c r="G198" s="7" t="s">
        <v>23</v>
      </c>
      <c r="H198" s="6" t="s">
        <v>27</v>
      </c>
      <c r="I198" s="6" t="s">
        <v>28</v>
      </c>
      <c r="J198" s="7" t="s">
        <v>24</v>
      </c>
      <c r="K198" s="7" t="s">
        <v>29</v>
      </c>
      <c r="L198" s="7" t="s">
        <v>30</v>
      </c>
      <c r="M198" s="7" t="s">
        <v>31</v>
      </c>
      <c r="N198" s="6" t="s">
        <v>54</v>
      </c>
      <c r="O198" s="6" t="s">
        <v>55</v>
      </c>
      <c r="P198" s="7" t="s">
        <v>56</v>
      </c>
      <c r="Q198" s="7" t="s">
        <v>57</v>
      </c>
      <c r="R198" s="7" t="s">
        <v>58</v>
      </c>
      <c r="S198" s="7" t="s">
        <v>59</v>
      </c>
      <c r="T198" s="6" t="s">
        <v>18</v>
      </c>
      <c r="U198" s="6" t="s">
        <v>19</v>
      </c>
      <c r="V198" s="7" t="s">
        <v>20</v>
      </c>
      <c r="W198" s="7" t="s">
        <v>40</v>
      </c>
      <c r="X198" s="7" t="s">
        <v>41</v>
      </c>
      <c r="Y198" s="7" t="s">
        <v>42</v>
      </c>
      <c r="Z198" s="7" t="s">
        <v>60</v>
      </c>
      <c r="AA198" s="7" t="s">
        <v>61</v>
      </c>
      <c r="AB198" s="7" t="s">
        <v>62</v>
      </c>
      <c r="AC198" s="20"/>
    </row>
    <row r="199" spans="1:29" x14ac:dyDescent="0.3">
      <c r="A199" s="30" t="str">
        <f t="array" ref="A199:A225">TRANSPOSE(B198:AB198)</f>
        <v>1x</v>
      </c>
      <c r="B199" s="19">
        <f>IFERROR(VLOOKUP($A199,$A$189:$G$195,MATCH(B$198,$A$189:$G$189,0),FALSE),0)</f>
        <v>0</v>
      </c>
      <c r="C199" s="19">
        <f t="shared" ref="C199:AB209" si="8">IFERROR(VLOOKUP($A199,$A$189:$G$195,MATCH(C$198,$A$189:$G$189,0),FALSE),0)</f>
        <v>0</v>
      </c>
      <c r="D199" s="19">
        <f t="shared" si="8"/>
        <v>0</v>
      </c>
      <c r="E199" s="19">
        <f t="shared" si="8"/>
        <v>0</v>
      </c>
      <c r="F199" s="19">
        <f t="shared" si="8"/>
        <v>0</v>
      </c>
      <c r="G199" s="19">
        <f t="shared" si="8"/>
        <v>0</v>
      </c>
      <c r="H199" s="19">
        <f t="shared" si="8"/>
        <v>0</v>
      </c>
      <c r="I199" s="19">
        <f t="shared" si="8"/>
        <v>0</v>
      </c>
      <c r="J199" s="19">
        <f t="shared" si="8"/>
        <v>0</v>
      </c>
      <c r="K199" s="19">
        <f t="shared" si="8"/>
        <v>0</v>
      </c>
      <c r="L199" s="19">
        <f t="shared" si="8"/>
        <v>0</v>
      </c>
      <c r="M199" s="19">
        <f t="shared" si="8"/>
        <v>0</v>
      </c>
      <c r="N199" s="19">
        <f t="shared" si="8"/>
        <v>0</v>
      </c>
      <c r="O199" s="19">
        <f t="shared" si="8"/>
        <v>0</v>
      </c>
      <c r="P199" s="19">
        <f t="shared" si="8"/>
        <v>0</v>
      </c>
      <c r="Q199" s="19">
        <f t="shared" si="8"/>
        <v>0</v>
      </c>
      <c r="R199" s="19">
        <f t="shared" si="8"/>
        <v>0</v>
      </c>
      <c r="S199" s="19">
        <f t="shared" si="8"/>
        <v>0</v>
      </c>
      <c r="T199" s="19">
        <f t="shared" si="8"/>
        <v>0</v>
      </c>
      <c r="U199" s="19">
        <f t="shared" si="8"/>
        <v>0</v>
      </c>
      <c r="V199" s="19">
        <f t="shared" si="8"/>
        <v>0</v>
      </c>
      <c r="W199" s="19">
        <f t="shared" si="8"/>
        <v>0</v>
      </c>
      <c r="X199" s="19">
        <f t="shared" si="8"/>
        <v>0</v>
      </c>
      <c r="Y199" s="19">
        <f t="shared" si="8"/>
        <v>0</v>
      </c>
      <c r="Z199" s="19">
        <f t="shared" si="8"/>
        <v>0</v>
      </c>
      <c r="AA199" s="19">
        <f t="shared" si="8"/>
        <v>0</v>
      </c>
      <c r="AB199" s="19">
        <f t="shared" si="8"/>
        <v>0</v>
      </c>
      <c r="AC199" s="20"/>
    </row>
    <row r="200" spans="1:29" x14ac:dyDescent="0.3">
      <c r="A200" s="30" t="str">
        <v>1z</v>
      </c>
      <c r="B200" s="19">
        <f t="shared" ref="B200:Q225" si="9">IFERROR(VLOOKUP($A200,$A$189:$G$195,MATCH(B$198,$A$189:$G$189,0),FALSE),0)</f>
        <v>0</v>
      </c>
      <c r="C200" s="19">
        <f t="shared" si="9"/>
        <v>0</v>
      </c>
      <c r="D200" s="19">
        <f t="shared" si="9"/>
        <v>0</v>
      </c>
      <c r="E200" s="19">
        <f t="shared" si="9"/>
        <v>0</v>
      </c>
      <c r="F200" s="19">
        <f t="shared" si="9"/>
        <v>0</v>
      </c>
      <c r="G200" s="19">
        <f t="shared" si="9"/>
        <v>0</v>
      </c>
      <c r="H200" s="19">
        <f t="shared" si="9"/>
        <v>0</v>
      </c>
      <c r="I200" s="19">
        <f t="shared" si="9"/>
        <v>0</v>
      </c>
      <c r="J200" s="19">
        <f t="shared" si="9"/>
        <v>0</v>
      </c>
      <c r="K200" s="19">
        <f t="shared" si="9"/>
        <v>0</v>
      </c>
      <c r="L200" s="19">
        <f t="shared" si="9"/>
        <v>0</v>
      </c>
      <c r="M200" s="19">
        <f t="shared" si="9"/>
        <v>0</v>
      </c>
      <c r="N200" s="19">
        <f t="shared" si="9"/>
        <v>0</v>
      </c>
      <c r="O200" s="19">
        <f t="shared" si="9"/>
        <v>0</v>
      </c>
      <c r="P200" s="19">
        <f t="shared" si="9"/>
        <v>0</v>
      </c>
      <c r="Q200" s="19">
        <f t="shared" si="9"/>
        <v>0</v>
      </c>
      <c r="R200" s="19">
        <f t="shared" si="8"/>
        <v>0</v>
      </c>
      <c r="S200" s="19">
        <f t="shared" si="8"/>
        <v>0</v>
      </c>
      <c r="T200" s="19">
        <f t="shared" si="8"/>
        <v>0</v>
      </c>
      <c r="U200" s="19">
        <f t="shared" si="8"/>
        <v>0</v>
      </c>
      <c r="V200" s="19">
        <f t="shared" si="8"/>
        <v>0</v>
      </c>
      <c r="W200" s="19">
        <f t="shared" si="8"/>
        <v>0</v>
      </c>
      <c r="X200" s="19">
        <f t="shared" si="8"/>
        <v>0</v>
      </c>
      <c r="Y200" s="19">
        <f t="shared" si="8"/>
        <v>0</v>
      </c>
      <c r="Z200" s="19">
        <f t="shared" si="8"/>
        <v>0</v>
      </c>
      <c r="AA200" s="19">
        <f t="shared" si="8"/>
        <v>0</v>
      </c>
      <c r="AB200" s="19">
        <f t="shared" si="8"/>
        <v>0</v>
      </c>
      <c r="AC200" s="20"/>
    </row>
    <row r="201" spans="1:29" x14ac:dyDescent="0.3">
      <c r="A201" s="30" t="str">
        <v>ϴ1</v>
      </c>
      <c r="B201" s="19">
        <f t="shared" si="9"/>
        <v>0</v>
      </c>
      <c r="C201" s="19">
        <f t="shared" si="8"/>
        <v>0</v>
      </c>
      <c r="D201" s="19">
        <f t="shared" si="8"/>
        <v>0</v>
      </c>
      <c r="E201" s="19">
        <f t="shared" si="8"/>
        <v>0</v>
      </c>
      <c r="F201" s="19">
        <f t="shared" si="8"/>
        <v>0</v>
      </c>
      <c r="G201" s="19">
        <f t="shared" si="8"/>
        <v>0</v>
      </c>
      <c r="H201" s="19">
        <f t="shared" si="8"/>
        <v>0</v>
      </c>
      <c r="I201" s="19">
        <f t="shared" si="8"/>
        <v>0</v>
      </c>
      <c r="J201" s="19">
        <f t="shared" si="8"/>
        <v>0</v>
      </c>
      <c r="K201" s="19">
        <f t="shared" si="8"/>
        <v>0</v>
      </c>
      <c r="L201" s="19">
        <f t="shared" si="8"/>
        <v>0</v>
      </c>
      <c r="M201" s="19">
        <f t="shared" si="8"/>
        <v>0</v>
      </c>
      <c r="N201" s="19">
        <f t="shared" si="8"/>
        <v>0</v>
      </c>
      <c r="O201" s="19">
        <f t="shared" si="8"/>
        <v>0</v>
      </c>
      <c r="P201" s="19">
        <f t="shared" si="8"/>
        <v>0</v>
      </c>
      <c r="Q201" s="19">
        <f t="shared" si="8"/>
        <v>0</v>
      </c>
      <c r="R201" s="19">
        <f t="shared" si="8"/>
        <v>0</v>
      </c>
      <c r="S201" s="19">
        <f t="shared" si="8"/>
        <v>0</v>
      </c>
      <c r="T201" s="19">
        <f t="shared" si="8"/>
        <v>0</v>
      </c>
      <c r="U201" s="19">
        <f t="shared" si="8"/>
        <v>0</v>
      </c>
      <c r="V201" s="19">
        <f t="shared" si="8"/>
        <v>0</v>
      </c>
      <c r="W201" s="19">
        <f t="shared" si="8"/>
        <v>0</v>
      </c>
      <c r="X201" s="19">
        <f t="shared" si="8"/>
        <v>0</v>
      </c>
      <c r="Y201" s="19">
        <f t="shared" si="8"/>
        <v>0</v>
      </c>
      <c r="Z201" s="19">
        <f t="shared" si="8"/>
        <v>0</v>
      </c>
      <c r="AA201" s="19">
        <f t="shared" si="8"/>
        <v>0</v>
      </c>
      <c r="AB201" s="19">
        <f t="shared" si="8"/>
        <v>0</v>
      </c>
      <c r="AC201" s="20"/>
    </row>
    <row r="202" spans="1:29" x14ac:dyDescent="0.3">
      <c r="A202" s="30" t="str">
        <v>2x</v>
      </c>
      <c r="B202" s="19">
        <f t="shared" si="9"/>
        <v>0</v>
      </c>
      <c r="C202" s="19">
        <f t="shared" si="8"/>
        <v>0</v>
      </c>
      <c r="D202" s="19">
        <f t="shared" si="8"/>
        <v>0</v>
      </c>
      <c r="E202" s="19">
        <f t="shared" si="8"/>
        <v>0</v>
      </c>
      <c r="F202" s="19">
        <f t="shared" si="8"/>
        <v>0</v>
      </c>
      <c r="G202" s="19">
        <f t="shared" si="8"/>
        <v>0</v>
      </c>
      <c r="H202" s="19">
        <f t="shared" si="8"/>
        <v>0</v>
      </c>
      <c r="I202" s="19">
        <f t="shared" si="8"/>
        <v>0</v>
      </c>
      <c r="J202" s="19">
        <f t="shared" si="8"/>
        <v>0</v>
      </c>
      <c r="K202" s="19">
        <f t="shared" si="8"/>
        <v>0</v>
      </c>
      <c r="L202" s="19">
        <f t="shared" si="8"/>
        <v>0</v>
      </c>
      <c r="M202" s="19">
        <f t="shared" si="8"/>
        <v>0</v>
      </c>
      <c r="N202" s="19">
        <f t="shared" si="8"/>
        <v>0</v>
      </c>
      <c r="O202" s="19">
        <f t="shared" si="8"/>
        <v>0</v>
      </c>
      <c r="P202" s="19">
        <f t="shared" si="8"/>
        <v>0</v>
      </c>
      <c r="Q202" s="19">
        <f t="shared" si="8"/>
        <v>0</v>
      </c>
      <c r="R202" s="19">
        <f t="shared" si="8"/>
        <v>0</v>
      </c>
      <c r="S202" s="19">
        <f t="shared" si="8"/>
        <v>0</v>
      </c>
      <c r="T202" s="19">
        <f t="shared" si="8"/>
        <v>0</v>
      </c>
      <c r="U202" s="19">
        <f t="shared" si="8"/>
        <v>0</v>
      </c>
      <c r="V202" s="19">
        <f t="shared" si="8"/>
        <v>0</v>
      </c>
      <c r="W202" s="19">
        <f t="shared" si="8"/>
        <v>0</v>
      </c>
      <c r="X202" s="19">
        <f t="shared" si="8"/>
        <v>0</v>
      </c>
      <c r="Y202" s="19">
        <f t="shared" si="8"/>
        <v>0</v>
      </c>
      <c r="Z202" s="19">
        <f t="shared" si="8"/>
        <v>0</v>
      </c>
      <c r="AA202" s="19">
        <f t="shared" si="8"/>
        <v>0</v>
      </c>
      <c r="AB202" s="19">
        <f t="shared" si="8"/>
        <v>0</v>
      </c>
      <c r="AC202" s="20"/>
    </row>
    <row r="203" spans="1:29" x14ac:dyDescent="0.3">
      <c r="A203" s="30" t="str">
        <v>2z</v>
      </c>
      <c r="B203" s="19">
        <f t="shared" si="9"/>
        <v>0</v>
      </c>
      <c r="C203" s="19">
        <f t="shared" si="8"/>
        <v>0</v>
      </c>
      <c r="D203" s="19">
        <f t="shared" si="8"/>
        <v>0</v>
      </c>
      <c r="E203" s="19">
        <f t="shared" si="8"/>
        <v>0</v>
      </c>
      <c r="F203" s="19">
        <f t="shared" si="8"/>
        <v>0</v>
      </c>
      <c r="G203" s="19">
        <f t="shared" si="8"/>
        <v>0</v>
      </c>
      <c r="H203" s="19">
        <f t="shared" si="8"/>
        <v>0</v>
      </c>
      <c r="I203" s="19">
        <f t="shared" si="8"/>
        <v>0</v>
      </c>
      <c r="J203" s="19">
        <f t="shared" si="8"/>
        <v>0</v>
      </c>
      <c r="K203" s="19">
        <f t="shared" si="8"/>
        <v>0</v>
      </c>
      <c r="L203" s="19">
        <f t="shared" si="8"/>
        <v>0</v>
      </c>
      <c r="M203" s="19">
        <f t="shared" si="8"/>
        <v>0</v>
      </c>
      <c r="N203" s="19">
        <f t="shared" si="8"/>
        <v>0</v>
      </c>
      <c r="O203" s="19">
        <f t="shared" si="8"/>
        <v>0</v>
      </c>
      <c r="P203" s="19">
        <f t="shared" si="8"/>
        <v>0</v>
      </c>
      <c r="Q203" s="19">
        <f t="shared" si="8"/>
        <v>0</v>
      </c>
      <c r="R203" s="19">
        <f t="shared" si="8"/>
        <v>0</v>
      </c>
      <c r="S203" s="19">
        <f t="shared" si="8"/>
        <v>0</v>
      </c>
      <c r="T203" s="19">
        <f t="shared" si="8"/>
        <v>0</v>
      </c>
      <c r="U203" s="19">
        <f t="shared" si="8"/>
        <v>0</v>
      </c>
      <c r="V203" s="19">
        <f t="shared" si="8"/>
        <v>0</v>
      </c>
      <c r="W203" s="19">
        <f t="shared" si="8"/>
        <v>0</v>
      </c>
      <c r="X203" s="19">
        <f t="shared" si="8"/>
        <v>0</v>
      </c>
      <c r="Y203" s="19">
        <f t="shared" si="8"/>
        <v>0</v>
      </c>
      <c r="Z203" s="19">
        <f t="shared" si="8"/>
        <v>0</v>
      </c>
      <c r="AA203" s="19">
        <f t="shared" si="8"/>
        <v>0</v>
      </c>
      <c r="AB203" s="19">
        <f t="shared" si="8"/>
        <v>0</v>
      </c>
      <c r="AC203" s="20"/>
    </row>
    <row r="204" spans="1:29" x14ac:dyDescent="0.3">
      <c r="A204" s="30" t="str">
        <v>ϴ2</v>
      </c>
      <c r="B204" s="19">
        <f t="shared" si="9"/>
        <v>0</v>
      </c>
      <c r="C204" s="19">
        <f t="shared" si="8"/>
        <v>0</v>
      </c>
      <c r="D204" s="19">
        <f t="shared" si="8"/>
        <v>0</v>
      </c>
      <c r="E204" s="19">
        <f t="shared" si="8"/>
        <v>0</v>
      </c>
      <c r="F204" s="19">
        <f t="shared" si="8"/>
        <v>0</v>
      </c>
      <c r="G204" s="19">
        <f t="shared" si="8"/>
        <v>0</v>
      </c>
      <c r="H204" s="19">
        <f t="shared" si="8"/>
        <v>0</v>
      </c>
      <c r="I204" s="19">
        <f t="shared" si="8"/>
        <v>0</v>
      </c>
      <c r="J204" s="19">
        <f t="shared" si="8"/>
        <v>0</v>
      </c>
      <c r="K204" s="19">
        <f t="shared" si="8"/>
        <v>0</v>
      </c>
      <c r="L204" s="19">
        <f t="shared" si="8"/>
        <v>0</v>
      </c>
      <c r="M204" s="19">
        <f t="shared" si="8"/>
        <v>0</v>
      </c>
      <c r="N204" s="19">
        <f t="shared" si="8"/>
        <v>0</v>
      </c>
      <c r="O204" s="19">
        <f t="shared" si="8"/>
        <v>0</v>
      </c>
      <c r="P204" s="19">
        <f t="shared" si="8"/>
        <v>0</v>
      </c>
      <c r="Q204" s="19">
        <f t="shared" si="8"/>
        <v>0</v>
      </c>
      <c r="R204" s="19">
        <f t="shared" si="8"/>
        <v>0</v>
      </c>
      <c r="S204" s="19">
        <f t="shared" si="8"/>
        <v>0</v>
      </c>
      <c r="T204" s="19">
        <f t="shared" si="8"/>
        <v>0</v>
      </c>
      <c r="U204" s="19">
        <f t="shared" si="8"/>
        <v>0</v>
      </c>
      <c r="V204" s="19">
        <f t="shared" si="8"/>
        <v>0</v>
      </c>
      <c r="W204" s="19">
        <f t="shared" si="8"/>
        <v>0</v>
      </c>
      <c r="X204" s="19">
        <f t="shared" si="8"/>
        <v>0</v>
      </c>
      <c r="Y204" s="19">
        <f t="shared" si="8"/>
        <v>0</v>
      </c>
      <c r="Z204" s="19">
        <f t="shared" si="8"/>
        <v>0</v>
      </c>
      <c r="AA204" s="19">
        <f t="shared" si="8"/>
        <v>0</v>
      </c>
      <c r="AB204" s="19">
        <f t="shared" si="8"/>
        <v>0</v>
      </c>
      <c r="AC204" s="20"/>
    </row>
    <row r="205" spans="1:29" x14ac:dyDescent="0.3">
      <c r="A205" s="30" t="str">
        <v>3x</v>
      </c>
      <c r="B205" s="19">
        <f t="shared" si="9"/>
        <v>0</v>
      </c>
      <c r="C205" s="19">
        <f t="shared" si="8"/>
        <v>0</v>
      </c>
      <c r="D205" s="19">
        <f t="shared" si="8"/>
        <v>0</v>
      </c>
      <c r="E205" s="19">
        <f t="shared" si="8"/>
        <v>0</v>
      </c>
      <c r="F205" s="19">
        <f t="shared" si="8"/>
        <v>0</v>
      </c>
      <c r="G205" s="19">
        <f t="shared" si="8"/>
        <v>0</v>
      </c>
      <c r="H205" s="19">
        <f t="shared" si="8"/>
        <v>1335.5698705618502</v>
      </c>
      <c r="I205" s="19">
        <f t="shared" si="8"/>
        <v>2.0862462027296113E-11</v>
      </c>
      <c r="J205" s="19">
        <f t="shared" si="8"/>
        <v>267113.97411236999</v>
      </c>
      <c r="K205" s="19">
        <f t="shared" si="8"/>
        <v>0</v>
      </c>
      <c r="L205" s="19">
        <f t="shared" si="8"/>
        <v>0</v>
      </c>
      <c r="M205" s="19">
        <f t="shared" si="8"/>
        <v>0</v>
      </c>
      <c r="N205" s="19">
        <f t="shared" si="8"/>
        <v>0</v>
      </c>
      <c r="O205" s="19">
        <f t="shared" si="8"/>
        <v>0</v>
      </c>
      <c r="P205" s="19">
        <f t="shared" si="8"/>
        <v>0</v>
      </c>
      <c r="Q205" s="19">
        <f t="shared" si="8"/>
        <v>0</v>
      </c>
      <c r="R205" s="19">
        <f t="shared" si="8"/>
        <v>0</v>
      </c>
      <c r="S205" s="19">
        <f t="shared" si="8"/>
        <v>0</v>
      </c>
      <c r="T205" s="19">
        <f t="shared" si="8"/>
        <v>0</v>
      </c>
      <c r="U205" s="19">
        <f t="shared" si="8"/>
        <v>0</v>
      </c>
      <c r="V205" s="19">
        <f t="shared" si="8"/>
        <v>0</v>
      </c>
      <c r="W205" s="19">
        <f t="shared" si="8"/>
        <v>0</v>
      </c>
      <c r="X205" s="19">
        <f t="shared" si="8"/>
        <v>0</v>
      </c>
      <c r="Y205" s="19">
        <f t="shared" si="8"/>
        <v>0</v>
      </c>
      <c r="Z205" s="19">
        <f t="shared" si="8"/>
        <v>0</v>
      </c>
      <c r="AA205" s="19">
        <f t="shared" si="8"/>
        <v>0</v>
      </c>
      <c r="AB205" s="19">
        <f t="shared" si="8"/>
        <v>0</v>
      </c>
      <c r="AC205" s="20"/>
    </row>
    <row r="206" spans="1:29" x14ac:dyDescent="0.3">
      <c r="A206" s="30" t="str">
        <v>3z</v>
      </c>
      <c r="B206" s="19">
        <f t="shared" si="9"/>
        <v>0</v>
      </c>
      <c r="C206" s="19">
        <f t="shared" si="8"/>
        <v>0</v>
      </c>
      <c r="D206" s="19">
        <f t="shared" si="8"/>
        <v>0</v>
      </c>
      <c r="E206" s="19">
        <f t="shared" si="8"/>
        <v>0</v>
      </c>
      <c r="F206" s="19">
        <f t="shared" si="8"/>
        <v>0</v>
      </c>
      <c r="G206" s="19">
        <f t="shared" si="8"/>
        <v>0</v>
      </c>
      <c r="H206" s="19">
        <f t="shared" si="8"/>
        <v>2.0862462027296113E-11</v>
      </c>
      <c r="I206" s="19">
        <f t="shared" si="8"/>
        <v>341905.921875</v>
      </c>
      <c r="J206" s="19">
        <f t="shared" si="8"/>
        <v>-1.6362713633413562E-11</v>
      </c>
      <c r="K206" s="19">
        <f t="shared" si="8"/>
        <v>0</v>
      </c>
      <c r="L206" s="19">
        <f t="shared" si="8"/>
        <v>0</v>
      </c>
      <c r="M206" s="19">
        <f t="shared" si="8"/>
        <v>0</v>
      </c>
      <c r="N206" s="19">
        <f t="shared" si="8"/>
        <v>0</v>
      </c>
      <c r="O206" s="19">
        <f t="shared" si="8"/>
        <v>0</v>
      </c>
      <c r="P206" s="19">
        <f t="shared" si="8"/>
        <v>0</v>
      </c>
      <c r="Q206" s="19">
        <f t="shared" si="8"/>
        <v>0</v>
      </c>
      <c r="R206" s="19">
        <f t="shared" si="8"/>
        <v>0</v>
      </c>
      <c r="S206" s="19">
        <f t="shared" si="8"/>
        <v>0</v>
      </c>
      <c r="T206" s="19">
        <f t="shared" si="8"/>
        <v>0</v>
      </c>
      <c r="U206" s="19">
        <f t="shared" si="8"/>
        <v>0</v>
      </c>
      <c r="V206" s="19">
        <f t="shared" si="8"/>
        <v>0</v>
      </c>
      <c r="W206" s="19">
        <f t="shared" si="8"/>
        <v>0</v>
      </c>
      <c r="X206" s="19">
        <f t="shared" si="8"/>
        <v>0</v>
      </c>
      <c r="Y206" s="19">
        <f t="shared" si="8"/>
        <v>0</v>
      </c>
      <c r="Z206" s="19">
        <f t="shared" si="8"/>
        <v>0</v>
      </c>
      <c r="AA206" s="19">
        <f t="shared" si="8"/>
        <v>0</v>
      </c>
      <c r="AB206" s="19">
        <f t="shared" si="8"/>
        <v>0</v>
      </c>
      <c r="AC206" s="20"/>
    </row>
    <row r="207" spans="1:29" x14ac:dyDescent="0.3">
      <c r="A207" s="30" t="str">
        <v>ϴ3</v>
      </c>
      <c r="B207" s="19">
        <f t="shared" si="9"/>
        <v>0</v>
      </c>
      <c r="C207" s="19">
        <f t="shared" si="8"/>
        <v>0</v>
      </c>
      <c r="D207" s="19">
        <f t="shared" si="8"/>
        <v>0</v>
      </c>
      <c r="E207" s="19">
        <f t="shared" si="8"/>
        <v>0</v>
      </c>
      <c r="F207" s="19">
        <f t="shared" si="8"/>
        <v>0</v>
      </c>
      <c r="G207" s="19">
        <f t="shared" si="8"/>
        <v>0</v>
      </c>
      <c r="H207" s="19">
        <f t="shared" si="8"/>
        <v>267113.97411236999</v>
      </c>
      <c r="I207" s="19">
        <f t="shared" si="8"/>
        <v>-1.6362713633413562E-11</v>
      </c>
      <c r="J207" s="19">
        <f t="shared" si="8"/>
        <v>71230393.096632004</v>
      </c>
      <c r="K207" s="19">
        <f t="shared" si="8"/>
        <v>0</v>
      </c>
      <c r="L207" s="19">
        <f t="shared" si="8"/>
        <v>0</v>
      </c>
      <c r="M207" s="19">
        <f t="shared" si="8"/>
        <v>0</v>
      </c>
      <c r="N207" s="19">
        <f t="shared" si="8"/>
        <v>0</v>
      </c>
      <c r="O207" s="19">
        <f t="shared" si="8"/>
        <v>0</v>
      </c>
      <c r="P207" s="19">
        <f t="shared" si="8"/>
        <v>0</v>
      </c>
      <c r="Q207" s="19">
        <f t="shared" si="8"/>
        <v>0</v>
      </c>
      <c r="R207" s="19">
        <f t="shared" si="8"/>
        <v>0</v>
      </c>
      <c r="S207" s="19">
        <f t="shared" si="8"/>
        <v>0</v>
      </c>
      <c r="T207" s="19">
        <f t="shared" si="8"/>
        <v>0</v>
      </c>
      <c r="U207" s="19">
        <f t="shared" si="8"/>
        <v>0</v>
      </c>
      <c r="V207" s="19">
        <f t="shared" si="8"/>
        <v>0</v>
      </c>
      <c r="W207" s="19">
        <f t="shared" si="8"/>
        <v>0</v>
      </c>
      <c r="X207" s="19">
        <f t="shared" si="8"/>
        <v>0</v>
      </c>
      <c r="Y207" s="19">
        <f t="shared" si="8"/>
        <v>0</v>
      </c>
      <c r="Z207" s="19">
        <f t="shared" si="8"/>
        <v>0</v>
      </c>
      <c r="AA207" s="19">
        <f t="shared" si="8"/>
        <v>0</v>
      </c>
      <c r="AB207" s="19">
        <f t="shared" si="8"/>
        <v>0</v>
      </c>
      <c r="AC207" s="20"/>
    </row>
    <row r="208" spans="1:29" x14ac:dyDescent="0.3">
      <c r="A208" s="30" t="str">
        <v>4x</v>
      </c>
      <c r="B208" s="19">
        <f t="shared" si="9"/>
        <v>0</v>
      </c>
      <c r="C208" s="19">
        <f t="shared" si="8"/>
        <v>0</v>
      </c>
      <c r="D208" s="19">
        <f t="shared" si="8"/>
        <v>0</v>
      </c>
      <c r="E208" s="19">
        <f t="shared" si="8"/>
        <v>0</v>
      </c>
      <c r="F208" s="19">
        <f t="shared" si="8"/>
        <v>0</v>
      </c>
      <c r="G208" s="19">
        <f t="shared" si="8"/>
        <v>0</v>
      </c>
      <c r="H208" s="19">
        <f t="shared" si="8"/>
        <v>0</v>
      </c>
      <c r="I208" s="19">
        <f t="shared" si="8"/>
        <v>0</v>
      </c>
      <c r="J208" s="19">
        <f t="shared" si="8"/>
        <v>0</v>
      </c>
      <c r="K208" s="19">
        <f t="shared" si="8"/>
        <v>0</v>
      </c>
      <c r="L208" s="19">
        <f t="shared" si="8"/>
        <v>0</v>
      </c>
      <c r="M208" s="19">
        <f t="shared" si="8"/>
        <v>0</v>
      </c>
      <c r="N208" s="19">
        <f t="shared" si="8"/>
        <v>0</v>
      </c>
      <c r="O208" s="19">
        <f t="shared" si="8"/>
        <v>0</v>
      </c>
      <c r="P208" s="19">
        <f t="shared" si="8"/>
        <v>0</v>
      </c>
      <c r="Q208" s="19">
        <f t="shared" si="8"/>
        <v>0</v>
      </c>
      <c r="R208" s="19">
        <f t="shared" si="8"/>
        <v>0</v>
      </c>
      <c r="S208" s="19">
        <f t="shared" si="8"/>
        <v>0</v>
      </c>
      <c r="T208" s="19">
        <f t="shared" si="8"/>
        <v>0</v>
      </c>
      <c r="U208" s="19">
        <f t="shared" si="8"/>
        <v>0</v>
      </c>
      <c r="V208" s="19">
        <f t="shared" si="8"/>
        <v>0</v>
      </c>
      <c r="W208" s="19">
        <f t="shared" si="8"/>
        <v>0</v>
      </c>
      <c r="X208" s="19">
        <f t="shared" si="8"/>
        <v>0</v>
      </c>
      <c r="Y208" s="19">
        <f t="shared" si="8"/>
        <v>0</v>
      </c>
      <c r="Z208" s="19">
        <f t="shared" si="8"/>
        <v>0</v>
      </c>
      <c r="AA208" s="19">
        <f t="shared" si="8"/>
        <v>0</v>
      </c>
      <c r="AB208" s="19">
        <f t="shared" si="8"/>
        <v>0</v>
      </c>
      <c r="AC208" s="20"/>
    </row>
    <row r="209" spans="1:29" x14ac:dyDescent="0.3">
      <c r="A209" s="30" t="str">
        <v>4z</v>
      </c>
      <c r="B209" s="19">
        <f t="shared" si="9"/>
        <v>0</v>
      </c>
      <c r="C209" s="19">
        <f t="shared" si="8"/>
        <v>0</v>
      </c>
      <c r="D209" s="19">
        <f t="shared" si="8"/>
        <v>0</v>
      </c>
      <c r="E209" s="19">
        <f t="shared" si="8"/>
        <v>0</v>
      </c>
      <c r="F209" s="19">
        <f t="shared" si="8"/>
        <v>0</v>
      </c>
      <c r="G209" s="19">
        <f t="shared" si="8"/>
        <v>0</v>
      </c>
      <c r="H209" s="19">
        <f t="shared" si="8"/>
        <v>0</v>
      </c>
      <c r="I209" s="19">
        <f t="shared" si="8"/>
        <v>0</v>
      </c>
      <c r="J209" s="19">
        <f t="shared" si="8"/>
        <v>0</v>
      </c>
      <c r="K209" s="19">
        <f t="shared" si="8"/>
        <v>0</v>
      </c>
      <c r="L209" s="19">
        <f t="shared" si="8"/>
        <v>0</v>
      </c>
      <c r="M209" s="19">
        <f t="shared" ref="C209:AB219" si="10">IFERROR(VLOOKUP($A209,$A$189:$G$195,MATCH(M$198,$A$189:$G$189,0),FALSE),0)</f>
        <v>0</v>
      </c>
      <c r="N209" s="19">
        <f t="shared" si="10"/>
        <v>0</v>
      </c>
      <c r="O209" s="19">
        <f t="shared" si="10"/>
        <v>0</v>
      </c>
      <c r="P209" s="19">
        <f t="shared" si="10"/>
        <v>0</v>
      </c>
      <c r="Q209" s="19">
        <f t="shared" si="10"/>
        <v>0</v>
      </c>
      <c r="R209" s="19">
        <f t="shared" si="10"/>
        <v>0</v>
      </c>
      <c r="S209" s="19">
        <f t="shared" si="10"/>
        <v>0</v>
      </c>
      <c r="T209" s="19">
        <f t="shared" si="10"/>
        <v>0</v>
      </c>
      <c r="U209" s="19">
        <f t="shared" si="10"/>
        <v>0</v>
      </c>
      <c r="V209" s="19">
        <f t="shared" si="10"/>
        <v>0</v>
      </c>
      <c r="W209" s="19">
        <f t="shared" si="10"/>
        <v>0</v>
      </c>
      <c r="X209" s="19">
        <f t="shared" si="10"/>
        <v>0</v>
      </c>
      <c r="Y209" s="19">
        <f t="shared" si="10"/>
        <v>0</v>
      </c>
      <c r="Z209" s="19">
        <f t="shared" si="10"/>
        <v>0</v>
      </c>
      <c r="AA209" s="19">
        <f t="shared" si="10"/>
        <v>0</v>
      </c>
      <c r="AB209" s="19">
        <f t="shared" si="10"/>
        <v>0</v>
      </c>
      <c r="AC209" s="20"/>
    </row>
    <row r="210" spans="1:29" x14ac:dyDescent="0.3">
      <c r="A210" s="30" t="str">
        <v>ϴ4</v>
      </c>
      <c r="B210" s="19">
        <f t="shared" si="9"/>
        <v>0</v>
      </c>
      <c r="C210" s="19">
        <f t="shared" si="10"/>
        <v>0</v>
      </c>
      <c r="D210" s="19">
        <f t="shared" si="10"/>
        <v>0</v>
      </c>
      <c r="E210" s="19">
        <f t="shared" si="10"/>
        <v>0</v>
      </c>
      <c r="F210" s="19">
        <f t="shared" si="10"/>
        <v>0</v>
      </c>
      <c r="G210" s="19">
        <f t="shared" si="10"/>
        <v>0</v>
      </c>
      <c r="H210" s="19">
        <f t="shared" si="10"/>
        <v>0</v>
      </c>
      <c r="I210" s="19">
        <f t="shared" si="10"/>
        <v>0</v>
      </c>
      <c r="J210" s="19">
        <f t="shared" si="10"/>
        <v>0</v>
      </c>
      <c r="K210" s="19">
        <f t="shared" si="10"/>
        <v>0</v>
      </c>
      <c r="L210" s="19">
        <f t="shared" si="10"/>
        <v>0</v>
      </c>
      <c r="M210" s="19">
        <f t="shared" si="10"/>
        <v>0</v>
      </c>
      <c r="N210" s="19">
        <f t="shared" si="10"/>
        <v>0</v>
      </c>
      <c r="O210" s="19">
        <f t="shared" si="10"/>
        <v>0</v>
      </c>
      <c r="P210" s="19">
        <f t="shared" si="10"/>
        <v>0</v>
      </c>
      <c r="Q210" s="19">
        <f t="shared" si="10"/>
        <v>0</v>
      </c>
      <c r="R210" s="19">
        <f t="shared" si="10"/>
        <v>0</v>
      </c>
      <c r="S210" s="19">
        <f t="shared" si="10"/>
        <v>0</v>
      </c>
      <c r="T210" s="19">
        <f t="shared" si="10"/>
        <v>0</v>
      </c>
      <c r="U210" s="19">
        <f t="shared" si="10"/>
        <v>0</v>
      </c>
      <c r="V210" s="19">
        <f t="shared" si="10"/>
        <v>0</v>
      </c>
      <c r="W210" s="19">
        <f t="shared" si="10"/>
        <v>0</v>
      </c>
      <c r="X210" s="19">
        <f t="shared" si="10"/>
        <v>0</v>
      </c>
      <c r="Y210" s="19">
        <f t="shared" si="10"/>
        <v>0</v>
      </c>
      <c r="Z210" s="19">
        <f t="shared" si="10"/>
        <v>0</v>
      </c>
      <c r="AA210" s="19">
        <f t="shared" si="10"/>
        <v>0</v>
      </c>
      <c r="AB210" s="19">
        <f t="shared" si="10"/>
        <v>0</v>
      </c>
      <c r="AC210" s="20"/>
    </row>
    <row r="211" spans="1:29" x14ac:dyDescent="0.3">
      <c r="A211" s="30" t="str">
        <v>5x</v>
      </c>
      <c r="B211" s="19">
        <f t="shared" si="9"/>
        <v>0</v>
      </c>
      <c r="C211" s="19">
        <f t="shared" si="10"/>
        <v>0</v>
      </c>
      <c r="D211" s="19">
        <f t="shared" si="10"/>
        <v>0</v>
      </c>
      <c r="E211" s="19">
        <f t="shared" si="10"/>
        <v>0</v>
      </c>
      <c r="F211" s="19">
        <f t="shared" si="10"/>
        <v>0</v>
      </c>
      <c r="G211" s="19">
        <f t="shared" si="10"/>
        <v>0</v>
      </c>
      <c r="H211" s="19">
        <f t="shared" si="10"/>
        <v>0</v>
      </c>
      <c r="I211" s="19">
        <f t="shared" si="10"/>
        <v>0</v>
      </c>
      <c r="J211" s="19">
        <f t="shared" si="10"/>
        <v>0</v>
      </c>
      <c r="K211" s="19">
        <f t="shared" si="10"/>
        <v>0</v>
      </c>
      <c r="L211" s="19">
        <f t="shared" si="10"/>
        <v>0</v>
      </c>
      <c r="M211" s="19">
        <f t="shared" si="10"/>
        <v>0</v>
      </c>
      <c r="N211" s="19">
        <f t="shared" si="10"/>
        <v>0</v>
      </c>
      <c r="O211" s="19">
        <f t="shared" si="10"/>
        <v>0</v>
      </c>
      <c r="P211" s="19">
        <f t="shared" si="10"/>
        <v>0</v>
      </c>
      <c r="Q211" s="19">
        <f t="shared" si="10"/>
        <v>0</v>
      </c>
      <c r="R211" s="19">
        <f t="shared" si="10"/>
        <v>0</v>
      </c>
      <c r="S211" s="19">
        <f t="shared" si="10"/>
        <v>0</v>
      </c>
      <c r="T211" s="19">
        <f t="shared" si="10"/>
        <v>0</v>
      </c>
      <c r="U211" s="19">
        <f t="shared" si="10"/>
        <v>0</v>
      </c>
      <c r="V211" s="19">
        <f t="shared" si="10"/>
        <v>0</v>
      </c>
      <c r="W211" s="19">
        <f t="shared" si="10"/>
        <v>0</v>
      </c>
      <c r="X211" s="19">
        <f t="shared" si="10"/>
        <v>0</v>
      </c>
      <c r="Y211" s="19">
        <f t="shared" si="10"/>
        <v>0</v>
      </c>
      <c r="Z211" s="19">
        <f t="shared" si="10"/>
        <v>0</v>
      </c>
      <c r="AA211" s="19">
        <f t="shared" si="10"/>
        <v>0</v>
      </c>
      <c r="AB211" s="19">
        <f t="shared" si="10"/>
        <v>0</v>
      </c>
      <c r="AC211" s="20"/>
    </row>
    <row r="212" spans="1:29" x14ac:dyDescent="0.3">
      <c r="A212" s="30" t="str">
        <v>5z</v>
      </c>
      <c r="B212" s="19">
        <f t="shared" si="9"/>
        <v>0</v>
      </c>
      <c r="C212" s="19">
        <f t="shared" si="10"/>
        <v>0</v>
      </c>
      <c r="D212" s="19">
        <f t="shared" si="10"/>
        <v>0</v>
      </c>
      <c r="E212" s="19">
        <f t="shared" si="10"/>
        <v>0</v>
      </c>
      <c r="F212" s="19">
        <f t="shared" si="10"/>
        <v>0</v>
      </c>
      <c r="G212" s="19">
        <f t="shared" si="10"/>
        <v>0</v>
      </c>
      <c r="H212" s="19">
        <f t="shared" si="10"/>
        <v>0</v>
      </c>
      <c r="I212" s="19">
        <f t="shared" si="10"/>
        <v>0</v>
      </c>
      <c r="J212" s="19">
        <f t="shared" si="10"/>
        <v>0</v>
      </c>
      <c r="K212" s="19">
        <f t="shared" si="10"/>
        <v>0</v>
      </c>
      <c r="L212" s="19">
        <f t="shared" si="10"/>
        <v>0</v>
      </c>
      <c r="M212" s="19">
        <f t="shared" si="10"/>
        <v>0</v>
      </c>
      <c r="N212" s="19">
        <f t="shared" si="10"/>
        <v>0</v>
      </c>
      <c r="O212" s="19">
        <f t="shared" si="10"/>
        <v>0</v>
      </c>
      <c r="P212" s="19">
        <f t="shared" si="10"/>
        <v>0</v>
      </c>
      <c r="Q212" s="19">
        <f t="shared" si="10"/>
        <v>0</v>
      </c>
      <c r="R212" s="19">
        <f t="shared" si="10"/>
        <v>0</v>
      </c>
      <c r="S212" s="19">
        <f t="shared" si="10"/>
        <v>0</v>
      </c>
      <c r="T212" s="19">
        <f t="shared" si="10"/>
        <v>0</v>
      </c>
      <c r="U212" s="19">
        <f t="shared" si="10"/>
        <v>0</v>
      </c>
      <c r="V212" s="19">
        <f t="shared" si="10"/>
        <v>0</v>
      </c>
      <c r="W212" s="19">
        <f t="shared" si="10"/>
        <v>0</v>
      </c>
      <c r="X212" s="19">
        <f t="shared" si="10"/>
        <v>0</v>
      </c>
      <c r="Y212" s="19">
        <f t="shared" si="10"/>
        <v>0</v>
      </c>
      <c r="Z212" s="19">
        <f t="shared" si="10"/>
        <v>0</v>
      </c>
      <c r="AA212" s="19">
        <f t="shared" si="10"/>
        <v>0</v>
      </c>
      <c r="AB212" s="19">
        <f t="shared" si="10"/>
        <v>0</v>
      </c>
      <c r="AC212" s="20"/>
    </row>
    <row r="213" spans="1:29" x14ac:dyDescent="0.3">
      <c r="A213" s="30" t="str">
        <v>ϴ5</v>
      </c>
      <c r="B213" s="19">
        <f t="shared" si="9"/>
        <v>0</v>
      </c>
      <c r="C213" s="19">
        <f t="shared" si="10"/>
        <v>0</v>
      </c>
      <c r="D213" s="19">
        <f t="shared" si="10"/>
        <v>0</v>
      </c>
      <c r="E213" s="19">
        <f t="shared" si="10"/>
        <v>0</v>
      </c>
      <c r="F213" s="19">
        <f t="shared" si="10"/>
        <v>0</v>
      </c>
      <c r="G213" s="19">
        <f t="shared" si="10"/>
        <v>0</v>
      </c>
      <c r="H213" s="19">
        <f t="shared" si="10"/>
        <v>0</v>
      </c>
      <c r="I213" s="19">
        <f t="shared" si="10"/>
        <v>0</v>
      </c>
      <c r="J213" s="19">
        <f t="shared" si="10"/>
        <v>0</v>
      </c>
      <c r="K213" s="19">
        <f t="shared" si="10"/>
        <v>0</v>
      </c>
      <c r="L213" s="19">
        <f t="shared" si="10"/>
        <v>0</v>
      </c>
      <c r="M213" s="19">
        <f t="shared" si="10"/>
        <v>0</v>
      </c>
      <c r="N213" s="19">
        <f t="shared" si="10"/>
        <v>0</v>
      </c>
      <c r="O213" s="19">
        <f t="shared" si="10"/>
        <v>0</v>
      </c>
      <c r="P213" s="19">
        <f t="shared" si="10"/>
        <v>0</v>
      </c>
      <c r="Q213" s="19">
        <f t="shared" si="10"/>
        <v>0</v>
      </c>
      <c r="R213" s="19">
        <f t="shared" si="10"/>
        <v>0</v>
      </c>
      <c r="S213" s="19">
        <f t="shared" si="10"/>
        <v>0</v>
      </c>
      <c r="T213" s="19">
        <f t="shared" si="10"/>
        <v>0</v>
      </c>
      <c r="U213" s="19">
        <f t="shared" si="10"/>
        <v>0</v>
      </c>
      <c r="V213" s="19">
        <f t="shared" si="10"/>
        <v>0</v>
      </c>
      <c r="W213" s="19">
        <f t="shared" si="10"/>
        <v>0</v>
      </c>
      <c r="X213" s="19">
        <f t="shared" si="10"/>
        <v>0</v>
      </c>
      <c r="Y213" s="19">
        <f t="shared" si="10"/>
        <v>0</v>
      </c>
      <c r="Z213" s="19">
        <f t="shared" si="10"/>
        <v>0</v>
      </c>
      <c r="AA213" s="19">
        <f t="shared" si="10"/>
        <v>0</v>
      </c>
      <c r="AB213" s="19">
        <f t="shared" si="10"/>
        <v>0</v>
      </c>
      <c r="AC213" s="20"/>
    </row>
    <row r="214" spans="1:29" x14ac:dyDescent="0.3">
      <c r="A214" s="30" t="str">
        <v>6x</v>
      </c>
      <c r="B214" s="19">
        <f t="shared" si="9"/>
        <v>0</v>
      </c>
      <c r="C214" s="19">
        <f t="shared" si="10"/>
        <v>0</v>
      </c>
      <c r="D214" s="19">
        <f t="shared" si="10"/>
        <v>0</v>
      </c>
      <c r="E214" s="19">
        <f t="shared" si="10"/>
        <v>0</v>
      </c>
      <c r="F214" s="19">
        <f t="shared" si="10"/>
        <v>0</v>
      </c>
      <c r="G214" s="19">
        <f t="shared" si="10"/>
        <v>0</v>
      </c>
      <c r="H214" s="19">
        <f t="shared" si="10"/>
        <v>0</v>
      </c>
      <c r="I214" s="19">
        <f t="shared" si="10"/>
        <v>0</v>
      </c>
      <c r="J214" s="19">
        <f t="shared" si="10"/>
        <v>0</v>
      </c>
      <c r="K214" s="19">
        <f t="shared" si="10"/>
        <v>0</v>
      </c>
      <c r="L214" s="19">
        <f t="shared" si="10"/>
        <v>0</v>
      </c>
      <c r="M214" s="19">
        <f t="shared" si="10"/>
        <v>0</v>
      </c>
      <c r="N214" s="19">
        <f t="shared" si="10"/>
        <v>0</v>
      </c>
      <c r="O214" s="19">
        <f t="shared" si="10"/>
        <v>0</v>
      </c>
      <c r="P214" s="19">
        <f t="shared" si="10"/>
        <v>0</v>
      </c>
      <c r="Q214" s="19">
        <f t="shared" si="10"/>
        <v>0</v>
      </c>
      <c r="R214" s="19">
        <f t="shared" si="10"/>
        <v>0</v>
      </c>
      <c r="S214" s="19">
        <f t="shared" si="10"/>
        <v>0</v>
      </c>
      <c r="T214" s="19">
        <f t="shared" si="10"/>
        <v>0</v>
      </c>
      <c r="U214" s="19">
        <f t="shared" si="10"/>
        <v>0</v>
      </c>
      <c r="V214" s="19">
        <f t="shared" si="10"/>
        <v>0</v>
      </c>
      <c r="W214" s="19">
        <f t="shared" si="10"/>
        <v>0</v>
      </c>
      <c r="X214" s="19">
        <f t="shared" si="10"/>
        <v>0</v>
      </c>
      <c r="Y214" s="19">
        <f t="shared" si="10"/>
        <v>0</v>
      </c>
      <c r="Z214" s="19">
        <f t="shared" si="10"/>
        <v>0</v>
      </c>
      <c r="AA214" s="19">
        <f t="shared" si="10"/>
        <v>0</v>
      </c>
      <c r="AB214" s="19">
        <f t="shared" si="10"/>
        <v>0</v>
      </c>
      <c r="AC214" s="20"/>
    </row>
    <row r="215" spans="1:29" x14ac:dyDescent="0.3">
      <c r="A215" s="30" t="str">
        <v>6z</v>
      </c>
      <c r="B215" s="19">
        <f t="shared" si="9"/>
        <v>0</v>
      </c>
      <c r="C215" s="19">
        <f t="shared" si="10"/>
        <v>0</v>
      </c>
      <c r="D215" s="19">
        <f t="shared" si="10"/>
        <v>0</v>
      </c>
      <c r="E215" s="19">
        <f t="shared" si="10"/>
        <v>0</v>
      </c>
      <c r="F215" s="19">
        <f t="shared" si="10"/>
        <v>0</v>
      </c>
      <c r="G215" s="19">
        <f t="shared" si="10"/>
        <v>0</v>
      </c>
      <c r="H215" s="19">
        <f t="shared" si="10"/>
        <v>0</v>
      </c>
      <c r="I215" s="19">
        <f t="shared" si="10"/>
        <v>0</v>
      </c>
      <c r="J215" s="19">
        <f t="shared" si="10"/>
        <v>0</v>
      </c>
      <c r="K215" s="19">
        <f t="shared" si="10"/>
        <v>0</v>
      </c>
      <c r="L215" s="19">
        <f t="shared" si="10"/>
        <v>0</v>
      </c>
      <c r="M215" s="19">
        <f t="shared" si="10"/>
        <v>0</v>
      </c>
      <c r="N215" s="19">
        <f t="shared" si="10"/>
        <v>0</v>
      </c>
      <c r="O215" s="19">
        <f t="shared" si="10"/>
        <v>0</v>
      </c>
      <c r="P215" s="19">
        <f t="shared" si="10"/>
        <v>0</v>
      </c>
      <c r="Q215" s="19">
        <f t="shared" si="10"/>
        <v>0</v>
      </c>
      <c r="R215" s="19">
        <f t="shared" si="10"/>
        <v>0</v>
      </c>
      <c r="S215" s="19">
        <f t="shared" si="10"/>
        <v>0</v>
      </c>
      <c r="T215" s="19">
        <f t="shared" si="10"/>
        <v>0</v>
      </c>
      <c r="U215" s="19">
        <f t="shared" si="10"/>
        <v>0</v>
      </c>
      <c r="V215" s="19">
        <f t="shared" si="10"/>
        <v>0</v>
      </c>
      <c r="W215" s="19">
        <f t="shared" si="10"/>
        <v>0</v>
      </c>
      <c r="X215" s="19">
        <f t="shared" si="10"/>
        <v>0</v>
      </c>
      <c r="Y215" s="19">
        <f t="shared" si="10"/>
        <v>0</v>
      </c>
      <c r="Z215" s="19">
        <f t="shared" si="10"/>
        <v>0</v>
      </c>
      <c r="AA215" s="19">
        <f t="shared" si="10"/>
        <v>0</v>
      </c>
      <c r="AB215" s="19">
        <f t="shared" si="10"/>
        <v>0</v>
      </c>
      <c r="AC215" s="20"/>
    </row>
    <row r="216" spans="1:29" x14ac:dyDescent="0.3">
      <c r="A216" s="30" t="str">
        <v>ϴ6</v>
      </c>
      <c r="B216" s="19">
        <f t="shared" si="9"/>
        <v>0</v>
      </c>
      <c r="C216" s="19">
        <f t="shared" si="10"/>
        <v>0</v>
      </c>
      <c r="D216" s="19">
        <f t="shared" si="10"/>
        <v>0</v>
      </c>
      <c r="E216" s="19">
        <f t="shared" si="10"/>
        <v>0</v>
      </c>
      <c r="F216" s="19">
        <f t="shared" si="10"/>
        <v>0</v>
      </c>
      <c r="G216" s="19">
        <f t="shared" si="10"/>
        <v>0</v>
      </c>
      <c r="H216" s="19">
        <f t="shared" si="10"/>
        <v>0</v>
      </c>
      <c r="I216" s="19">
        <f t="shared" si="10"/>
        <v>0</v>
      </c>
      <c r="J216" s="19">
        <f t="shared" si="10"/>
        <v>0</v>
      </c>
      <c r="K216" s="19">
        <f t="shared" si="10"/>
        <v>0</v>
      </c>
      <c r="L216" s="19">
        <f t="shared" si="10"/>
        <v>0</v>
      </c>
      <c r="M216" s="19">
        <f t="shared" si="10"/>
        <v>0</v>
      </c>
      <c r="N216" s="19">
        <f t="shared" si="10"/>
        <v>0</v>
      </c>
      <c r="O216" s="19">
        <f t="shared" si="10"/>
        <v>0</v>
      </c>
      <c r="P216" s="19">
        <f t="shared" si="10"/>
        <v>0</v>
      </c>
      <c r="Q216" s="19">
        <f t="shared" si="10"/>
        <v>0</v>
      </c>
      <c r="R216" s="19">
        <f t="shared" si="10"/>
        <v>0</v>
      </c>
      <c r="S216" s="19">
        <f t="shared" si="10"/>
        <v>0</v>
      </c>
      <c r="T216" s="19">
        <f t="shared" si="10"/>
        <v>0</v>
      </c>
      <c r="U216" s="19">
        <f t="shared" si="10"/>
        <v>0</v>
      </c>
      <c r="V216" s="19">
        <f t="shared" si="10"/>
        <v>0</v>
      </c>
      <c r="W216" s="19">
        <f t="shared" si="10"/>
        <v>0</v>
      </c>
      <c r="X216" s="19">
        <f t="shared" si="10"/>
        <v>0</v>
      </c>
      <c r="Y216" s="19">
        <f t="shared" si="10"/>
        <v>0</v>
      </c>
      <c r="Z216" s="19">
        <f t="shared" si="10"/>
        <v>0</v>
      </c>
      <c r="AA216" s="19">
        <f t="shared" si="10"/>
        <v>0</v>
      </c>
      <c r="AB216" s="19">
        <f t="shared" si="10"/>
        <v>0</v>
      </c>
      <c r="AC216" s="20"/>
    </row>
    <row r="217" spans="1:29" x14ac:dyDescent="0.3">
      <c r="A217" s="30" t="str">
        <v>ax</v>
      </c>
      <c r="B217" s="19">
        <f t="shared" si="9"/>
        <v>0</v>
      </c>
      <c r="C217" s="19">
        <f t="shared" si="10"/>
        <v>0</v>
      </c>
      <c r="D217" s="19">
        <f t="shared" si="10"/>
        <v>0</v>
      </c>
      <c r="E217" s="19">
        <f t="shared" si="10"/>
        <v>0</v>
      </c>
      <c r="F217" s="19">
        <f t="shared" si="10"/>
        <v>0</v>
      </c>
      <c r="G217" s="19">
        <f t="shared" si="10"/>
        <v>0</v>
      </c>
      <c r="H217" s="19">
        <f t="shared" si="10"/>
        <v>0</v>
      </c>
      <c r="I217" s="19">
        <f t="shared" si="10"/>
        <v>0</v>
      </c>
      <c r="J217" s="19">
        <f t="shared" si="10"/>
        <v>0</v>
      </c>
      <c r="K217" s="19">
        <f t="shared" si="10"/>
        <v>0</v>
      </c>
      <c r="L217" s="19">
        <f t="shared" si="10"/>
        <v>0</v>
      </c>
      <c r="M217" s="19">
        <f t="shared" si="10"/>
        <v>0</v>
      </c>
      <c r="N217" s="19">
        <f t="shared" si="10"/>
        <v>0</v>
      </c>
      <c r="O217" s="19">
        <f t="shared" si="10"/>
        <v>0</v>
      </c>
      <c r="P217" s="19">
        <f t="shared" si="10"/>
        <v>0</v>
      </c>
      <c r="Q217" s="19">
        <f t="shared" si="10"/>
        <v>0</v>
      </c>
      <c r="R217" s="19">
        <f t="shared" si="10"/>
        <v>0</v>
      </c>
      <c r="S217" s="19">
        <f t="shared" si="10"/>
        <v>0</v>
      </c>
      <c r="T217" s="19">
        <f t="shared" si="10"/>
        <v>0</v>
      </c>
      <c r="U217" s="19">
        <f t="shared" si="10"/>
        <v>0</v>
      </c>
      <c r="V217" s="19">
        <f t="shared" si="10"/>
        <v>0</v>
      </c>
      <c r="W217" s="19">
        <f t="shared" si="10"/>
        <v>0</v>
      </c>
      <c r="X217" s="19">
        <f t="shared" si="10"/>
        <v>0</v>
      </c>
      <c r="Y217" s="19">
        <f t="shared" si="10"/>
        <v>0</v>
      </c>
      <c r="Z217" s="19">
        <f t="shared" si="10"/>
        <v>0</v>
      </c>
      <c r="AA217" s="19">
        <f t="shared" si="10"/>
        <v>0</v>
      </c>
      <c r="AB217" s="19">
        <f t="shared" si="10"/>
        <v>0</v>
      </c>
      <c r="AC217" s="20"/>
    </row>
    <row r="218" spans="1:29" x14ac:dyDescent="0.3">
      <c r="A218" s="30" t="str">
        <v>az</v>
      </c>
      <c r="B218" s="19">
        <f t="shared" si="9"/>
        <v>0</v>
      </c>
      <c r="C218" s="19">
        <f t="shared" si="10"/>
        <v>0</v>
      </c>
      <c r="D218" s="19">
        <f t="shared" si="10"/>
        <v>0</v>
      </c>
      <c r="E218" s="19">
        <f t="shared" si="10"/>
        <v>0</v>
      </c>
      <c r="F218" s="19">
        <f t="shared" si="10"/>
        <v>0</v>
      </c>
      <c r="G218" s="19">
        <f t="shared" si="10"/>
        <v>0</v>
      </c>
      <c r="H218" s="19">
        <f t="shared" si="10"/>
        <v>0</v>
      </c>
      <c r="I218" s="19">
        <f t="shared" si="10"/>
        <v>0</v>
      </c>
      <c r="J218" s="19">
        <f t="shared" si="10"/>
        <v>0</v>
      </c>
      <c r="K218" s="19">
        <f t="shared" si="10"/>
        <v>0</v>
      </c>
      <c r="L218" s="19">
        <f t="shared" si="10"/>
        <v>0</v>
      </c>
      <c r="M218" s="19">
        <f t="shared" si="10"/>
        <v>0</v>
      </c>
      <c r="N218" s="19">
        <f t="shared" si="10"/>
        <v>0</v>
      </c>
      <c r="O218" s="19">
        <f t="shared" si="10"/>
        <v>0</v>
      </c>
      <c r="P218" s="19">
        <f t="shared" si="10"/>
        <v>0</v>
      </c>
      <c r="Q218" s="19">
        <f t="shared" si="10"/>
        <v>0</v>
      </c>
      <c r="R218" s="19">
        <f t="shared" si="10"/>
        <v>0</v>
      </c>
      <c r="S218" s="19">
        <f t="shared" si="10"/>
        <v>0</v>
      </c>
      <c r="T218" s="19">
        <f t="shared" si="10"/>
        <v>0</v>
      </c>
      <c r="U218" s="19">
        <f t="shared" si="10"/>
        <v>0</v>
      </c>
      <c r="V218" s="19">
        <f t="shared" si="10"/>
        <v>0</v>
      </c>
      <c r="W218" s="19">
        <f t="shared" si="10"/>
        <v>0</v>
      </c>
      <c r="X218" s="19">
        <f t="shared" si="10"/>
        <v>0</v>
      </c>
      <c r="Y218" s="19">
        <f t="shared" si="10"/>
        <v>0</v>
      </c>
      <c r="Z218" s="19">
        <f t="shared" si="10"/>
        <v>0</v>
      </c>
      <c r="AA218" s="19">
        <f t="shared" si="10"/>
        <v>0</v>
      </c>
      <c r="AB218" s="19">
        <f t="shared" si="10"/>
        <v>0</v>
      </c>
      <c r="AC218" s="20"/>
    </row>
    <row r="219" spans="1:29" x14ac:dyDescent="0.3">
      <c r="A219" s="30" t="str">
        <v>ϴa</v>
      </c>
      <c r="B219" s="19">
        <f t="shared" si="9"/>
        <v>0</v>
      </c>
      <c r="C219" s="19">
        <f t="shared" si="10"/>
        <v>0</v>
      </c>
      <c r="D219" s="19">
        <f t="shared" si="10"/>
        <v>0</v>
      </c>
      <c r="E219" s="19">
        <f t="shared" si="10"/>
        <v>0</v>
      </c>
      <c r="F219" s="19">
        <f t="shared" si="10"/>
        <v>0</v>
      </c>
      <c r="G219" s="19">
        <f t="shared" si="10"/>
        <v>0</v>
      </c>
      <c r="H219" s="19">
        <f t="shared" ref="C219:AB225" si="11">IFERROR(VLOOKUP($A219,$A$189:$G$195,MATCH(H$198,$A$189:$G$189,0),FALSE),0)</f>
        <v>0</v>
      </c>
      <c r="I219" s="19">
        <f t="shared" si="11"/>
        <v>0</v>
      </c>
      <c r="J219" s="19">
        <f t="shared" si="11"/>
        <v>0</v>
      </c>
      <c r="K219" s="19">
        <f t="shared" si="11"/>
        <v>0</v>
      </c>
      <c r="L219" s="19">
        <f t="shared" si="11"/>
        <v>0</v>
      </c>
      <c r="M219" s="19">
        <f t="shared" si="11"/>
        <v>0</v>
      </c>
      <c r="N219" s="19">
        <f t="shared" si="11"/>
        <v>0</v>
      </c>
      <c r="O219" s="19">
        <f t="shared" si="11"/>
        <v>0</v>
      </c>
      <c r="P219" s="19">
        <f t="shared" si="11"/>
        <v>0</v>
      </c>
      <c r="Q219" s="19">
        <f t="shared" si="11"/>
        <v>0</v>
      </c>
      <c r="R219" s="19">
        <f t="shared" si="11"/>
        <v>0</v>
      </c>
      <c r="S219" s="19">
        <f t="shared" si="11"/>
        <v>0</v>
      </c>
      <c r="T219" s="19">
        <f t="shared" si="11"/>
        <v>0</v>
      </c>
      <c r="U219" s="19">
        <f t="shared" si="11"/>
        <v>0</v>
      </c>
      <c r="V219" s="19">
        <f t="shared" si="11"/>
        <v>0</v>
      </c>
      <c r="W219" s="19">
        <f t="shared" si="11"/>
        <v>0</v>
      </c>
      <c r="X219" s="19">
        <f t="shared" si="11"/>
        <v>0</v>
      </c>
      <c r="Y219" s="19">
        <f t="shared" si="11"/>
        <v>0</v>
      </c>
      <c r="Z219" s="19">
        <f t="shared" si="11"/>
        <v>0</v>
      </c>
      <c r="AA219" s="19">
        <f t="shared" si="11"/>
        <v>0</v>
      </c>
      <c r="AB219" s="19">
        <f t="shared" si="11"/>
        <v>0</v>
      </c>
      <c r="AC219" s="20"/>
    </row>
    <row r="220" spans="1:29" x14ac:dyDescent="0.3">
      <c r="A220" s="30" t="str">
        <v>bx</v>
      </c>
      <c r="B220" s="19">
        <f t="shared" si="9"/>
        <v>0</v>
      </c>
      <c r="C220" s="19">
        <f t="shared" si="11"/>
        <v>0</v>
      </c>
      <c r="D220" s="19">
        <f t="shared" si="11"/>
        <v>0</v>
      </c>
      <c r="E220" s="19">
        <f t="shared" si="11"/>
        <v>0</v>
      </c>
      <c r="F220" s="19">
        <f t="shared" si="11"/>
        <v>0</v>
      </c>
      <c r="G220" s="19">
        <f t="shared" si="11"/>
        <v>0</v>
      </c>
      <c r="H220" s="19">
        <f t="shared" si="11"/>
        <v>0</v>
      </c>
      <c r="I220" s="19">
        <f t="shared" si="11"/>
        <v>0</v>
      </c>
      <c r="J220" s="19">
        <f t="shared" si="11"/>
        <v>0</v>
      </c>
      <c r="K220" s="19">
        <f t="shared" si="11"/>
        <v>0</v>
      </c>
      <c r="L220" s="19">
        <f t="shared" si="11"/>
        <v>0</v>
      </c>
      <c r="M220" s="19">
        <f t="shared" si="11"/>
        <v>0</v>
      </c>
      <c r="N220" s="19">
        <f t="shared" si="11"/>
        <v>0</v>
      </c>
      <c r="O220" s="19">
        <f t="shared" si="11"/>
        <v>0</v>
      </c>
      <c r="P220" s="19">
        <f t="shared" si="11"/>
        <v>0</v>
      </c>
      <c r="Q220" s="19">
        <f t="shared" si="11"/>
        <v>0</v>
      </c>
      <c r="R220" s="19">
        <f t="shared" si="11"/>
        <v>0</v>
      </c>
      <c r="S220" s="19">
        <f t="shared" si="11"/>
        <v>0</v>
      </c>
      <c r="T220" s="19">
        <f t="shared" si="11"/>
        <v>0</v>
      </c>
      <c r="U220" s="19">
        <f t="shared" si="11"/>
        <v>0</v>
      </c>
      <c r="V220" s="19">
        <f t="shared" si="11"/>
        <v>0</v>
      </c>
      <c r="W220" s="19">
        <f t="shared" si="11"/>
        <v>0</v>
      </c>
      <c r="X220" s="19">
        <f t="shared" si="11"/>
        <v>0</v>
      </c>
      <c r="Y220" s="19">
        <f t="shared" si="11"/>
        <v>0</v>
      </c>
      <c r="Z220" s="19">
        <f t="shared" si="11"/>
        <v>0</v>
      </c>
      <c r="AA220" s="19">
        <f t="shared" si="11"/>
        <v>0</v>
      </c>
      <c r="AB220" s="19">
        <f t="shared" si="11"/>
        <v>0</v>
      </c>
      <c r="AC220" s="20"/>
    </row>
    <row r="221" spans="1:29" x14ac:dyDescent="0.3">
      <c r="A221" s="30" t="str">
        <v>bz</v>
      </c>
      <c r="B221" s="19">
        <f t="shared" si="9"/>
        <v>0</v>
      </c>
      <c r="C221" s="19">
        <f t="shared" si="11"/>
        <v>0</v>
      </c>
      <c r="D221" s="19">
        <f t="shared" si="11"/>
        <v>0</v>
      </c>
      <c r="E221" s="19">
        <f t="shared" si="11"/>
        <v>0</v>
      </c>
      <c r="F221" s="19">
        <f t="shared" si="11"/>
        <v>0</v>
      </c>
      <c r="G221" s="19">
        <f t="shared" si="11"/>
        <v>0</v>
      </c>
      <c r="H221" s="19">
        <f t="shared" si="11"/>
        <v>0</v>
      </c>
      <c r="I221" s="19">
        <f t="shared" si="11"/>
        <v>0</v>
      </c>
      <c r="J221" s="19">
        <f t="shared" si="11"/>
        <v>0</v>
      </c>
      <c r="K221" s="19">
        <f t="shared" si="11"/>
        <v>0</v>
      </c>
      <c r="L221" s="19">
        <f t="shared" si="11"/>
        <v>0</v>
      </c>
      <c r="M221" s="19">
        <f t="shared" si="11"/>
        <v>0</v>
      </c>
      <c r="N221" s="19">
        <f t="shared" si="11"/>
        <v>0</v>
      </c>
      <c r="O221" s="19">
        <f t="shared" si="11"/>
        <v>0</v>
      </c>
      <c r="P221" s="19">
        <f t="shared" si="11"/>
        <v>0</v>
      </c>
      <c r="Q221" s="19">
        <f t="shared" si="11"/>
        <v>0</v>
      </c>
      <c r="R221" s="19">
        <f t="shared" si="11"/>
        <v>0</v>
      </c>
      <c r="S221" s="19">
        <f t="shared" si="11"/>
        <v>0</v>
      </c>
      <c r="T221" s="19">
        <f t="shared" si="11"/>
        <v>0</v>
      </c>
      <c r="U221" s="19">
        <f t="shared" si="11"/>
        <v>0</v>
      </c>
      <c r="V221" s="19">
        <f t="shared" si="11"/>
        <v>0</v>
      </c>
      <c r="W221" s="19">
        <f t="shared" si="11"/>
        <v>0</v>
      </c>
      <c r="X221" s="19">
        <f t="shared" si="11"/>
        <v>0</v>
      </c>
      <c r="Y221" s="19">
        <f t="shared" si="11"/>
        <v>0</v>
      </c>
      <c r="Z221" s="19">
        <f t="shared" si="11"/>
        <v>0</v>
      </c>
      <c r="AA221" s="19">
        <f t="shared" si="11"/>
        <v>0</v>
      </c>
      <c r="AB221" s="19">
        <f t="shared" si="11"/>
        <v>0</v>
      </c>
      <c r="AC221" s="20"/>
    </row>
    <row r="222" spans="1:29" x14ac:dyDescent="0.3">
      <c r="A222" s="30" t="str">
        <v>ϴb</v>
      </c>
      <c r="B222" s="19">
        <f t="shared" si="9"/>
        <v>0</v>
      </c>
      <c r="C222" s="19">
        <f t="shared" si="11"/>
        <v>0</v>
      </c>
      <c r="D222" s="19">
        <f t="shared" si="11"/>
        <v>0</v>
      </c>
      <c r="E222" s="19">
        <f t="shared" si="11"/>
        <v>0</v>
      </c>
      <c r="F222" s="19">
        <f t="shared" si="11"/>
        <v>0</v>
      </c>
      <c r="G222" s="19">
        <f t="shared" si="11"/>
        <v>0</v>
      </c>
      <c r="H222" s="19">
        <f t="shared" si="11"/>
        <v>0</v>
      </c>
      <c r="I222" s="19">
        <f t="shared" si="11"/>
        <v>0</v>
      </c>
      <c r="J222" s="19">
        <f t="shared" si="11"/>
        <v>0</v>
      </c>
      <c r="K222" s="19">
        <f t="shared" si="11"/>
        <v>0</v>
      </c>
      <c r="L222" s="19">
        <f t="shared" si="11"/>
        <v>0</v>
      </c>
      <c r="M222" s="19">
        <f t="shared" si="11"/>
        <v>0</v>
      </c>
      <c r="N222" s="19">
        <f t="shared" si="11"/>
        <v>0</v>
      </c>
      <c r="O222" s="19">
        <f t="shared" si="11"/>
        <v>0</v>
      </c>
      <c r="P222" s="19">
        <f t="shared" si="11"/>
        <v>0</v>
      </c>
      <c r="Q222" s="19">
        <f t="shared" si="11"/>
        <v>0</v>
      </c>
      <c r="R222" s="19">
        <f t="shared" si="11"/>
        <v>0</v>
      </c>
      <c r="S222" s="19">
        <f t="shared" si="11"/>
        <v>0</v>
      </c>
      <c r="T222" s="19">
        <f t="shared" si="11"/>
        <v>0</v>
      </c>
      <c r="U222" s="19">
        <f t="shared" si="11"/>
        <v>0</v>
      </c>
      <c r="V222" s="19">
        <f t="shared" si="11"/>
        <v>0</v>
      </c>
      <c r="W222" s="19">
        <f t="shared" si="11"/>
        <v>0</v>
      </c>
      <c r="X222" s="19">
        <f t="shared" si="11"/>
        <v>0</v>
      </c>
      <c r="Y222" s="19">
        <f t="shared" si="11"/>
        <v>0</v>
      </c>
      <c r="Z222" s="19">
        <f t="shared" si="11"/>
        <v>0</v>
      </c>
      <c r="AA222" s="19">
        <f t="shared" si="11"/>
        <v>0</v>
      </c>
      <c r="AB222" s="19">
        <f t="shared" si="11"/>
        <v>0</v>
      </c>
      <c r="AC222" s="20"/>
    </row>
    <row r="223" spans="1:29" x14ac:dyDescent="0.3">
      <c r="A223" s="30" t="str">
        <v>cx</v>
      </c>
      <c r="B223" s="19">
        <f t="shared" si="9"/>
        <v>0</v>
      </c>
      <c r="C223" s="19">
        <f t="shared" si="11"/>
        <v>0</v>
      </c>
      <c r="D223" s="19">
        <f t="shared" si="11"/>
        <v>0</v>
      </c>
      <c r="E223" s="19">
        <f t="shared" si="11"/>
        <v>0</v>
      </c>
      <c r="F223" s="19">
        <f t="shared" si="11"/>
        <v>0</v>
      </c>
      <c r="G223" s="19">
        <f t="shared" si="11"/>
        <v>0</v>
      </c>
      <c r="H223" s="19">
        <f t="shared" si="11"/>
        <v>0</v>
      </c>
      <c r="I223" s="19">
        <f t="shared" si="11"/>
        <v>0</v>
      </c>
      <c r="J223" s="19">
        <f t="shared" si="11"/>
        <v>0</v>
      </c>
      <c r="K223" s="19">
        <f t="shared" si="11"/>
        <v>0</v>
      </c>
      <c r="L223" s="19">
        <f t="shared" si="11"/>
        <v>0</v>
      </c>
      <c r="M223" s="19">
        <f t="shared" si="11"/>
        <v>0</v>
      </c>
      <c r="N223" s="19">
        <f t="shared" si="11"/>
        <v>0</v>
      </c>
      <c r="O223" s="19">
        <f t="shared" si="11"/>
        <v>0</v>
      </c>
      <c r="P223" s="19">
        <f t="shared" si="11"/>
        <v>0</v>
      </c>
      <c r="Q223" s="19">
        <f t="shared" si="11"/>
        <v>0</v>
      </c>
      <c r="R223" s="19">
        <f t="shared" si="11"/>
        <v>0</v>
      </c>
      <c r="S223" s="19">
        <f t="shared" si="11"/>
        <v>0</v>
      </c>
      <c r="T223" s="19">
        <f t="shared" si="11"/>
        <v>0</v>
      </c>
      <c r="U223" s="19">
        <f t="shared" si="11"/>
        <v>0</v>
      </c>
      <c r="V223" s="19">
        <f t="shared" si="11"/>
        <v>0</v>
      </c>
      <c r="W223" s="19">
        <f t="shared" si="11"/>
        <v>0</v>
      </c>
      <c r="X223" s="19">
        <f t="shared" si="11"/>
        <v>0</v>
      </c>
      <c r="Y223" s="19">
        <f t="shared" si="11"/>
        <v>0</v>
      </c>
      <c r="Z223" s="19">
        <f t="shared" si="11"/>
        <v>0</v>
      </c>
      <c r="AA223" s="19">
        <f t="shared" si="11"/>
        <v>0</v>
      </c>
      <c r="AB223" s="19">
        <f t="shared" si="11"/>
        <v>0</v>
      </c>
      <c r="AC223" s="20"/>
    </row>
    <row r="224" spans="1:29" x14ac:dyDescent="0.3">
      <c r="A224" s="30" t="str">
        <v>cz</v>
      </c>
      <c r="B224" s="19">
        <f t="shared" si="9"/>
        <v>0</v>
      </c>
      <c r="C224" s="19">
        <f t="shared" si="11"/>
        <v>0</v>
      </c>
      <c r="D224" s="19">
        <f t="shared" si="11"/>
        <v>0</v>
      </c>
      <c r="E224" s="19">
        <f t="shared" si="11"/>
        <v>0</v>
      </c>
      <c r="F224" s="19">
        <f t="shared" si="11"/>
        <v>0</v>
      </c>
      <c r="G224" s="19">
        <f t="shared" si="11"/>
        <v>0</v>
      </c>
      <c r="H224" s="19">
        <f t="shared" si="11"/>
        <v>0</v>
      </c>
      <c r="I224" s="19">
        <f t="shared" si="11"/>
        <v>0</v>
      </c>
      <c r="J224" s="19">
        <f t="shared" si="11"/>
        <v>0</v>
      </c>
      <c r="K224" s="19">
        <f t="shared" si="11"/>
        <v>0</v>
      </c>
      <c r="L224" s="19">
        <f t="shared" si="11"/>
        <v>0</v>
      </c>
      <c r="M224" s="19">
        <f t="shared" si="11"/>
        <v>0</v>
      </c>
      <c r="N224" s="19">
        <f t="shared" si="11"/>
        <v>0</v>
      </c>
      <c r="O224" s="19">
        <f t="shared" si="11"/>
        <v>0</v>
      </c>
      <c r="P224" s="19">
        <f t="shared" si="11"/>
        <v>0</v>
      </c>
      <c r="Q224" s="19">
        <f t="shared" si="11"/>
        <v>0</v>
      </c>
      <c r="R224" s="19">
        <f t="shared" si="11"/>
        <v>0</v>
      </c>
      <c r="S224" s="19">
        <f t="shared" si="11"/>
        <v>0</v>
      </c>
      <c r="T224" s="19">
        <f t="shared" si="11"/>
        <v>0</v>
      </c>
      <c r="U224" s="19">
        <f t="shared" si="11"/>
        <v>0</v>
      </c>
      <c r="V224" s="19">
        <f t="shared" si="11"/>
        <v>0</v>
      </c>
      <c r="W224" s="19">
        <f t="shared" si="11"/>
        <v>0</v>
      </c>
      <c r="X224" s="19">
        <f t="shared" si="11"/>
        <v>0</v>
      </c>
      <c r="Y224" s="19">
        <f t="shared" si="11"/>
        <v>0</v>
      </c>
      <c r="Z224" s="19">
        <f t="shared" si="11"/>
        <v>0</v>
      </c>
      <c r="AA224" s="19">
        <f t="shared" si="11"/>
        <v>0</v>
      </c>
      <c r="AB224" s="19">
        <f t="shared" si="11"/>
        <v>0</v>
      </c>
      <c r="AC224" s="20"/>
    </row>
    <row r="225" spans="1:29" x14ac:dyDescent="0.3">
      <c r="A225" s="30" t="str">
        <v>ϴc</v>
      </c>
      <c r="B225" s="19">
        <f t="shared" si="9"/>
        <v>0</v>
      </c>
      <c r="C225" s="19">
        <f t="shared" si="11"/>
        <v>0</v>
      </c>
      <c r="D225" s="19">
        <f t="shared" si="11"/>
        <v>0</v>
      </c>
      <c r="E225" s="19">
        <f t="shared" si="11"/>
        <v>0</v>
      </c>
      <c r="F225" s="19">
        <f t="shared" si="11"/>
        <v>0</v>
      </c>
      <c r="G225" s="19">
        <f t="shared" si="11"/>
        <v>0</v>
      </c>
      <c r="H225" s="19">
        <f t="shared" si="11"/>
        <v>0</v>
      </c>
      <c r="I225" s="19">
        <f t="shared" si="11"/>
        <v>0</v>
      </c>
      <c r="J225" s="19">
        <f t="shared" si="11"/>
        <v>0</v>
      </c>
      <c r="K225" s="19">
        <f t="shared" si="11"/>
        <v>0</v>
      </c>
      <c r="L225" s="19">
        <f t="shared" si="11"/>
        <v>0</v>
      </c>
      <c r="M225" s="19">
        <f t="shared" si="11"/>
        <v>0</v>
      </c>
      <c r="N225" s="19">
        <f t="shared" si="11"/>
        <v>0</v>
      </c>
      <c r="O225" s="19">
        <f t="shared" si="11"/>
        <v>0</v>
      </c>
      <c r="P225" s="19">
        <f t="shared" si="11"/>
        <v>0</v>
      </c>
      <c r="Q225" s="19">
        <f t="shared" si="11"/>
        <v>0</v>
      </c>
      <c r="R225" s="19">
        <f t="shared" si="11"/>
        <v>0</v>
      </c>
      <c r="S225" s="19">
        <f t="shared" si="11"/>
        <v>0</v>
      </c>
      <c r="T225" s="19">
        <f t="shared" si="11"/>
        <v>0</v>
      </c>
      <c r="U225" s="19">
        <f t="shared" si="11"/>
        <v>0</v>
      </c>
      <c r="V225" s="19">
        <f t="shared" si="11"/>
        <v>0</v>
      </c>
      <c r="W225" s="19">
        <f t="shared" si="11"/>
        <v>0</v>
      </c>
      <c r="X225" s="19">
        <f t="shared" si="11"/>
        <v>0</v>
      </c>
      <c r="Y225" s="19">
        <f t="shared" si="11"/>
        <v>0</v>
      </c>
      <c r="Z225" s="19">
        <f t="shared" si="11"/>
        <v>0</v>
      </c>
      <c r="AA225" s="19">
        <f t="shared" si="11"/>
        <v>0</v>
      </c>
      <c r="AB225" s="19">
        <f t="shared" si="11"/>
        <v>0</v>
      </c>
      <c r="AC225" s="20"/>
    </row>
    <row r="226" spans="1:29" x14ac:dyDescent="0.3">
      <c r="A226" s="18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20"/>
    </row>
    <row r="227" spans="1:29" ht="15" thickBot="1" x14ac:dyDescent="0.35">
      <c r="A227" s="31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3"/>
    </row>
    <row r="229" spans="1:29" ht="15" thickBot="1" x14ac:dyDescent="0.35"/>
    <row r="230" spans="1:29" x14ac:dyDescent="0.3">
      <c r="A230" s="39" t="s">
        <v>48</v>
      </c>
      <c r="B230" s="40"/>
      <c r="C230" s="40"/>
      <c r="D230" s="40"/>
      <c r="E230" s="40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7"/>
    </row>
    <row r="231" spans="1:29" x14ac:dyDescent="0.3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20"/>
    </row>
    <row r="232" spans="1:29" x14ac:dyDescent="0.3">
      <c r="A232" s="18"/>
      <c r="B232" s="1" t="s">
        <v>2</v>
      </c>
      <c r="C232" s="1">
        <v>625</v>
      </c>
      <c r="D232" s="1" t="s">
        <v>47</v>
      </c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20"/>
    </row>
    <row r="233" spans="1:29" x14ac:dyDescent="0.3">
      <c r="A233" s="18"/>
      <c r="B233" s="1" t="s">
        <v>3</v>
      </c>
      <c r="C233" s="1">
        <v>32552.080000000002</v>
      </c>
      <c r="D233" s="1" t="s">
        <v>3</v>
      </c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20"/>
    </row>
    <row r="234" spans="1:29" x14ac:dyDescent="0.3">
      <c r="A234" s="18"/>
      <c r="B234" s="1" t="s">
        <v>4</v>
      </c>
      <c r="C234" s="1">
        <v>300</v>
      </c>
      <c r="D234" s="1" t="s">
        <v>6</v>
      </c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20"/>
    </row>
    <row r="235" spans="1:29" x14ac:dyDescent="0.3">
      <c r="A235" s="18"/>
      <c r="B235" s="1" t="s">
        <v>5</v>
      </c>
      <c r="C235" s="1">
        <v>218819.79</v>
      </c>
      <c r="D235" s="1" t="s">
        <v>5</v>
      </c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20"/>
    </row>
    <row r="236" spans="1:29" x14ac:dyDescent="0.3">
      <c r="A236" s="18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20"/>
    </row>
    <row r="237" spans="1:29" x14ac:dyDescent="0.3">
      <c r="A237" s="34" t="s">
        <v>12</v>
      </c>
      <c r="B237" s="35"/>
      <c r="C237" s="35"/>
      <c r="D237" s="35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20"/>
    </row>
    <row r="238" spans="1:29" x14ac:dyDescent="0.3">
      <c r="A238" s="21" t="s">
        <v>7</v>
      </c>
      <c r="B238" s="5">
        <f>C235*C232/C234</f>
        <v>455874.5625</v>
      </c>
      <c r="C238" s="4" t="s">
        <v>11</v>
      </c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20"/>
    </row>
    <row r="239" spans="1:29" x14ac:dyDescent="0.3">
      <c r="A239" s="22" t="s">
        <v>8</v>
      </c>
      <c r="B239" s="3">
        <f>(12*C235*C233)/(C234^3)</f>
        <v>3165.7952487392004</v>
      </c>
      <c r="C239" s="1" t="s">
        <v>11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20"/>
    </row>
    <row r="240" spans="1:29" x14ac:dyDescent="0.3">
      <c r="A240" s="22" t="s">
        <v>21</v>
      </c>
      <c r="B240" s="3">
        <f>(6*C235*C233)/(C234^2)</f>
        <v>474869.28731088003</v>
      </c>
      <c r="C240" s="1" t="s">
        <v>11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20"/>
    </row>
    <row r="241" spans="1:29" x14ac:dyDescent="0.3">
      <c r="A241" s="22" t="s">
        <v>9</v>
      </c>
      <c r="B241" s="2">
        <f>(4*C235*C233)/C234</f>
        <v>94973857.46217601</v>
      </c>
      <c r="C241" s="1" t="s">
        <v>11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20"/>
    </row>
    <row r="242" spans="1:29" x14ac:dyDescent="0.3">
      <c r="A242" s="22" t="s">
        <v>10</v>
      </c>
      <c r="B242" s="2">
        <f>(2*C235*C233)/(C234)</f>
        <v>47486928.731088005</v>
      </c>
      <c r="C242" s="1" t="s">
        <v>11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20"/>
    </row>
    <row r="243" spans="1:29" x14ac:dyDescent="0.3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20"/>
    </row>
    <row r="244" spans="1:29" x14ac:dyDescent="0.3">
      <c r="A244" s="36" t="s">
        <v>50</v>
      </c>
      <c r="B244" s="37"/>
      <c r="C244" s="37"/>
      <c r="D244" s="37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20"/>
    </row>
    <row r="245" spans="1:29" x14ac:dyDescent="0.3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20"/>
    </row>
    <row r="246" spans="1:29" x14ac:dyDescent="0.3">
      <c r="A246" s="22" t="s">
        <v>14</v>
      </c>
      <c r="B246" s="6" t="s">
        <v>15</v>
      </c>
      <c r="C246" s="6" t="s">
        <v>16</v>
      </c>
      <c r="D246" s="7" t="s">
        <v>17</v>
      </c>
      <c r="E246" s="7" t="s">
        <v>29</v>
      </c>
      <c r="F246" s="7" t="s">
        <v>30</v>
      </c>
      <c r="G246" s="7" t="s">
        <v>31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20"/>
    </row>
    <row r="247" spans="1:29" x14ac:dyDescent="0.3">
      <c r="A247" s="23" t="str">
        <f t="array" ref="A247:A252">TRANSPOSE(B246:G246)</f>
        <v>1x</v>
      </c>
      <c r="B247" s="9">
        <f>+B238</f>
        <v>455874.5625</v>
      </c>
      <c r="C247" s="9">
        <v>0</v>
      </c>
      <c r="D247" s="9">
        <v>0</v>
      </c>
      <c r="E247" s="8">
        <f>-B238</f>
        <v>-455874.5625</v>
      </c>
      <c r="F247" s="8">
        <v>0</v>
      </c>
      <c r="G247" s="8">
        <v>0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20"/>
    </row>
    <row r="248" spans="1:29" x14ac:dyDescent="0.3">
      <c r="A248" s="23" t="str">
        <v>1z</v>
      </c>
      <c r="B248" s="9">
        <v>0</v>
      </c>
      <c r="C248" s="9">
        <f>+B239</f>
        <v>3165.7952487392004</v>
      </c>
      <c r="D248" s="9">
        <f>+B240</f>
        <v>474869.28731088003</v>
      </c>
      <c r="E248" s="8">
        <v>0</v>
      </c>
      <c r="F248" s="8">
        <f>-B239</f>
        <v>-3165.7952487392004</v>
      </c>
      <c r="G248" s="8">
        <f>+B240</f>
        <v>474869.28731088003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20"/>
    </row>
    <row r="249" spans="1:29" x14ac:dyDescent="0.3">
      <c r="A249" s="23" t="str">
        <v>ϴ1</v>
      </c>
      <c r="B249" s="9">
        <v>0</v>
      </c>
      <c r="C249" s="9">
        <f>+B240</f>
        <v>474869.28731088003</v>
      </c>
      <c r="D249" s="9">
        <f>+B241</f>
        <v>94973857.46217601</v>
      </c>
      <c r="E249" s="8">
        <v>0</v>
      </c>
      <c r="F249" s="8">
        <f>-B240</f>
        <v>-474869.28731088003</v>
      </c>
      <c r="G249" s="8">
        <f>+B242</f>
        <v>47486928.731088005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20"/>
    </row>
    <row r="250" spans="1:29" x14ac:dyDescent="0.3">
      <c r="A250" s="23" t="str">
        <v>4x</v>
      </c>
      <c r="B250" s="10">
        <f>-B238</f>
        <v>-455874.5625</v>
      </c>
      <c r="C250" s="10">
        <v>0</v>
      </c>
      <c r="D250" s="10">
        <v>0</v>
      </c>
      <c r="E250" s="11">
        <f>+B238</f>
        <v>455874.5625</v>
      </c>
      <c r="F250" s="11">
        <v>0</v>
      </c>
      <c r="G250" s="11">
        <v>0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20"/>
    </row>
    <row r="251" spans="1:29" x14ac:dyDescent="0.3">
      <c r="A251" s="23" t="str">
        <v>4z</v>
      </c>
      <c r="B251" s="10">
        <v>0</v>
      </c>
      <c r="C251" s="10">
        <f>-B239</f>
        <v>-3165.7952487392004</v>
      </c>
      <c r="D251" s="10">
        <f>-B240</f>
        <v>-474869.28731088003</v>
      </c>
      <c r="E251" s="11">
        <v>0</v>
      </c>
      <c r="F251" s="11">
        <f>+B239</f>
        <v>3165.7952487392004</v>
      </c>
      <c r="G251" s="11">
        <f>-B240</f>
        <v>-474869.28731088003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20"/>
    </row>
    <row r="252" spans="1:29" x14ac:dyDescent="0.3">
      <c r="A252" s="23" t="str">
        <v>ϴ4</v>
      </c>
      <c r="B252" s="10">
        <v>0</v>
      </c>
      <c r="C252" s="10">
        <f>+B240</f>
        <v>474869.28731088003</v>
      </c>
      <c r="D252" s="10">
        <f>+B242</f>
        <v>47486928.731088005</v>
      </c>
      <c r="E252" s="11">
        <v>0</v>
      </c>
      <c r="F252" s="11">
        <f>-B240</f>
        <v>-474869.28731088003</v>
      </c>
      <c r="G252" s="11">
        <f>+B241</f>
        <v>94973857.46217601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20"/>
    </row>
    <row r="253" spans="1:29" x14ac:dyDescent="0.3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20"/>
    </row>
    <row r="254" spans="1:29" x14ac:dyDescent="0.3">
      <c r="A254" s="18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20"/>
    </row>
    <row r="255" spans="1:29" x14ac:dyDescent="0.3">
      <c r="A255" s="36" t="s">
        <v>51</v>
      </c>
      <c r="B255" s="37"/>
      <c r="C255" s="37"/>
      <c r="D255" s="37"/>
      <c r="E255" s="37"/>
      <c r="F255" s="37"/>
      <c r="G255" s="37"/>
      <c r="H255" s="37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20"/>
    </row>
    <row r="256" spans="1:29" x14ac:dyDescent="0.3">
      <c r="A256" s="24"/>
      <c r="B256" s="25"/>
      <c r="C256" s="25"/>
      <c r="D256" s="25"/>
      <c r="E256" s="25"/>
      <c r="F256" s="25"/>
      <c r="G256" s="25"/>
      <c r="H256" s="25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20"/>
    </row>
    <row r="257" spans="1:29" x14ac:dyDescent="0.3">
      <c r="A257" s="24"/>
      <c r="B257" s="25"/>
      <c r="C257" s="25"/>
      <c r="D257" s="25"/>
      <c r="E257" s="25"/>
      <c r="F257" s="25"/>
      <c r="G257" s="25"/>
      <c r="H257" s="25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20"/>
    </row>
    <row r="258" spans="1:29" x14ac:dyDescent="0.3">
      <c r="A258" s="26" t="s">
        <v>32</v>
      </c>
      <c r="B258" s="25">
        <v>90</v>
      </c>
      <c r="C258" s="25"/>
      <c r="D258" s="25" t="s">
        <v>35</v>
      </c>
      <c r="E258" s="27">
        <f>+B247</f>
        <v>455874.5625</v>
      </c>
      <c r="F258" s="27" t="s">
        <v>35</v>
      </c>
      <c r="G258" s="27">
        <f>+E247</f>
        <v>-455874.5625</v>
      </c>
      <c r="H258" s="27" t="s">
        <v>35</v>
      </c>
      <c r="I258" s="28">
        <f>+B250</f>
        <v>-455874.5625</v>
      </c>
      <c r="J258" s="27" t="s">
        <v>35</v>
      </c>
      <c r="K258" s="28">
        <f>+E250</f>
        <v>455874.5625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20"/>
    </row>
    <row r="259" spans="1:29" x14ac:dyDescent="0.3">
      <c r="A259" s="26" t="s">
        <v>33</v>
      </c>
      <c r="B259" s="25">
        <f>SIN(RADIANS(B258))</f>
        <v>1</v>
      </c>
      <c r="C259" s="25"/>
      <c r="D259" s="25" t="s">
        <v>36</v>
      </c>
      <c r="E259" s="27">
        <f>+C248</f>
        <v>3165.7952487392004</v>
      </c>
      <c r="F259" s="27" t="s">
        <v>36</v>
      </c>
      <c r="G259" s="27">
        <f>+F248</f>
        <v>-3165.7952487392004</v>
      </c>
      <c r="H259" s="27" t="s">
        <v>36</v>
      </c>
      <c r="I259" s="28">
        <f>+C251</f>
        <v>-3165.7952487392004</v>
      </c>
      <c r="J259" s="27" t="s">
        <v>36</v>
      </c>
      <c r="K259" s="28">
        <f>+F251</f>
        <v>3165.7952487392004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20"/>
    </row>
    <row r="260" spans="1:29" x14ac:dyDescent="0.3">
      <c r="A260" s="26" t="s">
        <v>34</v>
      </c>
      <c r="B260" s="29">
        <f>COS(RADIANS(B258))</f>
        <v>6.1257422745431001E-17</v>
      </c>
      <c r="C260" s="25"/>
      <c r="D260" s="25" t="s">
        <v>37</v>
      </c>
      <c r="E260" s="27">
        <f>+D249</f>
        <v>94973857.46217601</v>
      </c>
      <c r="F260" s="27" t="s">
        <v>37</v>
      </c>
      <c r="G260" s="27">
        <f>+G249</f>
        <v>47486928.731088005</v>
      </c>
      <c r="H260" s="27" t="s">
        <v>37</v>
      </c>
      <c r="I260" s="28">
        <f>+D252</f>
        <v>47486928.731088005</v>
      </c>
      <c r="J260" s="27" t="s">
        <v>37</v>
      </c>
      <c r="K260" s="28">
        <f>+G252</f>
        <v>94973857.46217601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20"/>
    </row>
    <row r="261" spans="1:29" x14ac:dyDescent="0.3">
      <c r="A261" s="24"/>
      <c r="B261" s="25"/>
      <c r="C261" s="25"/>
      <c r="D261" s="25" t="s">
        <v>38</v>
      </c>
      <c r="E261" s="27">
        <f>+D248</f>
        <v>474869.28731088003</v>
      </c>
      <c r="F261" s="27" t="s">
        <v>38</v>
      </c>
      <c r="G261" s="27">
        <f>+G248</f>
        <v>474869.28731088003</v>
      </c>
      <c r="H261" s="27" t="s">
        <v>38</v>
      </c>
      <c r="I261" s="28">
        <f>+D251</f>
        <v>-474869.28731088003</v>
      </c>
      <c r="J261" s="27" t="s">
        <v>38</v>
      </c>
      <c r="K261" s="28">
        <f>+G251</f>
        <v>-474869.28731088003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20"/>
    </row>
    <row r="262" spans="1:29" x14ac:dyDescent="0.3">
      <c r="A262" s="24"/>
      <c r="B262" s="25"/>
      <c r="C262" s="25"/>
      <c r="D262" s="25" t="s">
        <v>39</v>
      </c>
      <c r="E262" s="27">
        <f>+C249</f>
        <v>474869.28731088003</v>
      </c>
      <c r="F262" s="27" t="s">
        <v>39</v>
      </c>
      <c r="G262" s="27">
        <f>+F249</f>
        <v>-474869.28731088003</v>
      </c>
      <c r="H262" s="27" t="s">
        <v>39</v>
      </c>
      <c r="I262" s="28">
        <f>+C252</f>
        <v>474869.28731088003</v>
      </c>
      <c r="J262" s="27" t="s">
        <v>39</v>
      </c>
      <c r="K262" s="28">
        <f>+F252</f>
        <v>-474869.28731088003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20"/>
    </row>
    <row r="263" spans="1:29" x14ac:dyDescent="0.3">
      <c r="A263" s="24"/>
      <c r="B263" s="25"/>
      <c r="C263" s="25"/>
      <c r="D263" s="25"/>
      <c r="E263" s="25"/>
      <c r="F263" s="25"/>
      <c r="G263" s="25"/>
      <c r="H263" s="25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20"/>
    </row>
    <row r="264" spans="1:29" x14ac:dyDescent="0.3">
      <c r="A264" s="22" t="s">
        <v>14</v>
      </c>
      <c r="B264" s="6" t="str">
        <f t="array" ref="B264:G264">B246:G246</f>
        <v>1x</v>
      </c>
      <c r="C264" s="6" t="str">
        <v>1z</v>
      </c>
      <c r="D264" s="7" t="str">
        <v>ϴ1</v>
      </c>
      <c r="E264" s="7" t="str">
        <v>4x</v>
      </c>
      <c r="F264" s="7" t="str">
        <v>4z</v>
      </c>
      <c r="G264" s="7" t="str">
        <v>ϴ4</v>
      </c>
      <c r="H264" s="25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20"/>
    </row>
    <row r="265" spans="1:29" x14ac:dyDescent="0.3">
      <c r="A265" s="23" t="str">
        <f t="array" ref="A265:A270">TRANSPOSE(B264:G264)</f>
        <v>1x</v>
      </c>
      <c r="B265" s="15">
        <f>+E258*B260*B260+E259*B259*B259</f>
        <v>3165.7952487392004</v>
      </c>
      <c r="C265" s="15">
        <f>(E258-E259)*B259*B260</f>
        <v>2.7731772336073414E-11</v>
      </c>
      <c r="D265" s="15">
        <f>-E261*B259</f>
        <v>-474869.28731088003</v>
      </c>
      <c r="E265" s="47">
        <f>+G258*B260*B260+G259*B259*B259</f>
        <v>-3165.7952487392004</v>
      </c>
      <c r="F265" s="47">
        <f>(G258-G259)*B259*B260</f>
        <v>-2.7731772336073414E-11</v>
      </c>
      <c r="G265" s="47">
        <f>-G261*B259</f>
        <v>-474869.28731088003</v>
      </c>
      <c r="H265" s="25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20"/>
    </row>
    <row r="266" spans="1:29" x14ac:dyDescent="0.3">
      <c r="A266" s="23" t="str">
        <v>1z</v>
      </c>
      <c r="B266" s="15">
        <f>+C265</f>
        <v>2.7731772336073414E-11</v>
      </c>
      <c r="C266" s="15">
        <f>+E258*B259*B259+E259*B260*B260</f>
        <v>455874.5625</v>
      </c>
      <c r="D266" s="15">
        <f>+E261*B260</f>
        <v>2.9089268681624109E-11</v>
      </c>
      <c r="E266" s="47">
        <f>+F265</f>
        <v>-2.7731772336073414E-11</v>
      </c>
      <c r="F266" s="47">
        <f>+G258*B259*B259+G259*B260*B260</f>
        <v>-455874.5625</v>
      </c>
      <c r="G266" s="47">
        <f>+G261*B260</f>
        <v>2.9089268681624109E-11</v>
      </c>
      <c r="H266" s="25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20"/>
    </row>
    <row r="267" spans="1:29" x14ac:dyDescent="0.3">
      <c r="A267" s="23" t="str">
        <v>ϴ1</v>
      </c>
      <c r="B267" s="15">
        <f>-E262*B259</f>
        <v>-474869.28731088003</v>
      </c>
      <c r="C267" s="15">
        <f>+E262*B260</f>
        <v>2.9089268681624109E-11</v>
      </c>
      <c r="D267" s="15">
        <f>+E260</f>
        <v>94973857.46217601</v>
      </c>
      <c r="E267" s="47">
        <f>-G262*B259</f>
        <v>474869.28731088003</v>
      </c>
      <c r="F267" s="47">
        <f>+G262*B260</f>
        <v>-2.9089268681624109E-11</v>
      </c>
      <c r="G267" s="47">
        <f>+G260</f>
        <v>47486928.731088005</v>
      </c>
      <c r="H267" s="25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20"/>
    </row>
    <row r="268" spans="1:29" x14ac:dyDescent="0.3">
      <c r="A268" s="23" t="str">
        <v>4x</v>
      </c>
      <c r="B268" s="48">
        <f>+I258*B260*B260+I259*B259*B259</f>
        <v>-3165.7952487392004</v>
      </c>
      <c r="C268" s="48">
        <f>(I258-I259)*B259*B260</f>
        <v>-2.7731772336073414E-11</v>
      </c>
      <c r="D268" s="48">
        <f>-I261*B259</f>
        <v>474869.28731088003</v>
      </c>
      <c r="E268" s="48">
        <f>+K258*B260*B260+K259*B259*B259</f>
        <v>3165.7952487392004</v>
      </c>
      <c r="F268" s="48">
        <f>(K258-K259)*B259*B260</f>
        <v>2.7731772336073414E-11</v>
      </c>
      <c r="G268" s="48">
        <f>-K261*B259</f>
        <v>474869.28731088003</v>
      </c>
      <c r="H268" s="25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20"/>
    </row>
    <row r="269" spans="1:29" x14ac:dyDescent="0.3">
      <c r="A269" s="23" t="str">
        <v>4z</v>
      </c>
      <c r="B269" s="48">
        <f>+C268</f>
        <v>-2.7731772336073414E-11</v>
      </c>
      <c r="C269" s="48">
        <f>+I258*B259*B259+I259*B260*B260</f>
        <v>-455874.5625</v>
      </c>
      <c r="D269" s="48">
        <f>+I261*B260</f>
        <v>-2.9089268681624109E-11</v>
      </c>
      <c r="E269" s="48">
        <f>+F268</f>
        <v>2.7731772336073414E-11</v>
      </c>
      <c r="F269" s="48">
        <f>+K258*B259*B259+K259*B260*B260</f>
        <v>455874.5625</v>
      </c>
      <c r="G269" s="48">
        <f>+K261*B260</f>
        <v>-2.9089268681624109E-11</v>
      </c>
      <c r="H269" s="25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20"/>
    </row>
    <row r="270" spans="1:29" x14ac:dyDescent="0.3">
      <c r="A270" s="23" t="str">
        <v>ϴ4</v>
      </c>
      <c r="B270" s="48">
        <f>-I262*B259</f>
        <v>-474869.28731088003</v>
      </c>
      <c r="C270" s="48">
        <f>+I262*B260</f>
        <v>2.9089268681624109E-11</v>
      </c>
      <c r="D270" s="48">
        <f>+I260</f>
        <v>47486928.731088005</v>
      </c>
      <c r="E270" s="48">
        <f>-K262*B259</f>
        <v>474869.28731088003</v>
      </c>
      <c r="F270" s="48">
        <f>+K262*B260</f>
        <v>-2.9089268681624109E-11</v>
      </c>
      <c r="G270" s="48">
        <f>+K260</f>
        <v>94973857.46217601</v>
      </c>
      <c r="H270" s="25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20"/>
    </row>
    <row r="271" spans="1:29" x14ac:dyDescent="0.3">
      <c r="A271" s="24"/>
      <c r="B271" s="25"/>
      <c r="C271" s="25"/>
      <c r="D271" s="25"/>
      <c r="E271" s="25"/>
      <c r="F271" s="25"/>
      <c r="G271" s="25"/>
      <c r="H271" s="25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20"/>
    </row>
    <row r="272" spans="1:29" x14ac:dyDescent="0.3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20"/>
    </row>
    <row r="273" spans="1:29" x14ac:dyDescent="0.3">
      <c r="A273" s="18" t="s">
        <v>43</v>
      </c>
      <c r="B273" s="6" t="s">
        <v>15</v>
      </c>
      <c r="C273" s="6" t="s">
        <v>16</v>
      </c>
      <c r="D273" s="7" t="s">
        <v>17</v>
      </c>
      <c r="E273" s="7" t="s">
        <v>25</v>
      </c>
      <c r="F273" s="7" t="s">
        <v>26</v>
      </c>
      <c r="G273" s="7" t="s">
        <v>23</v>
      </c>
      <c r="H273" s="6" t="s">
        <v>27</v>
      </c>
      <c r="I273" s="6" t="s">
        <v>28</v>
      </c>
      <c r="J273" s="7" t="s">
        <v>24</v>
      </c>
      <c r="K273" s="7" t="s">
        <v>29</v>
      </c>
      <c r="L273" s="7" t="s">
        <v>30</v>
      </c>
      <c r="M273" s="7" t="s">
        <v>31</v>
      </c>
      <c r="N273" s="6" t="s">
        <v>54</v>
      </c>
      <c r="O273" s="6" t="s">
        <v>55</v>
      </c>
      <c r="P273" s="7" t="s">
        <v>56</v>
      </c>
      <c r="Q273" s="7" t="s">
        <v>57</v>
      </c>
      <c r="R273" s="7" t="s">
        <v>58</v>
      </c>
      <c r="S273" s="7" t="s">
        <v>59</v>
      </c>
      <c r="T273" s="6" t="s">
        <v>18</v>
      </c>
      <c r="U273" s="6" t="s">
        <v>19</v>
      </c>
      <c r="V273" s="7" t="s">
        <v>20</v>
      </c>
      <c r="W273" s="7" t="s">
        <v>40</v>
      </c>
      <c r="X273" s="7" t="s">
        <v>41</v>
      </c>
      <c r="Y273" s="7" t="s">
        <v>42</v>
      </c>
      <c r="Z273" s="7" t="s">
        <v>60</v>
      </c>
      <c r="AA273" s="7" t="s">
        <v>61</v>
      </c>
      <c r="AB273" s="7" t="s">
        <v>62</v>
      </c>
      <c r="AC273" s="20"/>
    </row>
    <row r="274" spans="1:29" x14ac:dyDescent="0.3">
      <c r="A274" s="30" t="str">
        <f t="array" ref="A274:A300">TRANSPOSE(B273:AB273)</f>
        <v>1x</v>
      </c>
      <c r="B274" s="19">
        <f>IFERROR(VLOOKUP($A274,$A$264:$G$270,MATCH(B$273,$A$264:$G$264,0),FALSE),0)</f>
        <v>3165.7952487392004</v>
      </c>
      <c r="C274" s="19">
        <f t="shared" ref="C274:AB284" si="12">IFERROR(VLOOKUP($A274,$A$264:$G$270,MATCH(C$273,$A$264:$G$264,0),FALSE),0)</f>
        <v>2.7731772336073414E-11</v>
      </c>
      <c r="D274" s="19">
        <f t="shared" si="12"/>
        <v>-474869.28731088003</v>
      </c>
      <c r="E274" s="19">
        <f t="shared" si="12"/>
        <v>0</v>
      </c>
      <c r="F274" s="19">
        <f t="shared" si="12"/>
        <v>0</v>
      </c>
      <c r="G274" s="19">
        <f t="shared" si="12"/>
        <v>0</v>
      </c>
      <c r="H274" s="19">
        <f t="shared" si="12"/>
        <v>0</v>
      </c>
      <c r="I274" s="19">
        <f t="shared" si="12"/>
        <v>0</v>
      </c>
      <c r="J274" s="19">
        <f t="shared" si="12"/>
        <v>0</v>
      </c>
      <c r="K274" s="19">
        <f t="shared" si="12"/>
        <v>-3165.7952487392004</v>
      </c>
      <c r="L274" s="19">
        <f t="shared" si="12"/>
        <v>-2.7731772336073414E-11</v>
      </c>
      <c r="M274" s="19">
        <f t="shared" si="12"/>
        <v>-474869.28731088003</v>
      </c>
      <c r="N274" s="19">
        <f t="shared" si="12"/>
        <v>0</v>
      </c>
      <c r="O274" s="19">
        <f t="shared" si="12"/>
        <v>0</v>
      </c>
      <c r="P274" s="19">
        <f t="shared" si="12"/>
        <v>0</v>
      </c>
      <c r="Q274" s="19">
        <f t="shared" si="12"/>
        <v>0</v>
      </c>
      <c r="R274" s="19">
        <f t="shared" si="12"/>
        <v>0</v>
      </c>
      <c r="S274" s="19">
        <f t="shared" si="12"/>
        <v>0</v>
      </c>
      <c r="T274" s="19">
        <f t="shared" si="12"/>
        <v>0</v>
      </c>
      <c r="U274" s="19">
        <f t="shared" si="12"/>
        <v>0</v>
      </c>
      <c r="V274" s="19">
        <f t="shared" si="12"/>
        <v>0</v>
      </c>
      <c r="W274" s="19">
        <f t="shared" si="12"/>
        <v>0</v>
      </c>
      <c r="X274" s="19">
        <f t="shared" si="12"/>
        <v>0</v>
      </c>
      <c r="Y274" s="19">
        <f t="shared" si="12"/>
        <v>0</v>
      </c>
      <c r="Z274" s="19">
        <f t="shared" si="12"/>
        <v>0</v>
      </c>
      <c r="AA274" s="19">
        <f t="shared" si="12"/>
        <v>0</v>
      </c>
      <c r="AB274" s="19">
        <f t="shared" si="12"/>
        <v>0</v>
      </c>
      <c r="AC274" s="20"/>
    </row>
    <row r="275" spans="1:29" x14ac:dyDescent="0.3">
      <c r="A275" s="30" t="str">
        <v>1z</v>
      </c>
      <c r="B275" s="19">
        <f t="shared" ref="B275:Q299" si="13">IFERROR(VLOOKUP($A275,$A$264:$G$270,MATCH(B$273,$A$264:$G$264,0),FALSE),0)</f>
        <v>2.7731772336073414E-11</v>
      </c>
      <c r="C275" s="19">
        <f t="shared" si="13"/>
        <v>455874.5625</v>
      </c>
      <c r="D275" s="19">
        <f t="shared" si="13"/>
        <v>2.9089268681624109E-11</v>
      </c>
      <c r="E275" s="19">
        <f t="shared" si="13"/>
        <v>0</v>
      </c>
      <c r="F275" s="19">
        <f t="shared" si="13"/>
        <v>0</v>
      </c>
      <c r="G275" s="19">
        <f t="shared" si="13"/>
        <v>0</v>
      </c>
      <c r="H275" s="19">
        <f t="shared" si="13"/>
        <v>0</v>
      </c>
      <c r="I275" s="19">
        <f t="shared" si="13"/>
        <v>0</v>
      </c>
      <c r="J275" s="19">
        <f t="shared" si="13"/>
        <v>0</v>
      </c>
      <c r="K275" s="19">
        <f t="shared" si="13"/>
        <v>-2.7731772336073414E-11</v>
      </c>
      <c r="L275" s="19">
        <f t="shared" si="13"/>
        <v>-455874.5625</v>
      </c>
      <c r="M275" s="19">
        <f t="shared" si="13"/>
        <v>2.9089268681624109E-11</v>
      </c>
      <c r="N275" s="19">
        <f t="shared" si="13"/>
        <v>0</v>
      </c>
      <c r="O275" s="19">
        <f t="shared" si="13"/>
        <v>0</v>
      </c>
      <c r="P275" s="19">
        <f t="shared" si="13"/>
        <v>0</v>
      </c>
      <c r="Q275" s="19">
        <f t="shared" si="13"/>
        <v>0</v>
      </c>
      <c r="R275" s="19">
        <f t="shared" si="12"/>
        <v>0</v>
      </c>
      <c r="S275" s="19">
        <f t="shared" si="12"/>
        <v>0</v>
      </c>
      <c r="T275" s="19">
        <f t="shared" si="12"/>
        <v>0</v>
      </c>
      <c r="U275" s="19">
        <f t="shared" si="12"/>
        <v>0</v>
      </c>
      <c r="V275" s="19">
        <f t="shared" si="12"/>
        <v>0</v>
      </c>
      <c r="W275" s="19">
        <f t="shared" si="12"/>
        <v>0</v>
      </c>
      <c r="X275" s="19">
        <f t="shared" si="12"/>
        <v>0</v>
      </c>
      <c r="Y275" s="19">
        <f t="shared" si="12"/>
        <v>0</v>
      </c>
      <c r="Z275" s="19">
        <f t="shared" si="12"/>
        <v>0</v>
      </c>
      <c r="AA275" s="19">
        <f t="shared" si="12"/>
        <v>0</v>
      </c>
      <c r="AB275" s="19">
        <f t="shared" si="12"/>
        <v>0</v>
      </c>
      <c r="AC275" s="20"/>
    </row>
    <row r="276" spans="1:29" x14ac:dyDescent="0.3">
      <c r="A276" s="30" t="str">
        <v>ϴ1</v>
      </c>
      <c r="B276" s="19">
        <f t="shared" si="13"/>
        <v>-474869.28731088003</v>
      </c>
      <c r="C276" s="19">
        <f t="shared" si="12"/>
        <v>2.9089268681624109E-11</v>
      </c>
      <c r="D276" s="19">
        <f t="shared" si="12"/>
        <v>94973857.46217601</v>
      </c>
      <c r="E276" s="19">
        <f t="shared" si="12"/>
        <v>0</v>
      </c>
      <c r="F276" s="19">
        <f t="shared" si="12"/>
        <v>0</v>
      </c>
      <c r="G276" s="19">
        <f t="shared" si="12"/>
        <v>0</v>
      </c>
      <c r="H276" s="19">
        <f t="shared" si="12"/>
        <v>0</v>
      </c>
      <c r="I276" s="19">
        <f t="shared" si="12"/>
        <v>0</v>
      </c>
      <c r="J276" s="19">
        <f t="shared" si="12"/>
        <v>0</v>
      </c>
      <c r="K276" s="19">
        <f t="shared" si="12"/>
        <v>474869.28731088003</v>
      </c>
      <c r="L276" s="19">
        <f t="shared" si="12"/>
        <v>-2.9089268681624109E-11</v>
      </c>
      <c r="M276" s="19">
        <f t="shared" si="12"/>
        <v>47486928.731088005</v>
      </c>
      <c r="N276" s="19">
        <f t="shared" si="12"/>
        <v>0</v>
      </c>
      <c r="O276" s="19">
        <f t="shared" si="12"/>
        <v>0</v>
      </c>
      <c r="P276" s="19">
        <f t="shared" si="12"/>
        <v>0</v>
      </c>
      <c r="Q276" s="19">
        <f t="shared" si="12"/>
        <v>0</v>
      </c>
      <c r="R276" s="19">
        <f t="shared" si="12"/>
        <v>0</v>
      </c>
      <c r="S276" s="19">
        <f t="shared" si="12"/>
        <v>0</v>
      </c>
      <c r="T276" s="19">
        <f t="shared" si="12"/>
        <v>0</v>
      </c>
      <c r="U276" s="19">
        <f t="shared" si="12"/>
        <v>0</v>
      </c>
      <c r="V276" s="19">
        <f t="shared" si="12"/>
        <v>0</v>
      </c>
      <c r="W276" s="19">
        <f t="shared" si="12"/>
        <v>0</v>
      </c>
      <c r="X276" s="19">
        <f t="shared" si="12"/>
        <v>0</v>
      </c>
      <c r="Y276" s="19">
        <f t="shared" si="12"/>
        <v>0</v>
      </c>
      <c r="Z276" s="19">
        <f t="shared" si="12"/>
        <v>0</v>
      </c>
      <c r="AA276" s="19">
        <f t="shared" si="12"/>
        <v>0</v>
      </c>
      <c r="AB276" s="19">
        <f t="shared" si="12"/>
        <v>0</v>
      </c>
      <c r="AC276" s="20"/>
    </row>
    <row r="277" spans="1:29" x14ac:dyDescent="0.3">
      <c r="A277" s="30" t="str">
        <v>2x</v>
      </c>
      <c r="B277" s="19">
        <f t="shared" si="13"/>
        <v>0</v>
      </c>
      <c r="C277" s="19">
        <f t="shared" si="12"/>
        <v>0</v>
      </c>
      <c r="D277" s="19">
        <f t="shared" si="12"/>
        <v>0</v>
      </c>
      <c r="E277" s="19">
        <f t="shared" si="12"/>
        <v>0</v>
      </c>
      <c r="F277" s="19">
        <f t="shared" si="12"/>
        <v>0</v>
      </c>
      <c r="G277" s="19">
        <f t="shared" si="12"/>
        <v>0</v>
      </c>
      <c r="H277" s="19">
        <f t="shared" si="12"/>
        <v>0</v>
      </c>
      <c r="I277" s="19">
        <f t="shared" si="12"/>
        <v>0</v>
      </c>
      <c r="J277" s="19">
        <f t="shared" si="12"/>
        <v>0</v>
      </c>
      <c r="K277" s="19">
        <f t="shared" si="12"/>
        <v>0</v>
      </c>
      <c r="L277" s="19">
        <f t="shared" si="12"/>
        <v>0</v>
      </c>
      <c r="M277" s="19">
        <f t="shared" si="12"/>
        <v>0</v>
      </c>
      <c r="N277" s="19">
        <f t="shared" si="12"/>
        <v>0</v>
      </c>
      <c r="O277" s="19">
        <f t="shared" si="12"/>
        <v>0</v>
      </c>
      <c r="P277" s="19">
        <f t="shared" si="12"/>
        <v>0</v>
      </c>
      <c r="Q277" s="19">
        <f t="shared" si="12"/>
        <v>0</v>
      </c>
      <c r="R277" s="19">
        <f t="shared" si="12"/>
        <v>0</v>
      </c>
      <c r="S277" s="19">
        <f t="shared" si="12"/>
        <v>0</v>
      </c>
      <c r="T277" s="19">
        <f t="shared" si="12"/>
        <v>0</v>
      </c>
      <c r="U277" s="19">
        <f t="shared" si="12"/>
        <v>0</v>
      </c>
      <c r="V277" s="19">
        <f t="shared" si="12"/>
        <v>0</v>
      </c>
      <c r="W277" s="19">
        <f t="shared" si="12"/>
        <v>0</v>
      </c>
      <c r="X277" s="19">
        <f t="shared" si="12"/>
        <v>0</v>
      </c>
      <c r="Y277" s="19">
        <f t="shared" si="12"/>
        <v>0</v>
      </c>
      <c r="Z277" s="19">
        <f t="shared" si="12"/>
        <v>0</v>
      </c>
      <c r="AA277" s="19">
        <f t="shared" si="12"/>
        <v>0</v>
      </c>
      <c r="AB277" s="19">
        <f t="shared" si="12"/>
        <v>0</v>
      </c>
      <c r="AC277" s="20"/>
    </row>
    <row r="278" spans="1:29" x14ac:dyDescent="0.3">
      <c r="A278" s="30" t="str">
        <v>2z</v>
      </c>
      <c r="B278" s="19">
        <f t="shared" si="13"/>
        <v>0</v>
      </c>
      <c r="C278" s="19">
        <f t="shared" si="12"/>
        <v>0</v>
      </c>
      <c r="D278" s="19">
        <f t="shared" si="12"/>
        <v>0</v>
      </c>
      <c r="E278" s="19">
        <f t="shared" si="12"/>
        <v>0</v>
      </c>
      <c r="F278" s="19">
        <f t="shared" si="12"/>
        <v>0</v>
      </c>
      <c r="G278" s="19">
        <f t="shared" si="12"/>
        <v>0</v>
      </c>
      <c r="H278" s="19">
        <f t="shared" si="12"/>
        <v>0</v>
      </c>
      <c r="I278" s="19">
        <f t="shared" si="12"/>
        <v>0</v>
      </c>
      <c r="J278" s="19">
        <f t="shared" si="12"/>
        <v>0</v>
      </c>
      <c r="K278" s="19">
        <f t="shared" si="12"/>
        <v>0</v>
      </c>
      <c r="L278" s="19">
        <f t="shared" si="12"/>
        <v>0</v>
      </c>
      <c r="M278" s="19">
        <f t="shared" si="12"/>
        <v>0</v>
      </c>
      <c r="N278" s="19">
        <f t="shared" si="12"/>
        <v>0</v>
      </c>
      <c r="O278" s="19">
        <f t="shared" si="12"/>
        <v>0</v>
      </c>
      <c r="P278" s="19">
        <f t="shared" si="12"/>
        <v>0</v>
      </c>
      <c r="Q278" s="19">
        <f t="shared" si="12"/>
        <v>0</v>
      </c>
      <c r="R278" s="19">
        <f t="shared" si="12"/>
        <v>0</v>
      </c>
      <c r="S278" s="19">
        <f t="shared" si="12"/>
        <v>0</v>
      </c>
      <c r="T278" s="19">
        <f t="shared" si="12"/>
        <v>0</v>
      </c>
      <c r="U278" s="19">
        <f t="shared" si="12"/>
        <v>0</v>
      </c>
      <c r="V278" s="19">
        <f t="shared" si="12"/>
        <v>0</v>
      </c>
      <c r="W278" s="19">
        <f t="shared" si="12"/>
        <v>0</v>
      </c>
      <c r="X278" s="19">
        <f t="shared" si="12"/>
        <v>0</v>
      </c>
      <c r="Y278" s="19">
        <f t="shared" si="12"/>
        <v>0</v>
      </c>
      <c r="Z278" s="19">
        <f t="shared" si="12"/>
        <v>0</v>
      </c>
      <c r="AA278" s="19">
        <f t="shared" si="12"/>
        <v>0</v>
      </c>
      <c r="AB278" s="19">
        <f t="shared" si="12"/>
        <v>0</v>
      </c>
      <c r="AC278" s="20"/>
    </row>
    <row r="279" spans="1:29" x14ac:dyDescent="0.3">
      <c r="A279" s="30" t="str">
        <v>ϴ2</v>
      </c>
      <c r="B279" s="19">
        <f t="shared" si="13"/>
        <v>0</v>
      </c>
      <c r="C279" s="19">
        <f t="shared" si="12"/>
        <v>0</v>
      </c>
      <c r="D279" s="19">
        <f t="shared" si="12"/>
        <v>0</v>
      </c>
      <c r="E279" s="19">
        <f t="shared" si="12"/>
        <v>0</v>
      </c>
      <c r="F279" s="19">
        <f t="shared" si="12"/>
        <v>0</v>
      </c>
      <c r="G279" s="19">
        <f t="shared" si="12"/>
        <v>0</v>
      </c>
      <c r="H279" s="19">
        <f t="shared" si="12"/>
        <v>0</v>
      </c>
      <c r="I279" s="19">
        <f t="shared" si="12"/>
        <v>0</v>
      </c>
      <c r="J279" s="19">
        <f t="shared" si="12"/>
        <v>0</v>
      </c>
      <c r="K279" s="19">
        <f t="shared" si="12"/>
        <v>0</v>
      </c>
      <c r="L279" s="19">
        <f t="shared" si="12"/>
        <v>0</v>
      </c>
      <c r="M279" s="19">
        <f t="shared" si="12"/>
        <v>0</v>
      </c>
      <c r="N279" s="19">
        <f t="shared" si="12"/>
        <v>0</v>
      </c>
      <c r="O279" s="19">
        <f t="shared" si="12"/>
        <v>0</v>
      </c>
      <c r="P279" s="19">
        <f t="shared" si="12"/>
        <v>0</v>
      </c>
      <c r="Q279" s="19">
        <f t="shared" si="12"/>
        <v>0</v>
      </c>
      <c r="R279" s="19">
        <f t="shared" si="12"/>
        <v>0</v>
      </c>
      <c r="S279" s="19">
        <f t="shared" si="12"/>
        <v>0</v>
      </c>
      <c r="T279" s="19">
        <f t="shared" si="12"/>
        <v>0</v>
      </c>
      <c r="U279" s="19">
        <f t="shared" si="12"/>
        <v>0</v>
      </c>
      <c r="V279" s="19">
        <f t="shared" si="12"/>
        <v>0</v>
      </c>
      <c r="W279" s="19">
        <f t="shared" si="12"/>
        <v>0</v>
      </c>
      <c r="X279" s="19">
        <f t="shared" si="12"/>
        <v>0</v>
      </c>
      <c r="Y279" s="19">
        <f t="shared" si="12"/>
        <v>0</v>
      </c>
      <c r="Z279" s="19">
        <f t="shared" si="12"/>
        <v>0</v>
      </c>
      <c r="AA279" s="19">
        <f t="shared" si="12"/>
        <v>0</v>
      </c>
      <c r="AB279" s="19">
        <f t="shared" si="12"/>
        <v>0</v>
      </c>
      <c r="AC279" s="20"/>
    </row>
    <row r="280" spans="1:29" x14ac:dyDescent="0.3">
      <c r="A280" s="30" t="str">
        <v>3x</v>
      </c>
      <c r="B280" s="19">
        <f t="shared" si="13"/>
        <v>0</v>
      </c>
      <c r="C280" s="19">
        <f t="shared" si="12"/>
        <v>0</v>
      </c>
      <c r="D280" s="19">
        <f t="shared" si="12"/>
        <v>0</v>
      </c>
      <c r="E280" s="19">
        <f t="shared" si="12"/>
        <v>0</v>
      </c>
      <c r="F280" s="19">
        <f t="shared" si="12"/>
        <v>0</v>
      </c>
      <c r="G280" s="19">
        <f t="shared" si="12"/>
        <v>0</v>
      </c>
      <c r="H280" s="19">
        <f t="shared" si="12"/>
        <v>0</v>
      </c>
      <c r="I280" s="19">
        <f t="shared" si="12"/>
        <v>0</v>
      </c>
      <c r="J280" s="19">
        <f t="shared" si="12"/>
        <v>0</v>
      </c>
      <c r="K280" s="19">
        <f t="shared" si="12"/>
        <v>0</v>
      </c>
      <c r="L280" s="19">
        <f t="shared" si="12"/>
        <v>0</v>
      </c>
      <c r="M280" s="19">
        <f t="shared" si="12"/>
        <v>0</v>
      </c>
      <c r="N280" s="19">
        <f t="shared" si="12"/>
        <v>0</v>
      </c>
      <c r="O280" s="19">
        <f t="shared" si="12"/>
        <v>0</v>
      </c>
      <c r="P280" s="19">
        <f t="shared" si="12"/>
        <v>0</v>
      </c>
      <c r="Q280" s="19">
        <f t="shared" si="12"/>
        <v>0</v>
      </c>
      <c r="R280" s="19">
        <f t="shared" si="12"/>
        <v>0</v>
      </c>
      <c r="S280" s="19">
        <f t="shared" si="12"/>
        <v>0</v>
      </c>
      <c r="T280" s="19">
        <f t="shared" si="12"/>
        <v>0</v>
      </c>
      <c r="U280" s="19">
        <f t="shared" si="12"/>
        <v>0</v>
      </c>
      <c r="V280" s="19">
        <f t="shared" si="12"/>
        <v>0</v>
      </c>
      <c r="W280" s="19">
        <f t="shared" si="12"/>
        <v>0</v>
      </c>
      <c r="X280" s="19">
        <f t="shared" si="12"/>
        <v>0</v>
      </c>
      <c r="Y280" s="19">
        <f t="shared" si="12"/>
        <v>0</v>
      </c>
      <c r="Z280" s="19">
        <f t="shared" si="12"/>
        <v>0</v>
      </c>
      <c r="AA280" s="19">
        <f t="shared" si="12"/>
        <v>0</v>
      </c>
      <c r="AB280" s="19">
        <f t="shared" si="12"/>
        <v>0</v>
      </c>
      <c r="AC280" s="20"/>
    </row>
    <row r="281" spans="1:29" x14ac:dyDescent="0.3">
      <c r="A281" s="30" t="str">
        <v>3z</v>
      </c>
      <c r="B281" s="19">
        <f t="shared" si="13"/>
        <v>0</v>
      </c>
      <c r="C281" s="19">
        <f t="shared" si="12"/>
        <v>0</v>
      </c>
      <c r="D281" s="19">
        <f t="shared" si="12"/>
        <v>0</v>
      </c>
      <c r="E281" s="19">
        <f t="shared" si="12"/>
        <v>0</v>
      </c>
      <c r="F281" s="19">
        <f t="shared" si="12"/>
        <v>0</v>
      </c>
      <c r="G281" s="19">
        <f t="shared" si="12"/>
        <v>0</v>
      </c>
      <c r="H281" s="19">
        <f t="shared" si="12"/>
        <v>0</v>
      </c>
      <c r="I281" s="19">
        <f t="shared" si="12"/>
        <v>0</v>
      </c>
      <c r="J281" s="19">
        <f t="shared" si="12"/>
        <v>0</v>
      </c>
      <c r="K281" s="19">
        <f t="shared" si="12"/>
        <v>0</v>
      </c>
      <c r="L281" s="19">
        <f t="shared" si="12"/>
        <v>0</v>
      </c>
      <c r="M281" s="19">
        <f t="shared" si="12"/>
        <v>0</v>
      </c>
      <c r="N281" s="19">
        <f t="shared" si="12"/>
        <v>0</v>
      </c>
      <c r="O281" s="19">
        <f t="shared" si="12"/>
        <v>0</v>
      </c>
      <c r="P281" s="19">
        <f t="shared" si="12"/>
        <v>0</v>
      </c>
      <c r="Q281" s="19">
        <f t="shared" si="12"/>
        <v>0</v>
      </c>
      <c r="R281" s="19">
        <f t="shared" si="12"/>
        <v>0</v>
      </c>
      <c r="S281" s="19">
        <f t="shared" si="12"/>
        <v>0</v>
      </c>
      <c r="T281" s="19">
        <f t="shared" si="12"/>
        <v>0</v>
      </c>
      <c r="U281" s="19">
        <f t="shared" si="12"/>
        <v>0</v>
      </c>
      <c r="V281" s="19">
        <f t="shared" si="12"/>
        <v>0</v>
      </c>
      <c r="W281" s="19">
        <f t="shared" si="12"/>
        <v>0</v>
      </c>
      <c r="X281" s="19">
        <f t="shared" si="12"/>
        <v>0</v>
      </c>
      <c r="Y281" s="19">
        <f t="shared" si="12"/>
        <v>0</v>
      </c>
      <c r="Z281" s="19">
        <f t="shared" si="12"/>
        <v>0</v>
      </c>
      <c r="AA281" s="19">
        <f t="shared" si="12"/>
        <v>0</v>
      </c>
      <c r="AB281" s="19">
        <f t="shared" si="12"/>
        <v>0</v>
      </c>
      <c r="AC281" s="20"/>
    </row>
    <row r="282" spans="1:29" x14ac:dyDescent="0.3">
      <c r="A282" s="30" t="str">
        <v>ϴ3</v>
      </c>
      <c r="B282" s="19">
        <f t="shared" si="13"/>
        <v>0</v>
      </c>
      <c r="C282" s="19">
        <f t="shared" si="12"/>
        <v>0</v>
      </c>
      <c r="D282" s="19">
        <f t="shared" si="12"/>
        <v>0</v>
      </c>
      <c r="E282" s="19">
        <f t="shared" si="12"/>
        <v>0</v>
      </c>
      <c r="F282" s="19">
        <f t="shared" si="12"/>
        <v>0</v>
      </c>
      <c r="G282" s="19">
        <f t="shared" si="12"/>
        <v>0</v>
      </c>
      <c r="H282" s="19">
        <f t="shared" si="12"/>
        <v>0</v>
      </c>
      <c r="I282" s="19">
        <f t="shared" si="12"/>
        <v>0</v>
      </c>
      <c r="J282" s="19">
        <f t="shared" si="12"/>
        <v>0</v>
      </c>
      <c r="K282" s="19">
        <f t="shared" si="12"/>
        <v>0</v>
      </c>
      <c r="L282" s="19">
        <f t="shared" si="12"/>
        <v>0</v>
      </c>
      <c r="M282" s="19">
        <f t="shared" si="12"/>
        <v>0</v>
      </c>
      <c r="N282" s="19">
        <f t="shared" si="12"/>
        <v>0</v>
      </c>
      <c r="O282" s="19">
        <f t="shared" si="12"/>
        <v>0</v>
      </c>
      <c r="P282" s="19">
        <f t="shared" si="12"/>
        <v>0</v>
      </c>
      <c r="Q282" s="19">
        <f t="shared" si="12"/>
        <v>0</v>
      </c>
      <c r="R282" s="19">
        <f t="shared" si="12"/>
        <v>0</v>
      </c>
      <c r="S282" s="19">
        <f t="shared" si="12"/>
        <v>0</v>
      </c>
      <c r="T282" s="19">
        <f t="shared" si="12"/>
        <v>0</v>
      </c>
      <c r="U282" s="19">
        <f t="shared" si="12"/>
        <v>0</v>
      </c>
      <c r="V282" s="19">
        <f t="shared" si="12"/>
        <v>0</v>
      </c>
      <c r="W282" s="19">
        <f t="shared" si="12"/>
        <v>0</v>
      </c>
      <c r="X282" s="19">
        <f t="shared" si="12"/>
        <v>0</v>
      </c>
      <c r="Y282" s="19">
        <f t="shared" si="12"/>
        <v>0</v>
      </c>
      <c r="Z282" s="19">
        <f t="shared" si="12"/>
        <v>0</v>
      </c>
      <c r="AA282" s="19">
        <f t="shared" si="12"/>
        <v>0</v>
      </c>
      <c r="AB282" s="19">
        <f t="shared" si="12"/>
        <v>0</v>
      </c>
      <c r="AC282" s="20"/>
    </row>
    <row r="283" spans="1:29" x14ac:dyDescent="0.3">
      <c r="A283" s="30" t="str">
        <v>4x</v>
      </c>
      <c r="B283" s="19">
        <f t="shared" si="13"/>
        <v>-3165.7952487392004</v>
      </c>
      <c r="C283" s="19">
        <f t="shared" si="12"/>
        <v>-2.7731772336073414E-11</v>
      </c>
      <c r="D283" s="19">
        <f t="shared" si="12"/>
        <v>474869.28731088003</v>
      </c>
      <c r="E283" s="19">
        <f t="shared" si="12"/>
        <v>0</v>
      </c>
      <c r="F283" s="19">
        <f t="shared" si="12"/>
        <v>0</v>
      </c>
      <c r="G283" s="19">
        <f t="shared" si="12"/>
        <v>0</v>
      </c>
      <c r="H283" s="19">
        <f t="shared" si="12"/>
        <v>0</v>
      </c>
      <c r="I283" s="19">
        <f t="shared" si="12"/>
        <v>0</v>
      </c>
      <c r="J283" s="19">
        <f t="shared" si="12"/>
        <v>0</v>
      </c>
      <c r="K283" s="19">
        <f t="shared" si="12"/>
        <v>3165.7952487392004</v>
      </c>
      <c r="L283" s="19">
        <f t="shared" si="12"/>
        <v>2.7731772336073414E-11</v>
      </c>
      <c r="M283" s="19">
        <f t="shared" si="12"/>
        <v>474869.28731088003</v>
      </c>
      <c r="N283" s="19">
        <f t="shared" si="12"/>
        <v>0</v>
      </c>
      <c r="O283" s="19">
        <f t="shared" si="12"/>
        <v>0</v>
      </c>
      <c r="P283" s="19">
        <f t="shared" si="12"/>
        <v>0</v>
      </c>
      <c r="Q283" s="19">
        <f t="shared" si="12"/>
        <v>0</v>
      </c>
      <c r="R283" s="19">
        <f t="shared" si="12"/>
        <v>0</v>
      </c>
      <c r="S283" s="19">
        <f t="shared" si="12"/>
        <v>0</v>
      </c>
      <c r="T283" s="19">
        <f t="shared" si="12"/>
        <v>0</v>
      </c>
      <c r="U283" s="19">
        <f t="shared" si="12"/>
        <v>0</v>
      </c>
      <c r="V283" s="19">
        <f t="shared" si="12"/>
        <v>0</v>
      </c>
      <c r="W283" s="19">
        <f t="shared" si="12"/>
        <v>0</v>
      </c>
      <c r="X283" s="19">
        <f t="shared" si="12"/>
        <v>0</v>
      </c>
      <c r="Y283" s="19">
        <f t="shared" si="12"/>
        <v>0</v>
      </c>
      <c r="Z283" s="19">
        <f t="shared" si="12"/>
        <v>0</v>
      </c>
      <c r="AA283" s="19">
        <f t="shared" si="12"/>
        <v>0</v>
      </c>
      <c r="AB283" s="19">
        <f t="shared" si="12"/>
        <v>0</v>
      </c>
      <c r="AC283" s="20"/>
    </row>
    <row r="284" spans="1:29" x14ac:dyDescent="0.3">
      <c r="A284" s="30" t="str">
        <v>4z</v>
      </c>
      <c r="B284" s="19">
        <f t="shared" si="13"/>
        <v>-2.7731772336073414E-11</v>
      </c>
      <c r="C284" s="19">
        <f t="shared" si="12"/>
        <v>-455874.5625</v>
      </c>
      <c r="D284" s="19">
        <f t="shared" si="12"/>
        <v>-2.9089268681624109E-11</v>
      </c>
      <c r="E284" s="19">
        <f t="shared" si="12"/>
        <v>0</v>
      </c>
      <c r="F284" s="19">
        <f t="shared" si="12"/>
        <v>0</v>
      </c>
      <c r="G284" s="19">
        <f t="shared" si="12"/>
        <v>0</v>
      </c>
      <c r="H284" s="19">
        <f t="shared" si="12"/>
        <v>0</v>
      </c>
      <c r="I284" s="19">
        <f t="shared" si="12"/>
        <v>0</v>
      </c>
      <c r="J284" s="19">
        <f t="shared" si="12"/>
        <v>0</v>
      </c>
      <c r="K284" s="19">
        <f t="shared" si="12"/>
        <v>2.7731772336073414E-11</v>
      </c>
      <c r="L284" s="19">
        <f t="shared" si="12"/>
        <v>455874.5625</v>
      </c>
      <c r="M284" s="19">
        <f t="shared" ref="C284:AB294" si="14">IFERROR(VLOOKUP($A284,$A$264:$G$270,MATCH(M$273,$A$264:$G$264,0),FALSE),0)</f>
        <v>-2.9089268681624109E-11</v>
      </c>
      <c r="N284" s="19">
        <f t="shared" si="14"/>
        <v>0</v>
      </c>
      <c r="O284" s="19">
        <f t="shared" si="14"/>
        <v>0</v>
      </c>
      <c r="P284" s="19">
        <f t="shared" si="14"/>
        <v>0</v>
      </c>
      <c r="Q284" s="19">
        <f t="shared" si="14"/>
        <v>0</v>
      </c>
      <c r="R284" s="19">
        <f t="shared" si="14"/>
        <v>0</v>
      </c>
      <c r="S284" s="19">
        <f t="shared" si="14"/>
        <v>0</v>
      </c>
      <c r="T284" s="19">
        <f t="shared" si="14"/>
        <v>0</v>
      </c>
      <c r="U284" s="19">
        <f t="shared" si="14"/>
        <v>0</v>
      </c>
      <c r="V284" s="19">
        <f t="shared" si="14"/>
        <v>0</v>
      </c>
      <c r="W284" s="19">
        <f t="shared" si="14"/>
        <v>0</v>
      </c>
      <c r="X284" s="19">
        <f t="shared" si="14"/>
        <v>0</v>
      </c>
      <c r="Y284" s="19">
        <f t="shared" si="14"/>
        <v>0</v>
      </c>
      <c r="Z284" s="19">
        <f t="shared" si="14"/>
        <v>0</v>
      </c>
      <c r="AA284" s="19">
        <f t="shared" si="14"/>
        <v>0</v>
      </c>
      <c r="AB284" s="19">
        <f t="shared" si="14"/>
        <v>0</v>
      </c>
      <c r="AC284" s="20"/>
    </row>
    <row r="285" spans="1:29" x14ac:dyDescent="0.3">
      <c r="A285" s="30" t="str">
        <v>ϴ4</v>
      </c>
      <c r="B285" s="19">
        <f t="shared" si="13"/>
        <v>-474869.28731088003</v>
      </c>
      <c r="C285" s="19">
        <f t="shared" si="14"/>
        <v>2.9089268681624109E-11</v>
      </c>
      <c r="D285" s="19">
        <f t="shared" si="14"/>
        <v>47486928.731088005</v>
      </c>
      <c r="E285" s="19">
        <f t="shared" si="14"/>
        <v>0</v>
      </c>
      <c r="F285" s="19">
        <f t="shared" si="14"/>
        <v>0</v>
      </c>
      <c r="G285" s="19">
        <f t="shared" si="14"/>
        <v>0</v>
      </c>
      <c r="H285" s="19">
        <f t="shared" si="14"/>
        <v>0</v>
      </c>
      <c r="I285" s="19">
        <f t="shared" si="14"/>
        <v>0</v>
      </c>
      <c r="J285" s="19">
        <f t="shared" si="14"/>
        <v>0</v>
      </c>
      <c r="K285" s="19">
        <f t="shared" si="14"/>
        <v>474869.28731088003</v>
      </c>
      <c r="L285" s="19">
        <f t="shared" si="14"/>
        <v>-2.9089268681624109E-11</v>
      </c>
      <c r="M285" s="19">
        <f t="shared" si="14"/>
        <v>94973857.46217601</v>
      </c>
      <c r="N285" s="19">
        <f t="shared" si="14"/>
        <v>0</v>
      </c>
      <c r="O285" s="19">
        <f t="shared" si="14"/>
        <v>0</v>
      </c>
      <c r="P285" s="19">
        <f t="shared" si="14"/>
        <v>0</v>
      </c>
      <c r="Q285" s="19">
        <f t="shared" si="14"/>
        <v>0</v>
      </c>
      <c r="R285" s="19">
        <f t="shared" si="14"/>
        <v>0</v>
      </c>
      <c r="S285" s="19">
        <f t="shared" si="14"/>
        <v>0</v>
      </c>
      <c r="T285" s="19">
        <f t="shared" si="14"/>
        <v>0</v>
      </c>
      <c r="U285" s="19">
        <f t="shared" si="14"/>
        <v>0</v>
      </c>
      <c r="V285" s="19">
        <f t="shared" si="14"/>
        <v>0</v>
      </c>
      <c r="W285" s="19">
        <f t="shared" si="14"/>
        <v>0</v>
      </c>
      <c r="X285" s="19">
        <f t="shared" si="14"/>
        <v>0</v>
      </c>
      <c r="Y285" s="19">
        <f t="shared" si="14"/>
        <v>0</v>
      </c>
      <c r="Z285" s="19">
        <f t="shared" si="14"/>
        <v>0</v>
      </c>
      <c r="AA285" s="19">
        <f t="shared" si="14"/>
        <v>0</v>
      </c>
      <c r="AB285" s="19">
        <f t="shared" si="14"/>
        <v>0</v>
      </c>
      <c r="AC285" s="20"/>
    </row>
    <row r="286" spans="1:29" x14ac:dyDescent="0.3">
      <c r="A286" s="30" t="str">
        <v>5x</v>
      </c>
      <c r="B286" s="19">
        <f t="shared" si="13"/>
        <v>0</v>
      </c>
      <c r="C286" s="19">
        <f t="shared" si="14"/>
        <v>0</v>
      </c>
      <c r="D286" s="19">
        <f t="shared" si="14"/>
        <v>0</v>
      </c>
      <c r="E286" s="19">
        <f t="shared" si="14"/>
        <v>0</v>
      </c>
      <c r="F286" s="19">
        <f t="shared" si="14"/>
        <v>0</v>
      </c>
      <c r="G286" s="19">
        <f t="shared" si="14"/>
        <v>0</v>
      </c>
      <c r="H286" s="19">
        <f t="shared" si="14"/>
        <v>0</v>
      </c>
      <c r="I286" s="19">
        <f t="shared" si="14"/>
        <v>0</v>
      </c>
      <c r="J286" s="19">
        <f t="shared" si="14"/>
        <v>0</v>
      </c>
      <c r="K286" s="19">
        <f t="shared" si="14"/>
        <v>0</v>
      </c>
      <c r="L286" s="19">
        <f t="shared" si="14"/>
        <v>0</v>
      </c>
      <c r="M286" s="19">
        <f t="shared" si="14"/>
        <v>0</v>
      </c>
      <c r="N286" s="19">
        <f t="shared" si="14"/>
        <v>0</v>
      </c>
      <c r="O286" s="19">
        <f t="shared" si="14"/>
        <v>0</v>
      </c>
      <c r="P286" s="19">
        <f t="shared" si="14"/>
        <v>0</v>
      </c>
      <c r="Q286" s="19">
        <f t="shared" si="14"/>
        <v>0</v>
      </c>
      <c r="R286" s="19">
        <f t="shared" si="14"/>
        <v>0</v>
      </c>
      <c r="S286" s="19">
        <f t="shared" si="14"/>
        <v>0</v>
      </c>
      <c r="T286" s="19">
        <f t="shared" si="14"/>
        <v>0</v>
      </c>
      <c r="U286" s="19">
        <f t="shared" si="14"/>
        <v>0</v>
      </c>
      <c r="V286" s="19">
        <f t="shared" si="14"/>
        <v>0</v>
      </c>
      <c r="W286" s="19">
        <f t="shared" si="14"/>
        <v>0</v>
      </c>
      <c r="X286" s="19">
        <f t="shared" si="14"/>
        <v>0</v>
      </c>
      <c r="Y286" s="19">
        <f t="shared" si="14"/>
        <v>0</v>
      </c>
      <c r="Z286" s="19">
        <f t="shared" si="14"/>
        <v>0</v>
      </c>
      <c r="AA286" s="19">
        <f t="shared" si="14"/>
        <v>0</v>
      </c>
      <c r="AB286" s="19">
        <f t="shared" si="14"/>
        <v>0</v>
      </c>
      <c r="AC286" s="20"/>
    </row>
    <row r="287" spans="1:29" x14ac:dyDescent="0.3">
      <c r="A287" s="30" t="str">
        <v>5z</v>
      </c>
      <c r="B287" s="19">
        <f t="shared" si="13"/>
        <v>0</v>
      </c>
      <c r="C287" s="19">
        <f t="shared" si="14"/>
        <v>0</v>
      </c>
      <c r="D287" s="19">
        <f t="shared" si="14"/>
        <v>0</v>
      </c>
      <c r="E287" s="19">
        <f t="shared" si="14"/>
        <v>0</v>
      </c>
      <c r="F287" s="19">
        <f t="shared" si="14"/>
        <v>0</v>
      </c>
      <c r="G287" s="19">
        <f t="shared" si="14"/>
        <v>0</v>
      </c>
      <c r="H287" s="19">
        <f t="shared" si="14"/>
        <v>0</v>
      </c>
      <c r="I287" s="19">
        <f t="shared" si="14"/>
        <v>0</v>
      </c>
      <c r="J287" s="19">
        <f t="shared" si="14"/>
        <v>0</v>
      </c>
      <c r="K287" s="19">
        <f t="shared" si="14"/>
        <v>0</v>
      </c>
      <c r="L287" s="19">
        <f t="shared" si="14"/>
        <v>0</v>
      </c>
      <c r="M287" s="19">
        <f t="shared" si="14"/>
        <v>0</v>
      </c>
      <c r="N287" s="19">
        <f t="shared" si="14"/>
        <v>0</v>
      </c>
      <c r="O287" s="19">
        <f t="shared" si="14"/>
        <v>0</v>
      </c>
      <c r="P287" s="19">
        <f t="shared" si="14"/>
        <v>0</v>
      </c>
      <c r="Q287" s="19">
        <f t="shared" si="14"/>
        <v>0</v>
      </c>
      <c r="R287" s="19">
        <f t="shared" si="14"/>
        <v>0</v>
      </c>
      <c r="S287" s="19">
        <f t="shared" si="14"/>
        <v>0</v>
      </c>
      <c r="T287" s="19">
        <f t="shared" si="14"/>
        <v>0</v>
      </c>
      <c r="U287" s="19">
        <f t="shared" si="14"/>
        <v>0</v>
      </c>
      <c r="V287" s="19">
        <f t="shared" si="14"/>
        <v>0</v>
      </c>
      <c r="W287" s="19">
        <f t="shared" si="14"/>
        <v>0</v>
      </c>
      <c r="X287" s="19">
        <f t="shared" si="14"/>
        <v>0</v>
      </c>
      <c r="Y287" s="19">
        <f t="shared" si="14"/>
        <v>0</v>
      </c>
      <c r="Z287" s="19">
        <f t="shared" si="14"/>
        <v>0</v>
      </c>
      <c r="AA287" s="19">
        <f t="shared" si="14"/>
        <v>0</v>
      </c>
      <c r="AB287" s="19">
        <f t="shared" si="14"/>
        <v>0</v>
      </c>
      <c r="AC287" s="20"/>
    </row>
    <row r="288" spans="1:29" x14ac:dyDescent="0.3">
      <c r="A288" s="30" t="str">
        <v>ϴ5</v>
      </c>
      <c r="B288" s="19">
        <f t="shared" si="13"/>
        <v>0</v>
      </c>
      <c r="C288" s="19">
        <f t="shared" si="14"/>
        <v>0</v>
      </c>
      <c r="D288" s="19">
        <f t="shared" si="14"/>
        <v>0</v>
      </c>
      <c r="E288" s="19">
        <f t="shared" si="14"/>
        <v>0</v>
      </c>
      <c r="F288" s="19">
        <f t="shared" si="14"/>
        <v>0</v>
      </c>
      <c r="G288" s="19">
        <f t="shared" si="14"/>
        <v>0</v>
      </c>
      <c r="H288" s="19">
        <f t="shared" si="14"/>
        <v>0</v>
      </c>
      <c r="I288" s="19">
        <f t="shared" si="14"/>
        <v>0</v>
      </c>
      <c r="J288" s="19">
        <f t="shared" si="14"/>
        <v>0</v>
      </c>
      <c r="K288" s="19">
        <f t="shared" si="14"/>
        <v>0</v>
      </c>
      <c r="L288" s="19">
        <f t="shared" si="14"/>
        <v>0</v>
      </c>
      <c r="M288" s="19">
        <f t="shared" si="14"/>
        <v>0</v>
      </c>
      <c r="N288" s="19">
        <f t="shared" si="14"/>
        <v>0</v>
      </c>
      <c r="O288" s="19">
        <f t="shared" si="14"/>
        <v>0</v>
      </c>
      <c r="P288" s="19">
        <f t="shared" si="14"/>
        <v>0</v>
      </c>
      <c r="Q288" s="19">
        <f t="shared" si="14"/>
        <v>0</v>
      </c>
      <c r="R288" s="19">
        <f t="shared" si="14"/>
        <v>0</v>
      </c>
      <c r="S288" s="19">
        <f t="shared" si="14"/>
        <v>0</v>
      </c>
      <c r="T288" s="19">
        <f t="shared" si="14"/>
        <v>0</v>
      </c>
      <c r="U288" s="19">
        <f t="shared" si="14"/>
        <v>0</v>
      </c>
      <c r="V288" s="19">
        <f t="shared" si="14"/>
        <v>0</v>
      </c>
      <c r="W288" s="19">
        <f t="shared" si="14"/>
        <v>0</v>
      </c>
      <c r="X288" s="19">
        <f t="shared" si="14"/>
        <v>0</v>
      </c>
      <c r="Y288" s="19">
        <f t="shared" si="14"/>
        <v>0</v>
      </c>
      <c r="Z288" s="19">
        <f t="shared" si="14"/>
        <v>0</v>
      </c>
      <c r="AA288" s="19">
        <f t="shared" si="14"/>
        <v>0</v>
      </c>
      <c r="AB288" s="19">
        <f t="shared" si="14"/>
        <v>0</v>
      </c>
      <c r="AC288" s="20"/>
    </row>
    <row r="289" spans="1:29" x14ac:dyDescent="0.3">
      <c r="A289" s="30" t="str">
        <v>6x</v>
      </c>
      <c r="B289" s="19">
        <f t="shared" si="13"/>
        <v>0</v>
      </c>
      <c r="C289" s="19">
        <f t="shared" si="14"/>
        <v>0</v>
      </c>
      <c r="D289" s="19">
        <f t="shared" si="14"/>
        <v>0</v>
      </c>
      <c r="E289" s="19">
        <f t="shared" si="14"/>
        <v>0</v>
      </c>
      <c r="F289" s="19">
        <f t="shared" si="14"/>
        <v>0</v>
      </c>
      <c r="G289" s="19">
        <f t="shared" si="14"/>
        <v>0</v>
      </c>
      <c r="H289" s="19">
        <f t="shared" si="14"/>
        <v>0</v>
      </c>
      <c r="I289" s="19">
        <f t="shared" si="14"/>
        <v>0</v>
      </c>
      <c r="J289" s="19">
        <f t="shared" si="14"/>
        <v>0</v>
      </c>
      <c r="K289" s="19">
        <f t="shared" si="14"/>
        <v>0</v>
      </c>
      <c r="L289" s="19">
        <f t="shared" si="14"/>
        <v>0</v>
      </c>
      <c r="M289" s="19">
        <f t="shared" si="14"/>
        <v>0</v>
      </c>
      <c r="N289" s="19">
        <f t="shared" si="14"/>
        <v>0</v>
      </c>
      <c r="O289" s="19">
        <f t="shared" si="14"/>
        <v>0</v>
      </c>
      <c r="P289" s="19">
        <f t="shared" si="14"/>
        <v>0</v>
      </c>
      <c r="Q289" s="19">
        <f t="shared" si="14"/>
        <v>0</v>
      </c>
      <c r="R289" s="19">
        <f t="shared" si="14"/>
        <v>0</v>
      </c>
      <c r="S289" s="19">
        <f t="shared" si="14"/>
        <v>0</v>
      </c>
      <c r="T289" s="19">
        <f t="shared" si="14"/>
        <v>0</v>
      </c>
      <c r="U289" s="19">
        <f t="shared" si="14"/>
        <v>0</v>
      </c>
      <c r="V289" s="19">
        <f t="shared" si="14"/>
        <v>0</v>
      </c>
      <c r="W289" s="19">
        <f t="shared" si="14"/>
        <v>0</v>
      </c>
      <c r="X289" s="19">
        <f t="shared" si="14"/>
        <v>0</v>
      </c>
      <c r="Y289" s="19">
        <f t="shared" si="14"/>
        <v>0</v>
      </c>
      <c r="Z289" s="19">
        <f t="shared" si="14"/>
        <v>0</v>
      </c>
      <c r="AA289" s="19">
        <f t="shared" si="14"/>
        <v>0</v>
      </c>
      <c r="AB289" s="19">
        <f t="shared" si="14"/>
        <v>0</v>
      </c>
      <c r="AC289" s="20"/>
    </row>
    <row r="290" spans="1:29" x14ac:dyDescent="0.3">
      <c r="A290" s="30" t="str">
        <v>6z</v>
      </c>
      <c r="B290" s="19">
        <f t="shared" si="13"/>
        <v>0</v>
      </c>
      <c r="C290" s="19">
        <f t="shared" si="14"/>
        <v>0</v>
      </c>
      <c r="D290" s="19">
        <f t="shared" si="14"/>
        <v>0</v>
      </c>
      <c r="E290" s="19">
        <f t="shared" si="14"/>
        <v>0</v>
      </c>
      <c r="F290" s="19">
        <f t="shared" si="14"/>
        <v>0</v>
      </c>
      <c r="G290" s="19">
        <f t="shared" si="14"/>
        <v>0</v>
      </c>
      <c r="H290" s="19">
        <f t="shared" si="14"/>
        <v>0</v>
      </c>
      <c r="I290" s="19">
        <f t="shared" si="14"/>
        <v>0</v>
      </c>
      <c r="J290" s="19">
        <f t="shared" si="14"/>
        <v>0</v>
      </c>
      <c r="K290" s="19">
        <f t="shared" si="14"/>
        <v>0</v>
      </c>
      <c r="L290" s="19">
        <f t="shared" si="14"/>
        <v>0</v>
      </c>
      <c r="M290" s="19">
        <f t="shared" si="14"/>
        <v>0</v>
      </c>
      <c r="N290" s="19">
        <f t="shared" si="14"/>
        <v>0</v>
      </c>
      <c r="O290" s="19">
        <f t="shared" si="14"/>
        <v>0</v>
      </c>
      <c r="P290" s="19">
        <f t="shared" si="14"/>
        <v>0</v>
      </c>
      <c r="Q290" s="19">
        <f t="shared" si="14"/>
        <v>0</v>
      </c>
      <c r="R290" s="19">
        <f t="shared" si="14"/>
        <v>0</v>
      </c>
      <c r="S290" s="19">
        <f t="shared" si="14"/>
        <v>0</v>
      </c>
      <c r="T290" s="19">
        <f t="shared" si="14"/>
        <v>0</v>
      </c>
      <c r="U290" s="19">
        <f t="shared" si="14"/>
        <v>0</v>
      </c>
      <c r="V290" s="19">
        <f t="shared" si="14"/>
        <v>0</v>
      </c>
      <c r="W290" s="19">
        <f t="shared" si="14"/>
        <v>0</v>
      </c>
      <c r="X290" s="19">
        <f t="shared" si="14"/>
        <v>0</v>
      </c>
      <c r="Y290" s="19">
        <f t="shared" si="14"/>
        <v>0</v>
      </c>
      <c r="Z290" s="19">
        <f t="shared" si="14"/>
        <v>0</v>
      </c>
      <c r="AA290" s="19">
        <f t="shared" si="14"/>
        <v>0</v>
      </c>
      <c r="AB290" s="19">
        <f t="shared" si="14"/>
        <v>0</v>
      </c>
      <c r="AC290" s="20"/>
    </row>
    <row r="291" spans="1:29" x14ac:dyDescent="0.3">
      <c r="A291" s="30" t="str">
        <v>ϴ6</v>
      </c>
      <c r="B291" s="19">
        <f t="shared" si="13"/>
        <v>0</v>
      </c>
      <c r="C291" s="19">
        <f t="shared" si="14"/>
        <v>0</v>
      </c>
      <c r="D291" s="19">
        <f t="shared" si="14"/>
        <v>0</v>
      </c>
      <c r="E291" s="19">
        <f t="shared" si="14"/>
        <v>0</v>
      </c>
      <c r="F291" s="19">
        <f t="shared" si="14"/>
        <v>0</v>
      </c>
      <c r="G291" s="19">
        <f t="shared" si="14"/>
        <v>0</v>
      </c>
      <c r="H291" s="19">
        <f t="shared" si="14"/>
        <v>0</v>
      </c>
      <c r="I291" s="19">
        <f t="shared" si="14"/>
        <v>0</v>
      </c>
      <c r="J291" s="19">
        <f t="shared" si="14"/>
        <v>0</v>
      </c>
      <c r="K291" s="19">
        <f t="shared" si="14"/>
        <v>0</v>
      </c>
      <c r="L291" s="19">
        <f t="shared" si="14"/>
        <v>0</v>
      </c>
      <c r="M291" s="19">
        <f t="shared" si="14"/>
        <v>0</v>
      </c>
      <c r="N291" s="19">
        <f t="shared" si="14"/>
        <v>0</v>
      </c>
      <c r="O291" s="19">
        <f t="shared" si="14"/>
        <v>0</v>
      </c>
      <c r="P291" s="19">
        <f t="shared" si="14"/>
        <v>0</v>
      </c>
      <c r="Q291" s="19">
        <f t="shared" si="14"/>
        <v>0</v>
      </c>
      <c r="R291" s="19">
        <f t="shared" si="14"/>
        <v>0</v>
      </c>
      <c r="S291" s="19">
        <f t="shared" si="14"/>
        <v>0</v>
      </c>
      <c r="T291" s="19">
        <f t="shared" si="14"/>
        <v>0</v>
      </c>
      <c r="U291" s="19">
        <f t="shared" si="14"/>
        <v>0</v>
      </c>
      <c r="V291" s="19">
        <f t="shared" si="14"/>
        <v>0</v>
      </c>
      <c r="W291" s="19">
        <f t="shared" si="14"/>
        <v>0</v>
      </c>
      <c r="X291" s="19">
        <f t="shared" si="14"/>
        <v>0</v>
      </c>
      <c r="Y291" s="19">
        <f t="shared" si="14"/>
        <v>0</v>
      </c>
      <c r="Z291" s="19">
        <f t="shared" si="14"/>
        <v>0</v>
      </c>
      <c r="AA291" s="19">
        <f t="shared" si="14"/>
        <v>0</v>
      </c>
      <c r="AB291" s="19">
        <f t="shared" si="14"/>
        <v>0</v>
      </c>
      <c r="AC291" s="20"/>
    </row>
    <row r="292" spans="1:29" x14ac:dyDescent="0.3">
      <c r="A292" s="30" t="str">
        <v>ax</v>
      </c>
      <c r="B292" s="19">
        <f t="shared" si="13"/>
        <v>0</v>
      </c>
      <c r="C292" s="19">
        <f t="shared" si="14"/>
        <v>0</v>
      </c>
      <c r="D292" s="19">
        <f t="shared" si="14"/>
        <v>0</v>
      </c>
      <c r="E292" s="19">
        <f t="shared" si="14"/>
        <v>0</v>
      </c>
      <c r="F292" s="19">
        <f t="shared" si="14"/>
        <v>0</v>
      </c>
      <c r="G292" s="19">
        <f t="shared" si="14"/>
        <v>0</v>
      </c>
      <c r="H292" s="19">
        <f t="shared" si="14"/>
        <v>0</v>
      </c>
      <c r="I292" s="19">
        <f t="shared" si="14"/>
        <v>0</v>
      </c>
      <c r="J292" s="19">
        <f t="shared" si="14"/>
        <v>0</v>
      </c>
      <c r="K292" s="19">
        <f t="shared" si="14"/>
        <v>0</v>
      </c>
      <c r="L292" s="19">
        <f t="shared" si="14"/>
        <v>0</v>
      </c>
      <c r="M292" s="19">
        <f t="shared" si="14"/>
        <v>0</v>
      </c>
      <c r="N292" s="19">
        <f t="shared" si="14"/>
        <v>0</v>
      </c>
      <c r="O292" s="19">
        <f t="shared" si="14"/>
        <v>0</v>
      </c>
      <c r="P292" s="19">
        <f t="shared" si="14"/>
        <v>0</v>
      </c>
      <c r="Q292" s="19">
        <f t="shared" si="14"/>
        <v>0</v>
      </c>
      <c r="R292" s="19">
        <f t="shared" si="14"/>
        <v>0</v>
      </c>
      <c r="S292" s="19">
        <f t="shared" si="14"/>
        <v>0</v>
      </c>
      <c r="T292" s="19">
        <f t="shared" si="14"/>
        <v>0</v>
      </c>
      <c r="U292" s="19">
        <f t="shared" si="14"/>
        <v>0</v>
      </c>
      <c r="V292" s="19">
        <f t="shared" si="14"/>
        <v>0</v>
      </c>
      <c r="W292" s="19">
        <f t="shared" si="14"/>
        <v>0</v>
      </c>
      <c r="X292" s="19">
        <f t="shared" si="14"/>
        <v>0</v>
      </c>
      <c r="Y292" s="19">
        <f t="shared" si="14"/>
        <v>0</v>
      </c>
      <c r="Z292" s="19">
        <f t="shared" si="14"/>
        <v>0</v>
      </c>
      <c r="AA292" s="19">
        <f t="shared" si="14"/>
        <v>0</v>
      </c>
      <c r="AB292" s="19">
        <f t="shared" si="14"/>
        <v>0</v>
      </c>
      <c r="AC292" s="20"/>
    </row>
    <row r="293" spans="1:29" x14ac:dyDescent="0.3">
      <c r="A293" s="30" t="str">
        <v>az</v>
      </c>
      <c r="B293" s="19">
        <f t="shared" si="13"/>
        <v>0</v>
      </c>
      <c r="C293" s="19">
        <f t="shared" si="14"/>
        <v>0</v>
      </c>
      <c r="D293" s="19">
        <f t="shared" si="14"/>
        <v>0</v>
      </c>
      <c r="E293" s="19">
        <f t="shared" si="14"/>
        <v>0</v>
      </c>
      <c r="F293" s="19">
        <f t="shared" si="14"/>
        <v>0</v>
      </c>
      <c r="G293" s="19">
        <f t="shared" si="14"/>
        <v>0</v>
      </c>
      <c r="H293" s="19">
        <f t="shared" si="14"/>
        <v>0</v>
      </c>
      <c r="I293" s="19">
        <f t="shared" si="14"/>
        <v>0</v>
      </c>
      <c r="J293" s="19">
        <f t="shared" si="14"/>
        <v>0</v>
      </c>
      <c r="K293" s="19">
        <f t="shared" si="14"/>
        <v>0</v>
      </c>
      <c r="L293" s="19">
        <f t="shared" si="14"/>
        <v>0</v>
      </c>
      <c r="M293" s="19">
        <f t="shared" si="14"/>
        <v>0</v>
      </c>
      <c r="N293" s="19">
        <f t="shared" si="14"/>
        <v>0</v>
      </c>
      <c r="O293" s="19">
        <f t="shared" si="14"/>
        <v>0</v>
      </c>
      <c r="P293" s="19">
        <f t="shared" si="14"/>
        <v>0</v>
      </c>
      <c r="Q293" s="19">
        <f t="shared" si="14"/>
        <v>0</v>
      </c>
      <c r="R293" s="19">
        <f t="shared" si="14"/>
        <v>0</v>
      </c>
      <c r="S293" s="19">
        <f t="shared" si="14"/>
        <v>0</v>
      </c>
      <c r="T293" s="19">
        <f t="shared" si="14"/>
        <v>0</v>
      </c>
      <c r="U293" s="19">
        <f t="shared" si="14"/>
        <v>0</v>
      </c>
      <c r="V293" s="19">
        <f t="shared" si="14"/>
        <v>0</v>
      </c>
      <c r="W293" s="19">
        <f t="shared" si="14"/>
        <v>0</v>
      </c>
      <c r="X293" s="19">
        <f t="shared" si="14"/>
        <v>0</v>
      </c>
      <c r="Y293" s="19">
        <f t="shared" si="14"/>
        <v>0</v>
      </c>
      <c r="Z293" s="19">
        <f t="shared" si="14"/>
        <v>0</v>
      </c>
      <c r="AA293" s="19">
        <f t="shared" si="14"/>
        <v>0</v>
      </c>
      <c r="AB293" s="19">
        <f t="shared" si="14"/>
        <v>0</v>
      </c>
      <c r="AC293" s="20"/>
    </row>
    <row r="294" spans="1:29" x14ac:dyDescent="0.3">
      <c r="A294" s="30" t="str">
        <v>ϴa</v>
      </c>
      <c r="B294" s="19">
        <f t="shared" si="13"/>
        <v>0</v>
      </c>
      <c r="C294" s="19">
        <f t="shared" si="14"/>
        <v>0</v>
      </c>
      <c r="D294" s="19">
        <f t="shared" si="14"/>
        <v>0</v>
      </c>
      <c r="E294" s="19">
        <f t="shared" si="14"/>
        <v>0</v>
      </c>
      <c r="F294" s="19">
        <f t="shared" si="14"/>
        <v>0</v>
      </c>
      <c r="G294" s="19">
        <f t="shared" si="14"/>
        <v>0</v>
      </c>
      <c r="H294" s="19">
        <f t="shared" ref="C294:AB299" si="15">IFERROR(VLOOKUP($A294,$A$264:$G$270,MATCH(H$273,$A$264:$G$264,0),FALSE),0)</f>
        <v>0</v>
      </c>
      <c r="I294" s="19">
        <f t="shared" si="15"/>
        <v>0</v>
      </c>
      <c r="J294" s="19">
        <f t="shared" si="15"/>
        <v>0</v>
      </c>
      <c r="K294" s="19">
        <f t="shared" si="15"/>
        <v>0</v>
      </c>
      <c r="L294" s="19">
        <f t="shared" si="15"/>
        <v>0</v>
      </c>
      <c r="M294" s="19">
        <f t="shared" si="15"/>
        <v>0</v>
      </c>
      <c r="N294" s="19">
        <f t="shared" si="15"/>
        <v>0</v>
      </c>
      <c r="O294" s="19">
        <f t="shared" si="15"/>
        <v>0</v>
      </c>
      <c r="P294" s="19">
        <f t="shared" si="15"/>
        <v>0</v>
      </c>
      <c r="Q294" s="19">
        <f t="shared" si="15"/>
        <v>0</v>
      </c>
      <c r="R294" s="19">
        <f t="shared" si="15"/>
        <v>0</v>
      </c>
      <c r="S294" s="19">
        <f t="shared" si="15"/>
        <v>0</v>
      </c>
      <c r="T294" s="19">
        <f t="shared" si="15"/>
        <v>0</v>
      </c>
      <c r="U294" s="19">
        <f t="shared" si="15"/>
        <v>0</v>
      </c>
      <c r="V294" s="19">
        <f t="shared" si="15"/>
        <v>0</v>
      </c>
      <c r="W294" s="19">
        <f t="shared" si="15"/>
        <v>0</v>
      </c>
      <c r="X294" s="19">
        <f t="shared" si="15"/>
        <v>0</v>
      </c>
      <c r="Y294" s="19">
        <f t="shared" si="15"/>
        <v>0</v>
      </c>
      <c r="Z294" s="19">
        <f t="shared" si="15"/>
        <v>0</v>
      </c>
      <c r="AA294" s="19">
        <f t="shared" si="15"/>
        <v>0</v>
      </c>
      <c r="AB294" s="19">
        <f t="shared" si="15"/>
        <v>0</v>
      </c>
      <c r="AC294" s="20"/>
    </row>
    <row r="295" spans="1:29" x14ac:dyDescent="0.3">
      <c r="A295" s="30" t="str">
        <v>bx</v>
      </c>
      <c r="B295" s="19">
        <f t="shared" si="13"/>
        <v>0</v>
      </c>
      <c r="C295" s="19">
        <f t="shared" si="15"/>
        <v>0</v>
      </c>
      <c r="D295" s="19">
        <f t="shared" si="15"/>
        <v>0</v>
      </c>
      <c r="E295" s="19">
        <f t="shared" si="15"/>
        <v>0</v>
      </c>
      <c r="F295" s="19">
        <f t="shared" si="15"/>
        <v>0</v>
      </c>
      <c r="G295" s="19">
        <f t="shared" si="15"/>
        <v>0</v>
      </c>
      <c r="H295" s="19">
        <f t="shared" si="15"/>
        <v>0</v>
      </c>
      <c r="I295" s="19">
        <f t="shared" si="15"/>
        <v>0</v>
      </c>
      <c r="J295" s="19">
        <f t="shared" si="15"/>
        <v>0</v>
      </c>
      <c r="K295" s="19">
        <f t="shared" si="15"/>
        <v>0</v>
      </c>
      <c r="L295" s="19">
        <f t="shared" si="15"/>
        <v>0</v>
      </c>
      <c r="M295" s="19">
        <f t="shared" si="15"/>
        <v>0</v>
      </c>
      <c r="N295" s="19">
        <f t="shared" si="15"/>
        <v>0</v>
      </c>
      <c r="O295" s="19">
        <f t="shared" si="15"/>
        <v>0</v>
      </c>
      <c r="P295" s="19">
        <f t="shared" si="15"/>
        <v>0</v>
      </c>
      <c r="Q295" s="19">
        <f t="shared" si="15"/>
        <v>0</v>
      </c>
      <c r="R295" s="19">
        <f t="shared" si="15"/>
        <v>0</v>
      </c>
      <c r="S295" s="19">
        <f t="shared" si="15"/>
        <v>0</v>
      </c>
      <c r="T295" s="19">
        <f t="shared" si="15"/>
        <v>0</v>
      </c>
      <c r="U295" s="19">
        <f t="shared" si="15"/>
        <v>0</v>
      </c>
      <c r="V295" s="19">
        <f t="shared" si="15"/>
        <v>0</v>
      </c>
      <c r="W295" s="19">
        <f t="shared" si="15"/>
        <v>0</v>
      </c>
      <c r="X295" s="19">
        <f t="shared" si="15"/>
        <v>0</v>
      </c>
      <c r="Y295" s="19">
        <f t="shared" si="15"/>
        <v>0</v>
      </c>
      <c r="Z295" s="19">
        <f t="shared" si="15"/>
        <v>0</v>
      </c>
      <c r="AA295" s="19">
        <f t="shared" si="15"/>
        <v>0</v>
      </c>
      <c r="AB295" s="19">
        <f t="shared" si="15"/>
        <v>0</v>
      </c>
      <c r="AC295" s="20"/>
    </row>
    <row r="296" spans="1:29" x14ac:dyDescent="0.3">
      <c r="A296" s="30" t="str">
        <v>bz</v>
      </c>
      <c r="B296" s="19">
        <f t="shared" si="13"/>
        <v>0</v>
      </c>
      <c r="C296" s="19">
        <f t="shared" si="15"/>
        <v>0</v>
      </c>
      <c r="D296" s="19">
        <f t="shared" si="15"/>
        <v>0</v>
      </c>
      <c r="E296" s="19">
        <f t="shared" si="15"/>
        <v>0</v>
      </c>
      <c r="F296" s="19">
        <f t="shared" si="15"/>
        <v>0</v>
      </c>
      <c r="G296" s="19">
        <f t="shared" si="15"/>
        <v>0</v>
      </c>
      <c r="H296" s="19">
        <f t="shared" si="15"/>
        <v>0</v>
      </c>
      <c r="I296" s="19">
        <f t="shared" si="15"/>
        <v>0</v>
      </c>
      <c r="J296" s="19">
        <f t="shared" si="15"/>
        <v>0</v>
      </c>
      <c r="K296" s="19">
        <f t="shared" si="15"/>
        <v>0</v>
      </c>
      <c r="L296" s="19">
        <f t="shared" si="15"/>
        <v>0</v>
      </c>
      <c r="M296" s="19">
        <f t="shared" si="15"/>
        <v>0</v>
      </c>
      <c r="N296" s="19">
        <f t="shared" si="15"/>
        <v>0</v>
      </c>
      <c r="O296" s="19">
        <f t="shared" si="15"/>
        <v>0</v>
      </c>
      <c r="P296" s="19">
        <f t="shared" si="15"/>
        <v>0</v>
      </c>
      <c r="Q296" s="19">
        <f t="shared" si="15"/>
        <v>0</v>
      </c>
      <c r="R296" s="19">
        <f t="shared" si="15"/>
        <v>0</v>
      </c>
      <c r="S296" s="19">
        <f t="shared" si="15"/>
        <v>0</v>
      </c>
      <c r="T296" s="19">
        <f t="shared" si="15"/>
        <v>0</v>
      </c>
      <c r="U296" s="19">
        <f t="shared" si="15"/>
        <v>0</v>
      </c>
      <c r="V296" s="19">
        <f t="shared" si="15"/>
        <v>0</v>
      </c>
      <c r="W296" s="19">
        <f t="shared" si="15"/>
        <v>0</v>
      </c>
      <c r="X296" s="19">
        <f t="shared" si="15"/>
        <v>0</v>
      </c>
      <c r="Y296" s="19">
        <f t="shared" si="15"/>
        <v>0</v>
      </c>
      <c r="Z296" s="19">
        <f t="shared" si="15"/>
        <v>0</v>
      </c>
      <c r="AA296" s="19">
        <f t="shared" si="15"/>
        <v>0</v>
      </c>
      <c r="AB296" s="19">
        <f t="shared" si="15"/>
        <v>0</v>
      </c>
      <c r="AC296" s="20"/>
    </row>
    <row r="297" spans="1:29" x14ac:dyDescent="0.3">
      <c r="A297" s="30" t="str">
        <v>ϴb</v>
      </c>
      <c r="B297" s="19">
        <f t="shared" si="13"/>
        <v>0</v>
      </c>
      <c r="C297" s="19">
        <f t="shared" si="15"/>
        <v>0</v>
      </c>
      <c r="D297" s="19">
        <f t="shared" si="15"/>
        <v>0</v>
      </c>
      <c r="E297" s="19">
        <f t="shared" si="15"/>
        <v>0</v>
      </c>
      <c r="F297" s="19">
        <f t="shared" si="15"/>
        <v>0</v>
      </c>
      <c r="G297" s="19">
        <f t="shared" si="15"/>
        <v>0</v>
      </c>
      <c r="H297" s="19">
        <f t="shared" si="15"/>
        <v>0</v>
      </c>
      <c r="I297" s="19">
        <f t="shared" si="15"/>
        <v>0</v>
      </c>
      <c r="J297" s="19">
        <f t="shared" si="15"/>
        <v>0</v>
      </c>
      <c r="K297" s="19">
        <f t="shared" si="15"/>
        <v>0</v>
      </c>
      <c r="L297" s="19">
        <f t="shared" si="15"/>
        <v>0</v>
      </c>
      <c r="M297" s="19">
        <f t="shared" si="15"/>
        <v>0</v>
      </c>
      <c r="N297" s="19">
        <f t="shared" si="15"/>
        <v>0</v>
      </c>
      <c r="O297" s="19">
        <f t="shared" si="15"/>
        <v>0</v>
      </c>
      <c r="P297" s="19">
        <f t="shared" si="15"/>
        <v>0</v>
      </c>
      <c r="Q297" s="19">
        <f t="shared" si="15"/>
        <v>0</v>
      </c>
      <c r="R297" s="19">
        <f t="shared" si="15"/>
        <v>0</v>
      </c>
      <c r="S297" s="19">
        <f t="shared" si="15"/>
        <v>0</v>
      </c>
      <c r="T297" s="19">
        <f t="shared" si="15"/>
        <v>0</v>
      </c>
      <c r="U297" s="19">
        <f t="shared" si="15"/>
        <v>0</v>
      </c>
      <c r="V297" s="19">
        <f t="shared" si="15"/>
        <v>0</v>
      </c>
      <c r="W297" s="19">
        <f t="shared" si="15"/>
        <v>0</v>
      </c>
      <c r="X297" s="19">
        <f t="shared" si="15"/>
        <v>0</v>
      </c>
      <c r="Y297" s="19">
        <f t="shared" si="15"/>
        <v>0</v>
      </c>
      <c r="Z297" s="19">
        <f t="shared" si="15"/>
        <v>0</v>
      </c>
      <c r="AA297" s="19">
        <f t="shared" si="15"/>
        <v>0</v>
      </c>
      <c r="AB297" s="19">
        <f t="shared" si="15"/>
        <v>0</v>
      </c>
      <c r="AC297" s="20"/>
    </row>
    <row r="298" spans="1:29" x14ac:dyDescent="0.3">
      <c r="A298" s="30" t="str">
        <v>cx</v>
      </c>
      <c r="B298" s="19">
        <f t="shared" si="13"/>
        <v>0</v>
      </c>
      <c r="C298" s="19">
        <f t="shared" si="15"/>
        <v>0</v>
      </c>
      <c r="D298" s="19">
        <f t="shared" si="15"/>
        <v>0</v>
      </c>
      <c r="E298" s="19">
        <f t="shared" si="15"/>
        <v>0</v>
      </c>
      <c r="F298" s="19">
        <f t="shared" si="15"/>
        <v>0</v>
      </c>
      <c r="G298" s="19">
        <f t="shared" si="15"/>
        <v>0</v>
      </c>
      <c r="H298" s="19">
        <f t="shared" si="15"/>
        <v>0</v>
      </c>
      <c r="I298" s="19">
        <f t="shared" si="15"/>
        <v>0</v>
      </c>
      <c r="J298" s="19">
        <f t="shared" si="15"/>
        <v>0</v>
      </c>
      <c r="K298" s="19">
        <f t="shared" si="15"/>
        <v>0</v>
      </c>
      <c r="L298" s="19">
        <f t="shared" si="15"/>
        <v>0</v>
      </c>
      <c r="M298" s="19">
        <f t="shared" si="15"/>
        <v>0</v>
      </c>
      <c r="N298" s="19">
        <f t="shared" si="15"/>
        <v>0</v>
      </c>
      <c r="O298" s="19">
        <f t="shared" si="15"/>
        <v>0</v>
      </c>
      <c r="P298" s="19">
        <f t="shared" si="15"/>
        <v>0</v>
      </c>
      <c r="Q298" s="19">
        <f t="shared" si="15"/>
        <v>0</v>
      </c>
      <c r="R298" s="19">
        <f t="shared" si="15"/>
        <v>0</v>
      </c>
      <c r="S298" s="19">
        <f t="shared" si="15"/>
        <v>0</v>
      </c>
      <c r="T298" s="19">
        <f t="shared" si="15"/>
        <v>0</v>
      </c>
      <c r="U298" s="19">
        <f t="shared" si="15"/>
        <v>0</v>
      </c>
      <c r="V298" s="19">
        <f t="shared" si="15"/>
        <v>0</v>
      </c>
      <c r="W298" s="19">
        <f t="shared" si="15"/>
        <v>0</v>
      </c>
      <c r="X298" s="19">
        <f t="shared" si="15"/>
        <v>0</v>
      </c>
      <c r="Y298" s="19">
        <f t="shared" si="15"/>
        <v>0</v>
      </c>
      <c r="Z298" s="19">
        <f t="shared" si="15"/>
        <v>0</v>
      </c>
      <c r="AA298" s="19">
        <f t="shared" si="15"/>
        <v>0</v>
      </c>
      <c r="AB298" s="19">
        <f t="shared" si="15"/>
        <v>0</v>
      </c>
      <c r="AC298" s="20"/>
    </row>
    <row r="299" spans="1:29" x14ac:dyDescent="0.3">
      <c r="A299" s="30" t="str">
        <v>cz</v>
      </c>
      <c r="B299" s="19">
        <f t="shared" si="13"/>
        <v>0</v>
      </c>
      <c r="C299" s="19">
        <f t="shared" si="15"/>
        <v>0</v>
      </c>
      <c r="D299" s="19">
        <f t="shared" si="15"/>
        <v>0</v>
      </c>
      <c r="E299" s="19">
        <f t="shared" si="15"/>
        <v>0</v>
      </c>
      <c r="F299" s="19">
        <f t="shared" si="15"/>
        <v>0</v>
      </c>
      <c r="G299" s="19">
        <f t="shared" si="15"/>
        <v>0</v>
      </c>
      <c r="H299" s="19">
        <f t="shared" si="15"/>
        <v>0</v>
      </c>
      <c r="I299" s="19">
        <f t="shared" si="15"/>
        <v>0</v>
      </c>
      <c r="J299" s="19">
        <f t="shared" si="15"/>
        <v>0</v>
      </c>
      <c r="K299" s="19">
        <f t="shared" si="15"/>
        <v>0</v>
      </c>
      <c r="L299" s="19">
        <f t="shared" si="15"/>
        <v>0</v>
      </c>
      <c r="M299" s="19">
        <f t="shared" si="15"/>
        <v>0</v>
      </c>
      <c r="N299" s="19">
        <f t="shared" si="15"/>
        <v>0</v>
      </c>
      <c r="O299" s="19">
        <f t="shared" si="15"/>
        <v>0</v>
      </c>
      <c r="P299" s="19">
        <f t="shared" si="15"/>
        <v>0</v>
      </c>
      <c r="Q299" s="19">
        <f t="shared" si="15"/>
        <v>0</v>
      </c>
      <c r="R299" s="19">
        <f t="shared" si="15"/>
        <v>0</v>
      </c>
      <c r="S299" s="19">
        <f t="shared" si="15"/>
        <v>0</v>
      </c>
      <c r="T299" s="19">
        <f t="shared" si="15"/>
        <v>0</v>
      </c>
      <c r="U299" s="19">
        <f t="shared" si="15"/>
        <v>0</v>
      </c>
      <c r="V299" s="19">
        <f t="shared" si="15"/>
        <v>0</v>
      </c>
      <c r="W299" s="19">
        <f t="shared" si="15"/>
        <v>0</v>
      </c>
      <c r="X299" s="19">
        <f t="shared" si="15"/>
        <v>0</v>
      </c>
      <c r="Y299" s="19">
        <f t="shared" si="15"/>
        <v>0</v>
      </c>
      <c r="Z299" s="19">
        <f t="shared" si="15"/>
        <v>0</v>
      </c>
      <c r="AA299" s="19">
        <f t="shared" si="15"/>
        <v>0</v>
      </c>
      <c r="AB299" s="19">
        <f t="shared" si="15"/>
        <v>0</v>
      </c>
      <c r="AC299" s="20"/>
    </row>
    <row r="300" spans="1:29" x14ac:dyDescent="0.3">
      <c r="A300" s="30" t="str">
        <v>ϴc</v>
      </c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20"/>
    </row>
    <row r="301" spans="1:29" x14ac:dyDescent="0.3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20"/>
    </row>
    <row r="302" spans="1:29" ht="15" thickBot="1" x14ac:dyDescent="0.35">
      <c r="A302" s="31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3"/>
    </row>
  </sheetData>
  <mergeCells count="17">
    <mergeCell ref="A237:D237"/>
    <mergeCell ref="A244:D244"/>
    <mergeCell ref="A255:H255"/>
    <mergeCell ref="A155:E155"/>
    <mergeCell ref="A162:D162"/>
    <mergeCell ref="A169:D169"/>
    <mergeCell ref="A180:H180"/>
    <mergeCell ref="A230:E230"/>
    <mergeCell ref="A87:D87"/>
    <mergeCell ref="A94:D94"/>
    <mergeCell ref="A105:H105"/>
    <mergeCell ref="A2:J2"/>
    <mergeCell ref="A5:E5"/>
    <mergeCell ref="A12:D12"/>
    <mergeCell ref="A19:D19"/>
    <mergeCell ref="A30:H30"/>
    <mergeCell ref="A80:E80"/>
  </mergeCells>
  <phoneticPr fontId="1" type="noConversion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CARATULA</vt:lpstr>
      <vt:lpstr>GDL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angel garcia</cp:lastModifiedBy>
  <dcterms:created xsi:type="dcterms:W3CDTF">2026-03-28T19:30:36Z</dcterms:created>
  <dcterms:modified xsi:type="dcterms:W3CDTF">2026-04-11T21:40:29Z</dcterms:modified>
</cp:coreProperties>
</file>