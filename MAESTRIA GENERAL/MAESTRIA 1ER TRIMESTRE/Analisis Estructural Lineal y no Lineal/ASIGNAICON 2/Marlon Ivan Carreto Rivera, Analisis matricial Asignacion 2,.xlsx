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docs-2026\MAESTRIA\Analisis Estructural Lineal y no Lineal\ASIGNAICON 2\"/>
    </mc:Choice>
  </mc:AlternateContent>
  <xr:revisionPtr revIDLastSave="0" documentId="13_ncr:1_{A0BEE9AC-3708-4070-908A-9E63A4C4F97E}" xr6:coauthVersionLast="47" xr6:coauthVersionMax="47" xr10:uidLastSave="{00000000-0000-0000-0000-000000000000}"/>
  <bookViews>
    <workbookView xWindow="-108" yWindow="-108" windowWidth="23256" windowHeight="12576" tabRatio="591" xr2:uid="{7F94BADD-C052-4D7B-975E-F0C8373E1F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53" i="1" l="1" a="1"/>
  <c r="C957" i="1" s="1"/>
  <c r="C926" i="1" a="1"/>
  <c r="C930" i="1" s="1"/>
  <c r="C899" i="1" a="1"/>
  <c r="C903" i="1" s="1"/>
  <c r="C872" i="1" a="1"/>
  <c r="C875" i="1" s="1"/>
  <c r="C954" i="1" l="1"/>
  <c r="C958" i="1"/>
  <c r="C955" i="1"/>
  <c r="C956" i="1"/>
  <c r="C953" i="1"/>
  <c r="C927" i="1"/>
  <c r="C931" i="1"/>
  <c r="C928" i="1"/>
  <c r="C929" i="1"/>
  <c r="C926" i="1"/>
  <c r="C900" i="1"/>
  <c r="C901" i="1"/>
  <c r="C904" i="1"/>
  <c r="C902" i="1"/>
  <c r="C899" i="1"/>
  <c r="C872" i="1"/>
  <c r="C874" i="1"/>
  <c r="C876" i="1"/>
  <c r="C873" i="1"/>
  <c r="C877" i="1"/>
  <c r="C845" i="1" a="1"/>
  <c r="C848" i="1" s="1"/>
  <c r="C818" i="1" a="1"/>
  <c r="C818" i="1" s="1"/>
  <c r="A784" i="1" a="1"/>
  <c r="A800" i="1" s="1"/>
  <c r="A792" i="1" l="1"/>
  <c r="C849" i="1"/>
  <c r="C845" i="1"/>
  <c r="C846" i="1"/>
  <c r="C850" i="1"/>
  <c r="C847" i="1"/>
  <c r="C820" i="1"/>
  <c r="C821" i="1"/>
  <c r="C823" i="1"/>
  <c r="C819" i="1"/>
  <c r="C822" i="1"/>
  <c r="A797" i="1"/>
  <c r="A786" i="1"/>
  <c r="A788" i="1"/>
  <c r="A798" i="1"/>
  <c r="A784" i="1"/>
  <c r="A789" i="1"/>
  <c r="A794" i="1"/>
  <c r="A799" i="1"/>
  <c r="A795" i="1"/>
  <c r="A791" i="1"/>
  <c r="A787" i="1"/>
  <c r="A793" i="1"/>
  <c r="A785" i="1"/>
  <c r="A790" i="1"/>
  <c r="A796" i="1"/>
  <c r="A801" i="1"/>
  <c r="A729" i="1" l="1" a="1"/>
  <c r="A754" i="1" s="1"/>
  <c r="A696" i="1" a="1"/>
  <c r="A719" i="1" s="1"/>
  <c r="B686" i="1" a="1"/>
  <c r="G686" i="1" s="1"/>
  <c r="B680" i="1"/>
  <c r="B679" i="1"/>
  <c r="A669" i="1" a="1"/>
  <c r="B658" i="1"/>
  <c r="B656" i="1"/>
  <c r="A624" i="1" a="1"/>
  <c r="A647" i="1" s="1"/>
  <c r="B614" i="1" a="1"/>
  <c r="G614" i="1" s="1"/>
  <c r="B608" i="1"/>
  <c r="B607" i="1"/>
  <c r="A597" i="1" a="1"/>
  <c r="A599" i="1" s="1"/>
  <c r="C589" i="1"/>
  <c r="B597" i="1" s="1"/>
  <c r="D606" i="1" s="1"/>
  <c r="B586" i="1"/>
  <c r="B584" i="1"/>
  <c r="C593" i="1" s="1"/>
  <c r="A552" i="1" a="1"/>
  <c r="A577" i="1" s="1"/>
  <c r="B542" i="1" a="1"/>
  <c r="E542" i="1" s="1"/>
  <c r="B536" i="1"/>
  <c r="B535" i="1"/>
  <c r="A525" i="1" a="1"/>
  <c r="A528" i="1" s="1"/>
  <c r="B514" i="1"/>
  <c r="B512" i="1"/>
  <c r="B368" i="1"/>
  <c r="B440" i="1"/>
  <c r="A480" i="1" a="1"/>
  <c r="A506" i="1" s="1"/>
  <c r="B470" i="1" a="1"/>
  <c r="F470" i="1" s="1"/>
  <c r="B464" i="1"/>
  <c r="B463" i="1"/>
  <c r="A453" i="1" a="1"/>
  <c r="A455" i="1" s="1"/>
  <c r="B442" i="1"/>
  <c r="C445" i="1" s="1"/>
  <c r="A408" i="1" a="1"/>
  <c r="A419" i="1" s="1"/>
  <c r="B398" i="1" a="1"/>
  <c r="F398" i="1" s="1"/>
  <c r="B392" i="1"/>
  <c r="B391" i="1"/>
  <c r="E946" i="1" s="1" a="1"/>
  <c r="A381" i="1" a="1"/>
  <c r="B370" i="1"/>
  <c r="B296" i="1"/>
  <c r="C542" i="1" l="1"/>
  <c r="A696" i="1"/>
  <c r="G470" i="1"/>
  <c r="C398" i="1"/>
  <c r="E946" i="1"/>
  <c r="F947" i="1"/>
  <c r="E947" i="1"/>
  <c r="F946" i="1"/>
  <c r="A488" i="1"/>
  <c r="A648" i="1"/>
  <c r="A504" i="1"/>
  <c r="A624" i="1"/>
  <c r="A712" i="1"/>
  <c r="C376" i="1"/>
  <c r="D383" i="1" s="1"/>
  <c r="D392" i="1" s="1"/>
  <c r="D401" i="1" s="1"/>
  <c r="A632" i="1"/>
  <c r="C590" i="1"/>
  <c r="C601" i="1" s="1"/>
  <c r="H607" i="1" s="1"/>
  <c r="C618" i="1" s="1"/>
  <c r="A640" i="1"/>
  <c r="C665" i="1"/>
  <c r="C662" i="1"/>
  <c r="C670" i="1" s="1"/>
  <c r="D679" i="1" s="1"/>
  <c r="D398" i="1"/>
  <c r="A492" i="1"/>
  <c r="C447" i="1"/>
  <c r="C455" i="1" s="1"/>
  <c r="D466" i="1" s="1"/>
  <c r="C520" i="1"/>
  <c r="A625" i="1"/>
  <c r="A633" i="1"/>
  <c r="A641" i="1"/>
  <c r="A649" i="1"/>
  <c r="C664" i="1"/>
  <c r="G674" i="1" s="1"/>
  <c r="J680" i="1" s="1"/>
  <c r="G692" i="1" s="1"/>
  <c r="A700" i="1"/>
  <c r="A716" i="1"/>
  <c r="C373" i="1"/>
  <c r="E381" i="1" s="1"/>
  <c r="F390" i="1" s="1"/>
  <c r="G398" i="1"/>
  <c r="C470" i="1"/>
  <c r="A480" i="1"/>
  <c r="A496" i="1"/>
  <c r="C377" i="1"/>
  <c r="D386" i="1" s="1"/>
  <c r="H392" i="1" s="1"/>
  <c r="D404" i="1" s="1"/>
  <c r="B542" i="1"/>
  <c r="C592" i="1"/>
  <c r="G602" i="1" s="1"/>
  <c r="J608" i="1" s="1"/>
  <c r="G620" i="1" s="1"/>
  <c r="E597" i="1"/>
  <c r="F606" i="1" s="1"/>
  <c r="A628" i="1"/>
  <c r="A636" i="1"/>
  <c r="A644" i="1"/>
  <c r="C661" i="1"/>
  <c r="B672" i="1" s="1"/>
  <c r="H678" i="1" s="1"/>
  <c r="D686" i="1"/>
  <c r="A704" i="1"/>
  <c r="A720" i="1"/>
  <c r="D470" i="1"/>
  <c r="A484" i="1"/>
  <c r="A500" i="1"/>
  <c r="B600" i="1"/>
  <c r="H606" i="1" s="1"/>
  <c r="A629" i="1"/>
  <c r="A637" i="1"/>
  <c r="A645" i="1"/>
  <c r="A708" i="1"/>
  <c r="A731" i="1"/>
  <c r="A735" i="1"/>
  <c r="A739" i="1"/>
  <c r="A743" i="1"/>
  <c r="A747" i="1"/>
  <c r="A751" i="1"/>
  <c r="A755" i="1"/>
  <c r="A729" i="1"/>
  <c r="A733" i="1"/>
  <c r="A737" i="1"/>
  <c r="A741" i="1"/>
  <c r="A745" i="1"/>
  <c r="A749" i="1"/>
  <c r="A753" i="1"/>
  <c r="A732" i="1"/>
  <c r="A736" i="1"/>
  <c r="A740" i="1"/>
  <c r="A744" i="1"/>
  <c r="A748" i="1"/>
  <c r="A752" i="1"/>
  <c r="A730" i="1"/>
  <c r="A734" i="1"/>
  <c r="A738" i="1"/>
  <c r="A742" i="1"/>
  <c r="A746" i="1"/>
  <c r="A750" i="1"/>
  <c r="A671" i="1"/>
  <c r="A674" i="1"/>
  <c r="A670" i="1"/>
  <c r="A673" i="1"/>
  <c r="A669" i="1"/>
  <c r="F670" i="1"/>
  <c r="F679" i="1" s="1"/>
  <c r="A672" i="1"/>
  <c r="C663" i="1"/>
  <c r="E686" i="1"/>
  <c r="A697" i="1"/>
  <c r="A701" i="1"/>
  <c r="A705" i="1"/>
  <c r="A709" i="1"/>
  <c r="A713" i="1"/>
  <c r="A717" i="1"/>
  <c r="A721" i="1"/>
  <c r="E672" i="1"/>
  <c r="J678" i="1" s="1"/>
  <c r="B686" i="1"/>
  <c r="F686" i="1"/>
  <c r="A698" i="1"/>
  <c r="A702" i="1"/>
  <c r="A706" i="1"/>
  <c r="A710" i="1"/>
  <c r="A714" i="1"/>
  <c r="A718" i="1"/>
  <c r="A722" i="1"/>
  <c r="C686" i="1"/>
  <c r="A699" i="1"/>
  <c r="A703" i="1"/>
  <c r="A707" i="1"/>
  <c r="A711" i="1"/>
  <c r="A715" i="1"/>
  <c r="D602" i="1"/>
  <c r="H608" i="1" s="1"/>
  <c r="D620" i="1" s="1"/>
  <c r="G599" i="1"/>
  <c r="F608" i="1" s="1"/>
  <c r="G617" i="1" s="1"/>
  <c r="E614" i="1"/>
  <c r="A598" i="1"/>
  <c r="A602" i="1"/>
  <c r="E600" i="1"/>
  <c r="J606" i="1" s="1"/>
  <c r="B614" i="1"/>
  <c r="F614" i="1"/>
  <c r="A626" i="1"/>
  <c r="A630" i="1"/>
  <c r="A634" i="1"/>
  <c r="A638" i="1"/>
  <c r="A642" i="1"/>
  <c r="A646" i="1"/>
  <c r="A650" i="1"/>
  <c r="A600" i="1"/>
  <c r="D614" i="1"/>
  <c r="C591" i="1"/>
  <c r="A597" i="1"/>
  <c r="A601" i="1"/>
  <c r="C614" i="1"/>
  <c r="A627" i="1"/>
  <c r="A631" i="1"/>
  <c r="A635" i="1"/>
  <c r="A639" i="1"/>
  <c r="A643" i="1"/>
  <c r="A554" i="1"/>
  <c r="A570" i="1"/>
  <c r="F542" i="1"/>
  <c r="A558" i="1"/>
  <c r="A574" i="1"/>
  <c r="G542" i="1"/>
  <c r="A562" i="1"/>
  <c r="A578" i="1"/>
  <c r="A566" i="1"/>
  <c r="A525" i="1"/>
  <c r="A530" i="1"/>
  <c r="A526" i="1"/>
  <c r="A527" i="1"/>
  <c r="A529" i="1"/>
  <c r="G530" i="1"/>
  <c r="J536" i="1" s="1"/>
  <c r="G548" i="1" s="1"/>
  <c r="D527" i="1"/>
  <c r="D536" i="1" s="1"/>
  <c r="D545" i="1" s="1"/>
  <c r="C519" i="1"/>
  <c r="C521" i="1"/>
  <c r="C517" i="1"/>
  <c r="C518" i="1"/>
  <c r="A555" i="1"/>
  <c r="A559" i="1"/>
  <c r="A563" i="1"/>
  <c r="A567" i="1"/>
  <c r="A571" i="1"/>
  <c r="A575" i="1"/>
  <c r="D542" i="1"/>
  <c r="A552" i="1"/>
  <c r="A556" i="1"/>
  <c r="A560" i="1"/>
  <c r="A564" i="1"/>
  <c r="A568" i="1"/>
  <c r="A572" i="1"/>
  <c r="A576" i="1"/>
  <c r="A553" i="1"/>
  <c r="A557" i="1"/>
  <c r="A561" i="1"/>
  <c r="A565" i="1"/>
  <c r="A569" i="1"/>
  <c r="A573" i="1"/>
  <c r="A456" i="1"/>
  <c r="C374" i="1"/>
  <c r="C382" i="1" s="1"/>
  <c r="D391" i="1" s="1"/>
  <c r="C375" i="1"/>
  <c r="F383" i="1" s="1"/>
  <c r="F394" i="1" s="1"/>
  <c r="C446" i="1"/>
  <c r="E456" i="1"/>
  <c r="J462" i="1" s="1"/>
  <c r="B456" i="1"/>
  <c r="H462" i="1" s="1"/>
  <c r="F457" i="1"/>
  <c r="J463" i="1" s="1"/>
  <c r="C449" i="1"/>
  <c r="B453" i="1"/>
  <c r="D462" i="1" s="1"/>
  <c r="C448" i="1"/>
  <c r="A458" i="1"/>
  <c r="A454" i="1"/>
  <c r="A457" i="1"/>
  <c r="A453" i="1"/>
  <c r="E453" i="1"/>
  <c r="F462" i="1" s="1"/>
  <c r="A483" i="1"/>
  <c r="A487" i="1"/>
  <c r="A491" i="1"/>
  <c r="A495" i="1"/>
  <c r="A499" i="1"/>
  <c r="A503" i="1"/>
  <c r="E470" i="1"/>
  <c r="A481" i="1"/>
  <c r="A485" i="1"/>
  <c r="A489" i="1"/>
  <c r="A493" i="1"/>
  <c r="A497" i="1"/>
  <c r="A501" i="1"/>
  <c r="A505" i="1"/>
  <c r="B470" i="1"/>
  <c r="A482" i="1"/>
  <c r="A486" i="1"/>
  <c r="A490" i="1"/>
  <c r="A494" i="1"/>
  <c r="A498" i="1"/>
  <c r="A502" i="1"/>
  <c r="A386" i="1"/>
  <c r="A382" i="1"/>
  <c r="A385" i="1"/>
  <c r="A381" i="1"/>
  <c r="E384" i="1"/>
  <c r="J390" i="1" s="1"/>
  <c r="B384" i="1"/>
  <c r="H390" i="1" s="1"/>
  <c r="A383" i="1"/>
  <c r="A411" i="1"/>
  <c r="A427" i="1"/>
  <c r="F385" i="1"/>
  <c r="J391" i="1" s="1"/>
  <c r="A384" i="1"/>
  <c r="A415" i="1"/>
  <c r="A431" i="1"/>
  <c r="A434" i="1"/>
  <c r="A430" i="1"/>
  <c r="A426" i="1"/>
  <c r="A422" i="1"/>
  <c r="A418" i="1"/>
  <c r="A414" i="1"/>
  <c r="A410" i="1"/>
  <c r="A421" i="1"/>
  <c r="A413" i="1"/>
  <c r="A432" i="1"/>
  <c r="A424" i="1"/>
  <c r="A416" i="1"/>
  <c r="A408" i="1"/>
  <c r="A433" i="1"/>
  <c r="A429" i="1"/>
  <c r="A425" i="1"/>
  <c r="A417" i="1"/>
  <c r="A409" i="1"/>
  <c r="A428" i="1"/>
  <c r="A420" i="1"/>
  <c r="A412" i="1"/>
  <c r="A423" i="1"/>
  <c r="E398" i="1"/>
  <c r="B398" i="1"/>
  <c r="A336" i="1" a="1"/>
  <c r="A362" i="1" s="1"/>
  <c r="B326" i="1" a="1"/>
  <c r="F326" i="1" s="1"/>
  <c r="B320" i="1"/>
  <c r="B319" i="1"/>
  <c r="A309" i="1" a="1"/>
  <c r="A314" i="1" s="1"/>
  <c r="B298" i="1"/>
  <c r="C304" i="1" s="1"/>
  <c r="A264" i="1" a="1"/>
  <c r="A288" i="1" s="1"/>
  <c r="B254" i="1" a="1"/>
  <c r="E254" i="1" s="1"/>
  <c r="B248" i="1"/>
  <c r="B247" i="1"/>
  <c r="E892" i="1" s="1" a="1"/>
  <c r="A237" i="1" a="1"/>
  <c r="A241" i="1" s="1"/>
  <c r="B226" i="1"/>
  <c r="B224" i="1"/>
  <c r="C458" i="1" l="1"/>
  <c r="H466" i="1" s="1"/>
  <c r="A471" i="1" a="1"/>
  <c r="A476" i="1" s="1"/>
  <c r="F458" i="1"/>
  <c r="J466" i="1" s="1"/>
  <c r="F476" i="1" s="1"/>
  <c r="D454" i="1"/>
  <c r="D465" i="1" s="1"/>
  <c r="D471" i="1" s="1"/>
  <c r="G457" i="1"/>
  <c r="J465" i="1" s="1"/>
  <c r="G475" i="1" s="1"/>
  <c r="G386" i="1"/>
  <c r="J392" i="1" s="1"/>
  <c r="G404" i="1" s="1"/>
  <c r="D599" i="1"/>
  <c r="D608" i="1" s="1"/>
  <c r="D617" i="1" s="1"/>
  <c r="F455" i="1"/>
  <c r="F466" i="1" s="1"/>
  <c r="F473" i="1" s="1"/>
  <c r="D457" i="1"/>
  <c r="H465" i="1" s="1"/>
  <c r="G454" i="1"/>
  <c r="F465" i="1" s="1"/>
  <c r="G472" i="1" s="1"/>
  <c r="F673" i="1"/>
  <c r="J679" i="1" s="1"/>
  <c r="F691" i="1" s="1"/>
  <c r="A273" i="1"/>
  <c r="C619" i="1"/>
  <c r="A289" i="1"/>
  <c r="B381" i="1"/>
  <c r="D390" i="1" s="1"/>
  <c r="C400" i="1" s="1"/>
  <c r="G383" i="1"/>
  <c r="F392" i="1" s="1"/>
  <c r="G401" i="1" s="1"/>
  <c r="F598" i="1"/>
  <c r="F607" i="1" s="1"/>
  <c r="F615" i="1" s="1"/>
  <c r="C673" i="1"/>
  <c r="H679" i="1" s="1"/>
  <c r="B690" i="1" s="1"/>
  <c r="B254" i="1"/>
  <c r="F601" i="1"/>
  <c r="J607" i="1" s="1"/>
  <c r="E618" i="1" s="1"/>
  <c r="B619" i="1"/>
  <c r="D671" i="1"/>
  <c r="D680" i="1" s="1"/>
  <c r="D689" i="1" s="1"/>
  <c r="A277" i="1"/>
  <c r="F386" i="1"/>
  <c r="J394" i="1" s="1"/>
  <c r="F404" i="1" s="1"/>
  <c r="C598" i="1"/>
  <c r="D607" i="1" s="1"/>
  <c r="C615" i="1" s="1"/>
  <c r="B618" i="1"/>
  <c r="J947" i="1"/>
  <c r="I946" i="1"/>
  <c r="G254" i="1"/>
  <c r="I947" i="1"/>
  <c r="J946" i="1"/>
  <c r="F892" i="1"/>
  <c r="E893" i="1"/>
  <c r="E892" i="1"/>
  <c r="F893" i="1"/>
  <c r="C254" i="1"/>
  <c r="A265" i="1"/>
  <c r="A281" i="1"/>
  <c r="D254" i="1"/>
  <c r="A269" i="1"/>
  <c r="A285" i="1"/>
  <c r="E919" i="1" a="1"/>
  <c r="A399" i="1" a="1"/>
  <c r="A403" i="1" s="1"/>
  <c r="A543" i="1" a="1"/>
  <c r="A547" i="1" s="1"/>
  <c r="A270" i="1"/>
  <c r="A278" i="1"/>
  <c r="A286" i="1"/>
  <c r="C301" i="1"/>
  <c r="B309" i="1" s="1"/>
  <c r="D318" i="1" s="1"/>
  <c r="C326" i="1"/>
  <c r="A347" i="1"/>
  <c r="C302" i="1"/>
  <c r="F313" i="1" s="1"/>
  <c r="J319" i="1" s="1"/>
  <c r="D326" i="1"/>
  <c r="B669" i="1"/>
  <c r="D678" i="1" s="1"/>
  <c r="C688" i="1" s="1"/>
  <c r="E669" i="1"/>
  <c r="F678" i="1" s="1"/>
  <c r="E688" i="1" s="1"/>
  <c r="C231" i="1"/>
  <c r="F239" i="1" s="1"/>
  <c r="F250" i="1" s="1"/>
  <c r="F254" i="1"/>
  <c r="A266" i="1"/>
  <c r="A274" i="1"/>
  <c r="A282" i="1"/>
  <c r="A290" i="1"/>
  <c r="C303" i="1"/>
  <c r="F311" i="1" s="1"/>
  <c r="F322" i="1" s="1"/>
  <c r="E329" i="1" s="1"/>
  <c r="C305" i="1"/>
  <c r="D314" i="1" s="1"/>
  <c r="H320" i="1" s="1"/>
  <c r="D332" i="1" s="1"/>
  <c r="G326" i="1"/>
  <c r="G671" i="1"/>
  <c r="F680" i="1" s="1"/>
  <c r="G689" i="1" s="1"/>
  <c r="D674" i="1"/>
  <c r="H680" i="1" s="1"/>
  <c r="D692" i="1" s="1"/>
  <c r="A687" i="1" a="1"/>
  <c r="A689" i="1" s="1"/>
  <c r="C690" i="1"/>
  <c r="F690" i="1"/>
  <c r="E690" i="1"/>
  <c r="C674" i="1"/>
  <c r="H682" i="1" s="1"/>
  <c r="F671" i="1"/>
  <c r="F682" i="1" s="1"/>
  <c r="G673" i="1"/>
  <c r="J681" i="1" s="1"/>
  <c r="D670" i="1"/>
  <c r="D681" i="1" s="1"/>
  <c r="F674" i="1"/>
  <c r="J682" i="1" s="1"/>
  <c r="C671" i="1"/>
  <c r="D682" i="1" s="1"/>
  <c r="D673" i="1"/>
  <c r="H681" i="1" s="1"/>
  <c r="G670" i="1"/>
  <c r="F681" i="1" s="1"/>
  <c r="C602" i="1"/>
  <c r="H610" i="1" s="1"/>
  <c r="F599" i="1"/>
  <c r="F610" i="1" s="1"/>
  <c r="F602" i="1"/>
  <c r="J610" i="1" s="1"/>
  <c r="C599" i="1"/>
  <c r="D610" i="1" s="1"/>
  <c r="D601" i="1"/>
  <c r="H609" i="1" s="1"/>
  <c r="G598" i="1"/>
  <c r="F609" i="1" s="1"/>
  <c r="G601" i="1"/>
  <c r="J609" i="1" s="1"/>
  <c r="D598" i="1"/>
  <c r="D609" i="1" s="1"/>
  <c r="C616" i="1"/>
  <c r="A615" i="1" a="1"/>
  <c r="B528" i="1"/>
  <c r="H534" i="1" s="1"/>
  <c r="B525" i="1"/>
  <c r="D534" i="1" s="1"/>
  <c r="E525" i="1"/>
  <c r="F534" i="1" s="1"/>
  <c r="E528" i="1"/>
  <c r="J534" i="1" s="1"/>
  <c r="F530" i="1"/>
  <c r="J538" i="1" s="1"/>
  <c r="C527" i="1"/>
  <c r="D538" i="1" s="1"/>
  <c r="C530" i="1"/>
  <c r="H538" i="1" s="1"/>
  <c r="F527" i="1"/>
  <c r="F538" i="1" s="1"/>
  <c r="D529" i="1"/>
  <c r="H537" i="1" s="1"/>
  <c r="G526" i="1"/>
  <c r="F537" i="1" s="1"/>
  <c r="D526" i="1"/>
  <c r="D537" i="1" s="1"/>
  <c r="G529" i="1"/>
  <c r="J537" i="1" s="1"/>
  <c r="F529" i="1"/>
  <c r="J535" i="1" s="1"/>
  <c r="C526" i="1"/>
  <c r="D535" i="1" s="1"/>
  <c r="C529" i="1"/>
  <c r="H535" i="1" s="1"/>
  <c r="F526" i="1"/>
  <c r="F535" i="1" s="1"/>
  <c r="D530" i="1"/>
  <c r="H536" i="1" s="1"/>
  <c r="D548" i="1" s="1"/>
  <c r="G527" i="1"/>
  <c r="F536" i="1" s="1"/>
  <c r="G545" i="1" s="1"/>
  <c r="G382" i="1"/>
  <c r="F393" i="1" s="1"/>
  <c r="C386" i="1"/>
  <c r="H394" i="1" s="1"/>
  <c r="D382" i="1"/>
  <c r="D393" i="1" s="1"/>
  <c r="D400" i="1" s="1"/>
  <c r="F382" i="1"/>
  <c r="F391" i="1" s="1"/>
  <c r="C385" i="1"/>
  <c r="H391" i="1" s="1"/>
  <c r="B403" i="1" s="1"/>
  <c r="D385" i="1"/>
  <c r="H393" i="1" s="1"/>
  <c r="D403" i="1" s="1"/>
  <c r="G385" i="1"/>
  <c r="J393" i="1" s="1"/>
  <c r="G403" i="1" s="1"/>
  <c r="C383" i="1"/>
  <c r="D394" i="1" s="1"/>
  <c r="C401" i="1" s="1"/>
  <c r="C457" i="1"/>
  <c r="H463" i="1" s="1"/>
  <c r="C475" i="1" s="1"/>
  <c r="F454" i="1"/>
  <c r="F463" i="1" s="1"/>
  <c r="F471" i="1" s="1"/>
  <c r="C454" i="1"/>
  <c r="D463" i="1" s="1"/>
  <c r="B471" i="1" s="1"/>
  <c r="E476" i="1"/>
  <c r="B474" i="1"/>
  <c r="D458" i="1"/>
  <c r="H464" i="1" s="1"/>
  <c r="G455" i="1"/>
  <c r="F464" i="1" s="1"/>
  <c r="G473" i="1" s="1"/>
  <c r="C476" i="1"/>
  <c r="B476" i="1"/>
  <c r="B473" i="1"/>
  <c r="C473" i="1"/>
  <c r="A472" i="1"/>
  <c r="A475" i="1"/>
  <c r="A471" i="1"/>
  <c r="A474" i="1"/>
  <c r="G458" i="1"/>
  <c r="J464" i="1" s="1"/>
  <c r="G476" i="1" s="1"/>
  <c r="D455" i="1"/>
  <c r="D464" i="1" s="1"/>
  <c r="D473" i="1" s="1"/>
  <c r="E475" i="1"/>
  <c r="F474" i="1"/>
  <c r="F475" i="1"/>
  <c r="E474" i="1"/>
  <c r="E403" i="1"/>
  <c r="F402" i="1"/>
  <c r="E402" i="1"/>
  <c r="F403" i="1"/>
  <c r="E401" i="1"/>
  <c r="F401" i="1"/>
  <c r="E404" i="1"/>
  <c r="A311" i="1"/>
  <c r="C313" i="1"/>
  <c r="H319" i="1" s="1"/>
  <c r="G311" i="1"/>
  <c r="F320" i="1" s="1"/>
  <c r="G329" i="1" s="1"/>
  <c r="G314" i="1"/>
  <c r="J320" i="1" s="1"/>
  <c r="G332" i="1" s="1"/>
  <c r="D311" i="1"/>
  <c r="D320" i="1" s="1"/>
  <c r="D329" i="1" s="1"/>
  <c r="G313" i="1"/>
  <c r="J321" i="1" s="1"/>
  <c r="A339" i="1"/>
  <c r="A343" i="1"/>
  <c r="A351" i="1"/>
  <c r="A355" i="1"/>
  <c r="A359" i="1"/>
  <c r="A340" i="1"/>
  <c r="A348" i="1"/>
  <c r="A356" i="1"/>
  <c r="A309" i="1"/>
  <c r="A313" i="1"/>
  <c r="E326" i="1"/>
  <c r="A341" i="1"/>
  <c r="A349" i="1"/>
  <c r="A357" i="1"/>
  <c r="A312" i="1"/>
  <c r="A336" i="1"/>
  <c r="A344" i="1"/>
  <c r="A352" i="1"/>
  <c r="A360" i="1"/>
  <c r="A337" i="1"/>
  <c r="A345" i="1"/>
  <c r="A353" i="1"/>
  <c r="A361" i="1"/>
  <c r="A310" i="1"/>
  <c r="B326" i="1"/>
  <c r="A338" i="1"/>
  <c r="A342" i="1"/>
  <c r="A346" i="1"/>
  <c r="A350" i="1"/>
  <c r="A354" i="1"/>
  <c r="A358" i="1"/>
  <c r="A242" i="1"/>
  <c r="A238" i="1"/>
  <c r="A240" i="1"/>
  <c r="A267" i="1"/>
  <c r="A271" i="1"/>
  <c r="A275" i="1"/>
  <c r="A279" i="1"/>
  <c r="A283" i="1"/>
  <c r="A287" i="1"/>
  <c r="C232" i="1"/>
  <c r="C229" i="1"/>
  <c r="C233" i="1"/>
  <c r="A239" i="1"/>
  <c r="C230" i="1"/>
  <c r="A237" i="1"/>
  <c r="A264" i="1"/>
  <c r="A268" i="1"/>
  <c r="A272" i="1"/>
  <c r="A276" i="1"/>
  <c r="A280" i="1"/>
  <c r="A284" i="1"/>
  <c r="F616" i="1" l="1"/>
  <c r="E473" i="1"/>
  <c r="C311" i="1"/>
  <c r="D322" i="1" s="1"/>
  <c r="G402" i="1"/>
  <c r="D472" i="1"/>
  <c r="E691" i="1"/>
  <c r="D310" i="1"/>
  <c r="D321" i="1" s="1"/>
  <c r="C403" i="1"/>
  <c r="G474" i="1"/>
  <c r="B402" i="1"/>
  <c r="D399" i="1"/>
  <c r="A473" i="1"/>
  <c r="A401" i="1"/>
  <c r="F619" i="1"/>
  <c r="A548" i="1"/>
  <c r="A545" i="1"/>
  <c r="G471" i="1"/>
  <c r="A400" i="1"/>
  <c r="F618" i="1"/>
  <c r="D241" i="1"/>
  <c r="H249" i="1" s="1"/>
  <c r="D259" i="1" s="1"/>
  <c r="D238" i="1"/>
  <c r="D249" i="1" s="1"/>
  <c r="D255" i="1" s="1"/>
  <c r="E309" i="1"/>
  <c r="F318" i="1" s="1"/>
  <c r="E328" i="1" s="1"/>
  <c r="E616" i="1"/>
  <c r="C242" i="1"/>
  <c r="H250" i="1" s="1"/>
  <c r="C260" i="1" s="1"/>
  <c r="D313" i="1"/>
  <c r="H321" i="1" s="1"/>
  <c r="E615" i="1"/>
  <c r="E687" i="1"/>
  <c r="C239" i="1"/>
  <c r="D250" i="1" s="1"/>
  <c r="D474" i="1"/>
  <c r="D475" i="1"/>
  <c r="B472" i="1"/>
  <c r="F310" i="1"/>
  <c r="F319" i="1" s="1"/>
  <c r="A402" i="1"/>
  <c r="A404" i="1"/>
  <c r="F688" i="1"/>
  <c r="F314" i="1"/>
  <c r="J322" i="1" s="1"/>
  <c r="E332" i="1" s="1"/>
  <c r="F329" i="1"/>
  <c r="C402" i="1"/>
  <c r="A399" i="1"/>
  <c r="C474" i="1"/>
  <c r="C691" i="1"/>
  <c r="A691" i="1"/>
  <c r="A255" i="1" a="1"/>
  <c r="A257" i="1" s="1"/>
  <c r="B399" i="1"/>
  <c r="B400" i="1"/>
  <c r="C399" i="1"/>
  <c r="C310" i="1"/>
  <c r="D319" i="1" s="1"/>
  <c r="C327" i="1" s="1"/>
  <c r="C314" i="1"/>
  <c r="H322" i="1" s="1"/>
  <c r="B332" i="1" s="1"/>
  <c r="G310" i="1"/>
  <c r="F321" i="1" s="1"/>
  <c r="A692" i="1"/>
  <c r="F242" i="1"/>
  <c r="J250" i="1" s="1"/>
  <c r="F260" i="1" s="1"/>
  <c r="B312" i="1"/>
  <c r="H318" i="1" s="1"/>
  <c r="C331" i="1" s="1"/>
  <c r="C472" i="1"/>
  <c r="A546" i="1"/>
  <c r="A543" i="1"/>
  <c r="E619" i="1"/>
  <c r="I892" i="1"/>
  <c r="J893" i="1"/>
  <c r="F952" i="1" a="1"/>
  <c r="B615" i="1"/>
  <c r="B616" i="1"/>
  <c r="I893" i="1"/>
  <c r="J892" i="1"/>
  <c r="G241" i="1"/>
  <c r="J249" i="1" s="1"/>
  <c r="G259" i="1" s="1"/>
  <c r="G238" i="1"/>
  <c r="F249" i="1" s="1"/>
  <c r="G255" i="1" s="1"/>
  <c r="E312" i="1"/>
  <c r="J318" i="1" s="1"/>
  <c r="E330" i="1" s="1"/>
  <c r="A544" i="1"/>
  <c r="A690" i="1"/>
  <c r="E919" i="1"/>
  <c r="F920" i="1"/>
  <c r="E920" i="1"/>
  <c r="F919" i="1"/>
  <c r="D258" i="1"/>
  <c r="E472" i="1"/>
  <c r="C687" i="1"/>
  <c r="B688" i="1"/>
  <c r="C257" i="1"/>
  <c r="B257" i="1"/>
  <c r="D402" i="1"/>
  <c r="F472" i="1"/>
  <c r="B687" i="1"/>
  <c r="E471" i="1"/>
  <c r="F687" i="1"/>
  <c r="Q423" i="1" a="1"/>
  <c r="S425" i="1" s="1"/>
  <c r="E257" i="1"/>
  <c r="F257" i="1"/>
  <c r="A688" i="1"/>
  <c r="B691" i="1"/>
  <c r="A687" i="1"/>
  <c r="D690" i="1"/>
  <c r="D691" i="1"/>
  <c r="B689" i="1"/>
  <c r="C689" i="1"/>
  <c r="F689" i="1"/>
  <c r="E689" i="1"/>
  <c r="F692" i="1"/>
  <c r="E692" i="1"/>
  <c r="C692" i="1"/>
  <c r="B692" i="1"/>
  <c r="G690" i="1"/>
  <c r="G691" i="1"/>
  <c r="G688" i="1"/>
  <c r="G687" i="1"/>
  <c r="D688" i="1"/>
  <c r="D687" i="1"/>
  <c r="G619" i="1"/>
  <c r="G618" i="1"/>
  <c r="E620" i="1"/>
  <c r="F620" i="1"/>
  <c r="G615" i="1"/>
  <c r="G616" i="1"/>
  <c r="F617" i="1"/>
  <c r="E617" i="1"/>
  <c r="A617" i="1"/>
  <c r="A618" i="1"/>
  <c r="A620" i="1"/>
  <c r="A616" i="1"/>
  <c r="A619" i="1"/>
  <c r="A615" i="1"/>
  <c r="D618" i="1"/>
  <c r="D619" i="1"/>
  <c r="C620" i="1"/>
  <c r="B620" i="1"/>
  <c r="D616" i="1"/>
  <c r="D615" i="1"/>
  <c r="B617" i="1"/>
  <c r="C617" i="1"/>
  <c r="B545" i="1"/>
  <c r="C545" i="1"/>
  <c r="F548" i="1"/>
  <c r="E548" i="1"/>
  <c r="G546" i="1"/>
  <c r="G547" i="1"/>
  <c r="F545" i="1"/>
  <c r="E545" i="1"/>
  <c r="F546" i="1"/>
  <c r="F547" i="1"/>
  <c r="E547" i="1"/>
  <c r="E546" i="1"/>
  <c r="G544" i="1"/>
  <c r="G543" i="1"/>
  <c r="B544" i="1"/>
  <c r="B543" i="1"/>
  <c r="C544" i="1"/>
  <c r="C543" i="1"/>
  <c r="D547" i="1"/>
  <c r="D546" i="1"/>
  <c r="B546" i="1"/>
  <c r="C547" i="1"/>
  <c r="C546" i="1"/>
  <c r="B547" i="1"/>
  <c r="D543" i="1"/>
  <c r="D544" i="1"/>
  <c r="B548" i="1"/>
  <c r="C548" i="1"/>
  <c r="F544" i="1"/>
  <c r="F543" i="1"/>
  <c r="E543" i="1"/>
  <c r="E544" i="1"/>
  <c r="B401" i="1"/>
  <c r="E400" i="1"/>
  <c r="F400" i="1"/>
  <c r="E399" i="1"/>
  <c r="F399" i="1"/>
  <c r="C404" i="1"/>
  <c r="B404" i="1"/>
  <c r="G400" i="1"/>
  <c r="G399" i="1"/>
  <c r="C471" i="1"/>
  <c r="D476" i="1"/>
  <c r="B475" i="1"/>
  <c r="A327" i="1" a="1"/>
  <c r="A332" i="1" s="1"/>
  <c r="C330" i="1"/>
  <c r="B330" i="1"/>
  <c r="G330" i="1"/>
  <c r="G331" i="1"/>
  <c r="F332" i="1"/>
  <c r="D331" i="1"/>
  <c r="D330" i="1"/>
  <c r="D327" i="1"/>
  <c r="D328" i="1"/>
  <c r="C329" i="1"/>
  <c r="B329" i="1"/>
  <c r="B331" i="1"/>
  <c r="G328" i="1"/>
  <c r="G327" i="1"/>
  <c r="D242" i="1"/>
  <c r="H248" i="1" s="1"/>
  <c r="D260" i="1" s="1"/>
  <c r="G239" i="1"/>
  <c r="F248" i="1" s="1"/>
  <c r="G257" i="1" s="1"/>
  <c r="B240" i="1"/>
  <c r="H246" i="1" s="1"/>
  <c r="B237" i="1"/>
  <c r="D246" i="1" s="1"/>
  <c r="E240" i="1"/>
  <c r="J246" i="1" s="1"/>
  <c r="E237" i="1"/>
  <c r="F246" i="1" s="1"/>
  <c r="F241" i="1"/>
  <c r="J247" i="1" s="1"/>
  <c r="C238" i="1"/>
  <c r="D247" i="1" s="1"/>
  <c r="C241" i="1"/>
  <c r="H247" i="1" s="1"/>
  <c r="B259" i="1" s="1"/>
  <c r="F238" i="1"/>
  <c r="F247" i="1" s="1"/>
  <c r="G242" i="1"/>
  <c r="J248" i="1" s="1"/>
  <c r="G260" i="1" s="1"/>
  <c r="D239" i="1"/>
  <c r="D248" i="1" s="1"/>
  <c r="D257" i="1" s="1"/>
  <c r="C332" i="1" l="1"/>
  <c r="D256" i="1"/>
  <c r="E327" i="1"/>
  <c r="B260" i="1"/>
  <c r="F328" i="1"/>
  <c r="N339" i="1" s="1" a="1"/>
  <c r="G256" i="1"/>
  <c r="G258" i="1"/>
  <c r="F327" i="1"/>
  <c r="A259" i="1"/>
  <c r="S424" i="1"/>
  <c r="A258" i="1"/>
  <c r="B328" i="1"/>
  <c r="A255" i="1"/>
  <c r="B327" i="1"/>
  <c r="C328" i="1"/>
  <c r="E260" i="1"/>
  <c r="A256" i="1"/>
  <c r="E331" i="1"/>
  <c r="A260" i="1"/>
  <c r="F925" i="1" a="1"/>
  <c r="F331" i="1"/>
  <c r="F952" i="1"/>
  <c r="K958" i="1"/>
  <c r="G954" i="1"/>
  <c r="H956" i="1"/>
  <c r="H952" i="1"/>
  <c r="K956" i="1"/>
  <c r="I954" i="1"/>
  <c r="G952" i="1"/>
  <c r="K954" i="1"/>
  <c r="L956" i="1"/>
  <c r="L958" i="1"/>
  <c r="J956" i="1"/>
  <c r="H954" i="1"/>
  <c r="I953" i="1"/>
  <c r="J957" i="1"/>
  <c r="F953" i="1"/>
  <c r="K955" i="1"/>
  <c r="I958" i="1"/>
  <c r="G956" i="1"/>
  <c r="L953" i="1"/>
  <c r="G958" i="1"/>
  <c r="J953" i="1"/>
  <c r="G955" i="1"/>
  <c r="H958" i="1"/>
  <c r="F956" i="1"/>
  <c r="K953" i="1"/>
  <c r="I956" i="1"/>
  <c r="J958" i="1"/>
  <c r="J954" i="1"/>
  <c r="L957" i="1"/>
  <c r="J955" i="1"/>
  <c r="H953" i="1"/>
  <c r="F957" i="1"/>
  <c r="I952" i="1"/>
  <c r="F954" i="1"/>
  <c r="K957" i="1"/>
  <c r="I955" i="1"/>
  <c r="G953" i="1"/>
  <c r="H955" i="1"/>
  <c r="I957" i="1"/>
  <c r="H957" i="1"/>
  <c r="F955" i="1"/>
  <c r="K952" i="1"/>
  <c r="L955" i="1"/>
  <c r="F958" i="1"/>
  <c r="L952" i="1"/>
  <c r="G957" i="1"/>
  <c r="L954" i="1"/>
  <c r="J952" i="1"/>
  <c r="J920" i="1"/>
  <c r="I919" i="1"/>
  <c r="F330" i="1"/>
  <c r="B480" i="1" a="1"/>
  <c r="F485" i="1" s="1"/>
  <c r="K633" i="1" a="1"/>
  <c r="L638" i="1" s="1"/>
  <c r="J919" i="1"/>
  <c r="I920" i="1"/>
  <c r="Q423" i="1"/>
  <c r="F898" i="1" a="1"/>
  <c r="E482" i="1"/>
  <c r="F482" i="1"/>
  <c r="B258" i="1"/>
  <c r="C258" i="1"/>
  <c r="C259" i="1"/>
  <c r="Q425" i="1"/>
  <c r="Q414" i="1" a="1"/>
  <c r="S414" i="1" s="1"/>
  <c r="E555" i="1" a="1"/>
  <c r="J558" i="1" s="1"/>
  <c r="R423" i="1"/>
  <c r="Q424" i="1"/>
  <c r="B256" i="1"/>
  <c r="C255" i="1"/>
  <c r="C256" i="1"/>
  <c r="B255" i="1"/>
  <c r="N708" i="1" a="1"/>
  <c r="F256" i="1"/>
  <c r="E255" i="1"/>
  <c r="E256" i="1"/>
  <c r="F255" i="1"/>
  <c r="F258" i="1"/>
  <c r="E258" i="1"/>
  <c r="E259" i="1"/>
  <c r="F259" i="1"/>
  <c r="E348" i="1" a="1"/>
  <c r="R415" i="1"/>
  <c r="H414" i="1" a="1"/>
  <c r="S423" i="1"/>
  <c r="R424" i="1"/>
  <c r="R425" i="1"/>
  <c r="H423" i="1" a="1"/>
  <c r="I425" i="1" s="1"/>
  <c r="A330" i="1"/>
  <c r="A327" i="1"/>
  <c r="A329" i="1"/>
  <c r="A328" i="1"/>
  <c r="A331" i="1"/>
  <c r="E339" i="1" l="1" a="1"/>
  <c r="E340" i="1" s="1"/>
  <c r="N348" i="1" a="1"/>
  <c r="O350" i="1" s="1"/>
  <c r="D483" i="1"/>
  <c r="D482" i="1"/>
  <c r="E484" i="1"/>
  <c r="E481" i="1"/>
  <c r="D481" i="1"/>
  <c r="F483" i="1"/>
  <c r="E483" i="1"/>
  <c r="E485" i="1"/>
  <c r="F484" i="1"/>
  <c r="E480" i="1"/>
  <c r="D480" i="1"/>
  <c r="D485" i="1"/>
  <c r="C485" i="1"/>
  <c r="F481" i="1"/>
  <c r="R414" i="1"/>
  <c r="D484" i="1"/>
  <c r="F480" i="1"/>
  <c r="C484" i="1"/>
  <c r="C483" i="1"/>
  <c r="C482" i="1"/>
  <c r="C481" i="1"/>
  <c r="C480" i="1"/>
  <c r="B485" i="1"/>
  <c r="B484" i="1"/>
  <c r="B483" i="1"/>
  <c r="B480" i="1"/>
  <c r="B482" i="1"/>
  <c r="B481" i="1"/>
  <c r="G485" i="1"/>
  <c r="G484" i="1"/>
  <c r="G483" i="1"/>
  <c r="G482" i="1"/>
  <c r="G481" i="1"/>
  <c r="G480" i="1"/>
  <c r="O638" i="1"/>
  <c r="M638" i="1"/>
  <c r="N634" i="1"/>
  <c r="P638" i="1"/>
  <c r="N635" i="1"/>
  <c r="J557" i="1"/>
  <c r="J560" i="1"/>
  <c r="E558" i="1"/>
  <c r="F339" i="1"/>
  <c r="L635" i="1"/>
  <c r="K635" i="1"/>
  <c r="N638" i="1"/>
  <c r="P633" i="1"/>
  <c r="O633" i="1"/>
  <c r="L637" i="1"/>
  <c r="P634" i="1"/>
  <c r="L636" i="1"/>
  <c r="K633" i="1"/>
  <c r="F560" i="1"/>
  <c r="H556" i="1"/>
  <c r="E556" i="1"/>
  <c r="E559" i="1"/>
  <c r="I557" i="1"/>
  <c r="J559" i="1"/>
  <c r="E555" i="1"/>
  <c r="G557" i="1"/>
  <c r="F559" i="1"/>
  <c r="F555" i="1"/>
  <c r="J555" i="1"/>
  <c r="G560" i="1"/>
  <c r="G559" i="1"/>
  <c r="H558" i="1"/>
  <c r="I559" i="1"/>
  <c r="I556" i="1"/>
  <c r="I555" i="1"/>
  <c r="H560" i="1"/>
  <c r="G555" i="1"/>
  <c r="E560" i="1"/>
  <c r="F556" i="1"/>
  <c r="S415" i="1"/>
  <c r="M634" i="1"/>
  <c r="P637" i="1"/>
  <c r="O637" i="1"/>
  <c r="K636" i="1"/>
  <c r="N636" i="1"/>
  <c r="M636" i="1"/>
  <c r="O634" i="1"/>
  <c r="P636" i="1"/>
  <c r="N633" i="1"/>
  <c r="F898" i="1"/>
  <c r="G904" i="1"/>
  <c r="J899" i="1"/>
  <c r="H902" i="1"/>
  <c r="H898" i="1"/>
  <c r="K902" i="1"/>
  <c r="I900" i="1"/>
  <c r="G898" i="1"/>
  <c r="H901" i="1"/>
  <c r="L902" i="1"/>
  <c r="L904" i="1"/>
  <c r="J902" i="1"/>
  <c r="H900" i="1"/>
  <c r="K900" i="1"/>
  <c r="K898" i="1"/>
  <c r="I902" i="1"/>
  <c r="F904" i="1"/>
  <c r="L898" i="1"/>
  <c r="F903" i="1"/>
  <c r="I898" i="1"/>
  <c r="G901" i="1"/>
  <c r="I904" i="1"/>
  <c r="G902" i="1"/>
  <c r="L899" i="1"/>
  <c r="K904" i="1"/>
  <c r="G900" i="1"/>
  <c r="K901" i="1"/>
  <c r="H904" i="1"/>
  <c r="F902" i="1"/>
  <c r="K899" i="1"/>
  <c r="H903" i="1"/>
  <c r="L901" i="1"/>
  <c r="J904" i="1"/>
  <c r="F900" i="1"/>
  <c r="L903" i="1"/>
  <c r="J901" i="1"/>
  <c r="H899" i="1"/>
  <c r="J903" i="1"/>
  <c r="F899" i="1"/>
  <c r="J900" i="1"/>
  <c r="K903" i="1"/>
  <c r="I901" i="1"/>
  <c r="G899" i="1"/>
  <c r="I903" i="1"/>
  <c r="I899" i="1"/>
  <c r="L900" i="1"/>
  <c r="G903" i="1"/>
  <c r="J898" i="1"/>
  <c r="F901" i="1"/>
  <c r="G556" i="1"/>
  <c r="F558" i="1"/>
  <c r="K638" i="1"/>
  <c r="P635" i="1"/>
  <c r="O636" i="1"/>
  <c r="N637" i="1"/>
  <c r="E557" i="1"/>
  <c r="H559" i="1"/>
  <c r="I560" i="1"/>
  <c r="I558" i="1"/>
  <c r="H555" i="1"/>
  <c r="G558" i="1"/>
  <c r="J556" i="1"/>
  <c r="H557" i="1"/>
  <c r="F557" i="1"/>
  <c r="E341" i="1"/>
  <c r="K637" i="1"/>
  <c r="M635" i="1"/>
  <c r="L633" i="1"/>
  <c r="O635" i="1"/>
  <c r="M633" i="1"/>
  <c r="K634" i="1"/>
  <c r="M637" i="1"/>
  <c r="L634" i="1"/>
  <c r="F925" i="1"/>
  <c r="K927" i="1"/>
  <c r="I930" i="1"/>
  <c r="I926" i="1"/>
  <c r="H930" i="1"/>
  <c r="F928" i="1"/>
  <c r="K925" i="1"/>
  <c r="I929" i="1"/>
  <c r="F931" i="1"/>
  <c r="L925" i="1"/>
  <c r="G930" i="1"/>
  <c r="L927" i="1"/>
  <c r="J925" i="1"/>
  <c r="J928" i="1"/>
  <c r="F927" i="1"/>
  <c r="I928" i="1"/>
  <c r="K931" i="1"/>
  <c r="J926" i="1"/>
  <c r="H929" i="1"/>
  <c r="H925" i="1"/>
  <c r="K929" i="1"/>
  <c r="I927" i="1"/>
  <c r="G925" i="1"/>
  <c r="H928" i="1"/>
  <c r="L929" i="1"/>
  <c r="L931" i="1"/>
  <c r="J929" i="1"/>
  <c r="H927" i="1"/>
  <c r="F930" i="1"/>
  <c r="F926" i="1"/>
  <c r="K928" i="1"/>
  <c r="I931" i="1"/>
  <c r="G929" i="1"/>
  <c r="L926" i="1"/>
  <c r="G931" i="1"/>
  <c r="G927" i="1"/>
  <c r="G928" i="1"/>
  <c r="H931" i="1"/>
  <c r="F929" i="1"/>
  <c r="K926" i="1"/>
  <c r="L928" i="1"/>
  <c r="J931" i="1"/>
  <c r="J927" i="1"/>
  <c r="L930" i="1"/>
  <c r="H926" i="1"/>
  <c r="J930" i="1"/>
  <c r="I925" i="1"/>
  <c r="K930" i="1"/>
  <c r="G926" i="1"/>
  <c r="N339" i="1"/>
  <c r="P340" i="1"/>
  <c r="P341" i="1"/>
  <c r="P339" i="1"/>
  <c r="O339" i="1"/>
  <c r="O340" i="1"/>
  <c r="O341" i="1"/>
  <c r="N340" i="1"/>
  <c r="N341" i="1"/>
  <c r="N708" i="1"/>
  <c r="S709" i="1"/>
  <c r="Q712" i="1"/>
  <c r="S713" i="1"/>
  <c r="Q708" i="1"/>
  <c r="Q710" i="1"/>
  <c r="N713" i="1"/>
  <c r="N709" i="1"/>
  <c r="O711" i="1"/>
  <c r="O713" i="1"/>
  <c r="O709" i="1"/>
  <c r="S711" i="1"/>
  <c r="R713" i="1"/>
  <c r="R711" i="1"/>
  <c r="P708" i="1"/>
  <c r="Q711" i="1"/>
  <c r="S708" i="1"/>
  <c r="N712" i="1"/>
  <c r="P709" i="1"/>
  <c r="N711" i="1"/>
  <c r="Q713" i="1"/>
  <c r="S710" i="1"/>
  <c r="O708" i="1"/>
  <c r="P711" i="1"/>
  <c r="R708" i="1"/>
  <c r="P710" i="1"/>
  <c r="S712" i="1"/>
  <c r="O710" i="1"/>
  <c r="P713" i="1"/>
  <c r="R710" i="1"/>
  <c r="P712" i="1"/>
  <c r="R709" i="1"/>
  <c r="O712" i="1"/>
  <c r="Q709" i="1"/>
  <c r="R712" i="1"/>
  <c r="N710" i="1"/>
  <c r="B273" i="1" a="1"/>
  <c r="J425" i="1"/>
  <c r="J424" i="1"/>
  <c r="H423" i="1"/>
  <c r="I423" i="1"/>
  <c r="H424" i="1"/>
  <c r="I424" i="1"/>
  <c r="H425" i="1"/>
  <c r="B264" i="1" a="1"/>
  <c r="J423" i="1"/>
  <c r="S416" i="1"/>
  <c r="R416" i="1"/>
  <c r="Q416" i="1"/>
  <c r="Q415" i="1"/>
  <c r="J416" i="1"/>
  <c r="J415" i="1"/>
  <c r="J414" i="1"/>
  <c r="H414" i="1"/>
  <c r="I415" i="1"/>
  <c r="I414" i="1"/>
  <c r="I416" i="1"/>
  <c r="H415" i="1"/>
  <c r="E348" i="1"/>
  <c r="E350" i="1"/>
  <c r="G350" i="1"/>
  <c r="F348" i="1"/>
  <c r="G348" i="1"/>
  <c r="F349" i="1"/>
  <c r="F350" i="1"/>
  <c r="G349" i="1"/>
  <c r="E349" i="1"/>
  <c r="K273" i="1" a="1"/>
  <c r="K264" i="1" a="1"/>
  <c r="Q414" i="1"/>
  <c r="H416" i="1"/>
  <c r="B152" i="1"/>
  <c r="A192" i="1" a="1"/>
  <c r="A216" i="1" s="1"/>
  <c r="B182" i="1" a="1"/>
  <c r="E182" i="1" s="1"/>
  <c r="B176" i="1"/>
  <c r="B175" i="1"/>
  <c r="A165" i="1" a="1"/>
  <c r="A170" i="1" s="1"/>
  <c r="B154" i="1"/>
  <c r="C157" i="1" s="1"/>
  <c r="B110" i="1" a="1"/>
  <c r="E110" i="1" s="1"/>
  <c r="A93" i="1" a="1"/>
  <c r="A96" i="1" s="1"/>
  <c r="O349" i="1" l="1"/>
  <c r="O348" i="1"/>
  <c r="N350" i="1"/>
  <c r="G339" i="1"/>
  <c r="P350" i="1"/>
  <c r="F341" i="1"/>
  <c r="P349" i="1"/>
  <c r="E339" i="1"/>
  <c r="G340" i="1"/>
  <c r="N348" i="1"/>
  <c r="G341" i="1"/>
  <c r="F340" i="1"/>
  <c r="P348" i="1"/>
  <c r="N349" i="1"/>
  <c r="E865" i="1" a="1"/>
  <c r="F865" i="1" s="1"/>
  <c r="E165" i="1"/>
  <c r="F174" i="1" s="1"/>
  <c r="B168" i="1"/>
  <c r="H174" i="1" s="1"/>
  <c r="E168" i="1"/>
  <c r="J174" i="1" s="1"/>
  <c r="C110" i="1"/>
  <c r="B110" i="1"/>
  <c r="C161" i="1"/>
  <c r="G167" i="1" s="1"/>
  <c r="F176" i="1" s="1"/>
  <c r="K264" i="1"/>
  <c r="K265" i="1"/>
  <c r="L266" i="1"/>
  <c r="M265" i="1"/>
  <c r="L265" i="1"/>
  <c r="L264" i="1"/>
  <c r="M266" i="1"/>
  <c r="K266" i="1"/>
  <c r="M264" i="1"/>
  <c r="K273" i="1"/>
  <c r="L275" i="1"/>
  <c r="K274" i="1"/>
  <c r="M274" i="1"/>
  <c r="L274" i="1"/>
  <c r="M275" i="1"/>
  <c r="L273" i="1"/>
  <c r="K275" i="1"/>
  <c r="M273" i="1"/>
  <c r="B264" i="1"/>
  <c r="B265" i="1"/>
  <c r="C265" i="1"/>
  <c r="B266" i="1"/>
  <c r="D266" i="1"/>
  <c r="D265" i="1"/>
  <c r="C266" i="1"/>
  <c r="D264" i="1"/>
  <c r="C264" i="1"/>
  <c r="B273" i="1"/>
  <c r="B274" i="1"/>
  <c r="C275" i="1"/>
  <c r="D273" i="1"/>
  <c r="B275" i="1"/>
  <c r="D275" i="1"/>
  <c r="C273" i="1"/>
  <c r="D274" i="1"/>
  <c r="C274" i="1"/>
  <c r="D110" i="1"/>
  <c r="C159" i="1"/>
  <c r="C170" i="1" s="1"/>
  <c r="H178" i="1" s="1"/>
  <c r="A165" i="1"/>
  <c r="A166" i="1"/>
  <c r="B182" i="1"/>
  <c r="A193" i="1"/>
  <c r="A205" i="1"/>
  <c r="A217" i="1"/>
  <c r="A167" i="1"/>
  <c r="C182" i="1"/>
  <c r="A194" i="1"/>
  <c r="A206" i="1"/>
  <c r="A218" i="1"/>
  <c r="A168" i="1"/>
  <c r="D182" i="1"/>
  <c r="A195" i="1"/>
  <c r="A196" i="1"/>
  <c r="A208" i="1"/>
  <c r="A169" i="1"/>
  <c r="F182" i="1"/>
  <c r="A197" i="1"/>
  <c r="A209" i="1"/>
  <c r="G182" i="1"/>
  <c r="A198" i="1"/>
  <c r="A210" i="1"/>
  <c r="A207" i="1"/>
  <c r="B165" i="1"/>
  <c r="D174" i="1" s="1"/>
  <c r="C158" i="1"/>
  <c r="A199" i="1"/>
  <c r="A211" i="1"/>
  <c r="A200" i="1"/>
  <c r="A212" i="1"/>
  <c r="A201" i="1"/>
  <c r="A213" i="1"/>
  <c r="C160" i="1"/>
  <c r="A202" i="1"/>
  <c r="A214" i="1"/>
  <c r="A203" i="1"/>
  <c r="A215" i="1"/>
  <c r="A192" i="1"/>
  <c r="A204" i="1"/>
  <c r="G110" i="1"/>
  <c r="F110" i="1"/>
  <c r="A95" i="1"/>
  <c r="A94" i="1"/>
  <c r="A93" i="1"/>
  <c r="A98" i="1"/>
  <c r="A97" i="1"/>
  <c r="F866" i="1" l="1"/>
  <c r="E865" i="1"/>
  <c r="E866" i="1"/>
  <c r="D170" i="1"/>
  <c r="H176" i="1" s="1"/>
  <c r="I866" i="1"/>
  <c r="J865" i="1"/>
  <c r="I865" i="1"/>
  <c r="J866" i="1"/>
  <c r="A183" i="1" a="1"/>
  <c r="A187" i="1" s="1"/>
  <c r="G169" i="1"/>
  <c r="J177" i="1" s="1"/>
  <c r="D183" i="1" s="1"/>
  <c r="C167" i="1"/>
  <c r="D178" i="1" s="1"/>
  <c r="F170" i="1"/>
  <c r="J178" i="1" s="1"/>
  <c r="B185" i="1" s="1"/>
  <c r="D166" i="1"/>
  <c r="D177" i="1" s="1"/>
  <c r="G166" i="1"/>
  <c r="F177" i="1" s="1"/>
  <c r="F167" i="1"/>
  <c r="F178" i="1" s="1"/>
  <c r="D169" i="1"/>
  <c r="H177" i="1" s="1"/>
  <c r="G170" i="1"/>
  <c r="J176" i="1" s="1"/>
  <c r="D185" i="1" s="1"/>
  <c r="D167" i="1"/>
  <c r="D176" i="1" s="1"/>
  <c r="F166" i="1"/>
  <c r="F175" i="1" s="1"/>
  <c r="F169" i="1"/>
  <c r="J175" i="1" s="1"/>
  <c r="C184" i="1" s="1"/>
  <c r="C166" i="1"/>
  <c r="D175" i="1" s="1"/>
  <c r="C169" i="1"/>
  <c r="H175" i="1" s="1"/>
  <c r="D872" i="1" l="1" a="1"/>
  <c r="D872" i="1" s="1"/>
  <c r="F871" i="1" a="1"/>
  <c r="B183" i="1"/>
  <c r="C183" i="1"/>
  <c r="B184" i="1"/>
  <c r="C185" i="1"/>
  <c r="D184" i="1"/>
  <c r="A186" i="1"/>
  <c r="A185" i="1"/>
  <c r="A188" i="1"/>
  <c r="A183" i="1"/>
  <c r="A184" i="1"/>
  <c r="D874" i="1" l="1"/>
  <c r="D873" i="1"/>
  <c r="G871" i="1"/>
  <c r="J877" i="1"/>
  <c r="H875" i="1"/>
  <c r="F873" i="1"/>
  <c r="L877" i="1"/>
  <c r="J875" i="1"/>
  <c r="H873" i="1"/>
  <c r="F871" i="1"/>
  <c r="F876" i="1"/>
  <c r="K873" i="1"/>
  <c r="I871" i="1"/>
  <c r="K875" i="1"/>
  <c r="I873" i="1"/>
  <c r="F877" i="1"/>
  <c r="K874" i="1"/>
  <c r="I872" i="1"/>
  <c r="H877" i="1"/>
  <c r="F875" i="1"/>
  <c r="K872" i="1"/>
  <c r="K877" i="1"/>
  <c r="I875" i="1"/>
  <c r="G873" i="1"/>
  <c r="I877" i="1"/>
  <c r="G875" i="1"/>
  <c r="L872" i="1"/>
  <c r="I876" i="1"/>
  <c r="G874" i="1"/>
  <c r="L871" i="1"/>
  <c r="K876" i="1"/>
  <c r="I874" i="1"/>
  <c r="G872" i="1"/>
  <c r="G877" i="1"/>
  <c r="L874" i="1"/>
  <c r="J872" i="1"/>
  <c r="L876" i="1"/>
  <c r="J874" i="1"/>
  <c r="H872" i="1"/>
  <c r="G876" i="1"/>
  <c r="H874" i="1"/>
  <c r="K871" i="1"/>
  <c r="J876" i="1"/>
  <c r="L875" i="1"/>
  <c r="L873" i="1"/>
  <c r="F872" i="1"/>
  <c r="H871" i="1"/>
  <c r="F874" i="1"/>
  <c r="J873" i="1"/>
  <c r="J871" i="1"/>
  <c r="H876" i="1"/>
  <c r="H198" i="1" a="1"/>
  <c r="I200" i="1" s="1"/>
  <c r="A120" i="1" a="1"/>
  <c r="A145" i="1" s="1"/>
  <c r="A111" i="1" a="1"/>
  <c r="A116" i="1" s="1"/>
  <c r="B104" i="1"/>
  <c r="B103" i="1"/>
  <c r="E838" i="1" s="1" a="1"/>
  <c r="B82" i="1"/>
  <c r="B80" i="1"/>
  <c r="A48" i="1" a="1"/>
  <c r="A74" i="1" s="1"/>
  <c r="A39" i="1" a="1"/>
  <c r="A41" i="1" s="1"/>
  <c r="B32" i="1"/>
  <c r="B31" i="1"/>
  <c r="B10" i="1"/>
  <c r="B8" i="1"/>
  <c r="C87" i="1" l="1"/>
  <c r="G94" i="1" s="1"/>
  <c r="F105" i="1" s="1"/>
  <c r="C15" i="1"/>
  <c r="G25" i="1" s="1"/>
  <c r="J33" i="1" s="1"/>
  <c r="C14" i="1"/>
  <c r="C25" i="1" s="1"/>
  <c r="H31" i="1" s="1"/>
  <c r="E838" i="1"/>
  <c r="F839" i="1"/>
  <c r="E839" i="1"/>
  <c r="F838" i="1"/>
  <c r="E811" i="1" a="1"/>
  <c r="D25" i="1"/>
  <c r="H33" i="1" s="1"/>
  <c r="G22" i="1"/>
  <c r="F33" i="1" s="1"/>
  <c r="C26" i="1"/>
  <c r="H34" i="1" s="1"/>
  <c r="F23" i="1"/>
  <c r="F34" i="1" s="1"/>
  <c r="F26" i="1"/>
  <c r="J34" i="1" s="1"/>
  <c r="C23" i="1"/>
  <c r="D34" i="1" s="1"/>
  <c r="C16" i="1"/>
  <c r="A126" i="1"/>
  <c r="A142" i="1"/>
  <c r="J199" i="1"/>
  <c r="C13" i="1"/>
  <c r="C17" i="1"/>
  <c r="C86" i="1"/>
  <c r="C97" i="1" s="1"/>
  <c r="H103" i="1" s="1"/>
  <c r="A130" i="1"/>
  <c r="A146" i="1"/>
  <c r="A134" i="1"/>
  <c r="I199" i="1"/>
  <c r="J200" i="1"/>
  <c r="J198" i="1"/>
  <c r="H200" i="1"/>
  <c r="I198" i="1"/>
  <c r="A122" i="1"/>
  <c r="A138" i="1"/>
  <c r="H198" i="1"/>
  <c r="H199" i="1"/>
  <c r="A113" i="1"/>
  <c r="C98" i="1"/>
  <c r="H106" i="1" s="1"/>
  <c r="F95" i="1"/>
  <c r="F106" i="1" s="1"/>
  <c r="G97" i="1"/>
  <c r="J105" i="1" s="1"/>
  <c r="D94" i="1"/>
  <c r="D105" i="1" s="1"/>
  <c r="F98" i="1"/>
  <c r="J106" i="1" s="1"/>
  <c r="C95" i="1"/>
  <c r="D106" i="1" s="1"/>
  <c r="D97" i="1"/>
  <c r="H105" i="1" s="1"/>
  <c r="C88" i="1"/>
  <c r="A114" i="1"/>
  <c r="A123" i="1"/>
  <c r="A127" i="1"/>
  <c r="A131" i="1"/>
  <c r="A135" i="1"/>
  <c r="A139" i="1"/>
  <c r="A143" i="1"/>
  <c r="C85" i="1"/>
  <c r="C89" i="1"/>
  <c r="A111" i="1"/>
  <c r="A115" i="1"/>
  <c r="A120" i="1"/>
  <c r="A124" i="1"/>
  <c r="A128" i="1"/>
  <c r="A132" i="1"/>
  <c r="A136" i="1"/>
  <c r="A140" i="1"/>
  <c r="A144" i="1"/>
  <c r="A112" i="1"/>
  <c r="A121" i="1"/>
  <c r="A125" i="1"/>
  <c r="A129" i="1"/>
  <c r="A133" i="1"/>
  <c r="A137" i="1"/>
  <c r="A141" i="1"/>
  <c r="A55" i="1"/>
  <c r="A63" i="1"/>
  <c r="A71" i="1"/>
  <c r="A52" i="1"/>
  <c r="A56" i="1"/>
  <c r="A60" i="1"/>
  <c r="A64" i="1"/>
  <c r="A68" i="1"/>
  <c r="A72" i="1"/>
  <c r="A49" i="1"/>
  <c r="A53" i="1"/>
  <c r="A57" i="1"/>
  <c r="A61" i="1"/>
  <c r="A65" i="1"/>
  <c r="A69" i="1"/>
  <c r="A73" i="1"/>
  <c r="A51" i="1"/>
  <c r="A59" i="1"/>
  <c r="A67" i="1"/>
  <c r="A48" i="1"/>
  <c r="A50" i="1"/>
  <c r="A54" i="1"/>
  <c r="A58" i="1"/>
  <c r="A62" i="1"/>
  <c r="A66" i="1"/>
  <c r="A70" i="1"/>
  <c r="A39" i="1"/>
  <c r="A43" i="1"/>
  <c r="A42" i="1"/>
  <c r="A40" i="1"/>
  <c r="A44" i="1"/>
  <c r="F22" i="1" l="1"/>
  <c r="F31" i="1" s="1"/>
  <c r="D22" i="1"/>
  <c r="D33" i="1" s="1"/>
  <c r="F97" i="1"/>
  <c r="J103" i="1" s="1"/>
  <c r="C94" i="1"/>
  <c r="D103" i="1" s="1"/>
  <c r="F94" i="1"/>
  <c r="F103" i="1" s="1"/>
  <c r="F25" i="1"/>
  <c r="J31" i="1" s="1"/>
  <c r="I839" i="1"/>
  <c r="J838" i="1"/>
  <c r="C22" i="1"/>
  <c r="D31" i="1" s="1"/>
  <c r="E811" i="1"/>
  <c r="E812" i="1"/>
  <c r="F811" i="1"/>
  <c r="F812" i="1"/>
  <c r="J839" i="1"/>
  <c r="I838" i="1"/>
  <c r="D26" i="1"/>
  <c r="H32" i="1" s="1"/>
  <c r="G23" i="1"/>
  <c r="F32" i="1" s="1"/>
  <c r="E21" i="1"/>
  <c r="F30" i="1" s="1"/>
  <c r="B21" i="1"/>
  <c r="D30" i="1" s="1"/>
  <c r="E24" i="1"/>
  <c r="J30" i="1" s="1"/>
  <c r="B24" i="1"/>
  <c r="H30" i="1" s="1"/>
  <c r="B41" i="1"/>
  <c r="C41" i="1"/>
  <c r="G26" i="1"/>
  <c r="J32" i="1" s="1"/>
  <c r="D41" i="1" s="1"/>
  <c r="D23" i="1"/>
  <c r="D32" i="1" s="1"/>
  <c r="D39" i="1"/>
  <c r="D40" i="1"/>
  <c r="B93" i="1"/>
  <c r="E96" i="1"/>
  <c r="J102" i="1" s="1"/>
  <c r="B96" i="1"/>
  <c r="H102" i="1" s="1"/>
  <c r="E93" i="1"/>
  <c r="F102" i="1" s="1"/>
  <c r="D111" i="1"/>
  <c r="D112" i="1"/>
  <c r="G98" i="1"/>
  <c r="J104" i="1" s="1"/>
  <c r="D113" i="1" s="1"/>
  <c r="D95" i="1"/>
  <c r="D104" i="1" s="1"/>
  <c r="D98" i="1"/>
  <c r="H104" i="1" s="1"/>
  <c r="G95" i="1"/>
  <c r="F104" i="1" s="1"/>
  <c r="C113" i="1"/>
  <c r="B113" i="1"/>
  <c r="I811" i="1" l="1"/>
  <c r="J812" i="1"/>
  <c r="D102" i="1"/>
  <c r="F844" i="1" a="1"/>
  <c r="I812" i="1"/>
  <c r="J811" i="1"/>
  <c r="D845" i="1" a="1"/>
  <c r="C39" i="1"/>
  <c r="C40" i="1"/>
  <c r="B39" i="1"/>
  <c r="B40" i="1"/>
  <c r="B112" i="1"/>
  <c r="C111" i="1"/>
  <c r="C112" i="1"/>
  <c r="B111" i="1"/>
  <c r="E123" i="1" l="1" a="1"/>
  <c r="G125" i="1" s="1"/>
  <c r="D846" i="1"/>
  <c r="D845" i="1"/>
  <c r="D847" i="1"/>
  <c r="F844" i="1"/>
  <c r="J845" i="1"/>
  <c r="L847" i="1"/>
  <c r="G850" i="1"/>
  <c r="G846" i="1"/>
  <c r="I848" i="1"/>
  <c r="K850" i="1"/>
  <c r="I844" i="1"/>
  <c r="K846" i="1"/>
  <c r="F849" i="1"/>
  <c r="F845" i="1"/>
  <c r="H847" i="1"/>
  <c r="J849" i="1"/>
  <c r="L848" i="1"/>
  <c r="F846" i="1"/>
  <c r="L849" i="1"/>
  <c r="J847" i="1"/>
  <c r="H845" i="1"/>
  <c r="H848" i="1"/>
  <c r="K849" i="1"/>
  <c r="I847" i="1"/>
  <c r="G845" i="1"/>
  <c r="G847" i="1"/>
  <c r="K848" i="1"/>
  <c r="J848" i="1"/>
  <c r="F848" i="1"/>
  <c r="K847" i="1"/>
  <c r="I845" i="1"/>
  <c r="H849" i="1"/>
  <c r="F847" i="1"/>
  <c r="K844" i="1"/>
  <c r="L844" i="1"/>
  <c r="G849" i="1"/>
  <c r="L846" i="1"/>
  <c r="J844" i="1"/>
  <c r="F850" i="1"/>
  <c r="I846" i="1"/>
  <c r="L850" i="1"/>
  <c r="H846" i="1"/>
  <c r="H850" i="1"/>
  <c r="H844" i="1"/>
  <c r="G844" i="1"/>
  <c r="I849" i="1"/>
  <c r="J846" i="1"/>
  <c r="I850" i="1"/>
  <c r="G848" i="1"/>
  <c r="L845" i="1"/>
  <c r="J850" i="1"/>
  <c r="K845" i="1"/>
  <c r="D818" i="1" a="1"/>
  <c r="B48" i="1" a="1"/>
  <c r="E124" i="1"/>
  <c r="G124" i="1"/>
  <c r="E125" i="1"/>
  <c r="G123" i="1"/>
  <c r="E123" i="1"/>
  <c r="F123" i="1"/>
  <c r="F124" i="1"/>
  <c r="F125" i="1" l="1"/>
  <c r="D818" i="1"/>
  <c r="D820" i="1"/>
  <c r="D819" i="1"/>
  <c r="C50" i="1"/>
  <c r="D49" i="1"/>
  <c r="B50" i="1"/>
  <c r="B48" i="1"/>
  <c r="B49" i="1"/>
  <c r="C48" i="1"/>
  <c r="D48" i="1"/>
  <c r="C49" i="1"/>
  <c r="D50" i="1"/>
  <c r="B729" i="1" l="1" a="1"/>
  <c r="B729" i="1" s="1"/>
  <c r="M735" i="1" l="1"/>
  <c r="X754" i="1"/>
  <c r="AB743" i="1"/>
  <c r="P748" i="1"/>
  <c r="O748" i="1"/>
  <c r="B744" i="1"/>
  <c r="D740" i="1"/>
  <c r="M731" i="1"/>
  <c r="P738" i="1"/>
  <c r="F733" i="1"/>
  <c r="AA733" i="1"/>
  <c r="C741" i="1"/>
  <c r="D735" i="1"/>
  <c r="Y735" i="1"/>
  <c r="H754" i="1"/>
  <c r="J752" i="1"/>
  <c r="Q755" i="1"/>
  <c r="S749" i="1"/>
  <c r="X745" i="1"/>
  <c r="L737" i="1"/>
  <c r="T755" i="1"/>
  <c r="Z753" i="1"/>
  <c r="E752" i="1"/>
  <c r="K750" i="1"/>
  <c r="Q748" i="1"/>
  <c r="W746" i="1"/>
  <c r="T743" i="1"/>
  <c r="S739" i="1"/>
  <c r="U734" i="1"/>
  <c r="D750" i="1"/>
  <c r="T746" i="1"/>
  <c r="K739" i="1"/>
  <c r="O755" i="1"/>
  <c r="U753" i="1"/>
  <c r="AA751" i="1"/>
  <c r="F750" i="1"/>
  <c r="L748" i="1"/>
  <c r="R746" i="1"/>
  <c r="J743" i="1"/>
  <c r="F739" i="1"/>
  <c r="AB733" i="1"/>
  <c r="N755" i="1"/>
  <c r="T753" i="1"/>
  <c r="Z751" i="1"/>
  <c r="E750" i="1"/>
  <c r="K748" i="1"/>
  <c r="Q746" i="1"/>
  <c r="H743" i="1"/>
  <c r="C739" i="1"/>
  <c r="X733" i="1"/>
  <c r="S745" i="1"/>
  <c r="Y743" i="1"/>
  <c r="D742" i="1"/>
  <c r="Z739" i="1"/>
  <c r="P737" i="1"/>
  <c r="C735" i="1"/>
  <c r="O731" i="1"/>
  <c r="Y745" i="1"/>
  <c r="D744" i="1"/>
  <c r="J742" i="1"/>
  <c r="G740" i="1"/>
  <c r="X737" i="1"/>
  <c r="N735" i="1"/>
  <c r="AA731" i="1"/>
  <c r="Q732" i="1"/>
  <c r="X755" i="1"/>
  <c r="AB746" i="1"/>
  <c r="R743" i="1"/>
  <c r="U746" i="1"/>
  <c r="H742" i="1"/>
  <c r="U737" i="1"/>
  <c r="P734" i="1"/>
  <c r="P755" i="1"/>
  <c r="G750" i="1"/>
  <c r="M748" i="1"/>
  <c r="S746" i="1"/>
  <c r="L743" i="1"/>
  <c r="H739" i="1"/>
  <c r="E734" i="1"/>
  <c r="W749" i="1"/>
  <c r="E746" i="1"/>
  <c r="Q738" i="1"/>
  <c r="K755" i="1"/>
  <c r="Q753" i="1"/>
  <c r="W751" i="1"/>
  <c r="B750" i="1"/>
  <c r="H748" i="1"/>
  <c r="N746" i="1"/>
  <c r="B743" i="1"/>
  <c r="V738" i="1"/>
  <c r="L733" i="1"/>
  <c r="J755" i="1"/>
  <c r="P753" i="1"/>
  <c r="V751" i="1"/>
  <c r="AB749" i="1"/>
  <c r="G748" i="1"/>
  <c r="M746" i="1"/>
  <c r="AA742" i="1"/>
  <c r="S738" i="1"/>
  <c r="H733" i="1"/>
  <c r="O745" i="1"/>
  <c r="U743" i="1"/>
  <c r="AA741" i="1"/>
  <c r="T739" i="1"/>
  <c r="J737" i="1"/>
  <c r="V734" i="1"/>
  <c r="G731" i="1"/>
  <c r="U745" i="1"/>
  <c r="AA743" i="1"/>
  <c r="F742" i="1"/>
  <c r="AB739" i="1"/>
  <c r="R737" i="1"/>
  <c r="G735" i="1"/>
  <c r="S731" i="1"/>
  <c r="X730" i="1"/>
  <c r="L746" i="1"/>
  <c r="J735" i="1"/>
  <c r="V746" i="1"/>
  <c r="N739" i="1"/>
  <c r="W731" i="1"/>
  <c r="S730" i="1"/>
  <c r="N736" i="1"/>
  <c r="J729" i="1"/>
  <c r="C753" i="1"/>
  <c r="X751" i="1"/>
  <c r="P745" i="1"/>
  <c r="V737" i="1"/>
  <c r="G755" i="1"/>
  <c r="M753" i="1"/>
  <c r="S751" i="1"/>
  <c r="Y749" i="1"/>
  <c r="D748" i="1"/>
  <c r="I746" i="1"/>
  <c r="U742" i="1"/>
  <c r="K738" i="1"/>
  <c r="W732" i="1"/>
  <c r="F755" i="1"/>
  <c r="L753" i="1"/>
  <c r="R751" i="1"/>
  <c r="X749" i="1"/>
  <c r="C748" i="1"/>
  <c r="G746" i="1"/>
  <c r="S742" i="1"/>
  <c r="I738" i="1"/>
  <c r="S732" i="1"/>
  <c r="K745" i="1"/>
  <c r="Q743" i="1"/>
  <c r="W741" i="1"/>
  <c r="O739" i="1"/>
  <c r="E737" i="1"/>
  <c r="N734" i="1"/>
  <c r="Z730" i="1"/>
  <c r="Q745" i="1"/>
  <c r="W743" i="1"/>
  <c r="B742" i="1"/>
  <c r="W739" i="1"/>
  <c r="M737" i="1"/>
  <c r="Z734" i="1"/>
  <c r="K731" i="1"/>
  <c r="S734" i="1"/>
  <c r="Z752" i="1"/>
  <c r="C740" i="1"/>
  <c r="X753" i="1"/>
  <c r="H732" i="1"/>
  <c r="E739" i="1"/>
  <c r="K749" i="1"/>
  <c r="D730" i="1"/>
  <c r="F729" i="1"/>
  <c r="S744" i="1"/>
  <c r="R753" i="1"/>
  <c r="Z729" i="1"/>
  <c r="S737" i="1"/>
  <c r="H755" i="1"/>
  <c r="N753" i="1"/>
  <c r="T751" i="1"/>
  <c r="E748" i="1"/>
  <c r="K746" i="1"/>
  <c r="W742" i="1"/>
  <c r="N738" i="1"/>
  <c r="AA732" i="1"/>
  <c r="G749" i="1"/>
  <c r="AA744" i="1"/>
  <c r="AB736" i="1"/>
  <c r="C755" i="1"/>
  <c r="I753" i="1"/>
  <c r="O751" i="1"/>
  <c r="U749" i="1"/>
  <c r="AA747" i="1"/>
  <c r="AB745" i="1"/>
  <c r="M742" i="1"/>
  <c r="AB737" i="1"/>
  <c r="G732" i="1"/>
  <c r="B755" i="1"/>
  <c r="H753" i="1"/>
  <c r="N751" i="1"/>
  <c r="T749" i="1"/>
  <c r="Z747" i="1"/>
  <c r="Z745" i="1"/>
  <c r="K742" i="1"/>
  <c r="Y737" i="1"/>
  <c r="C732" i="1"/>
  <c r="G745" i="1"/>
  <c r="M743" i="1"/>
  <c r="S741" i="1"/>
  <c r="J739" i="1"/>
  <c r="AA736" i="1"/>
  <c r="F734" i="1"/>
  <c r="R730" i="1"/>
  <c r="M745" i="1"/>
  <c r="S743" i="1"/>
  <c r="Y741" i="1"/>
  <c r="R739" i="1"/>
  <c r="H737" i="1"/>
  <c r="R734" i="1"/>
  <c r="C731" i="1"/>
  <c r="N740" i="1"/>
  <c r="I752" i="1"/>
  <c r="Y753" i="1"/>
  <c r="I750" i="1"/>
  <c r="B738" i="1"/>
  <c r="D729" i="1"/>
  <c r="Q736" i="1"/>
  <c r="R732" i="1"/>
  <c r="C737" i="1"/>
  <c r="W735" i="1"/>
  <c r="O746" i="1"/>
  <c r="W737" i="1"/>
  <c r="V729" i="1"/>
  <c r="C744" i="1"/>
  <c r="Z749" i="1"/>
  <c r="O730" i="1"/>
  <c r="I731" i="1"/>
  <c r="L738" i="1"/>
  <c r="B733" i="1"/>
  <c r="W733" i="1"/>
  <c r="Z740" i="1"/>
  <c r="G729" i="1"/>
  <c r="J736" i="1"/>
  <c r="K730" i="1"/>
  <c r="E731" i="1"/>
  <c r="H738" i="1"/>
  <c r="Y751" i="1"/>
  <c r="E755" i="1"/>
  <c r="G753" i="1"/>
  <c r="J748" i="1"/>
  <c r="N743" i="1"/>
  <c r="T733" i="1"/>
  <c r="D755" i="1"/>
  <c r="J753" i="1"/>
  <c r="P751" i="1"/>
  <c r="V749" i="1"/>
  <c r="AB747" i="1"/>
  <c r="C746" i="1"/>
  <c r="O742" i="1"/>
  <c r="C738" i="1"/>
  <c r="K732" i="1"/>
  <c r="Z748" i="1"/>
  <c r="K744" i="1"/>
  <c r="G736" i="1"/>
  <c r="Z754" i="1"/>
  <c r="E753" i="1"/>
  <c r="K751" i="1"/>
  <c r="Q749" i="1"/>
  <c r="W747" i="1"/>
  <c r="T745" i="1"/>
  <c r="E742" i="1"/>
  <c r="Q737" i="1"/>
  <c r="R731" i="1"/>
  <c r="Y754" i="1"/>
  <c r="D753" i="1"/>
  <c r="J751" i="1"/>
  <c r="P749" i="1"/>
  <c r="V747" i="1"/>
  <c r="R745" i="1"/>
  <c r="C742" i="1"/>
  <c r="N737" i="1"/>
  <c r="N731" i="1"/>
  <c r="C745" i="1"/>
  <c r="I743" i="1"/>
  <c r="N741" i="1"/>
  <c r="D739" i="1"/>
  <c r="U736" i="1"/>
  <c r="Y733" i="1"/>
  <c r="J730" i="1"/>
  <c r="I745" i="1"/>
  <c r="O743" i="1"/>
  <c r="U741" i="1"/>
  <c r="L739" i="1"/>
  <c r="B737" i="1"/>
  <c r="J734" i="1"/>
  <c r="V730" i="1"/>
  <c r="AA749" i="1"/>
  <c r="D752" i="1"/>
  <c r="N742" i="1"/>
  <c r="O729" i="1"/>
  <c r="S753" i="1"/>
  <c r="K734" i="1"/>
  <c r="Y738" i="1"/>
  <c r="T730" i="1"/>
  <c r="P730" i="1"/>
  <c r="Y731" i="1"/>
  <c r="AB738" i="1"/>
  <c r="R733" i="1"/>
  <c r="L734" i="1"/>
  <c r="O741" i="1"/>
  <c r="W729" i="1"/>
  <c r="Z736" i="1"/>
  <c r="AA730" i="1"/>
  <c r="U731" i="1"/>
  <c r="X738" i="1"/>
  <c r="I751" i="1"/>
  <c r="P754" i="1"/>
  <c r="R752" i="1"/>
  <c r="B748" i="1"/>
  <c r="Q742" i="1"/>
  <c r="O732" i="1"/>
  <c r="AA754" i="1"/>
  <c r="F753" i="1"/>
  <c r="L751" i="1"/>
  <c r="R749" i="1"/>
  <c r="X747" i="1"/>
  <c r="V745" i="1"/>
  <c r="G742" i="1"/>
  <c r="T737" i="1"/>
  <c r="V731" i="1"/>
  <c r="V748" i="1"/>
  <c r="V743" i="1"/>
  <c r="L735" i="1"/>
  <c r="V754" i="1"/>
  <c r="AB752" i="1"/>
  <c r="G751" i="1"/>
  <c r="M749" i="1"/>
  <c r="S747" i="1"/>
  <c r="L745" i="1"/>
  <c r="X741" i="1"/>
  <c r="F737" i="1"/>
  <c r="B731" i="1"/>
  <c r="U754" i="1"/>
  <c r="AA752" i="1"/>
  <c r="F751" i="1"/>
  <c r="L749" i="1"/>
  <c r="R747" i="1"/>
  <c r="J745" i="1"/>
  <c r="V741" i="1"/>
  <c r="D737" i="1"/>
  <c r="Y730" i="1"/>
  <c r="Z744" i="1"/>
  <c r="E743" i="1"/>
  <c r="I741" i="1"/>
  <c r="Z738" i="1"/>
  <c r="P736" i="1"/>
  <c r="Q733" i="1"/>
  <c r="B730" i="1"/>
  <c r="E745" i="1"/>
  <c r="K743" i="1"/>
  <c r="Q741" i="1"/>
  <c r="G739" i="1"/>
  <c r="X736" i="1"/>
  <c r="B734" i="1"/>
  <c r="N730" i="1"/>
  <c r="K733" i="1"/>
  <c r="C754" i="1"/>
  <c r="E740" i="1"/>
  <c r="C752" i="1"/>
  <c r="L740" i="1"/>
  <c r="R736" i="1"/>
  <c r="U751" i="1"/>
  <c r="G737" i="1"/>
  <c r="C749" i="1"/>
  <c r="P733" i="1"/>
  <c r="G733" i="1"/>
  <c r="U755" i="1"/>
  <c r="R729" i="1"/>
  <c r="J732" i="1"/>
  <c r="Y755" i="1"/>
  <c r="AA753" i="1"/>
  <c r="B752" i="1"/>
  <c r="U747" i="1"/>
  <c r="AB741" i="1"/>
  <c r="J731" i="1"/>
  <c r="W754" i="1"/>
  <c r="B753" i="1"/>
  <c r="H751" i="1"/>
  <c r="N749" i="1"/>
  <c r="T747" i="1"/>
  <c r="N745" i="1"/>
  <c r="Z741" i="1"/>
  <c r="I737" i="1"/>
  <c r="F731" i="1"/>
  <c r="N748" i="1"/>
  <c r="F743" i="1"/>
  <c r="I734" i="1"/>
  <c r="R754" i="1"/>
  <c r="X752" i="1"/>
  <c r="C751" i="1"/>
  <c r="I749" i="1"/>
  <c r="O747" i="1"/>
  <c r="D745" i="1"/>
  <c r="P741" i="1"/>
  <c r="W736" i="1"/>
  <c r="M730" i="1"/>
  <c r="Q754" i="1"/>
  <c r="W752" i="1"/>
  <c r="B751" i="1"/>
  <c r="H749" i="1"/>
  <c r="N747" i="1"/>
  <c r="B745" i="1"/>
  <c r="M741" i="1"/>
  <c r="T736" i="1"/>
  <c r="I730" i="1"/>
  <c r="V744" i="1"/>
  <c r="AB742" i="1"/>
  <c r="D741" i="1"/>
  <c r="U738" i="1"/>
  <c r="K736" i="1"/>
  <c r="I733" i="1"/>
  <c r="U729" i="1"/>
  <c r="AB744" i="1"/>
  <c r="G743" i="1"/>
  <c r="L741" i="1"/>
  <c r="B739" i="1"/>
  <c r="S736" i="1"/>
  <c r="U733" i="1"/>
  <c r="F730" i="1"/>
  <c r="O734" i="1"/>
  <c r="U748" i="1"/>
  <c r="R755" i="1"/>
  <c r="S735" i="1"/>
  <c r="H731" i="1"/>
  <c r="AB754" i="1"/>
  <c r="AA729" i="1"/>
  <c r="D743" i="1"/>
  <c r="AA734" i="1"/>
  <c r="W753" i="1"/>
  <c r="L730" i="1"/>
  <c r="I732" i="1"/>
  <c r="F740" i="1"/>
  <c r="W734" i="1"/>
  <c r="Q735" i="1"/>
  <c r="G730" i="1"/>
  <c r="AB730" i="1"/>
  <c r="D738" i="1"/>
  <c r="E732" i="1"/>
  <c r="Z732" i="1"/>
  <c r="B740" i="1"/>
  <c r="I755" i="1"/>
  <c r="K753" i="1"/>
  <c r="M751" i="1"/>
  <c r="M747" i="1"/>
  <c r="J741" i="1"/>
  <c r="U730" i="1"/>
  <c r="S754" i="1"/>
  <c r="Y752" i="1"/>
  <c r="D751" i="1"/>
  <c r="J749" i="1"/>
  <c r="P747" i="1"/>
  <c r="F745" i="1"/>
  <c r="R741" i="1"/>
  <c r="Y736" i="1"/>
  <c r="Q730" i="1"/>
  <c r="F748" i="1"/>
  <c r="Y742" i="1"/>
  <c r="D733" i="1"/>
  <c r="N754" i="1"/>
  <c r="T752" i="1"/>
  <c r="Z750" i="1"/>
  <c r="E749" i="1"/>
  <c r="K747" i="1"/>
  <c r="W744" i="1"/>
  <c r="E741" i="1"/>
  <c r="L736" i="1"/>
  <c r="X729" i="1"/>
  <c r="M754" i="1"/>
  <c r="S752" i="1"/>
  <c r="Y750" i="1"/>
  <c r="D749" i="1"/>
  <c r="J747" i="1"/>
  <c r="U744" i="1"/>
  <c r="B741" i="1"/>
  <c r="I736" i="1"/>
  <c r="T729" i="1"/>
  <c r="R744" i="1"/>
  <c r="X742" i="1"/>
  <c r="Y740" i="1"/>
  <c r="O738" i="1"/>
  <c r="E736" i="1"/>
  <c r="AB732" i="1"/>
  <c r="M729" i="1"/>
  <c r="X744" i="1"/>
  <c r="C743" i="1"/>
  <c r="F741" i="1"/>
  <c r="W738" i="1"/>
  <c r="M736" i="1"/>
  <c r="M733" i="1"/>
  <c r="Y729" i="1"/>
  <c r="C730" i="1"/>
  <c r="AB750" i="1"/>
  <c r="AA746" i="1"/>
  <c r="J750" i="1"/>
  <c r="P743" i="1"/>
  <c r="H744" i="1"/>
  <c r="B732" i="1"/>
  <c r="H745" i="1"/>
  <c r="X731" i="1"/>
  <c r="E751" i="1"/>
  <c r="I748" i="1"/>
  <c r="U735" i="1"/>
  <c r="Y734" i="1"/>
  <c r="T731" i="1"/>
  <c r="G734" i="1"/>
  <c r="P731" i="1"/>
  <c r="S733" i="1"/>
  <c r="F736" i="1"/>
  <c r="W730" i="1"/>
  <c r="Q731" i="1"/>
  <c r="T738" i="1"/>
  <c r="U732" i="1"/>
  <c r="O733" i="1"/>
  <c r="R740" i="1"/>
  <c r="T754" i="1"/>
  <c r="V752" i="1"/>
  <c r="X750" i="1"/>
  <c r="E747" i="1"/>
  <c r="P740" i="1"/>
  <c r="E730" i="1"/>
  <c r="O754" i="1"/>
  <c r="U752" i="1"/>
  <c r="AA750" i="1"/>
  <c r="F749" i="1"/>
  <c r="L747" i="1"/>
  <c r="Y744" i="1"/>
  <c r="H741" i="1"/>
  <c r="O736" i="1"/>
  <c r="AB729" i="1"/>
  <c r="Y747" i="1"/>
  <c r="I742" i="1"/>
  <c r="Z731" i="1"/>
  <c r="J754" i="1"/>
  <c r="P752" i="1"/>
  <c r="V750" i="1"/>
  <c r="AB748" i="1"/>
  <c r="G747" i="1"/>
  <c r="O744" i="1"/>
  <c r="U740" i="1"/>
  <c r="AB735" i="1"/>
  <c r="H729" i="1"/>
  <c r="I754" i="1"/>
  <c r="O752" i="1"/>
  <c r="U750" i="1"/>
  <c r="AA748" i="1"/>
  <c r="F747" i="1"/>
  <c r="M744" i="1"/>
  <c r="S740" i="1"/>
  <c r="Z735" i="1"/>
  <c r="H746" i="1"/>
  <c r="N744" i="1"/>
  <c r="T742" i="1"/>
  <c r="T740" i="1"/>
  <c r="J738" i="1"/>
  <c r="AA735" i="1"/>
  <c r="T732" i="1"/>
  <c r="E729" i="1"/>
  <c r="T744" i="1"/>
  <c r="Z742" i="1"/>
  <c r="AB740" i="1"/>
  <c r="R738" i="1"/>
  <c r="H736" i="1"/>
  <c r="E733" i="1"/>
  <c r="Q729" i="1"/>
  <c r="I735" i="1"/>
  <c r="O750" i="1"/>
  <c r="S755" i="1"/>
  <c r="Q734" i="1"/>
  <c r="M734" i="1"/>
  <c r="B746" i="1"/>
  <c r="B736" i="1"/>
  <c r="K729" i="1"/>
  <c r="AB751" i="1"/>
  <c r="U739" i="1"/>
  <c r="L754" i="1"/>
  <c r="C750" i="1"/>
  <c r="J740" i="1"/>
  <c r="R748" i="1"/>
  <c r="N732" i="1"/>
  <c r="AB734" i="1"/>
  <c r="M739" i="1"/>
  <c r="V740" i="1"/>
  <c r="H734" i="1"/>
  <c r="K741" i="1"/>
  <c r="S729" i="1"/>
  <c r="V736" i="1"/>
  <c r="L731" i="1"/>
  <c r="F732" i="1"/>
  <c r="I739" i="1"/>
  <c r="J733" i="1"/>
  <c r="D734" i="1"/>
  <c r="G741" i="1"/>
  <c r="D754" i="1"/>
  <c r="F752" i="1"/>
  <c r="P750" i="1"/>
  <c r="X746" i="1"/>
  <c r="V739" i="1"/>
  <c r="P729" i="1"/>
  <c r="K754" i="1"/>
  <c r="Q752" i="1"/>
  <c r="W750" i="1"/>
  <c r="B749" i="1"/>
  <c r="H747" i="1"/>
  <c r="Q744" i="1"/>
  <c r="X740" i="1"/>
  <c r="D736" i="1"/>
  <c r="L729" i="1"/>
  <c r="Q747" i="1"/>
  <c r="T741" i="1"/>
  <c r="AA755" i="1"/>
  <c r="F754" i="1"/>
  <c r="L752" i="1"/>
  <c r="R750" i="1"/>
  <c r="X748" i="1"/>
  <c r="C747" i="1"/>
  <c r="G744" i="1"/>
  <c r="K740" i="1"/>
  <c r="R735" i="1"/>
  <c r="Z755" i="1"/>
  <c r="E754" i="1"/>
  <c r="K752" i="1"/>
  <c r="Q750" i="1"/>
  <c r="W748" i="1"/>
  <c r="B747" i="1"/>
  <c r="E744" i="1"/>
  <c r="H740" i="1"/>
  <c r="O735" i="1"/>
  <c r="D746" i="1"/>
  <c r="J744" i="1"/>
  <c r="P742" i="1"/>
  <c r="O740" i="1"/>
  <c r="E738" i="1"/>
  <c r="V735" i="1"/>
  <c r="L732" i="1"/>
  <c r="J746" i="1"/>
  <c r="P744" i="1"/>
  <c r="V742" i="1"/>
  <c r="W740" i="1"/>
  <c r="M738" i="1"/>
  <c r="C736" i="1"/>
  <c r="X732" i="1"/>
  <c r="I729" i="1"/>
  <c r="AA737" i="1"/>
  <c r="F738" i="1"/>
  <c r="L750" i="1"/>
  <c r="P739" i="1"/>
  <c r="W745" i="1"/>
  <c r="K735" i="1"/>
  <c r="H735" i="1"/>
  <c r="V733" i="1"/>
  <c r="V753" i="1"/>
  <c r="E735" i="1"/>
  <c r="L755" i="1"/>
  <c r="O749" i="1"/>
  <c r="M732" i="1"/>
  <c r="N752" i="1"/>
  <c r="D731" i="1"/>
  <c r="Q739" i="1"/>
  <c r="O737" i="1"/>
  <c r="C733" i="1"/>
  <c r="Y732" i="1"/>
  <c r="C729" i="1"/>
  <c r="N733" i="1"/>
  <c r="C734" i="1"/>
  <c r="X734" i="1"/>
  <c r="N729" i="1"/>
  <c r="H730" i="1"/>
  <c r="K737" i="1"/>
  <c r="AB731" i="1"/>
  <c r="V732" i="1"/>
  <c r="Y739" i="1"/>
  <c r="Z733" i="1"/>
  <c r="T734" i="1"/>
  <c r="M755" i="1"/>
  <c r="O753" i="1"/>
  <c r="Q751" i="1"/>
  <c r="H750" i="1"/>
  <c r="P746" i="1"/>
  <c r="AA738" i="1"/>
  <c r="AB755" i="1"/>
  <c r="G754" i="1"/>
  <c r="M752" i="1"/>
  <c r="S750" i="1"/>
  <c r="Y748" i="1"/>
  <c r="D747" i="1"/>
  <c r="I744" i="1"/>
  <c r="M740" i="1"/>
  <c r="T735" i="1"/>
  <c r="T750" i="1"/>
  <c r="I747" i="1"/>
  <c r="AA740" i="1"/>
  <c r="W755" i="1"/>
  <c r="B754" i="1"/>
  <c r="H752" i="1"/>
  <c r="N750" i="1"/>
  <c r="T748" i="1"/>
  <c r="Z746" i="1"/>
  <c r="Z743" i="1"/>
  <c r="AA739" i="1"/>
  <c r="F735" i="1"/>
  <c r="V755" i="1"/>
  <c r="AB753" i="1"/>
  <c r="G752" i="1"/>
  <c r="M750" i="1"/>
  <c r="S748" i="1"/>
  <c r="Y746" i="1"/>
  <c r="X743" i="1"/>
  <c r="X739" i="1"/>
  <c r="B735" i="1"/>
  <c r="AA745" i="1"/>
  <c r="F744" i="1"/>
  <c r="L742" i="1"/>
  <c r="I740" i="1"/>
  <c r="Z737" i="1"/>
  <c r="P735" i="1"/>
  <c r="D732" i="1"/>
  <c r="F746" i="1"/>
  <c r="L744" i="1"/>
  <c r="R742" i="1"/>
  <c r="Q740" i="1"/>
  <c r="G738" i="1"/>
  <c r="X735" i="1"/>
  <c r="P732" i="1"/>
  <c r="B784" i="1" a="1"/>
  <c r="B784" i="1" l="1"/>
  <c r="E784" i="1"/>
  <c r="B785" i="1"/>
  <c r="J785" i="1"/>
  <c r="R785" i="1"/>
  <c r="H786" i="1"/>
  <c r="P786" i="1"/>
  <c r="F787" i="1"/>
  <c r="N787" i="1"/>
  <c r="D788" i="1"/>
  <c r="L788" i="1"/>
  <c r="B789" i="1"/>
  <c r="J789" i="1"/>
  <c r="R789" i="1"/>
  <c r="H790" i="1"/>
  <c r="P790" i="1"/>
  <c r="F791" i="1"/>
  <c r="N791" i="1"/>
  <c r="D792" i="1"/>
  <c r="L792" i="1"/>
  <c r="B793" i="1"/>
  <c r="J793" i="1"/>
  <c r="R793" i="1"/>
  <c r="H794" i="1"/>
  <c r="P794" i="1"/>
  <c r="F795" i="1"/>
  <c r="N795" i="1"/>
  <c r="D796" i="1"/>
  <c r="L796" i="1"/>
  <c r="B797" i="1"/>
  <c r="J797" i="1"/>
  <c r="R797" i="1"/>
  <c r="H798" i="1"/>
  <c r="M798" i="1"/>
  <c r="R798" i="1"/>
  <c r="F799" i="1"/>
  <c r="K799" i="1"/>
  <c r="P799" i="1"/>
  <c r="D800" i="1"/>
  <c r="I800" i="1"/>
  <c r="N800" i="1"/>
  <c r="B801" i="1"/>
  <c r="G801" i="1"/>
  <c r="L801" i="1"/>
  <c r="R801" i="1"/>
  <c r="Q784" i="1"/>
  <c r="G785" i="1"/>
  <c r="O785" i="1"/>
  <c r="E786" i="1"/>
  <c r="M786" i="1"/>
  <c r="C787" i="1"/>
  <c r="K787" i="1"/>
  <c r="S787" i="1"/>
  <c r="I788" i="1"/>
  <c r="Q788" i="1"/>
  <c r="G789" i="1"/>
  <c r="O789" i="1"/>
  <c r="E790" i="1"/>
  <c r="M790" i="1"/>
  <c r="C791" i="1"/>
  <c r="K791" i="1"/>
  <c r="S791" i="1"/>
  <c r="I792" i="1"/>
  <c r="Q792" i="1"/>
  <c r="G793" i="1"/>
  <c r="O793" i="1"/>
  <c r="E794" i="1"/>
  <c r="M794" i="1"/>
  <c r="C795" i="1"/>
  <c r="K795" i="1"/>
  <c r="S795" i="1"/>
  <c r="I796" i="1"/>
  <c r="Q796" i="1"/>
  <c r="G797" i="1"/>
  <c r="O797" i="1"/>
  <c r="E798" i="1"/>
  <c r="L798" i="1"/>
  <c r="Q798" i="1"/>
  <c r="D799" i="1"/>
  <c r="J799" i="1"/>
  <c r="O799" i="1"/>
  <c r="B800" i="1"/>
  <c r="H800" i="1"/>
  <c r="M800" i="1"/>
  <c r="R800" i="1"/>
  <c r="I784" i="1"/>
  <c r="C785" i="1"/>
  <c r="K785" i="1"/>
  <c r="S785" i="1"/>
  <c r="I786" i="1"/>
  <c r="Q786" i="1"/>
  <c r="G787" i="1"/>
  <c r="O787" i="1"/>
  <c r="E788" i="1"/>
  <c r="M788" i="1"/>
  <c r="C789" i="1"/>
  <c r="K789" i="1"/>
  <c r="S789" i="1"/>
  <c r="I790" i="1"/>
  <c r="Q790" i="1"/>
  <c r="G791" i="1"/>
  <c r="O791" i="1"/>
  <c r="E792" i="1"/>
  <c r="M792" i="1"/>
  <c r="C793" i="1"/>
  <c r="K793" i="1"/>
  <c r="S793" i="1"/>
  <c r="I794" i="1"/>
  <c r="Q794" i="1"/>
  <c r="G795" i="1"/>
  <c r="O795" i="1"/>
  <c r="E796" i="1"/>
  <c r="M796" i="1"/>
  <c r="C797" i="1"/>
  <c r="K797" i="1"/>
  <c r="S797" i="1"/>
  <c r="I798" i="1"/>
  <c r="N798" i="1"/>
  <c r="B799" i="1"/>
  <c r="G799" i="1"/>
  <c r="L799" i="1"/>
  <c r="R799" i="1"/>
  <c r="E800" i="1"/>
  <c r="J800" i="1"/>
  <c r="P800" i="1"/>
  <c r="C801" i="1"/>
  <c r="H801" i="1"/>
  <c r="N801" i="1"/>
  <c r="S801" i="1"/>
  <c r="M784" i="1"/>
  <c r="F785" i="1"/>
  <c r="N785" i="1"/>
  <c r="D786" i="1"/>
  <c r="L786" i="1"/>
  <c r="B787" i="1"/>
  <c r="J787" i="1"/>
  <c r="R787" i="1"/>
  <c r="H788" i="1"/>
  <c r="P788" i="1"/>
  <c r="F789" i="1"/>
  <c r="N789" i="1"/>
  <c r="D790" i="1"/>
  <c r="L790" i="1"/>
  <c r="B791" i="1"/>
  <c r="J791" i="1"/>
  <c r="R791" i="1"/>
  <c r="H792" i="1"/>
  <c r="P792" i="1"/>
  <c r="F793" i="1"/>
  <c r="N793" i="1"/>
  <c r="D794" i="1"/>
  <c r="L794" i="1"/>
  <c r="B795" i="1"/>
  <c r="J795" i="1"/>
  <c r="R795" i="1"/>
  <c r="H796" i="1"/>
  <c r="P796" i="1"/>
  <c r="F797" i="1"/>
  <c r="N797" i="1"/>
  <c r="D798" i="1"/>
  <c r="J798" i="1"/>
  <c r="P798" i="1"/>
  <c r="C799" i="1"/>
  <c r="H799" i="1"/>
  <c r="N799" i="1"/>
  <c r="S799" i="1"/>
  <c r="F800" i="1"/>
  <c r="L800" i="1"/>
  <c r="Q800" i="1"/>
  <c r="D801" i="1"/>
  <c r="J801" i="1"/>
  <c r="O801" i="1"/>
  <c r="F801" i="1"/>
  <c r="K801" i="1"/>
  <c r="P801" i="1"/>
  <c r="H784" i="1"/>
  <c r="I801" i="1"/>
  <c r="K800" i="1"/>
  <c r="M799" i="1"/>
  <c r="O798" i="1"/>
  <c r="Q797" i="1"/>
  <c r="S796" i="1"/>
  <c r="C796" i="1"/>
  <c r="E795" i="1"/>
  <c r="G794" i="1"/>
  <c r="I793" i="1"/>
  <c r="K792" i="1"/>
  <c r="M791" i="1"/>
  <c r="O790" i="1"/>
  <c r="Q789" i="1"/>
  <c r="S788" i="1"/>
  <c r="C788" i="1"/>
  <c r="E787" i="1"/>
  <c r="G786" i="1"/>
  <c r="I785" i="1"/>
  <c r="K784" i="1"/>
  <c r="B798" i="1"/>
  <c r="D797" i="1"/>
  <c r="F796" i="1"/>
  <c r="H795" i="1"/>
  <c r="J794" i="1"/>
  <c r="L793" i="1"/>
  <c r="N792" i="1"/>
  <c r="P791" i="1"/>
  <c r="R790" i="1"/>
  <c r="B790" i="1"/>
  <c r="D789" i="1"/>
  <c r="F788" i="1"/>
  <c r="H787" i="1"/>
  <c r="J786" i="1"/>
  <c r="L785" i="1"/>
  <c r="N784" i="1"/>
  <c r="L791" i="1"/>
  <c r="B788" i="1"/>
  <c r="F786" i="1"/>
  <c r="J784" i="1"/>
  <c r="Q791" i="1"/>
  <c r="I787" i="1"/>
  <c r="O784" i="1"/>
  <c r="H797" i="1"/>
  <c r="N794" i="1"/>
  <c r="R792" i="1"/>
  <c r="F790" i="1"/>
  <c r="N786" i="1"/>
  <c r="D784" i="1"/>
  <c r="E801" i="1"/>
  <c r="G800" i="1"/>
  <c r="I799" i="1"/>
  <c r="K798" i="1"/>
  <c r="M797" i="1"/>
  <c r="O796" i="1"/>
  <c r="Q795" i="1"/>
  <c r="S794" i="1"/>
  <c r="C794" i="1"/>
  <c r="E793" i="1"/>
  <c r="G792" i="1"/>
  <c r="I791" i="1"/>
  <c r="K790" i="1"/>
  <c r="M789" i="1"/>
  <c r="O788" i="1"/>
  <c r="Q787" i="1"/>
  <c r="S786" i="1"/>
  <c r="C786" i="1"/>
  <c r="E785" i="1"/>
  <c r="G784" i="1"/>
  <c r="P797" i="1"/>
  <c r="R796" i="1"/>
  <c r="B796" i="1"/>
  <c r="D795" i="1"/>
  <c r="F794" i="1"/>
  <c r="H793" i="1"/>
  <c r="J792" i="1"/>
  <c r="N790" i="1"/>
  <c r="P789" i="1"/>
  <c r="R788" i="1"/>
  <c r="D787" i="1"/>
  <c r="H785" i="1"/>
  <c r="E789" i="1"/>
  <c r="L795" i="1"/>
  <c r="D791" i="1"/>
  <c r="J788" i="1"/>
  <c r="P785" i="1"/>
  <c r="P784" i="1"/>
  <c r="Q801" i="1"/>
  <c r="S800" i="1"/>
  <c r="C800" i="1"/>
  <c r="E799" i="1"/>
  <c r="G798" i="1"/>
  <c r="I797" i="1"/>
  <c r="K796" i="1"/>
  <c r="M795" i="1"/>
  <c r="O794" i="1"/>
  <c r="Q793" i="1"/>
  <c r="S792" i="1"/>
  <c r="C792" i="1"/>
  <c r="E791" i="1"/>
  <c r="G790" i="1"/>
  <c r="I789" i="1"/>
  <c r="K788" i="1"/>
  <c r="M787" i="1"/>
  <c r="O786" i="1"/>
  <c r="Q785" i="1"/>
  <c r="S784" i="1"/>
  <c r="C784" i="1"/>
  <c r="L797" i="1"/>
  <c r="N796" i="1"/>
  <c r="P795" i="1"/>
  <c r="R794" i="1"/>
  <c r="B794" i="1"/>
  <c r="D793" i="1"/>
  <c r="F792" i="1"/>
  <c r="H791" i="1"/>
  <c r="J790" i="1"/>
  <c r="L789" i="1"/>
  <c r="N788" i="1"/>
  <c r="P787" i="1"/>
  <c r="R786" i="1"/>
  <c r="B786" i="1"/>
  <c r="D785" i="1"/>
  <c r="F784" i="1"/>
  <c r="L784" i="1"/>
  <c r="M801" i="1"/>
  <c r="O800" i="1"/>
  <c r="Q799" i="1"/>
  <c r="S798" i="1"/>
  <c r="C798" i="1"/>
  <c r="E797" i="1"/>
  <c r="G796" i="1"/>
  <c r="I795" i="1"/>
  <c r="K794" i="1"/>
  <c r="M793" i="1"/>
  <c r="O792" i="1"/>
  <c r="S790" i="1"/>
  <c r="C790" i="1"/>
  <c r="G788" i="1"/>
  <c r="K786" i="1"/>
  <c r="M785" i="1"/>
  <c r="F798" i="1"/>
  <c r="J796" i="1"/>
  <c r="P793" i="1"/>
  <c r="B792" i="1"/>
  <c r="H789" i="1"/>
  <c r="L787" i="1"/>
  <c r="R784" i="1"/>
  <c r="I763" i="1" l="1" a="1"/>
  <c r="I763" i="1" l="1"/>
  <c r="I766" i="1"/>
  <c r="I780" i="1"/>
  <c r="I764" i="1"/>
  <c r="I775" i="1"/>
  <c r="I773" i="1"/>
  <c r="I772" i="1"/>
  <c r="I774" i="1"/>
  <c r="I768" i="1"/>
  <c r="I777" i="1"/>
  <c r="I776" i="1"/>
  <c r="I770" i="1"/>
  <c r="I771" i="1"/>
  <c r="I778" i="1"/>
  <c r="I769" i="1"/>
  <c r="I765" i="1"/>
  <c r="I779" i="1"/>
  <c r="I767" i="1"/>
  <c r="D895" i="1" l="1" a="1"/>
  <c r="D895" i="1" s="1"/>
  <c r="D896" i="1"/>
  <c r="D946" i="1" a="1"/>
  <c r="D868" i="1" a="1"/>
  <c r="D949" i="1" a="1"/>
  <c r="D919" i="1" a="1"/>
  <c r="D841" i="1" a="1"/>
  <c r="D842" i="1" s="1"/>
  <c r="D922" i="1" a="1"/>
  <c r="D892" i="1" a="1"/>
  <c r="D814" i="1" a="1"/>
  <c r="D814" i="1" s="1"/>
  <c r="D897" i="1" l="1"/>
  <c r="D902" i="1" a="1"/>
  <c r="D841" i="1"/>
  <c r="D843" i="1"/>
  <c r="D816" i="1"/>
  <c r="D892" i="1"/>
  <c r="D894" i="1"/>
  <c r="D893" i="1"/>
  <c r="D848" i="1" a="1"/>
  <c r="D946" i="1"/>
  <c r="D948" i="1"/>
  <c r="D947" i="1"/>
  <c r="D949" i="1"/>
  <c r="D951" i="1"/>
  <c r="D950" i="1"/>
  <c r="D815" i="1"/>
  <c r="D922" i="1"/>
  <c r="D924" i="1"/>
  <c r="D923" i="1"/>
  <c r="D920" i="1"/>
  <c r="D919" i="1"/>
  <c r="D921" i="1"/>
  <c r="D868" i="1"/>
  <c r="D870" i="1"/>
  <c r="D869" i="1"/>
  <c r="D903" i="1"/>
  <c r="D904" i="1"/>
  <c r="D902" i="1"/>
  <c r="D926" i="1" l="1" a="1"/>
  <c r="D928" i="1" s="1"/>
  <c r="D929" i="1" a="1"/>
  <c r="D930" i="1" s="1"/>
  <c r="D821" i="1" a="1"/>
  <c r="D823" i="1" s="1"/>
  <c r="D875" i="1" a="1"/>
  <c r="D953" i="1" a="1"/>
  <c r="D899" i="1" a="1"/>
  <c r="D956" i="1" a="1"/>
  <c r="D850" i="1"/>
  <c r="D849" i="1"/>
  <c r="D848" i="1"/>
  <c r="D821" i="1" l="1"/>
  <c r="D931" i="1"/>
  <c r="D927" i="1"/>
  <c r="D929" i="1"/>
  <c r="D926" i="1"/>
  <c r="D854" i="1" a="1"/>
  <c r="D858" i="1" s="1"/>
  <c r="D822" i="1"/>
  <c r="D827" i="1" s="1" a="1"/>
  <c r="D935" i="1" a="1"/>
  <c r="D937" i="1" s="1"/>
  <c r="D955" i="1"/>
  <c r="D953" i="1"/>
  <c r="D954" i="1"/>
  <c r="D876" i="1"/>
  <c r="D877" i="1"/>
  <c r="D875" i="1"/>
  <c r="D958" i="1"/>
  <c r="D956" i="1"/>
  <c r="D957" i="1"/>
  <c r="D900" i="1"/>
  <c r="D901" i="1"/>
  <c r="D899" i="1"/>
  <c r="D830" i="1" l="1"/>
  <c r="D828" i="1"/>
  <c r="D831" i="1"/>
  <c r="D827" i="1"/>
  <c r="D832" i="1"/>
  <c r="D829" i="1"/>
  <c r="D962" i="1" a="1"/>
  <c r="D967" i="1" s="1"/>
  <c r="D936" i="1"/>
  <c r="D938" i="1"/>
  <c r="D935" i="1"/>
  <c r="D854" i="1"/>
  <c r="D859" i="1"/>
  <c r="D857" i="1"/>
  <c r="D856" i="1"/>
  <c r="D855" i="1"/>
  <c r="D940" i="1"/>
  <c r="D939" i="1"/>
  <c r="D908" i="1" a="1"/>
  <c r="D909" i="1" s="1"/>
  <c r="D881" i="1" a="1"/>
  <c r="D965" i="1" l="1"/>
  <c r="D966" i="1"/>
  <c r="D962" i="1"/>
  <c r="D964" i="1"/>
  <c r="D963" i="1"/>
  <c r="D910" i="1"/>
  <c r="D912" i="1"/>
  <c r="D911" i="1"/>
  <c r="D908" i="1"/>
  <c r="D913" i="1"/>
  <c r="D885" i="1"/>
  <c r="D882" i="1"/>
  <c r="D881" i="1"/>
  <c r="D883" i="1"/>
  <c r="D886" i="1"/>
  <c r="D884" i="1"/>
</calcChain>
</file>

<file path=xl/sharedStrings.xml><?xml version="1.0" encoding="utf-8"?>
<sst xmlns="http://schemas.openxmlformats.org/spreadsheetml/2006/main" count="1133" uniqueCount="166">
  <si>
    <t xml:space="preserve">EJEMPLO DE ANALISIS MATRICIAL DE UN MARCO CON VIGA COLUMNA BIDIMENSIONAL </t>
  </si>
  <si>
    <t>ELEMENTO 1, COLUMNA</t>
  </si>
  <si>
    <t>A:</t>
  </si>
  <si>
    <t>I:</t>
  </si>
  <si>
    <t>E:</t>
  </si>
  <si>
    <t>L:</t>
  </si>
  <si>
    <t xml:space="preserve">COEFICIENTES </t>
  </si>
  <si>
    <t>raz</t>
  </si>
  <si>
    <t>raax</t>
  </si>
  <si>
    <t>r=abx=rbax</t>
  </si>
  <si>
    <t>r11x= r22x</t>
  </si>
  <si>
    <t>r12x=r21x</t>
  </si>
  <si>
    <t>EI</t>
  </si>
  <si>
    <t>cm2</t>
  </si>
  <si>
    <t xml:space="preserve">cm </t>
  </si>
  <si>
    <t>Kgf/cm2</t>
  </si>
  <si>
    <t>MATRIZ DE RIGIDEZ LOCAL DEL ELEMENTO 1</t>
  </si>
  <si>
    <t>k1</t>
  </si>
  <si>
    <t>1x</t>
  </si>
  <si>
    <t>1z</t>
  </si>
  <si>
    <t>ϴ 1</t>
  </si>
  <si>
    <t>ax</t>
  </si>
  <si>
    <t>az</t>
  </si>
  <si>
    <t>ϴ a</t>
  </si>
  <si>
    <t>MATRIZ DE RIGIDEZ GLOBAL DEL ELEMENTO 1</t>
  </si>
  <si>
    <t>CUADR 1</t>
  </si>
  <si>
    <t>CUADR 2</t>
  </si>
  <si>
    <t>CUADR 3</t>
  </si>
  <si>
    <t>CUADR 4</t>
  </si>
  <si>
    <t>ϴ=</t>
  </si>
  <si>
    <t>Sen ϴ=</t>
  </si>
  <si>
    <t>Cos ϴ=</t>
  </si>
  <si>
    <t>B:</t>
  </si>
  <si>
    <t>C:</t>
  </si>
  <si>
    <t>D:</t>
  </si>
  <si>
    <t>Se usa el cuarto cuadrante porque suma fuerzas y resta cortantes (signo negativo).</t>
  </si>
  <si>
    <t>K1</t>
  </si>
  <si>
    <t>2x</t>
  </si>
  <si>
    <t>2z</t>
  </si>
  <si>
    <t>ϴ 2</t>
  </si>
  <si>
    <t>3x</t>
  </si>
  <si>
    <t>3z</t>
  </si>
  <si>
    <t>ϴ 3</t>
  </si>
  <si>
    <t>4x</t>
  </si>
  <si>
    <t>4z</t>
  </si>
  <si>
    <t>ϴ 4</t>
  </si>
  <si>
    <t>5x</t>
  </si>
  <si>
    <t>5z</t>
  </si>
  <si>
    <t>ϴ 5</t>
  </si>
  <si>
    <t>6x</t>
  </si>
  <si>
    <t>6z</t>
  </si>
  <si>
    <t>ϴ 6</t>
  </si>
  <si>
    <t>bx</t>
  </si>
  <si>
    <t>bz</t>
  </si>
  <si>
    <t>ϴ b</t>
  </si>
  <si>
    <t>cx</t>
  </si>
  <si>
    <t>cz</t>
  </si>
  <si>
    <t>ϴ c</t>
  </si>
  <si>
    <t>ELEMENTO 2, COLUMNA</t>
  </si>
  <si>
    <t>MATRIZ DE RIGIDEZ LOCAL DEL ELEMENTO 2</t>
  </si>
  <si>
    <t>MATRIZ DE RIGIDEZ GLOBAL DEL ELEMENTO 2</t>
  </si>
  <si>
    <t>ELEMENTO 3, COLUMNA</t>
  </si>
  <si>
    <t>cm4</t>
  </si>
  <si>
    <t>MATRIZ DE RIGIDEZ LOCAL DEL ELEMENTO 3</t>
  </si>
  <si>
    <t>MATRIZ DE RIGIDEZ GLOBAL DEL ELEMENTO 3</t>
  </si>
  <si>
    <t>ELEMENTO 4, COLUMNA</t>
  </si>
  <si>
    <t>MATRIZ DE RIGIDEZ LOCAL DEL ELEMENTO 4</t>
  </si>
  <si>
    <t>MATRIZ DE RIGIDEZ GLOBAL DEL ELEMENTO 4</t>
  </si>
  <si>
    <t xml:space="preserve">Debido a que  no hay restricciones en los grados de libertad se incorporan los 4 cuadrantes </t>
  </si>
  <si>
    <t>ELEMENTO 5, COLUMNA</t>
  </si>
  <si>
    <t>MATRIZ DE RIGIDEZ LOCAL DEL ELEMENTO 5</t>
  </si>
  <si>
    <t>k5</t>
  </si>
  <si>
    <t>MATRIZ DE RIGIDEZ GLOBAL DEL ELEMENTO 5</t>
  </si>
  <si>
    <t>ELEMENTO 6, COLUMNA</t>
  </si>
  <si>
    <t>MATRIZ DE RIGIDEZ LOCAL DEL ELEMENTO 6</t>
  </si>
  <si>
    <t>MATRIZ DE RIGIDEZ GLOBAL DEL ELEMENTO 6</t>
  </si>
  <si>
    <t>k6</t>
  </si>
  <si>
    <t>ELEMENTO 7, VIGA</t>
  </si>
  <si>
    <t>MATRIZ DE RIGIDEZ LOCAL DEL ELEMENTO 7</t>
  </si>
  <si>
    <t>MATRIZ DE RIGIDEZ GLOBAL DEL ELEMENTO 7</t>
  </si>
  <si>
    <t>k7</t>
  </si>
  <si>
    <t>ELEMENTO 8, VIGA</t>
  </si>
  <si>
    <t>MATRIZ DE RIGIDEZ LOCAL DEL ELEMENTO 8</t>
  </si>
  <si>
    <t>MATRIZ DE RIGIDEZ GLOBAL DEL ELEMENTO 8</t>
  </si>
  <si>
    <t>k8</t>
  </si>
  <si>
    <t>ELEMENTO 9, VIGA</t>
  </si>
  <si>
    <t>MATRIZ DE RIGIDEZ LOCAL DEL ELEMENTO 9</t>
  </si>
  <si>
    <t>MATRIZ DE RIGIDEZ GLOBAL DEL ELEMENTO 9</t>
  </si>
  <si>
    <t>k9</t>
  </si>
  <si>
    <t>ELEMENTO 10, VIGA</t>
  </si>
  <si>
    <t>MATRIZ DE RIGIDEZ LOCAL DEL ELEMENTO 10</t>
  </si>
  <si>
    <t>MATRIZ DE RIGIDEZ GLOBAL DEL ELEMENTO 10</t>
  </si>
  <si>
    <t>k10</t>
  </si>
  <si>
    <t>K10</t>
  </si>
  <si>
    <t>MATRIZ DE RIGIDEZ GLOBAL DEL SISTEMA ESTRUCTURAL</t>
  </si>
  <si>
    <t>KG</t>
  </si>
  <si>
    <t>TODAS LAS MATRICES SON SIMETRICAS CHECK</t>
  </si>
  <si>
    <t xml:space="preserve">DETERMINAR LOS DESPLAZAMIENTOS EN LOS GRADOS DE LIBERTAD </t>
  </si>
  <si>
    <t>F=K*u</t>
  </si>
  <si>
    <t>U=inv(k)*f</t>
  </si>
  <si>
    <t>GDL</t>
  </si>
  <si>
    <t>Fuerza</t>
  </si>
  <si>
    <t>kg</t>
  </si>
  <si>
    <t>kg-m</t>
  </si>
  <si>
    <t>kg-cm</t>
  </si>
  <si>
    <t>metros</t>
  </si>
  <si>
    <t>inversa K</t>
  </si>
  <si>
    <t>U</t>
  </si>
  <si>
    <t>U1x</t>
  </si>
  <si>
    <t>U1z</t>
  </si>
  <si>
    <t>Uϴ 1</t>
  </si>
  <si>
    <t>Uϴ 2</t>
  </si>
  <si>
    <t>U2x</t>
  </si>
  <si>
    <t>U2z</t>
  </si>
  <si>
    <t>U3x</t>
  </si>
  <si>
    <t>U3z</t>
  </si>
  <si>
    <t>Uϴ 3</t>
  </si>
  <si>
    <t>U4x</t>
  </si>
  <si>
    <t>U4z</t>
  </si>
  <si>
    <t>Uϴ 4</t>
  </si>
  <si>
    <t>U5x</t>
  </si>
  <si>
    <t>U5z</t>
  </si>
  <si>
    <t>Uϴ 5</t>
  </si>
  <si>
    <t>U6x</t>
  </si>
  <si>
    <t>U6z</t>
  </si>
  <si>
    <t>Uϴ 6</t>
  </si>
  <si>
    <t xml:space="preserve"> cm</t>
  </si>
  <si>
    <t>FUERZAS INTERNAS</t>
  </si>
  <si>
    <t>ELEMENTO 1</t>
  </si>
  <si>
    <t xml:space="preserve">Desplazamientos Globales  </t>
  </si>
  <si>
    <t>t:</t>
  </si>
  <si>
    <t>Fax</t>
  </si>
  <si>
    <t>Faz</t>
  </si>
  <si>
    <t>Ma</t>
  </si>
  <si>
    <t>F1x</t>
  </si>
  <si>
    <t>F1z</t>
  </si>
  <si>
    <t>M1</t>
  </si>
  <si>
    <t>ELEMENTO 2</t>
  </si>
  <si>
    <t>k2</t>
  </si>
  <si>
    <t>Fbx</t>
  </si>
  <si>
    <t>Fbz</t>
  </si>
  <si>
    <t>Mb</t>
  </si>
  <si>
    <t>F2x</t>
  </si>
  <si>
    <t>F2z</t>
  </si>
  <si>
    <t>M2</t>
  </si>
  <si>
    <t>ELEMENTO 3</t>
  </si>
  <si>
    <t>ELEMENTO 4</t>
  </si>
  <si>
    <t>ELEMENTO 5</t>
  </si>
  <si>
    <t>ELEMENTO 6</t>
  </si>
  <si>
    <t>Fcx</t>
  </si>
  <si>
    <t>Fcz</t>
  </si>
  <si>
    <t>Mc</t>
  </si>
  <si>
    <t>F3x</t>
  </si>
  <si>
    <t>F3z</t>
  </si>
  <si>
    <t>M3</t>
  </si>
  <si>
    <t>F4x</t>
  </si>
  <si>
    <t>F4z</t>
  </si>
  <si>
    <t>M4</t>
  </si>
  <si>
    <t>F5x</t>
  </si>
  <si>
    <t>F5z</t>
  </si>
  <si>
    <t>M5</t>
  </si>
  <si>
    <t>F6x</t>
  </si>
  <si>
    <t>F6z</t>
  </si>
  <si>
    <t>M6</t>
  </si>
  <si>
    <t>cm</t>
  </si>
  <si>
    <t>Marlon Ivan Carreto Rivera 201230088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</si>
</sst>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7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2" borderId="0" xfId="0" applyNumberFormat="1" applyFill="1"/>
    <xf numFmtId="164" fontId="0" fillId="6" borderId="0" xfId="0" applyNumberFormat="1" applyFill="1"/>
    <xf numFmtId="164" fontId="2" fillId="0" borderId="0" xfId="0" applyNumberFormat="1" applyFont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64" fontId="0" fillId="7" borderId="0" xfId="0" applyNumberFormat="1" applyFill="1" applyAlignment="1">
      <alignment horizontal="center"/>
    </xf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7" fontId="0" fillId="13" borderId="0" xfId="0" applyNumberFormat="1" applyFill="1"/>
    <xf numFmtId="164" fontId="1" fillId="0" borderId="0" xfId="0" applyNumberFormat="1" applyFont="1" applyAlignment="1">
      <alignment horizontal="center"/>
    </xf>
    <xf numFmtId="164" fontId="1" fillId="13" borderId="0" xfId="0" applyNumberFormat="1" applyFont="1" applyFill="1"/>
    <xf numFmtId="164" fontId="1" fillId="0" borderId="0" xfId="0" applyNumberFormat="1" applyFont="1"/>
    <xf numFmtId="164" fontId="0" fillId="5" borderId="0" xfId="0" applyNumberFormat="1" applyFill="1" applyAlignment="1">
      <alignment horizontal="center"/>
    </xf>
    <xf numFmtId="164" fontId="1" fillId="9" borderId="0" xfId="0" applyNumberFormat="1" applyFont="1" applyFill="1" applyAlignment="1">
      <alignment horizontal="center"/>
    </xf>
    <xf numFmtId="164" fontId="1" fillId="10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 vertical="center" wrapText="1"/>
    </xf>
    <xf numFmtId="164" fontId="0" fillId="7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 vertical="center" wrapText="1"/>
    </xf>
    <xf numFmtId="164" fontId="1" fillId="5" borderId="0" xfId="0" applyNumberFormat="1" applyFon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164" fontId="6" fillId="1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28576</xdr:colOff>
      <xdr:row>5</xdr:row>
      <xdr:rowOff>152400</xdr:rowOff>
    </xdr:from>
    <xdr:to>
      <xdr:col>10</xdr:col>
      <xdr:colOff>285554</xdr:colOff>
      <xdr:row>16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BEDC45-A68A-6FC3-09D4-E8367E4C0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4526" y="723900"/>
          <a:ext cx="3384030" cy="2047875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409576</xdr:colOff>
      <xdr:row>6</xdr:row>
      <xdr:rowOff>57150</xdr:rowOff>
    </xdr:from>
    <xdr:to>
      <xdr:col>6</xdr:col>
      <xdr:colOff>25112</xdr:colOff>
      <xdr:row>14</xdr:row>
      <xdr:rowOff>108003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E477C9-1074-429F-895A-77CD38724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1" y="819150"/>
          <a:ext cx="1428750" cy="1574853"/>
        </a:xfrm>
        <a:prstGeom prst="rect">
          <a:avLst/>
        </a:prstGeom>
      </xdr:spPr>
    </xdr:pic>
    <xdr:clientData/>
  </xdr:twoCellAnchor>
  <xdr:twoCellAnchor editAs="oneCell">
    <xdr:from>
      <xdr:col>10</xdr:col>
      <xdr:colOff>328332</xdr:colOff>
      <xdr:row>28</xdr:row>
      <xdr:rowOff>183216</xdr:rowOff>
    </xdr:from>
    <xdr:to>
      <xdr:col>12</xdr:col>
      <xdr:colOff>68330</xdr:colOff>
      <xdr:row>35</xdr:row>
      <xdr:rowOff>30981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F7F3FE-F084-0EF0-43EA-41DC4ED9C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5008" y="5136216"/>
          <a:ext cx="1648055" cy="1181265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314325</xdr:colOff>
      <xdr:row>36</xdr:row>
      <xdr:rowOff>104774</xdr:rowOff>
    </xdr:from>
    <xdr:to>
      <xdr:col>12</xdr:col>
      <xdr:colOff>136766</xdr:colOff>
      <xdr:row>44</xdr:row>
      <xdr:rowOff>95249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EBDAC2C-EF76-1662-81C2-07B44909C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0275" y="6581774"/>
          <a:ext cx="4853474" cy="1514475"/>
        </a:xfrm>
        <a:prstGeom prst="rect">
          <a:avLst/>
        </a:prstGeom>
      </xdr:spPr>
    </xdr:pic>
    <xdr:clientData/>
  </xdr:twoCellAnchor>
  <xdr:oneCellAnchor>
    <xdr:from>
      <xdr:col>7</xdr:col>
      <xdr:colOff>28576</xdr:colOff>
      <xdr:row>77</xdr:row>
      <xdr:rowOff>152400</xdr:rowOff>
    </xdr:from>
    <xdr:ext cx="3370175" cy="2047875"/>
    <xdr:pic>
      <xdr:nvPicPr>
        <xdr:cNvPr id="7" name="Imagen 6">
          <a:extLst>
            <a:ext uri="{FF2B5EF4-FFF2-40B4-BE49-F238E27FC236}">
              <a16:creationId xmlns:a16="http://schemas.microsoft.com/office/drawing/2014/main" id="{442B768E-2AB4-4849-BA32-A055D2A0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8940" y="723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78</xdr:row>
      <xdr:rowOff>57150</xdr:rowOff>
    </xdr:from>
    <xdr:ext cx="1426152" cy="1574853"/>
    <xdr:pic>
      <xdr:nvPicPr>
        <xdr:cNvPr id="8" name="Imagen 7">
          <a:extLst>
            <a:ext uri="{FF2B5EF4-FFF2-40B4-BE49-F238E27FC236}">
              <a16:creationId xmlns:a16="http://schemas.microsoft.com/office/drawing/2014/main" id="{3E5D986E-CE9A-44E5-913D-06A413882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440" y="819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100</xdr:row>
      <xdr:rowOff>183216</xdr:rowOff>
    </xdr:from>
    <xdr:ext cx="1648055" cy="1181265"/>
    <xdr:pic>
      <xdr:nvPicPr>
        <xdr:cNvPr id="9" name="Imagen 8">
          <a:extLst>
            <a:ext uri="{FF2B5EF4-FFF2-40B4-BE49-F238E27FC236}">
              <a16:creationId xmlns:a16="http://schemas.microsoft.com/office/drawing/2014/main" id="{D7E683D0-4D61-49E1-8D62-F27285DC7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3241" y="5136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108</xdr:row>
      <xdr:rowOff>104774</xdr:rowOff>
    </xdr:from>
    <xdr:ext cx="4839619" cy="1514475"/>
    <xdr:pic>
      <xdr:nvPicPr>
        <xdr:cNvPr id="10" name="Imagen 9">
          <a:extLst>
            <a:ext uri="{FF2B5EF4-FFF2-40B4-BE49-F238E27FC236}">
              <a16:creationId xmlns:a16="http://schemas.microsoft.com/office/drawing/2014/main" id="{9D4122B1-1931-4A96-8B5A-B7015FC94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4689" y="6581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149</xdr:row>
      <xdr:rowOff>152400</xdr:rowOff>
    </xdr:from>
    <xdr:ext cx="3370175" cy="2047875"/>
    <xdr:pic>
      <xdr:nvPicPr>
        <xdr:cNvPr id="4" name="Imagen 3">
          <a:extLst>
            <a:ext uri="{FF2B5EF4-FFF2-40B4-BE49-F238E27FC236}">
              <a16:creationId xmlns:a16="http://schemas.microsoft.com/office/drawing/2014/main" id="{699B447C-79BB-430A-BB7C-E0DCC12A3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5194" y="13688291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150</xdr:row>
      <xdr:rowOff>57150</xdr:rowOff>
    </xdr:from>
    <xdr:ext cx="1426152" cy="1574853"/>
    <xdr:pic>
      <xdr:nvPicPr>
        <xdr:cNvPr id="11" name="Imagen 10">
          <a:extLst>
            <a:ext uri="{FF2B5EF4-FFF2-40B4-BE49-F238E27FC236}">
              <a16:creationId xmlns:a16="http://schemas.microsoft.com/office/drawing/2014/main" id="{13C3F0BF-8939-49FB-9AFD-20D7C1A0B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6958" y="13773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172</xdr:row>
      <xdr:rowOff>183216</xdr:rowOff>
    </xdr:from>
    <xdr:ext cx="1648055" cy="1181265"/>
    <xdr:pic>
      <xdr:nvPicPr>
        <xdr:cNvPr id="12" name="Imagen 11">
          <a:extLst>
            <a:ext uri="{FF2B5EF4-FFF2-40B4-BE49-F238E27FC236}">
              <a16:creationId xmlns:a16="http://schemas.microsoft.com/office/drawing/2014/main" id="{77177066-B203-487D-9FAA-E20CBF9A1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82623" y="178616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180</xdr:row>
      <xdr:rowOff>104774</xdr:rowOff>
    </xdr:from>
    <xdr:ext cx="4839619" cy="1514475"/>
    <xdr:pic>
      <xdr:nvPicPr>
        <xdr:cNvPr id="13" name="Imagen 12">
          <a:extLst>
            <a:ext uri="{FF2B5EF4-FFF2-40B4-BE49-F238E27FC236}">
              <a16:creationId xmlns:a16="http://schemas.microsoft.com/office/drawing/2014/main" id="{D9B7B919-A65E-4336-8492-D3C3D0A12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60943" y="19224047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221</xdr:row>
      <xdr:rowOff>152400</xdr:rowOff>
    </xdr:from>
    <xdr:ext cx="3370175" cy="2047875"/>
    <xdr:pic>
      <xdr:nvPicPr>
        <xdr:cNvPr id="14" name="Imagen 13">
          <a:extLst>
            <a:ext uri="{FF2B5EF4-FFF2-40B4-BE49-F238E27FC236}">
              <a16:creationId xmlns:a16="http://schemas.microsoft.com/office/drawing/2014/main" id="{BF798727-E7D1-4755-85F9-01700A7EF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8940" y="28155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222</xdr:row>
      <xdr:rowOff>57150</xdr:rowOff>
    </xdr:from>
    <xdr:ext cx="1426152" cy="1574853"/>
    <xdr:pic>
      <xdr:nvPicPr>
        <xdr:cNvPr id="15" name="Imagen 14">
          <a:extLst>
            <a:ext uri="{FF2B5EF4-FFF2-40B4-BE49-F238E27FC236}">
              <a16:creationId xmlns:a16="http://schemas.microsoft.com/office/drawing/2014/main" id="{A867842F-625C-4711-8D47-12001C2E2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440" y="28251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244</xdr:row>
      <xdr:rowOff>183216</xdr:rowOff>
    </xdr:from>
    <xdr:ext cx="1648055" cy="1181265"/>
    <xdr:pic>
      <xdr:nvPicPr>
        <xdr:cNvPr id="16" name="Imagen 15">
          <a:extLst>
            <a:ext uri="{FF2B5EF4-FFF2-40B4-BE49-F238E27FC236}">
              <a16:creationId xmlns:a16="http://schemas.microsoft.com/office/drawing/2014/main" id="{A06EA4CB-7D4F-44B3-8B9D-91135421D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3241" y="32568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252</xdr:row>
      <xdr:rowOff>104774</xdr:rowOff>
    </xdr:from>
    <xdr:ext cx="4839619" cy="1514475"/>
    <xdr:pic>
      <xdr:nvPicPr>
        <xdr:cNvPr id="17" name="Imagen 16">
          <a:extLst>
            <a:ext uri="{FF2B5EF4-FFF2-40B4-BE49-F238E27FC236}">
              <a16:creationId xmlns:a16="http://schemas.microsoft.com/office/drawing/2014/main" id="{23D875D4-4419-40D4-9E84-588362313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4689" y="34013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293</xdr:row>
      <xdr:rowOff>152400</xdr:rowOff>
    </xdr:from>
    <xdr:ext cx="3370175" cy="2047875"/>
    <xdr:pic>
      <xdr:nvPicPr>
        <xdr:cNvPr id="18" name="Imagen 17">
          <a:extLst>
            <a:ext uri="{FF2B5EF4-FFF2-40B4-BE49-F238E27FC236}">
              <a16:creationId xmlns:a16="http://schemas.microsoft.com/office/drawing/2014/main" id="{8423E61E-6BF0-43D5-A831-C01FFF161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2370" y="41871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294</xdr:row>
      <xdr:rowOff>57150</xdr:rowOff>
    </xdr:from>
    <xdr:ext cx="1426152" cy="1574853"/>
    <xdr:pic>
      <xdr:nvPicPr>
        <xdr:cNvPr id="19" name="Imagen 18">
          <a:extLst>
            <a:ext uri="{FF2B5EF4-FFF2-40B4-BE49-F238E27FC236}">
              <a16:creationId xmlns:a16="http://schemas.microsoft.com/office/drawing/2014/main" id="{5B0B43BF-A77C-480E-A866-0636BF488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25664" y="41967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316</xdr:row>
      <xdr:rowOff>183216</xdr:rowOff>
    </xdr:from>
    <xdr:ext cx="1648055" cy="1181265"/>
    <xdr:pic>
      <xdr:nvPicPr>
        <xdr:cNvPr id="20" name="Imagen 19">
          <a:extLst>
            <a:ext uri="{FF2B5EF4-FFF2-40B4-BE49-F238E27FC236}">
              <a16:creationId xmlns:a16="http://schemas.microsoft.com/office/drawing/2014/main" id="{25FF6344-4489-40A2-A417-092916EB7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5008" y="46284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324</xdr:row>
      <xdr:rowOff>104774</xdr:rowOff>
    </xdr:from>
    <xdr:ext cx="4839619" cy="1514475"/>
    <xdr:pic>
      <xdr:nvPicPr>
        <xdr:cNvPr id="21" name="Imagen 20">
          <a:extLst>
            <a:ext uri="{FF2B5EF4-FFF2-40B4-BE49-F238E27FC236}">
              <a16:creationId xmlns:a16="http://schemas.microsoft.com/office/drawing/2014/main" id="{E3D90FB0-2F73-4E25-B3C7-F2F4332C7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8119" y="47729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365</xdr:row>
      <xdr:rowOff>152400</xdr:rowOff>
    </xdr:from>
    <xdr:ext cx="3370175" cy="2047875"/>
    <xdr:pic>
      <xdr:nvPicPr>
        <xdr:cNvPr id="22" name="Imagen 21">
          <a:extLst>
            <a:ext uri="{FF2B5EF4-FFF2-40B4-BE49-F238E27FC236}">
              <a16:creationId xmlns:a16="http://schemas.microsoft.com/office/drawing/2014/main" id="{687EBCE9-2461-4615-AD03-5365FE9F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8940" y="55587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366</xdr:row>
      <xdr:rowOff>57150</xdr:rowOff>
    </xdr:from>
    <xdr:ext cx="1426152" cy="1574853"/>
    <xdr:pic>
      <xdr:nvPicPr>
        <xdr:cNvPr id="23" name="Imagen 22">
          <a:extLst>
            <a:ext uri="{FF2B5EF4-FFF2-40B4-BE49-F238E27FC236}">
              <a16:creationId xmlns:a16="http://schemas.microsoft.com/office/drawing/2014/main" id="{39ECC2AB-E9DF-42D8-A0F8-C404D165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440" y="55683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388</xdr:row>
      <xdr:rowOff>183216</xdr:rowOff>
    </xdr:from>
    <xdr:ext cx="1648055" cy="1181265"/>
    <xdr:pic>
      <xdr:nvPicPr>
        <xdr:cNvPr id="24" name="Imagen 23">
          <a:extLst>
            <a:ext uri="{FF2B5EF4-FFF2-40B4-BE49-F238E27FC236}">
              <a16:creationId xmlns:a16="http://schemas.microsoft.com/office/drawing/2014/main" id="{B060911E-08BA-4938-8035-0AADF974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3241" y="60000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396</xdr:row>
      <xdr:rowOff>104774</xdr:rowOff>
    </xdr:from>
    <xdr:ext cx="4839619" cy="1514475"/>
    <xdr:pic>
      <xdr:nvPicPr>
        <xdr:cNvPr id="25" name="Imagen 24">
          <a:extLst>
            <a:ext uri="{FF2B5EF4-FFF2-40B4-BE49-F238E27FC236}">
              <a16:creationId xmlns:a16="http://schemas.microsoft.com/office/drawing/2014/main" id="{F732AABB-0FE4-44D3-B025-91D188B28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4689" y="61445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437</xdr:row>
      <xdr:rowOff>152400</xdr:rowOff>
    </xdr:from>
    <xdr:ext cx="3370175" cy="2047875"/>
    <xdr:pic>
      <xdr:nvPicPr>
        <xdr:cNvPr id="26" name="Imagen 25">
          <a:extLst>
            <a:ext uri="{FF2B5EF4-FFF2-40B4-BE49-F238E27FC236}">
              <a16:creationId xmlns:a16="http://schemas.microsoft.com/office/drawing/2014/main" id="{2C09D221-2E18-4EDD-B578-6C7361481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8940" y="69303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438</xdr:row>
      <xdr:rowOff>57150</xdr:rowOff>
    </xdr:from>
    <xdr:ext cx="1426152" cy="1574853"/>
    <xdr:pic>
      <xdr:nvPicPr>
        <xdr:cNvPr id="27" name="Imagen 26">
          <a:extLst>
            <a:ext uri="{FF2B5EF4-FFF2-40B4-BE49-F238E27FC236}">
              <a16:creationId xmlns:a16="http://schemas.microsoft.com/office/drawing/2014/main" id="{41784A93-FC0F-4B5B-BB2F-3A967FA06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440" y="69399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460</xdr:row>
      <xdr:rowOff>183216</xdr:rowOff>
    </xdr:from>
    <xdr:ext cx="1648055" cy="1181265"/>
    <xdr:pic>
      <xdr:nvPicPr>
        <xdr:cNvPr id="28" name="Imagen 27">
          <a:extLst>
            <a:ext uri="{FF2B5EF4-FFF2-40B4-BE49-F238E27FC236}">
              <a16:creationId xmlns:a16="http://schemas.microsoft.com/office/drawing/2014/main" id="{B0DE52F3-CE76-4280-964B-210D0D439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3241" y="73716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468</xdr:row>
      <xdr:rowOff>104774</xdr:rowOff>
    </xdr:from>
    <xdr:ext cx="4839619" cy="1514475"/>
    <xdr:pic>
      <xdr:nvPicPr>
        <xdr:cNvPr id="29" name="Imagen 28">
          <a:extLst>
            <a:ext uri="{FF2B5EF4-FFF2-40B4-BE49-F238E27FC236}">
              <a16:creationId xmlns:a16="http://schemas.microsoft.com/office/drawing/2014/main" id="{39CF055E-3B35-4452-B04F-A5ADB1C43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94689" y="75161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509</xdr:row>
      <xdr:rowOff>152400</xdr:rowOff>
    </xdr:from>
    <xdr:ext cx="3370175" cy="2047875"/>
    <xdr:pic>
      <xdr:nvPicPr>
        <xdr:cNvPr id="30" name="Imagen 29">
          <a:extLst>
            <a:ext uri="{FF2B5EF4-FFF2-40B4-BE49-F238E27FC236}">
              <a16:creationId xmlns:a16="http://schemas.microsoft.com/office/drawing/2014/main" id="{EC9224BB-33B7-4DA7-AD3D-93906994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3255" y="83019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510</xdr:row>
      <xdr:rowOff>57150</xdr:rowOff>
    </xdr:from>
    <xdr:ext cx="1426152" cy="1574853"/>
    <xdr:pic>
      <xdr:nvPicPr>
        <xdr:cNvPr id="31" name="Imagen 30">
          <a:extLst>
            <a:ext uri="{FF2B5EF4-FFF2-40B4-BE49-F238E27FC236}">
              <a16:creationId xmlns:a16="http://schemas.microsoft.com/office/drawing/2014/main" id="{22C2692F-B512-4D2F-991D-FB2CD3FC1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2505" y="83115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532</xdr:row>
      <xdr:rowOff>183216</xdr:rowOff>
    </xdr:from>
    <xdr:ext cx="1648055" cy="1181265"/>
    <xdr:pic>
      <xdr:nvPicPr>
        <xdr:cNvPr id="32" name="Imagen 31">
          <a:extLst>
            <a:ext uri="{FF2B5EF4-FFF2-40B4-BE49-F238E27FC236}">
              <a16:creationId xmlns:a16="http://schemas.microsoft.com/office/drawing/2014/main" id="{E997CBBC-55BA-4E24-9DEF-33F5AFD4C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42296" y="87432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540</xdr:row>
      <xdr:rowOff>104774</xdr:rowOff>
    </xdr:from>
    <xdr:ext cx="4839619" cy="1514475"/>
    <xdr:pic>
      <xdr:nvPicPr>
        <xdr:cNvPr id="33" name="Imagen 32">
          <a:extLst>
            <a:ext uri="{FF2B5EF4-FFF2-40B4-BE49-F238E27FC236}">
              <a16:creationId xmlns:a16="http://schemas.microsoft.com/office/drawing/2014/main" id="{88F7661E-1578-456C-8D0E-B8B7EF32A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9004" y="88877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581</xdr:row>
      <xdr:rowOff>152400</xdr:rowOff>
    </xdr:from>
    <xdr:ext cx="3370175" cy="2047875"/>
    <xdr:pic>
      <xdr:nvPicPr>
        <xdr:cNvPr id="34" name="Imagen 33">
          <a:extLst>
            <a:ext uri="{FF2B5EF4-FFF2-40B4-BE49-F238E27FC236}">
              <a16:creationId xmlns:a16="http://schemas.microsoft.com/office/drawing/2014/main" id="{475F7F68-451D-47C3-9DB4-7A9A6BF2F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1" y="96735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582</xdr:row>
      <xdr:rowOff>57150</xdr:rowOff>
    </xdr:from>
    <xdr:ext cx="1426152" cy="1574853"/>
    <xdr:pic>
      <xdr:nvPicPr>
        <xdr:cNvPr id="35" name="Imagen 34">
          <a:extLst>
            <a:ext uri="{FF2B5EF4-FFF2-40B4-BE49-F238E27FC236}">
              <a16:creationId xmlns:a16="http://schemas.microsoft.com/office/drawing/2014/main" id="{327FB999-67CE-441C-91CC-BF7728CD9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9514" y="96831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604</xdr:row>
      <xdr:rowOff>183216</xdr:rowOff>
    </xdr:from>
    <xdr:ext cx="1648055" cy="1181265"/>
    <xdr:pic>
      <xdr:nvPicPr>
        <xdr:cNvPr id="36" name="Imagen 35">
          <a:extLst>
            <a:ext uri="{FF2B5EF4-FFF2-40B4-BE49-F238E27FC236}">
              <a16:creationId xmlns:a16="http://schemas.microsoft.com/office/drawing/2014/main" id="{366E732D-0634-40D8-AEA1-6C7E61198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4145" y="101148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612</xdr:row>
      <xdr:rowOff>104774</xdr:rowOff>
    </xdr:from>
    <xdr:ext cx="4839619" cy="1514475"/>
    <xdr:pic>
      <xdr:nvPicPr>
        <xdr:cNvPr id="37" name="Imagen 36">
          <a:extLst>
            <a:ext uri="{FF2B5EF4-FFF2-40B4-BE49-F238E27FC236}">
              <a16:creationId xmlns:a16="http://schemas.microsoft.com/office/drawing/2014/main" id="{1450F62F-E70D-451F-9E17-CB7787675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0" y="102593774"/>
          <a:ext cx="4839619" cy="1514475"/>
        </a:xfrm>
        <a:prstGeom prst="rect">
          <a:avLst/>
        </a:prstGeom>
      </xdr:spPr>
    </xdr:pic>
    <xdr:clientData/>
  </xdr:oneCellAnchor>
  <xdr:oneCellAnchor>
    <xdr:from>
      <xdr:col>7</xdr:col>
      <xdr:colOff>28576</xdr:colOff>
      <xdr:row>653</xdr:row>
      <xdr:rowOff>152400</xdr:rowOff>
    </xdr:from>
    <xdr:ext cx="3370175" cy="2047875"/>
    <xdr:pic>
      <xdr:nvPicPr>
        <xdr:cNvPr id="38" name="Imagen 37">
          <a:extLst>
            <a:ext uri="{FF2B5EF4-FFF2-40B4-BE49-F238E27FC236}">
              <a16:creationId xmlns:a16="http://schemas.microsoft.com/office/drawing/2014/main" id="{83DEA3B3-EBAB-4069-8E32-9B6BF3FCF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1" y="110451900"/>
          <a:ext cx="3370175" cy="2047875"/>
        </a:xfrm>
        <a:prstGeom prst="rect">
          <a:avLst/>
        </a:prstGeom>
      </xdr:spPr>
    </xdr:pic>
    <xdr:clientData/>
  </xdr:oneCellAnchor>
  <xdr:oneCellAnchor>
    <xdr:from>
      <xdr:col>4</xdr:col>
      <xdr:colOff>409576</xdr:colOff>
      <xdr:row>654</xdr:row>
      <xdr:rowOff>57150</xdr:rowOff>
    </xdr:from>
    <xdr:ext cx="1426152" cy="1574853"/>
    <xdr:pic>
      <xdr:nvPicPr>
        <xdr:cNvPr id="39" name="Imagen 38">
          <a:extLst>
            <a:ext uri="{FF2B5EF4-FFF2-40B4-BE49-F238E27FC236}">
              <a16:creationId xmlns:a16="http://schemas.microsoft.com/office/drawing/2014/main" id="{5A79895E-0C78-47E4-9B44-7049C9868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9514" y="110547150"/>
          <a:ext cx="1426152" cy="1574853"/>
        </a:xfrm>
        <a:prstGeom prst="rect">
          <a:avLst/>
        </a:prstGeom>
      </xdr:spPr>
    </xdr:pic>
    <xdr:clientData/>
  </xdr:oneCellAnchor>
  <xdr:oneCellAnchor>
    <xdr:from>
      <xdr:col>10</xdr:col>
      <xdr:colOff>328332</xdr:colOff>
      <xdr:row>676</xdr:row>
      <xdr:rowOff>183216</xdr:rowOff>
    </xdr:from>
    <xdr:ext cx="1648055" cy="1181265"/>
    <xdr:pic>
      <xdr:nvPicPr>
        <xdr:cNvPr id="40" name="Imagen 39">
          <a:extLst>
            <a:ext uri="{FF2B5EF4-FFF2-40B4-BE49-F238E27FC236}">
              <a16:creationId xmlns:a16="http://schemas.microsoft.com/office/drawing/2014/main" id="{E8EC709C-32D8-4ACD-BFFF-745F7BD92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34145" y="114864216"/>
          <a:ext cx="1648055" cy="1181265"/>
        </a:xfrm>
        <a:prstGeom prst="rect">
          <a:avLst/>
        </a:prstGeom>
      </xdr:spPr>
    </xdr:pic>
    <xdr:clientData/>
  </xdr:oneCellAnchor>
  <xdr:oneCellAnchor>
    <xdr:from>
      <xdr:col>7</xdr:col>
      <xdr:colOff>314325</xdr:colOff>
      <xdr:row>684</xdr:row>
      <xdr:rowOff>104774</xdr:rowOff>
    </xdr:from>
    <xdr:ext cx="4839619" cy="1514475"/>
    <xdr:pic>
      <xdr:nvPicPr>
        <xdr:cNvPr id="41" name="Imagen 40">
          <a:extLst>
            <a:ext uri="{FF2B5EF4-FFF2-40B4-BE49-F238E27FC236}">
              <a16:creationId xmlns:a16="http://schemas.microsoft.com/office/drawing/2014/main" id="{F7665B1F-3F0D-4941-8E67-1611A75EA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72200" y="116309774"/>
          <a:ext cx="4839619" cy="1514475"/>
        </a:xfrm>
        <a:prstGeom prst="rect">
          <a:avLst/>
        </a:prstGeom>
      </xdr:spPr>
    </xdr:pic>
    <xdr:clientData/>
  </xdr:oneCellAnchor>
  <xdr:twoCellAnchor editAs="oneCell">
    <xdr:from>
      <xdr:col>12</xdr:col>
      <xdr:colOff>307521</xdr:colOff>
      <xdr:row>808</xdr:row>
      <xdr:rowOff>171451</xdr:rowOff>
    </xdr:from>
    <xdr:to>
      <xdr:col>14</xdr:col>
      <xdr:colOff>1029380</xdr:colOff>
      <xdr:row>815</xdr:row>
      <xdr:rowOff>171450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3982AC60-497C-FE6D-D955-0CAAFB6A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21292" y="149414594"/>
          <a:ext cx="2866345" cy="1295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EF42-2ACD-482D-8DFE-3F8C8E9FC543}">
  <dimension ref="A1:AB967"/>
  <sheetViews>
    <sheetView tabSelected="1" zoomScaleNormal="100" workbookViewId="0">
      <selection activeCell="M6" sqref="M6"/>
    </sheetView>
  </sheetViews>
  <sheetFormatPr baseColWidth="10" defaultColWidth="11.44140625" defaultRowHeight="14.4" x14ac:dyDescent="0.3"/>
  <cols>
    <col min="1" max="1" width="11.44140625" style="1"/>
    <col min="2" max="2" width="14.44140625" style="1" bestFit="1" customWidth="1"/>
    <col min="3" max="3" width="14.6640625" style="1" bestFit="1" customWidth="1"/>
    <col min="4" max="4" width="17.6640625" style="1" bestFit="1" customWidth="1"/>
    <col min="5" max="5" width="14.44140625" style="1" bestFit="1" customWidth="1"/>
    <col min="6" max="6" width="12.5546875" style="1" customWidth="1"/>
    <col min="7" max="7" width="17.33203125" style="1" bestFit="1" customWidth="1"/>
    <col min="8" max="8" width="14.44140625" style="1" bestFit="1" customWidth="1"/>
    <col min="9" max="9" width="15.44140625" style="1" customWidth="1"/>
    <col min="10" max="10" width="17" style="1" bestFit="1" customWidth="1"/>
    <col min="11" max="11" width="13.88671875" style="1" bestFit="1" customWidth="1"/>
    <col min="12" max="12" width="14.88671875" style="1" bestFit="1" customWidth="1"/>
    <col min="13" max="13" width="17.33203125" style="1" bestFit="1" customWidth="1"/>
    <col min="14" max="14" width="14" style="1" bestFit="1" customWidth="1"/>
    <col min="15" max="15" width="15.6640625" style="1" bestFit="1" customWidth="1"/>
    <col min="16" max="16" width="17.33203125" style="1" bestFit="1" customWidth="1"/>
    <col min="17" max="17" width="13.88671875" style="1" bestFit="1" customWidth="1"/>
    <col min="18" max="18" width="15.5546875" style="1" bestFit="1" customWidth="1"/>
    <col min="19" max="19" width="17.33203125" style="1" bestFit="1" customWidth="1"/>
    <col min="20" max="28" width="11.5546875" style="1" bestFit="1" customWidth="1"/>
    <col min="29" max="16384" width="11.44140625" style="1"/>
  </cols>
  <sheetData>
    <row r="1" spans="1:10" ht="23.4" x14ac:dyDescent="0.45">
      <c r="A1" s="29" t="s">
        <v>165</v>
      </c>
      <c r="B1" s="29"/>
      <c r="C1" s="29"/>
      <c r="D1" s="29"/>
      <c r="E1" s="29"/>
      <c r="F1" s="29"/>
      <c r="G1" s="29"/>
      <c r="H1" s="29"/>
      <c r="I1" s="29"/>
      <c r="J1" s="29"/>
    </row>
    <row r="3" spans="1:10" x14ac:dyDescent="0.3">
      <c r="A3" s="22" t="s">
        <v>0</v>
      </c>
      <c r="B3" s="22"/>
      <c r="C3" s="22"/>
      <c r="D3" s="22"/>
      <c r="E3" s="22"/>
      <c r="F3" s="22"/>
      <c r="G3" s="22"/>
      <c r="H3" s="22"/>
      <c r="I3" s="22"/>
      <c r="J3" s="22"/>
    </row>
    <row r="5" spans="1:10" x14ac:dyDescent="0.3">
      <c r="A5" s="21" t="s">
        <v>1</v>
      </c>
      <c r="B5" s="21"/>
      <c r="C5" s="21"/>
      <c r="D5" s="21"/>
      <c r="E5" s="21"/>
      <c r="F5" s="21"/>
      <c r="G5" s="21"/>
      <c r="H5" s="21"/>
      <c r="I5" s="21"/>
      <c r="J5" s="21"/>
    </row>
    <row r="7" spans="1:10" x14ac:dyDescent="0.3">
      <c r="A7" s="1" t="s">
        <v>2</v>
      </c>
      <c r="B7" s="1">
        <v>625</v>
      </c>
      <c r="C7" s="1" t="s">
        <v>13</v>
      </c>
    </row>
    <row r="8" spans="1:10" x14ac:dyDescent="0.3">
      <c r="A8" s="1" t="s">
        <v>3</v>
      </c>
      <c r="B8" s="1">
        <f>POWER(25,4)/12</f>
        <v>32552.083333333332</v>
      </c>
      <c r="C8" s="1" t="s">
        <v>62</v>
      </c>
    </row>
    <row r="9" spans="1:10" x14ac:dyDescent="0.3">
      <c r="A9" s="1" t="s">
        <v>5</v>
      </c>
      <c r="B9" s="1">
        <v>400</v>
      </c>
      <c r="C9" s="1" t="s">
        <v>164</v>
      </c>
    </row>
    <row r="10" spans="1:10" x14ac:dyDescent="0.3">
      <c r="A10" s="1" t="s">
        <v>4</v>
      </c>
      <c r="B10" s="1">
        <f>15100*SQRT(210)</f>
        <v>218819.78886746051</v>
      </c>
      <c r="C10" s="2" t="s">
        <v>15</v>
      </c>
    </row>
    <row r="12" spans="1:10" x14ac:dyDescent="0.3">
      <c r="B12" s="1" t="s">
        <v>6</v>
      </c>
    </row>
    <row r="13" spans="1:10" x14ac:dyDescent="0.3">
      <c r="B13" s="1" t="s">
        <v>7</v>
      </c>
      <c r="C13" s="3">
        <f>(B10*B7)/B9</f>
        <v>341905.92010540701</v>
      </c>
      <c r="D13" s="1" t="s">
        <v>12</v>
      </c>
    </row>
    <row r="14" spans="1:10" x14ac:dyDescent="0.3">
      <c r="B14" s="1" t="s">
        <v>8</v>
      </c>
      <c r="C14" s="3">
        <f>(12*B10*B8)/(B9^3)</f>
        <v>1335.5700004117459</v>
      </c>
      <c r="D14" s="1" t="s">
        <v>12</v>
      </c>
    </row>
    <row r="15" spans="1:10" x14ac:dyDescent="0.3">
      <c r="B15" s="1" t="s">
        <v>9</v>
      </c>
      <c r="C15" s="3">
        <f>(6*B10*B8)/(B9^2)</f>
        <v>267114.00008234923</v>
      </c>
      <c r="D15" s="1" t="s">
        <v>12</v>
      </c>
    </row>
    <row r="16" spans="1:10" x14ac:dyDescent="0.3">
      <c r="B16" s="1" t="s">
        <v>10</v>
      </c>
      <c r="C16" s="3">
        <f>+(4*B10*B8)/(B9)</f>
        <v>71230400.021959797</v>
      </c>
      <c r="D16" s="1" t="s">
        <v>12</v>
      </c>
    </row>
    <row r="17" spans="1:10" x14ac:dyDescent="0.3">
      <c r="B17" s="1" t="s">
        <v>11</v>
      </c>
      <c r="C17" s="3">
        <f>+(2*B10*B8)/B9</f>
        <v>35615200.010979898</v>
      </c>
      <c r="D17" s="1" t="s">
        <v>12</v>
      </c>
    </row>
    <row r="18" spans="1:10" x14ac:dyDescent="0.3">
      <c r="C18" s="4"/>
    </row>
    <row r="19" spans="1:10" x14ac:dyDescent="0.3">
      <c r="A19" s="23" t="s">
        <v>16</v>
      </c>
      <c r="B19" s="23"/>
      <c r="C19" s="23"/>
      <c r="D19" s="23"/>
      <c r="E19" s="23"/>
      <c r="F19" s="23"/>
      <c r="G19" s="23"/>
    </row>
    <row r="20" spans="1:10" x14ac:dyDescent="0.3">
      <c r="A20" s="1" t="s">
        <v>17</v>
      </c>
      <c r="B20" s="5" t="s">
        <v>18</v>
      </c>
      <c r="C20" s="5" t="s">
        <v>19</v>
      </c>
      <c r="D20" s="5" t="s">
        <v>20</v>
      </c>
      <c r="E20" s="5" t="s">
        <v>21</v>
      </c>
      <c r="F20" s="5" t="s">
        <v>22</v>
      </c>
      <c r="G20" s="5" t="s">
        <v>23</v>
      </c>
    </row>
    <row r="21" spans="1:10" x14ac:dyDescent="0.3">
      <c r="A21" s="5" t="s">
        <v>18</v>
      </c>
      <c r="B21" s="6">
        <f>+C13</f>
        <v>341905.92010540701</v>
      </c>
      <c r="C21" s="6">
        <v>0</v>
      </c>
      <c r="D21" s="6">
        <v>0</v>
      </c>
      <c r="E21" s="7">
        <f>+-C13</f>
        <v>-341905.92010540701</v>
      </c>
      <c r="F21" s="7">
        <v>0</v>
      </c>
      <c r="G21" s="7">
        <v>0</v>
      </c>
      <c r="H21" s="24" t="s">
        <v>35</v>
      </c>
      <c r="I21" s="24"/>
    </row>
    <row r="22" spans="1:10" x14ac:dyDescent="0.3">
      <c r="A22" s="5" t="s">
        <v>19</v>
      </c>
      <c r="B22" s="6">
        <v>0</v>
      </c>
      <c r="C22" s="6">
        <f>+C14</f>
        <v>1335.5700004117459</v>
      </c>
      <c r="D22" s="6">
        <f>+C15</f>
        <v>267114.00008234923</v>
      </c>
      <c r="E22" s="7">
        <v>0</v>
      </c>
      <c r="F22" s="7">
        <f>-C14</f>
        <v>-1335.5700004117459</v>
      </c>
      <c r="G22" s="7">
        <f>+C15</f>
        <v>267114.00008234923</v>
      </c>
      <c r="H22" s="24"/>
      <c r="I22" s="24"/>
    </row>
    <row r="23" spans="1:10" x14ac:dyDescent="0.3">
      <c r="A23" s="5" t="s">
        <v>20</v>
      </c>
      <c r="B23" s="6">
        <v>0</v>
      </c>
      <c r="C23" s="6">
        <f>+C15</f>
        <v>267114.00008234923</v>
      </c>
      <c r="D23" s="6">
        <f>+C16</f>
        <v>71230400.021959797</v>
      </c>
      <c r="E23" s="7">
        <v>0</v>
      </c>
      <c r="F23" s="7">
        <f>+-C15</f>
        <v>-267114.00008234923</v>
      </c>
      <c r="G23" s="7">
        <f>+C17</f>
        <v>35615200.010979898</v>
      </c>
      <c r="H23" s="24"/>
      <c r="I23" s="24"/>
    </row>
    <row r="24" spans="1:10" x14ac:dyDescent="0.3">
      <c r="A24" s="5" t="s">
        <v>21</v>
      </c>
      <c r="B24" s="8">
        <f>-C13</f>
        <v>-341905.92010540701</v>
      </c>
      <c r="C24" s="8">
        <v>0</v>
      </c>
      <c r="D24" s="8">
        <v>0</v>
      </c>
      <c r="E24" s="9">
        <f>+C13</f>
        <v>341905.92010540701</v>
      </c>
      <c r="F24" s="9">
        <v>0</v>
      </c>
      <c r="G24" s="9">
        <v>0</v>
      </c>
      <c r="H24" s="24"/>
      <c r="I24" s="24"/>
    </row>
    <row r="25" spans="1:10" ht="15" customHeight="1" x14ac:dyDescent="0.3">
      <c r="A25" s="5" t="s">
        <v>22</v>
      </c>
      <c r="B25" s="8">
        <v>0</v>
      </c>
      <c r="C25" s="8">
        <f>-C14</f>
        <v>-1335.5700004117459</v>
      </c>
      <c r="D25" s="8">
        <f>-C15</f>
        <v>-267114.00008234923</v>
      </c>
      <c r="E25" s="9">
        <v>0</v>
      </c>
      <c r="F25" s="9">
        <f>C14</f>
        <v>1335.5700004117459</v>
      </c>
      <c r="G25" s="9">
        <f>-C15</f>
        <v>-267114.00008234923</v>
      </c>
      <c r="H25" s="24"/>
      <c r="I25" s="24"/>
    </row>
    <row r="26" spans="1:10" ht="15" customHeight="1" x14ac:dyDescent="0.3">
      <c r="A26" s="5" t="s">
        <v>23</v>
      </c>
      <c r="B26" s="8">
        <v>0</v>
      </c>
      <c r="C26" s="8">
        <f>+C15</f>
        <v>267114.00008234923</v>
      </c>
      <c r="D26" s="8">
        <f>+C17</f>
        <v>35615200.010979898</v>
      </c>
      <c r="E26" s="9">
        <v>0</v>
      </c>
      <c r="F26" s="9">
        <f>-C15</f>
        <v>-267114.00008234923</v>
      </c>
      <c r="G26" s="9">
        <f>C16</f>
        <v>71230400.021959797</v>
      </c>
      <c r="H26" s="24"/>
      <c r="I26" s="24"/>
    </row>
    <row r="28" spans="1:10" x14ac:dyDescent="0.3">
      <c r="A28" s="23" t="s">
        <v>24</v>
      </c>
      <c r="B28" s="23"/>
      <c r="C28" s="23"/>
      <c r="D28" s="23"/>
      <c r="E28" s="23"/>
      <c r="F28" s="23"/>
      <c r="G28" s="23"/>
      <c r="H28" s="23"/>
      <c r="I28" s="23"/>
      <c r="J28" s="23"/>
    </row>
    <row r="29" spans="1:10" x14ac:dyDescent="0.3">
      <c r="A29" s="4"/>
      <c r="B29" s="4"/>
      <c r="C29" s="25" t="s">
        <v>25</v>
      </c>
      <c r="D29" s="25"/>
      <c r="E29" s="25" t="s">
        <v>26</v>
      </c>
      <c r="F29" s="25"/>
      <c r="G29" s="25" t="s">
        <v>27</v>
      </c>
      <c r="H29" s="25"/>
      <c r="I29" s="25" t="s">
        <v>28</v>
      </c>
      <c r="J29" s="25"/>
    </row>
    <row r="30" spans="1:10" x14ac:dyDescent="0.3">
      <c r="A30" s="4" t="s">
        <v>29</v>
      </c>
      <c r="B30" s="10">
        <v>90</v>
      </c>
      <c r="C30" s="4" t="s">
        <v>2</v>
      </c>
      <c r="D30" s="11">
        <f>+B21</f>
        <v>341905.92010540701</v>
      </c>
      <c r="E30" s="4" t="s">
        <v>2</v>
      </c>
      <c r="F30" s="11">
        <f>+E21</f>
        <v>-341905.92010540701</v>
      </c>
      <c r="G30" s="4" t="s">
        <v>2</v>
      </c>
      <c r="H30" s="11">
        <f>+B24</f>
        <v>-341905.92010540701</v>
      </c>
      <c r="I30" s="4" t="s">
        <v>2</v>
      </c>
      <c r="J30" s="12">
        <f>+E24</f>
        <v>341905.92010540701</v>
      </c>
    </row>
    <row r="31" spans="1:10" x14ac:dyDescent="0.3">
      <c r="A31" s="4" t="s">
        <v>30</v>
      </c>
      <c r="B31" s="4">
        <f>SIN(RADIANS(B30))</f>
        <v>1</v>
      </c>
      <c r="C31" s="4" t="s">
        <v>32</v>
      </c>
      <c r="D31" s="11">
        <f>+C22</f>
        <v>1335.5700004117459</v>
      </c>
      <c r="E31" s="4" t="s">
        <v>32</v>
      </c>
      <c r="F31" s="11">
        <f>+F22</f>
        <v>-1335.5700004117459</v>
      </c>
      <c r="G31" s="4" t="s">
        <v>32</v>
      </c>
      <c r="H31" s="11">
        <f>+C25</f>
        <v>-1335.5700004117459</v>
      </c>
      <c r="I31" s="4" t="s">
        <v>32</v>
      </c>
      <c r="J31" s="12">
        <f>+F25</f>
        <v>1335.5700004117459</v>
      </c>
    </row>
    <row r="32" spans="1:10" x14ac:dyDescent="0.3">
      <c r="A32" s="4" t="s">
        <v>31</v>
      </c>
      <c r="B32" s="4">
        <f>COS(RADIANS(B30))</f>
        <v>6.1257422745431001E-17</v>
      </c>
      <c r="C32" s="4" t="s">
        <v>33</v>
      </c>
      <c r="D32" s="11">
        <f>+D23</f>
        <v>71230400.021959797</v>
      </c>
      <c r="E32" s="4" t="s">
        <v>33</v>
      </c>
      <c r="F32" s="11">
        <f>+G23</f>
        <v>35615200.010979898</v>
      </c>
      <c r="G32" s="4" t="s">
        <v>33</v>
      </c>
      <c r="H32" s="11">
        <f>+D26</f>
        <v>35615200.010979898</v>
      </c>
      <c r="I32" s="4" t="s">
        <v>33</v>
      </c>
      <c r="J32" s="12">
        <f>+G26</f>
        <v>71230400.021959797</v>
      </c>
    </row>
    <row r="33" spans="1:28" x14ac:dyDescent="0.3">
      <c r="A33" s="4"/>
      <c r="B33" s="4"/>
      <c r="C33" s="4" t="s">
        <v>34</v>
      </c>
      <c r="D33" s="11">
        <f>+D22</f>
        <v>267114.00008234923</v>
      </c>
      <c r="E33" s="4" t="s">
        <v>34</v>
      </c>
      <c r="F33" s="11">
        <f>+G22</f>
        <v>267114.00008234923</v>
      </c>
      <c r="G33" s="4" t="s">
        <v>34</v>
      </c>
      <c r="H33" s="11">
        <f>+D25</f>
        <v>-267114.00008234923</v>
      </c>
      <c r="I33" s="4" t="s">
        <v>34</v>
      </c>
      <c r="J33" s="12">
        <f>+G25</f>
        <v>-267114.00008234923</v>
      </c>
    </row>
    <row r="34" spans="1:28" x14ac:dyDescent="0.3">
      <c r="C34" s="4" t="s">
        <v>4</v>
      </c>
      <c r="D34" s="11">
        <f>+C23</f>
        <v>267114.00008234923</v>
      </c>
      <c r="E34" s="4" t="s">
        <v>4</v>
      </c>
      <c r="F34" s="11">
        <f>+F23</f>
        <v>-267114.00008234923</v>
      </c>
      <c r="G34" s="4" t="s">
        <v>4</v>
      </c>
      <c r="H34" s="11">
        <f>+C26</f>
        <v>267114.00008234923</v>
      </c>
      <c r="I34" s="4" t="s">
        <v>4</v>
      </c>
      <c r="J34" s="12">
        <f>+F26</f>
        <v>-267114.00008234923</v>
      </c>
    </row>
    <row r="38" spans="1:28" x14ac:dyDescent="0.3">
      <c r="A38" s="1" t="s">
        <v>17</v>
      </c>
      <c r="B38" s="5" t="s">
        <v>18</v>
      </c>
      <c r="C38" s="5" t="s">
        <v>19</v>
      </c>
      <c r="D38" s="5" t="s">
        <v>20</v>
      </c>
      <c r="E38" s="5" t="s">
        <v>21</v>
      </c>
      <c r="F38" s="5" t="s">
        <v>22</v>
      </c>
      <c r="G38" s="5" t="s">
        <v>23</v>
      </c>
    </row>
    <row r="39" spans="1:28" x14ac:dyDescent="0.3">
      <c r="A39" s="5" t="str">
        <f t="array" ref="A39:A44">+TRANSPOSE(B38:G38)</f>
        <v>1x</v>
      </c>
      <c r="B39" s="6">
        <f>(J30*B32*B32)+(J31*B31*B31)</f>
        <v>1335.5700004117459</v>
      </c>
      <c r="C39" s="6">
        <f>(J30-J31)*B32*B31</f>
        <v>2.0862461910941136E-11</v>
      </c>
      <c r="D39" s="6">
        <f>-J33*B31</f>
        <v>267114.00008234923</v>
      </c>
      <c r="E39" s="7">
        <v>0</v>
      </c>
      <c r="F39" s="7">
        <v>0</v>
      </c>
      <c r="G39" s="7">
        <v>0</v>
      </c>
    </row>
    <row r="40" spans="1:28" x14ac:dyDescent="0.3">
      <c r="A40" s="5" t="str">
        <v>1z</v>
      </c>
      <c r="B40" s="6">
        <f>(J30-J31)*B32*B31</f>
        <v>2.0862461910941136E-11</v>
      </c>
      <c r="C40" s="6">
        <f>+(J30*B31*B31)+(J31*B32*B32)</f>
        <v>341905.92010540701</v>
      </c>
      <c r="D40" s="6">
        <f>J33*B32</f>
        <v>-1.6362715224267559E-11</v>
      </c>
      <c r="E40" s="7">
        <v>0</v>
      </c>
      <c r="F40" s="7">
        <v>0</v>
      </c>
      <c r="G40" s="7">
        <v>0</v>
      </c>
    </row>
    <row r="41" spans="1:28" x14ac:dyDescent="0.3">
      <c r="A41" s="5" t="str">
        <v>ϴ 1</v>
      </c>
      <c r="B41" s="6">
        <f>-J34*B31</f>
        <v>267114.00008234923</v>
      </c>
      <c r="C41" s="6">
        <f>J34*B32</f>
        <v>-1.6362715224267559E-11</v>
      </c>
      <c r="D41" s="6">
        <f>+J32</f>
        <v>71230400.021959797</v>
      </c>
      <c r="E41" s="7">
        <v>0</v>
      </c>
      <c r="F41" s="7">
        <v>0</v>
      </c>
      <c r="G41" s="7">
        <v>0</v>
      </c>
    </row>
    <row r="42" spans="1:28" x14ac:dyDescent="0.3">
      <c r="A42" s="5" t="str">
        <v>ax</v>
      </c>
      <c r="B42" s="8">
        <v>0</v>
      </c>
      <c r="C42" s="8">
        <v>0</v>
      </c>
      <c r="D42" s="8">
        <v>0</v>
      </c>
      <c r="E42" s="9">
        <v>0</v>
      </c>
      <c r="F42" s="9">
        <v>0</v>
      </c>
      <c r="G42" s="9">
        <v>0</v>
      </c>
    </row>
    <row r="43" spans="1:28" x14ac:dyDescent="0.3">
      <c r="A43" s="5" t="str">
        <v>az</v>
      </c>
      <c r="B43" s="8">
        <v>0</v>
      </c>
      <c r="C43" s="8">
        <v>0</v>
      </c>
      <c r="D43" s="8">
        <v>0</v>
      </c>
      <c r="E43" s="9">
        <v>0</v>
      </c>
      <c r="F43" s="9">
        <v>0</v>
      </c>
      <c r="G43" s="9">
        <v>0</v>
      </c>
    </row>
    <row r="44" spans="1:28" x14ac:dyDescent="0.3">
      <c r="A44" s="5" t="str">
        <v>ϴ a</v>
      </c>
      <c r="B44" s="8">
        <v>0</v>
      </c>
      <c r="C44" s="8">
        <v>0</v>
      </c>
      <c r="D44" s="8">
        <v>0</v>
      </c>
      <c r="E44" s="9">
        <v>0</v>
      </c>
      <c r="F44" s="9">
        <v>0</v>
      </c>
      <c r="G44" s="9">
        <v>0</v>
      </c>
    </row>
    <row r="47" spans="1:28" x14ac:dyDescent="0.3">
      <c r="A47" s="1" t="s">
        <v>36</v>
      </c>
      <c r="B47" s="13" t="s">
        <v>18</v>
      </c>
      <c r="C47" s="13" t="s">
        <v>19</v>
      </c>
      <c r="D47" s="13" t="s">
        <v>20</v>
      </c>
      <c r="E47" s="13" t="s">
        <v>37</v>
      </c>
      <c r="F47" s="13" t="s">
        <v>38</v>
      </c>
      <c r="G47" s="13" t="s">
        <v>39</v>
      </c>
      <c r="H47" s="13" t="s">
        <v>40</v>
      </c>
      <c r="I47" s="13" t="s">
        <v>41</v>
      </c>
      <c r="J47" s="13" t="s">
        <v>42</v>
      </c>
      <c r="K47" s="13" t="s">
        <v>43</v>
      </c>
      <c r="L47" s="13" t="s">
        <v>44</v>
      </c>
      <c r="M47" s="13" t="s">
        <v>45</v>
      </c>
      <c r="N47" s="13" t="s">
        <v>46</v>
      </c>
      <c r="O47" s="13" t="s">
        <v>47</v>
      </c>
      <c r="P47" s="13" t="s">
        <v>48</v>
      </c>
      <c r="Q47" s="13" t="s">
        <v>49</v>
      </c>
      <c r="R47" s="13" t="s">
        <v>50</v>
      </c>
      <c r="S47" s="13" t="s">
        <v>51</v>
      </c>
      <c r="T47" s="13" t="s">
        <v>21</v>
      </c>
      <c r="U47" s="13" t="s">
        <v>22</v>
      </c>
      <c r="V47" s="13" t="s">
        <v>23</v>
      </c>
      <c r="W47" s="13" t="s">
        <v>52</v>
      </c>
      <c r="X47" s="13" t="s">
        <v>53</v>
      </c>
      <c r="Y47" s="13" t="s">
        <v>54</v>
      </c>
      <c r="Z47" s="13" t="s">
        <v>55</v>
      </c>
      <c r="AA47" s="13" t="s">
        <v>56</v>
      </c>
      <c r="AB47" s="13" t="s">
        <v>57</v>
      </c>
    </row>
    <row r="48" spans="1:28" x14ac:dyDescent="0.3">
      <c r="A48" s="13" t="str">
        <f t="array" ref="A48:A74">TRANSPOSE(B47:AB47)</f>
        <v>1x</v>
      </c>
      <c r="B48" s="1">
        <f t="array" ref="B48:D50">B39:D41</f>
        <v>1335.5700004117459</v>
      </c>
      <c r="C48" s="1">
        <v>2.0862461910941136E-11</v>
      </c>
      <c r="D48" s="1">
        <v>267114.00008234923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</row>
    <row r="49" spans="1:28" x14ac:dyDescent="0.3">
      <c r="A49" s="13" t="str">
        <v>1z</v>
      </c>
      <c r="B49" s="1">
        <v>2.0862461910941136E-11</v>
      </c>
      <c r="C49" s="1">
        <v>341905.92010540701</v>
      </c>
      <c r="D49" s="1">
        <v>-1.6362715224267559E-11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</row>
    <row r="50" spans="1:28" x14ac:dyDescent="0.3">
      <c r="A50" s="13" t="str">
        <v>ϴ 1</v>
      </c>
      <c r="B50" s="1">
        <v>267114.00008234923</v>
      </c>
      <c r="C50" s="1">
        <v>-1.6362715224267559E-11</v>
      </c>
      <c r="D50" s="1">
        <v>71230400.021959797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</row>
    <row r="51" spans="1:28" x14ac:dyDescent="0.3">
      <c r="A51" s="13" t="str">
        <v>2x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</row>
    <row r="52" spans="1:28" x14ac:dyDescent="0.3">
      <c r="A52" s="13" t="str">
        <v>2z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</row>
    <row r="53" spans="1:28" x14ac:dyDescent="0.3">
      <c r="A53" s="13" t="str">
        <v>ϴ 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</row>
    <row r="54" spans="1:28" x14ac:dyDescent="0.3">
      <c r="A54" s="13" t="str">
        <v>3x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</row>
    <row r="55" spans="1:28" x14ac:dyDescent="0.3">
      <c r="A55" s="13" t="str">
        <v>3z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</row>
    <row r="56" spans="1:28" x14ac:dyDescent="0.3">
      <c r="A56" s="13" t="str">
        <v>ϴ 3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</row>
    <row r="57" spans="1:28" x14ac:dyDescent="0.3">
      <c r="A57" s="13" t="str">
        <v>4x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</row>
    <row r="58" spans="1:28" x14ac:dyDescent="0.3">
      <c r="A58" s="13" t="str">
        <v>4z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</row>
    <row r="59" spans="1:28" x14ac:dyDescent="0.3">
      <c r="A59" s="13" t="str">
        <v>ϴ 4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</row>
    <row r="60" spans="1:28" x14ac:dyDescent="0.3">
      <c r="A60" s="13" t="str">
        <v>5x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</row>
    <row r="61" spans="1:28" x14ac:dyDescent="0.3">
      <c r="A61" s="13" t="str">
        <v>5z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</row>
    <row r="62" spans="1:28" x14ac:dyDescent="0.3">
      <c r="A62" s="13" t="str">
        <v>ϴ 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</row>
    <row r="63" spans="1:28" x14ac:dyDescent="0.3">
      <c r="A63" s="13" t="str">
        <v>6x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</row>
    <row r="64" spans="1:28" x14ac:dyDescent="0.3">
      <c r="A64" s="13" t="str">
        <v>6z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</row>
    <row r="65" spans="1:28" x14ac:dyDescent="0.3">
      <c r="A65" s="13" t="str">
        <v>ϴ 6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</row>
    <row r="66" spans="1:28" x14ac:dyDescent="0.3">
      <c r="A66" s="13" t="str">
        <v>ax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</row>
    <row r="67" spans="1:28" x14ac:dyDescent="0.3">
      <c r="A67" s="13" t="str">
        <v>az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</row>
    <row r="68" spans="1:28" x14ac:dyDescent="0.3">
      <c r="A68" s="13" t="str">
        <v>ϴ a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</row>
    <row r="69" spans="1:28" x14ac:dyDescent="0.3">
      <c r="A69" s="13" t="str">
        <v>bx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</row>
    <row r="70" spans="1:28" x14ac:dyDescent="0.3">
      <c r="A70" s="13" t="str">
        <v>bz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</row>
    <row r="71" spans="1:28" x14ac:dyDescent="0.3">
      <c r="A71" s="13" t="str">
        <v>ϴ b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</row>
    <row r="72" spans="1:28" x14ac:dyDescent="0.3">
      <c r="A72" s="13" t="str">
        <v>cx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</row>
    <row r="73" spans="1:28" x14ac:dyDescent="0.3">
      <c r="A73" s="13" t="str">
        <v>cz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</row>
    <row r="74" spans="1:28" x14ac:dyDescent="0.3">
      <c r="A74" s="13" t="str">
        <v>ϴ c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</row>
    <row r="77" spans="1:28" x14ac:dyDescent="0.3">
      <c r="A77" s="21" t="s">
        <v>58</v>
      </c>
      <c r="B77" s="21"/>
      <c r="C77" s="21"/>
      <c r="D77" s="21"/>
      <c r="E77" s="21"/>
      <c r="F77" s="21"/>
      <c r="G77" s="21"/>
      <c r="H77" s="21"/>
      <c r="I77" s="21"/>
      <c r="J77" s="21"/>
    </row>
    <row r="79" spans="1:28" x14ac:dyDescent="0.3">
      <c r="A79" s="1" t="s">
        <v>2</v>
      </c>
      <c r="B79" s="1">
        <v>625</v>
      </c>
      <c r="C79" s="1" t="s">
        <v>13</v>
      </c>
    </row>
    <row r="80" spans="1:28" x14ac:dyDescent="0.3">
      <c r="A80" s="1" t="s">
        <v>3</v>
      </c>
      <c r="B80" s="1">
        <f>POWER(25,4)/12</f>
        <v>32552.083333333332</v>
      </c>
      <c r="C80" s="1" t="s">
        <v>62</v>
      </c>
    </row>
    <row r="81" spans="1:9" x14ac:dyDescent="0.3">
      <c r="A81" s="1" t="s">
        <v>5</v>
      </c>
      <c r="B81" s="1">
        <v>400</v>
      </c>
      <c r="C81" s="1" t="s">
        <v>14</v>
      </c>
    </row>
    <row r="82" spans="1:9" x14ac:dyDescent="0.3">
      <c r="A82" s="1" t="s">
        <v>4</v>
      </c>
      <c r="B82" s="1">
        <f>15100*SQRT(210)</f>
        <v>218819.78886746051</v>
      </c>
      <c r="C82" s="2" t="s">
        <v>15</v>
      </c>
    </row>
    <row r="84" spans="1:9" x14ac:dyDescent="0.3">
      <c r="B84" s="1" t="s">
        <v>6</v>
      </c>
    </row>
    <row r="85" spans="1:9" x14ac:dyDescent="0.3">
      <c r="B85" s="1" t="s">
        <v>7</v>
      </c>
      <c r="C85" s="3">
        <f>(B82*B79)/B81</f>
        <v>341905.92010540701</v>
      </c>
      <c r="D85" s="1" t="s">
        <v>12</v>
      </c>
    </row>
    <row r="86" spans="1:9" x14ac:dyDescent="0.3">
      <c r="B86" s="1" t="s">
        <v>8</v>
      </c>
      <c r="C86" s="3">
        <f>(12*B82*B80)/(B81^3)</f>
        <v>1335.5700004117459</v>
      </c>
      <c r="D86" s="1" t="s">
        <v>12</v>
      </c>
    </row>
    <row r="87" spans="1:9" x14ac:dyDescent="0.3">
      <c r="B87" s="1" t="s">
        <v>9</v>
      </c>
      <c r="C87" s="3">
        <f>(6*B82*B80)/(B81^2)</f>
        <v>267114.00008234923</v>
      </c>
      <c r="D87" s="1" t="s">
        <v>12</v>
      </c>
    </row>
    <row r="88" spans="1:9" x14ac:dyDescent="0.3">
      <c r="B88" s="1" t="s">
        <v>10</v>
      </c>
      <c r="C88" s="3">
        <f>+(4*B82*B80)/(B81)</f>
        <v>71230400.021959797</v>
      </c>
      <c r="D88" s="1" t="s">
        <v>12</v>
      </c>
    </row>
    <row r="89" spans="1:9" x14ac:dyDescent="0.3">
      <c r="B89" s="1" t="s">
        <v>11</v>
      </c>
      <c r="C89" s="3">
        <f>+(2*B82*B80)/B81</f>
        <v>35615200.010979898</v>
      </c>
      <c r="D89" s="1" t="s">
        <v>12</v>
      </c>
    </row>
    <row r="90" spans="1:9" x14ac:dyDescent="0.3">
      <c r="C90" s="4"/>
    </row>
    <row r="91" spans="1:9" x14ac:dyDescent="0.3">
      <c r="A91" s="23" t="s">
        <v>59</v>
      </c>
      <c r="B91" s="23"/>
      <c r="C91" s="23"/>
      <c r="D91" s="23"/>
      <c r="E91" s="23"/>
      <c r="F91" s="23"/>
      <c r="G91" s="23"/>
    </row>
    <row r="92" spans="1:9" x14ac:dyDescent="0.3">
      <c r="A92" s="1" t="s">
        <v>138</v>
      </c>
      <c r="B92" s="5" t="s">
        <v>37</v>
      </c>
      <c r="C92" s="5" t="s">
        <v>38</v>
      </c>
      <c r="D92" s="5" t="s">
        <v>39</v>
      </c>
      <c r="E92" s="5" t="s">
        <v>52</v>
      </c>
      <c r="F92" s="5" t="s">
        <v>53</v>
      </c>
      <c r="G92" s="5" t="s">
        <v>54</v>
      </c>
    </row>
    <row r="93" spans="1:9" x14ac:dyDescent="0.3">
      <c r="A93" s="5" t="str">
        <f t="array" ref="A93:A98">TRANSPOSE(B92:G92)</f>
        <v>2x</v>
      </c>
      <c r="B93" s="6">
        <f>+C85</f>
        <v>341905.92010540701</v>
      </c>
      <c r="C93" s="6">
        <v>0</v>
      </c>
      <c r="D93" s="6">
        <v>0</v>
      </c>
      <c r="E93" s="7">
        <f>+-C85</f>
        <v>-341905.92010540701</v>
      </c>
      <c r="F93" s="7">
        <v>0</v>
      </c>
      <c r="G93" s="7">
        <v>0</v>
      </c>
      <c r="H93" s="24" t="s">
        <v>35</v>
      </c>
      <c r="I93" s="24"/>
    </row>
    <row r="94" spans="1:9" x14ac:dyDescent="0.3">
      <c r="A94" s="5" t="str">
        <v>2z</v>
      </c>
      <c r="B94" s="6">
        <v>0</v>
      </c>
      <c r="C94" s="6">
        <f>+C86</f>
        <v>1335.5700004117459</v>
      </c>
      <c r="D94" s="6">
        <f>+C87</f>
        <v>267114.00008234923</v>
      </c>
      <c r="E94" s="7">
        <v>0</v>
      </c>
      <c r="F94" s="7">
        <f>-C86</f>
        <v>-1335.5700004117459</v>
      </c>
      <c r="G94" s="7">
        <f>+C87</f>
        <v>267114.00008234923</v>
      </c>
      <c r="H94" s="24"/>
      <c r="I94" s="24"/>
    </row>
    <row r="95" spans="1:9" x14ac:dyDescent="0.3">
      <c r="A95" s="5" t="str">
        <v>ϴ 2</v>
      </c>
      <c r="B95" s="6">
        <v>0</v>
      </c>
      <c r="C95" s="6">
        <f>+C87</f>
        <v>267114.00008234923</v>
      </c>
      <c r="D95" s="6">
        <f>+C88</f>
        <v>71230400.021959797</v>
      </c>
      <c r="E95" s="7">
        <v>0</v>
      </c>
      <c r="F95" s="7">
        <f>+-C87</f>
        <v>-267114.00008234923</v>
      </c>
      <c r="G95" s="7">
        <f>+C89</f>
        <v>35615200.010979898</v>
      </c>
      <c r="H95" s="24"/>
      <c r="I95" s="24"/>
    </row>
    <row r="96" spans="1:9" x14ac:dyDescent="0.3">
      <c r="A96" s="5" t="str">
        <v>bx</v>
      </c>
      <c r="B96" s="8">
        <f>-C85</f>
        <v>-341905.92010540701</v>
      </c>
      <c r="C96" s="8">
        <v>0</v>
      </c>
      <c r="D96" s="8">
        <v>0</v>
      </c>
      <c r="E96" s="9">
        <f>+C85</f>
        <v>341905.92010540701</v>
      </c>
      <c r="F96" s="9">
        <v>0</v>
      </c>
      <c r="G96" s="9">
        <v>0</v>
      </c>
      <c r="H96" s="24"/>
      <c r="I96" s="24"/>
    </row>
    <row r="97" spans="1:10" x14ac:dyDescent="0.3">
      <c r="A97" s="5" t="str">
        <v>bz</v>
      </c>
      <c r="B97" s="8">
        <v>0</v>
      </c>
      <c r="C97" s="8">
        <f>-C86</f>
        <v>-1335.5700004117459</v>
      </c>
      <c r="D97" s="8">
        <f>-C87</f>
        <v>-267114.00008234923</v>
      </c>
      <c r="E97" s="9">
        <v>0</v>
      </c>
      <c r="F97" s="9">
        <f>C86</f>
        <v>1335.5700004117459</v>
      </c>
      <c r="G97" s="9">
        <f>-C87</f>
        <v>-267114.00008234923</v>
      </c>
      <c r="H97" s="24"/>
      <c r="I97" s="24"/>
    </row>
    <row r="98" spans="1:10" x14ac:dyDescent="0.3">
      <c r="A98" s="5" t="str">
        <v>ϴ b</v>
      </c>
      <c r="B98" s="8">
        <v>0</v>
      </c>
      <c r="C98" s="8">
        <f>+C87</f>
        <v>267114.00008234923</v>
      </c>
      <c r="D98" s="8">
        <f>+C89</f>
        <v>35615200.010979898</v>
      </c>
      <c r="E98" s="9">
        <v>0</v>
      </c>
      <c r="F98" s="9">
        <f>-C87</f>
        <v>-267114.00008234923</v>
      </c>
      <c r="G98" s="9">
        <f>C88</f>
        <v>71230400.021959797</v>
      </c>
      <c r="H98" s="24"/>
      <c r="I98" s="24"/>
    </row>
    <row r="100" spans="1:10" x14ac:dyDescent="0.3">
      <c r="A100" s="23" t="s">
        <v>60</v>
      </c>
      <c r="B100" s="23"/>
      <c r="C100" s="23"/>
      <c r="D100" s="23"/>
      <c r="E100" s="23"/>
      <c r="F100" s="23"/>
      <c r="G100" s="23"/>
      <c r="H100" s="23"/>
      <c r="I100" s="23"/>
      <c r="J100" s="23"/>
    </row>
    <row r="101" spans="1:10" x14ac:dyDescent="0.3">
      <c r="A101" s="4"/>
      <c r="B101" s="4"/>
      <c r="C101" s="25" t="s">
        <v>25</v>
      </c>
      <c r="D101" s="25"/>
      <c r="E101" s="25" t="s">
        <v>26</v>
      </c>
      <c r="F101" s="25"/>
      <c r="G101" s="25" t="s">
        <v>27</v>
      </c>
      <c r="H101" s="25"/>
      <c r="I101" s="25" t="s">
        <v>28</v>
      </c>
      <c r="J101" s="25"/>
    </row>
    <row r="102" spans="1:10" x14ac:dyDescent="0.3">
      <c r="A102" s="4" t="s">
        <v>29</v>
      </c>
      <c r="B102" s="10">
        <v>90</v>
      </c>
      <c r="C102" s="4" t="s">
        <v>2</v>
      </c>
      <c r="D102" s="11">
        <f>+B93</f>
        <v>341905.92010540701</v>
      </c>
      <c r="E102" s="4" t="s">
        <v>2</v>
      </c>
      <c r="F102" s="11">
        <f>+E93</f>
        <v>-341905.92010540701</v>
      </c>
      <c r="G102" s="4" t="s">
        <v>2</v>
      </c>
      <c r="H102" s="11">
        <f>+B96</f>
        <v>-341905.92010540701</v>
      </c>
      <c r="I102" s="4" t="s">
        <v>2</v>
      </c>
      <c r="J102" s="12">
        <f>+E96</f>
        <v>341905.92010540701</v>
      </c>
    </row>
    <row r="103" spans="1:10" x14ac:dyDescent="0.3">
      <c r="A103" s="4" t="s">
        <v>30</v>
      </c>
      <c r="B103" s="4">
        <f>SIN(RADIANS(B102))</f>
        <v>1</v>
      </c>
      <c r="C103" s="4" t="s">
        <v>32</v>
      </c>
      <c r="D103" s="11">
        <f>+C94</f>
        <v>1335.5700004117459</v>
      </c>
      <c r="E103" s="4" t="s">
        <v>32</v>
      </c>
      <c r="F103" s="11">
        <f>+F94</f>
        <v>-1335.5700004117459</v>
      </c>
      <c r="G103" s="4" t="s">
        <v>32</v>
      </c>
      <c r="H103" s="11">
        <f>+C97</f>
        <v>-1335.5700004117459</v>
      </c>
      <c r="I103" s="4" t="s">
        <v>32</v>
      </c>
      <c r="J103" s="12">
        <f>+F97</f>
        <v>1335.5700004117459</v>
      </c>
    </row>
    <row r="104" spans="1:10" x14ac:dyDescent="0.3">
      <c r="A104" s="4" t="s">
        <v>31</v>
      </c>
      <c r="B104" s="4">
        <f>COS(RADIANS(B102))</f>
        <v>6.1257422745431001E-17</v>
      </c>
      <c r="C104" s="4" t="s">
        <v>33</v>
      </c>
      <c r="D104" s="11">
        <f>+D95</f>
        <v>71230400.021959797</v>
      </c>
      <c r="E104" s="4" t="s">
        <v>33</v>
      </c>
      <c r="F104" s="11">
        <f>+G95</f>
        <v>35615200.010979898</v>
      </c>
      <c r="G104" s="4" t="s">
        <v>33</v>
      </c>
      <c r="H104" s="11">
        <f>+D98</f>
        <v>35615200.010979898</v>
      </c>
      <c r="I104" s="4" t="s">
        <v>33</v>
      </c>
      <c r="J104" s="12">
        <f>+G98</f>
        <v>71230400.021959797</v>
      </c>
    </row>
    <row r="105" spans="1:10" x14ac:dyDescent="0.3">
      <c r="A105" s="4"/>
      <c r="B105" s="4"/>
      <c r="C105" s="4" t="s">
        <v>34</v>
      </c>
      <c r="D105" s="11">
        <f>+D94</f>
        <v>267114.00008234923</v>
      </c>
      <c r="E105" s="4" t="s">
        <v>34</v>
      </c>
      <c r="F105" s="11">
        <f>+G94</f>
        <v>267114.00008234923</v>
      </c>
      <c r="G105" s="4" t="s">
        <v>34</v>
      </c>
      <c r="H105" s="11">
        <f>+D97</f>
        <v>-267114.00008234923</v>
      </c>
      <c r="I105" s="4" t="s">
        <v>34</v>
      </c>
      <c r="J105" s="12">
        <f>+G97</f>
        <v>-267114.00008234923</v>
      </c>
    </row>
    <row r="106" spans="1:10" x14ac:dyDescent="0.3">
      <c r="C106" s="4" t="s">
        <v>4</v>
      </c>
      <c r="D106" s="11">
        <f>+C95</f>
        <v>267114.00008234923</v>
      </c>
      <c r="E106" s="4" t="s">
        <v>4</v>
      </c>
      <c r="F106" s="11">
        <f>+F95</f>
        <v>-267114.00008234923</v>
      </c>
      <c r="G106" s="4" t="s">
        <v>4</v>
      </c>
      <c r="H106" s="11">
        <f>+C98</f>
        <v>267114.00008234923</v>
      </c>
      <c r="I106" s="4" t="s">
        <v>4</v>
      </c>
      <c r="J106" s="12">
        <f>+F98</f>
        <v>-267114.00008234923</v>
      </c>
    </row>
    <row r="110" spans="1:10" x14ac:dyDescent="0.3">
      <c r="A110" s="1" t="s">
        <v>17</v>
      </c>
      <c r="B110" s="5" t="str">
        <f t="array" ref="B110:G110">B92:G92</f>
        <v>2x</v>
      </c>
      <c r="C110" s="5" t="str">
        <v>2z</v>
      </c>
      <c r="D110" s="5" t="str">
        <v>ϴ 2</v>
      </c>
      <c r="E110" s="5" t="str">
        <v>bx</v>
      </c>
      <c r="F110" s="5" t="str">
        <v>bz</v>
      </c>
      <c r="G110" s="5" t="str">
        <v>ϴ b</v>
      </c>
    </row>
    <row r="111" spans="1:10" x14ac:dyDescent="0.3">
      <c r="A111" s="5" t="str">
        <f t="array" ref="A111:A116">+TRANSPOSE(B110:G110)</f>
        <v>2x</v>
      </c>
      <c r="B111" s="6">
        <f>(J102*B104*B104)+(J103*B103*B103)</f>
        <v>1335.5700004117459</v>
      </c>
      <c r="C111" s="6">
        <f>(J102-J103)*B104*B103</f>
        <v>2.0862461910941136E-11</v>
      </c>
      <c r="D111" s="6">
        <f>-J105*B103</f>
        <v>267114.00008234923</v>
      </c>
      <c r="E111" s="7">
        <v>0</v>
      </c>
      <c r="F111" s="7">
        <v>0</v>
      </c>
      <c r="G111" s="7">
        <v>0</v>
      </c>
    </row>
    <row r="112" spans="1:10" x14ac:dyDescent="0.3">
      <c r="A112" s="5" t="str">
        <v>2z</v>
      </c>
      <c r="B112" s="6">
        <f>(J102-J103)*B104*B103</f>
        <v>2.0862461910941136E-11</v>
      </c>
      <c r="C112" s="6">
        <f>+(J102*B103*B103)+(J103*B104*B104)</f>
        <v>341905.92010540701</v>
      </c>
      <c r="D112" s="6">
        <f>J105*B104</f>
        <v>-1.6362715224267559E-11</v>
      </c>
      <c r="E112" s="7">
        <v>0</v>
      </c>
      <c r="F112" s="7">
        <v>0</v>
      </c>
      <c r="G112" s="7">
        <v>0</v>
      </c>
    </row>
    <row r="113" spans="1:28" x14ac:dyDescent="0.3">
      <c r="A113" s="5" t="str">
        <v>ϴ 2</v>
      </c>
      <c r="B113" s="6">
        <f>-J106*B103</f>
        <v>267114.00008234923</v>
      </c>
      <c r="C113" s="6">
        <f>J106*B104</f>
        <v>-1.6362715224267559E-11</v>
      </c>
      <c r="D113" s="6">
        <f>+J104</f>
        <v>71230400.021959797</v>
      </c>
      <c r="E113" s="7">
        <v>0</v>
      </c>
      <c r="F113" s="7">
        <v>0</v>
      </c>
      <c r="G113" s="7">
        <v>0</v>
      </c>
    </row>
    <row r="114" spans="1:28" x14ac:dyDescent="0.3">
      <c r="A114" s="5" t="str">
        <v>bx</v>
      </c>
      <c r="B114" s="8">
        <v>0</v>
      </c>
      <c r="C114" s="8">
        <v>0</v>
      </c>
      <c r="D114" s="8">
        <v>0</v>
      </c>
      <c r="E114" s="9">
        <v>0</v>
      </c>
      <c r="F114" s="9">
        <v>0</v>
      </c>
      <c r="G114" s="9">
        <v>0</v>
      </c>
    </row>
    <row r="115" spans="1:28" x14ac:dyDescent="0.3">
      <c r="A115" s="5" t="str">
        <v>bz</v>
      </c>
      <c r="B115" s="8">
        <v>0</v>
      </c>
      <c r="C115" s="8">
        <v>0</v>
      </c>
      <c r="D115" s="8">
        <v>0</v>
      </c>
      <c r="E115" s="9">
        <v>0</v>
      </c>
      <c r="F115" s="9">
        <v>0</v>
      </c>
      <c r="G115" s="9">
        <v>0</v>
      </c>
    </row>
    <row r="116" spans="1:28" x14ac:dyDescent="0.3">
      <c r="A116" s="5" t="str">
        <v>ϴ b</v>
      </c>
      <c r="B116" s="8">
        <v>0</v>
      </c>
      <c r="C116" s="8">
        <v>0</v>
      </c>
      <c r="D116" s="8">
        <v>0</v>
      </c>
      <c r="E116" s="9">
        <v>0</v>
      </c>
      <c r="F116" s="9">
        <v>0</v>
      </c>
      <c r="G116" s="9">
        <v>0</v>
      </c>
    </row>
    <row r="119" spans="1:28" x14ac:dyDescent="0.3">
      <c r="A119" s="1" t="s">
        <v>36</v>
      </c>
      <c r="B119" s="13" t="s">
        <v>18</v>
      </c>
      <c r="C119" s="13" t="s">
        <v>19</v>
      </c>
      <c r="D119" s="13" t="s">
        <v>20</v>
      </c>
      <c r="E119" s="13" t="s">
        <v>37</v>
      </c>
      <c r="F119" s="13" t="s">
        <v>38</v>
      </c>
      <c r="G119" s="13" t="s">
        <v>39</v>
      </c>
      <c r="H119" s="13" t="s">
        <v>40</v>
      </c>
      <c r="I119" s="13" t="s">
        <v>41</v>
      </c>
      <c r="J119" s="13" t="s">
        <v>42</v>
      </c>
      <c r="K119" s="13" t="s">
        <v>43</v>
      </c>
      <c r="L119" s="13" t="s">
        <v>44</v>
      </c>
      <c r="M119" s="13" t="s">
        <v>45</v>
      </c>
      <c r="N119" s="13" t="s">
        <v>46</v>
      </c>
      <c r="O119" s="13" t="s">
        <v>47</v>
      </c>
      <c r="P119" s="13" t="s">
        <v>48</v>
      </c>
      <c r="Q119" s="13" t="s">
        <v>49</v>
      </c>
      <c r="R119" s="13" t="s">
        <v>50</v>
      </c>
      <c r="S119" s="13" t="s">
        <v>51</v>
      </c>
      <c r="T119" s="13" t="s">
        <v>21</v>
      </c>
      <c r="U119" s="13" t="s">
        <v>22</v>
      </c>
      <c r="V119" s="13" t="s">
        <v>23</v>
      </c>
      <c r="W119" s="13" t="s">
        <v>52</v>
      </c>
      <c r="X119" s="13" t="s">
        <v>53</v>
      </c>
      <c r="Y119" s="13" t="s">
        <v>54</v>
      </c>
      <c r="Z119" s="13" t="s">
        <v>55</v>
      </c>
      <c r="AA119" s="13" t="s">
        <v>56</v>
      </c>
      <c r="AB119" s="13" t="s">
        <v>57</v>
      </c>
    </row>
    <row r="120" spans="1:28" x14ac:dyDescent="0.3">
      <c r="A120" s="13" t="str">
        <f t="array" ref="A120:A146">TRANSPOSE(B119:AB119)</f>
        <v>1x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</row>
    <row r="121" spans="1:28" x14ac:dyDescent="0.3">
      <c r="A121" s="13" t="str">
        <v>1z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</row>
    <row r="122" spans="1:28" x14ac:dyDescent="0.3">
      <c r="A122" s="13" t="str">
        <v>ϴ 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</row>
    <row r="123" spans="1:28" x14ac:dyDescent="0.3">
      <c r="A123" s="13" t="str">
        <v>2x</v>
      </c>
      <c r="B123" s="1">
        <v>0</v>
      </c>
      <c r="C123" s="1">
        <v>0</v>
      </c>
      <c r="D123" s="1">
        <v>0</v>
      </c>
      <c r="E123" s="1">
        <f t="array" ref="E123:G125">B111:D113</f>
        <v>1335.5700004117459</v>
      </c>
      <c r="F123" s="1">
        <v>2.0862461910941136E-11</v>
      </c>
      <c r="G123" s="1">
        <v>267114.00008234923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</row>
    <row r="124" spans="1:28" x14ac:dyDescent="0.3">
      <c r="A124" s="13" t="str">
        <v>2z</v>
      </c>
      <c r="B124" s="1">
        <v>0</v>
      </c>
      <c r="C124" s="1">
        <v>0</v>
      </c>
      <c r="D124" s="1">
        <v>0</v>
      </c>
      <c r="E124" s="1">
        <v>2.0862461910941136E-11</v>
      </c>
      <c r="F124" s="1">
        <v>341905.92010540701</v>
      </c>
      <c r="G124" s="1">
        <v>-1.6362715224267559E-11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</row>
    <row r="125" spans="1:28" x14ac:dyDescent="0.3">
      <c r="A125" s="13" t="str">
        <v>ϴ 2</v>
      </c>
      <c r="B125" s="1">
        <v>0</v>
      </c>
      <c r="C125" s="1">
        <v>0</v>
      </c>
      <c r="D125" s="1">
        <v>0</v>
      </c>
      <c r="E125" s="1">
        <v>267114.00008234923</v>
      </c>
      <c r="F125" s="1">
        <v>-1.6362715224267559E-11</v>
      </c>
      <c r="G125" s="1">
        <v>71230400.021959797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</row>
    <row r="126" spans="1:28" x14ac:dyDescent="0.3">
      <c r="A126" s="13" t="str">
        <v>3x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</row>
    <row r="127" spans="1:28" x14ac:dyDescent="0.3">
      <c r="A127" s="13" t="str">
        <v>3z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</row>
    <row r="128" spans="1:28" x14ac:dyDescent="0.3">
      <c r="A128" s="13" t="str">
        <v>ϴ 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</row>
    <row r="129" spans="1:28" x14ac:dyDescent="0.3">
      <c r="A129" s="13" t="str">
        <v>4x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</row>
    <row r="130" spans="1:28" x14ac:dyDescent="0.3">
      <c r="A130" s="13" t="str">
        <v>4z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</row>
    <row r="131" spans="1:28" x14ac:dyDescent="0.3">
      <c r="A131" s="13" t="str">
        <v>ϴ 4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</row>
    <row r="132" spans="1:28" x14ac:dyDescent="0.3">
      <c r="A132" s="13" t="str">
        <v>5x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</row>
    <row r="133" spans="1:28" x14ac:dyDescent="0.3">
      <c r="A133" s="13" t="str">
        <v>5z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</row>
    <row r="134" spans="1:28" x14ac:dyDescent="0.3">
      <c r="A134" s="13" t="str">
        <v>ϴ 5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</row>
    <row r="135" spans="1:28" x14ac:dyDescent="0.3">
      <c r="A135" s="13" t="str">
        <v>6x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</row>
    <row r="136" spans="1:28" x14ac:dyDescent="0.3">
      <c r="A136" s="13" t="str">
        <v>6z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</row>
    <row r="137" spans="1:28" x14ac:dyDescent="0.3">
      <c r="A137" s="13" t="str">
        <v>ϴ 6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</row>
    <row r="138" spans="1:28" x14ac:dyDescent="0.3">
      <c r="A138" s="13" t="str">
        <v>ax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</row>
    <row r="139" spans="1:28" x14ac:dyDescent="0.3">
      <c r="A139" s="13" t="str">
        <v>az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</row>
    <row r="140" spans="1:28" x14ac:dyDescent="0.3">
      <c r="A140" s="13" t="str">
        <v>ϴ a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</row>
    <row r="141" spans="1:28" x14ac:dyDescent="0.3">
      <c r="A141" s="13" t="str">
        <v>bx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</row>
    <row r="142" spans="1:28" x14ac:dyDescent="0.3">
      <c r="A142" s="13" t="str">
        <v>bz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</row>
    <row r="143" spans="1:28" x14ac:dyDescent="0.3">
      <c r="A143" s="13" t="str">
        <v>ϴ b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</row>
    <row r="144" spans="1:28" x14ac:dyDescent="0.3">
      <c r="A144" s="13" t="str">
        <v>cx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</row>
    <row r="145" spans="1:28" x14ac:dyDescent="0.3">
      <c r="A145" s="13" t="str">
        <v>cz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</row>
    <row r="146" spans="1:28" x14ac:dyDescent="0.3">
      <c r="A146" s="13" t="str">
        <v>ϴ c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</row>
    <row r="149" spans="1:28" x14ac:dyDescent="0.3">
      <c r="A149" s="21" t="s">
        <v>61</v>
      </c>
      <c r="B149" s="21"/>
      <c r="C149" s="21"/>
      <c r="D149" s="21"/>
      <c r="E149" s="21"/>
      <c r="F149" s="21"/>
      <c r="G149" s="21"/>
      <c r="H149" s="21"/>
      <c r="I149" s="21"/>
      <c r="J149" s="21"/>
    </row>
    <row r="151" spans="1:28" x14ac:dyDescent="0.3">
      <c r="A151" s="1" t="s">
        <v>2</v>
      </c>
      <c r="B151" s="1">
        <v>625</v>
      </c>
      <c r="C151" s="1" t="s">
        <v>13</v>
      </c>
    </row>
    <row r="152" spans="1:28" x14ac:dyDescent="0.3">
      <c r="A152" s="1" t="s">
        <v>3</v>
      </c>
      <c r="B152" s="1">
        <f>POWER(25,4)/12</f>
        <v>32552.083333333332</v>
      </c>
      <c r="C152" s="1" t="s">
        <v>62</v>
      </c>
    </row>
    <row r="153" spans="1:28" x14ac:dyDescent="0.3">
      <c r="A153" s="1" t="s">
        <v>5</v>
      </c>
      <c r="B153" s="1">
        <v>400</v>
      </c>
      <c r="C153" s="1" t="s">
        <v>14</v>
      </c>
    </row>
    <row r="154" spans="1:28" x14ac:dyDescent="0.3">
      <c r="A154" s="1" t="s">
        <v>4</v>
      </c>
      <c r="B154" s="1">
        <f>15100*SQRT(210)</f>
        <v>218819.78886746051</v>
      </c>
      <c r="C154" s="2" t="s">
        <v>15</v>
      </c>
    </row>
    <row r="156" spans="1:28" x14ac:dyDescent="0.3">
      <c r="B156" s="1" t="s">
        <v>6</v>
      </c>
    </row>
    <row r="157" spans="1:28" x14ac:dyDescent="0.3">
      <c r="B157" s="1" t="s">
        <v>7</v>
      </c>
      <c r="C157" s="3">
        <f>(B154*B151)/B153</f>
        <v>341905.92010540701</v>
      </c>
      <c r="D157" s="1" t="s">
        <v>12</v>
      </c>
    </row>
    <row r="158" spans="1:28" x14ac:dyDescent="0.3">
      <c r="B158" s="1" t="s">
        <v>8</v>
      </c>
      <c r="C158" s="3">
        <f>(12*B154*B152)/(B153^3)</f>
        <v>1335.5700004117459</v>
      </c>
      <c r="D158" s="1" t="s">
        <v>12</v>
      </c>
    </row>
    <row r="159" spans="1:28" x14ac:dyDescent="0.3">
      <c r="B159" s="1" t="s">
        <v>9</v>
      </c>
      <c r="C159" s="3">
        <f>(6*B154*B152)/(B153^2)</f>
        <v>267114.00008234923</v>
      </c>
      <c r="D159" s="1" t="s">
        <v>12</v>
      </c>
    </row>
    <row r="160" spans="1:28" x14ac:dyDescent="0.3">
      <c r="B160" s="1" t="s">
        <v>10</v>
      </c>
      <c r="C160" s="3">
        <f>+(4*B154*B152)/(B153)</f>
        <v>71230400.021959797</v>
      </c>
      <c r="D160" s="1" t="s">
        <v>12</v>
      </c>
    </row>
    <row r="161" spans="1:10" x14ac:dyDescent="0.3">
      <c r="B161" s="1" t="s">
        <v>11</v>
      </c>
      <c r="C161" s="3">
        <f>+(2*B154*B152)/B153</f>
        <v>35615200.010979898</v>
      </c>
      <c r="D161" s="1" t="s">
        <v>12</v>
      </c>
    </row>
    <row r="162" spans="1:10" x14ac:dyDescent="0.3">
      <c r="C162" s="4"/>
    </row>
    <row r="163" spans="1:10" x14ac:dyDescent="0.3">
      <c r="A163" s="23" t="s">
        <v>63</v>
      </c>
      <c r="B163" s="23"/>
      <c r="C163" s="23"/>
      <c r="D163" s="23"/>
      <c r="E163" s="23"/>
      <c r="F163" s="23"/>
      <c r="G163" s="23"/>
    </row>
    <row r="164" spans="1:10" x14ac:dyDescent="0.3">
      <c r="A164" s="1" t="s">
        <v>17</v>
      </c>
      <c r="B164" s="5" t="s">
        <v>40</v>
      </c>
      <c r="C164" s="5" t="s">
        <v>41</v>
      </c>
      <c r="D164" s="5" t="s">
        <v>42</v>
      </c>
      <c r="E164" s="5" t="s">
        <v>55</v>
      </c>
      <c r="F164" s="5" t="s">
        <v>56</v>
      </c>
      <c r="G164" s="5" t="s">
        <v>57</v>
      </c>
    </row>
    <row r="165" spans="1:10" x14ac:dyDescent="0.3">
      <c r="A165" s="5" t="str">
        <f t="array" ref="A165:A170">TRANSPOSE(B164:G164)</f>
        <v>3x</v>
      </c>
      <c r="B165" s="6">
        <f>+C157</f>
        <v>341905.92010540701</v>
      </c>
      <c r="C165" s="6">
        <v>0</v>
      </c>
      <c r="D165" s="6">
        <v>0</v>
      </c>
      <c r="E165" s="7">
        <f>+-C157</f>
        <v>-341905.92010540701</v>
      </c>
      <c r="F165" s="7">
        <v>0</v>
      </c>
      <c r="G165" s="7">
        <v>0</v>
      </c>
      <c r="H165" s="24" t="s">
        <v>35</v>
      </c>
      <c r="I165" s="24"/>
    </row>
    <row r="166" spans="1:10" x14ac:dyDescent="0.3">
      <c r="A166" s="5" t="str">
        <v>3z</v>
      </c>
      <c r="B166" s="6">
        <v>0</v>
      </c>
      <c r="C166" s="6">
        <f>+C158</f>
        <v>1335.5700004117459</v>
      </c>
      <c r="D166" s="6">
        <f>+C159</f>
        <v>267114.00008234923</v>
      </c>
      <c r="E166" s="7">
        <v>0</v>
      </c>
      <c r="F166" s="7">
        <f>-C158</f>
        <v>-1335.5700004117459</v>
      </c>
      <c r="G166" s="7">
        <f>+C159</f>
        <v>267114.00008234923</v>
      </c>
      <c r="H166" s="24"/>
      <c r="I166" s="24"/>
    </row>
    <row r="167" spans="1:10" x14ac:dyDescent="0.3">
      <c r="A167" s="5" t="str">
        <v>ϴ 3</v>
      </c>
      <c r="B167" s="6">
        <v>0</v>
      </c>
      <c r="C167" s="6">
        <f>+C159</f>
        <v>267114.00008234923</v>
      </c>
      <c r="D167" s="6">
        <f>+C160</f>
        <v>71230400.021959797</v>
      </c>
      <c r="E167" s="7">
        <v>0</v>
      </c>
      <c r="F167" s="7">
        <f>+-C159</f>
        <v>-267114.00008234923</v>
      </c>
      <c r="G167" s="7">
        <f>+C161</f>
        <v>35615200.010979898</v>
      </c>
      <c r="H167" s="24"/>
      <c r="I167" s="24"/>
    </row>
    <row r="168" spans="1:10" x14ac:dyDescent="0.3">
      <c r="A168" s="5" t="str">
        <v>cx</v>
      </c>
      <c r="B168" s="8">
        <f>-C157</f>
        <v>-341905.92010540701</v>
      </c>
      <c r="C168" s="8">
        <v>0</v>
      </c>
      <c r="D168" s="8">
        <v>0</v>
      </c>
      <c r="E168" s="9">
        <f>+C157</f>
        <v>341905.92010540701</v>
      </c>
      <c r="F168" s="9">
        <v>0</v>
      </c>
      <c r="G168" s="9">
        <v>0</v>
      </c>
      <c r="H168" s="24"/>
      <c r="I168" s="24"/>
    </row>
    <row r="169" spans="1:10" x14ac:dyDescent="0.3">
      <c r="A169" s="5" t="str">
        <v>cz</v>
      </c>
      <c r="B169" s="8">
        <v>0</v>
      </c>
      <c r="C169" s="8">
        <f>-C158</f>
        <v>-1335.5700004117459</v>
      </c>
      <c r="D169" s="8">
        <f>-C159</f>
        <v>-267114.00008234923</v>
      </c>
      <c r="E169" s="9">
        <v>0</v>
      </c>
      <c r="F169" s="9">
        <f>C158</f>
        <v>1335.5700004117459</v>
      </c>
      <c r="G169" s="9">
        <f>-C159</f>
        <v>-267114.00008234923</v>
      </c>
      <c r="H169" s="24"/>
      <c r="I169" s="24"/>
    </row>
    <row r="170" spans="1:10" x14ac:dyDescent="0.3">
      <c r="A170" s="5" t="str">
        <v>ϴ c</v>
      </c>
      <c r="B170" s="8">
        <v>0</v>
      </c>
      <c r="C170" s="8">
        <f>+C159</f>
        <v>267114.00008234923</v>
      </c>
      <c r="D170" s="8">
        <f>+C161</f>
        <v>35615200.010979898</v>
      </c>
      <c r="E170" s="9">
        <v>0</v>
      </c>
      <c r="F170" s="9">
        <f>-C159</f>
        <v>-267114.00008234923</v>
      </c>
      <c r="G170" s="9">
        <f>C160</f>
        <v>71230400.021959797</v>
      </c>
      <c r="H170" s="24"/>
      <c r="I170" s="24"/>
    </row>
    <row r="172" spans="1:10" x14ac:dyDescent="0.3">
      <c r="A172" s="23" t="s">
        <v>64</v>
      </c>
      <c r="B172" s="23"/>
      <c r="C172" s="23"/>
      <c r="D172" s="23"/>
      <c r="E172" s="23"/>
      <c r="F172" s="23"/>
      <c r="G172" s="23"/>
      <c r="H172" s="23"/>
      <c r="I172" s="23"/>
      <c r="J172" s="23"/>
    </row>
    <row r="173" spans="1:10" x14ac:dyDescent="0.3">
      <c r="A173" s="4"/>
      <c r="B173" s="4"/>
      <c r="C173" s="25" t="s">
        <v>25</v>
      </c>
      <c r="D173" s="25"/>
      <c r="E173" s="25" t="s">
        <v>26</v>
      </c>
      <c r="F173" s="25"/>
      <c r="G173" s="25" t="s">
        <v>27</v>
      </c>
      <c r="H173" s="25"/>
      <c r="I173" s="25" t="s">
        <v>28</v>
      </c>
      <c r="J173" s="25"/>
    </row>
    <row r="174" spans="1:10" x14ac:dyDescent="0.3">
      <c r="A174" s="4" t="s">
        <v>29</v>
      </c>
      <c r="B174" s="10">
        <v>90</v>
      </c>
      <c r="C174" s="4" t="s">
        <v>2</v>
      </c>
      <c r="D174" s="11">
        <f>+B165</f>
        <v>341905.92010540701</v>
      </c>
      <c r="E174" s="4" t="s">
        <v>2</v>
      </c>
      <c r="F174" s="11">
        <f>+E165</f>
        <v>-341905.92010540701</v>
      </c>
      <c r="G174" s="4" t="s">
        <v>2</v>
      </c>
      <c r="H174" s="11">
        <f>+B168</f>
        <v>-341905.92010540701</v>
      </c>
      <c r="I174" s="4" t="s">
        <v>2</v>
      </c>
      <c r="J174" s="12">
        <f>+E168</f>
        <v>341905.92010540701</v>
      </c>
    </row>
    <row r="175" spans="1:10" x14ac:dyDescent="0.3">
      <c r="A175" s="4" t="s">
        <v>30</v>
      </c>
      <c r="B175" s="4">
        <f>SIN(RADIANS(B174))</f>
        <v>1</v>
      </c>
      <c r="C175" s="4" t="s">
        <v>32</v>
      </c>
      <c r="D175" s="11">
        <f>+C166</f>
        <v>1335.5700004117459</v>
      </c>
      <c r="E175" s="4" t="s">
        <v>32</v>
      </c>
      <c r="F175" s="11">
        <f>+F166</f>
        <v>-1335.5700004117459</v>
      </c>
      <c r="G175" s="4" t="s">
        <v>32</v>
      </c>
      <c r="H175" s="11">
        <f>+C169</f>
        <v>-1335.5700004117459</v>
      </c>
      <c r="I175" s="4" t="s">
        <v>32</v>
      </c>
      <c r="J175" s="12">
        <f>+F169</f>
        <v>1335.5700004117459</v>
      </c>
    </row>
    <row r="176" spans="1:10" x14ac:dyDescent="0.3">
      <c r="A176" s="4" t="s">
        <v>31</v>
      </c>
      <c r="B176" s="4">
        <f>COS(RADIANS(B174))</f>
        <v>6.1257422745431001E-17</v>
      </c>
      <c r="C176" s="4" t="s">
        <v>33</v>
      </c>
      <c r="D176" s="11">
        <f>+D167</f>
        <v>71230400.021959797</v>
      </c>
      <c r="E176" s="4" t="s">
        <v>33</v>
      </c>
      <c r="F176" s="11">
        <f>+G167</f>
        <v>35615200.010979898</v>
      </c>
      <c r="G176" s="4" t="s">
        <v>33</v>
      </c>
      <c r="H176" s="11">
        <f>+D170</f>
        <v>35615200.010979898</v>
      </c>
      <c r="I176" s="4" t="s">
        <v>33</v>
      </c>
      <c r="J176" s="12">
        <f>+G170</f>
        <v>71230400.021959797</v>
      </c>
    </row>
    <row r="177" spans="1:28" x14ac:dyDescent="0.3">
      <c r="A177" s="4"/>
      <c r="B177" s="4"/>
      <c r="C177" s="4" t="s">
        <v>34</v>
      </c>
      <c r="D177" s="11">
        <f>+D166</f>
        <v>267114.00008234923</v>
      </c>
      <c r="E177" s="4" t="s">
        <v>34</v>
      </c>
      <c r="F177" s="11">
        <f>+G166</f>
        <v>267114.00008234923</v>
      </c>
      <c r="G177" s="4" t="s">
        <v>34</v>
      </c>
      <c r="H177" s="11">
        <f>+D169</f>
        <v>-267114.00008234923</v>
      </c>
      <c r="I177" s="4" t="s">
        <v>34</v>
      </c>
      <c r="J177" s="12">
        <f>+G169</f>
        <v>-267114.00008234923</v>
      </c>
    </row>
    <row r="178" spans="1:28" x14ac:dyDescent="0.3">
      <c r="C178" s="4" t="s">
        <v>4</v>
      </c>
      <c r="D178" s="11">
        <f>+C167</f>
        <v>267114.00008234923</v>
      </c>
      <c r="E178" s="4" t="s">
        <v>4</v>
      </c>
      <c r="F178" s="11">
        <f>+F167</f>
        <v>-267114.00008234923</v>
      </c>
      <c r="G178" s="4" t="s">
        <v>4</v>
      </c>
      <c r="H178" s="11">
        <f>+C170</f>
        <v>267114.00008234923</v>
      </c>
      <c r="I178" s="4" t="s">
        <v>4</v>
      </c>
      <c r="J178" s="12">
        <f>+F170</f>
        <v>-267114.00008234923</v>
      </c>
    </row>
    <row r="182" spans="1:28" x14ac:dyDescent="0.3">
      <c r="A182" s="1" t="s">
        <v>17</v>
      </c>
      <c r="B182" s="5" t="str">
        <f t="array" ref="B182:G182">B164:G164</f>
        <v>3x</v>
      </c>
      <c r="C182" s="5" t="str">
        <v>3z</v>
      </c>
      <c r="D182" s="5" t="str">
        <v>ϴ 3</v>
      </c>
      <c r="E182" s="5" t="str">
        <v>cx</v>
      </c>
      <c r="F182" s="5" t="str">
        <v>cz</v>
      </c>
      <c r="G182" s="5" t="str">
        <v>ϴ c</v>
      </c>
    </row>
    <row r="183" spans="1:28" x14ac:dyDescent="0.3">
      <c r="A183" s="5" t="str">
        <f t="array" ref="A183:A188">+TRANSPOSE(B182:G182)</f>
        <v>3x</v>
      </c>
      <c r="B183" s="6">
        <f>(J174*B176*B176)+(J175*B175*B175)</f>
        <v>1335.5700004117459</v>
      </c>
      <c r="C183" s="6">
        <f>(J174-J175)*B176*B175</f>
        <v>2.0862461910941136E-11</v>
      </c>
      <c r="D183" s="6">
        <f>-J177*B175</f>
        <v>267114.00008234923</v>
      </c>
      <c r="E183" s="7">
        <v>0</v>
      </c>
      <c r="F183" s="7">
        <v>0</v>
      </c>
      <c r="G183" s="7">
        <v>0</v>
      </c>
    </row>
    <row r="184" spans="1:28" x14ac:dyDescent="0.3">
      <c r="A184" s="5" t="str">
        <v>3z</v>
      </c>
      <c r="B184" s="6">
        <f>(J174-J175)*B176*B175</f>
        <v>2.0862461910941136E-11</v>
      </c>
      <c r="C184" s="6">
        <f>+(J174*B175*B175)+(J175*B176*B176)</f>
        <v>341905.92010540701</v>
      </c>
      <c r="D184" s="6">
        <f>J177*B176</f>
        <v>-1.6362715224267559E-11</v>
      </c>
      <c r="E184" s="7">
        <v>0</v>
      </c>
      <c r="F184" s="7">
        <v>0</v>
      </c>
      <c r="G184" s="7">
        <v>0</v>
      </c>
    </row>
    <row r="185" spans="1:28" x14ac:dyDescent="0.3">
      <c r="A185" s="5" t="str">
        <v>ϴ 3</v>
      </c>
      <c r="B185" s="6">
        <f>-J178*B175</f>
        <v>267114.00008234923</v>
      </c>
      <c r="C185" s="6">
        <f>J178*B176</f>
        <v>-1.6362715224267559E-11</v>
      </c>
      <c r="D185" s="6">
        <f>+J176</f>
        <v>71230400.021959797</v>
      </c>
      <c r="E185" s="7">
        <v>0</v>
      </c>
      <c r="F185" s="7">
        <v>0</v>
      </c>
      <c r="G185" s="7">
        <v>0</v>
      </c>
    </row>
    <row r="186" spans="1:28" x14ac:dyDescent="0.3">
      <c r="A186" s="5" t="str">
        <v>cx</v>
      </c>
      <c r="B186" s="8">
        <v>0</v>
      </c>
      <c r="C186" s="8">
        <v>0</v>
      </c>
      <c r="D186" s="8">
        <v>0</v>
      </c>
      <c r="E186" s="9">
        <v>0</v>
      </c>
      <c r="F186" s="9">
        <v>0</v>
      </c>
      <c r="G186" s="9">
        <v>0</v>
      </c>
    </row>
    <row r="187" spans="1:28" x14ac:dyDescent="0.3">
      <c r="A187" s="5" t="str">
        <v>cz</v>
      </c>
      <c r="B187" s="8">
        <v>0</v>
      </c>
      <c r="C187" s="8">
        <v>0</v>
      </c>
      <c r="D187" s="8">
        <v>0</v>
      </c>
      <c r="E187" s="9">
        <v>0</v>
      </c>
      <c r="F187" s="9">
        <v>0</v>
      </c>
      <c r="G187" s="9">
        <v>0</v>
      </c>
    </row>
    <row r="188" spans="1:28" x14ac:dyDescent="0.3">
      <c r="A188" s="5" t="str">
        <v>ϴ c</v>
      </c>
      <c r="B188" s="8">
        <v>0</v>
      </c>
      <c r="C188" s="8">
        <v>0</v>
      </c>
      <c r="D188" s="8">
        <v>0</v>
      </c>
      <c r="E188" s="9">
        <v>0</v>
      </c>
      <c r="F188" s="9">
        <v>0</v>
      </c>
      <c r="G188" s="9">
        <v>0</v>
      </c>
    </row>
    <row r="191" spans="1:28" x14ac:dyDescent="0.3">
      <c r="A191" s="1" t="s">
        <v>36</v>
      </c>
      <c r="B191" s="13" t="s">
        <v>18</v>
      </c>
      <c r="C191" s="13" t="s">
        <v>19</v>
      </c>
      <c r="D191" s="13" t="s">
        <v>20</v>
      </c>
      <c r="E191" s="13" t="s">
        <v>37</v>
      </c>
      <c r="F191" s="13" t="s">
        <v>38</v>
      </c>
      <c r="G191" s="13" t="s">
        <v>39</v>
      </c>
      <c r="H191" s="13" t="s">
        <v>40</v>
      </c>
      <c r="I191" s="13" t="s">
        <v>41</v>
      </c>
      <c r="J191" s="13" t="s">
        <v>42</v>
      </c>
      <c r="K191" s="13" t="s">
        <v>43</v>
      </c>
      <c r="L191" s="13" t="s">
        <v>44</v>
      </c>
      <c r="M191" s="13" t="s">
        <v>45</v>
      </c>
      <c r="N191" s="13" t="s">
        <v>46</v>
      </c>
      <c r="O191" s="13" t="s">
        <v>47</v>
      </c>
      <c r="P191" s="13" t="s">
        <v>48</v>
      </c>
      <c r="Q191" s="13" t="s">
        <v>49</v>
      </c>
      <c r="R191" s="13" t="s">
        <v>50</v>
      </c>
      <c r="S191" s="13" t="s">
        <v>51</v>
      </c>
      <c r="T191" s="13" t="s">
        <v>21</v>
      </c>
      <c r="U191" s="13" t="s">
        <v>22</v>
      </c>
      <c r="V191" s="13" t="s">
        <v>23</v>
      </c>
      <c r="W191" s="13" t="s">
        <v>52</v>
      </c>
      <c r="X191" s="13" t="s">
        <v>53</v>
      </c>
      <c r="Y191" s="13" t="s">
        <v>54</v>
      </c>
      <c r="Z191" s="13" t="s">
        <v>55</v>
      </c>
      <c r="AA191" s="13" t="s">
        <v>56</v>
      </c>
      <c r="AB191" s="13" t="s">
        <v>57</v>
      </c>
    </row>
    <row r="192" spans="1:28" x14ac:dyDescent="0.3">
      <c r="A192" s="13" t="str">
        <f t="array" ref="A192:A218">TRANSPOSE(B191:AB191)</f>
        <v>1x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</row>
    <row r="193" spans="1:28" x14ac:dyDescent="0.3">
      <c r="A193" s="13" t="str">
        <v>1z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</row>
    <row r="194" spans="1:28" x14ac:dyDescent="0.3">
      <c r="A194" s="13" t="str">
        <v>ϴ 1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</row>
    <row r="195" spans="1:28" x14ac:dyDescent="0.3">
      <c r="A195" s="13" t="str">
        <v>2x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</row>
    <row r="196" spans="1:28" x14ac:dyDescent="0.3">
      <c r="A196" s="13" t="str">
        <v>2z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</row>
    <row r="197" spans="1:28" x14ac:dyDescent="0.3">
      <c r="A197" s="13" t="str">
        <v>ϴ 2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</row>
    <row r="198" spans="1:28" x14ac:dyDescent="0.3">
      <c r="A198" s="13" t="str">
        <v>3x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f t="array" ref="H198:J200">B183:D185</f>
        <v>1335.5700004117459</v>
      </c>
      <c r="I198" s="1">
        <v>2.0862461910941136E-11</v>
      </c>
      <c r="J198" s="1">
        <v>267114.00008234923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</row>
    <row r="199" spans="1:28" x14ac:dyDescent="0.3">
      <c r="A199" s="13" t="str">
        <v>3z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2.0862461910941136E-11</v>
      </c>
      <c r="I199" s="1">
        <v>341905.92010540701</v>
      </c>
      <c r="J199" s="1">
        <v>-1.6362715224267559E-11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</row>
    <row r="200" spans="1:28" x14ac:dyDescent="0.3">
      <c r="A200" s="13" t="str">
        <v>ϴ 3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267114.00008234923</v>
      </c>
      <c r="I200" s="1">
        <v>-1.6362715224267559E-11</v>
      </c>
      <c r="J200" s="1">
        <v>71230400.021959797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</row>
    <row r="201" spans="1:28" x14ac:dyDescent="0.3">
      <c r="A201" s="13" t="str">
        <v>4x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</row>
    <row r="202" spans="1:28" x14ac:dyDescent="0.3">
      <c r="A202" s="13" t="str">
        <v>4z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</row>
    <row r="203" spans="1:28" x14ac:dyDescent="0.3">
      <c r="A203" s="13" t="str">
        <v>ϴ 4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</row>
    <row r="204" spans="1:28" x14ac:dyDescent="0.3">
      <c r="A204" s="13" t="str">
        <v>5x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</row>
    <row r="205" spans="1:28" x14ac:dyDescent="0.3">
      <c r="A205" s="13" t="str">
        <v>5z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</row>
    <row r="206" spans="1:28" x14ac:dyDescent="0.3">
      <c r="A206" s="13" t="str">
        <v>ϴ 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</row>
    <row r="207" spans="1:28" x14ac:dyDescent="0.3">
      <c r="A207" s="13" t="str">
        <v>6x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</row>
    <row r="208" spans="1:28" x14ac:dyDescent="0.3">
      <c r="A208" s="13" t="str">
        <v>6z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</row>
    <row r="209" spans="1:28" x14ac:dyDescent="0.3">
      <c r="A209" s="13" t="str">
        <v>ϴ 6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</row>
    <row r="210" spans="1:28" x14ac:dyDescent="0.3">
      <c r="A210" s="13" t="str">
        <v>ax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</row>
    <row r="211" spans="1:28" x14ac:dyDescent="0.3">
      <c r="A211" s="13" t="str">
        <v>az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</row>
    <row r="212" spans="1:28" x14ac:dyDescent="0.3">
      <c r="A212" s="13" t="str">
        <v>ϴ a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</row>
    <row r="213" spans="1:28" x14ac:dyDescent="0.3">
      <c r="A213" s="13" t="str">
        <v>bx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</row>
    <row r="214" spans="1:28" x14ac:dyDescent="0.3">
      <c r="A214" s="13" t="str">
        <v>bz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</row>
    <row r="215" spans="1:28" x14ac:dyDescent="0.3">
      <c r="A215" s="13" t="str">
        <v>ϴ b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</row>
    <row r="216" spans="1:28" x14ac:dyDescent="0.3">
      <c r="A216" s="13" t="str">
        <v>cx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</row>
    <row r="217" spans="1:28" x14ac:dyDescent="0.3">
      <c r="A217" s="13" t="str">
        <v>cz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</row>
    <row r="218" spans="1:28" x14ac:dyDescent="0.3">
      <c r="A218" s="13" t="str">
        <v>ϴ c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</row>
    <row r="221" spans="1:28" x14ac:dyDescent="0.3">
      <c r="A221" s="21" t="s">
        <v>65</v>
      </c>
      <c r="B221" s="21"/>
      <c r="C221" s="21"/>
      <c r="D221" s="21"/>
      <c r="E221" s="21"/>
      <c r="F221" s="21"/>
      <c r="G221" s="21"/>
      <c r="H221" s="21"/>
      <c r="I221" s="21"/>
      <c r="J221" s="21"/>
    </row>
    <row r="223" spans="1:28" x14ac:dyDescent="0.3">
      <c r="A223" s="1" t="s">
        <v>2</v>
      </c>
      <c r="B223" s="1">
        <v>625</v>
      </c>
      <c r="C223" s="1" t="s">
        <v>13</v>
      </c>
    </row>
    <row r="224" spans="1:28" x14ac:dyDescent="0.3">
      <c r="A224" s="1" t="s">
        <v>3</v>
      </c>
      <c r="B224" s="1">
        <f>POWER(25,4)/12</f>
        <v>32552.083333333332</v>
      </c>
      <c r="C224" s="1" t="s">
        <v>62</v>
      </c>
    </row>
    <row r="225" spans="1:9" x14ac:dyDescent="0.3">
      <c r="A225" s="1" t="s">
        <v>5</v>
      </c>
      <c r="B225" s="1">
        <v>300</v>
      </c>
      <c r="C225" s="1" t="s">
        <v>14</v>
      </c>
    </row>
    <row r="226" spans="1:9" x14ac:dyDescent="0.3">
      <c r="A226" s="1" t="s">
        <v>4</v>
      </c>
      <c r="B226" s="1">
        <f>15100*SQRT(210)</f>
        <v>218819.78886746051</v>
      </c>
      <c r="C226" s="2" t="s">
        <v>15</v>
      </c>
    </row>
    <row r="228" spans="1:9" x14ac:dyDescent="0.3">
      <c r="B228" s="1" t="s">
        <v>6</v>
      </c>
    </row>
    <row r="229" spans="1:9" x14ac:dyDescent="0.3">
      <c r="B229" s="1" t="s">
        <v>7</v>
      </c>
      <c r="C229" s="3">
        <f>(B226*B223)/B225</f>
        <v>455874.56014054269</v>
      </c>
      <c r="D229" s="1" t="s">
        <v>12</v>
      </c>
    </row>
    <row r="230" spans="1:9" x14ac:dyDescent="0.3">
      <c r="B230" s="1" t="s">
        <v>8</v>
      </c>
      <c r="C230" s="3">
        <f>(12*B226*B224)/(B225^3)</f>
        <v>3165.795556531546</v>
      </c>
      <c r="D230" s="1" t="s">
        <v>12</v>
      </c>
    </row>
    <row r="231" spans="1:9" x14ac:dyDescent="0.3">
      <c r="B231" s="1" t="s">
        <v>9</v>
      </c>
      <c r="C231" s="3">
        <f>(6*B226*B224)/(B225^2)</f>
        <v>474869.33347973193</v>
      </c>
      <c r="D231" s="1" t="s">
        <v>12</v>
      </c>
    </row>
    <row r="232" spans="1:9" x14ac:dyDescent="0.3">
      <c r="B232" s="1" t="s">
        <v>10</v>
      </c>
      <c r="C232" s="3">
        <f>+(4*B226*B224)/(B225)</f>
        <v>94973866.695946395</v>
      </c>
      <c r="D232" s="1" t="s">
        <v>12</v>
      </c>
    </row>
    <row r="233" spans="1:9" x14ac:dyDescent="0.3">
      <c r="B233" s="1" t="s">
        <v>11</v>
      </c>
      <c r="C233" s="3">
        <f>+(2*B226*B224)/B225</f>
        <v>47486933.347973198</v>
      </c>
      <c r="D233" s="1" t="s">
        <v>12</v>
      </c>
    </row>
    <row r="234" spans="1:9" x14ac:dyDescent="0.3">
      <c r="C234" s="4"/>
    </row>
    <row r="235" spans="1:9" x14ac:dyDescent="0.3">
      <c r="A235" s="23" t="s">
        <v>66</v>
      </c>
      <c r="B235" s="23"/>
      <c r="C235" s="23"/>
      <c r="D235" s="23"/>
      <c r="E235" s="23"/>
      <c r="F235" s="23"/>
      <c r="G235" s="23"/>
    </row>
    <row r="236" spans="1:9" x14ac:dyDescent="0.3">
      <c r="A236" s="1" t="s">
        <v>17</v>
      </c>
      <c r="B236" s="5" t="s">
        <v>18</v>
      </c>
      <c r="C236" s="5" t="s">
        <v>19</v>
      </c>
      <c r="D236" s="5" t="s">
        <v>20</v>
      </c>
      <c r="E236" s="5" t="s">
        <v>43</v>
      </c>
      <c r="F236" s="5" t="s">
        <v>44</v>
      </c>
      <c r="G236" s="5" t="s">
        <v>45</v>
      </c>
    </row>
    <row r="237" spans="1:9" x14ac:dyDescent="0.3">
      <c r="A237" s="5" t="str">
        <f t="array" ref="A237:A242">TRANSPOSE(B236:G236)</f>
        <v>1x</v>
      </c>
      <c r="B237" s="6">
        <f>+C229</f>
        <v>455874.56014054269</v>
      </c>
      <c r="C237" s="6">
        <v>0</v>
      </c>
      <c r="D237" s="6">
        <v>0</v>
      </c>
      <c r="E237" s="7">
        <f>+-C229</f>
        <v>-455874.56014054269</v>
      </c>
      <c r="F237" s="7">
        <v>0</v>
      </c>
      <c r="G237" s="7">
        <v>0</v>
      </c>
      <c r="H237" s="26" t="s">
        <v>68</v>
      </c>
      <c r="I237" s="26"/>
    </row>
    <row r="238" spans="1:9" x14ac:dyDescent="0.3">
      <c r="A238" s="5" t="str">
        <v>1z</v>
      </c>
      <c r="B238" s="6">
        <v>0</v>
      </c>
      <c r="C238" s="6">
        <f>+C230</f>
        <v>3165.795556531546</v>
      </c>
      <c r="D238" s="6">
        <f>+C231</f>
        <v>474869.33347973193</v>
      </c>
      <c r="E238" s="7">
        <v>0</v>
      </c>
      <c r="F238" s="7">
        <f>-C230</f>
        <v>-3165.795556531546</v>
      </c>
      <c r="G238" s="7">
        <f>+C231</f>
        <v>474869.33347973193</v>
      </c>
      <c r="H238" s="26"/>
      <c r="I238" s="26"/>
    </row>
    <row r="239" spans="1:9" x14ac:dyDescent="0.3">
      <c r="A239" s="5" t="str">
        <v>ϴ 1</v>
      </c>
      <c r="B239" s="6">
        <v>0</v>
      </c>
      <c r="C239" s="6">
        <f>+C231</f>
        <v>474869.33347973193</v>
      </c>
      <c r="D239" s="6">
        <f>+C232</f>
        <v>94973866.695946395</v>
      </c>
      <c r="E239" s="7">
        <v>0</v>
      </c>
      <c r="F239" s="7">
        <f>+-C231</f>
        <v>-474869.33347973193</v>
      </c>
      <c r="G239" s="7">
        <f>+C233</f>
        <v>47486933.347973198</v>
      </c>
      <c r="H239" s="26"/>
      <c r="I239" s="26"/>
    </row>
    <row r="240" spans="1:9" x14ac:dyDescent="0.3">
      <c r="A240" s="5" t="str">
        <v>4x</v>
      </c>
      <c r="B240" s="8">
        <f>-C229</f>
        <v>-455874.56014054269</v>
      </c>
      <c r="C240" s="8">
        <v>0</v>
      </c>
      <c r="D240" s="8">
        <v>0</v>
      </c>
      <c r="E240" s="9">
        <f>+C229</f>
        <v>455874.56014054269</v>
      </c>
      <c r="F240" s="9">
        <v>0</v>
      </c>
      <c r="G240" s="9">
        <v>0</v>
      </c>
      <c r="H240" s="26"/>
      <c r="I240" s="26"/>
    </row>
    <row r="241" spans="1:10" x14ac:dyDescent="0.3">
      <c r="A241" s="5" t="str">
        <v>4z</v>
      </c>
      <c r="B241" s="8">
        <v>0</v>
      </c>
      <c r="C241" s="8">
        <f>-C230</f>
        <v>-3165.795556531546</v>
      </c>
      <c r="D241" s="8">
        <f>-C231</f>
        <v>-474869.33347973193</v>
      </c>
      <c r="E241" s="9">
        <v>0</v>
      </c>
      <c r="F241" s="9">
        <f>C230</f>
        <v>3165.795556531546</v>
      </c>
      <c r="G241" s="9">
        <f>-C231</f>
        <v>-474869.33347973193</v>
      </c>
      <c r="H241" s="26"/>
      <c r="I241" s="26"/>
    </row>
    <row r="242" spans="1:10" x14ac:dyDescent="0.3">
      <c r="A242" s="5" t="str">
        <v>ϴ 4</v>
      </c>
      <c r="B242" s="8">
        <v>0</v>
      </c>
      <c r="C242" s="8">
        <f>+C231</f>
        <v>474869.33347973193</v>
      </c>
      <c r="D242" s="8">
        <f>+C233</f>
        <v>47486933.347973198</v>
      </c>
      <c r="E242" s="9">
        <v>0</v>
      </c>
      <c r="F242" s="9">
        <f>-C231</f>
        <v>-474869.33347973193</v>
      </c>
      <c r="G242" s="9">
        <f>C232</f>
        <v>94973866.695946395</v>
      </c>
      <c r="H242" s="26"/>
      <c r="I242" s="26"/>
    </row>
    <row r="244" spans="1:10" x14ac:dyDescent="0.3">
      <c r="A244" s="23" t="s">
        <v>67</v>
      </c>
      <c r="B244" s="23"/>
      <c r="C244" s="23"/>
      <c r="D244" s="23"/>
      <c r="E244" s="23"/>
      <c r="F244" s="23"/>
      <c r="G244" s="23"/>
      <c r="H244" s="23"/>
      <c r="I244" s="23"/>
      <c r="J244" s="23"/>
    </row>
    <row r="245" spans="1:10" x14ac:dyDescent="0.3">
      <c r="A245" s="4"/>
      <c r="B245" s="4"/>
      <c r="C245" s="25" t="s">
        <v>25</v>
      </c>
      <c r="D245" s="25"/>
      <c r="E245" s="25" t="s">
        <v>26</v>
      </c>
      <c r="F245" s="25"/>
      <c r="G245" s="25" t="s">
        <v>27</v>
      </c>
      <c r="H245" s="25"/>
      <c r="I245" s="25" t="s">
        <v>28</v>
      </c>
      <c r="J245" s="25"/>
    </row>
    <row r="246" spans="1:10" x14ac:dyDescent="0.3">
      <c r="A246" s="4" t="s">
        <v>29</v>
      </c>
      <c r="B246" s="10">
        <v>90</v>
      </c>
      <c r="C246" s="4" t="s">
        <v>2</v>
      </c>
      <c r="D246" s="11">
        <f>+B237</f>
        <v>455874.56014054269</v>
      </c>
      <c r="E246" s="4" t="s">
        <v>2</v>
      </c>
      <c r="F246" s="11">
        <f>+E237</f>
        <v>-455874.56014054269</v>
      </c>
      <c r="G246" s="4" t="s">
        <v>2</v>
      </c>
      <c r="H246" s="11">
        <f>+B240</f>
        <v>-455874.56014054269</v>
      </c>
      <c r="I246" s="4" t="s">
        <v>2</v>
      </c>
      <c r="J246" s="12">
        <f>+E240</f>
        <v>455874.56014054269</v>
      </c>
    </row>
    <row r="247" spans="1:10" x14ac:dyDescent="0.3">
      <c r="A247" s="4" t="s">
        <v>30</v>
      </c>
      <c r="B247" s="4">
        <f>SIN(RADIANS(B246))</f>
        <v>1</v>
      </c>
      <c r="C247" s="4" t="s">
        <v>32</v>
      </c>
      <c r="D247" s="11">
        <f>+C238</f>
        <v>3165.795556531546</v>
      </c>
      <c r="E247" s="4" t="s">
        <v>32</v>
      </c>
      <c r="F247" s="11">
        <f>+F238</f>
        <v>-3165.795556531546</v>
      </c>
      <c r="G247" s="4" t="s">
        <v>32</v>
      </c>
      <c r="H247" s="11">
        <f>+C241</f>
        <v>-3165.795556531546</v>
      </c>
      <c r="I247" s="4" t="s">
        <v>32</v>
      </c>
      <c r="J247" s="12">
        <f>+F241</f>
        <v>3165.795556531546</v>
      </c>
    </row>
    <row r="248" spans="1:10" x14ac:dyDescent="0.3">
      <c r="A248" s="4" t="s">
        <v>31</v>
      </c>
      <c r="B248" s="4">
        <f>COS(RADIANS(B246))</f>
        <v>6.1257422745431001E-17</v>
      </c>
      <c r="C248" s="4" t="s">
        <v>33</v>
      </c>
      <c r="D248" s="11">
        <f>+D239</f>
        <v>94973866.695946395</v>
      </c>
      <c r="E248" s="4" t="s">
        <v>33</v>
      </c>
      <c r="F248" s="11">
        <f>+G239</f>
        <v>47486933.347973198</v>
      </c>
      <c r="G248" s="4" t="s">
        <v>33</v>
      </c>
      <c r="H248" s="11">
        <f>+D242</f>
        <v>47486933.347973198</v>
      </c>
      <c r="I248" s="4" t="s">
        <v>33</v>
      </c>
      <c r="J248" s="12">
        <f>+G242</f>
        <v>94973866.695946395</v>
      </c>
    </row>
    <row r="249" spans="1:10" x14ac:dyDescent="0.3">
      <c r="A249" s="4"/>
      <c r="B249" s="4"/>
      <c r="C249" s="4" t="s">
        <v>34</v>
      </c>
      <c r="D249" s="11">
        <f>+D238</f>
        <v>474869.33347973193</v>
      </c>
      <c r="E249" s="4" t="s">
        <v>34</v>
      </c>
      <c r="F249" s="11">
        <f>+G238</f>
        <v>474869.33347973193</v>
      </c>
      <c r="G249" s="4" t="s">
        <v>34</v>
      </c>
      <c r="H249" s="11">
        <f>+D241</f>
        <v>-474869.33347973193</v>
      </c>
      <c r="I249" s="4" t="s">
        <v>34</v>
      </c>
      <c r="J249" s="12">
        <f>+G241</f>
        <v>-474869.33347973193</v>
      </c>
    </row>
    <row r="250" spans="1:10" x14ac:dyDescent="0.3">
      <c r="C250" s="4" t="s">
        <v>4</v>
      </c>
      <c r="D250" s="11">
        <f>+C239</f>
        <v>474869.33347973193</v>
      </c>
      <c r="E250" s="4" t="s">
        <v>4</v>
      </c>
      <c r="F250" s="11">
        <f>+F239</f>
        <v>-474869.33347973193</v>
      </c>
      <c r="G250" s="4" t="s">
        <v>4</v>
      </c>
      <c r="H250" s="11">
        <f>+C242</f>
        <v>474869.33347973193</v>
      </c>
      <c r="I250" s="4" t="s">
        <v>4</v>
      </c>
      <c r="J250" s="12">
        <f>+F242</f>
        <v>-474869.33347973193</v>
      </c>
    </row>
    <row r="254" spans="1:10" x14ac:dyDescent="0.3">
      <c r="A254" s="1" t="s">
        <v>17</v>
      </c>
      <c r="B254" s="5" t="str">
        <f t="array" ref="B254:G254">B236:G236</f>
        <v>1x</v>
      </c>
      <c r="C254" s="5" t="str">
        <v>1z</v>
      </c>
      <c r="D254" s="5" t="str">
        <v>ϴ 1</v>
      </c>
      <c r="E254" s="5" t="str">
        <v>4x</v>
      </c>
      <c r="F254" s="5" t="str">
        <v>4z</v>
      </c>
      <c r="G254" s="5" t="str">
        <v>ϴ 4</v>
      </c>
    </row>
    <row r="255" spans="1:10" x14ac:dyDescent="0.3">
      <c r="A255" s="5" t="str">
        <f t="array" ref="A255:A260">+TRANSPOSE(B254:G254)</f>
        <v>1x</v>
      </c>
      <c r="B255" s="6">
        <f>(D246*B248*B248)+(D247*B247*B247)</f>
        <v>3165.795556531546</v>
      </c>
      <c r="C255" s="6">
        <f>(D246-D247)*B248*B247</f>
        <v>2.7731772172684573E-11</v>
      </c>
      <c r="D255" s="6">
        <f>-D249*B247</f>
        <v>-474869.33347973193</v>
      </c>
      <c r="E255" s="14">
        <f>(F246*B248*B248)+(F247*B247*B247)</f>
        <v>-3165.795556531546</v>
      </c>
      <c r="F255" s="14">
        <f>(F246-F247)*B248*B247</f>
        <v>-2.7731772172684573E-11</v>
      </c>
      <c r="G255" s="14">
        <f>-F249*B247</f>
        <v>-474869.33347973193</v>
      </c>
    </row>
    <row r="256" spans="1:10" x14ac:dyDescent="0.3">
      <c r="A256" s="5" t="str">
        <v>1z</v>
      </c>
      <c r="B256" s="6">
        <f>(D246-D247)*B248*B247</f>
        <v>2.7731772172684573E-11</v>
      </c>
      <c r="C256" s="6">
        <f>(D246*B247*B247)+(D247*B248*B248)</f>
        <v>455874.56014054269</v>
      </c>
      <c r="D256" s="6">
        <f>D249*B248</f>
        <v>2.9089271509808988E-11</v>
      </c>
      <c r="E256" s="14">
        <f>(F246-F247)*B248*B247</f>
        <v>-2.7731772172684573E-11</v>
      </c>
      <c r="F256" s="14">
        <f>(F246*B247*B247)+(F247*B248*B248)</f>
        <v>-455874.56014054269</v>
      </c>
      <c r="G256" s="14">
        <f>F249*B248</f>
        <v>2.9089271509808988E-11</v>
      </c>
    </row>
    <row r="257" spans="1:28" x14ac:dyDescent="0.3">
      <c r="A257" s="5" t="str">
        <v>ϴ 1</v>
      </c>
      <c r="B257" s="6">
        <f>-D250*B247</f>
        <v>-474869.33347973193</v>
      </c>
      <c r="C257" s="6">
        <f>D250*B248</f>
        <v>2.9089271509808988E-11</v>
      </c>
      <c r="D257" s="6">
        <f>+D248</f>
        <v>94973866.695946395</v>
      </c>
      <c r="E257" s="14">
        <f>-F250*B247</f>
        <v>474869.33347973193</v>
      </c>
      <c r="F257" s="14">
        <f>F250*B248</f>
        <v>-2.9089271509808988E-11</v>
      </c>
      <c r="G257" s="14">
        <f>+F248</f>
        <v>47486933.347973198</v>
      </c>
    </row>
    <row r="258" spans="1:28" x14ac:dyDescent="0.3">
      <c r="A258" s="5" t="str">
        <v>4x</v>
      </c>
      <c r="B258" s="15">
        <f>(H246*B248*B248)+(H247*B247*B247)</f>
        <v>-3165.795556531546</v>
      </c>
      <c r="C258" s="15">
        <f>(H246-H247)*B248*B247</f>
        <v>-2.7731772172684573E-11</v>
      </c>
      <c r="D258" s="15">
        <f>-H249*B247</f>
        <v>474869.33347973193</v>
      </c>
      <c r="E258" s="8">
        <f>(J246*B248*B248)+(J247*B247*B247)</f>
        <v>3165.795556531546</v>
      </c>
      <c r="F258" s="8">
        <f>(J246-J247)*B248*B247</f>
        <v>2.7731772172684573E-11</v>
      </c>
      <c r="G258" s="8">
        <f>-J249*B247</f>
        <v>474869.33347973193</v>
      </c>
    </row>
    <row r="259" spans="1:28" x14ac:dyDescent="0.3">
      <c r="A259" s="5" t="str">
        <v>4z</v>
      </c>
      <c r="B259" s="15">
        <f>(H247-H248)*B248*B247</f>
        <v>-2.9091210794576311E-9</v>
      </c>
      <c r="C259" s="15">
        <f>(H246*B247*B247)+(H247*B248*B248)</f>
        <v>-455874.56014054269</v>
      </c>
      <c r="D259" s="15">
        <f>+H249*B248</f>
        <v>-2.9089271509808988E-11</v>
      </c>
      <c r="E259" s="8">
        <f>(J246-J247)*B248*B247</f>
        <v>2.7731772172684573E-11</v>
      </c>
      <c r="F259" s="8">
        <f>(J246*B247*B247)+(J247*B248*B248)</f>
        <v>455874.56014054269</v>
      </c>
      <c r="G259" s="8">
        <f>-J249*B248</f>
        <v>2.9089271509808988E-11</v>
      </c>
    </row>
    <row r="260" spans="1:28" x14ac:dyDescent="0.3">
      <c r="A260" s="5" t="str">
        <v>ϴ 4</v>
      </c>
      <c r="B260" s="15">
        <f>-H250*B247</f>
        <v>-474869.33347973193</v>
      </c>
      <c r="C260" s="15">
        <f>H250*B248</f>
        <v>2.9089271509808988E-11</v>
      </c>
      <c r="D260" s="15">
        <f>+H248</f>
        <v>47486933.347973198</v>
      </c>
      <c r="E260" s="8">
        <f>-J250*B247</f>
        <v>474869.33347973193</v>
      </c>
      <c r="F260" s="8">
        <f>J250*B248</f>
        <v>-2.9089271509808988E-11</v>
      </c>
      <c r="G260" s="8">
        <f>+J248</f>
        <v>94973866.695946395</v>
      </c>
    </row>
    <row r="263" spans="1:28" x14ac:dyDescent="0.3">
      <c r="A263" s="1" t="s">
        <v>36</v>
      </c>
      <c r="B263" s="13" t="s">
        <v>18</v>
      </c>
      <c r="C263" s="13" t="s">
        <v>19</v>
      </c>
      <c r="D263" s="13" t="s">
        <v>20</v>
      </c>
      <c r="E263" s="13" t="s">
        <v>37</v>
      </c>
      <c r="F263" s="13" t="s">
        <v>38</v>
      </c>
      <c r="G263" s="13" t="s">
        <v>39</v>
      </c>
      <c r="H263" s="13" t="s">
        <v>40</v>
      </c>
      <c r="I263" s="13" t="s">
        <v>41</v>
      </c>
      <c r="J263" s="13" t="s">
        <v>42</v>
      </c>
      <c r="K263" s="13" t="s">
        <v>43</v>
      </c>
      <c r="L263" s="13" t="s">
        <v>44</v>
      </c>
      <c r="M263" s="13" t="s">
        <v>45</v>
      </c>
      <c r="N263" s="13" t="s">
        <v>46</v>
      </c>
      <c r="O263" s="13" t="s">
        <v>47</v>
      </c>
      <c r="P263" s="13" t="s">
        <v>48</v>
      </c>
      <c r="Q263" s="13" t="s">
        <v>49</v>
      </c>
      <c r="R263" s="13" t="s">
        <v>50</v>
      </c>
      <c r="S263" s="13" t="s">
        <v>51</v>
      </c>
      <c r="T263" s="13" t="s">
        <v>21</v>
      </c>
      <c r="U263" s="13" t="s">
        <v>22</v>
      </c>
      <c r="V263" s="13" t="s">
        <v>23</v>
      </c>
      <c r="W263" s="13" t="s">
        <v>52</v>
      </c>
      <c r="X263" s="13" t="s">
        <v>53</v>
      </c>
      <c r="Y263" s="13" t="s">
        <v>54</v>
      </c>
      <c r="Z263" s="13" t="s">
        <v>55</v>
      </c>
      <c r="AA263" s="13" t="s">
        <v>56</v>
      </c>
      <c r="AB263" s="13" t="s">
        <v>57</v>
      </c>
    </row>
    <row r="264" spans="1:28" x14ac:dyDescent="0.3">
      <c r="A264" s="13" t="str">
        <f t="array" ref="A264:A290">TRANSPOSE(B263:AB263)</f>
        <v>1x</v>
      </c>
      <c r="B264" s="1">
        <f t="array" ref="B264:D266">B255:D257</f>
        <v>3165.795556531546</v>
      </c>
      <c r="C264" s="1">
        <v>2.7731772172684573E-11</v>
      </c>
      <c r="D264" s="1">
        <v>-474869.33347973193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f t="array" ref="K264:M266">E255:G257</f>
        <v>-3165.795556531546</v>
      </c>
      <c r="L264" s="1">
        <v>-2.7731772172684573E-11</v>
      </c>
      <c r="M264" s="1">
        <v>-474869.33347973193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</row>
    <row r="265" spans="1:28" x14ac:dyDescent="0.3">
      <c r="A265" s="13" t="str">
        <v>1z</v>
      </c>
      <c r="B265" s="1">
        <v>2.7731772172684573E-11</v>
      </c>
      <c r="C265" s="1">
        <v>455874.56014054269</v>
      </c>
      <c r="D265" s="1">
        <v>2.9089271509808988E-11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-2.7731772172684573E-11</v>
      </c>
      <c r="L265" s="1">
        <v>-455874.56014054269</v>
      </c>
      <c r="M265" s="1">
        <v>2.9089271509808988E-11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</row>
    <row r="266" spans="1:28" x14ac:dyDescent="0.3">
      <c r="A266" s="13" t="str">
        <v>ϴ 1</v>
      </c>
      <c r="B266" s="1">
        <v>-474869.33347973193</v>
      </c>
      <c r="C266" s="1">
        <v>2.9089271509808988E-11</v>
      </c>
      <c r="D266" s="1">
        <v>94973866.695946395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474869.33347973193</v>
      </c>
      <c r="L266" s="1">
        <v>-2.9089271509808988E-11</v>
      </c>
      <c r="M266" s="1">
        <v>47486933.347973198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</row>
    <row r="267" spans="1:28" x14ac:dyDescent="0.3">
      <c r="A267" s="13" t="str">
        <v>2x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</row>
    <row r="268" spans="1:28" x14ac:dyDescent="0.3">
      <c r="A268" s="13" t="str">
        <v>2z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</row>
    <row r="269" spans="1:28" x14ac:dyDescent="0.3">
      <c r="A269" s="13" t="str">
        <v>ϴ 2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</row>
    <row r="270" spans="1:28" x14ac:dyDescent="0.3">
      <c r="A270" s="13" t="str">
        <v>3x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</row>
    <row r="271" spans="1:28" x14ac:dyDescent="0.3">
      <c r="A271" s="13" t="str">
        <v>3z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</row>
    <row r="272" spans="1:28" x14ac:dyDescent="0.3">
      <c r="A272" s="13" t="str">
        <v>ϴ 3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</row>
    <row r="273" spans="1:28" x14ac:dyDescent="0.3">
      <c r="A273" s="13" t="str">
        <v>4x</v>
      </c>
      <c r="B273" s="1">
        <f t="array" ref="B273:D275">B258:D260</f>
        <v>-3165.795556531546</v>
      </c>
      <c r="C273" s="1">
        <v>-2.7731772172684573E-11</v>
      </c>
      <c r="D273" s="1">
        <v>474869.33347973193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f t="array" ref="K273:M275">E258:G260</f>
        <v>3165.795556531546</v>
      </c>
      <c r="L273" s="1">
        <v>2.7731772172684573E-11</v>
      </c>
      <c r="M273" s="1">
        <v>474869.33347973193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</row>
    <row r="274" spans="1:28" x14ac:dyDescent="0.3">
      <c r="A274" s="13" t="str">
        <v>4z</v>
      </c>
      <c r="B274" s="1">
        <v>-2.9091210794576311E-9</v>
      </c>
      <c r="C274" s="1">
        <v>-455874.56014054269</v>
      </c>
      <c r="D274" s="1">
        <v>-2.9089271509808988E-11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2.7731772172684573E-11</v>
      </c>
      <c r="L274" s="1">
        <v>455874.56014054269</v>
      </c>
      <c r="M274" s="1">
        <v>2.9089271509808988E-11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</row>
    <row r="275" spans="1:28" x14ac:dyDescent="0.3">
      <c r="A275" s="13" t="str">
        <v>ϴ 4</v>
      </c>
      <c r="B275" s="1">
        <v>-474869.33347973193</v>
      </c>
      <c r="C275" s="1">
        <v>2.9089271509808988E-11</v>
      </c>
      <c r="D275" s="1">
        <v>47486933.347973198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474869.33347973193</v>
      </c>
      <c r="L275" s="1">
        <v>-2.9089271509808988E-11</v>
      </c>
      <c r="M275" s="1">
        <v>94973866.695946395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</row>
    <row r="276" spans="1:28" x14ac:dyDescent="0.3">
      <c r="A276" s="13" t="str">
        <v>5x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</row>
    <row r="277" spans="1:28" x14ac:dyDescent="0.3">
      <c r="A277" s="13" t="str">
        <v>5z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</row>
    <row r="278" spans="1:28" x14ac:dyDescent="0.3">
      <c r="A278" s="13" t="str">
        <v>ϴ 5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</row>
    <row r="279" spans="1:28" x14ac:dyDescent="0.3">
      <c r="A279" s="13" t="str">
        <v>6x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</row>
    <row r="280" spans="1:28" x14ac:dyDescent="0.3">
      <c r="A280" s="13" t="str">
        <v>6z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</row>
    <row r="281" spans="1:28" x14ac:dyDescent="0.3">
      <c r="A281" s="13" t="str">
        <v>ϴ 6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</row>
    <row r="282" spans="1:28" x14ac:dyDescent="0.3">
      <c r="A282" s="13" t="str">
        <v>ax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</row>
    <row r="283" spans="1:28" x14ac:dyDescent="0.3">
      <c r="A283" s="13" t="str">
        <v>az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</row>
    <row r="284" spans="1:28" x14ac:dyDescent="0.3">
      <c r="A284" s="13" t="str">
        <v>ϴ a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</row>
    <row r="285" spans="1:28" x14ac:dyDescent="0.3">
      <c r="A285" s="13" t="str">
        <v>bx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</row>
    <row r="286" spans="1:28" x14ac:dyDescent="0.3">
      <c r="A286" s="13" t="str">
        <v>bz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</row>
    <row r="287" spans="1:28" x14ac:dyDescent="0.3">
      <c r="A287" s="13" t="str">
        <v>ϴ b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</row>
    <row r="288" spans="1:28" x14ac:dyDescent="0.3">
      <c r="A288" s="13" t="str">
        <v>cx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</row>
    <row r="289" spans="1:28" x14ac:dyDescent="0.3">
      <c r="A289" s="13" t="str">
        <v>cz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</row>
    <row r="290" spans="1:28" x14ac:dyDescent="0.3">
      <c r="A290" s="13" t="str">
        <v>ϴ c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</row>
    <row r="293" spans="1:28" x14ac:dyDescent="0.3">
      <c r="A293" s="21" t="s">
        <v>69</v>
      </c>
      <c r="B293" s="21"/>
      <c r="C293" s="21"/>
      <c r="D293" s="21"/>
      <c r="E293" s="21"/>
      <c r="F293" s="21"/>
      <c r="G293" s="21"/>
      <c r="H293" s="21"/>
      <c r="I293" s="21"/>
      <c r="J293" s="21"/>
    </row>
    <row r="295" spans="1:28" x14ac:dyDescent="0.3">
      <c r="A295" s="1" t="s">
        <v>2</v>
      </c>
      <c r="B295" s="1">
        <v>625</v>
      </c>
      <c r="C295" s="1" t="s">
        <v>13</v>
      </c>
    </row>
    <row r="296" spans="1:28" x14ac:dyDescent="0.3">
      <c r="A296" s="1" t="s">
        <v>3</v>
      </c>
      <c r="B296" s="1">
        <f>POWER(25,4)/12</f>
        <v>32552.083333333332</v>
      </c>
      <c r="C296" s="1" t="s">
        <v>62</v>
      </c>
    </row>
    <row r="297" spans="1:28" x14ac:dyDescent="0.3">
      <c r="A297" s="1" t="s">
        <v>5</v>
      </c>
      <c r="B297" s="1">
        <v>300</v>
      </c>
      <c r="C297" s="1" t="s">
        <v>14</v>
      </c>
    </row>
    <row r="298" spans="1:28" x14ac:dyDescent="0.3">
      <c r="A298" s="1" t="s">
        <v>4</v>
      </c>
      <c r="B298" s="1">
        <f>15100*SQRT(210)</f>
        <v>218819.78886746051</v>
      </c>
      <c r="C298" s="2" t="s">
        <v>15</v>
      </c>
    </row>
    <row r="300" spans="1:28" x14ac:dyDescent="0.3">
      <c r="B300" s="1" t="s">
        <v>6</v>
      </c>
    </row>
    <row r="301" spans="1:28" x14ac:dyDescent="0.3">
      <c r="B301" s="1" t="s">
        <v>7</v>
      </c>
      <c r="C301" s="3">
        <f>(B298*B295)/B297</f>
        <v>455874.56014054269</v>
      </c>
      <c r="D301" s="1" t="s">
        <v>12</v>
      </c>
    </row>
    <row r="302" spans="1:28" x14ac:dyDescent="0.3">
      <c r="B302" s="1" t="s">
        <v>8</v>
      </c>
      <c r="C302" s="3">
        <f>(12*B298*B296)/(B297^3)</f>
        <v>3165.795556531546</v>
      </c>
      <c r="D302" s="1" t="s">
        <v>12</v>
      </c>
    </row>
    <row r="303" spans="1:28" x14ac:dyDescent="0.3">
      <c r="B303" s="1" t="s">
        <v>9</v>
      </c>
      <c r="C303" s="3">
        <f>(6*B298*B296)/(B297^2)</f>
        <v>474869.33347973193</v>
      </c>
      <c r="D303" s="1" t="s">
        <v>12</v>
      </c>
    </row>
    <row r="304" spans="1:28" x14ac:dyDescent="0.3">
      <c r="B304" s="1" t="s">
        <v>10</v>
      </c>
      <c r="C304" s="3">
        <f>+(4*B298*B296)/(B297)</f>
        <v>94973866.695946395</v>
      </c>
      <c r="D304" s="1" t="s">
        <v>12</v>
      </c>
    </row>
    <row r="305" spans="1:10" x14ac:dyDescent="0.3">
      <c r="B305" s="1" t="s">
        <v>11</v>
      </c>
      <c r="C305" s="3">
        <f>+(2*B298*B296)/B297</f>
        <v>47486933.347973198</v>
      </c>
      <c r="D305" s="1" t="s">
        <v>12</v>
      </c>
    </row>
    <row r="306" spans="1:10" x14ac:dyDescent="0.3">
      <c r="C306" s="4"/>
    </row>
    <row r="307" spans="1:10" x14ac:dyDescent="0.3">
      <c r="A307" s="23" t="s">
        <v>70</v>
      </c>
      <c r="B307" s="23"/>
      <c r="C307" s="23"/>
      <c r="D307" s="23"/>
      <c r="E307" s="23"/>
      <c r="F307" s="23"/>
      <c r="G307" s="23"/>
    </row>
    <row r="308" spans="1:10" x14ac:dyDescent="0.3">
      <c r="A308" s="1" t="s">
        <v>71</v>
      </c>
      <c r="B308" s="5" t="s">
        <v>37</v>
      </c>
      <c r="C308" s="5" t="s">
        <v>38</v>
      </c>
      <c r="D308" s="5" t="s">
        <v>39</v>
      </c>
      <c r="E308" s="5" t="s">
        <v>46</v>
      </c>
      <c r="F308" s="5" t="s">
        <v>47</v>
      </c>
      <c r="G308" s="5" t="s">
        <v>48</v>
      </c>
    </row>
    <row r="309" spans="1:10" x14ac:dyDescent="0.3">
      <c r="A309" s="5" t="str">
        <f t="array" ref="A309:A314">TRANSPOSE(B308:G308)</f>
        <v>2x</v>
      </c>
      <c r="B309" s="6">
        <f>+C301</f>
        <v>455874.56014054269</v>
      </c>
      <c r="C309" s="6">
        <v>0</v>
      </c>
      <c r="D309" s="6">
        <v>0</v>
      </c>
      <c r="E309" s="7">
        <f>+-C301</f>
        <v>-455874.56014054269</v>
      </c>
      <c r="F309" s="7">
        <v>0</v>
      </c>
      <c r="G309" s="7">
        <v>0</v>
      </c>
      <c r="H309" s="26" t="s">
        <v>68</v>
      </c>
      <c r="I309" s="26"/>
    </row>
    <row r="310" spans="1:10" x14ac:dyDescent="0.3">
      <c r="A310" s="5" t="str">
        <v>2z</v>
      </c>
      <c r="B310" s="6">
        <v>0</v>
      </c>
      <c r="C310" s="6">
        <f>+C302</f>
        <v>3165.795556531546</v>
      </c>
      <c r="D310" s="6">
        <f>+C303</f>
        <v>474869.33347973193</v>
      </c>
      <c r="E310" s="7">
        <v>0</v>
      </c>
      <c r="F310" s="7">
        <f>-C302</f>
        <v>-3165.795556531546</v>
      </c>
      <c r="G310" s="7">
        <f>+C303</f>
        <v>474869.33347973193</v>
      </c>
      <c r="H310" s="26"/>
      <c r="I310" s="26"/>
    </row>
    <row r="311" spans="1:10" x14ac:dyDescent="0.3">
      <c r="A311" s="5" t="str">
        <v>ϴ 2</v>
      </c>
      <c r="B311" s="6">
        <v>0</v>
      </c>
      <c r="C311" s="6">
        <f>+C303</f>
        <v>474869.33347973193</v>
      </c>
      <c r="D311" s="6">
        <f>+C304</f>
        <v>94973866.695946395</v>
      </c>
      <c r="E311" s="7">
        <v>0</v>
      </c>
      <c r="F311" s="7">
        <f>+-C303</f>
        <v>-474869.33347973193</v>
      </c>
      <c r="G311" s="7">
        <f>+C305</f>
        <v>47486933.347973198</v>
      </c>
      <c r="H311" s="26"/>
      <c r="I311" s="26"/>
    </row>
    <row r="312" spans="1:10" x14ac:dyDescent="0.3">
      <c r="A312" s="5" t="str">
        <v>5x</v>
      </c>
      <c r="B312" s="8">
        <f>-C301</f>
        <v>-455874.56014054269</v>
      </c>
      <c r="C312" s="8">
        <v>0</v>
      </c>
      <c r="D312" s="8">
        <v>0</v>
      </c>
      <c r="E312" s="9">
        <f>+C301</f>
        <v>455874.56014054269</v>
      </c>
      <c r="F312" s="9">
        <v>0</v>
      </c>
      <c r="G312" s="9">
        <v>0</v>
      </c>
      <c r="H312" s="26"/>
      <c r="I312" s="26"/>
    </row>
    <row r="313" spans="1:10" x14ac:dyDescent="0.3">
      <c r="A313" s="5" t="str">
        <v>5z</v>
      </c>
      <c r="B313" s="8">
        <v>0</v>
      </c>
      <c r="C313" s="8">
        <f>-C302</f>
        <v>-3165.795556531546</v>
      </c>
      <c r="D313" s="8">
        <f>-C303</f>
        <v>-474869.33347973193</v>
      </c>
      <c r="E313" s="9">
        <v>0</v>
      </c>
      <c r="F313" s="9">
        <f>C302</f>
        <v>3165.795556531546</v>
      </c>
      <c r="G313" s="9">
        <f>-C303</f>
        <v>-474869.33347973193</v>
      </c>
      <c r="H313" s="26"/>
      <c r="I313" s="26"/>
    </row>
    <row r="314" spans="1:10" x14ac:dyDescent="0.3">
      <c r="A314" s="5" t="str">
        <v>ϴ 5</v>
      </c>
      <c r="B314" s="8">
        <v>0</v>
      </c>
      <c r="C314" s="8">
        <f>+C303</f>
        <v>474869.33347973193</v>
      </c>
      <c r="D314" s="8">
        <f>+C305</f>
        <v>47486933.347973198</v>
      </c>
      <c r="E314" s="9">
        <v>0</v>
      </c>
      <c r="F314" s="9">
        <f>-C303</f>
        <v>-474869.33347973193</v>
      </c>
      <c r="G314" s="9">
        <f>C304</f>
        <v>94973866.695946395</v>
      </c>
      <c r="H314" s="26"/>
      <c r="I314" s="26"/>
    </row>
    <row r="316" spans="1:10" x14ac:dyDescent="0.3">
      <c r="A316" s="23" t="s">
        <v>72</v>
      </c>
      <c r="B316" s="23"/>
      <c r="C316" s="23"/>
      <c r="D316" s="23"/>
      <c r="E316" s="23"/>
      <c r="F316" s="23"/>
      <c r="G316" s="23"/>
      <c r="H316" s="23"/>
      <c r="I316" s="23"/>
      <c r="J316" s="23"/>
    </row>
    <row r="317" spans="1:10" x14ac:dyDescent="0.3">
      <c r="A317" s="4"/>
      <c r="B317" s="4"/>
      <c r="C317" s="25" t="s">
        <v>25</v>
      </c>
      <c r="D317" s="25"/>
      <c r="E317" s="25" t="s">
        <v>26</v>
      </c>
      <c r="F317" s="25"/>
      <c r="G317" s="25" t="s">
        <v>27</v>
      </c>
      <c r="H317" s="25"/>
      <c r="I317" s="25" t="s">
        <v>28</v>
      </c>
      <c r="J317" s="25"/>
    </row>
    <row r="318" spans="1:10" x14ac:dyDescent="0.3">
      <c r="A318" s="4" t="s">
        <v>29</v>
      </c>
      <c r="B318" s="10">
        <v>90</v>
      </c>
      <c r="C318" s="4" t="s">
        <v>2</v>
      </c>
      <c r="D318" s="11">
        <f>+B309</f>
        <v>455874.56014054269</v>
      </c>
      <c r="E318" s="4" t="s">
        <v>2</v>
      </c>
      <c r="F318" s="11">
        <f>+E309</f>
        <v>-455874.56014054269</v>
      </c>
      <c r="G318" s="4" t="s">
        <v>2</v>
      </c>
      <c r="H318" s="11">
        <f>+B312</f>
        <v>-455874.56014054269</v>
      </c>
      <c r="I318" s="4" t="s">
        <v>2</v>
      </c>
      <c r="J318" s="12">
        <f>+E312</f>
        <v>455874.56014054269</v>
      </c>
    </row>
    <row r="319" spans="1:10" x14ac:dyDescent="0.3">
      <c r="A319" s="4" t="s">
        <v>30</v>
      </c>
      <c r="B319" s="4">
        <f>SIN(RADIANS(B318))</f>
        <v>1</v>
      </c>
      <c r="C319" s="4" t="s">
        <v>32</v>
      </c>
      <c r="D319" s="11">
        <f>+C310</f>
        <v>3165.795556531546</v>
      </c>
      <c r="E319" s="4" t="s">
        <v>32</v>
      </c>
      <c r="F319" s="11">
        <f>+F310</f>
        <v>-3165.795556531546</v>
      </c>
      <c r="G319" s="4" t="s">
        <v>32</v>
      </c>
      <c r="H319" s="11">
        <f>+C313</f>
        <v>-3165.795556531546</v>
      </c>
      <c r="I319" s="4" t="s">
        <v>32</v>
      </c>
      <c r="J319" s="12">
        <f>+F313</f>
        <v>3165.795556531546</v>
      </c>
    </row>
    <row r="320" spans="1:10" x14ac:dyDescent="0.3">
      <c r="A320" s="4" t="s">
        <v>31</v>
      </c>
      <c r="B320" s="4">
        <f>COS(RADIANS(B318))</f>
        <v>6.1257422745431001E-17</v>
      </c>
      <c r="C320" s="4" t="s">
        <v>33</v>
      </c>
      <c r="D320" s="11">
        <f>+D311</f>
        <v>94973866.695946395</v>
      </c>
      <c r="E320" s="4" t="s">
        <v>33</v>
      </c>
      <c r="F320" s="11">
        <f>+G311</f>
        <v>47486933.347973198</v>
      </c>
      <c r="G320" s="4" t="s">
        <v>33</v>
      </c>
      <c r="H320" s="11">
        <f>+D314</f>
        <v>47486933.347973198</v>
      </c>
      <c r="I320" s="4" t="s">
        <v>33</v>
      </c>
      <c r="J320" s="12">
        <f>+G314</f>
        <v>94973866.695946395</v>
      </c>
    </row>
    <row r="321" spans="1:28" x14ac:dyDescent="0.3">
      <c r="A321" s="4"/>
      <c r="B321" s="4"/>
      <c r="C321" s="4" t="s">
        <v>34</v>
      </c>
      <c r="D321" s="11">
        <f>+D310</f>
        <v>474869.33347973193</v>
      </c>
      <c r="E321" s="4" t="s">
        <v>34</v>
      </c>
      <c r="F321" s="11">
        <f>+G310</f>
        <v>474869.33347973193</v>
      </c>
      <c r="G321" s="4" t="s">
        <v>34</v>
      </c>
      <c r="H321" s="11">
        <f>+D313</f>
        <v>-474869.33347973193</v>
      </c>
      <c r="I321" s="4" t="s">
        <v>34</v>
      </c>
      <c r="J321" s="12">
        <f>+G313</f>
        <v>-474869.33347973193</v>
      </c>
    </row>
    <row r="322" spans="1:28" x14ac:dyDescent="0.3">
      <c r="C322" s="4" t="s">
        <v>4</v>
      </c>
      <c r="D322" s="11">
        <f>+C311</f>
        <v>474869.33347973193</v>
      </c>
      <c r="E322" s="4" t="s">
        <v>4</v>
      </c>
      <c r="F322" s="11">
        <f>+F311</f>
        <v>-474869.33347973193</v>
      </c>
      <c r="G322" s="4" t="s">
        <v>4</v>
      </c>
      <c r="H322" s="11">
        <f>+C314</f>
        <v>474869.33347973193</v>
      </c>
      <c r="I322" s="4" t="s">
        <v>4</v>
      </c>
      <c r="J322" s="12">
        <f>+F314</f>
        <v>-474869.33347973193</v>
      </c>
    </row>
    <row r="326" spans="1:28" x14ac:dyDescent="0.3">
      <c r="A326" s="1" t="s">
        <v>17</v>
      </c>
      <c r="B326" s="5" t="str">
        <f t="array" ref="B326:G326">B308:G308</f>
        <v>2x</v>
      </c>
      <c r="C326" s="5" t="str">
        <v>2z</v>
      </c>
      <c r="D326" s="5" t="str">
        <v>ϴ 2</v>
      </c>
      <c r="E326" s="5" t="str">
        <v>5x</v>
      </c>
      <c r="F326" s="5" t="str">
        <v>5z</v>
      </c>
      <c r="G326" s="5" t="str">
        <v>ϴ 5</v>
      </c>
    </row>
    <row r="327" spans="1:28" x14ac:dyDescent="0.3">
      <c r="A327" s="5" t="str">
        <f t="array" ref="A327:A332">+TRANSPOSE(B326:G326)</f>
        <v>2x</v>
      </c>
      <c r="B327" s="6">
        <f>(D318*B320*B320)+(D319*B319*B319)</f>
        <v>3165.795556531546</v>
      </c>
      <c r="C327" s="6">
        <f>(D318-D319)*B320*B319</f>
        <v>2.7731772172684573E-11</v>
      </c>
      <c r="D327" s="6">
        <f>-D321*B319</f>
        <v>-474869.33347973193</v>
      </c>
      <c r="E327" s="14">
        <f>(F318*B320*B320)+(F319*B319*B319)</f>
        <v>-3165.795556531546</v>
      </c>
      <c r="F327" s="14">
        <f>(F318-F319)*B320*B319</f>
        <v>-2.7731772172684573E-11</v>
      </c>
      <c r="G327" s="14">
        <f>-F321*B319</f>
        <v>-474869.33347973193</v>
      </c>
    </row>
    <row r="328" spans="1:28" x14ac:dyDescent="0.3">
      <c r="A328" s="5" t="str">
        <v>2z</v>
      </c>
      <c r="B328" s="6">
        <f>(D318-D319)*B320*B319</f>
        <v>2.7731772172684573E-11</v>
      </c>
      <c r="C328" s="6">
        <f>(D318*B319*B319)+(D319*B320*B320)</f>
        <v>455874.56014054269</v>
      </c>
      <c r="D328" s="6">
        <f>D321*B320</f>
        <v>2.9089271509808988E-11</v>
      </c>
      <c r="E328" s="14">
        <f>(F318-F319)*B320*B319</f>
        <v>-2.7731772172684573E-11</v>
      </c>
      <c r="F328" s="14">
        <f>(F318*B319*B319)+(F319*B320*B320)</f>
        <v>-455874.56014054269</v>
      </c>
      <c r="G328" s="14">
        <f>F321*B320</f>
        <v>2.9089271509808988E-11</v>
      </c>
    </row>
    <row r="329" spans="1:28" x14ac:dyDescent="0.3">
      <c r="A329" s="5" t="str">
        <v>ϴ 2</v>
      </c>
      <c r="B329" s="6">
        <f>-D322*B319</f>
        <v>-474869.33347973193</v>
      </c>
      <c r="C329" s="6">
        <f>D322*B320</f>
        <v>2.9089271509808988E-11</v>
      </c>
      <c r="D329" s="6">
        <f>+D320</f>
        <v>94973866.695946395</v>
      </c>
      <c r="E329" s="14">
        <f>-F322*B319</f>
        <v>474869.33347973193</v>
      </c>
      <c r="F329" s="14">
        <f>F322*B320</f>
        <v>-2.9089271509808988E-11</v>
      </c>
      <c r="G329" s="14">
        <f>+F320</f>
        <v>47486933.347973198</v>
      </c>
    </row>
    <row r="330" spans="1:28" x14ac:dyDescent="0.3">
      <c r="A330" s="5" t="str">
        <v>5x</v>
      </c>
      <c r="B330" s="15">
        <f>(H318*B320*B320)+(H319*B319*B319)</f>
        <v>-3165.795556531546</v>
      </c>
      <c r="C330" s="15">
        <f>(H318-H319)*B320*B319</f>
        <v>-2.7731772172684573E-11</v>
      </c>
      <c r="D330" s="15">
        <f>-H321*B319</f>
        <v>474869.33347973193</v>
      </c>
      <c r="E330" s="8">
        <f>(J318*B320*B320)+(J319*B319*B319)</f>
        <v>3165.795556531546</v>
      </c>
      <c r="F330" s="8">
        <f>(J318-J319)*B320*B319</f>
        <v>2.7731772172684573E-11</v>
      </c>
      <c r="G330" s="8">
        <f>-J321*B319</f>
        <v>474869.33347973193</v>
      </c>
    </row>
    <row r="331" spans="1:28" x14ac:dyDescent="0.3">
      <c r="A331" s="5" t="str">
        <v>5z</v>
      </c>
      <c r="B331" s="15">
        <f>(H319-H320)*B320*B319</f>
        <v>-2.9091210794576311E-9</v>
      </c>
      <c r="C331" s="15">
        <f>(H318*B319*B319)+(H319*B320*B320)</f>
        <v>-455874.56014054269</v>
      </c>
      <c r="D331" s="15">
        <f>+H321*B320</f>
        <v>-2.9089271509808988E-11</v>
      </c>
      <c r="E331" s="8">
        <f>(J318-J319)*B320*B319</f>
        <v>2.7731772172684573E-11</v>
      </c>
      <c r="F331" s="8">
        <f>(J318*B319*B319)+(J319*B320*B320)</f>
        <v>455874.56014054269</v>
      </c>
      <c r="G331" s="8">
        <f>-J321*B320</f>
        <v>2.9089271509808988E-11</v>
      </c>
    </row>
    <row r="332" spans="1:28" x14ac:dyDescent="0.3">
      <c r="A332" s="5" t="str">
        <v>ϴ 5</v>
      </c>
      <c r="B332" s="15">
        <f>-H322*B319</f>
        <v>-474869.33347973193</v>
      </c>
      <c r="C332" s="15">
        <f>H322*B320</f>
        <v>2.9089271509808988E-11</v>
      </c>
      <c r="D332" s="15">
        <f>+H320</f>
        <v>47486933.347973198</v>
      </c>
      <c r="E332" s="8">
        <f>-J322*B319</f>
        <v>474869.33347973193</v>
      </c>
      <c r="F332" s="8">
        <f>J322*B320</f>
        <v>-2.9089271509808988E-11</v>
      </c>
      <c r="G332" s="8">
        <f>+J320</f>
        <v>94973866.695946395</v>
      </c>
    </row>
    <row r="335" spans="1:28" x14ac:dyDescent="0.3">
      <c r="A335" s="1" t="s">
        <v>36</v>
      </c>
      <c r="B335" s="13" t="s">
        <v>18</v>
      </c>
      <c r="C335" s="13" t="s">
        <v>19</v>
      </c>
      <c r="D335" s="13" t="s">
        <v>20</v>
      </c>
      <c r="E335" s="13" t="s">
        <v>37</v>
      </c>
      <c r="F335" s="13" t="s">
        <v>38</v>
      </c>
      <c r="G335" s="13" t="s">
        <v>39</v>
      </c>
      <c r="H335" s="13" t="s">
        <v>40</v>
      </c>
      <c r="I335" s="13" t="s">
        <v>41</v>
      </c>
      <c r="J335" s="13" t="s">
        <v>42</v>
      </c>
      <c r="K335" s="13" t="s">
        <v>43</v>
      </c>
      <c r="L335" s="13" t="s">
        <v>44</v>
      </c>
      <c r="M335" s="13" t="s">
        <v>45</v>
      </c>
      <c r="N335" s="13" t="s">
        <v>46</v>
      </c>
      <c r="O335" s="13" t="s">
        <v>47</v>
      </c>
      <c r="P335" s="13" t="s">
        <v>48</v>
      </c>
      <c r="Q335" s="13" t="s">
        <v>49</v>
      </c>
      <c r="R335" s="13" t="s">
        <v>50</v>
      </c>
      <c r="S335" s="13" t="s">
        <v>51</v>
      </c>
      <c r="T335" s="13" t="s">
        <v>21</v>
      </c>
      <c r="U335" s="13" t="s">
        <v>22</v>
      </c>
      <c r="V335" s="13" t="s">
        <v>23</v>
      </c>
      <c r="W335" s="13" t="s">
        <v>52</v>
      </c>
      <c r="X335" s="13" t="s">
        <v>53</v>
      </c>
      <c r="Y335" s="13" t="s">
        <v>54</v>
      </c>
      <c r="Z335" s="13" t="s">
        <v>55</v>
      </c>
      <c r="AA335" s="13" t="s">
        <v>56</v>
      </c>
      <c r="AB335" s="13" t="s">
        <v>57</v>
      </c>
    </row>
    <row r="336" spans="1:28" x14ac:dyDescent="0.3">
      <c r="A336" s="13" t="str">
        <f t="array" ref="A336:A362">TRANSPOSE(B335:AB335)</f>
        <v>1x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</row>
    <row r="337" spans="1:28" x14ac:dyDescent="0.3">
      <c r="A337" s="13" t="str">
        <v>1z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</row>
    <row r="338" spans="1:28" x14ac:dyDescent="0.3">
      <c r="A338" s="13" t="str">
        <v>ϴ 1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</row>
    <row r="339" spans="1:28" x14ac:dyDescent="0.3">
      <c r="A339" s="13" t="str">
        <v>2x</v>
      </c>
      <c r="B339" s="1">
        <v>0</v>
      </c>
      <c r="C339" s="1">
        <v>0</v>
      </c>
      <c r="D339" s="1">
        <v>0</v>
      </c>
      <c r="E339" s="1">
        <f t="array" ref="E339:G341">B327:D329</f>
        <v>3165.795556531546</v>
      </c>
      <c r="F339" s="1">
        <v>2.7731772172684573E-11</v>
      </c>
      <c r="G339" s="1">
        <v>-474869.33347973193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f t="array" ref="N339:P341">E327:G329</f>
        <v>-3165.795556531546</v>
      </c>
      <c r="O339" s="1">
        <v>-2.7731772172684573E-11</v>
      </c>
      <c r="P339" s="1">
        <v>-474869.33347973193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</row>
    <row r="340" spans="1:28" x14ac:dyDescent="0.3">
      <c r="A340" s="13" t="str">
        <v>2z</v>
      </c>
      <c r="B340" s="1">
        <v>0</v>
      </c>
      <c r="C340" s="1">
        <v>0</v>
      </c>
      <c r="D340" s="1">
        <v>0</v>
      </c>
      <c r="E340" s="1">
        <v>2.7731772172684573E-11</v>
      </c>
      <c r="F340" s="1">
        <v>455874.56014054269</v>
      </c>
      <c r="G340" s="1">
        <v>2.9089271509808988E-11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-2.7731772172684573E-11</v>
      </c>
      <c r="O340" s="1">
        <v>-455874.56014054269</v>
      </c>
      <c r="P340" s="1">
        <v>2.9089271509808988E-11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</row>
    <row r="341" spans="1:28" x14ac:dyDescent="0.3">
      <c r="A341" s="13" t="str">
        <v>ϴ 2</v>
      </c>
      <c r="B341" s="1">
        <v>0</v>
      </c>
      <c r="C341" s="1">
        <v>0</v>
      </c>
      <c r="D341" s="1">
        <v>0</v>
      </c>
      <c r="E341" s="1">
        <v>-474869.33347973193</v>
      </c>
      <c r="F341" s="1">
        <v>2.9089271509808988E-11</v>
      </c>
      <c r="G341" s="1">
        <v>94973866.695946395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474869.33347973193</v>
      </c>
      <c r="O341" s="1">
        <v>-2.9089271509808988E-11</v>
      </c>
      <c r="P341" s="1">
        <v>47486933.347973198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</row>
    <row r="342" spans="1:28" x14ac:dyDescent="0.3">
      <c r="A342" s="13" t="str">
        <v>3x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</row>
    <row r="343" spans="1:28" x14ac:dyDescent="0.3">
      <c r="A343" s="13" t="str">
        <v>3z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</row>
    <row r="344" spans="1:28" x14ac:dyDescent="0.3">
      <c r="A344" s="13" t="str">
        <v>ϴ 3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</row>
    <row r="345" spans="1:28" x14ac:dyDescent="0.3">
      <c r="A345" s="13" t="str">
        <v>4x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</row>
    <row r="346" spans="1:28" x14ac:dyDescent="0.3">
      <c r="A346" s="13" t="str">
        <v>4z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</row>
    <row r="347" spans="1:28" x14ac:dyDescent="0.3">
      <c r="A347" s="13" t="str">
        <v>ϴ 4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</row>
    <row r="348" spans="1:28" x14ac:dyDescent="0.3">
      <c r="A348" s="13" t="str">
        <v>5x</v>
      </c>
      <c r="B348" s="1">
        <v>0</v>
      </c>
      <c r="C348" s="1">
        <v>0</v>
      </c>
      <c r="D348" s="1">
        <v>0</v>
      </c>
      <c r="E348" s="1">
        <f t="array" ref="E348:G350">B330:D332</f>
        <v>-3165.795556531546</v>
      </c>
      <c r="F348" s="1">
        <v>-2.7731772172684573E-11</v>
      </c>
      <c r="G348" s="1">
        <v>474869.33347973193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f t="array" ref="N348:P350">E330:G332</f>
        <v>3165.795556531546</v>
      </c>
      <c r="O348" s="1">
        <v>2.7731772172684573E-11</v>
      </c>
      <c r="P348" s="1">
        <v>474869.33347973193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</row>
    <row r="349" spans="1:28" x14ac:dyDescent="0.3">
      <c r="A349" s="13" t="str">
        <v>5z</v>
      </c>
      <c r="B349" s="1">
        <v>0</v>
      </c>
      <c r="C349" s="1">
        <v>0</v>
      </c>
      <c r="D349" s="1">
        <v>0</v>
      </c>
      <c r="E349" s="1">
        <v>-2.9091210794576311E-9</v>
      </c>
      <c r="F349" s="1">
        <v>-455874.56014054269</v>
      </c>
      <c r="G349" s="1">
        <v>-2.9089271509808988E-11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2.7731772172684573E-11</v>
      </c>
      <c r="O349" s="1">
        <v>455874.56014054269</v>
      </c>
      <c r="P349" s="1">
        <v>2.9089271509808988E-11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</row>
    <row r="350" spans="1:28" x14ac:dyDescent="0.3">
      <c r="A350" s="13" t="str">
        <v>ϴ 5</v>
      </c>
      <c r="B350" s="1">
        <v>0</v>
      </c>
      <c r="C350" s="1">
        <v>0</v>
      </c>
      <c r="D350" s="1">
        <v>0</v>
      </c>
      <c r="E350" s="1">
        <v>-474869.33347973193</v>
      </c>
      <c r="F350" s="1">
        <v>2.9089271509808988E-11</v>
      </c>
      <c r="G350" s="1">
        <v>47486933.347973198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474869.33347973193</v>
      </c>
      <c r="O350" s="1">
        <v>-2.9089271509808988E-11</v>
      </c>
      <c r="P350" s="1">
        <v>94973866.695946395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</row>
    <row r="351" spans="1:28" x14ac:dyDescent="0.3">
      <c r="A351" s="13" t="str">
        <v>6x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</row>
    <row r="352" spans="1:28" x14ac:dyDescent="0.3">
      <c r="A352" s="13" t="str">
        <v>6z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</row>
    <row r="353" spans="1:28" x14ac:dyDescent="0.3">
      <c r="A353" s="13" t="str">
        <v>ϴ 6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</row>
    <row r="354" spans="1:28" x14ac:dyDescent="0.3">
      <c r="A354" s="13" t="str">
        <v>ax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</row>
    <row r="355" spans="1:28" x14ac:dyDescent="0.3">
      <c r="A355" s="13" t="str">
        <v>az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</row>
    <row r="356" spans="1:28" x14ac:dyDescent="0.3">
      <c r="A356" s="13" t="str">
        <v>ϴ a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</row>
    <row r="357" spans="1:28" x14ac:dyDescent="0.3">
      <c r="A357" s="13" t="str">
        <v>bx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</row>
    <row r="358" spans="1:28" x14ac:dyDescent="0.3">
      <c r="A358" s="13" t="str">
        <v>bz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</row>
    <row r="359" spans="1:28" x14ac:dyDescent="0.3">
      <c r="A359" s="13" t="str">
        <v>ϴ b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</row>
    <row r="360" spans="1:28" x14ac:dyDescent="0.3">
      <c r="A360" s="13" t="str">
        <v>cx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</row>
    <row r="361" spans="1:28" x14ac:dyDescent="0.3">
      <c r="A361" s="13" t="str">
        <v>cz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</row>
    <row r="362" spans="1:28" x14ac:dyDescent="0.3">
      <c r="A362" s="13" t="str">
        <v>ϴ c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</row>
    <row r="365" spans="1:28" x14ac:dyDescent="0.3">
      <c r="A365" s="21" t="s">
        <v>73</v>
      </c>
      <c r="B365" s="21"/>
      <c r="C365" s="21"/>
      <c r="D365" s="21"/>
      <c r="E365" s="21"/>
      <c r="F365" s="21"/>
      <c r="G365" s="21"/>
      <c r="H365" s="21"/>
      <c r="I365" s="21"/>
      <c r="J365" s="21"/>
    </row>
    <row r="367" spans="1:28" x14ac:dyDescent="0.3">
      <c r="A367" s="1" t="s">
        <v>2</v>
      </c>
      <c r="B367" s="1">
        <v>625</v>
      </c>
      <c r="C367" s="1" t="s">
        <v>13</v>
      </c>
    </row>
    <row r="368" spans="1:28" x14ac:dyDescent="0.3">
      <c r="A368" s="1" t="s">
        <v>3</v>
      </c>
      <c r="B368" s="1">
        <f>POWER(25,4)/12</f>
        <v>32552.083333333332</v>
      </c>
      <c r="C368" s="1" t="s">
        <v>62</v>
      </c>
    </row>
    <row r="369" spans="1:9" x14ac:dyDescent="0.3">
      <c r="A369" s="1" t="s">
        <v>5</v>
      </c>
      <c r="B369" s="1">
        <v>300</v>
      </c>
      <c r="C369" s="1" t="s">
        <v>14</v>
      </c>
    </row>
    <row r="370" spans="1:9" x14ac:dyDescent="0.3">
      <c r="A370" s="1" t="s">
        <v>4</v>
      </c>
      <c r="B370" s="1">
        <f>15100*SQRT(210)</f>
        <v>218819.78886746051</v>
      </c>
      <c r="C370" s="2" t="s">
        <v>15</v>
      </c>
    </row>
    <row r="372" spans="1:9" x14ac:dyDescent="0.3">
      <c r="B372" s="1" t="s">
        <v>6</v>
      </c>
    </row>
    <row r="373" spans="1:9" x14ac:dyDescent="0.3">
      <c r="B373" s="1" t="s">
        <v>7</v>
      </c>
      <c r="C373" s="3">
        <f>(B370*B367)/B369</f>
        <v>455874.56014054269</v>
      </c>
      <c r="D373" s="1" t="s">
        <v>12</v>
      </c>
    </row>
    <row r="374" spans="1:9" x14ac:dyDescent="0.3">
      <c r="B374" s="1" t="s">
        <v>8</v>
      </c>
      <c r="C374" s="3">
        <f>(12*B370*B368)/(B369^3)</f>
        <v>3165.795556531546</v>
      </c>
      <c r="D374" s="1" t="s">
        <v>12</v>
      </c>
    </row>
    <row r="375" spans="1:9" x14ac:dyDescent="0.3">
      <c r="B375" s="1" t="s">
        <v>9</v>
      </c>
      <c r="C375" s="3">
        <f>(6*B370*B368)/(B369^2)</f>
        <v>474869.33347973193</v>
      </c>
      <c r="D375" s="1" t="s">
        <v>12</v>
      </c>
    </row>
    <row r="376" spans="1:9" x14ac:dyDescent="0.3">
      <c r="B376" s="1" t="s">
        <v>10</v>
      </c>
      <c r="C376" s="3">
        <f>+(4*B370*B368)/(B369)</f>
        <v>94973866.695946395</v>
      </c>
      <c r="D376" s="1" t="s">
        <v>12</v>
      </c>
    </row>
    <row r="377" spans="1:9" x14ac:dyDescent="0.3">
      <c r="B377" s="1" t="s">
        <v>11</v>
      </c>
      <c r="C377" s="3">
        <f>+(2*B370*B368)/B369</f>
        <v>47486933.347973198</v>
      </c>
      <c r="D377" s="1" t="s">
        <v>12</v>
      </c>
    </row>
    <row r="378" spans="1:9" x14ac:dyDescent="0.3">
      <c r="C378" s="4"/>
    </row>
    <row r="379" spans="1:9" x14ac:dyDescent="0.3">
      <c r="A379" s="23" t="s">
        <v>74</v>
      </c>
      <c r="B379" s="23"/>
      <c r="C379" s="23"/>
      <c r="D379" s="23"/>
      <c r="E379" s="23"/>
      <c r="F379" s="23"/>
      <c r="G379" s="23"/>
    </row>
    <row r="380" spans="1:9" x14ac:dyDescent="0.3">
      <c r="A380" s="1" t="s">
        <v>76</v>
      </c>
      <c r="B380" s="5" t="s">
        <v>40</v>
      </c>
      <c r="C380" s="5" t="s">
        <v>41</v>
      </c>
      <c r="D380" s="5" t="s">
        <v>42</v>
      </c>
      <c r="E380" s="5" t="s">
        <v>49</v>
      </c>
      <c r="F380" s="5" t="s">
        <v>50</v>
      </c>
      <c r="G380" s="5" t="s">
        <v>51</v>
      </c>
    </row>
    <row r="381" spans="1:9" x14ac:dyDescent="0.3">
      <c r="A381" s="5" t="str">
        <f t="array" ref="A381:A386">TRANSPOSE(B380:G380)</f>
        <v>3x</v>
      </c>
      <c r="B381" s="6">
        <f>+C373</f>
        <v>455874.56014054269</v>
      </c>
      <c r="C381" s="6">
        <v>0</v>
      </c>
      <c r="D381" s="6">
        <v>0</v>
      </c>
      <c r="E381" s="7">
        <f>+-C373</f>
        <v>-455874.56014054269</v>
      </c>
      <c r="F381" s="7">
        <v>0</v>
      </c>
      <c r="G381" s="7">
        <v>0</v>
      </c>
      <c r="H381" s="26" t="s">
        <v>68</v>
      </c>
      <c r="I381" s="26"/>
    </row>
    <row r="382" spans="1:9" x14ac:dyDescent="0.3">
      <c r="A382" s="5" t="str">
        <v>3z</v>
      </c>
      <c r="B382" s="6">
        <v>0</v>
      </c>
      <c r="C382" s="6">
        <f>+C374</f>
        <v>3165.795556531546</v>
      </c>
      <c r="D382" s="6">
        <f>+C375</f>
        <v>474869.33347973193</v>
      </c>
      <c r="E382" s="7">
        <v>0</v>
      </c>
      <c r="F382" s="7">
        <f>-C374</f>
        <v>-3165.795556531546</v>
      </c>
      <c r="G382" s="7">
        <f>+C375</f>
        <v>474869.33347973193</v>
      </c>
      <c r="H382" s="26"/>
      <c r="I382" s="26"/>
    </row>
    <row r="383" spans="1:9" x14ac:dyDescent="0.3">
      <c r="A383" s="5" t="str">
        <v>ϴ 3</v>
      </c>
      <c r="B383" s="6">
        <v>0</v>
      </c>
      <c r="C383" s="6">
        <f>+C375</f>
        <v>474869.33347973193</v>
      </c>
      <c r="D383" s="6">
        <f>+C376</f>
        <v>94973866.695946395</v>
      </c>
      <c r="E383" s="7">
        <v>0</v>
      </c>
      <c r="F383" s="7">
        <f>+-C375</f>
        <v>-474869.33347973193</v>
      </c>
      <c r="G383" s="7">
        <f>+C377</f>
        <v>47486933.347973198</v>
      </c>
      <c r="H383" s="26"/>
      <c r="I383" s="26"/>
    </row>
    <row r="384" spans="1:9" x14ac:dyDescent="0.3">
      <c r="A384" s="5" t="str">
        <v>6x</v>
      </c>
      <c r="B384" s="8">
        <f>-C373</f>
        <v>-455874.56014054269</v>
      </c>
      <c r="C384" s="8">
        <v>0</v>
      </c>
      <c r="D384" s="8">
        <v>0</v>
      </c>
      <c r="E384" s="9">
        <f>+C373</f>
        <v>455874.56014054269</v>
      </c>
      <c r="F384" s="9">
        <v>0</v>
      </c>
      <c r="G384" s="9">
        <v>0</v>
      </c>
      <c r="H384" s="26"/>
      <c r="I384" s="26"/>
    </row>
    <row r="385" spans="1:10" x14ac:dyDescent="0.3">
      <c r="A385" s="5" t="str">
        <v>6z</v>
      </c>
      <c r="B385" s="8">
        <v>0</v>
      </c>
      <c r="C385" s="8">
        <f>-C374</f>
        <v>-3165.795556531546</v>
      </c>
      <c r="D385" s="8">
        <f>-C375</f>
        <v>-474869.33347973193</v>
      </c>
      <c r="E385" s="9">
        <v>0</v>
      </c>
      <c r="F385" s="9">
        <f>C374</f>
        <v>3165.795556531546</v>
      </c>
      <c r="G385" s="9">
        <f>-C375</f>
        <v>-474869.33347973193</v>
      </c>
      <c r="H385" s="26"/>
      <c r="I385" s="26"/>
    </row>
    <row r="386" spans="1:10" x14ac:dyDescent="0.3">
      <c r="A386" s="5" t="str">
        <v>ϴ 6</v>
      </c>
      <c r="B386" s="8">
        <v>0</v>
      </c>
      <c r="C386" s="8">
        <f>+C375</f>
        <v>474869.33347973193</v>
      </c>
      <c r="D386" s="8">
        <f>+C377</f>
        <v>47486933.347973198</v>
      </c>
      <c r="E386" s="9">
        <v>0</v>
      </c>
      <c r="F386" s="9">
        <f>-C375</f>
        <v>-474869.33347973193</v>
      </c>
      <c r="G386" s="9">
        <f>C376</f>
        <v>94973866.695946395</v>
      </c>
      <c r="H386" s="26"/>
      <c r="I386" s="26"/>
    </row>
    <row r="388" spans="1:10" x14ac:dyDescent="0.3">
      <c r="A388" s="23" t="s">
        <v>75</v>
      </c>
      <c r="B388" s="23"/>
      <c r="C388" s="23"/>
      <c r="D388" s="23"/>
      <c r="E388" s="23"/>
      <c r="F388" s="23"/>
      <c r="G388" s="23"/>
      <c r="H388" s="23"/>
      <c r="I388" s="23"/>
      <c r="J388" s="23"/>
    </row>
    <row r="389" spans="1:10" x14ac:dyDescent="0.3">
      <c r="A389" s="4"/>
      <c r="B389" s="4"/>
      <c r="C389" s="25" t="s">
        <v>25</v>
      </c>
      <c r="D389" s="25"/>
      <c r="E389" s="25" t="s">
        <v>26</v>
      </c>
      <c r="F389" s="25"/>
      <c r="G389" s="25" t="s">
        <v>27</v>
      </c>
      <c r="H389" s="25"/>
      <c r="I389" s="25" t="s">
        <v>28</v>
      </c>
      <c r="J389" s="25"/>
    </row>
    <row r="390" spans="1:10" x14ac:dyDescent="0.3">
      <c r="A390" s="4" t="s">
        <v>29</v>
      </c>
      <c r="B390" s="10">
        <v>90</v>
      </c>
      <c r="C390" s="4" t="s">
        <v>2</v>
      </c>
      <c r="D390" s="11">
        <f>+B381</f>
        <v>455874.56014054269</v>
      </c>
      <c r="E390" s="4" t="s">
        <v>2</v>
      </c>
      <c r="F390" s="11">
        <f>+E381</f>
        <v>-455874.56014054269</v>
      </c>
      <c r="G390" s="4" t="s">
        <v>2</v>
      </c>
      <c r="H390" s="11">
        <f>+B384</f>
        <v>-455874.56014054269</v>
      </c>
      <c r="I390" s="4" t="s">
        <v>2</v>
      </c>
      <c r="J390" s="12">
        <f>+E384</f>
        <v>455874.56014054269</v>
      </c>
    </row>
    <row r="391" spans="1:10" x14ac:dyDescent="0.3">
      <c r="A391" s="4" t="s">
        <v>30</v>
      </c>
      <c r="B391" s="4">
        <f>SIN(RADIANS(B390))</f>
        <v>1</v>
      </c>
      <c r="C391" s="4" t="s">
        <v>32</v>
      </c>
      <c r="D391" s="11">
        <f>+C382</f>
        <v>3165.795556531546</v>
      </c>
      <c r="E391" s="4" t="s">
        <v>32</v>
      </c>
      <c r="F391" s="11">
        <f>+F382</f>
        <v>-3165.795556531546</v>
      </c>
      <c r="G391" s="4" t="s">
        <v>32</v>
      </c>
      <c r="H391" s="11">
        <f>+C385</f>
        <v>-3165.795556531546</v>
      </c>
      <c r="I391" s="4" t="s">
        <v>32</v>
      </c>
      <c r="J391" s="12">
        <f>+F385</f>
        <v>3165.795556531546</v>
      </c>
    </row>
    <row r="392" spans="1:10" x14ac:dyDescent="0.3">
      <c r="A392" s="4" t="s">
        <v>31</v>
      </c>
      <c r="B392" s="4">
        <f>COS(RADIANS(B390))</f>
        <v>6.1257422745431001E-17</v>
      </c>
      <c r="C392" s="4" t="s">
        <v>33</v>
      </c>
      <c r="D392" s="11">
        <f>+D383</f>
        <v>94973866.695946395</v>
      </c>
      <c r="E392" s="4" t="s">
        <v>33</v>
      </c>
      <c r="F392" s="11">
        <f>+G383</f>
        <v>47486933.347973198</v>
      </c>
      <c r="G392" s="4" t="s">
        <v>33</v>
      </c>
      <c r="H392" s="11">
        <f>+D386</f>
        <v>47486933.347973198</v>
      </c>
      <c r="I392" s="4" t="s">
        <v>33</v>
      </c>
      <c r="J392" s="12">
        <f>+G386</f>
        <v>94973866.695946395</v>
      </c>
    </row>
    <row r="393" spans="1:10" x14ac:dyDescent="0.3">
      <c r="A393" s="4"/>
      <c r="B393" s="4"/>
      <c r="C393" s="4" t="s">
        <v>34</v>
      </c>
      <c r="D393" s="11">
        <f>+D382</f>
        <v>474869.33347973193</v>
      </c>
      <c r="E393" s="4" t="s">
        <v>34</v>
      </c>
      <c r="F393" s="11">
        <f>+G382</f>
        <v>474869.33347973193</v>
      </c>
      <c r="G393" s="4" t="s">
        <v>34</v>
      </c>
      <c r="H393" s="11">
        <f>+D385</f>
        <v>-474869.33347973193</v>
      </c>
      <c r="I393" s="4" t="s">
        <v>34</v>
      </c>
      <c r="J393" s="12">
        <f>+G385</f>
        <v>-474869.33347973193</v>
      </c>
    </row>
    <row r="394" spans="1:10" x14ac:dyDescent="0.3">
      <c r="C394" s="4" t="s">
        <v>4</v>
      </c>
      <c r="D394" s="11">
        <f>+C383</f>
        <v>474869.33347973193</v>
      </c>
      <c r="E394" s="4" t="s">
        <v>4</v>
      </c>
      <c r="F394" s="11">
        <f>+F383</f>
        <v>-474869.33347973193</v>
      </c>
      <c r="G394" s="4" t="s">
        <v>4</v>
      </c>
      <c r="H394" s="11">
        <f>+C386</f>
        <v>474869.33347973193</v>
      </c>
      <c r="I394" s="4" t="s">
        <v>4</v>
      </c>
      <c r="J394" s="12">
        <f>+F386</f>
        <v>-474869.33347973193</v>
      </c>
    </row>
    <row r="398" spans="1:10" x14ac:dyDescent="0.3">
      <c r="A398" s="1" t="s">
        <v>76</v>
      </c>
      <c r="B398" s="5" t="str">
        <f t="array" ref="B398:G398">B380:G380</f>
        <v>3x</v>
      </c>
      <c r="C398" s="5" t="str">
        <v>3z</v>
      </c>
      <c r="D398" s="5" t="str">
        <v>ϴ 3</v>
      </c>
      <c r="E398" s="5" t="str">
        <v>6x</v>
      </c>
      <c r="F398" s="5" t="str">
        <v>6z</v>
      </c>
      <c r="G398" s="5" t="str">
        <v>ϴ 6</v>
      </c>
    </row>
    <row r="399" spans="1:10" x14ac:dyDescent="0.3">
      <c r="A399" s="5" t="str">
        <f t="array" ref="A399:A404">+TRANSPOSE(B398:G398)</f>
        <v>3x</v>
      </c>
      <c r="B399" s="6">
        <f>(D390*B392*B392)+(D391*B391*B391)</f>
        <v>3165.795556531546</v>
      </c>
      <c r="C399" s="6">
        <f>(D390-D391)*B392*B391</f>
        <v>2.7731772172684573E-11</v>
      </c>
      <c r="D399" s="6">
        <f>-D393*B391</f>
        <v>-474869.33347973193</v>
      </c>
      <c r="E399" s="14">
        <f>(F390*B392*B392)+(F391*B391*B391)</f>
        <v>-3165.795556531546</v>
      </c>
      <c r="F399" s="14">
        <f>(F390-F391)*B392*B391</f>
        <v>-2.7731772172684573E-11</v>
      </c>
      <c r="G399" s="14">
        <f>-F393*B391</f>
        <v>-474869.33347973193</v>
      </c>
    </row>
    <row r="400" spans="1:10" x14ac:dyDescent="0.3">
      <c r="A400" s="5" t="str">
        <v>3z</v>
      </c>
      <c r="B400" s="6">
        <f>(D390-D391)*B392*B391</f>
        <v>2.7731772172684573E-11</v>
      </c>
      <c r="C400" s="6">
        <f>(D390*B391*B391)+(D391*B392*B392)</f>
        <v>455874.56014054269</v>
      </c>
      <c r="D400" s="6">
        <f>D393*B392</f>
        <v>2.9089271509808988E-11</v>
      </c>
      <c r="E400" s="14">
        <f>(F390-F391)*B392*B391</f>
        <v>-2.7731772172684573E-11</v>
      </c>
      <c r="F400" s="14">
        <f>(F390*B391*B391)+(F391*B392*B392)</f>
        <v>-455874.56014054269</v>
      </c>
      <c r="G400" s="14">
        <f>F393*B392</f>
        <v>2.9089271509808988E-11</v>
      </c>
    </row>
    <row r="401" spans="1:28" x14ac:dyDescent="0.3">
      <c r="A401" s="5" t="str">
        <v>ϴ 3</v>
      </c>
      <c r="B401" s="6">
        <f>-D394*B391</f>
        <v>-474869.33347973193</v>
      </c>
      <c r="C401" s="6">
        <f>D394*B392</f>
        <v>2.9089271509808988E-11</v>
      </c>
      <c r="D401" s="6">
        <f>+D392</f>
        <v>94973866.695946395</v>
      </c>
      <c r="E401" s="14">
        <f>-F394*B391</f>
        <v>474869.33347973193</v>
      </c>
      <c r="F401" s="14">
        <f>F394*B392</f>
        <v>-2.9089271509808988E-11</v>
      </c>
      <c r="G401" s="14">
        <f>+F392</f>
        <v>47486933.347973198</v>
      </c>
    </row>
    <row r="402" spans="1:28" x14ac:dyDescent="0.3">
      <c r="A402" s="5" t="str">
        <v>6x</v>
      </c>
      <c r="B402" s="15">
        <f>(H390*B392*B392)+(H391*B391*B391)</f>
        <v>-3165.795556531546</v>
      </c>
      <c r="C402" s="15">
        <f>(H390-H391)*B392*B391</f>
        <v>-2.7731772172684573E-11</v>
      </c>
      <c r="D402" s="15">
        <f>-H393*B391</f>
        <v>474869.33347973193</v>
      </c>
      <c r="E402" s="8">
        <f>(J390*B392*B392)+(J391*B391*B391)</f>
        <v>3165.795556531546</v>
      </c>
      <c r="F402" s="8">
        <f>(J390-J391)*B392*B391</f>
        <v>2.7731772172684573E-11</v>
      </c>
      <c r="G402" s="8">
        <f>-J393*B391</f>
        <v>474869.33347973193</v>
      </c>
    </row>
    <row r="403" spans="1:28" x14ac:dyDescent="0.3">
      <c r="A403" s="5" t="str">
        <v>6z</v>
      </c>
      <c r="B403" s="15">
        <f>(H391-H392)*B392*B391</f>
        <v>-2.9091210794576311E-9</v>
      </c>
      <c r="C403" s="15">
        <f>(H390*B391*B391)+(H391*B392*B392)</f>
        <v>-455874.56014054269</v>
      </c>
      <c r="D403" s="15">
        <f>+H393*B392</f>
        <v>-2.9089271509808988E-11</v>
      </c>
      <c r="E403" s="8">
        <f>(J390-J391)*B392*B391</f>
        <v>2.7731772172684573E-11</v>
      </c>
      <c r="F403" s="8">
        <f>(J390*B391*B391)+(J391*B392*B392)</f>
        <v>455874.56014054269</v>
      </c>
      <c r="G403" s="8">
        <f>-J393*B392</f>
        <v>2.9089271509808988E-11</v>
      </c>
    </row>
    <row r="404" spans="1:28" x14ac:dyDescent="0.3">
      <c r="A404" s="5" t="str">
        <v>ϴ 6</v>
      </c>
      <c r="B404" s="15">
        <f>-H394*B391</f>
        <v>-474869.33347973193</v>
      </c>
      <c r="C404" s="15">
        <f>H394*B392</f>
        <v>2.9089271509808988E-11</v>
      </c>
      <c r="D404" s="15">
        <f>+H392</f>
        <v>47486933.347973198</v>
      </c>
      <c r="E404" s="8">
        <f>-J394*B391</f>
        <v>474869.33347973193</v>
      </c>
      <c r="F404" s="8">
        <f>J394*B392</f>
        <v>-2.9089271509808988E-11</v>
      </c>
      <c r="G404" s="8">
        <f>+J392</f>
        <v>94973866.695946395</v>
      </c>
    </row>
    <row r="407" spans="1:28" x14ac:dyDescent="0.3">
      <c r="A407" s="1" t="s">
        <v>36</v>
      </c>
      <c r="B407" s="13" t="s">
        <v>18</v>
      </c>
      <c r="C407" s="13" t="s">
        <v>19</v>
      </c>
      <c r="D407" s="13" t="s">
        <v>20</v>
      </c>
      <c r="E407" s="13" t="s">
        <v>37</v>
      </c>
      <c r="F407" s="13" t="s">
        <v>38</v>
      </c>
      <c r="G407" s="13" t="s">
        <v>39</v>
      </c>
      <c r="H407" s="13" t="s">
        <v>40</v>
      </c>
      <c r="I407" s="13" t="s">
        <v>41</v>
      </c>
      <c r="J407" s="13" t="s">
        <v>42</v>
      </c>
      <c r="K407" s="13" t="s">
        <v>43</v>
      </c>
      <c r="L407" s="13" t="s">
        <v>44</v>
      </c>
      <c r="M407" s="13" t="s">
        <v>45</v>
      </c>
      <c r="N407" s="13" t="s">
        <v>46</v>
      </c>
      <c r="O407" s="13" t="s">
        <v>47</v>
      </c>
      <c r="P407" s="13" t="s">
        <v>48</v>
      </c>
      <c r="Q407" s="13" t="s">
        <v>49</v>
      </c>
      <c r="R407" s="13" t="s">
        <v>50</v>
      </c>
      <c r="S407" s="13" t="s">
        <v>51</v>
      </c>
      <c r="T407" s="13" t="s">
        <v>21</v>
      </c>
      <c r="U407" s="13" t="s">
        <v>22</v>
      </c>
      <c r="V407" s="13" t="s">
        <v>23</v>
      </c>
      <c r="W407" s="13" t="s">
        <v>52</v>
      </c>
      <c r="X407" s="13" t="s">
        <v>53</v>
      </c>
      <c r="Y407" s="13" t="s">
        <v>54</v>
      </c>
      <c r="Z407" s="13" t="s">
        <v>55</v>
      </c>
      <c r="AA407" s="13" t="s">
        <v>56</v>
      </c>
      <c r="AB407" s="13" t="s">
        <v>57</v>
      </c>
    </row>
    <row r="408" spans="1:28" x14ac:dyDescent="0.3">
      <c r="A408" s="13" t="str">
        <f t="array" ref="A408:A434">TRANSPOSE(B407:AB407)</f>
        <v>1x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</row>
    <row r="409" spans="1:28" x14ac:dyDescent="0.3">
      <c r="A409" s="13" t="str">
        <v>1z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</row>
    <row r="410" spans="1:28" x14ac:dyDescent="0.3">
      <c r="A410" s="13" t="str">
        <v>ϴ 1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</row>
    <row r="411" spans="1:28" x14ac:dyDescent="0.3">
      <c r="A411" s="13" t="str">
        <v>2x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</row>
    <row r="412" spans="1:28" x14ac:dyDescent="0.3">
      <c r="A412" s="13" t="str">
        <v>2z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</row>
    <row r="413" spans="1:28" x14ac:dyDescent="0.3">
      <c r="A413" s="13" t="str">
        <v>ϴ 2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</row>
    <row r="414" spans="1:28" x14ac:dyDescent="0.3">
      <c r="A414" s="13" t="str">
        <v>3x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f t="array" ref="H414:J416">B399:D401</f>
        <v>3165.795556531546</v>
      </c>
      <c r="I414" s="1">
        <v>2.7731772172684573E-11</v>
      </c>
      <c r="J414" s="1">
        <v>-474869.33347973193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f t="array" ref="Q414:S416">E399:G401</f>
        <v>-3165.795556531546</v>
      </c>
      <c r="R414" s="1">
        <v>-2.7731772172684573E-11</v>
      </c>
      <c r="S414" s="1">
        <v>-474869.33347973193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</row>
    <row r="415" spans="1:28" x14ac:dyDescent="0.3">
      <c r="A415" s="13" t="str">
        <v>3z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2.7731772172684573E-11</v>
      </c>
      <c r="I415" s="1">
        <v>455874.56014054269</v>
      </c>
      <c r="J415" s="1">
        <v>2.9089271509808988E-11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-2.7731772172684573E-11</v>
      </c>
      <c r="R415" s="1">
        <v>-455874.56014054269</v>
      </c>
      <c r="S415" s="1">
        <v>2.9089271509808988E-11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</row>
    <row r="416" spans="1:28" x14ac:dyDescent="0.3">
      <c r="A416" s="13" t="str">
        <v>ϴ 3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-474869.33347973193</v>
      </c>
      <c r="I416" s="1">
        <v>2.9089271509808988E-11</v>
      </c>
      <c r="J416" s="1">
        <v>94973866.695946395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474869.33347973193</v>
      </c>
      <c r="R416" s="1">
        <v>-2.9089271509808988E-11</v>
      </c>
      <c r="S416" s="1">
        <v>47486933.347973198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</row>
    <row r="417" spans="1:28" x14ac:dyDescent="0.3">
      <c r="A417" s="13" t="str">
        <v>4x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</row>
    <row r="418" spans="1:28" x14ac:dyDescent="0.3">
      <c r="A418" s="13" t="str">
        <v>4z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</row>
    <row r="419" spans="1:28" x14ac:dyDescent="0.3">
      <c r="A419" s="13" t="str">
        <v>ϴ 4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</row>
    <row r="420" spans="1:28" x14ac:dyDescent="0.3">
      <c r="A420" s="13" t="str">
        <v>5x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</row>
    <row r="421" spans="1:28" x14ac:dyDescent="0.3">
      <c r="A421" s="13" t="str">
        <v>5z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</row>
    <row r="422" spans="1:28" x14ac:dyDescent="0.3">
      <c r="A422" s="13" t="str">
        <v>ϴ 5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</row>
    <row r="423" spans="1:28" x14ac:dyDescent="0.3">
      <c r="A423" s="13" t="str">
        <v>6x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f t="array" ref="H423:J425">B402:D404</f>
        <v>-3165.795556531546</v>
      </c>
      <c r="I423" s="1">
        <v>-2.7731772172684573E-11</v>
      </c>
      <c r="J423" s="1">
        <v>474869.33347973193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f t="array" ref="Q423:S425">E402:G404</f>
        <v>3165.795556531546</v>
      </c>
      <c r="R423" s="1">
        <v>2.7731772172684573E-11</v>
      </c>
      <c r="S423" s="1">
        <v>474869.33347973193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</row>
    <row r="424" spans="1:28" x14ac:dyDescent="0.3">
      <c r="A424" s="13" t="str">
        <v>6z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-2.9091210794576311E-9</v>
      </c>
      <c r="I424" s="1">
        <v>-455874.56014054269</v>
      </c>
      <c r="J424" s="1">
        <v>-2.9089271509808988E-11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2.7731772172684573E-11</v>
      </c>
      <c r="R424" s="1">
        <v>455874.56014054269</v>
      </c>
      <c r="S424" s="1">
        <v>2.9089271509808988E-11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</row>
    <row r="425" spans="1:28" x14ac:dyDescent="0.3">
      <c r="A425" s="13" t="str">
        <v>ϴ 6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-474869.33347973193</v>
      </c>
      <c r="I425" s="1">
        <v>2.9089271509808988E-11</v>
      </c>
      <c r="J425" s="1">
        <v>47486933.347973198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474869.33347973193</v>
      </c>
      <c r="R425" s="1">
        <v>-2.9089271509808988E-11</v>
      </c>
      <c r="S425" s="1">
        <v>94973866.695946395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</row>
    <row r="426" spans="1:28" x14ac:dyDescent="0.3">
      <c r="A426" s="13" t="str">
        <v>ax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</row>
    <row r="427" spans="1:28" x14ac:dyDescent="0.3">
      <c r="A427" s="13" t="str">
        <v>az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</row>
    <row r="428" spans="1:28" x14ac:dyDescent="0.3">
      <c r="A428" s="13" t="str">
        <v>ϴ a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</row>
    <row r="429" spans="1:28" x14ac:dyDescent="0.3">
      <c r="A429" s="13" t="str">
        <v>bx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</row>
    <row r="430" spans="1:28" x14ac:dyDescent="0.3">
      <c r="A430" s="13" t="str">
        <v>bz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</row>
    <row r="431" spans="1:28" x14ac:dyDescent="0.3">
      <c r="A431" s="13" t="str">
        <v>ϴ b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</row>
    <row r="432" spans="1:28" x14ac:dyDescent="0.3">
      <c r="A432" s="13" t="str">
        <v>cx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</row>
    <row r="433" spans="1:28" x14ac:dyDescent="0.3">
      <c r="A433" s="13" t="str">
        <v>cz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</row>
    <row r="434" spans="1:28" x14ac:dyDescent="0.3">
      <c r="A434" s="13" t="str">
        <v>ϴ c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</row>
    <row r="437" spans="1:28" x14ac:dyDescent="0.3">
      <c r="A437" s="21" t="s">
        <v>77</v>
      </c>
      <c r="B437" s="21"/>
      <c r="C437" s="21"/>
      <c r="D437" s="21"/>
      <c r="E437" s="21"/>
      <c r="F437" s="21"/>
      <c r="G437" s="21"/>
      <c r="H437" s="21"/>
      <c r="I437" s="21"/>
      <c r="J437" s="21"/>
    </row>
    <row r="439" spans="1:28" x14ac:dyDescent="0.3">
      <c r="A439" s="1" t="s">
        <v>2</v>
      </c>
      <c r="B439" s="1">
        <v>625</v>
      </c>
      <c r="C439" s="1" t="s">
        <v>13</v>
      </c>
    </row>
    <row r="440" spans="1:28" x14ac:dyDescent="0.3">
      <c r="A440" s="1" t="s">
        <v>3</v>
      </c>
      <c r="B440" s="1">
        <f>(POWER(50,3)*25)/12</f>
        <v>260416.66666666666</v>
      </c>
      <c r="C440" s="1" t="s">
        <v>62</v>
      </c>
    </row>
    <row r="441" spans="1:28" x14ac:dyDescent="0.3">
      <c r="A441" s="1" t="s">
        <v>5</v>
      </c>
      <c r="B441" s="1">
        <v>300</v>
      </c>
      <c r="C441" s="1" t="s">
        <v>14</v>
      </c>
    </row>
    <row r="442" spans="1:28" x14ac:dyDescent="0.3">
      <c r="A442" s="1" t="s">
        <v>4</v>
      </c>
      <c r="B442" s="1">
        <f>15100*SQRT(210)</f>
        <v>218819.78886746051</v>
      </c>
      <c r="C442" s="2" t="s">
        <v>15</v>
      </c>
    </row>
    <row r="444" spans="1:28" x14ac:dyDescent="0.3">
      <c r="B444" s="1" t="s">
        <v>6</v>
      </c>
    </row>
    <row r="445" spans="1:28" x14ac:dyDescent="0.3">
      <c r="B445" s="1" t="s">
        <v>7</v>
      </c>
      <c r="C445" s="3">
        <f>(B442*B439)/B441</f>
        <v>455874.56014054269</v>
      </c>
      <c r="D445" s="1" t="s">
        <v>12</v>
      </c>
    </row>
    <row r="446" spans="1:28" x14ac:dyDescent="0.3">
      <c r="B446" s="1" t="s">
        <v>8</v>
      </c>
      <c r="C446" s="3">
        <f>(12*B442*B440)/(B441^3)</f>
        <v>25326.364452252368</v>
      </c>
      <c r="D446" s="1" t="s">
        <v>12</v>
      </c>
    </row>
    <row r="447" spans="1:28" x14ac:dyDescent="0.3">
      <c r="B447" s="1" t="s">
        <v>9</v>
      </c>
      <c r="C447" s="3">
        <f>(6*B442*B440)/(B441^2)</f>
        <v>3798954.6678378554</v>
      </c>
      <c r="D447" s="1" t="s">
        <v>12</v>
      </c>
    </row>
    <row r="448" spans="1:28" x14ac:dyDescent="0.3">
      <c r="B448" s="1" t="s">
        <v>10</v>
      </c>
      <c r="C448" s="3">
        <f>+(4*B442*B440)/(B441)</f>
        <v>759790933.56757116</v>
      </c>
      <c r="D448" s="1" t="s">
        <v>12</v>
      </c>
    </row>
    <row r="449" spans="1:10" x14ac:dyDescent="0.3">
      <c r="B449" s="1" t="s">
        <v>11</v>
      </c>
      <c r="C449" s="3">
        <f>+(2*B442*B440)/B441</f>
        <v>379895466.78378558</v>
      </c>
      <c r="D449" s="1" t="s">
        <v>12</v>
      </c>
    </row>
    <row r="450" spans="1:10" x14ac:dyDescent="0.3">
      <c r="C450" s="4"/>
    </row>
    <row r="451" spans="1:10" x14ac:dyDescent="0.3">
      <c r="A451" s="23" t="s">
        <v>78</v>
      </c>
      <c r="B451" s="23"/>
      <c r="C451" s="23"/>
      <c r="D451" s="23"/>
      <c r="E451" s="23"/>
      <c r="F451" s="23"/>
      <c r="G451" s="23"/>
    </row>
    <row r="452" spans="1:10" x14ac:dyDescent="0.3">
      <c r="A452" s="1" t="s">
        <v>71</v>
      </c>
      <c r="B452" s="5" t="s">
        <v>18</v>
      </c>
      <c r="C452" s="5" t="s">
        <v>19</v>
      </c>
      <c r="D452" s="5" t="s">
        <v>20</v>
      </c>
      <c r="E452" s="5" t="s">
        <v>37</v>
      </c>
      <c r="F452" s="5" t="s">
        <v>38</v>
      </c>
      <c r="G452" s="5" t="s">
        <v>39</v>
      </c>
    </row>
    <row r="453" spans="1:10" x14ac:dyDescent="0.3">
      <c r="A453" s="5" t="str">
        <f t="array" ref="A453:A458">TRANSPOSE(B452:G452)</f>
        <v>1x</v>
      </c>
      <c r="B453" s="6">
        <f>+C445</f>
        <v>455874.56014054269</v>
      </c>
      <c r="C453" s="6">
        <v>0</v>
      </c>
      <c r="D453" s="6">
        <v>0</v>
      </c>
      <c r="E453" s="7">
        <f>+-C445</f>
        <v>-455874.56014054269</v>
      </c>
      <c r="F453" s="7">
        <v>0</v>
      </c>
      <c r="G453" s="7">
        <v>0</v>
      </c>
      <c r="H453" s="26" t="s">
        <v>68</v>
      </c>
      <c r="I453" s="26"/>
    </row>
    <row r="454" spans="1:10" x14ac:dyDescent="0.3">
      <c r="A454" s="5" t="str">
        <v>1z</v>
      </c>
      <c r="B454" s="6">
        <v>0</v>
      </c>
      <c r="C454" s="6">
        <f>+C446</f>
        <v>25326.364452252368</v>
      </c>
      <c r="D454" s="6">
        <f>+C447</f>
        <v>3798954.6678378554</v>
      </c>
      <c r="E454" s="7">
        <v>0</v>
      </c>
      <c r="F454" s="7">
        <f>-C446</f>
        <v>-25326.364452252368</v>
      </c>
      <c r="G454" s="7">
        <f>+C447</f>
        <v>3798954.6678378554</v>
      </c>
      <c r="H454" s="26"/>
      <c r="I454" s="26"/>
    </row>
    <row r="455" spans="1:10" x14ac:dyDescent="0.3">
      <c r="A455" s="5" t="str">
        <v>ϴ 1</v>
      </c>
      <c r="B455" s="6">
        <v>0</v>
      </c>
      <c r="C455" s="6">
        <f>+C447</f>
        <v>3798954.6678378554</v>
      </c>
      <c r="D455" s="6">
        <f>+C448</f>
        <v>759790933.56757116</v>
      </c>
      <c r="E455" s="7">
        <v>0</v>
      </c>
      <c r="F455" s="7">
        <f>+-C447</f>
        <v>-3798954.6678378554</v>
      </c>
      <c r="G455" s="7">
        <f>+C449</f>
        <v>379895466.78378558</v>
      </c>
      <c r="H455" s="26"/>
      <c r="I455" s="26"/>
    </row>
    <row r="456" spans="1:10" x14ac:dyDescent="0.3">
      <c r="A456" s="5" t="str">
        <v>2x</v>
      </c>
      <c r="B456" s="8">
        <f>-C445</f>
        <v>-455874.56014054269</v>
      </c>
      <c r="C456" s="8">
        <v>0</v>
      </c>
      <c r="D456" s="8">
        <v>0</v>
      </c>
      <c r="E456" s="9">
        <f>+C445</f>
        <v>455874.56014054269</v>
      </c>
      <c r="F456" s="9">
        <v>0</v>
      </c>
      <c r="G456" s="9">
        <v>0</v>
      </c>
      <c r="H456" s="26"/>
      <c r="I456" s="26"/>
    </row>
    <row r="457" spans="1:10" x14ac:dyDescent="0.3">
      <c r="A457" s="5" t="str">
        <v>2z</v>
      </c>
      <c r="B457" s="8">
        <v>0</v>
      </c>
      <c r="C457" s="8">
        <f>-C446</f>
        <v>-25326.364452252368</v>
      </c>
      <c r="D457" s="8">
        <f>-C447</f>
        <v>-3798954.6678378554</v>
      </c>
      <c r="E457" s="9">
        <v>0</v>
      </c>
      <c r="F457" s="9">
        <f>C446</f>
        <v>25326.364452252368</v>
      </c>
      <c r="G457" s="9">
        <f>-C447</f>
        <v>-3798954.6678378554</v>
      </c>
      <c r="H457" s="26"/>
      <c r="I457" s="26"/>
    </row>
    <row r="458" spans="1:10" x14ac:dyDescent="0.3">
      <c r="A458" s="5" t="str">
        <v>ϴ 2</v>
      </c>
      <c r="B458" s="8">
        <v>0</v>
      </c>
      <c r="C458" s="8">
        <f>+C447</f>
        <v>3798954.6678378554</v>
      </c>
      <c r="D458" s="8">
        <f>+C449</f>
        <v>379895466.78378558</v>
      </c>
      <c r="E458" s="9">
        <v>0</v>
      </c>
      <c r="F458" s="9">
        <f>-C447</f>
        <v>-3798954.6678378554</v>
      </c>
      <c r="G458" s="9">
        <f>C448</f>
        <v>759790933.56757116</v>
      </c>
      <c r="H458" s="26"/>
      <c r="I458" s="26"/>
    </row>
    <row r="460" spans="1:10" x14ac:dyDescent="0.3">
      <c r="A460" s="23" t="s">
        <v>79</v>
      </c>
      <c r="B460" s="23"/>
      <c r="C460" s="23"/>
      <c r="D460" s="23"/>
      <c r="E460" s="23"/>
      <c r="F460" s="23"/>
      <c r="G460" s="23"/>
      <c r="H460" s="23"/>
      <c r="I460" s="23"/>
      <c r="J460" s="23"/>
    </row>
    <row r="461" spans="1:10" x14ac:dyDescent="0.3">
      <c r="A461" s="4"/>
      <c r="B461" s="4"/>
      <c r="C461" s="25" t="s">
        <v>25</v>
      </c>
      <c r="D461" s="25"/>
      <c r="E461" s="25" t="s">
        <v>26</v>
      </c>
      <c r="F461" s="25"/>
      <c r="G461" s="25" t="s">
        <v>27</v>
      </c>
      <c r="H461" s="25"/>
      <c r="I461" s="25" t="s">
        <v>28</v>
      </c>
      <c r="J461" s="25"/>
    </row>
    <row r="462" spans="1:10" x14ac:dyDescent="0.3">
      <c r="A462" s="4" t="s">
        <v>29</v>
      </c>
      <c r="B462" s="10">
        <v>0</v>
      </c>
      <c r="C462" s="4" t="s">
        <v>2</v>
      </c>
      <c r="D462" s="11">
        <f>+B453</f>
        <v>455874.56014054269</v>
      </c>
      <c r="E462" s="4" t="s">
        <v>2</v>
      </c>
      <c r="F462" s="11">
        <f>+E453</f>
        <v>-455874.56014054269</v>
      </c>
      <c r="G462" s="4" t="s">
        <v>2</v>
      </c>
      <c r="H462" s="11">
        <f>+B456</f>
        <v>-455874.56014054269</v>
      </c>
      <c r="I462" s="4" t="s">
        <v>2</v>
      </c>
      <c r="J462" s="12">
        <f>+E456</f>
        <v>455874.56014054269</v>
      </c>
    </row>
    <row r="463" spans="1:10" x14ac:dyDescent="0.3">
      <c r="A463" s="4" t="s">
        <v>30</v>
      </c>
      <c r="B463" s="4">
        <f>SIN(RADIANS(B462))</f>
        <v>0</v>
      </c>
      <c r="C463" s="4" t="s">
        <v>32</v>
      </c>
      <c r="D463" s="11">
        <f>+C454</f>
        <v>25326.364452252368</v>
      </c>
      <c r="E463" s="4" t="s">
        <v>32</v>
      </c>
      <c r="F463" s="11">
        <f>+F454</f>
        <v>-25326.364452252368</v>
      </c>
      <c r="G463" s="4" t="s">
        <v>32</v>
      </c>
      <c r="H463" s="11">
        <f>+C457</f>
        <v>-25326.364452252368</v>
      </c>
      <c r="I463" s="4" t="s">
        <v>32</v>
      </c>
      <c r="J463" s="12">
        <f>+F457</f>
        <v>25326.364452252368</v>
      </c>
    </row>
    <row r="464" spans="1:10" x14ac:dyDescent="0.3">
      <c r="A464" s="4" t="s">
        <v>31</v>
      </c>
      <c r="B464" s="4">
        <f>COS(RADIANS(B462))</f>
        <v>1</v>
      </c>
      <c r="C464" s="4" t="s">
        <v>33</v>
      </c>
      <c r="D464" s="11">
        <f>+D455</f>
        <v>759790933.56757116</v>
      </c>
      <c r="E464" s="4" t="s">
        <v>33</v>
      </c>
      <c r="F464" s="11">
        <f>+G455</f>
        <v>379895466.78378558</v>
      </c>
      <c r="G464" s="4" t="s">
        <v>33</v>
      </c>
      <c r="H464" s="11">
        <f>+D458</f>
        <v>379895466.78378558</v>
      </c>
      <c r="I464" s="4" t="s">
        <v>33</v>
      </c>
      <c r="J464" s="12">
        <f>+G458</f>
        <v>759790933.56757116</v>
      </c>
    </row>
    <row r="465" spans="1:28" x14ac:dyDescent="0.3">
      <c r="A465" s="4"/>
      <c r="B465" s="4"/>
      <c r="C465" s="4" t="s">
        <v>34</v>
      </c>
      <c r="D465" s="11">
        <f>+D454</f>
        <v>3798954.6678378554</v>
      </c>
      <c r="E465" s="4" t="s">
        <v>34</v>
      </c>
      <c r="F465" s="11">
        <f>+G454</f>
        <v>3798954.6678378554</v>
      </c>
      <c r="G465" s="4" t="s">
        <v>34</v>
      </c>
      <c r="H465" s="11">
        <f>+D457</f>
        <v>-3798954.6678378554</v>
      </c>
      <c r="I465" s="4" t="s">
        <v>34</v>
      </c>
      <c r="J465" s="12">
        <f>+G457</f>
        <v>-3798954.6678378554</v>
      </c>
    </row>
    <row r="466" spans="1:28" x14ac:dyDescent="0.3">
      <c r="C466" s="4" t="s">
        <v>4</v>
      </c>
      <c r="D466" s="11">
        <f>+C455</f>
        <v>3798954.6678378554</v>
      </c>
      <c r="E466" s="4" t="s">
        <v>4</v>
      </c>
      <c r="F466" s="11">
        <f>+F455</f>
        <v>-3798954.6678378554</v>
      </c>
      <c r="G466" s="4" t="s">
        <v>4</v>
      </c>
      <c r="H466" s="11">
        <f>+C458</f>
        <v>3798954.6678378554</v>
      </c>
      <c r="I466" s="4" t="s">
        <v>4</v>
      </c>
      <c r="J466" s="12">
        <f>+F458</f>
        <v>-3798954.6678378554</v>
      </c>
    </row>
    <row r="470" spans="1:28" x14ac:dyDescent="0.3">
      <c r="A470" s="1" t="s">
        <v>80</v>
      </c>
      <c r="B470" s="5" t="str">
        <f t="array" ref="B470:G470">B452:G452</f>
        <v>1x</v>
      </c>
      <c r="C470" s="5" t="str">
        <v>1z</v>
      </c>
      <c r="D470" s="5" t="str">
        <v>ϴ 1</v>
      </c>
      <c r="E470" s="5" t="str">
        <v>2x</v>
      </c>
      <c r="F470" s="5" t="str">
        <v>2z</v>
      </c>
      <c r="G470" s="5" t="str">
        <v>ϴ 2</v>
      </c>
    </row>
    <row r="471" spans="1:28" x14ac:dyDescent="0.3">
      <c r="A471" s="5" t="str">
        <f t="array" ref="A471:A476">+TRANSPOSE(B470:G470)</f>
        <v>1x</v>
      </c>
      <c r="B471" s="6">
        <f>(D462*B464*B464)+(D463*B463*B463)</f>
        <v>455874.56014054269</v>
      </c>
      <c r="C471" s="6">
        <f>(D462-D463)*B464*B463</f>
        <v>0</v>
      </c>
      <c r="D471" s="6">
        <f>-D465*B463</f>
        <v>0</v>
      </c>
      <c r="E471" s="14">
        <f>(F462*B464*B464)+(F463*B463*B463)</f>
        <v>-455874.56014054269</v>
      </c>
      <c r="F471" s="14">
        <f>(F462-F463)*B464*B463</f>
        <v>0</v>
      </c>
      <c r="G471" s="14">
        <f>-F465*B463</f>
        <v>0</v>
      </c>
    </row>
    <row r="472" spans="1:28" x14ac:dyDescent="0.3">
      <c r="A472" s="5" t="str">
        <v>1z</v>
      </c>
      <c r="B472" s="6">
        <f>(D462-D463)*B464*B463</f>
        <v>0</v>
      </c>
      <c r="C472" s="6">
        <f>(D462*B463*B463)+(D463*B464*B464)</f>
        <v>25326.364452252368</v>
      </c>
      <c r="D472" s="6">
        <f>D465*B464</f>
        <v>3798954.6678378554</v>
      </c>
      <c r="E472" s="14">
        <f>(F462-F463)*B464*B463</f>
        <v>0</v>
      </c>
      <c r="F472" s="14">
        <f>(F462*B463*B463)+(F463*B464*B464)</f>
        <v>-25326.364452252368</v>
      </c>
      <c r="G472" s="14">
        <f>F465*B464</f>
        <v>3798954.6678378554</v>
      </c>
    </row>
    <row r="473" spans="1:28" x14ac:dyDescent="0.3">
      <c r="A473" s="5" t="str">
        <v>ϴ 1</v>
      </c>
      <c r="B473" s="6">
        <f>-D466*B463</f>
        <v>0</v>
      </c>
      <c r="C473" s="6">
        <f>D466*B464</f>
        <v>3798954.6678378554</v>
      </c>
      <c r="D473" s="6">
        <f>+D464</f>
        <v>759790933.56757116</v>
      </c>
      <c r="E473" s="14">
        <f>-F466*B463</f>
        <v>0</v>
      </c>
      <c r="F473" s="14">
        <f>F466*B464</f>
        <v>-3798954.6678378554</v>
      </c>
      <c r="G473" s="14">
        <f>+F464</f>
        <v>379895466.78378558</v>
      </c>
    </row>
    <row r="474" spans="1:28" x14ac:dyDescent="0.3">
      <c r="A474" s="5" t="str">
        <v>2x</v>
      </c>
      <c r="B474" s="15">
        <f>(H462*B464*B464)+(H463*B463*B463)</f>
        <v>-455874.56014054269</v>
      </c>
      <c r="C474" s="15">
        <f>(H462-H463)*B464*B463</f>
        <v>0</v>
      </c>
      <c r="D474" s="15">
        <f>-H465*B463</f>
        <v>0</v>
      </c>
      <c r="E474" s="8">
        <f>(J462*B464*B464)+(J463*B463*B463)</f>
        <v>455874.56014054269</v>
      </c>
      <c r="F474" s="8">
        <f>(J462-J463)*B464*B463</f>
        <v>0</v>
      </c>
      <c r="G474" s="8">
        <f>-J465*B463</f>
        <v>0</v>
      </c>
    </row>
    <row r="475" spans="1:28" x14ac:dyDescent="0.3">
      <c r="A475" s="5" t="str">
        <v>2z</v>
      </c>
      <c r="B475" s="15">
        <f>(H463-H464)*B464*B463</f>
        <v>0</v>
      </c>
      <c r="C475" s="15">
        <f>(H462*B463*B463)+(H463*B464*B464)</f>
        <v>-25326.364452252368</v>
      </c>
      <c r="D475" s="15">
        <f>+H465*B464</f>
        <v>-3798954.6678378554</v>
      </c>
      <c r="E475" s="8">
        <f>(J462-J463)*B464*B463</f>
        <v>0</v>
      </c>
      <c r="F475" s="8">
        <f>(J462*B463*B463)+(J463*B464*B464)</f>
        <v>25326.364452252368</v>
      </c>
      <c r="G475" s="8">
        <f>-J465*B464</f>
        <v>3798954.6678378554</v>
      </c>
    </row>
    <row r="476" spans="1:28" x14ac:dyDescent="0.3">
      <c r="A476" s="5" t="str">
        <v>ϴ 2</v>
      </c>
      <c r="B476" s="15">
        <f>-H466*B463</f>
        <v>0</v>
      </c>
      <c r="C476" s="15">
        <f>H466*B464</f>
        <v>3798954.6678378554</v>
      </c>
      <c r="D476" s="15">
        <f>+H464</f>
        <v>379895466.78378558</v>
      </c>
      <c r="E476" s="8">
        <f>-J466*B463</f>
        <v>0</v>
      </c>
      <c r="F476" s="8">
        <f>J466*B464</f>
        <v>-3798954.6678378554</v>
      </c>
      <c r="G476" s="8">
        <f>+J464</f>
        <v>759790933.56757116</v>
      </c>
    </row>
    <row r="479" spans="1:28" x14ac:dyDescent="0.3">
      <c r="A479" s="1" t="s">
        <v>36</v>
      </c>
      <c r="B479" s="13" t="s">
        <v>18</v>
      </c>
      <c r="C479" s="13" t="s">
        <v>19</v>
      </c>
      <c r="D479" s="13" t="s">
        <v>20</v>
      </c>
      <c r="E479" s="13" t="s">
        <v>37</v>
      </c>
      <c r="F479" s="13" t="s">
        <v>38</v>
      </c>
      <c r="G479" s="13" t="s">
        <v>39</v>
      </c>
      <c r="H479" s="13" t="s">
        <v>40</v>
      </c>
      <c r="I479" s="13" t="s">
        <v>41</v>
      </c>
      <c r="J479" s="13" t="s">
        <v>42</v>
      </c>
      <c r="K479" s="13" t="s">
        <v>43</v>
      </c>
      <c r="L479" s="13" t="s">
        <v>44</v>
      </c>
      <c r="M479" s="13" t="s">
        <v>45</v>
      </c>
      <c r="N479" s="13" t="s">
        <v>46</v>
      </c>
      <c r="O479" s="13" t="s">
        <v>47</v>
      </c>
      <c r="P479" s="13" t="s">
        <v>48</v>
      </c>
      <c r="Q479" s="13" t="s">
        <v>49</v>
      </c>
      <c r="R479" s="13" t="s">
        <v>50</v>
      </c>
      <c r="S479" s="13" t="s">
        <v>51</v>
      </c>
      <c r="T479" s="13" t="s">
        <v>21</v>
      </c>
      <c r="U479" s="13" t="s">
        <v>22</v>
      </c>
      <c r="V479" s="13" t="s">
        <v>23</v>
      </c>
      <c r="W479" s="13" t="s">
        <v>52</v>
      </c>
      <c r="X479" s="13" t="s">
        <v>53</v>
      </c>
      <c r="Y479" s="13" t="s">
        <v>54</v>
      </c>
      <c r="Z479" s="13" t="s">
        <v>55</v>
      </c>
      <c r="AA479" s="13" t="s">
        <v>56</v>
      </c>
      <c r="AB479" s="13" t="s">
        <v>57</v>
      </c>
    </row>
    <row r="480" spans="1:28" x14ac:dyDescent="0.3">
      <c r="A480" s="13" t="str">
        <f t="array" ref="A480:A506">TRANSPOSE(B479:AB479)</f>
        <v>1x</v>
      </c>
      <c r="B480" s="1">
        <f t="array" ref="B480:G485">B471:G476</f>
        <v>455874.56014054269</v>
      </c>
      <c r="C480" s="1">
        <v>0</v>
      </c>
      <c r="D480" s="1">
        <v>0</v>
      </c>
      <c r="E480" s="1">
        <v>-455874.56014054269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</row>
    <row r="481" spans="1:28" x14ac:dyDescent="0.3">
      <c r="A481" s="13" t="str">
        <v>1z</v>
      </c>
      <c r="B481" s="1">
        <v>0</v>
      </c>
      <c r="C481" s="1">
        <v>25326.364452252368</v>
      </c>
      <c r="D481" s="1">
        <v>3798954.6678378554</v>
      </c>
      <c r="E481" s="1">
        <v>0</v>
      </c>
      <c r="F481" s="1">
        <v>-25326.364452252368</v>
      </c>
      <c r="G481" s="1">
        <v>3798954.6678378554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</row>
    <row r="482" spans="1:28" x14ac:dyDescent="0.3">
      <c r="A482" s="13" t="str">
        <v>ϴ 1</v>
      </c>
      <c r="B482" s="1">
        <v>0</v>
      </c>
      <c r="C482" s="1">
        <v>3798954.6678378554</v>
      </c>
      <c r="D482" s="1">
        <v>759790933.56757116</v>
      </c>
      <c r="E482" s="1">
        <v>0</v>
      </c>
      <c r="F482" s="1">
        <v>-3798954.6678378554</v>
      </c>
      <c r="G482" s="1">
        <v>379895466.78378558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</row>
    <row r="483" spans="1:28" x14ac:dyDescent="0.3">
      <c r="A483" s="13" t="str">
        <v>2x</v>
      </c>
      <c r="B483" s="1">
        <v>-455874.56014054269</v>
      </c>
      <c r="C483" s="1">
        <v>0</v>
      </c>
      <c r="D483" s="1">
        <v>0</v>
      </c>
      <c r="E483" s="1">
        <v>455874.56014054269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</row>
    <row r="484" spans="1:28" x14ac:dyDescent="0.3">
      <c r="A484" s="13" t="str">
        <v>2z</v>
      </c>
      <c r="B484" s="1">
        <v>0</v>
      </c>
      <c r="C484" s="1">
        <v>-25326.364452252368</v>
      </c>
      <c r="D484" s="1">
        <v>-3798954.6678378554</v>
      </c>
      <c r="E484" s="1">
        <v>0</v>
      </c>
      <c r="F484" s="1">
        <v>25326.364452252368</v>
      </c>
      <c r="G484" s="1">
        <v>3798954.6678378554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</row>
    <row r="485" spans="1:28" x14ac:dyDescent="0.3">
      <c r="A485" s="13" t="str">
        <v>ϴ 2</v>
      </c>
      <c r="B485" s="1">
        <v>0</v>
      </c>
      <c r="C485" s="1">
        <v>3798954.6678378554</v>
      </c>
      <c r="D485" s="1">
        <v>379895466.78378558</v>
      </c>
      <c r="E485" s="1">
        <v>0</v>
      </c>
      <c r="F485" s="1">
        <v>-3798954.6678378554</v>
      </c>
      <c r="G485" s="1">
        <v>759790933.56757116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</row>
    <row r="486" spans="1:28" x14ac:dyDescent="0.3">
      <c r="A486" s="13" t="str">
        <v>3x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</row>
    <row r="487" spans="1:28" x14ac:dyDescent="0.3">
      <c r="A487" s="13" t="str">
        <v>3z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</row>
    <row r="488" spans="1:28" x14ac:dyDescent="0.3">
      <c r="A488" s="13" t="str">
        <v>ϴ 3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</row>
    <row r="489" spans="1:28" x14ac:dyDescent="0.3">
      <c r="A489" s="13" t="str">
        <v>4x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</row>
    <row r="490" spans="1:28" x14ac:dyDescent="0.3">
      <c r="A490" s="13" t="str">
        <v>4z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</row>
    <row r="491" spans="1:28" x14ac:dyDescent="0.3">
      <c r="A491" s="13" t="str">
        <v>ϴ 4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</row>
    <row r="492" spans="1:28" x14ac:dyDescent="0.3">
      <c r="A492" s="13" t="str">
        <v>5x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</row>
    <row r="493" spans="1:28" x14ac:dyDescent="0.3">
      <c r="A493" s="13" t="str">
        <v>5z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</row>
    <row r="494" spans="1:28" x14ac:dyDescent="0.3">
      <c r="A494" s="13" t="str">
        <v>ϴ 5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</row>
    <row r="495" spans="1:28" x14ac:dyDescent="0.3">
      <c r="A495" s="13" t="str">
        <v>6x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</row>
    <row r="496" spans="1:28" x14ac:dyDescent="0.3">
      <c r="A496" s="13" t="str">
        <v>6z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</row>
    <row r="497" spans="1:28" x14ac:dyDescent="0.3">
      <c r="A497" s="13" t="str">
        <v>ϴ 6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</row>
    <row r="498" spans="1:28" x14ac:dyDescent="0.3">
      <c r="A498" s="13" t="str">
        <v>ax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</row>
    <row r="499" spans="1:28" x14ac:dyDescent="0.3">
      <c r="A499" s="13" t="str">
        <v>az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</row>
    <row r="500" spans="1:28" x14ac:dyDescent="0.3">
      <c r="A500" s="13" t="str">
        <v>ϴ a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</row>
    <row r="501" spans="1:28" x14ac:dyDescent="0.3">
      <c r="A501" s="13" t="str">
        <v>bx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</row>
    <row r="502" spans="1:28" x14ac:dyDescent="0.3">
      <c r="A502" s="13" t="str">
        <v>bz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</row>
    <row r="503" spans="1:28" x14ac:dyDescent="0.3">
      <c r="A503" s="13" t="str">
        <v>ϴ b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</row>
    <row r="504" spans="1:28" x14ac:dyDescent="0.3">
      <c r="A504" s="13" t="str">
        <v>cx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</row>
    <row r="505" spans="1:28" x14ac:dyDescent="0.3">
      <c r="A505" s="13" t="str">
        <v>cz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</row>
    <row r="506" spans="1:28" x14ac:dyDescent="0.3">
      <c r="A506" s="13" t="str">
        <v>ϴ c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</row>
    <row r="509" spans="1:28" x14ac:dyDescent="0.3">
      <c r="A509" s="21" t="s">
        <v>81</v>
      </c>
      <c r="B509" s="21"/>
      <c r="C509" s="21"/>
      <c r="D509" s="21"/>
      <c r="E509" s="21"/>
      <c r="F509" s="21"/>
      <c r="G509" s="21"/>
      <c r="H509" s="21"/>
      <c r="I509" s="21"/>
      <c r="J509" s="21"/>
    </row>
    <row r="511" spans="1:28" x14ac:dyDescent="0.3">
      <c r="A511" s="1" t="s">
        <v>2</v>
      </c>
      <c r="B511" s="1">
        <v>625</v>
      </c>
      <c r="C511" s="1" t="s">
        <v>13</v>
      </c>
    </row>
    <row r="512" spans="1:28" x14ac:dyDescent="0.3">
      <c r="A512" s="1" t="s">
        <v>3</v>
      </c>
      <c r="B512" s="1">
        <f>(POWER(50,3)*25)/12</f>
        <v>260416.66666666666</v>
      </c>
      <c r="C512" s="1" t="s">
        <v>62</v>
      </c>
    </row>
    <row r="513" spans="1:9" x14ac:dyDescent="0.3">
      <c r="A513" s="1" t="s">
        <v>5</v>
      </c>
      <c r="B513" s="1">
        <v>300</v>
      </c>
      <c r="C513" s="1" t="s">
        <v>14</v>
      </c>
    </row>
    <row r="514" spans="1:9" x14ac:dyDescent="0.3">
      <c r="A514" s="1" t="s">
        <v>4</v>
      </c>
      <c r="B514" s="1">
        <f>15100*SQRT(210)</f>
        <v>218819.78886746051</v>
      </c>
      <c r="C514" s="2" t="s">
        <v>15</v>
      </c>
    </row>
    <row r="516" spans="1:9" x14ac:dyDescent="0.3">
      <c r="B516" s="1" t="s">
        <v>6</v>
      </c>
    </row>
    <row r="517" spans="1:9" x14ac:dyDescent="0.3">
      <c r="B517" s="1" t="s">
        <v>7</v>
      </c>
      <c r="C517" s="3">
        <f>(B514*B511)/B513</f>
        <v>455874.56014054269</v>
      </c>
      <c r="D517" s="1" t="s">
        <v>12</v>
      </c>
    </row>
    <row r="518" spans="1:9" x14ac:dyDescent="0.3">
      <c r="B518" s="1" t="s">
        <v>8</v>
      </c>
      <c r="C518" s="3">
        <f>(12*B514*B512)/(B513^3)</f>
        <v>25326.364452252368</v>
      </c>
      <c r="D518" s="1" t="s">
        <v>12</v>
      </c>
    </row>
    <row r="519" spans="1:9" x14ac:dyDescent="0.3">
      <c r="B519" s="1" t="s">
        <v>9</v>
      </c>
      <c r="C519" s="3">
        <f>(6*B514*B512)/(B513^2)</f>
        <v>3798954.6678378554</v>
      </c>
      <c r="D519" s="1" t="s">
        <v>12</v>
      </c>
    </row>
    <row r="520" spans="1:9" x14ac:dyDescent="0.3">
      <c r="B520" s="1" t="s">
        <v>10</v>
      </c>
      <c r="C520" s="3">
        <f>+(4*B514*B512)/(B513)</f>
        <v>759790933.56757116</v>
      </c>
      <c r="D520" s="1" t="s">
        <v>12</v>
      </c>
    </row>
    <row r="521" spans="1:9" x14ac:dyDescent="0.3">
      <c r="B521" s="1" t="s">
        <v>11</v>
      </c>
      <c r="C521" s="3">
        <f>+(2*B514*B512)/B513</f>
        <v>379895466.78378558</v>
      </c>
      <c r="D521" s="1" t="s">
        <v>12</v>
      </c>
    </row>
    <row r="522" spans="1:9" x14ac:dyDescent="0.3">
      <c r="C522" s="4"/>
    </row>
    <row r="523" spans="1:9" x14ac:dyDescent="0.3">
      <c r="A523" s="23" t="s">
        <v>82</v>
      </c>
      <c r="B523" s="23"/>
      <c r="C523" s="23"/>
      <c r="D523" s="23"/>
      <c r="E523" s="23"/>
      <c r="F523" s="23"/>
      <c r="G523" s="23"/>
    </row>
    <row r="524" spans="1:9" x14ac:dyDescent="0.3">
      <c r="A524" s="1" t="s">
        <v>84</v>
      </c>
      <c r="B524" s="13" t="s">
        <v>37</v>
      </c>
      <c r="C524" s="13" t="s">
        <v>38</v>
      </c>
      <c r="D524" s="13" t="s">
        <v>39</v>
      </c>
      <c r="E524" s="13" t="s">
        <v>40</v>
      </c>
      <c r="F524" s="13" t="s">
        <v>41</v>
      </c>
      <c r="G524" s="13" t="s">
        <v>42</v>
      </c>
    </row>
    <row r="525" spans="1:9" ht="15" customHeight="1" x14ac:dyDescent="0.3">
      <c r="A525" s="5" t="str">
        <f t="array" ref="A525:A530">TRANSPOSE(B524:G524)</f>
        <v>2x</v>
      </c>
      <c r="B525" s="6">
        <f>+C517</f>
        <v>455874.56014054269</v>
      </c>
      <c r="C525" s="6">
        <v>0</v>
      </c>
      <c r="D525" s="6">
        <v>0</v>
      </c>
      <c r="E525" s="7">
        <f>+-C517</f>
        <v>-455874.56014054269</v>
      </c>
      <c r="F525" s="7">
        <v>0</v>
      </c>
      <c r="G525" s="7">
        <v>0</v>
      </c>
      <c r="H525" s="26" t="s">
        <v>68</v>
      </c>
      <c r="I525" s="26"/>
    </row>
    <row r="526" spans="1:9" ht="15" customHeight="1" x14ac:dyDescent="0.3">
      <c r="A526" s="5" t="str">
        <v>2z</v>
      </c>
      <c r="B526" s="6">
        <v>0</v>
      </c>
      <c r="C526" s="6">
        <f>+C518</f>
        <v>25326.364452252368</v>
      </c>
      <c r="D526" s="6">
        <f>+C519</f>
        <v>3798954.6678378554</v>
      </c>
      <c r="E526" s="7">
        <v>0</v>
      </c>
      <c r="F526" s="7">
        <f>-C518</f>
        <v>-25326.364452252368</v>
      </c>
      <c r="G526" s="7">
        <f>+C519</f>
        <v>3798954.6678378554</v>
      </c>
      <c r="H526" s="26"/>
      <c r="I526" s="26"/>
    </row>
    <row r="527" spans="1:9" ht="15" customHeight="1" x14ac:dyDescent="0.3">
      <c r="A527" s="5" t="str">
        <v>ϴ 2</v>
      </c>
      <c r="B527" s="6">
        <v>0</v>
      </c>
      <c r="C527" s="6">
        <f>+C519</f>
        <v>3798954.6678378554</v>
      </c>
      <c r="D527" s="6">
        <f>+C520</f>
        <v>759790933.56757116</v>
      </c>
      <c r="E527" s="7">
        <v>0</v>
      </c>
      <c r="F527" s="7">
        <f>+-C519</f>
        <v>-3798954.6678378554</v>
      </c>
      <c r="G527" s="7">
        <f>+C521</f>
        <v>379895466.78378558</v>
      </c>
      <c r="H527" s="26"/>
      <c r="I527" s="26"/>
    </row>
    <row r="528" spans="1:9" ht="15" customHeight="1" x14ac:dyDescent="0.3">
      <c r="A528" s="5" t="str">
        <v>3x</v>
      </c>
      <c r="B528" s="8">
        <f>-C517</f>
        <v>-455874.56014054269</v>
      </c>
      <c r="C528" s="8">
        <v>0</v>
      </c>
      <c r="D528" s="8">
        <v>0</v>
      </c>
      <c r="E528" s="9">
        <f>+C517</f>
        <v>455874.56014054269</v>
      </c>
      <c r="F528" s="9">
        <v>0</v>
      </c>
      <c r="G528" s="9">
        <v>0</v>
      </c>
      <c r="H528" s="26"/>
      <c r="I528" s="26"/>
    </row>
    <row r="529" spans="1:10" ht="15" customHeight="1" x14ac:dyDescent="0.3">
      <c r="A529" s="5" t="str">
        <v>3z</v>
      </c>
      <c r="B529" s="8">
        <v>0</v>
      </c>
      <c r="C529" s="8">
        <f>-C518</f>
        <v>-25326.364452252368</v>
      </c>
      <c r="D529" s="8">
        <f>-C519</f>
        <v>-3798954.6678378554</v>
      </c>
      <c r="E529" s="9">
        <v>0</v>
      </c>
      <c r="F529" s="9">
        <f>C518</f>
        <v>25326.364452252368</v>
      </c>
      <c r="G529" s="9">
        <f>-C519</f>
        <v>-3798954.6678378554</v>
      </c>
      <c r="H529" s="26"/>
      <c r="I529" s="26"/>
    </row>
    <row r="530" spans="1:10" ht="15" customHeight="1" x14ac:dyDescent="0.3">
      <c r="A530" s="5" t="str">
        <v>ϴ 3</v>
      </c>
      <c r="B530" s="8">
        <v>0</v>
      </c>
      <c r="C530" s="8">
        <f>+C519</f>
        <v>3798954.6678378554</v>
      </c>
      <c r="D530" s="8">
        <f>+C521</f>
        <v>379895466.78378558</v>
      </c>
      <c r="E530" s="9">
        <v>0</v>
      </c>
      <c r="F530" s="9">
        <f>-C519</f>
        <v>-3798954.6678378554</v>
      </c>
      <c r="G530" s="9">
        <f>C520</f>
        <v>759790933.56757116</v>
      </c>
      <c r="H530" s="26"/>
      <c r="I530" s="26"/>
    </row>
    <row r="532" spans="1:10" x14ac:dyDescent="0.3">
      <c r="A532" s="23" t="s">
        <v>83</v>
      </c>
      <c r="B532" s="23"/>
      <c r="C532" s="23"/>
      <c r="D532" s="23"/>
      <c r="E532" s="23"/>
      <c r="F532" s="23"/>
      <c r="G532" s="23"/>
      <c r="H532" s="23"/>
      <c r="I532" s="23"/>
      <c r="J532" s="23"/>
    </row>
    <row r="533" spans="1:10" x14ac:dyDescent="0.3">
      <c r="A533" s="4"/>
      <c r="B533" s="4"/>
      <c r="C533" s="13" t="s">
        <v>25</v>
      </c>
      <c r="D533" s="13"/>
      <c r="E533" s="13" t="s">
        <v>26</v>
      </c>
      <c r="F533" s="13"/>
      <c r="G533" s="13" t="s">
        <v>27</v>
      </c>
      <c r="H533" s="13"/>
      <c r="I533" s="13" t="s">
        <v>28</v>
      </c>
      <c r="J533" s="13"/>
    </row>
    <row r="534" spans="1:10" x14ac:dyDescent="0.3">
      <c r="A534" s="4" t="s">
        <v>29</v>
      </c>
      <c r="B534" s="10">
        <v>0</v>
      </c>
      <c r="C534" s="4" t="s">
        <v>2</v>
      </c>
      <c r="D534" s="11">
        <f>+B525</f>
        <v>455874.56014054269</v>
      </c>
      <c r="E534" s="4" t="s">
        <v>2</v>
      </c>
      <c r="F534" s="11">
        <f>+E525</f>
        <v>-455874.56014054269</v>
      </c>
      <c r="G534" s="4" t="s">
        <v>2</v>
      </c>
      <c r="H534" s="11">
        <f>+B528</f>
        <v>-455874.56014054269</v>
      </c>
      <c r="I534" s="4" t="s">
        <v>2</v>
      </c>
      <c r="J534" s="12">
        <f>+E528</f>
        <v>455874.56014054269</v>
      </c>
    </row>
    <row r="535" spans="1:10" x14ac:dyDescent="0.3">
      <c r="A535" s="4" t="s">
        <v>30</v>
      </c>
      <c r="B535" s="4">
        <f>SIN(RADIANS(B534))</f>
        <v>0</v>
      </c>
      <c r="C535" s="4" t="s">
        <v>32</v>
      </c>
      <c r="D535" s="11">
        <f>+C526</f>
        <v>25326.364452252368</v>
      </c>
      <c r="E535" s="4" t="s">
        <v>32</v>
      </c>
      <c r="F535" s="11">
        <f>+F526</f>
        <v>-25326.364452252368</v>
      </c>
      <c r="G535" s="4" t="s">
        <v>32</v>
      </c>
      <c r="H535" s="11">
        <f>+C529</f>
        <v>-25326.364452252368</v>
      </c>
      <c r="I535" s="4" t="s">
        <v>32</v>
      </c>
      <c r="J535" s="12">
        <f>+F529</f>
        <v>25326.364452252368</v>
      </c>
    </row>
    <row r="536" spans="1:10" x14ac:dyDescent="0.3">
      <c r="A536" s="4" t="s">
        <v>31</v>
      </c>
      <c r="B536" s="4">
        <f>COS(RADIANS(B534))</f>
        <v>1</v>
      </c>
      <c r="C536" s="4" t="s">
        <v>33</v>
      </c>
      <c r="D536" s="11">
        <f>+D527</f>
        <v>759790933.56757116</v>
      </c>
      <c r="E536" s="4" t="s">
        <v>33</v>
      </c>
      <c r="F536" s="11">
        <f>+G527</f>
        <v>379895466.78378558</v>
      </c>
      <c r="G536" s="4" t="s">
        <v>33</v>
      </c>
      <c r="H536" s="11">
        <f>+D530</f>
        <v>379895466.78378558</v>
      </c>
      <c r="I536" s="4" t="s">
        <v>33</v>
      </c>
      <c r="J536" s="12">
        <f>+G530</f>
        <v>759790933.56757116</v>
      </c>
    </row>
    <row r="537" spans="1:10" x14ac:dyDescent="0.3">
      <c r="A537" s="4"/>
      <c r="B537" s="4"/>
      <c r="C537" s="4" t="s">
        <v>34</v>
      </c>
      <c r="D537" s="11">
        <f>+D526</f>
        <v>3798954.6678378554</v>
      </c>
      <c r="E537" s="4" t="s">
        <v>34</v>
      </c>
      <c r="F537" s="11">
        <f>+G526</f>
        <v>3798954.6678378554</v>
      </c>
      <c r="G537" s="4" t="s">
        <v>34</v>
      </c>
      <c r="H537" s="11">
        <f>+D529</f>
        <v>-3798954.6678378554</v>
      </c>
      <c r="I537" s="4" t="s">
        <v>34</v>
      </c>
      <c r="J537" s="12">
        <f>+G529</f>
        <v>-3798954.6678378554</v>
      </c>
    </row>
    <row r="538" spans="1:10" x14ac:dyDescent="0.3">
      <c r="C538" s="4" t="s">
        <v>4</v>
      </c>
      <c r="D538" s="11">
        <f>+C527</f>
        <v>3798954.6678378554</v>
      </c>
      <c r="E538" s="4" t="s">
        <v>4</v>
      </c>
      <c r="F538" s="11">
        <f>+F527</f>
        <v>-3798954.6678378554</v>
      </c>
      <c r="G538" s="4" t="s">
        <v>4</v>
      </c>
      <c r="H538" s="11">
        <f>+C530</f>
        <v>3798954.6678378554</v>
      </c>
      <c r="I538" s="4" t="s">
        <v>4</v>
      </c>
      <c r="J538" s="12">
        <f>+F530</f>
        <v>-3798954.6678378554</v>
      </c>
    </row>
    <row r="542" spans="1:10" x14ac:dyDescent="0.3">
      <c r="A542" s="1" t="s">
        <v>84</v>
      </c>
      <c r="B542" s="5" t="str">
        <f t="array" ref="B542:G542">B524:G524</f>
        <v>2x</v>
      </c>
      <c r="C542" s="5" t="str">
        <v>2z</v>
      </c>
      <c r="D542" s="5" t="str">
        <v>ϴ 2</v>
      </c>
      <c r="E542" s="5" t="str">
        <v>3x</v>
      </c>
      <c r="F542" s="5" t="str">
        <v>3z</v>
      </c>
      <c r="G542" s="5" t="str">
        <v>ϴ 3</v>
      </c>
    </row>
    <row r="543" spans="1:10" x14ac:dyDescent="0.3">
      <c r="A543" s="5" t="str">
        <f t="array" ref="A543:A548">+TRANSPOSE(B542:G542)</f>
        <v>2x</v>
      </c>
      <c r="B543" s="6">
        <f>(D534*B536*B536)+(D535*B535*B535)</f>
        <v>455874.56014054269</v>
      </c>
      <c r="C543" s="6">
        <f>(D534-D535)*B536*B535</f>
        <v>0</v>
      </c>
      <c r="D543" s="6">
        <f>-D537*B535</f>
        <v>0</v>
      </c>
      <c r="E543" s="14">
        <f>(F534*B536*B536)+(F535*B535*B535)</f>
        <v>-455874.56014054269</v>
      </c>
      <c r="F543" s="14">
        <f>(F534-F535)*B536*B535</f>
        <v>0</v>
      </c>
      <c r="G543" s="14">
        <f>-F537*B535</f>
        <v>0</v>
      </c>
    </row>
    <row r="544" spans="1:10" x14ac:dyDescent="0.3">
      <c r="A544" s="5" t="str">
        <v>2z</v>
      </c>
      <c r="B544" s="6">
        <f>(D534-D535)*B536*B535</f>
        <v>0</v>
      </c>
      <c r="C544" s="6">
        <f>(D534*B535*B535)+(D535*B536*B536)</f>
        <v>25326.364452252368</v>
      </c>
      <c r="D544" s="6">
        <f>D537*B536</f>
        <v>3798954.6678378554</v>
      </c>
      <c r="E544" s="14">
        <f>(F534-F535)*B536*B535</f>
        <v>0</v>
      </c>
      <c r="F544" s="14">
        <f>(F534*B535*B535)+(F535*B536*B536)</f>
        <v>-25326.364452252368</v>
      </c>
      <c r="G544" s="14">
        <f>F537*B536</f>
        <v>3798954.6678378554</v>
      </c>
    </row>
    <row r="545" spans="1:28" x14ac:dyDescent="0.3">
      <c r="A545" s="5" t="str">
        <v>ϴ 2</v>
      </c>
      <c r="B545" s="6">
        <f>-D538*B535</f>
        <v>0</v>
      </c>
      <c r="C545" s="6">
        <f>D538*B536</f>
        <v>3798954.6678378554</v>
      </c>
      <c r="D545" s="6">
        <f>+D536</f>
        <v>759790933.56757116</v>
      </c>
      <c r="E545" s="14">
        <f>-F538*B535</f>
        <v>0</v>
      </c>
      <c r="F545" s="14">
        <f>F538*B536</f>
        <v>-3798954.6678378554</v>
      </c>
      <c r="G545" s="14">
        <f>+F536</f>
        <v>379895466.78378558</v>
      </c>
    </row>
    <row r="546" spans="1:28" x14ac:dyDescent="0.3">
      <c r="A546" s="5" t="str">
        <v>3x</v>
      </c>
      <c r="B546" s="15">
        <f>(H534*B536*B536)+(H535*B535*B535)</f>
        <v>-455874.56014054269</v>
      </c>
      <c r="C546" s="15">
        <f>(H534-H535)*B536*B535</f>
        <v>0</v>
      </c>
      <c r="D546" s="15">
        <f>-H537*B535</f>
        <v>0</v>
      </c>
      <c r="E546" s="8">
        <f>(J534*B536*B536)+(J535*B535*B535)</f>
        <v>455874.56014054269</v>
      </c>
      <c r="F546" s="8">
        <f>(J534-J535)*B536*B535</f>
        <v>0</v>
      </c>
      <c r="G546" s="8">
        <f>-J537*B535</f>
        <v>0</v>
      </c>
    </row>
    <row r="547" spans="1:28" x14ac:dyDescent="0.3">
      <c r="A547" s="5" t="str">
        <v>3z</v>
      </c>
      <c r="B547" s="15">
        <f>(H535-H536)*B536*B535</f>
        <v>0</v>
      </c>
      <c r="C547" s="15">
        <f>(H534*B535*B535)+(H535*B536*B536)</f>
        <v>-25326.364452252368</v>
      </c>
      <c r="D547" s="15">
        <f>+H537*B536</f>
        <v>-3798954.6678378554</v>
      </c>
      <c r="E547" s="8">
        <f>(J534-J535)*B536*B535</f>
        <v>0</v>
      </c>
      <c r="F547" s="8">
        <f>(J534*B535*B535)+(J535*B536*B536)</f>
        <v>25326.364452252368</v>
      </c>
      <c r="G547" s="8">
        <f>-J537*B536</f>
        <v>3798954.6678378554</v>
      </c>
    </row>
    <row r="548" spans="1:28" x14ac:dyDescent="0.3">
      <c r="A548" s="5" t="str">
        <v>ϴ 3</v>
      </c>
      <c r="B548" s="15">
        <f>-H538*B535</f>
        <v>0</v>
      </c>
      <c r="C548" s="15">
        <f>H538*B536</f>
        <v>3798954.6678378554</v>
      </c>
      <c r="D548" s="15">
        <f>+H536</f>
        <v>379895466.78378558</v>
      </c>
      <c r="E548" s="8">
        <f>-J538*B535</f>
        <v>0</v>
      </c>
      <c r="F548" s="8">
        <f>J538*B536</f>
        <v>-3798954.6678378554</v>
      </c>
      <c r="G548" s="8">
        <f>+J536</f>
        <v>759790933.56757116</v>
      </c>
    </row>
    <row r="551" spans="1:28" x14ac:dyDescent="0.3">
      <c r="A551" s="1" t="s">
        <v>36</v>
      </c>
      <c r="B551" s="13" t="s">
        <v>18</v>
      </c>
      <c r="C551" s="13" t="s">
        <v>19</v>
      </c>
      <c r="D551" s="13" t="s">
        <v>20</v>
      </c>
      <c r="E551" s="13" t="s">
        <v>37</v>
      </c>
      <c r="F551" s="13" t="s">
        <v>38</v>
      </c>
      <c r="G551" s="13" t="s">
        <v>39</v>
      </c>
      <c r="H551" s="13" t="s">
        <v>40</v>
      </c>
      <c r="I551" s="13" t="s">
        <v>41</v>
      </c>
      <c r="J551" s="13" t="s">
        <v>42</v>
      </c>
      <c r="K551" s="13" t="s">
        <v>43</v>
      </c>
      <c r="L551" s="13" t="s">
        <v>44</v>
      </c>
      <c r="M551" s="13" t="s">
        <v>45</v>
      </c>
      <c r="N551" s="13" t="s">
        <v>46</v>
      </c>
      <c r="O551" s="13" t="s">
        <v>47</v>
      </c>
      <c r="P551" s="13" t="s">
        <v>48</v>
      </c>
      <c r="Q551" s="13" t="s">
        <v>49</v>
      </c>
      <c r="R551" s="13" t="s">
        <v>50</v>
      </c>
      <c r="S551" s="13" t="s">
        <v>51</v>
      </c>
      <c r="T551" s="13" t="s">
        <v>21</v>
      </c>
      <c r="U551" s="13" t="s">
        <v>22</v>
      </c>
      <c r="V551" s="13" t="s">
        <v>23</v>
      </c>
      <c r="W551" s="13" t="s">
        <v>52</v>
      </c>
      <c r="X551" s="13" t="s">
        <v>53</v>
      </c>
      <c r="Y551" s="13" t="s">
        <v>54</v>
      </c>
      <c r="Z551" s="13" t="s">
        <v>55</v>
      </c>
      <c r="AA551" s="13" t="s">
        <v>56</v>
      </c>
      <c r="AB551" s="13" t="s">
        <v>57</v>
      </c>
    </row>
    <row r="552" spans="1:28" x14ac:dyDescent="0.3">
      <c r="A552" s="13" t="str">
        <f t="array" ref="A552:A578">TRANSPOSE(B551:AB551)</f>
        <v>1x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</row>
    <row r="553" spans="1:28" x14ac:dyDescent="0.3">
      <c r="A553" s="13" t="str">
        <v>1z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</row>
    <row r="554" spans="1:28" x14ac:dyDescent="0.3">
      <c r="A554" s="13" t="str">
        <v>ϴ 1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</row>
    <row r="555" spans="1:28" x14ac:dyDescent="0.3">
      <c r="A555" s="13" t="str">
        <v>2x</v>
      </c>
      <c r="B555" s="1">
        <v>0</v>
      </c>
      <c r="C555" s="1">
        <v>0</v>
      </c>
      <c r="D555" s="1">
        <v>0</v>
      </c>
      <c r="E555" s="1">
        <f t="array" ref="E555:J560">B543:G548</f>
        <v>455874.56014054269</v>
      </c>
      <c r="F555" s="1">
        <v>0</v>
      </c>
      <c r="G555" s="1">
        <v>0</v>
      </c>
      <c r="H555" s="1">
        <v>-455874.56014054269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</row>
    <row r="556" spans="1:28" x14ac:dyDescent="0.3">
      <c r="A556" s="13" t="str">
        <v>2z</v>
      </c>
      <c r="B556" s="1">
        <v>0</v>
      </c>
      <c r="C556" s="1">
        <v>0</v>
      </c>
      <c r="D556" s="1">
        <v>0</v>
      </c>
      <c r="E556" s="1">
        <v>0</v>
      </c>
      <c r="F556" s="1">
        <v>25326.364452252368</v>
      </c>
      <c r="G556" s="1">
        <v>3798954.6678378554</v>
      </c>
      <c r="H556" s="1">
        <v>0</v>
      </c>
      <c r="I556" s="1">
        <v>-25326.364452252368</v>
      </c>
      <c r="J556" s="1">
        <v>3798954.6678378554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</row>
    <row r="557" spans="1:28" x14ac:dyDescent="0.3">
      <c r="A557" s="13" t="str">
        <v>ϴ 2</v>
      </c>
      <c r="B557" s="1">
        <v>0</v>
      </c>
      <c r="C557" s="1">
        <v>0</v>
      </c>
      <c r="D557" s="1">
        <v>0</v>
      </c>
      <c r="E557" s="1">
        <v>0</v>
      </c>
      <c r="F557" s="1">
        <v>3798954.6678378554</v>
      </c>
      <c r="G557" s="1">
        <v>759790933.56757116</v>
      </c>
      <c r="H557" s="1">
        <v>0</v>
      </c>
      <c r="I557" s="1">
        <v>-3798954.6678378554</v>
      </c>
      <c r="J557" s="1">
        <v>379895466.78378558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</row>
    <row r="558" spans="1:28" x14ac:dyDescent="0.3">
      <c r="A558" s="13" t="str">
        <v>3x</v>
      </c>
      <c r="B558" s="1">
        <v>0</v>
      </c>
      <c r="C558" s="1">
        <v>0</v>
      </c>
      <c r="D558" s="1">
        <v>0</v>
      </c>
      <c r="E558" s="1">
        <v>-455874.56014054269</v>
      </c>
      <c r="F558" s="1">
        <v>0</v>
      </c>
      <c r="G558" s="1">
        <v>0</v>
      </c>
      <c r="H558" s="1">
        <v>455874.56014054269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</row>
    <row r="559" spans="1:28" x14ac:dyDescent="0.3">
      <c r="A559" s="13" t="str">
        <v>3z</v>
      </c>
      <c r="B559" s="1">
        <v>0</v>
      </c>
      <c r="C559" s="1">
        <v>0</v>
      </c>
      <c r="D559" s="1">
        <v>0</v>
      </c>
      <c r="E559" s="1">
        <v>0</v>
      </c>
      <c r="F559" s="1">
        <v>-25326.364452252368</v>
      </c>
      <c r="G559" s="1">
        <v>-3798954.6678378554</v>
      </c>
      <c r="H559" s="1">
        <v>0</v>
      </c>
      <c r="I559" s="1">
        <v>25326.364452252368</v>
      </c>
      <c r="J559" s="1">
        <v>3798954.6678378554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</row>
    <row r="560" spans="1:28" x14ac:dyDescent="0.3">
      <c r="A560" s="13" t="str">
        <v>ϴ 3</v>
      </c>
      <c r="B560" s="1">
        <v>0</v>
      </c>
      <c r="C560" s="1">
        <v>0</v>
      </c>
      <c r="D560" s="1">
        <v>0</v>
      </c>
      <c r="E560" s="1">
        <v>0</v>
      </c>
      <c r="F560" s="1">
        <v>3798954.6678378554</v>
      </c>
      <c r="G560" s="1">
        <v>379895466.78378558</v>
      </c>
      <c r="H560" s="1">
        <v>0</v>
      </c>
      <c r="I560" s="1">
        <v>-3798954.6678378554</v>
      </c>
      <c r="J560" s="1">
        <v>759790933.56757116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</row>
    <row r="561" spans="1:28" x14ac:dyDescent="0.3">
      <c r="A561" s="13" t="str">
        <v>4x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</row>
    <row r="562" spans="1:28" x14ac:dyDescent="0.3">
      <c r="A562" s="13" t="str">
        <v>4z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</row>
    <row r="563" spans="1:28" x14ac:dyDescent="0.3">
      <c r="A563" s="13" t="str">
        <v>ϴ 4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</row>
    <row r="564" spans="1:28" x14ac:dyDescent="0.3">
      <c r="A564" s="13" t="str">
        <v>5x</v>
      </c>
      <c r="B564" s="1">
        <v>0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</row>
    <row r="565" spans="1:28" x14ac:dyDescent="0.3">
      <c r="A565" s="13" t="str">
        <v>5z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</row>
    <row r="566" spans="1:28" x14ac:dyDescent="0.3">
      <c r="A566" s="13" t="str">
        <v>ϴ 5</v>
      </c>
      <c r="B566" s="1">
        <v>0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</row>
    <row r="567" spans="1:28" x14ac:dyDescent="0.3">
      <c r="A567" s="13" t="str">
        <v>6x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</row>
    <row r="568" spans="1:28" x14ac:dyDescent="0.3">
      <c r="A568" s="13" t="str">
        <v>6z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</row>
    <row r="569" spans="1:28" x14ac:dyDescent="0.3">
      <c r="A569" s="13" t="str">
        <v>ϴ 6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</row>
    <row r="570" spans="1:28" x14ac:dyDescent="0.3">
      <c r="A570" s="13" t="str">
        <v>ax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</row>
    <row r="571" spans="1:28" x14ac:dyDescent="0.3">
      <c r="A571" s="13" t="str">
        <v>az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</row>
    <row r="572" spans="1:28" x14ac:dyDescent="0.3">
      <c r="A572" s="13" t="str">
        <v>ϴ a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</row>
    <row r="573" spans="1:28" x14ac:dyDescent="0.3">
      <c r="A573" s="13" t="str">
        <v>bx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</row>
    <row r="574" spans="1:28" x14ac:dyDescent="0.3">
      <c r="A574" s="13" t="str">
        <v>bz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</row>
    <row r="575" spans="1:28" x14ac:dyDescent="0.3">
      <c r="A575" s="13" t="str">
        <v>ϴ b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</row>
    <row r="576" spans="1:28" x14ac:dyDescent="0.3">
      <c r="A576" s="13" t="str">
        <v>cx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</row>
    <row r="577" spans="1:28" x14ac:dyDescent="0.3">
      <c r="A577" s="13" t="str">
        <v>cz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</row>
    <row r="578" spans="1:28" x14ac:dyDescent="0.3">
      <c r="A578" s="13" t="str">
        <v>ϴ c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</row>
    <row r="581" spans="1:28" x14ac:dyDescent="0.3">
      <c r="A581" s="21" t="s">
        <v>85</v>
      </c>
      <c r="B581" s="21"/>
      <c r="C581" s="21"/>
      <c r="D581" s="21"/>
      <c r="E581" s="21"/>
      <c r="F581" s="21"/>
      <c r="G581" s="21"/>
      <c r="H581" s="21"/>
      <c r="I581" s="21"/>
      <c r="J581" s="21"/>
    </row>
    <row r="583" spans="1:28" x14ac:dyDescent="0.3">
      <c r="A583" s="1" t="s">
        <v>2</v>
      </c>
      <c r="B583" s="1">
        <v>625</v>
      </c>
      <c r="C583" s="1" t="s">
        <v>13</v>
      </c>
    </row>
    <row r="584" spans="1:28" x14ac:dyDescent="0.3">
      <c r="A584" s="1" t="s">
        <v>3</v>
      </c>
      <c r="B584" s="1">
        <f>(POWER(50,3)*25)/12</f>
        <v>260416.66666666666</v>
      </c>
      <c r="C584" s="1" t="s">
        <v>62</v>
      </c>
    </row>
    <row r="585" spans="1:28" x14ac:dyDescent="0.3">
      <c r="A585" s="1" t="s">
        <v>5</v>
      </c>
      <c r="B585" s="1">
        <v>300</v>
      </c>
      <c r="C585" s="1" t="s">
        <v>14</v>
      </c>
    </row>
    <row r="586" spans="1:28" x14ac:dyDescent="0.3">
      <c r="A586" s="1" t="s">
        <v>4</v>
      </c>
      <c r="B586" s="1">
        <f>15100*SQRT(210)</f>
        <v>218819.78886746051</v>
      </c>
      <c r="C586" s="2" t="s">
        <v>15</v>
      </c>
    </row>
    <row r="588" spans="1:28" x14ac:dyDescent="0.3">
      <c r="B588" s="1" t="s">
        <v>6</v>
      </c>
    </row>
    <row r="589" spans="1:28" x14ac:dyDescent="0.3">
      <c r="B589" s="1" t="s">
        <v>7</v>
      </c>
      <c r="C589" s="3">
        <f>(B586*B583)/B585</f>
        <v>455874.56014054269</v>
      </c>
      <c r="D589" s="1" t="s">
        <v>12</v>
      </c>
    </row>
    <row r="590" spans="1:28" x14ac:dyDescent="0.3">
      <c r="B590" s="1" t="s">
        <v>8</v>
      </c>
      <c r="C590" s="3">
        <f>(12*B586*B584)/(B585^3)</f>
        <v>25326.364452252368</v>
      </c>
      <c r="D590" s="1" t="s">
        <v>12</v>
      </c>
    </row>
    <row r="591" spans="1:28" x14ac:dyDescent="0.3">
      <c r="B591" s="1" t="s">
        <v>9</v>
      </c>
      <c r="C591" s="3">
        <f>(6*B586*B584)/(B585^2)</f>
        <v>3798954.6678378554</v>
      </c>
      <c r="D591" s="1" t="s">
        <v>12</v>
      </c>
    </row>
    <row r="592" spans="1:28" x14ac:dyDescent="0.3">
      <c r="B592" s="1" t="s">
        <v>10</v>
      </c>
      <c r="C592" s="3">
        <f>+(4*B586*B584)/(B585)</f>
        <v>759790933.56757116</v>
      </c>
      <c r="D592" s="1" t="s">
        <v>12</v>
      </c>
    </row>
    <row r="593" spans="1:10" x14ac:dyDescent="0.3">
      <c r="B593" s="1" t="s">
        <v>11</v>
      </c>
      <c r="C593" s="3">
        <f>+(2*B586*B584)/B585</f>
        <v>379895466.78378558</v>
      </c>
      <c r="D593" s="1" t="s">
        <v>12</v>
      </c>
    </row>
    <row r="594" spans="1:10" x14ac:dyDescent="0.3">
      <c r="C594" s="4"/>
    </row>
    <row r="595" spans="1:10" x14ac:dyDescent="0.3">
      <c r="A595" s="23" t="s">
        <v>86</v>
      </c>
      <c r="B595" s="23"/>
      <c r="C595" s="23"/>
      <c r="D595" s="23"/>
      <c r="E595" s="23"/>
      <c r="F595" s="23"/>
      <c r="G595" s="23"/>
    </row>
    <row r="596" spans="1:10" x14ac:dyDescent="0.3">
      <c r="A596" s="1" t="s">
        <v>88</v>
      </c>
      <c r="B596" s="13" t="s">
        <v>43</v>
      </c>
      <c r="C596" s="13" t="s">
        <v>44</v>
      </c>
      <c r="D596" s="13" t="s">
        <v>45</v>
      </c>
      <c r="E596" s="13" t="s">
        <v>46</v>
      </c>
      <c r="F596" s="13" t="s">
        <v>47</v>
      </c>
      <c r="G596" s="13" t="s">
        <v>48</v>
      </c>
    </row>
    <row r="597" spans="1:10" x14ac:dyDescent="0.3">
      <c r="A597" s="5" t="str">
        <f t="array" ref="A597:A602">TRANSPOSE(B596:G596)</f>
        <v>4x</v>
      </c>
      <c r="B597" s="6">
        <f>+C589</f>
        <v>455874.56014054269</v>
      </c>
      <c r="C597" s="6">
        <v>0</v>
      </c>
      <c r="D597" s="6">
        <v>0</v>
      </c>
      <c r="E597" s="7">
        <f>+-C589</f>
        <v>-455874.56014054269</v>
      </c>
      <c r="F597" s="7">
        <v>0</v>
      </c>
      <c r="G597" s="7">
        <v>0</v>
      </c>
      <c r="H597" s="26" t="s">
        <v>68</v>
      </c>
      <c r="I597" s="26"/>
    </row>
    <row r="598" spans="1:10" x14ac:dyDescent="0.3">
      <c r="A598" s="5" t="str">
        <v>4z</v>
      </c>
      <c r="B598" s="6">
        <v>0</v>
      </c>
      <c r="C598" s="6">
        <f>+C590</f>
        <v>25326.364452252368</v>
      </c>
      <c r="D598" s="6">
        <f>+C591</f>
        <v>3798954.6678378554</v>
      </c>
      <c r="E598" s="7">
        <v>0</v>
      </c>
      <c r="F598" s="7">
        <f>-C590</f>
        <v>-25326.364452252368</v>
      </c>
      <c r="G598" s="7">
        <f>+C591</f>
        <v>3798954.6678378554</v>
      </c>
      <c r="H598" s="26"/>
      <c r="I598" s="26"/>
    </row>
    <row r="599" spans="1:10" x14ac:dyDescent="0.3">
      <c r="A599" s="5" t="str">
        <v>ϴ 4</v>
      </c>
      <c r="B599" s="6">
        <v>0</v>
      </c>
      <c r="C599" s="6">
        <f>+C591</f>
        <v>3798954.6678378554</v>
      </c>
      <c r="D599" s="6">
        <f>+C592</f>
        <v>759790933.56757116</v>
      </c>
      <c r="E599" s="7">
        <v>0</v>
      </c>
      <c r="F599" s="7">
        <f>+-C591</f>
        <v>-3798954.6678378554</v>
      </c>
      <c r="G599" s="7">
        <f>+C593</f>
        <v>379895466.78378558</v>
      </c>
      <c r="H599" s="26"/>
      <c r="I599" s="26"/>
    </row>
    <row r="600" spans="1:10" x14ac:dyDescent="0.3">
      <c r="A600" s="5" t="str">
        <v>5x</v>
      </c>
      <c r="B600" s="8">
        <f>-C589</f>
        <v>-455874.56014054269</v>
      </c>
      <c r="C600" s="8">
        <v>0</v>
      </c>
      <c r="D600" s="8">
        <v>0</v>
      </c>
      <c r="E600" s="9">
        <f>+C589</f>
        <v>455874.56014054269</v>
      </c>
      <c r="F600" s="9">
        <v>0</v>
      </c>
      <c r="G600" s="9">
        <v>0</v>
      </c>
      <c r="H600" s="26"/>
      <c r="I600" s="26"/>
    </row>
    <row r="601" spans="1:10" x14ac:dyDescent="0.3">
      <c r="A601" s="5" t="str">
        <v>5z</v>
      </c>
      <c r="B601" s="8">
        <v>0</v>
      </c>
      <c r="C601" s="8">
        <f>-C590</f>
        <v>-25326.364452252368</v>
      </c>
      <c r="D601" s="8">
        <f>-C591</f>
        <v>-3798954.6678378554</v>
      </c>
      <c r="E601" s="9">
        <v>0</v>
      </c>
      <c r="F601" s="9">
        <f>C590</f>
        <v>25326.364452252368</v>
      </c>
      <c r="G601" s="9">
        <f>-C591</f>
        <v>-3798954.6678378554</v>
      </c>
      <c r="H601" s="26"/>
      <c r="I601" s="26"/>
    </row>
    <row r="602" spans="1:10" x14ac:dyDescent="0.3">
      <c r="A602" s="5" t="str">
        <v>ϴ 5</v>
      </c>
      <c r="B602" s="8">
        <v>0</v>
      </c>
      <c r="C602" s="8">
        <f>+C591</f>
        <v>3798954.6678378554</v>
      </c>
      <c r="D602" s="8">
        <f>+C593</f>
        <v>379895466.78378558</v>
      </c>
      <c r="E602" s="9">
        <v>0</v>
      </c>
      <c r="F602" s="9">
        <f>-C591</f>
        <v>-3798954.6678378554</v>
      </c>
      <c r="G602" s="9">
        <f>C592</f>
        <v>759790933.56757116</v>
      </c>
      <c r="H602" s="26"/>
      <c r="I602" s="26"/>
    </row>
    <row r="604" spans="1:10" x14ac:dyDescent="0.3">
      <c r="A604" s="23" t="s">
        <v>87</v>
      </c>
      <c r="B604" s="23"/>
      <c r="C604" s="23"/>
      <c r="D604" s="23"/>
      <c r="E604" s="23"/>
      <c r="F604" s="23"/>
      <c r="G604" s="23"/>
      <c r="H604" s="23"/>
      <c r="I604" s="23"/>
      <c r="J604" s="23"/>
    </row>
    <row r="605" spans="1:10" x14ac:dyDescent="0.3">
      <c r="A605" s="4"/>
      <c r="B605" s="4"/>
      <c r="C605" s="13" t="s">
        <v>25</v>
      </c>
      <c r="D605" s="13"/>
      <c r="E605" s="13" t="s">
        <v>26</v>
      </c>
      <c r="F605" s="13"/>
      <c r="G605" s="13" t="s">
        <v>27</v>
      </c>
      <c r="H605" s="13"/>
      <c r="I605" s="13" t="s">
        <v>28</v>
      </c>
      <c r="J605" s="13"/>
    </row>
    <row r="606" spans="1:10" x14ac:dyDescent="0.3">
      <c r="A606" s="4" t="s">
        <v>29</v>
      </c>
      <c r="B606" s="10">
        <v>0</v>
      </c>
      <c r="C606" s="4" t="s">
        <v>2</v>
      </c>
      <c r="D606" s="11">
        <f>+B597</f>
        <v>455874.56014054269</v>
      </c>
      <c r="E606" s="4" t="s">
        <v>2</v>
      </c>
      <c r="F606" s="11">
        <f>+E597</f>
        <v>-455874.56014054269</v>
      </c>
      <c r="G606" s="4" t="s">
        <v>2</v>
      </c>
      <c r="H606" s="11">
        <f>+B600</f>
        <v>-455874.56014054269</v>
      </c>
      <c r="I606" s="4" t="s">
        <v>2</v>
      </c>
      <c r="J606" s="12">
        <f>+E600</f>
        <v>455874.56014054269</v>
      </c>
    </row>
    <row r="607" spans="1:10" x14ac:dyDescent="0.3">
      <c r="A607" s="4" t="s">
        <v>30</v>
      </c>
      <c r="B607" s="4">
        <f>SIN(RADIANS(B606))</f>
        <v>0</v>
      </c>
      <c r="C607" s="4" t="s">
        <v>32</v>
      </c>
      <c r="D607" s="11">
        <f>+C598</f>
        <v>25326.364452252368</v>
      </c>
      <c r="E607" s="4" t="s">
        <v>32</v>
      </c>
      <c r="F607" s="11">
        <f>+F598</f>
        <v>-25326.364452252368</v>
      </c>
      <c r="G607" s="4" t="s">
        <v>32</v>
      </c>
      <c r="H607" s="11">
        <f>+C601</f>
        <v>-25326.364452252368</v>
      </c>
      <c r="I607" s="4" t="s">
        <v>32</v>
      </c>
      <c r="J607" s="12">
        <f>+F601</f>
        <v>25326.364452252368</v>
      </c>
    </row>
    <row r="608" spans="1:10" x14ac:dyDescent="0.3">
      <c r="A608" s="4" t="s">
        <v>31</v>
      </c>
      <c r="B608" s="4">
        <f>COS(RADIANS(B606))</f>
        <v>1</v>
      </c>
      <c r="C608" s="4" t="s">
        <v>33</v>
      </c>
      <c r="D608" s="11">
        <f>+D599</f>
        <v>759790933.56757116</v>
      </c>
      <c r="E608" s="4" t="s">
        <v>33</v>
      </c>
      <c r="F608" s="11">
        <f>+G599</f>
        <v>379895466.78378558</v>
      </c>
      <c r="G608" s="4" t="s">
        <v>33</v>
      </c>
      <c r="H608" s="11">
        <f>+D602</f>
        <v>379895466.78378558</v>
      </c>
      <c r="I608" s="4" t="s">
        <v>33</v>
      </c>
      <c r="J608" s="12">
        <f>+G602</f>
        <v>759790933.56757116</v>
      </c>
    </row>
    <row r="609" spans="1:28" x14ac:dyDescent="0.3">
      <c r="A609" s="4"/>
      <c r="B609" s="4"/>
      <c r="C609" s="4" t="s">
        <v>34</v>
      </c>
      <c r="D609" s="11">
        <f>+D598</f>
        <v>3798954.6678378554</v>
      </c>
      <c r="E609" s="4" t="s">
        <v>34</v>
      </c>
      <c r="F609" s="11">
        <f>+G598</f>
        <v>3798954.6678378554</v>
      </c>
      <c r="G609" s="4" t="s">
        <v>34</v>
      </c>
      <c r="H609" s="11">
        <f>+D601</f>
        <v>-3798954.6678378554</v>
      </c>
      <c r="I609" s="4" t="s">
        <v>34</v>
      </c>
      <c r="J609" s="12">
        <f>+G601</f>
        <v>-3798954.6678378554</v>
      </c>
    </row>
    <row r="610" spans="1:28" x14ac:dyDescent="0.3">
      <c r="C610" s="4" t="s">
        <v>4</v>
      </c>
      <c r="D610" s="11">
        <f>+C599</f>
        <v>3798954.6678378554</v>
      </c>
      <c r="E610" s="4" t="s">
        <v>4</v>
      </c>
      <c r="F610" s="11">
        <f>+F599</f>
        <v>-3798954.6678378554</v>
      </c>
      <c r="G610" s="4" t="s">
        <v>4</v>
      </c>
      <c r="H610" s="11">
        <f>+C602</f>
        <v>3798954.6678378554</v>
      </c>
      <c r="I610" s="4" t="s">
        <v>4</v>
      </c>
      <c r="J610" s="12">
        <f>+F602</f>
        <v>-3798954.6678378554</v>
      </c>
    </row>
    <row r="614" spans="1:28" x14ac:dyDescent="0.3">
      <c r="A614" s="1" t="s">
        <v>88</v>
      </c>
      <c r="B614" s="5" t="str">
        <f t="array" ref="B614:G614">B596:G596</f>
        <v>4x</v>
      </c>
      <c r="C614" s="5" t="str">
        <v>4z</v>
      </c>
      <c r="D614" s="5" t="str">
        <v>ϴ 4</v>
      </c>
      <c r="E614" s="5" t="str">
        <v>5x</v>
      </c>
      <c r="F614" s="5" t="str">
        <v>5z</v>
      </c>
      <c r="G614" s="5" t="str">
        <v>ϴ 5</v>
      </c>
    </row>
    <row r="615" spans="1:28" x14ac:dyDescent="0.3">
      <c r="A615" s="5" t="str">
        <f t="array" ref="A615:A620">+TRANSPOSE(B614:G614)</f>
        <v>4x</v>
      </c>
      <c r="B615" s="6">
        <f>(D606*B608*B608)+(D607*B607*B607)</f>
        <v>455874.56014054269</v>
      </c>
      <c r="C615" s="6">
        <f>(D606-D607)*B608*B607</f>
        <v>0</v>
      </c>
      <c r="D615" s="6">
        <f>-D609*B607</f>
        <v>0</v>
      </c>
      <c r="E615" s="14">
        <f>(F606*B608*B608)+(F607*B607*B607)</f>
        <v>-455874.56014054269</v>
      </c>
      <c r="F615" s="14">
        <f>(F606-F607)*B608*B607</f>
        <v>0</v>
      </c>
      <c r="G615" s="14">
        <f>-F609*B607</f>
        <v>0</v>
      </c>
    </row>
    <row r="616" spans="1:28" x14ac:dyDescent="0.3">
      <c r="A616" s="5" t="str">
        <v>4z</v>
      </c>
      <c r="B616" s="6">
        <f>(D606-D607)*B608*B607</f>
        <v>0</v>
      </c>
      <c r="C616" s="6">
        <f>(D606*B607*B607)+(D607*B608*B608)</f>
        <v>25326.364452252368</v>
      </c>
      <c r="D616" s="6">
        <f>D609*B608</f>
        <v>3798954.6678378554</v>
      </c>
      <c r="E616" s="14">
        <f>(F606-F607)*B608*B607</f>
        <v>0</v>
      </c>
      <c r="F616" s="14">
        <f>(F606*B607*B607)+(F607*B608*B608)</f>
        <v>-25326.364452252368</v>
      </c>
      <c r="G616" s="14">
        <f>F609*B608</f>
        <v>3798954.6678378554</v>
      </c>
    </row>
    <row r="617" spans="1:28" x14ac:dyDescent="0.3">
      <c r="A617" s="5" t="str">
        <v>ϴ 4</v>
      </c>
      <c r="B617" s="6">
        <f>-D610*B607</f>
        <v>0</v>
      </c>
      <c r="C617" s="6">
        <f>D610*B608</f>
        <v>3798954.6678378554</v>
      </c>
      <c r="D617" s="6">
        <f>+D608</f>
        <v>759790933.56757116</v>
      </c>
      <c r="E617" s="14">
        <f>-F610*B607</f>
        <v>0</v>
      </c>
      <c r="F617" s="14">
        <f>F610*B608</f>
        <v>-3798954.6678378554</v>
      </c>
      <c r="G617" s="14">
        <f>+F608</f>
        <v>379895466.78378558</v>
      </c>
    </row>
    <row r="618" spans="1:28" x14ac:dyDescent="0.3">
      <c r="A618" s="5" t="str">
        <v>5x</v>
      </c>
      <c r="B618" s="15">
        <f>(H606*B608*B608)+(H607*B607*B607)</f>
        <v>-455874.56014054269</v>
      </c>
      <c r="C618" s="15">
        <f>(H606-H607)*B608*B607</f>
        <v>0</v>
      </c>
      <c r="D618" s="15">
        <f>-H609*B607</f>
        <v>0</v>
      </c>
      <c r="E618" s="8">
        <f>(J606*B608*B608)+(J607*B607*B607)</f>
        <v>455874.56014054269</v>
      </c>
      <c r="F618" s="8">
        <f>(J606-J607)*B608*B607</f>
        <v>0</v>
      </c>
      <c r="G618" s="8">
        <f>-J609*B607</f>
        <v>0</v>
      </c>
    </row>
    <row r="619" spans="1:28" x14ac:dyDescent="0.3">
      <c r="A619" s="5" t="str">
        <v>5z</v>
      </c>
      <c r="B619" s="15">
        <f>(H607-H608)*B608*B607</f>
        <v>0</v>
      </c>
      <c r="C619" s="15">
        <f>(H606*B607*B607)+(H607*B608*B608)</f>
        <v>-25326.364452252368</v>
      </c>
      <c r="D619" s="15">
        <f>+H609*B608</f>
        <v>-3798954.6678378554</v>
      </c>
      <c r="E619" s="8">
        <f>(J606-J607)*B608*B607</f>
        <v>0</v>
      </c>
      <c r="F619" s="8">
        <f>(J606*B607*B607)+(J607*B608*B608)</f>
        <v>25326.364452252368</v>
      </c>
      <c r="G619" s="8">
        <f>-J609*B608</f>
        <v>3798954.6678378554</v>
      </c>
    </row>
    <row r="620" spans="1:28" x14ac:dyDescent="0.3">
      <c r="A620" s="5" t="str">
        <v>ϴ 5</v>
      </c>
      <c r="B620" s="15">
        <f>-H610*B607</f>
        <v>0</v>
      </c>
      <c r="C620" s="15">
        <f>H610*B608</f>
        <v>3798954.6678378554</v>
      </c>
      <c r="D620" s="15">
        <f>+H608</f>
        <v>379895466.78378558</v>
      </c>
      <c r="E620" s="8">
        <f>-J610*B607</f>
        <v>0</v>
      </c>
      <c r="F620" s="8">
        <f>J610*B608</f>
        <v>-3798954.6678378554</v>
      </c>
      <c r="G620" s="8">
        <f>+J608</f>
        <v>759790933.56757116</v>
      </c>
    </row>
    <row r="623" spans="1:28" x14ac:dyDescent="0.3">
      <c r="A623" s="1" t="s">
        <v>36</v>
      </c>
      <c r="B623" s="13" t="s">
        <v>18</v>
      </c>
      <c r="C623" s="13" t="s">
        <v>19</v>
      </c>
      <c r="D623" s="13" t="s">
        <v>20</v>
      </c>
      <c r="E623" s="13" t="s">
        <v>37</v>
      </c>
      <c r="F623" s="13" t="s">
        <v>38</v>
      </c>
      <c r="G623" s="13" t="s">
        <v>39</v>
      </c>
      <c r="H623" s="13" t="s">
        <v>40</v>
      </c>
      <c r="I623" s="13" t="s">
        <v>41</v>
      </c>
      <c r="J623" s="13" t="s">
        <v>42</v>
      </c>
      <c r="K623" s="13" t="s">
        <v>43</v>
      </c>
      <c r="L623" s="13" t="s">
        <v>44</v>
      </c>
      <c r="M623" s="13" t="s">
        <v>45</v>
      </c>
      <c r="N623" s="13" t="s">
        <v>46</v>
      </c>
      <c r="O623" s="13" t="s">
        <v>47</v>
      </c>
      <c r="P623" s="13" t="s">
        <v>48</v>
      </c>
      <c r="Q623" s="13" t="s">
        <v>49</v>
      </c>
      <c r="R623" s="13" t="s">
        <v>50</v>
      </c>
      <c r="S623" s="13" t="s">
        <v>51</v>
      </c>
      <c r="T623" s="13" t="s">
        <v>21</v>
      </c>
      <c r="U623" s="13" t="s">
        <v>22</v>
      </c>
      <c r="V623" s="13" t="s">
        <v>23</v>
      </c>
      <c r="W623" s="13" t="s">
        <v>52</v>
      </c>
      <c r="X623" s="13" t="s">
        <v>53</v>
      </c>
      <c r="Y623" s="13" t="s">
        <v>54</v>
      </c>
      <c r="Z623" s="13" t="s">
        <v>55</v>
      </c>
      <c r="AA623" s="13" t="s">
        <v>56</v>
      </c>
      <c r="AB623" s="13" t="s">
        <v>57</v>
      </c>
    </row>
    <row r="624" spans="1:28" x14ac:dyDescent="0.3">
      <c r="A624" s="13" t="str">
        <f t="array" ref="A624:A650">TRANSPOSE(B623:AB623)</f>
        <v>1x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</row>
    <row r="625" spans="1:28" x14ac:dyDescent="0.3">
      <c r="A625" s="13" t="str">
        <v>1z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</row>
    <row r="626" spans="1:28" x14ac:dyDescent="0.3">
      <c r="A626" s="13" t="str">
        <v>ϴ 1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</row>
    <row r="627" spans="1:28" x14ac:dyDescent="0.3">
      <c r="A627" s="13" t="str">
        <v>2x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</row>
    <row r="628" spans="1:28" x14ac:dyDescent="0.3">
      <c r="A628" s="13" t="str">
        <v>2z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</row>
    <row r="629" spans="1:28" x14ac:dyDescent="0.3">
      <c r="A629" s="13" t="str">
        <v>ϴ 2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</row>
    <row r="630" spans="1:28" x14ac:dyDescent="0.3">
      <c r="A630" s="13" t="str">
        <v>3x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</row>
    <row r="631" spans="1:28" x14ac:dyDescent="0.3">
      <c r="A631" s="13" t="str">
        <v>3z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</row>
    <row r="632" spans="1:28" x14ac:dyDescent="0.3">
      <c r="A632" s="13" t="str">
        <v>ϴ 3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</row>
    <row r="633" spans="1:28" x14ac:dyDescent="0.3">
      <c r="A633" s="13" t="str">
        <v>4x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f t="array" ref="K633:P638">B615:G620</f>
        <v>455874.56014054269</v>
      </c>
      <c r="L633" s="1">
        <v>0</v>
      </c>
      <c r="M633" s="1">
        <v>0</v>
      </c>
      <c r="N633" s="1">
        <v>-455874.56014054269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</row>
    <row r="634" spans="1:28" x14ac:dyDescent="0.3">
      <c r="A634" s="13" t="str">
        <v>4z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25326.364452252368</v>
      </c>
      <c r="M634" s="1">
        <v>3798954.6678378554</v>
      </c>
      <c r="N634" s="1">
        <v>0</v>
      </c>
      <c r="O634" s="1">
        <v>-25326.364452252368</v>
      </c>
      <c r="P634" s="1">
        <v>3798954.6678378554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</row>
    <row r="635" spans="1:28" x14ac:dyDescent="0.3">
      <c r="A635" s="13" t="str">
        <v>ϴ 4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3798954.6678378554</v>
      </c>
      <c r="M635" s="1">
        <v>759790933.56757116</v>
      </c>
      <c r="N635" s="1">
        <v>0</v>
      </c>
      <c r="O635" s="1">
        <v>-3798954.6678378554</v>
      </c>
      <c r="P635" s="1">
        <v>379895466.78378558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</row>
    <row r="636" spans="1:28" x14ac:dyDescent="0.3">
      <c r="A636" s="13" t="str">
        <v>5x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-455874.56014054269</v>
      </c>
      <c r="L636" s="1">
        <v>0</v>
      </c>
      <c r="M636" s="1">
        <v>0</v>
      </c>
      <c r="N636" s="1">
        <v>455874.56014054269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</row>
    <row r="637" spans="1:28" x14ac:dyDescent="0.3">
      <c r="A637" s="13" t="str">
        <v>5z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-25326.364452252368</v>
      </c>
      <c r="M637" s="1">
        <v>-3798954.6678378554</v>
      </c>
      <c r="N637" s="1">
        <v>0</v>
      </c>
      <c r="O637" s="1">
        <v>25326.364452252368</v>
      </c>
      <c r="P637" s="1">
        <v>3798954.6678378554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</row>
    <row r="638" spans="1:28" x14ac:dyDescent="0.3">
      <c r="A638" s="13" t="str">
        <v>ϴ 5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3798954.6678378554</v>
      </c>
      <c r="M638" s="1">
        <v>379895466.78378558</v>
      </c>
      <c r="N638" s="1">
        <v>0</v>
      </c>
      <c r="O638" s="1">
        <v>-3798954.6678378554</v>
      </c>
      <c r="P638" s="1">
        <v>759790933.56757116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</row>
    <row r="639" spans="1:28" x14ac:dyDescent="0.3">
      <c r="A639" s="13" t="str">
        <v>6x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</row>
    <row r="640" spans="1:28" x14ac:dyDescent="0.3">
      <c r="A640" s="13" t="str">
        <v>6z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</row>
    <row r="641" spans="1:28" x14ac:dyDescent="0.3">
      <c r="A641" s="13" t="str">
        <v>ϴ 6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</row>
    <row r="642" spans="1:28" x14ac:dyDescent="0.3">
      <c r="A642" s="13" t="str">
        <v>ax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</row>
    <row r="643" spans="1:28" x14ac:dyDescent="0.3">
      <c r="A643" s="13" t="str">
        <v>az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</row>
    <row r="644" spans="1:28" x14ac:dyDescent="0.3">
      <c r="A644" s="13" t="str">
        <v>ϴ a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</row>
    <row r="645" spans="1:28" x14ac:dyDescent="0.3">
      <c r="A645" s="13" t="str">
        <v>bx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</row>
    <row r="646" spans="1:28" x14ac:dyDescent="0.3">
      <c r="A646" s="13" t="str">
        <v>bz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</row>
    <row r="647" spans="1:28" x14ac:dyDescent="0.3">
      <c r="A647" s="13" t="str">
        <v>ϴ b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</row>
    <row r="648" spans="1:28" x14ac:dyDescent="0.3">
      <c r="A648" s="13" t="str">
        <v>cx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</row>
    <row r="649" spans="1:28" x14ac:dyDescent="0.3">
      <c r="A649" s="13" t="str">
        <v>cz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</row>
    <row r="650" spans="1:28" x14ac:dyDescent="0.3">
      <c r="A650" s="13" t="str">
        <v>ϴ c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</row>
    <row r="653" spans="1:28" x14ac:dyDescent="0.3">
      <c r="A653" s="21" t="s">
        <v>89</v>
      </c>
      <c r="B653" s="21"/>
      <c r="C653" s="21"/>
      <c r="D653" s="21"/>
      <c r="E653" s="21"/>
      <c r="F653" s="21"/>
      <c r="G653" s="21"/>
      <c r="H653" s="21"/>
      <c r="I653" s="21"/>
      <c r="J653" s="21"/>
    </row>
    <row r="655" spans="1:28" x14ac:dyDescent="0.3">
      <c r="A655" s="1" t="s">
        <v>2</v>
      </c>
      <c r="B655" s="1">
        <v>625</v>
      </c>
      <c r="C655" s="1" t="s">
        <v>13</v>
      </c>
    </row>
    <row r="656" spans="1:28" x14ac:dyDescent="0.3">
      <c r="A656" s="1" t="s">
        <v>3</v>
      </c>
      <c r="B656" s="1">
        <f>(POWER(50,3)*25)/12</f>
        <v>260416.66666666666</v>
      </c>
      <c r="C656" s="1" t="s">
        <v>62</v>
      </c>
    </row>
    <row r="657" spans="1:9" x14ac:dyDescent="0.3">
      <c r="A657" s="1" t="s">
        <v>5</v>
      </c>
      <c r="B657" s="1">
        <v>300</v>
      </c>
      <c r="C657" s="1" t="s">
        <v>14</v>
      </c>
    </row>
    <row r="658" spans="1:9" x14ac:dyDescent="0.3">
      <c r="A658" s="1" t="s">
        <v>4</v>
      </c>
      <c r="B658" s="1">
        <f>15100*SQRT(210)</f>
        <v>218819.78886746051</v>
      </c>
      <c r="C658" s="2" t="s">
        <v>15</v>
      </c>
    </row>
    <row r="660" spans="1:9" x14ac:dyDescent="0.3">
      <c r="B660" s="1" t="s">
        <v>6</v>
      </c>
    </row>
    <row r="661" spans="1:9" x14ac:dyDescent="0.3">
      <c r="B661" s="1" t="s">
        <v>7</v>
      </c>
      <c r="C661" s="3">
        <f>(B658*B655)/B657</f>
        <v>455874.56014054269</v>
      </c>
      <c r="D661" s="1" t="s">
        <v>12</v>
      </c>
    </row>
    <row r="662" spans="1:9" x14ac:dyDescent="0.3">
      <c r="B662" s="1" t="s">
        <v>8</v>
      </c>
      <c r="C662" s="3">
        <f>(12*B658*B656)/(B657^3)</f>
        <v>25326.364452252368</v>
      </c>
      <c r="D662" s="1" t="s">
        <v>12</v>
      </c>
    </row>
    <row r="663" spans="1:9" x14ac:dyDescent="0.3">
      <c r="B663" s="1" t="s">
        <v>9</v>
      </c>
      <c r="C663" s="3">
        <f>(6*B658*B656)/(B657^2)</f>
        <v>3798954.6678378554</v>
      </c>
      <c r="D663" s="1" t="s">
        <v>12</v>
      </c>
    </row>
    <row r="664" spans="1:9" x14ac:dyDescent="0.3">
      <c r="B664" s="1" t="s">
        <v>10</v>
      </c>
      <c r="C664" s="3">
        <f>+(4*B658*B656)/(B657)</f>
        <v>759790933.56757116</v>
      </c>
      <c r="D664" s="1" t="s">
        <v>12</v>
      </c>
    </row>
    <row r="665" spans="1:9" x14ac:dyDescent="0.3">
      <c r="B665" s="1" t="s">
        <v>11</v>
      </c>
      <c r="C665" s="3">
        <f>+(2*B658*B656)/B657</f>
        <v>379895466.78378558</v>
      </c>
      <c r="D665" s="1" t="s">
        <v>12</v>
      </c>
    </row>
    <row r="666" spans="1:9" x14ac:dyDescent="0.3">
      <c r="C666" s="4"/>
    </row>
    <row r="667" spans="1:9" x14ac:dyDescent="0.3">
      <c r="A667" s="23" t="s">
        <v>90</v>
      </c>
      <c r="B667" s="23"/>
      <c r="C667" s="23"/>
      <c r="D667" s="23"/>
      <c r="E667" s="23"/>
      <c r="F667" s="23"/>
      <c r="G667" s="23"/>
    </row>
    <row r="668" spans="1:9" x14ac:dyDescent="0.3">
      <c r="A668" s="1" t="s">
        <v>92</v>
      </c>
      <c r="B668" s="13" t="s">
        <v>46</v>
      </c>
      <c r="C668" s="13" t="s">
        <v>47</v>
      </c>
      <c r="D668" s="13" t="s">
        <v>48</v>
      </c>
      <c r="E668" s="13" t="s">
        <v>49</v>
      </c>
      <c r="F668" s="13" t="s">
        <v>50</v>
      </c>
      <c r="G668" s="13" t="s">
        <v>51</v>
      </c>
    </row>
    <row r="669" spans="1:9" x14ac:dyDescent="0.3">
      <c r="A669" s="5" t="str">
        <f t="array" ref="A669:A674">TRANSPOSE(B668:G668)</f>
        <v>5x</v>
      </c>
      <c r="B669" s="6">
        <f>+C661</f>
        <v>455874.56014054269</v>
      </c>
      <c r="C669" s="6">
        <v>0</v>
      </c>
      <c r="D669" s="6">
        <v>0</v>
      </c>
      <c r="E669" s="7">
        <f>+-C661</f>
        <v>-455874.56014054269</v>
      </c>
      <c r="F669" s="7">
        <v>0</v>
      </c>
      <c r="G669" s="7">
        <v>0</v>
      </c>
      <c r="H669" s="26" t="s">
        <v>68</v>
      </c>
      <c r="I669" s="26"/>
    </row>
    <row r="670" spans="1:9" x14ac:dyDescent="0.3">
      <c r="A670" s="5" t="str">
        <v>5z</v>
      </c>
      <c r="B670" s="6">
        <v>0</v>
      </c>
      <c r="C670" s="6">
        <f>+C662</f>
        <v>25326.364452252368</v>
      </c>
      <c r="D670" s="6">
        <f>+C663</f>
        <v>3798954.6678378554</v>
      </c>
      <c r="E670" s="7">
        <v>0</v>
      </c>
      <c r="F670" s="7">
        <f>-C662</f>
        <v>-25326.364452252368</v>
      </c>
      <c r="G670" s="7">
        <f>+C663</f>
        <v>3798954.6678378554</v>
      </c>
      <c r="H670" s="26"/>
      <c r="I670" s="26"/>
    </row>
    <row r="671" spans="1:9" x14ac:dyDescent="0.3">
      <c r="A671" s="5" t="str">
        <v>ϴ 5</v>
      </c>
      <c r="B671" s="6">
        <v>0</v>
      </c>
      <c r="C671" s="6">
        <f>+C663</f>
        <v>3798954.6678378554</v>
      </c>
      <c r="D671" s="6">
        <f>+C664</f>
        <v>759790933.56757116</v>
      </c>
      <c r="E671" s="7">
        <v>0</v>
      </c>
      <c r="F671" s="7">
        <f>+-C663</f>
        <v>-3798954.6678378554</v>
      </c>
      <c r="G671" s="7">
        <f>+C665</f>
        <v>379895466.78378558</v>
      </c>
      <c r="H671" s="26"/>
      <c r="I671" s="26"/>
    </row>
    <row r="672" spans="1:9" x14ac:dyDescent="0.3">
      <c r="A672" s="5" t="str">
        <v>6x</v>
      </c>
      <c r="B672" s="8">
        <f>-C661</f>
        <v>-455874.56014054269</v>
      </c>
      <c r="C672" s="8">
        <v>0</v>
      </c>
      <c r="D672" s="8">
        <v>0</v>
      </c>
      <c r="E672" s="9">
        <f>+C661</f>
        <v>455874.56014054269</v>
      </c>
      <c r="F672" s="9">
        <v>0</v>
      </c>
      <c r="G672" s="9">
        <v>0</v>
      </c>
      <c r="H672" s="26"/>
      <c r="I672" s="26"/>
    </row>
    <row r="673" spans="1:10" x14ac:dyDescent="0.3">
      <c r="A673" s="5" t="str">
        <v>6z</v>
      </c>
      <c r="B673" s="8">
        <v>0</v>
      </c>
      <c r="C673" s="8">
        <f>-C662</f>
        <v>-25326.364452252368</v>
      </c>
      <c r="D673" s="8">
        <f>-C663</f>
        <v>-3798954.6678378554</v>
      </c>
      <c r="E673" s="9">
        <v>0</v>
      </c>
      <c r="F673" s="9">
        <f>C662</f>
        <v>25326.364452252368</v>
      </c>
      <c r="G673" s="9">
        <f>-C663</f>
        <v>-3798954.6678378554</v>
      </c>
      <c r="H673" s="26"/>
      <c r="I673" s="26"/>
    </row>
    <row r="674" spans="1:10" x14ac:dyDescent="0.3">
      <c r="A674" s="5" t="str">
        <v>ϴ 6</v>
      </c>
      <c r="B674" s="8">
        <v>0</v>
      </c>
      <c r="C674" s="8">
        <f>+C663</f>
        <v>3798954.6678378554</v>
      </c>
      <c r="D674" s="8">
        <f>+C665</f>
        <v>379895466.78378558</v>
      </c>
      <c r="E674" s="9">
        <v>0</v>
      </c>
      <c r="F674" s="9">
        <f>-C663</f>
        <v>-3798954.6678378554</v>
      </c>
      <c r="G674" s="9">
        <f>C664</f>
        <v>759790933.56757116</v>
      </c>
      <c r="H674" s="26"/>
      <c r="I674" s="26"/>
    </row>
    <row r="676" spans="1:10" x14ac:dyDescent="0.3">
      <c r="A676" s="23" t="s">
        <v>91</v>
      </c>
      <c r="B676" s="23"/>
      <c r="C676" s="23"/>
      <c r="D676" s="23"/>
      <c r="E676" s="23"/>
      <c r="F676" s="23"/>
      <c r="G676" s="23"/>
      <c r="H676" s="23"/>
      <c r="I676" s="23"/>
      <c r="J676" s="23"/>
    </row>
    <row r="677" spans="1:10" x14ac:dyDescent="0.3">
      <c r="A677" s="4"/>
      <c r="B677" s="4"/>
      <c r="C677" s="13" t="s">
        <v>25</v>
      </c>
      <c r="D677" s="13"/>
      <c r="E677" s="13" t="s">
        <v>26</v>
      </c>
      <c r="F677" s="13"/>
      <c r="G677" s="13" t="s">
        <v>27</v>
      </c>
      <c r="H677" s="13"/>
      <c r="I677" s="13" t="s">
        <v>28</v>
      </c>
      <c r="J677" s="13"/>
    </row>
    <row r="678" spans="1:10" x14ac:dyDescent="0.3">
      <c r="A678" s="4" t="s">
        <v>29</v>
      </c>
      <c r="B678" s="10">
        <v>0</v>
      </c>
      <c r="C678" s="4" t="s">
        <v>2</v>
      </c>
      <c r="D678" s="11">
        <f>+B669</f>
        <v>455874.56014054269</v>
      </c>
      <c r="E678" s="4" t="s">
        <v>2</v>
      </c>
      <c r="F678" s="11">
        <f>+E669</f>
        <v>-455874.56014054269</v>
      </c>
      <c r="G678" s="4" t="s">
        <v>2</v>
      </c>
      <c r="H678" s="11">
        <f>+B672</f>
        <v>-455874.56014054269</v>
      </c>
      <c r="I678" s="4" t="s">
        <v>2</v>
      </c>
      <c r="J678" s="12">
        <f>+E672</f>
        <v>455874.56014054269</v>
      </c>
    </row>
    <row r="679" spans="1:10" x14ac:dyDescent="0.3">
      <c r="A679" s="4" t="s">
        <v>30</v>
      </c>
      <c r="B679" s="4">
        <f>SIN(RADIANS(B678))</f>
        <v>0</v>
      </c>
      <c r="C679" s="4" t="s">
        <v>32</v>
      </c>
      <c r="D679" s="11">
        <f>+C670</f>
        <v>25326.364452252368</v>
      </c>
      <c r="E679" s="4" t="s">
        <v>32</v>
      </c>
      <c r="F679" s="11">
        <f>+F670</f>
        <v>-25326.364452252368</v>
      </c>
      <c r="G679" s="4" t="s">
        <v>32</v>
      </c>
      <c r="H679" s="11">
        <f>+C673</f>
        <v>-25326.364452252368</v>
      </c>
      <c r="I679" s="4" t="s">
        <v>32</v>
      </c>
      <c r="J679" s="12">
        <f>+F673</f>
        <v>25326.364452252368</v>
      </c>
    </row>
    <row r="680" spans="1:10" x14ac:dyDescent="0.3">
      <c r="A680" s="4" t="s">
        <v>31</v>
      </c>
      <c r="B680" s="4">
        <f>COS(RADIANS(B678))</f>
        <v>1</v>
      </c>
      <c r="C680" s="4" t="s">
        <v>33</v>
      </c>
      <c r="D680" s="11">
        <f>+D671</f>
        <v>759790933.56757116</v>
      </c>
      <c r="E680" s="4" t="s">
        <v>33</v>
      </c>
      <c r="F680" s="11">
        <f>+G671</f>
        <v>379895466.78378558</v>
      </c>
      <c r="G680" s="4" t="s">
        <v>33</v>
      </c>
      <c r="H680" s="11">
        <f>+D674</f>
        <v>379895466.78378558</v>
      </c>
      <c r="I680" s="4" t="s">
        <v>33</v>
      </c>
      <c r="J680" s="12">
        <f>+G674</f>
        <v>759790933.56757116</v>
      </c>
    </row>
    <row r="681" spans="1:10" x14ac:dyDescent="0.3">
      <c r="A681" s="4"/>
      <c r="B681" s="4"/>
      <c r="C681" s="4" t="s">
        <v>34</v>
      </c>
      <c r="D681" s="11">
        <f>+D670</f>
        <v>3798954.6678378554</v>
      </c>
      <c r="E681" s="4" t="s">
        <v>34</v>
      </c>
      <c r="F681" s="11">
        <f>+G670</f>
        <v>3798954.6678378554</v>
      </c>
      <c r="G681" s="4" t="s">
        <v>34</v>
      </c>
      <c r="H681" s="11">
        <f>+D673</f>
        <v>-3798954.6678378554</v>
      </c>
      <c r="I681" s="4" t="s">
        <v>34</v>
      </c>
      <c r="J681" s="12">
        <f>+G673</f>
        <v>-3798954.6678378554</v>
      </c>
    </row>
    <row r="682" spans="1:10" x14ac:dyDescent="0.3">
      <c r="C682" s="4" t="s">
        <v>4</v>
      </c>
      <c r="D682" s="11">
        <f>+C671</f>
        <v>3798954.6678378554</v>
      </c>
      <c r="E682" s="4" t="s">
        <v>4</v>
      </c>
      <c r="F682" s="11">
        <f>+F671</f>
        <v>-3798954.6678378554</v>
      </c>
      <c r="G682" s="4" t="s">
        <v>4</v>
      </c>
      <c r="H682" s="11">
        <f>+C674</f>
        <v>3798954.6678378554</v>
      </c>
      <c r="I682" s="4" t="s">
        <v>4</v>
      </c>
      <c r="J682" s="12">
        <f>+F674</f>
        <v>-3798954.6678378554</v>
      </c>
    </row>
    <row r="686" spans="1:10" x14ac:dyDescent="0.3">
      <c r="A686" s="1" t="s">
        <v>92</v>
      </c>
      <c r="B686" s="5" t="str">
        <f t="array" ref="B686:G686">B668:G668</f>
        <v>5x</v>
      </c>
      <c r="C686" s="5" t="str">
        <v>5z</v>
      </c>
      <c r="D686" s="5" t="str">
        <v>ϴ 5</v>
      </c>
      <c r="E686" s="5" t="str">
        <v>6x</v>
      </c>
      <c r="F686" s="5" t="str">
        <v>6z</v>
      </c>
      <c r="G686" s="5" t="str">
        <v>ϴ 6</v>
      </c>
    </row>
    <row r="687" spans="1:10" x14ac:dyDescent="0.3">
      <c r="A687" s="5" t="str">
        <f t="array" ref="A687:A692">+TRANSPOSE(B686:G686)</f>
        <v>5x</v>
      </c>
      <c r="B687" s="6">
        <f>(D678*B680*B680)+(D679*B679*B679)</f>
        <v>455874.56014054269</v>
      </c>
      <c r="C687" s="6">
        <f>(D678-D679)*B680*B679</f>
        <v>0</v>
      </c>
      <c r="D687" s="6">
        <f>-D681*B679</f>
        <v>0</v>
      </c>
      <c r="E687" s="14">
        <f>(F678*B680*B680)+(F679*B679*B679)</f>
        <v>-455874.56014054269</v>
      </c>
      <c r="F687" s="14">
        <f>(F678-F679)*B680*B679</f>
        <v>0</v>
      </c>
      <c r="G687" s="14">
        <f>-F681*B679</f>
        <v>0</v>
      </c>
    </row>
    <row r="688" spans="1:10" x14ac:dyDescent="0.3">
      <c r="A688" s="5" t="str">
        <v>5z</v>
      </c>
      <c r="B688" s="6">
        <f>(D678-D679)*B680*B679</f>
        <v>0</v>
      </c>
      <c r="C688" s="6">
        <f>(D678*B679*B679)+(D679*B680*B680)</f>
        <v>25326.364452252368</v>
      </c>
      <c r="D688" s="6">
        <f>D681*B680</f>
        <v>3798954.6678378554</v>
      </c>
      <c r="E688" s="14">
        <f>(F678-F679)*B680*B679</f>
        <v>0</v>
      </c>
      <c r="F688" s="14">
        <f>(F678*B679*B679)+(F679*B680*B680)</f>
        <v>-25326.364452252368</v>
      </c>
      <c r="G688" s="14">
        <f>F681*B680</f>
        <v>3798954.6678378554</v>
      </c>
    </row>
    <row r="689" spans="1:28" x14ac:dyDescent="0.3">
      <c r="A689" s="5" t="str">
        <v>ϴ 5</v>
      </c>
      <c r="B689" s="6">
        <f>-D682*B679</f>
        <v>0</v>
      </c>
      <c r="C689" s="6">
        <f>D682*B680</f>
        <v>3798954.6678378554</v>
      </c>
      <c r="D689" s="6">
        <f>+D680</f>
        <v>759790933.56757116</v>
      </c>
      <c r="E689" s="14">
        <f>-F682*B679</f>
        <v>0</v>
      </c>
      <c r="F689" s="14">
        <f>F682*B680</f>
        <v>-3798954.6678378554</v>
      </c>
      <c r="G689" s="14">
        <f>+F680</f>
        <v>379895466.78378558</v>
      </c>
    </row>
    <row r="690" spans="1:28" x14ac:dyDescent="0.3">
      <c r="A690" s="5" t="str">
        <v>6x</v>
      </c>
      <c r="B690" s="15">
        <f>(H678*B680*B680)+(H679*B679*B679)</f>
        <v>-455874.56014054269</v>
      </c>
      <c r="C690" s="15">
        <f>(H678-H679)*B680*B679</f>
        <v>0</v>
      </c>
      <c r="D690" s="15">
        <f>-H681*B679</f>
        <v>0</v>
      </c>
      <c r="E690" s="8">
        <f>(J678*B680*B680)+(J679*B679*B679)</f>
        <v>455874.56014054269</v>
      </c>
      <c r="F690" s="8">
        <f>(J678-J679)*B680*B679</f>
        <v>0</v>
      </c>
      <c r="G690" s="8">
        <f>-J681*B679</f>
        <v>0</v>
      </c>
    </row>
    <row r="691" spans="1:28" x14ac:dyDescent="0.3">
      <c r="A691" s="5" t="str">
        <v>6z</v>
      </c>
      <c r="B691" s="15">
        <f>(H679-H680)*B680*B679</f>
        <v>0</v>
      </c>
      <c r="C691" s="15">
        <f>(H678*B679*B679)+(H679*B680*B680)</f>
        <v>-25326.364452252368</v>
      </c>
      <c r="D691" s="15">
        <f>+H681*B680</f>
        <v>-3798954.6678378554</v>
      </c>
      <c r="E691" s="8">
        <f>(J678-J679)*B680*B679</f>
        <v>0</v>
      </c>
      <c r="F691" s="8">
        <f>(J678*B679*B679)+(J679*B680*B680)</f>
        <v>25326.364452252368</v>
      </c>
      <c r="G691" s="8">
        <f>-J681*B680</f>
        <v>3798954.6678378554</v>
      </c>
    </row>
    <row r="692" spans="1:28" x14ac:dyDescent="0.3">
      <c r="A692" s="5" t="str">
        <v>ϴ 6</v>
      </c>
      <c r="B692" s="15">
        <f>-H682*B679</f>
        <v>0</v>
      </c>
      <c r="C692" s="15">
        <f>H682*B680</f>
        <v>3798954.6678378554</v>
      </c>
      <c r="D692" s="15">
        <f>+H680</f>
        <v>379895466.78378558</v>
      </c>
      <c r="E692" s="8">
        <f>-J682*B679</f>
        <v>0</v>
      </c>
      <c r="F692" s="8">
        <f>J682*B680</f>
        <v>-3798954.6678378554</v>
      </c>
      <c r="G692" s="8">
        <f>+J680</f>
        <v>759790933.56757116</v>
      </c>
    </row>
    <row r="695" spans="1:28" x14ac:dyDescent="0.3">
      <c r="A695" s="1" t="s">
        <v>93</v>
      </c>
      <c r="B695" s="13" t="s">
        <v>18</v>
      </c>
      <c r="C695" s="13" t="s">
        <v>19</v>
      </c>
      <c r="D695" s="13" t="s">
        <v>20</v>
      </c>
      <c r="E695" s="13" t="s">
        <v>37</v>
      </c>
      <c r="F695" s="13" t="s">
        <v>38</v>
      </c>
      <c r="G695" s="13" t="s">
        <v>39</v>
      </c>
      <c r="H695" s="13" t="s">
        <v>40</v>
      </c>
      <c r="I695" s="13" t="s">
        <v>41</v>
      </c>
      <c r="J695" s="13" t="s">
        <v>42</v>
      </c>
      <c r="K695" s="13" t="s">
        <v>43</v>
      </c>
      <c r="L695" s="13" t="s">
        <v>44</v>
      </c>
      <c r="M695" s="13" t="s">
        <v>45</v>
      </c>
      <c r="N695" s="13" t="s">
        <v>46</v>
      </c>
      <c r="O695" s="13" t="s">
        <v>47</v>
      </c>
      <c r="P695" s="13" t="s">
        <v>48</v>
      </c>
      <c r="Q695" s="13" t="s">
        <v>49</v>
      </c>
      <c r="R695" s="13" t="s">
        <v>50</v>
      </c>
      <c r="S695" s="13" t="s">
        <v>51</v>
      </c>
      <c r="T695" s="13" t="s">
        <v>21</v>
      </c>
      <c r="U695" s="13" t="s">
        <v>22</v>
      </c>
      <c r="V695" s="13" t="s">
        <v>23</v>
      </c>
      <c r="W695" s="13" t="s">
        <v>52</v>
      </c>
      <c r="X695" s="13" t="s">
        <v>53</v>
      </c>
      <c r="Y695" s="13" t="s">
        <v>54</v>
      </c>
      <c r="Z695" s="13" t="s">
        <v>55</v>
      </c>
      <c r="AA695" s="13" t="s">
        <v>56</v>
      </c>
      <c r="AB695" s="13" t="s">
        <v>57</v>
      </c>
    </row>
    <row r="696" spans="1:28" x14ac:dyDescent="0.3">
      <c r="A696" s="13" t="str">
        <f t="array" ref="A696:A722">TRANSPOSE(B695:AB695)</f>
        <v>1x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</row>
    <row r="697" spans="1:28" x14ac:dyDescent="0.3">
      <c r="A697" s="13" t="str">
        <v>1z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</row>
    <row r="698" spans="1:28" x14ac:dyDescent="0.3">
      <c r="A698" s="13" t="str">
        <v>ϴ 1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</row>
    <row r="699" spans="1:28" x14ac:dyDescent="0.3">
      <c r="A699" s="13" t="str">
        <v>2x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</row>
    <row r="700" spans="1:28" x14ac:dyDescent="0.3">
      <c r="A700" s="13" t="str">
        <v>2z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</row>
    <row r="701" spans="1:28" x14ac:dyDescent="0.3">
      <c r="A701" s="13" t="str">
        <v>ϴ 2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</row>
    <row r="702" spans="1:28" x14ac:dyDescent="0.3">
      <c r="A702" s="13" t="str">
        <v>3x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</row>
    <row r="703" spans="1:28" x14ac:dyDescent="0.3">
      <c r="A703" s="13" t="str">
        <v>3z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</row>
    <row r="704" spans="1:28" x14ac:dyDescent="0.3">
      <c r="A704" s="13" t="str">
        <v>ϴ 3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</row>
    <row r="705" spans="1:28" x14ac:dyDescent="0.3">
      <c r="A705" s="13" t="str">
        <v>4x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</row>
    <row r="706" spans="1:28" x14ac:dyDescent="0.3">
      <c r="A706" s="13" t="str">
        <v>4z</v>
      </c>
      <c r="B706" s="1">
        <v>0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</row>
    <row r="707" spans="1:28" x14ac:dyDescent="0.3">
      <c r="A707" s="13" t="str">
        <v>ϴ 4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</row>
    <row r="708" spans="1:28" x14ac:dyDescent="0.3">
      <c r="A708" s="13" t="str">
        <v>5x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f t="array" ref="N708:S713">B687:G692</f>
        <v>455874.56014054269</v>
      </c>
      <c r="O708" s="1">
        <v>0</v>
      </c>
      <c r="P708" s="1">
        <v>0</v>
      </c>
      <c r="Q708" s="1">
        <v>-455874.56014054269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</row>
    <row r="709" spans="1:28" x14ac:dyDescent="0.3">
      <c r="A709" s="13" t="str">
        <v>5z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25326.364452252368</v>
      </c>
      <c r="P709" s="1">
        <v>3798954.6678378554</v>
      </c>
      <c r="Q709" s="1">
        <v>0</v>
      </c>
      <c r="R709" s="1">
        <v>-25326.364452252368</v>
      </c>
      <c r="S709" s="1">
        <v>3798954.6678378554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</row>
    <row r="710" spans="1:28" x14ac:dyDescent="0.3">
      <c r="A710" s="13" t="str">
        <v>ϴ 5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3798954.6678378554</v>
      </c>
      <c r="P710" s="1">
        <v>759790933.56757116</v>
      </c>
      <c r="Q710" s="1">
        <v>0</v>
      </c>
      <c r="R710" s="1">
        <v>-3798954.6678378554</v>
      </c>
      <c r="S710" s="1">
        <v>379895466.78378558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</row>
    <row r="711" spans="1:28" x14ac:dyDescent="0.3">
      <c r="A711" s="13" t="str">
        <v>6x</v>
      </c>
      <c r="B711" s="1">
        <v>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-455874.56014054269</v>
      </c>
      <c r="O711" s="1">
        <v>0</v>
      </c>
      <c r="P711" s="1">
        <v>0</v>
      </c>
      <c r="Q711" s="1">
        <v>455874.56014054269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</row>
    <row r="712" spans="1:28" x14ac:dyDescent="0.3">
      <c r="A712" s="13" t="str">
        <v>6z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-25326.364452252368</v>
      </c>
      <c r="P712" s="1">
        <v>-3798954.6678378554</v>
      </c>
      <c r="Q712" s="1">
        <v>0</v>
      </c>
      <c r="R712" s="1">
        <v>25326.364452252368</v>
      </c>
      <c r="S712" s="1">
        <v>3798954.6678378554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</row>
    <row r="713" spans="1:28" x14ac:dyDescent="0.3">
      <c r="A713" s="13" t="str">
        <v>ϴ 6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3798954.6678378554</v>
      </c>
      <c r="P713" s="1">
        <v>379895466.78378558</v>
      </c>
      <c r="Q713" s="1">
        <v>0</v>
      </c>
      <c r="R713" s="1">
        <v>-3798954.6678378554</v>
      </c>
      <c r="S713" s="1">
        <v>759790933.56757116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</row>
    <row r="714" spans="1:28" x14ac:dyDescent="0.3">
      <c r="A714" s="13" t="str">
        <v>ax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</row>
    <row r="715" spans="1:28" x14ac:dyDescent="0.3">
      <c r="A715" s="13" t="str">
        <v>az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</row>
    <row r="716" spans="1:28" x14ac:dyDescent="0.3">
      <c r="A716" s="13" t="str">
        <v>ϴ a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</row>
    <row r="717" spans="1:28" x14ac:dyDescent="0.3">
      <c r="A717" s="13" t="str">
        <v>bx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</row>
    <row r="718" spans="1:28" x14ac:dyDescent="0.3">
      <c r="A718" s="13" t="str">
        <v>bz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</row>
    <row r="719" spans="1:28" x14ac:dyDescent="0.3">
      <c r="A719" s="13" t="str">
        <v>ϴ b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</row>
    <row r="720" spans="1:28" x14ac:dyDescent="0.3">
      <c r="A720" s="13" t="str">
        <v>cx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</row>
    <row r="721" spans="1:28" x14ac:dyDescent="0.3">
      <c r="A721" s="13" t="str">
        <v>cz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</row>
    <row r="722" spans="1:28" x14ac:dyDescent="0.3">
      <c r="A722" s="13" t="str">
        <v>ϴ c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</row>
    <row r="725" spans="1:28" x14ac:dyDescent="0.3">
      <c r="Q725" s="1" t="s">
        <v>96</v>
      </c>
    </row>
    <row r="726" spans="1:28" x14ac:dyDescent="0.3">
      <c r="A726" s="27" t="s">
        <v>94</v>
      </c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8" spans="1:28" x14ac:dyDescent="0.3">
      <c r="A728" s="1" t="s">
        <v>95</v>
      </c>
      <c r="B728" s="13" t="s">
        <v>18</v>
      </c>
      <c r="C728" s="13" t="s">
        <v>19</v>
      </c>
      <c r="D728" s="13" t="s">
        <v>20</v>
      </c>
      <c r="E728" s="13" t="s">
        <v>37</v>
      </c>
      <c r="F728" s="13" t="s">
        <v>38</v>
      </c>
      <c r="G728" s="13" t="s">
        <v>39</v>
      </c>
      <c r="H728" s="13" t="s">
        <v>40</v>
      </c>
      <c r="I728" s="13" t="s">
        <v>41</v>
      </c>
      <c r="J728" s="13" t="s">
        <v>42</v>
      </c>
      <c r="K728" s="13" t="s">
        <v>43</v>
      </c>
      <c r="L728" s="13" t="s">
        <v>44</v>
      </c>
      <c r="M728" s="13" t="s">
        <v>45</v>
      </c>
      <c r="N728" s="13" t="s">
        <v>46</v>
      </c>
      <c r="O728" s="13" t="s">
        <v>47</v>
      </c>
      <c r="P728" s="13" t="s">
        <v>48</v>
      </c>
      <c r="Q728" s="13" t="s">
        <v>49</v>
      </c>
      <c r="R728" s="13" t="s">
        <v>50</v>
      </c>
      <c r="S728" s="13" t="s">
        <v>51</v>
      </c>
      <c r="T728" s="13" t="s">
        <v>21</v>
      </c>
      <c r="U728" s="13" t="s">
        <v>22</v>
      </c>
      <c r="V728" s="13" t="s">
        <v>23</v>
      </c>
      <c r="W728" s="13" t="s">
        <v>52</v>
      </c>
      <c r="X728" s="13" t="s">
        <v>53</v>
      </c>
      <c r="Y728" s="13" t="s">
        <v>54</v>
      </c>
      <c r="Z728" s="13" t="s">
        <v>55</v>
      </c>
      <c r="AA728" s="13" t="s">
        <v>56</v>
      </c>
      <c r="AB728" s="13" t="s">
        <v>57</v>
      </c>
    </row>
    <row r="729" spans="1:28" x14ac:dyDescent="0.3">
      <c r="A729" s="13" t="str">
        <f t="array" ref="A729:A755">TRANSPOSE(B728:AB728)</f>
        <v>1x</v>
      </c>
      <c r="B729" s="16">
        <f t="array" ref="B729:AB755">B48:AB74+B120:AB146+B192:AB218+B264:AB290+B336:AB362+B408:AB434+B480:AB506+B552:AB578+B624:AB650+B696:AB722</f>
        <v>460375.92569748597</v>
      </c>
      <c r="C729" s="16">
        <v>4.859423408362571E-11</v>
      </c>
      <c r="D729" s="16">
        <v>-207755.3333973827</v>
      </c>
      <c r="E729" s="16">
        <v>-455874.56014054269</v>
      </c>
      <c r="F729" s="16">
        <v>0</v>
      </c>
      <c r="G729" s="16">
        <v>0</v>
      </c>
      <c r="H729" s="16">
        <v>0</v>
      </c>
      <c r="I729" s="16">
        <v>0</v>
      </c>
      <c r="J729" s="16">
        <v>0</v>
      </c>
      <c r="K729" s="16">
        <v>-3165.795556531546</v>
      </c>
      <c r="L729" s="16">
        <v>-2.7731772172684573E-11</v>
      </c>
      <c r="M729" s="16">
        <v>-474869.33347973193</v>
      </c>
      <c r="N729" s="16">
        <v>0</v>
      </c>
      <c r="O729" s="16">
        <v>0</v>
      </c>
      <c r="P729" s="16">
        <v>0</v>
      </c>
      <c r="Q729" s="16">
        <v>0</v>
      </c>
      <c r="R729" s="16">
        <v>0</v>
      </c>
      <c r="S729" s="16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</row>
    <row r="730" spans="1:28" x14ac:dyDescent="0.3">
      <c r="A730" s="13" t="str">
        <v>1z</v>
      </c>
      <c r="B730" s="16">
        <v>4.859423408362571E-11</v>
      </c>
      <c r="C730" s="16">
        <v>823106.8446982021</v>
      </c>
      <c r="D730" s="16">
        <v>3798954.6678378554</v>
      </c>
      <c r="E730" s="16">
        <v>0</v>
      </c>
      <c r="F730" s="16">
        <v>-25326.364452252368</v>
      </c>
      <c r="G730" s="16">
        <v>3798954.6678378554</v>
      </c>
      <c r="H730" s="16">
        <v>0</v>
      </c>
      <c r="I730" s="16">
        <v>0</v>
      </c>
      <c r="J730" s="16">
        <v>0</v>
      </c>
      <c r="K730" s="16">
        <v>-2.7731772172684573E-11</v>
      </c>
      <c r="L730" s="16">
        <v>-455874.56014054269</v>
      </c>
      <c r="M730" s="16">
        <v>2.9089271509808988E-11</v>
      </c>
      <c r="N730" s="16">
        <v>0</v>
      </c>
      <c r="O730" s="16">
        <v>0</v>
      </c>
      <c r="P730" s="16">
        <v>0</v>
      </c>
      <c r="Q730" s="16">
        <v>0</v>
      </c>
      <c r="R730" s="16">
        <v>0</v>
      </c>
      <c r="S730" s="16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</row>
    <row r="731" spans="1:28" x14ac:dyDescent="0.3">
      <c r="A731" s="13" t="str">
        <v>ϴ 1</v>
      </c>
      <c r="B731" s="16">
        <v>-207755.3333973827</v>
      </c>
      <c r="C731" s="16">
        <v>3798954.6678378554</v>
      </c>
      <c r="D731" s="16">
        <v>925995200.2854774</v>
      </c>
      <c r="E731" s="16">
        <v>0</v>
      </c>
      <c r="F731" s="16">
        <v>-3798954.6678378554</v>
      </c>
      <c r="G731" s="16">
        <v>379895466.78378558</v>
      </c>
      <c r="H731" s="16">
        <v>0</v>
      </c>
      <c r="I731" s="16">
        <v>0</v>
      </c>
      <c r="J731" s="16">
        <v>0</v>
      </c>
      <c r="K731" s="16">
        <v>474869.33347973193</v>
      </c>
      <c r="L731" s="16">
        <v>-2.9089271509808988E-11</v>
      </c>
      <c r="M731" s="16">
        <v>47486933.347973198</v>
      </c>
      <c r="N731" s="16">
        <v>0</v>
      </c>
      <c r="O731" s="16">
        <v>0</v>
      </c>
      <c r="P731" s="16">
        <v>0</v>
      </c>
      <c r="Q731" s="16">
        <v>0</v>
      </c>
      <c r="R731" s="16">
        <v>0</v>
      </c>
      <c r="S731" s="16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</row>
    <row r="732" spans="1:28" x14ac:dyDescent="0.3">
      <c r="A732" s="13" t="str">
        <v>2x</v>
      </c>
      <c r="B732" s="16">
        <v>-455874.56014054269</v>
      </c>
      <c r="C732" s="16">
        <v>0</v>
      </c>
      <c r="D732" s="16">
        <v>0</v>
      </c>
      <c r="E732" s="16">
        <v>916250.4858380286</v>
      </c>
      <c r="F732" s="16">
        <v>4.859423408362571E-11</v>
      </c>
      <c r="G732" s="16">
        <v>-207755.3333973827</v>
      </c>
      <c r="H732" s="16">
        <v>-455874.56014054269</v>
      </c>
      <c r="I732" s="16">
        <v>0</v>
      </c>
      <c r="J732" s="16">
        <v>0</v>
      </c>
      <c r="K732" s="16">
        <v>0</v>
      </c>
      <c r="L732" s="16">
        <v>0</v>
      </c>
      <c r="M732" s="16">
        <v>0</v>
      </c>
      <c r="N732" s="16">
        <v>-3165.795556531546</v>
      </c>
      <c r="O732" s="16">
        <v>-2.7731772172684573E-11</v>
      </c>
      <c r="P732" s="16">
        <v>-474869.33347973193</v>
      </c>
      <c r="Q732" s="16">
        <v>0</v>
      </c>
      <c r="R732" s="16">
        <v>0</v>
      </c>
      <c r="S732" s="16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</row>
    <row r="733" spans="1:28" x14ac:dyDescent="0.3">
      <c r="A733" s="13" t="str">
        <v>2z</v>
      </c>
      <c r="B733" s="16">
        <v>0</v>
      </c>
      <c r="C733" s="16">
        <v>-25326.364452252368</v>
      </c>
      <c r="D733" s="16">
        <v>-3798954.6678378554</v>
      </c>
      <c r="E733" s="16">
        <v>4.859423408362571E-11</v>
      </c>
      <c r="F733" s="16">
        <v>848433.2091504545</v>
      </c>
      <c r="G733" s="16">
        <v>7597909.3356757108</v>
      </c>
      <c r="H733" s="16">
        <v>0</v>
      </c>
      <c r="I733" s="16">
        <v>-25326.364452252368</v>
      </c>
      <c r="J733" s="16">
        <v>3798954.6678378554</v>
      </c>
      <c r="K733" s="16">
        <v>0</v>
      </c>
      <c r="L733" s="16">
        <v>0</v>
      </c>
      <c r="M733" s="16">
        <v>0</v>
      </c>
      <c r="N733" s="16">
        <v>-2.7731772172684573E-11</v>
      </c>
      <c r="O733" s="16">
        <v>-455874.56014054269</v>
      </c>
      <c r="P733" s="16">
        <v>2.9089271509808988E-11</v>
      </c>
      <c r="Q733" s="16">
        <v>0</v>
      </c>
      <c r="R733" s="16">
        <v>0</v>
      </c>
      <c r="S733" s="16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</row>
    <row r="734" spans="1:28" x14ac:dyDescent="0.3">
      <c r="A734" s="13" t="str">
        <v>ϴ 2</v>
      </c>
      <c r="B734" s="16">
        <v>0</v>
      </c>
      <c r="C734" s="16">
        <v>3798954.6678378554</v>
      </c>
      <c r="D734" s="16">
        <v>379895466.78378558</v>
      </c>
      <c r="E734" s="16">
        <v>-207755.3333973827</v>
      </c>
      <c r="F734" s="16">
        <v>0</v>
      </c>
      <c r="G734" s="16">
        <v>1685786133.8530486</v>
      </c>
      <c r="H734" s="16">
        <v>0</v>
      </c>
      <c r="I734" s="16">
        <v>-3798954.6678378554</v>
      </c>
      <c r="J734" s="16">
        <v>379895466.78378558</v>
      </c>
      <c r="K734" s="16">
        <v>0</v>
      </c>
      <c r="L734" s="16">
        <v>0</v>
      </c>
      <c r="M734" s="16">
        <v>0</v>
      </c>
      <c r="N734" s="16">
        <v>474869.33347973193</v>
      </c>
      <c r="O734" s="16">
        <v>-2.9089271509808988E-11</v>
      </c>
      <c r="P734" s="16">
        <v>47486933.347973198</v>
      </c>
      <c r="Q734" s="16">
        <v>0</v>
      </c>
      <c r="R734" s="16">
        <v>0</v>
      </c>
      <c r="S734" s="16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</row>
    <row r="735" spans="1:28" x14ac:dyDescent="0.3">
      <c r="A735" s="13" t="str">
        <v>3x</v>
      </c>
      <c r="B735" s="16">
        <v>0</v>
      </c>
      <c r="C735" s="16">
        <v>0</v>
      </c>
      <c r="D735" s="16">
        <v>0</v>
      </c>
      <c r="E735" s="16">
        <v>-455874.56014054269</v>
      </c>
      <c r="F735" s="16">
        <v>0</v>
      </c>
      <c r="G735" s="16">
        <v>0</v>
      </c>
      <c r="H735" s="16">
        <v>460375.92569748597</v>
      </c>
      <c r="I735" s="16">
        <v>4.859423408362571E-11</v>
      </c>
      <c r="J735" s="16">
        <v>-207755.3333973827</v>
      </c>
      <c r="K735" s="16">
        <v>0</v>
      </c>
      <c r="L735" s="16">
        <v>0</v>
      </c>
      <c r="M735" s="16">
        <v>0</v>
      </c>
      <c r="N735" s="16">
        <v>0</v>
      </c>
      <c r="O735" s="16">
        <v>0</v>
      </c>
      <c r="P735" s="16">
        <v>0</v>
      </c>
      <c r="Q735" s="16">
        <v>-3165.795556531546</v>
      </c>
      <c r="R735" s="16">
        <v>-2.7731772172684573E-11</v>
      </c>
      <c r="S735" s="16">
        <v>-474869.33347973193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</row>
    <row r="736" spans="1:28" x14ac:dyDescent="0.3">
      <c r="A736" s="13" t="str">
        <v>3z</v>
      </c>
      <c r="B736" s="16">
        <v>0</v>
      </c>
      <c r="C736" s="16">
        <v>0</v>
      </c>
      <c r="D736" s="16">
        <v>0</v>
      </c>
      <c r="E736" s="16">
        <v>0</v>
      </c>
      <c r="F736" s="16">
        <v>-25326.364452252368</v>
      </c>
      <c r="G736" s="16">
        <v>-3798954.6678378554</v>
      </c>
      <c r="H736" s="16">
        <v>4.859423408362571E-11</v>
      </c>
      <c r="I736" s="16">
        <v>823106.8446982021</v>
      </c>
      <c r="J736" s="16">
        <v>3798954.6678378554</v>
      </c>
      <c r="K736" s="16">
        <v>0</v>
      </c>
      <c r="L736" s="16">
        <v>0</v>
      </c>
      <c r="M736" s="16">
        <v>0</v>
      </c>
      <c r="N736" s="16">
        <v>0</v>
      </c>
      <c r="O736" s="16">
        <v>0</v>
      </c>
      <c r="P736" s="16">
        <v>0</v>
      </c>
      <c r="Q736" s="16">
        <v>-2.7731772172684573E-11</v>
      </c>
      <c r="R736" s="16">
        <v>-455874.56014054269</v>
      </c>
      <c r="S736" s="16">
        <v>2.9089271509808988E-11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</row>
    <row r="737" spans="1:28" x14ac:dyDescent="0.3">
      <c r="A737" s="13" t="str">
        <v>ϴ 3</v>
      </c>
      <c r="B737" s="16">
        <v>0</v>
      </c>
      <c r="C737" s="16">
        <v>0</v>
      </c>
      <c r="D737" s="16">
        <v>0</v>
      </c>
      <c r="E737" s="16">
        <v>0</v>
      </c>
      <c r="F737" s="16">
        <v>3798954.6678378554</v>
      </c>
      <c r="G737" s="16">
        <v>379895466.78378558</v>
      </c>
      <c r="H737" s="16">
        <v>-207755.3333973827</v>
      </c>
      <c r="I737" s="16">
        <v>-3798954.6678378554</v>
      </c>
      <c r="J737" s="16">
        <v>925995200.2854774</v>
      </c>
      <c r="K737" s="16">
        <v>0</v>
      </c>
      <c r="L737" s="16">
        <v>0</v>
      </c>
      <c r="M737" s="16">
        <v>0</v>
      </c>
      <c r="N737" s="16">
        <v>0</v>
      </c>
      <c r="O737" s="16">
        <v>0</v>
      </c>
      <c r="P737" s="16">
        <v>0</v>
      </c>
      <c r="Q737" s="16">
        <v>474869.33347973193</v>
      </c>
      <c r="R737" s="16">
        <v>-2.9089271509808988E-11</v>
      </c>
      <c r="S737" s="16">
        <v>47486933.347973198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</row>
    <row r="738" spans="1:28" x14ac:dyDescent="0.3">
      <c r="A738" s="13" t="str">
        <v>4x</v>
      </c>
      <c r="B738" s="16">
        <v>-3165.795556531546</v>
      </c>
      <c r="C738" s="16">
        <v>-2.7731772172684573E-11</v>
      </c>
      <c r="D738" s="16">
        <v>474869.33347973193</v>
      </c>
      <c r="E738" s="16">
        <v>0</v>
      </c>
      <c r="F738" s="16">
        <v>0</v>
      </c>
      <c r="G738" s="16">
        <v>0</v>
      </c>
      <c r="H738" s="16">
        <v>0</v>
      </c>
      <c r="I738" s="16">
        <v>0</v>
      </c>
      <c r="J738" s="16">
        <v>0</v>
      </c>
      <c r="K738" s="16">
        <v>459040.35569707421</v>
      </c>
      <c r="L738" s="16">
        <v>2.7731772172684573E-11</v>
      </c>
      <c r="M738" s="16">
        <v>474869.33347973193</v>
      </c>
      <c r="N738" s="16">
        <v>-455874.56014054269</v>
      </c>
      <c r="O738" s="16">
        <v>0</v>
      </c>
      <c r="P738" s="16">
        <v>0</v>
      </c>
      <c r="Q738" s="16">
        <v>0</v>
      </c>
      <c r="R738" s="16">
        <v>0</v>
      </c>
      <c r="S738" s="16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</row>
    <row r="739" spans="1:28" x14ac:dyDescent="0.3">
      <c r="A739" s="13" t="str">
        <v>4z</v>
      </c>
      <c r="B739" s="16">
        <v>-2.9091210794576311E-9</v>
      </c>
      <c r="C739" s="16">
        <v>-455874.56014054269</v>
      </c>
      <c r="D739" s="16">
        <v>-2.9089271509808988E-11</v>
      </c>
      <c r="E739" s="16">
        <v>0</v>
      </c>
      <c r="F739" s="16">
        <v>0</v>
      </c>
      <c r="G739" s="16">
        <v>0</v>
      </c>
      <c r="H739" s="16">
        <v>0</v>
      </c>
      <c r="I739" s="16">
        <v>0</v>
      </c>
      <c r="J739" s="16">
        <v>0</v>
      </c>
      <c r="K739" s="16">
        <v>2.7731772172684573E-11</v>
      </c>
      <c r="L739" s="16">
        <v>481200.92459279508</v>
      </c>
      <c r="M739" s="16">
        <v>3798954.6678378554</v>
      </c>
      <c r="N739" s="16">
        <v>0</v>
      </c>
      <c r="O739" s="16">
        <v>-25326.364452252368</v>
      </c>
      <c r="P739" s="16">
        <v>3798954.6678378554</v>
      </c>
      <c r="Q739" s="16">
        <v>0</v>
      </c>
      <c r="R739" s="16">
        <v>0</v>
      </c>
      <c r="S739" s="16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</row>
    <row r="740" spans="1:28" x14ac:dyDescent="0.3">
      <c r="A740" s="13" t="str">
        <v>ϴ 4</v>
      </c>
      <c r="B740" s="16">
        <v>-474869.33347973193</v>
      </c>
      <c r="C740" s="16">
        <v>2.9089271509808988E-11</v>
      </c>
      <c r="D740" s="16">
        <v>47486933.347973198</v>
      </c>
      <c r="E740" s="16">
        <v>0</v>
      </c>
      <c r="F740" s="16">
        <v>0</v>
      </c>
      <c r="G740" s="16">
        <v>0</v>
      </c>
      <c r="H740" s="16">
        <v>0</v>
      </c>
      <c r="I740" s="16">
        <v>0</v>
      </c>
      <c r="J740" s="16">
        <v>0</v>
      </c>
      <c r="K740" s="16">
        <v>474869.33347973193</v>
      </c>
      <c r="L740" s="16">
        <v>3798954.6678378554</v>
      </c>
      <c r="M740" s="16">
        <v>854764800.26351762</v>
      </c>
      <c r="N740" s="16">
        <v>0</v>
      </c>
      <c r="O740" s="16">
        <v>-3798954.6678378554</v>
      </c>
      <c r="P740" s="16">
        <v>379895466.78378558</v>
      </c>
      <c r="Q740" s="16">
        <v>0</v>
      </c>
      <c r="R740" s="16">
        <v>0</v>
      </c>
      <c r="S740" s="16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</row>
    <row r="741" spans="1:28" x14ac:dyDescent="0.3">
      <c r="A741" s="13" t="str">
        <v>5x</v>
      </c>
      <c r="B741" s="16">
        <v>0</v>
      </c>
      <c r="C741" s="16">
        <v>0</v>
      </c>
      <c r="D741" s="16">
        <v>0</v>
      </c>
      <c r="E741" s="16">
        <v>-3165.795556531546</v>
      </c>
      <c r="F741" s="16">
        <v>-2.7731772172684573E-11</v>
      </c>
      <c r="G741" s="16">
        <v>474869.33347973193</v>
      </c>
      <c r="H741" s="16">
        <v>0</v>
      </c>
      <c r="I741" s="16">
        <v>0</v>
      </c>
      <c r="J741" s="16">
        <v>0</v>
      </c>
      <c r="K741" s="16">
        <v>-455874.56014054269</v>
      </c>
      <c r="L741" s="16">
        <v>0</v>
      </c>
      <c r="M741" s="16">
        <v>0</v>
      </c>
      <c r="N741" s="16">
        <v>914914.91583761689</v>
      </c>
      <c r="O741" s="16">
        <v>2.7731772172684573E-11</v>
      </c>
      <c r="P741" s="16">
        <v>474869.33347973193</v>
      </c>
      <c r="Q741" s="16">
        <v>-455874.56014054269</v>
      </c>
      <c r="R741" s="16">
        <v>0</v>
      </c>
      <c r="S741" s="16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</row>
    <row r="742" spans="1:28" x14ac:dyDescent="0.3">
      <c r="A742" s="13" t="str">
        <v>5z</v>
      </c>
      <c r="B742" s="16">
        <v>0</v>
      </c>
      <c r="C742" s="16">
        <v>0</v>
      </c>
      <c r="D742" s="16">
        <v>0</v>
      </c>
      <c r="E742" s="16">
        <v>-2.9091210794576311E-9</v>
      </c>
      <c r="F742" s="16">
        <v>-455874.56014054269</v>
      </c>
      <c r="G742" s="16">
        <v>-2.9089271509808988E-11</v>
      </c>
      <c r="H742" s="16">
        <v>0</v>
      </c>
      <c r="I742" s="16">
        <v>0</v>
      </c>
      <c r="J742" s="16">
        <v>0</v>
      </c>
      <c r="K742" s="16">
        <v>0</v>
      </c>
      <c r="L742" s="16">
        <v>-25326.364452252368</v>
      </c>
      <c r="M742" s="16">
        <v>-3798954.6678378554</v>
      </c>
      <c r="N742" s="16">
        <v>2.7731772172684573E-11</v>
      </c>
      <c r="O742" s="16">
        <v>506527.28904504748</v>
      </c>
      <c r="P742" s="16">
        <v>7597909.3356757108</v>
      </c>
      <c r="Q742" s="16">
        <v>0</v>
      </c>
      <c r="R742" s="16">
        <v>-25326.364452252368</v>
      </c>
      <c r="S742" s="16">
        <v>3798954.6678378554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</row>
    <row r="743" spans="1:28" x14ac:dyDescent="0.3">
      <c r="A743" s="13" t="str">
        <v>ϴ 5</v>
      </c>
      <c r="B743" s="16">
        <v>0</v>
      </c>
      <c r="C743" s="16">
        <v>0</v>
      </c>
      <c r="D743" s="16">
        <v>0</v>
      </c>
      <c r="E743" s="16">
        <v>-474869.33347973193</v>
      </c>
      <c r="F743" s="16">
        <v>2.9089271509808988E-11</v>
      </c>
      <c r="G743" s="16">
        <v>47486933.347973198</v>
      </c>
      <c r="H743" s="16">
        <v>0</v>
      </c>
      <c r="I743" s="16">
        <v>0</v>
      </c>
      <c r="J743" s="16">
        <v>0</v>
      </c>
      <c r="K743" s="16">
        <v>0</v>
      </c>
      <c r="L743" s="16">
        <v>3798954.6678378554</v>
      </c>
      <c r="M743" s="16">
        <v>379895466.78378558</v>
      </c>
      <c r="N743" s="16">
        <v>474869.33347973193</v>
      </c>
      <c r="O743" s="16">
        <v>0</v>
      </c>
      <c r="P743" s="16">
        <v>1614555733.8310888</v>
      </c>
      <c r="Q743" s="16">
        <v>0</v>
      </c>
      <c r="R743" s="16">
        <v>-3798954.6678378554</v>
      </c>
      <c r="S743" s="16">
        <v>379895466.78378558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</row>
    <row r="744" spans="1:28" x14ac:dyDescent="0.3">
      <c r="A744" s="13" t="str">
        <v>6x</v>
      </c>
      <c r="B744" s="16">
        <v>0</v>
      </c>
      <c r="C744" s="16">
        <v>0</v>
      </c>
      <c r="D744" s="16">
        <v>0</v>
      </c>
      <c r="E744" s="16">
        <v>0</v>
      </c>
      <c r="F744" s="16">
        <v>0</v>
      </c>
      <c r="G744" s="16">
        <v>0</v>
      </c>
      <c r="H744" s="16">
        <v>-3165.795556531546</v>
      </c>
      <c r="I744" s="16">
        <v>-2.7731772172684573E-11</v>
      </c>
      <c r="J744" s="16">
        <v>474869.33347973193</v>
      </c>
      <c r="K744" s="16">
        <v>0</v>
      </c>
      <c r="L744" s="16">
        <v>0</v>
      </c>
      <c r="M744" s="16">
        <v>0</v>
      </c>
      <c r="N744" s="16">
        <v>-455874.56014054269</v>
      </c>
      <c r="O744" s="16">
        <v>0</v>
      </c>
      <c r="P744" s="16">
        <v>0</v>
      </c>
      <c r="Q744" s="16">
        <v>459040.35569707421</v>
      </c>
      <c r="R744" s="16">
        <v>2.7731772172684573E-11</v>
      </c>
      <c r="S744" s="16">
        <v>474869.33347973193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</row>
    <row r="745" spans="1:28" x14ac:dyDescent="0.3">
      <c r="A745" s="13" t="str">
        <v>6z</v>
      </c>
      <c r="B745" s="16">
        <v>0</v>
      </c>
      <c r="C745" s="16">
        <v>0</v>
      </c>
      <c r="D745" s="16">
        <v>0</v>
      </c>
      <c r="E745" s="16">
        <v>0</v>
      </c>
      <c r="F745" s="16">
        <v>0</v>
      </c>
      <c r="G745" s="16">
        <v>0</v>
      </c>
      <c r="H745" s="16">
        <v>-2.9091210794576311E-9</v>
      </c>
      <c r="I745" s="16">
        <v>-455874.56014054269</v>
      </c>
      <c r="J745" s="16">
        <v>-2.9089271509808988E-11</v>
      </c>
      <c r="K745" s="16">
        <v>0</v>
      </c>
      <c r="L745" s="16">
        <v>0</v>
      </c>
      <c r="M745" s="16">
        <v>0</v>
      </c>
      <c r="N745" s="16">
        <v>0</v>
      </c>
      <c r="O745" s="16">
        <v>-25326.364452252368</v>
      </c>
      <c r="P745" s="16">
        <v>-3798954.6678378554</v>
      </c>
      <c r="Q745" s="16">
        <v>2.7731772172684573E-11</v>
      </c>
      <c r="R745" s="16">
        <v>481200.92459279508</v>
      </c>
      <c r="S745" s="16">
        <v>3798954.6678378554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</row>
    <row r="746" spans="1:28" x14ac:dyDescent="0.3">
      <c r="A746" s="13" t="str">
        <v>ϴ 6</v>
      </c>
      <c r="B746" s="16">
        <v>0</v>
      </c>
      <c r="C746" s="16">
        <v>0</v>
      </c>
      <c r="D746" s="16">
        <v>0</v>
      </c>
      <c r="E746" s="16">
        <v>0</v>
      </c>
      <c r="F746" s="16">
        <v>0</v>
      </c>
      <c r="G746" s="16">
        <v>0</v>
      </c>
      <c r="H746" s="16">
        <v>-474869.33347973193</v>
      </c>
      <c r="I746" s="16">
        <v>2.9089271509808988E-11</v>
      </c>
      <c r="J746" s="16">
        <v>47486933.347973198</v>
      </c>
      <c r="K746" s="16">
        <v>0</v>
      </c>
      <c r="L746" s="16">
        <v>0</v>
      </c>
      <c r="M746" s="16">
        <v>0</v>
      </c>
      <c r="N746" s="16">
        <v>0</v>
      </c>
      <c r="O746" s="16">
        <v>3798954.6678378554</v>
      </c>
      <c r="P746" s="16">
        <v>379895466.78378558</v>
      </c>
      <c r="Q746" s="16">
        <v>474869.33347973193</v>
      </c>
      <c r="R746" s="16">
        <v>-3798954.6678378554</v>
      </c>
      <c r="S746" s="16">
        <v>854764800.26351762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</row>
    <row r="747" spans="1:28" x14ac:dyDescent="0.3">
      <c r="A747" s="13" t="str">
        <v>ax</v>
      </c>
      <c r="B747" s="1">
        <v>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</row>
    <row r="748" spans="1:28" x14ac:dyDescent="0.3">
      <c r="A748" s="13" t="str">
        <v>az</v>
      </c>
      <c r="B748" s="1">
        <v>0</v>
      </c>
      <c r="C748" s="1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</row>
    <row r="749" spans="1:28" x14ac:dyDescent="0.3">
      <c r="A749" s="13" t="str">
        <v>ϴ a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</row>
    <row r="750" spans="1:28" x14ac:dyDescent="0.3">
      <c r="A750" s="13" t="str">
        <v>bx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</row>
    <row r="751" spans="1:28" x14ac:dyDescent="0.3">
      <c r="A751" s="13" t="str">
        <v>bz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</row>
    <row r="752" spans="1:28" x14ac:dyDescent="0.3">
      <c r="A752" s="13" t="str">
        <v>ϴ b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</row>
    <row r="753" spans="1:28" x14ac:dyDescent="0.3">
      <c r="A753" s="13" t="str">
        <v>cx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</row>
    <row r="754" spans="1:28" x14ac:dyDescent="0.3">
      <c r="A754" s="13" t="str">
        <v>cz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</row>
    <row r="755" spans="1:28" x14ac:dyDescent="0.3">
      <c r="A755" s="13" t="str">
        <v>ϴ c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</row>
    <row r="758" spans="1:28" x14ac:dyDescent="0.3">
      <c r="A758" s="27" t="s">
        <v>97</v>
      </c>
      <c r="B758" s="27"/>
      <c r="C758" s="27"/>
      <c r="D758" s="27"/>
      <c r="E758" s="27"/>
      <c r="F758" s="27"/>
      <c r="G758" s="27"/>
      <c r="H758" s="27"/>
      <c r="I758" s="27"/>
      <c r="J758" s="27"/>
      <c r="K758" s="27"/>
    </row>
    <row r="760" spans="1:28" x14ac:dyDescent="0.3">
      <c r="C760" s="1" t="s">
        <v>98</v>
      </c>
      <c r="D760" s="16" t="s">
        <v>99</v>
      </c>
    </row>
    <row r="762" spans="1:28" x14ac:dyDescent="0.3">
      <c r="B762" s="20" t="s">
        <v>100</v>
      </c>
      <c r="C762" s="19" t="s">
        <v>101</v>
      </c>
      <c r="D762" s="1" t="s">
        <v>104</v>
      </c>
      <c r="E762" s="1" t="s">
        <v>100</v>
      </c>
      <c r="F762" s="1" t="s">
        <v>105</v>
      </c>
      <c r="H762" s="18" t="s">
        <v>107</v>
      </c>
      <c r="I762" s="19" t="s">
        <v>101</v>
      </c>
    </row>
    <row r="763" spans="1:28" x14ac:dyDescent="0.3">
      <c r="B763" s="13" t="s">
        <v>18</v>
      </c>
      <c r="C763" s="16">
        <v>1500</v>
      </c>
      <c r="D763" s="1" t="s">
        <v>102</v>
      </c>
      <c r="E763" s="1">
        <v>1500</v>
      </c>
      <c r="F763" s="1" t="s">
        <v>102</v>
      </c>
      <c r="H763" s="13" t="s">
        <v>108</v>
      </c>
      <c r="I763" s="16">
        <f t="array" ref="I763:I780">MMULT(B784:S801,C763:C780)</f>
        <v>0.65249259131748671</v>
      </c>
      <c r="J763" s="1" t="s">
        <v>126</v>
      </c>
    </row>
    <row r="764" spans="1:28" x14ac:dyDescent="0.3">
      <c r="B764" s="13" t="s">
        <v>19</v>
      </c>
      <c r="C764" s="16">
        <v>-1750</v>
      </c>
      <c r="D764" s="1" t="s">
        <v>102</v>
      </c>
      <c r="E764" s="1">
        <v>-1750</v>
      </c>
      <c r="F764" s="1" t="s">
        <v>102</v>
      </c>
      <c r="H764" s="13" t="s">
        <v>109</v>
      </c>
      <c r="I764" s="16">
        <v>-8.4443309449754814E-3</v>
      </c>
      <c r="J764" s="1" t="s">
        <v>126</v>
      </c>
    </row>
    <row r="765" spans="1:28" x14ac:dyDescent="0.3">
      <c r="B765" s="13" t="s">
        <v>20</v>
      </c>
      <c r="C765" s="16">
        <v>145833</v>
      </c>
      <c r="D765" s="1" t="s">
        <v>104</v>
      </c>
      <c r="E765" s="1">
        <v>1458.33</v>
      </c>
      <c r="F765" s="1" t="s">
        <v>103</v>
      </c>
      <c r="H765" s="13" t="s">
        <v>110</v>
      </c>
      <c r="I765" s="16">
        <v>-3.6421411766476848E-5</v>
      </c>
      <c r="J765" s="1" t="s">
        <v>126</v>
      </c>
    </row>
    <row r="766" spans="1:28" x14ac:dyDescent="0.3">
      <c r="B766" s="13" t="s">
        <v>37</v>
      </c>
      <c r="C766" s="16">
        <v>0</v>
      </c>
      <c r="D766" s="1" t="s">
        <v>102</v>
      </c>
      <c r="E766" s="1">
        <v>0</v>
      </c>
      <c r="F766" s="1" t="s">
        <v>102</v>
      </c>
      <c r="H766" s="13" t="s">
        <v>112</v>
      </c>
      <c r="I766" s="16">
        <v>0.6500856038555558</v>
      </c>
      <c r="J766" s="1" t="s">
        <v>126</v>
      </c>
    </row>
    <row r="767" spans="1:28" x14ac:dyDescent="0.3">
      <c r="B767" s="13" t="s">
        <v>38</v>
      </c>
      <c r="C767" s="16">
        <v>-2500</v>
      </c>
      <c r="D767" s="1" t="s">
        <v>102</v>
      </c>
      <c r="E767" s="1">
        <v>-2500</v>
      </c>
      <c r="F767" s="1" t="s">
        <v>102</v>
      </c>
      <c r="H767" s="13" t="s">
        <v>113</v>
      </c>
      <c r="I767" s="16">
        <v>-5.0131093395207708E-3</v>
      </c>
      <c r="J767" s="1" t="s">
        <v>126</v>
      </c>
    </row>
    <row r="768" spans="1:28" x14ac:dyDescent="0.3">
      <c r="B768" s="13" t="s">
        <v>39</v>
      </c>
      <c r="C768" s="16">
        <v>-108333</v>
      </c>
      <c r="D768" s="1" t="s">
        <v>104</v>
      </c>
      <c r="E768" s="1">
        <v>-1083.33</v>
      </c>
      <c r="F768" s="1" t="s">
        <v>103</v>
      </c>
      <c r="H768" s="13" t="s">
        <v>111</v>
      </c>
      <c r="I768" s="16">
        <v>-1.2856516616853705E-4</v>
      </c>
      <c r="J768" s="1" t="s">
        <v>126</v>
      </c>
    </row>
    <row r="769" spans="1:19" x14ac:dyDescent="0.3">
      <c r="B769" s="13" t="s">
        <v>40</v>
      </c>
      <c r="C769" s="16">
        <v>0</v>
      </c>
      <c r="D769" s="1" t="s">
        <v>102</v>
      </c>
      <c r="E769" s="1">
        <v>0</v>
      </c>
      <c r="F769" s="1" t="s">
        <v>102</v>
      </c>
      <c r="H769" s="13" t="s">
        <v>114</v>
      </c>
      <c r="I769" s="16">
        <v>0.64889936781576696</v>
      </c>
      <c r="J769" s="1" t="s">
        <v>126</v>
      </c>
    </row>
    <row r="770" spans="1:19" x14ac:dyDescent="0.3">
      <c r="B770" s="13" t="s">
        <v>41</v>
      </c>
      <c r="C770" s="16">
        <v>-750</v>
      </c>
      <c r="D770" s="1" t="s">
        <v>102</v>
      </c>
      <c r="E770" s="1">
        <v>-750</v>
      </c>
      <c r="F770" s="1" t="s">
        <v>102</v>
      </c>
      <c r="H770" s="13" t="s">
        <v>115</v>
      </c>
      <c r="I770" s="16">
        <v>-4.1251867799576318E-3</v>
      </c>
      <c r="J770" s="1" t="s">
        <v>126</v>
      </c>
    </row>
    <row r="771" spans="1:19" x14ac:dyDescent="0.3">
      <c r="B771" s="13" t="s">
        <v>42</v>
      </c>
      <c r="C771" s="16">
        <v>-37500</v>
      </c>
      <c r="D771" s="1" t="s">
        <v>104</v>
      </c>
      <c r="E771" s="1">
        <v>-375</v>
      </c>
      <c r="F771" s="1" t="s">
        <v>103</v>
      </c>
      <c r="H771" s="13" t="s">
        <v>116</v>
      </c>
      <c r="I771" s="16">
        <v>-2.3310146526615933E-4</v>
      </c>
      <c r="J771" s="1" t="s">
        <v>126</v>
      </c>
    </row>
    <row r="772" spans="1:19" x14ac:dyDescent="0.3">
      <c r="B772" s="13" t="s">
        <v>43</v>
      </c>
      <c r="C772" s="16">
        <v>1000</v>
      </c>
      <c r="D772" s="1" t="s">
        <v>102</v>
      </c>
      <c r="E772" s="1">
        <v>1000</v>
      </c>
      <c r="F772" s="1" t="s">
        <v>102</v>
      </c>
      <c r="H772" s="13" t="s">
        <v>117</v>
      </c>
      <c r="I772" s="16">
        <v>0.7757820637113485</v>
      </c>
      <c r="J772" s="1" t="s">
        <v>126</v>
      </c>
    </row>
    <row r="773" spans="1:19" x14ac:dyDescent="0.3">
      <c r="B773" s="13" t="s">
        <v>44</v>
      </c>
      <c r="C773" s="16">
        <v>-1750</v>
      </c>
      <c r="D773" s="1" t="s">
        <v>102</v>
      </c>
      <c r="E773" s="1">
        <v>-1750</v>
      </c>
      <c r="F773" s="1" t="s">
        <v>102</v>
      </c>
      <c r="H773" s="13" t="s">
        <v>118</v>
      </c>
      <c r="I773" s="16">
        <v>-1.2504315428686916E-2</v>
      </c>
      <c r="J773" s="1" t="s">
        <v>126</v>
      </c>
    </row>
    <row r="774" spans="1:19" x14ac:dyDescent="0.3">
      <c r="B774" s="13" t="s">
        <v>45</v>
      </c>
      <c r="C774" s="16">
        <v>145833</v>
      </c>
      <c r="D774" s="1" t="s">
        <v>104</v>
      </c>
      <c r="E774" s="1">
        <v>1458.33</v>
      </c>
      <c r="F774" s="1" t="s">
        <v>103</v>
      </c>
      <c r="H774" s="13" t="s">
        <v>119</v>
      </c>
      <c r="I774" s="16">
        <v>1.8108425525972119E-4</v>
      </c>
      <c r="J774" s="1" t="s">
        <v>126</v>
      </c>
    </row>
    <row r="775" spans="1:19" x14ac:dyDescent="0.3">
      <c r="B775" s="13" t="s">
        <v>46</v>
      </c>
      <c r="C775" s="16">
        <v>0</v>
      </c>
      <c r="D775" s="1" t="s">
        <v>102</v>
      </c>
      <c r="E775" s="1">
        <v>0</v>
      </c>
      <c r="F775" s="1" t="s">
        <v>102</v>
      </c>
      <c r="H775" s="13" t="s">
        <v>120</v>
      </c>
      <c r="I775" s="16">
        <v>0.77459534518094242</v>
      </c>
      <c r="J775" s="1" t="s">
        <v>126</v>
      </c>
    </row>
    <row r="776" spans="1:19" x14ac:dyDescent="0.3">
      <c r="B776" s="13" t="s">
        <v>47</v>
      </c>
      <c r="C776" s="16">
        <v>-2500</v>
      </c>
      <c r="D776" s="1" t="s">
        <v>102</v>
      </c>
      <c r="E776" s="1">
        <v>-2500</v>
      </c>
      <c r="F776" s="1" t="s">
        <v>102</v>
      </c>
      <c r="H776" s="13" t="s">
        <v>121</v>
      </c>
      <c r="I776" s="16">
        <v>-6.9294354580237121E-3</v>
      </c>
      <c r="J776" s="1" t="s">
        <v>126</v>
      </c>
    </row>
    <row r="777" spans="1:19" x14ac:dyDescent="0.3">
      <c r="B777" s="13" t="s">
        <v>48</v>
      </c>
      <c r="C777" s="16">
        <v>-108333</v>
      </c>
      <c r="D777" s="1" t="s">
        <v>104</v>
      </c>
      <c r="E777" s="1">
        <v>-1083.33</v>
      </c>
      <c r="F777" s="1" t="s">
        <v>103</v>
      </c>
      <c r="H777" s="13" t="s">
        <v>122</v>
      </c>
      <c r="I777" s="16">
        <v>-1.1737328638322957E-4</v>
      </c>
      <c r="J777" s="1" t="s">
        <v>126</v>
      </c>
    </row>
    <row r="778" spans="1:19" x14ac:dyDescent="0.3">
      <c r="B778" s="13" t="s">
        <v>49</v>
      </c>
      <c r="C778" s="16">
        <v>0</v>
      </c>
      <c r="D778" s="1" t="s">
        <v>102</v>
      </c>
      <c r="E778" s="1">
        <v>0</v>
      </c>
      <c r="F778" s="1" t="s">
        <v>102</v>
      </c>
      <c r="H778" s="13" t="s">
        <v>123</v>
      </c>
      <c r="I778" s="16">
        <v>0.77401709174388789</v>
      </c>
      <c r="J778" s="1" t="s">
        <v>126</v>
      </c>
    </row>
    <row r="779" spans="1:19" x14ac:dyDescent="0.3">
      <c r="B779" s="13" t="s">
        <v>50</v>
      </c>
      <c r="C779" s="16">
        <v>-750</v>
      </c>
      <c r="D779" s="1" t="s">
        <v>102</v>
      </c>
      <c r="E779" s="1">
        <v>-750</v>
      </c>
      <c r="F779" s="1" t="s">
        <v>102</v>
      </c>
      <c r="H779" s="13" t="s">
        <v>124</v>
      </c>
      <c r="I779" s="16">
        <v>-6.3956942466508711E-3</v>
      </c>
      <c r="J779" s="1" t="s">
        <v>126</v>
      </c>
    </row>
    <row r="780" spans="1:19" x14ac:dyDescent="0.3">
      <c r="B780" s="13" t="s">
        <v>51</v>
      </c>
      <c r="C780" s="16">
        <v>-37500</v>
      </c>
      <c r="D780" s="1" t="s">
        <v>104</v>
      </c>
      <c r="E780" s="1">
        <v>-375</v>
      </c>
      <c r="F780" s="1" t="s">
        <v>103</v>
      </c>
      <c r="H780" s="13" t="s">
        <v>125</v>
      </c>
      <c r="I780" s="16">
        <v>-4.5893394682231934E-5</v>
      </c>
      <c r="J780" s="1" t="s">
        <v>126</v>
      </c>
    </row>
    <row r="783" spans="1:19" x14ac:dyDescent="0.3">
      <c r="A783" s="1" t="s">
        <v>106</v>
      </c>
      <c r="B783" s="13" t="s">
        <v>18</v>
      </c>
      <c r="C783" s="13" t="s">
        <v>19</v>
      </c>
      <c r="D783" s="13" t="s">
        <v>20</v>
      </c>
      <c r="E783" s="13" t="s">
        <v>37</v>
      </c>
      <c r="F783" s="13" t="s">
        <v>38</v>
      </c>
      <c r="G783" s="13" t="s">
        <v>39</v>
      </c>
      <c r="H783" s="13" t="s">
        <v>40</v>
      </c>
      <c r="I783" s="13" t="s">
        <v>41</v>
      </c>
      <c r="J783" s="13" t="s">
        <v>42</v>
      </c>
      <c r="K783" s="13" t="s">
        <v>43</v>
      </c>
      <c r="L783" s="13" t="s">
        <v>44</v>
      </c>
      <c r="M783" s="13" t="s">
        <v>45</v>
      </c>
      <c r="N783" s="13" t="s">
        <v>46</v>
      </c>
      <c r="O783" s="13" t="s">
        <v>47</v>
      </c>
      <c r="P783" s="13" t="s">
        <v>48</v>
      </c>
      <c r="Q783" s="13" t="s">
        <v>49</v>
      </c>
      <c r="R783" s="13" t="s">
        <v>50</v>
      </c>
      <c r="S783" s="13" t="s">
        <v>51</v>
      </c>
    </row>
    <row r="784" spans="1:19" x14ac:dyDescent="0.3">
      <c r="A784" s="13" t="str">
        <f t="array" ref="A784:A801">TRANSPOSE(B783:AB783)</f>
        <v>1x</v>
      </c>
      <c r="B784" s="17">
        <f t="array" ref="B784:S801">MINVERSE(B729:S746)</f>
        <v>2.6155898774567459E-4</v>
      </c>
      <c r="C784" s="17">
        <v>9.4487489595773246E-7</v>
      </c>
      <c r="D784" s="17">
        <v>-7.772837179051911E-8</v>
      </c>
      <c r="E784" s="17">
        <v>2.6012002907882986E-4</v>
      </c>
      <c r="F784" s="17">
        <v>-1.0842684681109372E-7</v>
      </c>
      <c r="G784" s="17">
        <v>-1.3549774406251465E-8</v>
      </c>
      <c r="H784" s="17">
        <v>2.5939770859875272E-4</v>
      </c>
      <c r="I784" s="17">
        <v>-8.364480491473838E-7</v>
      </c>
      <c r="J784" s="17">
        <v>-7.0385572222403087E-8</v>
      </c>
      <c r="K784" s="17">
        <v>2.6856978148140343E-4</v>
      </c>
      <c r="L784" s="17">
        <v>9.5139661310676618E-7</v>
      </c>
      <c r="M784" s="17">
        <v>-1.5399376830523208E-9</v>
      </c>
      <c r="N784" s="17">
        <v>2.6853589639331101E-4</v>
      </c>
      <c r="O784" s="17">
        <v>-1.4662812665358586E-7</v>
      </c>
      <c r="P784" s="17">
        <v>-6.5628333065858561E-9</v>
      </c>
      <c r="Q784" s="17">
        <v>2.6853950419520147E-4</v>
      </c>
      <c r="R784" s="17">
        <v>-8.0476848645446932E-7</v>
      </c>
      <c r="S784" s="17">
        <v>5.9767784310518482E-9</v>
      </c>
    </row>
    <row r="785" spans="1:19" x14ac:dyDescent="0.3">
      <c r="A785" s="13" t="str">
        <v>1z</v>
      </c>
      <c r="B785" s="17">
        <v>9.2991045513046012E-7</v>
      </c>
      <c r="C785" s="17">
        <v>2.8643292934014717E-6</v>
      </c>
      <c r="D785" s="17">
        <v>-9.4094714525721601E-9</v>
      </c>
      <c r="E785" s="17">
        <v>9.3688157642737265E-7</v>
      </c>
      <c r="F785" s="17">
        <v>1.2882807580685399E-7</v>
      </c>
      <c r="G785" s="17">
        <v>-5.6706387572533373E-9</v>
      </c>
      <c r="H785" s="17">
        <v>9.4578256466639933E-7</v>
      </c>
      <c r="I785" s="17">
        <v>-6.8376190538746429E-8</v>
      </c>
      <c r="J785" s="17">
        <v>1.017237228736245E-9</v>
      </c>
      <c r="K785" s="17">
        <v>2.3516762136327551E-6</v>
      </c>
      <c r="L785" s="17">
        <v>2.8452950842348751E-6</v>
      </c>
      <c r="M785" s="17">
        <v>-9.4386979195145677E-9</v>
      </c>
      <c r="N785" s="17">
        <v>2.3419160771930826E-6</v>
      </c>
      <c r="O785" s="17">
        <v>1.713218743812859E-7</v>
      </c>
      <c r="P785" s="17">
        <v>-6.1036850461846701E-9</v>
      </c>
      <c r="Q785" s="17">
        <v>2.3296482041579497E-6</v>
      </c>
      <c r="R785" s="17">
        <v>-9.1835779946585492E-8</v>
      </c>
      <c r="S785" s="17">
        <v>1.534149955058253E-9</v>
      </c>
    </row>
    <row r="786" spans="1:19" x14ac:dyDescent="0.3">
      <c r="A786" s="13" t="str">
        <v>ϴ 1</v>
      </c>
      <c r="B786" s="17">
        <v>-7.7285307209620692E-8</v>
      </c>
      <c r="C786" s="17">
        <v>-8.9784526780782577E-9</v>
      </c>
      <c r="D786" s="17">
        <v>1.3449651274712263E-9</v>
      </c>
      <c r="E786" s="17">
        <v>-7.7740745243629793E-8</v>
      </c>
      <c r="F786" s="17">
        <v>9.6913778688921048E-9</v>
      </c>
      <c r="G786" s="17">
        <v>-3.3377378399347767E-10</v>
      </c>
      <c r="H786" s="17">
        <v>-7.7863020029793729E-8</v>
      </c>
      <c r="I786" s="17">
        <v>-7.1292519081362986E-10</v>
      </c>
      <c r="J786" s="17">
        <v>1.5325401893744156E-10</v>
      </c>
      <c r="K786" s="17">
        <v>-1.3768198921806248E-7</v>
      </c>
      <c r="L786" s="17">
        <v>-8.3229104658207175E-9</v>
      </c>
      <c r="M786" s="17">
        <v>3.4077889576037104E-11</v>
      </c>
      <c r="N786" s="17">
        <v>-1.3666490747814133E-7</v>
      </c>
      <c r="O786" s="17">
        <v>8.6442150109283134E-9</v>
      </c>
      <c r="P786" s="17">
        <v>3.7121479805892647E-13</v>
      </c>
      <c r="Q786" s="17">
        <v>-1.3640431565220495E-7</v>
      </c>
      <c r="R786" s="17">
        <v>-3.2130454510720116E-10</v>
      </c>
      <c r="S786" s="17">
        <v>-1.3146867686855632E-11</v>
      </c>
    </row>
    <row r="787" spans="1:19" x14ac:dyDescent="0.3">
      <c r="A787" s="13" t="str">
        <v>2x</v>
      </c>
      <c r="B787" s="17">
        <v>2.6011862819982234E-4</v>
      </c>
      <c r="C787" s="17">
        <v>9.5085905967728882E-7</v>
      </c>
      <c r="D787" s="17">
        <v>-7.8174589932403864E-8</v>
      </c>
      <c r="E787" s="17">
        <v>2.6086021056631077E-4</v>
      </c>
      <c r="F787" s="17">
        <v>-1.2157664283236464E-7</v>
      </c>
      <c r="G787" s="17">
        <v>-1.3338759947327313E-8</v>
      </c>
      <c r="H787" s="17">
        <v>2.6013120152077054E-4</v>
      </c>
      <c r="I787" s="17">
        <v>-8.2928241684566912E-7</v>
      </c>
      <c r="J787" s="17">
        <v>-7.0316942857674508E-8</v>
      </c>
      <c r="K787" s="17">
        <v>2.6860457530699587E-4</v>
      </c>
      <c r="L787" s="17">
        <v>9.6097186668803004E-7</v>
      </c>
      <c r="M787" s="17">
        <v>-2.7070276359853055E-9</v>
      </c>
      <c r="N787" s="17">
        <v>2.6857925381027295E-4</v>
      </c>
      <c r="O787" s="17">
        <v>-1.6754150647258042E-7</v>
      </c>
      <c r="P787" s="17">
        <v>-6.0299316930598105E-9</v>
      </c>
      <c r="Q787" s="17">
        <v>2.6858736106006339E-4</v>
      </c>
      <c r="R787" s="17">
        <v>-7.9343036021674653E-7</v>
      </c>
      <c r="S787" s="17">
        <v>6.1595861302253291E-9</v>
      </c>
    </row>
    <row r="788" spans="1:19" x14ac:dyDescent="0.3">
      <c r="A788" s="13" t="str">
        <v>2z</v>
      </c>
      <c r="B788" s="17">
        <v>3.5435183296979827E-7</v>
      </c>
      <c r="C788" s="17">
        <v>3.319743015675088E-7</v>
      </c>
      <c r="D788" s="17">
        <v>1.4355875592910944E-8</v>
      </c>
      <c r="E788" s="17">
        <v>3.301133571786053E-7</v>
      </c>
      <c r="F788" s="17">
        <v>2.6352847031044736E-6</v>
      </c>
      <c r="G788" s="17">
        <v>-1.4638132688875585E-8</v>
      </c>
      <c r="H788" s="17">
        <v>3.2614919070615355E-7</v>
      </c>
      <c r="I788" s="17">
        <v>-4.247782600240275E-8</v>
      </c>
      <c r="J788" s="17">
        <v>-4.7708148082767674E-9</v>
      </c>
      <c r="K788" s="17">
        <v>7.9002227113347064E-7</v>
      </c>
      <c r="L788" s="17">
        <v>4.5064119630249205E-7</v>
      </c>
      <c r="M788" s="17">
        <v>1.5080386130106955E-8</v>
      </c>
      <c r="N788" s="17">
        <v>8.2371053291552851E-7</v>
      </c>
      <c r="O788" s="17">
        <v>2.535499533678736E-6</v>
      </c>
      <c r="P788" s="17">
        <v>-1.5421357915796724E-8</v>
      </c>
      <c r="Q788" s="17">
        <v>8.2951458348256263E-7</v>
      </c>
      <c r="R788" s="17">
        <v>-6.1359551311650183E-8</v>
      </c>
      <c r="S788" s="17">
        <v>-4.1568430212488811E-9</v>
      </c>
    </row>
    <row r="789" spans="1:19" x14ac:dyDescent="0.3">
      <c r="A789" s="13" t="str">
        <v>ϴ 2</v>
      </c>
      <c r="B789" s="17">
        <v>-9.9987213958687552E-9</v>
      </c>
      <c r="C789" s="17">
        <v>-4.8113049845562258E-9</v>
      </c>
      <c r="D789" s="17">
        <v>-2.808329101996727E-10</v>
      </c>
      <c r="E789" s="17">
        <v>-9.8887160912758441E-9</v>
      </c>
      <c r="F789" s="17">
        <v>6.1139255319169478E-10</v>
      </c>
      <c r="G789" s="17">
        <v>7.5118477607047651E-10</v>
      </c>
      <c r="H789" s="17">
        <v>-1.0061757231441275E-8</v>
      </c>
      <c r="I789" s="17">
        <v>4.1999124313645569E-9</v>
      </c>
      <c r="J789" s="17">
        <v>-3.2060589227787879E-10</v>
      </c>
      <c r="K789" s="17">
        <v>-1.9693446598641998E-8</v>
      </c>
      <c r="L789" s="17">
        <v>-4.8014458150360211E-9</v>
      </c>
      <c r="M789" s="17">
        <v>5.3769403229128794E-11</v>
      </c>
      <c r="N789" s="17">
        <v>-1.9997295565644468E-8</v>
      </c>
      <c r="O789" s="17">
        <v>8.4039420963236451E-10</v>
      </c>
      <c r="P789" s="17">
        <v>-1.7340236740429693E-11</v>
      </c>
      <c r="Q789" s="17">
        <v>-1.9606921606083506E-8</v>
      </c>
      <c r="R789" s="17">
        <v>3.9610516054037068E-9</v>
      </c>
      <c r="S789" s="17">
        <v>9.4813202636035607E-12</v>
      </c>
    </row>
    <row r="790" spans="1:19" x14ac:dyDescent="0.3">
      <c r="A790" s="13" t="str">
        <v>3x</v>
      </c>
      <c r="B790" s="17">
        <v>2.593896744986201E-4</v>
      </c>
      <c r="C790" s="17">
        <v>9.5686564222895786E-7</v>
      </c>
      <c r="D790" s="17">
        <v>-7.8359927371726042E-8</v>
      </c>
      <c r="E790" s="17">
        <v>2.601247946307666E-4</v>
      </c>
      <c r="F790" s="17">
        <v>-1.3473190848050806E-7</v>
      </c>
      <c r="G790" s="17">
        <v>-1.338575759413568E-8</v>
      </c>
      <c r="H790" s="17">
        <v>2.6157610098649967E-4</v>
      </c>
      <c r="I790" s="17">
        <v>-8.2213373374919609E-7</v>
      </c>
      <c r="J790" s="17">
        <v>-6.9987256916457732E-8</v>
      </c>
      <c r="K790" s="17">
        <v>2.6857247064817643E-4</v>
      </c>
      <c r="L790" s="17">
        <v>9.7061180755790442E-7</v>
      </c>
      <c r="M790" s="17">
        <v>-3.118040105286978E-9</v>
      </c>
      <c r="N790" s="17">
        <v>2.6855136718309308E-4</v>
      </c>
      <c r="O790" s="17">
        <v>-1.8846390412703473E-7</v>
      </c>
      <c r="P790" s="17">
        <v>-6.2586711454394226E-9</v>
      </c>
      <c r="Q790" s="17">
        <v>2.6856831863635293E-4</v>
      </c>
      <c r="R790" s="17">
        <v>-7.8214790343217857E-7</v>
      </c>
      <c r="S790" s="17">
        <v>7.0990774547701854E-9</v>
      </c>
    </row>
    <row r="791" spans="1:19" x14ac:dyDescent="0.3">
      <c r="A791" s="13" t="str">
        <v>3z</v>
      </c>
      <c r="B791" s="17">
        <v>6.344345470758108E-7</v>
      </c>
      <c r="C791" s="17">
        <v>-2.9802794741861941E-8</v>
      </c>
      <c r="D791" s="17">
        <v>-1.151278065090285E-9</v>
      </c>
      <c r="E791" s="17">
        <v>6.3000891989787415E-7</v>
      </c>
      <c r="F791" s="17">
        <v>4.9626252841817057E-7</v>
      </c>
      <c r="G791" s="17">
        <v>6.4171759645933366E-9</v>
      </c>
      <c r="H791" s="17">
        <v>6.1244067641514219E-7</v>
      </c>
      <c r="I791" s="17">
        <v>2.4583214449932708E-6</v>
      </c>
      <c r="J791" s="17">
        <v>-1.46503186164155E-8</v>
      </c>
      <c r="K791" s="17">
        <v>1.5621583480962815E-6</v>
      </c>
      <c r="L791" s="17">
        <v>-3.7498259589068166E-8</v>
      </c>
      <c r="M791" s="17">
        <v>3.5180806781038393E-10</v>
      </c>
      <c r="N791" s="17">
        <v>1.5677680932450907E-6</v>
      </c>
      <c r="O791" s="17">
        <v>6.7618999828102882E-7</v>
      </c>
      <c r="P791" s="17">
        <v>5.32956943298829E-9</v>
      </c>
      <c r="Q791" s="17">
        <v>1.5921262479979581E-6</v>
      </c>
      <c r="R791" s="17">
        <v>2.2860894399776166E-6</v>
      </c>
      <c r="S791" s="17">
        <v>-1.5264747090222833E-8</v>
      </c>
    </row>
    <row r="792" spans="1:19" x14ac:dyDescent="0.3">
      <c r="A792" s="13" t="str">
        <v>ϴ 3</v>
      </c>
      <c r="B792" s="17">
        <v>-7.43325149179866E-8</v>
      </c>
      <c r="C792" s="17">
        <v>-4.7324032668618112E-10</v>
      </c>
      <c r="D792" s="17">
        <v>1.0718222820166432E-10</v>
      </c>
      <c r="E792" s="17">
        <v>-7.417580134752238E-8</v>
      </c>
      <c r="F792" s="17">
        <v>-8.4790934314705639E-9</v>
      </c>
      <c r="G792" s="17">
        <v>-2.1603953233840119E-10</v>
      </c>
      <c r="H792" s="17">
        <v>-7.3880369571772716E-8</v>
      </c>
      <c r="I792" s="17">
        <v>8.9523337581569597E-9</v>
      </c>
      <c r="J792" s="17">
        <v>1.2208007333231174E-9</v>
      </c>
      <c r="K792" s="17">
        <v>-1.2763879266907758E-7</v>
      </c>
      <c r="L792" s="17">
        <v>-1.2905451559078194E-9</v>
      </c>
      <c r="M792" s="17">
        <v>-5.1022265683419276E-11</v>
      </c>
      <c r="N792" s="17">
        <v>-1.2795047519250365E-7</v>
      </c>
      <c r="O792" s="17">
        <v>-6.9714415343064847E-9</v>
      </c>
      <c r="P792" s="17">
        <v>1.1122620266736422E-10</v>
      </c>
      <c r="Q792" s="17">
        <v>-1.28744773502705E-7</v>
      </c>
      <c r="R792" s="17">
        <v>8.2619866902146822E-9</v>
      </c>
      <c r="S792" s="17">
        <v>-9.2511662656960299E-11</v>
      </c>
    </row>
    <row r="793" spans="1:19" x14ac:dyDescent="0.3">
      <c r="A793" s="13" t="str">
        <v>4x</v>
      </c>
      <c r="B793" s="17">
        <v>2.6857586042487773E-4</v>
      </c>
      <c r="C793" s="17">
        <v>2.3927378784764056E-6</v>
      </c>
      <c r="D793" s="17">
        <v>-1.3911391878756978E-7</v>
      </c>
      <c r="E793" s="17">
        <v>2.6861384208663606E-4</v>
      </c>
      <c r="F793" s="17">
        <v>-3.5606290519095958E-7</v>
      </c>
      <c r="G793" s="17">
        <v>-2.7774233485634279E-8</v>
      </c>
      <c r="H793" s="17">
        <v>2.6859938242505886E-4</v>
      </c>
      <c r="I793" s="17">
        <v>-2.0366749732862138E-6</v>
      </c>
      <c r="J793" s="17">
        <v>-1.1833736371251291E-7</v>
      </c>
      <c r="K793" s="17">
        <v>3.9592659693476188E-4</v>
      </c>
      <c r="L793" s="17">
        <v>2.9492678397051818E-6</v>
      </c>
      <c r="M793" s="17">
        <v>-6.923535843945218E-8</v>
      </c>
      <c r="N793" s="17">
        <v>3.9440036066830028E-4</v>
      </c>
      <c r="O793" s="17">
        <v>-5.0931594265715374E-7</v>
      </c>
      <c r="P793" s="17">
        <v>-2.0605462123771253E-8</v>
      </c>
      <c r="Q793" s="17">
        <v>3.9369724637572894E-4</v>
      </c>
      <c r="R793" s="17">
        <v>-2.439951897049384E-6</v>
      </c>
      <c r="S793" s="17">
        <v>-4.0658675090433399E-8</v>
      </c>
    </row>
    <row r="794" spans="1:19" x14ac:dyDescent="0.3">
      <c r="A794" s="13" t="str">
        <v>4z</v>
      </c>
      <c r="B794" s="17">
        <v>9.3195187044150791E-7</v>
      </c>
      <c r="C794" s="17">
        <v>2.8447621206969888E-6</v>
      </c>
      <c r="D794" s="17">
        <v>-8.9191036228207421E-9</v>
      </c>
      <c r="E794" s="17">
        <v>9.4300659313753147E-7</v>
      </c>
      <c r="F794" s="17">
        <v>1.7205796244060387E-7</v>
      </c>
      <c r="G794" s="17">
        <v>-5.946998783906177E-9</v>
      </c>
      <c r="H794" s="17">
        <v>9.5683708732035766E-7</v>
      </c>
      <c r="I794" s="17">
        <v>-9.2038904468013381E-8</v>
      </c>
      <c r="J794" s="17">
        <v>7.0712465228553484E-10</v>
      </c>
      <c r="K794" s="17">
        <v>2.8907299610791873E-6</v>
      </c>
      <c r="L794" s="17">
        <v>5.0029330888445805E-6</v>
      </c>
      <c r="M794" s="17">
        <v>-1.7147831921864114E-8</v>
      </c>
      <c r="N794" s="17">
        <v>2.8771795288495647E-6</v>
      </c>
      <c r="O794" s="17">
        <v>2.4750848704428721E-7</v>
      </c>
      <c r="P794" s="17">
        <v>-1.0305208854253401E-8</v>
      </c>
      <c r="Q794" s="17">
        <v>2.8601314701615351E-6</v>
      </c>
      <c r="R794" s="17">
        <v>-1.320745132171068E-7</v>
      </c>
      <c r="S794" s="17">
        <v>2.9703824692863601E-9</v>
      </c>
    </row>
    <row r="795" spans="1:19" x14ac:dyDescent="0.3">
      <c r="A795" s="13" t="str">
        <v>ϴ 4</v>
      </c>
      <c r="B795" s="17">
        <v>-4.2946087975065894E-10</v>
      </c>
      <c r="C795" s="17">
        <v>-8.811683362690134E-9</v>
      </c>
      <c r="D795" s="17">
        <v>3.0573107260275276E-11</v>
      </c>
      <c r="E795" s="17">
        <v>-1.6004902053932951E-9</v>
      </c>
      <c r="F795" s="17">
        <v>9.7297829119909743E-9</v>
      </c>
      <c r="G795" s="17">
        <v>1.7313660821613874E-13</v>
      </c>
      <c r="H795" s="17">
        <v>-1.8765706153569456E-9</v>
      </c>
      <c r="I795" s="17">
        <v>-9.180995493008436E-10</v>
      </c>
      <c r="J795" s="17">
        <v>-1.1213635366005369E-11</v>
      </c>
      <c r="K795" s="17">
        <v>-6.6859128225066598E-8</v>
      </c>
      <c r="L795" s="17">
        <v>-1.6194308645508131E-8</v>
      </c>
      <c r="M795" s="17">
        <v>1.5524690084351396E-9</v>
      </c>
      <c r="N795" s="17">
        <v>-6.5671443155559757E-8</v>
      </c>
      <c r="O795" s="17">
        <v>1.8300527726097025E-8</v>
      </c>
      <c r="P795" s="17">
        <v>-4.3658839868627692E-10</v>
      </c>
      <c r="Q795" s="17">
        <v>-6.5383294490649094E-8</v>
      </c>
      <c r="R795" s="17">
        <v>-2.1062190805888809E-9</v>
      </c>
      <c r="S795" s="17">
        <v>1.5796907622047135E-10</v>
      </c>
    </row>
    <row r="796" spans="1:19" x14ac:dyDescent="0.3">
      <c r="A796" s="13" t="str">
        <v>5x</v>
      </c>
      <c r="B796" s="17">
        <v>2.6854363582394573E-4</v>
      </c>
      <c r="C796" s="17">
        <v>2.3842610908125399E-6</v>
      </c>
      <c r="D796" s="17">
        <v>-1.381073549805373E-7</v>
      </c>
      <c r="E796" s="17">
        <v>2.6859017977893087E-4</v>
      </c>
      <c r="F796" s="17">
        <v>-3.3755222422739973E-7</v>
      </c>
      <c r="G796" s="17">
        <v>-2.8220515125822972E-8</v>
      </c>
      <c r="H796" s="17">
        <v>2.685802208641529E-4</v>
      </c>
      <c r="I796" s="17">
        <v>-2.0467088665859075E-6</v>
      </c>
      <c r="J796" s="17">
        <v>-1.1852240353164063E-7</v>
      </c>
      <c r="K796" s="17">
        <v>3.944043697162935E-4</v>
      </c>
      <c r="L796" s="17">
        <v>2.9376031755378136E-6</v>
      </c>
      <c r="M796" s="17">
        <v>-6.8052812509276614E-8</v>
      </c>
      <c r="N796" s="17">
        <v>3.950636524160774E-4</v>
      </c>
      <c r="O796" s="17">
        <v>-4.8376716769499915E-7</v>
      </c>
      <c r="P796" s="17">
        <v>-2.115737327932972E-8</v>
      </c>
      <c r="Q796" s="17">
        <v>3.943562019358617E-4</v>
      </c>
      <c r="R796" s="17">
        <v>-2.4538360078441704E-6</v>
      </c>
      <c r="S796" s="17">
        <v>-4.0831675939332338E-8</v>
      </c>
    </row>
    <row r="797" spans="1:19" x14ac:dyDescent="0.3">
      <c r="A797" s="13" t="str">
        <v>5z</v>
      </c>
      <c r="B797" s="17">
        <v>4.3054132373704368E-7</v>
      </c>
      <c r="C797" s="17">
        <v>4.5105572006632655E-7</v>
      </c>
      <c r="D797" s="17">
        <v>1.2309181884991267E-8</v>
      </c>
      <c r="E797" s="17">
        <v>3.9222409589955289E-7</v>
      </c>
      <c r="F797" s="17">
        <v>2.5350137838132571E-6</v>
      </c>
      <c r="G797" s="17">
        <v>-1.3783800650848182E-8</v>
      </c>
      <c r="H797" s="17">
        <v>3.8592472482477169E-7</v>
      </c>
      <c r="I797" s="17">
        <v>-6.1288325210004707E-8</v>
      </c>
      <c r="J797" s="17">
        <v>-4.5688319563947716E-9</v>
      </c>
      <c r="K797" s="17">
        <v>1.0083531679998858E-6</v>
      </c>
      <c r="L797" s="17">
        <v>6.6128357241465613E-7</v>
      </c>
      <c r="M797" s="17">
        <v>2.8758090160561538E-8</v>
      </c>
      <c r="N797" s="17">
        <v>1.0551441586324951E-6</v>
      </c>
      <c r="O797" s="17">
        <v>4.5556384603711032E-6</v>
      </c>
      <c r="P797" s="17">
        <v>-2.8023066522651499E-8</v>
      </c>
      <c r="Q797" s="17">
        <v>1.0629899408394661E-6</v>
      </c>
      <c r="R797" s="17">
        <v>-9.8554970113997011E-8</v>
      </c>
      <c r="S797" s="17">
        <v>-7.4768870690615923E-9</v>
      </c>
    </row>
    <row r="798" spans="1:19" x14ac:dyDescent="0.3">
      <c r="A798" s="13" t="str">
        <v>ϴ 5</v>
      </c>
      <c r="B798" s="17">
        <v>-3.1582459354070698E-9</v>
      </c>
      <c r="C798" s="17">
        <v>-4.7982985836423762E-9</v>
      </c>
      <c r="D798" s="17">
        <v>5.2104656554910746E-11</v>
      </c>
      <c r="E798" s="17">
        <v>-2.806395114548933E-9</v>
      </c>
      <c r="F798" s="17">
        <v>8.3566950111015757E-10</v>
      </c>
      <c r="G798" s="17">
        <v>-1.9255279189493144E-11</v>
      </c>
      <c r="H798" s="17">
        <v>-3.2560545195612117E-9</v>
      </c>
      <c r="I798" s="17">
        <v>3.9626290825322265E-9</v>
      </c>
      <c r="J798" s="17">
        <v>1.3254100482166108E-11</v>
      </c>
      <c r="K798" s="17">
        <v>-1.0376500088833393E-8</v>
      </c>
      <c r="L798" s="17">
        <v>-8.4362759369263704E-9</v>
      </c>
      <c r="M798" s="17">
        <v>-3.2133344760368918E-10</v>
      </c>
      <c r="N798" s="17">
        <v>-1.070707351113022E-8</v>
      </c>
      <c r="O798" s="17">
        <v>1.2779452431882647E-9</v>
      </c>
      <c r="P798" s="17">
        <v>8.2265220453186659E-10</v>
      </c>
      <c r="Q798" s="17">
        <v>-1.0255640958393891E-8</v>
      </c>
      <c r="R798" s="17">
        <v>7.1583306937381227E-9</v>
      </c>
      <c r="S798" s="17">
        <v>-3.999654415168266E-10</v>
      </c>
    </row>
    <row r="799" spans="1:19" x14ac:dyDescent="0.3">
      <c r="A799" s="13" t="str">
        <v>6x</v>
      </c>
      <c r="B799" s="17">
        <v>2.6855621304610011E-4</v>
      </c>
      <c r="C799" s="17">
        <v>2.3757284802035737E-6</v>
      </c>
      <c r="D799" s="17">
        <v>-1.3775524952833019E-7</v>
      </c>
      <c r="E799" s="17">
        <v>2.6860697373880726E-4</v>
      </c>
      <c r="F799" s="17">
        <v>-3.1903401738363004E-7</v>
      </c>
      <c r="G799" s="17">
        <v>-2.8007715728833526E-8</v>
      </c>
      <c r="H799" s="17">
        <v>2.6860586032811311E-4</v>
      </c>
      <c r="I799" s="17">
        <v>-2.0566944628207111E-6</v>
      </c>
      <c r="J799" s="17">
        <v>-1.1936236161079145E-7</v>
      </c>
      <c r="K799" s="17">
        <v>3.9372442932009041E-4</v>
      </c>
      <c r="L799" s="17">
        <v>2.925875824190276E-6</v>
      </c>
      <c r="M799" s="17">
        <v>-6.7602769298055762E-8</v>
      </c>
      <c r="N799" s="17">
        <v>3.9437973844127117E-4</v>
      </c>
      <c r="O799" s="17">
        <v>-4.5820780067242318E-7</v>
      </c>
      <c r="P799" s="17">
        <v>-2.0975469479454534E-8</v>
      </c>
      <c r="Q799" s="17">
        <v>3.958574453882939E-4</v>
      </c>
      <c r="R799" s="17">
        <v>-2.4676680235192082E-6</v>
      </c>
      <c r="S799" s="17">
        <v>-4.1737759290019739E-8</v>
      </c>
    </row>
    <row r="800" spans="1:19" x14ac:dyDescent="0.3">
      <c r="A800" s="13" t="str">
        <v>6z</v>
      </c>
      <c r="B800" s="17">
        <v>5.8970566214869901E-7</v>
      </c>
      <c r="C800" s="17">
        <v>-3.6103079555417547E-8</v>
      </c>
      <c r="D800" s="17">
        <v>3.5721433621418521E-10</v>
      </c>
      <c r="E800" s="17">
        <v>5.8345076394808516E-7</v>
      </c>
      <c r="F800" s="17">
        <v>6.738708095992628E-7</v>
      </c>
      <c r="G800" s="17">
        <v>4.3395947376015207E-9</v>
      </c>
      <c r="H800" s="17">
        <v>5.5585449676313618E-7</v>
      </c>
      <c r="I800" s="17">
        <v>2.2870134486257341E-6</v>
      </c>
      <c r="J800" s="17">
        <v>-1.3341863688059862E-8</v>
      </c>
      <c r="K800" s="17">
        <v>1.8771290073016901E-6</v>
      </c>
      <c r="L800" s="17">
        <v>-6.3483307448776586E-8</v>
      </c>
      <c r="M800" s="17">
        <v>-1.0758541257306454E-9</v>
      </c>
      <c r="N800" s="17">
        <v>1.8853208640845064E-6</v>
      </c>
      <c r="O800" s="17">
        <v>1.0149388916035486E-6</v>
      </c>
      <c r="P800" s="17">
        <v>1.155096279994918E-8</v>
      </c>
      <c r="Q800" s="17">
        <v>1.9191061495532185E-6</v>
      </c>
      <c r="R800" s="17">
        <v>4.166911478516991E-6</v>
      </c>
      <c r="S800" s="17">
        <v>-2.818035471383765E-8</v>
      </c>
    </row>
    <row r="801" spans="1:19" x14ac:dyDescent="0.3">
      <c r="A801" s="13" t="str">
        <v>ϴ 6</v>
      </c>
      <c r="B801" s="17">
        <v>1.1481246666319587E-9</v>
      </c>
      <c r="C801" s="17">
        <v>-7.9453907520336012E-10</v>
      </c>
      <c r="D801" s="17">
        <v>-4.9234647943170865E-11</v>
      </c>
      <c r="E801" s="17">
        <v>1.5057391459661234E-9</v>
      </c>
      <c r="F801" s="17">
        <v>-8.069704412527722E-9</v>
      </c>
      <c r="G801" s="17">
        <v>1.0923183212651671E-10</v>
      </c>
      <c r="H801" s="17">
        <v>2.4014218926220725E-9</v>
      </c>
      <c r="I801" s="17">
        <v>8.8642434877310808E-9</v>
      </c>
      <c r="J801" s="17">
        <v>-8.5273612709462004E-11</v>
      </c>
      <c r="K801" s="17">
        <v>-5.3964818121958367E-8</v>
      </c>
      <c r="L801" s="17">
        <v>-4.8629099467108587E-10</v>
      </c>
      <c r="M801" s="17">
        <v>4.8878977529847001E-11</v>
      </c>
      <c r="N801" s="17">
        <v>-5.4347917381337457E-8</v>
      </c>
      <c r="O801" s="17">
        <v>-1.5767258163730557E-8</v>
      </c>
      <c r="P801" s="17">
        <v>-1.8774186165411618E-10</v>
      </c>
      <c r="Q801" s="17">
        <v>-5.5200670536247407E-8</v>
      </c>
      <c r="R801" s="17">
        <v>1.6253549158401646E-8</v>
      </c>
      <c r="S801" s="17">
        <v>1.2879305909487981E-9</v>
      </c>
    </row>
    <row r="806" spans="1:19" x14ac:dyDescent="0.3">
      <c r="A806" s="27" t="s">
        <v>127</v>
      </c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</row>
    <row r="808" spans="1:19" x14ac:dyDescent="0.3">
      <c r="A808" s="27" t="s">
        <v>128</v>
      </c>
      <c r="B808" s="27"/>
      <c r="C808" s="27"/>
      <c r="D808" s="27"/>
      <c r="E808" s="27"/>
      <c r="F808" s="27"/>
      <c r="G808" s="27"/>
      <c r="H808" s="27"/>
      <c r="I808" s="27"/>
      <c r="J808" s="27"/>
      <c r="K808" s="27"/>
    </row>
    <row r="810" spans="1:19" x14ac:dyDescent="0.3">
      <c r="C810" s="28" t="s">
        <v>129</v>
      </c>
      <c r="D810" s="28"/>
    </row>
    <row r="811" spans="1:19" x14ac:dyDescent="0.3">
      <c r="C811" s="13" t="s">
        <v>21</v>
      </c>
      <c r="D811" s="12">
        <v>0</v>
      </c>
      <c r="E811" s="5" t="str">
        <f t="array" ref="E811:F812">A31:B32</f>
        <v>Sen ϴ=</v>
      </c>
      <c r="F811" s="12">
        <v>1</v>
      </c>
      <c r="I811" s="12">
        <f>F812</f>
        <v>6.1257422745431001E-17</v>
      </c>
      <c r="J811" s="12">
        <f>F811</f>
        <v>1</v>
      </c>
      <c r="K811" s="12">
        <v>0</v>
      </c>
    </row>
    <row r="812" spans="1:19" x14ac:dyDescent="0.3">
      <c r="C812" s="13" t="s">
        <v>22</v>
      </c>
      <c r="D812" s="12">
        <v>0</v>
      </c>
      <c r="E812" s="5" t="str">
        <v>Cos ϴ=</v>
      </c>
      <c r="F812" s="12">
        <v>6.1257422745431001E-17</v>
      </c>
      <c r="H812" s="1" t="s">
        <v>130</v>
      </c>
      <c r="I812" s="12">
        <f>-F811</f>
        <v>-1</v>
      </c>
      <c r="J812" s="12">
        <f>F812</f>
        <v>6.1257422745431001E-17</v>
      </c>
      <c r="K812" s="12">
        <v>0</v>
      </c>
    </row>
    <row r="813" spans="1:19" x14ac:dyDescent="0.3">
      <c r="C813" s="13" t="s">
        <v>23</v>
      </c>
      <c r="D813" s="12">
        <v>0</v>
      </c>
      <c r="I813" s="12">
        <v>0</v>
      </c>
      <c r="J813" s="12">
        <v>0</v>
      </c>
      <c r="K813" s="12">
        <v>1</v>
      </c>
    </row>
    <row r="814" spans="1:19" x14ac:dyDescent="0.3">
      <c r="C814" s="13" t="s">
        <v>108</v>
      </c>
      <c r="D814" s="12">
        <f t="array" ref="D814:D816">I763:I765</f>
        <v>0.65249259131748671</v>
      </c>
    </row>
    <row r="815" spans="1:19" x14ac:dyDescent="0.3">
      <c r="C815" s="13" t="s">
        <v>109</v>
      </c>
      <c r="D815" s="12">
        <v>-8.4443309449754814E-3</v>
      </c>
    </row>
    <row r="816" spans="1:19" x14ac:dyDescent="0.3">
      <c r="C816" s="13" t="s">
        <v>110</v>
      </c>
      <c r="D816" s="12">
        <v>-3.6421411766476848E-5</v>
      </c>
      <c r="F816" s="28" t="s">
        <v>16</v>
      </c>
      <c r="G816" s="28"/>
      <c r="H816" s="28"/>
      <c r="I816" s="28"/>
      <c r="J816" s="28"/>
      <c r="K816" s="28"/>
      <c r="L816" s="28"/>
    </row>
    <row r="817" spans="3:12" x14ac:dyDescent="0.3">
      <c r="C817" s="4"/>
      <c r="F817" s="5" t="s">
        <v>17</v>
      </c>
      <c r="G817" s="5" t="s">
        <v>18</v>
      </c>
      <c r="H817" s="5" t="s">
        <v>19</v>
      </c>
      <c r="I817" s="5" t="s">
        <v>20</v>
      </c>
      <c r="J817" s="5" t="s">
        <v>21</v>
      </c>
      <c r="K817" s="5" t="s">
        <v>22</v>
      </c>
      <c r="L817" s="5" t="s">
        <v>23</v>
      </c>
    </row>
    <row r="818" spans="3:12" x14ac:dyDescent="0.3">
      <c r="C818" s="13" t="str">
        <f t="array" ref="C818:C823">C811:C816</f>
        <v>ax</v>
      </c>
      <c r="D818" s="12">
        <f t="array" ref="D818:D820">MMULT(I811:K813,D811:D813)</f>
        <v>0</v>
      </c>
      <c r="F818" s="5" t="s">
        <v>18</v>
      </c>
      <c r="G818" s="8">
        <v>341905.92010540701</v>
      </c>
      <c r="H818" s="8">
        <v>0</v>
      </c>
      <c r="I818" s="8">
        <v>0</v>
      </c>
      <c r="J818" s="8">
        <v>-341905.92010540701</v>
      </c>
      <c r="K818" s="8">
        <v>0</v>
      </c>
      <c r="L818" s="8">
        <v>0</v>
      </c>
    </row>
    <row r="819" spans="3:12" x14ac:dyDescent="0.3">
      <c r="C819" s="13" t="str">
        <v>az</v>
      </c>
      <c r="D819" s="12">
        <v>0</v>
      </c>
      <c r="F819" s="5" t="s">
        <v>19</v>
      </c>
      <c r="G819" s="8">
        <v>0</v>
      </c>
      <c r="H819" s="8">
        <v>1335.5700004117459</v>
      </c>
      <c r="I819" s="8">
        <v>267114.00008234923</v>
      </c>
      <c r="J819" s="8">
        <v>0</v>
      </c>
      <c r="K819" s="8">
        <v>-1335.5700004117459</v>
      </c>
      <c r="L819" s="8">
        <v>267114.00008234923</v>
      </c>
    </row>
    <row r="820" spans="3:12" x14ac:dyDescent="0.3">
      <c r="C820" s="13" t="str">
        <v>ϴ a</v>
      </c>
      <c r="D820" s="12">
        <v>0</v>
      </c>
      <c r="F820" s="5" t="s">
        <v>20</v>
      </c>
      <c r="G820" s="8">
        <v>0</v>
      </c>
      <c r="H820" s="8">
        <v>267114.00008234923</v>
      </c>
      <c r="I820" s="8">
        <v>71230400.021959797</v>
      </c>
      <c r="J820" s="8">
        <v>0</v>
      </c>
      <c r="K820" s="8">
        <v>-267114.00008234923</v>
      </c>
      <c r="L820" s="8">
        <v>35615200.010979898</v>
      </c>
    </row>
    <row r="821" spans="3:12" x14ac:dyDescent="0.3">
      <c r="C821" s="13" t="str">
        <v>U1x</v>
      </c>
      <c r="D821" s="12">
        <f t="array" ref="D821:D823">MMULT(I811:K813,D814:D816)</f>
        <v>-8.4443309449754415E-3</v>
      </c>
      <c r="F821" s="5" t="s">
        <v>21</v>
      </c>
      <c r="G821" s="8">
        <v>-341905.92010540701</v>
      </c>
      <c r="H821" s="8">
        <v>0</v>
      </c>
      <c r="I821" s="8">
        <v>0</v>
      </c>
      <c r="J821" s="8">
        <v>341905.92010540701</v>
      </c>
      <c r="K821" s="8">
        <v>0</v>
      </c>
      <c r="L821" s="8">
        <v>0</v>
      </c>
    </row>
    <row r="822" spans="3:12" x14ac:dyDescent="0.3">
      <c r="C822" s="13" t="str">
        <v>U1z</v>
      </c>
      <c r="D822" s="12">
        <v>-0.65249259131748671</v>
      </c>
      <c r="F822" s="5" t="s">
        <v>22</v>
      </c>
      <c r="G822" s="8">
        <v>0</v>
      </c>
      <c r="H822" s="8">
        <v>-1335.5700004117459</v>
      </c>
      <c r="I822" s="8">
        <v>-267114.00008234923</v>
      </c>
      <c r="J822" s="8">
        <v>0</v>
      </c>
      <c r="K822" s="8">
        <v>1335.5700004117459</v>
      </c>
      <c r="L822" s="8">
        <v>-267114.00008234923</v>
      </c>
    </row>
    <row r="823" spans="3:12" x14ac:dyDescent="0.3">
      <c r="C823" s="13" t="str">
        <v>Uϴ 1</v>
      </c>
      <c r="D823" s="12">
        <v>-3.6421411766476848E-5</v>
      </c>
      <c r="F823" s="5" t="s">
        <v>23</v>
      </c>
      <c r="G823" s="8">
        <v>0</v>
      </c>
      <c r="H823" s="8">
        <v>267114.00008234923</v>
      </c>
      <c r="I823" s="8">
        <v>35615200.010979898</v>
      </c>
      <c r="J823" s="8">
        <v>0</v>
      </c>
      <c r="K823" s="8">
        <v>-267114.00008234923</v>
      </c>
      <c r="L823" s="8">
        <v>71230400.021959797</v>
      </c>
    </row>
    <row r="824" spans="3:12" x14ac:dyDescent="0.3">
      <c r="C824" s="4"/>
    </row>
    <row r="825" spans="3:12" x14ac:dyDescent="0.3">
      <c r="C825" s="4"/>
    </row>
    <row r="826" spans="3:12" x14ac:dyDescent="0.3">
      <c r="C826" s="4"/>
    </row>
    <row r="827" spans="3:12" x14ac:dyDescent="0.3">
      <c r="C827" s="13" t="s">
        <v>131</v>
      </c>
      <c r="D827" s="12">
        <f t="array" ref="D827:D832">MMULT(G818:L823,D818:D823)</f>
        <v>2887.1667414163894</v>
      </c>
    </row>
    <row r="828" spans="3:12" x14ac:dyDescent="0.3">
      <c r="C828" s="13" t="s">
        <v>132</v>
      </c>
      <c r="D828" s="12">
        <v>861.72086146896697</v>
      </c>
    </row>
    <row r="829" spans="3:12" x14ac:dyDescent="0.3">
      <c r="C829" s="13" t="s">
        <v>133</v>
      </c>
      <c r="D829" s="12">
        <v>172992.7502261661</v>
      </c>
    </row>
    <row r="830" spans="3:12" x14ac:dyDescent="0.3">
      <c r="C830" s="13" t="s">
        <v>134</v>
      </c>
      <c r="D830" s="12">
        <v>-2887.1667414163894</v>
      </c>
    </row>
    <row r="831" spans="3:12" x14ac:dyDescent="0.3">
      <c r="C831" s="13" t="s">
        <v>135</v>
      </c>
      <c r="D831" s="12">
        <v>-861.72086146896697</v>
      </c>
    </row>
    <row r="832" spans="3:12" x14ac:dyDescent="0.3">
      <c r="C832" s="13" t="s">
        <v>136</v>
      </c>
      <c r="D832" s="12">
        <v>171695.59436142075</v>
      </c>
    </row>
    <row r="833" spans="1:12" x14ac:dyDescent="0.3">
      <c r="C833" s="4"/>
    </row>
    <row r="835" spans="1:12" x14ac:dyDescent="0.3">
      <c r="A835" s="27" t="s">
        <v>137</v>
      </c>
      <c r="B835" s="27"/>
      <c r="C835" s="27"/>
      <c r="D835" s="27"/>
      <c r="E835" s="27"/>
      <c r="F835" s="27"/>
      <c r="G835" s="27"/>
      <c r="H835" s="27"/>
      <c r="I835" s="27"/>
      <c r="J835" s="27"/>
      <c r="K835" s="27"/>
    </row>
    <row r="837" spans="1:12" x14ac:dyDescent="0.3">
      <c r="C837" s="28" t="s">
        <v>129</v>
      </c>
      <c r="D837" s="28"/>
    </row>
    <row r="838" spans="1:12" x14ac:dyDescent="0.3">
      <c r="C838" s="13" t="s">
        <v>52</v>
      </c>
      <c r="D838" s="12">
        <v>0</v>
      </c>
      <c r="E838" s="5" t="str">
        <f t="array" ref="E838:F839">A103:B104</f>
        <v>Sen ϴ=</v>
      </c>
      <c r="F838" s="12">
        <v>1</v>
      </c>
      <c r="I838" s="12">
        <f>F839</f>
        <v>6.1257422745431001E-17</v>
      </c>
      <c r="J838" s="12">
        <f>F838</f>
        <v>1</v>
      </c>
      <c r="K838" s="12">
        <v>0</v>
      </c>
    </row>
    <row r="839" spans="1:12" x14ac:dyDescent="0.3">
      <c r="C839" s="13" t="s">
        <v>53</v>
      </c>
      <c r="D839" s="12">
        <v>0</v>
      </c>
      <c r="E839" s="5" t="str">
        <v>Cos ϴ=</v>
      </c>
      <c r="F839" s="12">
        <v>6.1257422745431001E-17</v>
      </c>
      <c r="H839" s="1" t="s">
        <v>130</v>
      </c>
      <c r="I839" s="12">
        <f>-F838</f>
        <v>-1</v>
      </c>
      <c r="J839" s="12">
        <f>F839</f>
        <v>6.1257422745431001E-17</v>
      </c>
      <c r="K839" s="12">
        <v>0</v>
      </c>
    </row>
    <row r="840" spans="1:12" x14ac:dyDescent="0.3">
      <c r="C840" s="13" t="s">
        <v>54</v>
      </c>
      <c r="D840" s="12">
        <v>0</v>
      </c>
      <c r="I840" s="12">
        <v>0</v>
      </c>
      <c r="J840" s="12">
        <v>0</v>
      </c>
      <c r="K840" s="12">
        <v>1</v>
      </c>
    </row>
    <row r="841" spans="1:12" x14ac:dyDescent="0.3">
      <c r="C841" s="13" t="s">
        <v>112</v>
      </c>
      <c r="D841" s="12">
        <f t="array" ref="D841:D843">I766:I768</f>
        <v>0.6500856038555558</v>
      </c>
    </row>
    <row r="842" spans="1:12" x14ac:dyDescent="0.3">
      <c r="C842" s="13" t="s">
        <v>113</v>
      </c>
      <c r="D842" s="12">
        <v>-5.0131093395207708E-3</v>
      </c>
    </row>
    <row r="843" spans="1:12" x14ac:dyDescent="0.3">
      <c r="C843" s="13" t="s">
        <v>111</v>
      </c>
      <c r="D843" s="12">
        <v>-1.2856516616853705E-4</v>
      </c>
      <c r="F843" s="28" t="s">
        <v>59</v>
      </c>
      <c r="G843" s="28"/>
      <c r="H843" s="28"/>
      <c r="I843" s="28"/>
      <c r="J843" s="28"/>
      <c r="K843" s="28"/>
      <c r="L843" s="28"/>
    </row>
    <row r="844" spans="1:12" x14ac:dyDescent="0.3">
      <c r="C844" s="4"/>
      <c r="F844" s="5" t="str">
        <f t="array" ref="F844:L850">A92:G98</f>
        <v>k2</v>
      </c>
      <c r="G844" s="5" t="str">
        <v>2x</v>
      </c>
      <c r="H844" s="5" t="str">
        <v>2z</v>
      </c>
      <c r="I844" s="5" t="str">
        <v>ϴ 2</v>
      </c>
      <c r="J844" s="5" t="str">
        <v>bx</v>
      </c>
      <c r="K844" s="5" t="str">
        <v>bz</v>
      </c>
      <c r="L844" s="5" t="str">
        <v>ϴ b</v>
      </c>
    </row>
    <row r="845" spans="1:12" x14ac:dyDescent="0.3">
      <c r="C845" s="13" t="str">
        <f t="array" ref="C845:C850">C838:C843</f>
        <v>bx</v>
      </c>
      <c r="D845" s="12">
        <f t="array" ref="D845:D847">MMULT(I838:K840,D838:D840)</f>
        <v>0</v>
      </c>
      <c r="F845" s="5" t="str">
        <v>2x</v>
      </c>
      <c r="G845" s="8">
        <v>341905.92010540701</v>
      </c>
      <c r="H845" s="8">
        <v>0</v>
      </c>
      <c r="I845" s="8">
        <v>0</v>
      </c>
      <c r="J845" s="8">
        <v>-341905.92010540701</v>
      </c>
      <c r="K845" s="8">
        <v>0</v>
      </c>
      <c r="L845" s="8">
        <v>0</v>
      </c>
    </row>
    <row r="846" spans="1:12" x14ac:dyDescent="0.3">
      <c r="C846" s="13" t="str">
        <v>bz</v>
      </c>
      <c r="D846" s="12">
        <v>0</v>
      </c>
      <c r="F846" s="5" t="str">
        <v>2z</v>
      </c>
      <c r="G846" s="8">
        <v>0</v>
      </c>
      <c r="H846" s="8">
        <v>1335.5700004117459</v>
      </c>
      <c r="I846" s="8">
        <v>267114.00008234923</v>
      </c>
      <c r="J846" s="8">
        <v>0</v>
      </c>
      <c r="K846" s="8">
        <v>-1335.5700004117459</v>
      </c>
      <c r="L846" s="8">
        <v>267114.00008234923</v>
      </c>
    </row>
    <row r="847" spans="1:12" x14ac:dyDescent="0.3">
      <c r="C847" s="13" t="str">
        <v>ϴ b</v>
      </c>
      <c r="D847" s="12">
        <v>0</v>
      </c>
      <c r="F847" s="5" t="str">
        <v>ϴ 2</v>
      </c>
      <c r="G847" s="8">
        <v>0</v>
      </c>
      <c r="H847" s="8">
        <v>267114.00008234923</v>
      </c>
      <c r="I847" s="8">
        <v>71230400.021959797</v>
      </c>
      <c r="J847" s="8">
        <v>0</v>
      </c>
      <c r="K847" s="8">
        <v>-267114.00008234923</v>
      </c>
      <c r="L847" s="8">
        <v>35615200.010979898</v>
      </c>
    </row>
    <row r="848" spans="1:12" x14ac:dyDescent="0.3">
      <c r="C848" s="13" t="str">
        <v>U2x</v>
      </c>
      <c r="D848" s="12">
        <f t="array" ref="D848:D850">MMULT(I838:K840,D841:D843)</f>
        <v>-5.0131093395207309E-3</v>
      </c>
      <c r="F848" s="5" t="str">
        <v>bx</v>
      </c>
      <c r="G848" s="8">
        <v>-341905.92010540701</v>
      </c>
      <c r="H848" s="8">
        <v>0</v>
      </c>
      <c r="I848" s="8">
        <v>0</v>
      </c>
      <c r="J848" s="8">
        <v>341905.92010540701</v>
      </c>
      <c r="K848" s="8">
        <v>0</v>
      </c>
      <c r="L848" s="8">
        <v>0</v>
      </c>
    </row>
    <row r="849" spans="1:12" x14ac:dyDescent="0.3">
      <c r="C849" s="13" t="str">
        <v>U2z</v>
      </c>
      <c r="D849" s="12">
        <v>-0.6500856038555558</v>
      </c>
      <c r="F849" s="5" t="str">
        <v>bz</v>
      </c>
      <c r="G849" s="8">
        <v>0</v>
      </c>
      <c r="H849" s="8">
        <v>-1335.5700004117459</v>
      </c>
      <c r="I849" s="8">
        <v>-267114.00008234923</v>
      </c>
      <c r="J849" s="8">
        <v>0</v>
      </c>
      <c r="K849" s="8">
        <v>1335.5700004117459</v>
      </c>
      <c r="L849" s="8">
        <v>-267114.00008234923</v>
      </c>
    </row>
    <row r="850" spans="1:12" x14ac:dyDescent="0.3">
      <c r="C850" s="13" t="str">
        <v>Uϴ 2</v>
      </c>
      <c r="D850" s="12">
        <v>-1.2856516616853705E-4</v>
      </c>
      <c r="F850" s="5" t="str">
        <v>ϴ b</v>
      </c>
      <c r="G850" s="8">
        <v>0</v>
      </c>
      <c r="H850" s="8">
        <v>267114.00008234923</v>
      </c>
      <c r="I850" s="8">
        <v>35615200.010979898</v>
      </c>
      <c r="J850" s="8">
        <v>0</v>
      </c>
      <c r="K850" s="8">
        <v>-267114.00008234923</v>
      </c>
      <c r="L850" s="8">
        <v>71230400.021959797</v>
      </c>
    </row>
    <row r="851" spans="1:12" x14ac:dyDescent="0.3">
      <c r="C851" s="4"/>
    </row>
    <row r="852" spans="1:12" x14ac:dyDescent="0.3">
      <c r="C852" s="4"/>
    </row>
    <row r="853" spans="1:12" x14ac:dyDescent="0.3">
      <c r="C853" s="4"/>
    </row>
    <row r="854" spans="1:12" x14ac:dyDescent="0.3">
      <c r="C854" s="13" t="s">
        <v>139</v>
      </c>
      <c r="D854" s="12">
        <f t="array" ref="D854:D859">MMULT(G845:L850,D845:D850)</f>
        <v>1714.0117613178447</v>
      </c>
    </row>
    <row r="855" spans="1:12" x14ac:dyDescent="0.3">
      <c r="C855" s="13" t="s">
        <v>140</v>
      </c>
      <c r="D855" s="12">
        <v>833.89327440250486</v>
      </c>
    </row>
    <row r="856" spans="1:12" x14ac:dyDescent="0.3">
      <c r="C856" s="13" t="s">
        <v>141</v>
      </c>
      <c r="D856" s="12">
        <v>169068.09193426964</v>
      </c>
    </row>
    <row r="857" spans="1:12" x14ac:dyDescent="0.3">
      <c r="C857" s="13" t="s">
        <v>142</v>
      </c>
      <c r="D857" s="12">
        <v>-1714.0117613178447</v>
      </c>
    </row>
    <row r="858" spans="1:12" x14ac:dyDescent="0.3">
      <c r="C858" s="13" t="s">
        <v>143</v>
      </c>
      <c r="D858" s="12">
        <v>-833.89327440250486</v>
      </c>
    </row>
    <row r="859" spans="1:12" x14ac:dyDescent="0.3">
      <c r="C859" s="13" t="s">
        <v>144</v>
      </c>
      <c r="D859" s="12">
        <v>164489.21782673235</v>
      </c>
    </row>
    <row r="862" spans="1:12" x14ac:dyDescent="0.3">
      <c r="A862" s="27" t="s">
        <v>145</v>
      </c>
      <c r="B862" s="27"/>
      <c r="C862" s="27"/>
      <c r="D862" s="27"/>
      <c r="E862" s="27"/>
      <c r="F862" s="27"/>
      <c r="G862" s="27"/>
      <c r="H862" s="27"/>
      <c r="I862" s="27"/>
      <c r="J862" s="27"/>
      <c r="K862" s="27"/>
    </row>
    <row r="864" spans="1:12" x14ac:dyDescent="0.3">
      <c r="C864" s="28" t="s">
        <v>129</v>
      </c>
      <c r="D864" s="28"/>
    </row>
    <row r="865" spans="3:12" x14ac:dyDescent="0.3">
      <c r="C865" s="13" t="s">
        <v>55</v>
      </c>
      <c r="D865" s="12">
        <v>0</v>
      </c>
      <c r="E865" s="5" t="str">
        <f t="array" ref="E865:F866">A175:B176</f>
        <v>Sen ϴ=</v>
      </c>
      <c r="F865" s="12">
        <v>1</v>
      </c>
      <c r="I865" s="12">
        <f>F866</f>
        <v>6.1257422745431001E-17</v>
      </c>
      <c r="J865" s="12">
        <f>F865</f>
        <v>1</v>
      </c>
      <c r="K865" s="12">
        <v>0</v>
      </c>
    </row>
    <row r="866" spans="3:12" x14ac:dyDescent="0.3">
      <c r="C866" s="13" t="s">
        <v>56</v>
      </c>
      <c r="D866" s="12">
        <v>0</v>
      </c>
      <c r="E866" s="5" t="str">
        <v>Cos ϴ=</v>
      </c>
      <c r="F866" s="12">
        <v>6.1257422745431001E-17</v>
      </c>
      <c r="H866" s="1" t="s">
        <v>130</v>
      </c>
      <c r="I866" s="12">
        <f>-F865</f>
        <v>-1</v>
      </c>
      <c r="J866" s="12">
        <f>F866</f>
        <v>6.1257422745431001E-17</v>
      </c>
      <c r="K866" s="12">
        <v>0</v>
      </c>
    </row>
    <row r="867" spans="3:12" x14ac:dyDescent="0.3">
      <c r="C867" s="13" t="s">
        <v>57</v>
      </c>
      <c r="D867" s="12">
        <v>0</v>
      </c>
      <c r="I867" s="12">
        <v>0</v>
      </c>
      <c r="J867" s="12">
        <v>0</v>
      </c>
      <c r="K867" s="12">
        <v>1</v>
      </c>
    </row>
    <row r="868" spans="3:12" x14ac:dyDescent="0.3">
      <c r="C868" s="13" t="s">
        <v>114</v>
      </c>
      <c r="D868" s="12">
        <f t="array" ref="D868:D870">I769:I771</f>
        <v>0.64889936781576696</v>
      </c>
    </row>
    <row r="869" spans="3:12" x14ac:dyDescent="0.3">
      <c r="C869" s="13" t="s">
        <v>115</v>
      </c>
      <c r="D869" s="12">
        <v>-4.1251867799576318E-3</v>
      </c>
    </row>
    <row r="870" spans="3:12" x14ac:dyDescent="0.3">
      <c r="C870" s="13" t="s">
        <v>116</v>
      </c>
      <c r="D870" s="12">
        <v>-2.3310146526615933E-4</v>
      </c>
      <c r="F870" s="28" t="s">
        <v>63</v>
      </c>
      <c r="G870" s="28"/>
      <c r="H870" s="28"/>
      <c r="I870" s="28"/>
      <c r="J870" s="28"/>
      <c r="K870" s="28"/>
      <c r="L870" s="28"/>
    </row>
    <row r="871" spans="3:12" x14ac:dyDescent="0.3">
      <c r="C871" s="4"/>
      <c r="F871" s="5" t="str">
        <f t="array" ref="F871:L877">A164:G170</f>
        <v>k1</v>
      </c>
      <c r="G871" s="5" t="str">
        <v>3x</v>
      </c>
      <c r="H871" s="5" t="str">
        <v>3z</v>
      </c>
      <c r="I871" s="5" t="str">
        <v>ϴ 3</v>
      </c>
      <c r="J871" s="5" t="str">
        <v>cx</v>
      </c>
      <c r="K871" s="5" t="str">
        <v>cz</v>
      </c>
      <c r="L871" s="5" t="str">
        <v>ϴ c</v>
      </c>
    </row>
    <row r="872" spans="3:12" x14ac:dyDescent="0.3">
      <c r="C872" s="13" t="str">
        <f t="array" ref="C872:C877">C865:C870</f>
        <v>cx</v>
      </c>
      <c r="D872" s="12">
        <f t="array" ref="D872:D874">MMULT(I865:K867,D865:D867)</f>
        <v>0</v>
      </c>
      <c r="F872" s="5" t="str">
        <v>3x</v>
      </c>
      <c r="G872" s="8">
        <v>341905.92010540701</v>
      </c>
      <c r="H872" s="8">
        <v>0</v>
      </c>
      <c r="I872" s="8">
        <v>0</v>
      </c>
      <c r="J872" s="8">
        <v>-341905.92010540701</v>
      </c>
      <c r="K872" s="8">
        <v>0</v>
      </c>
      <c r="L872" s="8">
        <v>0</v>
      </c>
    </row>
    <row r="873" spans="3:12" x14ac:dyDescent="0.3">
      <c r="C873" s="13" t="str">
        <v>cz</v>
      </c>
      <c r="D873" s="12">
        <v>0</v>
      </c>
      <c r="F873" s="5" t="str">
        <v>3z</v>
      </c>
      <c r="G873" s="8">
        <v>0</v>
      </c>
      <c r="H873" s="8">
        <v>1335.5700004117459</v>
      </c>
      <c r="I873" s="8">
        <v>267114.00008234923</v>
      </c>
      <c r="J873" s="8">
        <v>0</v>
      </c>
      <c r="K873" s="8">
        <v>-1335.5700004117459</v>
      </c>
      <c r="L873" s="8">
        <v>267114.00008234923</v>
      </c>
    </row>
    <row r="874" spans="3:12" x14ac:dyDescent="0.3">
      <c r="C874" s="13" t="str">
        <v>ϴ c</v>
      </c>
      <c r="D874" s="12">
        <v>0</v>
      </c>
      <c r="F874" s="5" t="str">
        <v>ϴ 3</v>
      </c>
      <c r="G874" s="8">
        <v>0</v>
      </c>
      <c r="H874" s="8">
        <v>267114.00008234923</v>
      </c>
      <c r="I874" s="8">
        <v>71230400.021959797</v>
      </c>
      <c r="J874" s="8">
        <v>0</v>
      </c>
      <c r="K874" s="8">
        <v>-267114.00008234923</v>
      </c>
      <c r="L874" s="8">
        <v>35615200.010979898</v>
      </c>
    </row>
    <row r="875" spans="3:12" x14ac:dyDescent="0.3">
      <c r="C875" s="13" t="str">
        <v>U3x</v>
      </c>
      <c r="D875" s="12">
        <f t="array" ref="D875:D877">MMULT(I865:K867,D868:D870)</f>
        <v>-4.1251867799575919E-3</v>
      </c>
      <c r="F875" s="5" t="str">
        <v>cx</v>
      </c>
      <c r="G875" s="8">
        <v>-341905.92010540701</v>
      </c>
      <c r="H875" s="8">
        <v>0</v>
      </c>
      <c r="I875" s="8">
        <v>0</v>
      </c>
      <c r="J875" s="8">
        <v>341905.92010540701</v>
      </c>
      <c r="K875" s="8">
        <v>0</v>
      </c>
      <c r="L875" s="8">
        <v>0</v>
      </c>
    </row>
    <row r="876" spans="3:12" x14ac:dyDescent="0.3">
      <c r="C876" s="13" t="str">
        <v>U3z</v>
      </c>
      <c r="D876" s="12">
        <v>-0.64889936781576696</v>
      </c>
      <c r="F876" s="5" t="str">
        <v>cz</v>
      </c>
      <c r="G876" s="8">
        <v>0</v>
      </c>
      <c r="H876" s="8">
        <v>-1335.5700004117459</v>
      </c>
      <c r="I876" s="8">
        <v>-267114.00008234923</v>
      </c>
      <c r="J876" s="8">
        <v>0</v>
      </c>
      <c r="K876" s="8">
        <v>1335.5700004117459</v>
      </c>
      <c r="L876" s="8">
        <v>-267114.00008234923</v>
      </c>
    </row>
    <row r="877" spans="3:12" x14ac:dyDescent="0.3">
      <c r="C877" s="13" t="str">
        <v>Uϴ 3</v>
      </c>
      <c r="D877" s="12">
        <v>-2.3310146526615933E-4</v>
      </c>
      <c r="F877" s="5" t="str">
        <v>ϴ c</v>
      </c>
      <c r="G877" s="8">
        <v>0</v>
      </c>
      <c r="H877" s="8">
        <v>267114.00008234923</v>
      </c>
      <c r="I877" s="8">
        <v>35615200.010979898</v>
      </c>
      <c r="J877" s="8">
        <v>0</v>
      </c>
      <c r="K877" s="8">
        <v>-267114.00008234923</v>
      </c>
      <c r="L877" s="8">
        <v>71230400.021959797</v>
      </c>
    </row>
    <row r="878" spans="3:12" x14ac:dyDescent="0.3">
      <c r="C878" s="4"/>
    </row>
    <row r="879" spans="3:12" x14ac:dyDescent="0.3">
      <c r="C879" s="4"/>
    </row>
    <row r="880" spans="3:12" x14ac:dyDescent="0.3">
      <c r="C880" s="4"/>
    </row>
    <row r="881" spans="1:11" x14ac:dyDescent="0.3">
      <c r="C881" s="13" t="s">
        <v>149</v>
      </c>
      <c r="D881" s="12">
        <f t="array" ref="D881:D886">MMULT(G872:L877,D872:D877)</f>
        <v>1410.4257816080617</v>
      </c>
    </row>
    <row r="882" spans="1:11" x14ac:dyDescent="0.3">
      <c r="C882" s="13" t="s">
        <v>150</v>
      </c>
      <c r="D882" s="12">
        <v>804.38586412858501</v>
      </c>
    </row>
    <row r="883" spans="1:11" x14ac:dyDescent="0.3">
      <c r="C883" s="13" t="s">
        <v>151</v>
      </c>
      <c r="D883" s="12">
        <v>165028.15047987038</v>
      </c>
    </row>
    <row r="884" spans="1:11" x14ac:dyDescent="0.3">
      <c r="C884" s="13" t="s">
        <v>152</v>
      </c>
      <c r="D884" s="12">
        <v>-1410.4257816080617</v>
      </c>
    </row>
    <row r="885" spans="1:11" x14ac:dyDescent="0.3">
      <c r="C885" s="13" t="s">
        <v>153</v>
      </c>
      <c r="D885" s="12">
        <v>-804.38586412858501</v>
      </c>
    </row>
    <row r="886" spans="1:11" x14ac:dyDescent="0.3">
      <c r="C886" s="13" t="s">
        <v>154</v>
      </c>
      <c r="D886" s="12">
        <v>156726.19517156365</v>
      </c>
    </row>
    <row r="889" spans="1:11" x14ac:dyDescent="0.3">
      <c r="A889" s="27" t="s">
        <v>146</v>
      </c>
      <c r="B889" s="27"/>
      <c r="C889" s="27"/>
      <c r="D889" s="27"/>
      <c r="E889" s="27"/>
      <c r="F889" s="27"/>
      <c r="G889" s="27"/>
      <c r="H889" s="27"/>
      <c r="I889" s="27"/>
      <c r="J889" s="27"/>
      <c r="K889" s="27"/>
    </row>
    <row r="891" spans="1:11" x14ac:dyDescent="0.3">
      <c r="C891" s="28" t="s">
        <v>129</v>
      </c>
      <c r="D891" s="28"/>
    </row>
    <row r="892" spans="1:11" x14ac:dyDescent="0.3">
      <c r="C892" s="13" t="s">
        <v>18</v>
      </c>
      <c r="D892" s="12">
        <f t="array" ref="D892:D894">I763:I765</f>
        <v>0.65249259131748671</v>
      </c>
      <c r="E892" s="5" t="str">
        <f t="array" ref="E892:F893">A247:B248</f>
        <v>Sen ϴ=</v>
      </c>
      <c r="F892" s="12">
        <v>1</v>
      </c>
      <c r="I892" s="12">
        <f>F893</f>
        <v>6.1257422745431001E-17</v>
      </c>
      <c r="J892" s="12">
        <f>F892</f>
        <v>1</v>
      </c>
      <c r="K892" s="12">
        <v>0</v>
      </c>
    </row>
    <row r="893" spans="1:11" x14ac:dyDescent="0.3">
      <c r="C893" s="13" t="s">
        <v>19</v>
      </c>
      <c r="D893" s="12">
        <v>-8.4443309449754814E-3</v>
      </c>
      <c r="E893" s="5" t="str">
        <v>Cos ϴ=</v>
      </c>
      <c r="F893" s="12">
        <v>6.1257422745431001E-17</v>
      </c>
      <c r="H893" s="1" t="s">
        <v>130</v>
      </c>
      <c r="I893" s="12">
        <f>-F892</f>
        <v>-1</v>
      </c>
      <c r="J893" s="12">
        <f>F893</f>
        <v>6.1257422745431001E-17</v>
      </c>
      <c r="K893" s="12">
        <v>0</v>
      </c>
    </row>
    <row r="894" spans="1:11" x14ac:dyDescent="0.3">
      <c r="C894" s="13" t="s">
        <v>20</v>
      </c>
      <c r="D894" s="12">
        <v>-3.6421411766476848E-5</v>
      </c>
      <c r="I894" s="12">
        <v>0</v>
      </c>
      <c r="J894" s="12">
        <v>0</v>
      </c>
      <c r="K894" s="12">
        <v>1</v>
      </c>
    </row>
    <row r="895" spans="1:11" x14ac:dyDescent="0.3">
      <c r="C895" s="13" t="s">
        <v>117</v>
      </c>
      <c r="D895" s="12">
        <f t="array" ref="D895:D897">I772:I774</f>
        <v>0.7757820637113485</v>
      </c>
    </row>
    <row r="896" spans="1:11" x14ac:dyDescent="0.3">
      <c r="C896" s="13" t="s">
        <v>118</v>
      </c>
      <c r="D896" s="12">
        <v>-1.2504315428686916E-2</v>
      </c>
    </row>
    <row r="897" spans="3:12" x14ac:dyDescent="0.3">
      <c r="C897" s="13" t="s">
        <v>119</v>
      </c>
      <c r="D897" s="12">
        <v>1.8108425525972119E-4</v>
      </c>
      <c r="F897" s="28" t="s">
        <v>66</v>
      </c>
      <c r="G897" s="28"/>
      <c r="H897" s="28"/>
      <c r="I897" s="28"/>
      <c r="J897" s="28"/>
      <c r="K897" s="28"/>
      <c r="L897" s="28"/>
    </row>
    <row r="898" spans="3:12" x14ac:dyDescent="0.3">
      <c r="C898" s="4"/>
      <c r="F898" s="5" t="str">
        <f t="array" ref="F898:L904">A236:G242</f>
        <v>k1</v>
      </c>
      <c r="G898" s="5" t="str">
        <v>1x</v>
      </c>
      <c r="H898" s="5" t="str">
        <v>1z</v>
      </c>
      <c r="I898" s="5" t="str">
        <v>ϴ 1</v>
      </c>
      <c r="J898" s="5" t="str">
        <v>4x</v>
      </c>
      <c r="K898" s="5" t="str">
        <v>4z</v>
      </c>
      <c r="L898" s="5" t="str">
        <v>ϴ 4</v>
      </c>
    </row>
    <row r="899" spans="3:12" x14ac:dyDescent="0.3">
      <c r="C899" s="13" t="str">
        <f t="array" ref="C899:C904">C892:C897</f>
        <v>1x</v>
      </c>
      <c r="D899" s="12">
        <f t="array" ref="D899:D901">MMULT(I892:K894,D892:D894)</f>
        <v>-8.4443309449754415E-3</v>
      </c>
      <c r="F899" s="5" t="str">
        <v>1x</v>
      </c>
      <c r="G899" s="8">
        <v>455874.56014054269</v>
      </c>
      <c r="H899" s="8">
        <v>0</v>
      </c>
      <c r="I899" s="8">
        <v>0</v>
      </c>
      <c r="J899" s="8">
        <v>-455874.56014054269</v>
      </c>
      <c r="K899" s="8">
        <v>0</v>
      </c>
      <c r="L899" s="8">
        <v>0</v>
      </c>
    </row>
    <row r="900" spans="3:12" x14ac:dyDescent="0.3">
      <c r="C900" s="13" t="str">
        <v>1z</v>
      </c>
      <c r="D900" s="12">
        <v>-0.65249259131748671</v>
      </c>
      <c r="F900" s="5" t="str">
        <v>1z</v>
      </c>
      <c r="G900" s="8">
        <v>0</v>
      </c>
      <c r="H900" s="8">
        <v>3165.795556531546</v>
      </c>
      <c r="I900" s="8">
        <v>474869.33347973193</v>
      </c>
      <c r="J900" s="8">
        <v>0</v>
      </c>
      <c r="K900" s="8">
        <v>-3165.795556531546</v>
      </c>
      <c r="L900" s="8">
        <v>474869.33347973193</v>
      </c>
    </row>
    <row r="901" spans="3:12" x14ac:dyDescent="0.3">
      <c r="C901" s="13" t="str">
        <v>ϴ 1</v>
      </c>
      <c r="D901" s="12">
        <v>-3.6421411766476848E-5</v>
      </c>
      <c r="F901" s="5" t="str">
        <v>ϴ 1</v>
      </c>
      <c r="G901" s="8">
        <v>0</v>
      </c>
      <c r="H901" s="8">
        <v>474869.33347973193</v>
      </c>
      <c r="I901" s="8">
        <v>94973866.695946395</v>
      </c>
      <c r="J901" s="8">
        <v>0</v>
      </c>
      <c r="K901" s="8">
        <v>-474869.33347973193</v>
      </c>
      <c r="L901" s="8">
        <v>47486933.347973198</v>
      </c>
    </row>
    <row r="902" spans="3:12" x14ac:dyDescent="0.3">
      <c r="C902" s="13" t="str">
        <v>U4x</v>
      </c>
      <c r="D902" s="12">
        <f t="array" ref="D902:D904">MMULT(I892:K894,D895:D897)</f>
        <v>-1.2504315428686869E-2</v>
      </c>
      <c r="F902" s="5" t="str">
        <v>4x</v>
      </c>
      <c r="G902" s="8">
        <v>-455874.56014054269</v>
      </c>
      <c r="H902" s="8">
        <v>0</v>
      </c>
      <c r="I902" s="8">
        <v>0</v>
      </c>
      <c r="J902" s="8">
        <v>455874.56014054269</v>
      </c>
      <c r="K902" s="8">
        <v>0</v>
      </c>
      <c r="L902" s="8">
        <v>0</v>
      </c>
    </row>
    <row r="903" spans="3:12" x14ac:dyDescent="0.3">
      <c r="C903" s="13" t="str">
        <v>U4z</v>
      </c>
      <c r="D903" s="12">
        <v>-0.7757820637113485</v>
      </c>
      <c r="F903" s="5" t="str">
        <v>4z</v>
      </c>
      <c r="G903" s="8">
        <v>0</v>
      </c>
      <c r="H903" s="8">
        <v>-3165.795556531546</v>
      </c>
      <c r="I903" s="8">
        <v>-474869.33347973193</v>
      </c>
      <c r="J903" s="8">
        <v>0</v>
      </c>
      <c r="K903" s="8">
        <v>3165.795556531546</v>
      </c>
      <c r="L903" s="8">
        <v>-474869.33347973193</v>
      </c>
    </row>
    <row r="904" spans="3:12" x14ac:dyDescent="0.3">
      <c r="C904" s="13" t="str">
        <v>Uϴ 4</v>
      </c>
      <c r="D904" s="12">
        <v>1.8108425525972119E-4</v>
      </c>
      <c r="F904" s="5" t="str">
        <v>ϴ 4</v>
      </c>
      <c r="G904" s="8">
        <v>0</v>
      </c>
      <c r="H904" s="8">
        <v>474869.33347973193</v>
      </c>
      <c r="I904" s="8">
        <v>47486933.347973198</v>
      </c>
      <c r="J904" s="8">
        <v>0</v>
      </c>
      <c r="K904" s="8">
        <v>-474869.33347973193</v>
      </c>
      <c r="L904" s="8">
        <v>94973866.695946395</v>
      </c>
    </row>
    <row r="905" spans="3:12" x14ac:dyDescent="0.3">
      <c r="C905" s="4"/>
    </row>
    <row r="906" spans="3:12" x14ac:dyDescent="0.3">
      <c r="C906" s="4"/>
    </row>
    <row r="907" spans="3:12" x14ac:dyDescent="0.3">
      <c r="C907" s="4"/>
    </row>
    <row r="908" spans="3:12" x14ac:dyDescent="0.3">
      <c r="C908" s="13" t="s">
        <v>134</v>
      </c>
      <c r="D908" s="12">
        <f t="array" ref="D908:D913">MMULT(G899:L904,D899:D904)</f>
        <v>1850.8436406893757</v>
      </c>
    </row>
    <row r="909" spans="3:12" x14ac:dyDescent="0.3">
      <c r="C909" s="13" t="s">
        <v>135</v>
      </c>
      <c r="D909" s="12">
        <v>459.00521194052601</v>
      </c>
    </row>
    <row r="910" spans="3:12" x14ac:dyDescent="0.3">
      <c r="C910" s="13" t="s">
        <v>136</v>
      </c>
      <c r="D910" s="12">
        <v>63686.443234639148</v>
      </c>
    </row>
    <row r="911" spans="3:12" x14ac:dyDescent="0.3">
      <c r="C911" s="13" t="s">
        <v>155</v>
      </c>
      <c r="D911" s="12">
        <v>-1850.8436406893757</v>
      </c>
    </row>
    <row r="912" spans="3:12" x14ac:dyDescent="0.3">
      <c r="C912" s="13" t="s">
        <v>156</v>
      </c>
      <c r="D912" s="12">
        <v>-459.00521194052601</v>
      </c>
    </row>
    <row r="913" spans="1:12" x14ac:dyDescent="0.3">
      <c r="C913" s="13" t="s">
        <v>157</v>
      </c>
      <c r="D913" s="12">
        <v>74015.120347518634</v>
      </c>
    </row>
    <row r="916" spans="1:12" x14ac:dyDescent="0.3">
      <c r="A916" s="27" t="s">
        <v>147</v>
      </c>
      <c r="B916" s="27"/>
      <c r="C916" s="27"/>
      <c r="D916" s="27"/>
      <c r="E916" s="27"/>
      <c r="F916" s="27"/>
      <c r="G916" s="27"/>
      <c r="H916" s="27"/>
      <c r="I916" s="27"/>
      <c r="J916" s="27"/>
      <c r="K916" s="27"/>
    </row>
    <row r="918" spans="1:12" x14ac:dyDescent="0.3">
      <c r="C918" s="28" t="s">
        <v>129</v>
      </c>
      <c r="D918" s="28"/>
    </row>
    <row r="919" spans="1:12" x14ac:dyDescent="0.3">
      <c r="C919" s="13" t="s">
        <v>37</v>
      </c>
      <c r="D919" s="12">
        <f t="array" ref="D919:D921">I766:I768</f>
        <v>0.6500856038555558</v>
      </c>
      <c r="E919" s="5" t="str">
        <f t="array" ref="E919:F920">A319:B320</f>
        <v>Sen ϴ=</v>
      </c>
      <c r="F919" s="12">
        <v>1</v>
      </c>
      <c r="I919" s="12">
        <f>F920</f>
        <v>6.1257422745431001E-17</v>
      </c>
      <c r="J919" s="12">
        <f>F919</f>
        <v>1</v>
      </c>
      <c r="K919" s="12">
        <v>0</v>
      </c>
    </row>
    <row r="920" spans="1:12" x14ac:dyDescent="0.3">
      <c r="C920" s="13" t="s">
        <v>38</v>
      </c>
      <c r="D920" s="12">
        <v>-5.0131093395207708E-3</v>
      </c>
      <c r="E920" s="5" t="str">
        <v>Cos ϴ=</v>
      </c>
      <c r="F920" s="12">
        <v>6.1257422745431001E-17</v>
      </c>
      <c r="H920" s="1" t="s">
        <v>130</v>
      </c>
      <c r="I920" s="12">
        <f>-F919</f>
        <v>-1</v>
      </c>
      <c r="J920" s="12">
        <f>F920</f>
        <v>6.1257422745431001E-17</v>
      </c>
      <c r="K920" s="12">
        <v>0</v>
      </c>
    </row>
    <row r="921" spans="1:12" x14ac:dyDescent="0.3">
      <c r="C921" s="13" t="s">
        <v>39</v>
      </c>
      <c r="D921" s="12">
        <v>-1.2856516616853705E-4</v>
      </c>
      <c r="I921" s="12">
        <v>0</v>
      </c>
      <c r="J921" s="12">
        <v>0</v>
      </c>
      <c r="K921" s="12">
        <v>1</v>
      </c>
    </row>
    <row r="922" spans="1:12" x14ac:dyDescent="0.3">
      <c r="C922" s="13" t="s">
        <v>120</v>
      </c>
      <c r="D922" s="12">
        <f t="array" ref="D922:D924">I775:I777</f>
        <v>0.77459534518094242</v>
      </c>
    </row>
    <row r="923" spans="1:12" x14ac:dyDescent="0.3">
      <c r="C923" s="13" t="s">
        <v>121</v>
      </c>
      <c r="D923" s="12">
        <v>-6.9294354580237121E-3</v>
      </c>
    </row>
    <row r="924" spans="1:12" x14ac:dyDescent="0.3">
      <c r="C924" s="13" t="s">
        <v>122</v>
      </c>
      <c r="D924" s="12">
        <v>-1.1737328638322957E-4</v>
      </c>
      <c r="F924" s="28" t="s">
        <v>70</v>
      </c>
      <c r="G924" s="28"/>
      <c r="H924" s="28"/>
      <c r="I924" s="28"/>
      <c r="J924" s="28"/>
      <c r="K924" s="28"/>
      <c r="L924" s="28"/>
    </row>
    <row r="925" spans="1:12" x14ac:dyDescent="0.3">
      <c r="C925" s="4"/>
      <c r="F925" s="5" t="str">
        <f t="array" ref="F925:L931">A308:G314</f>
        <v>k5</v>
      </c>
      <c r="G925" s="5" t="str">
        <v>2x</v>
      </c>
      <c r="H925" s="5" t="str">
        <v>2z</v>
      </c>
      <c r="I925" s="5" t="str">
        <v>ϴ 2</v>
      </c>
      <c r="J925" s="5" t="str">
        <v>5x</v>
      </c>
      <c r="K925" s="5" t="str">
        <v>5z</v>
      </c>
      <c r="L925" s="5" t="str">
        <v>ϴ 5</v>
      </c>
    </row>
    <row r="926" spans="1:12" x14ac:dyDescent="0.3">
      <c r="C926" s="13" t="str">
        <f t="array" ref="C926:C931">C919:C924</f>
        <v>2x</v>
      </c>
      <c r="D926" s="12">
        <f t="array" ref="D926:D928">MMULT(I919:K921,D919:D921)</f>
        <v>-5.0131093395207309E-3</v>
      </c>
      <c r="F926" s="5" t="str">
        <v>2x</v>
      </c>
      <c r="G926" s="8">
        <v>455874.56014054269</v>
      </c>
      <c r="H926" s="8">
        <v>0</v>
      </c>
      <c r="I926" s="8">
        <v>0</v>
      </c>
      <c r="J926" s="8">
        <v>-455874.56014054269</v>
      </c>
      <c r="K926" s="8">
        <v>0</v>
      </c>
      <c r="L926" s="8">
        <v>0</v>
      </c>
    </row>
    <row r="927" spans="1:12" x14ac:dyDescent="0.3">
      <c r="C927" s="13" t="str">
        <v>2z</v>
      </c>
      <c r="D927" s="12">
        <v>-0.6500856038555558</v>
      </c>
      <c r="F927" s="5" t="str">
        <v>2z</v>
      </c>
      <c r="G927" s="8">
        <v>0</v>
      </c>
      <c r="H927" s="8">
        <v>3165.795556531546</v>
      </c>
      <c r="I927" s="8">
        <v>474869.33347973193</v>
      </c>
      <c r="J927" s="8">
        <v>0</v>
      </c>
      <c r="K927" s="8">
        <v>-3165.795556531546</v>
      </c>
      <c r="L927" s="8">
        <v>474869.33347973193</v>
      </c>
    </row>
    <row r="928" spans="1:12" x14ac:dyDescent="0.3">
      <c r="C928" s="13" t="str">
        <v>ϴ 2</v>
      </c>
      <c r="D928" s="12">
        <v>-1.2856516616853705E-4</v>
      </c>
      <c r="F928" s="5" t="str">
        <v>ϴ 2</v>
      </c>
      <c r="G928" s="8">
        <v>0</v>
      </c>
      <c r="H928" s="8">
        <v>474869.33347973193</v>
      </c>
      <c r="I928" s="8">
        <v>94973866.695946395</v>
      </c>
      <c r="J928" s="8">
        <v>0</v>
      </c>
      <c r="K928" s="8">
        <v>-474869.33347973193</v>
      </c>
      <c r="L928" s="8">
        <v>47486933.347973198</v>
      </c>
    </row>
    <row r="929" spans="1:12" x14ac:dyDescent="0.3">
      <c r="C929" s="13" t="str">
        <v>U5x</v>
      </c>
      <c r="D929" s="12">
        <f t="array" ref="D929:D931">MMULT(I919:K921,D922:D924)</f>
        <v>-6.9294354580236644E-3</v>
      </c>
      <c r="F929" s="5" t="str">
        <v>5x</v>
      </c>
      <c r="G929" s="8">
        <v>-455874.56014054269</v>
      </c>
      <c r="H929" s="8">
        <v>0</v>
      </c>
      <c r="I929" s="8">
        <v>0</v>
      </c>
      <c r="J929" s="8">
        <v>455874.56014054269</v>
      </c>
      <c r="K929" s="8">
        <v>0</v>
      </c>
      <c r="L929" s="8">
        <v>0</v>
      </c>
    </row>
    <row r="930" spans="1:12" x14ac:dyDescent="0.3">
      <c r="C930" s="13" t="str">
        <v>U5z</v>
      </c>
      <c r="D930" s="12">
        <v>-0.77459534518094242</v>
      </c>
      <c r="F930" s="5" t="str">
        <v>5z</v>
      </c>
      <c r="G930" s="8">
        <v>0</v>
      </c>
      <c r="H930" s="8">
        <v>-3165.795556531546</v>
      </c>
      <c r="I930" s="8">
        <v>-474869.33347973193</v>
      </c>
      <c r="J930" s="8">
        <v>0</v>
      </c>
      <c r="K930" s="8">
        <v>3165.795556531546</v>
      </c>
      <c r="L930" s="8">
        <v>-474869.33347973193</v>
      </c>
    </row>
    <row r="931" spans="1:12" x14ac:dyDescent="0.3">
      <c r="C931" s="13" t="str">
        <v>Uϴ 5</v>
      </c>
      <c r="D931" s="12">
        <v>-1.1737328638322957E-4</v>
      </c>
      <c r="F931" s="5" t="str">
        <v>ϴ 5</v>
      </c>
      <c r="G931" s="8">
        <v>0</v>
      </c>
      <c r="H931" s="8">
        <v>474869.33347973193</v>
      </c>
      <c r="I931" s="8">
        <v>47486933.347973198</v>
      </c>
      <c r="J931" s="8">
        <v>0</v>
      </c>
      <c r="K931" s="8">
        <v>-474869.33347973193</v>
      </c>
      <c r="L931" s="8">
        <v>94973866.695946395</v>
      </c>
    </row>
    <row r="932" spans="1:12" x14ac:dyDescent="0.3">
      <c r="C932" s="4"/>
    </row>
    <row r="933" spans="1:12" x14ac:dyDescent="0.3">
      <c r="C933" s="4"/>
    </row>
    <row r="934" spans="1:12" x14ac:dyDescent="0.3">
      <c r="C934" s="4"/>
    </row>
    <row r="935" spans="1:12" x14ac:dyDescent="0.3">
      <c r="C935" s="13" t="s">
        <v>142</v>
      </c>
      <c r="D935" s="12">
        <f t="array" ref="D935:D940">MMULT(G926:L931,D926:D931)</f>
        <v>873.60432635835832</v>
      </c>
    </row>
    <row r="936" spans="1:12" x14ac:dyDescent="0.3">
      <c r="C936" s="13" t="s">
        <v>143</v>
      </c>
      <c r="D936" s="12">
        <v>277.38375679250692</v>
      </c>
    </row>
    <row r="937" spans="1:12" x14ac:dyDescent="0.3">
      <c r="C937" s="13" t="s">
        <v>144</v>
      </c>
      <c r="D937" s="12">
        <v>41341.829494174366</v>
      </c>
    </row>
    <row r="938" spans="1:12" x14ac:dyDescent="0.3">
      <c r="C938" s="13" t="s">
        <v>158</v>
      </c>
      <c r="D938" s="12">
        <v>-873.60432635835832</v>
      </c>
    </row>
    <row r="939" spans="1:12" x14ac:dyDescent="0.3">
      <c r="C939" s="13" t="s">
        <v>159</v>
      </c>
      <c r="D939" s="12">
        <v>-277.38375679250692</v>
      </c>
    </row>
    <row r="940" spans="1:12" x14ac:dyDescent="0.3">
      <c r="C940" s="13" t="s">
        <v>160</v>
      </c>
      <c r="D940" s="12">
        <v>41873.297543577784</v>
      </c>
    </row>
    <row r="943" spans="1:12" x14ac:dyDescent="0.3">
      <c r="A943" s="27" t="s">
        <v>148</v>
      </c>
      <c r="B943" s="27"/>
      <c r="C943" s="27"/>
      <c r="D943" s="27"/>
      <c r="E943" s="27"/>
      <c r="F943" s="27"/>
      <c r="G943" s="27"/>
      <c r="H943" s="27"/>
      <c r="I943" s="27"/>
      <c r="J943" s="27"/>
      <c r="K943" s="27"/>
    </row>
    <row r="945" spans="3:12" x14ac:dyDescent="0.3">
      <c r="C945" s="28" t="s">
        <v>129</v>
      </c>
      <c r="D945" s="28"/>
    </row>
    <row r="946" spans="3:12" x14ac:dyDescent="0.3">
      <c r="C946" s="13" t="s">
        <v>40</v>
      </c>
      <c r="D946" s="12">
        <f t="array" ref="D946:D948">I769:I771</f>
        <v>0.64889936781576696</v>
      </c>
      <c r="E946" s="5" t="str">
        <f t="array" ref="E946:F947">A391:B392</f>
        <v>Sen ϴ=</v>
      </c>
      <c r="F946" s="12">
        <v>1</v>
      </c>
      <c r="I946" s="12">
        <f>F947</f>
        <v>6.1257422745431001E-17</v>
      </c>
      <c r="J946" s="12">
        <f>F946</f>
        <v>1</v>
      </c>
      <c r="K946" s="12">
        <v>0</v>
      </c>
    </row>
    <row r="947" spans="3:12" x14ac:dyDescent="0.3">
      <c r="C947" s="13" t="s">
        <v>41</v>
      </c>
      <c r="D947" s="12">
        <v>-4.1251867799576318E-3</v>
      </c>
      <c r="E947" s="5" t="str">
        <v>Cos ϴ=</v>
      </c>
      <c r="F947" s="12">
        <v>6.1257422745431001E-17</v>
      </c>
      <c r="H947" s="1" t="s">
        <v>130</v>
      </c>
      <c r="I947" s="12">
        <f>-F946</f>
        <v>-1</v>
      </c>
      <c r="J947" s="12">
        <f>F947</f>
        <v>6.1257422745431001E-17</v>
      </c>
      <c r="K947" s="12">
        <v>0</v>
      </c>
    </row>
    <row r="948" spans="3:12" x14ac:dyDescent="0.3">
      <c r="C948" s="13" t="s">
        <v>42</v>
      </c>
      <c r="D948" s="12">
        <v>-2.3310146526615933E-4</v>
      </c>
      <c r="I948" s="12">
        <v>0</v>
      </c>
      <c r="J948" s="12">
        <v>0</v>
      </c>
      <c r="K948" s="12">
        <v>1</v>
      </c>
    </row>
    <row r="949" spans="3:12" x14ac:dyDescent="0.3">
      <c r="C949" s="13" t="s">
        <v>123</v>
      </c>
      <c r="D949" s="12">
        <f t="array" ref="D949:D951">I778:I780</f>
        <v>0.77401709174388789</v>
      </c>
    </row>
    <row r="950" spans="3:12" x14ac:dyDescent="0.3">
      <c r="C950" s="13" t="s">
        <v>124</v>
      </c>
      <c r="D950" s="12">
        <v>-6.3956942466508711E-3</v>
      </c>
    </row>
    <row r="951" spans="3:12" x14ac:dyDescent="0.3">
      <c r="C951" s="13" t="s">
        <v>125</v>
      </c>
      <c r="D951" s="12">
        <v>-4.5893394682231934E-5</v>
      </c>
      <c r="F951" s="28" t="s">
        <v>74</v>
      </c>
      <c r="G951" s="28"/>
      <c r="H951" s="28"/>
      <c r="I951" s="28"/>
      <c r="J951" s="28"/>
      <c r="K951" s="28"/>
      <c r="L951" s="28"/>
    </row>
    <row r="952" spans="3:12" x14ac:dyDescent="0.3">
      <c r="C952" s="4"/>
      <c r="F952" s="5" t="str">
        <f t="array" ref="F952:L958">A380:G386</f>
        <v>k6</v>
      </c>
      <c r="G952" s="5" t="str">
        <v>3x</v>
      </c>
      <c r="H952" s="5" t="str">
        <v>3z</v>
      </c>
      <c r="I952" s="5" t="str">
        <v>ϴ 3</v>
      </c>
      <c r="J952" s="5" t="str">
        <v>6x</v>
      </c>
      <c r="K952" s="5" t="str">
        <v>6z</v>
      </c>
      <c r="L952" s="5" t="str">
        <v>ϴ 6</v>
      </c>
    </row>
    <row r="953" spans="3:12" x14ac:dyDescent="0.3">
      <c r="C953" s="13" t="str">
        <f t="array" ref="C953:C958">C946:C951</f>
        <v>3x</v>
      </c>
      <c r="D953" s="12">
        <f t="array" ref="D953:D955">MMULT(I946:K948,D946:D948)</f>
        <v>-4.1251867799575919E-3</v>
      </c>
      <c r="F953" s="5" t="str">
        <v>3x</v>
      </c>
      <c r="G953" s="8">
        <v>455874.56014054269</v>
      </c>
      <c r="H953" s="8">
        <v>0</v>
      </c>
      <c r="I953" s="8">
        <v>0</v>
      </c>
      <c r="J953" s="8">
        <v>-455874.56014054269</v>
      </c>
      <c r="K953" s="8">
        <v>0</v>
      </c>
      <c r="L953" s="8">
        <v>0</v>
      </c>
    </row>
    <row r="954" spans="3:12" x14ac:dyDescent="0.3">
      <c r="C954" s="13" t="str">
        <v>3z</v>
      </c>
      <c r="D954" s="12">
        <v>-0.64889936781576696</v>
      </c>
      <c r="F954" s="5" t="str">
        <v>3z</v>
      </c>
      <c r="G954" s="8">
        <v>0</v>
      </c>
      <c r="H954" s="8">
        <v>3165.795556531546</v>
      </c>
      <c r="I954" s="8">
        <v>474869.33347973193</v>
      </c>
      <c r="J954" s="8">
        <v>0</v>
      </c>
      <c r="K954" s="8">
        <v>-3165.795556531546</v>
      </c>
      <c r="L954" s="8">
        <v>474869.33347973193</v>
      </c>
    </row>
    <row r="955" spans="3:12" x14ac:dyDescent="0.3">
      <c r="C955" s="13" t="str">
        <v>ϴ 3</v>
      </c>
      <c r="D955" s="12">
        <v>-2.3310146526615933E-4</v>
      </c>
      <c r="F955" s="5" t="str">
        <v>ϴ 3</v>
      </c>
      <c r="G955" s="8">
        <v>0</v>
      </c>
      <c r="H955" s="8">
        <v>474869.33347973193</v>
      </c>
      <c r="I955" s="8">
        <v>94973866.695946395</v>
      </c>
      <c r="J955" s="8">
        <v>0</v>
      </c>
      <c r="K955" s="8">
        <v>-474869.33347973193</v>
      </c>
      <c r="L955" s="8">
        <v>47486933.347973198</v>
      </c>
    </row>
    <row r="956" spans="3:12" x14ac:dyDescent="0.3">
      <c r="C956" s="13" t="str">
        <v>U6x</v>
      </c>
      <c r="D956" s="12">
        <f t="array" ref="D956:D958">MMULT(I946:K948,D949:D951)</f>
        <v>-6.3956942466508234E-3</v>
      </c>
      <c r="F956" s="5" t="str">
        <v>6x</v>
      </c>
      <c r="G956" s="8">
        <v>-455874.56014054269</v>
      </c>
      <c r="H956" s="8">
        <v>0</v>
      </c>
      <c r="I956" s="8">
        <v>0</v>
      </c>
      <c r="J956" s="8">
        <v>455874.56014054269</v>
      </c>
      <c r="K956" s="8">
        <v>0</v>
      </c>
      <c r="L956" s="8">
        <v>0</v>
      </c>
    </row>
    <row r="957" spans="3:12" x14ac:dyDescent="0.3">
      <c r="C957" s="13" t="str">
        <v>U6z</v>
      </c>
      <c r="D957" s="12">
        <v>-0.77401709174388789</v>
      </c>
      <c r="F957" s="5" t="str">
        <v>6z</v>
      </c>
      <c r="G957" s="8">
        <v>0</v>
      </c>
      <c r="H957" s="8">
        <v>-3165.795556531546</v>
      </c>
      <c r="I957" s="8">
        <v>-474869.33347973193</v>
      </c>
      <c r="J957" s="8">
        <v>0</v>
      </c>
      <c r="K957" s="8">
        <v>3165.795556531546</v>
      </c>
      <c r="L957" s="8">
        <v>-474869.33347973193</v>
      </c>
    </row>
    <row r="958" spans="3:12" x14ac:dyDescent="0.3">
      <c r="C958" s="13" t="str">
        <v>Uϴ 6</v>
      </c>
      <c r="D958" s="12">
        <v>-4.5893394682231934E-5</v>
      </c>
      <c r="F958" s="5" t="str">
        <v>ϴ 6</v>
      </c>
      <c r="G958" s="8">
        <v>0</v>
      </c>
      <c r="H958" s="8">
        <v>474869.33347973193</v>
      </c>
      <c r="I958" s="8">
        <v>47486933.347973198</v>
      </c>
      <c r="J958" s="8">
        <v>0</v>
      </c>
      <c r="K958" s="8">
        <v>-474869.33347973193</v>
      </c>
      <c r="L958" s="8">
        <v>94973866.695946395</v>
      </c>
    </row>
    <row r="959" spans="3:12" x14ac:dyDescent="0.3">
      <c r="C959" s="4"/>
    </row>
    <row r="960" spans="3:12" x14ac:dyDescent="0.3">
      <c r="C960" s="4"/>
    </row>
    <row r="961" spans="3:4" x14ac:dyDescent="0.3">
      <c r="C961" s="4"/>
    </row>
    <row r="962" spans="3:4" x14ac:dyDescent="0.3">
      <c r="C962" s="13" t="s">
        <v>152</v>
      </c>
      <c r="D962" s="12">
        <f t="array" ref="D962:D967">MMULT(G953:L958,D953:D958)</f>
        <v>1035.0665926745949</v>
      </c>
    </row>
    <row r="963" spans="3:4" x14ac:dyDescent="0.3">
      <c r="C963" s="13" t="s">
        <v>153</v>
      </c>
      <c r="D963" s="12">
        <v>263.61103126702221</v>
      </c>
    </row>
    <row r="964" spans="3:4" x14ac:dyDescent="0.3">
      <c r="C964" s="13" t="s">
        <v>154</v>
      </c>
      <c r="D964" s="12">
        <v>35096.686105042536</v>
      </c>
    </row>
    <row r="965" spans="3:4" x14ac:dyDescent="0.3">
      <c r="C965" s="13" t="s">
        <v>161</v>
      </c>
      <c r="D965" s="12">
        <v>-1035.0665926745949</v>
      </c>
    </row>
    <row r="966" spans="3:4" x14ac:dyDescent="0.3">
      <c r="C966" s="13" t="s">
        <v>162</v>
      </c>
      <c r="D966" s="12">
        <v>-263.61103126702221</v>
      </c>
    </row>
    <row r="967" spans="3:4" x14ac:dyDescent="0.3">
      <c r="C967" s="13" t="s">
        <v>163</v>
      </c>
      <c r="D967" s="12">
        <v>43986.623275064187</v>
      </c>
    </row>
  </sheetData>
  <mergeCells count="91">
    <mergeCell ref="F951:L951"/>
    <mergeCell ref="A1:J1"/>
    <mergeCell ref="C945:D945"/>
    <mergeCell ref="F816:L816"/>
    <mergeCell ref="F843:L843"/>
    <mergeCell ref="F870:L870"/>
    <mergeCell ref="F897:L897"/>
    <mergeCell ref="F924:L924"/>
    <mergeCell ref="C810:D810"/>
    <mergeCell ref="C837:D837"/>
    <mergeCell ref="C864:D864"/>
    <mergeCell ref="C891:D891"/>
    <mergeCell ref="C918:D918"/>
    <mergeCell ref="A835:K835"/>
    <mergeCell ref="A862:K862"/>
    <mergeCell ref="A889:K889"/>
    <mergeCell ref="A916:K916"/>
    <mergeCell ref="A943:K943"/>
    <mergeCell ref="A808:K808"/>
    <mergeCell ref="A806:L806"/>
    <mergeCell ref="A667:G667"/>
    <mergeCell ref="H669:I674"/>
    <mergeCell ref="A676:J676"/>
    <mergeCell ref="A726:AB726"/>
    <mergeCell ref="A758:K758"/>
    <mergeCell ref="A581:J581"/>
    <mergeCell ref="A595:G595"/>
    <mergeCell ref="H597:I602"/>
    <mergeCell ref="A604:J604"/>
    <mergeCell ref="A653:J653"/>
    <mergeCell ref="A509:J509"/>
    <mergeCell ref="A523:G523"/>
    <mergeCell ref="A532:J532"/>
    <mergeCell ref="H525:I530"/>
    <mergeCell ref="A437:J437"/>
    <mergeCell ref="A451:G451"/>
    <mergeCell ref="H453:I458"/>
    <mergeCell ref="A460:J460"/>
    <mergeCell ref="C461:D461"/>
    <mergeCell ref="E461:F461"/>
    <mergeCell ref="G461:H461"/>
    <mergeCell ref="I461:J461"/>
    <mergeCell ref="A365:J365"/>
    <mergeCell ref="A379:G379"/>
    <mergeCell ref="H381:I386"/>
    <mergeCell ref="A388:J388"/>
    <mergeCell ref="C389:D389"/>
    <mergeCell ref="E389:F389"/>
    <mergeCell ref="G389:H389"/>
    <mergeCell ref="I389:J389"/>
    <mergeCell ref="A293:J293"/>
    <mergeCell ref="A307:G307"/>
    <mergeCell ref="H309:I314"/>
    <mergeCell ref="A316:J316"/>
    <mergeCell ref="C317:D317"/>
    <mergeCell ref="E317:F317"/>
    <mergeCell ref="G317:H317"/>
    <mergeCell ref="I317:J317"/>
    <mergeCell ref="A244:J244"/>
    <mergeCell ref="C245:D245"/>
    <mergeCell ref="E245:F245"/>
    <mergeCell ref="G245:H245"/>
    <mergeCell ref="I245:J245"/>
    <mergeCell ref="G101:H101"/>
    <mergeCell ref="I101:J101"/>
    <mergeCell ref="A221:J221"/>
    <mergeCell ref="A235:G235"/>
    <mergeCell ref="H237:I242"/>
    <mergeCell ref="A163:G163"/>
    <mergeCell ref="H165:I170"/>
    <mergeCell ref="A172:J172"/>
    <mergeCell ref="C173:D173"/>
    <mergeCell ref="E173:F173"/>
    <mergeCell ref="G173:H173"/>
    <mergeCell ref="I173:J173"/>
    <mergeCell ref="A5:J5"/>
    <mergeCell ref="A3:J3"/>
    <mergeCell ref="A19:G19"/>
    <mergeCell ref="H21:I26"/>
    <mergeCell ref="A149:J149"/>
    <mergeCell ref="A28:J28"/>
    <mergeCell ref="C29:D29"/>
    <mergeCell ref="E29:F29"/>
    <mergeCell ref="G29:H29"/>
    <mergeCell ref="I29:J29"/>
    <mergeCell ref="A77:J77"/>
    <mergeCell ref="A91:G91"/>
    <mergeCell ref="H93:I98"/>
    <mergeCell ref="A100:J100"/>
    <mergeCell ref="C101:D101"/>
    <mergeCell ref="E101:F101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Carreto</dc:creator>
  <cp:lastModifiedBy>Ivan Rivera</cp:lastModifiedBy>
  <dcterms:created xsi:type="dcterms:W3CDTF">2026-04-11T20:35:56Z</dcterms:created>
  <dcterms:modified xsi:type="dcterms:W3CDTF">2026-04-14T05:54:23Z</dcterms:modified>
</cp:coreProperties>
</file>