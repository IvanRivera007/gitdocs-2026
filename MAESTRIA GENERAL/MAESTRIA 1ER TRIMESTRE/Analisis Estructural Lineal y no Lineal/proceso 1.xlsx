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docs-2026\PRIMER TRIMESTRE\Analisis Estructural Lineal y no Lineal\"/>
    </mc:Choice>
  </mc:AlternateContent>
  <xr:revisionPtr revIDLastSave="0" documentId="13_ncr:1_{722BAA9C-756E-48D5-9499-7D6F8116B60D}" xr6:coauthVersionLast="47" xr6:coauthVersionMax="47" xr10:uidLastSave="{00000000-0000-0000-0000-000000000000}"/>
  <bookViews>
    <workbookView xWindow="-108" yWindow="-108" windowWidth="23256" windowHeight="12576" xr2:uid="{9BD81D49-FEC3-4EA4-A172-EA9016A49F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 a="1"/>
  <c r="D21" i="1" s="1"/>
  <c r="B45" i="1"/>
  <c r="C45" i="1"/>
  <c r="C44" i="1"/>
  <c r="B44" i="1"/>
  <c r="J37" i="1"/>
  <c r="K37" i="1"/>
  <c r="K36" i="1"/>
  <c r="J36" i="1"/>
  <c r="B37" i="1"/>
  <c r="C37" i="1"/>
  <c r="C36" i="1"/>
  <c r="B36" i="1"/>
  <c r="D31" i="1"/>
  <c r="C29" i="1"/>
  <c r="E29" i="1" s="1"/>
  <c r="C31" i="1" s="1"/>
  <c r="B29" i="1"/>
  <c r="E28" i="1"/>
  <c r="B31" i="1" s="1"/>
  <c r="C28" i="1"/>
  <c r="E30" i="1" s="1"/>
  <c r="A28" i="1" a="1"/>
  <c r="A28" i="1" s="1"/>
  <c r="A21" i="1" a="1"/>
  <c r="A21" i="1" s="1"/>
  <c r="B12" i="1"/>
  <c r="E10" i="1" s="1"/>
  <c r="C22" i="1" s="1"/>
  <c r="E22" i="1" l="1"/>
  <c r="D22" i="1"/>
  <c r="E21" i="1"/>
  <c r="C24" i="1"/>
  <c r="E24" i="1"/>
  <c r="F14" i="1"/>
  <c r="E31" i="1"/>
  <c r="D29" i="1"/>
  <c r="C30" i="1"/>
  <c r="E9" i="1"/>
  <c r="B28" i="1" l="1"/>
  <c r="B22" i="1"/>
  <c r="D24" i="1" s="1"/>
  <c r="C21" i="1"/>
  <c r="B21" i="1"/>
  <c r="D28" i="1" l="1"/>
  <c r="B30" i="1" s="1"/>
  <c r="D30" i="1"/>
  <c r="B23" i="1"/>
  <c r="D23" i="1"/>
  <c r="E23" i="1"/>
  <c r="B24" i="1" l="1"/>
  <c r="C23" i="1"/>
</calcChain>
</file>

<file path=xl/sharedStrings.xml><?xml version="1.0" encoding="utf-8"?>
<sst xmlns="http://schemas.openxmlformats.org/spreadsheetml/2006/main" count="26" uniqueCount="20">
  <si>
    <t xml:space="preserve">EJEMPLO DE ANALISIS MATRICIAL DE ARMADURAS </t>
  </si>
  <si>
    <t>XN:</t>
  </si>
  <si>
    <t>XF:</t>
  </si>
  <si>
    <t>YN:</t>
  </si>
  <si>
    <t>YF</t>
  </si>
  <si>
    <t>L:</t>
  </si>
  <si>
    <t>COORDENADAS</t>
  </si>
  <si>
    <t>A</t>
  </si>
  <si>
    <t>pulg2</t>
  </si>
  <si>
    <t>E</t>
  </si>
  <si>
    <t>Klb/plg2</t>
  </si>
  <si>
    <t>AE/L:</t>
  </si>
  <si>
    <t>ΛX</t>
  </si>
  <si>
    <t>m</t>
  </si>
  <si>
    <t>ELEMENTO 1</t>
  </si>
  <si>
    <t>ΛY</t>
  </si>
  <si>
    <t>MATRIZ DE RIGIDEZ LOCAL DEL ELEMENTO 1</t>
  </si>
  <si>
    <t>k1</t>
  </si>
  <si>
    <t>*AE/L</t>
  </si>
  <si>
    <t>MATRIZ DE RIGIDEZ GLOBAL DEL ELEMENTO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</si>
</sst>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01418"/>
      <name val="Georgia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448902</xdr:colOff>
      <xdr:row>4</xdr:row>
      <xdr:rowOff>24015</xdr:rowOff>
    </xdr:from>
    <xdr:to>
      <xdr:col>16</xdr:col>
      <xdr:colOff>193192</xdr:colOff>
      <xdr:row>16</xdr:row>
      <xdr:rowOff>1003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E42812-6D58-30DE-AC4E-2ACBF399E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0055" y="741191"/>
          <a:ext cx="6055443" cy="2128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597D-B502-494A-8DCA-854F8BE4BC51}">
  <dimension ref="A1:N47"/>
  <sheetViews>
    <sheetView tabSelected="1" zoomScale="85" zoomScaleNormal="85" workbookViewId="0">
      <selection activeCell="A3" sqref="A3:G3"/>
    </sheetView>
  </sheetViews>
  <sheetFormatPr baseColWidth="10" defaultRowHeight="14.4" x14ac:dyDescent="0.3"/>
  <sheetData>
    <row r="1" spans="1:8" x14ac:dyDescent="0.3">
      <c r="A1" s="6" t="s">
        <v>0</v>
      </c>
      <c r="B1" s="6"/>
      <c r="C1" s="6"/>
      <c r="D1" s="6"/>
      <c r="E1" s="6"/>
      <c r="F1" s="6"/>
      <c r="G1" s="6"/>
      <c r="H1" s="6"/>
    </row>
    <row r="3" spans="1:8" x14ac:dyDescent="0.3">
      <c r="A3" s="7" t="s">
        <v>14</v>
      </c>
      <c r="B3" s="7"/>
      <c r="C3" s="7"/>
      <c r="D3" s="7"/>
      <c r="E3" s="7"/>
      <c r="F3" s="7"/>
      <c r="G3" s="7"/>
    </row>
    <row r="5" spans="1:8" x14ac:dyDescent="0.3">
      <c r="A5" s="8" t="s">
        <v>6</v>
      </c>
      <c r="B5" s="8"/>
      <c r="C5" s="8"/>
    </row>
    <row r="6" spans="1:8" x14ac:dyDescent="0.3">
      <c r="A6" s="1"/>
      <c r="B6" s="1"/>
      <c r="C6" s="1"/>
    </row>
    <row r="7" spans="1:8" x14ac:dyDescent="0.3">
      <c r="A7" t="s">
        <v>1</v>
      </c>
      <c r="B7">
        <v>0</v>
      </c>
      <c r="C7" t="s">
        <v>13</v>
      </c>
    </row>
    <row r="8" spans="1:8" x14ac:dyDescent="0.3">
      <c r="A8" t="s">
        <v>2</v>
      </c>
      <c r="B8">
        <v>6</v>
      </c>
      <c r="C8" t="s">
        <v>13</v>
      </c>
    </row>
    <row r="9" spans="1:8" x14ac:dyDescent="0.3">
      <c r="A9" t="s">
        <v>3</v>
      </c>
      <c r="B9">
        <v>0</v>
      </c>
      <c r="C9" t="s">
        <v>13</v>
      </c>
      <c r="D9" s="2" t="s">
        <v>12</v>
      </c>
      <c r="E9">
        <f>(B8-B7)/B12</f>
        <v>1</v>
      </c>
    </row>
    <row r="10" spans="1:8" x14ac:dyDescent="0.3">
      <c r="A10" t="s">
        <v>4</v>
      </c>
      <c r="B10">
        <v>0</v>
      </c>
      <c r="C10" t="s">
        <v>13</v>
      </c>
      <c r="D10" s="2" t="s">
        <v>15</v>
      </c>
      <c r="E10">
        <f>(B10-B9)/B12</f>
        <v>0</v>
      </c>
    </row>
    <row r="12" spans="1:8" x14ac:dyDescent="0.3">
      <c r="A12" t="s">
        <v>5</v>
      </c>
      <c r="B12">
        <f>SQRT(POWER(B8-B7,2)+POWER(B10-B9,2))</f>
        <v>6</v>
      </c>
      <c r="C12" t="s">
        <v>13</v>
      </c>
    </row>
    <row r="14" spans="1:8" x14ac:dyDescent="0.3">
      <c r="A14" t="s">
        <v>7</v>
      </c>
      <c r="B14">
        <v>2.85</v>
      </c>
      <c r="C14" t="s">
        <v>8</v>
      </c>
      <c r="E14" t="s">
        <v>11</v>
      </c>
      <c r="F14">
        <f>B14*B15/(B12*100)</f>
        <v>9975</v>
      </c>
    </row>
    <row r="15" spans="1:8" x14ac:dyDescent="0.3">
      <c r="A15" t="s">
        <v>9</v>
      </c>
      <c r="B15">
        <v>2100000</v>
      </c>
      <c r="C15" t="s">
        <v>10</v>
      </c>
    </row>
    <row r="18" spans="1:7" x14ac:dyDescent="0.3">
      <c r="A18" s="9" t="s">
        <v>16</v>
      </c>
      <c r="B18" s="9"/>
      <c r="C18" s="9"/>
      <c r="D18" s="9"/>
      <c r="E18" s="9"/>
      <c r="F18" s="9"/>
      <c r="G18" s="9"/>
    </row>
    <row r="20" spans="1:7" x14ac:dyDescent="0.3">
      <c r="A20" s="5" t="s">
        <v>17</v>
      </c>
      <c r="B20">
        <v>1</v>
      </c>
      <c r="C20">
        <v>2</v>
      </c>
      <c r="D20">
        <v>9</v>
      </c>
      <c r="E20">
        <v>10</v>
      </c>
    </row>
    <row r="21" spans="1:7" x14ac:dyDescent="0.3">
      <c r="A21">
        <f t="array" ref="A21">TRANSPOSE(B20:E20)</f>
        <v>1</v>
      </c>
      <c r="B21" s="3">
        <f>E9^2</f>
        <v>1</v>
      </c>
      <c r="C21" s="3">
        <f>E9*E10</f>
        <v>0</v>
      </c>
      <c r="D21" s="4">
        <f t="array" ref="D21:E22">-B21:C22</f>
        <v>-1</v>
      </c>
      <c r="E21" s="4">
        <v>0</v>
      </c>
    </row>
    <row r="22" spans="1:7" x14ac:dyDescent="0.3">
      <c r="A22">
        <v>2</v>
      </c>
      <c r="B22" s="3">
        <f>E9*E10</f>
        <v>0</v>
      </c>
      <c r="C22" s="3">
        <f>E10^2</f>
        <v>0</v>
      </c>
      <c r="D22" s="4">
        <v>0</v>
      </c>
      <c r="E22" s="4">
        <v>0</v>
      </c>
      <c r="F22" t="s">
        <v>18</v>
      </c>
    </row>
    <row r="23" spans="1:7" x14ac:dyDescent="0.3">
      <c r="A23">
        <v>3</v>
      </c>
      <c r="B23" s="4">
        <f>D21</f>
        <v>-1</v>
      </c>
      <c r="C23" s="4">
        <f>E21</f>
        <v>0</v>
      </c>
      <c r="D23" s="3">
        <f>B21</f>
        <v>1</v>
      </c>
      <c r="E23" s="3">
        <f>C21</f>
        <v>0</v>
      </c>
    </row>
    <row r="24" spans="1:7" x14ac:dyDescent="0.3">
      <c r="A24">
        <v>4</v>
      </c>
      <c r="B24" s="4">
        <f>E21</f>
        <v>0</v>
      </c>
      <c r="C24" s="4">
        <f>E22</f>
        <v>0</v>
      </c>
      <c r="D24" s="3">
        <f>B22</f>
        <v>0</v>
      </c>
      <c r="E24" s="3">
        <f>C22</f>
        <v>0</v>
      </c>
    </row>
    <row r="25" spans="1:7" x14ac:dyDescent="0.3">
      <c r="B25" s="10"/>
      <c r="C25" s="10"/>
      <c r="D25" s="10"/>
      <c r="E25" s="10"/>
    </row>
    <row r="27" spans="1:7" x14ac:dyDescent="0.3">
      <c r="A27" s="5" t="s">
        <v>17</v>
      </c>
      <c r="B27">
        <v>1</v>
      </c>
      <c r="C27">
        <v>2</v>
      </c>
      <c r="D27">
        <v>9</v>
      </c>
      <c r="E27">
        <v>10</v>
      </c>
    </row>
    <row r="28" spans="1:7" x14ac:dyDescent="0.3">
      <c r="A28">
        <f t="array" ref="A28">TRANSPOSE(B27:E27)</f>
        <v>1</v>
      </c>
      <c r="B28" s="3">
        <f>F14*B21</f>
        <v>9975</v>
      </c>
      <c r="C28" s="3">
        <f>E15*E16</f>
        <v>0</v>
      </c>
      <c r="D28" s="4">
        <f>-B28</f>
        <v>-9975</v>
      </c>
      <c r="E28" s="4">
        <f>-C28</f>
        <v>0</v>
      </c>
    </row>
    <row r="29" spans="1:7" x14ac:dyDescent="0.3">
      <c r="A29">
        <v>2</v>
      </c>
      <c r="B29" s="3">
        <f>E15*E16</f>
        <v>0</v>
      </c>
      <c r="C29" s="3">
        <f>E16^2</f>
        <v>0</v>
      </c>
      <c r="D29" s="4">
        <f>E28</f>
        <v>0</v>
      </c>
      <c r="E29" s="4">
        <f>-C29</f>
        <v>0</v>
      </c>
    </row>
    <row r="30" spans="1:7" x14ac:dyDescent="0.3">
      <c r="A30">
        <v>9</v>
      </c>
      <c r="B30" s="4">
        <f>D28</f>
        <v>-9975</v>
      </c>
      <c r="C30" s="4">
        <f>E28</f>
        <v>0</v>
      </c>
      <c r="D30" s="3">
        <f>B28</f>
        <v>9975</v>
      </c>
      <c r="E30" s="3">
        <f>C28</f>
        <v>0</v>
      </c>
    </row>
    <row r="31" spans="1:7" x14ac:dyDescent="0.3">
      <c r="A31">
        <v>10</v>
      </c>
      <c r="B31" s="4">
        <f>E28</f>
        <v>0</v>
      </c>
      <c r="C31" s="4">
        <f>E29</f>
        <v>0</v>
      </c>
      <c r="D31" s="3">
        <f>B29</f>
        <v>0</v>
      </c>
      <c r="E31" s="3">
        <f>C29</f>
        <v>0</v>
      </c>
    </row>
    <row r="33" spans="1:14" x14ac:dyDescent="0.3">
      <c r="A33" s="7" t="s">
        <v>19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5" spans="1:14" x14ac:dyDescent="0.3">
      <c r="A35" t="s">
        <v>17</v>
      </c>
      <c r="B35">
        <v>1</v>
      </c>
      <c r="C35">
        <v>2</v>
      </c>
      <c r="D35">
        <v>3</v>
      </c>
      <c r="E35">
        <v>4</v>
      </c>
      <c r="F35">
        <v>5</v>
      </c>
      <c r="G35">
        <v>6</v>
      </c>
      <c r="H35">
        <v>7</v>
      </c>
      <c r="I35">
        <v>8</v>
      </c>
      <c r="J35">
        <v>9</v>
      </c>
      <c r="K35">
        <v>10</v>
      </c>
      <c r="L35">
        <v>11</v>
      </c>
      <c r="M35">
        <v>12</v>
      </c>
    </row>
    <row r="36" spans="1:14" x14ac:dyDescent="0.3">
      <c r="A36">
        <v>1</v>
      </c>
      <c r="B36" s="3">
        <f>B28</f>
        <v>9975</v>
      </c>
      <c r="C36" s="3">
        <f>C28</f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f>D28</f>
        <v>-9975</v>
      </c>
      <c r="K36">
        <f>E28</f>
        <v>0</v>
      </c>
      <c r="L36">
        <v>0</v>
      </c>
      <c r="M36">
        <v>0</v>
      </c>
    </row>
    <row r="37" spans="1:14" x14ac:dyDescent="0.3">
      <c r="A37">
        <v>2</v>
      </c>
      <c r="B37" s="3">
        <f>B29</f>
        <v>0</v>
      </c>
      <c r="C37" s="3">
        <f>C29</f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f>D29</f>
        <v>0</v>
      </c>
      <c r="K37">
        <f>E29</f>
        <v>0</v>
      </c>
      <c r="L37">
        <v>0</v>
      </c>
      <c r="M37">
        <v>0</v>
      </c>
    </row>
    <row r="38" spans="1:14" x14ac:dyDescent="0.3">
      <c r="A38">
        <v>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4" x14ac:dyDescent="0.3">
      <c r="A39">
        <v>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4" x14ac:dyDescent="0.3">
      <c r="A40">
        <v>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4" x14ac:dyDescent="0.3">
      <c r="A41">
        <v>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4" x14ac:dyDescent="0.3">
      <c r="A42">
        <v>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4" x14ac:dyDescent="0.3">
      <c r="A43">
        <v>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4" x14ac:dyDescent="0.3">
      <c r="A44">
        <v>9</v>
      </c>
      <c r="B44">
        <f>B30</f>
        <v>-9975</v>
      </c>
      <c r="C44">
        <f>C30</f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4" x14ac:dyDescent="0.3">
      <c r="A45">
        <v>10</v>
      </c>
      <c r="B45">
        <f>B31</f>
        <v>0</v>
      </c>
      <c r="C45">
        <f>C31</f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4" x14ac:dyDescent="0.3">
      <c r="A46">
        <v>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4" x14ac:dyDescent="0.3">
      <c r="A47">
        <v>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</sheetData>
  <mergeCells count="5">
    <mergeCell ref="A1:H1"/>
    <mergeCell ref="A3:G3"/>
    <mergeCell ref="A5:C5"/>
    <mergeCell ref="A18:G18"/>
    <mergeCell ref="A33:N33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Rivera</cp:lastModifiedBy>
  <dcterms:created xsi:type="dcterms:W3CDTF">2026-03-17T00:54:54Z</dcterms:created>
  <dcterms:modified xsi:type="dcterms:W3CDTF">2026-03-17T07:22:54Z</dcterms:modified>
</cp:coreProperties>
</file>