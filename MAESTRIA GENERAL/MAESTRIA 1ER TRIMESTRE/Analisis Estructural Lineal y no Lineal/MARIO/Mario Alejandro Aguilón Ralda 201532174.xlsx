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icacion C a D\Documentos\gitdocs-2026\PRIMER TRIMESTRE\Analisis Estructural Lineal y no Lineal\MARIO\"/>
    </mc:Choice>
  </mc:AlternateContent>
  <xr:revisionPtr revIDLastSave="0" documentId="13_ncr:1_{01FE34D3-8884-4A3A-AAC5-9F3E11083248}" xr6:coauthVersionLast="47" xr6:coauthVersionMax="47" xr10:uidLastSave="{00000000-0000-0000-0000-000000000000}"/>
  <bookViews>
    <workbookView xWindow="-108" yWindow="-108" windowWidth="23256" windowHeight="12576" xr2:uid="{C5EF35D5-5E1D-4AB8-92CE-6C389F5701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3" i="1" l="1"/>
  <c r="A89" i="1"/>
  <c r="O158" i="1"/>
  <c r="O159" i="1"/>
  <c r="O160" i="1"/>
  <c r="O161" i="1"/>
  <c r="O162" i="1"/>
  <c r="O164" i="1"/>
  <c r="O165" i="1"/>
  <c r="O166" i="1"/>
  <c r="O157" i="1"/>
  <c r="B142" i="1"/>
  <c r="O163" i="1" s="1"/>
  <c r="A116" i="1" a="1"/>
  <c r="A121" i="1" s="1"/>
  <c r="CM91" i="1" a="1"/>
  <c r="CM96" i="1" s="1"/>
  <c r="CM89" i="1"/>
  <c r="CQ82" i="1"/>
  <c r="CP82" i="1"/>
  <c r="CO82" i="1"/>
  <c r="CN82" i="1"/>
  <c r="CM76" i="1" a="1"/>
  <c r="CM79" i="1" s="1"/>
  <c r="CM75" i="1"/>
  <c r="CM82" i="1" s="1"/>
  <c r="CM73" i="1"/>
  <c r="CN67" i="1"/>
  <c r="CR69" i="1" s="1"/>
  <c r="BU91" i="1" a="1"/>
  <c r="BU103" i="1" s="1"/>
  <c r="BC91" i="1" a="1"/>
  <c r="BC104" i="1" s="1"/>
  <c r="AK91" i="1" a="1"/>
  <c r="AK102" i="1" s="1"/>
  <c r="S91" i="1" a="1"/>
  <c r="S96" i="1" s="1"/>
  <c r="A91" i="1" a="1"/>
  <c r="A93" i="1" s="1"/>
  <c r="BU89" i="1"/>
  <c r="BC89" i="1"/>
  <c r="AK89" i="1"/>
  <c r="S89" i="1"/>
  <c r="BY82" i="1"/>
  <c r="BX82" i="1"/>
  <c r="BW82" i="1"/>
  <c r="BV82" i="1"/>
  <c r="BG82" i="1"/>
  <c r="BF82" i="1"/>
  <c r="BE82" i="1"/>
  <c r="BD82" i="1"/>
  <c r="AO82" i="1"/>
  <c r="AN82" i="1"/>
  <c r="AM82" i="1"/>
  <c r="AL82" i="1"/>
  <c r="W82" i="1"/>
  <c r="V82" i="1"/>
  <c r="U82" i="1"/>
  <c r="T82" i="1"/>
  <c r="E82" i="1"/>
  <c r="D82" i="1"/>
  <c r="C82" i="1"/>
  <c r="B82" i="1"/>
  <c r="BU76" i="1" a="1"/>
  <c r="BU79" i="1" s="1"/>
  <c r="BC76" i="1" a="1"/>
  <c r="BC79" i="1" s="1"/>
  <c r="AK76" i="1" a="1"/>
  <c r="AK79" i="1" s="1"/>
  <c r="S76" i="1" a="1"/>
  <c r="S79" i="1" s="1"/>
  <c r="A76" i="1" a="1"/>
  <c r="A79" i="1" s="1"/>
  <c r="BU75" i="1"/>
  <c r="BU82" i="1" s="1"/>
  <c r="BC75" i="1"/>
  <c r="BC82" i="1" s="1"/>
  <c r="AK75" i="1"/>
  <c r="AK82" i="1" s="1"/>
  <c r="S75" i="1"/>
  <c r="S82" i="1" s="1"/>
  <c r="A75" i="1"/>
  <c r="A82" i="1" s="1"/>
  <c r="BU73" i="1"/>
  <c r="BC73" i="1"/>
  <c r="AK73" i="1"/>
  <c r="A73" i="1"/>
  <c r="BV67" i="1"/>
  <c r="BZ69" i="1" s="1"/>
  <c r="BD67" i="1"/>
  <c r="BG65" i="1" s="1"/>
  <c r="BE77" i="1" s="1"/>
  <c r="AL67" i="1"/>
  <c r="AP69" i="1" s="1"/>
  <c r="T67" i="1"/>
  <c r="B67" i="1"/>
  <c r="E65" i="1" s="1"/>
  <c r="C77" i="1" s="1"/>
  <c r="BU39" i="1" a="1"/>
  <c r="BU44" i="1" s="1"/>
  <c r="BU37" i="1"/>
  <c r="BY30" i="1"/>
  <c r="BX30" i="1"/>
  <c r="BW30" i="1"/>
  <c r="BV30" i="1"/>
  <c r="BU24" i="1" a="1"/>
  <c r="BU26" i="1" s="1"/>
  <c r="BU23" i="1"/>
  <c r="BU30" i="1" s="1"/>
  <c r="BU21" i="1"/>
  <c r="BV15" i="1"/>
  <c r="BZ17" i="1" s="1"/>
  <c r="BC39" i="1" a="1"/>
  <c r="BC44" i="1" s="1"/>
  <c r="BC37" i="1"/>
  <c r="BG30" i="1"/>
  <c r="BF30" i="1"/>
  <c r="BE30" i="1"/>
  <c r="BD30" i="1"/>
  <c r="BC24" i="1" a="1"/>
  <c r="BC24" i="1" s="1"/>
  <c r="BC23" i="1"/>
  <c r="BC30" i="1" s="1"/>
  <c r="BC21" i="1"/>
  <c r="BD15" i="1"/>
  <c r="BH17" i="1" s="1"/>
  <c r="AK39" i="1" a="1"/>
  <c r="AK37" i="1"/>
  <c r="AO30" i="1"/>
  <c r="AN30" i="1"/>
  <c r="AM30" i="1"/>
  <c r="AL30" i="1"/>
  <c r="AK24" i="1" a="1"/>
  <c r="AK27" i="1" s="1"/>
  <c r="AK23" i="1"/>
  <c r="AK30" i="1" s="1"/>
  <c r="AK21" i="1"/>
  <c r="AL15" i="1"/>
  <c r="AP17" i="1" s="1"/>
  <c r="T30" i="1"/>
  <c r="S39" i="1" a="1"/>
  <c r="S44" i="1" s="1"/>
  <c r="S37" i="1"/>
  <c r="W30" i="1"/>
  <c r="V30" i="1"/>
  <c r="U30" i="1"/>
  <c r="S24" i="1" a="1"/>
  <c r="S26" i="1" s="1"/>
  <c r="S23" i="1"/>
  <c r="S30" i="1" s="1"/>
  <c r="S21" i="1"/>
  <c r="T15" i="1"/>
  <c r="C30" i="1"/>
  <c r="D30" i="1"/>
  <c r="E30" i="1"/>
  <c r="B30" i="1"/>
  <c r="S31" i="1" l="1" a="1"/>
  <c r="S33" i="1" s="1"/>
  <c r="S47" i="1"/>
  <c r="AA47" i="1" s="1"/>
  <c r="A83" i="1" a="1"/>
  <c r="A86" i="1" s="1"/>
  <c r="CM99" i="1"/>
  <c r="CT99" i="1" s="1"/>
  <c r="CM76" i="1"/>
  <c r="CM78" i="1"/>
  <c r="BH44" i="1"/>
  <c r="CG44" i="1"/>
  <c r="BC42" i="1"/>
  <c r="BM42" i="1" s="1"/>
  <c r="BF44" i="1"/>
  <c r="BC43" i="1"/>
  <c r="BP43" i="1" s="1"/>
  <c r="CM95" i="1"/>
  <c r="CQ95" i="1" s="1"/>
  <c r="X44" i="1"/>
  <c r="Y44" i="1"/>
  <c r="AA44" i="1"/>
  <c r="AB44" i="1"/>
  <c r="AC44" i="1"/>
  <c r="U44" i="1"/>
  <c r="AG44" i="1"/>
  <c r="AK44" i="1"/>
  <c r="AK42" i="1"/>
  <c r="AK41" i="1"/>
  <c r="AK47" i="1"/>
  <c r="Z44" i="1"/>
  <c r="X17" i="1"/>
  <c r="W13" i="1"/>
  <c r="U25" i="1" s="1"/>
  <c r="BU31" i="1" a="1"/>
  <c r="BU33" i="1" s="1"/>
  <c r="CI44" i="1"/>
  <c r="BG44" i="1"/>
  <c r="BC83" i="1" a="1"/>
  <c r="BC86" i="1" s="1"/>
  <c r="A104" i="1"/>
  <c r="N104" i="1" s="1"/>
  <c r="A118" i="1"/>
  <c r="A120" i="1"/>
  <c r="BC45" i="1"/>
  <c r="BQ44" i="1"/>
  <c r="CH44" i="1"/>
  <c r="A91" i="1"/>
  <c r="H91" i="1" s="1"/>
  <c r="S91" i="1"/>
  <c r="U91" i="1" s="1"/>
  <c r="BU92" i="1"/>
  <c r="CF92" i="1" s="1"/>
  <c r="A122" i="1"/>
  <c r="CM93" i="1"/>
  <c r="CS93" i="1" s="1"/>
  <c r="A123" i="1"/>
  <c r="A92" i="1"/>
  <c r="O92" i="1" s="1"/>
  <c r="S94" i="1"/>
  <c r="AC94" i="1" s="1"/>
  <c r="BU95" i="1"/>
  <c r="CE95" i="1" s="1"/>
  <c r="S41" i="1"/>
  <c r="AY41" i="1" s="1"/>
  <c r="AK31" i="1" a="1"/>
  <c r="AK34" i="1" s="1"/>
  <c r="BC48" i="1"/>
  <c r="BU45" i="1"/>
  <c r="CC45" i="1" s="1"/>
  <c r="BO44" i="1"/>
  <c r="A94" i="1"/>
  <c r="N94" i="1" s="1"/>
  <c r="S97" i="1"/>
  <c r="AC97" i="1" s="1"/>
  <c r="BU96" i="1"/>
  <c r="BY96" i="1" s="1"/>
  <c r="CM94" i="1"/>
  <c r="CP94" i="1" s="1"/>
  <c r="A128" i="1"/>
  <c r="AF44" i="1"/>
  <c r="T44" i="1"/>
  <c r="BC47" i="1"/>
  <c r="BU40" i="1"/>
  <c r="CG40" i="1" s="1"/>
  <c r="BP44" i="1"/>
  <c r="S45" i="1"/>
  <c r="AT45" i="1" s="1"/>
  <c r="BU47" i="1"/>
  <c r="CE47" i="1" s="1"/>
  <c r="BN44" i="1"/>
  <c r="A95" i="1"/>
  <c r="N95" i="1" s="1"/>
  <c r="S102" i="1"/>
  <c r="AF102" i="1" s="1"/>
  <c r="BU97" i="1"/>
  <c r="BY97" i="1" s="1"/>
  <c r="BU52" i="1"/>
  <c r="CD52" i="1" s="1"/>
  <c r="BM44" i="1"/>
  <c r="A96" i="1"/>
  <c r="I96" i="1" s="1"/>
  <c r="S104" i="1"/>
  <c r="AC104" i="1" s="1"/>
  <c r="BU98" i="1"/>
  <c r="BY98" i="1" s="1"/>
  <c r="CM77" i="1"/>
  <c r="CM97" i="1"/>
  <c r="CN97" i="1" s="1"/>
  <c r="BL44" i="1"/>
  <c r="A97" i="1"/>
  <c r="J97" i="1" s="1"/>
  <c r="BU99" i="1"/>
  <c r="CE99" i="1" s="1"/>
  <c r="A98" i="1"/>
  <c r="K98" i="1" s="1"/>
  <c r="AK94" i="1"/>
  <c r="AS94" i="1" s="1"/>
  <c r="BU100" i="1"/>
  <c r="BX100" i="1" s="1"/>
  <c r="CM100" i="1"/>
  <c r="CP100" i="1" s="1"/>
  <c r="A99" i="1"/>
  <c r="N99" i="1" s="1"/>
  <c r="AK97" i="1"/>
  <c r="AL97" i="1" s="1"/>
  <c r="BU104" i="1"/>
  <c r="BY104" i="1" s="1"/>
  <c r="CM101" i="1"/>
  <c r="CR101" i="1" s="1"/>
  <c r="BI44" i="1"/>
  <c r="A101" i="1"/>
  <c r="J101" i="1" s="1"/>
  <c r="AK100" i="1"/>
  <c r="AR100" i="1" s="1"/>
  <c r="BC41" i="1"/>
  <c r="A103" i="1"/>
  <c r="B103" i="1" s="1"/>
  <c r="A116" i="1"/>
  <c r="A124" i="1"/>
  <c r="A125" i="1"/>
  <c r="A126" i="1"/>
  <c r="A127" i="1"/>
  <c r="A117" i="1"/>
  <c r="A129" i="1"/>
  <c r="A119" i="1"/>
  <c r="CM83" i="1" a="1"/>
  <c r="CM84" i="1" s="1"/>
  <c r="CQ65" i="1"/>
  <c r="CO77" i="1" s="1"/>
  <c r="CQ96" i="1"/>
  <c r="CP96" i="1"/>
  <c r="CO96" i="1"/>
  <c r="CN96" i="1"/>
  <c r="CY96" i="1"/>
  <c r="CX96" i="1"/>
  <c r="CO93" i="1"/>
  <c r="CT96" i="1"/>
  <c r="CS96" i="1"/>
  <c r="CR96" i="1"/>
  <c r="CM98" i="1"/>
  <c r="CP98" i="1" s="1"/>
  <c r="CM102" i="1"/>
  <c r="CQ102" i="1" s="1"/>
  <c r="CM91" i="1"/>
  <c r="CT91" i="1" s="1"/>
  <c r="CM103" i="1"/>
  <c r="CN103" i="1" s="1"/>
  <c r="CQ64" i="1"/>
  <c r="CM92" i="1"/>
  <c r="CO92" i="1" s="1"/>
  <c r="CM104" i="1"/>
  <c r="CS104" i="1" s="1"/>
  <c r="BU78" i="1"/>
  <c r="BU77" i="1"/>
  <c r="BU83" i="1" a="1"/>
  <c r="BU86" i="1" s="1"/>
  <c r="CF103" i="1"/>
  <c r="BV103" i="1"/>
  <c r="CG103" i="1"/>
  <c r="CE103" i="1"/>
  <c r="CD103" i="1"/>
  <c r="BY103" i="1"/>
  <c r="BX103" i="1"/>
  <c r="BY64" i="1"/>
  <c r="BY65" i="1"/>
  <c r="BW77" i="1" s="1"/>
  <c r="BC77" i="1"/>
  <c r="BC78" i="1"/>
  <c r="BI104" i="1"/>
  <c r="BH104" i="1"/>
  <c r="BG104" i="1"/>
  <c r="BF104" i="1"/>
  <c r="BQ104" i="1"/>
  <c r="BP104" i="1"/>
  <c r="BD104" i="1"/>
  <c r="BO104" i="1"/>
  <c r="BN104" i="1"/>
  <c r="AK83" i="1" a="1"/>
  <c r="AK85" i="1" s="1"/>
  <c r="AK78" i="1"/>
  <c r="AO65" i="1"/>
  <c r="AM77" i="1" s="1"/>
  <c r="AO64" i="1"/>
  <c r="S83" i="1" a="1"/>
  <c r="S85" i="1" s="1"/>
  <c r="V96" i="1"/>
  <c r="AG96" i="1"/>
  <c r="U96" i="1"/>
  <c r="AF96" i="1"/>
  <c r="T96" i="1"/>
  <c r="AC96" i="1"/>
  <c r="AB96" i="1"/>
  <c r="F69" i="1"/>
  <c r="AY102" i="1"/>
  <c r="AX102" i="1"/>
  <c r="AL102" i="1"/>
  <c r="AW102" i="1"/>
  <c r="AV102" i="1"/>
  <c r="AS102" i="1"/>
  <c r="AR102" i="1"/>
  <c r="K93" i="1"/>
  <c r="J93" i="1"/>
  <c r="I93" i="1"/>
  <c r="H93" i="1"/>
  <c r="O93" i="1"/>
  <c r="C93" i="1"/>
  <c r="N93" i="1"/>
  <c r="B93" i="1"/>
  <c r="L93" i="1"/>
  <c r="W65" i="1"/>
  <c r="U77" i="1" s="1"/>
  <c r="X69" i="1"/>
  <c r="W64" i="1"/>
  <c r="E64" i="1"/>
  <c r="A100" i="1"/>
  <c r="B100" i="1" s="1"/>
  <c r="S95" i="1"/>
  <c r="AB95" i="1" s="1"/>
  <c r="AK98" i="1"/>
  <c r="AR98" i="1" s="1"/>
  <c r="BC96" i="1"/>
  <c r="BQ96" i="1" s="1"/>
  <c r="BC94" i="1"/>
  <c r="BH94" i="1" s="1"/>
  <c r="BC99" i="1"/>
  <c r="BH99" i="1" s="1"/>
  <c r="BC98" i="1"/>
  <c r="BH98" i="1" s="1"/>
  <c r="A102" i="1"/>
  <c r="J102" i="1" s="1"/>
  <c r="S98" i="1"/>
  <c r="AF98" i="1" s="1"/>
  <c r="BC91" i="1"/>
  <c r="BQ91" i="1" s="1"/>
  <c r="S99" i="1"/>
  <c r="AB99" i="1" s="1"/>
  <c r="BC92" i="1"/>
  <c r="BI92" i="1" s="1"/>
  <c r="S100" i="1"/>
  <c r="AB100" i="1" s="1"/>
  <c r="BC93" i="1"/>
  <c r="BH93" i="1" s="1"/>
  <c r="BG64" i="1"/>
  <c r="S101" i="1"/>
  <c r="AC101" i="1" s="1"/>
  <c r="BC95" i="1"/>
  <c r="BF95" i="1" s="1"/>
  <c r="BH69" i="1"/>
  <c r="AK101" i="1"/>
  <c r="AV101" i="1" s="1"/>
  <c r="AK99" i="1"/>
  <c r="AW99" i="1" s="1"/>
  <c r="AK104" i="1"/>
  <c r="AS104" i="1" s="1"/>
  <c r="AK92" i="1"/>
  <c r="AR92" i="1" s="1"/>
  <c r="AK103" i="1"/>
  <c r="AY103" i="1" s="1"/>
  <c r="AK91" i="1"/>
  <c r="AY91" i="1" s="1"/>
  <c r="BC97" i="1"/>
  <c r="BF97" i="1" s="1"/>
  <c r="A76" i="1"/>
  <c r="S76" i="1"/>
  <c r="AK76" i="1"/>
  <c r="BC76" i="1"/>
  <c r="BU76" i="1"/>
  <c r="S103" i="1"/>
  <c r="V103" i="1" s="1"/>
  <c r="AK93" i="1"/>
  <c r="AY93" i="1" s="1"/>
  <c r="BC100" i="1"/>
  <c r="BG100" i="1" s="1"/>
  <c r="A77" i="1"/>
  <c r="S77" i="1"/>
  <c r="AK77" i="1"/>
  <c r="BC101" i="1"/>
  <c r="BH101" i="1" s="1"/>
  <c r="A78" i="1"/>
  <c r="S78" i="1"/>
  <c r="S92" i="1"/>
  <c r="AG92" i="1" s="1"/>
  <c r="AK95" i="1"/>
  <c r="AR95" i="1" s="1"/>
  <c r="BC102" i="1"/>
  <c r="BF102" i="1" s="1"/>
  <c r="S93" i="1"/>
  <c r="AF93" i="1" s="1"/>
  <c r="AK96" i="1"/>
  <c r="AY96" i="1" s="1"/>
  <c r="BC103" i="1"/>
  <c r="BF103" i="1" s="1"/>
  <c r="BU93" i="1"/>
  <c r="CD93" i="1" s="1"/>
  <c r="BU94" i="1"/>
  <c r="CE94" i="1" s="1"/>
  <c r="BU101" i="1"/>
  <c r="CE101" i="1" s="1"/>
  <c r="BU102" i="1"/>
  <c r="BY102" i="1" s="1"/>
  <c r="BU91" i="1"/>
  <c r="BY91" i="1" s="1"/>
  <c r="CC44" i="1"/>
  <c r="CB44" i="1"/>
  <c r="BU27" i="1"/>
  <c r="BX44" i="1"/>
  <c r="CF44" i="1"/>
  <c r="CE44" i="1"/>
  <c r="BU24" i="1"/>
  <c r="CD44" i="1"/>
  <c r="BY12" i="1"/>
  <c r="BV24" i="1" s="1"/>
  <c r="BC27" i="1"/>
  <c r="BC25" i="1"/>
  <c r="BC26" i="1"/>
  <c r="BC31" i="1" a="1"/>
  <c r="BC34" i="1" s="1"/>
  <c r="BG13" i="1"/>
  <c r="BE25" i="1" s="1"/>
  <c r="BU46" i="1"/>
  <c r="CE46" i="1" s="1"/>
  <c r="BU25" i="1"/>
  <c r="BU48" i="1"/>
  <c r="CC48" i="1" s="1"/>
  <c r="BU49" i="1"/>
  <c r="CG49" i="1" s="1"/>
  <c r="BU50" i="1"/>
  <c r="CC50" i="1" s="1"/>
  <c r="BU39" i="1"/>
  <c r="BU51" i="1"/>
  <c r="CH51" i="1" s="1"/>
  <c r="BY13" i="1"/>
  <c r="BW25" i="1" s="1"/>
  <c r="BU41" i="1"/>
  <c r="CG41" i="1" s="1"/>
  <c r="BU42" i="1"/>
  <c r="CB42" i="1" s="1"/>
  <c r="BU43" i="1"/>
  <c r="CH43" i="1" s="1"/>
  <c r="BC46" i="1"/>
  <c r="BC49" i="1"/>
  <c r="BC50" i="1"/>
  <c r="BC39" i="1"/>
  <c r="BC51" i="1"/>
  <c r="BG12" i="1"/>
  <c r="BC40" i="1"/>
  <c r="BC52" i="1"/>
  <c r="AK24" i="1"/>
  <c r="AO13" i="1"/>
  <c r="AM25" i="1" s="1"/>
  <c r="AS44" i="1"/>
  <c r="AR44" i="1"/>
  <c r="AQ44" i="1"/>
  <c r="AY44" i="1"/>
  <c r="AU44" i="1"/>
  <c r="AX44" i="1"/>
  <c r="AT44" i="1"/>
  <c r="AP44" i="1"/>
  <c r="AK31" i="1"/>
  <c r="AK45" i="1"/>
  <c r="AK46" i="1"/>
  <c r="AK25" i="1"/>
  <c r="AK48" i="1"/>
  <c r="AK26" i="1"/>
  <c r="AK49" i="1"/>
  <c r="AK50" i="1"/>
  <c r="AK39" i="1"/>
  <c r="AK51" i="1"/>
  <c r="AO12" i="1"/>
  <c r="AK40" i="1"/>
  <c r="AK52" i="1"/>
  <c r="AK43" i="1"/>
  <c r="S25" i="1"/>
  <c r="S27" i="1"/>
  <c r="S24" i="1"/>
  <c r="S46" i="1"/>
  <c r="AR46" i="1" s="1"/>
  <c r="S48" i="1"/>
  <c r="AQ48" i="1" s="1"/>
  <c r="S49" i="1"/>
  <c r="AS49" i="1" s="1"/>
  <c r="S50" i="1"/>
  <c r="AS50" i="1" s="1"/>
  <c r="S39" i="1"/>
  <c r="AS39" i="1" s="1"/>
  <c r="S51" i="1"/>
  <c r="AR51" i="1" s="1"/>
  <c r="W12" i="1"/>
  <c r="S40" i="1"/>
  <c r="AY40" i="1" s="1"/>
  <c r="S52" i="1"/>
  <c r="AR52" i="1" s="1"/>
  <c r="S42" i="1"/>
  <c r="AX42" i="1" s="1"/>
  <c r="S43" i="1"/>
  <c r="AU43" i="1" s="1"/>
  <c r="CH45" i="1" l="1"/>
  <c r="AX47" i="1"/>
  <c r="AX45" i="1"/>
  <c r="AP45" i="1"/>
  <c r="CY99" i="1"/>
  <c r="AF94" i="1"/>
  <c r="AY47" i="1"/>
  <c r="T104" i="1"/>
  <c r="V104" i="1"/>
  <c r="AR45" i="1"/>
  <c r="AR47" i="1"/>
  <c r="S31" i="1"/>
  <c r="V45" i="1" s="1"/>
  <c r="AS47" i="1"/>
  <c r="AF104" i="1"/>
  <c r="U104" i="1"/>
  <c r="AG104" i="1"/>
  <c r="I98" i="1"/>
  <c r="AB104" i="1"/>
  <c r="CO99" i="1"/>
  <c r="CG99" i="1"/>
  <c r="CP99" i="1"/>
  <c r="AP47" i="1"/>
  <c r="BX99" i="1"/>
  <c r="V97" i="1"/>
  <c r="AT47" i="1"/>
  <c r="AQ45" i="1"/>
  <c r="CF40" i="1"/>
  <c r="AF97" i="1"/>
  <c r="AG97" i="1"/>
  <c r="AU47" i="1"/>
  <c r="CI40" i="1"/>
  <c r="AB97" i="1"/>
  <c r="AQ47" i="1"/>
  <c r="CQ93" i="1"/>
  <c r="AY45" i="1"/>
  <c r="CR93" i="1"/>
  <c r="AS45" i="1"/>
  <c r="AU45" i="1"/>
  <c r="I97" i="1"/>
  <c r="CN93" i="1"/>
  <c r="AT41" i="1"/>
  <c r="T91" i="1"/>
  <c r="AQ41" i="1"/>
  <c r="A84" i="1"/>
  <c r="J104" i="1"/>
  <c r="BH42" i="1"/>
  <c r="A85" i="1"/>
  <c r="S32" i="1"/>
  <c r="S34" i="1"/>
  <c r="H101" i="1"/>
  <c r="I99" i="1"/>
  <c r="CR95" i="1"/>
  <c r="CF47" i="1"/>
  <c r="AX41" i="1"/>
  <c r="J99" i="1"/>
  <c r="CS95" i="1"/>
  <c r="AY49" i="1"/>
  <c r="AU41" i="1"/>
  <c r="AP41" i="1"/>
  <c r="CG43" i="1"/>
  <c r="O99" i="1"/>
  <c r="K99" i="1"/>
  <c r="AQ49" i="1"/>
  <c r="N101" i="1"/>
  <c r="CY95" i="1"/>
  <c r="AS41" i="1"/>
  <c r="AR41" i="1"/>
  <c r="H99" i="1"/>
  <c r="Z47" i="1"/>
  <c r="AF47" i="1"/>
  <c r="B98" i="1"/>
  <c r="AG102" i="1"/>
  <c r="A83" i="1"/>
  <c r="N98" i="1"/>
  <c r="O101" i="1"/>
  <c r="I101" i="1"/>
  <c r="T94" i="1"/>
  <c r="CT95" i="1"/>
  <c r="CO100" i="1"/>
  <c r="O98" i="1"/>
  <c r="CN95" i="1"/>
  <c r="J98" i="1"/>
  <c r="BG101" i="1"/>
  <c r="CO95" i="1"/>
  <c r="B99" i="1"/>
  <c r="T47" i="1"/>
  <c r="S86" i="1"/>
  <c r="W97" i="1" s="1"/>
  <c r="U102" i="1"/>
  <c r="T97" i="1"/>
  <c r="CS99" i="1"/>
  <c r="U47" i="1"/>
  <c r="BC83" i="1"/>
  <c r="CP95" i="1"/>
  <c r="BC84" i="1"/>
  <c r="CX95" i="1"/>
  <c r="BC85" i="1"/>
  <c r="K103" i="1"/>
  <c r="AC102" i="1"/>
  <c r="CD47" i="1"/>
  <c r="BN93" i="1"/>
  <c r="BY100" i="1"/>
  <c r="AW97" i="1"/>
  <c r="CG98" i="1"/>
  <c r="AX97" i="1"/>
  <c r="BV98" i="1"/>
  <c r="CE98" i="1"/>
  <c r="CT100" i="1"/>
  <c r="BQ42" i="1"/>
  <c r="CX100" i="1"/>
  <c r="BU34" i="1"/>
  <c r="CB47" i="1"/>
  <c r="AY97" i="1"/>
  <c r="BX47" i="1"/>
  <c r="I94" i="1"/>
  <c r="CI48" i="1"/>
  <c r="CF98" i="1"/>
  <c r="CY100" i="1"/>
  <c r="BU31" i="1"/>
  <c r="AR103" i="1"/>
  <c r="CD99" i="1"/>
  <c r="CN91" i="1"/>
  <c r="CQ100" i="1"/>
  <c r="Y47" i="1"/>
  <c r="AB47" i="1"/>
  <c r="CD98" i="1"/>
  <c r="AT52" i="1"/>
  <c r="B94" i="1"/>
  <c r="AY94" i="1"/>
  <c r="BX98" i="1"/>
  <c r="CX93" i="1"/>
  <c r="CT93" i="1"/>
  <c r="BP42" i="1"/>
  <c r="X47" i="1"/>
  <c r="AG47" i="1"/>
  <c r="AY52" i="1"/>
  <c r="J94" i="1"/>
  <c r="J96" i="1"/>
  <c r="AS97" i="1"/>
  <c r="AC47" i="1"/>
  <c r="CG100" i="1"/>
  <c r="BF42" i="1"/>
  <c r="AK83" i="1"/>
  <c r="O94" i="1"/>
  <c r="H94" i="1"/>
  <c r="CR100" i="1"/>
  <c r="T102" i="1"/>
  <c r="AG91" i="1"/>
  <c r="BV100" i="1"/>
  <c r="CR99" i="1"/>
  <c r="BU32" i="1"/>
  <c r="AK86" i="1"/>
  <c r="B96" i="1"/>
  <c r="N103" i="1"/>
  <c r="AB102" i="1"/>
  <c r="CP93" i="1"/>
  <c r="AU49" i="1"/>
  <c r="AP43" i="1"/>
  <c r="CD40" i="1"/>
  <c r="CH40" i="1"/>
  <c r="BU84" i="1"/>
  <c r="K94" i="1"/>
  <c r="N96" i="1"/>
  <c r="AV97" i="1"/>
  <c r="AG94" i="1"/>
  <c r="V91" i="1"/>
  <c r="U97" i="1"/>
  <c r="CD100" i="1"/>
  <c r="CY93" i="1"/>
  <c r="BG42" i="1"/>
  <c r="AX43" i="1"/>
  <c r="H96" i="1"/>
  <c r="K96" i="1"/>
  <c r="BO42" i="1"/>
  <c r="BI42" i="1"/>
  <c r="AK33" i="1"/>
  <c r="CF45" i="1"/>
  <c r="O96" i="1"/>
  <c r="AC91" i="1"/>
  <c r="CN99" i="1"/>
  <c r="AB91" i="1"/>
  <c r="CE100" i="1"/>
  <c r="CE40" i="1"/>
  <c r="AB94" i="1"/>
  <c r="CQ99" i="1"/>
  <c r="AR94" i="1"/>
  <c r="AF91" i="1"/>
  <c r="U94" i="1"/>
  <c r="BY101" i="1"/>
  <c r="AT42" i="1"/>
  <c r="AQ39" i="1"/>
  <c r="H98" i="1"/>
  <c r="AR97" i="1"/>
  <c r="T95" i="1"/>
  <c r="CF100" i="1"/>
  <c r="CR91" i="1"/>
  <c r="AS43" i="1"/>
  <c r="AK84" i="1"/>
  <c r="AY42" i="1"/>
  <c r="CB40" i="1"/>
  <c r="CY97" i="1"/>
  <c r="AR42" i="1"/>
  <c r="CC40" i="1"/>
  <c r="B104" i="1"/>
  <c r="AP49" i="1"/>
  <c r="K91" i="1"/>
  <c r="AL100" i="1"/>
  <c r="AW103" i="1"/>
  <c r="BQ101" i="1"/>
  <c r="CG97" i="1"/>
  <c r="BH43" i="1"/>
  <c r="AR49" i="1"/>
  <c r="AT49" i="1"/>
  <c r="CD45" i="1"/>
  <c r="CC42" i="1"/>
  <c r="V98" i="1"/>
  <c r="CN100" i="1"/>
  <c r="CS100" i="1"/>
  <c r="BL43" i="1"/>
  <c r="CF41" i="1"/>
  <c r="AL103" i="1"/>
  <c r="BV97" i="1"/>
  <c r="CQ91" i="1"/>
  <c r="BI43" i="1"/>
  <c r="BX48" i="1"/>
  <c r="AS42" i="1"/>
  <c r="CH48" i="1"/>
  <c r="H104" i="1"/>
  <c r="AX91" i="1"/>
  <c r="AV104" i="1"/>
  <c r="BF43" i="1"/>
  <c r="AU52" i="1"/>
  <c r="K104" i="1"/>
  <c r="AV94" i="1"/>
  <c r="AR91" i="1"/>
  <c r="U99" i="1"/>
  <c r="BI93" i="1"/>
  <c r="CE96" i="1"/>
  <c r="CO91" i="1"/>
  <c r="BO43" i="1"/>
  <c r="BN43" i="1"/>
  <c r="BU85" i="1"/>
  <c r="AW100" i="1"/>
  <c r="CE97" i="1"/>
  <c r="BM43" i="1"/>
  <c r="AF100" i="1"/>
  <c r="N100" i="1"/>
  <c r="H100" i="1"/>
  <c r="AX94" i="1"/>
  <c r="BI97" i="1"/>
  <c r="BP101" i="1"/>
  <c r="BX95" i="1"/>
  <c r="CX99" i="1"/>
  <c r="CP91" i="1"/>
  <c r="AY48" i="1"/>
  <c r="CG50" i="1"/>
  <c r="BF98" i="1"/>
  <c r="AX46" i="1"/>
  <c r="AQ52" i="1"/>
  <c r="AP42" i="1"/>
  <c r="AX51" i="1"/>
  <c r="AU48" i="1"/>
  <c r="CD50" i="1"/>
  <c r="CD49" i="1"/>
  <c r="K95" i="1"/>
  <c r="I92" i="1"/>
  <c r="AV100" i="1"/>
  <c r="AV103" i="1"/>
  <c r="AW92" i="1"/>
  <c r="AF99" i="1"/>
  <c r="BF92" i="1"/>
  <c r="BX96" i="1"/>
  <c r="BY99" i="1"/>
  <c r="CF95" i="1"/>
  <c r="CG94" i="1"/>
  <c r="CM85" i="1"/>
  <c r="CQ97" i="1"/>
  <c r="CY94" i="1"/>
  <c r="CR94" i="1"/>
  <c r="CO97" i="1"/>
  <c r="BD96" i="1"/>
  <c r="AS51" i="1"/>
  <c r="I95" i="1"/>
  <c r="K92" i="1"/>
  <c r="CX101" i="1"/>
  <c r="CD42" i="1"/>
  <c r="CG51" i="1"/>
  <c r="K100" i="1"/>
  <c r="O95" i="1"/>
  <c r="AY100" i="1"/>
  <c r="AS91" i="1"/>
  <c r="AF101" i="1"/>
  <c r="BG98" i="1"/>
  <c r="BX97" i="1"/>
  <c r="BV99" i="1"/>
  <c r="CD95" i="1"/>
  <c r="CF97" i="1"/>
  <c r="CM86" i="1"/>
  <c r="CS97" i="1"/>
  <c r="CN101" i="1"/>
  <c r="CQ101" i="1"/>
  <c r="CS101" i="1"/>
  <c r="CO101" i="1"/>
  <c r="AX52" i="1"/>
  <c r="AS52" i="1"/>
  <c r="CD51" i="1"/>
  <c r="CB50" i="1"/>
  <c r="H95" i="1"/>
  <c r="O104" i="1"/>
  <c r="O100" i="1"/>
  <c r="AW94" i="1"/>
  <c r="BQ100" i="1"/>
  <c r="CF96" i="1"/>
  <c r="CO94" i="1"/>
  <c r="CX102" i="1"/>
  <c r="CO102" i="1"/>
  <c r="CO103" i="1"/>
  <c r="BG43" i="1"/>
  <c r="N92" i="1"/>
  <c r="CF93" i="1"/>
  <c r="AU42" i="1"/>
  <c r="AR40" i="1"/>
  <c r="AQ42" i="1"/>
  <c r="CB49" i="1"/>
  <c r="CI42" i="1"/>
  <c r="S83" i="1"/>
  <c r="K101" i="1"/>
  <c r="I103" i="1"/>
  <c r="I104" i="1"/>
  <c r="O103" i="1"/>
  <c r="AY99" i="1"/>
  <c r="AL101" i="1"/>
  <c r="AC93" i="1"/>
  <c r="AG93" i="1"/>
  <c r="BG92" i="1"/>
  <c r="CF99" i="1"/>
  <c r="BY95" i="1"/>
  <c r="BV101" i="1"/>
  <c r="CG95" i="1"/>
  <c r="CX94" i="1"/>
  <c r="CS91" i="1"/>
  <c r="CX97" i="1"/>
  <c r="CX92" i="1"/>
  <c r="CX91" i="1"/>
  <c r="BQ43" i="1"/>
  <c r="BL42" i="1"/>
  <c r="BN42" i="1"/>
  <c r="I102" i="1"/>
  <c r="BF96" i="1"/>
  <c r="CT94" i="1"/>
  <c r="CS102" i="1"/>
  <c r="BX51" i="1"/>
  <c r="S84" i="1"/>
  <c r="Y102" i="1" s="1"/>
  <c r="H92" i="1"/>
  <c r="J92" i="1"/>
  <c r="AB101" i="1"/>
  <c r="AQ51" i="1"/>
  <c r="CD46" i="1"/>
  <c r="J100" i="1"/>
  <c r="J95" i="1"/>
  <c r="B95" i="1"/>
  <c r="AX92" i="1"/>
  <c r="AY101" i="1"/>
  <c r="AS100" i="1"/>
  <c r="AG101" i="1"/>
  <c r="U101" i="1"/>
  <c r="BH97" i="1"/>
  <c r="BN96" i="1"/>
  <c r="BF100" i="1"/>
  <c r="CP97" i="1"/>
  <c r="CR97" i="1"/>
  <c r="CQ94" i="1"/>
  <c r="AX98" i="1"/>
  <c r="U103" i="1"/>
  <c r="BV104" i="1"/>
  <c r="CD96" i="1"/>
  <c r="CG96" i="1"/>
  <c r="CY101" i="1"/>
  <c r="CP101" i="1"/>
  <c r="AR101" i="1"/>
  <c r="AB92" i="1"/>
  <c r="AB103" i="1"/>
  <c r="CT101" i="1"/>
  <c r="CN94" i="1"/>
  <c r="CN102" i="1"/>
  <c r="CN92" i="1"/>
  <c r="AT51" i="1"/>
  <c r="CC51" i="1"/>
  <c r="AB93" i="1"/>
  <c r="T92" i="1"/>
  <c r="BN98" i="1"/>
  <c r="BO96" i="1"/>
  <c r="CR102" i="1"/>
  <c r="CT102" i="1"/>
  <c r="CS94" i="1"/>
  <c r="AS101" i="1"/>
  <c r="AL96" i="1"/>
  <c r="CE48" i="1"/>
  <c r="H103" i="1"/>
  <c r="J103" i="1"/>
  <c r="AM104" i="1"/>
  <c r="AX100" i="1"/>
  <c r="BD103" i="1"/>
  <c r="CD102" i="1"/>
  <c r="CG102" i="1"/>
  <c r="CY91" i="1"/>
  <c r="CR103" i="1"/>
  <c r="CP102" i="1"/>
  <c r="BF94" i="1"/>
  <c r="CX104" i="1"/>
  <c r="CG45" i="1"/>
  <c r="CI45" i="1"/>
  <c r="CE45" i="1"/>
  <c r="T49" i="1"/>
  <c r="AF49" i="1"/>
  <c r="U49" i="1"/>
  <c r="AG49" i="1"/>
  <c r="Y49" i="1"/>
  <c r="Z49" i="1"/>
  <c r="AA49" i="1"/>
  <c r="AB49" i="1"/>
  <c r="AC49" i="1"/>
  <c r="X49" i="1"/>
  <c r="AK32" i="1"/>
  <c r="AU50" i="1"/>
  <c r="AT46" i="1"/>
  <c r="AX39" i="1"/>
  <c r="BP40" i="1"/>
  <c r="BQ40" i="1"/>
  <c r="BG40" i="1"/>
  <c r="BH40" i="1"/>
  <c r="BI40" i="1"/>
  <c r="BL40" i="1"/>
  <c r="BM40" i="1"/>
  <c r="BO40" i="1"/>
  <c r="BN40" i="1"/>
  <c r="BF40" i="1"/>
  <c r="CF51" i="1"/>
  <c r="CI51" i="1"/>
  <c r="CD48" i="1"/>
  <c r="CB45" i="1"/>
  <c r="CE51" i="1"/>
  <c r="O102" i="1"/>
  <c r="AV99" i="1"/>
  <c r="AY104" i="1"/>
  <c r="AS96" i="1"/>
  <c r="AW95" i="1"/>
  <c r="AX101" i="1"/>
  <c r="AR93" i="1"/>
  <c r="AS99" i="1"/>
  <c r="AX103" i="1"/>
  <c r="T99" i="1"/>
  <c r="AG103" i="1"/>
  <c r="AC92" i="1"/>
  <c r="AF95" i="1"/>
  <c r="U93" i="1"/>
  <c r="BH96" i="1"/>
  <c r="BI100" i="1"/>
  <c r="BP103" i="1"/>
  <c r="BF93" i="1"/>
  <c r="BG93" i="1"/>
  <c r="BD95" i="1"/>
  <c r="BG94" i="1"/>
  <c r="BP96" i="1"/>
  <c r="BG99" i="1"/>
  <c r="BD101" i="1"/>
  <c r="BO102" i="1"/>
  <c r="CF101" i="1"/>
  <c r="CD97" i="1"/>
  <c r="CF104" i="1"/>
  <c r="CE91" i="1"/>
  <c r="CS103" i="1"/>
  <c r="CR104" i="1"/>
  <c r="CT92" i="1"/>
  <c r="CY103" i="1"/>
  <c r="CY92" i="1"/>
  <c r="BL48" i="1"/>
  <c r="BM48" i="1"/>
  <c r="BO48" i="1"/>
  <c r="BP48" i="1"/>
  <c r="BQ48" i="1"/>
  <c r="BF48" i="1"/>
  <c r="BH48" i="1"/>
  <c r="BG48" i="1"/>
  <c r="BI48" i="1"/>
  <c r="BN48" i="1"/>
  <c r="J91" i="1"/>
  <c r="O97" i="1"/>
  <c r="AL104" i="1"/>
  <c r="AX93" i="1"/>
  <c r="AR104" i="1"/>
  <c r="AX96" i="1"/>
  <c r="U98" i="1"/>
  <c r="V100" i="1"/>
  <c r="AC98" i="1"/>
  <c r="BH100" i="1"/>
  <c r="BQ102" i="1"/>
  <c r="BP91" i="1"/>
  <c r="BP94" i="1"/>
  <c r="BO95" i="1"/>
  <c r="BF99" i="1"/>
  <c r="BO101" i="1"/>
  <c r="BN102" i="1"/>
  <c r="BP92" i="1"/>
  <c r="BY92" i="1"/>
  <c r="CD101" i="1"/>
  <c r="CF102" i="1"/>
  <c r="CD94" i="1"/>
  <c r="CD104" i="1"/>
  <c r="CN98" i="1"/>
  <c r="CO98" i="1"/>
  <c r="CS92" i="1"/>
  <c r="AV48" i="1"/>
  <c r="CG39" i="1"/>
  <c r="CE39" i="1"/>
  <c r="BD94" i="1"/>
  <c r="CQ104" i="1"/>
  <c r="AP46" i="1"/>
  <c r="AU40" i="1"/>
  <c r="AX40" i="1"/>
  <c r="AX48" i="1"/>
  <c r="AP39" i="1"/>
  <c r="AR50" i="1"/>
  <c r="BO39" i="1"/>
  <c r="BP39" i="1"/>
  <c r="BF39" i="1"/>
  <c r="BG39" i="1"/>
  <c r="BH39" i="1"/>
  <c r="BI39" i="1"/>
  <c r="BL39" i="1"/>
  <c r="BN39" i="1"/>
  <c r="BM39" i="1"/>
  <c r="BQ39" i="1"/>
  <c r="CH50" i="1"/>
  <c r="CI50" i="1"/>
  <c r="CH52" i="1"/>
  <c r="CF49" i="1"/>
  <c r="CF46" i="1"/>
  <c r="CI39" i="1"/>
  <c r="K102" i="1"/>
  <c r="AX104" i="1"/>
  <c r="AW101" i="1"/>
  <c r="AV91" i="1"/>
  <c r="AG98" i="1"/>
  <c r="T103" i="1"/>
  <c r="T101" i="1"/>
  <c r="AF92" i="1"/>
  <c r="AC99" i="1"/>
  <c r="BF101" i="1"/>
  <c r="BO103" i="1"/>
  <c r="BQ93" i="1"/>
  <c r="BN95" i="1"/>
  <c r="BO97" i="1"/>
  <c r="BP97" i="1"/>
  <c r="BQ97" i="1"/>
  <c r="BD100" i="1"/>
  <c r="BY93" i="1"/>
  <c r="BY94" i="1"/>
  <c r="CE92" i="1"/>
  <c r="CE104" i="1"/>
  <c r="CG104" i="1"/>
  <c r="CP104" i="1"/>
  <c r="U41" i="1"/>
  <c r="AG41" i="1"/>
  <c r="X41" i="1"/>
  <c r="Z41" i="1"/>
  <c r="Y41" i="1"/>
  <c r="AA41" i="1"/>
  <c r="AC41" i="1"/>
  <c r="AF41" i="1"/>
  <c r="T41" i="1"/>
  <c r="AB41" i="1"/>
  <c r="BP52" i="1"/>
  <c r="BQ52" i="1"/>
  <c r="BG52" i="1"/>
  <c r="BH52" i="1"/>
  <c r="BI52" i="1"/>
  <c r="BL52" i="1"/>
  <c r="BM52" i="1"/>
  <c r="BO52" i="1"/>
  <c r="BF52" i="1"/>
  <c r="BN52" i="1"/>
  <c r="Z46" i="1"/>
  <c r="AB46" i="1"/>
  <c r="AA46" i="1"/>
  <c r="T46" i="1"/>
  <c r="U46" i="1"/>
  <c r="AC46" i="1"/>
  <c r="AG46" i="1"/>
  <c r="X46" i="1"/>
  <c r="Y46" i="1"/>
  <c r="AF46" i="1"/>
  <c r="BF51" i="1"/>
  <c r="BG51" i="1"/>
  <c r="BI51" i="1"/>
  <c r="BL51" i="1"/>
  <c r="BN51" i="1"/>
  <c r="BM51" i="1"/>
  <c r="BO51" i="1"/>
  <c r="BQ51" i="1"/>
  <c r="BH51" i="1"/>
  <c r="BP51" i="1"/>
  <c r="Z43" i="1"/>
  <c r="AA43" i="1"/>
  <c r="AC43" i="1"/>
  <c r="T43" i="1"/>
  <c r="AF43" i="1"/>
  <c r="U43" i="1"/>
  <c r="AG43" i="1"/>
  <c r="Y43" i="1"/>
  <c r="AB43" i="1"/>
  <c r="X43" i="1"/>
  <c r="AT43" i="1"/>
  <c r="AY50" i="1"/>
  <c r="AS40" i="1"/>
  <c r="AQ43" i="1"/>
  <c r="BH50" i="1"/>
  <c r="BI50" i="1"/>
  <c r="BL50" i="1"/>
  <c r="BM50" i="1"/>
  <c r="BN50" i="1"/>
  <c r="BP50" i="1"/>
  <c r="BO50" i="1"/>
  <c r="BG50" i="1"/>
  <c r="BQ50" i="1"/>
  <c r="BF50" i="1"/>
  <c r="CI41" i="1"/>
  <c r="N102" i="1"/>
  <c r="I100" i="1"/>
  <c r="AW91" i="1"/>
  <c r="AR96" i="1"/>
  <c r="AS103" i="1"/>
  <c r="AS92" i="1"/>
  <c r="AR99" i="1"/>
  <c r="AW98" i="1"/>
  <c r="AC100" i="1"/>
  <c r="AF103" i="1"/>
  <c r="U100" i="1"/>
  <c r="V92" i="1"/>
  <c r="BD102" i="1"/>
  <c r="BO91" i="1"/>
  <c r="BO94" i="1"/>
  <c r="BN97" i="1"/>
  <c r="BQ98" i="1"/>
  <c r="BD99" i="1"/>
  <c r="BQ99" i="1"/>
  <c r="BP100" i="1"/>
  <c r="BI91" i="1"/>
  <c r="BO92" i="1"/>
  <c r="CD91" i="1"/>
  <c r="CG91" i="1"/>
  <c r="BX92" i="1"/>
  <c r="CQ103" i="1"/>
  <c r="CR92" i="1"/>
  <c r="CX103" i="1"/>
  <c r="CY98" i="1"/>
  <c r="AR48" i="1"/>
  <c r="CB46" i="1"/>
  <c r="CE52" i="1"/>
  <c r="AT50" i="1"/>
  <c r="AY39" i="1"/>
  <c r="CC49" i="1"/>
  <c r="CE49" i="1"/>
  <c r="BX49" i="1"/>
  <c r="CI49" i="1"/>
  <c r="CH49" i="1"/>
  <c r="AB42" i="1"/>
  <c r="AC42" i="1"/>
  <c r="T42" i="1"/>
  <c r="AF42" i="1"/>
  <c r="U42" i="1"/>
  <c r="AG42" i="1"/>
  <c r="X42" i="1"/>
  <c r="Y42" i="1"/>
  <c r="AA42" i="1"/>
  <c r="Z42" i="1"/>
  <c r="AR43" i="1"/>
  <c r="AP51" i="1"/>
  <c r="AT39" i="1"/>
  <c r="AY43" i="1"/>
  <c r="AX49" i="1"/>
  <c r="AU39" i="1"/>
  <c r="BM49" i="1"/>
  <c r="BN49" i="1"/>
  <c r="BO49" i="1"/>
  <c r="BP49" i="1"/>
  <c r="BF49" i="1"/>
  <c r="BQ49" i="1"/>
  <c r="BG49" i="1"/>
  <c r="BI49" i="1"/>
  <c r="BL49" i="1"/>
  <c r="BH49" i="1"/>
  <c r="CF48" i="1"/>
  <c r="CG48" i="1"/>
  <c r="CB51" i="1"/>
  <c r="CE50" i="1"/>
  <c r="CF50" i="1"/>
  <c r="CB48" i="1"/>
  <c r="CC46" i="1"/>
  <c r="BU83" i="1"/>
  <c r="H102" i="1"/>
  <c r="H97" i="1"/>
  <c r="B97" i="1"/>
  <c r="AY92" i="1"/>
  <c r="AL99" i="1"/>
  <c r="AV95" i="1"/>
  <c r="AY95" i="1"/>
  <c r="AV92" i="1"/>
  <c r="AW104" i="1"/>
  <c r="V99" i="1"/>
  <c r="AG100" i="1"/>
  <c r="V95" i="1"/>
  <c r="T93" i="1"/>
  <c r="AC103" i="1"/>
  <c r="BP102" i="1"/>
  <c r="BD93" i="1"/>
  <c r="BO98" i="1"/>
  <c r="BP98" i="1"/>
  <c r="BO99" i="1"/>
  <c r="BP99" i="1"/>
  <c r="BO100" i="1"/>
  <c r="BN101" i="1"/>
  <c r="BN92" i="1"/>
  <c r="BI95" i="1"/>
  <c r="BX93" i="1"/>
  <c r="CG92" i="1"/>
  <c r="BV93" i="1"/>
  <c r="CF91" i="1"/>
  <c r="CP92" i="1"/>
  <c r="CQ92" i="1"/>
  <c r="CY102" i="1"/>
  <c r="Z52" i="1"/>
  <c r="AA52" i="1"/>
  <c r="AB52" i="1"/>
  <c r="AF52" i="1"/>
  <c r="AG52" i="1"/>
  <c r="AC52" i="1"/>
  <c r="Y52" i="1"/>
  <c r="T52" i="1"/>
  <c r="U52" i="1"/>
  <c r="X52" i="1"/>
  <c r="AP52" i="1"/>
  <c r="AQ40" i="1"/>
  <c r="AS46" i="1"/>
  <c r="AU46" i="1"/>
  <c r="BP46" i="1"/>
  <c r="BQ46" i="1"/>
  <c r="BG46" i="1"/>
  <c r="BH46" i="1"/>
  <c r="BI46" i="1"/>
  <c r="BL46" i="1"/>
  <c r="BM46" i="1"/>
  <c r="BO46" i="1"/>
  <c r="BN46" i="1"/>
  <c r="BF46" i="1"/>
  <c r="CB41" i="1"/>
  <c r="CB39" i="1"/>
  <c r="BX50" i="1"/>
  <c r="O91" i="1"/>
  <c r="K97" i="1"/>
  <c r="I91" i="1"/>
  <c r="N97" i="1"/>
  <c r="AW93" i="1"/>
  <c r="AX99" i="1"/>
  <c r="AW96" i="1"/>
  <c r="T100" i="1"/>
  <c r="BN103" i="1"/>
  <c r="BP93" i="1"/>
  <c r="BI101" i="1"/>
  <c r="BN99" i="1"/>
  <c r="BI102" i="1"/>
  <c r="BN100" i="1"/>
  <c r="BI103" i="1"/>
  <c r="BH95" i="1"/>
  <c r="BG96" i="1"/>
  <c r="BV94" i="1"/>
  <c r="CG101" i="1"/>
  <c r="CE93" i="1"/>
  <c r="BX101" i="1"/>
  <c r="CF94" i="1"/>
  <c r="CP103" i="1"/>
  <c r="CS98" i="1"/>
  <c r="CX98" i="1"/>
  <c r="BF45" i="1"/>
  <c r="BG45" i="1"/>
  <c r="BI45" i="1"/>
  <c r="BL45" i="1"/>
  <c r="BN45" i="1"/>
  <c r="BM45" i="1"/>
  <c r="BO45" i="1"/>
  <c r="BQ45" i="1"/>
  <c r="BH45" i="1"/>
  <c r="BP45" i="1"/>
  <c r="BC33" i="1"/>
  <c r="CG46" i="1"/>
  <c r="CI46" i="1"/>
  <c r="BX46" i="1"/>
  <c r="CB52" i="1"/>
  <c r="AS95" i="1"/>
  <c r="AL95" i="1"/>
  <c r="AS98" i="1"/>
  <c r="AC95" i="1"/>
  <c r="BN91" i="1"/>
  <c r="BN94" i="1"/>
  <c r="BG102" i="1"/>
  <c r="BH102" i="1"/>
  <c r="BG103" i="1"/>
  <c r="BH103" i="1"/>
  <c r="BH91" i="1"/>
  <c r="BG97" i="1"/>
  <c r="CE102" i="1"/>
  <c r="BV102" i="1"/>
  <c r="BX104" i="1"/>
  <c r="CN104" i="1"/>
  <c r="BN41" i="1"/>
  <c r="BO41" i="1"/>
  <c r="BQ41" i="1"/>
  <c r="BF41" i="1"/>
  <c r="BG41" i="1"/>
  <c r="BH41" i="1"/>
  <c r="BI41" i="1"/>
  <c r="BM41" i="1"/>
  <c r="BL41" i="1"/>
  <c r="BP41" i="1"/>
  <c r="CC47" i="1"/>
  <c r="CG47" i="1"/>
  <c r="CI47" i="1"/>
  <c r="CH47" i="1"/>
  <c r="T50" i="1"/>
  <c r="AF50" i="1"/>
  <c r="Z50" i="1"/>
  <c r="AA50" i="1"/>
  <c r="AB50" i="1"/>
  <c r="AC50" i="1"/>
  <c r="U50" i="1"/>
  <c r="AG50" i="1"/>
  <c r="X50" i="1"/>
  <c r="Y50" i="1"/>
  <c r="AX50" i="1"/>
  <c r="BP95" i="1"/>
  <c r="T40" i="1"/>
  <c r="AF40" i="1"/>
  <c r="U40" i="1"/>
  <c r="AG40" i="1"/>
  <c r="X40" i="1"/>
  <c r="Y40" i="1"/>
  <c r="Z40" i="1"/>
  <c r="AB40" i="1"/>
  <c r="AA40" i="1"/>
  <c r="AC40" i="1"/>
  <c r="CD43" i="1"/>
  <c r="CE43" i="1"/>
  <c r="CI43" i="1"/>
  <c r="CC39" i="1"/>
  <c r="CG52" i="1"/>
  <c r="AV93" i="1"/>
  <c r="AX95" i="1"/>
  <c r="T98" i="1"/>
  <c r="U95" i="1"/>
  <c r="AB98" i="1"/>
  <c r="BQ92" i="1"/>
  <c r="BQ103" i="1"/>
  <c r="BG91" i="1"/>
  <c r="BI94" i="1"/>
  <c r="BI98" i="1"/>
  <c r="CD92" i="1"/>
  <c r="CG93" i="1"/>
  <c r="CR98" i="1"/>
  <c r="CY104" i="1"/>
  <c r="AB45" i="1"/>
  <c r="AC45" i="1"/>
  <c r="AG45" i="1"/>
  <c r="T45" i="1"/>
  <c r="U45" i="1"/>
  <c r="AA45" i="1"/>
  <c r="Y45" i="1"/>
  <c r="X45" i="1"/>
  <c r="AF45" i="1"/>
  <c r="Z45" i="1"/>
  <c r="X48" i="1"/>
  <c r="U48" i="1"/>
  <c r="Y48" i="1"/>
  <c r="Z48" i="1"/>
  <c r="AA48" i="1"/>
  <c r="AB48" i="1"/>
  <c r="AC48" i="1"/>
  <c r="AG48" i="1"/>
  <c r="T48" i="1"/>
  <c r="AF48" i="1"/>
  <c r="BQ94" i="1"/>
  <c r="BN47" i="1"/>
  <c r="BO47" i="1"/>
  <c r="BQ47" i="1"/>
  <c r="BF47" i="1"/>
  <c r="BG47" i="1"/>
  <c r="BH47" i="1"/>
  <c r="BI47" i="1"/>
  <c r="BM47" i="1"/>
  <c r="BL47" i="1"/>
  <c r="BP47" i="1"/>
  <c r="AS48" i="1"/>
  <c r="AT48" i="1"/>
  <c r="AY46" i="1"/>
  <c r="CB43" i="1"/>
  <c r="CD39" i="1"/>
  <c r="CF52" i="1"/>
  <c r="AY98" i="1"/>
  <c r="AB51" i="1"/>
  <c r="AC51" i="1"/>
  <c r="AA51" i="1"/>
  <c r="AF51" i="1"/>
  <c r="AG51" i="1"/>
  <c r="T51" i="1"/>
  <c r="U51" i="1"/>
  <c r="X51" i="1"/>
  <c r="Y51" i="1"/>
  <c r="Z51" i="1"/>
  <c r="AU51" i="1"/>
  <c r="AT40" i="1"/>
  <c r="AY51" i="1"/>
  <c r="CF42" i="1"/>
  <c r="CG42" i="1"/>
  <c r="CE42" i="1"/>
  <c r="BX45" i="1"/>
  <c r="CH42" i="1"/>
  <c r="CH39" i="1"/>
  <c r="BX43" i="1"/>
  <c r="N91" i="1"/>
  <c r="AV96" i="1"/>
  <c r="AS93" i="1"/>
  <c r="AV98" i="1"/>
  <c r="AG99" i="1"/>
  <c r="AG95" i="1"/>
  <c r="U92" i="1"/>
  <c r="BO93" i="1"/>
  <c r="BH92" i="1"/>
  <c r="BF91" i="1"/>
  <c r="BG95" i="1"/>
  <c r="BI99" i="1"/>
  <c r="BX94" i="1"/>
  <c r="CO104" i="1"/>
  <c r="CQ98" i="1"/>
  <c r="AQ50" i="1"/>
  <c r="CF39" i="1"/>
  <c r="BQ95" i="1"/>
  <c r="CC52" i="1"/>
  <c r="BX52" i="1"/>
  <c r="CI52" i="1"/>
  <c r="Y39" i="1"/>
  <c r="AA39" i="1"/>
  <c r="Z39" i="1"/>
  <c r="AG39" i="1"/>
  <c r="T39" i="1"/>
  <c r="U39" i="1"/>
  <c r="X39" i="1"/>
  <c r="AB39" i="1"/>
  <c r="AF39" i="1"/>
  <c r="AC39" i="1"/>
  <c r="AP50" i="1"/>
  <c r="AP40" i="1"/>
  <c r="AQ46" i="1"/>
  <c r="AP48" i="1"/>
  <c r="AR39" i="1"/>
  <c r="CD41" i="1"/>
  <c r="CE41" i="1"/>
  <c r="CC41" i="1"/>
  <c r="CH46" i="1"/>
  <c r="CF43" i="1"/>
  <c r="CH41" i="1"/>
  <c r="CC43" i="1"/>
  <c r="AL98" i="1"/>
  <c r="BI96" i="1"/>
  <c r="BX102" i="1"/>
  <c r="BX91" i="1"/>
  <c r="CM83" i="1"/>
  <c r="CU101" i="1"/>
  <c r="CU91" i="1"/>
  <c r="CU96" i="1"/>
  <c r="CU93" i="1"/>
  <c r="CU100" i="1"/>
  <c r="CU95" i="1"/>
  <c r="CU92" i="1"/>
  <c r="CU102" i="1"/>
  <c r="CU99" i="1"/>
  <c r="CU94" i="1"/>
  <c r="CO76" i="1"/>
  <c r="CN76" i="1"/>
  <c r="CN77" i="1"/>
  <c r="BW93" i="1"/>
  <c r="BZ101" i="1"/>
  <c r="BZ102" i="1"/>
  <c r="CA102" i="1"/>
  <c r="BW99" i="1"/>
  <c r="BZ98" i="1"/>
  <c r="CA94" i="1"/>
  <c r="BW102" i="1"/>
  <c r="BW104" i="1"/>
  <c r="BW94" i="1"/>
  <c r="BZ103" i="1"/>
  <c r="CA98" i="1"/>
  <c r="BZ93" i="1"/>
  <c r="CA103" i="1"/>
  <c r="CA93" i="1"/>
  <c r="BW100" i="1"/>
  <c r="BZ104" i="1"/>
  <c r="BW98" i="1"/>
  <c r="BZ94" i="1"/>
  <c r="BZ97" i="1"/>
  <c r="CA99" i="1"/>
  <c r="BZ99" i="1"/>
  <c r="CA101" i="1"/>
  <c r="BW97" i="1"/>
  <c r="BW103" i="1"/>
  <c r="CA97" i="1"/>
  <c r="CA104" i="1"/>
  <c r="BW101" i="1"/>
  <c r="BZ100" i="1"/>
  <c r="CA100" i="1"/>
  <c r="BW76" i="1"/>
  <c r="BV77" i="1"/>
  <c r="BV76" i="1"/>
  <c r="BE104" i="1"/>
  <c r="BE99" i="1"/>
  <c r="BE94" i="1"/>
  <c r="BE96" i="1"/>
  <c r="BE101" i="1"/>
  <c r="BE103" i="1"/>
  <c r="BE93" i="1"/>
  <c r="BE100" i="1"/>
  <c r="BE95" i="1"/>
  <c r="BE102" i="1"/>
  <c r="AO101" i="1"/>
  <c r="AN95" i="1"/>
  <c r="AN97" i="1"/>
  <c r="AN99" i="1"/>
  <c r="AO100" i="1"/>
  <c r="AM97" i="1"/>
  <c r="AM102" i="1"/>
  <c r="AN96" i="1"/>
  <c r="AM101" i="1"/>
  <c r="AN104" i="1"/>
  <c r="AO99" i="1"/>
  <c r="AO96" i="1"/>
  <c r="AO97" i="1"/>
  <c r="AM100" i="1"/>
  <c r="AM98" i="1"/>
  <c r="AO104" i="1"/>
  <c r="AO95" i="1"/>
  <c r="AM103" i="1"/>
  <c r="AM96" i="1"/>
  <c r="AN103" i="1"/>
  <c r="AM95" i="1"/>
  <c r="AN101" i="1"/>
  <c r="AN98" i="1"/>
  <c r="AO102" i="1"/>
  <c r="AN100" i="1"/>
  <c r="AN102" i="1"/>
  <c r="AO98" i="1"/>
  <c r="AO103" i="1"/>
  <c r="AM99" i="1"/>
  <c r="AL77" i="1"/>
  <c r="AM76" i="1"/>
  <c r="AL76" i="1"/>
  <c r="AD91" i="1"/>
  <c r="AD103" i="1"/>
  <c r="AE96" i="1"/>
  <c r="AD98" i="1"/>
  <c r="W96" i="1"/>
  <c r="AE91" i="1"/>
  <c r="W103" i="1"/>
  <c r="W91" i="1"/>
  <c r="AE103" i="1"/>
  <c r="AD100" i="1"/>
  <c r="W98" i="1"/>
  <c r="AD95" i="1"/>
  <c r="AE98" i="1"/>
  <c r="W100" i="1"/>
  <c r="AE100" i="1"/>
  <c r="AE95" i="1"/>
  <c r="AD92" i="1"/>
  <c r="AD97" i="1"/>
  <c r="W95" i="1"/>
  <c r="AD104" i="1"/>
  <c r="AD99" i="1"/>
  <c r="AE92" i="1"/>
  <c r="W104" i="1"/>
  <c r="AE97" i="1"/>
  <c r="W92" i="1"/>
  <c r="AE104" i="1"/>
  <c r="W99" i="1"/>
  <c r="AD96" i="1"/>
  <c r="AE99" i="1"/>
  <c r="L98" i="1"/>
  <c r="M98" i="1"/>
  <c r="M96" i="1"/>
  <c r="M93" i="1"/>
  <c r="C99" i="1"/>
  <c r="L95" i="1"/>
  <c r="L97" i="1"/>
  <c r="C96" i="1"/>
  <c r="L104" i="1"/>
  <c r="C94" i="1"/>
  <c r="M100" i="1"/>
  <c r="L94" i="1"/>
  <c r="M97" i="1"/>
  <c r="C103" i="1"/>
  <c r="L99" i="1"/>
  <c r="M95" i="1"/>
  <c r="C98" i="1"/>
  <c r="M104" i="1"/>
  <c r="L103" i="1"/>
  <c r="M99" i="1"/>
  <c r="M94" i="1"/>
  <c r="L96" i="1"/>
  <c r="C97" i="1"/>
  <c r="C104" i="1"/>
  <c r="C100" i="1"/>
  <c r="C95" i="1"/>
  <c r="M103" i="1"/>
  <c r="L100" i="1"/>
  <c r="BD77" i="1"/>
  <c r="BE76" i="1"/>
  <c r="BD76" i="1"/>
  <c r="T77" i="1"/>
  <c r="U76" i="1"/>
  <c r="T76" i="1"/>
  <c r="B77" i="1"/>
  <c r="C76" i="1"/>
  <c r="B76" i="1"/>
  <c r="BY45" i="1"/>
  <c r="BY51" i="1"/>
  <c r="BY46" i="1"/>
  <c r="BY52" i="1"/>
  <c r="BY48" i="1"/>
  <c r="BY43" i="1"/>
  <c r="BY49" i="1"/>
  <c r="BY44" i="1"/>
  <c r="BY50" i="1"/>
  <c r="BY47" i="1"/>
  <c r="BC31" i="1"/>
  <c r="BC32" i="1"/>
  <c r="BV25" i="1"/>
  <c r="BW24" i="1"/>
  <c r="BE24" i="1"/>
  <c r="BD24" i="1"/>
  <c r="BD25" i="1"/>
  <c r="AV39" i="1"/>
  <c r="AW39" i="1"/>
  <c r="AW51" i="1"/>
  <c r="AW43" i="1"/>
  <c r="AV46" i="1"/>
  <c r="AW40" i="1"/>
  <c r="AW52" i="1"/>
  <c r="AV47" i="1"/>
  <c r="AW47" i="1"/>
  <c r="AV44" i="1"/>
  <c r="AW45" i="1"/>
  <c r="AV40" i="1"/>
  <c r="AV43" i="1"/>
  <c r="AW44" i="1"/>
  <c r="AV45" i="1"/>
  <c r="AV52" i="1"/>
  <c r="AW46" i="1"/>
  <c r="AV51" i="1"/>
  <c r="AW48" i="1"/>
  <c r="AM24" i="1"/>
  <c r="AL24" i="1"/>
  <c r="AL25" i="1"/>
  <c r="U24" i="1"/>
  <c r="T24" i="1"/>
  <c r="T25" i="1"/>
  <c r="W45" i="1" l="1"/>
  <c r="V47" i="1"/>
  <c r="AD51" i="1"/>
  <c r="W51" i="1"/>
  <c r="V52" i="1"/>
  <c r="V44" i="1"/>
  <c r="AE43" i="1"/>
  <c r="AD39" i="1"/>
  <c r="AE46" i="1"/>
  <c r="AM52" i="1"/>
  <c r="AT97" i="1"/>
  <c r="G102" i="1"/>
  <c r="AM49" i="1"/>
  <c r="Z93" i="1"/>
  <c r="E98" i="1"/>
  <c r="Z100" i="1"/>
  <c r="F97" i="1"/>
  <c r="AN44" i="1"/>
  <c r="F98" i="1"/>
  <c r="G92" i="1"/>
  <c r="D100" i="1"/>
  <c r="W47" i="1"/>
  <c r="E102" i="1"/>
  <c r="AQ91" i="1"/>
  <c r="Z103" i="1"/>
  <c r="AN48" i="1"/>
  <c r="X103" i="1"/>
  <c r="X104" i="1"/>
  <c r="Y100" i="1"/>
  <c r="AA93" i="1"/>
  <c r="Z102" i="1"/>
  <c r="AD43" i="1"/>
  <c r="AN52" i="1"/>
  <c r="Y93" i="1"/>
  <c r="Y101" i="1"/>
  <c r="AA101" i="1"/>
  <c r="AL48" i="1"/>
  <c r="AN47" i="1"/>
  <c r="X94" i="1"/>
  <c r="X102" i="1"/>
  <c r="X99" i="1"/>
  <c r="Y92" i="1"/>
  <c r="AA100" i="1"/>
  <c r="X91" i="1"/>
  <c r="AU92" i="1"/>
  <c r="AN45" i="1"/>
  <c r="X93" i="1"/>
  <c r="AO43" i="1"/>
  <c r="Y94" i="1"/>
  <c r="AA103" i="1"/>
  <c r="Y99" i="1"/>
  <c r="AO45" i="1"/>
  <c r="Z99" i="1"/>
  <c r="AO46" i="1"/>
  <c r="X101" i="1"/>
  <c r="X92" i="1"/>
  <c r="Z91" i="1"/>
  <c r="AA94" i="1"/>
  <c r="X100" i="1"/>
  <c r="Y91" i="1"/>
  <c r="Z101" i="1"/>
  <c r="AA102" i="1"/>
  <c r="Z92" i="1"/>
  <c r="AM47" i="1"/>
  <c r="AL47" i="1"/>
  <c r="Z94" i="1"/>
  <c r="AM44" i="1"/>
  <c r="AL52" i="1"/>
  <c r="AM48" i="1"/>
  <c r="Y104" i="1"/>
  <c r="Z104" i="1"/>
  <c r="AO51" i="1"/>
  <c r="Y103" i="1"/>
  <c r="CH93" i="1"/>
  <c r="AA91" i="1"/>
  <c r="AA104" i="1"/>
  <c r="BZ41" i="1"/>
  <c r="W39" i="1"/>
  <c r="AE45" i="1"/>
  <c r="W40" i="1"/>
  <c r="AE44" i="1"/>
  <c r="AD46" i="1"/>
  <c r="V39" i="1"/>
  <c r="W52" i="1"/>
  <c r="AD44" i="1"/>
  <c r="W43" i="1"/>
  <c r="AE39" i="1"/>
  <c r="AE51" i="1"/>
  <c r="AD40" i="1"/>
  <c r="AD52" i="1"/>
  <c r="V43" i="1"/>
  <c r="V51" i="1"/>
  <c r="W48" i="1"/>
  <c r="AE47" i="1"/>
  <c r="V48" i="1"/>
  <c r="V40" i="1"/>
  <c r="W46" i="1"/>
  <c r="AD48" i="1"/>
  <c r="AD47" i="1"/>
  <c r="AE40" i="1"/>
  <c r="W44" i="1"/>
  <c r="AD45" i="1"/>
  <c r="AE52" i="1"/>
  <c r="V46" i="1"/>
  <c r="AE48" i="1"/>
  <c r="D99" i="1"/>
  <c r="E101" i="1"/>
  <c r="E91" i="1"/>
  <c r="G97" i="1"/>
  <c r="D91" i="1"/>
  <c r="D92" i="1"/>
  <c r="F99" i="1"/>
  <c r="AU94" i="1"/>
  <c r="BM95" i="1"/>
  <c r="G100" i="1"/>
  <c r="CI101" i="1"/>
  <c r="D98" i="1"/>
  <c r="D97" i="1"/>
  <c r="E92" i="1"/>
  <c r="G91" i="1"/>
  <c r="F100" i="1"/>
  <c r="G98" i="1"/>
  <c r="D103" i="1"/>
  <c r="F103" i="1"/>
  <c r="G103" i="1"/>
  <c r="G104" i="1"/>
  <c r="D102" i="1"/>
  <c r="E104" i="1"/>
  <c r="D104" i="1"/>
  <c r="G101" i="1"/>
  <c r="E103" i="1"/>
  <c r="F101" i="1"/>
  <c r="E100" i="1"/>
  <c r="F92" i="1"/>
  <c r="F102" i="1"/>
  <c r="E99" i="1"/>
  <c r="F104" i="1"/>
  <c r="G99" i="1"/>
  <c r="D101" i="1"/>
  <c r="E97" i="1"/>
  <c r="F91" i="1"/>
  <c r="AQ101" i="1"/>
  <c r="BZ51" i="1"/>
  <c r="AQ104" i="1"/>
  <c r="AT94" i="1"/>
  <c r="AU91" i="1"/>
  <c r="BL104" i="1"/>
  <c r="CZ101" i="1"/>
  <c r="BJ96" i="1"/>
  <c r="AT102" i="1"/>
  <c r="AU93" i="1"/>
  <c r="BJ94" i="1"/>
  <c r="BK103" i="1"/>
  <c r="BM93" i="1"/>
  <c r="BM92" i="1"/>
  <c r="AP102" i="1"/>
  <c r="AP101" i="1"/>
  <c r="AP93" i="1"/>
  <c r="AQ97" i="1"/>
  <c r="AT93" i="1"/>
  <c r="BK101" i="1"/>
  <c r="BK102" i="1"/>
  <c r="BJ95" i="1"/>
  <c r="BM91" i="1"/>
  <c r="AU103" i="1"/>
  <c r="CA42" i="1"/>
  <c r="AP98" i="1"/>
  <c r="AT92" i="1"/>
  <c r="BK96" i="1"/>
  <c r="BJ93" i="1"/>
  <c r="BM101" i="1"/>
  <c r="BJ101" i="1"/>
  <c r="BM104" i="1"/>
  <c r="AU104" i="1"/>
  <c r="BL93" i="1"/>
  <c r="BM103" i="1"/>
  <c r="AQ94" i="1"/>
  <c r="AP104" i="1"/>
  <c r="AQ98" i="1"/>
  <c r="AU97" i="1"/>
  <c r="BK94" i="1"/>
  <c r="BJ104" i="1"/>
  <c r="BL96" i="1"/>
  <c r="BM102" i="1"/>
  <c r="AP94" i="1"/>
  <c r="BL94" i="1"/>
  <c r="AT98" i="1"/>
  <c r="AP92" i="1"/>
  <c r="AQ93" i="1"/>
  <c r="AT103" i="1"/>
  <c r="AU98" i="1"/>
  <c r="BJ103" i="1"/>
  <c r="BL91" i="1"/>
  <c r="BL103" i="1"/>
  <c r="CA45" i="1"/>
  <c r="BL101" i="1"/>
  <c r="AP97" i="1"/>
  <c r="AQ102" i="1"/>
  <c r="AT104" i="1"/>
  <c r="AU102" i="1"/>
  <c r="BK95" i="1"/>
  <c r="BL92" i="1"/>
  <c r="BM96" i="1"/>
  <c r="CI94" i="1"/>
  <c r="BK93" i="1"/>
  <c r="AP91" i="1"/>
  <c r="AQ103" i="1"/>
  <c r="AT91" i="1"/>
  <c r="AU101" i="1"/>
  <c r="BK104" i="1"/>
  <c r="BJ102" i="1"/>
  <c r="BL95" i="1"/>
  <c r="BM94" i="1"/>
  <c r="AP103" i="1"/>
  <c r="AQ92" i="1"/>
  <c r="AT101" i="1"/>
  <c r="BL102" i="1"/>
  <c r="CA47" i="1"/>
  <c r="BZ49" i="1"/>
  <c r="CB101" i="1"/>
  <c r="CB102" i="1"/>
  <c r="CH94" i="1"/>
  <c r="CA48" i="1"/>
  <c r="DA96" i="1"/>
  <c r="CA51" i="1"/>
  <c r="BZ42" i="1"/>
  <c r="CA50" i="1"/>
  <c r="AL44" i="1"/>
  <c r="AO48" i="1"/>
  <c r="AL45" i="1"/>
  <c r="AM51" i="1"/>
  <c r="BW51" i="1"/>
  <c r="BW49" i="1"/>
  <c r="BW46" i="1"/>
  <c r="CB91" i="1"/>
  <c r="CB92" i="1"/>
  <c r="CC100" i="1"/>
  <c r="CH99" i="1"/>
  <c r="CA41" i="1"/>
  <c r="BV47" i="1"/>
  <c r="BZ50" i="1"/>
  <c r="CC92" i="1"/>
  <c r="BW52" i="1"/>
  <c r="CH96" i="1"/>
  <c r="AO52" i="1"/>
  <c r="AM45" i="1"/>
  <c r="BW45" i="1"/>
  <c r="BV49" i="1"/>
  <c r="CB96" i="1"/>
  <c r="CB100" i="1"/>
  <c r="CC95" i="1"/>
  <c r="CI91" i="1"/>
  <c r="CH101" i="1"/>
  <c r="BZ45" i="1"/>
  <c r="CI95" i="1"/>
  <c r="AL43" i="1"/>
  <c r="AL49" i="1"/>
  <c r="AN43" i="1"/>
  <c r="BV51" i="1"/>
  <c r="BV48" i="1"/>
  <c r="BV46" i="1"/>
  <c r="CC93" i="1"/>
  <c r="CI102" i="1"/>
  <c r="CI96" i="1"/>
  <c r="CA46" i="1"/>
  <c r="BZ46" i="1"/>
  <c r="BZ48" i="1"/>
  <c r="CH100" i="1"/>
  <c r="BV52" i="1"/>
  <c r="CB99" i="1"/>
  <c r="AL50" i="1"/>
  <c r="BV45" i="1"/>
  <c r="CB93" i="1"/>
  <c r="CC94" i="1"/>
  <c r="CI100" i="1"/>
  <c r="CA52" i="1"/>
  <c r="AN51" i="1"/>
  <c r="AL51" i="1"/>
  <c r="AN46" i="1"/>
  <c r="BW47" i="1"/>
  <c r="CH95" i="1"/>
  <c r="BV50" i="1"/>
  <c r="BW48" i="1"/>
  <c r="CB94" i="1"/>
  <c r="AM46" i="1"/>
  <c r="BZ52" i="1"/>
  <c r="AL46" i="1"/>
  <c r="AM50" i="1"/>
  <c r="BW50" i="1"/>
  <c r="BZ47" i="1"/>
  <c r="AO47" i="1"/>
  <c r="AM43" i="1"/>
  <c r="AO44" i="1"/>
  <c r="CH92" i="1"/>
  <c r="AA99" i="1"/>
  <c r="CC101" i="1"/>
  <c r="CC96" i="1"/>
  <c r="CI92" i="1"/>
  <c r="CA49" i="1"/>
  <c r="CC102" i="1"/>
  <c r="CH91" i="1"/>
  <c r="CI99" i="1"/>
  <c r="BJ52" i="1"/>
  <c r="CC99" i="1"/>
  <c r="CH102" i="1"/>
  <c r="CB95" i="1"/>
  <c r="CC91" i="1"/>
  <c r="CI93" i="1"/>
  <c r="BD50" i="1"/>
  <c r="CV91" i="1"/>
  <c r="CV102" i="1"/>
  <c r="AA92" i="1"/>
  <c r="DA91" i="1"/>
  <c r="DA101" i="1"/>
  <c r="CZ102" i="1"/>
  <c r="CZ94" i="1"/>
  <c r="BX24" i="1" a="1"/>
  <c r="BX25" i="1" s="1"/>
  <c r="CV95" i="1"/>
  <c r="BJ51" i="1"/>
  <c r="CV93" i="1"/>
  <c r="CZ96" i="1"/>
  <c r="CZ93" i="1"/>
  <c r="BD49" i="1"/>
  <c r="BD51" i="1"/>
  <c r="BE41" i="1"/>
  <c r="DA92" i="1"/>
  <c r="BE47" i="1"/>
  <c r="BD41" i="1"/>
  <c r="BK50" i="1"/>
  <c r="CZ95" i="1"/>
  <c r="CV96" i="1"/>
  <c r="DA95" i="1"/>
  <c r="BJ50" i="1"/>
  <c r="BE48" i="1"/>
  <c r="DA93" i="1"/>
  <c r="CZ91" i="1"/>
  <c r="CZ92" i="1"/>
  <c r="BK49" i="1"/>
  <c r="BE51" i="1"/>
  <c r="BE52" i="1"/>
  <c r="CV98" i="1"/>
  <c r="DA102" i="1"/>
  <c r="CV94" i="1"/>
  <c r="BD47" i="1"/>
  <c r="BJ49" i="1"/>
  <c r="BD48" i="1"/>
  <c r="BK41" i="1"/>
  <c r="BD52" i="1"/>
  <c r="BX76" i="1" a="1"/>
  <c r="BX77" i="1" s="1"/>
  <c r="BK47" i="1"/>
  <c r="BE50" i="1"/>
  <c r="BJ48" i="1"/>
  <c r="BX78" i="1" a="1"/>
  <c r="BY79" i="1" s="1"/>
  <c r="BJ41" i="1"/>
  <c r="BJ42" i="1"/>
  <c r="BJ44" i="1"/>
  <c r="BD44" i="1"/>
  <c r="BE42" i="1"/>
  <c r="BE43" i="1"/>
  <c r="BK44" i="1"/>
  <c r="BJ43" i="1"/>
  <c r="BD42" i="1"/>
  <c r="BK43" i="1"/>
  <c r="BE44" i="1"/>
  <c r="BD43" i="1"/>
  <c r="BK42" i="1"/>
  <c r="AN78" i="1" a="1"/>
  <c r="AN78" i="1" s="1"/>
  <c r="AN76" i="1" a="1"/>
  <c r="AO76" i="1" s="1"/>
  <c r="CV97" i="1"/>
  <c r="BJ47" i="1"/>
  <c r="BE49" i="1"/>
  <c r="BK51" i="1"/>
  <c r="BK52" i="1"/>
  <c r="BK48" i="1"/>
  <c r="DA94" i="1"/>
  <c r="CV92" i="1"/>
  <c r="CW102" i="1"/>
  <c r="CW101" i="1"/>
  <c r="CV101" i="1"/>
  <c r="CW93" i="1"/>
  <c r="CW92" i="1"/>
  <c r="CW91" i="1"/>
  <c r="CW94" i="1"/>
  <c r="CW96" i="1"/>
  <c r="CW95" i="1"/>
  <c r="CW97" i="1"/>
  <c r="CW98" i="1"/>
  <c r="CP78" i="1" a="1"/>
  <c r="CP76" i="1" a="1"/>
  <c r="D78" i="1" a="1"/>
  <c r="D76" i="1" a="1"/>
  <c r="BF78" i="1" a="1"/>
  <c r="BF76" i="1" a="1"/>
  <c r="V78" i="1" a="1"/>
  <c r="V76" i="1" a="1"/>
  <c r="BX26" i="1" a="1"/>
  <c r="BF26" i="1" a="1"/>
  <c r="BF24" i="1" a="1"/>
  <c r="AN26" i="1" a="1"/>
  <c r="AN24" i="1" a="1"/>
  <c r="V26" i="1" a="1"/>
  <c r="V24" i="1" a="1"/>
  <c r="BY77" i="1" l="1"/>
  <c r="BX76" i="1"/>
  <c r="BY76" i="1"/>
  <c r="BX24" i="1"/>
  <c r="BY24" i="1"/>
  <c r="BY25" i="1"/>
  <c r="BY78" i="1"/>
  <c r="BX78" i="1"/>
  <c r="BX79" i="1"/>
  <c r="AO77" i="1"/>
  <c r="AN77" i="1"/>
  <c r="AN76" i="1"/>
  <c r="AO79" i="1"/>
  <c r="AN79" i="1"/>
  <c r="AO78" i="1"/>
  <c r="CP77" i="1"/>
  <c r="CQ76" i="1"/>
  <c r="CP76" i="1"/>
  <c r="CQ77" i="1"/>
  <c r="CP79" i="1"/>
  <c r="CQ78" i="1"/>
  <c r="CP78" i="1"/>
  <c r="CQ79" i="1"/>
  <c r="BG77" i="1"/>
  <c r="BF77" i="1"/>
  <c r="BG76" i="1"/>
  <c r="BF76" i="1"/>
  <c r="BG79" i="1"/>
  <c r="BF79" i="1"/>
  <c r="BG78" i="1"/>
  <c r="BF78" i="1"/>
  <c r="E77" i="1"/>
  <c r="D77" i="1"/>
  <c r="E76" i="1"/>
  <c r="D76" i="1"/>
  <c r="W77" i="1"/>
  <c r="V77" i="1"/>
  <c r="W76" i="1"/>
  <c r="V76" i="1"/>
  <c r="D78" i="1"/>
  <c r="E79" i="1"/>
  <c r="D79" i="1"/>
  <c r="E78" i="1"/>
  <c r="V79" i="1"/>
  <c r="W78" i="1"/>
  <c r="V78" i="1"/>
  <c r="W79" i="1"/>
  <c r="BX27" i="1"/>
  <c r="BY26" i="1"/>
  <c r="BX26" i="1"/>
  <c r="BY27" i="1"/>
  <c r="BF25" i="1"/>
  <c r="BG24" i="1"/>
  <c r="BF24" i="1"/>
  <c r="BG25" i="1"/>
  <c r="BF27" i="1"/>
  <c r="BG26" i="1"/>
  <c r="BF26" i="1"/>
  <c r="BG27" i="1"/>
  <c r="AN27" i="1"/>
  <c r="AO26" i="1"/>
  <c r="AN26" i="1"/>
  <c r="AO27" i="1"/>
  <c r="AN25" i="1"/>
  <c r="AO24" i="1"/>
  <c r="AN24" i="1"/>
  <c r="AO25" i="1"/>
  <c r="V25" i="1"/>
  <c r="W24" i="1"/>
  <c r="V24" i="1"/>
  <c r="W25" i="1"/>
  <c r="V27" i="1"/>
  <c r="W26" i="1"/>
  <c r="W27" i="1"/>
  <c r="V26" i="1"/>
  <c r="BV26" i="1" l="1" a="1"/>
  <c r="BW27" i="1" s="1"/>
  <c r="BV78" i="1" a="1"/>
  <c r="BW78" i="1" s="1"/>
  <c r="AL78" i="1" a="1"/>
  <c r="CN78" i="1" a="1"/>
  <c r="T78" i="1" a="1"/>
  <c r="B78" i="1" a="1"/>
  <c r="BD78" i="1" a="1"/>
  <c r="BD26" i="1" a="1"/>
  <c r="AL26" i="1" a="1"/>
  <c r="T26" i="1" a="1"/>
  <c r="BV26" i="1" l="1"/>
  <c r="BW26" i="1"/>
  <c r="BV27" i="1"/>
  <c r="BV79" i="1"/>
  <c r="BW79" i="1"/>
  <c r="BV78" i="1"/>
  <c r="AM79" i="1"/>
  <c r="AM78" i="1"/>
  <c r="AL78" i="1"/>
  <c r="AL79" i="1"/>
  <c r="CO79" i="1"/>
  <c r="CN79" i="1"/>
  <c r="CO78" i="1"/>
  <c r="CN78" i="1"/>
  <c r="C79" i="1"/>
  <c r="B79" i="1"/>
  <c r="C78" i="1"/>
  <c r="B78" i="1"/>
  <c r="U79" i="1"/>
  <c r="T79" i="1"/>
  <c r="U78" i="1"/>
  <c r="T78" i="1"/>
  <c r="BE79" i="1"/>
  <c r="BD79" i="1"/>
  <c r="BE78" i="1"/>
  <c r="BD78" i="1"/>
  <c r="BE27" i="1"/>
  <c r="BD27" i="1"/>
  <c r="BE26" i="1"/>
  <c r="BD26" i="1"/>
  <c r="AM27" i="1"/>
  <c r="AL27" i="1"/>
  <c r="AM26" i="1"/>
  <c r="AL26" i="1"/>
  <c r="U27" i="1"/>
  <c r="T27" i="1"/>
  <c r="U26" i="1"/>
  <c r="T26" i="1"/>
  <c r="T31" i="1" l="1" a="1"/>
  <c r="V33" i="1" s="1"/>
  <c r="AD49" i="1" s="1"/>
  <c r="BV31" i="1" a="1"/>
  <c r="BW32" i="1" s="1"/>
  <c r="BW40" i="1" s="1"/>
  <c r="BV83" i="1" a="1"/>
  <c r="BV86" i="1" s="1"/>
  <c r="B83" i="1" a="1"/>
  <c r="D86" i="1" s="1"/>
  <c r="BD83" i="1" a="1"/>
  <c r="BG86" i="1" s="1"/>
  <c r="AL31" i="1" a="1"/>
  <c r="AL33" i="1" s="1"/>
  <c r="AL83" i="1" a="1"/>
  <c r="CN83" i="1" a="1"/>
  <c r="T83" i="1" a="1"/>
  <c r="BD31" i="1" a="1"/>
  <c r="V34" i="1"/>
  <c r="AD50" i="1" s="1"/>
  <c r="T32" i="1" l="1"/>
  <c r="V42" i="1" s="1"/>
  <c r="BX32" i="1"/>
  <c r="BZ40" i="1" s="1"/>
  <c r="V31" i="1"/>
  <c r="AD41" i="1" s="1"/>
  <c r="BV33" i="1"/>
  <c r="W34" i="1"/>
  <c r="AE50" i="1" s="1"/>
  <c r="BV34" i="1"/>
  <c r="V32" i="1"/>
  <c r="AD42" i="1" s="1"/>
  <c r="W31" i="1"/>
  <c r="AE41" i="1" s="1"/>
  <c r="W33" i="1"/>
  <c r="AE49" i="1" s="1"/>
  <c r="U32" i="1"/>
  <c r="W42" i="1" s="1"/>
  <c r="T34" i="1"/>
  <c r="V50" i="1" s="1"/>
  <c r="U31" i="1"/>
  <c r="W41" i="1" s="1"/>
  <c r="T33" i="1"/>
  <c r="V49" i="1" s="1"/>
  <c r="W32" i="1"/>
  <c r="AE42" i="1" s="1"/>
  <c r="U34" i="1"/>
  <c r="W50" i="1" s="1"/>
  <c r="U33" i="1"/>
  <c r="W49" i="1" s="1"/>
  <c r="T31" i="1"/>
  <c r="V41" i="1" s="1"/>
  <c r="BW31" i="1"/>
  <c r="BW39" i="1" s="1"/>
  <c r="BX33" i="1"/>
  <c r="BW34" i="1"/>
  <c r="BY32" i="1"/>
  <c r="CA40" i="1" s="1"/>
  <c r="BX31" i="1"/>
  <c r="BW83" i="1"/>
  <c r="BY31" i="1"/>
  <c r="BY33" i="1"/>
  <c r="BY34" i="1"/>
  <c r="CA44" i="1" s="1"/>
  <c r="BV31" i="1"/>
  <c r="BV39" i="1" s="1"/>
  <c r="BW33" i="1"/>
  <c r="BW43" i="1" s="1"/>
  <c r="BX34" i="1"/>
  <c r="BZ44" i="1" s="1"/>
  <c r="BV32" i="1"/>
  <c r="BV40" i="1" s="1"/>
  <c r="BY84" i="1"/>
  <c r="CI98" i="1" s="1"/>
  <c r="BY85" i="1"/>
  <c r="CI103" i="1" s="1"/>
  <c r="BV83" i="1"/>
  <c r="CB97" i="1" s="1"/>
  <c r="BW86" i="1"/>
  <c r="BY83" i="1"/>
  <c r="BY86" i="1"/>
  <c r="CI104" i="1" s="1"/>
  <c r="BX84" i="1"/>
  <c r="CH98" i="1" s="1"/>
  <c r="BX83" i="1"/>
  <c r="CH97" i="1" s="1"/>
  <c r="BX86" i="1"/>
  <c r="CH104" i="1" s="1"/>
  <c r="BV85" i="1"/>
  <c r="CB103" i="1" s="1"/>
  <c r="BV84" i="1"/>
  <c r="CB98" i="1" s="1"/>
  <c r="BW85" i="1"/>
  <c r="CC103" i="1" s="1"/>
  <c r="BW84" i="1"/>
  <c r="CC98" i="1" s="1"/>
  <c r="BX85" i="1"/>
  <c r="CH103" i="1" s="1"/>
  <c r="E83" i="1"/>
  <c r="G93" i="1" s="1"/>
  <c r="E86" i="1"/>
  <c r="G96" i="1" s="1"/>
  <c r="B84" i="1"/>
  <c r="D94" i="1" s="1"/>
  <c r="B85" i="1"/>
  <c r="D95" i="1" s="1"/>
  <c r="AL31" i="1"/>
  <c r="AL39" i="1" s="1"/>
  <c r="C85" i="1"/>
  <c r="E95" i="1" s="1"/>
  <c r="C84" i="1"/>
  <c r="E94" i="1" s="1"/>
  <c r="BD85" i="1"/>
  <c r="BJ99" i="1" s="1"/>
  <c r="BE85" i="1"/>
  <c r="BK99" i="1" s="1"/>
  <c r="AO32" i="1"/>
  <c r="AO40" i="1" s="1"/>
  <c r="B86" i="1"/>
  <c r="D96" i="1" s="1"/>
  <c r="BE83" i="1"/>
  <c r="BE91" i="1" s="1"/>
  <c r="C83" i="1"/>
  <c r="E93" i="1" s="1"/>
  <c r="BE86" i="1"/>
  <c r="BK100" i="1" s="1"/>
  <c r="AM34" i="1"/>
  <c r="AM42" i="1" s="1"/>
  <c r="AN31" i="1"/>
  <c r="AN39" i="1" s="1"/>
  <c r="AN32" i="1"/>
  <c r="AN40" i="1" s="1"/>
  <c r="B83" i="1"/>
  <c r="D93" i="1" s="1"/>
  <c r="BF85" i="1"/>
  <c r="BL99" i="1" s="1"/>
  <c r="C86" i="1"/>
  <c r="E96" i="1" s="1"/>
  <c r="AL34" i="1"/>
  <c r="AL42" i="1" s="1"/>
  <c r="BG85" i="1"/>
  <c r="BM99" i="1" s="1"/>
  <c r="AM33" i="1"/>
  <c r="AM41" i="1" s="1"/>
  <c r="AN33" i="1"/>
  <c r="AV49" i="1" s="1"/>
  <c r="D85" i="1"/>
  <c r="F95" i="1" s="1"/>
  <c r="D84" i="1"/>
  <c r="F94" i="1" s="1"/>
  <c r="BD83" i="1"/>
  <c r="BD91" i="1" s="1"/>
  <c r="AM31" i="1"/>
  <c r="AM39" i="1" s="1"/>
  <c r="AO33" i="1"/>
  <c r="AW49" i="1" s="1"/>
  <c r="E85" i="1"/>
  <c r="G95" i="1" s="1"/>
  <c r="E84" i="1"/>
  <c r="G94" i="1" s="1"/>
  <c r="BD86" i="1"/>
  <c r="BJ100" i="1" s="1"/>
  <c r="AO31" i="1"/>
  <c r="AO39" i="1" s="1"/>
  <c r="BD84" i="1"/>
  <c r="BD92" i="1" s="1"/>
  <c r="BF83" i="1"/>
  <c r="BL97" i="1" s="1"/>
  <c r="AN34" i="1"/>
  <c r="AV50" i="1" s="1"/>
  <c r="BE84" i="1"/>
  <c r="BE92" i="1" s="1"/>
  <c r="BF86" i="1"/>
  <c r="BL100" i="1" s="1"/>
  <c r="AL32" i="1"/>
  <c r="AL40" i="1" s="1"/>
  <c r="D83" i="1"/>
  <c r="F93" i="1" s="1"/>
  <c r="BF84" i="1"/>
  <c r="BL98" i="1" s="1"/>
  <c r="BG83" i="1"/>
  <c r="BM97" i="1" s="1"/>
  <c r="AO34" i="1"/>
  <c r="AW50" i="1" s="1"/>
  <c r="AM32" i="1"/>
  <c r="AM40" i="1" s="1"/>
  <c r="BG84" i="1"/>
  <c r="BM98" i="1" s="1"/>
  <c r="BW42" i="1"/>
  <c r="BW44" i="1"/>
  <c r="BZ96" i="1"/>
  <c r="L102" i="1"/>
  <c r="F96" i="1"/>
  <c r="BM100" i="1"/>
  <c r="BX39" i="1"/>
  <c r="BZ39" i="1"/>
  <c r="BZ92" i="1"/>
  <c r="CA91" i="1"/>
  <c r="CI97" i="1"/>
  <c r="M91" i="1"/>
  <c r="BD97" i="1"/>
  <c r="AV42" i="1"/>
  <c r="BX42" i="1"/>
  <c r="CA92" i="1"/>
  <c r="M102" i="1"/>
  <c r="BE97" i="1"/>
  <c r="AM83" i="1"/>
  <c r="AO83" i="1"/>
  <c r="AL86" i="1"/>
  <c r="AL83" i="1"/>
  <c r="AN83" i="1"/>
  <c r="AO85" i="1"/>
  <c r="AN85" i="1"/>
  <c r="AO84" i="1"/>
  <c r="AN86" i="1"/>
  <c r="AM85" i="1"/>
  <c r="AN84" i="1"/>
  <c r="AM84" i="1"/>
  <c r="AL84" i="1"/>
  <c r="AM86" i="1"/>
  <c r="AL85" i="1"/>
  <c r="AO86" i="1"/>
  <c r="AW42" i="1"/>
  <c r="BV95" i="1"/>
  <c r="BV92" i="1"/>
  <c r="B92" i="1"/>
  <c r="AN50" i="1"/>
  <c r="AN49" i="1"/>
  <c r="AL41" i="1"/>
  <c r="BW95" i="1"/>
  <c r="BW92" i="1"/>
  <c r="C92" i="1"/>
  <c r="BY41" i="1"/>
  <c r="CA43" i="1"/>
  <c r="L91" i="1"/>
  <c r="BJ92" i="1"/>
  <c r="BX40" i="1"/>
  <c r="BZ95" i="1"/>
  <c r="L101" i="1"/>
  <c r="L92" i="1"/>
  <c r="BV41" i="1"/>
  <c r="BV43" i="1"/>
  <c r="CA95" i="1"/>
  <c r="M101" i="1"/>
  <c r="M92" i="1"/>
  <c r="BD98" i="1"/>
  <c r="AO50" i="1"/>
  <c r="AW41" i="1"/>
  <c r="BW41" i="1"/>
  <c r="BV96" i="1"/>
  <c r="CB104" i="1"/>
  <c r="B102" i="1"/>
  <c r="C101" i="1"/>
  <c r="BE98" i="1"/>
  <c r="BY40" i="1"/>
  <c r="BW96" i="1"/>
  <c r="CC104" i="1"/>
  <c r="C102" i="1"/>
  <c r="BY42" i="1"/>
  <c r="BK92" i="1"/>
  <c r="AV41" i="1"/>
  <c r="CA96" i="1"/>
  <c r="AO49" i="1"/>
  <c r="BV42" i="1"/>
  <c r="BV44" i="1"/>
  <c r="BV91" i="1"/>
  <c r="B91" i="1"/>
  <c r="B101" i="1"/>
  <c r="BX41" i="1"/>
  <c r="BZ43" i="1"/>
  <c r="BW91" i="1"/>
  <c r="CC97" i="1"/>
  <c r="C91" i="1"/>
  <c r="BJ91" i="1"/>
  <c r="BY39" i="1"/>
  <c r="CA39" i="1"/>
  <c r="BZ91" i="1"/>
  <c r="BK91" i="1"/>
  <c r="CQ85" i="1"/>
  <c r="DA103" i="1" s="1"/>
  <c r="CP85" i="1"/>
  <c r="CZ103" i="1" s="1"/>
  <c r="CN83" i="1"/>
  <c r="CO85" i="1"/>
  <c r="CN85" i="1"/>
  <c r="CN86" i="1"/>
  <c r="CQ84" i="1"/>
  <c r="CP84" i="1"/>
  <c r="CO84" i="1"/>
  <c r="CN84" i="1"/>
  <c r="CQ86" i="1"/>
  <c r="DA104" i="1" s="1"/>
  <c r="CQ83" i="1"/>
  <c r="CP86" i="1"/>
  <c r="CZ104" i="1" s="1"/>
  <c r="CP83" i="1"/>
  <c r="CO86" i="1"/>
  <c r="CO83" i="1"/>
  <c r="W85" i="1"/>
  <c r="V85" i="1"/>
  <c r="U85" i="1"/>
  <c r="T85" i="1"/>
  <c r="W84" i="1"/>
  <c r="V84" i="1"/>
  <c r="U84" i="1"/>
  <c r="T84" i="1"/>
  <c r="W86" i="1"/>
  <c r="W83" i="1"/>
  <c r="V86" i="1"/>
  <c r="V83" i="1"/>
  <c r="U86" i="1"/>
  <c r="U83" i="1"/>
  <c r="T83" i="1"/>
  <c r="T86" i="1"/>
  <c r="BG33" i="1"/>
  <c r="BK45" i="1" s="1"/>
  <c r="BE33" i="1"/>
  <c r="BE45" i="1" s="1"/>
  <c r="BF33" i="1"/>
  <c r="BJ45" i="1" s="1"/>
  <c r="BD33" i="1"/>
  <c r="BD45" i="1" s="1"/>
  <c r="BG32" i="1"/>
  <c r="BK40" i="1" s="1"/>
  <c r="BF32" i="1"/>
  <c r="BJ40" i="1" s="1"/>
  <c r="BF31" i="1"/>
  <c r="BJ39" i="1" s="1"/>
  <c r="BD34" i="1"/>
  <c r="BD46" i="1" s="1"/>
  <c r="BE32" i="1"/>
  <c r="BE40" i="1" s="1"/>
  <c r="BF34" i="1"/>
  <c r="BJ46" i="1" s="1"/>
  <c r="BD32" i="1"/>
  <c r="BD40" i="1" s="1"/>
  <c r="BG34" i="1"/>
  <c r="BK46" i="1" s="1"/>
  <c r="BG31" i="1"/>
  <c r="BK39" i="1" s="1"/>
  <c r="BE34" i="1"/>
  <c r="BE46" i="1" s="1"/>
  <c r="BE31" i="1"/>
  <c r="BE39" i="1" s="1"/>
  <c r="BD31" i="1"/>
  <c r="BD39" i="1" s="1"/>
  <c r="BJ97" i="1" l="1"/>
  <c r="BJ98" i="1"/>
  <c r="BK97" i="1"/>
  <c r="AN41" i="1"/>
  <c r="AN42" i="1"/>
  <c r="AO42" i="1"/>
  <c r="BK98" i="1"/>
  <c r="AO41" i="1"/>
  <c r="CU98" i="1"/>
  <c r="CW100" i="1"/>
  <c r="CU97" i="1"/>
  <c r="CW99" i="1"/>
  <c r="CU103" i="1"/>
  <c r="CW103" i="1"/>
  <c r="AO92" i="1"/>
  <c r="AU96" i="1"/>
  <c r="CU104" i="1"/>
  <c r="CW104" i="1"/>
  <c r="CT97" i="1"/>
  <c r="CV99" i="1"/>
  <c r="AN93" i="1"/>
  <c r="AT99" i="1"/>
  <c r="AL92" i="1"/>
  <c r="AP96" i="1"/>
  <c r="DA98" i="1"/>
  <c r="DA100" i="1"/>
  <c r="AO93" i="1"/>
  <c r="AU99" i="1"/>
  <c r="CT104" i="1"/>
  <c r="CV104" i="1"/>
  <c r="CZ97" i="1"/>
  <c r="CZ99" i="1"/>
  <c r="AN91" i="1"/>
  <c r="AT95" i="1"/>
  <c r="DA97" i="1"/>
  <c r="DA99" i="1"/>
  <c r="AO94" i="1"/>
  <c r="AU100" i="1"/>
  <c r="AL91" i="1"/>
  <c r="AP95" i="1"/>
  <c r="AL93" i="1"/>
  <c r="AP99" i="1"/>
  <c r="AL94" i="1"/>
  <c r="AP100" i="1"/>
  <c r="CT103" i="1"/>
  <c r="CV103" i="1"/>
  <c r="CT98" i="1"/>
  <c r="CV100" i="1"/>
  <c r="AM94" i="1"/>
  <c r="AQ100" i="1"/>
  <c r="AO91" i="1"/>
  <c r="AU95" i="1"/>
  <c r="AM92" i="1"/>
  <c r="AQ96" i="1"/>
  <c r="AM91" i="1"/>
  <c r="AQ95" i="1"/>
  <c r="CZ98" i="1"/>
  <c r="CZ100" i="1"/>
  <c r="AN92" i="1"/>
  <c r="AT96" i="1"/>
  <c r="AM93" i="1"/>
  <c r="AQ99" i="1"/>
  <c r="AN94" i="1"/>
  <c r="AT100" i="1"/>
  <c r="AD93" i="1"/>
  <c r="Z95" i="1"/>
  <c r="W94" i="1"/>
  <c r="Y96" i="1"/>
  <c r="V93" i="1"/>
  <c r="X95" i="1"/>
  <c r="AD102" i="1"/>
  <c r="Z98" i="1"/>
  <c r="AE102" i="1"/>
  <c r="AA98" i="1"/>
  <c r="AD101" i="1"/>
  <c r="Z97" i="1"/>
  <c r="AE93" i="1"/>
  <c r="AA95" i="1"/>
  <c r="V94" i="1"/>
  <c r="X96" i="1"/>
  <c r="AD94" i="1"/>
  <c r="Z96" i="1"/>
  <c r="AE94" i="1"/>
  <c r="AA96" i="1"/>
  <c r="V102" i="1"/>
  <c r="X98" i="1"/>
  <c r="V101" i="1"/>
  <c r="X97" i="1"/>
  <c r="W101" i="1"/>
  <c r="Y97" i="1"/>
  <c r="W93" i="1"/>
  <c r="Y95" i="1"/>
  <c r="W102" i="1"/>
  <c r="Y98" i="1"/>
  <c r="AE101" i="1"/>
  <c r="AA97" i="1"/>
  <c r="B15" i="1"/>
  <c r="E12" i="1" s="1"/>
  <c r="A39" i="1" a="1"/>
  <c r="A43" i="1" s="1"/>
  <c r="A37" i="1"/>
  <c r="A23" i="1"/>
  <c r="A30" i="1" s="1"/>
  <c r="A31" i="1" a="1"/>
  <c r="A33" i="1" s="1"/>
  <c r="A24" i="1" a="1"/>
  <c r="A25" i="1" s="1"/>
  <c r="B268" i="1" l="1"/>
  <c r="B193" i="1"/>
  <c r="B314" i="1"/>
  <c r="B284" i="1"/>
  <c r="B329" i="1"/>
  <c r="B208" i="1"/>
  <c r="B223" i="1"/>
  <c r="B299" i="1"/>
  <c r="B238" i="1"/>
  <c r="B344" i="1"/>
  <c r="B253" i="1"/>
  <c r="H43" i="1"/>
  <c r="D43" i="1"/>
  <c r="I43" i="1"/>
  <c r="N43" i="1"/>
  <c r="O43" i="1"/>
  <c r="F43" i="1"/>
  <c r="E43" i="1"/>
  <c r="G43" i="1"/>
  <c r="F17" i="1"/>
  <c r="A42" i="1"/>
  <c r="A41" i="1"/>
  <c r="A52" i="1"/>
  <c r="A40" i="1"/>
  <c r="A51" i="1"/>
  <c r="A39" i="1"/>
  <c r="A50" i="1"/>
  <c r="A49" i="1"/>
  <c r="A48" i="1"/>
  <c r="A47" i="1"/>
  <c r="A46" i="1"/>
  <c r="A45" i="1"/>
  <c r="A44" i="1"/>
  <c r="B24" i="1"/>
  <c r="E13" i="1"/>
  <c r="A32" i="1"/>
  <c r="A34" i="1"/>
  <c r="A31" i="1"/>
  <c r="A24" i="1"/>
  <c r="A27" i="1"/>
  <c r="A26" i="1"/>
  <c r="B343" i="1" l="1"/>
  <c r="B252" i="1"/>
  <c r="B267" i="1"/>
  <c r="B192" i="1"/>
  <c r="B313" i="1"/>
  <c r="B283" i="1"/>
  <c r="B328" i="1"/>
  <c r="B207" i="1"/>
  <c r="B222" i="1"/>
  <c r="B298" i="1"/>
  <c r="B237" i="1"/>
  <c r="B194" i="1"/>
  <c r="B315" i="1"/>
  <c r="B285" i="1"/>
  <c r="B330" i="1"/>
  <c r="B209" i="1"/>
  <c r="B224" i="1"/>
  <c r="B300" i="1"/>
  <c r="B239" i="1"/>
  <c r="B345" i="1"/>
  <c r="B254" i="1"/>
  <c r="B269" i="1"/>
  <c r="D196" i="1"/>
  <c r="D317" i="1"/>
  <c r="F287" i="1"/>
  <c r="F332" i="1"/>
  <c r="D287" i="1"/>
  <c r="F211" i="1"/>
  <c r="D332" i="1"/>
  <c r="F226" i="1"/>
  <c r="D211" i="1"/>
  <c r="F302" i="1"/>
  <c r="F241" i="1"/>
  <c r="F347" i="1"/>
  <c r="F256" i="1"/>
  <c r="D226" i="1"/>
  <c r="D302" i="1"/>
  <c r="F271" i="1"/>
  <c r="D241" i="1"/>
  <c r="D347" i="1"/>
  <c r="D256" i="1"/>
  <c r="D271" i="1"/>
  <c r="F196" i="1"/>
  <c r="F317" i="1"/>
  <c r="F51" i="1"/>
  <c r="I51" i="1"/>
  <c r="G51" i="1"/>
  <c r="E51" i="1"/>
  <c r="D51" i="1"/>
  <c r="H51" i="1"/>
  <c r="O51" i="1"/>
  <c r="N51" i="1"/>
  <c r="E47" i="1"/>
  <c r="N47" i="1"/>
  <c r="F47" i="1"/>
  <c r="O47" i="1"/>
  <c r="G47" i="1"/>
  <c r="H47" i="1"/>
  <c r="I47" i="1"/>
  <c r="D47" i="1"/>
  <c r="D48" i="1"/>
  <c r="F48" i="1"/>
  <c r="G48" i="1"/>
  <c r="I48" i="1"/>
  <c r="O48" i="1"/>
  <c r="N48" i="1"/>
  <c r="E48" i="1"/>
  <c r="H48" i="1"/>
  <c r="N50" i="1"/>
  <c r="O50" i="1"/>
  <c r="G50" i="1"/>
  <c r="E50" i="1"/>
  <c r="F50" i="1"/>
  <c r="H50" i="1"/>
  <c r="D50" i="1"/>
  <c r="I50" i="1"/>
  <c r="N39" i="1"/>
  <c r="D39" i="1"/>
  <c r="I39" i="1"/>
  <c r="F39" i="1"/>
  <c r="G39" i="1"/>
  <c r="E39" i="1"/>
  <c r="H39" i="1"/>
  <c r="O39" i="1"/>
  <c r="G40" i="1"/>
  <c r="H40" i="1"/>
  <c r="N40" i="1"/>
  <c r="E40" i="1"/>
  <c r="O40" i="1"/>
  <c r="F40" i="1"/>
  <c r="I40" i="1"/>
  <c r="D40" i="1"/>
  <c r="E52" i="1"/>
  <c r="D52" i="1"/>
  <c r="G52" i="1"/>
  <c r="N52" i="1"/>
  <c r="H52" i="1"/>
  <c r="O52" i="1"/>
  <c r="I52" i="1"/>
  <c r="F52" i="1"/>
  <c r="O41" i="1"/>
  <c r="I41" i="1"/>
  <c r="H41" i="1"/>
  <c r="F41" i="1"/>
  <c r="G41" i="1"/>
  <c r="D41" i="1"/>
  <c r="E41" i="1"/>
  <c r="N41" i="1"/>
  <c r="G44" i="1"/>
  <c r="I44" i="1"/>
  <c r="H44" i="1"/>
  <c r="F44" i="1"/>
  <c r="E44" i="1"/>
  <c r="O44" i="1"/>
  <c r="N44" i="1"/>
  <c r="D44" i="1"/>
  <c r="E42" i="1"/>
  <c r="D42" i="1"/>
  <c r="F42" i="1"/>
  <c r="I42" i="1"/>
  <c r="O42" i="1"/>
  <c r="G42" i="1"/>
  <c r="H42" i="1"/>
  <c r="N42" i="1"/>
  <c r="D45" i="1"/>
  <c r="G45" i="1"/>
  <c r="E45" i="1"/>
  <c r="I45" i="1"/>
  <c r="O45" i="1"/>
  <c r="F45" i="1"/>
  <c r="N45" i="1"/>
  <c r="H45" i="1"/>
  <c r="I46" i="1"/>
  <c r="O46" i="1"/>
  <c r="G46" i="1"/>
  <c r="H46" i="1"/>
  <c r="F46" i="1"/>
  <c r="N46" i="1"/>
  <c r="D46" i="1"/>
  <c r="E46" i="1"/>
  <c r="E49" i="1"/>
  <c r="H49" i="1"/>
  <c r="G49" i="1"/>
  <c r="N49" i="1"/>
  <c r="O49" i="1"/>
  <c r="I49" i="1"/>
  <c r="F49" i="1"/>
  <c r="D49" i="1"/>
  <c r="L42" i="1"/>
  <c r="M42" i="1"/>
  <c r="L45" i="1"/>
  <c r="M45" i="1"/>
  <c r="L48" i="1"/>
  <c r="L41" i="1"/>
  <c r="M48" i="1"/>
  <c r="L51" i="1"/>
  <c r="M47" i="1"/>
  <c r="M43" i="1"/>
  <c r="M46" i="1"/>
  <c r="M52" i="1"/>
  <c r="L46" i="1"/>
  <c r="L47" i="1"/>
  <c r="L43" i="1"/>
  <c r="L44" i="1"/>
  <c r="M41" i="1"/>
  <c r="M44" i="1"/>
  <c r="L52" i="1"/>
  <c r="M51" i="1"/>
  <c r="C45" i="1"/>
  <c r="C51" i="1"/>
  <c r="J42" i="1"/>
  <c r="B46" i="1"/>
  <c r="C46" i="1"/>
  <c r="B52" i="1"/>
  <c r="C52" i="1"/>
  <c r="K42" i="1"/>
  <c r="K48" i="1"/>
  <c r="B41" i="1"/>
  <c r="J43" i="1"/>
  <c r="B47" i="1"/>
  <c r="J49" i="1"/>
  <c r="C41" i="1"/>
  <c r="K43" i="1"/>
  <c r="C47" i="1"/>
  <c r="K49" i="1"/>
  <c r="K50" i="1"/>
  <c r="J51" i="1"/>
  <c r="J39" i="1"/>
  <c r="K44" i="1"/>
  <c r="C48" i="1"/>
  <c r="B43" i="1"/>
  <c r="K51" i="1"/>
  <c r="J45" i="1"/>
  <c r="C43" i="1"/>
  <c r="K45" i="1"/>
  <c r="J40" i="1"/>
  <c r="B44" i="1"/>
  <c r="J46" i="1"/>
  <c r="J52" i="1"/>
  <c r="K40" i="1"/>
  <c r="C44" i="1"/>
  <c r="K46" i="1"/>
  <c r="K52" i="1"/>
  <c r="K47" i="1"/>
  <c r="J48" i="1"/>
  <c r="K41" i="1"/>
  <c r="B45" i="1"/>
  <c r="K39" i="1"/>
  <c r="B48" i="1"/>
  <c r="J41" i="1"/>
  <c r="B51" i="1"/>
  <c r="C42" i="1"/>
  <c r="J44" i="1"/>
  <c r="J47" i="1"/>
  <c r="B42" i="1"/>
  <c r="J50" i="1"/>
  <c r="C25" i="1"/>
  <c r="C24" i="1"/>
  <c r="B25" i="1"/>
  <c r="E317" i="1" l="1"/>
  <c r="G287" i="1"/>
  <c r="G332" i="1"/>
  <c r="E287" i="1"/>
  <c r="G211" i="1"/>
  <c r="E332" i="1"/>
  <c r="G226" i="1"/>
  <c r="E211" i="1"/>
  <c r="G302" i="1"/>
  <c r="G241" i="1"/>
  <c r="G347" i="1"/>
  <c r="G256" i="1"/>
  <c r="E226" i="1"/>
  <c r="E302" i="1"/>
  <c r="G271" i="1"/>
  <c r="E241" i="1"/>
  <c r="E347" i="1"/>
  <c r="E256" i="1"/>
  <c r="E271" i="1"/>
  <c r="G196" i="1"/>
  <c r="G317" i="1"/>
  <c r="E196" i="1"/>
  <c r="D26" i="1" a="1"/>
  <c r="E27" i="1" s="1"/>
  <c r="D24" i="1" a="1"/>
  <c r="D24" i="1" s="1"/>
  <c r="D26" i="1" l="1"/>
  <c r="E26" i="1"/>
  <c r="E24" i="1"/>
  <c r="D27" i="1"/>
  <c r="E25" i="1"/>
  <c r="D25" i="1"/>
  <c r="B26" i="1" l="1" a="1"/>
  <c r="C26" i="1" s="1"/>
  <c r="B26" i="1" l="1"/>
  <c r="C27" i="1"/>
  <c r="B27" i="1"/>
  <c r="B31" i="1" l="1" a="1"/>
  <c r="B31" i="1" s="1"/>
  <c r="B39" i="1" s="1"/>
  <c r="D34" i="1" l="1"/>
  <c r="E32" i="1"/>
  <c r="C32" i="1"/>
  <c r="E34" i="1"/>
  <c r="D33" i="1"/>
  <c r="B32" i="1"/>
  <c r="C31" i="1"/>
  <c r="E31" i="1"/>
  <c r="D31" i="1"/>
  <c r="E33" i="1"/>
  <c r="D32" i="1"/>
  <c r="C34" i="1"/>
  <c r="C33" i="1"/>
  <c r="B34" i="1"/>
  <c r="B33" i="1"/>
  <c r="L50" i="1" l="1"/>
  <c r="L40" i="1"/>
  <c r="M39" i="1"/>
  <c r="B40" i="1"/>
  <c r="C49" i="1"/>
  <c r="C50" i="1"/>
  <c r="M49" i="1"/>
  <c r="L39" i="1"/>
  <c r="C39" i="1"/>
  <c r="L49" i="1"/>
  <c r="M50" i="1"/>
  <c r="B49" i="1"/>
  <c r="C40" i="1"/>
  <c r="B50" i="1"/>
  <c r="M40" i="1"/>
  <c r="B116" i="1" l="1" a="1"/>
  <c r="K126" i="1" l="1"/>
  <c r="N129" i="1"/>
  <c r="O119" i="1"/>
  <c r="D123" i="1"/>
  <c r="K127" i="1"/>
  <c r="C127" i="1"/>
  <c r="J129" i="1"/>
  <c r="J117" i="1"/>
  <c r="N126" i="1"/>
  <c r="B119" i="1"/>
  <c r="K119" i="1"/>
  <c r="E122" i="1"/>
  <c r="J120" i="1"/>
  <c r="B120" i="1"/>
  <c r="K116" i="1"/>
  <c r="N124" i="1"/>
  <c r="O116" i="1"/>
  <c r="N125" i="1"/>
  <c r="J125" i="1"/>
  <c r="C126" i="1"/>
  <c r="D116" i="1"/>
  <c r="B117" i="1"/>
  <c r="B121" i="1"/>
  <c r="C129" i="1"/>
  <c r="I117" i="1"/>
  <c r="N122" i="1"/>
  <c r="J124" i="1"/>
  <c r="C119" i="1"/>
  <c r="C121" i="1"/>
  <c r="D121" i="1"/>
  <c r="O118" i="1"/>
  <c r="B116" i="1"/>
  <c r="D122" i="1"/>
  <c r="K122" i="1"/>
  <c r="N123" i="1"/>
  <c r="J128" i="1"/>
  <c r="O122" i="1"/>
  <c r="J122" i="1"/>
  <c r="N119" i="1"/>
  <c r="C116" i="1"/>
  <c r="N121" i="1"/>
  <c r="C122" i="1"/>
  <c r="K121" i="1"/>
  <c r="K118" i="1"/>
  <c r="B122" i="1"/>
  <c r="J116" i="1"/>
  <c r="J127" i="1"/>
  <c r="C124" i="1"/>
  <c r="K129" i="1"/>
  <c r="N118" i="1"/>
  <c r="J121" i="1"/>
  <c r="B127" i="1"/>
  <c r="J119" i="1"/>
  <c r="C128" i="1"/>
  <c r="J118" i="1"/>
  <c r="D128" i="1"/>
  <c r="O121" i="1"/>
  <c r="O129" i="1"/>
  <c r="O126" i="1"/>
  <c r="O117" i="1"/>
  <c r="N127" i="1"/>
  <c r="D129" i="1"/>
  <c r="O127" i="1"/>
  <c r="N116" i="1"/>
  <c r="B129" i="1"/>
  <c r="J126" i="1"/>
  <c r="O128" i="1"/>
  <c r="F118" i="1"/>
  <c r="M121" i="1"/>
  <c r="F126" i="1"/>
  <c r="G128" i="1"/>
  <c r="D117" i="1"/>
  <c r="O123" i="1"/>
  <c r="B124" i="1"/>
  <c r="L116" i="1"/>
  <c r="O120" i="1"/>
  <c r="K128" i="1"/>
  <c r="B118" i="1"/>
  <c r="L121" i="1"/>
  <c r="K125" i="1"/>
  <c r="H125" i="1"/>
  <c r="I129" i="1"/>
  <c r="D125" i="1"/>
  <c r="L124" i="1"/>
  <c r="M120" i="1"/>
  <c r="D124" i="1"/>
  <c r="C120" i="1"/>
  <c r="H127" i="1"/>
  <c r="F124" i="1"/>
  <c r="N128" i="1"/>
  <c r="L122" i="1"/>
  <c r="B123" i="1"/>
  <c r="I127" i="1"/>
  <c r="N120" i="1"/>
  <c r="F119" i="1"/>
  <c r="I124" i="1"/>
  <c r="E129" i="1"/>
  <c r="H119" i="1"/>
  <c r="K123" i="1"/>
  <c r="M117" i="1"/>
  <c r="I119" i="1"/>
  <c r="M129" i="1"/>
  <c r="L120" i="1"/>
  <c r="O124" i="1"/>
  <c r="M124" i="1"/>
  <c r="N117" i="1"/>
  <c r="M128" i="1"/>
  <c r="E117" i="1"/>
  <c r="M122" i="1"/>
  <c r="F129" i="1"/>
  <c r="E121" i="1"/>
  <c r="K120" i="1"/>
  <c r="G117" i="1"/>
  <c r="K117" i="1"/>
  <c r="L129" i="1"/>
  <c r="E120" i="1"/>
  <c r="B126" i="1"/>
  <c r="G116" i="1"/>
  <c r="E124" i="1"/>
  <c r="M125" i="1"/>
  <c r="F116" i="1"/>
  <c r="G118" i="1"/>
  <c r="F127" i="1"/>
  <c r="I116" i="1"/>
  <c r="D120" i="1"/>
  <c r="E128" i="1"/>
  <c r="C117" i="1"/>
  <c r="K124" i="1"/>
  <c r="E123" i="1"/>
  <c r="L125" i="1"/>
  <c r="H126" i="1"/>
  <c r="L117" i="1"/>
  <c r="C118" i="1"/>
  <c r="O125" i="1"/>
  <c r="M116" i="1"/>
  <c r="L128" i="1"/>
  <c r="F117" i="1"/>
  <c r="I128" i="1"/>
  <c r="E116" i="1"/>
  <c r="G127" i="1"/>
  <c r="G126" i="1"/>
  <c r="F125" i="1"/>
  <c r="G129" i="1"/>
  <c r="F128" i="1"/>
  <c r="B128" i="1"/>
  <c r="H118" i="1"/>
  <c r="H128" i="1"/>
  <c r="I125" i="1"/>
  <c r="H124" i="1"/>
  <c r="M123" i="1"/>
  <c r="H129" i="1"/>
  <c r="L123" i="1"/>
  <c r="I118" i="1"/>
  <c r="G124" i="1"/>
  <c r="J123" i="1"/>
  <c r="H117" i="1"/>
  <c r="B125" i="1"/>
  <c r="C123" i="1"/>
  <c r="C125" i="1"/>
  <c r="G119" i="1"/>
  <c r="H116" i="1"/>
  <c r="E125" i="1"/>
  <c r="I126" i="1"/>
  <c r="G125" i="1"/>
  <c r="L119" i="1"/>
  <c r="E119" i="1"/>
  <c r="L127" i="1"/>
  <c r="F121" i="1"/>
  <c r="F122" i="1"/>
  <c r="G123" i="1"/>
  <c r="I123" i="1"/>
  <c r="G122" i="1"/>
  <c r="D126" i="1"/>
  <c r="D127" i="1"/>
  <c r="F120" i="1"/>
  <c r="I120" i="1"/>
  <c r="L126" i="1"/>
  <c r="M127" i="1"/>
  <c r="I122" i="1"/>
  <c r="I121" i="1"/>
  <c r="H123" i="1"/>
  <c r="D118" i="1"/>
  <c r="H120" i="1"/>
  <c r="E127" i="1"/>
  <c r="G121" i="1"/>
  <c r="E118" i="1"/>
  <c r="D119" i="1"/>
  <c r="E126" i="1"/>
  <c r="M126" i="1"/>
  <c r="M118" i="1"/>
  <c r="H121" i="1"/>
  <c r="L118" i="1"/>
  <c r="M119" i="1"/>
  <c r="F123" i="1"/>
  <c r="H122" i="1"/>
  <c r="G120" i="1"/>
  <c r="C136" i="1" l="1" a="1"/>
  <c r="J141" i="1" s="1"/>
  <c r="O138" i="1" l="1"/>
  <c r="F144" i="1"/>
  <c r="F149" i="1"/>
  <c r="D145" i="1"/>
  <c r="N146" i="1"/>
  <c r="P143" i="1"/>
  <c r="M148" i="1"/>
  <c r="E142" i="1"/>
  <c r="C147" i="1"/>
  <c r="D137" i="1"/>
  <c r="E144" i="1"/>
  <c r="J146" i="1"/>
  <c r="H140" i="1"/>
  <c r="E139" i="1"/>
  <c r="E148" i="1"/>
  <c r="J147" i="1"/>
  <c r="N141" i="1"/>
  <c r="K136" i="1"/>
  <c r="H141" i="1"/>
  <c r="C138" i="1"/>
  <c r="D144" i="1"/>
  <c r="D140" i="1"/>
  <c r="C137" i="1"/>
  <c r="G136" i="1"/>
  <c r="P149" i="1"/>
  <c r="O147" i="1"/>
  <c r="E136" i="1"/>
  <c r="F136" i="1"/>
  <c r="M149" i="1"/>
  <c r="N140" i="1"/>
  <c r="G141" i="1"/>
  <c r="H136" i="1"/>
  <c r="L142" i="1"/>
  <c r="O136" i="1"/>
  <c r="L147" i="1"/>
  <c r="J136" i="1"/>
  <c r="L145" i="1"/>
  <c r="H144" i="1"/>
  <c r="N144" i="1"/>
  <c r="J149" i="1"/>
  <c r="E143" i="1"/>
  <c r="M143" i="1"/>
  <c r="J145" i="1"/>
  <c r="O144" i="1"/>
  <c r="C139" i="1"/>
  <c r="H139" i="1"/>
  <c r="C136" i="1"/>
  <c r="O141" i="1"/>
  <c r="C141" i="1"/>
  <c r="L138" i="1"/>
  <c r="K139" i="1"/>
  <c r="F137" i="1"/>
  <c r="K143" i="1"/>
  <c r="M138" i="1"/>
  <c r="I145" i="1"/>
  <c r="H138" i="1"/>
  <c r="D147" i="1"/>
  <c r="L146" i="1"/>
  <c r="P139" i="1"/>
  <c r="F145" i="1"/>
  <c r="P146" i="1"/>
  <c r="C146" i="1"/>
  <c r="M145" i="1"/>
  <c r="G143" i="1"/>
  <c r="M140" i="1"/>
  <c r="E149" i="1"/>
  <c r="O148" i="1"/>
  <c r="P136" i="1"/>
  <c r="N149" i="1"/>
  <c r="D136" i="1"/>
  <c r="P141" i="1"/>
  <c r="N142" i="1"/>
  <c r="F141" i="1"/>
  <c r="G144" i="1"/>
  <c r="I147" i="1"/>
  <c r="M146" i="1"/>
  <c r="D138" i="1"/>
  <c r="J144" i="1"/>
  <c r="N143" i="1"/>
  <c r="E140" i="1"/>
  <c r="I148" i="1"/>
  <c r="O145" i="1"/>
  <c r="L141" i="1"/>
  <c r="C145" i="1"/>
  <c r="L136" i="1"/>
  <c r="D141" i="1"/>
  <c r="K138" i="1"/>
  <c r="P144" i="1"/>
  <c r="F143" i="1"/>
  <c r="E145" i="1"/>
  <c r="L140" i="1"/>
  <c r="D146" i="1"/>
  <c r="M136" i="1"/>
  <c r="H145" i="1"/>
  <c r="D139" i="1"/>
  <c r="C142" i="1"/>
  <c r="F147" i="1"/>
  <c r="F146" i="1"/>
  <c r="L139" i="1"/>
  <c r="G149" i="1"/>
  <c r="J148" i="1"/>
  <c r="H146" i="1"/>
  <c r="P137" i="1"/>
  <c r="C149" i="1"/>
  <c r="G145" i="1"/>
  <c r="I137" i="1"/>
  <c r="O140" i="1"/>
  <c r="C143" i="1"/>
  <c r="G137" i="1"/>
  <c r="P148" i="1"/>
  <c r="F142" i="1"/>
  <c r="F140" i="1"/>
  <c r="E137" i="1"/>
  <c r="J138" i="1"/>
  <c r="I141" i="1"/>
  <c r="M139" i="1"/>
  <c r="N148" i="1"/>
  <c r="L143" i="1"/>
  <c r="M144" i="1"/>
  <c r="I139" i="1"/>
  <c r="K149" i="1"/>
  <c r="G147" i="1"/>
  <c r="K145" i="1"/>
  <c r="J139" i="1"/>
  <c r="N136" i="1"/>
  <c r="P138" i="1"/>
  <c r="C148" i="1"/>
  <c r="P145" i="1"/>
  <c r="H142" i="1"/>
  <c r="O143" i="1"/>
  <c r="O149" i="1"/>
  <c r="J143" i="1"/>
  <c r="E141" i="1"/>
  <c r="I146" i="1"/>
  <c r="J137" i="1"/>
  <c r="I144" i="1"/>
  <c r="D148" i="1"/>
  <c r="I149" i="1"/>
  <c r="M141" i="1"/>
  <c r="M137" i="1"/>
  <c r="L144" i="1"/>
  <c r="N145" i="1"/>
  <c r="N138" i="1"/>
  <c r="K148" i="1"/>
  <c r="P147" i="1"/>
  <c r="G148" i="1"/>
  <c r="I140" i="1"/>
  <c r="O137" i="1"/>
  <c r="C144" i="1"/>
  <c r="J140" i="1"/>
  <c r="F139" i="1"/>
  <c r="L137" i="1"/>
  <c r="H148" i="1"/>
  <c r="F148" i="1"/>
  <c r="J142" i="1"/>
  <c r="G138" i="1"/>
  <c r="K140" i="1"/>
  <c r="I138" i="1"/>
  <c r="N147" i="1"/>
  <c r="E147" i="1"/>
  <c r="H149" i="1"/>
  <c r="G142" i="1"/>
  <c r="C140" i="1"/>
  <c r="D143" i="1"/>
  <c r="K144" i="1"/>
  <c r="I142" i="1"/>
  <c r="G139" i="1"/>
  <c r="L148" i="1"/>
  <c r="D142" i="1"/>
  <c r="F138" i="1"/>
  <c r="P142" i="1"/>
  <c r="I143" i="1"/>
  <c r="I136" i="1"/>
  <c r="O142" i="1"/>
  <c r="H143" i="1"/>
  <c r="O139" i="1"/>
  <c r="P140" i="1"/>
  <c r="M147" i="1"/>
  <c r="H137" i="1"/>
  <c r="L149" i="1"/>
  <c r="N139" i="1"/>
  <c r="E146" i="1"/>
  <c r="K142" i="1"/>
  <c r="E138" i="1"/>
  <c r="K141" i="1"/>
  <c r="N137" i="1"/>
  <c r="D149" i="1"/>
  <c r="G146" i="1"/>
  <c r="K146" i="1"/>
  <c r="G140" i="1"/>
  <c r="M142" i="1"/>
  <c r="K137" i="1"/>
  <c r="H147" i="1"/>
  <c r="O146" i="1"/>
  <c r="K147" i="1"/>
  <c r="E172" i="1" l="1" a="1"/>
  <c r="E157" i="1" a="1"/>
  <c r="H172" i="1" l="1"/>
  <c r="F172" i="1"/>
  <c r="N173" i="1"/>
  <c r="I175" i="1"/>
  <c r="G172" i="1"/>
  <c r="E174" i="1"/>
  <c r="J175" i="1"/>
  <c r="K172" i="1"/>
  <c r="F174" i="1"/>
  <c r="K175" i="1"/>
  <c r="L172" i="1"/>
  <c r="G174" i="1"/>
  <c r="L175" i="1"/>
  <c r="M172" i="1"/>
  <c r="H174" i="1"/>
  <c r="M175" i="1"/>
  <c r="N172" i="1"/>
  <c r="I174" i="1"/>
  <c r="E173" i="1"/>
  <c r="J174" i="1"/>
  <c r="F173" i="1"/>
  <c r="K174" i="1"/>
  <c r="G173" i="1"/>
  <c r="E175" i="1"/>
  <c r="H173" i="1"/>
  <c r="F175" i="1"/>
  <c r="I173" i="1"/>
  <c r="G175" i="1"/>
  <c r="E172" i="1"/>
  <c r="M173" i="1"/>
  <c r="H175" i="1"/>
  <c r="J173" i="1"/>
  <c r="I172" i="1"/>
  <c r="N174" i="1"/>
  <c r="L173" i="1"/>
  <c r="J172" i="1"/>
  <c r="M174" i="1"/>
  <c r="K173" i="1"/>
  <c r="N175" i="1"/>
  <c r="L174" i="1"/>
  <c r="E157" i="1"/>
  <c r="I166" i="1"/>
  <c r="J161" i="1"/>
  <c r="H161" i="1"/>
  <c r="M158" i="1"/>
  <c r="N162" i="1"/>
  <c r="K162" i="1"/>
  <c r="M166" i="1"/>
  <c r="H158" i="1"/>
  <c r="I159" i="1"/>
  <c r="N161" i="1"/>
  <c r="G165" i="1"/>
  <c r="H160" i="1"/>
  <c r="F160" i="1"/>
  <c r="K157" i="1"/>
  <c r="E165" i="1"/>
  <c r="N166" i="1"/>
  <c r="I164" i="1"/>
  <c r="F157" i="1"/>
  <c r="G158" i="1"/>
  <c r="I162" i="1"/>
  <c r="H157" i="1"/>
  <c r="E164" i="1"/>
  <c r="F159" i="1"/>
  <c r="N158" i="1"/>
  <c r="L161" i="1"/>
  <c r="G160" i="1"/>
  <c r="L165" i="1"/>
  <c r="G163" i="1"/>
  <c r="F164" i="1"/>
  <c r="M162" i="1"/>
  <c r="N157" i="1"/>
  <c r="L157" i="1"/>
  <c r="I161" i="1"/>
  <c r="M165" i="1"/>
  <c r="J164" i="1"/>
  <c r="M160" i="1"/>
  <c r="K165" i="1"/>
  <c r="K161" i="1"/>
  <c r="M163" i="1"/>
  <c r="F158" i="1"/>
  <c r="N165" i="1"/>
  <c r="K164" i="1"/>
  <c r="H163" i="1"/>
  <c r="I158" i="1"/>
  <c r="E162" i="1"/>
  <c r="I160" i="1"/>
  <c r="J160" i="1"/>
  <c r="E159" i="1"/>
  <c r="L164" i="1"/>
  <c r="I163" i="1"/>
  <c r="F162" i="1"/>
  <c r="L166" i="1"/>
  <c r="G157" i="1"/>
  <c r="N164" i="1"/>
  <c r="N159" i="1"/>
  <c r="E163" i="1"/>
  <c r="G159" i="1"/>
  <c r="G166" i="1"/>
  <c r="E166" i="1"/>
  <c r="J163" i="1"/>
  <c r="G162" i="1"/>
  <c r="N160" i="1"/>
  <c r="J165" i="1"/>
  <c r="K166" i="1"/>
  <c r="F165" i="1"/>
  <c r="E158" i="1"/>
  <c r="M157" i="1"/>
  <c r="M164" i="1"/>
  <c r="H162" i="1"/>
  <c r="E161" i="1"/>
  <c r="L159" i="1"/>
  <c r="H164" i="1"/>
  <c r="I165" i="1"/>
  <c r="K158" i="1"/>
  <c r="H166" i="1"/>
  <c r="F166" i="1"/>
  <c r="K163" i="1"/>
  <c r="F161" i="1"/>
  <c r="M159" i="1"/>
  <c r="J158" i="1"/>
  <c r="F163" i="1"/>
  <c r="G164" i="1"/>
  <c r="N163" i="1"/>
  <c r="L163" i="1"/>
  <c r="G161" i="1"/>
  <c r="L158" i="1"/>
  <c r="I157" i="1"/>
  <c r="K159" i="1"/>
  <c r="L160" i="1"/>
  <c r="M161" i="1"/>
  <c r="H159" i="1"/>
  <c r="L162" i="1"/>
  <c r="J162" i="1"/>
  <c r="E160" i="1"/>
  <c r="J157" i="1"/>
  <c r="J166" i="1"/>
  <c r="H165" i="1"/>
  <c r="J159" i="1"/>
  <c r="K160" i="1"/>
  <c r="C157" i="1" l="1" a="1"/>
  <c r="C158" i="1" l="1"/>
  <c r="C157" i="1"/>
  <c r="C161" i="1"/>
  <c r="C165" i="1"/>
  <c r="C166" i="1"/>
  <c r="C164" i="1"/>
  <c r="C163" i="1"/>
  <c r="C160" i="1"/>
  <c r="C162" i="1"/>
  <c r="C159" i="1"/>
  <c r="H213" i="1" l="1"/>
  <c r="O174" i="1"/>
  <c r="H226" i="1"/>
  <c r="H273" i="1"/>
  <c r="H290" i="1"/>
  <c r="H257" i="1"/>
  <c r="O177" i="1"/>
  <c r="H272" i="1"/>
  <c r="H305" i="1"/>
  <c r="H214" i="1"/>
  <c r="H227" i="1"/>
  <c r="O175" i="1"/>
  <c r="H274" i="1"/>
  <c r="H334" i="1"/>
  <c r="H287" i="1"/>
  <c r="H241" i="1"/>
  <c r="H319" i="1"/>
  <c r="O178" i="1"/>
  <c r="H335" i="1"/>
  <c r="H288" i="1"/>
  <c r="H242" i="1"/>
  <c r="H320" i="1"/>
  <c r="O179" i="1"/>
  <c r="H350" i="1"/>
  <c r="H318" i="1"/>
  <c r="O181" i="1"/>
  <c r="H303" i="1"/>
  <c r="H349" i="1"/>
  <c r="H317" i="1"/>
  <c r="O180" i="1"/>
  <c r="H302" i="1"/>
  <c r="H289" i="1"/>
  <c r="O176" i="1"/>
  <c r="H256" i="1"/>
  <c r="H271" i="1"/>
  <c r="H304" i="1"/>
  <c r="H228" i="1"/>
  <c r="H243" i="1"/>
  <c r="H258" i="1"/>
  <c r="H198" i="1"/>
  <c r="O172" i="1"/>
  <c r="H229" i="1"/>
  <c r="O173" i="1"/>
  <c r="H244" i="1"/>
  <c r="H259" i="1"/>
  <c r="H199" i="1"/>
  <c r="B354" i="1" l="1"/>
  <c r="C354" i="1" s="1"/>
  <c r="B248" i="1"/>
  <c r="C248" i="1" s="1"/>
  <c r="B263" i="1"/>
  <c r="C263" i="1" s="1"/>
  <c r="B294" i="1"/>
  <c r="C294" i="1" s="1"/>
  <c r="B324" i="1"/>
  <c r="C324" i="1" s="1"/>
  <c r="B203" i="1"/>
  <c r="C203" i="1" s="1"/>
  <c r="B309" i="1"/>
  <c r="C309" i="1" s="1"/>
  <c r="B233" i="1"/>
  <c r="C233" i="1" s="1"/>
  <c r="C172" i="1" a="1"/>
  <c r="B339" i="1"/>
  <c r="C339" i="1" s="1"/>
  <c r="B278" i="1"/>
  <c r="C278" i="1" s="1"/>
  <c r="B218" i="1"/>
  <c r="C218" i="1" s="1"/>
  <c r="C175" i="1" l="1"/>
  <c r="C172" i="1"/>
  <c r="C173" i="1"/>
  <c r="C174" i="1"/>
  <c r="R175" i="1" l="1"/>
  <c r="R174" i="1"/>
</calcChain>
</file>

<file path=xl/sharedStrings.xml><?xml version="1.0" encoding="utf-8"?>
<sst xmlns="http://schemas.openxmlformats.org/spreadsheetml/2006/main" count="435" uniqueCount="77">
  <si>
    <t>COORDENADAS</t>
  </si>
  <si>
    <t>XN:</t>
  </si>
  <si>
    <t>XF:</t>
  </si>
  <si>
    <t>YN:</t>
  </si>
  <si>
    <t>YF:</t>
  </si>
  <si>
    <t>A:</t>
  </si>
  <si>
    <t>L:</t>
  </si>
  <si>
    <t>E:</t>
  </si>
  <si>
    <t>λx</t>
  </si>
  <si>
    <t>λy</t>
  </si>
  <si>
    <t>AE/L:</t>
  </si>
  <si>
    <t>*AE/L</t>
  </si>
  <si>
    <t xml:space="preserve">K </t>
  </si>
  <si>
    <t xml:space="preserve">MATRIZ GLOBAL DE LOS ELEMENTOS </t>
  </si>
  <si>
    <t>ECUACIÓN DE FUERZAS</t>
  </si>
  <si>
    <t>GDL</t>
  </si>
  <si>
    <t>QK</t>
  </si>
  <si>
    <t>pulg2</t>
  </si>
  <si>
    <t>Klb/pulg2</t>
  </si>
  <si>
    <t>pulg</t>
  </si>
  <si>
    <t>ft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</si>
  <si>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</si>
  <si>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</si>
  <si>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</si>
  <si>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</si>
  <si>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</si>
  <si>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</si>
  <si>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</si>
  <si>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</si>
  <si>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</si>
  <si>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</si>
  <si>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</si>
  <si>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K</t>
  </si>
  <si>
    <t>ECUACION DE DESPLAZAMIENTO</t>
  </si>
  <si>
    <t>UNIDADES</t>
  </si>
  <si>
    <t>Inversa k11</t>
  </si>
  <si>
    <t>Qk</t>
  </si>
  <si>
    <t>ECUACIÓN DE REACCION EN LOS APOYOS</t>
  </si>
  <si>
    <t>Qu</t>
  </si>
  <si>
    <t>Reacción</t>
  </si>
  <si>
    <t xml:space="preserve">Unidades </t>
  </si>
  <si>
    <t>klb</t>
  </si>
  <si>
    <t>k21</t>
  </si>
  <si>
    <t>Dm</t>
  </si>
  <si>
    <t>Σfx=0</t>
  </si>
  <si>
    <t>Σfy=0</t>
  </si>
  <si>
    <t>x</t>
  </si>
  <si>
    <t>y</t>
  </si>
  <si>
    <t>AE/L</t>
  </si>
  <si>
    <t>.-λx</t>
  </si>
  <si>
    <t>.-λy</t>
  </si>
  <si>
    <t>gdl</t>
  </si>
  <si>
    <t>FUERZA INTERNA kgf</t>
  </si>
  <si>
    <t>ELEMENTO 1</t>
  </si>
  <si>
    <t>ELEMENTO 2</t>
  </si>
  <si>
    <t>ELEMENTO 3</t>
  </si>
  <si>
    <t>ELEMENTO 4</t>
  </si>
  <si>
    <t>ELEMENTO 5</t>
  </si>
  <si>
    <t>ELEMENTO 6</t>
  </si>
  <si>
    <t>ELEMENTO 7</t>
  </si>
  <si>
    <t>ELEMENTO 8</t>
  </si>
  <si>
    <t>ELEMENTO 9</t>
  </si>
  <si>
    <t>ELEMENTO 10</t>
  </si>
  <si>
    <t>ELEMENTO 11</t>
  </si>
  <si>
    <t xml:space="preserve">EJEMPLO DE ANALISIS MATRICIAL DE ARMADURAS </t>
  </si>
  <si>
    <t>MATRIZ DE RIGIDEZ DE ELEMENTO 1</t>
  </si>
  <si>
    <t>DESPLAZAMIENTO</t>
  </si>
  <si>
    <t>ELEMENTO3</t>
  </si>
  <si>
    <t>ELEMENTO4</t>
  </si>
  <si>
    <t>ELEMENTO5</t>
  </si>
  <si>
    <t>ELEMENTO6</t>
  </si>
  <si>
    <t>ELEMENTO7</t>
  </si>
  <si>
    <t>ELEMENT8</t>
  </si>
  <si>
    <t>ELEMENTO9</t>
  </si>
  <si>
    <t>ELEMENTO10</t>
  </si>
  <si>
    <t>ELEMENTO11</t>
  </si>
  <si>
    <t>Mario Alejandro Aguilón Ralda 201532174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</si>
</sst>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Q&quot;#,##0;[Red]\-&quot;Q&quot;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6" fontId="0" fillId="6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4" borderId="1" xfId="0" applyFill="1" applyBorder="1"/>
    <xf numFmtId="0" fontId="0" fillId="4" borderId="0" xfId="0" applyFill="1"/>
    <xf numFmtId="0" fontId="0" fillId="3" borderId="0" xfId="0" applyFill="1"/>
    <xf numFmtId="0" fontId="4" fillId="5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6" fontId="0" fillId="11" borderId="0" xfId="0" applyNumberFormat="1" applyFill="1"/>
    <xf numFmtId="0" fontId="0" fillId="12" borderId="0" xfId="0" applyFill="1"/>
    <xf numFmtId="0" fontId="0" fillId="13" borderId="0" xfId="0" applyFill="1"/>
    <xf numFmtId="0" fontId="4" fillId="1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17" borderId="0" xfId="0" applyFill="1"/>
    <xf numFmtId="0" fontId="0" fillId="15" borderId="0" xfId="0" applyFill="1"/>
    <xf numFmtId="0" fontId="0" fillId="18" borderId="0" xfId="0" applyFill="1"/>
    <xf numFmtId="0" fontId="5" fillId="18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4" fillId="7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4" fillId="12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3366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979715</xdr:colOff>
      <xdr:row>9</xdr:row>
      <xdr:rowOff>87086</xdr:rowOff>
    </xdr:from>
    <xdr:to>
      <xdr:col>12</xdr:col>
      <xdr:colOff>339644</xdr:colOff>
      <xdr:row>18</xdr:row>
      <xdr:rowOff>86790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6086" y="1426029"/>
          <a:ext cx="4116987" cy="1665218"/>
        </a:xfrm>
        <a:prstGeom prst="rect">
          <a:avLst/>
        </a:prstGeom>
      </xdr:spPr>
    </xdr:pic>
    <xdr:clientData/>
  </xdr:twoCellAnchor>
  <xdr:oneCellAnchor>
    <xdr:from>
      <xdr:col>26</xdr:col>
      <xdr:colOff>163286</xdr:colOff>
      <xdr:row>9</xdr:row>
      <xdr:rowOff>21772</xdr:rowOff>
    </xdr:from>
    <xdr:ext cx="4122925" cy="1628602"/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83800" y="1328058"/>
          <a:ext cx="4122925" cy="1628602"/>
        </a:xfrm>
        <a:prstGeom prst="rect">
          <a:avLst/>
        </a:prstGeom>
      </xdr:spPr>
    </xdr:pic>
    <xdr:clientData/>
  </xdr:oneCellAnchor>
  <xdr:oneCellAnchor>
    <xdr:from>
      <xdr:col>44</xdr:col>
      <xdr:colOff>729343</xdr:colOff>
      <xdr:row>11</xdr:row>
      <xdr:rowOff>32657</xdr:rowOff>
    </xdr:from>
    <xdr:ext cx="4122925" cy="1628602"/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653686" y="1709057"/>
          <a:ext cx="4122925" cy="1628602"/>
        </a:xfrm>
        <a:prstGeom prst="rect">
          <a:avLst/>
        </a:prstGeom>
      </xdr:spPr>
    </xdr:pic>
    <xdr:clientData/>
  </xdr:oneCellAnchor>
  <xdr:oneCellAnchor>
    <xdr:from>
      <xdr:col>62</xdr:col>
      <xdr:colOff>381001</xdr:colOff>
      <xdr:row>11</xdr:row>
      <xdr:rowOff>32658</xdr:rowOff>
    </xdr:from>
    <xdr:ext cx="4122925" cy="1628602"/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609172" y="1709058"/>
          <a:ext cx="4122925" cy="1628602"/>
        </a:xfrm>
        <a:prstGeom prst="rect">
          <a:avLst/>
        </a:prstGeom>
      </xdr:spPr>
    </xdr:pic>
    <xdr:clientData/>
  </xdr:oneCellAnchor>
  <xdr:oneCellAnchor>
    <xdr:from>
      <xdr:col>78</xdr:col>
      <xdr:colOff>0</xdr:colOff>
      <xdr:row>7</xdr:row>
      <xdr:rowOff>0</xdr:rowOff>
    </xdr:from>
    <xdr:ext cx="4122925" cy="1628602"/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32109" y="374073"/>
          <a:ext cx="4122925" cy="1628602"/>
        </a:xfrm>
        <a:prstGeom prst="rect">
          <a:avLst/>
        </a:prstGeom>
      </xdr:spPr>
    </xdr:pic>
    <xdr:clientData/>
  </xdr:oneCellAnchor>
  <xdr:oneCellAnchor>
    <xdr:from>
      <xdr:col>6</xdr:col>
      <xdr:colOff>555171</xdr:colOff>
      <xdr:row>60</xdr:row>
      <xdr:rowOff>152400</xdr:rowOff>
    </xdr:from>
    <xdr:ext cx="4122925" cy="1628602"/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76257" y="10983686"/>
          <a:ext cx="4122925" cy="1628602"/>
        </a:xfrm>
        <a:prstGeom prst="rect">
          <a:avLst/>
        </a:prstGeom>
      </xdr:spPr>
    </xdr:pic>
    <xdr:clientData/>
  </xdr:oneCellAnchor>
  <xdr:oneCellAnchor>
    <xdr:from>
      <xdr:col>25</xdr:col>
      <xdr:colOff>261257</xdr:colOff>
      <xdr:row>61</xdr:row>
      <xdr:rowOff>10886</xdr:rowOff>
    </xdr:from>
    <xdr:ext cx="4122925" cy="1628602"/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87114" y="11114315"/>
          <a:ext cx="4122925" cy="1628602"/>
        </a:xfrm>
        <a:prstGeom prst="rect">
          <a:avLst/>
        </a:prstGeom>
      </xdr:spPr>
    </xdr:pic>
    <xdr:clientData/>
  </xdr:oneCellAnchor>
  <xdr:oneCellAnchor>
    <xdr:from>
      <xdr:col>44</xdr:col>
      <xdr:colOff>119743</xdr:colOff>
      <xdr:row>63</xdr:row>
      <xdr:rowOff>10885</xdr:rowOff>
    </xdr:from>
    <xdr:ext cx="4122925" cy="1628602"/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44086" y="11484428"/>
          <a:ext cx="4122925" cy="1628602"/>
        </a:xfrm>
        <a:prstGeom prst="rect">
          <a:avLst/>
        </a:prstGeom>
      </xdr:spPr>
    </xdr:pic>
    <xdr:clientData/>
  </xdr:oneCellAnchor>
  <xdr:oneCellAnchor>
    <xdr:from>
      <xdr:col>61</xdr:col>
      <xdr:colOff>500743</xdr:colOff>
      <xdr:row>60</xdr:row>
      <xdr:rowOff>185057</xdr:rowOff>
    </xdr:from>
    <xdr:ext cx="4122925" cy="1628602"/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934257" y="11016343"/>
          <a:ext cx="4122925" cy="1628602"/>
        </a:xfrm>
        <a:prstGeom prst="rect">
          <a:avLst/>
        </a:prstGeom>
      </xdr:spPr>
    </xdr:pic>
    <xdr:clientData/>
  </xdr:oneCellAnchor>
  <xdr:oneCellAnchor>
    <xdr:from>
      <xdr:col>78</xdr:col>
      <xdr:colOff>631371</xdr:colOff>
      <xdr:row>60</xdr:row>
      <xdr:rowOff>206828</xdr:rowOff>
    </xdr:from>
    <xdr:ext cx="4122925" cy="1628602"/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74057" y="11038114"/>
          <a:ext cx="4122925" cy="1628602"/>
        </a:xfrm>
        <a:prstGeom prst="rect">
          <a:avLst/>
        </a:prstGeom>
      </xdr:spPr>
    </xdr:pic>
    <xdr:clientData/>
  </xdr:oneCellAnchor>
  <xdr:oneCellAnchor>
    <xdr:from>
      <xdr:col>98</xdr:col>
      <xdr:colOff>21770</xdr:colOff>
      <xdr:row>60</xdr:row>
      <xdr:rowOff>163285</xdr:rowOff>
    </xdr:from>
    <xdr:ext cx="4122925" cy="1628602"/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57599" y="10994571"/>
          <a:ext cx="4122925" cy="1628602"/>
        </a:xfrm>
        <a:prstGeom prst="rect">
          <a:avLst/>
        </a:prstGeom>
      </xdr:spPr>
    </xdr:pic>
    <xdr:clientData/>
  </xdr:oneCellAnchor>
  <xdr:twoCellAnchor editAs="oneCell">
    <xdr:from>
      <xdr:col>7</xdr:col>
      <xdr:colOff>125703</xdr:colOff>
      <xdr:row>177</xdr:row>
      <xdr:rowOff>107152</xdr:rowOff>
    </xdr:from>
    <xdr:to>
      <xdr:col>10</xdr:col>
      <xdr:colOff>806825</xdr:colOff>
      <xdr:row>188</xdr:row>
      <xdr:rowOff>27689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092821-D421-EE2A-6A9D-2DD39A298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54785" y="30999528"/>
          <a:ext cx="3585686" cy="18927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C7E3F-936C-4E9D-AB88-A0A991316EF1}">
  <dimension ref="A1:DB354"/>
  <sheetViews>
    <sheetView tabSelected="1" topLeftCell="A332" zoomScale="85" zoomScaleNormal="85" workbookViewId="0">
      <selection activeCell="A354" sqref="A354:C354"/>
    </sheetView>
  </sheetViews>
  <sheetFormatPr baseColWidth="10" defaultRowHeight="14.4" x14ac:dyDescent="0.3"/>
  <cols>
    <col min="1" max="1" width="13.88671875" customWidth="1"/>
    <col min="2" max="2" width="13.44140625" bestFit="1" customWidth="1"/>
    <col min="3" max="3" width="23.88671875" customWidth="1"/>
    <col min="4" max="7" width="13.44140625" bestFit="1" customWidth="1"/>
    <col min="8" max="8" width="15.44140625" bestFit="1" customWidth="1"/>
    <col min="9" max="10" width="13.44140625" bestFit="1" customWidth="1"/>
    <col min="11" max="12" width="13.44140625" customWidth="1"/>
    <col min="13" max="15" width="13.44140625" bestFit="1" customWidth="1"/>
  </cols>
  <sheetData>
    <row r="1" spans="1:88" ht="36.6" x14ac:dyDescent="0.7">
      <c r="A1" s="24" t="s">
        <v>76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3" spans="1:88" x14ac:dyDescent="0.3">
      <c r="A3" s="29" t="s">
        <v>64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6" spans="1:88" x14ac:dyDescent="0.3">
      <c r="A6" s="27" t="s">
        <v>53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S6" s="27" t="s">
        <v>54</v>
      </c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K6" s="27" t="s">
        <v>55</v>
      </c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C6" s="27" t="s">
        <v>56</v>
      </c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U6" s="27" t="s">
        <v>57</v>
      </c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</row>
    <row r="7" spans="1:88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</row>
    <row r="8" spans="1:88" ht="14.4" customHeight="1" x14ac:dyDescent="0.3">
      <c r="A8" s="26" t="s">
        <v>0</v>
      </c>
      <c r="B8" s="26"/>
      <c r="C8" s="26"/>
      <c r="P8" s="20"/>
      <c r="Q8" s="19"/>
      <c r="R8" s="19"/>
      <c r="S8" s="26" t="s">
        <v>0</v>
      </c>
      <c r="T8" s="26"/>
      <c r="U8" s="26"/>
      <c r="AH8" s="20"/>
      <c r="AK8" s="26" t="s">
        <v>0</v>
      </c>
      <c r="AL8" s="26"/>
      <c r="AM8" s="26"/>
      <c r="AZ8" s="20"/>
      <c r="BC8" s="26" t="s">
        <v>0</v>
      </c>
      <c r="BD8" s="26"/>
      <c r="BE8" s="26"/>
      <c r="BR8" s="20"/>
      <c r="BU8" s="26" t="s">
        <v>0</v>
      </c>
      <c r="BV8" s="26"/>
      <c r="BW8" s="26"/>
      <c r="CJ8" s="20"/>
    </row>
    <row r="9" spans="1:88" ht="15" customHeight="1" x14ac:dyDescent="0.3">
      <c r="P9" s="20"/>
      <c r="Q9" s="19"/>
      <c r="R9" s="19"/>
      <c r="AH9" s="20"/>
      <c r="AZ9" s="20"/>
      <c r="BR9" s="20"/>
      <c r="CJ9" s="20"/>
    </row>
    <row r="10" spans="1:88" x14ac:dyDescent="0.3">
      <c r="A10" t="s">
        <v>1</v>
      </c>
      <c r="B10">
        <v>0</v>
      </c>
      <c r="C10" t="s">
        <v>20</v>
      </c>
      <c r="S10" t="s">
        <v>1</v>
      </c>
      <c r="T10">
        <v>0</v>
      </c>
      <c r="U10" t="s">
        <v>20</v>
      </c>
      <c r="AK10" t="s">
        <v>1</v>
      </c>
      <c r="AL10">
        <v>0</v>
      </c>
      <c r="AM10" t="s">
        <v>20</v>
      </c>
      <c r="BC10" t="s">
        <v>1</v>
      </c>
      <c r="BD10">
        <v>5</v>
      </c>
      <c r="BE10" t="s">
        <v>20</v>
      </c>
      <c r="BU10" t="s">
        <v>1</v>
      </c>
      <c r="BV10">
        <v>5</v>
      </c>
      <c r="BW10" t="s">
        <v>20</v>
      </c>
    </row>
    <row r="11" spans="1:88" x14ac:dyDescent="0.3">
      <c r="A11" t="s">
        <v>2</v>
      </c>
      <c r="B11">
        <v>5</v>
      </c>
      <c r="C11" t="s">
        <v>20</v>
      </c>
      <c r="S11" t="s">
        <v>2</v>
      </c>
      <c r="T11">
        <v>0</v>
      </c>
      <c r="U11" t="s">
        <v>20</v>
      </c>
      <c r="AK11" t="s">
        <v>2</v>
      </c>
      <c r="AL11">
        <v>5</v>
      </c>
      <c r="AM11" t="s">
        <v>20</v>
      </c>
      <c r="BC11" t="s">
        <v>2</v>
      </c>
      <c r="BD11">
        <v>15</v>
      </c>
      <c r="BE11" t="s">
        <v>20</v>
      </c>
      <c r="BU11" t="s">
        <v>2</v>
      </c>
      <c r="BV11">
        <v>10</v>
      </c>
      <c r="BW11" t="s">
        <v>20</v>
      </c>
    </row>
    <row r="12" spans="1:88" x14ac:dyDescent="0.3">
      <c r="A12" t="s">
        <v>3</v>
      </c>
      <c r="B12">
        <v>0</v>
      </c>
      <c r="C12" t="s">
        <v>20</v>
      </c>
      <c r="D12" s="1" t="s">
        <v>8</v>
      </c>
      <c r="E12">
        <f>+(B11-B10)/B15</f>
        <v>0.44721359549995793</v>
      </c>
      <c r="S12" t="s">
        <v>3</v>
      </c>
      <c r="T12">
        <v>0</v>
      </c>
      <c r="U12" t="s">
        <v>20</v>
      </c>
      <c r="V12" s="1" t="s">
        <v>8</v>
      </c>
      <c r="W12">
        <f>+(T11-T10)/T15</f>
        <v>0</v>
      </c>
      <c r="AK12" t="s">
        <v>3</v>
      </c>
      <c r="AL12">
        <v>16</v>
      </c>
      <c r="AM12" t="s">
        <v>20</v>
      </c>
      <c r="AN12" s="1" t="s">
        <v>8</v>
      </c>
      <c r="AO12">
        <f>+(AL11-AL10)/AL15</f>
        <v>0.64018439966447993</v>
      </c>
      <c r="BC12" t="s">
        <v>3</v>
      </c>
      <c r="BD12">
        <v>10</v>
      </c>
      <c r="BE12" t="s">
        <v>20</v>
      </c>
      <c r="BF12" s="1" t="s">
        <v>8</v>
      </c>
      <c r="BG12">
        <f>+(BD11-BD10)/BD15</f>
        <v>1</v>
      </c>
      <c r="BU12" t="s">
        <v>3</v>
      </c>
      <c r="BV12">
        <v>10</v>
      </c>
      <c r="BW12" t="s">
        <v>20</v>
      </c>
      <c r="BX12" s="1" t="s">
        <v>8</v>
      </c>
      <c r="BY12">
        <f>+(BV11-BV10)/BV15</f>
        <v>0.44721359549995793</v>
      </c>
    </row>
    <row r="13" spans="1:88" x14ac:dyDescent="0.3">
      <c r="A13" t="s">
        <v>4</v>
      </c>
      <c r="B13">
        <v>10</v>
      </c>
      <c r="C13" t="s">
        <v>20</v>
      </c>
      <c r="D13" s="1" t="s">
        <v>9</v>
      </c>
      <c r="E13">
        <f>+(B13-B12)/B15</f>
        <v>0.89442719099991586</v>
      </c>
      <c r="S13" t="s">
        <v>4</v>
      </c>
      <c r="T13">
        <v>16</v>
      </c>
      <c r="U13" t="s">
        <v>20</v>
      </c>
      <c r="V13" s="1" t="s">
        <v>9</v>
      </c>
      <c r="W13">
        <f>+(T13-T12)/T15</f>
        <v>1</v>
      </c>
      <c r="AK13" t="s">
        <v>4</v>
      </c>
      <c r="AL13">
        <v>10</v>
      </c>
      <c r="AM13" t="s">
        <v>20</v>
      </c>
      <c r="AN13" s="1" t="s">
        <v>9</v>
      </c>
      <c r="AO13">
        <f>+(AL13-AL12)/AL15</f>
        <v>-0.76822127959737585</v>
      </c>
      <c r="BC13" t="s">
        <v>4</v>
      </c>
      <c r="BD13">
        <v>10</v>
      </c>
      <c r="BE13" t="s">
        <v>20</v>
      </c>
      <c r="BF13" s="1" t="s">
        <v>9</v>
      </c>
      <c r="BG13">
        <f>+(BD13-BD12)/BD15</f>
        <v>0</v>
      </c>
      <c r="BU13" t="s">
        <v>4</v>
      </c>
      <c r="BV13">
        <v>20</v>
      </c>
      <c r="BW13" t="s">
        <v>20</v>
      </c>
      <c r="BX13" s="1" t="s">
        <v>9</v>
      </c>
      <c r="BY13">
        <f>+(BV13-BV12)/BV15</f>
        <v>0.89442719099991586</v>
      </c>
    </row>
    <row r="15" spans="1:88" x14ac:dyDescent="0.3">
      <c r="A15" t="s">
        <v>6</v>
      </c>
      <c r="B15">
        <f>SQRT(((B11-B10)^2)+(B13-B12)^2)</f>
        <v>11.180339887498949</v>
      </c>
      <c r="C15" t="s">
        <v>19</v>
      </c>
      <c r="S15" t="s">
        <v>6</v>
      </c>
      <c r="T15">
        <f>SQRT(((T11-T10)^2)+(T13-T12)^2)</f>
        <v>16</v>
      </c>
      <c r="U15" t="s">
        <v>19</v>
      </c>
      <c r="AK15" t="s">
        <v>6</v>
      </c>
      <c r="AL15">
        <f>SQRT(((AL11-AL10)^2)+(AL13-AL12)^2)</f>
        <v>7.810249675906654</v>
      </c>
      <c r="AM15" t="s">
        <v>19</v>
      </c>
      <c r="BC15" t="s">
        <v>6</v>
      </c>
      <c r="BD15">
        <f>SQRT(((BD11-BD10)^2)+(BD13-BD12)^2)</f>
        <v>10</v>
      </c>
      <c r="BE15" t="s">
        <v>19</v>
      </c>
      <c r="BU15" t="s">
        <v>6</v>
      </c>
      <c r="BV15">
        <f>SQRT(((BV11-BV10)^2)+(BV13-BV12)^2)</f>
        <v>11.180339887498949</v>
      </c>
      <c r="BW15" t="s">
        <v>19</v>
      </c>
    </row>
    <row r="17" spans="1:79" x14ac:dyDescent="0.3">
      <c r="A17" t="s">
        <v>5</v>
      </c>
      <c r="B17">
        <v>1.5</v>
      </c>
      <c r="C17" t="s">
        <v>17</v>
      </c>
      <c r="E17" t="s">
        <v>10</v>
      </c>
      <c r="F17">
        <f>B17*B18/(B15*12)</f>
        <v>324.22985673746945</v>
      </c>
      <c r="S17" t="s">
        <v>5</v>
      </c>
      <c r="T17">
        <v>1.5</v>
      </c>
      <c r="U17" t="s">
        <v>17</v>
      </c>
      <c r="W17" t="s">
        <v>10</v>
      </c>
      <c r="X17">
        <f>T17*T18/(T15*12)</f>
        <v>226.5625</v>
      </c>
      <c r="AK17" t="s">
        <v>5</v>
      </c>
      <c r="AL17">
        <v>1.5</v>
      </c>
      <c r="AM17" t="s">
        <v>17</v>
      </c>
      <c r="AO17" t="s">
        <v>10</v>
      </c>
      <c r="AP17">
        <f>AL17*AL18/(AL15*12)</f>
        <v>464.13368975674791</v>
      </c>
      <c r="BC17" t="s">
        <v>5</v>
      </c>
      <c r="BD17">
        <v>1.5</v>
      </c>
      <c r="BE17" t="s">
        <v>17</v>
      </c>
      <c r="BG17" t="s">
        <v>10</v>
      </c>
      <c r="BH17">
        <f>BD17*BD18/(BD15*12)</f>
        <v>362.5</v>
      </c>
      <c r="BU17" t="s">
        <v>5</v>
      </c>
      <c r="BV17">
        <v>1.5</v>
      </c>
      <c r="BW17" t="s">
        <v>17</v>
      </c>
      <c r="BY17" t="s">
        <v>10</v>
      </c>
      <c r="BZ17">
        <f>BV17*BV18/(BV15*12)</f>
        <v>324.22985673746945</v>
      </c>
    </row>
    <row r="18" spans="1:79" x14ac:dyDescent="0.3">
      <c r="A18" t="s">
        <v>7</v>
      </c>
      <c r="B18">
        <v>29000</v>
      </c>
      <c r="C18" t="s">
        <v>18</v>
      </c>
      <c r="S18" t="s">
        <v>7</v>
      </c>
      <c r="T18">
        <v>29000</v>
      </c>
      <c r="U18" t="s">
        <v>18</v>
      </c>
      <c r="AK18" t="s">
        <v>7</v>
      </c>
      <c r="AL18">
        <v>29000</v>
      </c>
      <c r="AM18" t="s">
        <v>18</v>
      </c>
      <c r="BC18" t="s">
        <v>7</v>
      </c>
      <c r="BD18">
        <v>29000</v>
      </c>
      <c r="BE18" t="s">
        <v>18</v>
      </c>
      <c r="BU18" t="s">
        <v>7</v>
      </c>
      <c r="BV18">
        <v>29000</v>
      </c>
      <c r="BW18" t="s">
        <v>18</v>
      </c>
    </row>
    <row r="21" spans="1:79" x14ac:dyDescent="0.3">
      <c r="A21" s="25" t="s">
        <v>65</v>
      </c>
      <c r="B21" s="25"/>
      <c r="C21" s="25"/>
      <c r="D21" s="25"/>
      <c r="E21" s="25"/>
      <c r="F21" s="25"/>
      <c r="G21" s="25"/>
      <c r="S21" s="25" t="str">
        <f>CONCATENATE("MATRIZ RIGIDEZ ELEMENTO"," ",AH8)</f>
        <v xml:space="preserve">MATRIZ RIGIDEZ ELEMENTO </v>
      </c>
      <c r="T21" s="25"/>
      <c r="U21" s="25"/>
      <c r="V21" s="25"/>
      <c r="W21" s="25"/>
      <c r="X21" s="25"/>
      <c r="Y21" s="25"/>
      <c r="AK21" s="25" t="str">
        <f>CONCATENATE("MATRIZ RIGIDEZ ELEMENTO"," ",AZ8)</f>
        <v xml:space="preserve">MATRIZ RIGIDEZ ELEMENTO </v>
      </c>
      <c r="AL21" s="25"/>
      <c r="AM21" s="25"/>
      <c r="AN21" s="25"/>
      <c r="AO21" s="25"/>
      <c r="AP21" s="25"/>
      <c r="AQ21" s="25"/>
      <c r="BC21" s="25" t="str">
        <f>CONCATENATE("MATRIZ RIGIDEZ ELEMENTO"," ",BR8)</f>
        <v xml:space="preserve">MATRIZ RIGIDEZ ELEMENTO </v>
      </c>
      <c r="BD21" s="25"/>
      <c r="BE21" s="25"/>
      <c r="BF21" s="25"/>
      <c r="BG21" s="25"/>
      <c r="BH21" s="25"/>
      <c r="BI21" s="25"/>
      <c r="BU21" s="25" t="str">
        <f>CONCATENATE("MATRIZ RIGIDEZ ELEMENTO"," ",CJ8)</f>
        <v xml:space="preserve">MATRIZ RIGIDEZ ELEMENTO </v>
      </c>
      <c r="BV21" s="25"/>
      <c r="BW21" s="25"/>
      <c r="BX21" s="25"/>
      <c r="BY21" s="25"/>
      <c r="BZ21" s="25"/>
      <c r="CA21" s="25"/>
    </row>
    <row r="23" spans="1:79" x14ac:dyDescent="0.3">
      <c r="A23" s="7" t="str">
        <f>CONCATENATE("K"," ",P8)</f>
        <v xml:space="preserve">K </v>
      </c>
      <c r="B23">
        <v>1</v>
      </c>
      <c r="C23">
        <v>2</v>
      </c>
      <c r="D23">
        <v>11</v>
      </c>
      <c r="E23">
        <v>12</v>
      </c>
      <c r="S23" s="7" t="str">
        <f>CONCATENATE("K"," ",AH8)</f>
        <v xml:space="preserve">K </v>
      </c>
      <c r="T23">
        <v>3</v>
      </c>
      <c r="U23">
        <v>4</v>
      </c>
      <c r="V23">
        <v>11</v>
      </c>
      <c r="W23">
        <v>12</v>
      </c>
      <c r="AK23" s="7" t="str">
        <f>CONCATENATE("K"," ",AZ8)</f>
        <v xml:space="preserve">K </v>
      </c>
      <c r="AL23">
        <v>1</v>
      </c>
      <c r="AM23">
        <v>2</v>
      </c>
      <c r="AN23">
        <v>3</v>
      </c>
      <c r="AO23">
        <v>4</v>
      </c>
      <c r="BC23" s="7" t="str">
        <f>CONCATENATE("K"," ",BR8)</f>
        <v xml:space="preserve">K </v>
      </c>
      <c r="BD23">
        <v>1</v>
      </c>
      <c r="BE23">
        <v>2</v>
      </c>
      <c r="BF23">
        <v>7</v>
      </c>
      <c r="BG23">
        <v>8</v>
      </c>
      <c r="BU23" s="7" t="str">
        <f>CONCATENATE("K"," ",CJ8)</f>
        <v xml:space="preserve">K </v>
      </c>
      <c r="BV23">
        <v>1</v>
      </c>
      <c r="BW23">
        <v>2</v>
      </c>
      <c r="BX23">
        <v>5</v>
      </c>
      <c r="BY23">
        <v>6</v>
      </c>
    </row>
    <row r="24" spans="1:79" x14ac:dyDescent="0.3">
      <c r="A24">
        <f t="array" ref="A24:A27">TRANSPOSE(B23:E23)</f>
        <v>1</v>
      </c>
      <c r="B24" s="21">
        <f>E12^2</f>
        <v>0.19999999999999998</v>
      </c>
      <c r="C24" s="21">
        <f>+E12*E13</f>
        <v>0.39999999999999997</v>
      </c>
      <c r="D24" s="16">
        <f t="array" ref="D24:E25">-B24:C25</f>
        <v>-0.19999999999999998</v>
      </c>
      <c r="E24" s="16">
        <v>-0.39999999999999997</v>
      </c>
      <c r="S24">
        <f t="array" ref="S24:S27">TRANSPOSE(T23:W23)</f>
        <v>3</v>
      </c>
      <c r="T24" s="21">
        <f>W12^2</f>
        <v>0</v>
      </c>
      <c r="U24" s="21">
        <f>+W12*W13</f>
        <v>0</v>
      </c>
      <c r="V24" s="16">
        <f t="array" ref="V24:W25">-T24:U25</f>
        <v>0</v>
      </c>
      <c r="W24" s="16">
        <v>0</v>
      </c>
      <c r="AK24">
        <f t="array" ref="AK24:AK27">TRANSPOSE(AL23:AO23)</f>
        <v>1</v>
      </c>
      <c r="AL24" s="21">
        <f>AO12^2</f>
        <v>0.40983606557377056</v>
      </c>
      <c r="AM24" s="21">
        <f>+AO12*AO13</f>
        <v>-0.49180327868852464</v>
      </c>
      <c r="AN24" s="16">
        <f t="array" ref="AN24:AO25">-AL24:AM25</f>
        <v>-0.40983606557377056</v>
      </c>
      <c r="AO24" s="16">
        <v>0.49180327868852464</v>
      </c>
      <c r="BC24">
        <f t="array" ref="BC24:BC27">TRANSPOSE(BD23:BG23)</f>
        <v>1</v>
      </c>
      <c r="BD24" s="21">
        <f>BG12^2</f>
        <v>1</v>
      </c>
      <c r="BE24" s="21">
        <f>+BG12*BG13</f>
        <v>0</v>
      </c>
      <c r="BF24" s="16">
        <f t="array" ref="BF24:BG25">-BD24:BE25</f>
        <v>-1</v>
      </c>
      <c r="BG24" s="16">
        <v>0</v>
      </c>
      <c r="BU24">
        <f t="array" ref="BU24:BU27">TRANSPOSE(BV23:BY23)</f>
        <v>1</v>
      </c>
      <c r="BV24" s="21">
        <f>BY12^2</f>
        <v>0.19999999999999998</v>
      </c>
      <c r="BW24" s="21">
        <f>+BY12*BY13</f>
        <v>0.39999999999999997</v>
      </c>
      <c r="BX24" s="16">
        <f t="array" ref="BX24:BY25">-BV24:BW25</f>
        <v>-0.19999999999999998</v>
      </c>
      <c r="BY24" s="16">
        <v>-0.39999999999999997</v>
      </c>
    </row>
    <row r="25" spans="1:79" x14ac:dyDescent="0.3">
      <c r="A25">
        <v>2</v>
      </c>
      <c r="B25" s="21">
        <f>+E12*E13</f>
        <v>0.39999999999999997</v>
      </c>
      <c r="C25" s="21">
        <f>+E13^2</f>
        <v>0.79999999999999993</v>
      </c>
      <c r="D25" s="16">
        <v>-0.39999999999999997</v>
      </c>
      <c r="E25" s="16">
        <v>-0.79999999999999993</v>
      </c>
      <c r="F25" t="s">
        <v>11</v>
      </c>
      <c r="S25">
        <v>4</v>
      </c>
      <c r="T25" s="21">
        <f>+W12*W13</f>
        <v>0</v>
      </c>
      <c r="U25" s="21">
        <f>+W13^2</f>
        <v>1</v>
      </c>
      <c r="V25" s="16">
        <v>0</v>
      </c>
      <c r="W25" s="16">
        <v>-1</v>
      </c>
      <c r="X25" t="s">
        <v>11</v>
      </c>
      <c r="AK25">
        <v>2</v>
      </c>
      <c r="AL25" s="21">
        <f>+AO12*AO13</f>
        <v>-0.49180327868852464</v>
      </c>
      <c r="AM25" s="21">
        <f>+AO13^2</f>
        <v>0.5901639344262295</v>
      </c>
      <c r="AN25" s="16">
        <v>0.49180327868852464</v>
      </c>
      <c r="AO25" s="16">
        <v>-0.5901639344262295</v>
      </c>
      <c r="AP25" t="s">
        <v>11</v>
      </c>
      <c r="BC25">
        <v>2</v>
      </c>
      <c r="BD25" s="21">
        <f>+BG12*BG13</f>
        <v>0</v>
      </c>
      <c r="BE25" s="21">
        <f>+BG13^2</f>
        <v>0</v>
      </c>
      <c r="BF25" s="16">
        <v>0</v>
      </c>
      <c r="BG25" s="16">
        <v>0</v>
      </c>
      <c r="BH25" t="s">
        <v>11</v>
      </c>
      <c r="BU25">
        <v>2</v>
      </c>
      <c r="BV25" s="21">
        <f>+BY12*BY13</f>
        <v>0.39999999999999997</v>
      </c>
      <c r="BW25" s="21">
        <f>+BY13^2</f>
        <v>0.79999999999999993</v>
      </c>
      <c r="BX25" s="16">
        <v>-0.39999999999999997</v>
      </c>
      <c r="BY25" s="16">
        <v>-0.79999999999999993</v>
      </c>
      <c r="BZ25" t="s">
        <v>11</v>
      </c>
    </row>
    <row r="26" spans="1:79" x14ac:dyDescent="0.3">
      <c r="A26">
        <v>11</v>
      </c>
      <c r="B26" s="16">
        <f t="array" ref="B26:C27">D24:E25</f>
        <v>-0.19999999999999998</v>
      </c>
      <c r="C26" s="16">
        <v>-0.39999999999999997</v>
      </c>
      <c r="D26" s="21">
        <f t="array" ref="D26:E27">B24:C25</f>
        <v>0.19999999999999998</v>
      </c>
      <c r="E26" s="21">
        <v>0.39999999999999997</v>
      </c>
      <c r="S26">
        <v>11</v>
      </c>
      <c r="T26" s="16">
        <f t="array" ref="T26:U27">V24:W25</f>
        <v>0</v>
      </c>
      <c r="U26" s="16">
        <v>0</v>
      </c>
      <c r="V26" s="21">
        <f t="array" ref="V26:W27">T24:U25</f>
        <v>0</v>
      </c>
      <c r="W26" s="21">
        <v>0</v>
      </c>
      <c r="AK26">
        <v>3</v>
      </c>
      <c r="AL26" s="16">
        <f t="array" ref="AL26:AM27">AN24:AO25</f>
        <v>-0.40983606557377056</v>
      </c>
      <c r="AM26" s="16">
        <v>0.49180327868852464</v>
      </c>
      <c r="AN26" s="21">
        <f t="array" ref="AN26:AO27">AL24:AM25</f>
        <v>0.40983606557377056</v>
      </c>
      <c r="AO26" s="21">
        <v>-0.49180327868852464</v>
      </c>
      <c r="BC26">
        <v>7</v>
      </c>
      <c r="BD26" s="16">
        <f t="array" ref="BD26:BE27">BF24:BG25</f>
        <v>-1</v>
      </c>
      <c r="BE26" s="16">
        <v>0</v>
      </c>
      <c r="BF26" s="21">
        <f t="array" ref="BF26:BG27">BD24:BE25</f>
        <v>1</v>
      </c>
      <c r="BG26" s="21">
        <v>0</v>
      </c>
      <c r="BU26">
        <v>5</v>
      </c>
      <c r="BV26" s="16">
        <f t="array" ref="BV26:BW27">BX24:BY25</f>
        <v>-0.19999999999999998</v>
      </c>
      <c r="BW26" s="16">
        <v>-0.39999999999999997</v>
      </c>
      <c r="BX26" s="21">
        <f t="array" ref="BX26:BY27">BV24:BW25</f>
        <v>0.19999999999999998</v>
      </c>
      <c r="BY26" s="21">
        <v>0.39999999999999997</v>
      </c>
    </row>
    <row r="27" spans="1:79" x14ac:dyDescent="0.3">
      <c r="A27">
        <v>12</v>
      </c>
      <c r="B27" s="16">
        <v>-0.39999999999999997</v>
      </c>
      <c r="C27" s="16">
        <v>-0.79999999999999993</v>
      </c>
      <c r="D27" s="21">
        <v>0.39999999999999997</v>
      </c>
      <c r="E27" s="21">
        <v>0.79999999999999993</v>
      </c>
      <c r="S27">
        <v>12</v>
      </c>
      <c r="T27" s="16">
        <v>0</v>
      </c>
      <c r="U27" s="16">
        <v>-1</v>
      </c>
      <c r="V27" s="21">
        <v>0</v>
      </c>
      <c r="W27" s="21">
        <v>1</v>
      </c>
      <c r="AK27">
        <v>4</v>
      </c>
      <c r="AL27" s="16">
        <v>0.49180327868852464</v>
      </c>
      <c r="AM27" s="16">
        <v>-0.5901639344262295</v>
      </c>
      <c r="AN27" s="21">
        <v>-0.49180327868852464</v>
      </c>
      <c r="AO27" s="21">
        <v>0.5901639344262295</v>
      </c>
      <c r="BC27">
        <v>8</v>
      </c>
      <c r="BD27" s="16">
        <v>0</v>
      </c>
      <c r="BE27" s="16">
        <v>0</v>
      </c>
      <c r="BF27" s="21">
        <v>0</v>
      </c>
      <c r="BG27" s="21">
        <v>0</v>
      </c>
      <c r="BU27">
        <v>6</v>
      </c>
      <c r="BV27" s="16">
        <v>-0.39999999999999997</v>
      </c>
      <c r="BW27" s="16">
        <v>-0.79999999999999993</v>
      </c>
      <c r="BX27" s="21">
        <v>0.39999999999999997</v>
      </c>
      <c r="BY27" s="21">
        <v>0.79999999999999993</v>
      </c>
    </row>
    <row r="30" spans="1:79" x14ac:dyDescent="0.3">
      <c r="A30" s="7" t="str">
        <f>+A23</f>
        <v xml:space="preserve">K </v>
      </c>
      <c r="B30">
        <f>+B23</f>
        <v>1</v>
      </c>
      <c r="C30">
        <f t="shared" ref="C30:E30" si="0">+C23</f>
        <v>2</v>
      </c>
      <c r="D30">
        <f t="shared" si="0"/>
        <v>11</v>
      </c>
      <c r="E30">
        <f t="shared" si="0"/>
        <v>12</v>
      </c>
      <c r="S30" s="7" t="str">
        <f>+S23</f>
        <v xml:space="preserve">K </v>
      </c>
      <c r="T30">
        <f>+T23</f>
        <v>3</v>
      </c>
      <c r="U30">
        <f t="shared" ref="U30:W30" si="1">+U23</f>
        <v>4</v>
      </c>
      <c r="V30">
        <f t="shared" si="1"/>
        <v>11</v>
      </c>
      <c r="W30">
        <f t="shared" si="1"/>
        <v>12</v>
      </c>
      <c r="AK30" s="7" t="str">
        <f>+AK23</f>
        <v xml:space="preserve">K </v>
      </c>
      <c r="AL30">
        <f>+AL23</f>
        <v>1</v>
      </c>
      <c r="AM30">
        <f t="shared" ref="AM30:AO30" si="2">+AM23</f>
        <v>2</v>
      </c>
      <c r="AN30">
        <f t="shared" si="2"/>
        <v>3</v>
      </c>
      <c r="AO30">
        <f t="shared" si="2"/>
        <v>4</v>
      </c>
      <c r="BC30" s="7" t="str">
        <f>+BC23</f>
        <v xml:space="preserve">K </v>
      </c>
      <c r="BD30">
        <f>+BD23</f>
        <v>1</v>
      </c>
      <c r="BE30">
        <f t="shared" ref="BE30:BG30" si="3">+BE23</f>
        <v>2</v>
      </c>
      <c r="BF30">
        <f t="shared" si="3"/>
        <v>7</v>
      </c>
      <c r="BG30">
        <f t="shared" si="3"/>
        <v>8</v>
      </c>
      <c r="BU30" s="7" t="str">
        <f>+BU23</f>
        <v xml:space="preserve">K </v>
      </c>
      <c r="BV30">
        <f>+BV23</f>
        <v>1</v>
      </c>
      <c r="BW30">
        <f t="shared" ref="BW30:BY30" si="4">+BW23</f>
        <v>2</v>
      </c>
      <c r="BX30">
        <f t="shared" si="4"/>
        <v>5</v>
      </c>
      <c r="BY30">
        <f t="shared" si="4"/>
        <v>6</v>
      </c>
    </row>
    <row r="31" spans="1:79" x14ac:dyDescent="0.3">
      <c r="A31">
        <f t="array" ref="A31:A34">TRANSPOSE(B30:E30)</f>
        <v>1</v>
      </c>
      <c r="B31" s="21">
        <f t="array" ref="B31:E34">F17*B24:E27</f>
        <v>64.845971347493887</v>
      </c>
      <c r="C31" s="21">
        <v>129.69194269498777</v>
      </c>
      <c r="D31" s="16">
        <v>-64.845971347493887</v>
      </c>
      <c r="E31" s="16">
        <v>-129.69194269498777</v>
      </c>
      <c r="S31">
        <f t="array" ref="S31:S34">TRANSPOSE(T30:W30)</f>
        <v>3</v>
      </c>
      <c r="T31" s="21">
        <f t="array" ref="T31:W34">X17*T24:W27</f>
        <v>0</v>
      </c>
      <c r="U31" s="21">
        <v>0</v>
      </c>
      <c r="V31" s="16">
        <v>0</v>
      </c>
      <c r="W31" s="16">
        <v>0</v>
      </c>
      <c r="AK31">
        <f t="array" ref="AK31:AK34">TRANSPOSE(AL30:AO30)</f>
        <v>1</v>
      </c>
      <c r="AL31" s="21">
        <f t="array" ref="AL31:AO34">AP17*AL24:AO27</f>
        <v>190.21872531014262</v>
      </c>
      <c r="AM31" s="21">
        <v>-228.26247037217112</v>
      </c>
      <c r="AN31" s="16">
        <v>-190.21872531014262</v>
      </c>
      <c r="AO31" s="16">
        <v>228.26247037217112</v>
      </c>
      <c r="BC31">
        <f t="array" ref="BC31:BC34">TRANSPOSE(BD30:BG30)</f>
        <v>1</v>
      </c>
      <c r="BD31" s="21">
        <f t="array" ref="BD31:BG34">BH17*BD24:BG27</f>
        <v>362.5</v>
      </c>
      <c r="BE31" s="21">
        <v>0</v>
      </c>
      <c r="BF31" s="16">
        <v>-362.5</v>
      </c>
      <c r="BG31" s="16">
        <v>0</v>
      </c>
      <c r="BU31">
        <f t="array" ref="BU31:BU34">TRANSPOSE(BV30:BY30)</f>
        <v>1</v>
      </c>
      <c r="BV31" s="21">
        <f t="array" ref="BV31:BY34">BZ17*BV24:BY27</f>
        <v>64.845971347493887</v>
      </c>
      <c r="BW31" s="21">
        <v>129.69194269498777</v>
      </c>
      <c r="BX31" s="16">
        <v>-64.845971347493887</v>
      </c>
      <c r="BY31" s="16">
        <v>-129.69194269498777</v>
      </c>
    </row>
    <row r="32" spans="1:79" x14ac:dyDescent="0.3">
      <c r="A32">
        <v>2</v>
      </c>
      <c r="B32" s="21">
        <v>129.69194269498777</v>
      </c>
      <c r="C32" s="21">
        <v>259.38388538997555</v>
      </c>
      <c r="D32" s="16">
        <v>-129.69194269498777</v>
      </c>
      <c r="E32" s="16">
        <v>-259.38388538997555</v>
      </c>
      <c r="S32">
        <v>4</v>
      </c>
      <c r="T32" s="21">
        <v>0</v>
      </c>
      <c r="U32" s="21">
        <v>226.5625</v>
      </c>
      <c r="V32" s="16">
        <v>0</v>
      </c>
      <c r="W32" s="16">
        <v>-226.5625</v>
      </c>
      <c r="AK32">
        <v>2</v>
      </c>
      <c r="AL32" s="21">
        <v>-228.26247037217112</v>
      </c>
      <c r="AM32" s="21">
        <v>273.91496444660532</v>
      </c>
      <c r="AN32" s="16">
        <v>228.26247037217112</v>
      </c>
      <c r="AO32" s="16">
        <v>-273.91496444660532</v>
      </c>
      <c r="BC32">
        <v>2</v>
      </c>
      <c r="BD32" s="21">
        <v>0</v>
      </c>
      <c r="BE32" s="21">
        <v>0</v>
      </c>
      <c r="BF32" s="16">
        <v>0</v>
      </c>
      <c r="BG32" s="16">
        <v>0</v>
      </c>
      <c r="BU32">
        <v>2</v>
      </c>
      <c r="BV32" s="21">
        <v>129.69194269498777</v>
      </c>
      <c r="BW32" s="21">
        <v>259.38388538997555</v>
      </c>
      <c r="BX32" s="16">
        <v>-129.69194269498777</v>
      </c>
      <c r="BY32" s="16">
        <v>-259.38388538997555</v>
      </c>
    </row>
    <row r="33" spans="1:87" x14ac:dyDescent="0.3">
      <c r="A33">
        <v>11</v>
      </c>
      <c r="B33" s="16">
        <v>-64.845971347493887</v>
      </c>
      <c r="C33" s="16">
        <v>-129.69194269498777</v>
      </c>
      <c r="D33" s="21">
        <v>64.845971347493887</v>
      </c>
      <c r="E33" s="21">
        <v>129.69194269498777</v>
      </c>
      <c r="S33">
        <v>11</v>
      </c>
      <c r="T33" s="16">
        <v>0</v>
      </c>
      <c r="U33" s="16">
        <v>0</v>
      </c>
      <c r="V33" s="21">
        <v>0</v>
      </c>
      <c r="W33" s="21">
        <v>0</v>
      </c>
      <c r="AK33">
        <v>3</v>
      </c>
      <c r="AL33" s="16">
        <v>-190.21872531014262</v>
      </c>
      <c r="AM33" s="16">
        <v>228.26247037217112</v>
      </c>
      <c r="AN33" s="21">
        <v>190.21872531014262</v>
      </c>
      <c r="AO33" s="21">
        <v>-228.26247037217112</v>
      </c>
      <c r="BC33">
        <v>7</v>
      </c>
      <c r="BD33" s="16">
        <v>-362.5</v>
      </c>
      <c r="BE33" s="16">
        <v>0</v>
      </c>
      <c r="BF33" s="21">
        <v>362.5</v>
      </c>
      <c r="BG33" s="21">
        <v>0</v>
      </c>
      <c r="BU33">
        <v>5</v>
      </c>
      <c r="BV33" s="16">
        <v>-64.845971347493887</v>
      </c>
      <c r="BW33" s="16">
        <v>-129.69194269498777</v>
      </c>
      <c r="BX33" s="21">
        <v>64.845971347493887</v>
      </c>
      <c r="BY33" s="21">
        <v>129.69194269498777</v>
      </c>
    </row>
    <row r="34" spans="1:87" x14ac:dyDescent="0.3">
      <c r="A34">
        <v>12</v>
      </c>
      <c r="B34" s="16">
        <v>-129.69194269498777</v>
      </c>
      <c r="C34" s="16">
        <v>-259.38388538997555</v>
      </c>
      <c r="D34" s="21">
        <v>129.69194269498777</v>
      </c>
      <c r="E34" s="21">
        <v>259.38388538997555</v>
      </c>
      <c r="S34">
        <v>12</v>
      </c>
      <c r="T34" s="16">
        <v>0</v>
      </c>
      <c r="U34" s="16">
        <v>-226.5625</v>
      </c>
      <c r="V34" s="21">
        <v>0</v>
      </c>
      <c r="W34" s="21">
        <v>226.5625</v>
      </c>
      <c r="AK34">
        <v>4</v>
      </c>
      <c r="AL34" s="16">
        <v>228.26247037217112</v>
      </c>
      <c r="AM34" s="16">
        <v>-273.91496444660532</v>
      </c>
      <c r="AN34" s="21">
        <v>-228.26247037217112</v>
      </c>
      <c r="AO34" s="21">
        <v>273.91496444660532</v>
      </c>
      <c r="BC34">
        <v>8</v>
      </c>
      <c r="BD34" s="16">
        <v>0</v>
      </c>
      <c r="BE34" s="16">
        <v>0</v>
      </c>
      <c r="BF34" s="21">
        <v>0</v>
      </c>
      <c r="BG34" s="21">
        <v>0</v>
      </c>
      <c r="BU34">
        <v>6</v>
      </c>
      <c r="BV34" s="16">
        <v>-129.69194269498777</v>
      </c>
      <c r="BW34" s="16">
        <v>-259.38388538997555</v>
      </c>
      <c r="BX34" s="21">
        <v>129.69194269498777</v>
      </c>
      <c r="BY34" s="21">
        <v>259.38388538997555</v>
      </c>
    </row>
    <row r="37" spans="1:87" x14ac:dyDescent="0.3">
      <c r="A37" s="25" t="str">
        <f xml:space="preserve"> CONCATENATE("MATRIZ LOCAL DEL ELEMENTO"," ",P8)</f>
        <v xml:space="preserve">MATRIZ LOCAL DEL ELEMENTO 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S37" s="25" t="str">
        <f xml:space="preserve"> CONCATENATE("MATRIZ LOCAL DEL ELEMENTO"," ",AH8)</f>
        <v xml:space="preserve">MATRIZ LOCAL DEL ELEMENTO </v>
      </c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K37" s="25" t="str">
        <f xml:space="preserve"> CONCATENATE("MATRIZ LOCAL DEL ELEMENTO"," ",AZ8)</f>
        <v xml:space="preserve">MATRIZ LOCAL DEL ELEMENTO </v>
      </c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BC37" s="25" t="str">
        <f xml:space="preserve"> CONCATENATE("MATRIZ LOCAL DEL ELEMENTO"," ",BR8)</f>
        <v xml:space="preserve">MATRIZ LOCAL DEL ELEMENTO </v>
      </c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U37" s="25" t="str">
        <f xml:space="preserve"> CONCATENATE("MATRIZ LOCAL DEL ELEMENTO"," ",CJ8)</f>
        <v xml:space="preserve">MATRIZ LOCAL DEL ELEMENTO </v>
      </c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</row>
    <row r="38" spans="1:87" x14ac:dyDescent="0.3">
      <c r="A38" t="s">
        <v>12</v>
      </c>
      <c r="B38">
        <v>1</v>
      </c>
      <c r="C38">
        <v>2</v>
      </c>
      <c r="D38">
        <v>3</v>
      </c>
      <c r="E38">
        <v>4</v>
      </c>
      <c r="F38">
        <v>5</v>
      </c>
      <c r="G38">
        <v>6</v>
      </c>
      <c r="H38">
        <v>7</v>
      </c>
      <c r="I38">
        <v>8</v>
      </c>
      <c r="J38">
        <v>9</v>
      </c>
      <c r="K38">
        <v>10</v>
      </c>
      <c r="L38">
        <v>11</v>
      </c>
      <c r="M38">
        <v>12</v>
      </c>
      <c r="N38">
        <v>13</v>
      </c>
      <c r="O38">
        <v>14</v>
      </c>
      <c r="S38" t="s">
        <v>12</v>
      </c>
      <c r="T38">
        <v>1</v>
      </c>
      <c r="U38">
        <v>2</v>
      </c>
      <c r="V38">
        <v>3</v>
      </c>
      <c r="W38">
        <v>4</v>
      </c>
      <c r="X38">
        <v>5</v>
      </c>
      <c r="Y38">
        <v>6</v>
      </c>
      <c r="Z38">
        <v>7</v>
      </c>
      <c r="AA38">
        <v>8</v>
      </c>
      <c r="AB38">
        <v>9</v>
      </c>
      <c r="AC38">
        <v>10</v>
      </c>
      <c r="AD38">
        <v>11</v>
      </c>
      <c r="AE38">
        <v>12</v>
      </c>
      <c r="AF38">
        <v>13</v>
      </c>
      <c r="AG38">
        <v>14</v>
      </c>
      <c r="AK38" t="s">
        <v>12</v>
      </c>
      <c r="AL38">
        <v>1</v>
      </c>
      <c r="AM38">
        <v>2</v>
      </c>
      <c r="AN38">
        <v>3</v>
      </c>
      <c r="AO38">
        <v>4</v>
      </c>
      <c r="AP38">
        <v>5</v>
      </c>
      <c r="AQ38">
        <v>6</v>
      </c>
      <c r="AR38">
        <v>7</v>
      </c>
      <c r="AS38">
        <v>8</v>
      </c>
      <c r="AT38">
        <v>9</v>
      </c>
      <c r="AU38">
        <v>10</v>
      </c>
      <c r="AV38">
        <v>11</v>
      </c>
      <c r="AW38">
        <v>12</v>
      </c>
      <c r="AX38">
        <v>13</v>
      </c>
      <c r="AY38">
        <v>14</v>
      </c>
      <c r="BC38" t="s">
        <v>12</v>
      </c>
      <c r="BD38">
        <v>1</v>
      </c>
      <c r="BE38">
        <v>2</v>
      </c>
      <c r="BF38">
        <v>3</v>
      </c>
      <c r="BG38">
        <v>4</v>
      </c>
      <c r="BH38">
        <v>5</v>
      </c>
      <c r="BI38">
        <v>6</v>
      </c>
      <c r="BJ38">
        <v>7</v>
      </c>
      <c r="BK38">
        <v>8</v>
      </c>
      <c r="BL38">
        <v>9</v>
      </c>
      <c r="BM38">
        <v>10</v>
      </c>
      <c r="BN38">
        <v>11</v>
      </c>
      <c r="BO38">
        <v>12</v>
      </c>
      <c r="BP38">
        <v>13</v>
      </c>
      <c r="BQ38">
        <v>14</v>
      </c>
      <c r="BU38" t="s">
        <v>12</v>
      </c>
      <c r="BV38">
        <v>1</v>
      </c>
      <c r="BW38">
        <v>2</v>
      </c>
      <c r="BX38">
        <v>3</v>
      </c>
      <c r="BY38">
        <v>4</v>
      </c>
      <c r="BZ38">
        <v>5</v>
      </c>
      <c r="CA38">
        <v>6</v>
      </c>
      <c r="CB38">
        <v>7</v>
      </c>
      <c r="CC38">
        <v>8</v>
      </c>
      <c r="CD38">
        <v>9</v>
      </c>
      <c r="CE38">
        <v>10</v>
      </c>
      <c r="CF38">
        <v>11</v>
      </c>
      <c r="CG38">
        <v>12</v>
      </c>
      <c r="CH38">
        <v>13</v>
      </c>
      <c r="CI38">
        <v>14</v>
      </c>
    </row>
    <row r="39" spans="1:87" x14ac:dyDescent="0.3">
      <c r="A39">
        <f t="array" ref="A39:A52">TRANSPOSE(B38:O38)</f>
        <v>1</v>
      </c>
      <c r="B39">
        <f>IFERROR(VLOOKUP($A39,$A$30:$E$34,MATCH(B$38,$A$30:$E$30,0),FALSE),0)</f>
        <v>64.845971347493887</v>
      </c>
      <c r="C39">
        <f t="shared" ref="C39:O52" si="5">IFERROR(VLOOKUP($A39,$A$30:$E$34,MATCH(C$38,$A$30:$E$30,0),FALSE),0)</f>
        <v>129.69194269498777</v>
      </c>
      <c r="D39">
        <f t="shared" si="5"/>
        <v>0</v>
      </c>
      <c r="E39">
        <f t="shared" si="5"/>
        <v>0</v>
      </c>
      <c r="F39">
        <f t="shared" si="5"/>
        <v>0</v>
      </c>
      <c r="G39">
        <f t="shared" si="5"/>
        <v>0</v>
      </c>
      <c r="H39">
        <f t="shared" si="5"/>
        <v>0</v>
      </c>
      <c r="I39">
        <f t="shared" si="5"/>
        <v>0</v>
      </c>
      <c r="J39">
        <f t="shared" si="5"/>
        <v>0</v>
      </c>
      <c r="K39">
        <f t="shared" si="5"/>
        <v>0</v>
      </c>
      <c r="L39">
        <f t="shared" si="5"/>
        <v>-64.845971347493887</v>
      </c>
      <c r="M39">
        <f t="shared" si="5"/>
        <v>-129.69194269498777</v>
      </c>
      <c r="N39">
        <f t="shared" si="5"/>
        <v>0</v>
      </c>
      <c r="O39">
        <f t="shared" si="5"/>
        <v>0</v>
      </c>
      <c r="S39">
        <f t="array" ref="S39:S52">TRANSPOSE(T38:AG38)</f>
        <v>1</v>
      </c>
      <c r="T39">
        <f>IFERROR(VLOOKUP($S39,$S$30:$W$34,MATCH(T$38,$S$30:$W$30,0),FALSE),0)</f>
        <v>0</v>
      </c>
      <c r="U39">
        <f t="shared" ref="U39:AG52" si="6">IFERROR(VLOOKUP($S39,$S$30:$W$34,MATCH(U$38,$S$30:$W$30,0),FALSE),0)</f>
        <v>0</v>
      </c>
      <c r="V39">
        <f t="shared" si="6"/>
        <v>0</v>
      </c>
      <c r="W39">
        <f t="shared" si="6"/>
        <v>0</v>
      </c>
      <c r="X39">
        <f t="shared" si="6"/>
        <v>0</v>
      </c>
      <c r="Y39">
        <f t="shared" si="6"/>
        <v>0</v>
      </c>
      <c r="Z39">
        <f t="shared" si="6"/>
        <v>0</v>
      </c>
      <c r="AA39">
        <f t="shared" si="6"/>
        <v>0</v>
      </c>
      <c r="AB39">
        <f t="shared" si="6"/>
        <v>0</v>
      </c>
      <c r="AC39">
        <f t="shared" si="6"/>
        <v>0</v>
      </c>
      <c r="AD39">
        <f t="shared" si="6"/>
        <v>0</v>
      </c>
      <c r="AE39">
        <f t="shared" si="6"/>
        <v>0</v>
      </c>
      <c r="AF39">
        <f t="shared" si="6"/>
        <v>0</v>
      </c>
      <c r="AG39">
        <f t="shared" si="6"/>
        <v>0</v>
      </c>
      <c r="AK39">
        <f t="array" ref="AK39:AK52">TRANSPOSE(AL38:AY38)</f>
        <v>1</v>
      </c>
      <c r="AL39">
        <f>IFERROR(VLOOKUP($AK39,$AK$30:$AO$34,MATCH(AL$38,$AK$30:$AO$30,0),FALSE),0)</f>
        <v>190.21872531014262</v>
      </c>
      <c r="AM39">
        <f t="shared" ref="AM39:AY52" si="7">IFERROR(VLOOKUP($S39,$AK$30:$AO$34,MATCH(AM$38,$AK$30:$AO$30,0),FALSE),0)</f>
        <v>-228.26247037217112</v>
      </c>
      <c r="AN39">
        <f t="shared" si="7"/>
        <v>-190.21872531014262</v>
      </c>
      <c r="AO39">
        <f t="shared" si="7"/>
        <v>228.26247037217112</v>
      </c>
      <c r="AP39">
        <f t="shared" si="7"/>
        <v>0</v>
      </c>
      <c r="AQ39">
        <f t="shared" si="7"/>
        <v>0</v>
      </c>
      <c r="AR39">
        <f t="shared" si="7"/>
        <v>0</v>
      </c>
      <c r="AS39">
        <f t="shared" si="7"/>
        <v>0</v>
      </c>
      <c r="AT39">
        <f t="shared" si="7"/>
        <v>0</v>
      </c>
      <c r="AU39">
        <f t="shared" si="7"/>
        <v>0</v>
      </c>
      <c r="AV39">
        <f t="shared" si="7"/>
        <v>0</v>
      </c>
      <c r="AW39">
        <f t="shared" si="7"/>
        <v>0</v>
      </c>
      <c r="AX39">
        <f t="shared" si="7"/>
        <v>0</v>
      </c>
      <c r="AY39">
        <f t="shared" si="7"/>
        <v>0</v>
      </c>
      <c r="BC39">
        <f t="array" ref="BC39:BC52">TRANSPOSE(BD38:BQ38)</f>
        <v>1</v>
      </c>
      <c r="BD39">
        <f>IFERROR(VLOOKUP($BC39,$BC$30:$BG$34,MATCH(BD$38,$BC$30:$BG$30,0),FALSE),0)</f>
        <v>362.5</v>
      </c>
      <c r="BE39">
        <f t="shared" ref="BE39:BQ52" si="8">IFERROR(VLOOKUP($BC39,$BC$30:$BG$34,MATCH(BE$38,$BC$30:$BG$30,0),FALSE),0)</f>
        <v>0</v>
      </c>
      <c r="BF39">
        <f t="shared" si="8"/>
        <v>0</v>
      </c>
      <c r="BG39">
        <f t="shared" si="8"/>
        <v>0</v>
      </c>
      <c r="BH39">
        <f t="shared" si="8"/>
        <v>0</v>
      </c>
      <c r="BI39">
        <f t="shared" si="8"/>
        <v>0</v>
      </c>
      <c r="BJ39">
        <f t="shared" si="8"/>
        <v>-362.5</v>
      </c>
      <c r="BK39">
        <f t="shared" si="8"/>
        <v>0</v>
      </c>
      <c r="BL39">
        <f t="shared" si="8"/>
        <v>0</v>
      </c>
      <c r="BM39">
        <f t="shared" si="8"/>
        <v>0</v>
      </c>
      <c r="BN39">
        <f t="shared" si="8"/>
        <v>0</v>
      </c>
      <c r="BO39">
        <f t="shared" si="8"/>
        <v>0</v>
      </c>
      <c r="BP39">
        <f t="shared" si="8"/>
        <v>0</v>
      </c>
      <c r="BQ39">
        <f t="shared" si="8"/>
        <v>0</v>
      </c>
      <c r="BU39">
        <f t="array" ref="BU39:BU52">TRANSPOSE(BV38:CI38)</f>
        <v>1</v>
      </c>
      <c r="BV39">
        <f>IFERROR(VLOOKUP($BU39,$BU$30:$BY$34,MATCH(BV$38,$BU$30:$BY$30,0),FALSE),0)</f>
        <v>64.845971347493887</v>
      </c>
      <c r="BW39">
        <f t="shared" ref="BW39:CI52" si="9">IFERROR(VLOOKUP($BU39,$BU$30:$BY$34,MATCH(BW$38,$BU$30:$BY$30,0),FALSE),0)</f>
        <v>129.69194269498777</v>
      </c>
      <c r="BX39">
        <f t="shared" si="9"/>
        <v>0</v>
      </c>
      <c r="BY39">
        <f t="shared" si="9"/>
        <v>0</v>
      </c>
      <c r="BZ39">
        <f t="shared" si="9"/>
        <v>-64.845971347493887</v>
      </c>
      <c r="CA39">
        <f t="shared" si="9"/>
        <v>-129.69194269498777</v>
      </c>
      <c r="CB39">
        <f t="shared" si="9"/>
        <v>0</v>
      </c>
      <c r="CC39">
        <f t="shared" si="9"/>
        <v>0</v>
      </c>
      <c r="CD39">
        <f t="shared" si="9"/>
        <v>0</v>
      </c>
      <c r="CE39">
        <f t="shared" si="9"/>
        <v>0</v>
      </c>
      <c r="CF39">
        <f t="shared" si="9"/>
        <v>0</v>
      </c>
      <c r="CG39">
        <f t="shared" si="9"/>
        <v>0</v>
      </c>
      <c r="CH39">
        <f t="shared" si="9"/>
        <v>0</v>
      </c>
      <c r="CI39">
        <f t="shared" si="9"/>
        <v>0</v>
      </c>
    </row>
    <row r="40" spans="1:87" x14ac:dyDescent="0.3">
      <c r="A40">
        <v>2</v>
      </c>
      <c r="B40">
        <f t="shared" ref="B40:B52" si="10">IFERROR(VLOOKUP($A40,$A$30:$E$34,MATCH(B$38,$A$30:$E$30,0),FALSE),0)</f>
        <v>129.69194269498777</v>
      </c>
      <c r="C40">
        <f t="shared" si="5"/>
        <v>259.38388538997555</v>
      </c>
      <c r="D40">
        <f t="shared" si="5"/>
        <v>0</v>
      </c>
      <c r="E40">
        <f t="shared" si="5"/>
        <v>0</v>
      </c>
      <c r="F40">
        <f t="shared" si="5"/>
        <v>0</v>
      </c>
      <c r="G40">
        <f t="shared" si="5"/>
        <v>0</v>
      </c>
      <c r="H40">
        <f t="shared" si="5"/>
        <v>0</v>
      </c>
      <c r="I40">
        <f t="shared" si="5"/>
        <v>0</v>
      </c>
      <c r="J40">
        <f t="shared" si="5"/>
        <v>0</v>
      </c>
      <c r="K40">
        <f t="shared" si="5"/>
        <v>0</v>
      </c>
      <c r="L40">
        <f t="shared" si="5"/>
        <v>-129.69194269498777</v>
      </c>
      <c r="M40">
        <f t="shared" si="5"/>
        <v>-259.38388538997555</v>
      </c>
      <c r="N40">
        <f t="shared" si="5"/>
        <v>0</v>
      </c>
      <c r="O40">
        <f t="shared" si="5"/>
        <v>0</v>
      </c>
      <c r="S40">
        <v>2</v>
      </c>
      <c r="T40">
        <f t="shared" ref="T40:T52" si="11">IFERROR(VLOOKUP($S40,$S$30:$W$34,MATCH(T$38,$S$30:$W$30,0),FALSE),0)</f>
        <v>0</v>
      </c>
      <c r="U40">
        <f t="shared" si="6"/>
        <v>0</v>
      </c>
      <c r="V40">
        <f t="shared" si="6"/>
        <v>0</v>
      </c>
      <c r="W40">
        <f t="shared" si="6"/>
        <v>0</v>
      </c>
      <c r="X40">
        <f t="shared" si="6"/>
        <v>0</v>
      </c>
      <c r="Y40">
        <f t="shared" si="6"/>
        <v>0</v>
      </c>
      <c r="Z40">
        <f t="shared" si="6"/>
        <v>0</v>
      </c>
      <c r="AA40">
        <f t="shared" si="6"/>
        <v>0</v>
      </c>
      <c r="AB40">
        <f t="shared" si="6"/>
        <v>0</v>
      </c>
      <c r="AC40">
        <f t="shared" si="6"/>
        <v>0</v>
      </c>
      <c r="AD40">
        <f t="shared" si="6"/>
        <v>0</v>
      </c>
      <c r="AE40">
        <f t="shared" si="6"/>
        <v>0</v>
      </c>
      <c r="AF40">
        <f t="shared" si="6"/>
        <v>0</v>
      </c>
      <c r="AG40">
        <f t="shared" si="6"/>
        <v>0</v>
      </c>
      <c r="AK40">
        <v>2</v>
      </c>
      <c r="AL40">
        <f t="shared" ref="AL40:AL52" si="12">IFERROR(VLOOKUP($S40,$AK$30:$AO$34,MATCH(AL$38,$AK$30:$AO$30,0),FALSE),0)</f>
        <v>-228.26247037217112</v>
      </c>
      <c r="AM40">
        <f t="shared" si="7"/>
        <v>273.91496444660532</v>
      </c>
      <c r="AN40">
        <f t="shared" si="7"/>
        <v>228.26247037217112</v>
      </c>
      <c r="AO40">
        <f t="shared" si="7"/>
        <v>-273.91496444660532</v>
      </c>
      <c r="AP40">
        <f t="shared" si="7"/>
        <v>0</v>
      </c>
      <c r="AQ40">
        <f t="shared" si="7"/>
        <v>0</v>
      </c>
      <c r="AR40">
        <f t="shared" si="7"/>
        <v>0</v>
      </c>
      <c r="AS40">
        <f t="shared" si="7"/>
        <v>0</v>
      </c>
      <c r="AT40">
        <f t="shared" si="7"/>
        <v>0</v>
      </c>
      <c r="AU40">
        <f t="shared" si="7"/>
        <v>0</v>
      </c>
      <c r="AV40">
        <f t="shared" si="7"/>
        <v>0</v>
      </c>
      <c r="AW40">
        <f t="shared" si="7"/>
        <v>0</v>
      </c>
      <c r="AX40">
        <f t="shared" si="7"/>
        <v>0</v>
      </c>
      <c r="AY40">
        <f t="shared" si="7"/>
        <v>0</v>
      </c>
      <c r="BC40">
        <v>2</v>
      </c>
      <c r="BD40">
        <f t="shared" ref="BD40:BD52" si="13">IFERROR(VLOOKUP($BC40,$BC$30:$BG$34,MATCH(BD$38,$BC$30:$BG$30,0),FALSE),0)</f>
        <v>0</v>
      </c>
      <c r="BE40">
        <f t="shared" si="8"/>
        <v>0</v>
      </c>
      <c r="BF40">
        <f t="shared" si="8"/>
        <v>0</v>
      </c>
      <c r="BG40">
        <f t="shared" si="8"/>
        <v>0</v>
      </c>
      <c r="BH40">
        <f t="shared" si="8"/>
        <v>0</v>
      </c>
      <c r="BI40">
        <f t="shared" si="8"/>
        <v>0</v>
      </c>
      <c r="BJ40">
        <f t="shared" si="8"/>
        <v>0</v>
      </c>
      <c r="BK40">
        <f t="shared" si="8"/>
        <v>0</v>
      </c>
      <c r="BL40">
        <f t="shared" si="8"/>
        <v>0</v>
      </c>
      <c r="BM40">
        <f t="shared" si="8"/>
        <v>0</v>
      </c>
      <c r="BN40">
        <f t="shared" si="8"/>
        <v>0</v>
      </c>
      <c r="BO40">
        <f t="shared" si="8"/>
        <v>0</v>
      </c>
      <c r="BP40">
        <f t="shared" si="8"/>
        <v>0</v>
      </c>
      <c r="BQ40">
        <f t="shared" si="8"/>
        <v>0</v>
      </c>
      <c r="BU40">
        <v>2</v>
      </c>
      <c r="BV40">
        <f t="shared" ref="BV40:BV52" si="14">IFERROR(VLOOKUP($BU40,$BU$30:$BY$34,MATCH(BV$38,$BU$30:$BY$30,0),FALSE),0)</f>
        <v>129.69194269498777</v>
      </c>
      <c r="BW40">
        <f t="shared" si="9"/>
        <v>259.38388538997555</v>
      </c>
      <c r="BX40">
        <f t="shared" si="9"/>
        <v>0</v>
      </c>
      <c r="BY40">
        <f t="shared" si="9"/>
        <v>0</v>
      </c>
      <c r="BZ40">
        <f t="shared" si="9"/>
        <v>-129.69194269498777</v>
      </c>
      <c r="CA40">
        <f t="shared" si="9"/>
        <v>-259.38388538997555</v>
      </c>
      <c r="CB40">
        <f t="shared" si="9"/>
        <v>0</v>
      </c>
      <c r="CC40">
        <f t="shared" si="9"/>
        <v>0</v>
      </c>
      <c r="CD40">
        <f t="shared" si="9"/>
        <v>0</v>
      </c>
      <c r="CE40">
        <f t="shared" si="9"/>
        <v>0</v>
      </c>
      <c r="CF40">
        <f t="shared" si="9"/>
        <v>0</v>
      </c>
      <c r="CG40">
        <f t="shared" si="9"/>
        <v>0</v>
      </c>
      <c r="CH40">
        <f t="shared" si="9"/>
        <v>0</v>
      </c>
      <c r="CI40">
        <f t="shared" si="9"/>
        <v>0</v>
      </c>
    </row>
    <row r="41" spans="1:87" x14ac:dyDescent="0.3">
      <c r="A41">
        <v>3</v>
      </c>
      <c r="B41">
        <f t="shared" si="10"/>
        <v>0</v>
      </c>
      <c r="C41">
        <f t="shared" si="5"/>
        <v>0</v>
      </c>
      <c r="D41">
        <f t="shared" si="5"/>
        <v>0</v>
      </c>
      <c r="E41">
        <f t="shared" si="5"/>
        <v>0</v>
      </c>
      <c r="F41">
        <f t="shared" si="5"/>
        <v>0</v>
      </c>
      <c r="G41">
        <f t="shared" si="5"/>
        <v>0</v>
      </c>
      <c r="H41">
        <f t="shared" si="5"/>
        <v>0</v>
      </c>
      <c r="I41">
        <f t="shared" si="5"/>
        <v>0</v>
      </c>
      <c r="J41">
        <f t="shared" si="5"/>
        <v>0</v>
      </c>
      <c r="K41">
        <f t="shared" si="5"/>
        <v>0</v>
      </c>
      <c r="L41">
        <f t="shared" si="5"/>
        <v>0</v>
      </c>
      <c r="M41">
        <f t="shared" si="5"/>
        <v>0</v>
      </c>
      <c r="N41">
        <f t="shared" si="5"/>
        <v>0</v>
      </c>
      <c r="O41">
        <f t="shared" si="5"/>
        <v>0</v>
      </c>
      <c r="S41">
        <v>3</v>
      </c>
      <c r="T41">
        <f t="shared" si="11"/>
        <v>0</v>
      </c>
      <c r="U41">
        <f t="shared" si="6"/>
        <v>0</v>
      </c>
      <c r="V41">
        <f t="shared" si="6"/>
        <v>0</v>
      </c>
      <c r="W41">
        <f t="shared" si="6"/>
        <v>0</v>
      </c>
      <c r="X41">
        <f t="shared" si="6"/>
        <v>0</v>
      </c>
      <c r="Y41">
        <f t="shared" si="6"/>
        <v>0</v>
      </c>
      <c r="Z41">
        <f t="shared" si="6"/>
        <v>0</v>
      </c>
      <c r="AA41">
        <f t="shared" si="6"/>
        <v>0</v>
      </c>
      <c r="AB41">
        <f t="shared" si="6"/>
        <v>0</v>
      </c>
      <c r="AC41">
        <f t="shared" si="6"/>
        <v>0</v>
      </c>
      <c r="AD41">
        <f t="shared" si="6"/>
        <v>0</v>
      </c>
      <c r="AE41">
        <f t="shared" si="6"/>
        <v>0</v>
      </c>
      <c r="AF41">
        <f t="shared" si="6"/>
        <v>0</v>
      </c>
      <c r="AG41">
        <f t="shared" si="6"/>
        <v>0</v>
      </c>
      <c r="AK41">
        <v>3</v>
      </c>
      <c r="AL41">
        <f t="shared" si="12"/>
        <v>-190.21872531014262</v>
      </c>
      <c r="AM41">
        <f t="shared" si="7"/>
        <v>228.26247037217112</v>
      </c>
      <c r="AN41">
        <f t="shared" si="7"/>
        <v>190.21872531014262</v>
      </c>
      <c r="AO41">
        <f t="shared" si="7"/>
        <v>-228.26247037217112</v>
      </c>
      <c r="AP41">
        <f t="shared" si="7"/>
        <v>0</v>
      </c>
      <c r="AQ41">
        <f t="shared" si="7"/>
        <v>0</v>
      </c>
      <c r="AR41">
        <f t="shared" si="7"/>
        <v>0</v>
      </c>
      <c r="AS41">
        <f t="shared" si="7"/>
        <v>0</v>
      </c>
      <c r="AT41">
        <f t="shared" si="7"/>
        <v>0</v>
      </c>
      <c r="AU41">
        <f t="shared" si="7"/>
        <v>0</v>
      </c>
      <c r="AV41">
        <f t="shared" si="7"/>
        <v>0</v>
      </c>
      <c r="AW41">
        <f t="shared" si="7"/>
        <v>0</v>
      </c>
      <c r="AX41">
        <f t="shared" si="7"/>
        <v>0</v>
      </c>
      <c r="AY41">
        <f t="shared" si="7"/>
        <v>0</v>
      </c>
      <c r="BC41">
        <v>3</v>
      </c>
      <c r="BD41">
        <f t="shared" si="13"/>
        <v>0</v>
      </c>
      <c r="BE41">
        <f t="shared" si="8"/>
        <v>0</v>
      </c>
      <c r="BF41">
        <f t="shared" si="8"/>
        <v>0</v>
      </c>
      <c r="BG41">
        <f t="shared" si="8"/>
        <v>0</v>
      </c>
      <c r="BH41">
        <f t="shared" si="8"/>
        <v>0</v>
      </c>
      <c r="BI41">
        <f t="shared" si="8"/>
        <v>0</v>
      </c>
      <c r="BJ41">
        <f t="shared" si="8"/>
        <v>0</v>
      </c>
      <c r="BK41">
        <f t="shared" si="8"/>
        <v>0</v>
      </c>
      <c r="BL41">
        <f t="shared" si="8"/>
        <v>0</v>
      </c>
      <c r="BM41">
        <f t="shared" si="8"/>
        <v>0</v>
      </c>
      <c r="BN41">
        <f t="shared" si="8"/>
        <v>0</v>
      </c>
      <c r="BO41">
        <f t="shared" si="8"/>
        <v>0</v>
      </c>
      <c r="BP41">
        <f t="shared" si="8"/>
        <v>0</v>
      </c>
      <c r="BQ41">
        <f t="shared" si="8"/>
        <v>0</v>
      </c>
      <c r="BU41">
        <v>3</v>
      </c>
      <c r="BV41">
        <f t="shared" si="14"/>
        <v>0</v>
      </c>
      <c r="BW41">
        <f t="shared" si="9"/>
        <v>0</v>
      </c>
      <c r="BX41">
        <f t="shared" si="9"/>
        <v>0</v>
      </c>
      <c r="BY41">
        <f t="shared" si="9"/>
        <v>0</v>
      </c>
      <c r="BZ41">
        <f t="shared" si="9"/>
        <v>0</v>
      </c>
      <c r="CA41">
        <f t="shared" si="9"/>
        <v>0</v>
      </c>
      <c r="CB41">
        <f t="shared" si="9"/>
        <v>0</v>
      </c>
      <c r="CC41">
        <f t="shared" si="9"/>
        <v>0</v>
      </c>
      <c r="CD41">
        <f t="shared" si="9"/>
        <v>0</v>
      </c>
      <c r="CE41">
        <f t="shared" si="9"/>
        <v>0</v>
      </c>
      <c r="CF41">
        <f t="shared" si="9"/>
        <v>0</v>
      </c>
      <c r="CG41">
        <f t="shared" si="9"/>
        <v>0</v>
      </c>
      <c r="CH41">
        <f t="shared" si="9"/>
        <v>0</v>
      </c>
      <c r="CI41">
        <f t="shared" si="9"/>
        <v>0</v>
      </c>
    </row>
    <row r="42" spans="1:87" x14ac:dyDescent="0.3">
      <c r="A42">
        <v>4</v>
      </c>
      <c r="B42">
        <f t="shared" si="10"/>
        <v>0</v>
      </c>
      <c r="C42">
        <f t="shared" si="5"/>
        <v>0</v>
      </c>
      <c r="D42">
        <f t="shared" si="5"/>
        <v>0</v>
      </c>
      <c r="E42">
        <f t="shared" si="5"/>
        <v>0</v>
      </c>
      <c r="F42">
        <f t="shared" si="5"/>
        <v>0</v>
      </c>
      <c r="G42">
        <f t="shared" si="5"/>
        <v>0</v>
      </c>
      <c r="H42">
        <f t="shared" si="5"/>
        <v>0</v>
      </c>
      <c r="I42">
        <f t="shared" si="5"/>
        <v>0</v>
      </c>
      <c r="J42">
        <f t="shared" si="5"/>
        <v>0</v>
      </c>
      <c r="K42">
        <f t="shared" si="5"/>
        <v>0</v>
      </c>
      <c r="L42">
        <f t="shared" si="5"/>
        <v>0</v>
      </c>
      <c r="M42">
        <f t="shared" si="5"/>
        <v>0</v>
      </c>
      <c r="N42">
        <f t="shared" si="5"/>
        <v>0</v>
      </c>
      <c r="O42">
        <f t="shared" si="5"/>
        <v>0</v>
      </c>
      <c r="S42">
        <v>4</v>
      </c>
      <c r="T42">
        <f t="shared" si="11"/>
        <v>0</v>
      </c>
      <c r="U42">
        <f t="shared" si="6"/>
        <v>0</v>
      </c>
      <c r="V42">
        <f t="shared" si="6"/>
        <v>0</v>
      </c>
      <c r="W42">
        <f t="shared" si="6"/>
        <v>226.5625</v>
      </c>
      <c r="X42">
        <f t="shared" si="6"/>
        <v>0</v>
      </c>
      <c r="Y42">
        <f t="shared" si="6"/>
        <v>0</v>
      </c>
      <c r="Z42">
        <f t="shared" si="6"/>
        <v>0</v>
      </c>
      <c r="AA42">
        <f t="shared" si="6"/>
        <v>0</v>
      </c>
      <c r="AB42">
        <f t="shared" si="6"/>
        <v>0</v>
      </c>
      <c r="AC42">
        <f t="shared" si="6"/>
        <v>0</v>
      </c>
      <c r="AD42">
        <f t="shared" si="6"/>
        <v>0</v>
      </c>
      <c r="AE42">
        <f t="shared" si="6"/>
        <v>-226.5625</v>
      </c>
      <c r="AF42">
        <f t="shared" si="6"/>
        <v>0</v>
      </c>
      <c r="AG42">
        <f t="shared" si="6"/>
        <v>0</v>
      </c>
      <c r="AK42">
        <v>4</v>
      </c>
      <c r="AL42">
        <f t="shared" si="12"/>
        <v>228.26247037217112</v>
      </c>
      <c r="AM42">
        <f t="shared" si="7"/>
        <v>-273.91496444660532</v>
      </c>
      <c r="AN42">
        <f t="shared" si="7"/>
        <v>-228.26247037217112</v>
      </c>
      <c r="AO42">
        <f t="shared" si="7"/>
        <v>273.91496444660532</v>
      </c>
      <c r="AP42">
        <f t="shared" si="7"/>
        <v>0</v>
      </c>
      <c r="AQ42">
        <f t="shared" si="7"/>
        <v>0</v>
      </c>
      <c r="AR42">
        <f t="shared" si="7"/>
        <v>0</v>
      </c>
      <c r="AS42">
        <f t="shared" si="7"/>
        <v>0</v>
      </c>
      <c r="AT42">
        <f t="shared" si="7"/>
        <v>0</v>
      </c>
      <c r="AU42">
        <f t="shared" si="7"/>
        <v>0</v>
      </c>
      <c r="AV42">
        <f t="shared" si="7"/>
        <v>0</v>
      </c>
      <c r="AW42">
        <f t="shared" si="7"/>
        <v>0</v>
      </c>
      <c r="AX42">
        <f t="shared" si="7"/>
        <v>0</v>
      </c>
      <c r="AY42">
        <f t="shared" si="7"/>
        <v>0</v>
      </c>
      <c r="BC42">
        <v>4</v>
      </c>
      <c r="BD42">
        <f t="shared" si="13"/>
        <v>0</v>
      </c>
      <c r="BE42">
        <f t="shared" si="8"/>
        <v>0</v>
      </c>
      <c r="BF42">
        <f t="shared" si="8"/>
        <v>0</v>
      </c>
      <c r="BG42">
        <f t="shared" si="8"/>
        <v>0</v>
      </c>
      <c r="BH42">
        <f t="shared" si="8"/>
        <v>0</v>
      </c>
      <c r="BI42">
        <f t="shared" si="8"/>
        <v>0</v>
      </c>
      <c r="BJ42">
        <f t="shared" si="8"/>
        <v>0</v>
      </c>
      <c r="BK42">
        <f t="shared" si="8"/>
        <v>0</v>
      </c>
      <c r="BL42">
        <f t="shared" si="8"/>
        <v>0</v>
      </c>
      <c r="BM42">
        <f t="shared" si="8"/>
        <v>0</v>
      </c>
      <c r="BN42">
        <f t="shared" si="8"/>
        <v>0</v>
      </c>
      <c r="BO42">
        <f t="shared" si="8"/>
        <v>0</v>
      </c>
      <c r="BP42">
        <f t="shared" si="8"/>
        <v>0</v>
      </c>
      <c r="BQ42">
        <f t="shared" si="8"/>
        <v>0</v>
      </c>
      <c r="BU42">
        <v>4</v>
      </c>
      <c r="BV42">
        <f t="shared" si="14"/>
        <v>0</v>
      </c>
      <c r="BW42">
        <f t="shared" si="9"/>
        <v>0</v>
      </c>
      <c r="BX42">
        <f t="shared" si="9"/>
        <v>0</v>
      </c>
      <c r="BY42">
        <f t="shared" si="9"/>
        <v>0</v>
      </c>
      <c r="BZ42">
        <f t="shared" si="9"/>
        <v>0</v>
      </c>
      <c r="CA42">
        <f t="shared" si="9"/>
        <v>0</v>
      </c>
      <c r="CB42">
        <f t="shared" si="9"/>
        <v>0</v>
      </c>
      <c r="CC42">
        <f t="shared" si="9"/>
        <v>0</v>
      </c>
      <c r="CD42">
        <f t="shared" si="9"/>
        <v>0</v>
      </c>
      <c r="CE42">
        <f t="shared" si="9"/>
        <v>0</v>
      </c>
      <c r="CF42">
        <f t="shared" si="9"/>
        <v>0</v>
      </c>
      <c r="CG42">
        <f t="shared" si="9"/>
        <v>0</v>
      </c>
      <c r="CH42">
        <f t="shared" si="9"/>
        <v>0</v>
      </c>
      <c r="CI42">
        <f t="shared" si="9"/>
        <v>0</v>
      </c>
    </row>
    <row r="43" spans="1:87" x14ac:dyDescent="0.3">
      <c r="A43">
        <v>5</v>
      </c>
      <c r="B43">
        <f t="shared" si="10"/>
        <v>0</v>
      </c>
      <c r="C43">
        <f t="shared" si="5"/>
        <v>0</v>
      </c>
      <c r="D43">
        <f t="shared" si="5"/>
        <v>0</v>
      </c>
      <c r="E43">
        <f t="shared" si="5"/>
        <v>0</v>
      </c>
      <c r="F43">
        <f t="shared" si="5"/>
        <v>0</v>
      </c>
      <c r="G43">
        <f t="shared" si="5"/>
        <v>0</v>
      </c>
      <c r="H43">
        <f t="shared" si="5"/>
        <v>0</v>
      </c>
      <c r="I43">
        <f t="shared" si="5"/>
        <v>0</v>
      </c>
      <c r="J43">
        <f t="shared" si="5"/>
        <v>0</v>
      </c>
      <c r="K43">
        <f t="shared" si="5"/>
        <v>0</v>
      </c>
      <c r="L43">
        <f t="shared" si="5"/>
        <v>0</v>
      </c>
      <c r="M43">
        <f t="shared" si="5"/>
        <v>0</v>
      </c>
      <c r="N43">
        <f t="shared" si="5"/>
        <v>0</v>
      </c>
      <c r="O43">
        <f t="shared" si="5"/>
        <v>0</v>
      </c>
      <c r="S43">
        <v>5</v>
      </c>
      <c r="T43">
        <f t="shared" si="11"/>
        <v>0</v>
      </c>
      <c r="U43">
        <f t="shared" si="6"/>
        <v>0</v>
      </c>
      <c r="V43">
        <f t="shared" si="6"/>
        <v>0</v>
      </c>
      <c r="W43">
        <f t="shared" si="6"/>
        <v>0</v>
      </c>
      <c r="X43">
        <f t="shared" si="6"/>
        <v>0</v>
      </c>
      <c r="Y43">
        <f t="shared" si="6"/>
        <v>0</v>
      </c>
      <c r="Z43">
        <f t="shared" si="6"/>
        <v>0</v>
      </c>
      <c r="AA43">
        <f t="shared" si="6"/>
        <v>0</v>
      </c>
      <c r="AB43">
        <f t="shared" si="6"/>
        <v>0</v>
      </c>
      <c r="AC43">
        <f t="shared" si="6"/>
        <v>0</v>
      </c>
      <c r="AD43">
        <f t="shared" si="6"/>
        <v>0</v>
      </c>
      <c r="AE43">
        <f t="shared" si="6"/>
        <v>0</v>
      </c>
      <c r="AF43">
        <f t="shared" si="6"/>
        <v>0</v>
      </c>
      <c r="AG43">
        <f t="shared" si="6"/>
        <v>0</v>
      </c>
      <c r="AK43">
        <v>5</v>
      </c>
      <c r="AL43">
        <f t="shared" si="12"/>
        <v>0</v>
      </c>
      <c r="AM43">
        <f t="shared" si="7"/>
        <v>0</v>
      </c>
      <c r="AN43">
        <f t="shared" si="7"/>
        <v>0</v>
      </c>
      <c r="AO43">
        <f t="shared" si="7"/>
        <v>0</v>
      </c>
      <c r="AP43">
        <f t="shared" si="7"/>
        <v>0</v>
      </c>
      <c r="AQ43">
        <f t="shared" si="7"/>
        <v>0</v>
      </c>
      <c r="AR43">
        <f t="shared" si="7"/>
        <v>0</v>
      </c>
      <c r="AS43">
        <f t="shared" si="7"/>
        <v>0</v>
      </c>
      <c r="AT43">
        <f t="shared" si="7"/>
        <v>0</v>
      </c>
      <c r="AU43">
        <f t="shared" si="7"/>
        <v>0</v>
      </c>
      <c r="AV43">
        <f t="shared" si="7"/>
        <v>0</v>
      </c>
      <c r="AW43">
        <f t="shared" si="7"/>
        <v>0</v>
      </c>
      <c r="AX43">
        <f t="shared" si="7"/>
        <v>0</v>
      </c>
      <c r="AY43">
        <f t="shared" si="7"/>
        <v>0</v>
      </c>
      <c r="BC43">
        <v>5</v>
      </c>
      <c r="BD43">
        <f t="shared" si="13"/>
        <v>0</v>
      </c>
      <c r="BE43">
        <f t="shared" si="8"/>
        <v>0</v>
      </c>
      <c r="BF43">
        <f t="shared" si="8"/>
        <v>0</v>
      </c>
      <c r="BG43">
        <f t="shared" si="8"/>
        <v>0</v>
      </c>
      <c r="BH43">
        <f t="shared" si="8"/>
        <v>0</v>
      </c>
      <c r="BI43">
        <f t="shared" si="8"/>
        <v>0</v>
      </c>
      <c r="BJ43">
        <f t="shared" si="8"/>
        <v>0</v>
      </c>
      <c r="BK43">
        <f t="shared" si="8"/>
        <v>0</v>
      </c>
      <c r="BL43">
        <f t="shared" si="8"/>
        <v>0</v>
      </c>
      <c r="BM43">
        <f t="shared" si="8"/>
        <v>0</v>
      </c>
      <c r="BN43">
        <f t="shared" si="8"/>
        <v>0</v>
      </c>
      <c r="BO43">
        <f t="shared" si="8"/>
        <v>0</v>
      </c>
      <c r="BP43">
        <f t="shared" si="8"/>
        <v>0</v>
      </c>
      <c r="BQ43">
        <f t="shared" si="8"/>
        <v>0</v>
      </c>
      <c r="BU43">
        <v>5</v>
      </c>
      <c r="BV43">
        <f t="shared" si="14"/>
        <v>-64.845971347493887</v>
      </c>
      <c r="BW43">
        <f t="shared" si="9"/>
        <v>-129.69194269498777</v>
      </c>
      <c r="BX43">
        <f t="shared" si="9"/>
        <v>0</v>
      </c>
      <c r="BY43">
        <f t="shared" si="9"/>
        <v>0</v>
      </c>
      <c r="BZ43">
        <f t="shared" si="9"/>
        <v>64.845971347493887</v>
      </c>
      <c r="CA43">
        <f t="shared" si="9"/>
        <v>129.69194269498777</v>
      </c>
      <c r="CB43">
        <f t="shared" si="9"/>
        <v>0</v>
      </c>
      <c r="CC43">
        <f t="shared" si="9"/>
        <v>0</v>
      </c>
      <c r="CD43">
        <f t="shared" si="9"/>
        <v>0</v>
      </c>
      <c r="CE43">
        <f t="shared" si="9"/>
        <v>0</v>
      </c>
      <c r="CF43">
        <f t="shared" si="9"/>
        <v>0</v>
      </c>
      <c r="CG43">
        <f t="shared" si="9"/>
        <v>0</v>
      </c>
      <c r="CH43">
        <f t="shared" si="9"/>
        <v>0</v>
      </c>
      <c r="CI43">
        <f t="shared" si="9"/>
        <v>0</v>
      </c>
    </row>
    <row r="44" spans="1:87" x14ac:dyDescent="0.3">
      <c r="A44">
        <v>6</v>
      </c>
      <c r="B44">
        <f t="shared" si="10"/>
        <v>0</v>
      </c>
      <c r="C44">
        <f t="shared" si="5"/>
        <v>0</v>
      </c>
      <c r="D44">
        <f t="shared" si="5"/>
        <v>0</v>
      </c>
      <c r="E44">
        <f t="shared" si="5"/>
        <v>0</v>
      </c>
      <c r="F44">
        <f t="shared" si="5"/>
        <v>0</v>
      </c>
      <c r="G44">
        <f t="shared" si="5"/>
        <v>0</v>
      </c>
      <c r="H44">
        <f t="shared" si="5"/>
        <v>0</v>
      </c>
      <c r="I44">
        <f t="shared" si="5"/>
        <v>0</v>
      </c>
      <c r="J44">
        <f t="shared" si="5"/>
        <v>0</v>
      </c>
      <c r="K44">
        <f t="shared" si="5"/>
        <v>0</v>
      </c>
      <c r="L44">
        <f t="shared" si="5"/>
        <v>0</v>
      </c>
      <c r="M44">
        <f t="shared" si="5"/>
        <v>0</v>
      </c>
      <c r="N44">
        <f t="shared" si="5"/>
        <v>0</v>
      </c>
      <c r="O44">
        <f t="shared" si="5"/>
        <v>0</v>
      </c>
      <c r="S44">
        <v>6</v>
      </c>
      <c r="T44">
        <f t="shared" si="11"/>
        <v>0</v>
      </c>
      <c r="U44">
        <f t="shared" si="6"/>
        <v>0</v>
      </c>
      <c r="V44">
        <f t="shared" si="6"/>
        <v>0</v>
      </c>
      <c r="W44">
        <f t="shared" si="6"/>
        <v>0</v>
      </c>
      <c r="X44">
        <f t="shared" si="6"/>
        <v>0</v>
      </c>
      <c r="Y44">
        <f t="shared" si="6"/>
        <v>0</v>
      </c>
      <c r="Z44">
        <f t="shared" si="6"/>
        <v>0</v>
      </c>
      <c r="AA44">
        <f t="shared" si="6"/>
        <v>0</v>
      </c>
      <c r="AB44">
        <f t="shared" si="6"/>
        <v>0</v>
      </c>
      <c r="AC44">
        <f t="shared" si="6"/>
        <v>0</v>
      </c>
      <c r="AD44">
        <f t="shared" si="6"/>
        <v>0</v>
      </c>
      <c r="AE44">
        <f t="shared" si="6"/>
        <v>0</v>
      </c>
      <c r="AF44">
        <f t="shared" si="6"/>
        <v>0</v>
      </c>
      <c r="AG44">
        <f t="shared" si="6"/>
        <v>0</v>
      </c>
      <c r="AK44">
        <v>6</v>
      </c>
      <c r="AL44">
        <f t="shared" si="12"/>
        <v>0</v>
      </c>
      <c r="AM44">
        <f t="shared" si="7"/>
        <v>0</v>
      </c>
      <c r="AN44">
        <f t="shared" si="7"/>
        <v>0</v>
      </c>
      <c r="AO44">
        <f t="shared" si="7"/>
        <v>0</v>
      </c>
      <c r="AP44">
        <f t="shared" si="7"/>
        <v>0</v>
      </c>
      <c r="AQ44">
        <f t="shared" si="7"/>
        <v>0</v>
      </c>
      <c r="AR44">
        <f t="shared" si="7"/>
        <v>0</v>
      </c>
      <c r="AS44">
        <f t="shared" si="7"/>
        <v>0</v>
      </c>
      <c r="AT44">
        <f t="shared" si="7"/>
        <v>0</v>
      </c>
      <c r="AU44">
        <f t="shared" si="7"/>
        <v>0</v>
      </c>
      <c r="AV44">
        <f t="shared" si="7"/>
        <v>0</v>
      </c>
      <c r="AW44">
        <f t="shared" si="7"/>
        <v>0</v>
      </c>
      <c r="AX44">
        <f t="shared" si="7"/>
        <v>0</v>
      </c>
      <c r="AY44">
        <f t="shared" si="7"/>
        <v>0</v>
      </c>
      <c r="BC44">
        <v>6</v>
      </c>
      <c r="BD44">
        <f t="shared" si="13"/>
        <v>0</v>
      </c>
      <c r="BE44">
        <f t="shared" si="8"/>
        <v>0</v>
      </c>
      <c r="BF44">
        <f t="shared" si="8"/>
        <v>0</v>
      </c>
      <c r="BG44">
        <f t="shared" si="8"/>
        <v>0</v>
      </c>
      <c r="BH44">
        <f t="shared" si="8"/>
        <v>0</v>
      </c>
      <c r="BI44">
        <f t="shared" si="8"/>
        <v>0</v>
      </c>
      <c r="BJ44">
        <f t="shared" si="8"/>
        <v>0</v>
      </c>
      <c r="BK44">
        <f t="shared" si="8"/>
        <v>0</v>
      </c>
      <c r="BL44">
        <f t="shared" si="8"/>
        <v>0</v>
      </c>
      <c r="BM44">
        <f t="shared" si="8"/>
        <v>0</v>
      </c>
      <c r="BN44">
        <f t="shared" si="8"/>
        <v>0</v>
      </c>
      <c r="BO44">
        <f t="shared" si="8"/>
        <v>0</v>
      </c>
      <c r="BP44">
        <f t="shared" si="8"/>
        <v>0</v>
      </c>
      <c r="BQ44">
        <f t="shared" si="8"/>
        <v>0</v>
      </c>
      <c r="BU44">
        <v>6</v>
      </c>
      <c r="BV44">
        <f t="shared" si="14"/>
        <v>-129.69194269498777</v>
      </c>
      <c r="BW44">
        <f t="shared" si="9"/>
        <v>-259.38388538997555</v>
      </c>
      <c r="BX44">
        <f t="shared" si="9"/>
        <v>0</v>
      </c>
      <c r="BY44">
        <f t="shared" si="9"/>
        <v>0</v>
      </c>
      <c r="BZ44">
        <f t="shared" si="9"/>
        <v>129.69194269498777</v>
      </c>
      <c r="CA44">
        <f t="shared" si="9"/>
        <v>259.38388538997555</v>
      </c>
      <c r="CB44">
        <f t="shared" si="9"/>
        <v>0</v>
      </c>
      <c r="CC44">
        <f t="shared" si="9"/>
        <v>0</v>
      </c>
      <c r="CD44">
        <f t="shared" si="9"/>
        <v>0</v>
      </c>
      <c r="CE44">
        <f t="shared" si="9"/>
        <v>0</v>
      </c>
      <c r="CF44">
        <f t="shared" si="9"/>
        <v>0</v>
      </c>
      <c r="CG44">
        <f t="shared" si="9"/>
        <v>0</v>
      </c>
      <c r="CH44">
        <f t="shared" si="9"/>
        <v>0</v>
      </c>
      <c r="CI44">
        <f t="shared" si="9"/>
        <v>0</v>
      </c>
    </row>
    <row r="45" spans="1:87" x14ac:dyDescent="0.3">
      <c r="A45">
        <v>7</v>
      </c>
      <c r="B45">
        <f t="shared" si="10"/>
        <v>0</v>
      </c>
      <c r="C45">
        <f t="shared" si="5"/>
        <v>0</v>
      </c>
      <c r="D45">
        <f t="shared" si="5"/>
        <v>0</v>
      </c>
      <c r="E45">
        <f t="shared" si="5"/>
        <v>0</v>
      </c>
      <c r="F45">
        <f t="shared" si="5"/>
        <v>0</v>
      </c>
      <c r="G45">
        <f t="shared" si="5"/>
        <v>0</v>
      </c>
      <c r="H45">
        <f t="shared" si="5"/>
        <v>0</v>
      </c>
      <c r="I45">
        <f t="shared" si="5"/>
        <v>0</v>
      </c>
      <c r="J45">
        <f t="shared" si="5"/>
        <v>0</v>
      </c>
      <c r="K45">
        <f t="shared" si="5"/>
        <v>0</v>
      </c>
      <c r="L45">
        <f t="shared" si="5"/>
        <v>0</v>
      </c>
      <c r="M45">
        <f t="shared" si="5"/>
        <v>0</v>
      </c>
      <c r="N45">
        <f t="shared" si="5"/>
        <v>0</v>
      </c>
      <c r="O45">
        <f t="shared" si="5"/>
        <v>0</v>
      </c>
      <c r="S45">
        <v>7</v>
      </c>
      <c r="T45">
        <f t="shared" si="11"/>
        <v>0</v>
      </c>
      <c r="U45">
        <f t="shared" si="6"/>
        <v>0</v>
      </c>
      <c r="V45">
        <f t="shared" si="6"/>
        <v>0</v>
      </c>
      <c r="W45">
        <f t="shared" si="6"/>
        <v>0</v>
      </c>
      <c r="X45">
        <f t="shared" si="6"/>
        <v>0</v>
      </c>
      <c r="Y45">
        <f t="shared" si="6"/>
        <v>0</v>
      </c>
      <c r="Z45">
        <f t="shared" si="6"/>
        <v>0</v>
      </c>
      <c r="AA45">
        <f t="shared" si="6"/>
        <v>0</v>
      </c>
      <c r="AB45">
        <f t="shared" si="6"/>
        <v>0</v>
      </c>
      <c r="AC45">
        <f t="shared" si="6"/>
        <v>0</v>
      </c>
      <c r="AD45">
        <f t="shared" si="6"/>
        <v>0</v>
      </c>
      <c r="AE45">
        <f t="shared" si="6"/>
        <v>0</v>
      </c>
      <c r="AF45">
        <f t="shared" si="6"/>
        <v>0</v>
      </c>
      <c r="AG45">
        <f t="shared" si="6"/>
        <v>0</v>
      </c>
      <c r="AK45">
        <v>7</v>
      </c>
      <c r="AL45">
        <f t="shared" si="12"/>
        <v>0</v>
      </c>
      <c r="AM45">
        <f t="shared" si="7"/>
        <v>0</v>
      </c>
      <c r="AN45">
        <f t="shared" si="7"/>
        <v>0</v>
      </c>
      <c r="AO45">
        <f t="shared" si="7"/>
        <v>0</v>
      </c>
      <c r="AP45">
        <f t="shared" si="7"/>
        <v>0</v>
      </c>
      <c r="AQ45">
        <f t="shared" si="7"/>
        <v>0</v>
      </c>
      <c r="AR45">
        <f t="shared" si="7"/>
        <v>0</v>
      </c>
      <c r="AS45">
        <f t="shared" si="7"/>
        <v>0</v>
      </c>
      <c r="AT45">
        <f t="shared" si="7"/>
        <v>0</v>
      </c>
      <c r="AU45">
        <f t="shared" si="7"/>
        <v>0</v>
      </c>
      <c r="AV45">
        <f t="shared" si="7"/>
        <v>0</v>
      </c>
      <c r="AW45">
        <f t="shared" si="7"/>
        <v>0</v>
      </c>
      <c r="AX45">
        <f t="shared" si="7"/>
        <v>0</v>
      </c>
      <c r="AY45">
        <f t="shared" si="7"/>
        <v>0</v>
      </c>
      <c r="BC45">
        <v>7</v>
      </c>
      <c r="BD45">
        <f t="shared" si="13"/>
        <v>-362.5</v>
      </c>
      <c r="BE45">
        <f t="shared" si="8"/>
        <v>0</v>
      </c>
      <c r="BF45">
        <f t="shared" si="8"/>
        <v>0</v>
      </c>
      <c r="BG45">
        <f t="shared" si="8"/>
        <v>0</v>
      </c>
      <c r="BH45">
        <f t="shared" si="8"/>
        <v>0</v>
      </c>
      <c r="BI45">
        <f t="shared" si="8"/>
        <v>0</v>
      </c>
      <c r="BJ45">
        <f t="shared" si="8"/>
        <v>362.5</v>
      </c>
      <c r="BK45">
        <f t="shared" si="8"/>
        <v>0</v>
      </c>
      <c r="BL45">
        <f t="shared" si="8"/>
        <v>0</v>
      </c>
      <c r="BM45">
        <f t="shared" si="8"/>
        <v>0</v>
      </c>
      <c r="BN45">
        <f t="shared" si="8"/>
        <v>0</v>
      </c>
      <c r="BO45">
        <f t="shared" si="8"/>
        <v>0</v>
      </c>
      <c r="BP45">
        <f t="shared" si="8"/>
        <v>0</v>
      </c>
      <c r="BQ45">
        <f t="shared" si="8"/>
        <v>0</v>
      </c>
      <c r="BU45">
        <v>7</v>
      </c>
      <c r="BV45">
        <f t="shared" si="14"/>
        <v>0</v>
      </c>
      <c r="BW45">
        <f t="shared" si="9"/>
        <v>0</v>
      </c>
      <c r="BX45">
        <f t="shared" si="9"/>
        <v>0</v>
      </c>
      <c r="BY45">
        <f t="shared" si="9"/>
        <v>0</v>
      </c>
      <c r="BZ45">
        <f t="shared" si="9"/>
        <v>0</v>
      </c>
      <c r="CA45">
        <f t="shared" si="9"/>
        <v>0</v>
      </c>
      <c r="CB45">
        <f t="shared" si="9"/>
        <v>0</v>
      </c>
      <c r="CC45">
        <f t="shared" si="9"/>
        <v>0</v>
      </c>
      <c r="CD45">
        <f t="shared" si="9"/>
        <v>0</v>
      </c>
      <c r="CE45">
        <f t="shared" si="9"/>
        <v>0</v>
      </c>
      <c r="CF45">
        <f t="shared" si="9"/>
        <v>0</v>
      </c>
      <c r="CG45">
        <f t="shared" si="9"/>
        <v>0</v>
      </c>
      <c r="CH45">
        <f t="shared" si="9"/>
        <v>0</v>
      </c>
      <c r="CI45">
        <f t="shared" si="9"/>
        <v>0</v>
      </c>
    </row>
    <row r="46" spans="1:87" x14ac:dyDescent="0.3">
      <c r="A46">
        <v>8</v>
      </c>
      <c r="B46">
        <f t="shared" si="10"/>
        <v>0</v>
      </c>
      <c r="C46">
        <f t="shared" si="5"/>
        <v>0</v>
      </c>
      <c r="D46">
        <f t="shared" si="5"/>
        <v>0</v>
      </c>
      <c r="E46">
        <f t="shared" si="5"/>
        <v>0</v>
      </c>
      <c r="F46">
        <f t="shared" si="5"/>
        <v>0</v>
      </c>
      <c r="G46">
        <f t="shared" si="5"/>
        <v>0</v>
      </c>
      <c r="H46">
        <f t="shared" si="5"/>
        <v>0</v>
      </c>
      <c r="I46">
        <f t="shared" si="5"/>
        <v>0</v>
      </c>
      <c r="J46">
        <f t="shared" si="5"/>
        <v>0</v>
      </c>
      <c r="K46">
        <f t="shared" si="5"/>
        <v>0</v>
      </c>
      <c r="L46">
        <f t="shared" si="5"/>
        <v>0</v>
      </c>
      <c r="M46">
        <f t="shared" si="5"/>
        <v>0</v>
      </c>
      <c r="N46">
        <f t="shared" si="5"/>
        <v>0</v>
      </c>
      <c r="O46">
        <f t="shared" si="5"/>
        <v>0</v>
      </c>
      <c r="S46">
        <v>8</v>
      </c>
      <c r="T46">
        <f t="shared" si="11"/>
        <v>0</v>
      </c>
      <c r="U46">
        <f t="shared" si="6"/>
        <v>0</v>
      </c>
      <c r="V46">
        <f t="shared" si="6"/>
        <v>0</v>
      </c>
      <c r="W46">
        <f t="shared" si="6"/>
        <v>0</v>
      </c>
      <c r="X46">
        <f t="shared" si="6"/>
        <v>0</v>
      </c>
      <c r="Y46">
        <f t="shared" si="6"/>
        <v>0</v>
      </c>
      <c r="Z46">
        <f t="shared" si="6"/>
        <v>0</v>
      </c>
      <c r="AA46">
        <f t="shared" si="6"/>
        <v>0</v>
      </c>
      <c r="AB46">
        <f t="shared" si="6"/>
        <v>0</v>
      </c>
      <c r="AC46">
        <f t="shared" si="6"/>
        <v>0</v>
      </c>
      <c r="AD46">
        <f t="shared" si="6"/>
        <v>0</v>
      </c>
      <c r="AE46">
        <f t="shared" si="6"/>
        <v>0</v>
      </c>
      <c r="AF46">
        <f t="shared" si="6"/>
        <v>0</v>
      </c>
      <c r="AG46">
        <f t="shared" si="6"/>
        <v>0</v>
      </c>
      <c r="AK46">
        <v>8</v>
      </c>
      <c r="AL46">
        <f t="shared" si="12"/>
        <v>0</v>
      </c>
      <c r="AM46">
        <f t="shared" si="7"/>
        <v>0</v>
      </c>
      <c r="AN46">
        <f t="shared" si="7"/>
        <v>0</v>
      </c>
      <c r="AO46">
        <f t="shared" si="7"/>
        <v>0</v>
      </c>
      <c r="AP46">
        <f t="shared" si="7"/>
        <v>0</v>
      </c>
      <c r="AQ46">
        <f t="shared" si="7"/>
        <v>0</v>
      </c>
      <c r="AR46">
        <f t="shared" si="7"/>
        <v>0</v>
      </c>
      <c r="AS46">
        <f t="shared" si="7"/>
        <v>0</v>
      </c>
      <c r="AT46">
        <f t="shared" si="7"/>
        <v>0</v>
      </c>
      <c r="AU46">
        <f t="shared" si="7"/>
        <v>0</v>
      </c>
      <c r="AV46">
        <f t="shared" si="7"/>
        <v>0</v>
      </c>
      <c r="AW46">
        <f t="shared" si="7"/>
        <v>0</v>
      </c>
      <c r="AX46">
        <f t="shared" si="7"/>
        <v>0</v>
      </c>
      <c r="AY46">
        <f t="shared" si="7"/>
        <v>0</v>
      </c>
      <c r="BC46">
        <v>8</v>
      </c>
      <c r="BD46">
        <f t="shared" si="13"/>
        <v>0</v>
      </c>
      <c r="BE46">
        <f t="shared" si="8"/>
        <v>0</v>
      </c>
      <c r="BF46">
        <f t="shared" si="8"/>
        <v>0</v>
      </c>
      <c r="BG46">
        <f t="shared" si="8"/>
        <v>0</v>
      </c>
      <c r="BH46">
        <f t="shared" si="8"/>
        <v>0</v>
      </c>
      <c r="BI46">
        <f t="shared" si="8"/>
        <v>0</v>
      </c>
      <c r="BJ46">
        <f t="shared" si="8"/>
        <v>0</v>
      </c>
      <c r="BK46">
        <f t="shared" si="8"/>
        <v>0</v>
      </c>
      <c r="BL46">
        <f t="shared" si="8"/>
        <v>0</v>
      </c>
      <c r="BM46">
        <f t="shared" si="8"/>
        <v>0</v>
      </c>
      <c r="BN46">
        <f t="shared" si="8"/>
        <v>0</v>
      </c>
      <c r="BO46">
        <f t="shared" si="8"/>
        <v>0</v>
      </c>
      <c r="BP46">
        <f t="shared" si="8"/>
        <v>0</v>
      </c>
      <c r="BQ46">
        <f t="shared" si="8"/>
        <v>0</v>
      </c>
      <c r="BU46">
        <v>8</v>
      </c>
      <c r="BV46">
        <f t="shared" si="14"/>
        <v>0</v>
      </c>
      <c r="BW46">
        <f t="shared" si="9"/>
        <v>0</v>
      </c>
      <c r="BX46">
        <f t="shared" si="9"/>
        <v>0</v>
      </c>
      <c r="BY46">
        <f t="shared" si="9"/>
        <v>0</v>
      </c>
      <c r="BZ46">
        <f t="shared" si="9"/>
        <v>0</v>
      </c>
      <c r="CA46">
        <f t="shared" si="9"/>
        <v>0</v>
      </c>
      <c r="CB46">
        <f t="shared" si="9"/>
        <v>0</v>
      </c>
      <c r="CC46">
        <f t="shared" si="9"/>
        <v>0</v>
      </c>
      <c r="CD46">
        <f t="shared" si="9"/>
        <v>0</v>
      </c>
      <c r="CE46">
        <f t="shared" si="9"/>
        <v>0</v>
      </c>
      <c r="CF46">
        <f t="shared" si="9"/>
        <v>0</v>
      </c>
      <c r="CG46">
        <f t="shared" si="9"/>
        <v>0</v>
      </c>
      <c r="CH46">
        <f t="shared" si="9"/>
        <v>0</v>
      </c>
      <c r="CI46">
        <f t="shared" si="9"/>
        <v>0</v>
      </c>
    </row>
    <row r="47" spans="1:87" x14ac:dyDescent="0.3">
      <c r="A47">
        <v>9</v>
      </c>
      <c r="B47">
        <f t="shared" si="10"/>
        <v>0</v>
      </c>
      <c r="C47">
        <f t="shared" si="5"/>
        <v>0</v>
      </c>
      <c r="D47">
        <f t="shared" si="5"/>
        <v>0</v>
      </c>
      <c r="E47">
        <f t="shared" si="5"/>
        <v>0</v>
      </c>
      <c r="F47">
        <f t="shared" si="5"/>
        <v>0</v>
      </c>
      <c r="G47">
        <f t="shared" si="5"/>
        <v>0</v>
      </c>
      <c r="H47">
        <f t="shared" si="5"/>
        <v>0</v>
      </c>
      <c r="I47">
        <f t="shared" si="5"/>
        <v>0</v>
      </c>
      <c r="J47">
        <f t="shared" si="5"/>
        <v>0</v>
      </c>
      <c r="K47">
        <f t="shared" si="5"/>
        <v>0</v>
      </c>
      <c r="L47">
        <f t="shared" si="5"/>
        <v>0</v>
      </c>
      <c r="M47">
        <f t="shared" si="5"/>
        <v>0</v>
      </c>
      <c r="N47">
        <f t="shared" si="5"/>
        <v>0</v>
      </c>
      <c r="O47">
        <f t="shared" si="5"/>
        <v>0</v>
      </c>
      <c r="S47">
        <v>9</v>
      </c>
      <c r="T47">
        <f t="shared" si="11"/>
        <v>0</v>
      </c>
      <c r="U47">
        <f t="shared" si="6"/>
        <v>0</v>
      </c>
      <c r="V47">
        <f t="shared" si="6"/>
        <v>0</v>
      </c>
      <c r="W47">
        <f t="shared" si="6"/>
        <v>0</v>
      </c>
      <c r="X47">
        <f t="shared" si="6"/>
        <v>0</v>
      </c>
      <c r="Y47">
        <f t="shared" si="6"/>
        <v>0</v>
      </c>
      <c r="Z47">
        <f t="shared" si="6"/>
        <v>0</v>
      </c>
      <c r="AA47">
        <f t="shared" si="6"/>
        <v>0</v>
      </c>
      <c r="AB47">
        <f t="shared" si="6"/>
        <v>0</v>
      </c>
      <c r="AC47">
        <f t="shared" si="6"/>
        <v>0</v>
      </c>
      <c r="AD47">
        <f t="shared" si="6"/>
        <v>0</v>
      </c>
      <c r="AE47">
        <f t="shared" si="6"/>
        <v>0</v>
      </c>
      <c r="AF47">
        <f t="shared" si="6"/>
        <v>0</v>
      </c>
      <c r="AG47">
        <f t="shared" si="6"/>
        <v>0</v>
      </c>
      <c r="AK47">
        <v>9</v>
      </c>
      <c r="AL47">
        <f t="shared" si="12"/>
        <v>0</v>
      </c>
      <c r="AM47">
        <f t="shared" si="7"/>
        <v>0</v>
      </c>
      <c r="AN47">
        <f t="shared" si="7"/>
        <v>0</v>
      </c>
      <c r="AO47">
        <f t="shared" si="7"/>
        <v>0</v>
      </c>
      <c r="AP47">
        <f t="shared" si="7"/>
        <v>0</v>
      </c>
      <c r="AQ47">
        <f t="shared" si="7"/>
        <v>0</v>
      </c>
      <c r="AR47">
        <f t="shared" si="7"/>
        <v>0</v>
      </c>
      <c r="AS47">
        <f t="shared" si="7"/>
        <v>0</v>
      </c>
      <c r="AT47">
        <f t="shared" si="7"/>
        <v>0</v>
      </c>
      <c r="AU47">
        <f t="shared" si="7"/>
        <v>0</v>
      </c>
      <c r="AV47">
        <f t="shared" si="7"/>
        <v>0</v>
      </c>
      <c r="AW47">
        <f t="shared" si="7"/>
        <v>0</v>
      </c>
      <c r="AX47">
        <f t="shared" si="7"/>
        <v>0</v>
      </c>
      <c r="AY47">
        <f t="shared" si="7"/>
        <v>0</v>
      </c>
      <c r="BC47">
        <v>9</v>
      </c>
      <c r="BD47">
        <f t="shared" si="13"/>
        <v>0</v>
      </c>
      <c r="BE47">
        <f t="shared" si="8"/>
        <v>0</v>
      </c>
      <c r="BF47">
        <f t="shared" si="8"/>
        <v>0</v>
      </c>
      <c r="BG47">
        <f t="shared" si="8"/>
        <v>0</v>
      </c>
      <c r="BH47">
        <f t="shared" si="8"/>
        <v>0</v>
      </c>
      <c r="BI47">
        <f t="shared" si="8"/>
        <v>0</v>
      </c>
      <c r="BJ47">
        <f t="shared" si="8"/>
        <v>0</v>
      </c>
      <c r="BK47">
        <f t="shared" si="8"/>
        <v>0</v>
      </c>
      <c r="BL47">
        <f t="shared" si="8"/>
        <v>0</v>
      </c>
      <c r="BM47">
        <f t="shared" si="8"/>
        <v>0</v>
      </c>
      <c r="BN47">
        <f t="shared" si="8"/>
        <v>0</v>
      </c>
      <c r="BO47">
        <f t="shared" si="8"/>
        <v>0</v>
      </c>
      <c r="BP47">
        <f t="shared" si="8"/>
        <v>0</v>
      </c>
      <c r="BQ47">
        <f t="shared" si="8"/>
        <v>0</v>
      </c>
      <c r="BU47">
        <v>9</v>
      </c>
      <c r="BV47">
        <f t="shared" si="14"/>
        <v>0</v>
      </c>
      <c r="BW47">
        <f t="shared" si="9"/>
        <v>0</v>
      </c>
      <c r="BX47">
        <f t="shared" si="9"/>
        <v>0</v>
      </c>
      <c r="BY47">
        <f t="shared" si="9"/>
        <v>0</v>
      </c>
      <c r="BZ47">
        <f t="shared" si="9"/>
        <v>0</v>
      </c>
      <c r="CA47">
        <f t="shared" si="9"/>
        <v>0</v>
      </c>
      <c r="CB47">
        <f t="shared" si="9"/>
        <v>0</v>
      </c>
      <c r="CC47">
        <f t="shared" si="9"/>
        <v>0</v>
      </c>
      <c r="CD47">
        <f t="shared" si="9"/>
        <v>0</v>
      </c>
      <c r="CE47">
        <f t="shared" si="9"/>
        <v>0</v>
      </c>
      <c r="CF47">
        <f t="shared" si="9"/>
        <v>0</v>
      </c>
      <c r="CG47">
        <f t="shared" si="9"/>
        <v>0</v>
      </c>
      <c r="CH47">
        <f t="shared" si="9"/>
        <v>0</v>
      </c>
      <c r="CI47">
        <f t="shared" si="9"/>
        <v>0</v>
      </c>
    </row>
    <row r="48" spans="1:87" x14ac:dyDescent="0.3">
      <c r="A48">
        <v>10</v>
      </c>
      <c r="B48">
        <f t="shared" si="10"/>
        <v>0</v>
      </c>
      <c r="C48">
        <f t="shared" si="5"/>
        <v>0</v>
      </c>
      <c r="D48">
        <f t="shared" si="5"/>
        <v>0</v>
      </c>
      <c r="E48">
        <f t="shared" si="5"/>
        <v>0</v>
      </c>
      <c r="F48">
        <f t="shared" si="5"/>
        <v>0</v>
      </c>
      <c r="G48">
        <f t="shared" si="5"/>
        <v>0</v>
      </c>
      <c r="H48">
        <f t="shared" si="5"/>
        <v>0</v>
      </c>
      <c r="I48">
        <f t="shared" si="5"/>
        <v>0</v>
      </c>
      <c r="J48">
        <f t="shared" si="5"/>
        <v>0</v>
      </c>
      <c r="K48">
        <f t="shared" si="5"/>
        <v>0</v>
      </c>
      <c r="L48">
        <f t="shared" si="5"/>
        <v>0</v>
      </c>
      <c r="M48">
        <f t="shared" si="5"/>
        <v>0</v>
      </c>
      <c r="N48">
        <f t="shared" si="5"/>
        <v>0</v>
      </c>
      <c r="O48">
        <f t="shared" si="5"/>
        <v>0</v>
      </c>
      <c r="S48">
        <v>10</v>
      </c>
      <c r="T48">
        <f t="shared" si="11"/>
        <v>0</v>
      </c>
      <c r="U48">
        <f t="shared" si="6"/>
        <v>0</v>
      </c>
      <c r="V48">
        <f t="shared" si="6"/>
        <v>0</v>
      </c>
      <c r="W48">
        <f t="shared" si="6"/>
        <v>0</v>
      </c>
      <c r="X48">
        <f t="shared" si="6"/>
        <v>0</v>
      </c>
      <c r="Y48">
        <f t="shared" si="6"/>
        <v>0</v>
      </c>
      <c r="Z48">
        <f t="shared" si="6"/>
        <v>0</v>
      </c>
      <c r="AA48">
        <f t="shared" si="6"/>
        <v>0</v>
      </c>
      <c r="AB48">
        <f t="shared" si="6"/>
        <v>0</v>
      </c>
      <c r="AC48">
        <f t="shared" si="6"/>
        <v>0</v>
      </c>
      <c r="AD48">
        <f t="shared" si="6"/>
        <v>0</v>
      </c>
      <c r="AE48">
        <f t="shared" si="6"/>
        <v>0</v>
      </c>
      <c r="AF48">
        <f t="shared" si="6"/>
        <v>0</v>
      </c>
      <c r="AG48">
        <f t="shared" si="6"/>
        <v>0</v>
      </c>
      <c r="AK48">
        <v>10</v>
      </c>
      <c r="AL48">
        <f t="shared" si="12"/>
        <v>0</v>
      </c>
      <c r="AM48">
        <f t="shared" si="7"/>
        <v>0</v>
      </c>
      <c r="AN48">
        <f t="shared" si="7"/>
        <v>0</v>
      </c>
      <c r="AO48">
        <f t="shared" si="7"/>
        <v>0</v>
      </c>
      <c r="AP48">
        <f t="shared" si="7"/>
        <v>0</v>
      </c>
      <c r="AQ48">
        <f t="shared" si="7"/>
        <v>0</v>
      </c>
      <c r="AR48">
        <f t="shared" si="7"/>
        <v>0</v>
      </c>
      <c r="AS48">
        <f t="shared" si="7"/>
        <v>0</v>
      </c>
      <c r="AT48">
        <f t="shared" si="7"/>
        <v>0</v>
      </c>
      <c r="AU48">
        <f t="shared" si="7"/>
        <v>0</v>
      </c>
      <c r="AV48">
        <f t="shared" si="7"/>
        <v>0</v>
      </c>
      <c r="AW48">
        <f t="shared" si="7"/>
        <v>0</v>
      </c>
      <c r="AX48">
        <f t="shared" si="7"/>
        <v>0</v>
      </c>
      <c r="AY48">
        <f t="shared" si="7"/>
        <v>0</v>
      </c>
      <c r="BC48">
        <v>10</v>
      </c>
      <c r="BD48">
        <f t="shared" si="13"/>
        <v>0</v>
      </c>
      <c r="BE48">
        <f t="shared" si="8"/>
        <v>0</v>
      </c>
      <c r="BF48">
        <f t="shared" si="8"/>
        <v>0</v>
      </c>
      <c r="BG48">
        <f t="shared" si="8"/>
        <v>0</v>
      </c>
      <c r="BH48">
        <f t="shared" si="8"/>
        <v>0</v>
      </c>
      <c r="BI48">
        <f t="shared" si="8"/>
        <v>0</v>
      </c>
      <c r="BJ48">
        <f t="shared" si="8"/>
        <v>0</v>
      </c>
      <c r="BK48">
        <f t="shared" si="8"/>
        <v>0</v>
      </c>
      <c r="BL48">
        <f t="shared" si="8"/>
        <v>0</v>
      </c>
      <c r="BM48">
        <f t="shared" si="8"/>
        <v>0</v>
      </c>
      <c r="BN48">
        <f t="shared" si="8"/>
        <v>0</v>
      </c>
      <c r="BO48">
        <f t="shared" si="8"/>
        <v>0</v>
      </c>
      <c r="BP48">
        <f t="shared" si="8"/>
        <v>0</v>
      </c>
      <c r="BQ48">
        <f t="shared" si="8"/>
        <v>0</v>
      </c>
      <c r="BU48">
        <v>10</v>
      </c>
      <c r="BV48">
        <f t="shared" si="14"/>
        <v>0</v>
      </c>
      <c r="BW48">
        <f t="shared" si="9"/>
        <v>0</v>
      </c>
      <c r="BX48">
        <f t="shared" si="9"/>
        <v>0</v>
      </c>
      <c r="BY48">
        <f t="shared" si="9"/>
        <v>0</v>
      </c>
      <c r="BZ48">
        <f t="shared" si="9"/>
        <v>0</v>
      </c>
      <c r="CA48">
        <f t="shared" si="9"/>
        <v>0</v>
      </c>
      <c r="CB48">
        <f t="shared" si="9"/>
        <v>0</v>
      </c>
      <c r="CC48">
        <f t="shared" si="9"/>
        <v>0</v>
      </c>
      <c r="CD48">
        <f t="shared" si="9"/>
        <v>0</v>
      </c>
      <c r="CE48">
        <f t="shared" si="9"/>
        <v>0</v>
      </c>
      <c r="CF48">
        <f t="shared" si="9"/>
        <v>0</v>
      </c>
      <c r="CG48">
        <f t="shared" si="9"/>
        <v>0</v>
      </c>
      <c r="CH48">
        <f t="shared" si="9"/>
        <v>0</v>
      </c>
      <c r="CI48">
        <f t="shared" si="9"/>
        <v>0</v>
      </c>
    </row>
    <row r="49" spans="1:106" x14ac:dyDescent="0.3">
      <c r="A49">
        <v>11</v>
      </c>
      <c r="B49">
        <f t="shared" si="10"/>
        <v>-64.845971347493887</v>
      </c>
      <c r="C49">
        <f t="shared" si="5"/>
        <v>-129.69194269498777</v>
      </c>
      <c r="D49">
        <f t="shared" si="5"/>
        <v>0</v>
      </c>
      <c r="E49">
        <f t="shared" si="5"/>
        <v>0</v>
      </c>
      <c r="F49">
        <f t="shared" si="5"/>
        <v>0</v>
      </c>
      <c r="G49">
        <f t="shared" si="5"/>
        <v>0</v>
      </c>
      <c r="H49">
        <f t="shared" si="5"/>
        <v>0</v>
      </c>
      <c r="I49">
        <f t="shared" si="5"/>
        <v>0</v>
      </c>
      <c r="J49">
        <f t="shared" si="5"/>
        <v>0</v>
      </c>
      <c r="K49">
        <f t="shared" si="5"/>
        <v>0</v>
      </c>
      <c r="L49">
        <f t="shared" si="5"/>
        <v>64.845971347493887</v>
      </c>
      <c r="M49">
        <f t="shared" si="5"/>
        <v>129.69194269498777</v>
      </c>
      <c r="N49">
        <f t="shared" si="5"/>
        <v>0</v>
      </c>
      <c r="O49">
        <f t="shared" si="5"/>
        <v>0</v>
      </c>
      <c r="S49">
        <v>11</v>
      </c>
      <c r="T49">
        <f t="shared" si="11"/>
        <v>0</v>
      </c>
      <c r="U49">
        <f t="shared" si="6"/>
        <v>0</v>
      </c>
      <c r="V49">
        <f t="shared" si="6"/>
        <v>0</v>
      </c>
      <c r="W49">
        <f t="shared" si="6"/>
        <v>0</v>
      </c>
      <c r="X49">
        <f t="shared" si="6"/>
        <v>0</v>
      </c>
      <c r="Y49">
        <f t="shared" si="6"/>
        <v>0</v>
      </c>
      <c r="Z49">
        <f t="shared" si="6"/>
        <v>0</v>
      </c>
      <c r="AA49">
        <f t="shared" si="6"/>
        <v>0</v>
      </c>
      <c r="AB49">
        <f t="shared" si="6"/>
        <v>0</v>
      </c>
      <c r="AC49">
        <f t="shared" si="6"/>
        <v>0</v>
      </c>
      <c r="AD49">
        <f t="shared" si="6"/>
        <v>0</v>
      </c>
      <c r="AE49">
        <f t="shared" si="6"/>
        <v>0</v>
      </c>
      <c r="AF49">
        <f t="shared" si="6"/>
        <v>0</v>
      </c>
      <c r="AG49">
        <f t="shared" si="6"/>
        <v>0</v>
      </c>
      <c r="AK49">
        <v>11</v>
      </c>
      <c r="AL49">
        <f t="shared" si="12"/>
        <v>0</v>
      </c>
      <c r="AM49">
        <f t="shared" si="7"/>
        <v>0</v>
      </c>
      <c r="AN49">
        <f t="shared" si="7"/>
        <v>0</v>
      </c>
      <c r="AO49">
        <f t="shared" si="7"/>
        <v>0</v>
      </c>
      <c r="AP49">
        <f t="shared" si="7"/>
        <v>0</v>
      </c>
      <c r="AQ49">
        <f t="shared" si="7"/>
        <v>0</v>
      </c>
      <c r="AR49">
        <f t="shared" si="7"/>
        <v>0</v>
      </c>
      <c r="AS49">
        <f t="shared" si="7"/>
        <v>0</v>
      </c>
      <c r="AT49">
        <f t="shared" si="7"/>
        <v>0</v>
      </c>
      <c r="AU49">
        <f t="shared" si="7"/>
        <v>0</v>
      </c>
      <c r="AV49">
        <f t="shared" si="7"/>
        <v>0</v>
      </c>
      <c r="AW49">
        <f t="shared" si="7"/>
        <v>0</v>
      </c>
      <c r="AX49">
        <f t="shared" si="7"/>
        <v>0</v>
      </c>
      <c r="AY49">
        <f t="shared" si="7"/>
        <v>0</v>
      </c>
      <c r="BC49">
        <v>11</v>
      </c>
      <c r="BD49">
        <f t="shared" si="13"/>
        <v>0</v>
      </c>
      <c r="BE49">
        <f t="shared" si="8"/>
        <v>0</v>
      </c>
      <c r="BF49">
        <f t="shared" si="8"/>
        <v>0</v>
      </c>
      <c r="BG49">
        <f t="shared" si="8"/>
        <v>0</v>
      </c>
      <c r="BH49">
        <f t="shared" si="8"/>
        <v>0</v>
      </c>
      <c r="BI49">
        <f t="shared" si="8"/>
        <v>0</v>
      </c>
      <c r="BJ49">
        <f t="shared" si="8"/>
        <v>0</v>
      </c>
      <c r="BK49">
        <f t="shared" si="8"/>
        <v>0</v>
      </c>
      <c r="BL49">
        <f t="shared" si="8"/>
        <v>0</v>
      </c>
      <c r="BM49">
        <f t="shared" si="8"/>
        <v>0</v>
      </c>
      <c r="BN49">
        <f t="shared" si="8"/>
        <v>0</v>
      </c>
      <c r="BO49">
        <f t="shared" si="8"/>
        <v>0</v>
      </c>
      <c r="BP49">
        <f t="shared" si="8"/>
        <v>0</v>
      </c>
      <c r="BQ49">
        <f t="shared" si="8"/>
        <v>0</v>
      </c>
      <c r="BU49">
        <v>11</v>
      </c>
      <c r="BV49">
        <f t="shared" si="14"/>
        <v>0</v>
      </c>
      <c r="BW49">
        <f t="shared" si="9"/>
        <v>0</v>
      </c>
      <c r="BX49">
        <f t="shared" si="9"/>
        <v>0</v>
      </c>
      <c r="BY49">
        <f t="shared" si="9"/>
        <v>0</v>
      </c>
      <c r="BZ49">
        <f t="shared" si="9"/>
        <v>0</v>
      </c>
      <c r="CA49">
        <f t="shared" si="9"/>
        <v>0</v>
      </c>
      <c r="CB49">
        <f t="shared" si="9"/>
        <v>0</v>
      </c>
      <c r="CC49">
        <f t="shared" si="9"/>
        <v>0</v>
      </c>
      <c r="CD49">
        <f t="shared" si="9"/>
        <v>0</v>
      </c>
      <c r="CE49">
        <f t="shared" si="9"/>
        <v>0</v>
      </c>
      <c r="CF49">
        <f t="shared" si="9"/>
        <v>0</v>
      </c>
      <c r="CG49">
        <f t="shared" si="9"/>
        <v>0</v>
      </c>
      <c r="CH49">
        <f t="shared" si="9"/>
        <v>0</v>
      </c>
      <c r="CI49">
        <f t="shared" si="9"/>
        <v>0</v>
      </c>
    </row>
    <row r="50" spans="1:106" x14ac:dyDescent="0.3">
      <c r="A50">
        <v>12</v>
      </c>
      <c r="B50">
        <f t="shared" si="10"/>
        <v>-129.69194269498777</v>
      </c>
      <c r="C50">
        <f t="shared" si="5"/>
        <v>-259.38388538997555</v>
      </c>
      <c r="D50">
        <f t="shared" si="5"/>
        <v>0</v>
      </c>
      <c r="E50">
        <f t="shared" si="5"/>
        <v>0</v>
      </c>
      <c r="F50">
        <f t="shared" si="5"/>
        <v>0</v>
      </c>
      <c r="G50">
        <f t="shared" si="5"/>
        <v>0</v>
      </c>
      <c r="H50">
        <f t="shared" si="5"/>
        <v>0</v>
      </c>
      <c r="I50">
        <f t="shared" si="5"/>
        <v>0</v>
      </c>
      <c r="J50">
        <f t="shared" si="5"/>
        <v>0</v>
      </c>
      <c r="K50">
        <f t="shared" si="5"/>
        <v>0</v>
      </c>
      <c r="L50">
        <f t="shared" si="5"/>
        <v>129.69194269498777</v>
      </c>
      <c r="M50">
        <f t="shared" si="5"/>
        <v>259.38388538997555</v>
      </c>
      <c r="N50">
        <f t="shared" si="5"/>
        <v>0</v>
      </c>
      <c r="O50">
        <f t="shared" si="5"/>
        <v>0</v>
      </c>
      <c r="S50">
        <v>12</v>
      </c>
      <c r="T50">
        <f t="shared" si="11"/>
        <v>0</v>
      </c>
      <c r="U50">
        <f t="shared" si="6"/>
        <v>0</v>
      </c>
      <c r="V50">
        <f t="shared" si="6"/>
        <v>0</v>
      </c>
      <c r="W50">
        <f t="shared" si="6"/>
        <v>-226.5625</v>
      </c>
      <c r="X50">
        <f t="shared" si="6"/>
        <v>0</v>
      </c>
      <c r="Y50">
        <f t="shared" si="6"/>
        <v>0</v>
      </c>
      <c r="Z50">
        <f t="shared" si="6"/>
        <v>0</v>
      </c>
      <c r="AA50">
        <f t="shared" si="6"/>
        <v>0</v>
      </c>
      <c r="AB50">
        <f t="shared" si="6"/>
        <v>0</v>
      </c>
      <c r="AC50">
        <f t="shared" si="6"/>
        <v>0</v>
      </c>
      <c r="AD50">
        <f t="shared" si="6"/>
        <v>0</v>
      </c>
      <c r="AE50">
        <f t="shared" si="6"/>
        <v>226.5625</v>
      </c>
      <c r="AF50">
        <f t="shared" si="6"/>
        <v>0</v>
      </c>
      <c r="AG50">
        <f t="shared" si="6"/>
        <v>0</v>
      </c>
      <c r="AK50">
        <v>12</v>
      </c>
      <c r="AL50">
        <f t="shared" si="12"/>
        <v>0</v>
      </c>
      <c r="AM50">
        <f t="shared" si="7"/>
        <v>0</v>
      </c>
      <c r="AN50">
        <f t="shared" si="7"/>
        <v>0</v>
      </c>
      <c r="AO50">
        <f t="shared" si="7"/>
        <v>0</v>
      </c>
      <c r="AP50">
        <f t="shared" si="7"/>
        <v>0</v>
      </c>
      <c r="AQ50">
        <f t="shared" si="7"/>
        <v>0</v>
      </c>
      <c r="AR50">
        <f t="shared" si="7"/>
        <v>0</v>
      </c>
      <c r="AS50">
        <f t="shared" si="7"/>
        <v>0</v>
      </c>
      <c r="AT50">
        <f t="shared" si="7"/>
        <v>0</v>
      </c>
      <c r="AU50">
        <f t="shared" si="7"/>
        <v>0</v>
      </c>
      <c r="AV50">
        <f t="shared" si="7"/>
        <v>0</v>
      </c>
      <c r="AW50">
        <f t="shared" si="7"/>
        <v>0</v>
      </c>
      <c r="AX50">
        <f t="shared" si="7"/>
        <v>0</v>
      </c>
      <c r="AY50">
        <f t="shared" si="7"/>
        <v>0</v>
      </c>
      <c r="BC50">
        <v>12</v>
      </c>
      <c r="BD50">
        <f t="shared" si="13"/>
        <v>0</v>
      </c>
      <c r="BE50">
        <f t="shared" si="8"/>
        <v>0</v>
      </c>
      <c r="BF50">
        <f t="shared" si="8"/>
        <v>0</v>
      </c>
      <c r="BG50">
        <f t="shared" si="8"/>
        <v>0</v>
      </c>
      <c r="BH50">
        <f t="shared" si="8"/>
        <v>0</v>
      </c>
      <c r="BI50">
        <f t="shared" si="8"/>
        <v>0</v>
      </c>
      <c r="BJ50">
        <f t="shared" si="8"/>
        <v>0</v>
      </c>
      <c r="BK50">
        <f t="shared" si="8"/>
        <v>0</v>
      </c>
      <c r="BL50">
        <f t="shared" si="8"/>
        <v>0</v>
      </c>
      <c r="BM50">
        <f t="shared" si="8"/>
        <v>0</v>
      </c>
      <c r="BN50">
        <f t="shared" si="8"/>
        <v>0</v>
      </c>
      <c r="BO50">
        <f t="shared" si="8"/>
        <v>0</v>
      </c>
      <c r="BP50">
        <f t="shared" si="8"/>
        <v>0</v>
      </c>
      <c r="BQ50">
        <f t="shared" si="8"/>
        <v>0</v>
      </c>
      <c r="BU50">
        <v>12</v>
      </c>
      <c r="BV50">
        <f t="shared" si="14"/>
        <v>0</v>
      </c>
      <c r="BW50">
        <f t="shared" si="9"/>
        <v>0</v>
      </c>
      <c r="BX50">
        <f t="shared" si="9"/>
        <v>0</v>
      </c>
      <c r="BY50">
        <f t="shared" si="9"/>
        <v>0</v>
      </c>
      <c r="BZ50">
        <f t="shared" si="9"/>
        <v>0</v>
      </c>
      <c r="CA50">
        <f t="shared" si="9"/>
        <v>0</v>
      </c>
      <c r="CB50">
        <f t="shared" si="9"/>
        <v>0</v>
      </c>
      <c r="CC50">
        <f t="shared" si="9"/>
        <v>0</v>
      </c>
      <c r="CD50">
        <f t="shared" si="9"/>
        <v>0</v>
      </c>
      <c r="CE50">
        <f t="shared" si="9"/>
        <v>0</v>
      </c>
      <c r="CF50">
        <f t="shared" si="9"/>
        <v>0</v>
      </c>
      <c r="CG50">
        <f t="shared" si="9"/>
        <v>0</v>
      </c>
      <c r="CH50">
        <f t="shared" si="9"/>
        <v>0</v>
      </c>
      <c r="CI50">
        <f t="shared" si="9"/>
        <v>0</v>
      </c>
    </row>
    <row r="51" spans="1:106" x14ac:dyDescent="0.3">
      <c r="A51">
        <v>13</v>
      </c>
      <c r="B51">
        <f t="shared" si="10"/>
        <v>0</v>
      </c>
      <c r="C51">
        <f t="shared" si="5"/>
        <v>0</v>
      </c>
      <c r="D51">
        <f t="shared" si="5"/>
        <v>0</v>
      </c>
      <c r="E51">
        <f t="shared" si="5"/>
        <v>0</v>
      </c>
      <c r="F51">
        <f t="shared" si="5"/>
        <v>0</v>
      </c>
      <c r="G51">
        <f t="shared" si="5"/>
        <v>0</v>
      </c>
      <c r="H51">
        <f t="shared" si="5"/>
        <v>0</v>
      </c>
      <c r="I51">
        <f t="shared" si="5"/>
        <v>0</v>
      </c>
      <c r="J51">
        <f t="shared" si="5"/>
        <v>0</v>
      </c>
      <c r="K51">
        <f t="shared" si="5"/>
        <v>0</v>
      </c>
      <c r="L51">
        <f t="shared" si="5"/>
        <v>0</v>
      </c>
      <c r="M51">
        <f t="shared" si="5"/>
        <v>0</v>
      </c>
      <c r="N51">
        <f t="shared" si="5"/>
        <v>0</v>
      </c>
      <c r="O51">
        <f t="shared" si="5"/>
        <v>0</v>
      </c>
      <c r="S51">
        <v>13</v>
      </c>
      <c r="T51">
        <f t="shared" si="11"/>
        <v>0</v>
      </c>
      <c r="U51">
        <f t="shared" si="6"/>
        <v>0</v>
      </c>
      <c r="V51">
        <f t="shared" si="6"/>
        <v>0</v>
      </c>
      <c r="W51">
        <f t="shared" si="6"/>
        <v>0</v>
      </c>
      <c r="X51">
        <f t="shared" si="6"/>
        <v>0</v>
      </c>
      <c r="Y51">
        <f t="shared" si="6"/>
        <v>0</v>
      </c>
      <c r="Z51">
        <f t="shared" si="6"/>
        <v>0</v>
      </c>
      <c r="AA51">
        <f t="shared" si="6"/>
        <v>0</v>
      </c>
      <c r="AB51">
        <f t="shared" si="6"/>
        <v>0</v>
      </c>
      <c r="AC51">
        <f t="shared" si="6"/>
        <v>0</v>
      </c>
      <c r="AD51">
        <f t="shared" si="6"/>
        <v>0</v>
      </c>
      <c r="AE51">
        <f t="shared" si="6"/>
        <v>0</v>
      </c>
      <c r="AF51">
        <f t="shared" si="6"/>
        <v>0</v>
      </c>
      <c r="AG51">
        <f t="shared" si="6"/>
        <v>0</v>
      </c>
      <c r="AK51">
        <v>13</v>
      </c>
      <c r="AL51">
        <f t="shared" si="12"/>
        <v>0</v>
      </c>
      <c r="AM51">
        <f t="shared" si="7"/>
        <v>0</v>
      </c>
      <c r="AN51">
        <f t="shared" si="7"/>
        <v>0</v>
      </c>
      <c r="AO51">
        <f t="shared" si="7"/>
        <v>0</v>
      </c>
      <c r="AP51">
        <f t="shared" si="7"/>
        <v>0</v>
      </c>
      <c r="AQ51">
        <f t="shared" si="7"/>
        <v>0</v>
      </c>
      <c r="AR51">
        <f t="shared" si="7"/>
        <v>0</v>
      </c>
      <c r="AS51">
        <f t="shared" si="7"/>
        <v>0</v>
      </c>
      <c r="AT51">
        <f t="shared" si="7"/>
        <v>0</v>
      </c>
      <c r="AU51">
        <f t="shared" si="7"/>
        <v>0</v>
      </c>
      <c r="AV51">
        <f t="shared" si="7"/>
        <v>0</v>
      </c>
      <c r="AW51">
        <f t="shared" si="7"/>
        <v>0</v>
      </c>
      <c r="AX51">
        <f t="shared" si="7"/>
        <v>0</v>
      </c>
      <c r="AY51">
        <f t="shared" si="7"/>
        <v>0</v>
      </c>
      <c r="BC51">
        <v>13</v>
      </c>
      <c r="BD51">
        <f t="shared" si="13"/>
        <v>0</v>
      </c>
      <c r="BE51">
        <f t="shared" si="8"/>
        <v>0</v>
      </c>
      <c r="BF51">
        <f t="shared" si="8"/>
        <v>0</v>
      </c>
      <c r="BG51">
        <f t="shared" si="8"/>
        <v>0</v>
      </c>
      <c r="BH51">
        <f t="shared" si="8"/>
        <v>0</v>
      </c>
      <c r="BI51">
        <f t="shared" si="8"/>
        <v>0</v>
      </c>
      <c r="BJ51">
        <f t="shared" si="8"/>
        <v>0</v>
      </c>
      <c r="BK51">
        <f t="shared" si="8"/>
        <v>0</v>
      </c>
      <c r="BL51">
        <f t="shared" si="8"/>
        <v>0</v>
      </c>
      <c r="BM51">
        <f t="shared" si="8"/>
        <v>0</v>
      </c>
      <c r="BN51">
        <f t="shared" si="8"/>
        <v>0</v>
      </c>
      <c r="BO51">
        <f t="shared" si="8"/>
        <v>0</v>
      </c>
      <c r="BP51">
        <f t="shared" si="8"/>
        <v>0</v>
      </c>
      <c r="BQ51">
        <f t="shared" si="8"/>
        <v>0</v>
      </c>
      <c r="BU51">
        <v>13</v>
      </c>
      <c r="BV51">
        <f t="shared" si="14"/>
        <v>0</v>
      </c>
      <c r="BW51">
        <f t="shared" si="9"/>
        <v>0</v>
      </c>
      <c r="BX51">
        <f t="shared" si="9"/>
        <v>0</v>
      </c>
      <c r="BY51">
        <f t="shared" si="9"/>
        <v>0</v>
      </c>
      <c r="BZ51">
        <f t="shared" si="9"/>
        <v>0</v>
      </c>
      <c r="CA51">
        <f t="shared" si="9"/>
        <v>0</v>
      </c>
      <c r="CB51">
        <f t="shared" si="9"/>
        <v>0</v>
      </c>
      <c r="CC51">
        <f t="shared" si="9"/>
        <v>0</v>
      </c>
      <c r="CD51">
        <f t="shared" si="9"/>
        <v>0</v>
      </c>
      <c r="CE51">
        <f t="shared" si="9"/>
        <v>0</v>
      </c>
      <c r="CF51">
        <f t="shared" si="9"/>
        <v>0</v>
      </c>
      <c r="CG51">
        <f t="shared" si="9"/>
        <v>0</v>
      </c>
      <c r="CH51">
        <f t="shared" si="9"/>
        <v>0</v>
      </c>
      <c r="CI51">
        <f t="shared" si="9"/>
        <v>0</v>
      </c>
    </row>
    <row r="52" spans="1:106" x14ac:dyDescent="0.3">
      <c r="A52">
        <v>14</v>
      </c>
      <c r="B52">
        <f t="shared" si="10"/>
        <v>0</v>
      </c>
      <c r="C52">
        <f t="shared" si="5"/>
        <v>0</v>
      </c>
      <c r="D52">
        <f t="shared" si="5"/>
        <v>0</v>
      </c>
      <c r="E52">
        <f t="shared" si="5"/>
        <v>0</v>
      </c>
      <c r="F52">
        <f t="shared" si="5"/>
        <v>0</v>
      </c>
      <c r="G52">
        <f t="shared" si="5"/>
        <v>0</v>
      </c>
      <c r="H52">
        <f t="shared" si="5"/>
        <v>0</v>
      </c>
      <c r="I52">
        <f t="shared" si="5"/>
        <v>0</v>
      </c>
      <c r="J52">
        <f t="shared" si="5"/>
        <v>0</v>
      </c>
      <c r="K52">
        <f t="shared" si="5"/>
        <v>0</v>
      </c>
      <c r="L52">
        <f t="shared" si="5"/>
        <v>0</v>
      </c>
      <c r="M52">
        <f t="shared" si="5"/>
        <v>0</v>
      </c>
      <c r="N52">
        <f t="shared" si="5"/>
        <v>0</v>
      </c>
      <c r="O52">
        <f t="shared" si="5"/>
        <v>0</v>
      </c>
      <c r="S52">
        <v>14</v>
      </c>
      <c r="T52">
        <f t="shared" si="11"/>
        <v>0</v>
      </c>
      <c r="U52">
        <f t="shared" si="6"/>
        <v>0</v>
      </c>
      <c r="V52">
        <f t="shared" si="6"/>
        <v>0</v>
      </c>
      <c r="W52">
        <f t="shared" si="6"/>
        <v>0</v>
      </c>
      <c r="X52">
        <f t="shared" si="6"/>
        <v>0</v>
      </c>
      <c r="Y52">
        <f t="shared" si="6"/>
        <v>0</v>
      </c>
      <c r="Z52">
        <f t="shared" si="6"/>
        <v>0</v>
      </c>
      <c r="AA52">
        <f t="shared" si="6"/>
        <v>0</v>
      </c>
      <c r="AB52">
        <f t="shared" si="6"/>
        <v>0</v>
      </c>
      <c r="AC52">
        <f t="shared" si="6"/>
        <v>0</v>
      </c>
      <c r="AD52">
        <f t="shared" si="6"/>
        <v>0</v>
      </c>
      <c r="AE52">
        <f t="shared" si="6"/>
        <v>0</v>
      </c>
      <c r="AF52">
        <f t="shared" si="6"/>
        <v>0</v>
      </c>
      <c r="AG52">
        <f t="shared" si="6"/>
        <v>0</v>
      </c>
      <c r="AK52">
        <v>14</v>
      </c>
      <c r="AL52">
        <f t="shared" si="12"/>
        <v>0</v>
      </c>
      <c r="AM52">
        <f t="shared" si="7"/>
        <v>0</v>
      </c>
      <c r="AN52">
        <f t="shared" si="7"/>
        <v>0</v>
      </c>
      <c r="AO52">
        <f t="shared" si="7"/>
        <v>0</v>
      </c>
      <c r="AP52">
        <f t="shared" si="7"/>
        <v>0</v>
      </c>
      <c r="AQ52">
        <f t="shared" si="7"/>
        <v>0</v>
      </c>
      <c r="AR52">
        <f t="shared" si="7"/>
        <v>0</v>
      </c>
      <c r="AS52">
        <f t="shared" si="7"/>
        <v>0</v>
      </c>
      <c r="AT52">
        <f t="shared" si="7"/>
        <v>0</v>
      </c>
      <c r="AU52">
        <f t="shared" si="7"/>
        <v>0</v>
      </c>
      <c r="AV52">
        <f t="shared" si="7"/>
        <v>0</v>
      </c>
      <c r="AW52">
        <f t="shared" si="7"/>
        <v>0</v>
      </c>
      <c r="AX52">
        <f t="shared" si="7"/>
        <v>0</v>
      </c>
      <c r="AY52">
        <f t="shared" si="7"/>
        <v>0</v>
      </c>
      <c r="BC52">
        <v>14</v>
      </c>
      <c r="BD52">
        <f t="shared" si="13"/>
        <v>0</v>
      </c>
      <c r="BE52">
        <f t="shared" si="8"/>
        <v>0</v>
      </c>
      <c r="BF52">
        <f t="shared" si="8"/>
        <v>0</v>
      </c>
      <c r="BG52">
        <f t="shared" si="8"/>
        <v>0</v>
      </c>
      <c r="BH52">
        <f t="shared" si="8"/>
        <v>0</v>
      </c>
      <c r="BI52">
        <f t="shared" si="8"/>
        <v>0</v>
      </c>
      <c r="BJ52">
        <f t="shared" si="8"/>
        <v>0</v>
      </c>
      <c r="BK52">
        <f t="shared" si="8"/>
        <v>0</v>
      </c>
      <c r="BL52">
        <f t="shared" si="8"/>
        <v>0</v>
      </c>
      <c r="BM52">
        <f t="shared" si="8"/>
        <v>0</v>
      </c>
      <c r="BN52">
        <f t="shared" si="8"/>
        <v>0</v>
      </c>
      <c r="BO52">
        <f t="shared" si="8"/>
        <v>0</v>
      </c>
      <c r="BP52">
        <f t="shared" si="8"/>
        <v>0</v>
      </c>
      <c r="BQ52">
        <f t="shared" si="8"/>
        <v>0</v>
      </c>
      <c r="BU52">
        <v>14</v>
      </c>
      <c r="BV52">
        <f t="shared" si="14"/>
        <v>0</v>
      </c>
      <c r="BW52">
        <f t="shared" si="9"/>
        <v>0</v>
      </c>
      <c r="BX52">
        <f t="shared" si="9"/>
        <v>0</v>
      </c>
      <c r="BY52">
        <f t="shared" si="9"/>
        <v>0</v>
      </c>
      <c r="BZ52">
        <f t="shared" si="9"/>
        <v>0</v>
      </c>
      <c r="CA52">
        <f t="shared" si="9"/>
        <v>0</v>
      </c>
      <c r="CB52">
        <f t="shared" si="9"/>
        <v>0</v>
      </c>
      <c r="CC52">
        <f t="shared" si="9"/>
        <v>0</v>
      </c>
      <c r="CD52">
        <f t="shared" si="9"/>
        <v>0</v>
      </c>
      <c r="CE52">
        <f t="shared" si="9"/>
        <v>0</v>
      </c>
      <c r="CF52">
        <f t="shared" si="9"/>
        <v>0</v>
      </c>
      <c r="CG52">
        <f t="shared" si="9"/>
        <v>0</v>
      </c>
      <c r="CH52">
        <f t="shared" si="9"/>
        <v>0</v>
      </c>
      <c r="CI52">
        <f t="shared" si="9"/>
        <v>0</v>
      </c>
    </row>
    <row r="57" spans="1:106" x14ac:dyDescent="0.3"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</row>
    <row r="58" spans="1:106" x14ac:dyDescent="0.3">
      <c r="A58" s="27" t="s">
        <v>58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S58" s="27" t="s">
        <v>59</v>
      </c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K58" s="27" t="s">
        <v>60</v>
      </c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C58" s="27" t="s">
        <v>61</v>
      </c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U58" s="18" t="s">
        <v>62</v>
      </c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M58" s="18" t="s">
        <v>63</v>
      </c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</row>
    <row r="59" spans="1:106" ht="2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U59" s="26"/>
      <c r="BV59" s="26"/>
      <c r="BW59" s="26"/>
      <c r="CJ59" s="20"/>
      <c r="CM59" s="26"/>
      <c r="CN59" s="26"/>
      <c r="CO59" s="26"/>
      <c r="DB59" s="20"/>
    </row>
    <row r="60" spans="1:106" ht="21" x14ac:dyDescent="0.3">
      <c r="A60" s="26" t="s">
        <v>0</v>
      </c>
      <c r="B60" s="26"/>
      <c r="C60" s="26"/>
      <c r="P60" s="20"/>
      <c r="Q60" s="19"/>
      <c r="R60" s="19"/>
      <c r="S60" s="26" t="s">
        <v>0</v>
      </c>
      <c r="T60" s="26"/>
      <c r="U60" s="26"/>
      <c r="AH60" s="20"/>
      <c r="AK60" s="26" t="s">
        <v>0</v>
      </c>
      <c r="AL60" s="26"/>
      <c r="AM60" s="26"/>
      <c r="AZ60" s="20"/>
      <c r="BC60" s="26" t="s">
        <v>0</v>
      </c>
      <c r="BD60" s="26"/>
      <c r="BE60" s="26"/>
      <c r="BR60" s="20"/>
      <c r="BU60" t="s">
        <v>0</v>
      </c>
      <c r="CJ60" s="20"/>
      <c r="CM60" t="s">
        <v>0</v>
      </c>
      <c r="DB60" s="20"/>
    </row>
    <row r="61" spans="1:106" ht="21" x14ac:dyDescent="0.3">
      <c r="P61" s="20"/>
      <c r="Q61" s="19"/>
      <c r="R61" s="19"/>
      <c r="AH61" s="20"/>
      <c r="AZ61" s="20"/>
      <c r="BR61" s="20"/>
    </row>
    <row r="62" spans="1:106" x14ac:dyDescent="0.3">
      <c r="A62" t="s">
        <v>1</v>
      </c>
      <c r="B62">
        <v>0</v>
      </c>
      <c r="C62" t="s">
        <v>20</v>
      </c>
      <c r="S62" t="s">
        <v>1</v>
      </c>
      <c r="T62">
        <v>10</v>
      </c>
      <c r="U62" t="s">
        <v>20</v>
      </c>
      <c r="AK62" t="s">
        <v>1</v>
      </c>
      <c r="AL62">
        <v>10</v>
      </c>
      <c r="AM62" t="s">
        <v>20</v>
      </c>
      <c r="BC62" t="s">
        <v>1</v>
      </c>
      <c r="BD62">
        <v>15</v>
      </c>
      <c r="BE62" t="s">
        <v>20</v>
      </c>
      <c r="BU62" t="s">
        <v>1</v>
      </c>
      <c r="BV62">
        <v>15</v>
      </c>
      <c r="BW62" t="s">
        <v>20</v>
      </c>
      <c r="CM62" t="s">
        <v>1</v>
      </c>
      <c r="CN62">
        <v>20</v>
      </c>
      <c r="CO62" t="s">
        <v>20</v>
      </c>
    </row>
    <row r="63" spans="1:106" x14ac:dyDescent="0.3">
      <c r="A63" t="s">
        <v>2</v>
      </c>
      <c r="B63">
        <v>10</v>
      </c>
      <c r="C63" t="s">
        <v>20</v>
      </c>
      <c r="S63" t="s">
        <v>2</v>
      </c>
      <c r="T63">
        <v>15</v>
      </c>
      <c r="U63" t="s">
        <v>20</v>
      </c>
      <c r="AK63" t="s">
        <v>2</v>
      </c>
      <c r="AL63">
        <v>20</v>
      </c>
      <c r="AM63" t="s">
        <v>20</v>
      </c>
      <c r="BC63" t="s">
        <v>2</v>
      </c>
      <c r="BD63">
        <v>20</v>
      </c>
      <c r="BE63" t="s">
        <v>20</v>
      </c>
      <c r="BU63" t="s">
        <v>2</v>
      </c>
      <c r="BV63">
        <v>20</v>
      </c>
      <c r="BW63" t="s">
        <v>20</v>
      </c>
      <c r="BX63" s="1"/>
      <c r="CM63" t="s">
        <v>2</v>
      </c>
      <c r="CN63">
        <v>20</v>
      </c>
      <c r="CO63" t="s">
        <v>20</v>
      </c>
      <c r="CP63" s="1"/>
    </row>
    <row r="64" spans="1:106" x14ac:dyDescent="0.3">
      <c r="A64" t="s">
        <v>3</v>
      </c>
      <c r="B64">
        <v>16</v>
      </c>
      <c r="C64" t="s">
        <v>20</v>
      </c>
      <c r="D64" s="1" t="s">
        <v>8</v>
      </c>
      <c r="E64">
        <f>+(B63-B62)/B67</f>
        <v>0.92847669088525941</v>
      </c>
      <c r="S64" t="s">
        <v>3</v>
      </c>
      <c r="T64">
        <v>20</v>
      </c>
      <c r="U64" t="s">
        <v>20</v>
      </c>
      <c r="V64" s="1" t="s">
        <v>8</v>
      </c>
      <c r="W64">
        <f>+(T63-T62)/T67</f>
        <v>0.44721359549995793</v>
      </c>
      <c r="AK64" t="s">
        <v>3</v>
      </c>
      <c r="AL64">
        <v>20</v>
      </c>
      <c r="AM64" t="s">
        <v>20</v>
      </c>
      <c r="AN64" s="1" t="s">
        <v>8</v>
      </c>
      <c r="AO64">
        <f>+(AL63-AL62)/AL67</f>
        <v>0.92847669088525941</v>
      </c>
      <c r="BC64" t="s">
        <v>3</v>
      </c>
      <c r="BD64">
        <v>10</v>
      </c>
      <c r="BE64" t="s">
        <v>20</v>
      </c>
      <c r="BF64" s="1" t="s">
        <v>8</v>
      </c>
      <c r="BG64">
        <f>+(BD63-BD62)/BD67</f>
        <v>0.64018439966447993</v>
      </c>
      <c r="BU64" t="s">
        <v>3</v>
      </c>
      <c r="BV64">
        <v>10</v>
      </c>
      <c r="BW64" t="s">
        <v>20</v>
      </c>
      <c r="BX64" s="1" t="s">
        <v>8</v>
      </c>
      <c r="BY64">
        <f>+(BV63-BV62)/BV67</f>
        <v>0.44721359549995793</v>
      </c>
      <c r="CM64" t="s">
        <v>3</v>
      </c>
      <c r="CN64">
        <v>0</v>
      </c>
      <c r="CO64" t="s">
        <v>20</v>
      </c>
      <c r="CP64" s="1" t="s">
        <v>8</v>
      </c>
      <c r="CQ64">
        <f>+(CN63-CN62)/CN67</f>
        <v>0</v>
      </c>
    </row>
    <row r="65" spans="1:97" x14ac:dyDescent="0.3">
      <c r="A65" t="s">
        <v>4</v>
      </c>
      <c r="B65">
        <v>20</v>
      </c>
      <c r="C65" t="s">
        <v>20</v>
      </c>
      <c r="D65" s="1" t="s">
        <v>9</v>
      </c>
      <c r="E65">
        <f>+(B65-B64)/B67</f>
        <v>0.37139067635410372</v>
      </c>
      <c r="S65" t="s">
        <v>4</v>
      </c>
      <c r="T65">
        <v>10</v>
      </c>
      <c r="U65" t="s">
        <v>20</v>
      </c>
      <c r="V65" s="1" t="s">
        <v>9</v>
      </c>
      <c r="W65">
        <f>+(T65-T64)/T67</f>
        <v>-0.89442719099991586</v>
      </c>
      <c r="AK65" t="s">
        <v>4</v>
      </c>
      <c r="AL65">
        <v>16</v>
      </c>
      <c r="AM65" t="s">
        <v>20</v>
      </c>
      <c r="AN65" s="1" t="s">
        <v>9</v>
      </c>
      <c r="AO65">
        <f>+(AL65-AL64)/AL67</f>
        <v>-0.37139067635410372</v>
      </c>
      <c r="BC65" t="s">
        <v>4</v>
      </c>
      <c r="BD65">
        <v>16</v>
      </c>
      <c r="BE65" t="s">
        <v>20</v>
      </c>
      <c r="BF65" s="1" t="s">
        <v>9</v>
      </c>
      <c r="BG65">
        <f>+(BD65-BD64)/BD67</f>
        <v>0.76822127959737585</v>
      </c>
      <c r="BU65" t="s">
        <v>4</v>
      </c>
      <c r="BV65">
        <v>0</v>
      </c>
      <c r="BW65" t="s">
        <v>20</v>
      </c>
      <c r="BX65" t="s">
        <v>9</v>
      </c>
      <c r="BY65">
        <f>+(BV65-BV64)/BV67</f>
        <v>-0.89442719099991586</v>
      </c>
      <c r="CM65" t="s">
        <v>4</v>
      </c>
      <c r="CN65">
        <v>16</v>
      </c>
      <c r="CO65" t="s">
        <v>20</v>
      </c>
      <c r="CP65" t="s">
        <v>9</v>
      </c>
      <c r="CQ65">
        <f>+(CN65-CN64)/CN67</f>
        <v>1</v>
      </c>
    </row>
    <row r="67" spans="1:97" x14ac:dyDescent="0.3">
      <c r="A67" t="s">
        <v>6</v>
      </c>
      <c r="B67">
        <f>SQRT(((B63-B62)^2)+(B65-B64)^2)</f>
        <v>10.770329614269007</v>
      </c>
      <c r="C67" t="s">
        <v>19</v>
      </c>
      <c r="S67" t="s">
        <v>6</v>
      </c>
      <c r="T67">
        <f>SQRT(((T63-T62)^2)+(T65-T64)^2)</f>
        <v>11.180339887498949</v>
      </c>
      <c r="U67" t="s">
        <v>19</v>
      </c>
      <c r="AK67" t="s">
        <v>6</v>
      </c>
      <c r="AL67">
        <f>SQRT(((AL63-AL62)^2)+(AL65-AL64)^2)</f>
        <v>10.770329614269007</v>
      </c>
      <c r="AM67" t="s">
        <v>19</v>
      </c>
      <c r="BC67" t="s">
        <v>6</v>
      </c>
      <c r="BD67">
        <f>SQRT(((BD63-BD62)^2)+(BD65-BD64)^2)</f>
        <v>7.810249675906654</v>
      </c>
      <c r="BE67" t="s">
        <v>19</v>
      </c>
      <c r="BU67" t="s">
        <v>6</v>
      </c>
      <c r="BV67">
        <f>SQRT(((BV63-BV62)^2)+(BV65-BV64)^2)</f>
        <v>11.180339887498949</v>
      </c>
      <c r="BW67" t="s">
        <v>19</v>
      </c>
      <c r="CM67" t="s">
        <v>6</v>
      </c>
      <c r="CN67">
        <f>SQRT(((CN63-CN62)^2)+(CN65-CN64)^2)</f>
        <v>16</v>
      </c>
      <c r="CO67" t="s">
        <v>19</v>
      </c>
    </row>
    <row r="69" spans="1:97" x14ac:dyDescent="0.3">
      <c r="A69" t="s">
        <v>5</v>
      </c>
      <c r="B69">
        <v>1.5</v>
      </c>
      <c r="C69" t="s">
        <v>17</v>
      </c>
      <c r="E69" t="s">
        <v>10</v>
      </c>
      <c r="F69">
        <f>B69*B70/(B67*12)</f>
        <v>336.57280044590652</v>
      </c>
      <c r="S69" t="s">
        <v>5</v>
      </c>
      <c r="T69">
        <v>1.5</v>
      </c>
      <c r="U69" t="s">
        <v>17</v>
      </c>
      <c r="W69" t="s">
        <v>10</v>
      </c>
      <c r="X69">
        <f>T69*T70/(T67*12)</f>
        <v>324.22985673746945</v>
      </c>
      <c r="AK69" t="s">
        <v>5</v>
      </c>
      <c r="AL69">
        <v>1.5</v>
      </c>
      <c r="AM69" t="s">
        <v>17</v>
      </c>
      <c r="AO69" t="s">
        <v>10</v>
      </c>
      <c r="AP69">
        <f>AL69*AL70/(AL67*12)</f>
        <v>336.57280044590652</v>
      </c>
      <c r="BC69" t="s">
        <v>5</v>
      </c>
      <c r="BD69">
        <v>1.5</v>
      </c>
      <c r="BE69" t="s">
        <v>17</v>
      </c>
      <c r="BG69" t="s">
        <v>10</v>
      </c>
      <c r="BH69">
        <f>BD69*BD70/(BD67*12)</f>
        <v>464.13368975674791</v>
      </c>
      <c r="BU69" t="s">
        <v>5</v>
      </c>
      <c r="BV69">
        <v>1.5</v>
      </c>
      <c r="BW69" t="s">
        <v>17</v>
      </c>
      <c r="BY69" t="s">
        <v>10</v>
      </c>
      <c r="BZ69">
        <f>BV69*BV70/(BV67*12)</f>
        <v>324.22985673746945</v>
      </c>
      <c r="CM69" t="s">
        <v>5</v>
      </c>
      <c r="CN69">
        <v>1.5</v>
      </c>
      <c r="CO69" t="s">
        <v>17</v>
      </c>
      <c r="CQ69" t="s">
        <v>10</v>
      </c>
      <c r="CR69">
        <f>CN69*CN70/(CN67*12)</f>
        <v>226.5625</v>
      </c>
    </row>
    <row r="70" spans="1:97" x14ac:dyDescent="0.3">
      <c r="A70" t="s">
        <v>7</v>
      </c>
      <c r="B70">
        <v>29000</v>
      </c>
      <c r="C70" t="s">
        <v>18</v>
      </c>
      <c r="S70" t="s">
        <v>7</v>
      </c>
      <c r="T70">
        <v>29000</v>
      </c>
      <c r="U70" t="s">
        <v>18</v>
      </c>
      <c r="AK70" t="s">
        <v>7</v>
      </c>
      <c r="AL70">
        <v>29000</v>
      </c>
      <c r="AM70" t="s">
        <v>18</v>
      </c>
      <c r="BC70" t="s">
        <v>7</v>
      </c>
      <c r="BD70">
        <v>29000</v>
      </c>
      <c r="BE70" t="s">
        <v>18</v>
      </c>
      <c r="BU70" t="s">
        <v>7</v>
      </c>
      <c r="BV70">
        <v>29000</v>
      </c>
      <c r="BW70" t="s">
        <v>18</v>
      </c>
      <c r="CM70" t="s">
        <v>7</v>
      </c>
      <c r="CN70">
        <v>29000</v>
      </c>
      <c r="CO70" t="s">
        <v>18</v>
      </c>
    </row>
    <row r="72" spans="1:97" x14ac:dyDescent="0.3">
      <c r="BU72" s="25"/>
      <c r="BV72" s="25"/>
      <c r="BW72" s="25"/>
      <c r="BX72" s="25"/>
      <c r="BY72" s="25"/>
      <c r="BZ72" s="25"/>
      <c r="CA72" s="25"/>
      <c r="CM72" s="25"/>
      <c r="CN72" s="25"/>
      <c r="CO72" s="25"/>
      <c r="CP72" s="25"/>
      <c r="CQ72" s="25"/>
      <c r="CR72" s="25"/>
      <c r="CS72" s="25"/>
    </row>
    <row r="73" spans="1:97" x14ac:dyDescent="0.3">
      <c r="A73" s="25" t="str">
        <f>CONCATENATE("MATRIZ RIGIDEZ ELEMENTO"," ",P60)</f>
        <v xml:space="preserve">MATRIZ RIGIDEZ ELEMENTO </v>
      </c>
      <c r="B73" s="25"/>
      <c r="C73" s="25"/>
      <c r="D73" s="25"/>
      <c r="E73" s="25"/>
      <c r="F73" s="25"/>
      <c r="G73" s="25"/>
      <c r="S73" s="25" t="str">
        <f>CONCATENATE("MATRIZ RIGIDEZ ELEMENTO"," ",AH60)</f>
        <v xml:space="preserve">MATRIZ RIGIDEZ ELEMENTO </v>
      </c>
      <c r="T73" s="25"/>
      <c r="U73" s="25"/>
      <c r="V73" s="25"/>
      <c r="W73" s="25"/>
      <c r="X73" s="25"/>
      <c r="Y73" s="25"/>
      <c r="AK73" s="25" t="str">
        <f>CONCATENATE("MATRIZ RIGIDEZ ELEMENTO"," ",AZ60)</f>
        <v xml:space="preserve">MATRIZ RIGIDEZ ELEMENTO </v>
      </c>
      <c r="AL73" s="25"/>
      <c r="AM73" s="25"/>
      <c r="AN73" s="25"/>
      <c r="AO73" s="25"/>
      <c r="AP73" s="25"/>
      <c r="AQ73" s="25"/>
      <c r="BC73" s="25" t="str">
        <f>CONCATENATE("MATRIZ RIGIDEZ ELEMENTO"," ",BR60)</f>
        <v xml:space="preserve">MATRIZ RIGIDEZ ELEMENTO </v>
      </c>
      <c r="BD73" s="25"/>
      <c r="BE73" s="25"/>
      <c r="BF73" s="25"/>
      <c r="BG73" s="25"/>
      <c r="BH73" s="25"/>
      <c r="BI73" s="25"/>
      <c r="BU73" t="str">
        <f>CONCATENATE("MATRIZ RIGIDEZ ELEMENTO"," ",CJ60)</f>
        <v xml:space="preserve">MATRIZ RIGIDEZ ELEMENTO </v>
      </c>
      <c r="CM73" t="str">
        <f>CONCATENATE("MATRIZ RIGIDEZ ELEMENTO"," ",DB60)</f>
        <v xml:space="preserve">MATRIZ RIGIDEZ ELEMENTO </v>
      </c>
    </row>
    <row r="74" spans="1:97" x14ac:dyDescent="0.3">
      <c r="BU74" s="7"/>
      <c r="CM74" s="7"/>
    </row>
    <row r="75" spans="1:97" x14ac:dyDescent="0.3">
      <c r="A75" s="7" t="str">
        <f>CONCATENATE("K"," ",P60)</f>
        <v xml:space="preserve">K </v>
      </c>
      <c r="B75">
        <v>3</v>
      </c>
      <c r="C75">
        <v>4</v>
      </c>
      <c r="D75">
        <v>5</v>
      </c>
      <c r="E75">
        <v>6</v>
      </c>
      <c r="S75" s="7" t="str">
        <f>CONCATENATE("K"," ",AH60)</f>
        <v xml:space="preserve">K </v>
      </c>
      <c r="T75">
        <v>5</v>
      </c>
      <c r="U75">
        <v>6</v>
      </c>
      <c r="V75">
        <v>7</v>
      </c>
      <c r="W75">
        <v>8</v>
      </c>
      <c r="AK75" s="7" t="str">
        <f>CONCATENATE("K"," ",AZ60)</f>
        <v xml:space="preserve">K </v>
      </c>
      <c r="AL75">
        <v>5</v>
      </c>
      <c r="AM75">
        <v>6</v>
      </c>
      <c r="AN75">
        <v>9</v>
      </c>
      <c r="AO75">
        <v>10</v>
      </c>
      <c r="BC75" s="7" t="str">
        <f>CONCATENATE("K"," ",BR60)</f>
        <v xml:space="preserve">K </v>
      </c>
      <c r="BD75">
        <v>7</v>
      </c>
      <c r="BE75">
        <v>8</v>
      </c>
      <c r="BF75">
        <v>9</v>
      </c>
      <c r="BG75">
        <v>10</v>
      </c>
      <c r="BU75" t="str">
        <f>CONCATENATE("K"," ",CJ60)</f>
        <v xml:space="preserve">K </v>
      </c>
      <c r="BV75" s="21">
        <v>7</v>
      </c>
      <c r="BW75" s="21">
        <v>8</v>
      </c>
      <c r="BX75" s="16">
        <v>13</v>
      </c>
      <c r="BY75" s="16">
        <v>14</v>
      </c>
      <c r="CM75" t="str">
        <f>CONCATENATE("K"," ",DB60)</f>
        <v xml:space="preserve">K </v>
      </c>
      <c r="CN75" s="21">
        <v>9</v>
      </c>
      <c r="CO75" s="21">
        <v>10</v>
      </c>
      <c r="CP75" s="16">
        <v>13</v>
      </c>
      <c r="CQ75" s="16">
        <v>14</v>
      </c>
    </row>
    <row r="76" spans="1:97" x14ac:dyDescent="0.3">
      <c r="A76">
        <f t="array" ref="A76:A79">TRANSPOSE(B75:E75)</f>
        <v>3</v>
      </c>
      <c r="B76" s="21">
        <f>E64^2</f>
        <v>0.86206896551724155</v>
      </c>
      <c r="C76" s="21">
        <f>+E64*E65</f>
        <v>0.34482758620689657</v>
      </c>
      <c r="D76" s="16">
        <f t="array" ref="D76:E77">-B76:C77</f>
        <v>-0.86206896551724155</v>
      </c>
      <c r="E76" s="16">
        <v>-0.34482758620689657</v>
      </c>
      <c r="S76">
        <f t="array" ref="S76:S79">TRANSPOSE(T75:W75)</f>
        <v>5</v>
      </c>
      <c r="T76" s="21">
        <f>W64^2</f>
        <v>0.19999999999999998</v>
      </c>
      <c r="U76" s="21">
        <f>+W64*W65</f>
        <v>-0.39999999999999997</v>
      </c>
      <c r="V76" s="16">
        <f t="array" ref="V76:W77">-T76:U77</f>
        <v>-0.19999999999999998</v>
      </c>
      <c r="W76" s="16">
        <v>0.39999999999999997</v>
      </c>
      <c r="AK76">
        <f t="array" ref="AK76:AK79">TRANSPOSE(AL75:AO75)</f>
        <v>5</v>
      </c>
      <c r="AL76" s="21">
        <f>AO64^2</f>
        <v>0.86206896551724155</v>
      </c>
      <c r="AM76" s="21">
        <f>+AO64*AO65</f>
        <v>-0.34482758620689657</v>
      </c>
      <c r="AN76" s="16">
        <f t="array" ref="AN76:AO77">-AL76:AM77</f>
        <v>-0.86206896551724155</v>
      </c>
      <c r="AO76" s="16">
        <v>0.34482758620689657</v>
      </c>
      <c r="BC76">
        <f t="array" ref="BC76:BC79">TRANSPOSE(BD75:BG75)</f>
        <v>7</v>
      </c>
      <c r="BD76" s="21">
        <f>BG64^2</f>
        <v>0.40983606557377056</v>
      </c>
      <c r="BE76" s="21">
        <f>+BG64*BG65</f>
        <v>0.49180327868852464</v>
      </c>
      <c r="BF76" s="16">
        <f t="array" ref="BF76:BG77">-BD76:BE77</f>
        <v>-0.40983606557377056</v>
      </c>
      <c r="BG76" s="16">
        <v>-0.49180327868852464</v>
      </c>
      <c r="BU76">
        <f t="array" ref="BU76:BU79">TRANSPOSE(BV75:BY75)</f>
        <v>7</v>
      </c>
      <c r="BV76" s="21">
        <f>BY64^2</f>
        <v>0.19999999999999998</v>
      </c>
      <c r="BW76" s="21">
        <f>+BY64*BY65</f>
        <v>-0.39999999999999997</v>
      </c>
      <c r="BX76" s="16">
        <f t="array" ref="BX76:BY77">-BV76:BW77</f>
        <v>-0.19999999999999998</v>
      </c>
      <c r="BY76" s="16">
        <v>0.39999999999999997</v>
      </c>
      <c r="CM76">
        <f t="array" ref="CM76:CM79">TRANSPOSE(CN75:CQ75)</f>
        <v>9</v>
      </c>
      <c r="CN76" s="21">
        <f>CQ64^2</f>
        <v>0</v>
      </c>
      <c r="CO76" s="21">
        <f>+CQ64*CQ65</f>
        <v>0</v>
      </c>
      <c r="CP76" s="16">
        <f t="array" ref="CP76:CQ77">-CN76:CO77</f>
        <v>0</v>
      </c>
      <c r="CQ76" s="16">
        <v>0</v>
      </c>
    </row>
    <row r="77" spans="1:97" x14ac:dyDescent="0.3">
      <c r="A77">
        <v>4</v>
      </c>
      <c r="B77" s="21">
        <f>+E64*E65</f>
        <v>0.34482758620689657</v>
      </c>
      <c r="C77" s="21">
        <f>+E65^2</f>
        <v>0.13793103448275862</v>
      </c>
      <c r="D77" s="16">
        <v>-0.34482758620689657</v>
      </c>
      <c r="E77" s="16">
        <v>-0.13793103448275862</v>
      </c>
      <c r="F77" t="s">
        <v>11</v>
      </c>
      <c r="S77">
        <v>6</v>
      </c>
      <c r="T77" s="21">
        <f>+W64*W65</f>
        <v>-0.39999999999999997</v>
      </c>
      <c r="U77" s="21">
        <f>+W65^2</f>
        <v>0.79999999999999993</v>
      </c>
      <c r="V77" s="16">
        <v>0.39999999999999997</v>
      </c>
      <c r="W77" s="16">
        <v>-0.79999999999999993</v>
      </c>
      <c r="X77" t="s">
        <v>11</v>
      </c>
      <c r="AK77">
        <v>6</v>
      </c>
      <c r="AL77" s="21">
        <f>+AO64*AO65</f>
        <v>-0.34482758620689657</v>
      </c>
      <c r="AM77" s="21">
        <f>+AO65^2</f>
        <v>0.13793103448275862</v>
      </c>
      <c r="AN77" s="16">
        <v>0.34482758620689657</v>
      </c>
      <c r="AO77" s="16">
        <v>-0.13793103448275862</v>
      </c>
      <c r="AP77" t="s">
        <v>11</v>
      </c>
      <c r="BC77">
        <v>8</v>
      </c>
      <c r="BD77" s="21">
        <f>+BG64*BG65</f>
        <v>0.49180327868852464</v>
      </c>
      <c r="BE77" s="21">
        <f>+BG65^2</f>
        <v>0.5901639344262295</v>
      </c>
      <c r="BF77" s="16">
        <v>-0.49180327868852464</v>
      </c>
      <c r="BG77" s="16">
        <v>-0.5901639344262295</v>
      </c>
      <c r="BH77" t="s">
        <v>11</v>
      </c>
      <c r="BU77">
        <v>8</v>
      </c>
      <c r="BV77" s="16">
        <f>+BY64*BY65</f>
        <v>-0.39999999999999997</v>
      </c>
      <c r="BW77" s="16">
        <f>+BY65^2</f>
        <v>0.79999999999999993</v>
      </c>
      <c r="BX77" s="21">
        <v>0.39999999999999997</v>
      </c>
      <c r="BY77" s="21">
        <v>-0.79999999999999993</v>
      </c>
      <c r="BZ77" t="s">
        <v>11</v>
      </c>
      <c r="CM77">
        <v>10</v>
      </c>
      <c r="CN77" s="16">
        <f>+CQ64*CQ65</f>
        <v>0</v>
      </c>
      <c r="CO77" s="16">
        <f>+CQ65^2</f>
        <v>1</v>
      </c>
      <c r="CP77" s="21">
        <v>0</v>
      </c>
      <c r="CQ77" s="21">
        <v>-1</v>
      </c>
      <c r="CR77" t="s">
        <v>11</v>
      </c>
    </row>
    <row r="78" spans="1:97" x14ac:dyDescent="0.3">
      <c r="A78">
        <v>5</v>
      </c>
      <c r="B78" s="16">
        <f t="array" ref="B78:C79">D76:E77</f>
        <v>-0.86206896551724155</v>
      </c>
      <c r="C78" s="16">
        <v>-0.34482758620689657</v>
      </c>
      <c r="D78" s="21">
        <f t="array" ref="D78:E79">B76:C77</f>
        <v>0.86206896551724155</v>
      </c>
      <c r="E78" s="21">
        <v>0.34482758620689657</v>
      </c>
      <c r="S78">
        <v>7</v>
      </c>
      <c r="T78" s="16">
        <f t="array" ref="T78:U79">V76:W77</f>
        <v>-0.19999999999999998</v>
      </c>
      <c r="U78" s="16">
        <v>0.39999999999999997</v>
      </c>
      <c r="V78" s="21">
        <f t="array" ref="V78:W79">T76:U77</f>
        <v>0.19999999999999998</v>
      </c>
      <c r="W78" s="21">
        <v>-0.39999999999999997</v>
      </c>
      <c r="AK78">
        <v>9</v>
      </c>
      <c r="AL78" s="16">
        <f t="array" ref="AL78:AM79">AN76:AO77</f>
        <v>-0.86206896551724155</v>
      </c>
      <c r="AM78" s="16">
        <v>0.34482758620689657</v>
      </c>
      <c r="AN78" s="21">
        <f t="array" ref="AN78:AO79">AL76:AM77</f>
        <v>0.86206896551724155</v>
      </c>
      <c r="AO78" s="21">
        <v>-0.34482758620689657</v>
      </c>
      <c r="BC78">
        <v>9</v>
      </c>
      <c r="BD78" s="16">
        <f t="array" ref="BD78:BE79">BF76:BG77</f>
        <v>-0.40983606557377056</v>
      </c>
      <c r="BE78" s="16">
        <v>-0.49180327868852464</v>
      </c>
      <c r="BF78" s="21">
        <f t="array" ref="BF78:BG79">BD76:BE77</f>
        <v>0.40983606557377056</v>
      </c>
      <c r="BG78" s="21">
        <v>0.49180327868852464</v>
      </c>
      <c r="BU78">
        <v>13</v>
      </c>
      <c r="BV78" s="16">
        <f t="array" ref="BV78:BW79">BX76:BY77</f>
        <v>-0.19999999999999998</v>
      </c>
      <c r="BW78" s="16">
        <v>0.39999999999999997</v>
      </c>
      <c r="BX78" s="21">
        <f t="array" ref="BX78:BY79">BV76:BW77</f>
        <v>0.19999999999999998</v>
      </c>
      <c r="BY78" s="21">
        <v>-0.39999999999999997</v>
      </c>
      <c r="CM78">
        <v>13</v>
      </c>
      <c r="CN78" s="16">
        <f t="array" ref="CN78:CO79">CP76:CQ77</f>
        <v>0</v>
      </c>
      <c r="CO78" s="16">
        <v>0</v>
      </c>
      <c r="CP78" s="21">
        <f t="array" ref="CP78:CQ79">CN76:CO77</f>
        <v>0</v>
      </c>
      <c r="CQ78" s="21">
        <v>0</v>
      </c>
    </row>
    <row r="79" spans="1:97" x14ac:dyDescent="0.3">
      <c r="A79">
        <v>6</v>
      </c>
      <c r="B79" s="16">
        <v>-0.34482758620689657</v>
      </c>
      <c r="C79" s="16">
        <v>-0.13793103448275862</v>
      </c>
      <c r="D79" s="21">
        <v>0.34482758620689657</v>
      </c>
      <c r="E79" s="21">
        <v>0.13793103448275862</v>
      </c>
      <c r="S79">
        <v>8</v>
      </c>
      <c r="T79" s="16">
        <v>0.39999999999999997</v>
      </c>
      <c r="U79" s="16">
        <v>-0.79999999999999993</v>
      </c>
      <c r="V79" s="21">
        <v>-0.39999999999999997</v>
      </c>
      <c r="W79" s="21">
        <v>0.79999999999999993</v>
      </c>
      <c r="AK79">
        <v>10</v>
      </c>
      <c r="AL79" s="16">
        <v>0.34482758620689657</v>
      </c>
      <c r="AM79" s="16">
        <v>-0.13793103448275862</v>
      </c>
      <c r="AN79" s="21">
        <v>-0.34482758620689657</v>
      </c>
      <c r="AO79" s="21">
        <v>0.13793103448275862</v>
      </c>
      <c r="BC79">
        <v>10</v>
      </c>
      <c r="BD79" s="16">
        <v>-0.49180327868852464</v>
      </c>
      <c r="BE79" s="16">
        <v>-0.5901639344262295</v>
      </c>
      <c r="BF79" s="21">
        <v>0.49180327868852464</v>
      </c>
      <c r="BG79" s="21">
        <v>0.5901639344262295</v>
      </c>
      <c r="BU79">
        <v>14</v>
      </c>
      <c r="BV79">
        <v>0.39999999999999997</v>
      </c>
      <c r="BW79">
        <v>-0.79999999999999993</v>
      </c>
      <c r="BX79">
        <v>-0.39999999999999997</v>
      </c>
      <c r="BY79">
        <v>0.79999999999999993</v>
      </c>
      <c r="CM79">
        <v>14</v>
      </c>
      <c r="CN79">
        <v>0</v>
      </c>
      <c r="CO79">
        <v>-1</v>
      </c>
      <c r="CP79">
        <v>0</v>
      </c>
      <c r="CQ79">
        <v>1</v>
      </c>
    </row>
    <row r="81" spans="1:105" x14ac:dyDescent="0.3">
      <c r="BU81" s="7"/>
      <c r="CM81" s="7"/>
    </row>
    <row r="82" spans="1:105" x14ac:dyDescent="0.3">
      <c r="A82" s="7" t="str">
        <f>+A75</f>
        <v xml:space="preserve">K </v>
      </c>
      <c r="B82">
        <f>+B75</f>
        <v>3</v>
      </c>
      <c r="C82">
        <f t="shared" ref="C82:E82" si="15">+C75</f>
        <v>4</v>
      </c>
      <c r="D82">
        <f t="shared" si="15"/>
        <v>5</v>
      </c>
      <c r="E82">
        <f t="shared" si="15"/>
        <v>6</v>
      </c>
      <c r="S82" s="7" t="str">
        <f>+S75</f>
        <v xml:space="preserve">K </v>
      </c>
      <c r="T82">
        <f>+T75</f>
        <v>5</v>
      </c>
      <c r="U82">
        <f t="shared" ref="U82:W82" si="16">+U75</f>
        <v>6</v>
      </c>
      <c r="V82">
        <f t="shared" si="16"/>
        <v>7</v>
      </c>
      <c r="W82">
        <f t="shared" si="16"/>
        <v>8</v>
      </c>
      <c r="AK82" s="7" t="str">
        <f>+AK75</f>
        <v xml:space="preserve">K </v>
      </c>
      <c r="AL82">
        <f>+AL75</f>
        <v>5</v>
      </c>
      <c r="AM82">
        <f t="shared" ref="AM82:AO82" si="17">+AM75</f>
        <v>6</v>
      </c>
      <c r="AN82">
        <f t="shared" si="17"/>
        <v>9</v>
      </c>
      <c r="AO82">
        <f t="shared" si="17"/>
        <v>10</v>
      </c>
      <c r="BC82" s="7" t="str">
        <f>+BC75</f>
        <v xml:space="preserve">K </v>
      </c>
      <c r="BD82">
        <f>+BD75</f>
        <v>7</v>
      </c>
      <c r="BE82">
        <f t="shared" ref="BE82:BG82" si="18">+BE75</f>
        <v>8</v>
      </c>
      <c r="BF82">
        <f t="shared" si="18"/>
        <v>9</v>
      </c>
      <c r="BG82">
        <f t="shared" si="18"/>
        <v>10</v>
      </c>
      <c r="BU82" t="str">
        <f>+BU75</f>
        <v xml:space="preserve">K </v>
      </c>
      <c r="BV82" s="21">
        <f>+BV75</f>
        <v>7</v>
      </c>
      <c r="BW82" s="21">
        <f t="shared" ref="BW82:BY82" si="19">+BW75</f>
        <v>8</v>
      </c>
      <c r="BX82" s="16">
        <f t="shared" si="19"/>
        <v>13</v>
      </c>
      <c r="BY82" s="16">
        <f t="shared" si="19"/>
        <v>14</v>
      </c>
      <c r="CM82" t="str">
        <f>+CM75</f>
        <v xml:space="preserve">K </v>
      </c>
      <c r="CN82" s="21">
        <f>+CN75</f>
        <v>9</v>
      </c>
      <c r="CO82" s="21">
        <f t="shared" ref="CO82:CQ82" si="20">+CO75</f>
        <v>10</v>
      </c>
      <c r="CP82" s="16">
        <f t="shared" si="20"/>
        <v>13</v>
      </c>
      <c r="CQ82" s="16">
        <f t="shared" si="20"/>
        <v>14</v>
      </c>
    </row>
    <row r="83" spans="1:105" x14ac:dyDescent="0.3">
      <c r="A83">
        <f t="array" ref="A83:A86">TRANSPOSE(B82:E82)</f>
        <v>3</v>
      </c>
      <c r="B83" s="21">
        <f t="array" ref="B83:E86">F69*B76:E79</f>
        <v>290.14896590164363</v>
      </c>
      <c r="C83" s="21">
        <v>116.05958636065743</v>
      </c>
      <c r="D83" s="16">
        <v>-290.14896590164363</v>
      </c>
      <c r="E83" s="16">
        <v>-116.05958636065743</v>
      </c>
      <c r="S83">
        <f t="array" ref="S83:S86">TRANSPOSE(T82:W82)</f>
        <v>5</v>
      </c>
      <c r="T83" s="21">
        <f t="array" ref="T83:W86">X69*T76:W79</f>
        <v>64.845971347493887</v>
      </c>
      <c r="U83" s="21">
        <v>-129.69194269498777</v>
      </c>
      <c r="V83" s="16">
        <v>-64.845971347493887</v>
      </c>
      <c r="W83" s="16">
        <v>129.69194269498777</v>
      </c>
      <c r="AK83">
        <f t="array" ref="AK83:AK86">TRANSPOSE(AL82:AO82)</f>
        <v>5</v>
      </c>
      <c r="AL83" s="21">
        <f t="array" ref="AL83:AO86">AP69*AL76:AO79</f>
        <v>290.14896590164363</v>
      </c>
      <c r="AM83" s="21">
        <v>-116.05958636065743</v>
      </c>
      <c r="AN83" s="16">
        <v>-290.14896590164363</v>
      </c>
      <c r="AO83" s="16">
        <v>116.05958636065743</v>
      </c>
      <c r="BC83">
        <f t="array" ref="BC83:BC86">TRANSPOSE(BD82:BG82)</f>
        <v>7</v>
      </c>
      <c r="BD83" s="21">
        <f t="array" ref="BD83:BG86">BH69*BD76:BG79</f>
        <v>190.21872531014262</v>
      </c>
      <c r="BE83" s="21">
        <v>228.26247037217112</v>
      </c>
      <c r="BF83" s="16">
        <v>-190.21872531014262</v>
      </c>
      <c r="BG83" s="16">
        <v>-228.26247037217112</v>
      </c>
      <c r="BU83">
        <f t="array" ref="BU83:BU86">TRANSPOSE(BV82:BY82)</f>
        <v>7</v>
      </c>
      <c r="BV83" s="21">
        <f t="array" ref="BV83:BY86">BZ69*BV76:BY79</f>
        <v>64.845971347493887</v>
      </c>
      <c r="BW83" s="21">
        <v>-129.69194269498777</v>
      </c>
      <c r="BX83" s="16">
        <v>-64.845971347493887</v>
      </c>
      <c r="BY83" s="16">
        <v>129.69194269498777</v>
      </c>
      <c r="CM83">
        <f t="array" ref="CM83:CM86">TRANSPOSE(CN82:CQ82)</f>
        <v>9</v>
      </c>
      <c r="CN83" s="21">
        <f t="array" ref="CN83:CQ86">CR69*CN76:CQ79</f>
        <v>0</v>
      </c>
      <c r="CO83" s="21">
        <v>0</v>
      </c>
      <c r="CP83" s="16">
        <v>0</v>
      </c>
      <c r="CQ83" s="16">
        <v>0</v>
      </c>
    </row>
    <row r="84" spans="1:105" x14ac:dyDescent="0.3">
      <c r="A84">
        <v>4</v>
      </c>
      <c r="B84" s="21">
        <v>116.05958636065743</v>
      </c>
      <c r="C84" s="21">
        <v>46.423834544262967</v>
      </c>
      <c r="D84" s="16">
        <v>-116.05958636065743</v>
      </c>
      <c r="E84" s="16">
        <v>-46.423834544262967</v>
      </c>
      <c r="S84">
        <v>6</v>
      </c>
      <c r="T84" s="21">
        <v>-129.69194269498777</v>
      </c>
      <c r="U84" s="21">
        <v>259.38388538997555</v>
      </c>
      <c r="V84" s="16">
        <v>129.69194269498777</v>
      </c>
      <c r="W84" s="16">
        <v>-259.38388538997555</v>
      </c>
      <c r="AK84">
        <v>6</v>
      </c>
      <c r="AL84" s="21">
        <v>-116.05958636065743</v>
      </c>
      <c r="AM84" s="21">
        <v>46.423834544262967</v>
      </c>
      <c r="AN84" s="16">
        <v>116.05958636065743</v>
      </c>
      <c r="AO84" s="16">
        <v>-46.423834544262967</v>
      </c>
      <c r="BC84">
        <v>8</v>
      </c>
      <c r="BD84" s="21">
        <v>228.26247037217112</v>
      </c>
      <c r="BE84" s="21">
        <v>273.91496444660532</v>
      </c>
      <c r="BF84" s="16">
        <v>-228.26247037217112</v>
      </c>
      <c r="BG84" s="16">
        <v>-273.91496444660532</v>
      </c>
      <c r="BU84">
        <v>8</v>
      </c>
      <c r="BV84" s="16">
        <v>-129.69194269498777</v>
      </c>
      <c r="BW84" s="16">
        <v>259.38388538997555</v>
      </c>
      <c r="BX84" s="21">
        <v>129.69194269498777</v>
      </c>
      <c r="BY84" s="21">
        <v>-259.38388538997555</v>
      </c>
      <c r="CM84">
        <v>10</v>
      </c>
      <c r="CN84" s="16">
        <v>0</v>
      </c>
      <c r="CO84" s="16">
        <v>226.5625</v>
      </c>
      <c r="CP84" s="21">
        <v>0</v>
      </c>
      <c r="CQ84" s="21">
        <v>-226.5625</v>
      </c>
    </row>
    <row r="85" spans="1:105" x14ac:dyDescent="0.3">
      <c r="A85">
        <v>5</v>
      </c>
      <c r="B85" s="16">
        <v>-290.14896590164363</v>
      </c>
      <c r="C85" s="16">
        <v>-116.05958636065743</v>
      </c>
      <c r="D85" s="21">
        <v>290.14896590164363</v>
      </c>
      <c r="E85" s="21">
        <v>116.05958636065743</v>
      </c>
      <c r="S85">
        <v>7</v>
      </c>
      <c r="T85" s="16">
        <v>-64.845971347493887</v>
      </c>
      <c r="U85" s="16">
        <v>129.69194269498777</v>
      </c>
      <c r="V85" s="21">
        <v>64.845971347493887</v>
      </c>
      <c r="W85" s="21">
        <v>-129.69194269498777</v>
      </c>
      <c r="AK85">
        <v>9</v>
      </c>
      <c r="AL85" s="16">
        <v>-290.14896590164363</v>
      </c>
      <c r="AM85" s="16">
        <v>116.05958636065743</v>
      </c>
      <c r="AN85" s="21">
        <v>290.14896590164363</v>
      </c>
      <c r="AO85" s="21">
        <v>-116.05958636065743</v>
      </c>
      <c r="BC85">
        <v>9</v>
      </c>
      <c r="BD85" s="16">
        <v>-190.21872531014262</v>
      </c>
      <c r="BE85" s="16">
        <v>-228.26247037217112</v>
      </c>
      <c r="BF85" s="21">
        <v>190.21872531014262</v>
      </c>
      <c r="BG85" s="21">
        <v>228.26247037217112</v>
      </c>
      <c r="BU85">
        <v>13</v>
      </c>
      <c r="BV85" s="16">
        <v>-64.845971347493887</v>
      </c>
      <c r="BW85" s="16">
        <v>129.69194269498777</v>
      </c>
      <c r="BX85" s="21">
        <v>64.845971347493887</v>
      </c>
      <c r="BY85" s="21">
        <v>-129.69194269498777</v>
      </c>
      <c r="CM85">
        <v>13</v>
      </c>
      <c r="CN85" s="16">
        <v>0</v>
      </c>
      <c r="CO85" s="16">
        <v>0</v>
      </c>
      <c r="CP85" s="21">
        <v>0</v>
      </c>
      <c r="CQ85" s="21">
        <v>0</v>
      </c>
    </row>
    <row r="86" spans="1:105" x14ac:dyDescent="0.3">
      <c r="A86">
        <v>6</v>
      </c>
      <c r="B86" s="16">
        <v>-116.05958636065743</v>
      </c>
      <c r="C86" s="16">
        <v>-46.423834544262967</v>
      </c>
      <c r="D86" s="21">
        <v>116.05958636065743</v>
      </c>
      <c r="E86" s="21">
        <v>46.423834544262967</v>
      </c>
      <c r="S86">
        <v>8</v>
      </c>
      <c r="T86" s="16">
        <v>129.69194269498777</v>
      </c>
      <c r="U86" s="16">
        <v>-259.38388538997555</v>
      </c>
      <c r="V86" s="21">
        <v>-129.69194269498777</v>
      </c>
      <c r="W86" s="21">
        <v>259.38388538997555</v>
      </c>
      <c r="AK86">
        <v>10</v>
      </c>
      <c r="AL86" s="16">
        <v>116.05958636065743</v>
      </c>
      <c r="AM86" s="16">
        <v>-46.423834544262967</v>
      </c>
      <c r="AN86" s="21">
        <v>-116.05958636065743</v>
      </c>
      <c r="AO86" s="21">
        <v>46.423834544262967</v>
      </c>
      <c r="BC86">
        <v>10</v>
      </c>
      <c r="BD86" s="16">
        <v>-228.26247037217112</v>
      </c>
      <c r="BE86" s="16">
        <v>-273.91496444660532</v>
      </c>
      <c r="BF86" s="21">
        <v>228.26247037217112</v>
      </c>
      <c r="BG86" s="21">
        <v>273.91496444660532</v>
      </c>
      <c r="BU86">
        <v>14</v>
      </c>
      <c r="BV86">
        <v>129.69194269498777</v>
      </c>
      <c r="BW86">
        <v>-259.38388538997555</v>
      </c>
      <c r="BX86">
        <v>-129.69194269498777</v>
      </c>
      <c r="BY86">
        <v>259.38388538997555</v>
      </c>
      <c r="CM86">
        <v>14</v>
      </c>
      <c r="CN86">
        <v>0</v>
      </c>
      <c r="CO86">
        <v>-226.5625</v>
      </c>
      <c r="CP86">
        <v>0</v>
      </c>
      <c r="CQ86">
        <v>226.5625</v>
      </c>
    </row>
    <row r="88" spans="1:105" x14ac:dyDescent="0.3"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  <c r="DA88" s="25"/>
    </row>
    <row r="89" spans="1:105" x14ac:dyDescent="0.3">
      <c r="A89" s="25" t="str">
        <f xml:space="preserve"> CONCATENATE("MATRIZ LOCAL DEL ELEMENTO"," ",P60)</f>
        <v xml:space="preserve">MATRIZ LOCAL DEL ELEMENTO </v>
      </c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S89" s="25" t="str">
        <f xml:space="preserve"> CONCATENATE("MATRIZ LOCAL DEL ELEMENTO"," ",AH60)</f>
        <v xml:space="preserve">MATRIZ LOCAL DEL ELEMENTO </v>
      </c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K89" s="25" t="str">
        <f xml:space="preserve"> CONCATENATE("MATRIZ LOCAL DEL ELEMENTO"," ",AZ60)</f>
        <v xml:space="preserve">MATRIZ LOCAL DEL ELEMENTO </v>
      </c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BC89" s="25" t="str">
        <f xml:space="preserve"> CONCATENATE("MATRIZ LOCAL DEL ELEMENTO"," ",BR60)</f>
        <v xml:space="preserve">MATRIZ LOCAL DEL ELEMENTO </v>
      </c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U89" t="str">
        <f xml:space="preserve"> CONCATENATE("MATRIZ LOCAL DEL ELEMENTO"," ",CJ60)</f>
        <v xml:space="preserve">MATRIZ LOCAL DEL ELEMENTO </v>
      </c>
      <c r="CM89" t="str">
        <f xml:space="preserve"> CONCATENATE("MATRIZ LOCAL DEL ELEMENTO"," ",DB60)</f>
        <v xml:space="preserve">MATRIZ LOCAL DEL ELEMENTO </v>
      </c>
    </row>
    <row r="90" spans="1:105" x14ac:dyDescent="0.3">
      <c r="A90" t="s">
        <v>12</v>
      </c>
      <c r="B90">
        <v>1</v>
      </c>
      <c r="C90">
        <v>2</v>
      </c>
      <c r="D90">
        <v>3</v>
      </c>
      <c r="E90">
        <v>4</v>
      </c>
      <c r="F90">
        <v>5</v>
      </c>
      <c r="G90">
        <v>6</v>
      </c>
      <c r="H90">
        <v>7</v>
      </c>
      <c r="I90">
        <v>8</v>
      </c>
      <c r="J90">
        <v>9</v>
      </c>
      <c r="K90">
        <v>10</v>
      </c>
      <c r="L90">
        <v>11</v>
      </c>
      <c r="M90">
        <v>12</v>
      </c>
      <c r="N90">
        <v>13</v>
      </c>
      <c r="O90">
        <v>14</v>
      </c>
      <c r="S90" t="s">
        <v>12</v>
      </c>
      <c r="T90">
        <v>1</v>
      </c>
      <c r="U90">
        <v>2</v>
      </c>
      <c r="V90">
        <v>3</v>
      </c>
      <c r="W90">
        <v>4</v>
      </c>
      <c r="X90">
        <v>5</v>
      </c>
      <c r="Y90">
        <v>6</v>
      </c>
      <c r="Z90">
        <v>7</v>
      </c>
      <c r="AA90">
        <v>8</v>
      </c>
      <c r="AB90">
        <v>9</v>
      </c>
      <c r="AC90">
        <v>10</v>
      </c>
      <c r="AD90">
        <v>11</v>
      </c>
      <c r="AE90">
        <v>12</v>
      </c>
      <c r="AF90">
        <v>13</v>
      </c>
      <c r="AG90">
        <v>14</v>
      </c>
      <c r="AK90" t="s">
        <v>12</v>
      </c>
      <c r="AL90">
        <v>1</v>
      </c>
      <c r="AM90">
        <v>2</v>
      </c>
      <c r="AN90">
        <v>3</v>
      </c>
      <c r="AO90">
        <v>4</v>
      </c>
      <c r="AP90">
        <v>5</v>
      </c>
      <c r="AQ90">
        <v>6</v>
      </c>
      <c r="AR90">
        <v>7</v>
      </c>
      <c r="AS90">
        <v>8</v>
      </c>
      <c r="AT90">
        <v>9</v>
      </c>
      <c r="AU90">
        <v>10</v>
      </c>
      <c r="AV90">
        <v>11</v>
      </c>
      <c r="AW90">
        <v>12</v>
      </c>
      <c r="AX90">
        <v>13</v>
      </c>
      <c r="AY90">
        <v>14</v>
      </c>
      <c r="BC90" t="s">
        <v>12</v>
      </c>
      <c r="BD90">
        <v>1</v>
      </c>
      <c r="BE90">
        <v>2</v>
      </c>
      <c r="BF90">
        <v>3</v>
      </c>
      <c r="BG90">
        <v>4</v>
      </c>
      <c r="BH90">
        <v>5</v>
      </c>
      <c r="BI90">
        <v>6</v>
      </c>
      <c r="BJ90">
        <v>7</v>
      </c>
      <c r="BK90">
        <v>8</v>
      </c>
      <c r="BL90">
        <v>9</v>
      </c>
      <c r="BM90">
        <v>10</v>
      </c>
      <c r="BN90">
        <v>11</v>
      </c>
      <c r="BO90">
        <v>12</v>
      </c>
      <c r="BP90">
        <v>13</v>
      </c>
      <c r="BQ90">
        <v>14</v>
      </c>
      <c r="BU90" t="s">
        <v>12</v>
      </c>
      <c r="BV90">
        <v>1</v>
      </c>
      <c r="BW90">
        <v>2</v>
      </c>
      <c r="BX90">
        <v>3</v>
      </c>
      <c r="BY90">
        <v>4</v>
      </c>
      <c r="BZ90">
        <v>5</v>
      </c>
      <c r="CA90">
        <v>6</v>
      </c>
      <c r="CB90">
        <v>7</v>
      </c>
      <c r="CC90">
        <v>8</v>
      </c>
      <c r="CD90">
        <v>9</v>
      </c>
      <c r="CE90">
        <v>10</v>
      </c>
      <c r="CF90">
        <v>11</v>
      </c>
      <c r="CG90">
        <v>12</v>
      </c>
      <c r="CH90">
        <v>13</v>
      </c>
      <c r="CI90">
        <v>14</v>
      </c>
      <c r="CM90" t="s">
        <v>12</v>
      </c>
      <c r="CN90">
        <v>1</v>
      </c>
      <c r="CO90">
        <v>2</v>
      </c>
      <c r="CP90">
        <v>3</v>
      </c>
      <c r="CQ90">
        <v>4</v>
      </c>
      <c r="CR90">
        <v>5</v>
      </c>
      <c r="CS90">
        <v>6</v>
      </c>
      <c r="CT90">
        <v>7</v>
      </c>
      <c r="CU90">
        <v>8</v>
      </c>
      <c r="CV90">
        <v>9</v>
      </c>
      <c r="CW90">
        <v>10</v>
      </c>
      <c r="CX90">
        <v>11</v>
      </c>
      <c r="CY90">
        <v>12</v>
      </c>
      <c r="CZ90">
        <v>13</v>
      </c>
      <c r="DA90">
        <v>14</v>
      </c>
    </row>
    <row r="91" spans="1:105" x14ac:dyDescent="0.3">
      <c r="A91">
        <f t="array" ref="A91:A104">TRANSPOSE(B90:O90)</f>
        <v>1</v>
      </c>
      <c r="B91">
        <f>IFERROR(VLOOKUP($A91,$A$82:$E$86,MATCH(B$90,$A$82:$E$82,0),FALSE),0)</f>
        <v>0</v>
      </c>
      <c r="C91">
        <f t="shared" ref="C91:O104" si="21">IFERROR(VLOOKUP($A91,$A$82:$E$86,MATCH(C$90,$A$82:$E$82,0),FALSE),0)</f>
        <v>0</v>
      </c>
      <c r="D91">
        <f t="shared" si="21"/>
        <v>0</v>
      </c>
      <c r="E91">
        <f t="shared" si="21"/>
        <v>0</v>
      </c>
      <c r="F91">
        <f t="shared" si="21"/>
        <v>0</v>
      </c>
      <c r="G91">
        <f t="shared" si="21"/>
        <v>0</v>
      </c>
      <c r="H91">
        <f t="shared" si="21"/>
        <v>0</v>
      </c>
      <c r="I91">
        <f t="shared" si="21"/>
        <v>0</v>
      </c>
      <c r="J91">
        <f t="shared" si="21"/>
        <v>0</v>
      </c>
      <c r="K91">
        <f t="shared" si="21"/>
        <v>0</v>
      </c>
      <c r="L91">
        <f t="shared" si="21"/>
        <v>0</v>
      </c>
      <c r="M91">
        <f t="shared" si="21"/>
        <v>0</v>
      </c>
      <c r="N91">
        <f t="shared" si="21"/>
        <v>0</v>
      </c>
      <c r="O91">
        <f t="shared" si="21"/>
        <v>0</v>
      </c>
      <c r="S91">
        <f t="array" ref="S91:S104">TRANSPOSE(T90:AG90)</f>
        <v>1</v>
      </c>
      <c r="T91">
        <f>IFERROR(VLOOKUP($S91,$S$82:$W$86,MATCH(T$90,$S$82:$W$82,0),FALSE),0)</f>
        <v>0</v>
      </c>
      <c r="U91">
        <f t="shared" ref="U91:AG104" si="22">IFERROR(VLOOKUP($S91,$S$82:$W$86,MATCH(U$90,$S$82:$W$82,0),FALSE),0)</f>
        <v>0</v>
      </c>
      <c r="V91">
        <f t="shared" si="22"/>
        <v>0</v>
      </c>
      <c r="W91">
        <f t="shared" si="22"/>
        <v>0</v>
      </c>
      <c r="X91">
        <f t="shared" si="22"/>
        <v>0</v>
      </c>
      <c r="Y91">
        <f t="shared" si="22"/>
        <v>0</v>
      </c>
      <c r="Z91">
        <f t="shared" si="22"/>
        <v>0</v>
      </c>
      <c r="AA91">
        <f t="shared" si="22"/>
        <v>0</v>
      </c>
      <c r="AB91">
        <f t="shared" si="22"/>
        <v>0</v>
      </c>
      <c r="AC91">
        <f t="shared" si="22"/>
        <v>0</v>
      </c>
      <c r="AD91">
        <f t="shared" si="22"/>
        <v>0</v>
      </c>
      <c r="AE91">
        <f t="shared" si="22"/>
        <v>0</v>
      </c>
      <c r="AF91">
        <f t="shared" si="22"/>
        <v>0</v>
      </c>
      <c r="AG91">
        <f t="shared" si="22"/>
        <v>0</v>
      </c>
      <c r="AK91">
        <f t="array" ref="AK91:AK104">TRANSPOSE(AL90:AY90)</f>
        <v>1</v>
      </c>
      <c r="AL91">
        <f>IFERROR(VLOOKUP($AK91,$AK$82:$AO$86,MATCH(AL$90,$AK$82:$AO$82,0),FALSE),0)</f>
        <v>0</v>
      </c>
      <c r="AM91">
        <f t="shared" ref="AM91:AY104" si="23">IFERROR(VLOOKUP($AK91,$AK$82:$AO$86,MATCH(AM$90,$AK$82:$AO$82,0),FALSE),0)</f>
        <v>0</v>
      </c>
      <c r="AN91">
        <f t="shared" si="23"/>
        <v>0</v>
      </c>
      <c r="AO91">
        <f t="shared" si="23"/>
        <v>0</v>
      </c>
      <c r="AP91">
        <f t="shared" si="23"/>
        <v>0</v>
      </c>
      <c r="AQ91">
        <f t="shared" si="23"/>
        <v>0</v>
      </c>
      <c r="AR91">
        <f t="shared" si="23"/>
        <v>0</v>
      </c>
      <c r="AS91">
        <f t="shared" si="23"/>
        <v>0</v>
      </c>
      <c r="AT91">
        <f t="shared" si="23"/>
        <v>0</v>
      </c>
      <c r="AU91">
        <f t="shared" si="23"/>
        <v>0</v>
      </c>
      <c r="AV91">
        <f t="shared" si="23"/>
        <v>0</v>
      </c>
      <c r="AW91">
        <f t="shared" si="23"/>
        <v>0</v>
      </c>
      <c r="AX91">
        <f t="shared" si="23"/>
        <v>0</v>
      </c>
      <c r="AY91">
        <f t="shared" si="23"/>
        <v>0</v>
      </c>
      <c r="BC91">
        <f t="array" ref="BC91:BC104">TRANSPOSE(BD90:BQ90)</f>
        <v>1</v>
      </c>
      <c r="BD91">
        <f>IFERROR(VLOOKUP($BC91,$BC$82:$BG$86,MATCH(BD$90,$BC$82:$BG$82,0),FALSE),0)</f>
        <v>0</v>
      </c>
      <c r="BE91">
        <f t="shared" ref="BE91:BQ104" si="24">IFERROR(VLOOKUP($BC91,$BC$82:$BG$86,MATCH(BE$90,$BC$82:$BG$82,0),FALSE),0)</f>
        <v>0</v>
      </c>
      <c r="BF91">
        <f t="shared" si="24"/>
        <v>0</v>
      </c>
      <c r="BG91">
        <f t="shared" si="24"/>
        <v>0</v>
      </c>
      <c r="BH91">
        <f t="shared" si="24"/>
        <v>0</v>
      </c>
      <c r="BI91">
        <f t="shared" si="24"/>
        <v>0</v>
      </c>
      <c r="BJ91">
        <f t="shared" si="24"/>
        <v>0</v>
      </c>
      <c r="BK91">
        <f t="shared" si="24"/>
        <v>0</v>
      </c>
      <c r="BL91">
        <f t="shared" si="24"/>
        <v>0</v>
      </c>
      <c r="BM91">
        <f t="shared" si="24"/>
        <v>0</v>
      </c>
      <c r="BN91">
        <f t="shared" si="24"/>
        <v>0</v>
      </c>
      <c r="BO91">
        <f t="shared" si="24"/>
        <v>0</v>
      </c>
      <c r="BP91">
        <f t="shared" si="24"/>
        <v>0</v>
      </c>
      <c r="BQ91">
        <f t="shared" si="24"/>
        <v>0</v>
      </c>
      <c r="BU91">
        <f t="array" ref="BU91:BU104">TRANSPOSE(BV90:CI90)</f>
        <v>1</v>
      </c>
      <c r="BV91">
        <f>IFERROR(VLOOKUP($BU91,$BU$82:$BY$86,MATCH(BV$90,$BU$82:$BY$82,0),FALSE),0)</f>
        <v>0</v>
      </c>
      <c r="BW91">
        <f t="shared" ref="BW91:CI104" si="25">IFERROR(VLOOKUP($BU91,$BU$82:$BY$86,MATCH(BW$90,$BU$82:$BY$82,0),FALSE),0)</f>
        <v>0</v>
      </c>
      <c r="BX91">
        <f t="shared" si="25"/>
        <v>0</v>
      </c>
      <c r="BY91">
        <f t="shared" si="25"/>
        <v>0</v>
      </c>
      <c r="BZ91">
        <f t="shared" si="25"/>
        <v>0</v>
      </c>
      <c r="CA91">
        <f t="shared" si="25"/>
        <v>0</v>
      </c>
      <c r="CB91">
        <f t="shared" si="25"/>
        <v>0</v>
      </c>
      <c r="CC91">
        <f t="shared" si="25"/>
        <v>0</v>
      </c>
      <c r="CD91">
        <f t="shared" si="25"/>
        <v>0</v>
      </c>
      <c r="CE91">
        <f t="shared" si="25"/>
        <v>0</v>
      </c>
      <c r="CF91">
        <f t="shared" si="25"/>
        <v>0</v>
      </c>
      <c r="CG91">
        <f t="shared" si="25"/>
        <v>0</v>
      </c>
      <c r="CH91">
        <f t="shared" si="25"/>
        <v>0</v>
      </c>
      <c r="CI91">
        <f t="shared" si="25"/>
        <v>0</v>
      </c>
      <c r="CM91">
        <f t="array" ref="CM91:CM104">TRANSPOSE(CN90:DA90)</f>
        <v>1</v>
      </c>
      <c r="CN91">
        <f>IFERROR(VLOOKUP($CM91,$CM$82:$CQ$86,MATCH(CN$90,$CM$82:$CQ$82,0),FALSE),0)</f>
        <v>0</v>
      </c>
      <c r="CO91">
        <f t="shared" ref="CO91:DA104" si="26">IFERROR(VLOOKUP($CM91,$CM$82:$CQ$86,MATCH(CO$90,$CM$82:$CQ$82,0),FALSE),0)</f>
        <v>0</v>
      </c>
      <c r="CP91">
        <f t="shared" si="26"/>
        <v>0</v>
      </c>
      <c r="CQ91">
        <f t="shared" si="26"/>
        <v>0</v>
      </c>
      <c r="CR91">
        <f t="shared" si="26"/>
        <v>0</v>
      </c>
      <c r="CS91">
        <f t="shared" si="26"/>
        <v>0</v>
      </c>
      <c r="CT91">
        <f t="shared" si="26"/>
        <v>0</v>
      </c>
      <c r="CU91">
        <f t="shared" si="26"/>
        <v>0</v>
      </c>
      <c r="CV91">
        <f t="shared" si="26"/>
        <v>0</v>
      </c>
      <c r="CW91">
        <f t="shared" si="26"/>
        <v>0</v>
      </c>
      <c r="CX91">
        <f t="shared" si="26"/>
        <v>0</v>
      </c>
      <c r="CY91">
        <f t="shared" si="26"/>
        <v>0</v>
      </c>
      <c r="CZ91">
        <f t="shared" si="26"/>
        <v>0</v>
      </c>
      <c r="DA91">
        <f t="shared" si="26"/>
        <v>0</v>
      </c>
    </row>
    <row r="92" spans="1:105" x14ac:dyDescent="0.3">
      <c r="A92">
        <v>2</v>
      </c>
      <c r="B92">
        <f t="shared" ref="B92:B104" si="27">IFERROR(VLOOKUP($A92,$A$82:$E$86,MATCH(B$90,$A$82:$E$82,0),FALSE),0)</f>
        <v>0</v>
      </c>
      <c r="C92">
        <f t="shared" si="21"/>
        <v>0</v>
      </c>
      <c r="D92">
        <f t="shared" si="21"/>
        <v>0</v>
      </c>
      <c r="E92">
        <f t="shared" si="21"/>
        <v>0</v>
      </c>
      <c r="F92">
        <f t="shared" si="21"/>
        <v>0</v>
      </c>
      <c r="G92">
        <f t="shared" si="21"/>
        <v>0</v>
      </c>
      <c r="H92">
        <f t="shared" si="21"/>
        <v>0</v>
      </c>
      <c r="I92">
        <f t="shared" si="21"/>
        <v>0</v>
      </c>
      <c r="J92">
        <f t="shared" si="21"/>
        <v>0</v>
      </c>
      <c r="K92">
        <f t="shared" si="21"/>
        <v>0</v>
      </c>
      <c r="L92">
        <f t="shared" si="21"/>
        <v>0</v>
      </c>
      <c r="M92">
        <f t="shared" si="21"/>
        <v>0</v>
      </c>
      <c r="N92">
        <f t="shared" si="21"/>
        <v>0</v>
      </c>
      <c r="O92">
        <f t="shared" si="21"/>
        <v>0</v>
      </c>
      <c r="S92">
        <v>2</v>
      </c>
      <c r="T92">
        <f t="shared" ref="T92:T104" si="28">IFERROR(VLOOKUP($S92,$S$82:$W$86,MATCH(T$90,$S$82:$W$82,0),FALSE),0)</f>
        <v>0</v>
      </c>
      <c r="U92">
        <f t="shared" si="22"/>
        <v>0</v>
      </c>
      <c r="V92">
        <f t="shared" si="22"/>
        <v>0</v>
      </c>
      <c r="W92">
        <f t="shared" si="22"/>
        <v>0</v>
      </c>
      <c r="X92">
        <f t="shared" si="22"/>
        <v>0</v>
      </c>
      <c r="Y92">
        <f t="shared" si="22"/>
        <v>0</v>
      </c>
      <c r="Z92">
        <f t="shared" si="22"/>
        <v>0</v>
      </c>
      <c r="AA92">
        <f t="shared" si="22"/>
        <v>0</v>
      </c>
      <c r="AB92">
        <f t="shared" si="22"/>
        <v>0</v>
      </c>
      <c r="AC92">
        <f t="shared" si="22"/>
        <v>0</v>
      </c>
      <c r="AD92">
        <f t="shared" si="22"/>
        <v>0</v>
      </c>
      <c r="AE92">
        <f t="shared" si="22"/>
        <v>0</v>
      </c>
      <c r="AF92">
        <f t="shared" si="22"/>
        <v>0</v>
      </c>
      <c r="AG92">
        <f t="shared" si="22"/>
        <v>0</v>
      </c>
      <c r="AK92">
        <v>2</v>
      </c>
      <c r="AL92">
        <f t="shared" ref="AL92:AL104" si="29">IFERROR(VLOOKUP($AK92,$AK$82:$AO$86,MATCH(AL$90,$AK$82:$AO$82,0),FALSE),0)</f>
        <v>0</v>
      </c>
      <c r="AM92">
        <f t="shared" si="23"/>
        <v>0</v>
      </c>
      <c r="AN92">
        <f t="shared" si="23"/>
        <v>0</v>
      </c>
      <c r="AO92">
        <f t="shared" si="23"/>
        <v>0</v>
      </c>
      <c r="AP92">
        <f t="shared" si="23"/>
        <v>0</v>
      </c>
      <c r="AQ92">
        <f t="shared" si="23"/>
        <v>0</v>
      </c>
      <c r="AR92">
        <f t="shared" si="23"/>
        <v>0</v>
      </c>
      <c r="AS92">
        <f t="shared" si="23"/>
        <v>0</v>
      </c>
      <c r="AT92">
        <f t="shared" si="23"/>
        <v>0</v>
      </c>
      <c r="AU92">
        <f t="shared" si="23"/>
        <v>0</v>
      </c>
      <c r="AV92">
        <f t="shared" si="23"/>
        <v>0</v>
      </c>
      <c r="AW92">
        <f t="shared" si="23"/>
        <v>0</v>
      </c>
      <c r="AX92">
        <f t="shared" si="23"/>
        <v>0</v>
      </c>
      <c r="AY92">
        <f t="shared" si="23"/>
        <v>0</v>
      </c>
      <c r="BC92">
        <v>2</v>
      </c>
      <c r="BD92">
        <f t="shared" ref="BD92:BD104" si="30">IFERROR(VLOOKUP($BC92,$BC$82:$BG$86,MATCH(BD$90,$BC$82:$BG$82,0),FALSE),0)</f>
        <v>0</v>
      </c>
      <c r="BE92">
        <f t="shared" si="24"/>
        <v>0</v>
      </c>
      <c r="BF92">
        <f t="shared" si="24"/>
        <v>0</v>
      </c>
      <c r="BG92">
        <f t="shared" si="24"/>
        <v>0</v>
      </c>
      <c r="BH92">
        <f t="shared" si="24"/>
        <v>0</v>
      </c>
      <c r="BI92">
        <f t="shared" si="24"/>
        <v>0</v>
      </c>
      <c r="BJ92">
        <f t="shared" si="24"/>
        <v>0</v>
      </c>
      <c r="BK92">
        <f t="shared" si="24"/>
        <v>0</v>
      </c>
      <c r="BL92">
        <f t="shared" si="24"/>
        <v>0</v>
      </c>
      <c r="BM92">
        <f t="shared" si="24"/>
        <v>0</v>
      </c>
      <c r="BN92">
        <f t="shared" si="24"/>
        <v>0</v>
      </c>
      <c r="BO92">
        <f t="shared" si="24"/>
        <v>0</v>
      </c>
      <c r="BP92">
        <f t="shared" si="24"/>
        <v>0</v>
      </c>
      <c r="BQ92">
        <f t="shared" si="24"/>
        <v>0</v>
      </c>
      <c r="BU92">
        <v>2</v>
      </c>
      <c r="BV92">
        <f t="shared" ref="BV92:BV104" si="31">IFERROR(VLOOKUP($BU92,$BU$82:$BY$86,MATCH(BV$90,$BU$82:$BY$82,0),FALSE),0)</f>
        <v>0</v>
      </c>
      <c r="BW92">
        <f t="shared" si="25"/>
        <v>0</v>
      </c>
      <c r="BX92">
        <f t="shared" si="25"/>
        <v>0</v>
      </c>
      <c r="BY92">
        <f t="shared" si="25"/>
        <v>0</v>
      </c>
      <c r="BZ92">
        <f t="shared" si="25"/>
        <v>0</v>
      </c>
      <c r="CA92">
        <f t="shared" si="25"/>
        <v>0</v>
      </c>
      <c r="CB92">
        <f t="shared" si="25"/>
        <v>0</v>
      </c>
      <c r="CC92">
        <f t="shared" si="25"/>
        <v>0</v>
      </c>
      <c r="CD92">
        <f t="shared" si="25"/>
        <v>0</v>
      </c>
      <c r="CE92">
        <f t="shared" si="25"/>
        <v>0</v>
      </c>
      <c r="CF92">
        <f t="shared" si="25"/>
        <v>0</v>
      </c>
      <c r="CG92">
        <f t="shared" si="25"/>
        <v>0</v>
      </c>
      <c r="CH92">
        <f t="shared" si="25"/>
        <v>0</v>
      </c>
      <c r="CI92">
        <f t="shared" si="25"/>
        <v>0</v>
      </c>
      <c r="CM92">
        <v>2</v>
      </c>
      <c r="CN92">
        <f t="shared" ref="CN92:CN104" si="32">IFERROR(VLOOKUP($CM92,$CM$82:$CQ$86,MATCH(CN$90,$CM$82:$CQ$82,0),FALSE),0)</f>
        <v>0</v>
      </c>
      <c r="CO92">
        <f t="shared" si="26"/>
        <v>0</v>
      </c>
      <c r="CP92">
        <f t="shared" si="26"/>
        <v>0</v>
      </c>
      <c r="CQ92">
        <f t="shared" si="26"/>
        <v>0</v>
      </c>
      <c r="CR92">
        <f t="shared" si="26"/>
        <v>0</v>
      </c>
      <c r="CS92">
        <f t="shared" si="26"/>
        <v>0</v>
      </c>
      <c r="CT92">
        <f t="shared" si="26"/>
        <v>0</v>
      </c>
      <c r="CU92">
        <f t="shared" si="26"/>
        <v>0</v>
      </c>
      <c r="CV92">
        <f t="shared" si="26"/>
        <v>0</v>
      </c>
      <c r="CW92">
        <f t="shared" si="26"/>
        <v>0</v>
      </c>
      <c r="CX92">
        <f t="shared" si="26"/>
        <v>0</v>
      </c>
      <c r="CY92">
        <f t="shared" si="26"/>
        <v>0</v>
      </c>
      <c r="CZ92">
        <f t="shared" si="26"/>
        <v>0</v>
      </c>
      <c r="DA92">
        <f t="shared" si="26"/>
        <v>0</v>
      </c>
    </row>
    <row r="93" spans="1:105" x14ac:dyDescent="0.3">
      <c r="A93">
        <v>3</v>
      </c>
      <c r="B93">
        <f t="shared" si="27"/>
        <v>0</v>
      </c>
      <c r="C93">
        <f t="shared" si="21"/>
        <v>0</v>
      </c>
      <c r="D93">
        <f t="shared" si="21"/>
        <v>290.14896590164363</v>
      </c>
      <c r="E93">
        <f t="shared" si="21"/>
        <v>116.05958636065743</v>
      </c>
      <c r="F93">
        <f t="shared" si="21"/>
        <v>-290.14896590164363</v>
      </c>
      <c r="G93">
        <f t="shared" si="21"/>
        <v>-116.05958636065743</v>
      </c>
      <c r="H93">
        <f t="shared" si="21"/>
        <v>0</v>
      </c>
      <c r="I93">
        <f t="shared" si="21"/>
        <v>0</v>
      </c>
      <c r="J93">
        <f t="shared" si="21"/>
        <v>0</v>
      </c>
      <c r="K93">
        <f t="shared" si="21"/>
        <v>0</v>
      </c>
      <c r="L93">
        <f t="shared" si="21"/>
        <v>0</v>
      </c>
      <c r="M93">
        <f t="shared" si="21"/>
        <v>0</v>
      </c>
      <c r="N93">
        <f t="shared" si="21"/>
        <v>0</v>
      </c>
      <c r="O93">
        <f t="shared" si="21"/>
        <v>0</v>
      </c>
      <c r="S93">
        <v>3</v>
      </c>
      <c r="T93">
        <f t="shared" si="28"/>
        <v>0</v>
      </c>
      <c r="U93">
        <f t="shared" si="22"/>
        <v>0</v>
      </c>
      <c r="V93">
        <f t="shared" si="22"/>
        <v>0</v>
      </c>
      <c r="W93">
        <f t="shared" si="22"/>
        <v>0</v>
      </c>
      <c r="X93">
        <f t="shared" si="22"/>
        <v>0</v>
      </c>
      <c r="Y93">
        <f t="shared" si="22"/>
        <v>0</v>
      </c>
      <c r="Z93">
        <f t="shared" si="22"/>
        <v>0</v>
      </c>
      <c r="AA93">
        <f t="shared" si="22"/>
        <v>0</v>
      </c>
      <c r="AB93">
        <f t="shared" si="22"/>
        <v>0</v>
      </c>
      <c r="AC93">
        <f t="shared" si="22"/>
        <v>0</v>
      </c>
      <c r="AD93">
        <f t="shared" si="22"/>
        <v>0</v>
      </c>
      <c r="AE93">
        <f t="shared" si="22"/>
        <v>0</v>
      </c>
      <c r="AF93">
        <f t="shared" si="22"/>
        <v>0</v>
      </c>
      <c r="AG93">
        <f t="shared" si="22"/>
        <v>0</v>
      </c>
      <c r="AK93">
        <v>3</v>
      </c>
      <c r="AL93">
        <f t="shared" si="29"/>
        <v>0</v>
      </c>
      <c r="AM93">
        <f t="shared" si="23"/>
        <v>0</v>
      </c>
      <c r="AN93">
        <f t="shared" si="23"/>
        <v>0</v>
      </c>
      <c r="AO93">
        <f t="shared" si="23"/>
        <v>0</v>
      </c>
      <c r="AP93">
        <f t="shared" si="23"/>
        <v>0</v>
      </c>
      <c r="AQ93">
        <f t="shared" si="23"/>
        <v>0</v>
      </c>
      <c r="AR93">
        <f t="shared" si="23"/>
        <v>0</v>
      </c>
      <c r="AS93">
        <f t="shared" si="23"/>
        <v>0</v>
      </c>
      <c r="AT93">
        <f t="shared" si="23"/>
        <v>0</v>
      </c>
      <c r="AU93">
        <f t="shared" si="23"/>
        <v>0</v>
      </c>
      <c r="AV93">
        <f t="shared" si="23"/>
        <v>0</v>
      </c>
      <c r="AW93">
        <f t="shared" si="23"/>
        <v>0</v>
      </c>
      <c r="AX93">
        <f t="shared" si="23"/>
        <v>0</v>
      </c>
      <c r="AY93">
        <f t="shared" si="23"/>
        <v>0</v>
      </c>
      <c r="BC93">
        <v>3</v>
      </c>
      <c r="BD93">
        <f t="shared" si="30"/>
        <v>0</v>
      </c>
      <c r="BE93">
        <f t="shared" si="24"/>
        <v>0</v>
      </c>
      <c r="BF93">
        <f t="shared" si="24"/>
        <v>0</v>
      </c>
      <c r="BG93">
        <f t="shared" si="24"/>
        <v>0</v>
      </c>
      <c r="BH93">
        <f t="shared" si="24"/>
        <v>0</v>
      </c>
      <c r="BI93">
        <f t="shared" si="24"/>
        <v>0</v>
      </c>
      <c r="BJ93">
        <f t="shared" si="24"/>
        <v>0</v>
      </c>
      <c r="BK93">
        <f t="shared" si="24"/>
        <v>0</v>
      </c>
      <c r="BL93">
        <f t="shared" si="24"/>
        <v>0</v>
      </c>
      <c r="BM93">
        <f t="shared" si="24"/>
        <v>0</v>
      </c>
      <c r="BN93">
        <f t="shared" si="24"/>
        <v>0</v>
      </c>
      <c r="BO93">
        <f t="shared" si="24"/>
        <v>0</v>
      </c>
      <c r="BP93">
        <f t="shared" si="24"/>
        <v>0</v>
      </c>
      <c r="BQ93">
        <f t="shared" si="24"/>
        <v>0</v>
      </c>
      <c r="BU93">
        <v>3</v>
      </c>
      <c r="BV93">
        <f t="shared" si="31"/>
        <v>0</v>
      </c>
      <c r="BW93">
        <f t="shared" si="25"/>
        <v>0</v>
      </c>
      <c r="BX93">
        <f t="shared" si="25"/>
        <v>0</v>
      </c>
      <c r="BY93">
        <f t="shared" si="25"/>
        <v>0</v>
      </c>
      <c r="BZ93">
        <f t="shared" si="25"/>
        <v>0</v>
      </c>
      <c r="CA93">
        <f t="shared" si="25"/>
        <v>0</v>
      </c>
      <c r="CB93">
        <f t="shared" si="25"/>
        <v>0</v>
      </c>
      <c r="CC93">
        <f t="shared" si="25"/>
        <v>0</v>
      </c>
      <c r="CD93">
        <f t="shared" si="25"/>
        <v>0</v>
      </c>
      <c r="CE93">
        <f t="shared" si="25"/>
        <v>0</v>
      </c>
      <c r="CF93">
        <f t="shared" si="25"/>
        <v>0</v>
      </c>
      <c r="CG93">
        <f t="shared" si="25"/>
        <v>0</v>
      </c>
      <c r="CH93">
        <f t="shared" si="25"/>
        <v>0</v>
      </c>
      <c r="CI93">
        <f t="shared" si="25"/>
        <v>0</v>
      </c>
      <c r="CM93">
        <v>3</v>
      </c>
      <c r="CN93">
        <f t="shared" si="32"/>
        <v>0</v>
      </c>
      <c r="CO93">
        <f t="shared" si="26"/>
        <v>0</v>
      </c>
      <c r="CP93">
        <f t="shared" si="26"/>
        <v>0</v>
      </c>
      <c r="CQ93">
        <f t="shared" si="26"/>
        <v>0</v>
      </c>
      <c r="CR93">
        <f t="shared" si="26"/>
        <v>0</v>
      </c>
      <c r="CS93">
        <f t="shared" si="26"/>
        <v>0</v>
      </c>
      <c r="CT93">
        <f t="shared" si="26"/>
        <v>0</v>
      </c>
      <c r="CU93">
        <f t="shared" si="26"/>
        <v>0</v>
      </c>
      <c r="CV93">
        <f t="shared" si="26"/>
        <v>0</v>
      </c>
      <c r="CW93">
        <f t="shared" si="26"/>
        <v>0</v>
      </c>
      <c r="CX93">
        <f t="shared" si="26"/>
        <v>0</v>
      </c>
      <c r="CY93">
        <f t="shared" si="26"/>
        <v>0</v>
      </c>
      <c r="CZ93">
        <f t="shared" si="26"/>
        <v>0</v>
      </c>
      <c r="DA93">
        <f t="shared" si="26"/>
        <v>0</v>
      </c>
    </row>
    <row r="94" spans="1:105" x14ac:dyDescent="0.3">
      <c r="A94">
        <v>4</v>
      </c>
      <c r="B94">
        <f t="shared" si="27"/>
        <v>0</v>
      </c>
      <c r="C94">
        <f t="shared" si="21"/>
        <v>0</v>
      </c>
      <c r="D94">
        <f t="shared" si="21"/>
        <v>116.05958636065743</v>
      </c>
      <c r="E94">
        <f t="shared" si="21"/>
        <v>46.423834544262967</v>
      </c>
      <c r="F94">
        <f t="shared" si="21"/>
        <v>-116.05958636065743</v>
      </c>
      <c r="G94">
        <f t="shared" si="21"/>
        <v>-46.423834544262967</v>
      </c>
      <c r="H94">
        <f t="shared" si="21"/>
        <v>0</v>
      </c>
      <c r="I94">
        <f t="shared" si="21"/>
        <v>0</v>
      </c>
      <c r="J94">
        <f t="shared" si="21"/>
        <v>0</v>
      </c>
      <c r="K94">
        <f t="shared" si="21"/>
        <v>0</v>
      </c>
      <c r="L94">
        <f t="shared" si="21"/>
        <v>0</v>
      </c>
      <c r="M94">
        <f t="shared" si="21"/>
        <v>0</v>
      </c>
      <c r="N94">
        <f t="shared" si="21"/>
        <v>0</v>
      </c>
      <c r="O94">
        <f t="shared" si="21"/>
        <v>0</v>
      </c>
      <c r="S94">
        <v>4</v>
      </c>
      <c r="T94">
        <f t="shared" si="28"/>
        <v>0</v>
      </c>
      <c r="U94">
        <f t="shared" si="22"/>
        <v>0</v>
      </c>
      <c r="V94">
        <f t="shared" si="22"/>
        <v>0</v>
      </c>
      <c r="W94">
        <f t="shared" si="22"/>
        <v>0</v>
      </c>
      <c r="X94">
        <f t="shared" si="22"/>
        <v>0</v>
      </c>
      <c r="Y94">
        <f t="shared" si="22"/>
        <v>0</v>
      </c>
      <c r="Z94">
        <f t="shared" si="22"/>
        <v>0</v>
      </c>
      <c r="AA94">
        <f t="shared" si="22"/>
        <v>0</v>
      </c>
      <c r="AB94">
        <f t="shared" si="22"/>
        <v>0</v>
      </c>
      <c r="AC94">
        <f t="shared" si="22"/>
        <v>0</v>
      </c>
      <c r="AD94">
        <f t="shared" si="22"/>
        <v>0</v>
      </c>
      <c r="AE94">
        <f t="shared" si="22"/>
        <v>0</v>
      </c>
      <c r="AF94">
        <f t="shared" si="22"/>
        <v>0</v>
      </c>
      <c r="AG94">
        <f t="shared" si="22"/>
        <v>0</v>
      </c>
      <c r="AK94">
        <v>4</v>
      </c>
      <c r="AL94">
        <f t="shared" si="29"/>
        <v>0</v>
      </c>
      <c r="AM94">
        <f t="shared" si="23"/>
        <v>0</v>
      </c>
      <c r="AN94">
        <f t="shared" si="23"/>
        <v>0</v>
      </c>
      <c r="AO94">
        <f t="shared" si="23"/>
        <v>0</v>
      </c>
      <c r="AP94">
        <f t="shared" si="23"/>
        <v>0</v>
      </c>
      <c r="AQ94">
        <f t="shared" si="23"/>
        <v>0</v>
      </c>
      <c r="AR94">
        <f t="shared" si="23"/>
        <v>0</v>
      </c>
      <c r="AS94">
        <f t="shared" si="23"/>
        <v>0</v>
      </c>
      <c r="AT94">
        <f t="shared" si="23"/>
        <v>0</v>
      </c>
      <c r="AU94">
        <f t="shared" si="23"/>
        <v>0</v>
      </c>
      <c r="AV94">
        <f t="shared" si="23"/>
        <v>0</v>
      </c>
      <c r="AW94">
        <f t="shared" si="23"/>
        <v>0</v>
      </c>
      <c r="AX94">
        <f t="shared" si="23"/>
        <v>0</v>
      </c>
      <c r="AY94">
        <f t="shared" si="23"/>
        <v>0</v>
      </c>
      <c r="BC94">
        <v>4</v>
      </c>
      <c r="BD94">
        <f t="shared" si="30"/>
        <v>0</v>
      </c>
      <c r="BE94">
        <f t="shared" si="24"/>
        <v>0</v>
      </c>
      <c r="BF94">
        <f t="shared" si="24"/>
        <v>0</v>
      </c>
      <c r="BG94">
        <f t="shared" si="24"/>
        <v>0</v>
      </c>
      <c r="BH94">
        <f t="shared" si="24"/>
        <v>0</v>
      </c>
      <c r="BI94">
        <f t="shared" si="24"/>
        <v>0</v>
      </c>
      <c r="BJ94">
        <f t="shared" si="24"/>
        <v>0</v>
      </c>
      <c r="BK94">
        <f t="shared" si="24"/>
        <v>0</v>
      </c>
      <c r="BL94">
        <f t="shared" si="24"/>
        <v>0</v>
      </c>
      <c r="BM94">
        <f t="shared" si="24"/>
        <v>0</v>
      </c>
      <c r="BN94">
        <f t="shared" si="24"/>
        <v>0</v>
      </c>
      <c r="BO94">
        <f t="shared" si="24"/>
        <v>0</v>
      </c>
      <c r="BP94">
        <f t="shared" si="24"/>
        <v>0</v>
      </c>
      <c r="BQ94">
        <f t="shared" si="24"/>
        <v>0</v>
      </c>
      <c r="BU94">
        <v>4</v>
      </c>
      <c r="BV94">
        <f t="shared" si="31"/>
        <v>0</v>
      </c>
      <c r="BW94">
        <f t="shared" si="25"/>
        <v>0</v>
      </c>
      <c r="BX94">
        <f t="shared" si="25"/>
        <v>0</v>
      </c>
      <c r="BY94">
        <f t="shared" si="25"/>
        <v>0</v>
      </c>
      <c r="BZ94">
        <f t="shared" si="25"/>
        <v>0</v>
      </c>
      <c r="CA94">
        <f t="shared" si="25"/>
        <v>0</v>
      </c>
      <c r="CB94">
        <f t="shared" si="25"/>
        <v>0</v>
      </c>
      <c r="CC94">
        <f t="shared" si="25"/>
        <v>0</v>
      </c>
      <c r="CD94">
        <f t="shared" si="25"/>
        <v>0</v>
      </c>
      <c r="CE94">
        <f t="shared" si="25"/>
        <v>0</v>
      </c>
      <c r="CF94">
        <f t="shared" si="25"/>
        <v>0</v>
      </c>
      <c r="CG94">
        <f t="shared" si="25"/>
        <v>0</v>
      </c>
      <c r="CH94">
        <f t="shared" si="25"/>
        <v>0</v>
      </c>
      <c r="CI94">
        <f t="shared" si="25"/>
        <v>0</v>
      </c>
      <c r="CM94">
        <v>4</v>
      </c>
      <c r="CN94">
        <f t="shared" si="32"/>
        <v>0</v>
      </c>
      <c r="CO94">
        <f t="shared" si="26"/>
        <v>0</v>
      </c>
      <c r="CP94">
        <f t="shared" si="26"/>
        <v>0</v>
      </c>
      <c r="CQ94">
        <f t="shared" si="26"/>
        <v>0</v>
      </c>
      <c r="CR94">
        <f t="shared" si="26"/>
        <v>0</v>
      </c>
      <c r="CS94">
        <f t="shared" si="26"/>
        <v>0</v>
      </c>
      <c r="CT94">
        <f t="shared" si="26"/>
        <v>0</v>
      </c>
      <c r="CU94">
        <f t="shared" si="26"/>
        <v>0</v>
      </c>
      <c r="CV94">
        <f t="shared" si="26"/>
        <v>0</v>
      </c>
      <c r="CW94">
        <f t="shared" si="26"/>
        <v>0</v>
      </c>
      <c r="CX94">
        <f t="shared" si="26"/>
        <v>0</v>
      </c>
      <c r="CY94">
        <f t="shared" si="26"/>
        <v>0</v>
      </c>
      <c r="CZ94">
        <f t="shared" si="26"/>
        <v>0</v>
      </c>
      <c r="DA94">
        <f t="shared" si="26"/>
        <v>0</v>
      </c>
    </row>
    <row r="95" spans="1:105" x14ac:dyDescent="0.3">
      <c r="A95">
        <v>5</v>
      </c>
      <c r="B95">
        <f t="shared" si="27"/>
        <v>0</v>
      </c>
      <c r="C95">
        <f t="shared" si="21"/>
        <v>0</v>
      </c>
      <c r="D95">
        <f t="shared" si="21"/>
        <v>-290.14896590164363</v>
      </c>
      <c r="E95">
        <f t="shared" si="21"/>
        <v>-116.05958636065743</v>
      </c>
      <c r="F95">
        <f t="shared" si="21"/>
        <v>290.14896590164363</v>
      </c>
      <c r="G95">
        <f t="shared" si="21"/>
        <v>116.05958636065743</v>
      </c>
      <c r="H95">
        <f t="shared" si="21"/>
        <v>0</v>
      </c>
      <c r="I95">
        <f t="shared" si="21"/>
        <v>0</v>
      </c>
      <c r="J95">
        <f t="shared" si="21"/>
        <v>0</v>
      </c>
      <c r="K95">
        <f t="shared" si="21"/>
        <v>0</v>
      </c>
      <c r="L95">
        <f t="shared" si="21"/>
        <v>0</v>
      </c>
      <c r="M95">
        <f t="shared" si="21"/>
        <v>0</v>
      </c>
      <c r="N95">
        <f t="shared" si="21"/>
        <v>0</v>
      </c>
      <c r="O95">
        <f t="shared" si="21"/>
        <v>0</v>
      </c>
      <c r="S95">
        <v>5</v>
      </c>
      <c r="T95">
        <f t="shared" si="28"/>
        <v>0</v>
      </c>
      <c r="U95">
        <f t="shared" si="22"/>
        <v>0</v>
      </c>
      <c r="V95">
        <f t="shared" si="22"/>
        <v>0</v>
      </c>
      <c r="W95">
        <f t="shared" si="22"/>
        <v>0</v>
      </c>
      <c r="X95">
        <f t="shared" si="22"/>
        <v>64.845971347493887</v>
      </c>
      <c r="Y95">
        <f t="shared" si="22"/>
        <v>-129.69194269498777</v>
      </c>
      <c r="Z95">
        <f t="shared" si="22"/>
        <v>-64.845971347493887</v>
      </c>
      <c r="AA95">
        <f t="shared" si="22"/>
        <v>129.69194269498777</v>
      </c>
      <c r="AB95">
        <f t="shared" si="22"/>
        <v>0</v>
      </c>
      <c r="AC95">
        <f t="shared" si="22"/>
        <v>0</v>
      </c>
      <c r="AD95">
        <f t="shared" si="22"/>
        <v>0</v>
      </c>
      <c r="AE95">
        <f t="shared" si="22"/>
        <v>0</v>
      </c>
      <c r="AF95">
        <f t="shared" si="22"/>
        <v>0</v>
      </c>
      <c r="AG95">
        <f t="shared" si="22"/>
        <v>0</v>
      </c>
      <c r="AK95">
        <v>5</v>
      </c>
      <c r="AL95">
        <f t="shared" si="29"/>
        <v>0</v>
      </c>
      <c r="AM95">
        <f t="shared" si="23"/>
        <v>0</v>
      </c>
      <c r="AN95">
        <f t="shared" si="23"/>
        <v>0</v>
      </c>
      <c r="AO95">
        <f t="shared" si="23"/>
        <v>0</v>
      </c>
      <c r="AP95">
        <f t="shared" si="23"/>
        <v>290.14896590164363</v>
      </c>
      <c r="AQ95">
        <f t="shared" si="23"/>
        <v>-116.05958636065743</v>
      </c>
      <c r="AR95">
        <f t="shared" si="23"/>
        <v>0</v>
      </c>
      <c r="AS95">
        <f t="shared" si="23"/>
        <v>0</v>
      </c>
      <c r="AT95">
        <f t="shared" si="23"/>
        <v>-290.14896590164363</v>
      </c>
      <c r="AU95">
        <f t="shared" si="23"/>
        <v>116.05958636065743</v>
      </c>
      <c r="AV95">
        <f t="shared" si="23"/>
        <v>0</v>
      </c>
      <c r="AW95">
        <f t="shared" si="23"/>
        <v>0</v>
      </c>
      <c r="AX95">
        <f t="shared" si="23"/>
        <v>0</v>
      </c>
      <c r="AY95">
        <f t="shared" si="23"/>
        <v>0</v>
      </c>
      <c r="BC95">
        <v>5</v>
      </c>
      <c r="BD95">
        <f t="shared" si="30"/>
        <v>0</v>
      </c>
      <c r="BE95">
        <f t="shared" si="24"/>
        <v>0</v>
      </c>
      <c r="BF95">
        <f t="shared" si="24"/>
        <v>0</v>
      </c>
      <c r="BG95">
        <f t="shared" si="24"/>
        <v>0</v>
      </c>
      <c r="BH95">
        <f t="shared" si="24"/>
        <v>0</v>
      </c>
      <c r="BI95">
        <f t="shared" si="24"/>
        <v>0</v>
      </c>
      <c r="BJ95">
        <f t="shared" si="24"/>
        <v>0</v>
      </c>
      <c r="BK95">
        <f t="shared" si="24"/>
        <v>0</v>
      </c>
      <c r="BL95">
        <f t="shared" si="24"/>
        <v>0</v>
      </c>
      <c r="BM95">
        <f t="shared" si="24"/>
        <v>0</v>
      </c>
      <c r="BN95">
        <f t="shared" si="24"/>
        <v>0</v>
      </c>
      <c r="BO95">
        <f t="shared" si="24"/>
        <v>0</v>
      </c>
      <c r="BP95">
        <f t="shared" si="24"/>
        <v>0</v>
      </c>
      <c r="BQ95">
        <f t="shared" si="24"/>
        <v>0</v>
      </c>
      <c r="BU95">
        <v>5</v>
      </c>
      <c r="BV95">
        <f t="shared" si="31"/>
        <v>0</v>
      </c>
      <c r="BW95">
        <f t="shared" si="25"/>
        <v>0</v>
      </c>
      <c r="BX95">
        <f t="shared" si="25"/>
        <v>0</v>
      </c>
      <c r="BY95">
        <f t="shared" si="25"/>
        <v>0</v>
      </c>
      <c r="BZ95">
        <f t="shared" si="25"/>
        <v>0</v>
      </c>
      <c r="CA95">
        <f t="shared" si="25"/>
        <v>0</v>
      </c>
      <c r="CB95">
        <f t="shared" si="25"/>
        <v>0</v>
      </c>
      <c r="CC95">
        <f t="shared" si="25"/>
        <v>0</v>
      </c>
      <c r="CD95">
        <f t="shared" si="25"/>
        <v>0</v>
      </c>
      <c r="CE95">
        <f t="shared" si="25"/>
        <v>0</v>
      </c>
      <c r="CF95">
        <f t="shared" si="25"/>
        <v>0</v>
      </c>
      <c r="CG95">
        <f t="shared" si="25"/>
        <v>0</v>
      </c>
      <c r="CH95">
        <f t="shared" si="25"/>
        <v>0</v>
      </c>
      <c r="CI95">
        <f t="shared" si="25"/>
        <v>0</v>
      </c>
      <c r="CM95">
        <v>5</v>
      </c>
      <c r="CN95">
        <f t="shared" si="32"/>
        <v>0</v>
      </c>
      <c r="CO95">
        <f t="shared" si="26"/>
        <v>0</v>
      </c>
      <c r="CP95">
        <f t="shared" si="26"/>
        <v>0</v>
      </c>
      <c r="CQ95">
        <f t="shared" si="26"/>
        <v>0</v>
      </c>
      <c r="CR95">
        <f t="shared" si="26"/>
        <v>0</v>
      </c>
      <c r="CS95">
        <f t="shared" si="26"/>
        <v>0</v>
      </c>
      <c r="CT95">
        <f t="shared" si="26"/>
        <v>0</v>
      </c>
      <c r="CU95">
        <f t="shared" si="26"/>
        <v>0</v>
      </c>
      <c r="CV95">
        <f t="shared" si="26"/>
        <v>0</v>
      </c>
      <c r="CW95">
        <f t="shared" si="26"/>
        <v>0</v>
      </c>
      <c r="CX95">
        <f t="shared" si="26"/>
        <v>0</v>
      </c>
      <c r="CY95">
        <f t="shared" si="26"/>
        <v>0</v>
      </c>
      <c r="CZ95">
        <f t="shared" si="26"/>
        <v>0</v>
      </c>
      <c r="DA95">
        <f t="shared" si="26"/>
        <v>0</v>
      </c>
    </row>
    <row r="96" spans="1:105" x14ac:dyDescent="0.3">
      <c r="A96">
        <v>6</v>
      </c>
      <c r="B96">
        <f t="shared" si="27"/>
        <v>0</v>
      </c>
      <c r="C96">
        <f t="shared" si="21"/>
        <v>0</v>
      </c>
      <c r="D96">
        <f t="shared" si="21"/>
        <v>-116.05958636065743</v>
      </c>
      <c r="E96">
        <f t="shared" si="21"/>
        <v>-46.423834544262967</v>
      </c>
      <c r="F96">
        <f t="shared" si="21"/>
        <v>116.05958636065743</v>
      </c>
      <c r="G96">
        <f t="shared" si="21"/>
        <v>46.423834544262967</v>
      </c>
      <c r="H96">
        <f t="shared" si="21"/>
        <v>0</v>
      </c>
      <c r="I96">
        <f t="shared" si="21"/>
        <v>0</v>
      </c>
      <c r="J96">
        <f t="shared" si="21"/>
        <v>0</v>
      </c>
      <c r="K96">
        <f t="shared" si="21"/>
        <v>0</v>
      </c>
      <c r="L96">
        <f t="shared" si="21"/>
        <v>0</v>
      </c>
      <c r="M96">
        <f t="shared" si="21"/>
        <v>0</v>
      </c>
      <c r="N96">
        <f t="shared" si="21"/>
        <v>0</v>
      </c>
      <c r="O96">
        <f t="shared" si="21"/>
        <v>0</v>
      </c>
      <c r="S96">
        <v>6</v>
      </c>
      <c r="T96">
        <f t="shared" si="28"/>
        <v>0</v>
      </c>
      <c r="U96">
        <f t="shared" si="22"/>
        <v>0</v>
      </c>
      <c r="V96">
        <f t="shared" si="22"/>
        <v>0</v>
      </c>
      <c r="W96">
        <f t="shared" si="22"/>
        <v>0</v>
      </c>
      <c r="X96">
        <f t="shared" si="22"/>
        <v>-129.69194269498777</v>
      </c>
      <c r="Y96">
        <f t="shared" si="22"/>
        <v>259.38388538997555</v>
      </c>
      <c r="Z96">
        <f t="shared" si="22"/>
        <v>129.69194269498777</v>
      </c>
      <c r="AA96">
        <f t="shared" si="22"/>
        <v>-259.38388538997555</v>
      </c>
      <c r="AB96">
        <f t="shared" si="22"/>
        <v>0</v>
      </c>
      <c r="AC96">
        <f t="shared" si="22"/>
        <v>0</v>
      </c>
      <c r="AD96">
        <f t="shared" si="22"/>
        <v>0</v>
      </c>
      <c r="AE96">
        <f t="shared" si="22"/>
        <v>0</v>
      </c>
      <c r="AF96">
        <f t="shared" si="22"/>
        <v>0</v>
      </c>
      <c r="AG96">
        <f t="shared" si="22"/>
        <v>0</v>
      </c>
      <c r="AK96">
        <v>6</v>
      </c>
      <c r="AL96">
        <f t="shared" si="29"/>
        <v>0</v>
      </c>
      <c r="AM96">
        <f t="shared" si="23"/>
        <v>0</v>
      </c>
      <c r="AN96">
        <f t="shared" si="23"/>
        <v>0</v>
      </c>
      <c r="AO96">
        <f t="shared" si="23"/>
        <v>0</v>
      </c>
      <c r="AP96">
        <f t="shared" si="23"/>
        <v>-116.05958636065743</v>
      </c>
      <c r="AQ96">
        <f t="shared" si="23"/>
        <v>46.423834544262967</v>
      </c>
      <c r="AR96">
        <f t="shared" si="23"/>
        <v>0</v>
      </c>
      <c r="AS96">
        <f t="shared" si="23"/>
        <v>0</v>
      </c>
      <c r="AT96">
        <f t="shared" si="23"/>
        <v>116.05958636065743</v>
      </c>
      <c r="AU96">
        <f t="shared" si="23"/>
        <v>-46.423834544262967</v>
      </c>
      <c r="AV96">
        <f t="shared" si="23"/>
        <v>0</v>
      </c>
      <c r="AW96">
        <f t="shared" si="23"/>
        <v>0</v>
      </c>
      <c r="AX96">
        <f t="shared" si="23"/>
        <v>0</v>
      </c>
      <c r="AY96">
        <f t="shared" si="23"/>
        <v>0</v>
      </c>
      <c r="BC96">
        <v>6</v>
      </c>
      <c r="BD96">
        <f t="shared" si="30"/>
        <v>0</v>
      </c>
      <c r="BE96">
        <f t="shared" si="24"/>
        <v>0</v>
      </c>
      <c r="BF96">
        <f t="shared" si="24"/>
        <v>0</v>
      </c>
      <c r="BG96">
        <f t="shared" si="24"/>
        <v>0</v>
      </c>
      <c r="BH96">
        <f t="shared" si="24"/>
        <v>0</v>
      </c>
      <c r="BI96">
        <f t="shared" si="24"/>
        <v>0</v>
      </c>
      <c r="BJ96">
        <f t="shared" si="24"/>
        <v>0</v>
      </c>
      <c r="BK96">
        <f t="shared" si="24"/>
        <v>0</v>
      </c>
      <c r="BL96">
        <f t="shared" si="24"/>
        <v>0</v>
      </c>
      <c r="BM96">
        <f t="shared" si="24"/>
        <v>0</v>
      </c>
      <c r="BN96">
        <f t="shared" si="24"/>
        <v>0</v>
      </c>
      <c r="BO96">
        <f t="shared" si="24"/>
        <v>0</v>
      </c>
      <c r="BP96">
        <f t="shared" si="24"/>
        <v>0</v>
      </c>
      <c r="BQ96">
        <f t="shared" si="24"/>
        <v>0</v>
      </c>
      <c r="BU96">
        <v>6</v>
      </c>
      <c r="BV96">
        <f t="shared" si="31"/>
        <v>0</v>
      </c>
      <c r="BW96">
        <f t="shared" si="25"/>
        <v>0</v>
      </c>
      <c r="BX96">
        <f t="shared" si="25"/>
        <v>0</v>
      </c>
      <c r="BY96">
        <f t="shared" si="25"/>
        <v>0</v>
      </c>
      <c r="BZ96">
        <f t="shared" si="25"/>
        <v>0</v>
      </c>
      <c r="CA96">
        <f t="shared" si="25"/>
        <v>0</v>
      </c>
      <c r="CB96">
        <f t="shared" si="25"/>
        <v>0</v>
      </c>
      <c r="CC96">
        <f t="shared" si="25"/>
        <v>0</v>
      </c>
      <c r="CD96">
        <f t="shared" si="25"/>
        <v>0</v>
      </c>
      <c r="CE96">
        <f t="shared" si="25"/>
        <v>0</v>
      </c>
      <c r="CF96">
        <f t="shared" si="25"/>
        <v>0</v>
      </c>
      <c r="CG96">
        <f t="shared" si="25"/>
        <v>0</v>
      </c>
      <c r="CH96">
        <f t="shared" si="25"/>
        <v>0</v>
      </c>
      <c r="CI96">
        <f t="shared" si="25"/>
        <v>0</v>
      </c>
      <c r="CM96">
        <v>6</v>
      </c>
      <c r="CN96">
        <f t="shared" si="32"/>
        <v>0</v>
      </c>
      <c r="CO96">
        <f t="shared" si="26"/>
        <v>0</v>
      </c>
      <c r="CP96">
        <f t="shared" si="26"/>
        <v>0</v>
      </c>
      <c r="CQ96">
        <f t="shared" si="26"/>
        <v>0</v>
      </c>
      <c r="CR96">
        <f t="shared" si="26"/>
        <v>0</v>
      </c>
      <c r="CS96">
        <f t="shared" si="26"/>
        <v>0</v>
      </c>
      <c r="CT96">
        <f t="shared" si="26"/>
        <v>0</v>
      </c>
      <c r="CU96">
        <f t="shared" si="26"/>
        <v>0</v>
      </c>
      <c r="CV96">
        <f t="shared" si="26"/>
        <v>0</v>
      </c>
      <c r="CW96">
        <f t="shared" si="26"/>
        <v>0</v>
      </c>
      <c r="CX96">
        <f t="shared" si="26"/>
        <v>0</v>
      </c>
      <c r="CY96">
        <f t="shared" si="26"/>
        <v>0</v>
      </c>
      <c r="CZ96">
        <f t="shared" si="26"/>
        <v>0</v>
      </c>
      <c r="DA96">
        <f t="shared" si="26"/>
        <v>0</v>
      </c>
    </row>
    <row r="97" spans="1:105" x14ac:dyDescent="0.3">
      <c r="A97">
        <v>7</v>
      </c>
      <c r="B97">
        <f t="shared" si="27"/>
        <v>0</v>
      </c>
      <c r="C97">
        <f t="shared" si="21"/>
        <v>0</v>
      </c>
      <c r="D97">
        <f t="shared" si="21"/>
        <v>0</v>
      </c>
      <c r="E97">
        <f t="shared" si="21"/>
        <v>0</v>
      </c>
      <c r="F97">
        <f t="shared" si="21"/>
        <v>0</v>
      </c>
      <c r="G97">
        <f t="shared" si="21"/>
        <v>0</v>
      </c>
      <c r="H97">
        <f t="shared" si="21"/>
        <v>0</v>
      </c>
      <c r="I97">
        <f t="shared" si="21"/>
        <v>0</v>
      </c>
      <c r="J97">
        <f t="shared" si="21"/>
        <v>0</v>
      </c>
      <c r="K97">
        <f t="shared" si="21"/>
        <v>0</v>
      </c>
      <c r="L97">
        <f t="shared" si="21"/>
        <v>0</v>
      </c>
      <c r="M97">
        <f t="shared" si="21"/>
        <v>0</v>
      </c>
      <c r="N97">
        <f t="shared" si="21"/>
        <v>0</v>
      </c>
      <c r="O97">
        <f t="shared" si="21"/>
        <v>0</v>
      </c>
      <c r="S97">
        <v>7</v>
      </c>
      <c r="T97">
        <f t="shared" si="28"/>
        <v>0</v>
      </c>
      <c r="U97">
        <f t="shared" si="22"/>
        <v>0</v>
      </c>
      <c r="V97">
        <f t="shared" si="22"/>
        <v>0</v>
      </c>
      <c r="W97">
        <f t="shared" si="22"/>
        <v>0</v>
      </c>
      <c r="X97">
        <f t="shared" si="22"/>
        <v>-64.845971347493887</v>
      </c>
      <c r="Y97">
        <f t="shared" si="22"/>
        <v>129.69194269498777</v>
      </c>
      <c r="Z97">
        <f t="shared" si="22"/>
        <v>64.845971347493887</v>
      </c>
      <c r="AA97">
        <f t="shared" si="22"/>
        <v>-129.69194269498777</v>
      </c>
      <c r="AB97">
        <f t="shared" si="22"/>
        <v>0</v>
      </c>
      <c r="AC97">
        <f t="shared" si="22"/>
        <v>0</v>
      </c>
      <c r="AD97">
        <f t="shared" si="22"/>
        <v>0</v>
      </c>
      <c r="AE97">
        <f t="shared" si="22"/>
        <v>0</v>
      </c>
      <c r="AF97">
        <f t="shared" si="22"/>
        <v>0</v>
      </c>
      <c r="AG97">
        <f t="shared" si="22"/>
        <v>0</v>
      </c>
      <c r="AK97">
        <v>7</v>
      </c>
      <c r="AL97">
        <f t="shared" si="29"/>
        <v>0</v>
      </c>
      <c r="AM97">
        <f t="shared" si="23"/>
        <v>0</v>
      </c>
      <c r="AN97">
        <f t="shared" si="23"/>
        <v>0</v>
      </c>
      <c r="AO97">
        <f t="shared" si="23"/>
        <v>0</v>
      </c>
      <c r="AP97">
        <f t="shared" si="23"/>
        <v>0</v>
      </c>
      <c r="AQ97">
        <f t="shared" si="23"/>
        <v>0</v>
      </c>
      <c r="AR97">
        <f t="shared" si="23"/>
        <v>0</v>
      </c>
      <c r="AS97">
        <f t="shared" si="23"/>
        <v>0</v>
      </c>
      <c r="AT97">
        <f t="shared" si="23"/>
        <v>0</v>
      </c>
      <c r="AU97">
        <f t="shared" si="23"/>
        <v>0</v>
      </c>
      <c r="AV97">
        <f t="shared" si="23"/>
        <v>0</v>
      </c>
      <c r="AW97">
        <f t="shared" si="23"/>
        <v>0</v>
      </c>
      <c r="AX97">
        <f t="shared" si="23"/>
        <v>0</v>
      </c>
      <c r="AY97">
        <f t="shared" si="23"/>
        <v>0</v>
      </c>
      <c r="BC97">
        <v>7</v>
      </c>
      <c r="BD97">
        <f t="shared" si="30"/>
        <v>0</v>
      </c>
      <c r="BE97">
        <f t="shared" si="24"/>
        <v>0</v>
      </c>
      <c r="BF97">
        <f t="shared" si="24"/>
        <v>0</v>
      </c>
      <c r="BG97">
        <f t="shared" si="24"/>
        <v>0</v>
      </c>
      <c r="BH97">
        <f t="shared" si="24"/>
        <v>0</v>
      </c>
      <c r="BI97">
        <f t="shared" si="24"/>
        <v>0</v>
      </c>
      <c r="BJ97">
        <f t="shared" si="24"/>
        <v>190.21872531014262</v>
      </c>
      <c r="BK97">
        <f t="shared" si="24"/>
        <v>228.26247037217112</v>
      </c>
      <c r="BL97">
        <f t="shared" si="24"/>
        <v>-190.21872531014262</v>
      </c>
      <c r="BM97">
        <f t="shared" si="24"/>
        <v>-228.26247037217112</v>
      </c>
      <c r="BN97">
        <f t="shared" si="24"/>
        <v>0</v>
      </c>
      <c r="BO97">
        <f t="shared" si="24"/>
        <v>0</v>
      </c>
      <c r="BP97">
        <f t="shared" si="24"/>
        <v>0</v>
      </c>
      <c r="BQ97">
        <f t="shared" si="24"/>
        <v>0</v>
      </c>
      <c r="BU97">
        <v>7</v>
      </c>
      <c r="BV97">
        <f t="shared" si="31"/>
        <v>0</v>
      </c>
      <c r="BW97">
        <f t="shared" si="25"/>
        <v>0</v>
      </c>
      <c r="BX97">
        <f t="shared" si="25"/>
        <v>0</v>
      </c>
      <c r="BY97">
        <f t="shared" si="25"/>
        <v>0</v>
      </c>
      <c r="BZ97">
        <f t="shared" si="25"/>
        <v>0</v>
      </c>
      <c r="CA97">
        <f t="shared" si="25"/>
        <v>0</v>
      </c>
      <c r="CB97">
        <f t="shared" si="25"/>
        <v>64.845971347493887</v>
      </c>
      <c r="CC97">
        <f t="shared" si="25"/>
        <v>-129.69194269498777</v>
      </c>
      <c r="CD97">
        <f t="shared" si="25"/>
        <v>0</v>
      </c>
      <c r="CE97">
        <f t="shared" si="25"/>
        <v>0</v>
      </c>
      <c r="CF97">
        <f t="shared" si="25"/>
        <v>0</v>
      </c>
      <c r="CG97">
        <f t="shared" si="25"/>
        <v>0</v>
      </c>
      <c r="CH97">
        <f t="shared" si="25"/>
        <v>-64.845971347493887</v>
      </c>
      <c r="CI97">
        <f t="shared" si="25"/>
        <v>129.69194269498777</v>
      </c>
      <c r="CM97">
        <v>7</v>
      </c>
      <c r="CN97">
        <f t="shared" si="32"/>
        <v>0</v>
      </c>
      <c r="CO97">
        <f t="shared" si="26"/>
        <v>0</v>
      </c>
      <c r="CP97">
        <f t="shared" si="26"/>
        <v>0</v>
      </c>
      <c r="CQ97">
        <f t="shared" si="26"/>
        <v>0</v>
      </c>
      <c r="CR97">
        <f t="shared" si="26"/>
        <v>0</v>
      </c>
      <c r="CS97">
        <f t="shared" si="26"/>
        <v>0</v>
      </c>
      <c r="CT97">
        <f t="shared" si="26"/>
        <v>0</v>
      </c>
      <c r="CU97">
        <f t="shared" si="26"/>
        <v>0</v>
      </c>
      <c r="CV97">
        <f t="shared" si="26"/>
        <v>0</v>
      </c>
      <c r="CW97">
        <f t="shared" si="26"/>
        <v>0</v>
      </c>
      <c r="CX97">
        <f t="shared" si="26"/>
        <v>0</v>
      </c>
      <c r="CY97">
        <f t="shared" si="26"/>
        <v>0</v>
      </c>
      <c r="CZ97">
        <f t="shared" si="26"/>
        <v>0</v>
      </c>
      <c r="DA97">
        <f t="shared" si="26"/>
        <v>0</v>
      </c>
    </row>
    <row r="98" spans="1:105" x14ac:dyDescent="0.3">
      <c r="A98">
        <v>8</v>
      </c>
      <c r="B98">
        <f t="shared" si="27"/>
        <v>0</v>
      </c>
      <c r="C98">
        <f t="shared" si="21"/>
        <v>0</v>
      </c>
      <c r="D98">
        <f t="shared" si="21"/>
        <v>0</v>
      </c>
      <c r="E98">
        <f t="shared" si="21"/>
        <v>0</v>
      </c>
      <c r="F98">
        <f t="shared" si="21"/>
        <v>0</v>
      </c>
      <c r="G98">
        <f t="shared" si="21"/>
        <v>0</v>
      </c>
      <c r="H98">
        <f t="shared" si="21"/>
        <v>0</v>
      </c>
      <c r="I98">
        <f t="shared" si="21"/>
        <v>0</v>
      </c>
      <c r="J98">
        <f t="shared" si="21"/>
        <v>0</v>
      </c>
      <c r="K98">
        <f t="shared" si="21"/>
        <v>0</v>
      </c>
      <c r="L98">
        <f t="shared" si="21"/>
        <v>0</v>
      </c>
      <c r="M98">
        <f t="shared" si="21"/>
        <v>0</v>
      </c>
      <c r="N98">
        <f t="shared" si="21"/>
        <v>0</v>
      </c>
      <c r="O98">
        <f t="shared" si="21"/>
        <v>0</v>
      </c>
      <c r="S98">
        <v>8</v>
      </c>
      <c r="T98">
        <f t="shared" si="28"/>
        <v>0</v>
      </c>
      <c r="U98">
        <f t="shared" si="22"/>
        <v>0</v>
      </c>
      <c r="V98">
        <f t="shared" si="22"/>
        <v>0</v>
      </c>
      <c r="W98">
        <f t="shared" si="22"/>
        <v>0</v>
      </c>
      <c r="X98">
        <f t="shared" si="22"/>
        <v>129.69194269498777</v>
      </c>
      <c r="Y98">
        <f t="shared" si="22"/>
        <v>-259.38388538997555</v>
      </c>
      <c r="Z98">
        <f t="shared" si="22"/>
        <v>-129.69194269498777</v>
      </c>
      <c r="AA98">
        <f t="shared" si="22"/>
        <v>259.38388538997555</v>
      </c>
      <c r="AB98">
        <f t="shared" si="22"/>
        <v>0</v>
      </c>
      <c r="AC98">
        <f t="shared" si="22"/>
        <v>0</v>
      </c>
      <c r="AD98">
        <f t="shared" si="22"/>
        <v>0</v>
      </c>
      <c r="AE98">
        <f t="shared" si="22"/>
        <v>0</v>
      </c>
      <c r="AF98">
        <f t="shared" si="22"/>
        <v>0</v>
      </c>
      <c r="AG98">
        <f t="shared" si="22"/>
        <v>0</v>
      </c>
      <c r="AK98">
        <v>8</v>
      </c>
      <c r="AL98">
        <f t="shared" si="29"/>
        <v>0</v>
      </c>
      <c r="AM98">
        <f t="shared" si="23"/>
        <v>0</v>
      </c>
      <c r="AN98">
        <f t="shared" si="23"/>
        <v>0</v>
      </c>
      <c r="AO98">
        <f t="shared" si="23"/>
        <v>0</v>
      </c>
      <c r="AP98">
        <f t="shared" si="23"/>
        <v>0</v>
      </c>
      <c r="AQ98">
        <f t="shared" si="23"/>
        <v>0</v>
      </c>
      <c r="AR98">
        <f t="shared" si="23"/>
        <v>0</v>
      </c>
      <c r="AS98">
        <f t="shared" si="23"/>
        <v>0</v>
      </c>
      <c r="AT98">
        <f t="shared" si="23"/>
        <v>0</v>
      </c>
      <c r="AU98">
        <f t="shared" si="23"/>
        <v>0</v>
      </c>
      <c r="AV98">
        <f t="shared" si="23"/>
        <v>0</v>
      </c>
      <c r="AW98">
        <f t="shared" si="23"/>
        <v>0</v>
      </c>
      <c r="AX98">
        <f t="shared" si="23"/>
        <v>0</v>
      </c>
      <c r="AY98">
        <f t="shared" si="23"/>
        <v>0</v>
      </c>
      <c r="BC98">
        <v>8</v>
      </c>
      <c r="BD98">
        <f t="shared" si="30"/>
        <v>0</v>
      </c>
      <c r="BE98">
        <f t="shared" si="24"/>
        <v>0</v>
      </c>
      <c r="BF98">
        <f t="shared" si="24"/>
        <v>0</v>
      </c>
      <c r="BG98">
        <f t="shared" si="24"/>
        <v>0</v>
      </c>
      <c r="BH98">
        <f t="shared" si="24"/>
        <v>0</v>
      </c>
      <c r="BI98">
        <f t="shared" si="24"/>
        <v>0</v>
      </c>
      <c r="BJ98">
        <f t="shared" si="24"/>
        <v>228.26247037217112</v>
      </c>
      <c r="BK98">
        <f t="shared" si="24"/>
        <v>273.91496444660532</v>
      </c>
      <c r="BL98">
        <f t="shared" si="24"/>
        <v>-228.26247037217112</v>
      </c>
      <c r="BM98">
        <f t="shared" si="24"/>
        <v>-273.91496444660532</v>
      </c>
      <c r="BN98">
        <f t="shared" si="24"/>
        <v>0</v>
      </c>
      <c r="BO98">
        <f t="shared" si="24"/>
        <v>0</v>
      </c>
      <c r="BP98">
        <f t="shared" si="24"/>
        <v>0</v>
      </c>
      <c r="BQ98">
        <f t="shared" si="24"/>
        <v>0</v>
      </c>
      <c r="BU98">
        <v>8</v>
      </c>
      <c r="BV98">
        <f t="shared" si="31"/>
        <v>0</v>
      </c>
      <c r="BW98">
        <f t="shared" si="25"/>
        <v>0</v>
      </c>
      <c r="BX98">
        <f t="shared" si="25"/>
        <v>0</v>
      </c>
      <c r="BY98">
        <f t="shared" si="25"/>
        <v>0</v>
      </c>
      <c r="BZ98">
        <f t="shared" si="25"/>
        <v>0</v>
      </c>
      <c r="CA98">
        <f t="shared" si="25"/>
        <v>0</v>
      </c>
      <c r="CB98">
        <f t="shared" si="25"/>
        <v>-129.69194269498777</v>
      </c>
      <c r="CC98">
        <f t="shared" si="25"/>
        <v>259.38388538997555</v>
      </c>
      <c r="CD98">
        <f t="shared" si="25"/>
        <v>0</v>
      </c>
      <c r="CE98">
        <f t="shared" si="25"/>
        <v>0</v>
      </c>
      <c r="CF98">
        <f t="shared" si="25"/>
        <v>0</v>
      </c>
      <c r="CG98">
        <f t="shared" si="25"/>
        <v>0</v>
      </c>
      <c r="CH98">
        <f t="shared" si="25"/>
        <v>129.69194269498777</v>
      </c>
      <c r="CI98">
        <f t="shared" si="25"/>
        <v>-259.38388538997555</v>
      </c>
      <c r="CM98">
        <v>8</v>
      </c>
      <c r="CN98">
        <f t="shared" si="32"/>
        <v>0</v>
      </c>
      <c r="CO98">
        <f t="shared" si="26"/>
        <v>0</v>
      </c>
      <c r="CP98">
        <f t="shared" si="26"/>
        <v>0</v>
      </c>
      <c r="CQ98">
        <f t="shared" si="26"/>
        <v>0</v>
      </c>
      <c r="CR98">
        <f t="shared" si="26"/>
        <v>0</v>
      </c>
      <c r="CS98">
        <f t="shared" si="26"/>
        <v>0</v>
      </c>
      <c r="CT98">
        <f t="shared" si="26"/>
        <v>0</v>
      </c>
      <c r="CU98">
        <f t="shared" si="26"/>
        <v>0</v>
      </c>
      <c r="CV98">
        <f t="shared" si="26"/>
        <v>0</v>
      </c>
      <c r="CW98">
        <f t="shared" si="26"/>
        <v>0</v>
      </c>
      <c r="CX98">
        <f t="shared" si="26"/>
        <v>0</v>
      </c>
      <c r="CY98">
        <f t="shared" si="26"/>
        <v>0</v>
      </c>
      <c r="CZ98">
        <f t="shared" si="26"/>
        <v>0</v>
      </c>
      <c r="DA98">
        <f t="shared" si="26"/>
        <v>0</v>
      </c>
    </row>
    <row r="99" spans="1:105" x14ac:dyDescent="0.3">
      <c r="A99">
        <v>9</v>
      </c>
      <c r="B99">
        <f t="shared" si="27"/>
        <v>0</v>
      </c>
      <c r="C99">
        <f t="shared" si="21"/>
        <v>0</v>
      </c>
      <c r="D99">
        <f t="shared" si="21"/>
        <v>0</v>
      </c>
      <c r="E99">
        <f t="shared" si="21"/>
        <v>0</v>
      </c>
      <c r="F99">
        <f t="shared" si="21"/>
        <v>0</v>
      </c>
      <c r="G99">
        <f t="shared" si="21"/>
        <v>0</v>
      </c>
      <c r="H99">
        <f t="shared" si="21"/>
        <v>0</v>
      </c>
      <c r="I99">
        <f t="shared" si="21"/>
        <v>0</v>
      </c>
      <c r="J99">
        <f t="shared" si="21"/>
        <v>0</v>
      </c>
      <c r="K99">
        <f t="shared" si="21"/>
        <v>0</v>
      </c>
      <c r="L99">
        <f t="shared" si="21"/>
        <v>0</v>
      </c>
      <c r="M99">
        <f t="shared" si="21"/>
        <v>0</v>
      </c>
      <c r="N99">
        <f t="shared" si="21"/>
        <v>0</v>
      </c>
      <c r="O99">
        <f t="shared" si="21"/>
        <v>0</v>
      </c>
      <c r="S99">
        <v>9</v>
      </c>
      <c r="T99">
        <f t="shared" si="28"/>
        <v>0</v>
      </c>
      <c r="U99">
        <f t="shared" si="22"/>
        <v>0</v>
      </c>
      <c r="V99">
        <f t="shared" si="22"/>
        <v>0</v>
      </c>
      <c r="W99">
        <f t="shared" si="22"/>
        <v>0</v>
      </c>
      <c r="X99">
        <f t="shared" si="22"/>
        <v>0</v>
      </c>
      <c r="Y99">
        <f t="shared" si="22"/>
        <v>0</v>
      </c>
      <c r="Z99">
        <f t="shared" si="22"/>
        <v>0</v>
      </c>
      <c r="AA99">
        <f t="shared" si="22"/>
        <v>0</v>
      </c>
      <c r="AB99">
        <f t="shared" si="22"/>
        <v>0</v>
      </c>
      <c r="AC99">
        <f t="shared" si="22"/>
        <v>0</v>
      </c>
      <c r="AD99">
        <f t="shared" si="22"/>
        <v>0</v>
      </c>
      <c r="AE99">
        <f t="shared" si="22"/>
        <v>0</v>
      </c>
      <c r="AF99">
        <f t="shared" si="22"/>
        <v>0</v>
      </c>
      <c r="AG99">
        <f t="shared" si="22"/>
        <v>0</v>
      </c>
      <c r="AK99">
        <v>9</v>
      </c>
      <c r="AL99">
        <f t="shared" si="29"/>
        <v>0</v>
      </c>
      <c r="AM99">
        <f t="shared" si="23"/>
        <v>0</v>
      </c>
      <c r="AN99">
        <f t="shared" si="23"/>
        <v>0</v>
      </c>
      <c r="AO99">
        <f t="shared" si="23"/>
        <v>0</v>
      </c>
      <c r="AP99">
        <f t="shared" si="23"/>
        <v>-290.14896590164363</v>
      </c>
      <c r="AQ99">
        <f t="shared" si="23"/>
        <v>116.05958636065743</v>
      </c>
      <c r="AR99">
        <f t="shared" si="23"/>
        <v>0</v>
      </c>
      <c r="AS99">
        <f t="shared" si="23"/>
        <v>0</v>
      </c>
      <c r="AT99">
        <f t="shared" si="23"/>
        <v>290.14896590164363</v>
      </c>
      <c r="AU99">
        <f t="shared" si="23"/>
        <v>-116.05958636065743</v>
      </c>
      <c r="AV99">
        <f t="shared" si="23"/>
        <v>0</v>
      </c>
      <c r="AW99">
        <f t="shared" si="23"/>
        <v>0</v>
      </c>
      <c r="AX99">
        <f t="shared" si="23"/>
        <v>0</v>
      </c>
      <c r="AY99">
        <f t="shared" si="23"/>
        <v>0</v>
      </c>
      <c r="BC99">
        <v>9</v>
      </c>
      <c r="BD99">
        <f t="shared" si="30"/>
        <v>0</v>
      </c>
      <c r="BE99">
        <f t="shared" si="24"/>
        <v>0</v>
      </c>
      <c r="BF99">
        <f t="shared" si="24"/>
        <v>0</v>
      </c>
      <c r="BG99">
        <f t="shared" si="24"/>
        <v>0</v>
      </c>
      <c r="BH99">
        <f t="shared" si="24"/>
        <v>0</v>
      </c>
      <c r="BI99">
        <f t="shared" si="24"/>
        <v>0</v>
      </c>
      <c r="BJ99">
        <f t="shared" si="24"/>
        <v>-190.21872531014262</v>
      </c>
      <c r="BK99">
        <f t="shared" si="24"/>
        <v>-228.26247037217112</v>
      </c>
      <c r="BL99">
        <f t="shared" si="24"/>
        <v>190.21872531014262</v>
      </c>
      <c r="BM99">
        <f t="shared" si="24"/>
        <v>228.26247037217112</v>
      </c>
      <c r="BN99">
        <f t="shared" si="24"/>
        <v>0</v>
      </c>
      <c r="BO99">
        <f t="shared" si="24"/>
        <v>0</v>
      </c>
      <c r="BP99">
        <f t="shared" si="24"/>
        <v>0</v>
      </c>
      <c r="BQ99">
        <f t="shared" si="24"/>
        <v>0</v>
      </c>
      <c r="BU99">
        <v>9</v>
      </c>
      <c r="BV99">
        <f t="shared" si="31"/>
        <v>0</v>
      </c>
      <c r="BW99">
        <f t="shared" si="25"/>
        <v>0</v>
      </c>
      <c r="BX99">
        <f t="shared" si="25"/>
        <v>0</v>
      </c>
      <c r="BY99">
        <f t="shared" si="25"/>
        <v>0</v>
      </c>
      <c r="BZ99">
        <f t="shared" si="25"/>
        <v>0</v>
      </c>
      <c r="CA99">
        <f t="shared" si="25"/>
        <v>0</v>
      </c>
      <c r="CB99">
        <f t="shared" si="25"/>
        <v>0</v>
      </c>
      <c r="CC99">
        <f t="shared" si="25"/>
        <v>0</v>
      </c>
      <c r="CD99">
        <f t="shared" si="25"/>
        <v>0</v>
      </c>
      <c r="CE99">
        <f t="shared" si="25"/>
        <v>0</v>
      </c>
      <c r="CF99">
        <f t="shared" si="25"/>
        <v>0</v>
      </c>
      <c r="CG99">
        <f t="shared" si="25"/>
        <v>0</v>
      </c>
      <c r="CH99">
        <f t="shared" si="25"/>
        <v>0</v>
      </c>
      <c r="CI99">
        <f t="shared" si="25"/>
        <v>0</v>
      </c>
      <c r="CM99">
        <v>9</v>
      </c>
      <c r="CN99">
        <f t="shared" si="32"/>
        <v>0</v>
      </c>
      <c r="CO99">
        <f t="shared" si="26"/>
        <v>0</v>
      </c>
      <c r="CP99">
        <f t="shared" si="26"/>
        <v>0</v>
      </c>
      <c r="CQ99">
        <f t="shared" si="26"/>
        <v>0</v>
      </c>
      <c r="CR99">
        <f t="shared" si="26"/>
        <v>0</v>
      </c>
      <c r="CS99">
        <f t="shared" si="26"/>
        <v>0</v>
      </c>
      <c r="CT99">
        <f t="shared" si="26"/>
        <v>0</v>
      </c>
      <c r="CU99">
        <f t="shared" si="26"/>
        <v>0</v>
      </c>
      <c r="CV99">
        <f t="shared" si="26"/>
        <v>0</v>
      </c>
      <c r="CW99">
        <f t="shared" si="26"/>
        <v>0</v>
      </c>
      <c r="CX99">
        <f t="shared" si="26"/>
        <v>0</v>
      </c>
      <c r="CY99">
        <f t="shared" si="26"/>
        <v>0</v>
      </c>
      <c r="CZ99">
        <f t="shared" si="26"/>
        <v>0</v>
      </c>
      <c r="DA99">
        <f t="shared" si="26"/>
        <v>0</v>
      </c>
    </row>
    <row r="100" spans="1:105" x14ac:dyDescent="0.3">
      <c r="A100">
        <v>10</v>
      </c>
      <c r="B100">
        <f t="shared" si="27"/>
        <v>0</v>
      </c>
      <c r="C100">
        <f t="shared" si="21"/>
        <v>0</v>
      </c>
      <c r="D100">
        <f t="shared" si="21"/>
        <v>0</v>
      </c>
      <c r="E100">
        <f t="shared" si="21"/>
        <v>0</v>
      </c>
      <c r="F100">
        <f t="shared" si="21"/>
        <v>0</v>
      </c>
      <c r="G100">
        <f t="shared" si="21"/>
        <v>0</v>
      </c>
      <c r="H100">
        <f t="shared" si="21"/>
        <v>0</v>
      </c>
      <c r="I100">
        <f t="shared" si="21"/>
        <v>0</v>
      </c>
      <c r="J100">
        <f t="shared" si="21"/>
        <v>0</v>
      </c>
      <c r="K100">
        <f t="shared" si="21"/>
        <v>0</v>
      </c>
      <c r="L100">
        <f t="shared" si="21"/>
        <v>0</v>
      </c>
      <c r="M100">
        <f t="shared" si="21"/>
        <v>0</v>
      </c>
      <c r="N100">
        <f t="shared" si="21"/>
        <v>0</v>
      </c>
      <c r="O100">
        <f t="shared" si="21"/>
        <v>0</v>
      </c>
      <c r="S100">
        <v>10</v>
      </c>
      <c r="T100">
        <f t="shared" si="28"/>
        <v>0</v>
      </c>
      <c r="U100">
        <f t="shared" si="22"/>
        <v>0</v>
      </c>
      <c r="V100">
        <f t="shared" si="22"/>
        <v>0</v>
      </c>
      <c r="W100">
        <f t="shared" si="22"/>
        <v>0</v>
      </c>
      <c r="X100">
        <f t="shared" si="22"/>
        <v>0</v>
      </c>
      <c r="Y100">
        <f t="shared" si="22"/>
        <v>0</v>
      </c>
      <c r="Z100">
        <f t="shared" si="22"/>
        <v>0</v>
      </c>
      <c r="AA100">
        <f t="shared" si="22"/>
        <v>0</v>
      </c>
      <c r="AB100">
        <f t="shared" si="22"/>
        <v>0</v>
      </c>
      <c r="AC100">
        <f t="shared" si="22"/>
        <v>0</v>
      </c>
      <c r="AD100">
        <f t="shared" si="22"/>
        <v>0</v>
      </c>
      <c r="AE100">
        <f t="shared" si="22"/>
        <v>0</v>
      </c>
      <c r="AF100">
        <f t="shared" si="22"/>
        <v>0</v>
      </c>
      <c r="AG100">
        <f t="shared" si="22"/>
        <v>0</v>
      </c>
      <c r="AK100">
        <v>10</v>
      </c>
      <c r="AL100">
        <f t="shared" si="29"/>
        <v>0</v>
      </c>
      <c r="AM100">
        <f t="shared" si="23"/>
        <v>0</v>
      </c>
      <c r="AN100">
        <f t="shared" si="23"/>
        <v>0</v>
      </c>
      <c r="AO100">
        <f t="shared" si="23"/>
        <v>0</v>
      </c>
      <c r="AP100">
        <f t="shared" si="23"/>
        <v>116.05958636065743</v>
      </c>
      <c r="AQ100">
        <f t="shared" si="23"/>
        <v>-46.423834544262967</v>
      </c>
      <c r="AR100">
        <f t="shared" si="23"/>
        <v>0</v>
      </c>
      <c r="AS100">
        <f t="shared" si="23"/>
        <v>0</v>
      </c>
      <c r="AT100">
        <f t="shared" si="23"/>
        <v>-116.05958636065743</v>
      </c>
      <c r="AU100">
        <f t="shared" si="23"/>
        <v>46.423834544262967</v>
      </c>
      <c r="AV100">
        <f t="shared" si="23"/>
        <v>0</v>
      </c>
      <c r="AW100">
        <f t="shared" si="23"/>
        <v>0</v>
      </c>
      <c r="AX100">
        <f t="shared" si="23"/>
        <v>0</v>
      </c>
      <c r="AY100">
        <f t="shared" si="23"/>
        <v>0</v>
      </c>
      <c r="BC100">
        <v>10</v>
      </c>
      <c r="BD100">
        <f t="shared" si="30"/>
        <v>0</v>
      </c>
      <c r="BE100">
        <f t="shared" si="24"/>
        <v>0</v>
      </c>
      <c r="BF100">
        <f t="shared" si="24"/>
        <v>0</v>
      </c>
      <c r="BG100">
        <f t="shared" si="24"/>
        <v>0</v>
      </c>
      <c r="BH100">
        <f t="shared" si="24"/>
        <v>0</v>
      </c>
      <c r="BI100">
        <f t="shared" si="24"/>
        <v>0</v>
      </c>
      <c r="BJ100">
        <f t="shared" si="24"/>
        <v>-228.26247037217112</v>
      </c>
      <c r="BK100">
        <f t="shared" si="24"/>
        <v>-273.91496444660532</v>
      </c>
      <c r="BL100">
        <f t="shared" si="24"/>
        <v>228.26247037217112</v>
      </c>
      <c r="BM100">
        <f t="shared" si="24"/>
        <v>273.91496444660532</v>
      </c>
      <c r="BN100">
        <f t="shared" si="24"/>
        <v>0</v>
      </c>
      <c r="BO100">
        <f t="shared" si="24"/>
        <v>0</v>
      </c>
      <c r="BP100">
        <f t="shared" si="24"/>
        <v>0</v>
      </c>
      <c r="BQ100">
        <f t="shared" si="24"/>
        <v>0</v>
      </c>
      <c r="BU100">
        <v>10</v>
      </c>
      <c r="BV100">
        <f t="shared" si="31"/>
        <v>0</v>
      </c>
      <c r="BW100">
        <f t="shared" si="25"/>
        <v>0</v>
      </c>
      <c r="BX100">
        <f t="shared" si="25"/>
        <v>0</v>
      </c>
      <c r="BY100">
        <f t="shared" si="25"/>
        <v>0</v>
      </c>
      <c r="BZ100">
        <f t="shared" si="25"/>
        <v>0</v>
      </c>
      <c r="CA100">
        <f t="shared" si="25"/>
        <v>0</v>
      </c>
      <c r="CB100">
        <f t="shared" si="25"/>
        <v>0</v>
      </c>
      <c r="CC100">
        <f t="shared" si="25"/>
        <v>0</v>
      </c>
      <c r="CD100">
        <f t="shared" si="25"/>
        <v>0</v>
      </c>
      <c r="CE100">
        <f t="shared" si="25"/>
        <v>0</v>
      </c>
      <c r="CF100">
        <f t="shared" si="25"/>
        <v>0</v>
      </c>
      <c r="CG100">
        <f t="shared" si="25"/>
        <v>0</v>
      </c>
      <c r="CH100">
        <f t="shared" si="25"/>
        <v>0</v>
      </c>
      <c r="CI100">
        <f t="shared" si="25"/>
        <v>0</v>
      </c>
      <c r="CM100">
        <v>10</v>
      </c>
      <c r="CN100">
        <f t="shared" si="32"/>
        <v>0</v>
      </c>
      <c r="CO100">
        <f t="shared" si="26"/>
        <v>0</v>
      </c>
      <c r="CP100">
        <f t="shared" si="26"/>
        <v>0</v>
      </c>
      <c r="CQ100">
        <f t="shared" si="26"/>
        <v>0</v>
      </c>
      <c r="CR100">
        <f t="shared" si="26"/>
        <v>0</v>
      </c>
      <c r="CS100">
        <f t="shared" si="26"/>
        <v>0</v>
      </c>
      <c r="CT100">
        <f t="shared" si="26"/>
        <v>0</v>
      </c>
      <c r="CU100">
        <f t="shared" si="26"/>
        <v>0</v>
      </c>
      <c r="CV100">
        <f t="shared" si="26"/>
        <v>0</v>
      </c>
      <c r="CW100">
        <f t="shared" si="26"/>
        <v>226.5625</v>
      </c>
      <c r="CX100">
        <f t="shared" si="26"/>
        <v>0</v>
      </c>
      <c r="CY100">
        <f t="shared" si="26"/>
        <v>0</v>
      </c>
      <c r="CZ100">
        <f t="shared" si="26"/>
        <v>0</v>
      </c>
      <c r="DA100">
        <f t="shared" si="26"/>
        <v>-226.5625</v>
      </c>
    </row>
    <row r="101" spans="1:105" x14ac:dyDescent="0.3">
      <c r="A101">
        <v>11</v>
      </c>
      <c r="B101">
        <f t="shared" si="27"/>
        <v>0</v>
      </c>
      <c r="C101">
        <f t="shared" si="21"/>
        <v>0</v>
      </c>
      <c r="D101">
        <f t="shared" si="21"/>
        <v>0</v>
      </c>
      <c r="E101">
        <f t="shared" si="21"/>
        <v>0</v>
      </c>
      <c r="F101">
        <f t="shared" si="21"/>
        <v>0</v>
      </c>
      <c r="G101">
        <f t="shared" si="21"/>
        <v>0</v>
      </c>
      <c r="H101">
        <f t="shared" si="21"/>
        <v>0</v>
      </c>
      <c r="I101">
        <f t="shared" si="21"/>
        <v>0</v>
      </c>
      <c r="J101">
        <f t="shared" si="21"/>
        <v>0</v>
      </c>
      <c r="K101">
        <f t="shared" si="21"/>
        <v>0</v>
      </c>
      <c r="L101">
        <f t="shared" si="21"/>
        <v>0</v>
      </c>
      <c r="M101">
        <f t="shared" si="21"/>
        <v>0</v>
      </c>
      <c r="N101">
        <f t="shared" si="21"/>
        <v>0</v>
      </c>
      <c r="O101">
        <f t="shared" si="21"/>
        <v>0</v>
      </c>
      <c r="S101">
        <v>11</v>
      </c>
      <c r="T101">
        <f t="shared" si="28"/>
        <v>0</v>
      </c>
      <c r="U101">
        <f t="shared" si="22"/>
        <v>0</v>
      </c>
      <c r="V101">
        <f t="shared" si="22"/>
        <v>0</v>
      </c>
      <c r="W101">
        <f t="shared" si="22"/>
        <v>0</v>
      </c>
      <c r="X101">
        <f t="shared" si="22"/>
        <v>0</v>
      </c>
      <c r="Y101">
        <f t="shared" si="22"/>
        <v>0</v>
      </c>
      <c r="Z101">
        <f t="shared" si="22"/>
        <v>0</v>
      </c>
      <c r="AA101">
        <f t="shared" si="22"/>
        <v>0</v>
      </c>
      <c r="AB101">
        <f t="shared" si="22"/>
        <v>0</v>
      </c>
      <c r="AC101">
        <f t="shared" si="22"/>
        <v>0</v>
      </c>
      <c r="AD101">
        <f t="shared" si="22"/>
        <v>0</v>
      </c>
      <c r="AE101">
        <f t="shared" si="22"/>
        <v>0</v>
      </c>
      <c r="AF101">
        <f t="shared" si="22"/>
        <v>0</v>
      </c>
      <c r="AG101">
        <f t="shared" si="22"/>
        <v>0</v>
      </c>
      <c r="AK101">
        <v>11</v>
      </c>
      <c r="AL101">
        <f t="shared" si="29"/>
        <v>0</v>
      </c>
      <c r="AM101">
        <f t="shared" si="23"/>
        <v>0</v>
      </c>
      <c r="AN101">
        <f t="shared" si="23"/>
        <v>0</v>
      </c>
      <c r="AO101">
        <f t="shared" si="23"/>
        <v>0</v>
      </c>
      <c r="AP101">
        <f t="shared" si="23"/>
        <v>0</v>
      </c>
      <c r="AQ101">
        <f t="shared" si="23"/>
        <v>0</v>
      </c>
      <c r="AR101">
        <f t="shared" si="23"/>
        <v>0</v>
      </c>
      <c r="AS101">
        <f t="shared" si="23"/>
        <v>0</v>
      </c>
      <c r="AT101">
        <f t="shared" si="23"/>
        <v>0</v>
      </c>
      <c r="AU101">
        <f t="shared" si="23"/>
        <v>0</v>
      </c>
      <c r="AV101">
        <f t="shared" si="23"/>
        <v>0</v>
      </c>
      <c r="AW101">
        <f t="shared" si="23"/>
        <v>0</v>
      </c>
      <c r="AX101">
        <f t="shared" si="23"/>
        <v>0</v>
      </c>
      <c r="AY101">
        <f t="shared" si="23"/>
        <v>0</v>
      </c>
      <c r="BC101">
        <v>11</v>
      </c>
      <c r="BD101">
        <f t="shared" si="30"/>
        <v>0</v>
      </c>
      <c r="BE101">
        <f t="shared" si="24"/>
        <v>0</v>
      </c>
      <c r="BF101">
        <f t="shared" si="24"/>
        <v>0</v>
      </c>
      <c r="BG101">
        <f t="shared" si="24"/>
        <v>0</v>
      </c>
      <c r="BH101">
        <f t="shared" si="24"/>
        <v>0</v>
      </c>
      <c r="BI101">
        <f t="shared" si="24"/>
        <v>0</v>
      </c>
      <c r="BJ101">
        <f t="shared" si="24"/>
        <v>0</v>
      </c>
      <c r="BK101">
        <f t="shared" si="24"/>
        <v>0</v>
      </c>
      <c r="BL101">
        <f t="shared" si="24"/>
        <v>0</v>
      </c>
      <c r="BM101">
        <f t="shared" si="24"/>
        <v>0</v>
      </c>
      <c r="BN101">
        <f t="shared" si="24"/>
        <v>0</v>
      </c>
      <c r="BO101">
        <f t="shared" si="24"/>
        <v>0</v>
      </c>
      <c r="BP101">
        <f t="shared" si="24"/>
        <v>0</v>
      </c>
      <c r="BQ101">
        <f t="shared" si="24"/>
        <v>0</v>
      </c>
      <c r="BU101">
        <v>11</v>
      </c>
      <c r="BV101">
        <f t="shared" si="31"/>
        <v>0</v>
      </c>
      <c r="BW101">
        <f t="shared" si="25"/>
        <v>0</v>
      </c>
      <c r="BX101">
        <f t="shared" si="25"/>
        <v>0</v>
      </c>
      <c r="BY101">
        <f t="shared" si="25"/>
        <v>0</v>
      </c>
      <c r="BZ101">
        <f t="shared" si="25"/>
        <v>0</v>
      </c>
      <c r="CA101">
        <f t="shared" si="25"/>
        <v>0</v>
      </c>
      <c r="CB101">
        <f t="shared" si="25"/>
        <v>0</v>
      </c>
      <c r="CC101">
        <f t="shared" si="25"/>
        <v>0</v>
      </c>
      <c r="CD101">
        <f t="shared" si="25"/>
        <v>0</v>
      </c>
      <c r="CE101">
        <f t="shared" si="25"/>
        <v>0</v>
      </c>
      <c r="CF101">
        <f t="shared" si="25"/>
        <v>0</v>
      </c>
      <c r="CG101">
        <f t="shared" si="25"/>
        <v>0</v>
      </c>
      <c r="CH101">
        <f t="shared" si="25"/>
        <v>0</v>
      </c>
      <c r="CI101">
        <f t="shared" si="25"/>
        <v>0</v>
      </c>
      <c r="CM101">
        <v>11</v>
      </c>
      <c r="CN101">
        <f t="shared" si="32"/>
        <v>0</v>
      </c>
      <c r="CO101">
        <f t="shared" si="26"/>
        <v>0</v>
      </c>
      <c r="CP101">
        <f t="shared" si="26"/>
        <v>0</v>
      </c>
      <c r="CQ101">
        <f t="shared" si="26"/>
        <v>0</v>
      </c>
      <c r="CR101">
        <f t="shared" si="26"/>
        <v>0</v>
      </c>
      <c r="CS101">
        <f t="shared" si="26"/>
        <v>0</v>
      </c>
      <c r="CT101">
        <f t="shared" si="26"/>
        <v>0</v>
      </c>
      <c r="CU101">
        <f t="shared" si="26"/>
        <v>0</v>
      </c>
      <c r="CV101">
        <f t="shared" si="26"/>
        <v>0</v>
      </c>
      <c r="CW101">
        <f t="shared" si="26"/>
        <v>0</v>
      </c>
      <c r="CX101">
        <f t="shared" si="26"/>
        <v>0</v>
      </c>
      <c r="CY101">
        <f t="shared" si="26"/>
        <v>0</v>
      </c>
      <c r="CZ101">
        <f t="shared" si="26"/>
        <v>0</v>
      </c>
      <c r="DA101">
        <f t="shared" si="26"/>
        <v>0</v>
      </c>
    </row>
    <row r="102" spans="1:105" x14ac:dyDescent="0.3">
      <c r="A102">
        <v>12</v>
      </c>
      <c r="B102">
        <f t="shared" si="27"/>
        <v>0</v>
      </c>
      <c r="C102">
        <f t="shared" si="21"/>
        <v>0</v>
      </c>
      <c r="D102">
        <f t="shared" si="21"/>
        <v>0</v>
      </c>
      <c r="E102">
        <f t="shared" si="21"/>
        <v>0</v>
      </c>
      <c r="F102">
        <f t="shared" si="21"/>
        <v>0</v>
      </c>
      <c r="G102">
        <f t="shared" si="21"/>
        <v>0</v>
      </c>
      <c r="H102">
        <f t="shared" si="21"/>
        <v>0</v>
      </c>
      <c r="I102">
        <f t="shared" si="21"/>
        <v>0</v>
      </c>
      <c r="J102">
        <f t="shared" si="21"/>
        <v>0</v>
      </c>
      <c r="K102">
        <f t="shared" si="21"/>
        <v>0</v>
      </c>
      <c r="L102">
        <f t="shared" si="21"/>
        <v>0</v>
      </c>
      <c r="M102">
        <f t="shared" si="21"/>
        <v>0</v>
      </c>
      <c r="N102">
        <f t="shared" si="21"/>
        <v>0</v>
      </c>
      <c r="O102">
        <f t="shared" si="21"/>
        <v>0</v>
      </c>
      <c r="S102">
        <v>12</v>
      </c>
      <c r="T102">
        <f t="shared" si="28"/>
        <v>0</v>
      </c>
      <c r="U102">
        <f t="shared" si="22"/>
        <v>0</v>
      </c>
      <c r="V102">
        <f t="shared" si="22"/>
        <v>0</v>
      </c>
      <c r="W102">
        <f t="shared" si="22"/>
        <v>0</v>
      </c>
      <c r="X102">
        <f t="shared" si="22"/>
        <v>0</v>
      </c>
      <c r="Y102">
        <f t="shared" si="22"/>
        <v>0</v>
      </c>
      <c r="Z102">
        <f t="shared" si="22"/>
        <v>0</v>
      </c>
      <c r="AA102">
        <f t="shared" si="22"/>
        <v>0</v>
      </c>
      <c r="AB102">
        <f t="shared" si="22"/>
        <v>0</v>
      </c>
      <c r="AC102">
        <f t="shared" si="22"/>
        <v>0</v>
      </c>
      <c r="AD102">
        <f t="shared" si="22"/>
        <v>0</v>
      </c>
      <c r="AE102">
        <f t="shared" si="22"/>
        <v>0</v>
      </c>
      <c r="AF102">
        <f t="shared" si="22"/>
        <v>0</v>
      </c>
      <c r="AG102">
        <f t="shared" si="22"/>
        <v>0</v>
      </c>
      <c r="AK102">
        <v>12</v>
      </c>
      <c r="AL102">
        <f t="shared" si="29"/>
        <v>0</v>
      </c>
      <c r="AM102">
        <f t="shared" si="23"/>
        <v>0</v>
      </c>
      <c r="AN102">
        <f t="shared" si="23"/>
        <v>0</v>
      </c>
      <c r="AO102">
        <f t="shared" si="23"/>
        <v>0</v>
      </c>
      <c r="AP102">
        <f t="shared" si="23"/>
        <v>0</v>
      </c>
      <c r="AQ102">
        <f t="shared" si="23"/>
        <v>0</v>
      </c>
      <c r="AR102">
        <f t="shared" si="23"/>
        <v>0</v>
      </c>
      <c r="AS102">
        <f t="shared" si="23"/>
        <v>0</v>
      </c>
      <c r="AT102">
        <f t="shared" si="23"/>
        <v>0</v>
      </c>
      <c r="AU102">
        <f t="shared" si="23"/>
        <v>0</v>
      </c>
      <c r="AV102">
        <f t="shared" si="23"/>
        <v>0</v>
      </c>
      <c r="AW102">
        <f t="shared" si="23"/>
        <v>0</v>
      </c>
      <c r="AX102">
        <f t="shared" si="23"/>
        <v>0</v>
      </c>
      <c r="AY102">
        <f t="shared" si="23"/>
        <v>0</v>
      </c>
      <c r="BC102">
        <v>12</v>
      </c>
      <c r="BD102">
        <f t="shared" si="30"/>
        <v>0</v>
      </c>
      <c r="BE102">
        <f t="shared" si="24"/>
        <v>0</v>
      </c>
      <c r="BF102">
        <f t="shared" si="24"/>
        <v>0</v>
      </c>
      <c r="BG102">
        <f t="shared" si="24"/>
        <v>0</v>
      </c>
      <c r="BH102">
        <f t="shared" si="24"/>
        <v>0</v>
      </c>
      <c r="BI102">
        <f t="shared" si="24"/>
        <v>0</v>
      </c>
      <c r="BJ102">
        <f t="shared" si="24"/>
        <v>0</v>
      </c>
      <c r="BK102">
        <f t="shared" si="24"/>
        <v>0</v>
      </c>
      <c r="BL102">
        <f t="shared" si="24"/>
        <v>0</v>
      </c>
      <c r="BM102">
        <f t="shared" si="24"/>
        <v>0</v>
      </c>
      <c r="BN102">
        <f t="shared" si="24"/>
        <v>0</v>
      </c>
      <c r="BO102">
        <f t="shared" si="24"/>
        <v>0</v>
      </c>
      <c r="BP102">
        <f t="shared" si="24"/>
        <v>0</v>
      </c>
      <c r="BQ102">
        <f t="shared" si="24"/>
        <v>0</v>
      </c>
      <c r="BU102">
        <v>12</v>
      </c>
      <c r="BV102">
        <f t="shared" si="31"/>
        <v>0</v>
      </c>
      <c r="BW102">
        <f t="shared" si="25"/>
        <v>0</v>
      </c>
      <c r="BX102">
        <f t="shared" si="25"/>
        <v>0</v>
      </c>
      <c r="BY102">
        <f t="shared" si="25"/>
        <v>0</v>
      </c>
      <c r="BZ102">
        <f t="shared" si="25"/>
        <v>0</v>
      </c>
      <c r="CA102">
        <f t="shared" si="25"/>
        <v>0</v>
      </c>
      <c r="CB102">
        <f t="shared" si="25"/>
        <v>0</v>
      </c>
      <c r="CC102">
        <f t="shared" si="25"/>
        <v>0</v>
      </c>
      <c r="CD102">
        <f t="shared" si="25"/>
        <v>0</v>
      </c>
      <c r="CE102">
        <f t="shared" si="25"/>
        <v>0</v>
      </c>
      <c r="CF102">
        <f t="shared" si="25"/>
        <v>0</v>
      </c>
      <c r="CG102">
        <f t="shared" si="25"/>
        <v>0</v>
      </c>
      <c r="CH102">
        <f t="shared" si="25"/>
        <v>0</v>
      </c>
      <c r="CI102">
        <f t="shared" si="25"/>
        <v>0</v>
      </c>
      <c r="CM102">
        <v>12</v>
      </c>
      <c r="CN102">
        <f t="shared" si="32"/>
        <v>0</v>
      </c>
      <c r="CO102">
        <f t="shared" si="26"/>
        <v>0</v>
      </c>
      <c r="CP102">
        <f t="shared" si="26"/>
        <v>0</v>
      </c>
      <c r="CQ102">
        <f t="shared" si="26"/>
        <v>0</v>
      </c>
      <c r="CR102">
        <f t="shared" si="26"/>
        <v>0</v>
      </c>
      <c r="CS102">
        <f t="shared" si="26"/>
        <v>0</v>
      </c>
      <c r="CT102">
        <f t="shared" si="26"/>
        <v>0</v>
      </c>
      <c r="CU102">
        <f t="shared" si="26"/>
        <v>0</v>
      </c>
      <c r="CV102">
        <f t="shared" si="26"/>
        <v>0</v>
      </c>
      <c r="CW102">
        <f t="shared" si="26"/>
        <v>0</v>
      </c>
      <c r="CX102">
        <f t="shared" si="26"/>
        <v>0</v>
      </c>
      <c r="CY102">
        <f t="shared" si="26"/>
        <v>0</v>
      </c>
      <c r="CZ102">
        <f t="shared" si="26"/>
        <v>0</v>
      </c>
      <c r="DA102">
        <f t="shared" si="26"/>
        <v>0</v>
      </c>
    </row>
    <row r="103" spans="1:105" x14ac:dyDescent="0.3">
      <c r="A103">
        <v>13</v>
      </c>
      <c r="B103">
        <f t="shared" si="27"/>
        <v>0</v>
      </c>
      <c r="C103">
        <f t="shared" si="21"/>
        <v>0</v>
      </c>
      <c r="D103">
        <f t="shared" si="21"/>
        <v>0</v>
      </c>
      <c r="E103">
        <f t="shared" si="21"/>
        <v>0</v>
      </c>
      <c r="F103">
        <f t="shared" si="21"/>
        <v>0</v>
      </c>
      <c r="G103">
        <f t="shared" si="21"/>
        <v>0</v>
      </c>
      <c r="H103">
        <f t="shared" si="21"/>
        <v>0</v>
      </c>
      <c r="I103">
        <f t="shared" si="21"/>
        <v>0</v>
      </c>
      <c r="J103">
        <f t="shared" si="21"/>
        <v>0</v>
      </c>
      <c r="K103">
        <f t="shared" si="21"/>
        <v>0</v>
      </c>
      <c r="L103">
        <f t="shared" si="21"/>
        <v>0</v>
      </c>
      <c r="M103">
        <f t="shared" si="21"/>
        <v>0</v>
      </c>
      <c r="N103">
        <f t="shared" si="21"/>
        <v>0</v>
      </c>
      <c r="O103">
        <f t="shared" si="21"/>
        <v>0</v>
      </c>
      <c r="S103">
        <v>13</v>
      </c>
      <c r="T103">
        <f t="shared" si="28"/>
        <v>0</v>
      </c>
      <c r="U103">
        <f t="shared" si="22"/>
        <v>0</v>
      </c>
      <c r="V103">
        <f t="shared" si="22"/>
        <v>0</v>
      </c>
      <c r="W103">
        <f t="shared" si="22"/>
        <v>0</v>
      </c>
      <c r="X103">
        <f t="shared" si="22"/>
        <v>0</v>
      </c>
      <c r="Y103">
        <f t="shared" si="22"/>
        <v>0</v>
      </c>
      <c r="Z103">
        <f t="shared" si="22"/>
        <v>0</v>
      </c>
      <c r="AA103">
        <f t="shared" si="22"/>
        <v>0</v>
      </c>
      <c r="AB103">
        <f t="shared" si="22"/>
        <v>0</v>
      </c>
      <c r="AC103">
        <f t="shared" si="22"/>
        <v>0</v>
      </c>
      <c r="AD103">
        <f t="shared" si="22"/>
        <v>0</v>
      </c>
      <c r="AE103">
        <f t="shared" si="22"/>
        <v>0</v>
      </c>
      <c r="AF103">
        <f t="shared" si="22"/>
        <v>0</v>
      </c>
      <c r="AG103">
        <f t="shared" si="22"/>
        <v>0</v>
      </c>
      <c r="AK103">
        <v>13</v>
      </c>
      <c r="AL103">
        <f t="shared" si="29"/>
        <v>0</v>
      </c>
      <c r="AM103">
        <f t="shared" si="23"/>
        <v>0</v>
      </c>
      <c r="AN103">
        <f t="shared" si="23"/>
        <v>0</v>
      </c>
      <c r="AO103">
        <f t="shared" si="23"/>
        <v>0</v>
      </c>
      <c r="AP103">
        <f t="shared" si="23"/>
        <v>0</v>
      </c>
      <c r="AQ103">
        <f t="shared" si="23"/>
        <v>0</v>
      </c>
      <c r="AR103">
        <f t="shared" si="23"/>
        <v>0</v>
      </c>
      <c r="AS103">
        <f t="shared" si="23"/>
        <v>0</v>
      </c>
      <c r="AT103">
        <f t="shared" si="23"/>
        <v>0</v>
      </c>
      <c r="AU103">
        <f t="shared" si="23"/>
        <v>0</v>
      </c>
      <c r="AV103">
        <f t="shared" si="23"/>
        <v>0</v>
      </c>
      <c r="AW103">
        <f t="shared" si="23"/>
        <v>0</v>
      </c>
      <c r="AX103">
        <f t="shared" si="23"/>
        <v>0</v>
      </c>
      <c r="AY103">
        <f t="shared" si="23"/>
        <v>0</v>
      </c>
      <c r="BC103">
        <v>13</v>
      </c>
      <c r="BD103">
        <f t="shared" si="30"/>
        <v>0</v>
      </c>
      <c r="BE103">
        <f t="shared" si="24"/>
        <v>0</v>
      </c>
      <c r="BF103">
        <f t="shared" si="24"/>
        <v>0</v>
      </c>
      <c r="BG103">
        <f t="shared" si="24"/>
        <v>0</v>
      </c>
      <c r="BH103">
        <f t="shared" si="24"/>
        <v>0</v>
      </c>
      <c r="BI103">
        <f t="shared" si="24"/>
        <v>0</v>
      </c>
      <c r="BJ103">
        <f t="shared" si="24"/>
        <v>0</v>
      </c>
      <c r="BK103">
        <f t="shared" si="24"/>
        <v>0</v>
      </c>
      <c r="BL103">
        <f t="shared" si="24"/>
        <v>0</v>
      </c>
      <c r="BM103">
        <f t="shared" si="24"/>
        <v>0</v>
      </c>
      <c r="BN103">
        <f t="shared" si="24"/>
        <v>0</v>
      </c>
      <c r="BO103">
        <f t="shared" si="24"/>
        <v>0</v>
      </c>
      <c r="BP103">
        <f t="shared" si="24"/>
        <v>0</v>
      </c>
      <c r="BQ103">
        <f t="shared" si="24"/>
        <v>0</v>
      </c>
      <c r="BU103">
        <v>13</v>
      </c>
      <c r="BV103">
        <f t="shared" si="31"/>
        <v>0</v>
      </c>
      <c r="BW103">
        <f t="shared" si="25"/>
        <v>0</v>
      </c>
      <c r="BX103">
        <f t="shared" si="25"/>
        <v>0</v>
      </c>
      <c r="BY103">
        <f t="shared" si="25"/>
        <v>0</v>
      </c>
      <c r="BZ103">
        <f t="shared" si="25"/>
        <v>0</v>
      </c>
      <c r="CA103">
        <f t="shared" si="25"/>
        <v>0</v>
      </c>
      <c r="CB103">
        <f t="shared" si="25"/>
        <v>-64.845971347493887</v>
      </c>
      <c r="CC103">
        <f t="shared" si="25"/>
        <v>129.69194269498777</v>
      </c>
      <c r="CD103">
        <f t="shared" si="25"/>
        <v>0</v>
      </c>
      <c r="CE103">
        <f t="shared" si="25"/>
        <v>0</v>
      </c>
      <c r="CF103">
        <f t="shared" si="25"/>
        <v>0</v>
      </c>
      <c r="CG103">
        <f t="shared" si="25"/>
        <v>0</v>
      </c>
      <c r="CH103">
        <f t="shared" si="25"/>
        <v>64.845971347493887</v>
      </c>
      <c r="CI103">
        <f t="shared" si="25"/>
        <v>-129.69194269498777</v>
      </c>
      <c r="CM103">
        <v>13</v>
      </c>
      <c r="CN103">
        <f t="shared" si="32"/>
        <v>0</v>
      </c>
      <c r="CO103">
        <f t="shared" si="26"/>
        <v>0</v>
      </c>
      <c r="CP103">
        <f t="shared" si="26"/>
        <v>0</v>
      </c>
      <c r="CQ103">
        <f t="shared" si="26"/>
        <v>0</v>
      </c>
      <c r="CR103">
        <f t="shared" si="26"/>
        <v>0</v>
      </c>
      <c r="CS103">
        <f t="shared" si="26"/>
        <v>0</v>
      </c>
      <c r="CT103">
        <f t="shared" si="26"/>
        <v>0</v>
      </c>
      <c r="CU103">
        <f t="shared" si="26"/>
        <v>0</v>
      </c>
      <c r="CV103">
        <f t="shared" si="26"/>
        <v>0</v>
      </c>
      <c r="CW103">
        <f t="shared" si="26"/>
        <v>0</v>
      </c>
      <c r="CX103">
        <f t="shared" si="26"/>
        <v>0</v>
      </c>
      <c r="CY103">
        <f t="shared" si="26"/>
        <v>0</v>
      </c>
      <c r="CZ103">
        <f t="shared" si="26"/>
        <v>0</v>
      </c>
      <c r="DA103">
        <f t="shared" si="26"/>
        <v>0</v>
      </c>
    </row>
    <row r="104" spans="1:105" x14ac:dyDescent="0.3">
      <c r="A104">
        <v>14</v>
      </c>
      <c r="B104">
        <f t="shared" si="27"/>
        <v>0</v>
      </c>
      <c r="C104">
        <f t="shared" si="21"/>
        <v>0</v>
      </c>
      <c r="D104">
        <f t="shared" si="21"/>
        <v>0</v>
      </c>
      <c r="E104">
        <f t="shared" si="21"/>
        <v>0</v>
      </c>
      <c r="F104">
        <f t="shared" si="21"/>
        <v>0</v>
      </c>
      <c r="G104">
        <f t="shared" si="21"/>
        <v>0</v>
      </c>
      <c r="H104">
        <f t="shared" si="21"/>
        <v>0</v>
      </c>
      <c r="I104">
        <f t="shared" si="21"/>
        <v>0</v>
      </c>
      <c r="J104">
        <f t="shared" si="21"/>
        <v>0</v>
      </c>
      <c r="K104">
        <f t="shared" si="21"/>
        <v>0</v>
      </c>
      <c r="L104">
        <f t="shared" si="21"/>
        <v>0</v>
      </c>
      <c r="M104">
        <f t="shared" si="21"/>
        <v>0</v>
      </c>
      <c r="N104">
        <f t="shared" si="21"/>
        <v>0</v>
      </c>
      <c r="O104">
        <f t="shared" si="21"/>
        <v>0</v>
      </c>
      <c r="S104">
        <v>14</v>
      </c>
      <c r="T104">
        <f t="shared" si="28"/>
        <v>0</v>
      </c>
      <c r="U104">
        <f t="shared" si="22"/>
        <v>0</v>
      </c>
      <c r="V104">
        <f t="shared" si="22"/>
        <v>0</v>
      </c>
      <c r="W104">
        <f t="shared" si="22"/>
        <v>0</v>
      </c>
      <c r="X104">
        <f t="shared" si="22"/>
        <v>0</v>
      </c>
      <c r="Y104">
        <f t="shared" si="22"/>
        <v>0</v>
      </c>
      <c r="Z104">
        <f t="shared" si="22"/>
        <v>0</v>
      </c>
      <c r="AA104">
        <f t="shared" si="22"/>
        <v>0</v>
      </c>
      <c r="AB104">
        <f t="shared" si="22"/>
        <v>0</v>
      </c>
      <c r="AC104">
        <f t="shared" si="22"/>
        <v>0</v>
      </c>
      <c r="AD104">
        <f t="shared" si="22"/>
        <v>0</v>
      </c>
      <c r="AE104">
        <f t="shared" si="22"/>
        <v>0</v>
      </c>
      <c r="AF104">
        <f t="shared" si="22"/>
        <v>0</v>
      </c>
      <c r="AG104">
        <f t="shared" si="22"/>
        <v>0</v>
      </c>
      <c r="AK104">
        <v>14</v>
      </c>
      <c r="AL104">
        <f t="shared" si="29"/>
        <v>0</v>
      </c>
      <c r="AM104">
        <f t="shared" si="23"/>
        <v>0</v>
      </c>
      <c r="AN104">
        <f t="shared" si="23"/>
        <v>0</v>
      </c>
      <c r="AO104">
        <f t="shared" si="23"/>
        <v>0</v>
      </c>
      <c r="AP104">
        <f t="shared" si="23"/>
        <v>0</v>
      </c>
      <c r="AQ104">
        <f t="shared" si="23"/>
        <v>0</v>
      </c>
      <c r="AR104">
        <f t="shared" si="23"/>
        <v>0</v>
      </c>
      <c r="AS104">
        <f t="shared" si="23"/>
        <v>0</v>
      </c>
      <c r="AT104">
        <f t="shared" si="23"/>
        <v>0</v>
      </c>
      <c r="AU104">
        <f t="shared" si="23"/>
        <v>0</v>
      </c>
      <c r="AV104">
        <f t="shared" si="23"/>
        <v>0</v>
      </c>
      <c r="AW104">
        <f t="shared" si="23"/>
        <v>0</v>
      </c>
      <c r="AX104">
        <f t="shared" si="23"/>
        <v>0</v>
      </c>
      <c r="AY104">
        <f t="shared" si="23"/>
        <v>0</v>
      </c>
      <c r="BC104">
        <v>14</v>
      </c>
      <c r="BD104">
        <f t="shared" si="30"/>
        <v>0</v>
      </c>
      <c r="BE104">
        <f t="shared" si="24"/>
        <v>0</v>
      </c>
      <c r="BF104">
        <f t="shared" si="24"/>
        <v>0</v>
      </c>
      <c r="BG104">
        <f t="shared" si="24"/>
        <v>0</v>
      </c>
      <c r="BH104">
        <f t="shared" si="24"/>
        <v>0</v>
      </c>
      <c r="BI104">
        <f t="shared" si="24"/>
        <v>0</v>
      </c>
      <c r="BJ104">
        <f t="shared" si="24"/>
        <v>0</v>
      </c>
      <c r="BK104">
        <f t="shared" si="24"/>
        <v>0</v>
      </c>
      <c r="BL104">
        <f t="shared" si="24"/>
        <v>0</v>
      </c>
      <c r="BM104">
        <f t="shared" si="24"/>
        <v>0</v>
      </c>
      <c r="BN104">
        <f t="shared" si="24"/>
        <v>0</v>
      </c>
      <c r="BO104">
        <f t="shared" si="24"/>
        <v>0</v>
      </c>
      <c r="BP104">
        <f t="shared" si="24"/>
        <v>0</v>
      </c>
      <c r="BQ104">
        <f t="shared" si="24"/>
        <v>0</v>
      </c>
      <c r="BU104">
        <v>14</v>
      </c>
      <c r="BV104">
        <f t="shared" si="31"/>
        <v>0</v>
      </c>
      <c r="BW104">
        <f t="shared" si="25"/>
        <v>0</v>
      </c>
      <c r="BX104">
        <f t="shared" si="25"/>
        <v>0</v>
      </c>
      <c r="BY104">
        <f t="shared" si="25"/>
        <v>0</v>
      </c>
      <c r="BZ104">
        <f t="shared" si="25"/>
        <v>0</v>
      </c>
      <c r="CA104">
        <f t="shared" si="25"/>
        <v>0</v>
      </c>
      <c r="CB104">
        <f t="shared" si="25"/>
        <v>129.69194269498777</v>
      </c>
      <c r="CC104">
        <f t="shared" si="25"/>
        <v>-259.38388538997555</v>
      </c>
      <c r="CD104">
        <f t="shared" si="25"/>
        <v>0</v>
      </c>
      <c r="CE104">
        <f t="shared" si="25"/>
        <v>0</v>
      </c>
      <c r="CF104">
        <f t="shared" si="25"/>
        <v>0</v>
      </c>
      <c r="CG104">
        <f t="shared" si="25"/>
        <v>0</v>
      </c>
      <c r="CH104">
        <f t="shared" si="25"/>
        <v>-129.69194269498777</v>
      </c>
      <c r="CI104">
        <f t="shared" si="25"/>
        <v>259.38388538997555</v>
      </c>
      <c r="CM104">
        <v>14</v>
      </c>
      <c r="CN104">
        <f t="shared" si="32"/>
        <v>0</v>
      </c>
      <c r="CO104">
        <f t="shared" si="26"/>
        <v>0</v>
      </c>
      <c r="CP104">
        <f t="shared" si="26"/>
        <v>0</v>
      </c>
      <c r="CQ104">
        <f t="shared" si="26"/>
        <v>0</v>
      </c>
      <c r="CR104">
        <f t="shared" si="26"/>
        <v>0</v>
      </c>
      <c r="CS104">
        <f t="shared" si="26"/>
        <v>0</v>
      </c>
      <c r="CT104">
        <f t="shared" si="26"/>
        <v>0</v>
      </c>
      <c r="CU104">
        <f t="shared" si="26"/>
        <v>0</v>
      </c>
      <c r="CV104">
        <f t="shared" si="26"/>
        <v>0</v>
      </c>
      <c r="CW104">
        <f t="shared" si="26"/>
        <v>-226.5625</v>
      </c>
      <c r="CX104">
        <f t="shared" si="26"/>
        <v>0</v>
      </c>
      <c r="CY104">
        <f t="shared" si="26"/>
        <v>0</v>
      </c>
      <c r="CZ104">
        <f t="shared" si="26"/>
        <v>0</v>
      </c>
      <c r="DA104">
        <f t="shared" si="26"/>
        <v>226.5625</v>
      </c>
    </row>
    <row r="113" spans="1:15" x14ac:dyDescent="0.3">
      <c r="A113" s="30" t="s">
        <v>13</v>
      </c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</row>
    <row r="114" spans="1:15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x14ac:dyDescent="0.3">
      <c r="A115" s="5" t="s">
        <v>12</v>
      </c>
      <c r="B115" s="6">
        <v>1</v>
      </c>
      <c r="C115" s="6">
        <v>2</v>
      </c>
      <c r="D115" s="6">
        <v>3</v>
      </c>
      <c r="E115" s="6">
        <v>4</v>
      </c>
      <c r="F115" s="6">
        <v>5</v>
      </c>
      <c r="G115" s="6">
        <v>6</v>
      </c>
      <c r="H115" s="6">
        <v>7</v>
      </c>
      <c r="I115" s="6">
        <v>8</v>
      </c>
      <c r="J115" s="6">
        <v>9</v>
      </c>
      <c r="K115" s="6">
        <v>10</v>
      </c>
      <c r="L115" s="6">
        <v>11</v>
      </c>
      <c r="M115" s="6">
        <v>12</v>
      </c>
      <c r="N115" s="6">
        <v>13</v>
      </c>
      <c r="O115" s="6">
        <v>14</v>
      </c>
    </row>
    <row r="116" spans="1:15" x14ac:dyDescent="0.3">
      <c r="A116" s="5">
        <f t="array" ref="A116:A129">TRANSPOSE(B115:O115)</f>
        <v>1</v>
      </c>
      <c r="B116" s="7">
        <f t="array" ref="B116:O129">+B39:O52+T39:AG52+AL39:AY52+BD39:BQ52+BV39:CI52+B91:O104+T91:AG104+AL91:AY104+BD91:BQ104+BV91:CI104+CN91:DA104</f>
        <v>682.41066800513033</v>
      </c>
      <c r="C116">
        <v>31.121415017804424</v>
      </c>
      <c r="D116">
        <v>-190.21872531014262</v>
      </c>
      <c r="E116">
        <v>228.26247037217112</v>
      </c>
      <c r="F116">
        <v>-64.845971347493887</v>
      </c>
      <c r="G116">
        <v>-129.69194269498777</v>
      </c>
      <c r="H116">
        <v>-362.5</v>
      </c>
      <c r="I116">
        <v>0</v>
      </c>
      <c r="J116">
        <v>0</v>
      </c>
      <c r="K116">
        <v>0</v>
      </c>
      <c r="L116">
        <v>-64.845971347493887</v>
      </c>
      <c r="M116">
        <v>-129.69194269498777</v>
      </c>
      <c r="N116">
        <v>0</v>
      </c>
      <c r="O116">
        <v>0</v>
      </c>
    </row>
    <row r="117" spans="1:15" x14ac:dyDescent="0.3">
      <c r="A117" s="5">
        <v>2</v>
      </c>
      <c r="B117">
        <v>31.121415017804424</v>
      </c>
      <c r="C117" s="7">
        <v>792.68273522655636</v>
      </c>
      <c r="D117">
        <v>228.26247037217112</v>
      </c>
      <c r="E117">
        <v>-273.91496444660532</v>
      </c>
      <c r="F117">
        <v>-129.69194269498777</v>
      </c>
      <c r="G117">
        <v>-259.38388538997555</v>
      </c>
      <c r="H117">
        <v>0</v>
      </c>
      <c r="I117">
        <v>0</v>
      </c>
      <c r="J117">
        <v>0</v>
      </c>
      <c r="K117">
        <v>0</v>
      </c>
      <c r="L117">
        <v>-129.69194269498777</v>
      </c>
      <c r="M117">
        <v>-259.38388538997555</v>
      </c>
      <c r="N117">
        <v>0</v>
      </c>
      <c r="O117">
        <v>0</v>
      </c>
    </row>
    <row r="118" spans="1:15" x14ac:dyDescent="0.3">
      <c r="A118" s="5">
        <v>3</v>
      </c>
      <c r="B118">
        <v>-190.21872531014262</v>
      </c>
      <c r="C118">
        <v>228.26247037217112</v>
      </c>
      <c r="D118" s="7">
        <v>480.36769121178622</v>
      </c>
      <c r="E118">
        <v>-112.20288401151369</v>
      </c>
      <c r="F118">
        <v>-290.14896590164363</v>
      </c>
      <c r="G118">
        <v>-116.05958636065743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3">
      <c r="A119" s="5">
        <v>4</v>
      </c>
      <c r="B119">
        <v>228.26247037217112</v>
      </c>
      <c r="C119">
        <v>-273.91496444660532</v>
      </c>
      <c r="D119">
        <v>-112.20288401151369</v>
      </c>
      <c r="E119" s="7">
        <v>546.90129899086833</v>
      </c>
      <c r="F119">
        <v>-116.05958636065743</v>
      </c>
      <c r="G119">
        <v>-46.423834544262967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-226.5625</v>
      </c>
      <c r="N119">
        <v>0</v>
      </c>
      <c r="O119">
        <v>0</v>
      </c>
    </row>
    <row r="120" spans="1:15" x14ac:dyDescent="0.3">
      <c r="A120" s="5">
        <v>5</v>
      </c>
      <c r="B120">
        <v>-64.845971347493887</v>
      </c>
      <c r="C120">
        <v>-129.69194269498777</v>
      </c>
      <c r="D120">
        <v>-290.14896590164363</v>
      </c>
      <c r="E120">
        <v>-116.05958636065743</v>
      </c>
      <c r="F120" s="7">
        <v>709.98987449827507</v>
      </c>
      <c r="G120">
        <v>1.4210854715202004E-14</v>
      </c>
      <c r="H120">
        <v>-64.845971347493887</v>
      </c>
      <c r="I120">
        <v>129.69194269498777</v>
      </c>
      <c r="J120">
        <v>-290.14896590164363</v>
      </c>
      <c r="K120">
        <v>116.05958636065743</v>
      </c>
      <c r="L120">
        <v>0</v>
      </c>
      <c r="M120">
        <v>0</v>
      </c>
      <c r="N120">
        <v>0</v>
      </c>
      <c r="O120">
        <v>0</v>
      </c>
    </row>
    <row r="121" spans="1:15" x14ac:dyDescent="0.3">
      <c r="A121" s="5">
        <v>6</v>
      </c>
      <c r="B121">
        <v>-129.69194269498777</v>
      </c>
      <c r="C121">
        <v>-259.38388538997555</v>
      </c>
      <c r="D121">
        <v>-116.05958636065743</v>
      </c>
      <c r="E121">
        <v>-46.423834544262967</v>
      </c>
      <c r="F121">
        <v>1.4210854715202004E-14</v>
      </c>
      <c r="G121" s="7">
        <v>611.61543986847698</v>
      </c>
      <c r="H121">
        <v>129.69194269498777</v>
      </c>
      <c r="I121">
        <v>-259.38388538997555</v>
      </c>
      <c r="J121">
        <v>116.05958636065743</v>
      </c>
      <c r="K121">
        <v>-46.423834544262967</v>
      </c>
      <c r="L121">
        <v>0</v>
      </c>
      <c r="M121">
        <v>0</v>
      </c>
      <c r="N121">
        <v>0</v>
      </c>
      <c r="O121">
        <v>0</v>
      </c>
    </row>
    <row r="122" spans="1:15" x14ac:dyDescent="0.3">
      <c r="A122" s="5">
        <v>7</v>
      </c>
      <c r="B122">
        <v>-362.5</v>
      </c>
      <c r="C122">
        <v>0</v>
      </c>
      <c r="D122">
        <v>0</v>
      </c>
      <c r="E122">
        <v>0</v>
      </c>
      <c r="F122">
        <v>-64.845971347493887</v>
      </c>
      <c r="G122">
        <v>129.69194269498777</v>
      </c>
      <c r="H122" s="7">
        <v>682.41066800513045</v>
      </c>
      <c r="I122">
        <v>-31.121415017804424</v>
      </c>
      <c r="J122">
        <v>-190.21872531014262</v>
      </c>
      <c r="K122">
        <v>-228.26247037217112</v>
      </c>
      <c r="L122">
        <v>0</v>
      </c>
      <c r="M122">
        <v>0</v>
      </c>
      <c r="N122">
        <v>-64.845971347493887</v>
      </c>
      <c r="O122">
        <v>129.69194269498777</v>
      </c>
    </row>
    <row r="123" spans="1:15" x14ac:dyDescent="0.3">
      <c r="A123" s="5">
        <v>8</v>
      </c>
      <c r="B123">
        <v>0</v>
      </c>
      <c r="C123">
        <v>0</v>
      </c>
      <c r="D123">
        <v>0</v>
      </c>
      <c r="E123">
        <v>0</v>
      </c>
      <c r="F123">
        <v>129.69194269498777</v>
      </c>
      <c r="G123">
        <v>-259.38388538997555</v>
      </c>
      <c r="H123">
        <v>-31.121415017804424</v>
      </c>
      <c r="I123" s="7">
        <v>792.68273522655636</v>
      </c>
      <c r="J123">
        <v>-228.26247037217112</v>
      </c>
      <c r="K123">
        <v>-273.91496444660532</v>
      </c>
      <c r="L123">
        <v>0</v>
      </c>
      <c r="M123">
        <v>0</v>
      </c>
      <c r="N123">
        <v>129.69194269498777</v>
      </c>
      <c r="O123">
        <v>-259.38388538997555</v>
      </c>
    </row>
    <row r="124" spans="1:15" x14ac:dyDescent="0.3">
      <c r="A124" s="5">
        <v>9</v>
      </c>
      <c r="B124">
        <v>0</v>
      </c>
      <c r="C124">
        <v>0</v>
      </c>
      <c r="D124">
        <v>0</v>
      </c>
      <c r="E124">
        <v>0</v>
      </c>
      <c r="F124">
        <v>-290.14896590164363</v>
      </c>
      <c r="G124">
        <v>116.05958636065743</v>
      </c>
      <c r="H124">
        <v>-190.21872531014262</v>
      </c>
      <c r="I124">
        <v>-228.26247037217112</v>
      </c>
      <c r="J124" s="7">
        <v>480.36769121178622</v>
      </c>
      <c r="K124">
        <v>112.20288401151369</v>
      </c>
      <c r="L124">
        <v>0</v>
      </c>
      <c r="M124">
        <v>0</v>
      </c>
      <c r="N124">
        <v>0</v>
      </c>
      <c r="O124">
        <v>0</v>
      </c>
    </row>
    <row r="125" spans="1:15" x14ac:dyDescent="0.3">
      <c r="A125" s="5">
        <v>10</v>
      </c>
      <c r="B125">
        <v>0</v>
      </c>
      <c r="C125">
        <v>0</v>
      </c>
      <c r="D125">
        <v>0</v>
      </c>
      <c r="E125">
        <v>0</v>
      </c>
      <c r="F125">
        <v>116.05958636065743</v>
      </c>
      <c r="G125">
        <v>-46.423834544262967</v>
      </c>
      <c r="H125">
        <v>-228.26247037217112</v>
      </c>
      <c r="I125">
        <v>-273.91496444660532</v>
      </c>
      <c r="J125">
        <v>112.20288401151369</v>
      </c>
      <c r="K125" s="7">
        <v>546.90129899086833</v>
      </c>
      <c r="L125">
        <v>0</v>
      </c>
      <c r="M125">
        <v>0</v>
      </c>
      <c r="N125">
        <v>0</v>
      </c>
      <c r="O125">
        <v>-226.5625</v>
      </c>
    </row>
    <row r="126" spans="1:15" x14ac:dyDescent="0.3">
      <c r="A126" s="5">
        <v>11</v>
      </c>
      <c r="B126">
        <v>-64.845971347493887</v>
      </c>
      <c r="C126">
        <v>-129.69194269498777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7">
        <v>64.845971347493887</v>
      </c>
      <c r="M126">
        <v>129.69194269498777</v>
      </c>
      <c r="N126">
        <v>0</v>
      </c>
      <c r="O126">
        <v>0</v>
      </c>
    </row>
    <row r="127" spans="1:15" x14ac:dyDescent="0.3">
      <c r="A127" s="5">
        <v>12</v>
      </c>
      <c r="B127">
        <v>-129.69194269498777</v>
      </c>
      <c r="C127">
        <v>-259.38388538997555</v>
      </c>
      <c r="D127">
        <v>0</v>
      </c>
      <c r="E127">
        <v>-226.5625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129.69194269498777</v>
      </c>
      <c r="M127" s="7">
        <v>485.94638538997555</v>
      </c>
      <c r="N127">
        <v>0</v>
      </c>
      <c r="O127">
        <v>0</v>
      </c>
    </row>
    <row r="128" spans="1:15" x14ac:dyDescent="0.3">
      <c r="A128" s="5">
        <v>13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-64.845971347493887</v>
      </c>
      <c r="I128">
        <v>129.69194269498777</v>
      </c>
      <c r="J128">
        <v>0</v>
      </c>
      <c r="K128">
        <v>0</v>
      </c>
      <c r="L128">
        <v>0</v>
      </c>
      <c r="M128">
        <v>0</v>
      </c>
      <c r="N128" s="7">
        <v>64.845971347493887</v>
      </c>
      <c r="O128">
        <v>-129.69194269498777</v>
      </c>
    </row>
    <row r="129" spans="1:17" x14ac:dyDescent="0.3">
      <c r="A129" s="5">
        <v>14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129.69194269498777</v>
      </c>
      <c r="I129">
        <v>-259.38388538997555</v>
      </c>
      <c r="J129">
        <v>0</v>
      </c>
      <c r="K129">
        <v>-226.5625</v>
      </c>
      <c r="L129">
        <v>0</v>
      </c>
      <c r="M129">
        <v>0</v>
      </c>
      <c r="N129">
        <v>-129.69194269498777</v>
      </c>
      <c r="O129" s="7">
        <v>485.94638538997555</v>
      </c>
    </row>
    <row r="133" spans="1:17" x14ac:dyDescent="0.3">
      <c r="A133" s="30" t="s">
        <v>14</v>
      </c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17"/>
    </row>
    <row r="135" spans="1:17" x14ac:dyDescent="0.3">
      <c r="A135" s="8" t="s">
        <v>15</v>
      </c>
      <c r="B135" s="8" t="s">
        <v>16</v>
      </c>
      <c r="C135" s="32" t="s">
        <v>32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9" t="s">
        <v>21</v>
      </c>
    </row>
    <row r="136" spans="1:17" x14ac:dyDescent="0.3">
      <c r="A136" s="3">
        <v>1</v>
      </c>
      <c r="B136" s="3">
        <v>0</v>
      </c>
      <c r="C136" s="10">
        <f t="array" ref="C136:P149">+B116:O129</f>
        <v>682.41066800513033</v>
      </c>
      <c r="D136" s="10">
        <v>31.121415017804424</v>
      </c>
      <c r="E136" s="10">
        <v>-190.21872531014262</v>
      </c>
      <c r="F136" s="10">
        <v>228.26247037217112</v>
      </c>
      <c r="G136" s="10">
        <v>-64.845971347493887</v>
      </c>
      <c r="H136" s="10">
        <v>-129.69194269498777</v>
      </c>
      <c r="I136" s="10">
        <v>-362.5</v>
      </c>
      <c r="J136" s="10">
        <v>0</v>
      </c>
      <c r="K136" s="10">
        <v>0</v>
      </c>
      <c r="L136" s="10">
        <v>0</v>
      </c>
      <c r="M136" s="11">
        <v>-64.845971347493887</v>
      </c>
      <c r="N136" s="11">
        <v>-129.69194269498777</v>
      </c>
      <c r="O136" s="11">
        <v>0</v>
      </c>
      <c r="P136" s="11">
        <v>0</v>
      </c>
      <c r="Q136" s="4" t="s">
        <v>22</v>
      </c>
    </row>
    <row r="137" spans="1:17" x14ac:dyDescent="0.3">
      <c r="A137" s="3">
        <v>2</v>
      </c>
      <c r="B137" s="3">
        <v>0</v>
      </c>
      <c r="C137" s="10">
        <v>31.121415017804424</v>
      </c>
      <c r="D137" s="10">
        <v>792.68273522655636</v>
      </c>
      <c r="E137" s="10">
        <v>228.26247037217112</v>
      </c>
      <c r="F137" s="10">
        <v>-273.91496444660532</v>
      </c>
      <c r="G137" s="10">
        <v>-129.69194269498777</v>
      </c>
      <c r="H137" s="10">
        <v>-259.38388538997555</v>
      </c>
      <c r="I137" s="10">
        <v>0</v>
      </c>
      <c r="J137" s="10">
        <v>0</v>
      </c>
      <c r="K137" s="10">
        <v>0</v>
      </c>
      <c r="L137" s="10">
        <v>0</v>
      </c>
      <c r="M137" s="11">
        <v>-129.69194269498777</v>
      </c>
      <c r="N137" s="11">
        <v>-259.38388538997555</v>
      </c>
      <c r="O137" s="11">
        <v>0</v>
      </c>
      <c r="P137" s="11">
        <v>0</v>
      </c>
      <c r="Q137" s="4" t="s">
        <v>23</v>
      </c>
    </row>
    <row r="138" spans="1:17" x14ac:dyDescent="0.3">
      <c r="A138" s="3">
        <v>3</v>
      </c>
      <c r="B138" s="3">
        <v>15</v>
      </c>
      <c r="C138" s="10">
        <v>-190.21872531014262</v>
      </c>
      <c r="D138" s="10">
        <v>228.26247037217112</v>
      </c>
      <c r="E138" s="10">
        <v>480.36769121178622</v>
      </c>
      <c r="F138" s="10">
        <v>-112.20288401151369</v>
      </c>
      <c r="G138" s="10">
        <v>-290.14896590164363</v>
      </c>
      <c r="H138" s="10">
        <v>-116.05958636065743</v>
      </c>
      <c r="I138" s="10">
        <v>0</v>
      </c>
      <c r="J138" s="10">
        <v>0</v>
      </c>
      <c r="K138" s="10">
        <v>0</v>
      </c>
      <c r="L138" s="10">
        <v>0</v>
      </c>
      <c r="M138" s="11">
        <v>0</v>
      </c>
      <c r="N138" s="11">
        <v>0</v>
      </c>
      <c r="O138" s="11">
        <v>0</v>
      </c>
      <c r="P138" s="11">
        <v>0</v>
      </c>
      <c r="Q138" s="4" t="s">
        <v>24</v>
      </c>
    </row>
    <row r="139" spans="1:17" x14ac:dyDescent="0.3">
      <c r="A139" s="3">
        <v>4</v>
      </c>
      <c r="B139" s="3">
        <v>0</v>
      </c>
      <c r="C139" s="10">
        <v>228.26247037217112</v>
      </c>
      <c r="D139" s="10">
        <v>-273.91496444660532</v>
      </c>
      <c r="E139" s="10">
        <v>-112.20288401151369</v>
      </c>
      <c r="F139" s="10">
        <v>546.90129899086833</v>
      </c>
      <c r="G139" s="10">
        <v>-116.05958636065743</v>
      </c>
      <c r="H139" s="10">
        <v>-46.423834544262967</v>
      </c>
      <c r="I139" s="10">
        <v>0</v>
      </c>
      <c r="J139" s="10">
        <v>0</v>
      </c>
      <c r="K139" s="10">
        <v>0</v>
      </c>
      <c r="L139" s="10">
        <v>0</v>
      </c>
      <c r="M139" s="11">
        <v>0</v>
      </c>
      <c r="N139" s="11">
        <v>-226.5625</v>
      </c>
      <c r="O139" s="11">
        <v>0</v>
      </c>
      <c r="P139" s="11">
        <v>0</v>
      </c>
      <c r="Q139" s="4" t="s">
        <v>25</v>
      </c>
    </row>
    <row r="140" spans="1:17" x14ac:dyDescent="0.3">
      <c r="A140" s="3">
        <v>5</v>
      </c>
      <c r="B140" s="3">
        <v>0</v>
      </c>
      <c r="C140" s="10">
        <v>-64.845971347493887</v>
      </c>
      <c r="D140" s="10">
        <v>-129.69194269498777</v>
      </c>
      <c r="E140" s="10">
        <v>-290.14896590164363</v>
      </c>
      <c r="F140" s="10">
        <v>-116.05958636065743</v>
      </c>
      <c r="G140" s="10">
        <v>709.98987449827507</v>
      </c>
      <c r="H140" s="10">
        <v>1.4210854715202004E-14</v>
      </c>
      <c r="I140" s="10">
        <v>-64.845971347493887</v>
      </c>
      <c r="J140" s="10">
        <v>129.69194269498777</v>
      </c>
      <c r="K140" s="10">
        <v>-290.14896590164363</v>
      </c>
      <c r="L140" s="10">
        <v>116.05958636065743</v>
      </c>
      <c r="M140" s="11">
        <v>0</v>
      </c>
      <c r="N140" s="11">
        <v>0</v>
      </c>
      <c r="O140" s="11">
        <v>0</v>
      </c>
      <c r="P140" s="11">
        <v>0</v>
      </c>
      <c r="Q140" s="4" t="s">
        <v>26</v>
      </c>
    </row>
    <row r="141" spans="1:17" x14ac:dyDescent="0.3">
      <c r="A141" s="3">
        <v>6</v>
      </c>
      <c r="B141" s="3">
        <v>0</v>
      </c>
      <c r="C141" s="10">
        <v>-129.69194269498777</v>
      </c>
      <c r="D141" s="10">
        <v>-259.38388538997555</v>
      </c>
      <c r="E141" s="10">
        <v>-116.05958636065743</v>
      </c>
      <c r="F141" s="10">
        <v>-46.423834544262967</v>
      </c>
      <c r="G141" s="10">
        <v>1.4210854715202004E-14</v>
      </c>
      <c r="H141" s="10">
        <v>611.61543986847698</v>
      </c>
      <c r="I141" s="10">
        <v>129.69194269498777</v>
      </c>
      <c r="J141" s="10">
        <v>-259.38388538997555</v>
      </c>
      <c r="K141" s="10">
        <v>116.05958636065743</v>
      </c>
      <c r="L141" s="10">
        <v>-46.423834544262967</v>
      </c>
      <c r="M141" s="11">
        <v>0</v>
      </c>
      <c r="N141" s="11">
        <v>0</v>
      </c>
      <c r="O141" s="11">
        <v>0</v>
      </c>
      <c r="P141" s="11">
        <v>0</v>
      </c>
      <c r="Q141" s="4" t="s">
        <v>27</v>
      </c>
    </row>
    <row r="142" spans="1:17" x14ac:dyDescent="0.3">
      <c r="A142" s="3">
        <v>7</v>
      </c>
      <c r="B142" s="3">
        <f>+S137</f>
        <v>0</v>
      </c>
      <c r="C142" s="10">
        <v>-362.5</v>
      </c>
      <c r="D142" s="10">
        <v>0</v>
      </c>
      <c r="E142" s="10">
        <v>0</v>
      </c>
      <c r="F142" s="10">
        <v>0</v>
      </c>
      <c r="G142" s="10">
        <v>-64.845971347493887</v>
      </c>
      <c r="H142" s="10">
        <v>129.69194269498777</v>
      </c>
      <c r="I142" s="10">
        <v>682.41066800513045</v>
      </c>
      <c r="J142" s="10">
        <v>-31.121415017804424</v>
      </c>
      <c r="K142" s="10">
        <v>-190.21872531014262</v>
      </c>
      <c r="L142" s="10">
        <v>-228.26247037217112</v>
      </c>
      <c r="M142" s="11">
        <v>0</v>
      </c>
      <c r="N142" s="11">
        <v>0</v>
      </c>
      <c r="O142" s="11">
        <v>-64.845971347493887</v>
      </c>
      <c r="P142" s="11">
        <v>129.69194269498777</v>
      </c>
      <c r="Q142" s="4" t="s">
        <v>28</v>
      </c>
    </row>
    <row r="143" spans="1:17" x14ac:dyDescent="0.3">
      <c r="A143" s="3">
        <v>8</v>
      </c>
      <c r="B143" s="3">
        <v>-40</v>
      </c>
      <c r="C143" s="10">
        <v>0</v>
      </c>
      <c r="D143" s="10">
        <v>0</v>
      </c>
      <c r="E143" s="10">
        <v>0</v>
      </c>
      <c r="F143" s="10">
        <v>0</v>
      </c>
      <c r="G143" s="10">
        <v>129.69194269498777</v>
      </c>
      <c r="H143" s="10">
        <v>-259.38388538997555</v>
      </c>
      <c r="I143" s="10">
        <v>-31.121415017804424</v>
      </c>
      <c r="J143" s="10">
        <v>792.68273522655636</v>
      </c>
      <c r="K143" s="10">
        <v>-228.26247037217112</v>
      </c>
      <c r="L143" s="10">
        <v>-273.91496444660532</v>
      </c>
      <c r="M143" s="11">
        <v>0</v>
      </c>
      <c r="N143" s="11">
        <v>0</v>
      </c>
      <c r="O143" s="11">
        <v>129.69194269498777</v>
      </c>
      <c r="P143" s="11">
        <v>-259.38388538997555</v>
      </c>
      <c r="Q143" s="4" t="s">
        <v>29</v>
      </c>
    </row>
    <row r="144" spans="1:17" x14ac:dyDescent="0.3">
      <c r="A144" s="3">
        <v>9</v>
      </c>
      <c r="B144" s="3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-290.14896590164363</v>
      </c>
      <c r="H144" s="10">
        <v>116.05958636065743</v>
      </c>
      <c r="I144" s="10">
        <v>-190.21872531014262</v>
      </c>
      <c r="J144" s="10">
        <v>-228.26247037217112</v>
      </c>
      <c r="K144" s="10">
        <v>480.36769121178622</v>
      </c>
      <c r="L144" s="10">
        <v>112.20288401151369</v>
      </c>
      <c r="M144" s="11">
        <v>0</v>
      </c>
      <c r="N144" s="11">
        <v>0</v>
      </c>
      <c r="O144" s="11">
        <v>0</v>
      </c>
      <c r="P144" s="11">
        <v>0</v>
      </c>
      <c r="Q144" s="4" t="s">
        <v>30</v>
      </c>
    </row>
    <row r="145" spans="1:17" x14ac:dyDescent="0.3">
      <c r="A145" s="3">
        <v>10</v>
      </c>
      <c r="B145" s="3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116.05958636065743</v>
      </c>
      <c r="H145" s="10">
        <v>-46.423834544262967</v>
      </c>
      <c r="I145" s="10">
        <v>-228.26247037217112</v>
      </c>
      <c r="J145" s="10">
        <v>-273.91496444660532</v>
      </c>
      <c r="K145" s="10">
        <v>112.20288401151369</v>
      </c>
      <c r="L145" s="10">
        <v>546.90129899086833</v>
      </c>
      <c r="M145" s="11">
        <v>0</v>
      </c>
      <c r="N145" s="11">
        <v>0</v>
      </c>
      <c r="O145" s="11">
        <v>0</v>
      </c>
      <c r="P145" s="11">
        <v>-226.5625</v>
      </c>
      <c r="Q145" s="4" t="s">
        <v>31</v>
      </c>
    </row>
    <row r="146" spans="1:17" x14ac:dyDescent="0.3">
      <c r="A146" s="3">
        <v>11</v>
      </c>
      <c r="B146" s="2">
        <v>11</v>
      </c>
      <c r="C146" s="7">
        <v>-64.845971347493887</v>
      </c>
      <c r="D146" s="7">
        <v>-129.69194269498777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12">
        <v>64.845971347493887</v>
      </c>
      <c r="N146" s="12">
        <v>129.69194269498777</v>
      </c>
      <c r="O146" s="12">
        <v>0</v>
      </c>
      <c r="P146" s="12">
        <v>0</v>
      </c>
      <c r="Q146" s="3">
        <v>0</v>
      </c>
    </row>
    <row r="147" spans="1:17" x14ac:dyDescent="0.3">
      <c r="A147" s="3">
        <v>12</v>
      </c>
      <c r="B147" s="2">
        <v>12</v>
      </c>
      <c r="C147" s="7">
        <v>-129.69194269498777</v>
      </c>
      <c r="D147" s="7">
        <v>-259.38388538997555</v>
      </c>
      <c r="E147" s="7">
        <v>0</v>
      </c>
      <c r="F147" s="7">
        <v>-226.5625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12">
        <v>129.69194269498777</v>
      </c>
      <c r="N147" s="12">
        <v>485.94638538997555</v>
      </c>
      <c r="O147" s="12">
        <v>0</v>
      </c>
      <c r="P147" s="12">
        <v>0</v>
      </c>
      <c r="Q147" s="3">
        <v>0</v>
      </c>
    </row>
    <row r="148" spans="1:17" x14ac:dyDescent="0.3">
      <c r="A148" s="3">
        <v>13</v>
      </c>
      <c r="B148" s="2">
        <v>13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-64.845971347493887</v>
      </c>
      <c r="J148" s="7">
        <v>129.69194269498777</v>
      </c>
      <c r="K148" s="7">
        <v>0</v>
      </c>
      <c r="L148" s="7">
        <v>0</v>
      </c>
      <c r="M148" s="12">
        <v>0</v>
      </c>
      <c r="N148" s="12">
        <v>0</v>
      </c>
      <c r="O148" s="12">
        <v>64.845971347493887</v>
      </c>
      <c r="P148" s="12">
        <v>-129.69194269498777</v>
      </c>
      <c r="Q148" s="3">
        <v>0</v>
      </c>
    </row>
    <row r="149" spans="1:17" x14ac:dyDescent="0.3">
      <c r="A149" s="3">
        <v>14</v>
      </c>
      <c r="B149" s="2">
        <v>14</v>
      </c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129.69194269498777</v>
      </c>
      <c r="J149" s="7">
        <v>-259.38388538997555</v>
      </c>
      <c r="K149" s="7">
        <v>0</v>
      </c>
      <c r="L149" s="7">
        <v>-226.5625</v>
      </c>
      <c r="M149" s="12">
        <v>0</v>
      </c>
      <c r="N149" s="12">
        <v>0</v>
      </c>
      <c r="O149" s="12">
        <v>-129.69194269498777</v>
      </c>
      <c r="P149" s="12">
        <v>485.94638538997555</v>
      </c>
      <c r="Q149" s="3">
        <v>0</v>
      </c>
    </row>
    <row r="154" spans="1:17" x14ac:dyDescent="0.3">
      <c r="B154" s="30" t="s">
        <v>33</v>
      </c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</row>
    <row r="156" spans="1:17" x14ac:dyDescent="0.3">
      <c r="B156" s="9" t="s">
        <v>21</v>
      </c>
      <c r="C156" t="s">
        <v>66</v>
      </c>
      <c r="D156" t="s">
        <v>34</v>
      </c>
      <c r="E156" s="33" t="s">
        <v>35</v>
      </c>
      <c r="F156" s="33"/>
      <c r="G156" s="33"/>
      <c r="H156" s="33"/>
      <c r="I156" s="33"/>
      <c r="J156" s="33"/>
      <c r="K156" s="33"/>
      <c r="L156" s="33"/>
      <c r="M156" s="33"/>
      <c r="N156" s="33"/>
      <c r="O156" t="s">
        <v>36</v>
      </c>
    </row>
    <row r="157" spans="1:17" x14ac:dyDescent="0.3">
      <c r="B157" s="34" t="s">
        <v>22</v>
      </c>
      <c r="C157" s="35">
        <f t="array" ref="C157:C166">MMULT(E157:N166,O157:O166)</f>
        <v>8.7877177360798531E-2</v>
      </c>
      <c r="D157" t="s">
        <v>19</v>
      </c>
      <c r="E157" s="13">
        <f t="array" ref="E157:N166">MINVERSE(C136:L145)</f>
        <v>1.5247419497069745E-2</v>
      </c>
      <c r="F157" s="13">
        <v>-3.5683463093182191E-3</v>
      </c>
      <c r="G157" s="13">
        <v>1.4792930142776354E-2</v>
      </c>
      <c r="H157" s="13">
        <v>-2.4359544299364178E-3</v>
      </c>
      <c r="I157" s="13">
        <v>1.2529691253231584E-2</v>
      </c>
      <c r="J157" s="13">
        <v>2.5009227854713039E-4</v>
      </c>
      <c r="K157" s="13">
        <v>1.4011270326124824E-2</v>
      </c>
      <c r="L157" s="13">
        <v>3.3504193695211696E-3</v>
      </c>
      <c r="M157" s="13">
        <v>1.4186035527919923E-2</v>
      </c>
      <c r="N157" s="13">
        <v>1.9778386735118574E-3</v>
      </c>
      <c r="O157">
        <f>B136</f>
        <v>0</v>
      </c>
      <c r="P157" t="s">
        <v>46</v>
      </c>
    </row>
    <row r="158" spans="1:17" x14ac:dyDescent="0.3">
      <c r="B158" s="34" t="s">
        <v>23</v>
      </c>
      <c r="C158" s="35">
        <v>-3.8001173168462063E-2</v>
      </c>
      <c r="D158" t="s">
        <v>19</v>
      </c>
      <c r="E158" s="13">
        <v>-3.5683463093182195E-3</v>
      </c>
      <c r="F158" s="13">
        <v>3.0525577159505358E-3</v>
      </c>
      <c r="G158" s="13">
        <v>-3.6182785404818966E-3</v>
      </c>
      <c r="H158" s="13">
        <v>1.8582134480488635E-3</v>
      </c>
      <c r="I158" s="13">
        <v>-2.4095560102368441E-3</v>
      </c>
      <c r="J158" s="13">
        <v>1.1035694995669137E-3</v>
      </c>
      <c r="K158" s="13">
        <v>-3.3504193695211714E-3</v>
      </c>
      <c r="L158" s="13">
        <v>-4.0682512346915957E-4</v>
      </c>
      <c r="M158" s="13">
        <v>-3.1606250621083478E-3</v>
      </c>
      <c r="N158" s="13">
        <v>-3.4868310367527488E-4</v>
      </c>
      <c r="O158">
        <f t="shared" ref="O158:O166" si="33">B137</f>
        <v>0</v>
      </c>
      <c r="P158" t="s">
        <v>47</v>
      </c>
    </row>
    <row r="159" spans="1:17" x14ac:dyDescent="0.3">
      <c r="B159" s="34" t="s">
        <v>24</v>
      </c>
      <c r="C159" s="35">
        <v>0.1571399644468422</v>
      </c>
      <c r="D159" t="s">
        <v>19</v>
      </c>
      <c r="E159" s="13">
        <v>1.4792930142776354E-2</v>
      </c>
      <c r="F159" s="13">
        <v>-3.6182785404818962E-3</v>
      </c>
      <c r="G159" s="13">
        <v>1.890433112874507E-2</v>
      </c>
      <c r="H159" s="13">
        <v>-7.9448585760902432E-4</v>
      </c>
      <c r="I159" s="13">
        <v>1.5421158465515795E-2</v>
      </c>
      <c r="J159" s="13">
        <v>4.8191458561600882E-4</v>
      </c>
      <c r="K159" s="13">
        <v>1.4186035527919923E-2</v>
      </c>
      <c r="L159" s="13">
        <v>3.1606250621083465E-3</v>
      </c>
      <c r="M159" s="13">
        <v>1.6090698175404327E-2</v>
      </c>
      <c r="N159" s="13">
        <v>9.7103138377028499E-4</v>
      </c>
      <c r="O159">
        <f t="shared" si="33"/>
        <v>15</v>
      </c>
      <c r="P159" t="s">
        <v>46</v>
      </c>
    </row>
    <row r="160" spans="1:17" x14ac:dyDescent="0.3">
      <c r="B160" s="34" t="s">
        <v>25</v>
      </c>
      <c r="C160" s="35">
        <v>2.0300362828756507E-3</v>
      </c>
      <c r="D160" t="s">
        <v>19</v>
      </c>
      <c r="E160" s="13">
        <v>-2.4359544299364195E-3</v>
      </c>
      <c r="F160" s="13">
        <v>1.8582134480488637E-3</v>
      </c>
      <c r="G160" s="13">
        <v>-7.9448585760902367E-4</v>
      </c>
      <c r="H160" s="13">
        <v>3.6808078931689844E-3</v>
      </c>
      <c r="I160" s="13">
        <v>-1.8268698439496291E-18</v>
      </c>
      <c r="J160" s="13">
        <v>8.0029529135081838E-4</v>
      </c>
      <c r="K160" s="13">
        <v>-1.9778386735118591E-3</v>
      </c>
      <c r="L160" s="13">
        <v>-3.4868310367527515E-4</v>
      </c>
      <c r="M160" s="13">
        <v>-9.7103138377028901E-4</v>
      </c>
      <c r="N160" s="13">
        <v>-7.3298521027929258E-4</v>
      </c>
      <c r="O160">
        <f t="shared" si="33"/>
        <v>0</v>
      </c>
      <c r="P160" t="s">
        <v>47</v>
      </c>
    </row>
    <row r="161" spans="1:18" x14ac:dyDescent="0.3">
      <c r="B161" s="34" t="s">
        <v>26</v>
      </c>
      <c r="C161" s="35">
        <v>0.13493513657326325</v>
      </c>
      <c r="D161" t="s">
        <v>19</v>
      </c>
      <c r="E161" s="13">
        <v>1.2529691253231582E-2</v>
      </c>
      <c r="F161" s="13">
        <v>-2.4095560102368441E-3</v>
      </c>
      <c r="G161" s="13">
        <v>1.5421158465515795E-2</v>
      </c>
      <c r="H161" s="13">
        <v>-7.1881056088407267E-19</v>
      </c>
      <c r="I161" s="13">
        <v>1.5421158465515793E-2</v>
      </c>
      <c r="J161" s="13">
        <v>-2.1876843157341344E-19</v>
      </c>
      <c r="K161" s="13">
        <v>1.2529691253231581E-2</v>
      </c>
      <c r="L161" s="13">
        <v>2.409556010236842E-3</v>
      </c>
      <c r="M161" s="13">
        <v>1.5421158465515793E-2</v>
      </c>
      <c r="N161" s="13">
        <v>-2.0001685172426369E-18</v>
      </c>
      <c r="O161">
        <f t="shared" si="33"/>
        <v>0</v>
      </c>
      <c r="P161" t="s">
        <v>46</v>
      </c>
    </row>
    <row r="162" spans="1:18" x14ac:dyDescent="0.3">
      <c r="B162" s="34" t="s">
        <v>27</v>
      </c>
      <c r="C162" s="35">
        <v>-3.6914061198436425E-2</v>
      </c>
      <c r="D162" t="s">
        <v>19</v>
      </c>
      <c r="E162" s="13">
        <v>2.5009227854712925E-4</v>
      </c>
      <c r="F162" s="13">
        <v>1.1035694995669141E-3</v>
      </c>
      <c r="G162" s="13">
        <v>4.8191458561600801E-4</v>
      </c>
      <c r="H162" s="13">
        <v>8.0029529135081849E-4</v>
      </c>
      <c r="I162" s="13">
        <v>-1.5920011723930419E-18</v>
      </c>
      <c r="J162" s="13">
        <v>2.9815031546927043E-3</v>
      </c>
      <c r="K162" s="13">
        <v>-2.5009227854713164E-4</v>
      </c>
      <c r="L162" s="13">
        <v>1.1035694995669137E-3</v>
      </c>
      <c r="M162" s="13">
        <v>-4.8191458561601077E-4</v>
      </c>
      <c r="N162" s="13">
        <v>8.0029529135081806E-4</v>
      </c>
      <c r="O162">
        <f t="shared" si="33"/>
        <v>0</v>
      </c>
      <c r="P162" t="s">
        <v>47</v>
      </c>
    </row>
    <row r="163" spans="1:18" x14ac:dyDescent="0.3">
      <c r="B163" s="34" t="s">
        <v>28</v>
      </c>
      <c r="C163" s="35">
        <v>7.0056680546070199E-2</v>
      </c>
      <c r="D163" t="s">
        <v>19</v>
      </c>
      <c r="E163" s="13">
        <v>1.4011270326124828E-2</v>
      </c>
      <c r="F163" s="13">
        <v>-3.3504193695211714E-3</v>
      </c>
      <c r="G163" s="13">
        <v>1.4186035527919921E-2</v>
      </c>
      <c r="H163" s="13">
        <v>-1.97783867351186E-3</v>
      </c>
      <c r="I163" s="13">
        <v>1.2529691253231581E-2</v>
      </c>
      <c r="J163" s="13">
        <v>-2.5009227854713099E-4</v>
      </c>
      <c r="K163" s="13">
        <v>1.5247419497069734E-2</v>
      </c>
      <c r="L163" s="13">
        <v>3.5683463093182156E-3</v>
      </c>
      <c r="M163" s="13">
        <v>1.4792930142776351E-2</v>
      </c>
      <c r="N163" s="13">
        <v>2.4359544299364148E-3</v>
      </c>
      <c r="O163">
        <f t="shared" si="33"/>
        <v>0</v>
      </c>
      <c r="P163" t="s">
        <v>46</v>
      </c>
    </row>
    <row r="164" spans="1:18" x14ac:dyDescent="0.3">
      <c r="B164" s="34" t="s">
        <v>29</v>
      </c>
      <c r="C164" s="35">
        <v>-7.4692932706396181E-2</v>
      </c>
      <c r="D164" t="s">
        <v>19</v>
      </c>
      <c r="E164" s="13">
        <v>3.3504193695211696E-3</v>
      </c>
      <c r="F164" s="13">
        <v>-4.0682512346915952E-4</v>
      </c>
      <c r="G164" s="13">
        <v>3.1606250621083456E-3</v>
      </c>
      <c r="H164" s="13">
        <v>-3.486831036752752E-4</v>
      </c>
      <c r="I164" s="13">
        <v>2.4095560102368411E-3</v>
      </c>
      <c r="J164" s="13">
        <v>1.1035694995669137E-3</v>
      </c>
      <c r="K164" s="13">
        <v>3.5683463093182156E-3</v>
      </c>
      <c r="L164" s="13">
        <v>3.0525577159505341E-3</v>
      </c>
      <c r="M164" s="13">
        <v>3.6182785404818931E-3</v>
      </c>
      <c r="N164" s="13">
        <v>1.8582134480488624E-3</v>
      </c>
      <c r="O164">
        <f t="shared" si="33"/>
        <v>-40</v>
      </c>
      <c r="P164" t="s">
        <v>47</v>
      </c>
    </row>
    <row r="165" spans="1:18" x14ac:dyDescent="0.3">
      <c r="B165" s="34" t="s">
        <v>30</v>
      </c>
      <c r="C165" s="35">
        <v>9.6629331011789193E-2</v>
      </c>
      <c r="D165" t="s">
        <v>19</v>
      </c>
      <c r="E165" s="13">
        <v>1.4186035527919924E-2</v>
      </c>
      <c r="F165" s="13">
        <v>-3.1606250621083478E-3</v>
      </c>
      <c r="G165" s="13">
        <v>1.6090698175404327E-2</v>
      </c>
      <c r="H165" s="13">
        <v>-9.7103138377028781E-4</v>
      </c>
      <c r="I165" s="13">
        <v>1.5421158465515793E-2</v>
      </c>
      <c r="J165" s="13">
        <v>-4.8191458561600931E-4</v>
      </c>
      <c r="K165" s="13">
        <v>1.4792930142776349E-2</v>
      </c>
      <c r="L165" s="13">
        <v>3.6182785404818931E-3</v>
      </c>
      <c r="M165" s="13">
        <v>1.8904331128745067E-2</v>
      </c>
      <c r="N165" s="13">
        <v>7.9448585760902085E-4</v>
      </c>
      <c r="O165">
        <f t="shared" si="33"/>
        <v>0</v>
      </c>
      <c r="P165" t="s">
        <v>46</v>
      </c>
    </row>
    <row r="166" spans="1:18" x14ac:dyDescent="0.3">
      <c r="B166" s="34" t="s">
        <v>31</v>
      </c>
      <c r="C166" s="35">
        <v>-5.9763067165400224E-2</v>
      </c>
      <c r="D166" t="s">
        <v>19</v>
      </c>
      <c r="E166" s="13">
        <v>1.9778386735118587E-3</v>
      </c>
      <c r="F166" s="13">
        <v>-3.4868310367527477E-4</v>
      </c>
      <c r="G166" s="13">
        <v>9.7103138377028575E-4</v>
      </c>
      <c r="H166" s="13">
        <v>-7.3298521027929248E-4</v>
      </c>
      <c r="I166" s="13">
        <v>-1.2259553016654658E-18</v>
      </c>
      <c r="J166" s="13">
        <v>8.0029529135081828E-4</v>
      </c>
      <c r="K166" s="13">
        <v>2.4359544299364156E-3</v>
      </c>
      <c r="L166" s="13">
        <v>1.8582134480488628E-3</v>
      </c>
      <c r="M166" s="13">
        <v>7.9448585760902182E-4</v>
      </c>
      <c r="N166" s="13">
        <v>3.6808078931689836E-3</v>
      </c>
      <c r="O166">
        <f t="shared" si="33"/>
        <v>0</v>
      </c>
      <c r="P166" t="s">
        <v>47</v>
      </c>
    </row>
    <row r="169" spans="1:18" x14ac:dyDescent="0.3">
      <c r="B169" s="30" t="s">
        <v>37</v>
      </c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</row>
    <row r="171" spans="1:18" x14ac:dyDescent="0.3">
      <c r="B171" s="13" t="s">
        <v>38</v>
      </c>
      <c r="C171" t="s">
        <v>39</v>
      </c>
      <c r="D171" t="s">
        <v>40</v>
      </c>
      <c r="E171" s="28" t="s">
        <v>42</v>
      </c>
      <c r="F171" s="28"/>
      <c r="G171" s="28"/>
      <c r="H171" s="28"/>
      <c r="I171" s="28"/>
      <c r="J171" s="28"/>
      <c r="K171" s="28"/>
      <c r="L171" s="28"/>
      <c r="M171" s="28"/>
      <c r="N171" s="28"/>
      <c r="O171" t="s">
        <v>43</v>
      </c>
    </row>
    <row r="172" spans="1:18" x14ac:dyDescent="0.3">
      <c r="A172" t="s">
        <v>46</v>
      </c>
      <c r="B172" s="14">
        <v>11</v>
      </c>
      <c r="C172">
        <f t="array" ref="C172:C175">MMULT(E172:N175,O172:O181)</f>
        <v>-0.77003495233049168</v>
      </c>
      <c r="D172" t="s">
        <v>41</v>
      </c>
      <c r="E172" s="15">
        <f t="array" ref="E172:N175">C146:L149</f>
        <v>-64.845971347493887</v>
      </c>
      <c r="F172" s="15">
        <v>-129.69194269498777</v>
      </c>
      <c r="G172" s="15">
        <v>0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0</v>
      </c>
      <c r="O172">
        <f>C157</f>
        <v>8.7877177360798531E-2</v>
      </c>
    </row>
    <row r="173" spans="1:18" x14ac:dyDescent="0.3">
      <c r="A173" t="s">
        <v>47</v>
      </c>
      <c r="B173" s="14">
        <v>12</v>
      </c>
      <c r="C173">
        <v>-1.999999999999998</v>
      </c>
      <c r="D173" t="s">
        <v>41</v>
      </c>
      <c r="E173" s="15">
        <v>-129.69194269498777</v>
      </c>
      <c r="F173" s="15">
        <v>-259.38388538997555</v>
      </c>
      <c r="G173" s="15">
        <v>0</v>
      </c>
      <c r="H173" s="15">
        <v>-226.5625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>
        <f t="shared" ref="O173:O181" si="34">C158</f>
        <v>-3.8001173168462063E-2</v>
      </c>
    </row>
    <row r="174" spans="1:18" x14ac:dyDescent="0.3">
      <c r="A174" t="s">
        <v>46</v>
      </c>
      <c r="B174" s="14">
        <v>13</v>
      </c>
      <c r="C174">
        <v>-14.229965047669513</v>
      </c>
      <c r="D174" t="s">
        <v>41</v>
      </c>
      <c r="E174" s="15">
        <v>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-64.845971347493887</v>
      </c>
      <c r="L174" s="15">
        <v>129.69194269498777</v>
      </c>
      <c r="M174" s="15">
        <v>0</v>
      </c>
      <c r="N174" s="15">
        <v>0</v>
      </c>
      <c r="O174">
        <f t="shared" si="34"/>
        <v>0.1571399644468422</v>
      </c>
      <c r="Q174" t="s">
        <v>44</v>
      </c>
      <c r="R174">
        <f>O157+O159+O161+O163+O165+C172+C174</f>
        <v>0</v>
      </c>
    </row>
    <row r="175" spans="1:18" x14ac:dyDescent="0.3">
      <c r="A175" t="s">
        <v>47</v>
      </c>
      <c r="B175" s="14">
        <v>14</v>
      </c>
      <c r="C175">
        <v>42.000000000000014</v>
      </c>
      <c r="D175" t="s">
        <v>41</v>
      </c>
      <c r="E175" s="15">
        <v>0</v>
      </c>
      <c r="F175" s="15">
        <v>0</v>
      </c>
      <c r="G175" s="15">
        <v>0</v>
      </c>
      <c r="H175" s="15">
        <v>0</v>
      </c>
      <c r="I175" s="15">
        <v>0</v>
      </c>
      <c r="J175" s="15">
        <v>0</v>
      </c>
      <c r="K175" s="15">
        <v>129.69194269498777</v>
      </c>
      <c r="L175" s="15">
        <v>-259.38388538997555</v>
      </c>
      <c r="M175" s="15">
        <v>0</v>
      </c>
      <c r="N175" s="15">
        <v>-226.5625</v>
      </c>
      <c r="O175">
        <f t="shared" si="34"/>
        <v>2.0300362828756507E-3</v>
      </c>
      <c r="Q175" t="s">
        <v>45</v>
      </c>
      <c r="R175">
        <f>O158+O160+O162+O164+O166+C173+C175</f>
        <v>0</v>
      </c>
    </row>
    <row r="176" spans="1:18" x14ac:dyDescent="0.3">
      <c r="O176">
        <f t="shared" si="34"/>
        <v>0.13493513657326325</v>
      </c>
    </row>
    <row r="177" spans="1:15" x14ac:dyDescent="0.3">
      <c r="O177">
        <f t="shared" si="34"/>
        <v>-3.6914061198436425E-2</v>
      </c>
    </row>
    <row r="178" spans="1:15" x14ac:dyDescent="0.3">
      <c r="O178">
        <f t="shared" si="34"/>
        <v>7.0056680546070199E-2</v>
      </c>
    </row>
    <row r="179" spans="1:15" x14ac:dyDescent="0.3">
      <c r="O179">
        <f t="shared" si="34"/>
        <v>-7.4692932706396181E-2</v>
      </c>
    </row>
    <row r="180" spans="1:15" x14ac:dyDescent="0.3">
      <c r="O180">
        <f t="shared" si="34"/>
        <v>9.6629331011789193E-2</v>
      </c>
    </row>
    <row r="181" spans="1:15" x14ac:dyDescent="0.3">
      <c r="O181">
        <f t="shared" si="34"/>
        <v>-5.9763067165400224E-2</v>
      </c>
    </row>
    <row r="191" spans="1:15" x14ac:dyDescent="0.3">
      <c r="A191" s="31" t="s">
        <v>53</v>
      </c>
      <c r="B191" s="31"/>
      <c r="C191" s="31"/>
      <c r="D191" s="31"/>
      <c r="E191" s="31"/>
      <c r="F191" s="31"/>
      <c r="G191" s="31"/>
      <c r="H191" s="31"/>
      <c r="I191" s="31"/>
    </row>
    <row r="192" spans="1:15" x14ac:dyDescent="0.3">
      <c r="A192" t="s">
        <v>48</v>
      </c>
      <c r="B192" s="13">
        <f>$F$17</f>
        <v>324.22985673746945</v>
      </c>
    </row>
    <row r="193" spans="1:9" x14ac:dyDescent="0.3">
      <c r="A193" s="1" t="s">
        <v>8</v>
      </c>
      <c r="B193">
        <f>$E$12</f>
        <v>0.44721359549995793</v>
      </c>
    </row>
    <row r="194" spans="1:9" x14ac:dyDescent="0.3">
      <c r="A194" s="1" t="s">
        <v>9</v>
      </c>
      <c r="B194">
        <f>$E$13</f>
        <v>0.89442719099991586</v>
      </c>
    </row>
    <row r="195" spans="1:9" x14ac:dyDescent="0.3">
      <c r="D195" s="1" t="s">
        <v>49</v>
      </c>
      <c r="E195" s="1" t="s">
        <v>50</v>
      </c>
      <c r="F195" s="1" t="s">
        <v>8</v>
      </c>
      <c r="G195" s="1" t="s">
        <v>9</v>
      </c>
      <c r="H195" s="1" t="s">
        <v>21</v>
      </c>
      <c r="I195" s="1" t="s">
        <v>51</v>
      </c>
    </row>
    <row r="196" spans="1:9" x14ac:dyDescent="0.3">
      <c r="D196">
        <f>-$B$193</f>
        <v>-0.44721359549995793</v>
      </c>
      <c r="E196">
        <f>-$B$194</f>
        <v>-0.89442719099991586</v>
      </c>
      <c r="F196">
        <f>$B$193</f>
        <v>0.44721359549995793</v>
      </c>
      <c r="G196">
        <f>$B$194</f>
        <v>0.89442719099991586</v>
      </c>
      <c r="H196">
        <v>0</v>
      </c>
      <c r="I196">
        <v>11</v>
      </c>
    </row>
    <row r="197" spans="1:9" x14ac:dyDescent="0.3">
      <c r="H197">
        <v>0</v>
      </c>
      <c r="I197">
        <v>12</v>
      </c>
    </row>
    <row r="198" spans="1:9" x14ac:dyDescent="0.3">
      <c r="H198">
        <f>C157</f>
        <v>8.7877177360798531E-2</v>
      </c>
      <c r="I198">
        <v>1</v>
      </c>
    </row>
    <row r="199" spans="1:9" x14ac:dyDescent="0.3">
      <c r="H199">
        <f>C158</f>
        <v>-3.8001173168462063E-2</v>
      </c>
      <c r="I199">
        <v>2</v>
      </c>
    </row>
    <row r="201" spans="1:9" x14ac:dyDescent="0.3">
      <c r="B201" t="s">
        <v>52</v>
      </c>
    </row>
    <row r="203" spans="1:9" x14ac:dyDescent="0.3">
      <c r="A203" s="22" t="s">
        <v>53</v>
      </c>
      <c r="B203" s="23">
        <f>B192*MMULT(D196:G196,H196:H199)</f>
        <v>1.7218504984617895</v>
      </c>
      <c r="C203" s="16" t="str">
        <f>IF(B203&gt;0,"TENSION","COMPRESION")</f>
        <v>TENSION</v>
      </c>
    </row>
    <row r="206" spans="1:9" x14ac:dyDescent="0.3">
      <c r="A206" s="31" t="s">
        <v>54</v>
      </c>
      <c r="B206" s="31"/>
      <c r="C206" s="31"/>
      <c r="D206" s="31"/>
      <c r="E206" s="31"/>
      <c r="F206" s="31"/>
      <c r="G206" s="31"/>
      <c r="H206" s="31"/>
      <c r="I206" s="31"/>
    </row>
    <row r="207" spans="1:9" x14ac:dyDescent="0.3">
      <c r="A207" t="s">
        <v>48</v>
      </c>
      <c r="B207" s="13">
        <f>$F$17</f>
        <v>324.22985673746945</v>
      </c>
    </row>
    <row r="208" spans="1:9" x14ac:dyDescent="0.3">
      <c r="A208" s="1" t="s">
        <v>8</v>
      </c>
      <c r="B208">
        <f>$E$12</f>
        <v>0.44721359549995793</v>
      </c>
    </row>
    <row r="209" spans="1:9" x14ac:dyDescent="0.3">
      <c r="A209" s="1" t="s">
        <v>9</v>
      </c>
      <c r="B209">
        <f>$E$13</f>
        <v>0.89442719099991586</v>
      </c>
    </row>
    <row r="210" spans="1:9" x14ac:dyDescent="0.3">
      <c r="D210" s="1" t="s">
        <v>49</v>
      </c>
      <c r="E210" s="1" t="s">
        <v>50</v>
      </c>
      <c r="F210" s="1" t="s">
        <v>8</v>
      </c>
      <c r="G210" s="1" t="s">
        <v>9</v>
      </c>
      <c r="H210" s="1" t="s">
        <v>21</v>
      </c>
      <c r="I210" s="1" t="s">
        <v>51</v>
      </c>
    </row>
    <row r="211" spans="1:9" x14ac:dyDescent="0.3">
      <c r="D211">
        <f>-$B$193</f>
        <v>-0.44721359549995793</v>
      </c>
      <c r="E211">
        <f>-$B$194</f>
        <v>-0.89442719099991586</v>
      </c>
      <c r="F211">
        <f>$B$193</f>
        <v>0.44721359549995793</v>
      </c>
      <c r="G211">
        <f>$B$194</f>
        <v>0.89442719099991586</v>
      </c>
      <c r="H211">
        <v>0</v>
      </c>
      <c r="I211">
        <v>11</v>
      </c>
    </row>
    <row r="212" spans="1:9" x14ac:dyDescent="0.3">
      <c r="H212">
        <v>0</v>
      </c>
      <c r="I212">
        <v>12</v>
      </c>
    </row>
    <row r="213" spans="1:9" x14ac:dyDescent="0.3">
      <c r="H213">
        <f>C159</f>
        <v>0.1571399644468422</v>
      </c>
      <c r="I213">
        <v>3</v>
      </c>
    </row>
    <row r="214" spans="1:9" x14ac:dyDescent="0.3">
      <c r="H214">
        <f>C160</f>
        <v>2.0300362828756507E-3</v>
      </c>
      <c r="I214">
        <v>4</v>
      </c>
    </row>
    <row r="216" spans="1:9" x14ac:dyDescent="0.3">
      <c r="B216" t="s">
        <v>52</v>
      </c>
    </row>
    <row r="218" spans="1:9" x14ac:dyDescent="0.3">
      <c r="A218" s="22" t="s">
        <v>54</v>
      </c>
      <c r="B218" s="23">
        <f>B207*MMULT(D211:G211,H211:H214)</f>
        <v>23.374005366826054</v>
      </c>
      <c r="C218" s="16" t="str">
        <f>IF(B218&gt;0,"TENSION","COMPRESION")</f>
        <v>TENSION</v>
      </c>
    </row>
    <row r="221" spans="1:9" x14ac:dyDescent="0.3">
      <c r="A221" s="31" t="s">
        <v>55</v>
      </c>
      <c r="B221" s="31"/>
      <c r="C221" s="31"/>
      <c r="D221" s="31"/>
      <c r="E221" s="31"/>
      <c r="F221" s="31"/>
      <c r="G221" s="31"/>
      <c r="H221" s="31"/>
      <c r="I221" s="31"/>
    </row>
    <row r="222" spans="1:9" x14ac:dyDescent="0.3">
      <c r="A222" t="s">
        <v>48</v>
      </c>
      <c r="B222" s="13">
        <f>$F$17</f>
        <v>324.22985673746945</v>
      </c>
    </row>
    <row r="223" spans="1:9" x14ac:dyDescent="0.3">
      <c r="A223" s="1" t="s">
        <v>8</v>
      </c>
      <c r="B223">
        <f>$E$12</f>
        <v>0.44721359549995793</v>
      </c>
    </row>
    <row r="224" spans="1:9" x14ac:dyDescent="0.3">
      <c r="A224" s="1" t="s">
        <v>9</v>
      </c>
      <c r="B224">
        <f>$E$13</f>
        <v>0.89442719099991586</v>
      </c>
    </row>
    <row r="225" spans="1:9" x14ac:dyDescent="0.3">
      <c r="D225" s="1" t="s">
        <v>49</v>
      </c>
      <c r="E225" s="1" t="s">
        <v>50</v>
      </c>
      <c r="F225" s="1" t="s">
        <v>8</v>
      </c>
      <c r="G225" s="1" t="s">
        <v>9</v>
      </c>
      <c r="H225" s="1" t="s">
        <v>21</v>
      </c>
      <c r="I225" s="1" t="s">
        <v>51</v>
      </c>
    </row>
    <row r="226" spans="1:9" x14ac:dyDescent="0.3">
      <c r="D226">
        <f>-$B$193</f>
        <v>-0.44721359549995793</v>
      </c>
      <c r="E226">
        <f>-$B$194</f>
        <v>-0.89442719099991586</v>
      </c>
      <c r="F226">
        <f>$B$193</f>
        <v>0.44721359549995793</v>
      </c>
      <c r="G226">
        <f>$B$194</f>
        <v>0.89442719099991586</v>
      </c>
      <c r="H226">
        <f>C159</f>
        <v>0.1571399644468422</v>
      </c>
      <c r="I226">
        <v>3</v>
      </c>
    </row>
    <row r="227" spans="1:9" x14ac:dyDescent="0.3">
      <c r="H227">
        <f>C160</f>
        <v>2.0300362828756507E-3</v>
      </c>
      <c r="I227">
        <v>4</v>
      </c>
    </row>
    <row r="228" spans="1:9" x14ac:dyDescent="0.3">
      <c r="H228">
        <f>C157</f>
        <v>8.7877177360798531E-2</v>
      </c>
      <c r="I228">
        <v>1</v>
      </c>
    </row>
    <row r="229" spans="1:9" x14ac:dyDescent="0.3">
      <c r="H229">
        <f>C158</f>
        <v>-3.8001173168462063E-2</v>
      </c>
      <c r="I229">
        <v>2</v>
      </c>
    </row>
    <row r="231" spans="1:9" x14ac:dyDescent="0.3">
      <c r="B231" t="s">
        <v>52</v>
      </c>
    </row>
    <row r="233" spans="1:9" x14ac:dyDescent="0.3">
      <c r="A233" s="22" t="s">
        <v>67</v>
      </c>
      <c r="B233" s="23">
        <f>B222*MMULT(D226:G226,H226:H229)</f>
        <v>-21.652154868364267</v>
      </c>
      <c r="C233" s="16" t="str">
        <f>IF(B233&gt;0,"TENSION","COMPRESION")</f>
        <v>COMPRESION</v>
      </c>
    </row>
    <row r="236" spans="1:9" x14ac:dyDescent="0.3">
      <c r="A236" s="31" t="s">
        <v>56</v>
      </c>
      <c r="B236" s="31"/>
      <c r="C236" s="31"/>
      <c r="D236" s="31"/>
      <c r="E236" s="31"/>
      <c r="F236" s="31"/>
      <c r="G236" s="31"/>
      <c r="H236" s="31"/>
      <c r="I236" s="31"/>
    </row>
    <row r="237" spans="1:9" x14ac:dyDescent="0.3">
      <c r="A237" t="s">
        <v>48</v>
      </c>
      <c r="B237" s="13">
        <f>$F$17</f>
        <v>324.22985673746945</v>
      </c>
    </row>
    <row r="238" spans="1:9" x14ac:dyDescent="0.3">
      <c r="A238" s="1" t="s">
        <v>8</v>
      </c>
      <c r="B238">
        <f>$E$12</f>
        <v>0.44721359549995793</v>
      </c>
    </row>
    <row r="239" spans="1:9" x14ac:dyDescent="0.3">
      <c r="A239" s="1" t="s">
        <v>9</v>
      </c>
      <c r="B239">
        <f>$E$13</f>
        <v>0.89442719099991586</v>
      </c>
    </row>
    <row r="240" spans="1:9" x14ac:dyDescent="0.3">
      <c r="D240" s="1" t="s">
        <v>49</v>
      </c>
      <c r="E240" s="1" t="s">
        <v>50</v>
      </c>
      <c r="F240" s="1" t="s">
        <v>8</v>
      </c>
      <c r="G240" s="1" t="s">
        <v>9</v>
      </c>
      <c r="H240" s="1" t="s">
        <v>21</v>
      </c>
      <c r="I240" s="1" t="s">
        <v>51</v>
      </c>
    </row>
    <row r="241" spans="1:9" x14ac:dyDescent="0.3">
      <c r="D241">
        <f>-$B$193</f>
        <v>-0.44721359549995793</v>
      </c>
      <c r="E241">
        <f>-$B$194</f>
        <v>-0.89442719099991586</v>
      </c>
      <c r="F241">
        <f>$B$193</f>
        <v>0.44721359549995793</v>
      </c>
      <c r="G241">
        <f>$B$194</f>
        <v>0.89442719099991586</v>
      </c>
      <c r="H241">
        <f>C163</f>
        <v>7.0056680546070199E-2</v>
      </c>
      <c r="I241">
        <v>7</v>
      </c>
    </row>
    <row r="242" spans="1:9" x14ac:dyDescent="0.3">
      <c r="H242">
        <f>C164</f>
        <v>-7.4692932706396181E-2</v>
      </c>
      <c r="I242">
        <v>8</v>
      </c>
    </row>
    <row r="243" spans="1:9" x14ac:dyDescent="0.3">
      <c r="H243">
        <f>C157</f>
        <v>8.7877177360798531E-2</v>
      </c>
      <c r="I243">
        <v>1</v>
      </c>
    </row>
    <row r="244" spans="1:9" x14ac:dyDescent="0.3">
      <c r="H244">
        <f>C158</f>
        <v>-3.8001173168462063E-2</v>
      </c>
      <c r="I244">
        <v>2</v>
      </c>
    </row>
    <row r="246" spans="1:9" x14ac:dyDescent="0.3">
      <c r="B246" t="s">
        <v>52</v>
      </c>
    </row>
    <row r="248" spans="1:9" x14ac:dyDescent="0.3">
      <c r="A248" s="22" t="s">
        <v>68</v>
      </c>
      <c r="B248" s="23">
        <f>B237*MMULT(D241:G241,H241:H244)</f>
        <v>13.224582304136502</v>
      </c>
      <c r="C248" s="16" t="str">
        <f>IF(B248&gt;0,"TENSION","COMPRESION")</f>
        <v>TENSION</v>
      </c>
    </row>
    <row r="251" spans="1:9" x14ac:dyDescent="0.3">
      <c r="A251" s="31" t="s">
        <v>57</v>
      </c>
      <c r="B251" s="31"/>
      <c r="C251" s="31"/>
      <c r="D251" s="31"/>
      <c r="E251" s="31"/>
      <c r="F251" s="31"/>
      <c r="G251" s="31"/>
      <c r="H251" s="31"/>
      <c r="I251" s="31"/>
    </row>
    <row r="252" spans="1:9" x14ac:dyDescent="0.3">
      <c r="A252" t="s">
        <v>48</v>
      </c>
      <c r="B252" s="13">
        <f>$F$17</f>
        <v>324.22985673746945</v>
      </c>
    </row>
    <row r="253" spans="1:9" x14ac:dyDescent="0.3">
      <c r="A253" s="1" t="s">
        <v>8</v>
      </c>
      <c r="B253">
        <f>$E$12</f>
        <v>0.44721359549995793</v>
      </c>
    </row>
    <row r="254" spans="1:9" x14ac:dyDescent="0.3">
      <c r="A254" s="1" t="s">
        <v>9</v>
      </c>
      <c r="B254">
        <f>$E$13</f>
        <v>0.89442719099991586</v>
      </c>
    </row>
    <row r="255" spans="1:9" x14ac:dyDescent="0.3">
      <c r="D255" s="1" t="s">
        <v>49</v>
      </c>
      <c r="E255" s="1" t="s">
        <v>50</v>
      </c>
      <c r="F255" s="1" t="s">
        <v>8</v>
      </c>
      <c r="G255" s="1" t="s">
        <v>9</v>
      </c>
      <c r="H255" s="1" t="s">
        <v>21</v>
      </c>
      <c r="I255" s="1" t="s">
        <v>51</v>
      </c>
    </row>
    <row r="256" spans="1:9" x14ac:dyDescent="0.3">
      <c r="D256">
        <f>-$B$193</f>
        <v>-0.44721359549995793</v>
      </c>
      <c r="E256">
        <f>-$B$194</f>
        <v>-0.89442719099991586</v>
      </c>
      <c r="F256">
        <f>$B$193</f>
        <v>0.44721359549995793</v>
      </c>
      <c r="G256">
        <f>$B$194</f>
        <v>0.89442719099991586</v>
      </c>
      <c r="H256">
        <f>C161</f>
        <v>0.13493513657326325</v>
      </c>
      <c r="I256">
        <v>5</v>
      </c>
    </row>
    <row r="257" spans="1:9" x14ac:dyDescent="0.3">
      <c r="H257">
        <f>C162</f>
        <v>-3.6914061198436425E-2</v>
      </c>
      <c r="I257">
        <v>6</v>
      </c>
    </row>
    <row r="258" spans="1:9" x14ac:dyDescent="0.3">
      <c r="H258">
        <f>C157</f>
        <v>8.7877177360798531E-2</v>
      </c>
      <c r="I258">
        <v>1</v>
      </c>
    </row>
    <row r="259" spans="1:9" x14ac:dyDescent="0.3">
      <c r="H259">
        <f>C158</f>
        <v>-3.8001173168462063E-2</v>
      </c>
      <c r="I259">
        <v>2</v>
      </c>
    </row>
    <row r="261" spans="1:9" x14ac:dyDescent="0.3">
      <c r="B261" t="s">
        <v>52</v>
      </c>
    </row>
    <row r="263" spans="1:9" x14ac:dyDescent="0.3">
      <c r="A263" s="22" t="s">
        <v>69</v>
      </c>
      <c r="B263" s="23">
        <f>B252*MMULT(D256:G256,H256:H259)</f>
        <v>-7.1386665571148171</v>
      </c>
      <c r="C263" s="16" t="str">
        <f>IF(B263&gt;0,"TENSION","COMPRESION")</f>
        <v>COMPRESION</v>
      </c>
    </row>
    <row r="266" spans="1:9" x14ac:dyDescent="0.3">
      <c r="A266" s="31" t="s">
        <v>58</v>
      </c>
      <c r="B266" s="31"/>
      <c r="C266" s="31"/>
      <c r="D266" s="31"/>
      <c r="E266" s="31"/>
      <c r="F266" s="31"/>
      <c r="G266" s="31"/>
      <c r="H266" s="31"/>
      <c r="I266" s="31"/>
    </row>
    <row r="267" spans="1:9" x14ac:dyDescent="0.3">
      <c r="A267" t="s">
        <v>48</v>
      </c>
      <c r="B267" s="13">
        <f>$F$17</f>
        <v>324.22985673746945</v>
      </c>
    </row>
    <row r="268" spans="1:9" x14ac:dyDescent="0.3">
      <c r="A268" s="1" t="s">
        <v>8</v>
      </c>
      <c r="B268">
        <f>$E$12</f>
        <v>0.44721359549995793</v>
      </c>
    </row>
    <row r="269" spans="1:9" x14ac:dyDescent="0.3">
      <c r="A269" s="1" t="s">
        <v>9</v>
      </c>
      <c r="B269">
        <f>$E$13</f>
        <v>0.89442719099991586</v>
      </c>
    </row>
    <row r="270" spans="1:9" x14ac:dyDescent="0.3">
      <c r="D270" s="1" t="s">
        <v>49</v>
      </c>
      <c r="E270" s="1" t="s">
        <v>50</v>
      </c>
      <c r="F270" s="1" t="s">
        <v>8</v>
      </c>
      <c r="G270" s="1" t="s">
        <v>9</v>
      </c>
      <c r="H270" s="1" t="s">
        <v>21</v>
      </c>
      <c r="I270" s="1" t="s">
        <v>51</v>
      </c>
    </row>
    <row r="271" spans="1:9" x14ac:dyDescent="0.3">
      <c r="D271">
        <f>-$B$193</f>
        <v>-0.44721359549995793</v>
      </c>
      <c r="E271">
        <f>-$B$194</f>
        <v>-0.89442719099991586</v>
      </c>
      <c r="F271">
        <f>$B$193</f>
        <v>0.44721359549995793</v>
      </c>
      <c r="G271">
        <f>$B$194</f>
        <v>0.89442719099991586</v>
      </c>
      <c r="H271">
        <f>C161</f>
        <v>0.13493513657326325</v>
      </c>
      <c r="I271">
        <v>5</v>
      </c>
    </row>
    <row r="272" spans="1:9" x14ac:dyDescent="0.3">
      <c r="H272">
        <f>C162</f>
        <v>-3.6914061198436425E-2</v>
      </c>
      <c r="I272">
        <v>6</v>
      </c>
    </row>
    <row r="273" spans="1:9" x14ac:dyDescent="0.3">
      <c r="H273">
        <f>C159</f>
        <v>0.1571399644468422</v>
      </c>
      <c r="I273">
        <v>3</v>
      </c>
    </row>
    <row r="274" spans="1:9" x14ac:dyDescent="0.3">
      <c r="H274">
        <f>C160</f>
        <v>2.0300362828756507E-3</v>
      </c>
      <c r="I274">
        <v>4</v>
      </c>
    </row>
    <row r="276" spans="1:9" x14ac:dyDescent="0.3">
      <c r="B276" t="s">
        <v>52</v>
      </c>
    </row>
    <row r="278" spans="1:9" x14ac:dyDescent="0.3">
      <c r="A278" s="22" t="s">
        <v>70</v>
      </c>
      <c r="B278" s="23">
        <f>B267*MMULT(D271:G271,H271:H274)</f>
        <v>14.513488311249448</v>
      </c>
      <c r="C278" s="16" t="str">
        <f>IF(B278&gt;0,"TENSION","COMPRESION")</f>
        <v>TENSION</v>
      </c>
    </row>
    <row r="282" spans="1:9" x14ac:dyDescent="0.3">
      <c r="A282" s="31" t="s">
        <v>59</v>
      </c>
      <c r="B282" s="31"/>
      <c r="C282" s="31"/>
      <c r="D282" s="31"/>
      <c r="E282" s="31"/>
      <c r="F282" s="31"/>
      <c r="G282" s="31"/>
      <c r="H282" s="31"/>
      <c r="I282" s="31"/>
    </row>
    <row r="283" spans="1:9" x14ac:dyDescent="0.3">
      <c r="A283" t="s">
        <v>48</v>
      </c>
      <c r="B283" s="13">
        <f>$F$17</f>
        <v>324.22985673746945</v>
      </c>
    </row>
    <row r="284" spans="1:9" x14ac:dyDescent="0.3">
      <c r="A284" s="1" t="s">
        <v>8</v>
      </c>
      <c r="B284">
        <f>$E$12</f>
        <v>0.44721359549995793</v>
      </c>
    </row>
    <row r="285" spans="1:9" x14ac:dyDescent="0.3">
      <c r="A285" s="1" t="s">
        <v>9</v>
      </c>
      <c r="B285">
        <f>$E$13</f>
        <v>0.89442719099991586</v>
      </c>
    </row>
    <row r="286" spans="1:9" x14ac:dyDescent="0.3">
      <c r="D286" s="1" t="s">
        <v>49</v>
      </c>
      <c r="E286" s="1" t="s">
        <v>50</v>
      </c>
      <c r="F286" s="1" t="s">
        <v>8</v>
      </c>
      <c r="G286" s="1" t="s">
        <v>9</v>
      </c>
      <c r="H286" s="1" t="s">
        <v>21</v>
      </c>
      <c r="I286" s="1" t="s">
        <v>51</v>
      </c>
    </row>
    <row r="287" spans="1:9" x14ac:dyDescent="0.3">
      <c r="D287">
        <f>-$B$193</f>
        <v>-0.44721359549995793</v>
      </c>
      <c r="E287">
        <f>-$B$194</f>
        <v>-0.89442719099991586</v>
      </c>
      <c r="F287">
        <f>$B$193</f>
        <v>0.44721359549995793</v>
      </c>
      <c r="G287">
        <f>$B$194</f>
        <v>0.89442719099991586</v>
      </c>
      <c r="H287">
        <f>C163</f>
        <v>7.0056680546070199E-2</v>
      </c>
      <c r="I287">
        <v>7</v>
      </c>
    </row>
    <row r="288" spans="1:9" x14ac:dyDescent="0.3">
      <c r="H288">
        <f>C164</f>
        <v>-7.4692932706396181E-2</v>
      </c>
      <c r="I288">
        <v>8</v>
      </c>
    </row>
    <row r="289" spans="1:9" x14ac:dyDescent="0.3">
      <c r="H289">
        <f>C161</f>
        <v>0.13493513657326325</v>
      </c>
      <c r="I289">
        <v>5</v>
      </c>
    </row>
    <row r="290" spans="1:9" x14ac:dyDescent="0.3">
      <c r="H290">
        <f>C162</f>
        <v>-3.6914061198436425E-2</v>
      </c>
      <c r="I290">
        <v>6</v>
      </c>
    </row>
    <row r="292" spans="1:9" x14ac:dyDescent="0.3">
      <c r="B292" t="s">
        <v>52</v>
      </c>
    </row>
    <row r="294" spans="1:9" x14ac:dyDescent="0.3">
      <c r="A294" s="22" t="s">
        <v>71</v>
      </c>
      <c r="B294" s="23">
        <f>B283*MMULT(D287:G287,H287:H290)</f>
        <v>20.363248861251321</v>
      </c>
      <c r="C294" s="16" t="str">
        <f>IF(B294&gt;0,"TENSION","COMPRESION")</f>
        <v>TENSION</v>
      </c>
    </row>
    <row r="297" spans="1:9" x14ac:dyDescent="0.3">
      <c r="A297" s="31" t="s">
        <v>60</v>
      </c>
      <c r="B297" s="31"/>
      <c r="C297" s="31"/>
      <c r="D297" s="31"/>
      <c r="E297" s="31"/>
      <c r="F297" s="31"/>
      <c r="G297" s="31"/>
      <c r="H297" s="31"/>
      <c r="I297" s="31"/>
    </row>
    <row r="298" spans="1:9" x14ac:dyDescent="0.3">
      <c r="A298" t="s">
        <v>48</v>
      </c>
      <c r="B298" s="13">
        <f>$F$17</f>
        <v>324.22985673746945</v>
      </c>
    </row>
    <row r="299" spans="1:9" x14ac:dyDescent="0.3">
      <c r="A299" s="1" t="s">
        <v>8</v>
      </c>
      <c r="B299">
        <f>$E$12</f>
        <v>0.44721359549995793</v>
      </c>
    </row>
    <row r="300" spans="1:9" x14ac:dyDescent="0.3">
      <c r="A300" s="1" t="s">
        <v>9</v>
      </c>
      <c r="B300">
        <f>$E$13</f>
        <v>0.89442719099991586</v>
      </c>
    </row>
    <row r="301" spans="1:9" x14ac:dyDescent="0.3">
      <c r="D301" s="1" t="s">
        <v>49</v>
      </c>
      <c r="E301" s="1" t="s">
        <v>50</v>
      </c>
      <c r="F301" s="1" t="s">
        <v>8</v>
      </c>
      <c r="G301" s="1" t="s">
        <v>9</v>
      </c>
      <c r="H301" s="1" t="s">
        <v>21</v>
      </c>
      <c r="I301" s="1" t="s">
        <v>51</v>
      </c>
    </row>
    <row r="302" spans="1:9" x14ac:dyDescent="0.3">
      <c r="D302">
        <f>-$B$193</f>
        <v>-0.44721359549995793</v>
      </c>
      <c r="E302">
        <f>-$B$194</f>
        <v>-0.89442719099991586</v>
      </c>
      <c r="F302">
        <f>$B$193</f>
        <v>0.44721359549995793</v>
      </c>
      <c r="G302">
        <f>$B$194</f>
        <v>0.89442719099991586</v>
      </c>
      <c r="H302">
        <f>C165</f>
        <v>9.6629331011789193E-2</v>
      </c>
      <c r="I302">
        <v>9</v>
      </c>
    </row>
    <row r="303" spans="1:9" x14ac:dyDescent="0.3">
      <c r="H303">
        <f>C166</f>
        <v>-5.9763067165400224E-2</v>
      </c>
      <c r="I303">
        <v>10</v>
      </c>
    </row>
    <row r="304" spans="1:9" x14ac:dyDescent="0.3">
      <c r="H304">
        <f>C161</f>
        <v>0.13493513657326325</v>
      </c>
      <c r="I304">
        <v>5</v>
      </c>
    </row>
    <row r="305" spans="1:9" x14ac:dyDescent="0.3">
      <c r="H305">
        <f>C162</f>
        <v>-3.6914061198436425E-2</v>
      </c>
      <c r="I305">
        <v>6</v>
      </c>
    </row>
    <row r="307" spans="1:9" x14ac:dyDescent="0.3">
      <c r="B307" t="s">
        <v>52</v>
      </c>
    </row>
    <row r="309" spans="1:9" x14ac:dyDescent="0.3">
      <c r="A309" s="22" t="s">
        <v>72</v>
      </c>
      <c r="B309" s="23">
        <f>B298*MMULT(D302:G302,H302:H305)</f>
        <v>12.180553536833235</v>
      </c>
      <c r="C309" s="16" t="str">
        <f>IF(B309&gt;0,"TENSION","COMPRESION")</f>
        <v>TENSION</v>
      </c>
    </row>
    <row r="312" spans="1:9" x14ac:dyDescent="0.3">
      <c r="A312" s="31" t="s">
        <v>61</v>
      </c>
      <c r="B312" s="31"/>
      <c r="C312" s="31"/>
      <c r="D312" s="31"/>
      <c r="E312" s="31"/>
      <c r="F312" s="31"/>
      <c r="G312" s="31"/>
      <c r="H312" s="31"/>
      <c r="I312" s="31"/>
    </row>
    <row r="313" spans="1:9" x14ac:dyDescent="0.3">
      <c r="A313" t="s">
        <v>48</v>
      </c>
      <c r="B313" s="13">
        <f>$F$17</f>
        <v>324.22985673746945</v>
      </c>
    </row>
    <row r="314" spans="1:9" x14ac:dyDescent="0.3">
      <c r="A314" s="1" t="s">
        <v>8</v>
      </c>
      <c r="B314">
        <f>$E$12</f>
        <v>0.44721359549995793</v>
      </c>
    </row>
    <row r="315" spans="1:9" x14ac:dyDescent="0.3">
      <c r="A315" s="1" t="s">
        <v>9</v>
      </c>
      <c r="B315">
        <f>$E$13</f>
        <v>0.89442719099991586</v>
      </c>
    </row>
    <row r="316" spans="1:9" x14ac:dyDescent="0.3">
      <c r="D316" s="1" t="s">
        <v>49</v>
      </c>
      <c r="E316" s="1" t="s">
        <v>50</v>
      </c>
      <c r="F316" s="1" t="s">
        <v>8</v>
      </c>
      <c r="G316" s="1" t="s">
        <v>9</v>
      </c>
      <c r="H316" s="1" t="s">
        <v>21</v>
      </c>
      <c r="I316" s="1" t="s">
        <v>51</v>
      </c>
    </row>
    <row r="317" spans="1:9" x14ac:dyDescent="0.3">
      <c r="D317">
        <f>-$B$193</f>
        <v>-0.44721359549995793</v>
      </c>
      <c r="E317">
        <f>-$B$194</f>
        <v>-0.89442719099991586</v>
      </c>
      <c r="F317">
        <f>$B$193</f>
        <v>0.44721359549995793</v>
      </c>
      <c r="G317">
        <f>$B$194</f>
        <v>0.89442719099991586</v>
      </c>
      <c r="H317">
        <f>C165</f>
        <v>9.6629331011789193E-2</v>
      </c>
      <c r="I317">
        <v>9</v>
      </c>
    </row>
    <row r="318" spans="1:9" x14ac:dyDescent="0.3">
      <c r="H318">
        <f>C166</f>
        <v>-5.9763067165400224E-2</v>
      </c>
      <c r="I318">
        <v>10</v>
      </c>
    </row>
    <row r="319" spans="1:9" x14ac:dyDescent="0.3">
      <c r="H319">
        <f>C163</f>
        <v>7.0056680546070199E-2</v>
      </c>
      <c r="I319">
        <v>7</v>
      </c>
    </row>
    <row r="320" spans="1:9" x14ac:dyDescent="0.3">
      <c r="H320">
        <f>C164</f>
        <v>-7.4692932706396181E-2</v>
      </c>
      <c r="I320">
        <v>8</v>
      </c>
    </row>
    <row r="322" spans="1:9" x14ac:dyDescent="0.3">
      <c r="B322" t="s">
        <v>52</v>
      </c>
    </row>
    <row r="324" spans="1:9" x14ac:dyDescent="0.3">
      <c r="A324" s="22" t="s">
        <v>73</v>
      </c>
      <c r="B324" s="23">
        <f>B313*MMULT(D317:G317,H317:H320)</f>
        <v>-8.1826953244180842</v>
      </c>
      <c r="C324" s="16" t="str">
        <f>IF(B324&gt;0,"TENSION","COMPRESION")</f>
        <v>COMPRESION</v>
      </c>
    </row>
    <row r="327" spans="1:9" x14ac:dyDescent="0.3">
      <c r="A327" s="31" t="s">
        <v>62</v>
      </c>
      <c r="B327" s="31"/>
      <c r="C327" s="31"/>
      <c r="D327" s="31"/>
      <c r="E327" s="31"/>
      <c r="F327" s="31"/>
      <c r="G327" s="31"/>
      <c r="H327" s="31"/>
      <c r="I327" s="31"/>
    </row>
    <row r="328" spans="1:9" x14ac:dyDescent="0.3">
      <c r="A328" t="s">
        <v>48</v>
      </c>
      <c r="B328" s="13">
        <f>$F$17</f>
        <v>324.22985673746945</v>
      </c>
    </row>
    <row r="329" spans="1:9" x14ac:dyDescent="0.3">
      <c r="A329" s="1" t="s">
        <v>8</v>
      </c>
      <c r="B329">
        <f>$E$12</f>
        <v>0.44721359549995793</v>
      </c>
    </row>
    <row r="330" spans="1:9" x14ac:dyDescent="0.3">
      <c r="A330" s="1" t="s">
        <v>9</v>
      </c>
      <c r="B330">
        <f>$E$13</f>
        <v>0.89442719099991586</v>
      </c>
    </row>
    <row r="331" spans="1:9" x14ac:dyDescent="0.3">
      <c r="D331" s="1" t="s">
        <v>49</v>
      </c>
      <c r="E331" s="1" t="s">
        <v>50</v>
      </c>
      <c r="F331" s="1" t="s">
        <v>8</v>
      </c>
      <c r="G331" s="1" t="s">
        <v>9</v>
      </c>
      <c r="H331" s="1" t="s">
        <v>21</v>
      </c>
      <c r="I331" s="1" t="s">
        <v>51</v>
      </c>
    </row>
    <row r="332" spans="1:9" x14ac:dyDescent="0.3">
      <c r="D332">
        <f>-$B$193</f>
        <v>-0.44721359549995793</v>
      </c>
      <c r="E332">
        <f>-$B$194</f>
        <v>-0.89442719099991586</v>
      </c>
      <c r="F332">
        <f>$B$193</f>
        <v>0.44721359549995793</v>
      </c>
      <c r="G332">
        <f>$B$194</f>
        <v>0.89442719099991586</v>
      </c>
      <c r="H332">
        <v>0</v>
      </c>
      <c r="I332">
        <v>14</v>
      </c>
    </row>
    <row r="333" spans="1:9" x14ac:dyDescent="0.3">
      <c r="H333">
        <v>0</v>
      </c>
      <c r="I333">
        <v>13</v>
      </c>
    </row>
    <row r="334" spans="1:9" x14ac:dyDescent="0.3">
      <c r="H334">
        <f>C163</f>
        <v>7.0056680546070199E-2</v>
      </c>
      <c r="I334">
        <v>7</v>
      </c>
    </row>
    <row r="335" spans="1:9" x14ac:dyDescent="0.3">
      <c r="H335">
        <f>C164</f>
        <v>-7.4692932706396181E-2</v>
      </c>
      <c r="I335">
        <v>8</v>
      </c>
    </row>
    <row r="337" spans="1:9" x14ac:dyDescent="0.3">
      <c r="B337" t="s">
        <v>52</v>
      </c>
    </row>
    <row r="339" spans="1:9" x14ac:dyDescent="0.3">
      <c r="A339" s="22" t="s">
        <v>74</v>
      </c>
      <c r="B339" s="23">
        <f>B328*MMULT(D332:G332,H332:H335)</f>
        <v>-11.502731805674713</v>
      </c>
      <c r="C339" s="16" t="str">
        <f>IF(B339&gt;0,"TENSION","COMPRESION")</f>
        <v>COMPRESION</v>
      </c>
    </row>
    <row r="342" spans="1:9" x14ac:dyDescent="0.3">
      <c r="A342" s="31" t="s">
        <v>63</v>
      </c>
      <c r="B342" s="31"/>
      <c r="C342" s="31"/>
      <c r="D342" s="31"/>
      <c r="E342" s="31"/>
      <c r="F342" s="31"/>
      <c r="G342" s="31"/>
      <c r="H342" s="31"/>
      <c r="I342" s="31"/>
    </row>
    <row r="343" spans="1:9" x14ac:dyDescent="0.3">
      <c r="A343" t="s">
        <v>48</v>
      </c>
      <c r="B343" s="13">
        <f>$F$17</f>
        <v>324.22985673746945</v>
      </c>
    </row>
    <row r="344" spans="1:9" x14ac:dyDescent="0.3">
      <c r="A344" s="1" t="s">
        <v>8</v>
      </c>
      <c r="B344">
        <f>$E$12</f>
        <v>0.44721359549995793</v>
      </c>
    </row>
    <row r="345" spans="1:9" x14ac:dyDescent="0.3">
      <c r="A345" s="1" t="s">
        <v>9</v>
      </c>
      <c r="B345">
        <f>$E$13</f>
        <v>0.89442719099991586</v>
      </c>
    </row>
    <row r="346" spans="1:9" x14ac:dyDescent="0.3">
      <c r="D346" s="1" t="s">
        <v>49</v>
      </c>
      <c r="E346" s="1" t="s">
        <v>50</v>
      </c>
      <c r="F346" s="1" t="s">
        <v>8</v>
      </c>
      <c r="G346" s="1" t="s">
        <v>9</v>
      </c>
      <c r="H346" s="1" t="s">
        <v>21</v>
      </c>
      <c r="I346" s="1" t="s">
        <v>51</v>
      </c>
    </row>
    <row r="347" spans="1:9" x14ac:dyDescent="0.3">
      <c r="D347">
        <f>-$B$193</f>
        <v>-0.44721359549995793</v>
      </c>
      <c r="E347">
        <f>-$B$194</f>
        <v>-0.89442719099991586</v>
      </c>
      <c r="F347">
        <f>$B$193</f>
        <v>0.44721359549995793</v>
      </c>
      <c r="G347">
        <f>$B$194</f>
        <v>0.89442719099991586</v>
      </c>
      <c r="H347">
        <v>0</v>
      </c>
      <c r="I347">
        <v>14</v>
      </c>
    </row>
    <row r="348" spans="1:9" x14ac:dyDescent="0.3">
      <c r="H348">
        <v>0</v>
      </c>
      <c r="I348">
        <v>13</v>
      </c>
    </row>
    <row r="349" spans="1:9" x14ac:dyDescent="0.3">
      <c r="H349">
        <f>C165</f>
        <v>9.6629331011789193E-2</v>
      </c>
      <c r="I349">
        <v>9</v>
      </c>
    </row>
    <row r="350" spans="1:9" x14ac:dyDescent="0.3">
      <c r="H350">
        <f>C166</f>
        <v>-5.9763067165400224E-2</v>
      </c>
      <c r="I350">
        <v>10</v>
      </c>
    </row>
    <row r="352" spans="1:9" x14ac:dyDescent="0.3">
      <c r="B352" t="s">
        <v>52</v>
      </c>
    </row>
    <row r="354" spans="1:3" x14ac:dyDescent="0.3">
      <c r="A354" s="22" t="s">
        <v>75</v>
      </c>
      <c r="B354" s="23">
        <f>B343*MMULT(D347:G347,H347:H350)</f>
        <v>-3.3200364812566296</v>
      </c>
      <c r="C354" s="16" t="str">
        <f>IF(B354&gt;0,"TENSION","COMPRESION")</f>
        <v>COMPRESION</v>
      </c>
    </row>
  </sheetData>
  <mergeCells count="64">
    <mergeCell ref="BU6:CJ6"/>
    <mergeCell ref="A58:P58"/>
    <mergeCell ref="S58:AH58"/>
    <mergeCell ref="AK58:AZ58"/>
    <mergeCell ref="BC58:BR58"/>
    <mergeCell ref="BC8:BE8"/>
    <mergeCell ref="AK21:AQ21"/>
    <mergeCell ref="AK37:AY37"/>
    <mergeCell ref="S8:U8"/>
    <mergeCell ref="A342:I342"/>
    <mergeCell ref="A6:P6"/>
    <mergeCell ref="S6:AH6"/>
    <mergeCell ref="AK6:AZ6"/>
    <mergeCell ref="BC6:BR6"/>
    <mergeCell ref="A266:I266"/>
    <mergeCell ref="A282:I282"/>
    <mergeCell ref="A297:I297"/>
    <mergeCell ref="A312:I312"/>
    <mergeCell ref="A327:I327"/>
    <mergeCell ref="A191:I191"/>
    <mergeCell ref="A206:I206"/>
    <mergeCell ref="A221:I221"/>
    <mergeCell ref="A236:I236"/>
    <mergeCell ref="A251:I251"/>
    <mergeCell ref="C135:P135"/>
    <mergeCell ref="E171:N171"/>
    <mergeCell ref="A3:M3"/>
    <mergeCell ref="A8:C8"/>
    <mergeCell ref="A21:G21"/>
    <mergeCell ref="A37:O37"/>
    <mergeCell ref="A113:O113"/>
    <mergeCell ref="A89:O89"/>
    <mergeCell ref="A73:G73"/>
    <mergeCell ref="A133:O133"/>
    <mergeCell ref="B169:O169"/>
    <mergeCell ref="E156:N156"/>
    <mergeCell ref="B154:O154"/>
    <mergeCell ref="BU72:CA72"/>
    <mergeCell ref="BU88:CI88"/>
    <mergeCell ref="BU8:BW8"/>
    <mergeCell ref="AK8:AM8"/>
    <mergeCell ref="CM57:DB57"/>
    <mergeCell ref="CM59:CO59"/>
    <mergeCell ref="CM72:CS72"/>
    <mergeCell ref="CM88:DA88"/>
    <mergeCell ref="BU57:CJ57"/>
    <mergeCell ref="BU59:BW59"/>
    <mergeCell ref="AK73:AQ73"/>
    <mergeCell ref="BC73:BI73"/>
    <mergeCell ref="BU21:CA21"/>
    <mergeCell ref="BU37:CI37"/>
    <mergeCell ref="BC21:BI21"/>
    <mergeCell ref="BC37:BQ37"/>
    <mergeCell ref="A1:M1"/>
    <mergeCell ref="S89:AG89"/>
    <mergeCell ref="AK89:AY89"/>
    <mergeCell ref="BC89:BQ89"/>
    <mergeCell ref="S73:Y73"/>
    <mergeCell ref="S21:Y21"/>
    <mergeCell ref="S37:AG37"/>
    <mergeCell ref="AK60:AM60"/>
    <mergeCell ref="BC60:BE60"/>
    <mergeCell ref="A60:C60"/>
    <mergeCell ref="S60:U60"/>
  </mergeCells>
  <phoneticPr fontId="3" type="noConversion"/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garcia</dc:creator>
  <cp:lastModifiedBy>Ivan Rivera</cp:lastModifiedBy>
  <dcterms:created xsi:type="dcterms:W3CDTF">2026-03-07T19:33:42Z</dcterms:created>
  <dcterms:modified xsi:type="dcterms:W3CDTF">2026-03-17T06:06:41Z</dcterms:modified>
</cp:coreProperties>
</file>