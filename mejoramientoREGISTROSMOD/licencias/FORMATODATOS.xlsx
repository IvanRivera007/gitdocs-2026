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docs-2026\mejoramientoREGISTROSMOD\licencias\"/>
    </mc:Choice>
  </mc:AlternateContent>
  <xr:revisionPtr revIDLastSave="0" documentId="13_ncr:1_{A5CD1834-5465-4228-B266-818E6B9A668A}" xr6:coauthVersionLast="47" xr6:coauthVersionMax="47" xr10:uidLastSave="{00000000-0000-0000-0000-000000000000}"/>
  <bookViews>
    <workbookView xWindow="-120" yWindow="-120" windowWidth="20730" windowHeight="11160" activeTab="1" xr2:uid="{60CAAE2D-5B6B-4BA9-A8AD-B3837DA37C50}"/>
  </bookViews>
  <sheets>
    <sheet name="H1" sheetId="1" r:id="rId1"/>
    <sheet name="H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2" l="1"/>
  <c r="C3" i="2"/>
  <c r="C4" i="2"/>
  <c r="C5" i="2"/>
  <c r="C6" i="2"/>
  <c r="C2" i="2"/>
  <c r="C7" i="2"/>
  <c r="BF2" i="2" l="1"/>
  <c r="BE2" i="2"/>
  <c r="BC2" i="2"/>
  <c r="BA2" i="2"/>
  <c r="AW2" i="2"/>
  <c r="AV2" i="2"/>
  <c r="AU2" i="2"/>
  <c r="AT2" i="2"/>
  <c r="AC2" i="2"/>
  <c r="AB2" i="2"/>
  <c r="Z2" i="2"/>
  <c r="V2" i="2"/>
  <c r="S2" i="2"/>
  <c r="L2" i="2"/>
  <c r="P2" i="2" s="1"/>
  <c r="I2" i="2"/>
  <c r="G2" i="2"/>
  <c r="H2" i="2"/>
  <c r="F2" i="2"/>
  <c r="D2" i="2"/>
  <c r="E2" i="2" s="1"/>
  <c r="B2" i="2"/>
  <c r="A2" i="2"/>
  <c r="Q2" i="2"/>
  <c r="R2" i="2"/>
</calcChain>
</file>

<file path=xl/sharedStrings.xml><?xml version="1.0" encoding="utf-8"?>
<sst xmlns="http://schemas.openxmlformats.org/spreadsheetml/2006/main" count="344" uniqueCount="142">
  <si>
    <t>REGULARIZACION</t>
  </si>
  <si>
    <t>Sí</t>
  </si>
  <si>
    <t>VIVIENDA UNIFAMILIAR</t>
  </si>
  <si>
    <t>RPNL1-120223</t>
  </si>
  <si>
    <t>LIMATUJ IXCARAGUA WOTZBELI EUGENIO</t>
  </si>
  <si>
    <t>25 AVENIDA 3-64 LOTE 6</t>
  </si>
  <si>
    <t>34E</t>
  </si>
  <si>
    <t>ARQ. EDERSON GIOVANI COTI HUITZ</t>
  </si>
  <si>
    <t>PAZ BENITEZ, NERY SANTIAGO</t>
  </si>
  <si>
    <t>IXCARAGUA BATZ, HUGO ALEJANDRO</t>
  </si>
  <si>
    <t>null</t>
  </si>
  <si>
    <t>VIVIENDA BIFAMILIAR</t>
  </si>
  <si>
    <t>L23-258-RL001</t>
  </si>
  <si>
    <t>LUS23-231-RL001</t>
  </si>
  <si>
    <t>USO_DE_SUELO</t>
  </si>
  <si>
    <t>MINI CANCHA SINTETICA</t>
  </si>
  <si>
    <t>USS1-020323</t>
  </si>
  <si>
    <t>SUASNAVAR BOLAÑOS ANA MARIA N. Y CDUEÑOS</t>
  </si>
  <si>
    <t>CALLE D15-15</t>
  </si>
  <si>
    <t>114E</t>
  </si>
  <si>
    <t>ING. MARIO RENE FLORES</t>
  </si>
  <si>
    <t>LILY G.</t>
  </si>
  <si>
    <t>FECHA DE PAGO 17/05/2023 RECIBO 001372-E</t>
  </si>
  <si>
    <t>COLEGIO LICEO ITALIANO TRILINGUE</t>
  </si>
  <si>
    <t>LUS23-219-MP030</t>
  </si>
  <si>
    <t>Generar Detalle</t>
  </si>
  <si>
    <t>Año</t>
  </si>
  <si>
    <t>Tramite</t>
  </si>
  <si>
    <t>Expediente Finalizado</t>
  </si>
  <si>
    <t>Fecha Finalización</t>
  </si>
  <si>
    <t>Destino Autorizado</t>
  </si>
  <si>
    <t>Expediente</t>
  </si>
  <si>
    <t>Expediente de Referencia</t>
  </si>
  <si>
    <t>Propietario</t>
  </si>
  <si>
    <t>Dirección</t>
  </si>
  <si>
    <t>Zona</t>
  </si>
  <si>
    <t>Colonia/Condominio</t>
  </si>
  <si>
    <t>Código de Inmueble</t>
  </si>
  <si>
    <t>Finca</t>
  </si>
  <si>
    <t>Folio</t>
  </si>
  <si>
    <t>Libro</t>
  </si>
  <si>
    <t>Fecha Ingreso</t>
  </si>
  <si>
    <t>Planificador</t>
  </si>
  <si>
    <t>Ejecutor</t>
  </si>
  <si>
    <t>Inspector</t>
  </si>
  <si>
    <t>Revisó</t>
  </si>
  <si>
    <t>Gestor</t>
  </si>
  <si>
    <t>Observaciones</t>
  </si>
  <si>
    <t>Comentarios</t>
  </si>
  <si>
    <t>Nombre del Proyecto</t>
  </si>
  <si>
    <t>Solicita</t>
  </si>
  <si>
    <t>Licencia de Obra</t>
  </si>
  <si>
    <t>Licencia de Suelo</t>
  </si>
  <si>
    <t>Metros</t>
  </si>
  <si>
    <t>Costo de Obra</t>
  </si>
  <si>
    <t>Valor Licencia</t>
  </si>
  <si>
    <t>Unidades Funcionales Existentes</t>
  </si>
  <si>
    <t>Unidades Funcionales de Esta Licencia</t>
  </si>
  <si>
    <t>Recibo Licencia Obra</t>
  </si>
  <si>
    <t>Niveles</t>
  </si>
  <si>
    <t>Fecha de Pago</t>
  </si>
  <si>
    <t>LICENCIA_DE_CONSTRUCCION</t>
  </si>
  <si>
    <t>VUNG5-010223</t>
  </si>
  <si>
    <t>GONZALEZ MENDEZ JOSUE MANUEL</t>
  </si>
  <si>
    <t>16 CALLE 10A-40 LOTE 10 MZ G</t>
  </si>
  <si>
    <t>VISTALVALLE</t>
  </si>
  <si>
    <t>356E</t>
  </si>
  <si>
    <t>ING. FRANCISCO ARNOLDO SAC ESCOBAR</t>
  </si>
  <si>
    <t>NADIE</t>
  </si>
  <si>
    <t>L23-261-JM76</t>
  </si>
  <si>
    <t>LUS23-235-JM76</t>
  </si>
  <si>
    <t>003479-E</t>
  </si>
  <si>
    <t>MOVIMIENTO_DE_TIERRA</t>
  </si>
  <si>
    <t>MOVIMIENTO DE TIERRA</t>
  </si>
  <si>
    <t>MVNS12-021222</t>
  </si>
  <si>
    <t>SERRANO ESTER BETZABE LIMA DE</t>
  </si>
  <si>
    <t>12 AVENIDA 6-19 LOTE 1A SECTOR 2</t>
  </si>
  <si>
    <t>NUEVA CIUDAD DE LOS ALTOS 2</t>
  </si>
  <si>
    <t>40E</t>
  </si>
  <si>
    <t>ARQ. SINDI CRISTAL COJULUN TOSCANO</t>
  </si>
  <si>
    <t>RIVERA MOIR, NATALIE STEPHANIA</t>
  </si>
  <si>
    <t>L23-003-NR116</t>
  </si>
  <si>
    <t>LICENCIA</t>
  </si>
  <si>
    <t>EXPEDIENTE</t>
  </si>
  <si>
    <t>PROPIETARIO</t>
  </si>
  <si>
    <t>DIRECCION DEL INMUEBLE</t>
  </si>
  <si>
    <t>DIRECCION PARA NOTIFICAR</t>
  </si>
  <si>
    <t>FINCA</t>
  </si>
  <si>
    <t>FOLIO</t>
  </si>
  <si>
    <t>LIBRO</t>
  </si>
  <si>
    <t>CODIGO MUNICIPAL</t>
  </si>
  <si>
    <t>AREA DEL PREDIO</t>
  </si>
  <si>
    <t>MATRICULA MUNICIPAL</t>
  </si>
  <si>
    <t>PLANIFICADOR</t>
  </si>
  <si>
    <t>ING</t>
  </si>
  <si>
    <t>ARQ</t>
  </si>
  <si>
    <t>COLEGIADO</t>
  </si>
  <si>
    <t>EJECUTOR</t>
  </si>
  <si>
    <t>GESTOR</t>
  </si>
  <si>
    <t>DPI</t>
  </si>
  <si>
    <t>DESTINO DE LA OBRA</t>
  </si>
  <si>
    <t>CARACTERISTICAS 1</t>
  </si>
  <si>
    <t>CARACTERISTICAS 2</t>
  </si>
  <si>
    <t>MURO</t>
  </si>
  <si>
    <t>UNIDADES FUNCIONALES</t>
  </si>
  <si>
    <t>MODULO DE GRADAS</t>
  </si>
  <si>
    <t>AREA A CONSTRUIR</t>
  </si>
  <si>
    <t>NIVELES</t>
  </si>
  <si>
    <t>SOTANO</t>
  </si>
  <si>
    <t>AREA RESIDENCIAL</t>
  </si>
  <si>
    <t>AREA NO RESIDENCIAL</t>
  </si>
  <si>
    <t>AREA PERMEABLE</t>
  </si>
  <si>
    <t>APORTE URBANISTICO</t>
  </si>
  <si>
    <t>SI</t>
  </si>
  <si>
    <t>NO</t>
  </si>
  <si>
    <t>SUELO</t>
  </si>
  <si>
    <t>SUELO ESPECIAL</t>
  </si>
  <si>
    <t>EEMQ</t>
  </si>
  <si>
    <t>EMAX</t>
  </si>
  <si>
    <t>DRENAJES</t>
  </si>
  <si>
    <t>DICTAMEN</t>
  </si>
  <si>
    <t>DE</t>
  </si>
  <si>
    <t>ALINEACION</t>
  </si>
  <si>
    <t>CESION DE AREA</t>
  </si>
  <si>
    <t>PAGO DE LICENCIA</t>
  </si>
  <si>
    <t>RECIBO</t>
  </si>
  <si>
    <t>PAGO DE ALINEACION</t>
  </si>
  <si>
    <t>TIPO DE LICENCIA</t>
  </si>
  <si>
    <t>NUMERO DE LICENCIA</t>
  </si>
  <si>
    <t>NUMERO DE SUPERVISIONES</t>
  </si>
  <si>
    <t>FECHA DE PAGO</t>
  </si>
  <si>
    <t>VENCE</t>
  </si>
  <si>
    <t>COSTO DE OBRA</t>
  </si>
  <si>
    <t>LICENCIA DE USO DE SUELO</t>
  </si>
  <si>
    <t>RESOLUCION DEL MARN</t>
  </si>
  <si>
    <t>USO RESIDENCIAL</t>
  </si>
  <si>
    <t>USO ORDINARIO</t>
  </si>
  <si>
    <t>USO CONDICIONADO</t>
  </si>
  <si>
    <t>CLASIFICACION DE USO</t>
  </si>
  <si>
    <t>PAGO USO DE SUELO</t>
  </si>
  <si>
    <t>FECHA DE VENCIMIENTO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</si>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</sst>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_-[$Q-100A]* #,##0.00_-;\-[$Q-100A]* #,##0.00_-;_-[$Q-100A]* &quot;-&quot;??_-;_-@_-"/>
  </numFmts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b/>
      <sz val="10"/>
      <color rgb="FFFFFFFF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  <fill>
      <patternFill patternType="solid">
        <fgColor rgb="FF1F5E9C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98989D"/>
      </left>
      <right style="thin">
        <color rgb="FF98989D"/>
      </right>
      <top style="thin">
        <color rgb="FF98989D"/>
      </top>
      <bottom style="thin">
        <color rgb="FF98989D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14" fontId="4" fillId="4" borderId="2" xfId="0" applyNumberFormat="1" applyFont="1" applyFill="1" applyBorder="1" applyAlignment="1">
      <alignment horizontal="left" vertical="center" wrapText="1"/>
    </xf>
    <xf numFmtId="14" fontId="4" fillId="4" borderId="3" xfId="0" applyNumberFormat="1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6" fillId="6" borderId="7" xfId="3" applyFill="1" applyBorder="1" applyAlignment="1">
      <alignment horizontal="left" vertical="center" wrapText="1"/>
    </xf>
    <xf numFmtId="0" fontId="4" fillId="6" borderId="8" xfId="0" applyFont="1" applyFill="1" applyBorder="1" applyAlignment="1">
      <alignment horizontal="left" vertical="center" wrapText="1"/>
    </xf>
    <xf numFmtId="14" fontId="4" fillId="6" borderId="8" xfId="0" applyNumberFormat="1" applyFont="1" applyFill="1" applyBorder="1" applyAlignment="1">
      <alignment horizontal="left" vertical="center" wrapText="1"/>
    </xf>
    <xf numFmtId="14" fontId="4" fillId="6" borderId="9" xfId="0" applyNumberFormat="1" applyFont="1" applyFill="1" applyBorder="1" applyAlignment="1">
      <alignment horizontal="left" vertical="center" wrapText="1"/>
    </xf>
    <xf numFmtId="0" fontId="0" fillId="4" borderId="10" xfId="0" applyFill="1" applyBorder="1"/>
    <xf numFmtId="0" fontId="3" fillId="7" borderId="11" xfId="2" applyFont="1" applyFill="1" applyBorder="1" applyAlignment="1">
      <alignment horizontal="center" vertical="center" wrapText="1"/>
    </xf>
    <xf numFmtId="164" fontId="3" fillId="7" borderId="11" xfId="2" applyNumberFormat="1" applyFont="1" applyFill="1" applyBorder="1" applyAlignment="1">
      <alignment horizontal="center" vertical="center" wrapText="1"/>
    </xf>
    <xf numFmtId="165" fontId="3" fillId="7" borderId="11" xfId="2" applyNumberFormat="1" applyFont="1" applyFill="1" applyBorder="1" applyAlignment="1">
      <alignment horizontal="center" vertical="center" wrapText="1"/>
    </xf>
    <xf numFmtId="0" fontId="3" fillId="7" borderId="11" xfId="1" applyFont="1" applyFill="1" applyBorder="1" applyAlignment="1">
      <alignment horizontal="center" vertical="center" wrapText="1"/>
    </xf>
    <xf numFmtId="164" fontId="3" fillId="7" borderId="11" xfId="1" applyNumberFormat="1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14" fontId="0" fillId="0" borderId="0" xfId="0" applyNumberFormat="1"/>
    <xf numFmtId="0" fontId="3" fillId="8" borderId="11" xfId="2" applyFont="1" applyFill="1" applyBorder="1" applyAlignment="1">
      <alignment horizontal="center" vertical="center" wrapText="1"/>
    </xf>
    <xf numFmtId="0" fontId="3" fillId="9" borderId="11" xfId="2" applyFont="1" applyFill="1" applyBorder="1" applyAlignment="1">
      <alignment horizontal="center" vertical="center" wrapText="1"/>
    </xf>
    <xf numFmtId="0" fontId="3" fillId="10" borderId="11" xfId="2" applyFont="1" applyFill="1" applyBorder="1" applyAlignment="1">
      <alignment horizontal="center" vertical="center" wrapText="1"/>
    </xf>
    <xf numFmtId="0" fontId="7" fillId="0" borderId="0" xfId="0" applyFont="1"/>
  </cellXfs>
  <cellStyles count="4">
    <cellStyle name="Bueno" xfId="1" builtinId="26"/>
    <cellStyle name="Hipervínculo" xfId="3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co-munixela.kodsoftware.com/detalle_exp_pdf.php?id=30382" TargetMode="External"/><Relationship Id="rId2" Type="http://schemas.openxmlformats.org/officeDocument/2006/relationships/hyperlink" Target="https://dco-munixela.kodsoftware.com/detalle_exp_pdf.php?id=30382" TargetMode="External"/><Relationship Id="rId1" Type="http://schemas.openxmlformats.org/officeDocument/2006/relationships/hyperlink" Target="https://dco-munixela.kodsoftware.com/detalle_exp_pdf.php?id=30382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9F7D-79C0-4150-8F5C-F3D352A9CDCB}">
  <sheetPr codeName="Hoja1"/>
  <dimension ref="A1:AK30"/>
  <sheetViews>
    <sheetView zoomScale="85" zoomScaleNormal="85" workbookViewId="0">
      <pane ySplit="1" topLeftCell="A2" activePane="bottomLeft" state="frozen"/>
      <selection pane="bottomLeft" activeCell="B27" sqref="B27"/>
    </sheetView>
  </sheetViews>
  <sheetFormatPr baseColWidth="10" defaultRowHeight="15" x14ac:dyDescent="0.25"/>
  <sheetData>
    <row r="1" spans="1:35" ht="57.75" thickBot="1" x14ac:dyDescent="0.3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33</v>
      </c>
      <c r="I1" s="7" t="s">
        <v>34</v>
      </c>
      <c r="J1" s="7" t="s">
        <v>35</v>
      </c>
      <c r="K1" s="7" t="s">
        <v>36</v>
      </c>
      <c r="L1" s="7" t="s">
        <v>37</v>
      </c>
      <c r="M1" s="7" t="s">
        <v>38</v>
      </c>
      <c r="N1" s="7" t="s">
        <v>39</v>
      </c>
      <c r="O1" s="7" t="s">
        <v>40</v>
      </c>
      <c r="P1" s="7" t="s">
        <v>41</v>
      </c>
      <c r="Q1" s="7" t="s">
        <v>42</v>
      </c>
      <c r="R1" s="7" t="s">
        <v>43</v>
      </c>
      <c r="S1" s="7" t="s">
        <v>44</v>
      </c>
      <c r="T1" s="7" t="s">
        <v>45</v>
      </c>
      <c r="U1" s="7" t="s">
        <v>46</v>
      </c>
      <c r="V1" s="7" t="s">
        <v>47</v>
      </c>
      <c r="W1" s="7" t="s">
        <v>48</v>
      </c>
      <c r="X1" s="7" t="s">
        <v>49</v>
      </c>
      <c r="Y1" s="7" t="s">
        <v>50</v>
      </c>
      <c r="Z1" s="7" t="s">
        <v>51</v>
      </c>
      <c r="AA1" s="7" t="s">
        <v>52</v>
      </c>
      <c r="AB1" s="7" t="s">
        <v>53</v>
      </c>
      <c r="AC1" s="7" t="s">
        <v>54</v>
      </c>
      <c r="AD1" s="7" t="s">
        <v>55</v>
      </c>
      <c r="AE1" s="7" t="s">
        <v>56</v>
      </c>
      <c r="AF1" s="7" t="s">
        <v>57</v>
      </c>
      <c r="AG1" s="7" t="s">
        <v>58</v>
      </c>
      <c r="AH1" s="7" t="s">
        <v>59</v>
      </c>
      <c r="AI1" s="8" t="s">
        <v>60</v>
      </c>
    </row>
    <row r="2" spans="1:35" ht="57" x14ac:dyDescent="0.25">
      <c r="A2" s="1">
        <v>2023</v>
      </c>
      <c r="B2" s="2" t="s">
        <v>0</v>
      </c>
      <c r="C2" s="2" t="s">
        <v>1</v>
      </c>
      <c r="D2" s="3">
        <v>45662</v>
      </c>
      <c r="E2" s="2" t="s">
        <v>2</v>
      </c>
      <c r="F2" s="2" t="s">
        <v>3</v>
      </c>
      <c r="G2" s="2"/>
      <c r="H2" s="2" t="s">
        <v>4</v>
      </c>
      <c r="I2" s="2" t="s">
        <v>5</v>
      </c>
      <c r="J2" s="2">
        <v>1</v>
      </c>
      <c r="K2" s="2"/>
      <c r="L2" s="2">
        <v>177389</v>
      </c>
      <c r="M2" s="2">
        <v>6694</v>
      </c>
      <c r="N2" s="2">
        <v>194</v>
      </c>
      <c r="O2" s="2" t="s">
        <v>6</v>
      </c>
      <c r="P2" s="3">
        <v>44980</v>
      </c>
      <c r="Q2" s="2" t="s">
        <v>7</v>
      </c>
      <c r="R2" s="2" t="s">
        <v>7</v>
      </c>
      <c r="S2" s="2" t="s">
        <v>8</v>
      </c>
      <c r="T2" s="2" t="s">
        <v>9</v>
      </c>
      <c r="U2" s="2"/>
      <c r="V2" s="2"/>
      <c r="W2" s="2" t="s">
        <v>10</v>
      </c>
      <c r="X2" s="2"/>
      <c r="Y2" s="2" t="s">
        <v>11</v>
      </c>
      <c r="Z2" s="2" t="s">
        <v>12</v>
      </c>
      <c r="AA2" s="2" t="s">
        <v>13</v>
      </c>
      <c r="AB2" s="2">
        <v>219.32</v>
      </c>
      <c r="AC2" s="2">
        <v>560952.5</v>
      </c>
      <c r="AD2" s="2">
        <v>2834.29</v>
      </c>
      <c r="AE2" s="2"/>
      <c r="AF2" s="2">
        <v>2</v>
      </c>
      <c r="AG2" s="2">
        <v>852682</v>
      </c>
      <c r="AH2" s="2">
        <v>2</v>
      </c>
      <c r="AI2" s="4">
        <v>45044</v>
      </c>
    </row>
    <row r="3" spans="1:35" ht="57" x14ac:dyDescent="0.25">
      <c r="A3" s="1">
        <v>2023</v>
      </c>
      <c r="B3" s="2" t="s">
        <v>0</v>
      </c>
      <c r="C3" s="2" t="s">
        <v>1</v>
      </c>
      <c r="D3" s="3">
        <v>45662</v>
      </c>
      <c r="E3" s="2" t="s">
        <v>2</v>
      </c>
      <c r="F3" s="2" t="s">
        <v>3</v>
      </c>
      <c r="G3" s="2"/>
      <c r="H3" s="2" t="s">
        <v>4</v>
      </c>
      <c r="I3" s="2" t="s">
        <v>5</v>
      </c>
      <c r="J3" s="2">
        <v>1</v>
      </c>
      <c r="K3" s="2"/>
      <c r="L3" s="2">
        <v>177389</v>
      </c>
      <c r="M3" s="2">
        <v>6694</v>
      </c>
      <c r="N3" s="2">
        <v>194</v>
      </c>
      <c r="O3" s="2" t="s">
        <v>6</v>
      </c>
      <c r="P3" s="3">
        <v>44980</v>
      </c>
      <c r="Q3" s="2" t="s">
        <v>7</v>
      </c>
      <c r="R3" s="2" t="s">
        <v>7</v>
      </c>
      <c r="S3" s="2" t="s">
        <v>8</v>
      </c>
      <c r="T3" s="2" t="s">
        <v>9</v>
      </c>
      <c r="U3" s="2"/>
      <c r="V3" s="2"/>
      <c r="W3" s="2" t="s">
        <v>10</v>
      </c>
      <c r="X3" s="2"/>
      <c r="Y3" s="2" t="s">
        <v>11</v>
      </c>
      <c r="Z3" s="2" t="s">
        <v>12</v>
      </c>
      <c r="AA3" s="2" t="s">
        <v>13</v>
      </c>
      <c r="AB3" s="2">
        <v>219.32</v>
      </c>
      <c r="AC3" s="2">
        <v>560952.5</v>
      </c>
      <c r="AD3" s="2">
        <v>2834.29</v>
      </c>
      <c r="AE3" s="2"/>
      <c r="AF3" s="2">
        <v>2</v>
      </c>
      <c r="AG3" s="2">
        <v>852682</v>
      </c>
      <c r="AH3" s="2">
        <v>2</v>
      </c>
      <c r="AI3" s="4">
        <v>45044</v>
      </c>
    </row>
    <row r="4" spans="1:35" ht="71.25" x14ac:dyDescent="0.25">
      <c r="A4" s="1">
        <v>2023</v>
      </c>
      <c r="B4" s="2" t="s">
        <v>14</v>
      </c>
      <c r="C4" s="2" t="s">
        <v>1</v>
      </c>
      <c r="D4" s="3">
        <v>45662</v>
      </c>
      <c r="E4" s="2" t="s">
        <v>15</v>
      </c>
      <c r="F4" s="2" t="s">
        <v>16</v>
      </c>
      <c r="G4" s="2"/>
      <c r="H4" s="2" t="s">
        <v>17</v>
      </c>
      <c r="I4" s="2" t="s">
        <v>18</v>
      </c>
      <c r="J4" s="2">
        <v>1</v>
      </c>
      <c r="K4" s="2"/>
      <c r="L4" s="2">
        <v>190573</v>
      </c>
      <c r="M4" s="2">
        <v>6659</v>
      </c>
      <c r="N4" s="2">
        <v>159</v>
      </c>
      <c r="O4" s="2" t="s">
        <v>19</v>
      </c>
      <c r="P4" s="3">
        <v>44998</v>
      </c>
      <c r="Q4" s="2" t="s">
        <v>20</v>
      </c>
      <c r="R4" s="2"/>
      <c r="S4" s="2" t="s">
        <v>21</v>
      </c>
      <c r="T4" s="2" t="s">
        <v>9</v>
      </c>
      <c r="U4" s="2"/>
      <c r="V4" s="2" t="s">
        <v>22</v>
      </c>
      <c r="W4" s="2" t="s">
        <v>10</v>
      </c>
      <c r="X4" s="2"/>
      <c r="Y4" s="2" t="s">
        <v>23</v>
      </c>
      <c r="Z4" s="2"/>
      <c r="AA4" s="2" t="s">
        <v>24</v>
      </c>
      <c r="AB4" s="2">
        <v>163.87</v>
      </c>
      <c r="AC4" s="2"/>
      <c r="AD4" s="2"/>
      <c r="AE4" s="2"/>
      <c r="AF4" s="2"/>
      <c r="AG4" s="2"/>
      <c r="AH4" s="2"/>
      <c r="AI4" s="5"/>
    </row>
    <row r="5" spans="1:35" ht="71.25" x14ac:dyDescent="0.25">
      <c r="A5" s="1">
        <v>2023</v>
      </c>
      <c r="B5" s="2" t="s">
        <v>61</v>
      </c>
      <c r="C5" s="2" t="s">
        <v>1</v>
      </c>
      <c r="D5" s="3">
        <v>45662</v>
      </c>
      <c r="E5" s="2" t="s">
        <v>2</v>
      </c>
      <c r="F5" s="2" t="s">
        <v>62</v>
      </c>
      <c r="G5" s="2"/>
      <c r="H5" s="2" t="s">
        <v>63</v>
      </c>
      <c r="I5" s="2" t="s">
        <v>64</v>
      </c>
      <c r="J5" s="2">
        <v>5</v>
      </c>
      <c r="K5" s="2" t="s">
        <v>65</v>
      </c>
      <c r="L5" s="2">
        <v>202824</v>
      </c>
      <c r="M5" s="2">
        <v>7901</v>
      </c>
      <c r="N5" s="2">
        <v>401</v>
      </c>
      <c r="O5" s="2" t="s">
        <v>66</v>
      </c>
      <c r="P5" s="3">
        <v>44985</v>
      </c>
      <c r="Q5" s="2" t="s">
        <v>67</v>
      </c>
      <c r="R5" s="2" t="s">
        <v>67</v>
      </c>
      <c r="S5" s="2" t="s">
        <v>21</v>
      </c>
      <c r="T5" s="2" t="s">
        <v>68</v>
      </c>
      <c r="U5" s="2"/>
      <c r="V5" s="2"/>
      <c r="W5" s="2" t="s">
        <v>10</v>
      </c>
      <c r="X5" s="2"/>
      <c r="Y5" s="2" t="s">
        <v>2</v>
      </c>
      <c r="Z5" s="2" t="s">
        <v>69</v>
      </c>
      <c r="AA5" s="2" t="s">
        <v>70</v>
      </c>
      <c r="AB5" s="2">
        <v>262.13</v>
      </c>
      <c r="AC5" s="2">
        <v>708035</v>
      </c>
      <c r="AD5" s="2">
        <v>3768.81</v>
      </c>
      <c r="AE5" s="2"/>
      <c r="AF5" s="2">
        <v>1</v>
      </c>
      <c r="AG5" s="2" t="s">
        <v>71</v>
      </c>
      <c r="AH5" s="2">
        <v>2</v>
      </c>
      <c r="AI5" s="4">
        <v>45071</v>
      </c>
    </row>
    <row r="6" spans="1:35" ht="57.75" thickBot="1" x14ac:dyDescent="0.3">
      <c r="A6" s="1">
        <v>2022</v>
      </c>
      <c r="B6" s="2" t="s">
        <v>72</v>
      </c>
      <c r="C6" s="2" t="s">
        <v>1</v>
      </c>
      <c r="D6" s="3">
        <v>45662</v>
      </c>
      <c r="E6" s="2" t="s">
        <v>73</v>
      </c>
      <c r="F6" s="2" t="s">
        <v>74</v>
      </c>
      <c r="G6" s="2"/>
      <c r="H6" s="2" t="s">
        <v>75</v>
      </c>
      <c r="I6" s="2" t="s">
        <v>76</v>
      </c>
      <c r="J6" s="2">
        <v>12</v>
      </c>
      <c r="K6" s="2" t="s">
        <v>77</v>
      </c>
      <c r="L6" s="2">
        <v>188044</v>
      </c>
      <c r="M6" s="2">
        <v>9579</v>
      </c>
      <c r="N6" s="2">
        <v>79</v>
      </c>
      <c r="O6" s="2" t="s">
        <v>78</v>
      </c>
      <c r="P6" s="3">
        <v>44909</v>
      </c>
      <c r="Q6" s="2" t="s">
        <v>79</v>
      </c>
      <c r="R6" s="2" t="s">
        <v>79</v>
      </c>
      <c r="S6" s="2" t="s">
        <v>80</v>
      </c>
      <c r="T6" s="2" t="s">
        <v>68</v>
      </c>
      <c r="U6" s="2"/>
      <c r="V6" s="2"/>
      <c r="W6" s="2" t="s">
        <v>10</v>
      </c>
      <c r="X6" s="2"/>
      <c r="Y6" s="2" t="s">
        <v>73</v>
      </c>
      <c r="Z6" s="2" t="s">
        <v>81</v>
      </c>
      <c r="AA6" s="2"/>
      <c r="AB6" s="2">
        <v>206.4</v>
      </c>
      <c r="AC6" s="2">
        <v>20640</v>
      </c>
      <c r="AD6" s="2">
        <v>206.4</v>
      </c>
      <c r="AE6" s="2"/>
      <c r="AF6" s="2"/>
      <c r="AG6" s="2">
        <v>914815</v>
      </c>
      <c r="AH6" s="2"/>
      <c r="AI6" s="4">
        <v>44932</v>
      </c>
    </row>
    <row r="7" spans="1:35" ht="57" x14ac:dyDescent="0.25">
      <c r="A7" s="10">
        <v>2023</v>
      </c>
      <c r="B7" s="10" t="s">
        <v>0</v>
      </c>
      <c r="C7" s="10" t="s">
        <v>1</v>
      </c>
      <c r="D7" s="11">
        <v>45662</v>
      </c>
      <c r="E7" s="10" t="s">
        <v>2</v>
      </c>
      <c r="F7" s="10" t="s">
        <v>3</v>
      </c>
      <c r="G7" s="10"/>
      <c r="H7" s="10" t="s">
        <v>4</v>
      </c>
      <c r="I7" s="10" t="s">
        <v>5</v>
      </c>
      <c r="J7" s="10">
        <v>1</v>
      </c>
      <c r="K7" s="10"/>
      <c r="L7" s="10">
        <v>177389</v>
      </c>
      <c r="M7" s="10">
        <v>6694</v>
      </c>
      <c r="N7" s="10">
        <v>194</v>
      </c>
      <c r="O7" s="10" t="s">
        <v>6</v>
      </c>
      <c r="P7" s="11">
        <v>44980</v>
      </c>
      <c r="Q7" s="10" t="s">
        <v>7</v>
      </c>
      <c r="R7" s="10" t="s">
        <v>7</v>
      </c>
      <c r="S7" s="10" t="s">
        <v>8</v>
      </c>
      <c r="T7" s="10" t="s">
        <v>9</v>
      </c>
      <c r="U7" s="10"/>
      <c r="V7" s="10"/>
      <c r="W7" s="10" t="s">
        <v>10</v>
      </c>
      <c r="X7" s="10"/>
      <c r="Y7" s="10" t="s">
        <v>11</v>
      </c>
      <c r="Z7" s="10" t="s">
        <v>12</v>
      </c>
      <c r="AA7" s="10" t="s">
        <v>13</v>
      </c>
      <c r="AB7" s="10">
        <v>219.32</v>
      </c>
      <c r="AC7" s="10">
        <v>560952.5</v>
      </c>
      <c r="AD7" s="10">
        <v>2834.29</v>
      </c>
      <c r="AE7" s="10"/>
      <c r="AF7" s="10">
        <v>2</v>
      </c>
      <c r="AG7" s="10">
        <v>852682</v>
      </c>
      <c r="AH7" s="10">
        <v>2</v>
      </c>
      <c r="AI7" s="12">
        <v>45044</v>
      </c>
    </row>
    <row r="19" spans="1:37" ht="57.75" thickBot="1" x14ac:dyDescent="0.3">
      <c r="A19" s="6" t="s">
        <v>25</v>
      </c>
      <c r="B19" s="7" t="s">
        <v>26</v>
      </c>
      <c r="C19" s="7" t="s">
        <v>27</v>
      </c>
      <c r="D19" s="7" t="s">
        <v>28</v>
      </c>
      <c r="E19" s="7" t="s">
        <v>29</v>
      </c>
      <c r="F19" s="7" t="s">
        <v>30</v>
      </c>
      <c r="G19" s="7" t="s">
        <v>31</v>
      </c>
      <c r="H19" s="7" t="s">
        <v>32</v>
      </c>
      <c r="I19" s="7" t="s">
        <v>33</v>
      </c>
      <c r="J19" s="7" t="s">
        <v>34</v>
      </c>
      <c r="K19" s="7" t="s">
        <v>35</v>
      </c>
      <c r="L19" s="7" t="s">
        <v>36</v>
      </c>
      <c r="M19" s="7" t="s">
        <v>37</v>
      </c>
      <c r="N19" s="7" t="s">
        <v>38</v>
      </c>
      <c r="O19" s="7" t="s">
        <v>39</v>
      </c>
      <c r="P19" s="7" t="s">
        <v>40</v>
      </c>
      <c r="Q19" s="7" t="s">
        <v>41</v>
      </c>
      <c r="R19" s="7" t="s">
        <v>42</v>
      </c>
      <c r="S19" s="7" t="s">
        <v>43</v>
      </c>
      <c r="T19" s="7" t="s">
        <v>44</v>
      </c>
      <c r="U19" s="7" t="s">
        <v>45</v>
      </c>
      <c r="V19" s="7" t="s">
        <v>46</v>
      </c>
      <c r="W19" s="7" t="s">
        <v>47</v>
      </c>
      <c r="X19" s="7" t="s">
        <v>48</v>
      </c>
      <c r="Y19" s="7" t="s">
        <v>49</v>
      </c>
      <c r="Z19" s="7" t="s">
        <v>50</v>
      </c>
      <c r="AA19" s="7" t="s">
        <v>51</v>
      </c>
      <c r="AB19" s="7" t="s">
        <v>52</v>
      </c>
      <c r="AC19" s="7" t="s">
        <v>53</v>
      </c>
      <c r="AD19" s="7" t="s">
        <v>54</v>
      </c>
      <c r="AE19" s="7" t="s">
        <v>55</v>
      </c>
      <c r="AF19" s="7" t="s">
        <v>56</v>
      </c>
      <c r="AG19" s="7" t="s">
        <v>57</v>
      </c>
      <c r="AH19" s="7" t="s">
        <v>58</v>
      </c>
      <c r="AI19" s="7" t="s">
        <v>59</v>
      </c>
      <c r="AJ19" s="8" t="s">
        <v>60</v>
      </c>
    </row>
    <row r="20" spans="1:37" ht="57" x14ac:dyDescent="0.25">
      <c r="A20" s="9"/>
      <c r="B20" s="10">
        <v>2023</v>
      </c>
      <c r="C20" s="10" t="s">
        <v>0</v>
      </c>
      <c r="D20" s="10" t="s">
        <v>1</v>
      </c>
      <c r="E20" s="11">
        <v>45662</v>
      </c>
      <c r="F20" s="10" t="s">
        <v>2</v>
      </c>
      <c r="G20" s="10" t="s">
        <v>3</v>
      </c>
      <c r="H20" s="10"/>
      <c r="I20" s="10" t="s">
        <v>4</v>
      </c>
      <c r="J20" s="10" t="s">
        <v>5</v>
      </c>
      <c r="K20" s="10">
        <v>1</v>
      </c>
      <c r="L20" s="10"/>
      <c r="M20" s="10">
        <v>177389</v>
      </c>
      <c r="N20" s="10">
        <v>6694</v>
      </c>
      <c r="O20" s="10">
        <v>194</v>
      </c>
      <c r="P20" s="10" t="s">
        <v>6</v>
      </c>
      <c r="Q20" s="11">
        <v>44980</v>
      </c>
      <c r="R20" s="10" t="s">
        <v>7</v>
      </c>
      <c r="S20" s="10" t="s">
        <v>7</v>
      </c>
      <c r="T20" s="10" t="s">
        <v>8</v>
      </c>
      <c r="U20" s="10" t="s">
        <v>9</v>
      </c>
      <c r="V20" s="10"/>
      <c r="W20" s="10"/>
      <c r="X20" s="10" t="s">
        <v>10</v>
      </c>
      <c r="Y20" s="10"/>
      <c r="Z20" s="10" t="s">
        <v>11</v>
      </c>
      <c r="AA20" s="10" t="s">
        <v>12</v>
      </c>
      <c r="AB20" s="10" t="s">
        <v>13</v>
      </c>
      <c r="AC20" s="10">
        <v>219.32</v>
      </c>
      <c r="AD20" s="10">
        <v>560952.5</v>
      </c>
      <c r="AE20" s="10">
        <v>2834.29</v>
      </c>
      <c r="AF20" s="10"/>
      <c r="AG20" s="10">
        <v>2</v>
      </c>
      <c r="AH20" s="10">
        <v>852682</v>
      </c>
      <c r="AI20" s="10">
        <v>2</v>
      </c>
      <c r="AJ20" s="12">
        <v>45044</v>
      </c>
    </row>
    <row r="26" spans="1:37" ht="57.75" thickBot="1" x14ac:dyDescent="0.3">
      <c r="A26" s="6" t="s">
        <v>26</v>
      </c>
      <c r="B26" s="7" t="s">
        <v>27</v>
      </c>
      <c r="C26" s="7" t="s">
        <v>28</v>
      </c>
      <c r="D26" s="7" t="s">
        <v>29</v>
      </c>
      <c r="E26" s="7" t="s">
        <v>30</v>
      </c>
      <c r="F26" s="7" t="s">
        <v>31</v>
      </c>
      <c r="G26" s="7" t="s">
        <v>32</v>
      </c>
      <c r="H26" s="7" t="s">
        <v>33</v>
      </c>
      <c r="I26" s="7" t="s">
        <v>34</v>
      </c>
      <c r="J26" s="7" t="s">
        <v>35</v>
      </c>
      <c r="K26" s="7" t="s">
        <v>36</v>
      </c>
      <c r="L26" s="7" t="s">
        <v>37</v>
      </c>
      <c r="M26" s="7" t="s">
        <v>38</v>
      </c>
      <c r="N26" s="7" t="s">
        <v>39</v>
      </c>
      <c r="O26" s="7" t="s">
        <v>40</v>
      </c>
      <c r="P26" s="7" t="s">
        <v>41</v>
      </c>
      <c r="Q26" s="7" t="s">
        <v>42</v>
      </c>
      <c r="R26" s="7" t="s">
        <v>43</v>
      </c>
      <c r="S26" s="7" t="s">
        <v>44</v>
      </c>
      <c r="T26" s="7" t="s">
        <v>45</v>
      </c>
      <c r="U26" s="7" t="s">
        <v>46</v>
      </c>
      <c r="V26" s="7" t="s">
        <v>47</v>
      </c>
      <c r="W26" s="7" t="s">
        <v>48</v>
      </c>
      <c r="X26" s="7" t="s">
        <v>49</v>
      </c>
      <c r="Y26" s="7" t="s">
        <v>50</v>
      </c>
      <c r="Z26" s="7" t="s">
        <v>51</v>
      </c>
      <c r="AA26" s="7" t="s">
        <v>52</v>
      </c>
      <c r="AB26" s="7" t="s">
        <v>53</v>
      </c>
      <c r="AC26" s="7" t="s">
        <v>54</v>
      </c>
      <c r="AD26" s="7" t="s">
        <v>55</v>
      </c>
      <c r="AE26" s="7" t="s">
        <v>56</v>
      </c>
      <c r="AF26" s="7" t="s">
        <v>57</v>
      </c>
      <c r="AG26" s="7" t="s">
        <v>58</v>
      </c>
      <c r="AH26" s="7" t="s">
        <v>59</v>
      </c>
      <c r="AI26" s="7" t="s">
        <v>60</v>
      </c>
      <c r="AJ26" s="13"/>
    </row>
    <row r="27" spans="1:37" ht="57" x14ac:dyDescent="0.25">
      <c r="A27" s="9"/>
      <c r="B27" s="10">
        <v>2023</v>
      </c>
      <c r="C27" s="10" t="s">
        <v>0</v>
      </c>
      <c r="D27" s="10" t="s">
        <v>1</v>
      </c>
      <c r="E27" s="11">
        <v>45662</v>
      </c>
      <c r="F27" s="10" t="s">
        <v>2</v>
      </c>
      <c r="G27" s="10" t="s">
        <v>3</v>
      </c>
      <c r="H27" s="10"/>
      <c r="I27" s="10" t="s">
        <v>4</v>
      </c>
      <c r="J27" s="10" t="s">
        <v>5</v>
      </c>
      <c r="K27" s="10">
        <v>1</v>
      </c>
      <c r="L27" s="10"/>
      <c r="M27" s="10">
        <v>177389</v>
      </c>
      <c r="N27" s="10">
        <v>6694</v>
      </c>
      <c r="O27" s="10">
        <v>194</v>
      </c>
      <c r="P27" s="10" t="s">
        <v>6</v>
      </c>
      <c r="Q27" s="11">
        <v>44980</v>
      </c>
      <c r="R27" s="10" t="s">
        <v>7</v>
      </c>
      <c r="S27" s="10" t="s">
        <v>7</v>
      </c>
      <c r="T27" s="10" t="s">
        <v>8</v>
      </c>
      <c r="U27" s="10" t="s">
        <v>9</v>
      </c>
      <c r="V27" s="10"/>
      <c r="W27" s="10"/>
      <c r="X27" s="10" t="s">
        <v>10</v>
      </c>
      <c r="Y27" s="10"/>
      <c r="Z27" s="10" t="s">
        <v>11</v>
      </c>
      <c r="AA27" s="10" t="s">
        <v>12</v>
      </c>
      <c r="AB27" s="10" t="s">
        <v>13</v>
      </c>
      <c r="AC27" s="10">
        <v>219.32</v>
      </c>
      <c r="AD27" s="10">
        <v>560952.5</v>
      </c>
      <c r="AE27" s="10">
        <v>2834.29</v>
      </c>
      <c r="AF27" s="10"/>
      <c r="AG27" s="10">
        <v>2</v>
      </c>
      <c r="AH27" s="10">
        <v>852682</v>
      </c>
      <c r="AI27" s="10">
        <v>2</v>
      </c>
      <c r="AJ27" s="12">
        <v>45044</v>
      </c>
    </row>
    <row r="29" spans="1:37" ht="57.75" thickBot="1" x14ac:dyDescent="0.3">
      <c r="B29" s="6" t="s">
        <v>26</v>
      </c>
      <c r="C29" s="7" t="s">
        <v>27</v>
      </c>
      <c r="D29" s="7" t="s">
        <v>28</v>
      </c>
      <c r="E29" s="7" t="s">
        <v>29</v>
      </c>
      <c r="F29" s="7" t="s">
        <v>30</v>
      </c>
      <c r="G29" s="7" t="s">
        <v>31</v>
      </c>
      <c r="H29" s="7" t="s">
        <v>32</v>
      </c>
      <c r="I29" s="7" t="s">
        <v>33</v>
      </c>
      <c r="J29" s="7" t="s">
        <v>34</v>
      </c>
      <c r="K29" s="7" t="s">
        <v>35</v>
      </c>
      <c r="L29" s="7" t="s">
        <v>36</v>
      </c>
      <c r="M29" s="7" t="s">
        <v>37</v>
      </c>
      <c r="N29" s="7" t="s">
        <v>38</v>
      </c>
      <c r="O29" s="7" t="s">
        <v>39</v>
      </c>
      <c r="P29" s="7" t="s">
        <v>40</v>
      </c>
      <c r="Q29" s="7" t="s">
        <v>41</v>
      </c>
      <c r="R29" s="7" t="s">
        <v>42</v>
      </c>
      <c r="S29" s="7" t="s">
        <v>43</v>
      </c>
      <c r="T29" s="7" t="s">
        <v>44</v>
      </c>
      <c r="U29" s="7" t="s">
        <v>45</v>
      </c>
      <c r="V29" s="7" t="s">
        <v>46</v>
      </c>
      <c r="W29" s="7" t="s">
        <v>47</v>
      </c>
      <c r="X29" s="7" t="s">
        <v>48</v>
      </c>
      <c r="Y29" s="7" t="s">
        <v>49</v>
      </c>
      <c r="Z29" s="7" t="s">
        <v>50</v>
      </c>
      <c r="AA29" s="7" t="s">
        <v>51</v>
      </c>
      <c r="AB29" s="7" t="s">
        <v>52</v>
      </c>
      <c r="AC29" s="7" t="s">
        <v>53</v>
      </c>
      <c r="AD29" s="7" t="s">
        <v>54</v>
      </c>
      <c r="AE29" s="7" t="s">
        <v>55</v>
      </c>
      <c r="AF29" s="7" t="s">
        <v>56</v>
      </c>
      <c r="AG29" s="7" t="s">
        <v>57</v>
      </c>
      <c r="AH29" s="7" t="s">
        <v>58</v>
      </c>
      <c r="AI29" s="7" t="s">
        <v>59</v>
      </c>
      <c r="AJ29" s="7" t="s">
        <v>60</v>
      </c>
      <c r="AK29" s="13"/>
    </row>
    <row r="30" spans="1:37" ht="57" x14ac:dyDescent="0.25">
      <c r="B30" s="9"/>
      <c r="C30" s="10">
        <v>2023</v>
      </c>
      <c r="D30" s="10" t="s">
        <v>0</v>
      </c>
      <c r="E30" s="10" t="s">
        <v>1</v>
      </c>
      <c r="F30" s="11">
        <v>45662</v>
      </c>
      <c r="G30" s="10" t="s">
        <v>2</v>
      </c>
      <c r="H30" s="10" t="s">
        <v>3</v>
      </c>
      <c r="I30" s="10"/>
      <c r="J30" s="10" t="s">
        <v>4</v>
      </c>
      <c r="K30" s="10" t="s">
        <v>5</v>
      </c>
      <c r="L30" s="10">
        <v>1</v>
      </c>
      <c r="M30" s="10"/>
      <c r="N30" s="10">
        <v>177389</v>
      </c>
      <c r="O30" s="10">
        <v>6694</v>
      </c>
      <c r="P30" s="10">
        <v>194</v>
      </c>
      <c r="Q30" s="10" t="s">
        <v>6</v>
      </c>
      <c r="R30" s="11">
        <v>44980</v>
      </c>
      <c r="S30" s="10" t="s">
        <v>7</v>
      </c>
      <c r="T30" s="10" t="s">
        <v>7</v>
      </c>
      <c r="U30" s="10" t="s">
        <v>8</v>
      </c>
      <c r="V30" s="10" t="s">
        <v>9</v>
      </c>
      <c r="W30" s="10"/>
      <c r="X30" s="10"/>
      <c r="Y30" s="10" t="s">
        <v>10</v>
      </c>
      <c r="Z30" s="10"/>
      <c r="AA30" s="10" t="s">
        <v>11</v>
      </c>
      <c r="AB30" s="10" t="s">
        <v>12</v>
      </c>
      <c r="AC30" s="10" t="s">
        <v>13</v>
      </c>
      <c r="AD30" s="10">
        <v>219.32</v>
      </c>
      <c r="AE30" s="10">
        <v>560952.5</v>
      </c>
      <c r="AF30" s="10">
        <v>2834.29</v>
      </c>
      <c r="AG30" s="10"/>
      <c r="AH30" s="10">
        <v>2</v>
      </c>
      <c r="AI30" s="10">
        <v>852682</v>
      </c>
      <c r="AJ30" s="10">
        <v>2</v>
      </c>
      <c r="AK30" s="12">
        <v>45044</v>
      </c>
    </row>
  </sheetData>
  <hyperlinks>
    <hyperlink ref="A20" r:id="rId1" tooltip="Ver PDF" display="https://dco-munixela.kodsoftware.com/detalle_exp_pdf.php?id=30382" xr:uid="{7D194238-53C9-45AF-9A5C-7E7A63961D6C}"/>
    <hyperlink ref="A27" r:id="rId2" tooltip="Ver PDF" display="https://dco-munixela.kodsoftware.com/detalle_exp_pdf.php?id=30382" xr:uid="{C9E4E4AC-09B7-4879-A474-BC43D0F88A57}"/>
    <hyperlink ref="B30" r:id="rId3" tooltip="Ver PDF" display="https://dco-munixela.kodsoftware.com/detalle_exp_pdf.php?id=30382" xr:uid="{DDE72748-F5D2-4403-A9CC-B9667D3BCECD}"/>
  </hyperlinks>
  <pageMargins left="0.7" right="0.7" top="0.75" bottom="0.75" header="0.3" footer="0.3"/>
  <pageSetup orientation="portrait" horizontalDpi="4294967293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380C-80D6-4B0E-897D-69116AC42242}">
  <sheetPr codeName="Hoja2"/>
  <dimension ref="A1:BO12"/>
  <sheetViews>
    <sheetView tabSelected="1" workbookViewId="0">
      <selection activeCell="D12" sqref="D12"/>
    </sheetView>
  </sheetViews>
  <sheetFormatPr baseColWidth="10" defaultRowHeight="15" x14ac:dyDescent="0.25"/>
  <cols>
    <col min="1" max="1" width="16.140625" customWidth="1"/>
    <col min="2" max="2" width="21.28515625" customWidth="1"/>
    <col min="3" max="3" width="48.28515625" customWidth="1"/>
    <col min="4" max="4" width="34.140625" customWidth="1"/>
    <col min="5" max="5" width="31.28515625" customWidth="1"/>
    <col min="9" max="9" width="15" customWidth="1"/>
    <col min="12" max="12" width="31" customWidth="1"/>
    <col min="16" max="16" width="31.5703125" customWidth="1"/>
    <col min="21" max="21" width="14.85546875" customWidth="1"/>
    <col min="22" max="22" width="27.85546875" customWidth="1"/>
    <col min="23" max="23" width="19" customWidth="1"/>
    <col min="24" max="24" width="21.42578125" customWidth="1"/>
    <col min="26" max="26" width="16" customWidth="1"/>
    <col min="46" max="46" width="14.7109375" customWidth="1"/>
    <col min="47" max="47" width="38.85546875" customWidth="1"/>
    <col min="58" max="58" width="20.42578125" customWidth="1"/>
    <col min="59" max="59" width="19.28515625" customWidth="1"/>
    <col min="60" max="60" width="16.5703125" customWidth="1"/>
  </cols>
  <sheetData>
    <row r="1" spans="1:67" s="19" customFormat="1" ht="47.45" customHeight="1" x14ac:dyDescent="0.25">
      <c r="A1" s="14" t="s">
        <v>82</v>
      </c>
      <c r="B1" s="14" t="s">
        <v>83</v>
      </c>
      <c r="C1" s="21" t="s">
        <v>84</v>
      </c>
      <c r="D1" s="21" t="s">
        <v>85</v>
      </c>
      <c r="E1" s="21" t="s">
        <v>86</v>
      </c>
      <c r="F1" s="21" t="s">
        <v>87</v>
      </c>
      <c r="G1" s="21" t="s">
        <v>88</v>
      </c>
      <c r="H1" s="21" t="s">
        <v>89</v>
      </c>
      <c r="I1" s="21" t="s">
        <v>90</v>
      </c>
      <c r="J1" s="21" t="s">
        <v>91</v>
      </c>
      <c r="K1" s="21" t="s">
        <v>92</v>
      </c>
      <c r="L1" s="22" t="s">
        <v>93</v>
      </c>
      <c r="M1" s="22" t="s">
        <v>94</v>
      </c>
      <c r="N1" s="22" t="s">
        <v>95</v>
      </c>
      <c r="O1" s="22" t="s">
        <v>96</v>
      </c>
      <c r="P1" s="22" t="s">
        <v>97</v>
      </c>
      <c r="Q1" s="22" t="s">
        <v>94</v>
      </c>
      <c r="R1" s="22" t="s">
        <v>95</v>
      </c>
      <c r="S1" s="22" t="s">
        <v>96</v>
      </c>
      <c r="T1" s="22" t="s">
        <v>98</v>
      </c>
      <c r="U1" s="22" t="s">
        <v>99</v>
      </c>
      <c r="V1" s="23" t="s">
        <v>100</v>
      </c>
      <c r="W1" s="23" t="s">
        <v>101</v>
      </c>
      <c r="X1" s="23" t="s">
        <v>102</v>
      </c>
      <c r="Y1" s="14" t="s">
        <v>103</v>
      </c>
      <c r="Z1" s="14" t="s">
        <v>104</v>
      </c>
      <c r="AA1" s="14" t="s">
        <v>105</v>
      </c>
      <c r="AB1" s="14" t="s">
        <v>106</v>
      </c>
      <c r="AC1" s="14" t="s">
        <v>107</v>
      </c>
      <c r="AD1" s="14" t="s">
        <v>108</v>
      </c>
      <c r="AE1" s="14" t="s">
        <v>109</v>
      </c>
      <c r="AF1" s="14" t="s">
        <v>110</v>
      </c>
      <c r="AG1" s="14" t="s">
        <v>111</v>
      </c>
      <c r="AH1" s="14" t="s">
        <v>112</v>
      </c>
      <c r="AI1" s="14" t="s">
        <v>113</v>
      </c>
      <c r="AJ1" s="14" t="s">
        <v>114</v>
      </c>
      <c r="AK1" s="14" t="s">
        <v>115</v>
      </c>
      <c r="AL1" s="14" t="s">
        <v>116</v>
      </c>
      <c r="AM1" s="14" t="s">
        <v>117</v>
      </c>
      <c r="AN1" s="14" t="s">
        <v>118</v>
      </c>
      <c r="AO1" s="14" t="s">
        <v>119</v>
      </c>
      <c r="AP1" s="14" t="s">
        <v>120</v>
      </c>
      <c r="AQ1" s="14" t="s">
        <v>121</v>
      </c>
      <c r="AR1" s="14" t="s">
        <v>122</v>
      </c>
      <c r="AS1" s="14" t="s">
        <v>123</v>
      </c>
      <c r="AT1" s="14" t="s">
        <v>83</v>
      </c>
      <c r="AU1" s="14" t="s">
        <v>84</v>
      </c>
      <c r="AV1" s="14" t="s">
        <v>124</v>
      </c>
      <c r="AW1" s="14" t="s">
        <v>125</v>
      </c>
      <c r="AX1" s="14" t="s">
        <v>126</v>
      </c>
      <c r="AY1" s="14" t="s">
        <v>125</v>
      </c>
      <c r="AZ1" s="14" t="s">
        <v>127</v>
      </c>
      <c r="BA1" s="14" t="s">
        <v>128</v>
      </c>
      <c r="BB1" s="14" t="s">
        <v>129</v>
      </c>
      <c r="BC1" s="15" t="s">
        <v>130</v>
      </c>
      <c r="BD1" s="15" t="s">
        <v>131</v>
      </c>
      <c r="BE1" s="16" t="s">
        <v>132</v>
      </c>
      <c r="BF1" s="17" t="s">
        <v>133</v>
      </c>
      <c r="BG1" s="17" t="s">
        <v>134</v>
      </c>
      <c r="BH1" s="17" t="s">
        <v>135</v>
      </c>
      <c r="BI1" s="17" t="s">
        <v>136</v>
      </c>
      <c r="BJ1" s="17" t="s">
        <v>137</v>
      </c>
      <c r="BK1" s="17" t="s">
        <v>138</v>
      </c>
      <c r="BL1" s="17" t="s">
        <v>139</v>
      </c>
      <c r="BM1" s="17" t="s">
        <v>125</v>
      </c>
      <c r="BN1" s="18" t="s">
        <v>140</v>
      </c>
      <c r="BO1" s="17"/>
    </row>
    <row r="2" spans="1:67" x14ac:dyDescent="0.25">
      <c r="A2" t="str">
        <f>'H1'!Z2</f>
        <v>L23-258-RL001</v>
      </c>
      <c r="B2" t="str">
        <f>'H1'!F2</f>
        <v>RPNL1-120223</v>
      </c>
      <c r="C2" t="str">
        <f>IF(
OR(ISNUMBER(SEARCH("Y CDUEÑOS",'H1'!H2)),ISNUMBER(SEARCH("Y CONDUEÑOS",'H1'!H2))),
TRIM(
SUBSTITUTE(
SUBSTITUTE(
MID('H1'!H2,SEARCH(" ",'H1'!H2,SEARCH(" ",'H1'!H2)+1)+1,999)&amp;" "&amp;LEFT('H1'!H2,SEARCH(" ",'H1'!H2,SEARCH(" ",'H1'!H2)+1)-1),
"Y CDUEÑOS ",""),
"Y CONDUEÑOS ","")
&amp;" "&amp;IF(ISNUMBER(SEARCH("Y CDUEÑOS",'H1'!H2)),"Y CDUEÑOS","Y CONDUEÑOS")
),
TRIM(MID('H1'!H2,SEARCH(" ",'H1'!H2,SEARCH(" ",'H1'!H2)+1)+1,999)&amp;" "&amp;LEFT('H1'!H2,SEARCH(" ",'H1'!H2,SEARCH(" ",'H1'!H2)+1)-1))
)</f>
        <v>WOTZBELI EUGENIO LIMATUJ IXCARAGUA</v>
      </c>
      <c r="D2" s="2" t="str">
        <f>'H1'!I2&amp;IF(ISNUMBER('H1'!J2)," ZONA "&amp;'H1'!J2,"")</f>
        <v>25 AVENIDA 3-64 LOTE 6 ZONA 1</v>
      </c>
      <c r="E2" t="str">
        <f>D2</f>
        <v>25 AVENIDA 3-64 LOTE 6 ZONA 1</v>
      </c>
      <c r="F2">
        <f>'H1'!M2</f>
        <v>6694</v>
      </c>
      <c r="G2">
        <f>'H1'!N2</f>
        <v>194</v>
      </c>
      <c r="H2" t="str">
        <f>'H1'!O2</f>
        <v>34E</v>
      </c>
      <c r="I2">
        <f>'H1'!L2</f>
        <v>177389</v>
      </c>
      <c r="L2" t="str">
        <f>TRIM(SUBSTITUTE(SUBSTITUTE('H1'!Q2,"ARQ.",""),"ING.",""))</f>
        <v>EDERSON GIOVANI COTI HUITZ</v>
      </c>
      <c r="M2" t="s">
        <v>141</v>
      </c>
      <c r="N2" t="str">
        <f>IF(M2="X","-","")</f>
        <v>-</v>
      </c>
      <c r="P2" t="str">
        <f>L2</f>
        <v>EDERSON GIOVANI COTI HUITZ</v>
      </c>
      <c r="Q2" t="str">
        <f t="shared" ref="Q2:S2" si="0">M2</f>
        <v>X</v>
      </c>
      <c r="R2" t="str">
        <f t="shared" si="0"/>
        <v>-</v>
      </c>
      <c r="S2">
        <f t="shared" si="0"/>
        <v>0</v>
      </c>
      <c r="V2" t="str">
        <f>'H1'!E2</f>
        <v>VIVIENDA UNIFAMILIAR</v>
      </c>
      <c r="Z2">
        <f>'H1'!AF2</f>
        <v>2</v>
      </c>
      <c r="AB2">
        <f>'H1'!AB2</f>
        <v>219.32</v>
      </c>
      <c r="AC2">
        <f>'H1'!AH2</f>
        <v>2</v>
      </c>
      <c r="AT2" t="str">
        <f>'H1'!F2</f>
        <v>RPNL1-120223</v>
      </c>
      <c r="AU2" t="str">
        <f>C2</f>
        <v>WOTZBELI EUGENIO LIMATUJ IXCARAGUA</v>
      </c>
      <c r="AV2">
        <f>'H1'!AD2</f>
        <v>2834.29</v>
      </c>
      <c r="AW2">
        <f>'H1'!AG2</f>
        <v>852682</v>
      </c>
      <c r="BA2" t="str">
        <f>'H1'!Z2</f>
        <v>L23-258-RL001</v>
      </c>
      <c r="BC2" s="20">
        <f>'H1'!AI2</f>
        <v>45044</v>
      </c>
      <c r="BE2">
        <f>'H1'!AC2</f>
        <v>560952.5</v>
      </c>
      <c r="BF2" t="str">
        <f>'H1'!AA2</f>
        <v>LUS23-231-RL001</v>
      </c>
    </row>
    <row r="3" spans="1:67" x14ac:dyDescent="0.25">
      <c r="C3" t="str">
        <f>IF(
OR(ISNUMBER(SEARCH("Y CDUEÑOS",'H1'!H3)),ISNUMBER(SEARCH("Y CONDUEÑOS",'H1'!H3))),
TRIM(
SUBSTITUTE(
SUBSTITUTE(
MID('H1'!H3,SEARCH(" ",'H1'!H3,SEARCH(" ",'H1'!H3)+1)+1,999)&amp;" "&amp;LEFT('H1'!H3,SEARCH(" ",'H1'!H3,SEARCH(" ",'H1'!H3)+1)-1),
"Y CDUEÑOS ",""),
"Y CONDUEÑOS ","")
&amp;" "&amp;IF(ISNUMBER(SEARCH("Y CDUEÑOS",'H1'!H3)),"Y CDUEÑOS","Y CONDUEÑOS")
),
TRIM(MID('H1'!H3,SEARCH(" ",'H1'!H3,SEARCH(" ",'H1'!H3)+1)+1,999)&amp;" "&amp;LEFT('H1'!H3,SEARCH(" ",'H1'!H3,SEARCH(" ",'H1'!H3)+1)-1))
)</f>
        <v>WOTZBELI EUGENIO LIMATUJ IXCARAGUA</v>
      </c>
    </row>
    <row r="4" spans="1:67" x14ac:dyDescent="0.25">
      <c r="C4" t="str">
        <f>IF(
OR(ISNUMBER(SEARCH("Y CDUEÑOS",'H1'!H4)),ISNUMBER(SEARCH("Y CONDUEÑOS",'H1'!H4))),
TRIM(
SUBSTITUTE(
SUBSTITUTE(
MID('H1'!H4,SEARCH(" ",'H1'!H4,SEARCH(" ",'H1'!H4)+1)+1,999)&amp;" "&amp;LEFT('H1'!H4,SEARCH(" ",'H1'!H4,SEARCH(" ",'H1'!H4)+1)-1),
"Y CDUEÑOS ",""),
"Y CONDUEÑOS ","")
&amp;" "&amp;IF(ISNUMBER(SEARCH("Y CDUEÑOS",'H1'!H4)),"Y CDUEÑOS","Y CONDUEÑOS")
),
TRIM(MID('H1'!H4,SEARCH(" ",'H1'!H4,SEARCH(" ",'H1'!H4)+1)+1,999)&amp;" "&amp;LEFT('H1'!H4,SEARCH(" ",'H1'!H4,SEARCH(" ",'H1'!H4)+1)-1))
)</f>
        <v>ANA MARIA N. SUASNAVAR BOLAÑOS Y CDUEÑOS</v>
      </c>
    </row>
    <row r="5" spans="1:67" x14ac:dyDescent="0.25">
      <c r="C5" t="str">
        <f>IF(
OR(ISNUMBER(SEARCH("Y CDUEÑOS",'H1'!H5)),ISNUMBER(SEARCH("Y CONDUEÑOS",'H1'!H5))),
TRIM(
SUBSTITUTE(
SUBSTITUTE(
MID('H1'!H5,SEARCH(" ",'H1'!H5,SEARCH(" ",'H1'!H5)+1)+1,999)&amp;" "&amp;LEFT('H1'!H5,SEARCH(" ",'H1'!H5,SEARCH(" ",'H1'!H5)+1)-1),
"Y CDUEÑOS ",""),
"Y CONDUEÑOS ","")
&amp;" "&amp;IF(ISNUMBER(SEARCH("Y CDUEÑOS",'H1'!H5)),"Y CDUEÑOS","Y CONDUEÑOS")
),
TRIM(MID('H1'!H5,SEARCH(" ",'H1'!H5,SEARCH(" ",'H1'!H5)+1)+1,999)&amp;" "&amp;LEFT('H1'!H5,SEARCH(" ",'H1'!H5,SEARCH(" ",'H1'!H5)+1)-1))
)</f>
        <v>JOSUE MANUEL GONZALEZ MENDEZ</v>
      </c>
    </row>
    <row r="6" spans="1:67" x14ac:dyDescent="0.25">
      <c r="C6" t="str">
        <f>IF(
OR(ISNUMBER(SEARCH("Y CDUEÑOS",'H1'!H6)),ISNUMBER(SEARCH("Y CONDUEÑOS",'H1'!H6))),
TRIM(
SUBSTITUTE(
SUBSTITUTE(
MID('H1'!H6,SEARCH(" ",'H1'!H6,SEARCH(" ",'H1'!H6)+1)+1,999)&amp;" "&amp;LEFT('H1'!H6,SEARCH(" ",'H1'!H6,SEARCH(" ",'H1'!H6)+1)-1),
"Y CDUEÑOS ",""),
"Y CONDUEÑOS ","")
&amp;" "&amp;IF(ISNUMBER(SEARCH("Y CDUEÑOS",'H1'!H6)),"Y CDUEÑOS","Y CONDUEÑOS")
),
TRIM(MID('H1'!H6,SEARCH(" ",'H1'!H6,SEARCH(" ",'H1'!H6)+1)+1,999)&amp;" "&amp;LEFT('H1'!H6,SEARCH(" ",'H1'!H6,SEARCH(" ",'H1'!H6)+1)-1))
)</f>
        <v>BETZABE LIMA DE SERRANO ESTER</v>
      </c>
    </row>
    <row r="7" spans="1:67" x14ac:dyDescent="0.25">
      <c r="C7" t="str">
        <f>TRIM(MID('H1'!H7,SEARCH(" ",'H1'!H7,SEARCH(" ",'H1'!H7)+1)+1,999)&amp;" "&amp;LEFT('H1'!H7,SEARCH(" ",'H1'!H7,SEARCH(" ",'H1'!H7)+1)-1))</f>
        <v>WOTZBELI EUGENIO LIMATUJ IXCARAGUA</v>
      </c>
    </row>
    <row r="12" spans="1:67" x14ac:dyDescent="0.25">
      <c r="D12" s="24"/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H1</vt:lpstr>
      <vt:lpstr>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Rivera</dc:creator>
  <cp:lastModifiedBy>Ivan Carreto</cp:lastModifiedBy>
  <dcterms:created xsi:type="dcterms:W3CDTF">2026-10-11T05:19:09Z</dcterms:created>
  <dcterms:modified xsi:type="dcterms:W3CDTF">2026-10-11T23:41:22Z</dcterms:modified>
</cp:coreProperties>
</file>