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D:\Ubicacion C a D\Documentos\gitdocs-2026\macros fac\"/>
    </mc:Choice>
  </mc:AlternateContent>
  <xr:revisionPtr revIDLastSave="0" documentId="13_ncr:1_{AC500E6A-6A3A-4DA2-BF29-7B7AE5B4312C}" xr6:coauthVersionLast="47" xr6:coauthVersionMax="47" xr10:uidLastSave="{00000000-0000-0000-0000-000000000000}"/>
  <bookViews>
    <workbookView xWindow="-108" yWindow="-108" windowWidth="23256" windowHeight="12576" tabRatio="682" firstSheet="2" activeTab="2"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state="hidden"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O15" i="9"/>
  <c r="Q15" i="9" s="1"/>
  <c r="R15" i="9" s="1"/>
  <c r="L28" i="5"/>
  <c r="Q17" i="9"/>
  <c r="R17" i="9" s="1"/>
  <c r="R19" i="9" l="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<sst xmlns="http://schemas.openxmlformats.org/spreadsheetml/2006/main" count="501" uniqueCount="367">
  <si>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</si>
  <si>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</si>
  <si>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</si>
  <si>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</si>
  <si>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</si>
  <si>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</si>
  <si>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</si>
  <si>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</si>
  <si>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</si>
  <si>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</si>
  <si>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</si>
  <si>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</si>
  <si>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</si>
  <si>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</si>
  <si>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</si>
  <si>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</si>
  <si>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</si>
  <si>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</si>
  <si>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</si>
  <si>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</si>
  <si>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</si>
  <si>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</si>
  <si>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</si>
  <si>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</si>
  <si>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</si>
  <si>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</si>
  <si>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</si>
  <si>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</si>
  <si>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</si>
  <si>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</si>
  <si>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</si>
  <si>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</si>
  <si>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</si>
  <si>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</si>
  <si>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</si>
  <si>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</si>
  <si>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</si>
  <si>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</si>
  <si>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</si>
  <si>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</si>
  <si>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</si>
  <si>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</si>
  <si>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</si>
  <si>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</si>
  <si>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</si>
  <si>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</si>
  <si>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</si>
  <si>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</si>
  <si>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</si>
  <si>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</si>
  <si>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</si>
  <si>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</si>
  <si>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</si>
  <si>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</si>
  <si>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</si>
  <si>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</si>
  <si>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</si>
  <si>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</si>
  <si>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</si>
  <si>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</si>
  <si>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</si>
  <si>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</si>
  <si>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</si>
  <si>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</si>
  <si>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</si>
  <si>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</si>
  <si>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</si>
  <si>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</si>
  <si>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</si>
  <si>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</si>
  <si>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</si>
  <si>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</si>
  <si>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</si>
  <si>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</si>
  <si>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</si>
  <si>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</si>
  <si>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</si>
  <si>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</si>
  <si>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</si>
  <si>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</si>
  <si>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</si>
  <si>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</si>
  <si>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</si>
  <si>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</si>
  <si>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</si>
  <si>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</si>
  <si>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</si>
  <si>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</si>
  <si>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</si>
  <si>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</si>
  <si>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</si>
  <si>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</si>
  <si>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</si>
  <si>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</si>
  <si>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</si>
  <si>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</si>
  <si>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</si>
  <si>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</si>
  <si>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</si>
  <si>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</si>
  <si>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</si>
  <si>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</si>
  <si>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</si>
  <si>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</si>
  <si>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</si>
  <si>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</si>
  <si>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</si>
  <si>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</si>
  <si>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</si>
  <si>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</si>
  <si>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</si>
  <si>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</si>
  <si>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</si>
  <si>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</si>
  <si>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</si>
  <si>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</si>
  <si>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</si>
  <si>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</si>
  <si>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</si>
  <si>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</si>
  <si>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</si>
  <si>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</si>
  <si>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</si>
  <si>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</si>
  <si>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</si>
  <si>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</si>
  <si>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</si>
  <si>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</si>
  <si>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</si>
  <si>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</si>
  <si>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</si>
  <si>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</si>
  <si>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</si>
  <si>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</si>
  <si>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</si>
  <si>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</si>
  <si>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</si>
  <si>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</si>
  <si>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</si>
  <si>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</si>
  <si>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</si>
  <si>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</si>
  <si>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</si>
  <si>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</si>
  <si>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</si>
  <si>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</si>
  <si>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</si>
  <si>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</si>
  <si>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</si>
  <si>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</si>
  <si>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</si>
  <si>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</si>
  <si>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</si>
  <si>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</si>
  <si>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</si>
  <si>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</si>
  <si>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</si>
  <si>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</si>
  <si>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</si>
  <si>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</si>
  <si>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</si>
  <si>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</si>
  <si>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</si>
  <si>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</si>
  <si>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</si>
  <si>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</si>
  <si>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</si>
  <si>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</si>
  <si>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</si>
  <si>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</si>
  <si>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</si>
  <si>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</si>
  <si>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</si>
  <si>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</si>
  <si>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</si>
  <si>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</si>
  <si>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</si>
  <si>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</si>
  <si>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</si>
  <si>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</si>
  <si>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</si>
  <si>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</si>
  <si>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</si>
  <si>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</si>
  <si>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</si>
  <si>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</si>
  <si>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</si>
  <si>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</si>
  <si>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</si>
  <si>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</si>
  <si>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</si>
  <si>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</si>
  <si>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</si>
  <si>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</si>
  <si>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</si>
  <si>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</si>
  <si>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</si>
  <si>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</si>
  <si>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</si>
  <si>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</si>
  <si>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</si>
  <si>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</si>
  <si>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</si>
  <si>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</si>
  <si>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</si>
  <si>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</si>
  <si>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</si>
  <si>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</si>
  <si>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</si>
  <si>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</si>
  <si>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</si>
  <si>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</si>
  <si>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</si>
  <si>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</si>
  <si>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</si>
  <si>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</si>
  <si>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</si>
  <si>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</si>
  <si>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</si>
  <si>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</si>
  <si>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</si>
  <si>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</si>
  <si>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</si>
  <si>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</si>
  <si>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</si>
  <si>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</si>
  <si>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</si>
  <si>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</si>
  <si>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</si>
  <si>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</si>
  <si>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</si>
  <si>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</si>
  <si>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</si>
  <si>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</si>
  <si>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</si>
  <si>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</si>
  <si>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</si>
  <si>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</si>
  <si>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</si>
  <si>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</si>
  <si>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</si>
  <si>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</si>
  <si>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</si>
  <si>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</si>
  <si>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</si>
  <si>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</si>
  <si>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</si>
  <si>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</si>
  <si>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</si>
  <si>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</si>
  <si>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</si>
  <si>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</si>
  <si>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</si>
  <si>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</si>
  <si>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</si>
  <si>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</si>
  <si>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</si>
  <si>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</si>
  <si>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</si>
  <si>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</si>
  <si>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</si>
  <si>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</si>
  <si>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</si>
  <si>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</si>
  <si>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</si>
  <si>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</si>
  <si>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</si>
  <si>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</si>
  <si>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</si>
  <si>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</si>
  <si>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</si>
  <si>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</si>
  <si>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</si>
  <si>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</si>
  <si>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</si>
  <si>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</si>
  <si>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</si>
  <si>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</si>
  <si>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</si>
  <si>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</si>
  <si>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</si>
  <si>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</si>
  <si>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</si>
  <si>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</si>
  <si>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</si>
  <si>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</si>
  <si>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</si>
  <si>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</si>
  <si>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</si>
  <si>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</si>
  <si>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</si>
  <si>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</si>
  <si>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</si>
  <si>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</si>
  <si>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</si>
  <si>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</si>
  <si>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</si>
  <si>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</si>
  <si>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</si>
  <si>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</si>
  <si>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</si>
  <si>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</si>
  <si>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</si>
  <si>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</si>
  <si>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</si>
  <si>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</si>
  <si>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</si>
  <si>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</si>
  <si>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</si>
  <si>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</si>
  <si>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</si>
  <si>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</si>
  <si>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</si>
  <si>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</si>
  <si>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</si>
  <si>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</si>
  <si>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</si>
  <si>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</si>
  <si>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</si>
  <si>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</si>
  <si>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</si>
  <si>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</si>
  <si>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</si>
  <si>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</si>
  <si>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</si>
  <si>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</si>
  <si>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</si>
  <si>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</si>
  <si>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</si>
  <si>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</si>
  <si>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</si>
  <si>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</si>
  <si>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</si>
  <si>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</si>
  <si>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</si>
  <si>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</si>
  <si>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</si>
  <si>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</si>
  <si>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</si>
  <si>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</si>
  <si>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</si>
  <si>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</si>
  <si>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</si>
  <si>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</si>
  <si>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</si>
  <si>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</si>
  <si>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</si>
  <si>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</si>
  <si>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</si>
  <si>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</si>
  <si>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</si>
  <si>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</si>
  <si>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</si>
  <si>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</si>
  <si>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</si>
  <si>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</si>
  <si>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</si>
  <si>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</si>
  <si>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</si>
  <si>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</si>
  <si>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</si>
  <si>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</si>
  <si>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</si>
  <si>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8 AVENIDA 0-10  ZONA 1</t>
  </si>
  <si>
    <t>VIVIENDA UNIFAMILIAR</t>
  </si>
  <si>
    <t>RPNC1-4240426</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</si>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</sst>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quot;#,##0;[Red]\-&quot;Q&quot;#,##0"/>
    <numFmt numFmtId="164" formatCode="0.00000000000000"/>
    <numFmt numFmtId="165" formatCode="[$-F800]dddd\,\ mmmm\ dd\,\ yyyy"/>
    <numFmt numFmtId="166" formatCode="0.0"/>
    <numFmt numFmtId="167" formatCode="#\ &quot;m2&quot;"/>
    <numFmt numFmtId="168" formatCode="_-[$Q-100A]* #,##0.00_-;\-[$Q-100A]* #,##0.00_-;_-[$Q-100A]* &quot;-&quot;??_-;_-@_-"/>
    <numFmt numFmtId="169"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6"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6"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4"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6"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6"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7"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8"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6"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5" fontId="3" fillId="20" borderId="9" xfId="0" applyNumberFormat="1" applyFont="1" applyFill="1" applyBorder="1" applyAlignment="1">
      <alignment horizontal="center"/>
    </xf>
    <xf numFmtId="165"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9" xfId="0" applyFont="1" applyBorder="1" applyAlignment="1">
      <alignment horizontal="center" vertical="center" wrapText="1"/>
    </xf>
    <xf numFmtId="165" fontId="12" fillId="0" borderId="28" xfId="0" applyNumberFormat="1" applyFont="1" applyBorder="1" applyAlignment="1">
      <alignment horizontal="center" vertical="center" wrapText="1"/>
    </xf>
    <xf numFmtId="165" fontId="12" fillId="0" borderId="12" xfId="0" applyNumberFormat="1" applyFont="1" applyBorder="1" applyAlignment="1">
      <alignment horizontal="center" vertical="center" wrapText="1"/>
    </xf>
    <xf numFmtId="165"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69" fontId="12" fillId="0" borderId="7" xfId="0" applyNumberFormat="1" applyFont="1" applyBorder="1" applyAlignment="1">
      <alignment horizontal="center" vertical="center" wrapText="1"/>
    </xf>
    <xf numFmtId="169" fontId="12" fillId="0" borderId="8" xfId="0" applyNumberFormat="1"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3" fillId="0" borderId="27" xfId="0" applyFont="1" applyBorder="1" applyAlignment="1">
      <alignment horizont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7">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8176492"/>
          <a:ext cx="7153274" cy="1158007"/>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21"/>
  <sheetViews>
    <sheetView topLeftCell="A2" workbookViewId="0">
      <selection activeCell="C22" sqref="C22"/>
    </sheetView>
  </sheetViews>
  <sheetFormatPr baseColWidth="10" defaultRowHeight="14.4" x14ac:dyDescent="0.3"/>
  <cols>
    <col min="2" max="2" width="48" customWidth="1"/>
    <col min="4" max="4" width="16.109375" customWidth="1"/>
    <col min="7" max="8" width="11.44140625" customWidth="1"/>
  </cols>
  <sheetData>
    <row r="1" spans="1:18" x14ac:dyDescent="0.3">
      <c r="A1" s="208" t="s">
        <v>27</v>
      </c>
      <c r="B1" s="208"/>
      <c r="C1" s="208"/>
      <c r="D1" s="208"/>
      <c r="E1" s="208"/>
      <c r="F1" s="208"/>
      <c r="G1" s="208"/>
      <c r="H1" s="208"/>
      <c r="I1" s="208"/>
    </row>
    <row r="2" spans="1:18" x14ac:dyDescent="0.3">
      <c r="A2" s="7"/>
      <c r="B2" s="7"/>
      <c r="C2" s="7"/>
      <c r="D2" s="7"/>
      <c r="E2" s="7"/>
      <c r="F2" s="7"/>
      <c r="G2" s="7"/>
      <c r="H2" s="7"/>
      <c r="I2" s="7"/>
    </row>
    <row r="3" spans="1:18" x14ac:dyDescent="0.3">
      <c r="A3" s="7"/>
      <c r="B3" s="7"/>
      <c r="C3" s="7"/>
      <c r="D3" s="7"/>
      <c r="E3" s="7"/>
      <c r="F3" s="7"/>
      <c r="G3" s="7"/>
      <c r="H3" s="7"/>
      <c r="I3" s="7"/>
    </row>
    <row r="4" spans="1:18" ht="15" thickBot="1" x14ac:dyDescent="0.35">
      <c r="A4" s="6" t="s">
        <v>0</v>
      </c>
      <c r="B4" s="6" t="s">
        <v>1</v>
      </c>
      <c r="C4" s="10">
        <f>((C5*C6)/(C7+C6))*C8*C9</f>
        <v>1507.3408018867926</v>
      </c>
      <c r="P4" t="s">
        <v>12</v>
      </c>
    </row>
    <row r="5" spans="1:18" ht="15" thickBot="1" x14ac:dyDescent="0.35">
      <c r="A5" s="6" t="s">
        <v>2</v>
      </c>
      <c r="B5" s="6" t="s">
        <v>3</v>
      </c>
      <c r="C5" s="3">
        <v>9500</v>
      </c>
      <c r="D5" t="s">
        <v>9</v>
      </c>
      <c r="E5" t="s">
        <v>25</v>
      </c>
      <c r="F5" t="s">
        <v>24</v>
      </c>
      <c r="G5" t="s">
        <v>17</v>
      </c>
      <c r="H5" t="s">
        <v>18</v>
      </c>
      <c r="I5" s="1" t="s">
        <v>26</v>
      </c>
      <c r="P5" t="s">
        <v>13</v>
      </c>
      <c r="R5" t="s">
        <v>19</v>
      </c>
    </row>
    <row r="6" spans="1:18" ht="15" thickBot="1" x14ac:dyDescent="0.35">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3">
      <c r="A7" s="6" t="s">
        <v>7</v>
      </c>
      <c r="B7" s="6" t="s">
        <v>6</v>
      </c>
      <c r="C7" s="1">
        <v>8.875</v>
      </c>
      <c r="P7" t="s">
        <v>15</v>
      </c>
    </row>
    <row r="8" spans="1:18" x14ac:dyDescent="0.3">
      <c r="A8" s="6" t="s">
        <v>10</v>
      </c>
      <c r="B8" s="6" t="s">
        <v>11</v>
      </c>
      <c r="C8">
        <f>IF(D8="si",0.75,1)</f>
        <v>0.75</v>
      </c>
      <c r="D8" s="2" t="s">
        <v>12</v>
      </c>
    </row>
    <row r="9" spans="1:18" x14ac:dyDescent="0.3">
      <c r="A9" s="6" t="s">
        <v>14</v>
      </c>
      <c r="B9" s="6" t="s">
        <v>23</v>
      </c>
      <c r="C9" s="1">
        <f>IF((D9="Residenciales"),(1),(IF((D9="Oficinas"),(1.1),IF((D9="No Residenciales"),(1.3),0))))</f>
        <v>1.3</v>
      </c>
      <c r="D9" s="2" t="s">
        <v>16</v>
      </c>
      <c r="P9" t="s">
        <v>16</v>
      </c>
    </row>
    <row r="12" spans="1:18" x14ac:dyDescent="0.3">
      <c r="B12" s="6" t="s">
        <v>35</v>
      </c>
      <c r="C12" s="12">
        <f>C5-C4</f>
        <v>7992.6591981132078</v>
      </c>
      <c r="D12" t="s">
        <v>31</v>
      </c>
    </row>
    <row r="13" spans="1:18" x14ac:dyDescent="0.3">
      <c r="B13" s="6" t="s">
        <v>36</v>
      </c>
      <c r="C13">
        <v>1050</v>
      </c>
      <c r="D13" t="s">
        <v>31</v>
      </c>
    </row>
    <row r="14" spans="1:18" x14ac:dyDescent="0.3">
      <c r="B14" s="6" t="s">
        <v>37</v>
      </c>
      <c r="C14" s="10">
        <f>C12-C13</f>
        <v>6942.6591981132078</v>
      </c>
      <c r="D14" t="s">
        <v>31</v>
      </c>
      <c r="E14" s="11" t="s">
        <v>39</v>
      </c>
    </row>
    <row r="15" spans="1:18" x14ac:dyDescent="0.3">
      <c r="B15" s="6" t="s">
        <v>38</v>
      </c>
      <c r="C15">
        <f>E15*C14</f>
        <v>694.26591981132083</v>
      </c>
      <c r="D15" t="s">
        <v>31</v>
      </c>
      <c r="E15">
        <f>LOOKUP(F6,tabla!A4:A11,tabla!E4:E11)</f>
        <v>0.1</v>
      </c>
    </row>
    <row r="16" spans="1:18" x14ac:dyDescent="0.3">
      <c r="A16" s="6"/>
      <c r="B16" s="6" t="s">
        <v>40</v>
      </c>
      <c r="C16" s="6">
        <v>765</v>
      </c>
      <c r="D16" s="6" t="s">
        <v>31</v>
      </c>
      <c r="E16" s="6"/>
      <c r="F16" s="6"/>
      <c r="G16" s="6"/>
      <c r="H16" s="6"/>
      <c r="I16" s="6"/>
    </row>
    <row r="17" spans="2:6" x14ac:dyDescent="0.3">
      <c r="B17" s="6" t="s">
        <v>41</v>
      </c>
      <c r="C17" s="10">
        <f>C14-C15</f>
        <v>6248.3932783018872</v>
      </c>
      <c r="D17" t="s">
        <v>31</v>
      </c>
    </row>
    <row r="18" spans="2:6" x14ac:dyDescent="0.3">
      <c r="B18" s="6" t="s">
        <v>42</v>
      </c>
      <c r="C18">
        <f>C14*G6</f>
        <v>15968.116155660377</v>
      </c>
      <c r="D18" t="s">
        <v>43</v>
      </c>
    </row>
    <row r="19" spans="2:6" x14ac:dyDescent="0.3">
      <c r="B19" s="13" t="s">
        <v>44</v>
      </c>
      <c r="C19" s="14">
        <v>24708</v>
      </c>
      <c r="D19" t="s">
        <v>31</v>
      </c>
      <c r="E19">
        <f>13800/2.3</f>
        <v>6000.0000000000009</v>
      </c>
      <c r="F19">
        <f>9500-E19</f>
        <v>3499.9999999999991</v>
      </c>
    </row>
    <row r="20" spans="2:6" x14ac:dyDescent="0.3">
      <c r="B20" s="13" t="s">
        <v>45</v>
      </c>
      <c r="C20" s="14">
        <v>6000</v>
      </c>
      <c r="D20" t="s">
        <v>31</v>
      </c>
    </row>
    <row r="21" spans="2:6" x14ac:dyDescent="0.3">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9"/>
  <sheetViews>
    <sheetView workbookViewId="0">
      <selection activeCell="C5" sqref="C5"/>
    </sheetView>
  </sheetViews>
  <sheetFormatPr baseColWidth="10" defaultRowHeight="14.4" x14ac:dyDescent="0.3"/>
  <cols>
    <col min="2" max="2" width="34.88671875" customWidth="1"/>
    <col min="4" max="4" width="22" bestFit="1" customWidth="1"/>
    <col min="7" max="8" width="11.44140625" hidden="1" customWidth="1"/>
    <col min="9" max="9" width="16.33203125" bestFit="1" customWidth="1"/>
  </cols>
  <sheetData>
    <row r="1" spans="1:19" x14ac:dyDescent="0.3">
      <c r="A1" s="208" t="s">
        <v>28</v>
      </c>
      <c r="B1" s="208"/>
      <c r="C1" s="208"/>
      <c r="D1" s="208"/>
      <c r="E1" s="208"/>
      <c r="F1" s="208"/>
      <c r="G1" s="208"/>
      <c r="H1" s="208"/>
      <c r="I1" s="208"/>
    </row>
    <row r="2" spans="1:19" x14ac:dyDescent="0.3">
      <c r="A2" s="7"/>
      <c r="B2" s="7"/>
      <c r="C2" s="6"/>
      <c r="D2" s="7"/>
      <c r="E2" s="7"/>
      <c r="F2" s="7"/>
      <c r="G2" s="7"/>
      <c r="H2" s="7"/>
      <c r="I2" s="7"/>
    </row>
    <row r="3" spans="1:19" ht="15" thickBot="1" x14ac:dyDescent="0.35">
      <c r="A3" s="7"/>
      <c r="B3" s="7"/>
      <c r="C3" s="6"/>
      <c r="D3" s="7"/>
      <c r="E3" s="7"/>
      <c r="F3" s="7"/>
      <c r="G3" s="7"/>
      <c r="H3" s="7"/>
      <c r="I3" s="7"/>
    </row>
    <row r="4" spans="1:19" ht="15" thickBot="1" x14ac:dyDescent="0.35">
      <c r="A4" s="6" t="s">
        <v>8</v>
      </c>
      <c r="B4" s="6" t="s">
        <v>1</v>
      </c>
      <c r="C4" s="9">
        <f>((C5*C6)/(C7+C6))*C8</f>
        <v>1902.2054556006965</v>
      </c>
      <c r="D4" t="s">
        <v>31</v>
      </c>
      <c r="Q4" t="s">
        <v>12</v>
      </c>
    </row>
    <row r="5" spans="1:19" ht="15" thickBot="1" x14ac:dyDescent="0.35">
      <c r="A5" s="6" t="s">
        <v>2</v>
      </c>
      <c r="B5" s="6" t="s">
        <v>3</v>
      </c>
      <c r="C5" s="3">
        <v>9500</v>
      </c>
      <c r="D5" t="s">
        <v>31</v>
      </c>
      <c r="E5" t="s">
        <v>25</v>
      </c>
      <c r="F5" t="s">
        <v>24</v>
      </c>
      <c r="G5" t="s">
        <v>17</v>
      </c>
      <c r="H5" t="s">
        <v>18</v>
      </c>
      <c r="I5" s="1" t="s">
        <v>33</v>
      </c>
      <c r="Q5" t="s">
        <v>13</v>
      </c>
      <c r="S5" t="s">
        <v>19</v>
      </c>
    </row>
    <row r="6" spans="1:19" ht="15" thickBot="1" x14ac:dyDescent="0.35">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 thickBot="1" x14ac:dyDescent="0.35">
      <c r="A7" s="6" t="s">
        <v>7</v>
      </c>
      <c r="B7" s="6" t="s">
        <v>6</v>
      </c>
      <c r="C7" s="1">
        <v>6.89</v>
      </c>
      <c r="Q7" t="s">
        <v>15</v>
      </c>
    </row>
    <row r="8" spans="1:19" ht="15" thickBot="1" x14ac:dyDescent="0.35">
      <c r="A8" s="6" t="s">
        <v>14</v>
      </c>
      <c r="B8" s="6" t="s">
        <v>23</v>
      </c>
      <c r="C8" s="1">
        <f>IF((D8="Residenciales"),(1),(IF((D8="Oficinas"),(1.1),IF((D8="No Residenciales"),(1.3),0))))</f>
        <v>1</v>
      </c>
      <c r="D8" s="3" t="s">
        <v>15</v>
      </c>
      <c r="Q8" t="s">
        <v>16</v>
      </c>
    </row>
    <row r="13" spans="1:19" x14ac:dyDescent="0.3">
      <c r="B13" s="6" t="s">
        <v>29</v>
      </c>
      <c r="C13" s="10">
        <f>C4*0.3</f>
        <v>570.66163668020897</v>
      </c>
      <c r="D13" t="s">
        <v>31</v>
      </c>
    </row>
    <row r="14" spans="1:19" x14ac:dyDescent="0.3">
      <c r="B14" s="6" t="s">
        <v>30</v>
      </c>
      <c r="C14" s="10">
        <f>0.4*C4</f>
        <v>760.88218224027867</v>
      </c>
      <c r="D14" t="s">
        <v>31</v>
      </c>
    </row>
    <row r="15" spans="1:19" x14ac:dyDescent="0.3">
      <c r="B15" s="6" t="s">
        <v>32</v>
      </c>
      <c r="C15" s="10">
        <f>C4*0.3</f>
        <v>570.66163668020897</v>
      </c>
      <c r="D15" t="s">
        <v>31</v>
      </c>
      <c r="E15" s="6"/>
      <c r="F15" s="6"/>
      <c r="G15" s="6"/>
      <c r="H15" s="6"/>
      <c r="I15" s="6"/>
    </row>
    <row r="19" spans="2:2" x14ac:dyDescent="0.3">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82"/>
  <sheetViews>
    <sheetView tabSelected="1" zoomScale="85" zoomScaleNormal="85" workbookViewId="0">
      <selection activeCell="F9" sqref="F9"/>
    </sheetView>
  </sheetViews>
  <sheetFormatPr baseColWidth="10" defaultColWidth="11.44140625" defaultRowHeight="13.2" x14ac:dyDescent="0.3"/>
  <cols>
    <col min="1" max="1" width="6.44140625" style="56" customWidth="1"/>
    <col min="2" max="2" width="3.88671875" style="19" customWidth="1"/>
    <col min="3" max="3" width="51.44140625" style="18" customWidth="1"/>
    <col min="4" max="4" width="24.44140625" style="24" customWidth="1"/>
    <col min="5" max="5" width="20.88671875" style="18" customWidth="1"/>
    <col min="6" max="6" width="42.44140625" style="18" customWidth="1"/>
    <col min="7" max="7" width="3.6640625" style="18" customWidth="1"/>
    <col min="8" max="9" width="22.33203125" style="18" hidden="1" customWidth="1"/>
    <col min="10" max="10" width="6.33203125" style="56" customWidth="1"/>
    <col min="11" max="16384" width="11.44140625" style="18"/>
  </cols>
  <sheetData>
    <row r="1" spans="1:10" ht="13.8"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3.8" thickBot="1" x14ac:dyDescent="0.35">
      <c r="A7" s="55"/>
      <c r="J7" s="58"/>
    </row>
    <row r="8" spans="1:10" ht="13.8" thickBot="1" x14ac:dyDescent="0.35">
      <c r="A8" s="55"/>
      <c r="C8" s="18" t="s">
        <v>117</v>
      </c>
      <c r="D8" s="214">
        <f ca="1">TODAY()</f>
        <v>46180</v>
      </c>
      <c r="E8" s="215"/>
      <c r="J8" s="58"/>
    </row>
    <row r="9" spans="1:10" ht="30" customHeight="1" thickBot="1" x14ac:dyDescent="0.35">
      <c r="A9" s="55"/>
      <c r="C9" s="18" t="s">
        <v>118</v>
      </c>
      <c r="D9" s="212" t="s">
        <v>366</v>
      </c>
      <c r="E9" s="213"/>
      <c r="J9" s="58"/>
    </row>
    <row r="10" spans="1:10" ht="30" customHeight="1" thickBot="1" x14ac:dyDescent="0.35">
      <c r="A10" s="55"/>
      <c r="C10" s="18" t="s">
        <v>232</v>
      </c>
      <c r="D10" s="212" t="s">
        <v>363</v>
      </c>
      <c r="E10" s="213"/>
      <c r="J10" s="58"/>
    </row>
    <row r="11" spans="1:10" ht="15" customHeight="1" thickBot="1" x14ac:dyDescent="0.35">
      <c r="A11" s="55"/>
      <c r="C11" s="18" t="s">
        <v>230</v>
      </c>
      <c r="D11" s="212" t="s">
        <v>365</v>
      </c>
      <c r="E11" s="213"/>
      <c r="J11" s="58"/>
    </row>
    <row r="12" spans="1:10" ht="15" customHeight="1" thickBot="1" x14ac:dyDescent="0.35">
      <c r="A12" s="55"/>
      <c r="C12" s="18" t="s">
        <v>234</v>
      </c>
      <c r="D12" s="212" t="s">
        <v>364</v>
      </c>
      <c r="E12" s="213"/>
      <c r="J12" s="58"/>
    </row>
    <row r="13" spans="1:10" ht="15" customHeight="1" thickBot="1" x14ac:dyDescent="0.35">
      <c r="A13" s="55"/>
      <c r="C13" s="18" t="s">
        <v>236</v>
      </c>
      <c r="D13" s="212">
        <v>279703</v>
      </c>
      <c r="E13" s="213"/>
      <c r="J13" s="58"/>
    </row>
    <row r="14" spans="1:10" ht="15" customHeight="1" thickBot="1" x14ac:dyDescent="0.35">
      <c r="A14" s="55"/>
      <c r="C14" s="18" t="s">
        <v>237</v>
      </c>
      <c r="D14" s="212">
        <v>243</v>
      </c>
      <c r="E14" s="213"/>
      <c r="J14" s="58"/>
    </row>
    <row r="15" spans="1:10" ht="16.5" customHeight="1" thickBot="1" x14ac:dyDescent="0.35">
      <c r="A15" s="55"/>
      <c r="C15" s="18" t="s">
        <v>238</v>
      </c>
      <c r="D15" s="212">
        <v>649</v>
      </c>
      <c r="E15" s="213"/>
      <c r="J15" s="58"/>
    </row>
    <row r="16" spans="1:10" x14ac:dyDescent="0.3">
      <c r="A16" s="55"/>
      <c r="J16" s="58"/>
    </row>
    <row r="17" spans="1:10" ht="13.8"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3.8" thickBot="1" x14ac:dyDescent="0.35">
      <c r="A19" s="55"/>
      <c r="B19" s="19">
        <v>2</v>
      </c>
      <c r="C19" s="23" t="s">
        <v>57</v>
      </c>
      <c r="D19" s="34" t="s">
        <v>52</v>
      </c>
      <c r="J19" s="58"/>
    </row>
    <row r="20" spans="1:10" ht="13.8" thickBot="1" x14ac:dyDescent="0.35">
      <c r="A20" s="55"/>
      <c r="B20" s="19">
        <v>3</v>
      </c>
      <c r="C20" s="23" t="s">
        <v>91</v>
      </c>
      <c r="D20" s="34" t="s">
        <v>72</v>
      </c>
      <c r="J20" s="58"/>
    </row>
    <row r="21" spans="1:10" ht="13.8" thickBot="1" x14ac:dyDescent="0.35">
      <c r="A21" s="55"/>
      <c r="B21" s="19">
        <v>4</v>
      </c>
      <c r="C21" s="23" t="s">
        <v>58</v>
      </c>
      <c r="D21" s="34" t="s">
        <v>72</v>
      </c>
      <c r="J21" s="58"/>
    </row>
    <row r="22" spans="1:10" ht="13.8" thickBot="1" x14ac:dyDescent="0.35">
      <c r="A22" s="55"/>
      <c r="B22" s="19">
        <v>5</v>
      </c>
      <c r="C22" s="23" t="s">
        <v>69</v>
      </c>
      <c r="D22" s="34" t="s">
        <v>71</v>
      </c>
      <c r="J22" s="58"/>
    </row>
    <row r="23" spans="1:10" ht="13.8" thickBot="1" x14ac:dyDescent="0.35">
      <c r="A23" s="55"/>
      <c r="B23" s="19">
        <v>6</v>
      </c>
      <c r="C23" s="23" t="s">
        <v>73</v>
      </c>
      <c r="D23" s="34" t="s">
        <v>71</v>
      </c>
      <c r="J23" s="58"/>
    </row>
    <row r="24" spans="1:10" ht="13.8" thickBot="1" x14ac:dyDescent="0.35">
      <c r="A24" s="55"/>
      <c r="B24" s="19">
        <v>7</v>
      </c>
      <c r="C24" s="23" t="s">
        <v>74</v>
      </c>
      <c r="D24" s="34" t="s">
        <v>71</v>
      </c>
      <c r="J24" s="58"/>
    </row>
    <row r="25" spans="1:10" ht="13.8" thickBot="1" x14ac:dyDescent="0.35">
      <c r="A25" s="55"/>
      <c r="B25" s="19">
        <v>8</v>
      </c>
      <c r="C25" s="23" t="s">
        <v>75</v>
      </c>
      <c r="D25" s="34" t="s">
        <v>71</v>
      </c>
      <c r="J25" s="58"/>
    </row>
    <row r="26" spans="1:10" ht="13.8" thickBot="1" x14ac:dyDescent="0.35">
      <c r="A26" s="55"/>
      <c r="B26" s="19">
        <v>9</v>
      </c>
      <c r="C26" s="23" t="s">
        <v>86</v>
      </c>
      <c r="D26" s="34" t="s">
        <v>72</v>
      </c>
      <c r="J26" s="58"/>
    </row>
    <row r="27" spans="1:10" ht="13.8" thickBot="1" x14ac:dyDescent="0.35">
      <c r="A27" s="55"/>
      <c r="C27" s="23" t="s">
        <v>219</v>
      </c>
      <c r="D27" s="34" t="s">
        <v>71</v>
      </c>
      <c r="J27" s="58"/>
    </row>
    <row r="28" spans="1:10" ht="13.8" thickBot="1" x14ac:dyDescent="0.35">
      <c r="A28" s="55"/>
      <c r="C28" s="23" t="s">
        <v>242</v>
      </c>
      <c r="D28" s="34" t="s">
        <v>71</v>
      </c>
      <c r="J28" s="58"/>
    </row>
    <row r="29" spans="1:10" ht="13.8" thickBot="1" x14ac:dyDescent="0.35">
      <c r="A29" s="55"/>
      <c r="C29" s="23"/>
      <c r="F29" s="51"/>
      <c r="J29" s="58"/>
    </row>
    <row r="30" spans="1:10" ht="13.8" thickBot="1" x14ac:dyDescent="0.35">
      <c r="A30" s="55"/>
      <c r="J30" s="58"/>
    </row>
    <row r="31" spans="1:10" ht="13.8" thickBot="1" x14ac:dyDescent="0.35">
      <c r="A31" s="55"/>
      <c r="C31" s="21" t="s">
        <v>300</v>
      </c>
      <c r="D31" s="147">
        <v>100.65</v>
      </c>
      <c r="F31" s="24"/>
      <c r="J31" s="58"/>
    </row>
    <row r="32" spans="1:10" ht="13.8" thickBot="1" x14ac:dyDescent="0.35">
      <c r="A32" s="55"/>
      <c r="C32" s="21" t="s">
        <v>183</v>
      </c>
      <c r="D32" s="147">
        <v>7.08</v>
      </c>
      <c r="J32" s="58"/>
    </row>
    <row r="33" spans="1:10" x14ac:dyDescent="0.3">
      <c r="A33" s="55"/>
      <c r="C33" s="21"/>
      <c r="J33" s="58"/>
    </row>
    <row r="34" spans="1:10" ht="13.8" thickBot="1" x14ac:dyDescent="0.35">
      <c r="A34" s="55"/>
      <c r="D34" s="18"/>
      <c r="J34" s="58"/>
    </row>
    <row r="35" spans="1:10" ht="13.8" thickBot="1" x14ac:dyDescent="0.35">
      <c r="A35" s="55"/>
      <c r="C35" s="21" t="s">
        <v>297</v>
      </c>
      <c r="D35" s="147">
        <f>+D31</f>
        <v>100.65</v>
      </c>
      <c r="F35" s="109" t="s">
        <v>305</v>
      </c>
      <c r="J35" s="58"/>
    </row>
    <row r="36" spans="1:10" ht="15" thickBot="1" x14ac:dyDescent="0.35">
      <c r="A36" s="55"/>
      <c r="C36" s="21" t="s">
        <v>295</v>
      </c>
      <c r="D36" s="147">
        <v>0</v>
      </c>
      <c r="E36" s="18" t="s">
        <v>315</v>
      </c>
      <c r="F36" s="110" t="s">
        <v>306</v>
      </c>
      <c r="J36" s="58"/>
    </row>
    <row r="37" spans="1:10" ht="27" thickBot="1" x14ac:dyDescent="0.35">
      <c r="A37" s="55"/>
      <c r="C37" s="23" t="s">
        <v>292</v>
      </c>
      <c r="D37" s="147">
        <v>147</v>
      </c>
      <c r="E37" s="18" t="s">
        <v>315</v>
      </c>
      <c r="F37" s="102" t="s">
        <v>298</v>
      </c>
      <c r="J37" s="58"/>
    </row>
    <row r="38" spans="1:10" ht="15" thickBot="1" x14ac:dyDescent="0.35">
      <c r="A38" s="55"/>
      <c r="C38" s="23" t="s">
        <v>293</v>
      </c>
      <c r="D38" s="147">
        <f>+D35</f>
        <v>100.65</v>
      </c>
      <c r="E38" s="18" t="s">
        <v>315</v>
      </c>
      <c r="F38" s="108" t="s">
        <v>304</v>
      </c>
      <c r="J38" s="58"/>
    </row>
    <row r="39" spans="1:10" ht="27" thickBot="1" x14ac:dyDescent="0.35">
      <c r="A39" s="55"/>
      <c r="C39" s="23" t="s">
        <v>294</v>
      </c>
      <c r="D39" s="147">
        <v>0</v>
      </c>
      <c r="E39" s="18" t="s">
        <v>315</v>
      </c>
      <c r="F39" s="111" t="s">
        <v>308</v>
      </c>
      <c r="J39" s="58"/>
    </row>
    <row r="40" spans="1:10" ht="13.8" thickBot="1" x14ac:dyDescent="0.35">
      <c r="A40" s="55"/>
      <c r="C40" s="21" t="s">
        <v>299</v>
      </c>
      <c r="D40" s="147">
        <v>2.74</v>
      </c>
      <c r="E40" s="18" t="s">
        <v>43</v>
      </c>
      <c r="F40" s="103" t="s">
        <v>301</v>
      </c>
      <c r="J40" s="58"/>
    </row>
    <row r="41" spans="1:10" ht="27" thickBot="1" x14ac:dyDescent="0.35">
      <c r="A41" s="55"/>
      <c r="C41" s="21" t="s">
        <v>291</v>
      </c>
      <c r="D41" s="39">
        <f>ROUNDUP($D$37/D35,2)</f>
        <v>1.47</v>
      </c>
      <c r="F41" s="104" t="s">
        <v>302</v>
      </c>
      <c r="J41" s="58"/>
    </row>
    <row r="42" spans="1:10" ht="13.8" thickBot="1" x14ac:dyDescent="0.35">
      <c r="A42" s="55"/>
      <c r="C42" s="21" t="s">
        <v>289</v>
      </c>
      <c r="D42" s="39">
        <f>IFERROR(ROUNDUP((D36/D31),2),"")</f>
        <v>0</v>
      </c>
      <c r="F42" s="106" t="s">
        <v>289</v>
      </c>
      <c r="J42" s="58"/>
    </row>
    <row r="43" spans="1:10" ht="27" thickBot="1" x14ac:dyDescent="0.35">
      <c r="A43" s="55"/>
      <c r="C43" s="21" t="s">
        <v>290</v>
      </c>
      <c r="D43" s="101">
        <f>IFERROR(((D36+D37)/D31),"")</f>
        <v>1.4605067064083457</v>
      </c>
      <c r="F43" s="105" t="s">
        <v>303</v>
      </c>
      <c r="J43" s="58"/>
    </row>
    <row r="44" spans="1:10" ht="13.8" thickBot="1" x14ac:dyDescent="0.35">
      <c r="A44" s="55"/>
      <c r="C44" s="21" t="s">
        <v>222</v>
      </c>
      <c r="D44" s="147">
        <f>D40</f>
        <v>2.74</v>
      </c>
      <c r="J44" s="58"/>
    </row>
    <row r="45" spans="1:10" ht="13.8" thickBot="1" x14ac:dyDescent="0.35">
      <c r="A45" s="55"/>
      <c r="C45" s="21" t="s">
        <v>228</v>
      </c>
      <c r="D45" s="51">
        <v>0</v>
      </c>
      <c r="J45" s="58"/>
    </row>
    <row r="46" spans="1:10" ht="13.8" thickBot="1" x14ac:dyDescent="0.35">
      <c r="A46" s="55"/>
      <c r="C46" s="21" t="s">
        <v>307</v>
      </c>
      <c r="D46" s="112">
        <f>ROUNDUP(D39/D31,2)</f>
        <v>0</v>
      </c>
      <c r="J46" s="58"/>
    </row>
    <row r="47" spans="1:10" ht="13.8" thickBot="1" x14ac:dyDescent="0.35">
      <c r="A47" s="55"/>
      <c r="C47" s="23"/>
      <c r="F47" s="107" t="s">
        <v>192</v>
      </c>
      <c r="J47" s="58"/>
    </row>
    <row r="48" spans="1:10" ht="13.8" thickBot="1" x14ac:dyDescent="0.35">
      <c r="A48" s="55"/>
      <c r="C48" s="216" t="s">
        <v>309</v>
      </c>
      <c r="D48" s="217"/>
      <c r="E48" s="217"/>
      <c r="F48" s="218"/>
      <c r="G48" s="21"/>
      <c r="H48" s="45"/>
      <c r="I48" s="45"/>
      <c r="J48" s="58"/>
    </row>
    <row r="49" spans="1:10" ht="13.8" thickBot="1" x14ac:dyDescent="0.35">
      <c r="A49" s="55"/>
      <c r="C49" s="48" t="s">
        <v>179</v>
      </c>
      <c r="D49" s="148">
        <f>+D37</f>
        <v>147</v>
      </c>
      <c r="E49" s="37" t="s">
        <v>119</v>
      </c>
      <c r="F49" s="38" t="s">
        <v>119</v>
      </c>
      <c r="H49" s="46"/>
      <c r="I49" s="46"/>
      <c r="J49" s="58"/>
    </row>
    <row r="50" spans="1:10" ht="13.8" thickBot="1" x14ac:dyDescent="0.35">
      <c r="A50" s="55"/>
      <c r="C50" s="48" t="s">
        <v>180</v>
      </c>
      <c r="D50" s="147"/>
      <c r="E50" s="37"/>
      <c r="F50" s="26"/>
      <c r="G50" s="47"/>
      <c r="H50" s="46"/>
      <c r="I50" s="46"/>
      <c r="J50" s="58"/>
    </row>
    <row r="51" spans="1:10" ht="13.8" thickBot="1" x14ac:dyDescent="0.35">
      <c r="A51" s="55"/>
      <c r="C51" s="48" t="s">
        <v>181</v>
      </c>
      <c r="D51" s="51"/>
      <c r="E51" s="37"/>
      <c r="F51" s="26"/>
      <c r="G51" s="47"/>
      <c r="H51" s="46"/>
      <c r="I51" s="46"/>
      <c r="J51" s="58"/>
    </row>
    <row r="52" spans="1:10" ht="13.8" thickBot="1" x14ac:dyDescent="0.35">
      <c r="A52" s="55"/>
      <c r="C52" s="49" t="s">
        <v>182</v>
      </c>
      <c r="D52" s="51"/>
      <c r="E52" s="37"/>
      <c r="F52" s="26"/>
      <c r="G52" s="47"/>
      <c r="H52" s="46"/>
      <c r="I52" s="46"/>
      <c r="J52" s="58"/>
    </row>
    <row r="53" spans="1:10" ht="14.4" x14ac:dyDescent="0.3">
      <c r="A53" s="55"/>
      <c r="C53" s="21"/>
      <c r="D53" s="24">
        <f>SUM(D49:D52)</f>
        <v>147</v>
      </c>
      <c r="E53" s="18" t="s">
        <v>315</v>
      </c>
      <c r="J53" s="58"/>
    </row>
    <row r="54" spans="1:10" ht="13.8" thickBot="1" x14ac:dyDescent="0.35">
      <c r="A54" s="55"/>
      <c r="C54" s="21"/>
      <c r="D54" s="36"/>
      <c r="J54" s="58"/>
    </row>
    <row r="55" spans="1:10" x14ac:dyDescent="0.3">
      <c r="A55" s="55"/>
      <c r="C55" s="21" t="s">
        <v>119</v>
      </c>
      <c r="D55" s="40">
        <f>SUMIF(E49:E52,"RESIDENCIAL",D49:D52)</f>
        <v>147</v>
      </c>
      <c r="J55" s="58"/>
    </row>
    <row r="56" spans="1:10" x14ac:dyDescent="0.3">
      <c r="A56" s="55"/>
      <c r="C56" s="21" t="s">
        <v>184</v>
      </c>
      <c r="D56" s="41">
        <f>SUMIF(E49:E52,"NO_RESIDENCIAL_ORD",D49:D52)</f>
        <v>0</v>
      </c>
      <c r="J56" s="58"/>
    </row>
    <row r="57" spans="1:10" ht="13.8" thickBot="1" x14ac:dyDescent="0.35">
      <c r="C57" s="21" t="s">
        <v>185</v>
      </c>
      <c r="D57" s="42">
        <f>SUMIF(E49:E52,"NO_RESIDENCIAL_COND",D49:D52)</f>
        <v>0</v>
      </c>
    </row>
    <row r="58" spans="1:10" ht="13.8" thickBot="1" x14ac:dyDescent="0.35"/>
    <row r="59" spans="1:10" ht="13.8" thickBot="1" x14ac:dyDescent="0.35">
      <c r="A59" s="55"/>
      <c r="C59" s="21" t="s">
        <v>248</v>
      </c>
      <c r="D59" s="44">
        <f>$D$55/$D$53</f>
        <v>1</v>
      </c>
      <c r="J59" s="58"/>
    </row>
    <row r="60" spans="1:10" ht="13.8" thickBot="1" x14ac:dyDescent="0.35">
      <c r="A60" s="55"/>
      <c r="C60" s="21"/>
      <c r="E60" s="20" t="s">
        <v>246</v>
      </c>
      <c r="J60" s="58"/>
    </row>
    <row r="61" spans="1:10" ht="13.8" thickBot="1" x14ac:dyDescent="0.35">
      <c r="A61" s="55"/>
      <c r="C61" s="21" t="s">
        <v>187</v>
      </c>
      <c r="D61" s="34" t="s">
        <v>18</v>
      </c>
      <c r="E61" s="50"/>
      <c r="J61" s="58"/>
    </row>
    <row r="62" spans="1:10" ht="13.8" thickBot="1" x14ac:dyDescent="0.35">
      <c r="A62" s="55"/>
      <c r="C62" s="21" t="s">
        <v>189</v>
      </c>
      <c r="D62" s="39">
        <v>8.875</v>
      </c>
      <c r="E62" s="22" t="s">
        <v>190</v>
      </c>
      <c r="F62" s="50">
        <v>6.89</v>
      </c>
      <c r="J62" s="58"/>
    </row>
    <row r="63" spans="1:10" ht="24.6" thickBot="1" x14ac:dyDescent="0.35">
      <c r="A63" s="55"/>
      <c r="C63" s="23" t="s">
        <v>220</v>
      </c>
      <c r="D63" s="35" t="s">
        <v>71</v>
      </c>
      <c r="J63" s="58"/>
    </row>
    <row r="64" spans="1:10" ht="13.8" thickBot="1" x14ac:dyDescent="0.35">
      <c r="A64" s="55"/>
      <c r="C64" s="23"/>
      <c r="D64" s="35"/>
      <c r="J64" s="58"/>
    </row>
    <row r="65" spans="1:10" ht="13.8" thickBot="1" x14ac:dyDescent="0.35">
      <c r="A65" s="55"/>
      <c r="C65" s="21" t="s">
        <v>191</v>
      </c>
      <c r="D65" s="53">
        <f>IF($D$35&gt;10000,((($D$35*$D$41)/($F$62+$D$41))*IF($D$59=100%,1,1.3)),(($D$35*($D$41*0.75))/($D$62+($D$41*0.75))*(IF($D$63="NO",1,0.75))*(IF($D$59=100%,1,1.3))))</f>
        <v>11.121686294161865</v>
      </c>
      <c r="J65" s="58"/>
    </row>
    <row r="66" spans="1:10" x14ac:dyDescent="0.3">
      <c r="A66" s="55"/>
      <c r="C66" s="21"/>
      <c r="J66" s="58"/>
    </row>
    <row r="67" spans="1:10" ht="13.8" thickBot="1" x14ac:dyDescent="0.35">
      <c r="A67" s="55"/>
      <c r="C67" s="21"/>
      <c r="J67" s="58"/>
    </row>
    <row r="68" spans="1:10" ht="13.8" thickBot="1" x14ac:dyDescent="0.35">
      <c r="A68" s="55"/>
      <c r="C68" s="71" t="s">
        <v>268</v>
      </c>
      <c r="D68" s="70">
        <v>1</v>
      </c>
      <c r="E68" s="22" t="s">
        <v>214</v>
      </c>
      <c r="J68" s="58"/>
    </row>
    <row r="69" spans="1:10" ht="13.8" thickBot="1" x14ac:dyDescent="0.35">
      <c r="A69" s="55"/>
      <c r="C69" s="21"/>
      <c r="D69" s="70">
        <v>2</v>
      </c>
      <c r="E69" s="22"/>
      <c r="J69" s="58"/>
    </row>
    <row r="70" spans="1:10" ht="13.8" thickBot="1" x14ac:dyDescent="0.35">
      <c r="A70" s="55"/>
      <c r="C70" s="21"/>
      <c r="D70" s="70">
        <v>3</v>
      </c>
      <c r="E70" s="22"/>
      <c r="J70" s="58"/>
    </row>
    <row r="71" spans="1:10" ht="13.8" thickBot="1" x14ac:dyDescent="0.35">
      <c r="A71" s="55"/>
      <c r="C71" s="21"/>
      <c r="D71" s="70">
        <v>4</v>
      </c>
      <c r="E71" s="22"/>
      <c r="J71" s="58"/>
    </row>
    <row r="72" spans="1:10" ht="13.8" thickBot="1" x14ac:dyDescent="0.35">
      <c r="A72" s="55"/>
      <c r="J72" s="58"/>
    </row>
    <row r="73" spans="1:10" ht="13.8" thickBot="1" x14ac:dyDescent="0.35">
      <c r="A73" s="55"/>
      <c r="C73" s="209" t="s">
        <v>269</v>
      </c>
      <c r="D73" s="70">
        <v>1</v>
      </c>
      <c r="E73" s="22" t="s">
        <v>362</v>
      </c>
      <c r="J73" s="58"/>
    </row>
    <row r="74" spans="1:10" ht="29.25" customHeight="1" thickBot="1" x14ac:dyDescent="0.35">
      <c r="A74" s="55"/>
      <c r="C74" s="209"/>
      <c r="D74" s="70">
        <v>2</v>
      </c>
      <c r="E74" s="22"/>
      <c r="J74" s="58"/>
    </row>
    <row r="75" spans="1:10" ht="13.8" thickBot="1" x14ac:dyDescent="0.35">
      <c r="A75" s="55"/>
      <c r="D75" s="70">
        <v>3</v>
      </c>
      <c r="E75" s="22"/>
      <c r="J75" s="58"/>
    </row>
    <row r="76" spans="1:10" ht="13.8" thickBot="1" x14ac:dyDescent="0.35">
      <c r="A76" s="55"/>
      <c r="D76" s="70">
        <v>4</v>
      </c>
      <c r="E76" s="22"/>
      <c r="J76" s="58"/>
    </row>
    <row r="77" spans="1:10" x14ac:dyDescent="0.3">
      <c r="A77" s="55"/>
      <c r="J77" s="58"/>
    </row>
    <row r="78" spans="1:10" x14ac:dyDescent="0.3">
      <c r="A78" s="55"/>
      <c r="J78" s="58"/>
    </row>
    <row r="79" spans="1:10" ht="13.8" thickBot="1" x14ac:dyDescent="0.35">
      <c r="A79" s="55"/>
      <c r="C79" s="21"/>
      <c r="J79" s="58"/>
    </row>
    <row r="80" spans="1:10" ht="13.8"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T143"/>
  <sheetViews>
    <sheetView showRuler="0" zoomScale="70" zoomScaleNormal="70" zoomScalePageLayoutView="70" workbookViewId="0">
      <selection activeCell="L14" sqref="L14"/>
    </sheetView>
  </sheetViews>
  <sheetFormatPr baseColWidth="10" defaultColWidth="11.44140625" defaultRowHeight="13.2" x14ac:dyDescent="0.3"/>
  <cols>
    <col min="1" max="1" width="4.88671875" style="143" customWidth="1"/>
    <col min="2" max="3" width="4.88671875" style="146" customWidth="1"/>
    <col min="4" max="4" width="4.88671875" style="143" customWidth="1"/>
    <col min="5" max="5" width="5.33203125" style="143" customWidth="1"/>
    <col min="6" max="6" width="41.6640625" style="143" customWidth="1"/>
    <col min="7" max="7" width="21.44140625" style="143" customWidth="1"/>
    <col min="8" max="8" width="10.44140625" style="143" customWidth="1"/>
    <col min="9" max="9" width="44.33203125" style="143" customWidth="1"/>
    <col min="10" max="10" width="20" style="143" customWidth="1"/>
    <col min="11" max="11" width="12.33203125" style="143" customWidth="1"/>
    <col min="12" max="12" width="29.33203125" style="143" customWidth="1"/>
    <col min="13" max="13" width="5.6640625" style="143" customWidth="1"/>
    <col min="14" max="14" width="5.44140625" style="143" customWidth="1"/>
    <col min="15" max="15" width="9" style="143" hidden="1" customWidth="1"/>
    <col min="16" max="17" width="4.88671875" style="146" customWidth="1"/>
    <col min="18" max="18" width="4.88671875" style="143" customWidth="1"/>
    <col min="19" max="16384" width="11.44140625" style="143"/>
  </cols>
  <sheetData>
    <row r="1" spans="2:17" s="73" customFormat="1" ht="18" customHeight="1" x14ac:dyDescent="0.3">
      <c r="D1" s="77"/>
      <c r="E1" s="77"/>
      <c r="F1" s="77"/>
      <c r="G1" s="77"/>
      <c r="H1" s="77"/>
      <c r="I1" s="77"/>
      <c r="J1" s="77"/>
      <c r="K1" s="77"/>
      <c r="O1" s="77"/>
    </row>
    <row r="2" spans="2:17" s="73" customFormat="1" ht="17.399999999999999" x14ac:dyDescent="0.3">
      <c r="D2" s="82"/>
      <c r="E2" s="114"/>
      <c r="F2" s="114"/>
      <c r="G2" s="219"/>
      <c r="H2" s="219"/>
      <c r="I2" s="219"/>
      <c r="J2" s="114"/>
      <c r="K2" s="114"/>
      <c r="L2" s="114"/>
      <c r="M2" s="114"/>
      <c r="N2" s="114"/>
      <c r="O2" s="114"/>
    </row>
    <row r="3" spans="2:17" s="73" customFormat="1" ht="17.399999999999999" thickBot="1" x14ac:dyDescent="0.35"/>
    <row r="4" spans="2:17" s="73" customFormat="1" ht="20.25" customHeight="1" x14ac:dyDescent="0.3">
      <c r="B4" s="93"/>
      <c r="C4" s="93"/>
      <c r="G4" s="221" t="s">
        <v>243</v>
      </c>
      <c r="H4" s="222"/>
      <c r="I4" s="222"/>
      <c r="L4" s="233" t="s">
        <v>312</v>
      </c>
      <c r="M4" s="233"/>
      <c r="N4" s="233"/>
      <c r="P4" s="93"/>
      <c r="Q4" s="93"/>
    </row>
    <row r="5" spans="2:17" s="73" customFormat="1" ht="17.399999999999999" thickBot="1" x14ac:dyDescent="0.35">
      <c r="B5" s="93"/>
      <c r="C5" s="93"/>
      <c r="P5" s="93"/>
      <c r="Q5" s="93"/>
    </row>
    <row r="6" spans="2:17" s="73" customFormat="1" ht="21" customHeight="1" x14ac:dyDescent="0.3">
      <c r="B6" s="93"/>
      <c r="C6" s="93"/>
      <c r="G6" s="234" t="s">
        <v>90</v>
      </c>
      <c r="H6" s="235"/>
      <c r="I6" s="236"/>
      <c r="P6" s="93"/>
      <c r="Q6" s="93"/>
    </row>
    <row r="7" spans="2:17" s="73" customFormat="1" ht="16.8" x14ac:dyDescent="0.3">
      <c r="B7" s="93"/>
      <c r="C7" s="93"/>
      <c r="G7" s="237"/>
      <c r="H7" s="238"/>
      <c r="I7" s="239"/>
      <c r="P7" s="93"/>
      <c r="Q7" s="93"/>
    </row>
    <row r="8" spans="2:17" s="73" customFormat="1" ht="18" thickBot="1" x14ac:dyDescent="0.35">
      <c r="B8" s="93"/>
      <c r="C8" s="93"/>
      <c r="F8" s="82"/>
      <c r="P8" s="93"/>
      <c r="Q8" s="93"/>
    </row>
    <row r="9" spans="2:17" s="73" customFormat="1" ht="23.25" customHeight="1" x14ac:dyDescent="0.3">
      <c r="B9" s="93"/>
      <c r="C9" s="93"/>
      <c r="F9" s="223" t="s">
        <v>251</v>
      </c>
      <c r="G9" s="224"/>
      <c r="H9" s="224"/>
      <c r="I9" s="224"/>
      <c r="J9" s="224"/>
      <c r="K9" s="224"/>
      <c r="L9" s="225"/>
      <c r="P9" s="93"/>
      <c r="Q9" s="93"/>
    </row>
    <row r="10" spans="2:17" s="73" customFormat="1" ht="17.399999999999999" thickBot="1" x14ac:dyDescent="0.35">
      <c r="B10" s="93"/>
      <c r="C10" s="93"/>
      <c r="P10" s="93"/>
      <c r="Q10" s="93"/>
    </row>
    <row r="11" spans="2:17" s="73" customFormat="1" ht="20.399999999999999" x14ac:dyDescent="0.3">
      <c r="B11" s="93"/>
      <c r="C11" s="93"/>
      <c r="F11" s="77" t="s">
        <v>229</v>
      </c>
      <c r="G11" s="221" t="str">
        <f>FACTIBILIDAD!D11</f>
        <v>RPNC1-4240426</v>
      </c>
      <c r="H11" s="222"/>
      <c r="I11" s="222"/>
      <c r="J11" s="226"/>
      <c r="P11" s="93"/>
      <c r="Q11" s="93"/>
    </row>
    <row r="12" spans="2:17" s="73" customFormat="1" ht="22.5" customHeight="1" x14ac:dyDescent="0.3">
      <c r="B12" s="93"/>
      <c r="C12" s="93"/>
      <c r="F12" s="77" t="s">
        <v>175</v>
      </c>
      <c r="G12" s="227" t="str">
        <f>FACTIBILIDAD!D9</f>
        <v>NOMBRE</v>
      </c>
      <c r="H12" s="228"/>
      <c r="I12" s="228"/>
      <c r="J12" s="229"/>
      <c r="P12" s="93"/>
      <c r="Q12" s="93"/>
    </row>
    <row r="13" spans="2:17" s="73" customFormat="1" ht="18.75" customHeight="1" x14ac:dyDescent="0.3">
      <c r="B13" s="93"/>
      <c r="C13" s="93"/>
      <c r="F13" s="77" t="s">
        <v>233</v>
      </c>
      <c r="G13" s="227" t="str">
        <f>FACTIBILIDAD!D10</f>
        <v>8 AVENIDA 0-10  ZONA 1</v>
      </c>
      <c r="H13" s="228"/>
      <c r="I13" s="228"/>
      <c r="J13" s="229"/>
      <c r="P13" s="93"/>
      <c r="Q13" s="93"/>
    </row>
    <row r="14" spans="2:17" s="73" customFormat="1" ht="18.75" customHeight="1" x14ac:dyDescent="0.3">
      <c r="B14" s="93"/>
      <c r="C14" s="93"/>
      <c r="F14" s="77" t="s">
        <v>176</v>
      </c>
      <c r="G14" s="230">
        <f ca="1">FACTIBILIDAD!D8</f>
        <v>46180</v>
      </c>
      <c r="H14" s="231"/>
      <c r="I14" s="231"/>
      <c r="J14" s="232"/>
      <c r="P14" s="93"/>
      <c r="Q14" s="93"/>
    </row>
    <row r="15" spans="2:17" s="73" customFormat="1" ht="18.75" customHeight="1" x14ac:dyDescent="0.3">
      <c r="B15" s="93"/>
      <c r="C15" s="93"/>
      <c r="F15" s="77" t="s">
        <v>235</v>
      </c>
      <c r="G15" s="227" t="str">
        <f>FACTIBILIDAD!D12</f>
        <v>VIVIENDA UNIFAMILIAR</v>
      </c>
      <c r="H15" s="228"/>
      <c r="I15" s="228"/>
      <c r="J15" s="229"/>
      <c r="P15" s="93"/>
      <c r="Q15" s="93"/>
    </row>
    <row r="16" spans="2:17" s="73" customFormat="1" ht="17.399999999999999" x14ac:dyDescent="0.3">
      <c r="B16" s="93"/>
      <c r="C16" s="93"/>
      <c r="F16" s="77" t="s">
        <v>239</v>
      </c>
      <c r="G16" s="227">
        <f>FACTIBILIDAD!D13</f>
        <v>279703</v>
      </c>
      <c r="H16" s="228"/>
      <c r="I16" s="228"/>
      <c r="J16" s="229"/>
      <c r="P16" s="93"/>
      <c r="Q16" s="93"/>
    </row>
    <row r="17" spans="2:20" s="73" customFormat="1" ht="17.399999999999999" x14ac:dyDescent="0.3">
      <c r="B17" s="93"/>
      <c r="C17" s="93"/>
      <c r="F17" s="77" t="s">
        <v>240</v>
      </c>
      <c r="G17" s="227">
        <f>FACTIBILIDAD!D14</f>
        <v>243</v>
      </c>
      <c r="H17" s="228"/>
      <c r="I17" s="228"/>
      <c r="J17" s="229"/>
      <c r="K17" s="114"/>
      <c r="L17" s="114"/>
      <c r="M17" s="114"/>
      <c r="N17" s="114"/>
      <c r="O17" s="114"/>
      <c r="P17" s="93"/>
      <c r="Q17" s="93"/>
    </row>
    <row r="18" spans="2:20" s="73" customFormat="1" ht="18" thickBot="1" x14ac:dyDescent="0.35">
      <c r="B18" s="93"/>
      <c r="C18" s="93"/>
      <c r="F18" s="77" t="s">
        <v>241</v>
      </c>
      <c r="G18" s="259">
        <f>FACTIBILIDAD!D15</f>
        <v>649</v>
      </c>
      <c r="H18" s="257"/>
      <c r="I18" s="257"/>
      <c r="J18" s="260"/>
      <c r="P18" s="93"/>
      <c r="Q18" s="93"/>
    </row>
    <row r="19" spans="2:20" s="73" customFormat="1" ht="18" thickBot="1" x14ac:dyDescent="0.35">
      <c r="B19" s="93"/>
      <c r="C19" s="93"/>
      <c r="F19" s="77"/>
      <c r="G19" s="114"/>
      <c r="H19" s="114"/>
      <c r="I19" s="114"/>
      <c r="J19" s="114"/>
      <c r="P19" s="93"/>
      <c r="Q19" s="93"/>
    </row>
    <row r="20" spans="2:20" s="73" customFormat="1" ht="20.399999999999999" x14ac:dyDescent="0.3">
      <c r="B20" s="93"/>
      <c r="C20" s="93"/>
      <c r="F20" s="223" t="s">
        <v>263</v>
      </c>
      <c r="G20" s="224"/>
      <c r="H20" s="224"/>
      <c r="I20" s="224"/>
      <c r="J20" s="224"/>
      <c r="K20" s="224"/>
      <c r="L20" s="225"/>
      <c r="P20" s="93"/>
      <c r="Q20" s="93"/>
    </row>
    <row r="21" spans="2:20" s="73" customFormat="1" ht="18" thickBot="1" x14ac:dyDescent="0.35">
      <c r="B21" s="93"/>
      <c r="C21" s="93"/>
      <c r="F21" s="77"/>
      <c r="P21" s="93"/>
      <c r="Q21" s="93"/>
    </row>
    <row r="22" spans="2:20" s="73" customFormat="1" ht="36" customHeight="1" thickBot="1" x14ac:dyDescent="0.35">
      <c r="B22" s="93"/>
      <c r="C22" s="93"/>
      <c r="F22" s="118" t="s">
        <v>280</v>
      </c>
      <c r="G22" s="251" t="str">
        <f>IF(N35="", "NO ESTA SUJETO A CARGAS URBANISTICAS",FACTIBILIDAD!D19)</f>
        <v>URBANO Q5 (URB-Q5)</v>
      </c>
      <c r="H22" s="252"/>
      <c r="I22" s="252"/>
      <c r="J22" s="253"/>
      <c r="K22" s="82"/>
      <c r="P22" s="93"/>
      <c r="Q22" s="93"/>
    </row>
    <row r="23" spans="2:20" s="73" customFormat="1" ht="18" thickBot="1" x14ac:dyDescent="0.35">
      <c r="B23" s="93"/>
      <c r="C23" s="93"/>
      <c r="F23" s="118"/>
      <c r="G23" s="82"/>
      <c r="H23" s="82"/>
      <c r="I23" s="82"/>
      <c r="J23" s="82"/>
      <c r="K23" s="82"/>
      <c r="P23" s="93"/>
      <c r="Q23" s="93"/>
    </row>
    <row r="24" spans="2:20" s="73" customFormat="1" ht="21" customHeight="1" x14ac:dyDescent="0.3">
      <c r="B24" s="93"/>
      <c r="C24" s="93"/>
      <c r="F24" s="274" t="s">
        <v>249</v>
      </c>
      <c r="G24" s="275"/>
      <c r="H24" s="77"/>
      <c r="I24" s="272" t="s">
        <v>250</v>
      </c>
      <c r="J24" s="273"/>
      <c r="K24" s="82"/>
      <c r="L24" s="119" t="s">
        <v>252</v>
      </c>
      <c r="P24" s="93"/>
      <c r="Q24" s="93"/>
    </row>
    <row r="25" spans="2:20" s="73" customFormat="1" ht="19.8" x14ac:dyDescent="0.3">
      <c r="B25" s="93"/>
      <c r="C25" s="93"/>
      <c r="F25" s="120" t="s">
        <v>319</v>
      </c>
      <c r="G25" s="121">
        <f ca="1">LOOKUP(G22,tabla!G4:G12,tabla!H4:H11)</f>
        <v>100</v>
      </c>
      <c r="H25" s="114"/>
      <c r="I25" s="120" t="s">
        <v>320</v>
      </c>
      <c r="J25" s="121">
        <f>FACTIBILIDAD!D31</f>
        <v>100.65</v>
      </c>
      <c r="K25" s="114"/>
      <c r="L25" s="99" t="str">
        <f ca="1">IF(J25&lt;=G25,"NO CUMPLE","SI CUMPLE")</f>
        <v>SI CUMPLE</v>
      </c>
      <c r="P25" s="93"/>
      <c r="Q25" s="93"/>
    </row>
    <row r="26" spans="2:20" s="73" customFormat="1" ht="17.399999999999999" x14ac:dyDescent="0.3">
      <c r="B26" s="93"/>
      <c r="C26" s="93"/>
      <c r="F26" s="74" t="s">
        <v>203</v>
      </c>
      <c r="G26" s="122">
        <f>LOOKUP(FACTIBILIDAD!D19,tabla!G4:G11,tabla!I4:I11)</f>
        <v>5</v>
      </c>
      <c r="H26" s="114"/>
      <c r="I26" s="74" t="s">
        <v>204</v>
      </c>
      <c r="J26" s="122">
        <f>FACTIBILIDAD!D32</f>
        <v>7.08</v>
      </c>
      <c r="K26" s="114"/>
      <c r="L26" s="99" t="str">
        <f>IF(J26&lt;G26,"NO CUMPLE","SI CUMPLE")</f>
        <v>SI CUMPLE</v>
      </c>
      <c r="P26" s="93"/>
      <c r="Q26" s="93"/>
    </row>
    <row r="27" spans="2:20" s="73" customFormat="1" ht="17.399999999999999" x14ac:dyDescent="0.3">
      <c r="B27" s="93"/>
      <c r="C27" s="93"/>
      <c r="F27" s="74" t="s">
        <v>206</v>
      </c>
      <c r="G27" s="122">
        <f ca="1">LOOKUP(FACTIBILIDAD!D19,tabla!G4:G10,tabla!P4:P11)</f>
        <v>26</v>
      </c>
      <c r="H27" s="114"/>
      <c r="I27" s="74" t="s">
        <v>205</v>
      </c>
      <c r="J27" s="122">
        <f>FACTIBILIDAD!D40</f>
        <v>2.74</v>
      </c>
      <c r="K27" s="114"/>
      <c r="L27" s="99" t="str">
        <f ca="1">IF(G27&lt;=J27,"NO CUMPLE","SI CUMPLE")</f>
        <v>SI CUMPLE</v>
      </c>
      <c r="P27" s="93"/>
      <c r="Q27" s="93"/>
    </row>
    <row r="28" spans="2:20" s="73" customFormat="1" ht="17.399999999999999" x14ac:dyDescent="0.3">
      <c r="B28" s="93"/>
      <c r="C28" s="93"/>
      <c r="F28" s="74" t="s">
        <v>266</v>
      </c>
      <c r="G28" s="122">
        <f ca="1">LOOKUP(G22,tabla!G4:G12,tabla!M4:M11)</f>
        <v>11</v>
      </c>
      <c r="H28" s="114"/>
      <c r="I28" s="74" t="s">
        <v>266</v>
      </c>
      <c r="J28" s="122">
        <f>FACTIBILIDAD!D44</f>
        <v>2.74</v>
      </c>
      <c r="K28" s="114"/>
      <c r="L28" s="99" t="str">
        <f ca="1">IF(G28&lt;J28,"NO CUMPLE","SI CUMPLE")</f>
        <v>SI CUMPLE</v>
      </c>
      <c r="P28" s="93"/>
      <c r="Q28" s="93"/>
    </row>
    <row r="29" spans="2:20" s="73" customFormat="1" ht="34.799999999999997" x14ac:dyDescent="0.3">
      <c r="B29" s="93"/>
      <c r="C29" s="93"/>
      <c r="F29" s="74" t="s">
        <v>267</v>
      </c>
      <c r="G29" s="122">
        <f ca="1">LOOKUP(G22,tabla!G4:G12,tabla!S4:S10)</f>
        <v>15</v>
      </c>
      <c r="H29" s="114"/>
      <c r="I29" s="74" t="s">
        <v>267</v>
      </c>
      <c r="J29" s="122">
        <f>FACTIBILIDAD!D45</f>
        <v>0</v>
      </c>
      <c r="K29" s="114"/>
      <c r="L29" s="99" t="str">
        <f ca="1">IF(G29&lt;J29,"NO CUMPLE","SI CUMPLE")</f>
        <v>SI CUMPLE</v>
      </c>
      <c r="P29" s="93"/>
      <c r="Q29" s="93"/>
    </row>
    <row r="30" spans="2:20" s="73" customFormat="1" ht="54.75" customHeight="1" x14ac:dyDescent="0.3">
      <c r="B30" s="93"/>
      <c r="C30" s="93"/>
      <c r="F30" s="74" t="s">
        <v>174</v>
      </c>
      <c r="G30" s="75">
        <f>LOOKUP(FACTIBILIDAD!D19,tabla!G4:G11,tabla!L4:L11)</f>
        <v>0.15</v>
      </c>
      <c r="H30" s="72"/>
      <c r="I30" s="76" t="s">
        <v>296</v>
      </c>
      <c r="J30" s="123" t="str">
        <f>IF(J25&lt;150,"NO DEBE DEJAR AREA PERMEABLE",FACTIBILIDAD!D39/FACTIBILIDAD!D35)</f>
        <v>NO DEBE DEJAR AREA PERMEABLE</v>
      </c>
      <c r="K30" s="124"/>
      <c r="L30" s="99" t="str">
        <f>IF(OR(G30&lt;=J30,J30="NO DEBE DEJAR AREA PERMEABLE"),"SI CUMPLE","NO CUMPLE")</f>
        <v>SI CUMPLE</v>
      </c>
      <c r="P30" s="93"/>
      <c r="Q30" s="93"/>
    </row>
    <row r="31" spans="2:20" s="73" customFormat="1" ht="19.8" x14ac:dyDescent="0.3">
      <c r="B31" s="93"/>
      <c r="C31" s="93"/>
      <c r="F31" s="74" t="s">
        <v>317</v>
      </c>
      <c r="G31" s="122">
        <f ca="1">LOOKUP('FORMATO  FACT'!G22:J22,tabla!G4:G12,tabla!U4:U11)</f>
        <v>500</v>
      </c>
      <c r="H31" s="114"/>
      <c r="I31" s="74" t="s">
        <v>200</v>
      </c>
      <c r="J31" s="122">
        <f>FACTIBILIDAD!D56</f>
        <v>0</v>
      </c>
      <c r="K31" s="114"/>
      <c r="L31" s="99" t="str">
        <f ca="1">IF(J31&gt;G31,"NO CUMPLE","SI CUMPLE")</f>
        <v>SI CUMPLE</v>
      </c>
      <c r="P31" s="93"/>
      <c r="Q31" s="93"/>
    </row>
    <row r="32" spans="2:20" s="73" customFormat="1" ht="37.200000000000003" x14ac:dyDescent="0.3">
      <c r="B32" s="93"/>
      <c r="C32" s="93"/>
      <c r="F32" s="74" t="s">
        <v>318</v>
      </c>
      <c r="G32" s="122">
        <f ca="1">LOOKUP('FORMATO  FACT'!G22:J22,tabla!G5:G13,tabla!U5:U12)</f>
        <v>500</v>
      </c>
      <c r="H32" s="114"/>
      <c r="I32" s="74" t="s">
        <v>200</v>
      </c>
      <c r="J32" s="122">
        <f>FACTIBILIDAD!D57</f>
        <v>0</v>
      </c>
      <c r="K32" s="114"/>
      <c r="L32" s="99" t="str">
        <f ca="1">IF(J32&gt;G32,"NO CUMPLE","SI CUMPLE")</f>
        <v>SI CUMPLE</v>
      </c>
      <c r="P32" s="93"/>
      <c r="Q32" s="93"/>
      <c r="T32" s="206"/>
    </row>
    <row r="33" spans="2:20" s="73" customFormat="1" ht="34.799999999999997" x14ac:dyDescent="0.3">
      <c r="B33" s="93"/>
      <c r="C33" s="93"/>
      <c r="F33" s="74" t="s">
        <v>186</v>
      </c>
      <c r="G33" s="123">
        <f ca="1">LOOKUP(FACTIBILIDAD!D19,tabla!G4:G11,tabla!T4:T10)</f>
        <v>0.6</v>
      </c>
      <c r="H33" s="124"/>
      <c r="I33" s="125" t="s">
        <v>186</v>
      </c>
      <c r="J33" s="75">
        <f>FACTIBILIDAD!D59</f>
        <v>1</v>
      </c>
      <c r="K33" s="126"/>
      <c r="L33" s="99" t="str">
        <f ca="1">IF(G33&lt;=J33,"SI CUMPLE","NO CUMPLE")</f>
        <v>SI CUMPLE</v>
      </c>
      <c r="P33" s="93"/>
      <c r="Q33" s="93"/>
    </row>
    <row r="34" spans="2:20" s="73" customFormat="1" ht="17.399999999999999" x14ac:dyDescent="0.3">
      <c r="B34" s="93"/>
      <c r="C34" s="93"/>
      <c r="F34" s="74" t="s">
        <v>188</v>
      </c>
      <c r="G34" s="127">
        <f>IF((FACTIBILIDAD!D61="AMPLIADO"),(LOOKUP('FORMATO  FACT'!G22:J22,tabla!G4:G12,tabla!K4:K12)),IF((FACTIBILIDAD!D61="BASE"),(LOOKUP('FORMATO  FACT'!G22:J22,tabla!G4:G12,tabla!J4:J12)),( FACTIBILIDAD!E61)))</f>
        <v>1.8</v>
      </c>
      <c r="H34" s="114"/>
      <c r="I34" s="74" t="s">
        <v>155</v>
      </c>
      <c r="J34" s="127">
        <f>FACTIBILIDAD!D43</f>
        <v>1.4605067064083457</v>
      </c>
      <c r="K34" s="114"/>
      <c r="L34" s="99" t="str">
        <f>IF(G34&lt;=J34,"NO CUMPLE","SI CUMPLE")</f>
        <v>SI CUMPLE</v>
      </c>
      <c r="P34" s="93"/>
      <c r="Q34" s="93"/>
      <c r="S34" s="207"/>
    </row>
    <row r="35" spans="2:20" s="73" customFormat="1" ht="37.799999999999997" thickBot="1" x14ac:dyDescent="0.35">
      <c r="B35" s="93"/>
      <c r="C35" s="93"/>
      <c r="F35" s="128" t="s">
        <v>321</v>
      </c>
      <c r="G35" s="205">
        <f>J25*G34</f>
        <v>181.17000000000002</v>
      </c>
      <c r="H35" s="114"/>
      <c r="I35" s="128" t="s">
        <v>334</v>
      </c>
      <c r="J35" s="129">
        <f>FACTIBILIDAD!D37+FACTIBILIDAD!D36</f>
        <v>147</v>
      </c>
      <c r="K35" s="114"/>
      <c r="L35" s="100" t="str">
        <f>IF(J35&gt;G35,"NO CUMPLE","SI CUMPLE")</f>
        <v>SI CUMPLE</v>
      </c>
      <c r="N35" s="278" t="str">
        <f>IF(J25&lt;=250,"NO ESTA SUJETO A CARGAS URBANISTICAS"," ")</f>
        <v>NO ESTA SUJETO A CARGAS URBANISTICAS</v>
      </c>
      <c r="O35" s="278"/>
      <c r="P35" s="93"/>
      <c r="Q35" s="93"/>
      <c r="S35" s="206"/>
      <c r="T35" s="206"/>
    </row>
    <row r="36" spans="2:20" s="73" customFormat="1" ht="18" thickBot="1" x14ac:dyDescent="0.35">
      <c r="B36" s="93"/>
      <c r="C36" s="93"/>
      <c r="F36" s="77"/>
      <c r="G36" s="114"/>
      <c r="H36" s="114"/>
      <c r="I36" s="77"/>
      <c r="J36" s="114"/>
      <c r="K36" s="114"/>
      <c r="N36" s="278"/>
      <c r="O36" s="278"/>
      <c r="P36" s="93"/>
      <c r="Q36" s="93"/>
    </row>
    <row r="37" spans="2:20" s="73" customFormat="1" ht="18.75" customHeight="1" thickBot="1" x14ac:dyDescent="0.35">
      <c r="B37" s="93"/>
      <c r="C37" s="93"/>
      <c r="F37" s="281" t="s">
        <v>208</v>
      </c>
      <c r="G37" s="282"/>
      <c r="H37" s="283"/>
      <c r="I37" s="152" t="s">
        <v>252</v>
      </c>
      <c r="L37" s="191" t="s">
        <v>333</v>
      </c>
      <c r="N37" s="278"/>
      <c r="O37" s="278"/>
      <c r="P37" s="93"/>
      <c r="Q37" s="93"/>
    </row>
    <row r="38" spans="2:20" s="73" customFormat="1" ht="19.8" x14ac:dyDescent="0.3">
      <c r="B38" s="93"/>
      <c r="C38" s="93"/>
      <c r="F38" s="149" t="s">
        <v>313</v>
      </c>
      <c r="G38" s="151">
        <v>0</v>
      </c>
      <c r="H38" s="153" t="s">
        <v>316</v>
      </c>
      <c r="I38" s="262" t="s">
        <v>201</v>
      </c>
      <c r="K38" s="190"/>
      <c r="L38" s="270">
        <f>'CARGA U'!C22</f>
        <v>100.65</v>
      </c>
      <c r="N38" s="278"/>
      <c r="O38" s="278"/>
      <c r="P38" s="93"/>
      <c r="Q38" s="93"/>
    </row>
    <row r="39" spans="2:20" s="73" customFormat="1" ht="37.5" customHeight="1" thickBot="1" x14ac:dyDescent="0.35">
      <c r="B39" s="93"/>
      <c r="C39" s="93"/>
      <c r="F39" s="150" t="s">
        <v>314</v>
      </c>
      <c r="G39" s="154">
        <v>0</v>
      </c>
      <c r="H39" s="155" t="s">
        <v>316</v>
      </c>
      <c r="I39" s="263"/>
      <c r="K39" s="190"/>
      <c r="L39" s="271"/>
      <c r="N39" s="278"/>
      <c r="O39" s="278"/>
      <c r="P39" s="93"/>
      <c r="Q39" s="93"/>
    </row>
    <row r="40" spans="2:20" s="73" customFormat="1" ht="18" customHeight="1" x14ac:dyDescent="0.3">
      <c r="B40" s="93"/>
      <c r="C40" s="93"/>
      <c r="F40" s="284" t="str">
        <f>IF(J25&lt;=250,"NO ESTA SUJETO A CARGAS URBANISTICAS"," ")</f>
        <v>NO ESTA SUJETO A CARGAS URBANISTICAS</v>
      </c>
      <c r="G40" s="284"/>
      <c r="H40" s="284"/>
      <c r="I40" s="284"/>
      <c r="P40" s="93"/>
      <c r="Q40" s="93"/>
    </row>
    <row r="41" spans="2:20" s="73" customFormat="1" ht="21" customHeight="1" thickBot="1" x14ac:dyDescent="0.35">
      <c r="B41" s="93"/>
      <c r="C41" s="93"/>
      <c r="F41" s="130"/>
      <c r="G41" s="130"/>
      <c r="P41" s="93"/>
      <c r="Q41" s="93"/>
    </row>
    <row r="42" spans="2:20" s="73" customFormat="1" ht="20.399999999999999" x14ac:dyDescent="0.3">
      <c r="B42" s="93"/>
      <c r="C42" s="93"/>
      <c r="F42" s="223" t="s">
        <v>254</v>
      </c>
      <c r="G42" s="224"/>
      <c r="H42" s="224"/>
      <c r="I42" s="224"/>
      <c r="J42" s="224"/>
      <c r="K42" s="224"/>
      <c r="L42" s="225"/>
      <c r="P42" s="93"/>
      <c r="Q42" s="93"/>
    </row>
    <row r="43" spans="2:20" s="73" customFormat="1" ht="17.399999999999999" thickBot="1" x14ac:dyDescent="0.35">
      <c r="B43" s="93"/>
      <c r="C43" s="93"/>
      <c r="F43" s="130"/>
      <c r="G43" s="130"/>
      <c r="P43" s="93"/>
      <c r="Q43" s="93"/>
    </row>
    <row r="44" spans="2:20" s="73" customFormat="1" ht="34.5" customHeight="1" x14ac:dyDescent="0.3">
      <c r="B44" s="93"/>
      <c r="C44" s="93"/>
      <c r="E44" s="73">
        <v>1</v>
      </c>
      <c r="F44" s="220" t="str">
        <f>IF(FACTIBILIDAD!D20="N/A","No se encuentra en suelo especial de proteccion","Suelo especial de Proteccion Require dictamen de OT/Gestion de Riesgos")</f>
        <v>No se encuentra en suelo especial de proteccion</v>
      </c>
      <c r="G44" s="220"/>
      <c r="H44" s="114"/>
      <c r="I44" s="131" t="str">
        <f>IF(F44="No se encuentra en suelo especial de proteccion","SI CUMPLE","NO CUMPLE")</f>
        <v>SI CUMPLE</v>
      </c>
      <c r="P44" s="93"/>
      <c r="Q44" s="93"/>
    </row>
    <row r="45" spans="2:20" s="73" customFormat="1" ht="16.8" x14ac:dyDescent="0.3">
      <c r="B45" s="93"/>
      <c r="C45" s="93"/>
      <c r="E45" s="73">
        <v>2</v>
      </c>
      <c r="F45" s="220" t="str">
        <f>IF(FACTIBILIDAD!D21="N/A","No se encuentra en suelo rural o forestal")</f>
        <v>No se encuentra en suelo rural o forestal</v>
      </c>
      <c r="G45" s="220"/>
      <c r="H45" s="114"/>
      <c r="I45" s="99" t="str">
        <f>IF(F45="No se encuentra en suelo rural o forestal","SI CUMPLE","NO CUMPLE")</f>
        <v>SI CUMPLE</v>
      </c>
      <c r="P45" s="93"/>
      <c r="Q45" s="93"/>
    </row>
    <row r="46" spans="2:20" s="73" customFormat="1" ht="16.8" x14ac:dyDescent="0.3">
      <c r="B46" s="93"/>
      <c r="C46" s="93"/>
      <c r="E46" s="73">
        <v>3</v>
      </c>
      <c r="F46" s="220" t="str">
        <f>IF(FACTIBILIDAD!D22="NO","No se encuentra en zona de amenaza de sismo","Requiere dictamen de OT y CONRED")</f>
        <v>No se encuentra en zona de amenaza de sismo</v>
      </c>
      <c r="G46" s="220"/>
      <c r="H46" s="114"/>
      <c r="I46" s="99" t="str">
        <f>IF(F46="No se encuentra en zona de amenaza de sismo","SI CUMPLE","NO CUMPLE")</f>
        <v>SI CUMPLE</v>
      </c>
      <c r="P46" s="93"/>
      <c r="Q46" s="93"/>
    </row>
    <row r="47" spans="2:20" s="73" customFormat="1" ht="16.8" x14ac:dyDescent="0.3">
      <c r="B47" s="93"/>
      <c r="C47" s="93"/>
      <c r="E47" s="73">
        <v>4</v>
      </c>
      <c r="F47" s="220" t="str">
        <f>IF(FACTIBILIDAD!D23="NO","No se encuentra en una zona de inundacion","Requiere dictamen de OT y gestion de Riesgos")</f>
        <v>No se encuentra en una zona de inundacion</v>
      </c>
      <c r="G47" s="220"/>
      <c r="H47" s="114"/>
      <c r="I47" s="99" t="str">
        <f>IF(F47="No se encuentra en una zona de inundacion","SI CUMPLE","NO CUMPLE")</f>
        <v>SI CUMPLE</v>
      </c>
      <c r="P47" s="93"/>
      <c r="Q47" s="93"/>
    </row>
    <row r="48" spans="2:20" s="73" customFormat="1" ht="16.8" x14ac:dyDescent="0.3">
      <c r="B48" s="93"/>
      <c r="C48" s="93"/>
      <c r="E48" s="73">
        <v>5</v>
      </c>
      <c r="F48" s="220" t="str">
        <f>IF(FACTIBILIDAD!D24="NO","Area fuera de amenaza por deslizamiento","Requiere dictamen de OT y Gestion de Riesgos")</f>
        <v>Area fuera de amenaza por deslizamiento</v>
      </c>
      <c r="G48" s="220"/>
      <c r="H48" s="114"/>
      <c r="I48" s="99" t="str">
        <f>IF(F48="Area fuera de amenaza por deslizamiento","SI CUMPLE","NO CUMPLE")</f>
        <v>SI CUMPLE</v>
      </c>
      <c r="P48" s="93"/>
      <c r="Q48" s="93"/>
    </row>
    <row r="49" spans="2:17" s="73" customFormat="1" ht="16.8" x14ac:dyDescent="0.3">
      <c r="B49" s="93"/>
      <c r="C49" s="93"/>
      <c r="E49" s="73">
        <v>6</v>
      </c>
      <c r="F49" s="220" t="str">
        <f>IF(FACTIBILIDAD!D25="NO","No se encuentra en area de proyecto urbano",FACTIBILIDAD!D26)</f>
        <v>No se encuentra en area de proyecto urbano</v>
      </c>
      <c r="G49" s="220"/>
      <c r="H49" s="114"/>
      <c r="I49" s="99" t="str">
        <f>IF(F49="No se encuentra en area de proyecto urbano","SI CUMPLE","NO CUMPLE")</f>
        <v>SI CUMPLE</v>
      </c>
      <c r="P49" s="93"/>
      <c r="Q49" s="93"/>
    </row>
    <row r="50" spans="2:17" s="73" customFormat="1" ht="34.5" customHeight="1" x14ac:dyDescent="0.3">
      <c r="B50" s="93"/>
      <c r="C50" s="93"/>
      <c r="E50" s="73">
        <v>7</v>
      </c>
      <c r="F50" s="220" t="str">
        <f>IF(FACTIBILIDAD!D27="NO","No se encuentra en Centro Historico y/o monumento aislado","Se encuentra en centro Historico")</f>
        <v>No se encuentra en Centro Historico y/o monumento aislado</v>
      </c>
      <c r="G50" s="220"/>
      <c r="H50" s="114"/>
      <c r="I50" s="99" t="str">
        <f>IF(F50="No se encuentra en Centro Historico y/o monumento aislado","SI CUMPLE","NO CUMPLE")</f>
        <v>SI CUMPLE</v>
      </c>
      <c r="P50" s="93"/>
      <c r="Q50" s="93"/>
    </row>
    <row r="51" spans="2:17" s="73" customFormat="1" ht="20.25" customHeight="1" thickBot="1" x14ac:dyDescent="0.35">
      <c r="B51" s="93"/>
      <c r="C51" s="93"/>
      <c r="E51" s="73">
        <v>8</v>
      </c>
      <c r="F51" s="220" t="str">
        <f>IF(FACTIBILIDAD!D28="NO","No se encuentra en sector sujeto a Plan Parcial","Se encuentra en sector Sujeto a Plan Parcial")</f>
        <v>No se encuentra en sector sujeto a Plan Parcial</v>
      </c>
      <c r="G51" s="220"/>
      <c r="H51" s="114"/>
      <c r="I51" s="100" t="str">
        <f>IF(F51="No se encuentra en sector sujeto a Plan Parcial","SI CUMPLE","NO CUMPLE")</f>
        <v>SI CUMPLE</v>
      </c>
      <c r="P51" s="93"/>
      <c r="Q51" s="93"/>
    </row>
    <row r="52" spans="2:17" s="73" customFormat="1" ht="16.8" x14ac:dyDescent="0.3">
      <c r="B52" s="93"/>
      <c r="C52" s="93"/>
      <c r="F52" s="220"/>
      <c r="G52" s="220"/>
      <c r="H52" s="114"/>
      <c r="P52" s="93"/>
      <c r="Q52" s="93"/>
    </row>
    <row r="53" spans="2:17" s="73" customFormat="1" ht="16.8" x14ac:dyDescent="0.3">
      <c r="B53" s="93"/>
      <c r="C53" s="93"/>
      <c r="F53" s="264" t="s">
        <v>253</v>
      </c>
      <c r="G53" s="265"/>
      <c r="H53" s="265"/>
      <c r="I53" s="265"/>
      <c r="J53" s="265"/>
      <c r="K53" s="265"/>
      <c r="L53" s="266"/>
      <c r="P53" s="93"/>
      <c r="Q53" s="93"/>
    </row>
    <row r="54" spans="2:17" s="73" customFormat="1" ht="39.75" customHeight="1" x14ac:dyDescent="0.3">
      <c r="B54" s="93"/>
      <c r="C54" s="93"/>
      <c r="F54" s="267"/>
      <c r="G54" s="268"/>
      <c r="H54" s="268"/>
      <c r="I54" s="268"/>
      <c r="J54" s="268"/>
      <c r="K54" s="268"/>
      <c r="L54" s="269"/>
      <c r="P54" s="93"/>
      <c r="Q54" s="93"/>
    </row>
    <row r="55" spans="2:17" s="73" customFormat="1" ht="17.399999999999999" thickBot="1" x14ac:dyDescent="0.35">
      <c r="B55" s="93"/>
      <c r="C55" s="93"/>
      <c r="F55" s="113"/>
      <c r="G55" s="113"/>
      <c r="H55" s="114"/>
      <c r="P55" s="93"/>
      <c r="Q55" s="93"/>
    </row>
    <row r="56" spans="2:17" s="73" customFormat="1" ht="20.399999999999999" x14ac:dyDescent="0.3">
      <c r="B56" s="93"/>
      <c r="C56" s="93"/>
      <c r="F56" s="223" t="s">
        <v>255</v>
      </c>
      <c r="G56" s="224"/>
      <c r="H56" s="224"/>
      <c r="I56" s="224"/>
      <c r="J56" s="224"/>
      <c r="K56" s="224"/>
      <c r="L56" s="225"/>
      <c r="P56" s="93"/>
      <c r="Q56" s="93"/>
    </row>
    <row r="57" spans="2:17" s="73" customFormat="1" ht="17.399999999999999" thickBot="1" x14ac:dyDescent="0.35">
      <c r="B57" s="93"/>
      <c r="C57" s="93"/>
      <c r="F57" s="261"/>
      <c r="G57" s="261"/>
      <c r="H57" s="114"/>
      <c r="P57" s="93"/>
      <c r="Q57" s="93"/>
    </row>
    <row r="58" spans="2:17" s="73" customFormat="1" ht="36" customHeight="1" thickBot="1" x14ac:dyDescent="0.35">
      <c r="B58" s="93"/>
      <c r="C58" s="93"/>
      <c r="F58" s="251" t="s">
        <v>223</v>
      </c>
      <c r="G58" s="253"/>
      <c r="I58" s="115" t="s">
        <v>244</v>
      </c>
      <c r="J58" s="116" t="s">
        <v>247</v>
      </c>
      <c r="K58" s="117" t="s">
        <v>245</v>
      </c>
      <c r="L58" s="132" t="s">
        <v>265</v>
      </c>
      <c r="P58" s="93"/>
      <c r="Q58" s="93"/>
    </row>
    <row r="59" spans="2:17" s="73" customFormat="1" ht="23.25" customHeight="1" x14ac:dyDescent="0.3">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 thickBot="1" x14ac:dyDescent="0.35">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7.399999999999999" x14ac:dyDescent="0.3">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7.399999999999999" x14ac:dyDescent="0.3">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7.399999999999999" x14ac:dyDescent="0.3">
      <c r="B63" s="93"/>
      <c r="C63" s="93"/>
      <c r="F63" s="77"/>
      <c r="G63" s="114"/>
      <c r="H63" s="114"/>
      <c r="I63" s="82"/>
      <c r="J63" s="114"/>
      <c r="K63" s="114"/>
      <c r="P63" s="93"/>
      <c r="Q63" s="93"/>
    </row>
    <row r="64" spans="2:17" s="73" customFormat="1" ht="17.399999999999999" x14ac:dyDescent="0.3">
      <c r="B64" s="93"/>
      <c r="C64" s="93"/>
      <c r="F64" s="286" t="s">
        <v>361</v>
      </c>
      <c r="G64" s="286"/>
      <c r="H64" s="286"/>
      <c r="I64" s="286"/>
      <c r="J64" s="286"/>
      <c r="K64" s="286"/>
      <c r="L64" s="286"/>
      <c r="P64" s="93"/>
      <c r="Q64" s="93"/>
    </row>
    <row r="65" spans="2:17" s="73" customFormat="1" ht="40.5" customHeight="1" x14ac:dyDescent="0.3">
      <c r="B65" s="93"/>
      <c r="C65" s="93"/>
      <c r="F65" s="220" t="s">
        <v>310</v>
      </c>
      <c r="G65" s="220"/>
      <c r="H65" s="220"/>
      <c r="I65" s="220"/>
      <c r="J65" s="220"/>
      <c r="K65" s="220"/>
      <c r="L65" s="220"/>
      <c r="P65" s="93"/>
      <c r="Q65" s="93"/>
    </row>
    <row r="66" spans="2:17" s="73" customFormat="1" ht="40.5" customHeight="1" thickBot="1" x14ac:dyDescent="0.35">
      <c r="B66" s="93"/>
      <c r="C66" s="93"/>
      <c r="F66" s="220" t="s">
        <v>311</v>
      </c>
      <c r="G66" s="220"/>
      <c r="H66" s="220"/>
      <c r="I66" s="220"/>
      <c r="J66" s="220"/>
      <c r="K66" s="220"/>
      <c r="L66" s="220"/>
      <c r="P66" s="93"/>
      <c r="Q66" s="93"/>
    </row>
    <row r="67" spans="2:17" s="73" customFormat="1" ht="20.399999999999999" x14ac:dyDescent="0.3">
      <c r="B67" s="93"/>
      <c r="C67" s="93"/>
      <c r="F67" s="223" t="s">
        <v>276</v>
      </c>
      <c r="G67" s="224"/>
      <c r="H67" s="224"/>
      <c r="I67" s="224"/>
      <c r="J67" s="224"/>
      <c r="K67" s="224"/>
      <c r="L67" s="225"/>
      <c r="P67" s="93"/>
      <c r="Q67" s="93"/>
    </row>
    <row r="68" spans="2:17" s="73" customFormat="1" ht="18" thickBot="1" x14ac:dyDescent="0.35">
      <c r="B68" s="93"/>
      <c r="C68" s="93"/>
      <c r="F68" s="77"/>
      <c r="G68" s="114"/>
      <c r="H68" s="114"/>
      <c r="I68" s="82"/>
      <c r="J68" s="114"/>
      <c r="K68" s="114"/>
      <c r="P68" s="93"/>
      <c r="Q68" s="93"/>
    </row>
    <row r="69" spans="2:17" s="73" customFormat="1" ht="19.2" x14ac:dyDescent="0.3">
      <c r="B69" s="93"/>
      <c r="C69" s="93"/>
      <c r="F69" s="139" t="s">
        <v>272</v>
      </c>
      <c r="G69" s="254" t="str">
        <f>FACTIBILIDAD!F49</f>
        <v>RESIDENCIAL</v>
      </c>
      <c r="H69" s="254"/>
      <c r="I69" s="255"/>
      <c r="J69" s="157">
        <f>IF(FACTIBILIDAD!D49=0,"",FACTIBILIDAD!D49)</f>
        <v>147</v>
      </c>
      <c r="K69" s="158" t="s">
        <v>322</v>
      </c>
      <c r="P69" s="93"/>
      <c r="Q69" s="93"/>
    </row>
    <row r="70" spans="2:17" s="73" customFormat="1" ht="19.2" x14ac:dyDescent="0.3">
      <c r="B70" s="93"/>
      <c r="C70" s="93"/>
      <c r="F70" s="74" t="s">
        <v>273</v>
      </c>
      <c r="G70" s="228" t="str">
        <f>IF(FACTIBILIDAD!F50=0,"",FACTIBILIDAD!F50)</f>
        <v/>
      </c>
      <c r="H70" s="228"/>
      <c r="I70" s="256"/>
      <c r="J70" s="156" t="str">
        <f>IF(FACTIBILIDAD!D50=0,"",FACTIBILIDAD!D50)</f>
        <v/>
      </c>
      <c r="K70" s="159" t="s">
        <v>322</v>
      </c>
      <c r="P70" s="93"/>
      <c r="Q70" s="93"/>
    </row>
    <row r="71" spans="2:17" s="73" customFormat="1" ht="19.2" x14ac:dyDescent="0.3">
      <c r="B71" s="93"/>
      <c r="C71" s="93"/>
      <c r="F71" s="74" t="s">
        <v>274</v>
      </c>
      <c r="G71" s="228" t="str">
        <f>IF(FACTIBILIDAD!F51=0,"",FACTIBILIDAD!F51)</f>
        <v/>
      </c>
      <c r="H71" s="228"/>
      <c r="I71" s="256"/>
      <c r="J71" s="156" t="str">
        <f>IF(FACTIBILIDAD!D51=0,"",FACTIBILIDAD!D51)</f>
        <v/>
      </c>
      <c r="K71" s="159" t="s">
        <v>322</v>
      </c>
      <c r="P71" s="93"/>
      <c r="Q71" s="93"/>
    </row>
    <row r="72" spans="2:17" s="73" customFormat="1" ht="19.8" thickBot="1" x14ac:dyDescent="0.35">
      <c r="B72" s="93"/>
      <c r="C72" s="93"/>
      <c r="F72" s="128" t="s">
        <v>275</v>
      </c>
      <c r="G72" s="257" t="str">
        <f>IF(FACTIBILIDAD!F52=0,"")</f>
        <v/>
      </c>
      <c r="H72" s="257"/>
      <c r="I72" s="258"/>
      <c r="J72" s="160" t="str">
        <f>IF(FACTIBILIDAD!D52=0,"",FACTIBILIDAD!D52)</f>
        <v/>
      </c>
      <c r="K72" s="161" t="s">
        <v>322</v>
      </c>
      <c r="P72" s="93"/>
      <c r="Q72" s="93"/>
    </row>
    <row r="73" spans="2:17" s="73" customFormat="1" ht="18" thickBot="1" x14ac:dyDescent="0.35">
      <c r="B73" s="93"/>
      <c r="C73" s="93"/>
      <c r="F73" s="77"/>
      <c r="G73" s="114"/>
      <c r="H73" s="114"/>
      <c r="I73" s="114"/>
      <c r="J73" s="114"/>
      <c r="K73" s="114"/>
      <c r="P73" s="93"/>
      <c r="Q73" s="93"/>
    </row>
    <row r="74" spans="2:17" s="73" customFormat="1" ht="18" customHeight="1" thickBot="1" x14ac:dyDescent="0.35">
      <c r="B74" s="93"/>
      <c r="C74" s="93"/>
      <c r="F74" s="251" t="s">
        <v>278</v>
      </c>
      <c r="G74" s="252"/>
      <c r="H74" s="253"/>
      <c r="I74" s="140"/>
      <c r="J74" s="114"/>
      <c r="K74" s="114"/>
      <c r="P74" s="93"/>
      <c r="Q74" s="93"/>
    </row>
    <row r="75" spans="2:17" s="73" customFormat="1" ht="18" thickBot="1" x14ac:dyDescent="0.35">
      <c r="B75" s="93"/>
      <c r="C75" s="93"/>
      <c r="F75" s="77"/>
      <c r="G75" s="114"/>
      <c r="H75" s="114"/>
      <c r="I75" s="82"/>
      <c r="J75" s="114"/>
      <c r="K75" s="114"/>
      <c r="P75" s="93"/>
      <c r="Q75" s="93"/>
    </row>
    <row r="76" spans="2:17" s="73" customFormat="1" ht="21.75" customHeight="1" x14ac:dyDescent="0.3">
      <c r="B76" s="93"/>
      <c r="C76" s="93"/>
      <c r="D76" s="113"/>
      <c r="E76" s="113"/>
      <c r="F76" s="223" t="s">
        <v>256</v>
      </c>
      <c r="G76" s="224"/>
      <c r="H76" s="224"/>
      <c r="I76" s="224"/>
      <c r="J76" s="224"/>
      <c r="K76" s="224"/>
      <c r="L76" s="225"/>
      <c r="M76" s="113"/>
      <c r="N76" s="113"/>
      <c r="O76" s="113"/>
      <c r="P76" s="93"/>
      <c r="Q76" s="93"/>
    </row>
    <row r="77" spans="2:17" s="73" customFormat="1" ht="40.5" customHeight="1" x14ac:dyDescent="0.3">
      <c r="B77" s="93"/>
      <c r="C77" s="93"/>
      <c r="F77" s="250" t="s">
        <v>270</v>
      </c>
      <c r="G77" s="250"/>
      <c r="H77" s="250"/>
      <c r="I77" s="250"/>
      <c r="J77" s="250"/>
      <c r="K77" s="250"/>
      <c r="L77" s="250"/>
      <c r="P77" s="93"/>
      <c r="Q77" s="93"/>
    </row>
    <row r="78" spans="2:17" s="73" customFormat="1" ht="19.5" customHeight="1" x14ac:dyDescent="0.3">
      <c r="B78" s="93"/>
      <c r="C78" s="93"/>
      <c r="F78" s="220">
        <v>2</v>
      </c>
      <c r="G78" s="220"/>
      <c r="H78" s="220"/>
      <c r="I78" s="220"/>
      <c r="J78" s="220"/>
      <c r="K78" s="220"/>
      <c r="L78" s="220"/>
      <c r="P78" s="93"/>
      <c r="Q78" s="93"/>
    </row>
    <row r="79" spans="2:17" s="73" customFormat="1" ht="19.5" customHeight="1" x14ac:dyDescent="0.3">
      <c r="B79" s="93"/>
      <c r="C79" s="93"/>
      <c r="F79" s="220">
        <v>3</v>
      </c>
      <c r="G79" s="220"/>
      <c r="H79" s="220"/>
      <c r="I79" s="220"/>
      <c r="J79" s="220"/>
      <c r="K79" s="220"/>
      <c r="L79" s="220"/>
      <c r="P79" s="93"/>
      <c r="Q79" s="93"/>
    </row>
    <row r="80" spans="2:17" s="73" customFormat="1" ht="17.399999999999999" thickBot="1" x14ac:dyDescent="0.35">
      <c r="B80" s="93"/>
      <c r="C80" s="93"/>
      <c r="F80" s="285">
        <v>4</v>
      </c>
      <c r="G80" s="285"/>
      <c r="H80" s="285"/>
      <c r="I80" s="285"/>
      <c r="J80" s="285"/>
      <c r="K80" s="285"/>
      <c r="L80" s="285"/>
      <c r="P80" s="93"/>
      <c r="Q80" s="93"/>
    </row>
    <row r="81" spans="1:17" s="73" customFormat="1" ht="19.5" customHeight="1" x14ac:dyDescent="0.3">
      <c r="B81" s="93"/>
      <c r="C81" s="93"/>
      <c r="F81" s="245" t="s">
        <v>261</v>
      </c>
      <c r="G81" s="246"/>
      <c r="H81" s="246"/>
      <c r="I81" s="246"/>
      <c r="J81" s="246"/>
      <c r="K81" s="246"/>
      <c r="L81" s="247"/>
      <c r="P81" s="93"/>
      <c r="Q81" s="93"/>
    </row>
    <row r="82" spans="1:17" s="73" customFormat="1" ht="19.5" customHeight="1" x14ac:dyDescent="0.3">
      <c r="B82" s="93"/>
      <c r="C82" s="93"/>
      <c r="F82" s="94" t="s">
        <v>257</v>
      </c>
      <c r="G82" s="248">
        <f ca="1">G14</f>
        <v>46180</v>
      </c>
      <c r="H82" s="248"/>
      <c r="I82" s="220" t="s">
        <v>262</v>
      </c>
      <c r="J82" s="220"/>
      <c r="K82" s="220"/>
      <c r="L82" s="249"/>
      <c r="P82" s="93"/>
      <c r="Q82" s="93"/>
    </row>
    <row r="83" spans="1:17" s="73" customFormat="1" ht="17.399999999999999" x14ac:dyDescent="0.3">
      <c r="B83" s="93"/>
      <c r="C83" s="93"/>
      <c r="F83" s="95" t="str">
        <f>G11</f>
        <v>RPNC1-4240426</v>
      </c>
      <c r="G83" s="219" t="s">
        <v>258</v>
      </c>
      <c r="H83" s="219"/>
      <c r="I83" s="279" t="str">
        <f>G12</f>
        <v>NOMBRE</v>
      </c>
      <c r="J83" s="279"/>
      <c r="K83" s="219" t="s">
        <v>259</v>
      </c>
      <c r="L83" s="280"/>
      <c r="P83" s="93"/>
      <c r="Q83" s="93"/>
    </row>
    <row r="84" spans="1:17" s="73" customFormat="1" ht="17.399999999999999" x14ac:dyDescent="0.3">
      <c r="B84" s="93"/>
      <c r="C84" s="93"/>
      <c r="F84" s="95"/>
      <c r="G84" s="219" t="s">
        <v>260</v>
      </c>
      <c r="H84" s="219"/>
      <c r="I84" s="219"/>
      <c r="J84" s="240" t="str">
        <f>G13</f>
        <v>8 AVENIDA 0-10  ZONA 1</v>
      </c>
      <c r="K84" s="240"/>
      <c r="L84" s="244"/>
      <c r="P84" s="93"/>
      <c r="Q84" s="93"/>
    </row>
    <row r="85" spans="1:17" s="73" customFormat="1" ht="18" customHeight="1" x14ac:dyDescent="0.3">
      <c r="B85" s="93"/>
      <c r="C85" s="93"/>
      <c r="F85" s="94" t="s">
        <v>285</v>
      </c>
      <c r="G85" s="276" t="s">
        <v>335</v>
      </c>
      <c r="H85" s="276"/>
      <c r="I85" s="276"/>
      <c r="J85" s="276"/>
      <c r="K85" s="276"/>
      <c r="L85" s="277"/>
      <c r="P85" s="93"/>
      <c r="Q85" s="93"/>
    </row>
    <row r="86" spans="1:17" s="73" customFormat="1" ht="18" thickBot="1" x14ac:dyDescent="0.35">
      <c r="B86" s="93"/>
      <c r="C86" s="93"/>
      <c r="D86" s="77"/>
      <c r="E86" s="77"/>
      <c r="F86" s="96"/>
      <c r="G86" s="97"/>
      <c r="H86" s="97"/>
      <c r="I86" s="97"/>
      <c r="J86" s="97"/>
      <c r="K86" s="97"/>
      <c r="L86" s="98"/>
      <c r="M86" s="77"/>
      <c r="N86" s="77"/>
      <c r="O86" s="77"/>
      <c r="P86" s="93"/>
      <c r="Q86" s="93"/>
    </row>
    <row r="87" spans="1:17" s="73" customFormat="1" ht="19.5" customHeight="1" thickBot="1" x14ac:dyDescent="0.35">
      <c r="B87" s="93"/>
      <c r="C87" s="93"/>
      <c r="D87" s="77"/>
      <c r="E87" s="77"/>
      <c r="F87" s="241" t="s">
        <v>271</v>
      </c>
      <c r="G87" s="242"/>
      <c r="H87" s="242"/>
      <c r="I87" s="242"/>
      <c r="J87" s="242"/>
      <c r="K87" s="242"/>
      <c r="L87" s="243"/>
      <c r="M87" s="77"/>
      <c r="N87" s="77"/>
      <c r="O87" s="77"/>
      <c r="P87" s="93"/>
      <c r="Q87" s="93"/>
    </row>
    <row r="88" spans="1:17" s="73" customFormat="1" ht="19.5" customHeight="1" x14ac:dyDescent="0.3">
      <c r="B88" s="93"/>
      <c r="C88" s="93"/>
      <c r="D88" s="77"/>
      <c r="E88" s="77"/>
      <c r="F88" s="240" t="s">
        <v>277</v>
      </c>
      <c r="G88" s="240"/>
      <c r="H88" s="240"/>
      <c r="I88" s="240"/>
      <c r="J88" s="240"/>
      <c r="K88" s="240"/>
      <c r="L88" s="240"/>
      <c r="M88" s="77"/>
      <c r="N88" s="77"/>
      <c r="O88" s="77"/>
      <c r="P88" s="93"/>
      <c r="Q88" s="93"/>
    </row>
    <row r="89" spans="1:17" s="73" customFormat="1" ht="45" customHeight="1" x14ac:dyDescent="0.3">
      <c r="B89" s="93"/>
      <c r="C89" s="93"/>
      <c r="D89" s="77"/>
      <c r="E89" s="77"/>
      <c r="F89" s="240"/>
      <c r="G89" s="240"/>
      <c r="H89" s="240"/>
      <c r="I89" s="240"/>
      <c r="J89" s="240"/>
      <c r="K89" s="240"/>
      <c r="L89" s="240"/>
      <c r="M89" s="77"/>
      <c r="N89" s="77"/>
      <c r="O89" s="77"/>
      <c r="P89" s="93"/>
      <c r="Q89" s="93"/>
    </row>
    <row r="90" spans="1:17" s="73" customFormat="1" ht="19.5" customHeight="1" x14ac:dyDescent="0.3">
      <c r="B90" s="93"/>
      <c r="C90" s="93"/>
      <c r="D90" s="77"/>
      <c r="E90" s="77"/>
      <c r="F90" s="82"/>
      <c r="G90" s="82"/>
      <c r="H90" s="82"/>
      <c r="I90" s="82"/>
      <c r="J90" s="82"/>
      <c r="K90" s="82"/>
      <c r="L90" s="82"/>
      <c r="M90" s="77"/>
      <c r="N90" s="77"/>
      <c r="O90" s="77"/>
      <c r="P90" s="93"/>
      <c r="Q90" s="93"/>
    </row>
    <row r="91" spans="1:17" s="73" customFormat="1" ht="19.5" customHeight="1" x14ac:dyDescent="0.3">
      <c r="B91" s="93"/>
      <c r="C91" s="93"/>
      <c r="D91" s="77"/>
      <c r="E91" s="77"/>
      <c r="F91" s="82"/>
      <c r="G91" s="82"/>
      <c r="H91" s="82"/>
      <c r="I91" s="82"/>
      <c r="J91" s="82"/>
      <c r="K91" s="82"/>
      <c r="L91" s="82"/>
      <c r="M91" s="77"/>
      <c r="N91" s="77"/>
      <c r="O91" s="77"/>
      <c r="P91" s="93"/>
      <c r="Q91" s="93"/>
    </row>
    <row r="92" spans="1:17" s="73" customFormat="1" ht="16.8" x14ac:dyDescent="0.3">
      <c r="B92" s="93"/>
      <c r="C92" s="93"/>
      <c r="P92" s="93"/>
      <c r="Q92" s="93"/>
    </row>
    <row r="93" spans="1:17" s="73" customFormat="1" ht="21" x14ac:dyDescent="0.3">
      <c r="A93" s="142"/>
      <c r="B93" s="141"/>
      <c r="C93" s="141"/>
      <c r="D93" s="142"/>
      <c r="E93" s="142"/>
      <c r="P93" s="141"/>
      <c r="Q93" s="141"/>
    </row>
    <row r="94" spans="1:17" s="73" customFormat="1" ht="21" x14ac:dyDescent="0.3">
      <c r="A94" s="142"/>
      <c r="B94" s="141"/>
      <c r="C94" s="141"/>
      <c r="D94" s="142"/>
      <c r="E94" s="142"/>
      <c r="P94" s="141"/>
      <c r="Q94" s="141"/>
    </row>
    <row r="95" spans="1:17" ht="21" x14ac:dyDescent="0.3">
      <c r="A95" s="142"/>
      <c r="B95" s="141"/>
      <c r="C95" s="141"/>
      <c r="D95" s="142"/>
      <c r="E95" s="142"/>
      <c r="F95" s="142"/>
      <c r="G95" s="142"/>
      <c r="H95" s="142"/>
      <c r="I95" s="142"/>
      <c r="J95" s="142"/>
      <c r="K95" s="142"/>
      <c r="L95" s="142"/>
      <c r="M95" s="142"/>
      <c r="N95" s="142"/>
      <c r="O95" s="142"/>
      <c r="P95" s="141"/>
      <c r="Q95" s="141"/>
    </row>
    <row r="96" spans="1:17" ht="13.8" x14ac:dyDescent="0.3">
      <c r="A96" s="145"/>
      <c r="B96" s="144"/>
      <c r="C96" s="144"/>
      <c r="D96" s="145"/>
      <c r="E96" s="145"/>
      <c r="F96" s="145"/>
      <c r="G96" s="145"/>
      <c r="H96" s="145"/>
      <c r="I96" s="145"/>
      <c r="J96" s="145"/>
      <c r="K96" s="145"/>
      <c r="L96" s="145"/>
      <c r="M96" s="145"/>
      <c r="N96" s="145"/>
      <c r="O96" s="145"/>
      <c r="P96" s="144"/>
      <c r="Q96" s="144"/>
    </row>
    <row r="97" spans="1:17" ht="13.8" x14ac:dyDescent="0.3">
      <c r="A97" s="145"/>
      <c r="B97" s="144"/>
      <c r="C97" s="144"/>
      <c r="D97" s="145"/>
      <c r="E97" s="145"/>
      <c r="F97" s="145"/>
      <c r="G97" s="145"/>
      <c r="H97" s="145"/>
      <c r="I97" s="145"/>
      <c r="J97" s="145"/>
      <c r="K97" s="145"/>
      <c r="L97" s="145"/>
      <c r="M97" s="145"/>
      <c r="N97" s="145"/>
      <c r="O97" s="145"/>
      <c r="P97" s="144"/>
      <c r="Q97" s="144"/>
    </row>
    <row r="98" spans="1:17" ht="13.8" x14ac:dyDescent="0.3">
      <c r="A98" s="145"/>
      <c r="B98" s="144"/>
      <c r="C98" s="144"/>
      <c r="D98" s="145"/>
      <c r="E98" s="145"/>
      <c r="F98" s="145"/>
      <c r="G98" s="145"/>
      <c r="H98" s="145"/>
      <c r="I98" s="145"/>
      <c r="J98" s="145"/>
      <c r="K98" s="145"/>
      <c r="L98" s="145"/>
      <c r="M98" s="145"/>
      <c r="N98" s="145"/>
      <c r="O98" s="145"/>
      <c r="P98" s="144"/>
      <c r="Q98" s="144"/>
    </row>
    <row r="99" spans="1:17" ht="20.100000000000001" customHeight="1" x14ac:dyDescent="0.3">
      <c r="A99" s="145"/>
      <c r="B99" s="144"/>
      <c r="C99" s="144"/>
      <c r="D99" s="145"/>
      <c r="E99" s="145"/>
      <c r="F99" s="145"/>
      <c r="G99" s="145"/>
      <c r="H99" s="145"/>
      <c r="I99" s="145"/>
      <c r="J99" s="145"/>
      <c r="K99" s="145"/>
      <c r="L99" s="145"/>
      <c r="M99" s="145"/>
      <c r="N99" s="145"/>
      <c r="O99" s="145"/>
      <c r="P99" s="144"/>
      <c r="Q99" s="144"/>
    </row>
    <row r="100" spans="1:17" ht="20.100000000000001" customHeight="1" x14ac:dyDescent="0.3">
      <c r="C100" s="144"/>
      <c r="P100" s="144"/>
    </row>
    <row r="101" spans="1:17" ht="20.100000000000001" customHeight="1" x14ac:dyDescent="0.3">
      <c r="P101" s="144"/>
    </row>
    <row r="102" spans="1:17" ht="20.100000000000001" customHeight="1" x14ac:dyDescent="0.3"/>
    <row r="103" spans="1:17" ht="20.100000000000001" customHeight="1" x14ac:dyDescent="0.3"/>
    <row r="104" spans="1:17" ht="20.100000000000001" customHeight="1" x14ac:dyDescent="0.3"/>
    <row r="105" spans="1:17" ht="20.100000000000001" customHeight="1" x14ac:dyDescent="0.3"/>
    <row r="106" spans="1:17" ht="20.100000000000001" customHeight="1" x14ac:dyDescent="0.3"/>
    <row r="107" spans="1:17" ht="20.100000000000001" customHeight="1" x14ac:dyDescent="0.3"/>
    <row r="108" spans="1:17" ht="20.100000000000001" customHeight="1" x14ac:dyDescent="0.3"/>
    <row r="109" spans="1:17" ht="17.100000000000001" customHeight="1" x14ac:dyDescent="0.3"/>
    <row r="110" spans="1:17" ht="17.100000000000001" customHeight="1" x14ac:dyDescent="0.3"/>
    <row r="111" spans="1:17" ht="17.100000000000001" customHeight="1" x14ac:dyDescent="0.3"/>
    <row r="142" spans="7:12" ht="18" customHeight="1" x14ac:dyDescent="0.3">
      <c r="G142" s="192" t="s">
        <v>336</v>
      </c>
      <c r="H142" s="192"/>
      <c r="I142" s="192"/>
      <c r="J142" s="192"/>
      <c r="K142" s="192"/>
      <c r="L142" s="193"/>
    </row>
    <row r="143" spans="7:12" ht="18" customHeight="1" x14ac:dyDescent="0.3">
      <c r="G143" s="146" t="s">
        <v>335</v>
      </c>
      <c r="H143" s="146"/>
      <c r="I143" s="146"/>
      <c r="J143" s="146"/>
      <c r="K143" s="146"/>
      <c r="L143" s="194"/>
    </row>
  </sheetData>
  <mergeCells count="61">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s>
  <conditionalFormatting sqref="G85:L85">
    <cfRule type="containsText" dxfId="27" priority="1" operator="containsText" text="NO FACTIBLE">
      <formula>NOT(ISERROR(SEARCH("NO FACTIBLE",G85)))</formula>
    </cfRule>
    <cfRule type="containsText" dxfId="26" priority="2" operator="containsText" text="FACTIBLE">
      <formula>NOT(ISERROR(SEARCH("FACTIBLE",G85)))</formula>
    </cfRule>
  </conditionalFormatting>
  <conditionalFormatting sqref="I38">
    <cfRule type="cellIs" dxfId="23" priority="5" operator="equal">
      <formula>"""NO CUMPLE"""</formula>
    </cfRule>
    <cfRule type="cellIs" dxfId="22" priority="6" operator="equal">
      <formula>"""SI CUMPLE"""</formula>
    </cfRule>
  </conditionalFormatting>
  <conditionalFormatting sqref="I44:I52 I55">
    <cfRule type="cellIs" dxfId="19" priority="13" operator="equal">
      <formula>"""NO CUMPLE"""</formula>
    </cfRule>
    <cfRule type="cellIs" dxfId="18" priority="14" operator="equal">
      <formula>"""SI CUMPLE"""</formula>
    </cfRule>
  </conditionalFormatting>
  <conditionalFormatting sqref="L25 J30:K30">
    <cfRule type="cellIs" dxfId="15" priority="25" operator="equal">
      <formula>"""NO CUMPLE"""</formula>
    </cfRule>
    <cfRule type="cellIs" dxfId="14" priority="26" operator="equal">
      <formula>"""SI CUMPLE"""</formula>
    </cfRule>
  </conditionalFormatting>
  <conditionalFormatting sqref="L26:M36">
    <cfRule type="cellIs" dxfId="11" priority="9" operator="equal">
      <formula>"""NO CUMPLE"""</formula>
    </cfRule>
    <cfRule type="cellIs" dxfId="10" priority="10" operator="equal">
      <formula>"""SI CUMPLE"""</formula>
    </cfRule>
  </conditionalFormatting>
  <conditionalFormatting sqref="N35:N36">
    <cfRule type="containsText" dxfId="9" priority="27"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9" operator="containsText" id="{6B319BA1-58E2-4048-BD96-F9AAA67364BE}">
            <xm:f>NOT(ISERROR(SEARCH(tabla!$G$10,G22)))</xm:f>
            <xm:f>tabla!$G$10</xm:f>
            <x14:dxf>
              <fill>
                <patternFill>
                  <bgColor theme="9"/>
                </patternFill>
              </fill>
            </x14:dxf>
          </x14:cfRule>
          <x14:cfRule type="containsText" priority="30" operator="containsText" id="{FE42E295-018D-4672-9AC4-B7AF79E9CB19}">
            <xm:f>NOT(ISERROR(SEARCH(tabla!$G$10,G22)))</xm:f>
            <xm:f>tabla!$G$10</xm:f>
            <x14:dxf>
              <font>
                <color rgb="FF9C0006"/>
              </font>
              <fill>
                <patternFill>
                  <bgColor rgb="FFFFC7CE"/>
                </patternFill>
              </fill>
            </x14:dxf>
          </x14:cfRule>
          <x14:cfRule type="containsText" priority="31" operator="containsText" id="{F16D22A8-AE8F-4E2D-BBE2-B0BCB2AB4F70}">
            <xm:f>NOT(ISERROR(SEARCH(tabla!$G$9,G22)))</xm:f>
            <xm:f>tabla!$G$9</xm:f>
            <x14:dxf>
              <fill>
                <patternFill>
                  <bgColor rgb="FFFFFF00"/>
                </patternFill>
              </fill>
            </x14:dxf>
          </x14:cfRule>
          <x14:cfRule type="containsText" priority="32" operator="containsText" id="{0608BABE-3EE0-4811-A9C8-C19A0D27396C}">
            <xm:f>NOT(ISERROR(SEARCH(tabla!$G$8,G22)))</xm:f>
            <xm:f>tabla!$G$8</xm:f>
            <x14:dxf>
              <fill>
                <patternFill>
                  <bgColor theme="7"/>
                </patternFill>
              </fill>
            </x14:dxf>
          </x14:cfRule>
          <x14:cfRule type="containsText" priority="33" operator="containsText" id="{8CC37EEE-42E4-452A-AA89-2E3E567275DF}">
            <xm:f>NOT(ISERROR(SEARCH(tabla!$G$8,G22)))</xm:f>
            <xm:f>tabla!$G$8</xm:f>
            <x14:dxf>
              <font>
                <color rgb="FF9C0006"/>
              </font>
              <fill>
                <patternFill>
                  <bgColor rgb="FFFFC7CE"/>
                </patternFill>
              </fill>
            </x14:dxf>
          </x14:cfRule>
          <x14:cfRule type="containsText" priority="34" operator="containsText" id="{97C8B262-AA1C-41A5-832B-34E29A3FC49E}">
            <xm:f>NOT(ISERROR(SEARCH(tabla!$G$7,G22)))</xm:f>
            <xm:f>tabla!$G$7</xm:f>
            <x14:dxf>
              <fill>
                <patternFill>
                  <bgColor rgb="FFFF6600"/>
                </patternFill>
              </fill>
            </x14:dxf>
          </x14:cfRule>
          <x14:cfRule type="containsText" priority="35" operator="containsText" id="{0B5AD24B-EC3A-4E16-88DB-1CC88EBF74CE}">
            <xm:f>NOT(ISERROR(SEARCH(tabla!$G$6,G22)))</xm:f>
            <xm:f>tabla!$G$6</xm:f>
            <x14:dxf>
              <fill>
                <patternFill>
                  <bgColor rgb="FFC00000"/>
                </patternFill>
              </fill>
            </x14:dxf>
          </x14:cfRule>
          <x14:cfRule type="containsText" priority="36" operator="containsText" id="{4D7F90F0-9F30-4FA7-8429-A2787B8A1E92}">
            <xm:f>NOT(ISERROR(SEARCH(tabla!$G$5,G22)))</xm:f>
            <xm:f>tabla!$G$5</xm:f>
            <x14:dxf>
              <fill>
                <patternFill>
                  <bgColor theme="7" tint="0.59996337778862885"/>
                </patternFill>
              </fill>
            </x14:dxf>
          </x14:cfRule>
          <x14:cfRule type="containsText" priority="37"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3" operator="equal" id="{B3409999-098A-4BE1-9B53-7B45EDBA3866}">
            <xm:f>tabla!$I$14</xm:f>
            <x14:dxf>
              <font>
                <color rgb="FF9C0006"/>
              </font>
              <fill>
                <patternFill>
                  <bgColor rgb="FFFFC7CE"/>
                </patternFill>
              </fill>
            </x14:dxf>
          </x14:cfRule>
          <x14:cfRule type="cellIs" priority="4"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11" operator="equal" id="{3C91FC56-CE62-4479-8EA9-22D97D12675E}">
            <xm:f>tabla!$I$14</xm:f>
            <x14:dxf>
              <font>
                <color rgb="FF9C0006"/>
              </font>
              <fill>
                <patternFill>
                  <bgColor rgb="FFFFC7CE"/>
                </patternFill>
              </fill>
            </x14:dxf>
          </x14:cfRule>
          <x14:cfRule type="cellIs" priority="12"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3" operator="equal" id="{FE66856B-7CE8-4D0B-B5FD-E9EAC07D904A}">
            <xm:f>tabla!$I$14</xm:f>
            <x14:dxf>
              <font>
                <color rgb="FF9C0006"/>
              </font>
              <fill>
                <patternFill>
                  <bgColor rgb="FFFFC7CE"/>
                </patternFill>
              </fill>
            </x14:dxf>
          </x14:cfRule>
          <x14:cfRule type="cellIs" priority="24"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7" operator="equal" id="{A19A1AC2-F848-4049-8513-6D3D95911963}">
            <xm:f>tabla!$I$14</xm:f>
            <x14:dxf>
              <font>
                <color rgb="FF9C0006"/>
              </font>
              <fill>
                <patternFill>
                  <bgColor rgb="FFFFC7CE"/>
                </patternFill>
              </fill>
            </x14:dxf>
          </x14:cfRule>
          <x14:cfRule type="cellIs" priority="8"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23"/>
  <sheetViews>
    <sheetView topLeftCell="A2" zoomScale="85" zoomScaleNormal="85" zoomScaleSheetLayoutView="70" workbookViewId="0">
      <selection activeCell="C27" sqref="C27"/>
    </sheetView>
  </sheetViews>
  <sheetFormatPr baseColWidth="10" defaultRowHeight="14.4" x14ac:dyDescent="0.3"/>
  <cols>
    <col min="2" max="2" width="52.88671875" bestFit="1" customWidth="1"/>
    <col min="3" max="3" width="11.44140625" style="11"/>
    <col min="5" max="5" width="53.6640625" customWidth="1"/>
    <col min="6" max="6" width="12.6640625" style="11" customWidth="1"/>
    <col min="15" max="15" width="13" hidden="1" customWidth="1"/>
    <col min="16" max="16" width="14" hidden="1" customWidth="1"/>
  </cols>
  <sheetData>
    <row r="1" spans="1:45" ht="15" thickBot="1" x14ac:dyDescent="0.35">
      <c r="E1" s="162"/>
    </row>
    <row r="2" spans="1:45" ht="15" customHeight="1" thickBot="1" x14ac:dyDescent="0.35">
      <c r="E2" s="163" t="s">
        <v>323</v>
      </c>
      <c r="F2" s="164">
        <f>ROUND((((100000*2.6/-(0.000085*POWER((C4*3-1),5)+13))+25000)/100000)*C$3,2)</f>
        <v>0</v>
      </c>
    </row>
    <row r="3" spans="1:45" ht="21.6" thickBot="1" x14ac:dyDescent="0.45">
      <c r="A3" s="165">
        <v>1</v>
      </c>
      <c r="B3" s="166" t="s">
        <v>324</v>
      </c>
      <c r="C3" s="167">
        <v>0</v>
      </c>
      <c r="D3" s="168"/>
      <c r="E3" s="169">
        <f>F4</f>
        <v>0</v>
      </c>
      <c r="F3" s="11">
        <f>IF((C6="NO"),(F2*1.3),F2)</f>
        <v>0</v>
      </c>
      <c r="AS3" t="s">
        <v>325</v>
      </c>
    </row>
    <row r="4" spans="1:45" x14ac:dyDescent="0.3">
      <c r="A4" s="170">
        <v>2</v>
      </c>
      <c r="B4" s="171" t="s">
        <v>326</v>
      </c>
      <c r="C4" s="172">
        <v>0</v>
      </c>
      <c r="F4" s="11">
        <f>ROUND(IF(C5="SI",F3*0.85,F3), 2)</f>
        <v>0</v>
      </c>
      <c r="AS4" t="s">
        <v>71</v>
      </c>
    </row>
    <row r="5" spans="1:45" x14ac:dyDescent="0.3">
      <c r="A5" s="170">
        <v>3</v>
      </c>
      <c r="B5" s="171" t="s">
        <v>327</v>
      </c>
      <c r="C5" s="173" t="s">
        <v>71</v>
      </c>
    </row>
    <row r="6" spans="1:45" ht="15" thickBot="1" x14ac:dyDescent="0.35">
      <c r="A6" s="174">
        <v>4</v>
      </c>
      <c r="B6" s="175" t="s">
        <v>328</v>
      </c>
      <c r="C6" s="176" t="s">
        <v>325</v>
      </c>
    </row>
    <row r="18" spans="2:4" ht="15" thickBot="1" x14ac:dyDescent="0.35"/>
    <row r="19" spans="2:4" x14ac:dyDescent="0.3">
      <c r="B19" s="177" t="s">
        <v>329</v>
      </c>
      <c r="C19" s="178">
        <v>0</v>
      </c>
      <c r="D19" s="179"/>
    </row>
    <row r="20" spans="2:4" ht="15" thickBot="1" x14ac:dyDescent="0.35">
      <c r="B20" s="180" t="s">
        <v>330</v>
      </c>
      <c r="C20" s="181">
        <f>+FACTIBILIDAD!D35</f>
        <v>100.65</v>
      </c>
      <c r="D20" s="182" t="s">
        <v>31</v>
      </c>
    </row>
    <row r="21" spans="2:4" x14ac:dyDescent="0.3">
      <c r="B21" s="183" t="s">
        <v>331</v>
      </c>
      <c r="C21" s="184">
        <f>+(C19*C20)/(1-C19)</f>
        <v>0</v>
      </c>
      <c r="D21" s="185" t="s">
        <v>31</v>
      </c>
    </row>
    <row r="22" spans="2:4" ht="15" thickBot="1" x14ac:dyDescent="0.35">
      <c r="B22" s="186" t="s">
        <v>332</v>
      </c>
      <c r="C22" s="187">
        <f>+C20+C21</f>
        <v>100.65</v>
      </c>
      <c r="D22" s="188" t="s">
        <v>31</v>
      </c>
    </row>
    <row r="23" spans="2:4" x14ac:dyDescent="0.3">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Q90"/>
  <sheetViews>
    <sheetView zoomScale="10" zoomScaleNormal="10" workbookViewId="0">
      <selection activeCell="F24" sqref="F24"/>
    </sheetView>
  </sheetViews>
  <sheetFormatPr baseColWidth="10" defaultColWidth="11.44140625" defaultRowHeight="13.2" x14ac:dyDescent="0.25"/>
  <cols>
    <col min="1" max="2" width="4.88671875" style="62" customWidth="1"/>
    <col min="3" max="4" width="4.88671875" style="61" customWidth="1"/>
    <col min="5" max="5" width="5.33203125" style="61" customWidth="1"/>
    <col min="6" max="6" width="47" style="61" customWidth="1"/>
    <col min="7" max="7" width="9.44140625" style="61" customWidth="1"/>
    <col min="8" max="8" width="12" style="61" customWidth="1"/>
    <col min="9" max="9" width="44.33203125" style="61" customWidth="1"/>
    <col min="10" max="10" width="20" style="61" customWidth="1"/>
    <col min="11" max="11" width="12.33203125" style="61" customWidth="1"/>
    <col min="12" max="12" width="33.88671875" style="61" customWidth="1"/>
    <col min="13" max="13" width="5.6640625" style="61" customWidth="1"/>
    <col min="14" max="14" width="5.44140625" style="61" customWidth="1"/>
    <col min="15" max="15" width="9" style="61" hidden="1" customWidth="1"/>
    <col min="16" max="16" width="5.44140625" style="62" customWidth="1"/>
    <col min="17" max="17" width="9.109375" style="62" customWidth="1"/>
    <col min="18" max="18" width="11.44140625" style="61"/>
    <col min="19" max="19" width="17.88671875" style="61" bestFit="1" customWidth="1"/>
    <col min="20" max="16384" width="11.44140625" style="61"/>
  </cols>
  <sheetData>
    <row r="1" spans="1:17" s="63" customFormat="1" ht="17.399999999999999" x14ac:dyDescent="0.3">
      <c r="A1" s="66"/>
      <c r="B1" s="66"/>
      <c r="C1" s="66"/>
      <c r="D1" s="67"/>
      <c r="E1" s="67"/>
      <c r="F1" s="67"/>
      <c r="G1" s="67"/>
      <c r="H1" s="67"/>
      <c r="I1" s="67"/>
      <c r="J1" s="67"/>
      <c r="K1" s="67"/>
      <c r="L1" s="67"/>
      <c r="M1" s="67"/>
      <c r="N1" s="67"/>
      <c r="O1" s="67"/>
      <c r="P1" s="66"/>
      <c r="Q1" s="66"/>
    </row>
    <row r="2" spans="1:17" s="63" customFormat="1" ht="17.399999999999999" x14ac:dyDescent="0.3">
      <c r="A2" s="66"/>
      <c r="B2" s="66"/>
      <c r="C2" s="66"/>
      <c r="D2" s="68"/>
      <c r="E2" s="69"/>
      <c r="F2" s="69"/>
      <c r="G2" s="290"/>
      <c r="H2" s="290"/>
      <c r="I2" s="290"/>
      <c r="J2" s="69"/>
      <c r="K2" s="69"/>
      <c r="L2" s="69"/>
      <c r="M2" s="69"/>
      <c r="N2" s="69"/>
      <c r="O2" s="69"/>
      <c r="P2" s="66"/>
      <c r="Q2" s="66"/>
    </row>
    <row r="3" spans="1:17" s="63" customFormat="1" ht="17.399999999999999" thickBot="1" x14ac:dyDescent="0.3">
      <c r="A3" s="66"/>
      <c r="B3" s="66"/>
      <c r="C3" s="66"/>
      <c r="P3" s="66"/>
      <c r="Q3" s="66"/>
    </row>
    <row r="4" spans="1:17" s="63" customFormat="1" ht="45.75" customHeight="1" x14ac:dyDescent="0.35">
      <c r="A4" s="66"/>
      <c r="B4" s="66"/>
      <c r="C4" s="66"/>
      <c r="G4" s="291" t="s">
        <v>279</v>
      </c>
      <c r="H4" s="292"/>
      <c r="I4" s="292"/>
      <c r="P4" s="66"/>
      <c r="Q4" s="66"/>
    </row>
    <row r="5" spans="1:17" s="63" customFormat="1" ht="17.399999999999999" thickBot="1" x14ac:dyDescent="0.3">
      <c r="A5" s="66"/>
      <c r="B5" s="66"/>
      <c r="C5" s="66"/>
      <c r="P5" s="66"/>
      <c r="Q5" s="66"/>
    </row>
    <row r="6" spans="1:17" s="63" customFormat="1" ht="21" customHeight="1" x14ac:dyDescent="0.25">
      <c r="A6" s="66"/>
      <c r="B6" s="66"/>
      <c r="C6" s="66"/>
      <c r="G6" s="234" t="s">
        <v>90</v>
      </c>
      <c r="H6" s="235"/>
      <c r="I6" s="236"/>
      <c r="P6" s="66"/>
      <c r="Q6" s="66"/>
    </row>
    <row r="7" spans="1:17" s="63" customFormat="1" ht="9.75" customHeight="1" x14ac:dyDescent="0.25">
      <c r="A7" s="66"/>
      <c r="B7" s="66"/>
      <c r="C7" s="66"/>
      <c r="G7" s="237"/>
      <c r="H7" s="238"/>
      <c r="I7" s="239"/>
      <c r="P7" s="66"/>
      <c r="Q7" s="66"/>
    </row>
    <row r="8" spans="1:17" s="63" customFormat="1" ht="18" thickBot="1" x14ac:dyDescent="0.3">
      <c r="A8" s="66"/>
      <c r="B8" s="66"/>
      <c r="C8" s="66"/>
      <c r="F8" s="82"/>
      <c r="P8" s="66"/>
      <c r="Q8" s="66"/>
    </row>
    <row r="9" spans="1:17" s="63" customFormat="1" ht="23.25" customHeight="1" x14ac:dyDescent="0.35">
      <c r="A9" s="66"/>
      <c r="B9" s="66"/>
      <c r="C9" s="66"/>
      <c r="F9" s="293" t="s">
        <v>251</v>
      </c>
      <c r="G9" s="294"/>
      <c r="H9" s="294"/>
      <c r="I9" s="294"/>
      <c r="J9" s="294"/>
      <c r="K9" s="294"/>
      <c r="L9" s="295"/>
      <c r="P9" s="66"/>
      <c r="Q9" s="66"/>
    </row>
    <row r="10" spans="1:17" s="63" customFormat="1" ht="17.399999999999999" thickBot="1" x14ac:dyDescent="0.3">
      <c r="A10" s="66"/>
      <c r="B10" s="66"/>
      <c r="C10" s="66"/>
      <c r="P10" s="66"/>
      <c r="Q10" s="66"/>
    </row>
    <row r="11" spans="1:17" s="63" customFormat="1" ht="20.399999999999999" x14ac:dyDescent="0.35">
      <c r="A11" s="66"/>
      <c r="B11" s="66"/>
      <c r="C11" s="66"/>
      <c r="F11" s="67" t="s">
        <v>229</v>
      </c>
      <c r="G11" s="291" t="str">
        <f>FACTIBILIDAD!D11</f>
        <v>RPNC1-4240426</v>
      </c>
      <c r="H11" s="292"/>
      <c r="I11" s="292"/>
      <c r="J11" s="296"/>
      <c r="P11" s="66"/>
      <c r="Q11" s="66"/>
    </row>
    <row r="12" spans="1:17" s="63" customFormat="1" ht="22.5" customHeight="1" x14ac:dyDescent="0.3">
      <c r="A12" s="66"/>
      <c r="B12" s="66"/>
      <c r="C12" s="66"/>
      <c r="F12" s="67" t="s">
        <v>175</v>
      </c>
      <c r="G12" s="287" t="str">
        <f>FACTIBILIDAD!D9</f>
        <v>NOMBRE</v>
      </c>
      <c r="H12" s="288"/>
      <c r="I12" s="288"/>
      <c r="J12" s="289"/>
      <c r="P12" s="66"/>
      <c r="Q12" s="66"/>
    </row>
    <row r="13" spans="1:17" s="63" customFormat="1" ht="18.75" customHeight="1" x14ac:dyDescent="0.3">
      <c r="A13" s="66"/>
      <c r="B13" s="66"/>
      <c r="C13" s="66"/>
      <c r="F13" s="67" t="s">
        <v>233</v>
      </c>
      <c r="G13" s="287" t="str">
        <f>FACTIBILIDAD!D10</f>
        <v>8 AVENIDA 0-10  ZONA 1</v>
      </c>
      <c r="H13" s="288"/>
      <c r="I13" s="288"/>
      <c r="J13" s="289"/>
      <c r="P13" s="66"/>
      <c r="Q13" s="66"/>
    </row>
    <row r="14" spans="1:17" s="63" customFormat="1" ht="18.75" customHeight="1" x14ac:dyDescent="0.3">
      <c r="A14" s="66"/>
      <c r="B14" s="66"/>
      <c r="C14" s="66"/>
      <c r="F14" s="67" t="s">
        <v>176</v>
      </c>
      <c r="G14" s="287">
        <f ca="1">FACTIBILIDAD!D8</f>
        <v>46180</v>
      </c>
      <c r="H14" s="288"/>
      <c r="I14" s="288"/>
      <c r="J14" s="289"/>
      <c r="P14" s="66"/>
      <c r="Q14" s="66"/>
    </row>
    <row r="15" spans="1:17" s="63" customFormat="1" ht="18.75" customHeight="1" x14ac:dyDescent="0.3">
      <c r="A15" s="66"/>
      <c r="B15" s="66"/>
      <c r="C15" s="66"/>
      <c r="F15" s="67" t="s">
        <v>235</v>
      </c>
      <c r="G15" s="287" t="str">
        <f>FACTIBILIDAD!D12</f>
        <v>VIVIENDA UNIFAMILIAR</v>
      </c>
      <c r="H15" s="288"/>
      <c r="I15" s="288"/>
      <c r="J15" s="289"/>
      <c r="P15" s="66"/>
      <c r="Q15" s="66"/>
    </row>
    <row r="16" spans="1:17" s="63" customFormat="1" ht="17.399999999999999" x14ac:dyDescent="0.3">
      <c r="A16" s="66"/>
      <c r="B16" s="66"/>
      <c r="C16" s="66"/>
      <c r="F16" s="67" t="s">
        <v>239</v>
      </c>
      <c r="G16" s="287">
        <f>FACTIBILIDAD!D13</f>
        <v>279703</v>
      </c>
      <c r="H16" s="288"/>
      <c r="I16" s="288"/>
      <c r="J16" s="289"/>
      <c r="P16" s="66"/>
      <c r="Q16" s="66"/>
    </row>
    <row r="17" spans="1:17" s="63" customFormat="1" ht="17.399999999999999" x14ac:dyDescent="0.3">
      <c r="A17" s="66"/>
      <c r="B17" s="66"/>
      <c r="C17" s="66"/>
      <c r="F17" s="67" t="s">
        <v>240</v>
      </c>
      <c r="G17" s="287">
        <f>FACTIBILIDAD!D14</f>
        <v>243</v>
      </c>
      <c r="H17" s="288"/>
      <c r="I17" s="288"/>
      <c r="J17" s="289"/>
      <c r="K17" s="69"/>
      <c r="L17" s="69"/>
      <c r="M17" s="69"/>
      <c r="N17" s="69"/>
      <c r="O17" s="69"/>
      <c r="P17" s="66"/>
      <c r="Q17" s="66"/>
    </row>
    <row r="18" spans="1:17" s="63" customFormat="1" ht="18" thickBot="1" x14ac:dyDescent="0.35">
      <c r="A18" s="66"/>
      <c r="B18" s="66"/>
      <c r="C18" s="66"/>
      <c r="F18" s="67" t="s">
        <v>241</v>
      </c>
      <c r="G18" s="301">
        <f>FACTIBILIDAD!D15</f>
        <v>649</v>
      </c>
      <c r="H18" s="302"/>
      <c r="I18" s="302"/>
      <c r="J18" s="303"/>
      <c r="P18" s="66"/>
      <c r="Q18" s="66"/>
    </row>
    <row r="19" spans="1:17" s="63" customFormat="1" ht="18" thickBot="1" x14ac:dyDescent="0.35">
      <c r="A19" s="66"/>
      <c r="B19" s="66"/>
      <c r="C19" s="66"/>
      <c r="F19" s="67"/>
      <c r="G19" s="69"/>
      <c r="H19" s="69"/>
      <c r="I19" s="69"/>
      <c r="J19" s="69"/>
      <c r="P19" s="66"/>
      <c r="Q19" s="66"/>
    </row>
    <row r="20" spans="1:17" s="63" customFormat="1" ht="20.399999999999999" x14ac:dyDescent="0.35">
      <c r="A20" s="66"/>
      <c r="B20" s="66"/>
      <c r="C20" s="66"/>
      <c r="F20" s="293" t="s">
        <v>280</v>
      </c>
      <c r="G20" s="294"/>
      <c r="H20" s="294"/>
      <c r="I20" s="294"/>
      <c r="J20" s="294"/>
      <c r="K20" s="294"/>
      <c r="L20" s="295"/>
      <c r="P20" s="66"/>
      <c r="Q20" s="66"/>
    </row>
    <row r="21" spans="1:17" s="63" customFormat="1" ht="18" thickBot="1" x14ac:dyDescent="0.35">
      <c r="A21" s="66"/>
      <c r="B21" s="66"/>
      <c r="C21" s="66"/>
      <c r="F21" s="67"/>
      <c r="K21" s="69" t="s">
        <v>39</v>
      </c>
      <c r="L21" s="69" t="s">
        <v>31</v>
      </c>
      <c r="P21" s="66"/>
      <c r="Q21" s="66"/>
    </row>
    <row r="22" spans="1:17" s="63" customFormat="1" ht="36" customHeight="1" thickBot="1" x14ac:dyDescent="0.35">
      <c r="A22" s="66"/>
      <c r="B22" s="66"/>
      <c r="C22" s="66"/>
      <c r="F22" s="85">
        <v>1</v>
      </c>
      <c r="G22" s="251" t="str">
        <f>FACTIBILIDAD!D19</f>
        <v>URBANO Q5 (URB-Q5)</v>
      </c>
      <c r="H22" s="252"/>
      <c r="I22" s="252"/>
      <c r="J22" s="252"/>
      <c r="K22" s="87"/>
      <c r="L22" s="88"/>
      <c r="P22" s="66"/>
      <c r="Q22" s="66"/>
    </row>
    <row r="23" spans="1:17" s="63" customFormat="1" ht="36" customHeight="1" thickBot="1" x14ac:dyDescent="0.35">
      <c r="A23" s="66"/>
      <c r="B23" s="66"/>
      <c r="C23" s="66"/>
      <c r="F23" s="85">
        <v>2</v>
      </c>
      <c r="G23" s="251"/>
      <c r="H23" s="252"/>
      <c r="I23" s="252"/>
      <c r="J23" s="252"/>
      <c r="K23" s="87"/>
      <c r="L23" s="88"/>
      <c r="P23" s="66"/>
      <c r="Q23" s="66"/>
    </row>
    <row r="24" spans="1:17" s="63" customFormat="1" ht="36.75" customHeight="1" thickBot="1" x14ac:dyDescent="0.35">
      <c r="A24" s="66"/>
      <c r="B24" s="66"/>
      <c r="C24" s="66"/>
      <c r="F24" s="85">
        <v>3</v>
      </c>
      <c r="G24" s="251"/>
      <c r="H24" s="252"/>
      <c r="I24" s="252"/>
      <c r="J24" s="252"/>
      <c r="K24" s="81"/>
      <c r="L24" s="88"/>
      <c r="P24" s="66"/>
      <c r="Q24" s="66"/>
    </row>
    <row r="25" spans="1:17" s="63" customFormat="1" ht="36.75" customHeight="1" thickBot="1" x14ac:dyDescent="0.35">
      <c r="A25" s="66"/>
      <c r="B25" s="66"/>
      <c r="C25" s="66"/>
      <c r="F25" s="85"/>
      <c r="G25" s="82"/>
      <c r="H25" s="82"/>
      <c r="I25" s="82"/>
      <c r="J25" s="82"/>
      <c r="K25" s="68"/>
      <c r="P25" s="66"/>
      <c r="Q25" s="66"/>
    </row>
    <row r="26" spans="1:17" s="63" customFormat="1" ht="20.399999999999999" x14ac:dyDescent="0.35">
      <c r="A26" s="66"/>
      <c r="B26" s="66"/>
      <c r="C26" s="66"/>
      <c r="F26" s="293" t="s">
        <v>281</v>
      </c>
      <c r="G26" s="294"/>
      <c r="H26" s="294"/>
      <c r="I26" s="294"/>
      <c r="J26" s="294"/>
      <c r="K26" s="294"/>
      <c r="L26" s="295"/>
      <c r="P26" s="66"/>
      <c r="Q26" s="66"/>
    </row>
    <row r="27" spans="1:17" s="63" customFormat="1" ht="21" thickBot="1" x14ac:dyDescent="0.4">
      <c r="A27" s="66"/>
      <c r="B27" s="66"/>
      <c r="C27" s="66"/>
      <c r="F27" s="86"/>
      <c r="G27" s="86"/>
      <c r="H27" s="86"/>
      <c r="I27" s="86"/>
      <c r="J27" s="86"/>
      <c r="K27" s="86"/>
      <c r="L27" s="86"/>
      <c r="P27" s="66"/>
      <c r="Q27" s="66"/>
    </row>
    <row r="28" spans="1:17" s="63" customFormat="1" ht="20.25" customHeight="1" x14ac:dyDescent="0.35">
      <c r="A28" s="66"/>
      <c r="B28" s="66"/>
      <c r="C28" s="66"/>
      <c r="G28" s="304" t="s">
        <v>283</v>
      </c>
      <c r="H28" s="305"/>
      <c r="I28" s="318"/>
      <c r="J28" s="319"/>
      <c r="K28" s="86"/>
      <c r="L28" s="86"/>
      <c r="P28" s="66"/>
      <c r="Q28" s="66"/>
    </row>
    <row r="29" spans="1:17" s="63" customFormat="1" ht="27" customHeight="1" thickBot="1" x14ac:dyDescent="0.3">
      <c r="A29" s="66"/>
      <c r="B29" s="66"/>
      <c r="C29" s="66"/>
      <c r="G29" s="306"/>
      <c r="H29" s="307"/>
      <c r="I29" s="320"/>
      <c r="J29" s="321"/>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22" t="s">
        <v>284</v>
      </c>
      <c r="G31" s="91">
        <v>1</v>
      </c>
      <c r="H31" s="297"/>
      <c r="I31" s="297"/>
      <c r="J31" s="297"/>
      <c r="K31" s="297"/>
      <c r="L31" s="298"/>
      <c r="P31" s="66"/>
      <c r="Q31" s="66"/>
    </row>
    <row r="32" spans="1:17" s="63" customFormat="1" ht="19.5" customHeight="1" x14ac:dyDescent="0.35">
      <c r="A32" s="66"/>
      <c r="B32" s="66"/>
      <c r="C32" s="66"/>
      <c r="F32" s="323"/>
      <c r="G32" s="84">
        <v>2</v>
      </c>
      <c r="H32" s="299"/>
      <c r="I32" s="299"/>
      <c r="J32" s="299"/>
      <c r="K32" s="299"/>
      <c r="L32" s="300"/>
      <c r="P32" s="66"/>
      <c r="Q32" s="66"/>
    </row>
    <row r="33" spans="1:17" s="63" customFormat="1" ht="19.5" customHeight="1" thickBot="1" x14ac:dyDescent="0.3">
      <c r="A33" s="66"/>
      <c r="B33" s="66"/>
      <c r="C33" s="66"/>
      <c r="F33" s="324"/>
      <c r="G33" s="92">
        <v>3</v>
      </c>
      <c r="H33" s="325"/>
      <c r="I33" s="325"/>
      <c r="J33" s="325"/>
      <c r="K33" s="325"/>
      <c r="L33" s="326"/>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4">
      <c r="A37" s="66"/>
      <c r="B37" s="66"/>
      <c r="C37" s="66"/>
      <c r="F37" s="89"/>
      <c r="G37" s="89"/>
      <c r="H37" s="83"/>
      <c r="I37" s="83"/>
      <c r="J37" s="83"/>
      <c r="K37" s="83"/>
      <c r="L37" s="83"/>
      <c r="P37" s="66"/>
      <c r="Q37" s="66"/>
    </row>
    <row r="38" spans="1:17" s="63" customFormat="1" ht="19.5" customHeight="1" x14ac:dyDescent="0.3">
      <c r="A38" s="66"/>
      <c r="B38" s="66"/>
      <c r="C38" s="66"/>
      <c r="F38" s="315" t="s">
        <v>261</v>
      </c>
      <c r="G38" s="316"/>
      <c r="H38" s="316"/>
      <c r="I38" s="316"/>
      <c r="J38" s="316"/>
      <c r="K38" s="316"/>
      <c r="L38" s="317"/>
      <c r="P38" s="66"/>
      <c r="Q38" s="66"/>
    </row>
    <row r="39" spans="1:17" s="63" customFormat="1" ht="19.5" customHeight="1" x14ac:dyDescent="0.3">
      <c r="A39" s="66"/>
      <c r="B39" s="66"/>
      <c r="C39" s="66"/>
      <c r="F39" s="78" t="s">
        <v>257</v>
      </c>
      <c r="G39" s="308">
        <f ca="1">G14</f>
        <v>46180</v>
      </c>
      <c r="H39" s="308"/>
      <c r="I39" s="309" t="s">
        <v>282</v>
      </c>
      <c r="J39" s="309"/>
      <c r="K39" s="309"/>
      <c r="L39" s="310"/>
      <c r="P39" s="66"/>
      <c r="Q39" s="66"/>
    </row>
    <row r="40" spans="1:17" s="63" customFormat="1" ht="17.399999999999999" x14ac:dyDescent="0.3">
      <c r="A40" s="66"/>
      <c r="B40" s="66"/>
      <c r="C40" s="66"/>
      <c r="F40" s="79" t="str">
        <f>G11</f>
        <v>RPNC1-4240426</v>
      </c>
      <c r="G40" s="311" t="s">
        <v>258</v>
      </c>
      <c r="H40" s="311"/>
      <c r="I40" s="311" t="str">
        <f>G12</f>
        <v>NOMBRE</v>
      </c>
      <c r="J40" s="311"/>
      <c r="K40" s="311" t="s">
        <v>259</v>
      </c>
      <c r="L40" s="312"/>
      <c r="P40" s="66"/>
      <c r="Q40" s="66"/>
    </row>
    <row r="41" spans="1:17" s="63" customFormat="1" ht="17.399999999999999" x14ac:dyDescent="0.3">
      <c r="A41" s="66"/>
      <c r="B41" s="66"/>
      <c r="C41" s="66"/>
      <c r="F41" s="80" t="s">
        <v>264</v>
      </c>
      <c r="G41" s="311" t="s">
        <v>260</v>
      </c>
      <c r="H41" s="311"/>
      <c r="I41" s="311"/>
      <c r="J41" s="313" t="str">
        <f>G13</f>
        <v>8 AVENIDA 0-10  ZONA 1</v>
      </c>
      <c r="K41" s="313"/>
      <c r="L41" s="314"/>
      <c r="P41" s="66"/>
      <c r="Q41" s="66"/>
    </row>
    <row r="42" spans="1:17" s="63" customFormat="1" ht="18" customHeight="1" x14ac:dyDescent="0.25">
      <c r="A42" s="66"/>
      <c r="B42" s="66"/>
      <c r="C42" s="66"/>
      <c r="F42" s="327" t="s">
        <v>286</v>
      </c>
      <c r="G42" s="311"/>
      <c r="H42" s="311"/>
      <c r="I42" s="311"/>
      <c r="J42" s="311"/>
      <c r="K42" s="311"/>
      <c r="L42" s="312"/>
      <c r="P42" s="66"/>
      <c r="Q42" s="66"/>
    </row>
    <row r="43" spans="1:17" s="63" customFormat="1" ht="17.399999999999999" x14ac:dyDescent="0.25">
      <c r="A43" s="66"/>
      <c r="B43" s="66"/>
      <c r="C43" s="66"/>
      <c r="D43" s="77"/>
      <c r="E43" s="77"/>
      <c r="F43" s="328" t="s">
        <v>287</v>
      </c>
      <c r="G43" s="329"/>
      <c r="H43" s="329"/>
      <c r="I43" s="329"/>
      <c r="J43" s="329"/>
      <c r="K43" s="329"/>
      <c r="L43" s="330"/>
      <c r="M43" s="77"/>
      <c r="N43" s="77"/>
      <c r="O43" s="77"/>
      <c r="P43" s="66"/>
      <c r="Q43" s="66"/>
    </row>
    <row r="44" spans="1:17" s="63" customFormat="1" ht="19.5" customHeight="1" thickBot="1" x14ac:dyDescent="0.35">
      <c r="A44" s="66"/>
      <c r="B44" s="66"/>
      <c r="C44" s="66"/>
      <c r="D44" s="67"/>
      <c r="E44" s="67"/>
      <c r="F44" s="331" t="s">
        <v>288</v>
      </c>
      <c r="G44" s="332"/>
      <c r="H44" s="332"/>
      <c r="I44" s="332"/>
      <c r="J44" s="332"/>
      <c r="K44" s="332"/>
      <c r="L44" s="333"/>
      <c r="M44" s="67"/>
      <c r="N44" s="67"/>
      <c r="O44" s="67"/>
      <c r="P44" s="66"/>
      <c r="Q44" s="66"/>
    </row>
    <row r="45" spans="1:17" s="63" customFormat="1" ht="19.5" customHeight="1" x14ac:dyDescent="0.3">
      <c r="A45" s="66"/>
      <c r="B45" s="66"/>
      <c r="C45" s="66"/>
      <c r="D45" s="67"/>
      <c r="E45" s="67"/>
      <c r="F45" s="68"/>
      <c r="G45" s="68"/>
      <c r="H45" s="68"/>
      <c r="I45" s="68"/>
      <c r="J45" s="68"/>
      <c r="K45" s="68"/>
      <c r="L45" s="68"/>
      <c r="M45" s="67"/>
      <c r="N45" s="67"/>
      <c r="O45" s="67"/>
      <c r="P45" s="66"/>
      <c r="Q45" s="66"/>
    </row>
    <row r="46" spans="1:17" s="63" customFormat="1" ht="19.5" customHeight="1" x14ac:dyDescent="0.3">
      <c r="A46" s="66"/>
      <c r="B46" s="66"/>
      <c r="C46" s="66"/>
      <c r="D46" s="67"/>
      <c r="E46" s="67"/>
      <c r="F46" s="240"/>
      <c r="G46" s="240"/>
      <c r="H46" s="240"/>
      <c r="I46" s="240"/>
      <c r="J46" s="240"/>
      <c r="K46" s="240"/>
      <c r="L46" s="240"/>
      <c r="M46" s="67"/>
      <c r="N46" s="67"/>
      <c r="O46" s="67"/>
      <c r="P46" s="66"/>
      <c r="Q46" s="66"/>
    </row>
    <row r="47" spans="1:17" s="63" customFormat="1" ht="45" customHeight="1" x14ac:dyDescent="0.3">
      <c r="A47" s="66"/>
      <c r="B47" s="66"/>
      <c r="C47" s="66"/>
      <c r="D47" s="67"/>
      <c r="E47" s="67"/>
      <c r="F47" s="240"/>
      <c r="G47" s="240"/>
      <c r="H47" s="240"/>
      <c r="I47" s="240"/>
      <c r="J47" s="240"/>
      <c r="K47" s="240"/>
      <c r="L47" s="240"/>
      <c r="M47" s="67"/>
      <c r="N47" s="67"/>
      <c r="O47" s="67"/>
      <c r="P47" s="66"/>
      <c r="Q47" s="66"/>
    </row>
    <row r="48" spans="1:17" s="63" customFormat="1" ht="19.5" customHeight="1" x14ac:dyDescent="0.3">
      <c r="A48" s="66"/>
      <c r="B48" s="66"/>
      <c r="C48" s="66"/>
      <c r="D48" s="67"/>
      <c r="E48" s="67"/>
      <c r="F48" s="68"/>
      <c r="G48" s="68"/>
      <c r="H48" s="68"/>
      <c r="I48" s="68"/>
      <c r="J48" s="68"/>
      <c r="K48" s="68"/>
      <c r="L48" s="68"/>
      <c r="M48" s="67"/>
      <c r="N48" s="67"/>
      <c r="O48" s="67"/>
      <c r="P48" s="66"/>
      <c r="Q48" s="66"/>
    </row>
    <row r="49" spans="1:17" s="63" customFormat="1" ht="19.5" customHeight="1" x14ac:dyDescent="0.3">
      <c r="A49" s="66"/>
      <c r="B49" s="66"/>
      <c r="C49" s="66"/>
      <c r="D49" s="67"/>
      <c r="E49" s="67"/>
      <c r="F49" s="68"/>
      <c r="G49" s="68"/>
      <c r="H49" s="68"/>
      <c r="I49" s="68"/>
      <c r="J49" s="68"/>
      <c r="K49" s="68"/>
      <c r="L49" s="68"/>
      <c r="M49" s="67"/>
      <c r="N49" s="67"/>
      <c r="O49" s="67"/>
      <c r="P49" s="66"/>
      <c r="Q49" s="66"/>
    </row>
    <row r="50" spans="1:17" s="63" customFormat="1" ht="16.8" x14ac:dyDescent="0.25">
      <c r="A50" s="66"/>
      <c r="B50" s="66"/>
      <c r="C50" s="66"/>
      <c r="F50" s="290"/>
      <c r="G50" s="290"/>
      <c r="H50" s="290"/>
      <c r="P50" s="66"/>
      <c r="Q50" s="66"/>
    </row>
    <row r="51" spans="1:17" s="63" customFormat="1" ht="21" x14ac:dyDescent="0.35">
      <c r="A51" s="64"/>
      <c r="B51" s="64"/>
      <c r="C51" s="64"/>
      <c r="D51" s="65"/>
      <c r="E51" s="65"/>
      <c r="F51" s="290"/>
      <c r="G51" s="290"/>
      <c r="H51" s="290"/>
      <c r="P51" s="64"/>
      <c r="Q51" s="64"/>
    </row>
    <row r="52" spans="1:17" s="63" customFormat="1" ht="21" x14ac:dyDescent="0.35">
      <c r="A52" s="64"/>
      <c r="B52" s="64"/>
      <c r="C52" s="64"/>
      <c r="D52" s="65"/>
      <c r="E52" s="65"/>
      <c r="P52" s="64"/>
      <c r="Q52" s="64"/>
    </row>
    <row r="53" spans="1:17" ht="21" x14ac:dyDescent="0.35">
      <c r="A53" s="64"/>
      <c r="B53" s="64"/>
      <c r="C53" s="64"/>
      <c r="D53" s="65"/>
      <c r="E53" s="65"/>
      <c r="F53" s="65"/>
      <c r="G53" s="65"/>
      <c r="H53" s="65"/>
      <c r="I53" s="65"/>
      <c r="J53" s="65"/>
      <c r="K53" s="65"/>
      <c r="L53" s="65"/>
      <c r="M53" s="65"/>
      <c r="N53" s="65"/>
      <c r="O53" s="65"/>
      <c r="P53" s="64"/>
      <c r="Q53" s="64"/>
    </row>
    <row r="54" spans="1:17" ht="13.8" x14ac:dyDescent="0.25">
      <c r="A54" s="59"/>
      <c r="B54" s="59"/>
      <c r="C54" s="59"/>
      <c r="D54" s="60"/>
      <c r="E54" s="60"/>
      <c r="F54" s="60"/>
      <c r="G54" s="60"/>
      <c r="H54" s="60"/>
      <c r="I54" s="60"/>
      <c r="J54" s="60"/>
      <c r="K54" s="60"/>
      <c r="L54" s="60"/>
      <c r="M54" s="60"/>
      <c r="N54" s="60"/>
      <c r="O54" s="60"/>
      <c r="P54" s="59"/>
      <c r="Q54" s="59"/>
    </row>
    <row r="55" spans="1:17" ht="13.8" x14ac:dyDescent="0.25">
      <c r="A55" s="59"/>
      <c r="B55" s="59"/>
      <c r="C55" s="59"/>
      <c r="D55" s="60"/>
      <c r="E55" s="60"/>
      <c r="F55" s="60"/>
      <c r="G55" s="60"/>
      <c r="H55" s="60"/>
      <c r="I55" s="60"/>
      <c r="J55" s="60"/>
      <c r="K55" s="60"/>
      <c r="L55" s="60"/>
      <c r="M55" s="60"/>
      <c r="N55" s="60"/>
      <c r="O55" s="60"/>
      <c r="P55" s="59"/>
      <c r="Q55" s="59"/>
    </row>
    <row r="56" spans="1:17" ht="13.8" x14ac:dyDescent="0.25">
      <c r="A56" s="59"/>
      <c r="B56" s="59"/>
      <c r="C56" s="59"/>
      <c r="D56" s="60"/>
      <c r="E56" s="60"/>
      <c r="F56" s="60"/>
      <c r="G56" s="60"/>
      <c r="H56" s="60"/>
      <c r="I56" s="60"/>
      <c r="J56" s="60"/>
      <c r="K56" s="60"/>
      <c r="L56" s="60"/>
      <c r="M56" s="60"/>
      <c r="N56" s="60"/>
      <c r="O56" s="60"/>
      <c r="P56" s="59"/>
      <c r="Q56" s="59"/>
    </row>
    <row r="57" spans="1:17" ht="13.8" x14ac:dyDescent="0.25">
      <c r="A57" s="59"/>
      <c r="B57" s="59"/>
      <c r="C57" s="59"/>
      <c r="D57" s="60"/>
      <c r="E57" s="60"/>
      <c r="F57" s="60"/>
      <c r="G57" s="60"/>
      <c r="H57" s="60"/>
      <c r="I57" s="60"/>
      <c r="J57" s="60"/>
      <c r="K57" s="60"/>
      <c r="L57" s="60"/>
      <c r="M57" s="60"/>
      <c r="N57" s="60"/>
      <c r="O57" s="60"/>
      <c r="P57" s="59"/>
      <c r="Q57" s="59"/>
    </row>
    <row r="58" spans="1:17" ht="13.8" x14ac:dyDescent="0.25">
      <c r="C58" s="59"/>
      <c r="P58" s="59"/>
    </row>
    <row r="59" spans="1:17" ht="13.8" x14ac:dyDescent="0.25">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H33:L33"/>
    <mergeCell ref="F42:L42"/>
    <mergeCell ref="F43:L43"/>
    <mergeCell ref="F44:L44"/>
    <mergeCell ref="F46:L47"/>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1:L31"/>
    <mergeCell ref="H32:L32"/>
    <mergeCell ref="F20:L20"/>
    <mergeCell ref="G22:J22"/>
    <mergeCell ref="G13:J13"/>
    <mergeCell ref="G14:J14"/>
    <mergeCell ref="G15:J15"/>
    <mergeCell ref="G16:J16"/>
    <mergeCell ref="G17:J17"/>
    <mergeCell ref="G18:J18"/>
    <mergeCell ref="G12:J12"/>
    <mergeCell ref="G2:I2"/>
    <mergeCell ref="G4:I4"/>
    <mergeCell ref="G6:I7"/>
    <mergeCell ref="F9:L9"/>
    <mergeCell ref="G11:J11"/>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1:R54"/>
  <sheetViews>
    <sheetView view="pageLayout" zoomScale="10" zoomScaleNormal="100" zoomScaleSheetLayoutView="110" zoomScalePageLayoutView="10" workbookViewId="0">
      <selection activeCell="AO157" sqref="AO157"/>
    </sheetView>
  </sheetViews>
  <sheetFormatPr baseColWidth="10" defaultRowHeight="14.4" x14ac:dyDescent="0.3"/>
  <cols>
    <col min="1" max="1" width="4.109375" bestFit="1" customWidth="1"/>
    <col min="3" max="3" width="2.44140625" bestFit="1" customWidth="1"/>
    <col min="4" max="4" width="14.33203125" bestFit="1" customWidth="1"/>
    <col min="5" max="5" width="4.109375" customWidth="1"/>
    <col min="6" max="6" width="9.33203125" customWidth="1"/>
    <col min="8" max="8" width="5" customWidth="1"/>
    <col min="10" max="10" width="10.88671875" customWidth="1"/>
    <col min="11" max="11" width="15.44140625" customWidth="1"/>
    <col min="12" max="12" width="10.88671875" customWidth="1"/>
    <col min="13" max="13" width="22.33203125" bestFit="1" customWidth="1"/>
    <col min="14" max="14" width="17.44140625" bestFit="1" customWidth="1"/>
  </cols>
  <sheetData>
    <row r="11" spans="1:18" ht="15" customHeight="1" x14ac:dyDescent="0.3">
      <c r="A11" s="197"/>
      <c r="B11" s="197"/>
      <c r="C11" s="197"/>
      <c r="D11" s="336" t="s">
        <v>337</v>
      </c>
      <c r="E11" s="336"/>
      <c r="F11" s="336"/>
      <c r="G11" s="336"/>
      <c r="H11" s="336"/>
      <c r="I11" s="336"/>
    </row>
    <row r="12" spans="1:18" ht="15" customHeight="1" x14ac:dyDescent="0.3">
      <c r="A12" s="197"/>
      <c r="B12" s="197"/>
      <c r="C12" s="197"/>
      <c r="D12" s="336"/>
      <c r="E12" s="336"/>
      <c r="F12" s="336"/>
      <c r="G12" s="336"/>
      <c r="H12" s="336"/>
      <c r="I12" s="336"/>
    </row>
    <row r="13" spans="1:18" x14ac:dyDescent="0.3">
      <c r="O13" t="s">
        <v>357</v>
      </c>
    </row>
    <row r="14" spans="1:18" ht="24" customHeight="1" x14ac:dyDescent="0.3">
      <c r="A14" s="197" t="s">
        <v>338</v>
      </c>
      <c r="B14" s="198"/>
      <c r="C14" s="198"/>
      <c r="D14" s="198"/>
      <c r="E14" s="197"/>
      <c r="L14" t="s">
        <v>352</v>
      </c>
      <c r="N14" s="200" t="s">
        <v>353</v>
      </c>
      <c r="R14" t="s">
        <v>355</v>
      </c>
    </row>
    <row r="15" spans="1:18" x14ac:dyDescent="0.3">
      <c r="A15" s="197"/>
      <c r="B15" s="197"/>
      <c r="C15" s="197"/>
      <c r="D15" s="197"/>
      <c r="E15" s="197"/>
      <c r="F15" s="197"/>
      <c r="G15" s="197"/>
      <c r="H15" s="197"/>
      <c r="I15" s="197"/>
      <c r="L15" t="s">
        <v>155</v>
      </c>
      <c r="N15">
        <v>100</v>
      </c>
      <c r="O15">
        <f>'FORMATO  FACT'!J35-'FORMATO  FACT'!G35</f>
        <v>-34.170000000000016</v>
      </c>
      <c r="Q15">
        <f>N15*O15</f>
        <v>-3417.0000000000018</v>
      </c>
      <c r="R15">
        <f>IF((Q15)&lt;0,0,Q15)</f>
        <v>0</v>
      </c>
    </row>
    <row r="16" spans="1:18" ht="24" customHeight="1" x14ac:dyDescent="0.3">
      <c r="A16" s="197" t="s">
        <v>339</v>
      </c>
      <c r="B16" s="197"/>
      <c r="C16" s="197"/>
      <c r="D16" s="199" t="str">
        <f>FACTIBILIDAD!D11</f>
        <v>RPNC1-4240426</v>
      </c>
      <c r="E16" s="197"/>
      <c r="F16" s="197"/>
      <c r="G16" s="197"/>
      <c r="H16" s="197"/>
      <c r="I16" s="197"/>
      <c r="L16" t="s">
        <v>350</v>
      </c>
      <c r="N16">
        <v>100</v>
      </c>
      <c r="O16" s="10">
        <f>IF(FACTIBILIDAD!D39&gt;'FORMATO  FACT'!G30*'FORMATO  FACT'!J25,0,'FORMATO  FACT'!G30*'FORMATO  FACT'!J25-FACTIBILIDAD!D39)*N16</f>
        <v>1509.75</v>
      </c>
      <c r="R16" s="10">
        <f>O16</f>
        <v>1509.75</v>
      </c>
    </row>
    <row r="17" spans="1:18" ht="15" customHeight="1" x14ac:dyDescent="0.3">
      <c r="F17" s="197"/>
      <c r="G17" s="197"/>
      <c r="H17" s="197"/>
      <c r="I17" s="197"/>
      <c r="L17" t="s">
        <v>351</v>
      </c>
      <c r="N17">
        <v>100</v>
      </c>
      <c r="O17">
        <f ca="1">IF('FORMATO  FACT'!J28-'FORMATO  FACT'!G28&lt;0,0,'FORMATO  FACT'!J28-'FORMATO  FACT'!G28)</f>
        <v>0</v>
      </c>
      <c r="Q17">
        <f ca="1">N17*O17</f>
        <v>0</v>
      </c>
      <c r="R17">
        <f ca="1">IF((Q17)&lt;0,0,Q17)</f>
        <v>0</v>
      </c>
    </row>
    <row r="18" spans="1:18" ht="15" customHeight="1" x14ac:dyDescent="0.3">
      <c r="A18" s="197"/>
      <c r="B18" s="197"/>
      <c r="C18" s="197"/>
      <c r="D18" s="197"/>
      <c r="E18" s="197"/>
      <c r="F18" s="197"/>
      <c r="G18" s="197"/>
      <c r="H18" s="197"/>
      <c r="I18" s="197"/>
      <c r="L18" s="334" t="s">
        <v>358</v>
      </c>
      <c r="M18" s="334"/>
      <c r="N18" s="334"/>
      <c r="O18" s="334"/>
      <c r="P18" s="334"/>
      <c r="Q18" s="334"/>
      <c r="R18" s="204">
        <v>504.14</v>
      </c>
    </row>
    <row r="19" spans="1:18" x14ac:dyDescent="0.3">
      <c r="A19" s="197"/>
      <c r="B19" s="197"/>
      <c r="C19" s="197"/>
      <c r="D19" s="197"/>
      <c r="E19" s="197"/>
      <c r="F19" s="197"/>
      <c r="G19" s="197"/>
      <c r="H19" s="197"/>
      <c r="I19" s="197"/>
      <c r="M19" t="s">
        <v>294</v>
      </c>
      <c r="N19" t="s">
        <v>359</v>
      </c>
      <c r="R19">
        <f ca="1">SUM(R15:R18)</f>
        <v>2013.8899999999999</v>
      </c>
    </row>
    <row r="20" spans="1:18" ht="24.9" customHeight="1" x14ac:dyDescent="0.3">
      <c r="A20" s="197" t="s">
        <v>340</v>
      </c>
      <c r="B20" s="197"/>
      <c r="C20" s="197"/>
      <c r="D20" s="197"/>
      <c r="E20" s="197"/>
      <c r="F20" s="197"/>
      <c r="G20" s="197"/>
      <c r="H20" s="197" t="s">
        <v>341</v>
      </c>
      <c r="I20" s="197"/>
      <c r="P20" t="s">
        <v>354</v>
      </c>
      <c r="Q20" s="203">
        <v>0.25</v>
      </c>
      <c r="R20">
        <f ca="1">R19*Q20</f>
        <v>503.47249999999997</v>
      </c>
    </row>
    <row r="21" spans="1:18" ht="24.9" customHeight="1" x14ac:dyDescent="0.3">
      <c r="A21" s="337" t="s">
        <v>348</v>
      </c>
      <c r="B21" s="337"/>
      <c r="C21" s="337"/>
      <c r="D21" s="337"/>
      <c r="E21" s="337"/>
      <c r="F21" s="337"/>
      <c r="G21" s="337"/>
      <c r="H21" s="337"/>
      <c r="I21" s="337"/>
      <c r="J21" s="337"/>
      <c r="K21" s="337"/>
    </row>
    <row r="22" spans="1:18" ht="24.9" customHeight="1" x14ac:dyDescent="0.3">
      <c r="A22" s="337" t="s">
        <v>349</v>
      </c>
      <c r="B22" s="337"/>
      <c r="C22" s="337"/>
      <c r="D22" s="337"/>
      <c r="E22" s="337"/>
      <c r="F22" s="337"/>
      <c r="G22" s="337"/>
      <c r="H22" s="337"/>
      <c r="I22" s="337"/>
      <c r="J22" s="337"/>
      <c r="K22" s="337"/>
      <c r="N22" s="168"/>
    </row>
    <row r="23" spans="1:18" ht="24.9" customHeight="1" x14ac:dyDescent="0.35">
      <c r="A23" s="197" t="s">
        <v>346</v>
      </c>
      <c r="B23" s="197"/>
      <c r="C23" s="197"/>
      <c r="D23" s="202">
        <f ca="1">R20</f>
        <v>503.47249999999997</v>
      </c>
      <c r="E23" s="337" t="s">
        <v>356</v>
      </c>
      <c r="F23" s="337"/>
      <c r="G23" s="337"/>
      <c r="H23" s="337"/>
      <c r="I23" s="337"/>
      <c r="J23" s="337"/>
      <c r="K23" s="337"/>
      <c r="P23" s="201"/>
    </row>
    <row r="24" spans="1:18" ht="24.9" customHeight="1" x14ac:dyDescent="0.3">
      <c r="A24" s="199" t="str">
        <f>FACTIBILIDAD!D12</f>
        <v>VIVIENDA UNIFAMILIAR</v>
      </c>
      <c r="B24" s="197"/>
      <c r="C24" s="197"/>
      <c r="D24" s="197"/>
      <c r="E24" s="197"/>
      <c r="F24" s="197" t="s">
        <v>347</v>
      </c>
      <c r="G24" s="197"/>
      <c r="H24" s="197"/>
      <c r="I24" s="338" t="str">
        <f>FACTIBILIDAD!D9</f>
        <v>NOMBRE</v>
      </c>
      <c r="J24" s="338"/>
      <c r="K24" s="338"/>
    </row>
    <row r="25" spans="1:18" ht="24.9" customHeight="1" x14ac:dyDescent="0.3">
      <c r="A25" s="197" t="s">
        <v>342</v>
      </c>
      <c r="B25" s="197"/>
      <c r="C25" s="197"/>
      <c r="D25" s="197"/>
      <c r="E25" s="197"/>
      <c r="F25" s="197"/>
      <c r="G25" s="198"/>
      <c r="H25" s="198"/>
      <c r="I25" s="198"/>
      <c r="J25" s="196"/>
      <c r="K25" s="196"/>
    </row>
    <row r="26" spans="1:18" ht="24.9" customHeight="1" x14ac:dyDescent="0.3">
      <c r="A26" s="335" t="s">
        <v>343</v>
      </c>
      <c r="B26" s="335"/>
      <c r="C26" s="335"/>
      <c r="D26" s="335"/>
      <c r="E26" s="198"/>
      <c r="F26" s="198"/>
      <c r="G26" s="198"/>
      <c r="H26" s="197" t="s">
        <v>360</v>
      </c>
      <c r="I26" s="197"/>
    </row>
    <row r="27" spans="1:18" x14ac:dyDescent="0.3">
      <c r="A27" s="197"/>
      <c r="B27" s="197"/>
      <c r="C27" s="197"/>
      <c r="D27" s="197"/>
      <c r="E27" s="197"/>
      <c r="F27" s="197"/>
      <c r="G27" s="197"/>
      <c r="H27" s="197"/>
      <c r="I27" s="197"/>
    </row>
    <row r="28" spans="1:18" x14ac:dyDescent="0.3">
      <c r="A28" s="197"/>
      <c r="B28" s="197"/>
      <c r="C28" s="197"/>
      <c r="D28" s="197"/>
      <c r="E28" s="197"/>
      <c r="F28" s="197"/>
      <c r="G28" s="197"/>
      <c r="H28" s="197"/>
      <c r="I28" s="197"/>
    </row>
    <row r="29" spans="1:18" x14ac:dyDescent="0.3">
      <c r="A29" s="197"/>
      <c r="B29" s="197"/>
      <c r="C29" s="197"/>
      <c r="D29" s="197"/>
      <c r="E29" s="197"/>
      <c r="F29" s="197"/>
      <c r="G29" s="197"/>
      <c r="H29" s="197"/>
      <c r="I29" s="197"/>
    </row>
    <row r="30" spans="1:18" x14ac:dyDescent="0.3">
      <c r="A30" s="197"/>
      <c r="B30" s="197"/>
      <c r="C30" s="197"/>
      <c r="D30" s="197"/>
      <c r="E30" s="197"/>
      <c r="F30" s="197"/>
      <c r="G30" s="197"/>
      <c r="H30" s="197"/>
      <c r="I30" s="197"/>
    </row>
    <row r="31" spans="1:18" x14ac:dyDescent="0.3">
      <c r="A31" s="197"/>
      <c r="B31" s="197"/>
      <c r="C31" s="197"/>
      <c r="D31" s="197"/>
      <c r="E31" s="197"/>
      <c r="F31" s="197"/>
      <c r="G31" s="197"/>
      <c r="H31" s="197"/>
      <c r="I31" s="197"/>
    </row>
    <row r="32" spans="1:18" x14ac:dyDescent="0.3">
      <c r="A32" s="197"/>
      <c r="B32" s="197"/>
      <c r="C32" s="197"/>
      <c r="D32" s="197"/>
      <c r="E32" s="197" t="s">
        <v>344</v>
      </c>
      <c r="F32" s="198"/>
      <c r="G32" s="198"/>
      <c r="H32" s="198"/>
      <c r="I32" s="197"/>
    </row>
    <row r="33" spans="1:14" ht="24.9" customHeight="1" x14ac:dyDescent="0.3">
      <c r="A33" s="197"/>
      <c r="B33" s="197"/>
      <c r="C33" s="197"/>
      <c r="D33" s="197"/>
      <c r="E33" s="197"/>
      <c r="F33" s="197"/>
      <c r="G33" s="197"/>
      <c r="H33" s="197"/>
      <c r="I33" s="197"/>
    </row>
    <row r="34" spans="1:14" ht="20.100000000000001" customHeight="1" x14ac:dyDescent="0.3">
      <c r="A34" s="197"/>
      <c r="B34" s="197"/>
      <c r="C34" s="197"/>
      <c r="D34" s="197"/>
      <c r="E34" s="197"/>
      <c r="F34" s="197"/>
      <c r="G34" s="197"/>
      <c r="H34" s="197"/>
      <c r="I34" s="197"/>
    </row>
    <row r="35" spans="1:14" ht="24.9" customHeight="1" x14ac:dyDescent="0.3">
      <c r="A35" s="197" t="s">
        <v>345</v>
      </c>
      <c r="B35" s="197"/>
      <c r="C35" s="197"/>
      <c r="D35" s="197"/>
      <c r="E35" s="197"/>
      <c r="F35" s="197"/>
      <c r="G35" s="197"/>
      <c r="H35" s="197"/>
      <c r="I35" s="197"/>
    </row>
    <row r="36" spans="1:14" x14ac:dyDescent="0.3">
      <c r="A36" s="197"/>
      <c r="B36" s="197"/>
      <c r="C36" s="197"/>
      <c r="D36" s="197"/>
      <c r="E36" s="197"/>
      <c r="F36" s="197"/>
      <c r="G36" s="197"/>
      <c r="H36" s="197"/>
      <c r="I36" s="197"/>
    </row>
    <row r="37" spans="1:14" x14ac:dyDescent="0.3">
      <c r="A37" s="197"/>
      <c r="B37" s="197"/>
      <c r="C37" s="197"/>
      <c r="D37" s="197"/>
      <c r="E37" s="197"/>
      <c r="F37" s="197"/>
      <c r="G37" s="197"/>
      <c r="H37" s="197"/>
      <c r="I37" s="197"/>
    </row>
    <row r="38" spans="1:14" x14ac:dyDescent="0.3">
      <c r="A38" s="197"/>
      <c r="B38" s="197"/>
      <c r="C38" s="197"/>
      <c r="D38" s="197"/>
      <c r="E38" s="197"/>
      <c r="F38" s="197"/>
      <c r="G38" s="197"/>
      <c r="H38" s="197"/>
      <c r="I38" s="197"/>
    </row>
    <row r="39" spans="1:14" x14ac:dyDescent="0.3">
      <c r="A39" s="197"/>
      <c r="B39" s="197"/>
      <c r="C39" s="197"/>
      <c r="D39" s="197"/>
      <c r="E39" s="197"/>
      <c r="F39" s="197"/>
      <c r="G39" s="197"/>
      <c r="H39" s="197"/>
      <c r="I39" s="197"/>
    </row>
    <row r="40" spans="1:14" x14ac:dyDescent="0.3">
      <c r="A40" s="197"/>
      <c r="B40" s="197"/>
      <c r="C40" s="197"/>
      <c r="D40" s="197"/>
      <c r="E40" s="197"/>
      <c r="F40" s="197"/>
      <c r="G40" s="197"/>
      <c r="H40" s="197"/>
      <c r="I40" s="197"/>
    </row>
    <row r="41" spans="1:14" x14ac:dyDescent="0.3">
      <c r="A41" s="197"/>
      <c r="B41" s="197"/>
      <c r="C41" s="197"/>
      <c r="D41" s="197"/>
      <c r="E41" s="197"/>
      <c r="F41" s="197"/>
      <c r="G41" s="197"/>
      <c r="H41" s="197"/>
      <c r="I41" s="197"/>
    </row>
    <row r="43" spans="1:14" ht="21" x14ac:dyDescent="0.4">
      <c r="A43" s="195"/>
      <c r="B43" s="195"/>
      <c r="C43" s="195"/>
      <c r="D43" s="195"/>
      <c r="E43" s="195"/>
      <c r="F43" s="195"/>
      <c r="G43" s="195"/>
      <c r="H43" s="195"/>
      <c r="I43" s="195"/>
      <c r="J43" s="195"/>
      <c r="K43" s="195"/>
      <c r="L43" s="195"/>
      <c r="M43" s="195"/>
      <c r="N43" s="195"/>
    </row>
    <row r="44" spans="1:14" ht="21" x14ac:dyDescent="0.4">
      <c r="A44" s="195"/>
      <c r="B44" s="195"/>
      <c r="C44" s="195"/>
      <c r="D44" s="195"/>
      <c r="E44" s="195"/>
      <c r="F44" s="195"/>
      <c r="G44" s="195"/>
      <c r="H44" s="195"/>
      <c r="I44" s="195"/>
      <c r="J44" s="195"/>
      <c r="K44" s="195"/>
      <c r="L44" s="195"/>
      <c r="M44" s="195"/>
      <c r="N44" s="195"/>
    </row>
    <row r="45" spans="1:14" ht="21" x14ac:dyDescent="0.4">
      <c r="A45" s="195"/>
      <c r="B45" s="195"/>
      <c r="C45" s="195"/>
      <c r="D45" s="195"/>
      <c r="E45" s="195"/>
      <c r="F45" s="195"/>
      <c r="G45" s="195"/>
      <c r="H45" s="195"/>
      <c r="I45" s="195"/>
      <c r="J45" s="195"/>
      <c r="K45" s="195"/>
      <c r="L45" s="195"/>
      <c r="M45" s="195"/>
      <c r="N45" s="195"/>
    </row>
    <row r="46" spans="1:14" ht="21" x14ac:dyDescent="0.4">
      <c r="A46" s="195"/>
      <c r="B46" s="195"/>
      <c r="C46" s="195"/>
      <c r="D46" s="195"/>
      <c r="E46" s="195"/>
      <c r="F46" s="195"/>
      <c r="G46" s="195"/>
      <c r="H46" s="195"/>
      <c r="I46" s="195"/>
      <c r="J46" s="195"/>
      <c r="K46" s="195"/>
      <c r="L46" s="195"/>
      <c r="M46" s="195"/>
      <c r="N46" s="195"/>
    </row>
    <row r="47" spans="1:14" ht="21" x14ac:dyDescent="0.4">
      <c r="A47" s="195"/>
      <c r="B47" s="195"/>
      <c r="C47" s="195"/>
      <c r="D47" s="195"/>
      <c r="E47" s="195"/>
      <c r="F47" s="195"/>
      <c r="G47" s="195"/>
      <c r="H47" s="195"/>
      <c r="I47" s="195"/>
      <c r="J47" s="195"/>
      <c r="K47" s="195"/>
      <c r="L47" s="195"/>
      <c r="M47" s="195"/>
      <c r="N47" s="195"/>
    </row>
    <row r="48" spans="1:14" ht="21" x14ac:dyDescent="0.4">
      <c r="A48" s="195"/>
      <c r="B48" s="195"/>
      <c r="C48" s="195"/>
      <c r="D48" s="195"/>
      <c r="E48" s="195"/>
      <c r="F48" s="195"/>
      <c r="G48" s="195"/>
      <c r="H48" s="195"/>
      <c r="I48" s="195"/>
      <c r="J48" s="195"/>
      <c r="K48" s="195"/>
      <c r="L48" s="195"/>
      <c r="M48" s="195"/>
      <c r="N48" s="195"/>
    </row>
    <row r="49" spans="1:14" ht="21" x14ac:dyDescent="0.4">
      <c r="A49" s="195"/>
      <c r="B49" s="195"/>
      <c r="C49" s="195"/>
      <c r="D49" s="195"/>
      <c r="E49" s="195"/>
      <c r="F49" s="195"/>
      <c r="G49" s="195"/>
      <c r="H49" s="195"/>
      <c r="I49" s="195"/>
      <c r="J49" s="195"/>
      <c r="K49" s="195"/>
      <c r="L49" s="195"/>
      <c r="M49" s="195"/>
      <c r="N49" s="195"/>
    </row>
    <row r="50" spans="1:14" ht="21" x14ac:dyDescent="0.4">
      <c r="A50" s="195"/>
      <c r="B50" s="195"/>
      <c r="C50" s="195"/>
      <c r="D50" s="195"/>
      <c r="E50" s="195"/>
      <c r="F50" s="195"/>
      <c r="G50" s="195"/>
      <c r="H50" s="195"/>
      <c r="I50" s="195"/>
      <c r="J50" s="195"/>
      <c r="K50" s="195"/>
      <c r="L50" s="195"/>
      <c r="M50" s="195"/>
      <c r="N50" s="195"/>
    </row>
    <row r="51" spans="1:14" ht="21" x14ac:dyDescent="0.4">
      <c r="A51" s="195"/>
      <c r="B51" s="195"/>
      <c r="C51" s="195"/>
      <c r="D51" s="195"/>
      <c r="E51" s="195"/>
      <c r="F51" s="195"/>
      <c r="G51" s="195"/>
      <c r="H51" s="195"/>
      <c r="I51" s="195"/>
      <c r="J51" s="195"/>
      <c r="K51" s="195"/>
      <c r="L51" s="195"/>
      <c r="M51" s="195"/>
      <c r="N51" s="195"/>
    </row>
    <row r="52" spans="1:14" ht="21" x14ac:dyDescent="0.4">
      <c r="A52" s="195"/>
      <c r="B52" s="195"/>
      <c r="C52" s="195"/>
      <c r="D52" s="195"/>
      <c r="E52" s="195"/>
      <c r="F52" s="195"/>
      <c r="G52" s="195"/>
      <c r="H52" s="195"/>
      <c r="I52" s="195"/>
      <c r="J52" s="195"/>
      <c r="K52" s="195"/>
      <c r="L52" s="195"/>
      <c r="M52" s="195"/>
      <c r="N52" s="195"/>
    </row>
    <row r="53" spans="1:14" ht="21" x14ac:dyDescent="0.4">
      <c r="A53" s="195"/>
      <c r="B53" s="195"/>
      <c r="C53" s="195"/>
      <c r="D53" s="195"/>
      <c r="E53" s="195"/>
      <c r="F53" s="195"/>
      <c r="G53" s="195"/>
      <c r="H53" s="195"/>
      <c r="I53" s="195"/>
      <c r="J53" s="195"/>
      <c r="K53" s="195"/>
      <c r="L53" s="195"/>
      <c r="M53" s="195"/>
      <c r="N53" s="195"/>
    </row>
    <row r="54" spans="1:14" ht="21" x14ac:dyDescent="0.4">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D121"/>
  <sheetViews>
    <sheetView zoomScale="70" zoomScaleNormal="70" workbookViewId="0">
      <selection activeCell="G4" sqref="G4"/>
    </sheetView>
  </sheetViews>
  <sheetFormatPr baseColWidth="10" defaultRowHeight="14.4" x14ac:dyDescent="0.3"/>
  <cols>
    <col min="1" max="1" width="18.33203125" customWidth="1"/>
    <col min="5" max="5" width="12.33203125" bestFit="1" customWidth="1"/>
    <col min="7" max="7" width="103.44140625" bestFit="1" customWidth="1"/>
    <col min="8" max="8" width="7" customWidth="1"/>
    <col min="9" max="9" width="8.44140625" customWidth="1"/>
    <col min="10" max="10" width="8.88671875" customWidth="1"/>
    <col min="11" max="11" width="9.88671875" customWidth="1"/>
    <col min="19" max="19" width="14" bestFit="1" customWidth="1"/>
    <col min="28" max="28" width="14.6640625" bestFit="1" customWidth="1"/>
  </cols>
  <sheetData>
    <row r="1" spans="1:30" ht="15.6" x14ac:dyDescent="0.3">
      <c r="G1" s="27"/>
      <c r="H1" s="339" t="s">
        <v>158</v>
      </c>
      <c r="I1" s="339"/>
      <c r="J1" s="339" t="s">
        <v>159</v>
      </c>
      <c r="K1" s="339"/>
      <c r="L1" s="339"/>
      <c r="M1" s="339"/>
      <c r="N1" s="339"/>
      <c r="O1" s="339"/>
      <c r="P1" s="339"/>
      <c r="Q1" s="339"/>
      <c r="R1" s="339"/>
      <c r="S1" s="339"/>
      <c r="T1" s="339" t="s">
        <v>160</v>
      </c>
      <c r="U1" s="339"/>
    </row>
    <row r="2" spans="1:30" ht="15.6" x14ac:dyDescent="0.3">
      <c r="G2" s="27"/>
      <c r="H2" s="339"/>
      <c r="I2" s="339"/>
      <c r="J2" s="339" t="s">
        <v>161</v>
      </c>
      <c r="K2" s="339"/>
      <c r="L2" s="340" t="s">
        <v>162</v>
      </c>
      <c r="M2" s="342" t="s">
        <v>163</v>
      </c>
      <c r="N2" s="343"/>
      <c r="O2" s="344"/>
      <c r="P2" s="345" t="s">
        <v>164</v>
      </c>
      <c r="Q2" s="346"/>
      <c r="R2" s="347"/>
      <c r="S2" s="339" t="s">
        <v>165</v>
      </c>
      <c r="T2" s="339"/>
      <c r="U2" s="339"/>
    </row>
    <row r="3" spans="1:30" ht="78" x14ac:dyDescent="0.3">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3">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3">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3">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3">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3">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3">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3">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3">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3">
      <c r="A12" s="11" t="s">
        <v>56</v>
      </c>
      <c r="G12" t="s">
        <v>56</v>
      </c>
    </row>
    <row r="13" spans="1:30" x14ac:dyDescent="0.3">
      <c r="I13" t="s">
        <v>201</v>
      </c>
      <c r="L13" s="6" t="s">
        <v>154</v>
      </c>
    </row>
    <row r="14" spans="1:30" x14ac:dyDescent="0.3">
      <c r="I14" t="s">
        <v>202</v>
      </c>
      <c r="L14" s="6" t="s">
        <v>153</v>
      </c>
    </row>
    <row r="15" spans="1:30" x14ac:dyDescent="0.3">
      <c r="A15" t="s">
        <v>59</v>
      </c>
      <c r="E15" t="s">
        <v>17</v>
      </c>
    </row>
    <row r="16" spans="1:30" x14ac:dyDescent="0.3">
      <c r="A16" t="s">
        <v>60</v>
      </c>
      <c r="E16" t="s">
        <v>18</v>
      </c>
    </row>
    <row r="17" spans="1:5" x14ac:dyDescent="0.3">
      <c r="A17" t="s">
        <v>61</v>
      </c>
      <c r="E17" t="s">
        <v>225</v>
      </c>
    </row>
    <row r="18" spans="1:5" x14ac:dyDescent="0.3">
      <c r="A18" t="s">
        <v>62</v>
      </c>
    </row>
    <row r="19" spans="1:5" x14ac:dyDescent="0.3">
      <c r="A19" t="s">
        <v>63</v>
      </c>
    </row>
    <row r="20" spans="1:5" x14ac:dyDescent="0.3">
      <c r="A20" t="s">
        <v>64</v>
      </c>
    </row>
    <row r="21" spans="1:5" x14ac:dyDescent="0.3">
      <c r="A21" t="s">
        <v>65</v>
      </c>
    </row>
    <row r="22" spans="1:5" x14ac:dyDescent="0.3">
      <c r="A22" t="s">
        <v>66</v>
      </c>
    </row>
    <row r="23" spans="1:5" x14ac:dyDescent="0.3">
      <c r="A23" t="s">
        <v>67</v>
      </c>
    </row>
    <row r="24" spans="1:5" x14ac:dyDescent="0.3">
      <c r="A24" t="s">
        <v>68</v>
      </c>
    </row>
    <row r="25" spans="1:5" x14ac:dyDescent="0.3">
      <c r="A25" t="s">
        <v>72</v>
      </c>
    </row>
    <row r="27" spans="1:5" x14ac:dyDescent="0.3">
      <c r="A27" t="s">
        <v>70</v>
      </c>
    </row>
    <row r="28" spans="1:5" x14ac:dyDescent="0.3">
      <c r="A28" t="s">
        <v>71</v>
      </c>
    </row>
    <row r="30" spans="1:5" x14ac:dyDescent="0.3">
      <c r="A30" t="s">
        <v>76</v>
      </c>
    </row>
    <row r="31" spans="1:5" x14ac:dyDescent="0.3">
      <c r="A31" t="s">
        <v>77</v>
      </c>
    </row>
    <row r="32" spans="1:5" x14ac:dyDescent="0.3">
      <c r="A32" t="s">
        <v>78</v>
      </c>
    </row>
    <row r="33" spans="1:1" x14ac:dyDescent="0.3">
      <c r="A33" t="s">
        <v>79</v>
      </c>
    </row>
    <row r="34" spans="1:1" x14ac:dyDescent="0.3">
      <c r="A34" t="s">
        <v>80</v>
      </c>
    </row>
    <row r="35" spans="1:1" x14ac:dyDescent="0.3">
      <c r="A35" t="s">
        <v>81</v>
      </c>
    </row>
    <row r="36" spans="1:1" x14ac:dyDescent="0.3">
      <c r="A36" t="s">
        <v>82</v>
      </c>
    </row>
    <row r="37" spans="1:1" x14ac:dyDescent="0.3">
      <c r="A37" t="s">
        <v>83</v>
      </c>
    </row>
    <row r="38" spans="1:1" x14ac:dyDescent="0.3">
      <c r="A38" t="s">
        <v>84</v>
      </c>
    </row>
    <row r="39" spans="1:1" x14ac:dyDescent="0.3">
      <c r="A39" t="s">
        <v>85</v>
      </c>
    </row>
    <row r="40" spans="1:1" x14ac:dyDescent="0.3">
      <c r="A40" t="s">
        <v>72</v>
      </c>
    </row>
    <row r="42" spans="1:1" x14ac:dyDescent="0.3">
      <c r="A42" t="s">
        <v>92</v>
      </c>
    </row>
    <row r="43" spans="1:1" x14ac:dyDescent="0.3">
      <c r="A43" t="s">
        <v>93</v>
      </c>
    </row>
    <row r="44" spans="1:1" x14ac:dyDescent="0.3">
      <c r="A44" t="s">
        <v>105</v>
      </c>
    </row>
    <row r="45" spans="1:1" x14ac:dyDescent="0.3">
      <c r="A45" t="s">
        <v>106</v>
      </c>
    </row>
    <row r="46" spans="1:1" x14ac:dyDescent="0.3">
      <c r="A46" t="s">
        <v>107</v>
      </c>
    </row>
    <row r="47" spans="1:1" x14ac:dyDescent="0.3">
      <c r="A47" t="s">
        <v>108</v>
      </c>
    </row>
    <row r="48" spans="1:1" x14ac:dyDescent="0.3">
      <c r="A48" t="s">
        <v>109</v>
      </c>
    </row>
    <row r="49" spans="1:1" x14ac:dyDescent="0.3">
      <c r="A49" t="s">
        <v>110</v>
      </c>
    </row>
    <row r="50" spans="1:1" x14ac:dyDescent="0.3">
      <c r="A50" t="s">
        <v>111</v>
      </c>
    </row>
    <row r="51" spans="1:1" x14ac:dyDescent="0.3">
      <c r="A51" t="s">
        <v>112</v>
      </c>
    </row>
    <row r="52" spans="1:1" x14ac:dyDescent="0.3">
      <c r="A52" t="s">
        <v>113</v>
      </c>
    </row>
    <row r="53" spans="1:1" x14ac:dyDescent="0.3">
      <c r="A53" t="s">
        <v>114</v>
      </c>
    </row>
    <row r="54" spans="1:1" x14ac:dyDescent="0.3">
      <c r="A54" t="s">
        <v>115</v>
      </c>
    </row>
    <row r="55" spans="1:1" x14ac:dyDescent="0.3">
      <c r="A55" t="s">
        <v>116</v>
      </c>
    </row>
    <row r="56" spans="1:1" x14ac:dyDescent="0.3">
      <c r="A56" t="s">
        <v>94</v>
      </c>
    </row>
    <row r="57" spans="1:1" x14ac:dyDescent="0.3">
      <c r="A57" t="s">
        <v>95</v>
      </c>
    </row>
    <row r="58" spans="1:1" x14ac:dyDescent="0.3">
      <c r="A58" t="s">
        <v>96</v>
      </c>
    </row>
    <row r="59" spans="1:1" ht="15" customHeight="1" x14ac:dyDescent="0.3">
      <c r="A59" t="s">
        <v>97</v>
      </c>
    </row>
    <row r="60" spans="1:1" ht="15" customHeight="1" x14ac:dyDescent="0.3">
      <c r="A60" t="s">
        <v>98</v>
      </c>
    </row>
    <row r="61" spans="1:1" ht="16.5" customHeight="1" x14ac:dyDescent="0.3">
      <c r="A61" t="s">
        <v>99</v>
      </c>
    </row>
    <row r="62" spans="1:1" ht="16.5" customHeight="1" x14ac:dyDescent="0.3">
      <c r="A62" t="s">
        <v>100</v>
      </c>
    </row>
    <row r="63" spans="1:1" x14ac:dyDescent="0.3">
      <c r="A63" t="s">
        <v>101</v>
      </c>
    </row>
    <row r="64" spans="1:1" x14ac:dyDescent="0.3">
      <c r="A64" t="s">
        <v>102</v>
      </c>
    </row>
    <row r="65" spans="1:9" ht="15" customHeight="1" x14ac:dyDescent="0.3">
      <c r="A65" t="s">
        <v>103</v>
      </c>
    </row>
    <row r="66" spans="1:9" x14ac:dyDescent="0.3">
      <c r="A66" t="s">
        <v>104</v>
      </c>
    </row>
    <row r="67" spans="1:9" x14ac:dyDescent="0.3">
      <c r="A67" t="s">
        <v>72</v>
      </c>
    </row>
    <row r="68" spans="1:9" x14ac:dyDescent="0.3">
      <c r="E68" t="s">
        <v>119</v>
      </c>
    </row>
    <row r="69" spans="1:9" x14ac:dyDescent="0.3">
      <c r="A69" t="s">
        <v>119</v>
      </c>
      <c r="G69" t="s">
        <v>130</v>
      </c>
      <c r="I69" t="s">
        <v>131</v>
      </c>
    </row>
    <row r="70" spans="1:9" x14ac:dyDescent="0.3">
      <c r="A70" t="s">
        <v>177</v>
      </c>
      <c r="G70" t="s">
        <v>120</v>
      </c>
      <c r="I70" t="s">
        <v>132</v>
      </c>
    </row>
    <row r="71" spans="1:9" x14ac:dyDescent="0.3">
      <c r="A71" t="s">
        <v>178</v>
      </c>
      <c r="G71" t="s">
        <v>121</v>
      </c>
      <c r="I71" t="s">
        <v>133</v>
      </c>
    </row>
    <row r="72" spans="1:9" x14ac:dyDescent="0.3">
      <c r="G72" t="s">
        <v>122</v>
      </c>
      <c r="I72" t="s">
        <v>134</v>
      </c>
    </row>
    <row r="73" spans="1:9" x14ac:dyDescent="0.3">
      <c r="G73" t="s">
        <v>123</v>
      </c>
      <c r="I73" t="s">
        <v>135</v>
      </c>
    </row>
    <row r="74" spans="1:9" x14ac:dyDescent="0.3">
      <c r="G74" t="s">
        <v>124</v>
      </c>
      <c r="I74" t="s">
        <v>136</v>
      </c>
    </row>
    <row r="75" spans="1:9" x14ac:dyDescent="0.3">
      <c r="G75" t="s">
        <v>125</v>
      </c>
      <c r="I75" t="s">
        <v>137</v>
      </c>
    </row>
    <row r="76" spans="1:9" x14ac:dyDescent="0.3">
      <c r="G76" t="s">
        <v>126</v>
      </c>
      <c r="I76" t="s">
        <v>138</v>
      </c>
    </row>
    <row r="77" spans="1:9" x14ac:dyDescent="0.3">
      <c r="G77" t="s">
        <v>127</v>
      </c>
      <c r="I77" t="s">
        <v>139</v>
      </c>
    </row>
    <row r="78" spans="1:9" x14ac:dyDescent="0.3">
      <c r="G78" t="s">
        <v>128</v>
      </c>
      <c r="I78" t="s">
        <v>140</v>
      </c>
    </row>
    <row r="79" spans="1:9" x14ac:dyDescent="0.3">
      <c r="G79" t="s">
        <v>129</v>
      </c>
      <c r="I79" t="s">
        <v>141</v>
      </c>
    </row>
    <row r="80" spans="1:9" ht="15" customHeight="1" x14ac:dyDescent="0.3">
      <c r="G80" t="s">
        <v>132</v>
      </c>
      <c r="I80" t="s">
        <v>142</v>
      </c>
    </row>
    <row r="81" spans="7:9" x14ac:dyDescent="0.3">
      <c r="G81" t="s">
        <v>133</v>
      </c>
      <c r="I81" t="s">
        <v>143</v>
      </c>
    </row>
    <row r="82" spans="7:9" x14ac:dyDescent="0.3">
      <c r="G82" t="s">
        <v>134</v>
      </c>
      <c r="I82" t="s">
        <v>144</v>
      </c>
    </row>
    <row r="83" spans="7:9" x14ac:dyDescent="0.3">
      <c r="G83" t="s">
        <v>135</v>
      </c>
      <c r="I83" t="s">
        <v>145</v>
      </c>
    </row>
    <row r="84" spans="7:9" x14ac:dyDescent="0.3">
      <c r="G84" t="s">
        <v>136</v>
      </c>
      <c r="I84" t="s">
        <v>146</v>
      </c>
    </row>
    <row r="85" spans="7:9" x14ac:dyDescent="0.3">
      <c r="G85" t="s">
        <v>137</v>
      </c>
      <c r="I85" t="s">
        <v>147</v>
      </c>
    </row>
    <row r="86" spans="7:9" x14ac:dyDescent="0.3">
      <c r="G86" t="s">
        <v>138</v>
      </c>
      <c r="I86" t="s">
        <v>148</v>
      </c>
    </row>
    <row r="87" spans="7:9" x14ac:dyDescent="0.3">
      <c r="G87" t="s">
        <v>139</v>
      </c>
      <c r="I87" t="s">
        <v>149</v>
      </c>
    </row>
    <row r="88" spans="7:9" x14ac:dyDescent="0.3">
      <c r="G88" t="s">
        <v>140</v>
      </c>
      <c r="I88" t="s">
        <v>150</v>
      </c>
    </row>
    <row r="89" spans="7:9" x14ac:dyDescent="0.3">
      <c r="G89" t="s">
        <v>141</v>
      </c>
      <c r="I89" t="s">
        <v>151</v>
      </c>
    </row>
    <row r="90" spans="7:9" x14ac:dyDescent="0.3">
      <c r="G90" t="s">
        <v>142</v>
      </c>
      <c r="I90" t="s">
        <v>152</v>
      </c>
    </row>
    <row r="91" spans="7:9" x14ac:dyDescent="0.3">
      <c r="G91" t="s">
        <v>143</v>
      </c>
    </row>
    <row r="92" spans="7:9" x14ac:dyDescent="0.3">
      <c r="G92" t="s">
        <v>144</v>
      </c>
    </row>
    <row r="93" spans="7:9" x14ac:dyDescent="0.3">
      <c r="G93" t="s">
        <v>145</v>
      </c>
    </row>
    <row r="94" spans="7:9" x14ac:dyDescent="0.3">
      <c r="G94" t="s">
        <v>146</v>
      </c>
    </row>
    <row r="95" spans="7:9" ht="15" customHeight="1" x14ac:dyDescent="0.3">
      <c r="G95" t="s">
        <v>147</v>
      </c>
    </row>
    <row r="96" spans="7:9" x14ac:dyDescent="0.3">
      <c r="G96" t="s">
        <v>148</v>
      </c>
    </row>
    <row r="97" spans="7:7" x14ac:dyDescent="0.3">
      <c r="G97" t="s">
        <v>149</v>
      </c>
    </row>
    <row r="98" spans="7:7" x14ac:dyDescent="0.3">
      <c r="G98" t="s">
        <v>150</v>
      </c>
    </row>
    <row r="99" spans="7:7" x14ac:dyDescent="0.3">
      <c r="G99" t="s">
        <v>151</v>
      </c>
    </row>
    <row r="100" spans="7:7" x14ac:dyDescent="0.3">
      <c r="G100" t="s">
        <v>152</v>
      </c>
    </row>
    <row r="101" spans="7:7" x14ac:dyDescent="0.3">
      <c r="G101" s="1"/>
    </row>
    <row r="102" spans="7:7" x14ac:dyDescent="0.3">
      <c r="G102" s="1"/>
    </row>
    <row r="103" spans="7:7" x14ac:dyDescent="0.3">
      <c r="G103" s="1"/>
    </row>
    <row r="104" spans="7:7" x14ac:dyDescent="0.3">
      <c r="G104" s="1"/>
    </row>
    <row r="105" spans="7:7" x14ac:dyDescent="0.3">
      <c r="G105" s="1"/>
    </row>
    <row r="106" spans="7:7" x14ac:dyDescent="0.3">
      <c r="G106" s="1"/>
    </row>
    <row r="107" spans="7:7" x14ac:dyDescent="0.3">
      <c r="G107" s="1"/>
    </row>
    <row r="108" spans="7:7" x14ac:dyDescent="0.3">
      <c r="G108" s="1"/>
    </row>
    <row r="109" spans="7:7" x14ac:dyDescent="0.3">
      <c r="G109" s="1"/>
    </row>
    <row r="110" spans="7:7" x14ac:dyDescent="0.3">
      <c r="G110" s="1"/>
    </row>
    <row r="111" spans="7:7" x14ac:dyDescent="0.3">
      <c r="G111" s="1"/>
    </row>
    <row r="112" spans="7:7" x14ac:dyDescent="0.3">
      <c r="G112" s="1"/>
    </row>
    <row r="113" spans="7:7" x14ac:dyDescent="0.3">
      <c r="G113" s="1"/>
    </row>
    <row r="114" spans="7:7" x14ac:dyDescent="0.3">
      <c r="G114" s="1"/>
    </row>
    <row r="115" spans="7:7" x14ac:dyDescent="0.3">
      <c r="G115" s="1"/>
    </row>
    <row r="116" spans="7:7" x14ac:dyDescent="0.3">
      <c r="G116" s="1"/>
    </row>
    <row r="117" spans="7:7" x14ac:dyDescent="0.3">
      <c r="G117" s="1"/>
    </row>
    <row r="118" spans="7:7" x14ac:dyDescent="0.3">
      <c r="G118" s="1"/>
    </row>
    <row r="119" spans="7:7" x14ac:dyDescent="0.3">
      <c r="G119" s="1"/>
    </row>
    <row r="120" spans="7:7" x14ac:dyDescent="0.3">
      <c r="G120" s="1"/>
    </row>
    <row r="121" spans="7:7" x14ac:dyDescent="0.3">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1:B12"/>
  <sheetViews>
    <sheetView workbookViewId="0">
      <selection activeCell="B12" sqref="B12"/>
    </sheetView>
  </sheetViews>
  <sheetFormatPr baseColWidth="10" defaultRowHeight="14.4" x14ac:dyDescent="0.3"/>
  <sheetData>
    <row r="1" spans="2:2" x14ac:dyDescent="0.3">
      <c r="B1" s="21" t="s">
        <v>195</v>
      </c>
    </row>
    <row r="2" spans="2:2" x14ac:dyDescent="0.3">
      <c r="B2" s="21" t="s">
        <v>193</v>
      </c>
    </row>
    <row r="3" spans="2:2" x14ac:dyDescent="0.3">
      <c r="B3" s="21" t="s">
        <v>194</v>
      </c>
    </row>
    <row r="4" spans="2:2" x14ac:dyDescent="0.3">
      <c r="B4" s="21" t="s">
        <v>196</v>
      </c>
    </row>
    <row r="5" spans="2:2" x14ac:dyDescent="0.3">
      <c r="B5" s="21" t="s">
        <v>197</v>
      </c>
    </row>
    <row r="6" spans="2:2" x14ac:dyDescent="0.3">
      <c r="B6" s="21" t="s">
        <v>198</v>
      </c>
    </row>
    <row r="7" spans="2:2" x14ac:dyDescent="0.3">
      <c r="B7" s="21" t="s">
        <v>199</v>
      </c>
    </row>
    <row r="8" spans="2:2" x14ac:dyDescent="0.3">
      <c r="B8" s="21" t="s">
        <v>207</v>
      </c>
    </row>
    <row r="9" spans="2:2" x14ac:dyDescent="0.3">
      <c r="B9" s="21" t="s">
        <v>221</v>
      </c>
    </row>
    <row r="10" spans="2:2" x14ac:dyDescent="0.3">
      <c r="B10" s="21" t="s">
        <v>226</v>
      </c>
    </row>
    <row r="11" spans="2:2" x14ac:dyDescent="0.3">
      <c r="B11" s="21" t="s">
        <v>227</v>
      </c>
    </row>
    <row r="12" spans="2:2" x14ac:dyDescent="0.3">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Rivera</cp:lastModifiedBy>
  <cp:lastPrinted>2026-04-30T15:44:23Z</cp:lastPrinted>
  <dcterms:created xsi:type="dcterms:W3CDTF">2017-05-05T19:20:04Z</dcterms:created>
  <dcterms:modified xsi:type="dcterms:W3CDTF">2026-06-07T07:28:08Z</dcterms:modified>
</cp:coreProperties>
</file>