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bicacion C a D\Documentos\gitdocs-2026\procesoMACROSREGISTRO\"/>
    </mc:Choice>
  </mc:AlternateContent>
  <xr:revisionPtr revIDLastSave="0" documentId="13_ncr:1_{149BD050-120D-478E-A62A-345ECCF17C0E}" xr6:coauthVersionLast="47" xr6:coauthVersionMax="47" xr10:uidLastSave="{00000000-0000-0000-0000-000000000000}"/>
  <bookViews>
    <workbookView xWindow="-108" yWindow="-108" windowWidth="23256" windowHeight="12576" activeTab="2" xr2:uid="{DA0C0F8E-1F3A-6B41-B147-6AC4BE1AC967}"/>
  </bookViews>
  <sheets>
    <sheet name="Hoja1" sheetId="1" r:id="rId1"/>
    <sheet name="INFORME" sheetId="3" r:id="rId2"/>
    <sheet name="INSPECCIÓN" sheetId="4" r:id="rId3"/>
    <sheet name="TABLAS" sheetId="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3" l="1"/>
  <c r="H23" i="3"/>
  <c r="H21" i="3"/>
  <c r="H20" i="3"/>
  <c r="H19" i="3"/>
  <c r="H18" i="3"/>
  <c r="H16" i="3"/>
  <c r="H15" i="3"/>
  <c r="H14" i="3"/>
  <c r="H13" i="3"/>
  <c r="H11" i="3"/>
  <c r="H10" i="3"/>
  <c r="H8" i="3"/>
  <c r="H7" i="3"/>
  <c r="H6" i="3"/>
  <c r="H4" i="3"/>
  <c r="H3" i="3"/>
  <c r="H2" i="3"/>
  <c r="X23" i="1"/>
  <c r="X4" i="1"/>
  <c r="N2" i="1"/>
  <c r="X2" i="1"/>
  <c r="X3" i="1"/>
  <c r="W6" i="1"/>
  <c r="X6" i="1"/>
  <c r="W7" i="1"/>
  <c r="X7" i="1"/>
  <c r="W8" i="1"/>
  <c r="X8" i="1"/>
  <c r="W10" i="1"/>
  <c r="X10" i="1"/>
  <c r="W11" i="1"/>
  <c r="X11" i="1"/>
  <c r="W13" i="1"/>
  <c r="X13" i="1"/>
  <c r="W14" i="1"/>
  <c r="X14" i="1"/>
  <c r="W15" i="1"/>
  <c r="X15" i="1"/>
  <c r="W16" i="1"/>
  <c r="X16" i="1"/>
  <c r="W18" i="1"/>
  <c r="X18" i="1"/>
  <c r="W19" i="1"/>
  <c r="X19" i="1"/>
  <c r="W20" i="1"/>
  <c r="X20" i="1"/>
  <c r="W21" i="1"/>
  <c r="X21" i="1"/>
  <c r="W23" i="1"/>
  <c r="W24" i="1"/>
  <c r="X24" i="1"/>
  <c r="W26" i="1"/>
  <c r="W27" i="1"/>
  <c r="W28" i="1"/>
  <c r="W3" i="1"/>
  <c r="W4" i="1"/>
  <c r="W2" i="1"/>
  <c r="B28" i="4" l="1"/>
  <c r="C28" i="4"/>
  <c r="D28" i="4"/>
  <c r="E28" i="4"/>
  <c r="F28" i="4"/>
  <c r="G28" i="4"/>
  <c r="B29" i="4"/>
  <c r="C29" i="4"/>
  <c r="D29" i="4"/>
  <c r="E29" i="4"/>
  <c r="F29" i="4"/>
  <c r="G29" i="4"/>
  <c r="B30" i="4"/>
  <c r="C30" i="4"/>
  <c r="D30" i="4"/>
  <c r="E30" i="4"/>
  <c r="F30" i="4"/>
  <c r="G30" i="4"/>
  <c r="B31" i="4"/>
  <c r="C31" i="4"/>
  <c r="D31" i="4"/>
  <c r="E31" i="4"/>
  <c r="F31" i="4"/>
  <c r="G31" i="4"/>
  <c r="B32" i="4"/>
  <c r="C32" i="4"/>
  <c r="D32" i="4"/>
  <c r="E32" i="4"/>
  <c r="F32" i="4"/>
  <c r="G32" i="4"/>
  <c r="B18" i="4"/>
  <c r="C18" i="4"/>
  <c r="D18" i="4"/>
  <c r="E18" i="4"/>
  <c r="F18" i="4"/>
  <c r="G18" i="4"/>
  <c r="B19" i="4"/>
  <c r="C19" i="4"/>
  <c r="D19" i="4"/>
  <c r="E19" i="4"/>
  <c r="F19" i="4"/>
  <c r="G19" i="4"/>
  <c r="B20" i="4"/>
  <c r="C20" i="4"/>
  <c r="D20" i="4"/>
  <c r="E20" i="4"/>
  <c r="F20" i="4"/>
  <c r="G20" i="4"/>
  <c r="B21" i="4"/>
  <c r="C21" i="4"/>
  <c r="D21" i="4"/>
  <c r="E21" i="4"/>
  <c r="F21" i="4"/>
  <c r="G21" i="4"/>
  <c r="B22" i="4"/>
  <c r="C22" i="4"/>
  <c r="D22" i="4"/>
  <c r="E22" i="4"/>
  <c r="F22" i="4"/>
  <c r="G22" i="4"/>
  <c r="B23" i="4"/>
  <c r="C23" i="4"/>
  <c r="D23" i="4"/>
  <c r="E23" i="4"/>
  <c r="F23" i="4"/>
  <c r="G23" i="4"/>
  <c r="B24" i="4"/>
  <c r="C24" i="4"/>
  <c r="D24" i="4"/>
  <c r="E24" i="4"/>
  <c r="F24" i="4"/>
  <c r="G24" i="4"/>
  <c r="B25" i="4"/>
  <c r="C25" i="4"/>
  <c r="D25" i="4"/>
  <c r="E25" i="4"/>
  <c r="F25" i="4"/>
  <c r="G25" i="4"/>
  <c r="B26" i="4"/>
  <c r="C26" i="4"/>
  <c r="D26" i="4"/>
  <c r="E26" i="4"/>
  <c r="F26" i="4"/>
  <c r="G26" i="4"/>
  <c r="B27" i="4"/>
  <c r="C27" i="4"/>
  <c r="D27" i="4"/>
  <c r="E27" i="4"/>
  <c r="F27" i="4"/>
  <c r="G27" i="4"/>
  <c r="B15" i="4" l="1"/>
  <c r="C15" i="4"/>
  <c r="D15" i="4"/>
  <c r="E15" i="4"/>
  <c r="F15" i="4"/>
  <c r="G15" i="4"/>
  <c r="B16" i="4"/>
  <c r="C16" i="4"/>
  <c r="D16" i="4"/>
  <c r="E16" i="4"/>
  <c r="F16" i="4"/>
  <c r="B17" i="4"/>
  <c r="C17" i="4"/>
  <c r="D17" i="4"/>
  <c r="E17" i="4"/>
  <c r="F17" i="4"/>
  <c r="V14" i="1" l="1"/>
  <c r="V15" i="1"/>
  <c r="V16" i="1"/>
  <c r="V13" i="1"/>
  <c r="N15" i="1"/>
  <c r="B13" i="4"/>
  <c r="C13" i="4"/>
  <c r="D13" i="4"/>
  <c r="E13" i="4"/>
  <c r="F13" i="4"/>
  <c r="B14" i="4"/>
  <c r="C14" i="4"/>
  <c r="D14" i="4"/>
  <c r="E14" i="4"/>
  <c r="F14" i="4"/>
  <c r="G17" i="4" l="1"/>
  <c r="B11" i="4"/>
  <c r="C11" i="4"/>
  <c r="D11" i="4"/>
  <c r="E11" i="4"/>
  <c r="F11" i="4"/>
  <c r="B12" i="4"/>
  <c r="C12" i="4"/>
  <c r="D12" i="4"/>
  <c r="E12" i="4"/>
  <c r="F12" i="4"/>
  <c r="F10" i="4"/>
  <c r="E10" i="4"/>
  <c r="D10" i="4"/>
  <c r="C10" i="4"/>
  <c r="B10" i="4"/>
  <c r="V2" i="1"/>
  <c r="V8" i="1"/>
  <c r="V6" i="1"/>
  <c r="AF7" i="1" l="1"/>
  <c r="N8" i="1"/>
  <c r="N10" i="1"/>
  <c r="N11" i="1"/>
  <c r="N14" i="1"/>
  <c r="N7" i="1"/>
  <c r="N6" i="1"/>
  <c r="N3" i="1"/>
  <c r="N4" i="1"/>
  <c r="AM4" i="1"/>
  <c r="G10" i="4" l="1"/>
  <c r="G11" i="4"/>
  <c r="G14" i="4"/>
  <c r="G13" i="4"/>
  <c r="G12" i="4"/>
  <c r="G16" i="4"/>
</calcChain>
</file>

<file path=xl/sharedStrings.xml><?xml version="1.0" encoding="utf-8"?>
<sst xmlns="http://schemas.openxmlformats.org/spreadsheetml/2006/main" count="701" uniqueCount="214">
  <si>
    <t>EXPENDIENTE</t>
  </si>
  <si>
    <t>I-05-0232-2026</t>
  </si>
  <si>
    <t>FECHA INGRESO</t>
  </si>
  <si>
    <t xml:space="preserve">NOMBRE DEL PROPIETARIO </t>
  </si>
  <si>
    <t>DE LEÓN YANI, EDWIN HAROLDO</t>
  </si>
  <si>
    <t>DPI</t>
  </si>
  <si>
    <t xml:space="preserve">DIRECCIÓN </t>
  </si>
  <si>
    <t>CODIGO DEL INMUEBLE</t>
  </si>
  <si>
    <t>FECHA DE INSPECCIÓN</t>
  </si>
  <si>
    <t>INSPECTOR</t>
  </si>
  <si>
    <t>MARLON IVAN CARRETO RIVERA</t>
  </si>
  <si>
    <t xml:space="preserve">NOMBRE DEL TRAMITE </t>
  </si>
  <si>
    <t>REGULARIZACIÓN</t>
  </si>
  <si>
    <t xml:space="preserve">EXPEDIENTE DE REFERENCIA </t>
  </si>
  <si>
    <t>HORA INSPECCIÓN</t>
  </si>
  <si>
    <t xml:space="preserve">PENDIENTE </t>
  </si>
  <si>
    <t>ESTADO</t>
  </si>
  <si>
    <t xml:space="preserve">PROVIDENCIA </t>
  </si>
  <si>
    <t xml:space="preserve">DEPENDENCIA </t>
  </si>
  <si>
    <t xml:space="preserve">CATASTRO </t>
  </si>
  <si>
    <t>FECHA INSPECCIÓN</t>
  </si>
  <si>
    <t>PROCESO?</t>
  </si>
  <si>
    <t>PENDIENTE</t>
  </si>
  <si>
    <t>ENTREGADO</t>
  </si>
  <si>
    <t>PENDIENTE TRAER LA RESOLUCIÓN DEL MEDIO AMBIENTE PORQUE ES COMERCIO</t>
  </si>
  <si>
    <t>TRAMITE REQUERIDO</t>
  </si>
  <si>
    <t xml:space="preserve">CONTROL DE OBRAS </t>
  </si>
  <si>
    <t>RODAS SOTO, OSCAR ARTURO</t>
  </si>
  <si>
    <t>AVENIDA LAS AMERICAS C9A-30</t>
  </si>
  <si>
    <t>ZONA</t>
  </si>
  <si>
    <t>RPNR10-5110526</t>
  </si>
  <si>
    <t>PENDIENTE TRAER LA RESOLUCIÓN DEL MEDIO AMBIENTE DE BODEGA</t>
  </si>
  <si>
    <t>LOCALIZACÍON GOOGLE MAPS</t>
  </si>
  <si>
    <t>14.831360171677817, -91.53635364330418</t>
  </si>
  <si>
    <t>R-03-0023-2026</t>
  </si>
  <si>
    <t>LAM, LUZ MARIA DEL ROSARIO MIGUEZ AGUILAR DE</t>
  </si>
  <si>
    <t xml:space="preserve">INFORME AL VECINO PARA RESOLUCIÓN DEL MEDIO AMBIENTE </t>
  </si>
  <si>
    <t>INFORME EXTERNO</t>
  </si>
  <si>
    <t>Se entrego informe al vecino y se devuelve al inspector, en espera de correcciones o documentos.</t>
  </si>
  <si>
    <t xml:space="preserve">USO DE SUELO </t>
  </si>
  <si>
    <t>URB-Q1</t>
  </si>
  <si>
    <t>14.845118666556194, -91.51761309314378</t>
  </si>
  <si>
    <t>LOCALIZACIÓN QGIS</t>
  </si>
  <si>
    <t>390496.52,1641771.63</t>
  </si>
  <si>
    <t>388494.06,1640251.77</t>
  </si>
  <si>
    <t>URB-Q5</t>
  </si>
  <si>
    <t>14.841108227815925, -91.50194949024149</t>
  </si>
  <si>
    <t>392178.589,1641316.387</t>
  </si>
  <si>
    <t>URB-Q6</t>
  </si>
  <si>
    <t>ANTND10-1500626</t>
  </si>
  <si>
    <t>DIAZ MENCHO, ARTEMIO</t>
  </si>
  <si>
    <t>CALLEJON 10 8A 0-19</t>
  </si>
  <si>
    <t>14.841423818117587, -91.54688431633943</t>
  </si>
  <si>
    <t>387343.201,1641371.953</t>
  </si>
  <si>
    <t>PROVIDENCIA</t>
  </si>
  <si>
    <t>CATASTRO</t>
  </si>
  <si>
    <t>I-13-1172-2022</t>
  </si>
  <si>
    <t xml:space="preserve">CANTON CHICHIGUITAN </t>
  </si>
  <si>
    <t>RUR</t>
  </si>
  <si>
    <t>DMNG5-100626</t>
  </si>
  <si>
    <t>GOMEZ, SHIRLY MARITZABETH VILLAGRAN AGUILAR DE</t>
  </si>
  <si>
    <t>5 AV. 1-23</t>
  </si>
  <si>
    <t>394850.83,1640942.24</t>
  </si>
  <si>
    <t>14.837787849990018, -91.47714061216284</t>
  </si>
  <si>
    <t>RUR-CP</t>
  </si>
  <si>
    <t>14.837371978187736, -91.5041249125388</t>
  </si>
  <si>
    <t>391941.290,1640899.306</t>
  </si>
  <si>
    <t>FINCA</t>
  </si>
  <si>
    <t>FOLIO</t>
  </si>
  <si>
    <t>LIBRO</t>
  </si>
  <si>
    <t>70E</t>
  </si>
  <si>
    <t>MORALES RIVERA, MANOLO</t>
  </si>
  <si>
    <t>REGULARIZACÓN</t>
  </si>
  <si>
    <t>FECHA DE ENTREGA</t>
  </si>
  <si>
    <t>RPNMR-5760626</t>
  </si>
  <si>
    <t>228E</t>
  </si>
  <si>
    <t>AREA DEL TERRNO</t>
  </si>
  <si>
    <t>FRENTE COMPLETO DEL TERRENO</t>
  </si>
  <si>
    <t>AREA TOTAL DE CONSTRUCCIÓN</t>
  </si>
  <si>
    <t>AREA PERMEABLE CALCULADO</t>
  </si>
  <si>
    <t>ALTURA TOTAL DEL EDIFICIOO</t>
  </si>
  <si>
    <t>VIVIENDA UNIFAMILIAR</t>
  </si>
  <si>
    <t xml:space="preserve">INFORME EXTERNO </t>
  </si>
  <si>
    <t>DEMOLICIÓN</t>
  </si>
  <si>
    <t>NO</t>
  </si>
  <si>
    <t>0070-2025/DCN/FACS/msgg</t>
  </si>
  <si>
    <t>NO.</t>
  </si>
  <si>
    <t>EXPEDIENTE</t>
  </si>
  <si>
    <t>PROPIETARIO SEGÚN SOLVENCIA</t>
  </si>
  <si>
    <t>DIRECCION SEGÚN SOLVENCIA</t>
  </si>
  <si>
    <t>COLONIA / CONDOMINIO</t>
  </si>
  <si>
    <t>ANTNR3-1410526</t>
  </si>
  <si>
    <t>VUNI10-1560526</t>
  </si>
  <si>
    <t>A-10-1291-2025</t>
  </si>
  <si>
    <t>JOSE CHAY</t>
  </si>
  <si>
    <t>A-10-0429-2026</t>
  </si>
  <si>
    <t>GABINO ANASTACIO RACANCOJ CHAN</t>
  </si>
  <si>
    <t>R-05-0119-2026</t>
  </si>
  <si>
    <t>RPNTR-5510626</t>
  </si>
  <si>
    <t>CAMILA APOLONIA MONROY TZOC</t>
  </si>
  <si>
    <t xml:space="preserve">ENTREGADO </t>
  </si>
  <si>
    <t>INFORME EXTERNO A VECINO PARA RESOLUCION MEDIO AMBIENTE POR COMERCIO</t>
  </si>
  <si>
    <t>SE CREO RP</t>
  </si>
  <si>
    <t xml:space="preserve">EXPENDIENTE ENTREGADO </t>
  </si>
  <si>
    <t>CONTROL INDIVIDUAL DE INSPECCIONES JUNIO 2026</t>
  </si>
  <si>
    <t>FECHA DE INSPECCION</t>
  </si>
  <si>
    <t>ARLENI LUDMILA RODRIGUEZ HERRERA DE LEON</t>
  </si>
  <si>
    <t xml:space="preserve">14 CALLE 14-24 </t>
  </si>
  <si>
    <t xml:space="preserve">ALAN EDUARDO SACOR BARRIOS </t>
  </si>
  <si>
    <t>0 CALLE. 7-53J INTERIOR</t>
  </si>
  <si>
    <t>CALLEJON5, 5-6 INTERIOR</t>
  </si>
  <si>
    <t>1 AVENIDA 7-19 INTERIOR</t>
  </si>
  <si>
    <t xml:space="preserve">OSCAR OSBERTO ALVARADO PÉREZ </t>
  </si>
  <si>
    <t xml:space="preserve">3RA CALLE 5-04, LA COLINA </t>
  </si>
  <si>
    <t>CANTON XECARACOJ</t>
  </si>
  <si>
    <t>EDWIN HAROLDO DE LEON YANI</t>
  </si>
  <si>
    <t xml:space="preserve">11 CALLE 5-37 </t>
  </si>
  <si>
    <t xml:space="preserve">AMBIENTE </t>
  </si>
  <si>
    <t>DOCUMENTO/TRAMITE CREADO</t>
  </si>
  <si>
    <t>INFORME A VECINO</t>
  </si>
  <si>
    <t>ESTADO 1</t>
  </si>
  <si>
    <t xml:space="preserve">FECHA DE ESTADO 1 </t>
  </si>
  <si>
    <t>ESTADO 2</t>
  </si>
  <si>
    <t>COLINIA MOLINA</t>
  </si>
  <si>
    <t xml:space="preserve">GRAVE HERNANDEZ, GENARO </t>
  </si>
  <si>
    <t>DIAGONAL 10, C14-82</t>
  </si>
  <si>
    <t>14.863927659656785, -91.50187963956097</t>
  </si>
  <si>
    <t>392196.72,1643850.45</t>
  </si>
  <si>
    <t>PEREZ UTUY, MIGUEL JOSE</t>
  </si>
  <si>
    <t>4 CALLE 38-79A</t>
  </si>
  <si>
    <t>14.868798842234774, -91.54177172665082</t>
  </si>
  <si>
    <t>387906.542,1644375.644</t>
  </si>
  <si>
    <t>URB-Q4</t>
  </si>
  <si>
    <t>URBANO Q4 (URB-Q4)</t>
  </si>
  <si>
    <t>A-RCA70-0819-2025</t>
  </si>
  <si>
    <t>IUSI</t>
  </si>
  <si>
    <t>CHICHIGUITAN</t>
  </si>
  <si>
    <t>COLONIA/CONDOMINIO</t>
  </si>
  <si>
    <t xml:space="preserve">CIUDAD VERDE </t>
  </si>
  <si>
    <t>14.831633389178894, -91.48136387442125</t>
  </si>
  <si>
    <t>394389.33,1640247.00</t>
  </si>
  <si>
    <t>ESP</t>
  </si>
  <si>
    <t>351E</t>
  </si>
  <si>
    <t>A-RCA70-0707-2025</t>
  </si>
  <si>
    <t>14.831378267968802, -91.48133573896988</t>
  </si>
  <si>
    <t>MORALES HERNÁNDEZ, WILLIAM AMADO</t>
  </si>
  <si>
    <t>CARRILLO BATEN, ERVIN BENJAMÍN</t>
  </si>
  <si>
    <t>352E</t>
  </si>
  <si>
    <t>A-RCA70-0671-2025</t>
  </si>
  <si>
    <t>CHAJCHALAC CITALÁN, MARLYN MAYARY</t>
  </si>
  <si>
    <t>14.831227951677848, -91.4814765318952</t>
  </si>
  <si>
    <t>JAM</t>
  </si>
  <si>
    <t>JAM-J-570-2026</t>
  </si>
  <si>
    <t>CAJAS ITZEP, RAFAEL SALVADOR</t>
  </si>
  <si>
    <t>8 AVENIDA 0-10</t>
  </si>
  <si>
    <t>MARLON VIAN CARRETO RIVERA</t>
  </si>
  <si>
    <t>OFICIO EXTERNO A JAM</t>
  </si>
  <si>
    <t>INFORME EXTERNO A IUSI, ACTUALIZACIÓN DE AREA</t>
  </si>
  <si>
    <t>INFORME A JAM, POR REGULARIZACIÓN Y LICENCIA</t>
  </si>
  <si>
    <t>RPNP10-5860626</t>
  </si>
  <si>
    <t xml:space="preserve">POROJ COJULUM, ERVIN ALEJANDRO </t>
  </si>
  <si>
    <t>388248.571,1640791.868</t>
  </si>
  <si>
    <t>14.836089678697798, -91.53848261363565</t>
  </si>
  <si>
    <t>6 CALLE 1-76</t>
  </si>
  <si>
    <t>MARLON IVAN CARRETOR RIVERA</t>
  </si>
  <si>
    <t>A-07-0425-2026</t>
  </si>
  <si>
    <t>MARROQUÍN RODAS, IRWIN WELINGTON</t>
  </si>
  <si>
    <t xml:space="preserve">5 CALLE 26-67 </t>
  </si>
  <si>
    <t>14.853717139490382, -91.51889969438244</t>
  </si>
  <si>
    <t>390346.409,1642716.652</t>
  </si>
  <si>
    <t>RPNM7-5920626</t>
  </si>
  <si>
    <t>SE REGULARIZO EXPEDIENTE ASI TAMBIEN SE MANDO OFICIO EXTERNO A IUSI</t>
  </si>
  <si>
    <t xml:space="preserve">REGULARIZACIÓN. </t>
  </si>
  <si>
    <t>INFORME EXTERNO A VECINO</t>
  </si>
  <si>
    <t>1411-2026</t>
  </si>
  <si>
    <t>9 CALLE A, 0-41</t>
  </si>
  <si>
    <t>CONDOMINIO LOS SANTOS</t>
  </si>
  <si>
    <t>14.860705442420667, -91.51355909913407</t>
  </si>
  <si>
    <t>390936.832,1643386.179</t>
  </si>
  <si>
    <t>I-RCA80-1927-2025</t>
  </si>
  <si>
    <t>COYOY CAHUEX, SERGIO</t>
  </si>
  <si>
    <t xml:space="preserve">ALVARADO GONZÁLEZ, LEOPOLDO </t>
  </si>
  <si>
    <t>CHUICAVIOC</t>
  </si>
  <si>
    <t>NO CREADO--</t>
  </si>
  <si>
    <t>D-08-0089-2025</t>
  </si>
  <si>
    <t>RODAS OLIVA, VICTOR MANUEL</t>
  </si>
  <si>
    <t>14.857862263345563, -91.53426681181618</t>
  </si>
  <si>
    <t>388695.354,1643169.175</t>
  </si>
  <si>
    <t>INFORME AL  VECINO DEBIDO A QUE EXCEDE EL AREA INSPECCIONADA PERO AUN FALTA QUE TRAIGA UNA HOJA DEL FORMULARIO Y FOLEAR TODOOO</t>
  </si>
  <si>
    <t>RPNG6-5990626</t>
  </si>
  <si>
    <t>RPNP8-5980626</t>
  </si>
  <si>
    <t>14.775344600790259, -91.52684723319679</t>
  </si>
  <si>
    <t>389458.60,1634051.79</t>
  </si>
  <si>
    <t>RUR-CM</t>
  </si>
  <si>
    <t>OFICIO EXTERNO A CATASTRO REPORTANDO AREA DE DE FINCA MATRIZ Y AREA DE FINCA NUEVA</t>
  </si>
  <si>
    <t xml:space="preserve">OFICIO EXTEERNO A ACATASTRO </t>
  </si>
  <si>
    <t>PRESENTAR 2DA HOJA DEL FORMULARIO RP</t>
  </si>
  <si>
    <t xml:space="preserve">OFICIO A CATASTRO DE CONSTRUCCIÓN INFORMAL </t>
  </si>
  <si>
    <t>OFICIO EXTERNO A CATASTRO</t>
  </si>
  <si>
    <t>23//6/26</t>
  </si>
  <si>
    <t>A-08-0322-2026</t>
  </si>
  <si>
    <t>OROZCO SANTOS, MARÍA HAIDEE</t>
  </si>
  <si>
    <t>DIAGONAL 2 0-80A INTERIOR</t>
  </si>
  <si>
    <t>389129.000,1643365.446</t>
  </si>
  <si>
    <t xml:space="preserve">YA SE MANDO REGULARIZACIÓN, EN ESPERA PARA ENTREGAR </t>
  </si>
  <si>
    <t>OFICIO EXTERNO A IUSI PENDIENTE ….............</t>
  </si>
  <si>
    <t>A-07-0425-2026 PENDIENTE ENTREGAAAAAA</t>
  </si>
  <si>
    <t>RAZON/FECHA_ENTREGA</t>
  </si>
  <si>
    <t xml:space="preserve">OFICIO A IUSI ACTUALIZANDO AREA DE CONSTRUCCIÓN </t>
  </si>
  <si>
    <t xml:space="preserve">OFICIO EXTERNO A IUSI </t>
  </si>
  <si>
    <t>14.859414117679588, -91.53038067494124</t>
  </si>
  <si>
    <t>AA</t>
  </si>
  <si>
    <t>CC</t>
  </si>
  <si>
    <t>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</si>
</sst>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0000000"/>
    <numFmt numFmtId="165" formatCode="dd/mm/yy;@"/>
  </numFmts>
  <fonts count="7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ArialNarrow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4" fillId="4" borderId="1" applyProtection="0"/>
  </cellStyleXfs>
  <cellXfs count="3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5" fillId="0" borderId="1" xfId="1" quotePrefix="1" applyFont="1" applyFill="1" applyAlignment="1">
      <alignment horizontal="center" vertical="center" wrapText="1"/>
    </xf>
    <xf numFmtId="0" fontId="5" fillId="0" borderId="1" xfId="1" applyFont="1" applyFill="1" applyAlignment="1">
      <alignment horizontal="center" vertical="center" wrapText="1"/>
    </xf>
    <xf numFmtId="14" fontId="2" fillId="6" borderId="1" xfId="0" applyNumberFormat="1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165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18" fontId="0" fillId="0" borderId="0" xfId="0" applyNumberFormat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center" vertical="center" wrapText="1"/>
    </xf>
    <xf numFmtId="14" fontId="0" fillId="8" borderId="0" xfId="0" applyNumberFormat="1" applyFill="1" applyAlignment="1">
      <alignment horizontal="center" vertical="center"/>
    </xf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</cellXfs>
  <cellStyles count="2">
    <cellStyle name="ANTIGUA" xfId="1" xr:uid="{A5461D72-166D-BB4C-9F95-07333208348F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F8789-39AD-174F-862B-8F0DF6A6F54C}">
  <sheetPr codeName="Hoja1"/>
  <dimension ref="A1:AM31"/>
  <sheetViews>
    <sheetView topLeftCell="A10" zoomScale="85" zoomScaleNormal="85" workbookViewId="0">
      <selection activeCell="D9" sqref="D9"/>
    </sheetView>
  </sheetViews>
  <sheetFormatPr baseColWidth="10" defaultRowHeight="15.6"/>
  <cols>
    <col min="1" max="1" width="23.59765625" customWidth="1"/>
    <col min="2" max="5" width="21.19921875" customWidth="1"/>
    <col min="6" max="6" width="20.19921875" customWidth="1"/>
    <col min="7" max="7" width="22.296875" style="31" customWidth="1"/>
    <col min="8" max="8" width="36.296875" customWidth="1"/>
    <col min="9" max="9" width="26.69921875" style="32" customWidth="1"/>
    <col min="10" max="10" width="20.796875" style="33" customWidth="1"/>
    <col min="12" max="12" width="18.296875" customWidth="1"/>
    <col min="13" max="13" width="31.09765625" customWidth="1"/>
    <col min="14" max="14" width="25.3984375" customWidth="1"/>
    <col min="15" max="24" width="32.19921875" customWidth="1"/>
    <col min="25" max="25" width="31" customWidth="1"/>
    <col min="26" max="26" width="22.296875" customWidth="1"/>
    <col min="27" max="37" width="32.19921875" customWidth="1"/>
    <col min="38" max="38" width="25.296875" customWidth="1"/>
    <col min="39" max="39" width="26" customWidth="1"/>
  </cols>
  <sheetData>
    <row r="1" spans="1:39" s="11" customFormat="1" ht="31.2">
      <c r="A1" s="11" t="s">
        <v>20</v>
      </c>
      <c r="B1" s="11" t="s">
        <v>16</v>
      </c>
      <c r="C1" s="12" t="s">
        <v>207</v>
      </c>
      <c r="D1" s="11" t="s">
        <v>25</v>
      </c>
      <c r="E1" s="11" t="s">
        <v>18</v>
      </c>
      <c r="F1" s="11" t="s">
        <v>0</v>
      </c>
      <c r="G1" s="13" t="s">
        <v>2</v>
      </c>
      <c r="H1" s="11" t="s">
        <v>3</v>
      </c>
      <c r="I1" s="14" t="s">
        <v>5</v>
      </c>
      <c r="J1" s="12" t="s">
        <v>6</v>
      </c>
      <c r="K1" s="11" t="s">
        <v>29</v>
      </c>
      <c r="L1" s="12" t="s">
        <v>137</v>
      </c>
      <c r="M1" s="11" t="s">
        <v>7</v>
      </c>
      <c r="N1" s="11" t="s">
        <v>8</v>
      </c>
      <c r="O1" s="11" t="s">
        <v>9</v>
      </c>
      <c r="P1" s="11" t="s">
        <v>14</v>
      </c>
      <c r="Q1" s="11" t="s">
        <v>32</v>
      </c>
      <c r="R1" s="11" t="s">
        <v>42</v>
      </c>
      <c r="S1" s="11" t="s">
        <v>39</v>
      </c>
      <c r="T1" s="15" t="s">
        <v>21</v>
      </c>
      <c r="U1" s="15" t="s">
        <v>118</v>
      </c>
      <c r="V1" s="15" t="s">
        <v>103</v>
      </c>
      <c r="W1" s="15" t="s">
        <v>120</v>
      </c>
      <c r="X1" s="15" t="s">
        <v>73</v>
      </c>
      <c r="Y1" s="11" t="s">
        <v>122</v>
      </c>
      <c r="Z1" s="11" t="s">
        <v>121</v>
      </c>
      <c r="AA1" s="15"/>
      <c r="AB1" s="15" t="s">
        <v>67</v>
      </c>
      <c r="AC1" s="15" t="s">
        <v>68</v>
      </c>
      <c r="AD1" s="15" t="s">
        <v>69</v>
      </c>
      <c r="AE1" s="15" t="s">
        <v>117</v>
      </c>
      <c r="AF1" s="15" t="s">
        <v>39</v>
      </c>
      <c r="AG1" s="15" t="s">
        <v>76</v>
      </c>
      <c r="AH1" s="15" t="s">
        <v>77</v>
      </c>
      <c r="AI1" s="15" t="s">
        <v>78</v>
      </c>
      <c r="AJ1" s="15" t="s">
        <v>79</v>
      </c>
      <c r="AK1" s="15" t="s">
        <v>80</v>
      </c>
      <c r="AL1" s="11" t="s">
        <v>11</v>
      </c>
      <c r="AM1" s="11" t="s">
        <v>13</v>
      </c>
    </row>
    <row r="2" spans="1:39" s="18" customFormat="1" ht="46.8">
      <c r="A2" s="16">
        <v>46147</v>
      </c>
      <c r="B2" s="17" t="s">
        <v>23</v>
      </c>
      <c r="C2" s="17"/>
      <c r="D2" s="18" t="s">
        <v>17</v>
      </c>
      <c r="E2" s="18" t="s">
        <v>19</v>
      </c>
      <c r="F2" s="18" t="s">
        <v>34</v>
      </c>
      <c r="G2" s="19">
        <v>46071</v>
      </c>
      <c r="H2" s="1" t="s">
        <v>35</v>
      </c>
      <c r="I2" s="20"/>
      <c r="J2" s="1"/>
      <c r="N2" s="16">
        <f>A2</f>
        <v>46147</v>
      </c>
      <c r="Q2" s="1" t="s">
        <v>41</v>
      </c>
      <c r="R2" s="1" t="s">
        <v>43</v>
      </c>
      <c r="S2" s="18" t="s">
        <v>40</v>
      </c>
      <c r="T2" s="1" t="s">
        <v>36</v>
      </c>
      <c r="U2" s="18" t="s">
        <v>119</v>
      </c>
      <c r="V2" s="1" t="str">
        <f>F2</f>
        <v>R-03-0023-2026</v>
      </c>
      <c r="W2" s="1" t="str">
        <f>B2</f>
        <v>ENTREGADO</v>
      </c>
      <c r="X2" s="21" t="str">
        <f>IF(C2="","",C2)</f>
        <v/>
      </c>
      <c r="Y2" s="1" t="s">
        <v>38</v>
      </c>
      <c r="Z2" s="16">
        <v>46181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8" t="s">
        <v>37</v>
      </c>
      <c r="AM2" s="18" t="s">
        <v>34</v>
      </c>
    </row>
    <row r="3" spans="1:39" s="18" customFormat="1" ht="31.2">
      <c r="A3" s="16">
        <v>46170</v>
      </c>
      <c r="B3" s="18" t="s">
        <v>15</v>
      </c>
      <c r="D3" s="18" t="s">
        <v>12</v>
      </c>
      <c r="E3" s="18" t="s">
        <v>26</v>
      </c>
      <c r="F3" s="18" t="s">
        <v>30</v>
      </c>
      <c r="G3" s="19">
        <v>46168</v>
      </c>
      <c r="H3" s="18" t="s">
        <v>27</v>
      </c>
      <c r="I3" s="20"/>
      <c r="J3" s="1" t="s">
        <v>28</v>
      </c>
      <c r="K3" s="1">
        <v>10</v>
      </c>
      <c r="L3" s="1"/>
      <c r="M3" s="18">
        <v>206541</v>
      </c>
      <c r="N3" s="16">
        <f>A3</f>
        <v>46170</v>
      </c>
      <c r="O3" s="18" t="s">
        <v>10</v>
      </c>
      <c r="P3" s="22">
        <v>0.4375</v>
      </c>
      <c r="Q3" s="23" t="s">
        <v>33</v>
      </c>
      <c r="R3" s="23" t="s">
        <v>44</v>
      </c>
      <c r="S3" s="23" t="s">
        <v>45</v>
      </c>
      <c r="T3" s="1" t="s">
        <v>31</v>
      </c>
      <c r="U3" s="18" t="s">
        <v>183</v>
      </c>
      <c r="W3" s="1" t="str">
        <f t="shared" ref="W3:W4" si="0">B3</f>
        <v xml:space="preserve">PENDIENTE </v>
      </c>
      <c r="X3" s="21" t="str">
        <f t="shared" ref="X3" si="1">IF(C3="","",C3)</f>
        <v/>
      </c>
    </row>
    <row r="4" spans="1:39" s="18" customFormat="1" ht="46.8">
      <c r="A4" s="16">
        <v>46178</v>
      </c>
      <c r="B4" s="18" t="s">
        <v>22</v>
      </c>
      <c r="D4" s="18" t="s">
        <v>17</v>
      </c>
      <c r="E4" s="18" t="s">
        <v>19</v>
      </c>
      <c r="F4" s="18" t="s">
        <v>1</v>
      </c>
      <c r="G4" s="19">
        <v>46093</v>
      </c>
      <c r="H4" s="18" t="s">
        <v>4</v>
      </c>
      <c r="I4" s="20">
        <v>2234994040901</v>
      </c>
      <c r="J4" s="1"/>
      <c r="K4" s="18">
        <v>5</v>
      </c>
      <c r="M4" s="18">
        <v>152282</v>
      </c>
      <c r="N4" s="16">
        <f>A4</f>
        <v>46178</v>
      </c>
      <c r="O4" s="18" t="s">
        <v>10</v>
      </c>
      <c r="P4" s="22">
        <v>0.4375</v>
      </c>
      <c r="Q4" s="23" t="s">
        <v>46</v>
      </c>
      <c r="R4" s="22" t="s">
        <v>47</v>
      </c>
      <c r="S4" s="22" t="s">
        <v>48</v>
      </c>
      <c r="T4" s="1" t="s">
        <v>24</v>
      </c>
      <c r="U4" s="22" t="s">
        <v>183</v>
      </c>
      <c r="V4" s="22"/>
      <c r="W4" s="1" t="str">
        <f t="shared" si="0"/>
        <v>PENDIENTE</v>
      </c>
      <c r="X4" s="21" t="str">
        <f>IF(C4="","",C4)</f>
        <v/>
      </c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18" t="s">
        <v>12</v>
      </c>
      <c r="AM4" s="18" t="str">
        <f>F4</f>
        <v>I-05-0232-2026</v>
      </c>
    </row>
    <row r="5" spans="1:39" s="11" customFormat="1" ht="31.2">
      <c r="A5" s="11" t="s">
        <v>20</v>
      </c>
      <c r="B5" s="11" t="s">
        <v>16</v>
      </c>
      <c r="C5" s="12" t="s">
        <v>207</v>
      </c>
      <c r="D5" s="11" t="s">
        <v>25</v>
      </c>
      <c r="E5" s="11" t="s">
        <v>18</v>
      </c>
      <c r="F5" s="11" t="s">
        <v>0</v>
      </c>
      <c r="G5" s="13" t="s">
        <v>2</v>
      </c>
      <c r="H5" s="11" t="s">
        <v>3</v>
      </c>
      <c r="I5" s="14" t="s">
        <v>5</v>
      </c>
      <c r="J5" s="12" t="s">
        <v>6</v>
      </c>
      <c r="K5" s="11" t="s">
        <v>29</v>
      </c>
      <c r="L5" s="12" t="s">
        <v>137</v>
      </c>
      <c r="M5" s="11" t="s">
        <v>7</v>
      </c>
      <c r="N5" s="11" t="s">
        <v>8</v>
      </c>
      <c r="O5" s="11" t="s">
        <v>9</v>
      </c>
      <c r="P5" s="11" t="s">
        <v>14</v>
      </c>
      <c r="Q5" s="11" t="s">
        <v>32</v>
      </c>
      <c r="R5" s="11" t="s">
        <v>42</v>
      </c>
      <c r="S5" s="11" t="s">
        <v>39</v>
      </c>
      <c r="T5" s="15" t="s">
        <v>21</v>
      </c>
      <c r="U5" s="15" t="s">
        <v>118</v>
      </c>
      <c r="V5" s="15" t="s">
        <v>103</v>
      </c>
      <c r="W5" s="15" t="s">
        <v>120</v>
      </c>
      <c r="X5" s="15" t="s">
        <v>73</v>
      </c>
      <c r="Y5" s="11" t="s">
        <v>122</v>
      </c>
      <c r="Z5" s="11" t="s">
        <v>121</v>
      </c>
      <c r="AA5" s="15"/>
      <c r="AB5" s="15" t="s">
        <v>67</v>
      </c>
      <c r="AC5" s="15" t="s">
        <v>68</v>
      </c>
      <c r="AD5" s="15" t="s">
        <v>69</v>
      </c>
      <c r="AE5" s="15" t="s">
        <v>117</v>
      </c>
      <c r="AF5" s="15" t="s">
        <v>39</v>
      </c>
      <c r="AG5" s="15" t="s">
        <v>76</v>
      </c>
      <c r="AH5" s="15" t="s">
        <v>77</v>
      </c>
      <c r="AI5" s="15" t="s">
        <v>78</v>
      </c>
      <c r="AJ5" s="15" t="s">
        <v>79</v>
      </c>
      <c r="AK5" s="15" t="s">
        <v>80</v>
      </c>
      <c r="AL5" s="11" t="s">
        <v>11</v>
      </c>
      <c r="AM5" s="11" t="s">
        <v>13</v>
      </c>
    </row>
    <row r="6" spans="1:39" s="1" customFormat="1" ht="41.4">
      <c r="A6" s="21">
        <v>46182</v>
      </c>
      <c r="B6" s="24" t="s">
        <v>23</v>
      </c>
      <c r="C6" s="24"/>
      <c r="E6" s="1" t="s">
        <v>26</v>
      </c>
      <c r="F6" s="1" t="s">
        <v>49</v>
      </c>
      <c r="G6" s="25">
        <v>46181</v>
      </c>
      <c r="H6" s="1" t="s">
        <v>50</v>
      </c>
      <c r="I6" s="26">
        <v>3903403590909</v>
      </c>
      <c r="J6" s="1" t="s">
        <v>51</v>
      </c>
      <c r="K6" s="1">
        <v>10</v>
      </c>
      <c r="M6" s="1">
        <v>181633</v>
      </c>
      <c r="N6" s="21">
        <f>A6</f>
        <v>46182</v>
      </c>
      <c r="O6" s="1" t="s">
        <v>10</v>
      </c>
      <c r="P6" s="23">
        <v>0.33333333333333331</v>
      </c>
      <c r="Q6" s="1" t="s">
        <v>52</v>
      </c>
      <c r="R6" s="1" t="s">
        <v>53</v>
      </c>
      <c r="S6" s="1" t="s">
        <v>45</v>
      </c>
      <c r="T6" s="3" t="s">
        <v>101</v>
      </c>
      <c r="U6" s="1" t="s">
        <v>82</v>
      </c>
      <c r="V6" s="1" t="str">
        <f>F6</f>
        <v>ANTND10-1500626</v>
      </c>
      <c r="W6" s="1" t="str">
        <f t="shared" ref="W6:W28" si="2">B6</f>
        <v>ENTREGADO</v>
      </c>
      <c r="X6" s="21" t="str">
        <f t="shared" ref="X6:X24" si="3">IF(C6="","",C6)</f>
        <v/>
      </c>
      <c r="AA6" s="21"/>
      <c r="AB6" s="1">
        <v>4856</v>
      </c>
      <c r="AC6" s="1">
        <v>356</v>
      </c>
      <c r="AD6" s="1" t="s">
        <v>70</v>
      </c>
    </row>
    <row r="7" spans="1:39" s="1" customFormat="1" ht="31.2">
      <c r="A7" s="21">
        <v>46182</v>
      </c>
      <c r="B7" s="1" t="s">
        <v>22</v>
      </c>
      <c r="D7" s="1" t="s">
        <v>54</v>
      </c>
      <c r="E7" s="1" t="s">
        <v>55</v>
      </c>
      <c r="F7" s="1" t="s">
        <v>56</v>
      </c>
      <c r="G7" s="25">
        <v>46066</v>
      </c>
      <c r="H7" s="1" t="s">
        <v>71</v>
      </c>
      <c r="I7" s="26">
        <v>2102628180901</v>
      </c>
      <c r="J7" s="1" t="s">
        <v>57</v>
      </c>
      <c r="K7" s="1" t="s">
        <v>58</v>
      </c>
      <c r="M7" s="1" t="s">
        <v>22</v>
      </c>
      <c r="N7" s="21">
        <f>A7</f>
        <v>46182</v>
      </c>
      <c r="O7" s="1" t="s">
        <v>10</v>
      </c>
      <c r="P7" s="23">
        <v>0.38541666666666669</v>
      </c>
      <c r="Q7" s="1" t="s">
        <v>63</v>
      </c>
      <c r="R7" s="1" t="s">
        <v>62</v>
      </c>
      <c r="S7" s="1" t="s">
        <v>64</v>
      </c>
      <c r="T7" s="1" t="s">
        <v>72</v>
      </c>
      <c r="U7" s="1" t="s">
        <v>102</v>
      </c>
      <c r="V7" s="1" t="s">
        <v>74</v>
      </c>
      <c r="W7" s="1" t="str">
        <f t="shared" si="2"/>
        <v>PENDIENTE</v>
      </c>
      <c r="X7" s="21" t="str">
        <f t="shared" si="3"/>
        <v/>
      </c>
      <c r="AA7" s="1" t="s">
        <v>81</v>
      </c>
      <c r="AB7" s="1">
        <v>3776</v>
      </c>
      <c r="AC7" s="1">
        <v>276</v>
      </c>
      <c r="AD7" s="1" t="s">
        <v>75</v>
      </c>
      <c r="AF7" s="1" t="str">
        <f>S7</f>
        <v>RUR-CP</v>
      </c>
      <c r="AG7" s="1">
        <v>120</v>
      </c>
      <c r="AH7" s="1">
        <v>23</v>
      </c>
      <c r="AI7" s="1">
        <v>232.22</v>
      </c>
      <c r="AJ7" s="1">
        <v>7.78</v>
      </c>
      <c r="AK7" s="1">
        <v>5.2</v>
      </c>
    </row>
    <row r="8" spans="1:39" s="18" customFormat="1" ht="31.2">
      <c r="A8" s="21">
        <v>46182</v>
      </c>
      <c r="B8" s="18" t="s">
        <v>15</v>
      </c>
      <c r="E8" s="18" t="s">
        <v>26</v>
      </c>
      <c r="F8" s="1" t="s">
        <v>59</v>
      </c>
      <c r="G8" s="19">
        <v>46181</v>
      </c>
      <c r="H8" s="1" t="s">
        <v>60</v>
      </c>
      <c r="I8" s="20">
        <v>2294273590901</v>
      </c>
      <c r="J8" s="1" t="s">
        <v>61</v>
      </c>
      <c r="K8" s="18">
        <v>5</v>
      </c>
      <c r="L8" s="1" t="s">
        <v>123</v>
      </c>
      <c r="M8" s="18">
        <v>10372</v>
      </c>
      <c r="N8" s="21">
        <f>A8</f>
        <v>46182</v>
      </c>
      <c r="O8" s="1" t="s">
        <v>10</v>
      </c>
      <c r="P8" s="23">
        <v>0.4375</v>
      </c>
      <c r="Q8" s="1" t="s">
        <v>65</v>
      </c>
      <c r="R8" s="18" t="s">
        <v>66</v>
      </c>
      <c r="S8" s="18" t="s">
        <v>45</v>
      </c>
      <c r="T8" s="18" t="s">
        <v>83</v>
      </c>
      <c r="U8" s="18" t="s">
        <v>84</v>
      </c>
      <c r="V8" s="1" t="str">
        <f>F8</f>
        <v>DMNG5-100626</v>
      </c>
      <c r="W8" s="1" t="str">
        <f t="shared" si="2"/>
        <v xml:space="preserve">PENDIENTE </v>
      </c>
      <c r="X8" s="21" t="str">
        <f t="shared" si="3"/>
        <v/>
      </c>
      <c r="AA8" s="18" t="s">
        <v>81</v>
      </c>
      <c r="AB8" s="18">
        <v>68334</v>
      </c>
      <c r="AC8" s="18">
        <v>61</v>
      </c>
      <c r="AD8" s="18">
        <v>325</v>
      </c>
      <c r="AE8" s="18" t="s">
        <v>85</v>
      </c>
      <c r="AG8" s="18">
        <v>205</v>
      </c>
      <c r="AH8" s="18">
        <v>30.2</v>
      </c>
      <c r="AI8" s="18">
        <v>113.81</v>
      </c>
      <c r="AJ8" s="18">
        <v>91.19</v>
      </c>
      <c r="AK8" s="18">
        <v>2.6</v>
      </c>
    </row>
    <row r="9" spans="1:39" s="11" customFormat="1" ht="31.2">
      <c r="A9" s="11" t="s">
        <v>20</v>
      </c>
      <c r="B9" s="11" t="s">
        <v>16</v>
      </c>
      <c r="C9" s="12" t="s">
        <v>207</v>
      </c>
      <c r="D9" s="11" t="s">
        <v>25</v>
      </c>
      <c r="E9" s="11" t="s">
        <v>18</v>
      </c>
      <c r="F9" s="11" t="s">
        <v>0</v>
      </c>
      <c r="G9" s="13" t="s">
        <v>2</v>
      </c>
      <c r="H9" s="11" t="s">
        <v>3</v>
      </c>
      <c r="I9" s="14" t="s">
        <v>5</v>
      </c>
      <c r="J9" s="12" t="s">
        <v>6</v>
      </c>
      <c r="K9" s="11" t="s">
        <v>29</v>
      </c>
      <c r="L9" s="12" t="s">
        <v>137</v>
      </c>
      <c r="M9" s="11" t="s">
        <v>7</v>
      </c>
      <c r="N9" s="11" t="s">
        <v>8</v>
      </c>
      <c r="O9" s="11" t="s">
        <v>9</v>
      </c>
      <c r="P9" s="11" t="s">
        <v>14</v>
      </c>
      <c r="Q9" s="11" t="s">
        <v>32</v>
      </c>
      <c r="R9" s="11" t="s">
        <v>42</v>
      </c>
      <c r="S9" s="11" t="s">
        <v>39</v>
      </c>
      <c r="T9" s="15" t="s">
        <v>21</v>
      </c>
      <c r="U9" s="15" t="s">
        <v>118</v>
      </c>
      <c r="V9" s="15" t="s">
        <v>103</v>
      </c>
      <c r="W9" s="15" t="s">
        <v>120</v>
      </c>
      <c r="X9" s="15" t="s">
        <v>73</v>
      </c>
      <c r="Y9" s="11" t="s">
        <v>122</v>
      </c>
      <c r="Z9" s="11" t="s">
        <v>121</v>
      </c>
      <c r="AA9" s="15"/>
      <c r="AB9" s="15" t="s">
        <v>67</v>
      </c>
      <c r="AC9" s="15" t="s">
        <v>68</v>
      </c>
      <c r="AD9" s="15" t="s">
        <v>69</v>
      </c>
      <c r="AE9" s="15" t="s">
        <v>117</v>
      </c>
      <c r="AF9" s="15" t="s">
        <v>39</v>
      </c>
      <c r="AG9" s="15" t="s">
        <v>76</v>
      </c>
      <c r="AH9" s="15" t="s">
        <v>77</v>
      </c>
      <c r="AI9" s="15" t="s">
        <v>78</v>
      </c>
      <c r="AJ9" s="15" t="s">
        <v>79</v>
      </c>
      <c r="AK9" s="15" t="s">
        <v>80</v>
      </c>
      <c r="AL9" s="11" t="s">
        <v>11</v>
      </c>
      <c r="AM9" s="11" t="s">
        <v>13</v>
      </c>
    </row>
    <row r="10" spans="1:39" s="18" customFormat="1" ht="31.2">
      <c r="A10" s="16">
        <v>46184</v>
      </c>
      <c r="B10" s="18" t="s">
        <v>22</v>
      </c>
      <c r="D10" s="18" t="s">
        <v>12</v>
      </c>
      <c r="E10" s="18" t="s">
        <v>26</v>
      </c>
      <c r="F10" s="18" t="s">
        <v>189</v>
      </c>
      <c r="G10" s="19">
        <v>46183</v>
      </c>
      <c r="H10" s="18" t="s">
        <v>124</v>
      </c>
      <c r="I10" s="20">
        <v>2540432911404</v>
      </c>
      <c r="J10" s="1" t="s">
        <v>125</v>
      </c>
      <c r="K10" s="18">
        <v>6</v>
      </c>
      <c r="M10" s="18">
        <v>188947</v>
      </c>
      <c r="N10" s="21">
        <f>A10</f>
        <v>46184</v>
      </c>
      <c r="O10" s="1" t="s">
        <v>10</v>
      </c>
      <c r="P10" s="23">
        <v>0.38541666666666669</v>
      </c>
      <c r="Q10" s="1" t="s">
        <v>126</v>
      </c>
      <c r="R10" s="18" t="s">
        <v>127</v>
      </c>
      <c r="S10" s="18" t="s">
        <v>45</v>
      </c>
      <c r="W10" s="1" t="str">
        <f t="shared" si="2"/>
        <v>PENDIENTE</v>
      </c>
      <c r="X10" s="21" t="str">
        <f t="shared" si="3"/>
        <v/>
      </c>
      <c r="AB10" s="18">
        <v>307144</v>
      </c>
      <c r="AC10" s="18">
        <v>134</v>
      </c>
      <c r="AD10" s="18">
        <v>741</v>
      </c>
    </row>
    <row r="11" spans="1:39" s="18" customFormat="1" ht="31.2">
      <c r="A11" s="16">
        <v>46184</v>
      </c>
      <c r="B11" s="18" t="s">
        <v>22</v>
      </c>
      <c r="D11" s="18" t="s">
        <v>12</v>
      </c>
      <c r="E11" s="18" t="s">
        <v>26</v>
      </c>
      <c r="F11" s="18" t="s">
        <v>190</v>
      </c>
      <c r="G11" s="19">
        <v>46183</v>
      </c>
      <c r="H11" s="18" t="s">
        <v>128</v>
      </c>
      <c r="I11" s="20">
        <v>1967538480901</v>
      </c>
      <c r="J11" s="1" t="s">
        <v>129</v>
      </c>
      <c r="K11" s="18">
        <v>8</v>
      </c>
      <c r="M11" s="18">
        <v>171734</v>
      </c>
      <c r="N11" s="21">
        <f>A11</f>
        <v>46184</v>
      </c>
      <c r="O11" s="1" t="s">
        <v>10</v>
      </c>
      <c r="P11" s="23">
        <v>0.38541666666666669</v>
      </c>
      <c r="Q11" s="1" t="s">
        <v>130</v>
      </c>
      <c r="R11" s="18" t="s">
        <v>131</v>
      </c>
      <c r="S11" s="18" t="s">
        <v>132</v>
      </c>
      <c r="W11" s="1" t="str">
        <f t="shared" si="2"/>
        <v>PENDIENTE</v>
      </c>
      <c r="X11" s="21" t="str">
        <f t="shared" si="3"/>
        <v/>
      </c>
      <c r="AA11" s="18" t="s">
        <v>81</v>
      </c>
      <c r="AB11" s="18">
        <v>251828</v>
      </c>
      <c r="AC11" s="18">
        <v>98</v>
      </c>
      <c r="AD11" s="18">
        <v>560</v>
      </c>
      <c r="AF11" s="1" t="s">
        <v>133</v>
      </c>
      <c r="AG11" s="1">
        <v>109</v>
      </c>
      <c r="AH11" s="1">
        <v>5.22</v>
      </c>
      <c r="AI11" s="1">
        <v>159.72999999999999</v>
      </c>
      <c r="AJ11" s="1">
        <v>6.95</v>
      </c>
      <c r="AK11" s="1">
        <v>5.2</v>
      </c>
    </row>
    <row r="12" spans="1:39" s="11" customFormat="1" ht="31.2">
      <c r="A12" s="11" t="s">
        <v>20</v>
      </c>
      <c r="B12" s="11" t="s">
        <v>16</v>
      </c>
      <c r="C12" s="12" t="s">
        <v>207</v>
      </c>
      <c r="D12" s="11" t="s">
        <v>25</v>
      </c>
      <c r="E12" s="11" t="s">
        <v>18</v>
      </c>
      <c r="F12" s="11" t="s">
        <v>0</v>
      </c>
      <c r="G12" s="13" t="s">
        <v>2</v>
      </c>
      <c r="H12" s="11" t="s">
        <v>3</v>
      </c>
      <c r="I12" s="14" t="s">
        <v>5</v>
      </c>
      <c r="J12" s="12" t="s">
        <v>6</v>
      </c>
      <c r="K12" s="11" t="s">
        <v>29</v>
      </c>
      <c r="L12" s="12" t="s">
        <v>137</v>
      </c>
      <c r="M12" s="11" t="s">
        <v>7</v>
      </c>
      <c r="N12" s="11" t="s">
        <v>8</v>
      </c>
      <c r="O12" s="11" t="s">
        <v>9</v>
      </c>
      <c r="P12" s="11" t="s">
        <v>14</v>
      </c>
      <c r="Q12" s="11" t="s">
        <v>32</v>
      </c>
      <c r="R12" s="11" t="s">
        <v>42</v>
      </c>
      <c r="S12" s="11" t="s">
        <v>39</v>
      </c>
      <c r="T12" s="15" t="s">
        <v>21</v>
      </c>
      <c r="U12" s="15" t="s">
        <v>118</v>
      </c>
      <c r="V12" s="15" t="s">
        <v>103</v>
      </c>
      <c r="W12" s="15" t="s">
        <v>120</v>
      </c>
      <c r="X12" s="15" t="s">
        <v>73</v>
      </c>
      <c r="Y12" s="11" t="s">
        <v>122</v>
      </c>
      <c r="Z12" s="11" t="s">
        <v>121</v>
      </c>
      <c r="AA12" s="15"/>
      <c r="AB12" s="15" t="s">
        <v>67</v>
      </c>
      <c r="AC12" s="15" t="s">
        <v>68</v>
      </c>
      <c r="AD12" s="15" t="s">
        <v>69</v>
      </c>
      <c r="AE12" s="15" t="s">
        <v>117</v>
      </c>
      <c r="AF12" s="15" t="s">
        <v>39</v>
      </c>
      <c r="AG12" s="15" t="s">
        <v>76</v>
      </c>
      <c r="AH12" s="15" t="s">
        <v>77</v>
      </c>
      <c r="AI12" s="15" t="s">
        <v>78</v>
      </c>
      <c r="AJ12" s="15" t="s">
        <v>79</v>
      </c>
      <c r="AK12" s="15" t="s">
        <v>80</v>
      </c>
      <c r="AL12" s="11" t="s">
        <v>11</v>
      </c>
      <c r="AM12" s="11" t="s">
        <v>13</v>
      </c>
    </row>
    <row r="13" spans="1:39" s="18" customFormat="1" ht="31.2">
      <c r="A13" s="16">
        <v>46188</v>
      </c>
      <c r="B13" s="17" t="s">
        <v>23</v>
      </c>
      <c r="C13" s="17"/>
      <c r="D13" s="18" t="s">
        <v>17</v>
      </c>
      <c r="E13" s="18" t="s">
        <v>135</v>
      </c>
      <c r="F13" s="18" t="s">
        <v>143</v>
      </c>
      <c r="G13" s="19">
        <v>45912</v>
      </c>
      <c r="H13" s="18" t="s">
        <v>145</v>
      </c>
      <c r="I13" s="20">
        <v>1774748150916</v>
      </c>
      <c r="J13" s="1" t="s">
        <v>136</v>
      </c>
      <c r="K13" s="18" t="s">
        <v>58</v>
      </c>
      <c r="L13" s="18" t="s">
        <v>138</v>
      </c>
      <c r="M13" s="18">
        <v>203047</v>
      </c>
      <c r="N13" s="21">
        <v>46188</v>
      </c>
      <c r="O13" s="1" t="s">
        <v>10</v>
      </c>
      <c r="P13" s="23">
        <v>0.33333333333333331</v>
      </c>
      <c r="Q13" s="1" t="s">
        <v>144</v>
      </c>
      <c r="R13" s="18" t="s">
        <v>140</v>
      </c>
      <c r="S13" s="18" t="s">
        <v>141</v>
      </c>
      <c r="T13" s="1" t="s">
        <v>157</v>
      </c>
      <c r="V13" s="18" t="str">
        <f>F13</f>
        <v>A-RCA70-0707-2025</v>
      </c>
      <c r="W13" s="1" t="str">
        <f t="shared" si="2"/>
        <v>ENTREGADO</v>
      </c>
      <c r="X13" s="21" t="str">
        <f t="shared" si="3"/>
        <v/>
      </c>
      <c r="AB13" s="18">
        <v>5394</v>
      </c>
      <c r="AC13" s="18">
        <v>394</v>
      </c>
      <c r="AD13" s="18" t="s">
        <v>147</v>
      </c>
    </row>
    <row r="14" spans="1:39" s="18" customFormat="1" ht="31.2">
      <c r="A14" s="16">
        <v>46188</v>
      </c>
      <c r="B14" s="17" t="s">
        <v>23</v>
      </c>
      <c r="C14" s="17"/>
      <c r="D14" s="18" t="s">
        <v>17</v>
      </c>
      <c r="E14" s="18" t="s">
        <v>135</v>
      </c>
      <c r="F14" s="18" t="s">
        <v>148</v>
      </c>
      <c r="G14" s="19">
        <v>45912</v>
      </c>
      <c r="H14" s="18" t="s">
        <v>149</v>
      </c>
      <c r="I14" s="20">
        <v>2576336500901</v>
      </c>
      <c r="J14" s="1" t="s">
        <v>136</v>
      </c>
      <c r="K14" s="18" t="s">
        <v>58</v>
      </c>
      <c r="L14" s="18" t="s">
        <v>138</v>
      </c>
      <c r="N14" s="21">
        <f>A14</f>
        <v>46188</v>
      </c>
      <c r="O14" s="1" t="s">
        <v>10</v>
      </c>
      <c r="P14" s="23">
        <v>0.38541666666666669</v>
      </c>
      <c r="Q14" s="1" t="s">
        <v>150</v>
      </c>
      <c r="R14" s="18" t="s">
        <v>140</v>
      </c>
      <c r="S14" s="18" t="s">
        <v>141</v>
      </c>
      <c r="T14" s="1" t="s">
        <v>157</v>
      </c>
      <c r="V14" s="18" t="str">
        <f t="shared" ref="V14:V16" si="4">F14</f>
        <v>A-RCA70-0671-2025</v>
      </c>
      <c r="W14" s="1" t="str">
        <f t="shared" si="2"/>
        <v>ENTREGADO</v>
      </c>
      <c r="X14" s="21" t="str">
        <f t="shared" si="3"/>
        <v/>
      </c>
      <c r="AB14" s="18">
        <v>5492</v>
      </c>
      <c r="AC14" s="18">
        <v>492</v>
      </c>
      <c r="AD14" s="18" t="s">
        <v>142</v>
      </c>
    </row>
    <row r="15" spans="1:39" s="18" customFormat="1" ht="31.2">
      <c r="A15" s="16">
        <v>46188</v>
      </c>
      <c r="B15" s="17" t="s">
        <v>23</v>
      </c>
      <c r="C15" s="17"/>
      <c r="D15" s="18" t="s">
        <v>17</v>
      </c>
      <c r="E15" s="18" t="s">
        <v>135</v>
      </c>
      <c r="F15" s="18" t="s">
        <v>134</v>
      </c>
      <c r="G15" s="19">
        <v>45912</v>
      </c>
      <c r="H15" s="18" t="s">
        <v>146</v>
      </c>
      <c r="I15" s="20">
        <v>1758254081330</v>
      </c>
      <c r="J15" s="1" t="s">
        <v>136</v>
      </c>
      <c r="K15" s="18" t="s">
        <v>58</v>
      </c>
      <c r="L15" s="18" t="s">
        <v>138</v>
      </c>
      <c r="N15" s="21">
        <f>A15</f>
        <v>46188</v>
      </c>
      <c r="O15" s="1" t="s">
        <v>10</v>
      </c>
      <c r="P15" s="23">
        <v>0.4375</v>
      </c>
      <c r="Q15" s="1" t="s">
        <v>139</v>
      </c>
      <c r="R15" s="18" t="s">
        <v>140</v>
      </c>
      <c r="S15" s="18" t="s">
        <v>141</v>
      </c>
      <c r="T15" s="1" t="s">
        <v>157</v>
      </c>
      <c r="V15" s="18" t="str">
        <f t="shared" si="4"/>
        <v>A-RCA70-0819-2025</v>
      </c>
      <c r="W15" s="1" t="str">
        <f t="shared" si="2"/>
        <v>ENTREGADO</v>
      </c>
      <c r="X15" s="21" t="str">
        <f t="shared" si="3"/>
        <v/>
      </c>
      <c r="AB15" s="18">
        <v>5498</v>
      </c>
      <c r="AC15" s="18">
        <v>498</v>
      </c>
      <c r="AD15" s="18" t="s">
        <v>142</v>
      </c>
    </row>
    <row r="16" spans="1:39" s="18" customFormat="1" ht="27.6">
      <c r="A16" s="16">
        <v>46163</v>
      </c>
      <c r="B16" s="17" t="s">
        <v>100</v>
      </c>
      <c r="C16" s="17"/>
      <c r="D16" s="18" t="s">
        <v>54</v>
      </c>
      <c r="E16" s="18" t="s">
        <v>151</v>
      </c>
      <c r="F16" s="18" t="s">
        <v>152</v>
      </c>
      <c r="G16" s="19">
        <v>46163</v>
      </c>
      <c r="H16" s="18" t="s">
        <v>153</v>
      </c>
      <c r="I16" s="20">
        <v>2124184670901</v>
      </c>
      <c r="J16" s="26" t="s">
        <v>154</v>
      </c>
      <c r="K16" s="18">
        <v>1</v>
      </c>
      <c r="M16" s="18">
        <v>7090</v>
      </c>
      <c r="N16" s="16">
        <v>46135</v>
      </c>
      <c r="O16" s="18" t="s">
        <v>155</v>
      </c>
      <c r="P16" s="23"/>
      <c r="T16" s="27" t="s">
        <v>158</v>
      </c>
      <c r="V16" s="18" t="str">
        <f t="shared" si="4"/>
        <v>JAM-J-570-2026</v>
      </c>
      <c r="W16" s="1" t="str">
        <f t="shared" si="2"/>
        <v xml:space="preserve">ENTREGADO </v>
      </c>
      <c r="X16" s="21" t="str">
        <f t="shared" si="3"/>
        <v/>
      </c>
      <c r="AB16" s="18">
        <v>79703</v>
      </c>
      <c r="AC16" s="18">
        <v>243</v>
      </c>
      <c r="AD16" s="18">
        <v>649</v>
      </c>
      <c r="AL16" s="18" t="s">
        <v>156</v>
      </c>
      <c r="AM16" s="18" t="s">
        <v>152</v>
      </c>
    </row>
    <row r="17" spans="1:39" s="11" customFormat="1" ht="31.2">
      <c r="A17" s="11" t="s">
        <v>20</v>
      </c>
      <c r="B17" s="11" t="s">
        <v>16</v>
      </c>
      <c r="C17" s="12" t="s">
        <v>207</v>
      </c>
      <c r="D17" s="11" t="s">
        <v>25</v>
      </c>
      <c r="E17" s="11" t="s">
        <v>18</v>
      </c>
      <c r="F17" s="11" t="s">
        <v>0</v>
      </c>
      <c r="G17" s="13" t="s">
        <v>2</v>
      </c>
      <c r="H17" s="11" t="s">
        <v>3</v>
      </c>
      <c r="I17" s="14" t="s">
        <v>5</v>
      </c>
      <c r="J17" s="12" t="s">
        <v>6</v>
      </c>
      <c r="K17" s="11" t="s">
        <v>29</v>
      </c>
      <c r="L17" s="12" t="s">
        <v>137</v>
      </c>
      <c r="M17" s="11" t="s">
        <v>7</v>
      </c>
      <c r="N17" s="11" t="s">
        <v>8</v>
      </c>
      <c r="O17" s="11" t="s">
        <v>9</v>
      </c>
      <c r="P17" s="11" t="s">
        <v>14</v>
      </c>
      <c r="Q17" s="11" t="s">
        <v>32</v>
      </c>
      <c r="R17" s="11" t="s">
        <v>42</v>
      </c>
      <c r="S17" s="11" t="s">
        <v>39</v>
      </c>
      <c r="T17" s="15" t="s">
        <v>21</v>
      </c>
      <c r="U17" s="15" t="s">
        <v>118</v>
      </c>
      <c r="V17" s="15" t="s">
        <v>103</v>
      </c>
      <c r="W17" s="15" t="s">
        <v>120</v>
      </c>
      <c r="X17" s="15" t="s">
        <v>73</v>
      </c>
      <c r="Y17" s="11" t="s">
        <v>122</v>
      </c>
      <c r="Z17" s="11" t="s">
        <v>121</v>
      </c>
      <c r="AA17" s="15"/>
      <c r="AB17" s="15" t="s">
        <v>67</v>
      </c>
      <c r="AC17" s="15" t="s">
        <v>68</v>
      </c>
      <c r="AD17" s="15" t="s">
        <v>69</v>
      </c>
      <c r="AE17" s="15" t="s">
        <v>117</v>
      </c>
      <c r="AF17" s="15" t="s">
        <v>39</v>
      </c>
      <c r="AG17" s="15" t="s">
        <v>76</v>
      </c>
      <c r="AH17" s="15" t="s">
        <v>77</v>
      </c>
      <c r="AI17" s="15" t="s">
        <v>78</v>
      </c>
      <c r="AJ17" s="15" t="s">
        <v>79</v>
      </c>
      <c r="AK17" s="15" t="s">
        <v>80</v>
      </c>
      <c r="AL17" s="11" t="s">
        <v>11</v>
      </c>
      <c r="AM17" s="11" t="s">
        <v>13</v>
      </c>
    </row>
    <row r="18" spans="1:39" s="18" customFormat="1" ht="46.8">
      <c r="A18" s="16">
        <v>46190</v>
      </c>
      <c r="B18" s="17" t="s">
        <v>23</v>
      </c>
      <c r="C18" s="17"/>
      <c r="D18" s="18" t="s">
        <v>54</v>
      </c>
      <c r="E18" s="18" t="s">
        <v>19</v>
      </c>
      <c r="F18" s="18" t="s">
        <v>184</v>
      </c>
      <c r="G18" s="19">
        <v>46168</v>
      </c>
      <c r="H18" s="18" t="s">
        <v>185</v>
      </c>
      <c r="I18" s="20">
        <v>2613321470901</v>
      </c>
      <c r="J18" s="1"/>
      <c r="K18" s="18">
        <v>8</v>
      </c>
      <c r="N18" s="16">
        <v>46190</v>
      </c>
      <c r="O18" s="18" t="s">
        <v>10</v>
      </c>
      <c r="P18" s="22">
        <v>0.33333333333333331</v>
      </c>
      <c r="Q18" s="1" t="s">
        <v>186</v>
      </c>
      <c r="R18" s="18" t="s">
        <v>187</v>
      </c>
      <c r="S18" s="18" t="s">
        <v>132</v>
      </c>
      <c r="T18" s="1" t="s">
        <v>194</v>
      </c>
      <c r="U18" s="18" t="s">
        <v>195</v>
      </c>
      <c r="V18" s="18" t="s">
        <v>184</v>
      </c>
      <c r="W18" s="1" t="str">
        <f t="shared" si="2"/>
        <v>ENTREGADO</v>
      </c>
      <c r="X18" s="21" t="str">
        <f t="shared" si="3"/>
        <v/>
      </c>
    </row>
    <row r="19" spans="1:39" s="18" customFormat="1" ht="46.8">
      <c r="A19" s="16">
        <v>46190</v>
      </c>
      <c r="B19" s="17" t="s">
        <v>23</v>
      </c>
      <c r="C19" s="17"/>
      <c r="D19" s="18" t="s">
        <v>54</v>
      </c>
      <c r="E19" s="18" t="s">
        <v>135</v>
      </c>
      <c r="F19" s="18" t="s">
        <v>165</v>
      </c>
      <c r="G19" s="19">
        <v>46182</v>
      </c>
      <c r="H19" s="18" t="s">
        <v>166</v>
      </c>
      <c r="I19" s="20">
        <v>3148644150901</v>
      </c>
      <c r="J19" s="1" t="s">
        <v>167</v>
      </c>
      <c r="K19" s="18">
        <v>7</v>
      </c>
      <c r="N19" s="16">
        <v>46190</v>
      </c>
      <c r="O19" s="18" t="s">
        <v>164</v>
      </c>
      <c r="P19" s="23">
        <v>0.38541666666666669</v>
      </c>
      <c r="Q19" s="1" t="s">
        <v>168</v>
      </c>
      <c r="R19" s="18" t="s">
        <v>169</v>
      </c>
      <c r="S19" s="18" t="s">
        <v>132</v>
      </c>
      <c r="T19" s="1" t="s">
        <v>171</v>
      </c>
      <c r="U19" s="18" t="s">
        <v>172</v>
      </c>
      <c r="V19" s="18" t="s">
        <v>170</v>
      </c>
      <c r="W19" s="1" t="str">
        <f t="shared" si="2"/>
        <v>ENTREGADO</v>
      </c>
      <c r="X19" s="21" t="str">
        <f t="shared" si="3"/>
        <v/>
      </c>
      <c r="AB19" s="18">
        <v>214451</v>
      </c>
      <c r="AC19" s="18">
        <v>299</v>
      </c>
      <c r="AD19" s="18">
        <v>434</v>
      </c>
      <c r="AF19" s="18" t="s">
        <v>132</v>
      </c>
      <c r="AG19" s="18">
        <v>91.2</v>
      </c>
      <c r="AH19" s="18">
        <v>7.35</v>
      </c>
      <c r="AI19" s="18">
        <v>80.23</v>
      </c>
      <c r="AJ19" s="18">
        <v>19.73</v>
      </c>
      <c r="AK19" s="18">
        <v>2.6</v>
      </c>
    </row>
    <row r="20" spans="1:39" s="18" customFormat="1" ht="62.4">
      <c r="A20" s="16">
        <v>46190</v>
      </c>
      <c r="B20" s="28" t="s">
        <v>22</v>
      </c>
      <c r="C20" s="29" t="s">
        <v>204</v>
      </c>
      <c r="D20" s="18" t="s">
        <v>54</v>
      </c>
      <c r="E20" s="18" t="s">
        <v>135</v>
      </c>
      <c r="F20" s="18" t="s">
        <v>165</v>
      </c>
      <c r="G20" s="19">
        <v>46182</v>
      </c>
      <c r="H20" s="18" t="s">
        <v>166</v>
      </c>
      <c r="I20" s="20">
        <v>3148644150901</v>
      </c>
      <c r="J20" s="1" t="s">
        <v>167</v>
      </c>
      <c r="K20" s="18">
        <v>7</v>
      </c>
      <c r="N20" s="16">
        <v>46190</v>
      </c>
      <c r="O20" s="18" t="s">
        <v>164</v>
      </c>
      <c r="P20" s="23">
        <v>0.38541666666666669</v>
      </c>
      <c r="Q20" s="1" t="s">
        <v>168</v>
      </c>
      <c r="R20" s="18" t="s">
        <v>169</v>
      </c>
      <c r="S20" s="18" t="s">
        <v>132</v>
      </c>
      <c r="T20" s="1" t="s">
        <v>171</v>
      </c>
      <c r="U20" s="1" t="s">
        <v>205</v>
      </c>
      <c r="V20" s="1" t="s">
        <v>206</v>
      </c>
      <c r="W20" s="1" t="str">
        <f t="shared" si="2"/>
        <v>PENDIENTE</v>
      </c>
      <c r="X20" s="21" t="str">
        <f t="shared" si="3"/>
        <v xml:space="preserve">YA SE MANDO REGULARIZACIÓN, EN ESPERA PARA ENTREGAR </v>
      </c>
      <c r="AB20" s="18">
        <v>214451</v>
      </c>
      <c r="AC20" s="18">
        <v>299</v>
      </c>
      <c r="AD20" s="18">
        <v>434</v>
      </c>
      <c r="AF20" s="18" t="s">
        <v>132</v>
      </c>
      <c r="AG20" s="18">
        <v>91.2</v>
      </c>
      <c r="AH20" s="18">
        <v>7.35</v>
      </c>
      <c r="AI20" s="18">
        <v>80.23</v>
      </c>
      <c r="AJ20" s="18">
        <v>19.73</v>
      </c>
      <c r="AK20" s="18">
        <v>2.6</v>
      </c>
    </row>
    <row r="21" spans="1:39" s="18" customFormat="1" ht="83.4" customHeight="1">
      <c r="A21" s="16">
        <v>46190</v>
      </c>
      <c r="B21" s="18" t="s">
        <v>15</v>
      </c>
      <c r="C21" s="1" t="s">
        <v>196</v>
      </c>
      <c r="D21" s="18" t="s">
        <v>12</v>
      </c>
      <c r="E21" s="18" t="s">
        <v>26</v>
      </c>
      <c r="F21" s="18" t="s">
        <v>159</v>
      </c>
      <c r="G21" s="19">
        <v>46189</v>
      </c>
      <c r="H21" s="18" t="s">
        <v>160</v>
      </c>
      <c r="I21" s="20">
        <v>2602051090901</v>
      </c>
      <c r="J21" s="1" t="s">
        <v>163</v>
      </c>
      <c r="K21" s="18">
        <v>10</v>
      </c>
      <c r="N21" s="16">
        <v>46190</v>
      </c>
      <c r="O21" s="18" t="s">
        <v>164</v>
      </c>
      <c r="P21" s="23">
        <v>0.4375</v>
      </c>
      <c r="Q21" s="1" t="s">
        <v>162</v>
      </c>
      <c r="R21" s="18" t="s">
        <v>161</v>
      </c>
      <c r="S21" s="18" t="s">
        <v>132</v>
      </c>
      <c r="T21" s="1" t="s">
        <v>188</v>
      </c>
      <c r="U21" s="18" t="s">
        <v>173</v>
      </c>
      <c r="V21" s="18" t="s">
        <v>159</v>
      </c>
      <c r="W21" s="1" t="str">
        <f t="shared" si="2"/>
        <v xml:space="preserve">PENDIENTE </v>
      </c>
      <c r="X21" s="21" t="str">
        <f t="shared" si="3"/>
        <v>PRESENTAR 2DA HOJA DEL FORMULARIO RP</v>
      </c>
    </row>
    <row r="22" spans="1:39" s="11" customFormat="1" ht="31.2">
      <c r="A22" s="11" t="s">
        <v>20</v>
      </c>
      <c r="B22" s="11" t="s">
        <v>16</v>
      </c>
      <c r="C22" s="12" t="s">
        <v>207</v>
      </c>
      <c r="D22" s="11" t="s">
        <v>25</v>
      </c>
      <c r="E22" s="11" t="s">
        <v>18</v>
      </c>
      <c r="F22" s="11" t="s">
        <v>0</v>
      </c>
      <c r="G22" s="13" t="s">
        <v>2</v>
      </c>
      <c r="H22" s="11" t="s">
        <v>3</v>
      </c>
      <c r="I22" s="14" t="s">
        <v>5</v>
      </c>
      <c r="J22" s="12" t="s">
        <v>6</v>
      </c>
      <c r="K22" s="11" t="s">
        <v>29</v>
      </c>
      <c r="L22" s="12" t="s">
        <v>137</v>
      </c>
      <c r="M22" s="11" t="s">
        <v>7</v>
      </c>
      <c r="N22" s="11" t="s">
        <v>8</v>
      </c>
      <c r="O22" s="11" t="s">
        <v>9</v>
      </c>
      <c r="P22" s="11" t="s">
        <v>14</v>
      </c>
      <c r="Q22" s="11" t="s">
        <v>32</v>
      </c>
      <c r="R22" s="11" t="s">
        <v>42</v>
      </c>
      <c r="S22" s="11" t="s">
        <v>39</v>
      </c>
      <c r="T22" s="15" t="s">
        <v>21</v>
      </c>
      <c r="U22" s="15" t="s">
        <v>118</v>
      </c>
      <c r="V22" s="15" t="s">
        <v>103</v>
      </c>
      <c r="W22" s="15" t="s">
        <v>120</v>
      </c>
      <c r="X22" s="15" t="s">
        <v>73</v>
      </c>
      <c r="Y22" s="11" t="s">
        <v>122</v>
      </c>
      <c r="Z22" s="11" t="s">
        <v>121</v>
      </c>
      <c r="AA22" s="15"/>
      <c r="AB22" s="15" t="s">
        <v>67</v>
      </c>
      <c r="AC22" s="15" t="s">
        <v>68</v>
      </c>
      <c r="AD22" s="15" t="s">
        <v>69</v>
      </c>
      <c r="AE22" s="15" t="s">
        <v>117</v>
      </c>
      <c r="AF22" s="15" t="s">
        <v>39</v>
      </c>
      <c r="AG22" s="15" t="s">
        <v>76</v>
      </c>
      <c r="AH22" s="15" t="s">
        <v>77</v>
      </c>
      <c r="AI22" s="15" t="s">
        <v>78</v>
      </c>
      <c r="AJ22" s="15" t="s">
        <v>79</v>
      </c>
      <c r="AK22" s="15" t="s">
        <v>80</v>
      </c>
      <c r="AL22" s="11" t="s">
        <v>11</v>
      </c>
      <c r="AM22" s="11" t="s">
        <v>13</v>
      </c>
    </row>
    <row r="23" spans="1:39" s="18" customFormat="1" ht="31.2">
      <c r="A23" s="16">
        <v>46192</v>
      </c>
      <c r="B23" s="17" t="s">
        <v>23</v>
      </c>
      <c r="C23" s="30">
        <v>46196</v>
      </c>
      <c r="D23" s="18" t="s">
        <v>17</v>
      </c>
      <c r="E23" s="18" t="s">
        <v>135</v>
      </c>
      <c r="F23" s="18" t="s">
        <v>174</v>
      </c>
      <c r="G23" s="19">
        <v>46182</v>
      </c>
      <c r="H23" s="18" t="s">
        <v>181</v>
      </c>
      <c r="I23" s="20">
        <v>1932229490918</v>
      </c>
      <c r="J23" s="1" t="s">
        <v>175</v>
      </c>
      <c r="K23" s="18">
        <v>7</v>
      </c>
      <c r="L23" s="1" t="s">
        <v>176</v>
      </c>
      <c r="M23" s="1">
        <v>178250</v>
      </c>
      <c r="N23" s="16">
        <v>46192</v>
      </c>
      <c r="O23" s="18" t="s">
        <v>10</v>
      </c>
      <c r="P23" s="22">
        <v>0.33333333333333331</v>
      </c>
      <c r="Q23" s="1" t="s">
        <v>177</v>
      </c>
      <c r="R23" s="18" t="s">
        <v>178</v>
      </c>
      <c r="S23" s="18" t="s">
        <v>132</v>
      </c>
      <c r="T23" s="1" t="s">
        <v>208</v>
      </c>
      <c r="U23" s="18" t="s">
        <v>209</v>
      </c>
      <c r="W23" s="1" t="str">
        <f t="shared" si="2"/>
        <v>ENTREGADO</v>
      </c>
      <c r="X23" s="21">
        <f>IF(C23="","",C23)</f>
        <v>46196</v>
      </c>
    </row>
    <row r="24" spans="1:39" s="18" customFormat="1" ht="31.2">
      <c r="A24" s="16">
        <v>46192</v>
      </c>
      <c r="B24" s="17" t="s">
        <v>23</v>
      </c>
      <c r="C24" s="30">
        <v>46195</v>
      </c>
      <c r="D24" s="18" t="s">
        <v>54</v>
      </c>
      <c r="E24" s="18" t="s">
        <v>55</v>
      </c>
      <c r="F24" s="18" t="s">
        <v>179</v>
      </c>
      <c r="G24" s="19">
        <v>46063</v>
      </c>
      <c r="H24" s="18" t="s">
        <v>180</v>
      </c>
      <c r="I24" s="20">
        <v>1606765090901</v>
      </c>
      <c r="J24" s="1" t="s">
        <v>182</v>
      </c>
      <c r="K24" s="18" t="s">
        <v>58</v>
      </c>
      <c r="N24" s="16">
        <v>46192</v>
      </c>
      <c r="O24" s="18" t="s">
        <v>10</v>
      </c>
      <c r="P24" s="22">
        <v>0.4375</v>
      </c>
      <c r="Q24" s="1" t="s">
        <v>191</v>
      </c>
      <c r="R24" s="18" t="s">
        <v>192</v>
      </c>
      <c r="S24" s="18" t="s">
        <v>193</v>
      </c>
      <c r="T24" s="1" t="s">
        <v>197</v>
      </c>
      <c r="U24" s="18" t="s">
        <v>198</v>
      </c>
      <c r="V24" s="18" t="s">
        <v>179</v>
      </c>
      <c r="W24" s="1" t="str">
        <f t="shared" si="2"/>
        <v>ENTREGADO</v>
      </c>
      <c r="X24" s="21">
        <f t="shared" si="3"/>
        <v>46195</v>
      </c>
    </row>
    <row r="25" spans="1:39" s="11" customFormat="1" ht="31.2">
      <c r="A25" s="11" t="s">
        <v>20</v>
      </c>
      <c r="B25" s="11" t="s">
        <v>16</v>
      </c>
      <c r="C25" s="12" t="s">
        <v>207</v>
      </c>
      <c r="D25" s="11" t="s">
        <v>25</v>
      </c>
      <c r="E25" s="11" t="s">
        <v>18</v>
      </c>
      <c r="F25" s="11" t="s">
        <v>0</v>
      </c>
      <c r="G25" s="13" t="s">
        <v>2</v>
      </c>
      <c r="H25" s="11" t="s">
        <v>3</v>
      </c>
      <c r="I25" s="14" t="s">
        <v>5</v>
      </c>
      <c r="J25" s="12" t="s">
        <v>6</v>
      </c>
      <c r="K25" s="11" t="s">
        <v>29</v>
      </c>
      <c r="L25" s="12" t="s">
        <v>137</v>
      </c>
      <c r="M25" s="11" t="s">
        <v>7</v>
      </c>
      <c r="N25" s="11" t="s">
        <v>8</v>
      </c>
      <c r="O25" s="11" t="s">
        <v>9</v>
      </c>
      <c r="P25" s="11" t="s">
        <v>14</v>
      </c>
      <c r="Q25" s="11" t="s">
        <v>32</v>
      </c>
      <c r="R25" s="11" t="s">
        <v>42</v>
      </c>
      <c r="S25" s="11" t="s">
        <v>39</v>
      </c>
      <c r="T25" s="15" t="s">
        <v>21</v>
      </c>
      <c r="U25" s="15" t="s">
        <v>118</v>
      </c>
      <c r="V25" s="15" t="s">
        <v>103</v>
      </c>
      <c r="W25" s="15" t="s">
        <v>120</v>
      </c>
      <c r="X25" s="15" t="s">
        <v>73</v>
      </c>
      <c r="Y25" s="11" t="s">
        <v>122</v>
      </c>
      <c r="Z25" s="11" t="s">
        <v>121</v>
      </c>
      <c r="AA25" s="15"/>
      <c r="AB25" s="15" t="s">
        <v>67</v>
      </c>
      <c r="AC25" s="15" t="s">
        <v>68</v>
      </c>
      <c r="AD25" s="15" t="s">
        <v>69</v>
      </c>
      <c r="AE25" s="15" t="s">
        <v>117</v>
      </c>
      <c r="AF25" s="15" t="s">
        <v>39</v>
      </c>
      <c r="AG25" s="15" t="s">
        <v>76</v>
      </c>
      <c r="AH25" s="15" t="s">
        <v>77</v>
      </c>
      <c r="AI25" s="15" t="s">
        <v>78</v>
      </c>
      <c r="AJ25" s="15" t="s">
        <v>79</v>
      </c>
      <c r="AK25" s="15" t="s">
        <v>80</v>
      </c>
      <c r="AL25" s="11" t="s">
        <v>11</v>
      </c>
      <c r="AM25" s="11" t="s">
        <v>13</v>
      </c>
    </row>
    <row r="26" spans="1:39" s="18" customFormat="1" ht="31.2">
      <c r="A26" s="18" t="s">
        <v>199</v>
      </c>
      <c r="B26" s="18" t="s">
        <v>22</v>
      </c>
      <c r="D26" s="18" t="s">
        <v>54</v>
      </c>
      <c r="E26" s="18" t="s">
        <v>135</v>
      </c>
      <c r="F26" s="18" t="s">
        <v>200</v>
      </c>
      <c r="G26" s="19">
        <v>46174</v>
      </c>
      <c r="H26" s="18" t="s">
        <v>201</v>
      </c>
      <c r="I26" s="20">
        <v>2154418420901</v>
      </c>
      <c r="J26" s="1" t="s">
        <v>202</v>
      </c>
      <c r="K26" s="18">
        <v>8</v>
      </c>
      <c r="N26" s="16">
        <v>46196</v>
      </c>
      <c r="O26" s="18" t="s">
        <v>10</v>
      </c>
      <c r="P26" s="22">
        <v>0.33333333333333331</v>
      </c>
      <c r="Q26" s="1" t="s">
        <v>210</v>
      </c>
      <c r="R26" s="18" t="s">
        <v>203</v>
      </c>
      <c r="S26" s="18" t="s">
        <v>132</v>
      </c>
      <c r="W26" s="1" t="str">
        <f t="shared" si="2"/>
        <v>PENDIENTE</v>
      </c>
      <c r="X26" s="21" t="s">
        <v>211</v>
      </c>
    </row>
    <row r="27" spans="1:39" s="18" customFormat="1">
      <c r="A27" s="18" t="s">
        <v>199</v>
      </c>
      <c r="B27" s="18" t="s">
        <v>22</v>
      </c>
      <c r="G27" s="19"/>
      <c r="I27" s="20"/>
      <c r="J27" s="1"/>
      <c r="W27" s="1" t="str">
        <f t="shared" si="2"/>
        <v>PENDIENTE</v>
      </c>
      <c r="X27" s="21" t="s">
        <v>212</v>
      </c>
    </row>
    <row r="28" spans="1:39" s="18" customFormat="1">
      <c r="A28" s="18" t="s">
        <v>199</v>
      </c>
      <c r="B28" s="18" t="s">
        <v>22</v>
      </c>
      <c r="G28" s="19"/>
      <c r="I28" s="20"/>
      <c r="J28" s="1"/>
      <c r="W28" s="1" t="str">
        <f t="shared" si="2"/>
        <v>PENDIENTE</v>
      </c>
      <c r="X28" s="21" t="s">
        <v>213</v>
      </c>
    </row>
    <row r="29" spans="1:39" s="18" customFormat="1">
      <c r="G29" s="19"/>
      <c r="I29" s="20"/>
      <c r="J29" s="1"/>
    </row>
    <row r="30" spans="1:39" s="18" customFormat="1">
      <c r="G30" s="19"/>
      <c r="I30" s="20"/>
      <c r="J30" s="1"/>
    </row>
    <row r="31" spans="1:39" s="18" customFormat="1">
      <c r="G31" s="19"/>
      <c r="I31" s="20"/>
      <c r="J31" s="1"/>
    </row>
  </sheetData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6D4768-F2AA-F646-BDA1-2A8335A84C45}">
          <x14:formula1>
            <xm:f>TABLAS!$B$2:$B$3</xm:f>
          </x14:formula1>
          <xm:sqref>B4:C4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7C74D-20B7-E349-B2D5-3FEDA93922D1}">
  <sheetPr codeName="Hoja2"/>
  <dimension ref="A1:I31"/>
  <sheetViews>
    <sheetView topLeftCell="B19" zoomScale="85" zoomScaleNormal="85" workbookViewId="0">
      <selection activeCell="D38" sqref="D38"/>
    </sheetView>
  </sheetViews>
  <sheetFormatPr baseColWidth="10" defaultColWidth="11.19921875" defaultRowHeight="15.6"/>
  <cols>
    <col min="1" max="1" width="22.296875" style="31" customWidth="1"/>
    <col min="2" max="2" width="20.19921875" customWidth="1"/>
    <col min="3" max="3" width="36.296875" customWidth="1"/>
    <col min="4" max="4" width="20.796875" style="33" customWidth="1"/>
    <col min="6" max="6" width="18.296875" customWidth="1"/>
    <col min="7" max="7" width="23.59765625" customWidth="1"/>
    <col min="8" max="9" width="32.19921875" customWidth="1"/>
    <col min="11" max="11" width="23.19921875" customWidth="1"/>
  </cols>
  <sheetData>
    <row r="1" spans="1:9" ht="31.2" customHeight="1">
      <c r="A1" s="13" t="s">
        <v>2</v>
      </c>
      <c r="B1" s="11" t="s">
        <v>0</v>
      </c>
      <c r="C1" s="11" t="s">
        <v>3</v>
      </c>
      <c r="D1" s="12" t="s">
        <v>6</v>
      </c>
      <c r="E1" s="11" t="s">
        <v>29</v>
      </c>
      <c r="F1" s="12" t="s">
        <v>137</v>
      </c>
      <c r="G1" s="11" t="s">
        <v>20</v>
      </c>
      <c r="H1" s="15" t="s">
        <v>73</v>
      </c>
      <c r="I1" s="15" t="s">
        <v>21</v>
      </c>
    </row>
    <row r="2" spans="1:9" ht="46.8" customHeight="1">
      <c r="A2" s="19">
        <v>46071</v>
      </c>
      <c r="B2" s="18" t="s">
        <v>34</v>
      </c>
      <c r="C2" s="1" t="s">
        <v>35</v>
      </c>
      <c r="D2" s="1"/>
      <c r="E2" s="18"/>
      <c r="F2" s="18"/>
      <c r="G2" s="16">
        <v>46147</v>
      </c>
      <c r="H2" s="21" t="e">
        <f>IF(#REF!="","",#REF!)</f>
        <v>#REF!</v>
      </c>
      <c r="I2" s="1" t="s">
        <v>36</v>
      </c>
    </row>
    <row r="3" spans="1:9" ht="31.2" customHeight="1">
      <c r="A3" s="19">
        <v>46168</v>
      </c>
      <c r="B3" s="18" t="s">
        <v>30</v>
      </c>
      <c r="C3" s="18" t="s">
        <v>27</v>
      </c>
      <c r="D3" s="1" t="s">
        <v>28</v>
      </c>
      <c r="E3" s="1">
        <v>10</v>
      </c>
      <c r="F3" s="1"/>
      <c r="G3" s="16">
        <v>46170</v>
      </c>
      <c r="H3" s="21" t="e">
        <f t="shared" ref="H3" si="0">IF(#REF!="","",#REF!)</f>
        <v>#REF!</v>
      </c>
      <c r="I3" s="1" t="s">
        <v>31</v>
      </c>
    </row>
    <row r="4" spans="1:9" ht="46.8" customHeight="1">
      <c r="A4" s="19">
        <v>46093</v>
      </c>
      <c r="B4" s="18" t="s">
        <v>1</v>
      </c>
      <c r="C4" s="18" t="s">
        <v>4</v>
      </c>
      <c r="D4" s="1"/>
      <c r="E4" s="18">
        <v>5</v>
      </c>
      <c r="F4" s="18"/>
      <c r="G4" s="16">
        <v>46178</v>
      </c>
      <c r="H4" s="21" t="e">
        <f>IF(#REF!="","",#REF!)</f>
        <v>#REF!</v>
      </c>
      <c r="I4" s="1" t="s">
        <v>24</v>
      </c>
    </row>
    <row r="5" spans="1:9" ht="31.2" customHeight="1">
      <c r="A5" s="13" t="s">
        <v>2</v>
      </c>
      <c r="B5" s="11" t="s">
        <v>0</v>
      </c>
      <c r="C5" s="11" t="s">
        <v>3</v>
      </c>
      <c r="D5" s="12" t="s">
        <v>6</v>
      </c>
      <c r="E5" s="11" t="s">
        <v>29</v>
      </c>
      <c r="F5" s="12" t="s">
        <v>137</v>
      </c>
      <c r="G5" s="11" t="s">
        <v>20</v>
      </c>
      <c r="H5" s="15" t="s">
        <v>73</v>
      </c>
      <c r="I5" s="15" t="s">
        <v>21</v>
      </c>
    </row>
    <row r="6" spans="1:9" ht="41.4" customHeight="1">
      <c r="A6" s="25">
        <v>46181</v>
      </c>
      <c r="B6" s="1" t="s">
        <v>49</v>
      </c>
      <c r="C6" s="1" t="s">
        <v>50</v>
      </c>
      <c r="D6" s="1" t="s">
        <v>51</v>
      </c>
      <c r="E6" s="1">
        <v>10</v>
      </c>
      <c r="F6" s="1"/>
      <c r="G6" s="21">
        <v>46182</v>
      </c>
      <c r="H6" s="21" t="e">
        <f t="shared" ref="H6:H24" si="1">IF(#REF!="","",#REF!)</f>
        <v>#REF!</v>
      </c>
      <c r="I6" s="3" t="s">
        <v>101</v>
      </c>
    </row>
    <row r="7" spans="1:9" ht="31.2" customHeight="1">
      <c r="A7" s="25">
        <v>46066</v>
      </c>
      <c r="B7" s="1" t="s">
        <v>56</v>
      </c>
      <c r="C7" s="1" t="s">
        <v>71</v>
      </c>
      <c r="D7" s="1" t="s">
        <v>57</v>
      </c>
      <c r="E7" s="1" t="s">
        <v>58</v>
      </c>
      <c r="F7" s="1"/>
      <c r="G7" s="21">
        <v>46182</v>
      </c>
      <c r="H7" s="21" t="e">
        <f t="shared" ref="H7:H25" si="2">IF(#REF!="","",#REF!)</f>
        <v>#REF!</v>
      </c>
      <c r="I7" s="1" t="s">
        <v>72</v>
      </c>
    </row>
    <row r="8" spans="1:9" ht="31.2" customHeight="1">
      <c r="A8" s="19">
        <v>46181</v>
      </c>
      <c r="B8" s="1" t="s">
        <v>59</v>
      </c>
      <c r="C8" s="1" t="s">
        <v>60</v>
      </c>
      <c r="D8" s="1" t="s">
        <v>61</v>
      </c>
      <c r="E8" s="18">
        <v>5</v>
      </c>
      <c r="F8" s="1" t="s">
        <v>123</v>
      </c>
      <c r="G8" s="21">
        <v>46182</v>
      </c>
      <c r="H8" s="21" t="e">
        <f t="shared" ref="H8:H26" si="3">IF(#REF!="","",#REF!)</f>
        <v>#REF!</v>
      </c>
      <c r="I8" s="18" t="s">
        <v>83</v>
      </c>
    </row>
    <row r="9" spans="1:9" ht="31.2" customHeight="1">
      <c r="A9" s="13" t="s">
        <v>2</v>
      </c>
      <c r="B9" s="11" t="s">
        <v>0</v>
      </c>
      <c r="C9" s="11" t="s">
        <v>3</v>
      </c>
      <c r="D9" s="12" t="s">
        <v>6</v>
      </c>
      <c r="E9" s="11" t="s">
        <v>29</v>
      </c>
      <c r="F9" s="12" t="s">
        <v>137</v>
      </c>
      <c r="G9" s="11" t="s">
        <v>20</v>
      </c>
      <c r="H9" s="15" t="s">
        <v>73</v>
      </c>
      <c r="I9" s="15" t="s">
        <v>21</v>
      </c>
    </row>
    <row r="10" spans="1:9" ht="31.2" customHeight="1">
      <c r="A10" s="19">
        <v>46183</v>
      </c>
      <c r="B10" s="18" t="s">
        <v>189</v>
      </c>
      <c r="C10" s="18" t="s">
        <v>124</v>
      </c>
      <c r="D10" s="1" t="s">
        <v>125</v>
      </c>
      <c r="E10" s="18">
        <v>6</v>
      </c>
      <c r="F10" s="18"/>
      <c r="G10" s="16">
        <v>46184</v>
      </c>
      <c r="H10" s="21" t="e">
        <f t="shared" ref="H10:H28" si="4">IF(#REF!="","",#REF!)</f>
        <v>#REF!</v>
      </c>
      <c r="I10" s="18"/>
    </row>
    <row r="11" spans="1:9" ht="31.2" customHeight="1">
      <c r="A11" s="19">
        <v>46183</v>
      </c>
      <c r="B11" s="18" t="s">
        <v>190</v>
      </c>
      <c r="C11" s="18" t="s">
        <v>128</v>
      </c>
      <c r="D11" s="1" t="s">
        <v>129</v>
      </c>
      <c r="E11" s="18">
        <v>8</v>
      </c>
      <c r="F11" s="18"/>
      <c r="G11" s="16">
        <v>46184</v>
      </c>
      <c r="H11" s="21" t="e">
        <f t="shared" ref="H11:H29" si="5">IF(#REF!="","",#REF!)</f>
        <v>#REF!</v>
      </c>
      <c r="I11" s="18"/>
    </row>
    <row r="12" spans="1:9" ht="31.2" customHeight="1">
      <c r="A12" s="13" t="s">
        <v>2</v>
      </c>
      <c r="B12" s="11" t="s">
        <v>0</v>
      </c>
      <c r="C12" s="11" t="s">
        <v>3</v>
      </c>
      <c r="D12" s="12" t="s">
        <v>6</v>
      </c>
      <c r="E12" s="11" t="s">
        <v>29</v>
      </c>
      <c r="F12" s="12" t="s">
        <v>137</v>
      </c>
      <c r="G12" s="11" t="s">
        <v>20</v>
      </c>
      <c r="H12" s="15" t="s">
        <v>73</v>
      </c>
      <c r="I12" s="15" t="s">
        <v>21</v>
      </c>
    </row>
    <row r="13" spans="1:9" ht="31.2" customHeight="1">
      <c r="A13" s="19">
        <v>45912</v>
      </c>
      <c r="B13" s="18" t="s">
        <v>143</v>
      </c>
      <c r="C13" s="18" t="s">
        <v>145</v>
      </c>
      <c r="D13" s="1" t="s">
        <v>136</v>
      </c>
      <c r="E13" s="18" t="s">
        <v>58</v>
      </c>
      <c r="F13" s="18" t="s">
        <v>138</v>
      </c>
      <c r="G13" s="16">
        <v>46188</v>
      </c>
      <c r="H13" s="21" t="e">
        <f t="shared" ref="H13:H31" si="6">IF(#REF!="","",#REF!)</f>
        <v>#REF!</v>
      </c>
      <c r="I13" s="1" t="s">
        <v>157</v>
      </c>
    </row>
    <row r="14" spans="1:9" ht="31.2" customHeight="1">
      <c r="A14" s="19">
        <v>45912</v>
      </c>
      <c r="B14" s="18" t="s">
        <v>148</v>
      </c>
      <c r="C14" s="18" t="s">
        <v>149</v>
      </c>
      <c r="D14" s="1" t="s">
        <v>136</v>
      </c>
      <c r="E14" s="18" t="s">
        <v>58</v>
      </c>
      <c r="F14" s="18" t="s">
        <v>138</v>
      </c>
      <c r="G14" s="16">
        <v>46188</v>
      </c>
      <c r="H14" s="21" t="e">
        <f t="shared" ref="H14:H32" si="7">IF(#REF!="","",#REF!)</f>
        <v>#REF!</v>
      </c>
      <c r="I14" s="1" t="s">
        <v>157</v>
      </c>
    </row>
    <row r="15" spans="1:9" ht="31.2" customHeight="1">
      <c r="A15" s="19">
        <v>45912</v>
      </c>
      <c r="B15" s="18" t="s">
        <v>134</v>
      </c>
      <c r="C15" s="18" t="s">
        <v>146</v>
      </c>
      <c r="D15" s="1" t="s">
        <v>136</v>
      </c>
      <c r="E15" s="18" t="s">
        <v>58</v>
      </c>
      <c r="F15" s="18" t="s">
        <v>138</v>
      </c>
      <c r="G15" s="16">
        <v>46188</v>
      </c>
      <c r="H15" s="21" t="e">
        <f t="shared" ref="H15:H33" si="8">IF(#REF!="","",#REF!)</f>
        <v>#REF!</v>
      </c>
      <c r="I15" s="1" t="s">
        <v>157</v>
      </c>
    </row>
    <row r="16" spans="1:9" ht="27.6" customHeight="1">
      <c r="A16" s="19">
        <v>46163</v>
      </c>
      <c r="B16" s="18" t="s">
        <v>152</v>
      </c>
      <c r="C16" s="18" t="s">
        <v>153</v>
      </c>
      <c r="D16" s="26" t="s">
        <v>154</v>
      </c>
      <c r="E16" s="18">
        <v>1</v>
      </c>
      <c r="F16" s="18"/>
      <c r="G16" s="16">
        <v>46163</v>
      </c>
      <c r="H16" s="21" t="e">
        <f t="shared" ref="H16:H34" si="9">IF(#REF!="","",#REF!)</f>
        <v>#REF!</v>
      </c>
      <c r="I16" s="27" t="s">
        <v>158</v>
      </c>
    </row>
    <row r="17" spans="1:9" ht="31.2" customHeight="1">
      <c r="A17" s="13" t="s">
        <v>2</v>
      </c>
      <c r="B17" s="11" t="s">
        <v>0</v>
      </c>
      <c r="C17" s="11" t="s">
        <v>3</v>
      </c>
      <c r="D17" s="12" t="s">
        <v>6</v>
      </c>
      <c r="E17" s="11" t="s">
        <v>29</v>
      </c>
      <c r="F17" s="12" t="s">
        <v>137</v>
      </c>
      <c r="G17" s="11" t="s">
        <v>20</v>
      </c>
      <c r="H17" s="15" t="s">
        <v>73</v>
      </c>
      <c r="I17" s="15" t="s">
        <v>21</v>
      </c>
    </row>
    <row r="18" spans="1:9" ht="46.8" customHeight="1">
      <c r="A18" s="19">
        <v>46168</v>
      </c>
      <c r="B18" s="18" t="s">
        <v>184</v>
      </c>
      <c r="C18" s="18" t="s">
        <v>185</v>
      </c>
      <c r="D18" s="1"/>
      <c r="E18" s="18">
        <v>8</v>
      </c>
      <c r="F18" s="18"/>
      <c r="G18" s="16">
        <v>46190</v>
      </c>
      <c r="H18" s="21" t="e">
        <f t="shared" ref="H18:H36" si="10">IF(#REF!="","",#REF!)</f>
        <v>#REF!</v>
      </c>
      <c r="I18" s="1" t="s">
        <v>194</v>
      </c>
    </row>
    <row r="19" spans="1:9" ht="46.8" customHeight="1">
      <c r="A19" s="19">
        <v>46182</v>
      </c>
      <c r="B19" s="18" t="s">
        <v>165</v>
      </c>
      <c r="C19" s="18" t="s">
        <v>166</v>
      </c>
      <c r="D19" s="1" t="s">
        <v>167</v>
      </c>
      <c r="E19" s="18">
        <v>7</v>
      </c>
      <c r="F19" s="18"/>
      <c r="G19" s="16">
        <v>46190</v>
      </c>
      <c r="H19" s="21" t="e">
        <f t="shared" ref="H19:H37" si="11">IF(#REF!="","",#REF!)</f>
        <v>#REF!</v>
      </c>
      <c r="I19" s="1" t="s">
        <v>171</v>
      </c>
    </row>
    <row r="20" spans="1:9" ht="62.4" customHeight="1">
      <c r="A20" s="19">
        <v>46182</v>
      </c>
      <c r="B20" s="18" t="s">
        <v>165</v>
      </c>
      <c r="C20" s="18" t="s">
        <v>166</v>
      </c>
      <c r="D20" s="1" t="s">
        <v>167</v>
      </c>
      <c r="E20" s="18">
        <v>7</v>
      </c>
      <c r="F20" s="18"/>
      <c r="G20" s="16">
        <v>46190</v>
      </c>
      <c r="H20" s="21" t="e">
        <f t="shared" ref="H20:H38" si="12">IF(#REF!="","",#REF!)</f>
        <v>#REF!</v>
      </c>
      <c r="I20" s="1" t="s">
        <v>171</v>
      </c>
    </row>
    <row r="21" spans="1:9" ht="83.4" customHeight="1">
      <c r="A21" s="19">
        <v>46189</v>
      </c>
      <c r="B21" s="18" t="s">
        <v>159</v>
      </c>
      <c r="C21" s="18" t="s">
        <v>160</v>
      </c>
      <c r="D21" s="1" t="s">
        <v>163</v>
      </c>
      <c r="E21" s="18">
        <v>10</v>
      </c>
      <c r="F21" s="18"/>
      <c r="G21" s="16">
        <v>46190</v>
      </c>
      <c r="H21" s="21" t="e">
        <f t="shared" ref="H21:H39" si="13">IF(#REF!="","",#REF!)</f>
        <v>#REF!</v>
      </c>
      <c r="I21" s="1" t="s">
        <v>188</v>
      </c>
    </row>
    <row r="22" spans="1:9" ht="31.2" customHeight="1">
      <c r="A22" s="13" t="s">
        <v>2</v>
      </c>
      <c r="B22" s="11" t="s">
        <v>0</v>
      </c>
      <c r="C22" s="11" t="s">
        <v>3</v>
      </c>
      <c r="D22" s="12" t="s">
        <v>6</v>
      </c>
      <c r="E22" s="11" t="s">
        <v>29</v>
      </c>
      <c r="F22" s="12" t="s">
        <v>137</v>
      </c>
      <c r="G22" s="11" t="s">
        <v>20</v>
      </c>
      <c r="H22" s="15" t="s">
        <v>73</v>
      </c>
      <c r="I22" s="15" t="s">
        <v>21</v>
      </c>
    </row>
    <row r="23" spans="1:9" ht="31.2" customHeight="1">
      <c r="A23" s="19">
        <v>46182</v>
      </c>
      <c r="B23" s="18" t="s">
        <v>174</v>
      </c>
      <c r="C23" s="18" t="s">
        <v>181</v>
      </c>
      <c r="D23" s="1" t="s">
        <v>175</v>
      </c>
      <c r="E23" s="18">
        <v>7</v>
      </c>
      <c r="F23" s="1" t="s">
        <v>176</v>
      </c>
      <c r="G23" s="16">
        <v>46192</v>
      </c>
      <c r="H23" s="21" t="e">
        <f>IF(#REF!="","",#REF!)</f>
        <v>#REF!</v>
      </c>
      <c r="I23" s="1" t="s">
        <v>208</v>
      </c>
    </row>
    <row r="24" spans="1:9" ht="31.2" customHeight="1">
      <c r="A24" s="19">
        <v>46063</v>
      </c>
      <c r="B24" s="18" t="s">
        <v>179</v>
      </c>
      <c r="C24" s="18" t="s">
        <v>180</v>
      </c>
      <c r="D24" s="1" t="s">
        <v>182</v>
      </c>
      <c r="E24" s="18" t="s">
        <v>58</v>
      </c>
      <c r="F24" s="18"/>
      <c r="G24" s="16">
        <v>46192</v>
      </c>
      <c r="H24" s="21" t="e">
        <f t="shared" ref="H24:H42" si="14">IF(#REF!="","",#REF!)</f>
        <v>#REF!</v>
      </c>
      <c r="I24" s="1" t="s">
        <v>197</v>
      </c>
    </row>
    <row r="25" spans="1:9" ht="31.2" customHeight="1">
      <c r="A25" s="13" t="s">
        <v>2</v>
      </c>
      <c r="B25" s="11" t="s">
        <v>0</v>
      </c>
      <c r="C25" s="11" t="s">
        <v>3</v>
      </c>
      <c r="D25" s="12" t="s">
        <v>6</v>
      </c>
      <c r="E25" s="11" t="s">
        <v>29</v>
      </c>
      <c r="F25" s="12" t="s">
        <v>137</v>
      </c>
      <c r="G25" s="11" t="s">
        <v>20</v>
      </c>
      <c r="H25" s="15" t="s">
        <v>73</v>
      </c>
      <c r="I25" s="15" t="s">
        <v>21</v>
      </c>
    </row>
    <row r="26" spans="1:9" ht="31.2" customHeight="1">
      <c r="A26" s="19">
        <v>46174</v>
      </c>
      <c r="B26" s="18" t="s">
        <v>200</v>
      </c>
      <c r="C26" s="18" t="s">
        <v>201</v>
      </c>
      <c r="D26" s="1" t="s">
        <v>202</v>
      </c>
      <c r="E26" s="18">
        <v>8</v>
      </c>
      <c r="F26" s="18"/>
      <c r="G26" s="18" t="s">
        <v>199</v>
      </c>
      <c r="H26" s="21" t="s">
        <v>211</v>
      </c>
      <c r="I26" s="18"/>
    </row>
    <row r="27" spans="1:9">
      <c r="A27" s="19"/>
      <c r="B27" s="18"/>
      <c r="C27" s="18"/>
      <c r="D27" s="1"/>
      <c r="E27" s="18"/>
      <c r="F27" s="18"/>
      <c r="G27" s="18" t="s">
        <v>199</v>
      </c>
      <c r="H27" s="21" t="s">
        <v>212</v>
      </c>
      <c r="I27" s="18"/>
    </row>
    <row r="28" spans="1:9">
      <c r="A28" s="19"/>
      <c r="B28" s="18"/>
      <c r="C28" s="18"/>
      <c r="D28" s="1"/>
      <c r="E28" s="18"/>
      <c r="F28" s="18"/>
      <c r="G28" s="18" t="s">
        <v>199</v>
      </c>
      <c r="H28" s="21" t="s">
        <v>213</v>
      </c>
      <c r="I28" s="18"/>
    </row>
    <row r="29" spans="1:9">
      <c r="A29" s="19"/>
      <c r="B29" s="18"/>
      <c r="C29" s="18"/>
      <c r="D29" s="1"/>
      <c r="E29" s="18"/>
      <c r="F29" s="18"/>
      <c r="G29" s="18"/>
      <c r="H29" s="18"/>
      <c r="I29" s="18"/>
    </row>
    <row r="30" spans="1:9">
      <c r="A30" s="19"/>
      <c r="B30" s="18"/>
      <c r="C30" s="18"/>
      <c r="D30" s="1"/>
      <c r="E30" s="18"/>
      <c r="F30" s="18"/>
      <c r="G30" s="18"/>
      <c r="H30" s="18"/>
      <c r="I30" s="18"/>
    </row>
    <row r="31" spans="1:9">
      <c r="A31" s="19"/>
      <c r="B31" s="18"/>
      <c r="C31" s="18"/>
      <c r="D31" s="1"/>
      <c r="E31" s="18"/>
      <c r="F31" s="18"/>
      <c r="G31" s="18"/>
      <c r="H31" s="18"/>
      <c r="I31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9CA81-AF38-1749-B2A7-2C8F8297BA71}">
  <sheetPr codeName="Hoja3"/>
  <dimension ref="A1:G32"/>
  <sheetViews>
    <sheetView tabSelected="1" zoomScale="70" zoomScaleNormal="70" workbookViewId="0">
      <selection activeCell="F6" sqref="F6"/>
    </sheetView>
  </sheetViews>
  <sheetFormatPr baseColWidth="10" defaultRowHeight="15.6"/>
  <cols>
    <col min="1" max="1" width="10.796875" style="1"/>
    <col min="2" max="2" width="17.19921875" style="1" customWidth="1"/>
    <col min="3" max="7" width="10.796875" style="1"/>
  </cols>
  <sheetData>
    <row r="1" spans="1:7" ht="23.4">
      <c r="A1" s="34" t="s">
        <v>104</v>
      </c>
      <c r="B1" s="35"/>
      <c r="C1" s="35"/>
      <c r="D1" s="35"/>
      <c r="E1" s="35"/>
      <c r="F1" s="35"/>
      <c r="G1" s="36"/>
    </row>
    <row r="2" spans="1:7" ht="41.4">
      <c r="A2" s="7" t="s">
        <v>86</v>
      </c>
      <c r="B2" s="8" t="s">
        <v>87</v>
      </c>
      <c r="C2" s="8" t="s">
        <v>88</v>
      </c>
      <c r="D2" s="8" t="s">
        <v>89</v>
      </c>
      <c r="E2" s="8" t="s">
        <v>29</v>
      </c>
      <c r="F2" s="8" t="s">
        <v>90</v>
      </c>
      <c r="G2" s="7" t="s">
        <v>105</v>
      </c>
    </row>
    <row r="3" spans="1:7" ht="69">
      <c r="A3" s="2">
        <v>1</v>
      </c>
      <c r="B3" s="9" t="s">
        <v>91</v>
      </c>
      <c r="C3" s="4" t="s">
        <v>106</v>
      </c>
      <c r="D3" s="5" t="s">
        <v>107</v>
      </c>
      <c r="E3" s="4">
        <v>3</v>
      </c>
      <c r="F3" s="5"/>
      <c r="G3" s="9">
        <v>46174</v>
      </c>
    </row>
    <row r="4" spans="1:7" ht="55.2">
      <c r="A4" s="2">
        <v>2</v>
      </c>
      <c r="B4" s="9" t="s">
        <v>92</v>
      </c>
      <c r="C4" s="4" t="s">
        <v>108</v>
      </c>
      <c r="D4" s="5" t="s">
        <v>109</v>
      </c>
      <c r="E4" s="4">
        <v>10</v>
      </c>
      <c r="F4" s="5"/>
      <c r="G4" s="9">
        <v>46174</v>
      </c>
    </row>
    <row r="5" spans="1:7" ht="27.6">
      <c r="A5" s="2">
        <v>4</v>
      </c>
      <c r="B5" s="9" t="s">
        <v>93</v>
      </c>
      <c r="C5" s="4" t="s">
        <v>94</v>
      </c>
      <c r="D5" s="5" t="s">
        <v>110</v>
      </c>
      <c r="E5" s="4">
        <v>10</v>
      </c>
      <c r="F5" s="5"/>
      <c r="G5" s="9">
        <v>46176</v>
      </c>
    </row>
    <row r="6" spans="1:7" ht="55.2">
      <c r="A6" s="2">
        <v>5</v>
      </c>
      <c r="B6" s="9" t="s">
        <v>95</v>
      </c>
      <c r="C6" s="4" t="s">
        <v>96</v>
      </c>
      <c r="D6" s="5" t="s">
        <v>111</v>
      </c>
      <c r="E6" s="4">
        <v>10</v>
      </c>
      <c r="F6" s="5"/>
      <c r="G6" s="9">
        <v>46176</v>
      </c>
    </row>
    <row r="7" spans="1:7" ht="55.2">
      <c r="A7" s="2">
        <v>6</v>
      </c>
      <c r="B7" s="9" t="s">
        <v>97</v>
      </c>
      <c r="C7" s="4" t="s">
        <v>112</v>
      </c>
      <c r="D7" s="5" t="s">
        <v>113</v>
      </c>
      <c r="E7" s="4"/>
      <c r="F7" s="5"/>
      <c r="G7" s="9">
        <v>46176</v>
      </c>
    </row>
    <row r="8" spans="1:7" ht="55.2">
      <c r="A8" s="2">
        <v>7</v>
      </c>
      <c r="B8" s="9" t="s">
        <v>98</v>
      </c>
      <c r="C8" s="4" t="s">
        <v>99</v>
      </c>
      <c r="D8" s="6" t="s">
        <v>114</v>
      </c>
      <c r="E8" s="2" t="s">
        <v>58</v>
      </c>
      <c r="F8" s="2"/>
      <c r="G8" s="10">
        <v>46178</v>
      </c>
    </row>
    <row r="9" spans="1:7" ht="41.4">
      <c r="A9" s="2">
        <v>8</v>
      </c>
      <c r="B9" s="9" t="s">
        <v>1</v>
      </c>
      <c r="C9" s="4" t="s">
        <v>115</v>
      </c>
      <c r="D9" s="6" t="s">
        <v>116</v>
      </c>
      <c r="E9" s="4">
        <v>5</v>
      </c>
      <c r="F9" s="2"/>
      <c r="G9" s="10">
        <v>46178</v>
      </c>
    </row>
    <row r="10" spans="1:7" ht="41.4">
      <c r="A10" s="2">
        <v>12</v>
      </c>
      <c r="B10" s="9" t="str">
        <f>Hoja1!F6</f>
        <v>ANTND10-1500626</v>
      </c>
      <c r="C10" s="4" t="str">
        <f>Hoja1!H6</f>
        <v>DIAZ MENCHO, ARTEMIO</v>
      </c>
      <c r="D10" s="6" t="str">
        <f>Hoja1!J6</f>
        <v>CALLEJON 10 8A 0-19</v>
      </c>
      <c r="E10" s="6">
        <f>Hoja1!K6</f>
        <v>10</v>
      </c>
      <c r="F10" s="6">
        <f>Hoja1!L6</f>
        <v>0</v>
      </c>
      <c r="G10" s="10">
        <f>Hoja1!N6</f>
        <v>46182</v>
      </c>
    </row>
    <row r="11" spans="1:7" ht="41.4">
      <c r="A11" s="2">
        <v>13</v>
      </c>
      <c r="B11" s="9" t="str">
        <f>Hoja1!F7</f>
        <v>I-13-1172-2022</v>
      </c>
      <c r="C11" s="4" t="str">
        <f>Hoja1!H7</f>
        <v>MORALES RIVERA, MANOLO</v>
      </c>
      <c r="D11" s="6" t="str">
        <f>Hoja1!J7</f>
        <v xml:space="preserve">CANTON CHICHIGUITAN </v>
      </c>
      <c r="E11" s="6" t="str">
        <f>Hoja1!K7</f>
        <v>RUR</v>
      </c>
      <c r="F11" s="6">
        <f>Hoja1!L7</f>
        <v>0</v>
      </c>
      <c r="G11" s="10">
        <f>Hoja1!N7</f>
        <v>46182</v>
      </c>
    </row>
    <row r="12" spans="1:7" ht="69">
      <c r="A12" s="2">
        <v>14</v>
      </c>
      <c r="B12" s="9" t="str">
        <f>Hoja1!F8</f>
        <v>DMNG5-100626</v>
      </c>
      <c r="C12" s="4" t="str">
        <f>Hoja1!H8</f>
        <v>GOMEZ, SHIRLY MARITZABETH VILLAGRAN AGUILAR DE</v>
      </c>
      <c r="D12" s="6" t="str">
        <f>Hoja1!J8</f>
        <v>5 AV. 1-23</v>
      </c>
      <c r="E12" s="6">
        <f>Hoja1!K8</f>
        <v>5</v>
      </c>
      <c r="F12" s="6" t="str">
        <f>Hoja1!L8</f>
        <v>COLINIA MOLINA</v>
      </c>
      <c r="G12" s="10">
        <f>Hoja1!N8</f>
        <v>46182</v>
      </c>
    </row>
    <row r="13" spans="1:7" ht="41.4">
      <c r="A13" s="2">
        <v>15</v>
      </c>
      <c r="B13" s="9" t="str">
        <f>Hoja1!F10</f>
        <v>RPNG6-5990626</v>
      </c>
      <c r="C13" s="4" t="str">
        <f>Hoja1!H10</f>
        <v xml:space="preserve">GRAVE HERNANDEZ, GENARO </v>
      </c>
      <c r="D13" s="6" t="str">
        <f>Hoja1!J10</f>
        <v>DIAGONAL 10, C14-82</v>
      </c>
      <c r="E13" s="6">
        <f>Hoja1!K10</f>
        <v>6</v>
      </c>
      <c r="F13" s="6">
        <f>Hoja1!L10</f>
        <v>0</v>
      </c>
      <c r="G13" s="10">
        <f>Hoja1!N10</f>
        <v>46184</v>
      </c>
    </row>
    <row r="14" spans="1:7" ht="43.95" customHeight="1">
      <c r="A14" s="2">
        <v>16</v>
      </c>
      <c r="B14" s="9" t="str">
        <f>Hoja1!F11</f>
        <v>RPNP8-5980626</v>
      </c>
      <c r="C14" s="4" t="str">
        <f>Hoja1!H11</f>
        <v>PEREZ UTUY, MIGUEL JOSE</v>
      </c>
      <c r="D14" s="6" t="str">
        <f>Hoja1!J11</f>
        <v>4 CALLE 38-79A</v>
      </c>
      <c r="E14" s="6">
        <f>Hoja1!K11</f>
        <v>8</v>
      </c>
      <c r="F14" s="6">
        <f>Hoja1!L11</f>
        <v>0</v>
      </c>
      <c r="G14" s="10">
        <f>Hoja1!N11</f>
        <v>46184</v>
      </c>
    </row>
    <row r="15" spans="1:7" ht="79.05" customHeight="1">
      <c r="A15" s="2">
        <v>17</v>
      </c>
      <c r="B15" s="9" t="str">
        <f>Hoja1!F13</f>
        <v>A-RCA70-0707-2025</v>
      </c>
      <c r="C15" s="4" t="str">
        <f>Hoja1!H13</f>
        <v>MORALES HERNÁNDEZ, WILLIAM AMADO</v>
      </c>
      <c r="D15" s="6" t="str">
        <f>Hoja1!J13</f>
        <v>CHICHIGUITAN</v>
      </c>
      <c r="E15" s="6" t="str">
        <f>Hoja1!K13</f>
        <v>RUR</v>
      </c>
      <c r="F15" s="6" t="str">
        <f>Hoja1!L13</f>
        <v xml:space="preserve">CIUDAD VERDE </v>
      </c>
      <c r="G15" s="10">
        <f>Hoja1!N13</f>
        <v>46188</v>
      </c>
    </row>
    <row r="16" spans="1:7" ht="97.05" customHeight="1">
      <c r="A16" s="1">
        <v>18</v>
      </c>
      <c r="B16" s="9" t="str">
        <f>Hoja1!F14</f>
        <v>A-RCA70-0671-2025</v>
      </c>
      <c r="C16" s="4" t="str">
        <f>Hoja1!H14</f>
        <v>CHAJCHALAC CITALÁN, MARLYN MAYARY</v>
      </c>
      <c r="D16" s="6" t="str">
        <f>Hoja1!J14</f>
        <v>CHICHIGUITAN</v>
      </c>
      <c r="E16" s="6" t="str">
        <f>Hoja1!K14</f>
        <v>RUR</v>
      </c>
      <c r="F16" s="6" t="str">
        <f>Hoja1!L14</f>
        <v xml:space="preserve">CIUDAD VERDE </v>
      </c>
      <c r="G16" s="10">
        <f>Hoja1!N14</f>
        <v>46188</v>
      </c>
    </row>
    <row r="17" spans="1:7" ht="81" customHeight="1">
      <c r="A17" s="1">
        <v>19</v>
      </c>
      <c r="B17" s="9" t="str">
        <f>Hoja1!F15</f>
        <v>A-RCA70-0819-2025</v>
      </c>
      <c r="C17" s="4" t="str">
        <f>Hoja1!H15</f>
        <v>CARRILLO BATEN, ERVIN BENJAMÍN</v>
      </c>
      <c r="D17" s="6" t="str">
        <f>Hoja1!J15</f>
        <v>CHICHIGUITAN</v>
      </c>
      <c r="E17" s="6" t="str">
        <f>Hoja1!K15</f>
        <v>RUR</v>
      </c>
      <c r="F17" s="6" t="str">
        <f>Hoja1!L15</f>
        <v xml:space="preserve">CIUDAD VERDE </v>
      </c>
      <c r="G17" s="10">
        <f>Hoja1!N15</f>
        <v>46188</v>
      </c>
    </row>
    <row r="18" spans="1:7" ht="41.4">
      <c r="A18" s="1">
        <v>20</v>
      </c>
      <c r="B18" s="9" t="str">
        <f>Hoja1!F16</f>
        <v>JAM-J-570-2026</v>
      </c>
      <c r="C18" s="4" t="str">
        <f>Hoja1!H16</f>
        <v>CAJAS ITZEP, RAFAEL SALVADOR</v>
      </c>
      <c r="D18" s="6" t="str">
        <f>Hoja1!J16</f>
        <v>8 AVENIDA 0-10</v>
      </c>
      <c r="E18" s="6">
        <f>Hoja1!K16</f>
        <v>1</v>
      </c>
      <c r="F18" s="6">
        <f>Hoja1!L16</f>
        <v>0</v>
      </c>
      <c r="G18" s="10">
        <f>Hoja1!N16</f>
        <v>46135</v>
      </c>
    </row>
    <row r="19" spans="1:7" ht="46.8">
      <c r="A19" s="1">
        <v>21</v>
      </c>
      <c r="B19" s="9" t="str">
        <f>Hoja1!F17</f>
        <v>EXPENDIENTE</v>
      </c>
      <c r="C19" s="4" t="str">
        <f>Hoja1!H17</f>
        <v xml:space="preserve">NOMBRE DEL PROPIETARIO </v>
      </c>
      <c r="D19" s="6" t="str">
        <f>Hoja1!J17</f>
        <v xml:space="preserve">DIRECCIÓN </v>
      </c>
      <c r="E19" s="6" t="str">
        <f>Hoja1!K17</f>
        <v>ZONA</v>
      </c>
      <c r="F19" s="6" t="str">
        <f>Hoja1!L17</f>
        <v>COLONIA/CONDOMINIO</v>
      </c>
      <c r="G19" s="10" t="str">
        <f>Hoja1!N17</f>
        <v>FECHA DE INSPECCIÓN</v>
      </c>
    </row>
    <row r="20" spans="1:7" ht="41.4">
      <c r="A20" s="1">
        <v>22</v>
      </c>
      <c r="B20" s="9" t="str">
        <f>Hoja1!F18</f>
        <v>D-08-0089-2025</v>
      </c>
      <c r="C20" s="4" t="str">
        <f>Hoja1!H18</f>
        <v>RODAS OLIVA, VICTOR MANUEL</v>
      </c>
      <c r="D20" s="6">
        <f>Hoja1!J18</f>
        <v>0</v>
      </c>
      <c r="E20" s="6">
        <f>Hoja1!K18</f>
        <v>8</v>
      </c>
      <c r="F20" s="6">
        <f>Hoja1!L18</f>
        <v>0</v>
      </c>
      <c r="G20" s="10">
        <f>Hoja1!N18</f>
        <v>46190</v>
      </c>
    </row>
    <row r="21" spans="1:7" ht="41.4">
      <c r="A21" s="1">
        <v>23</v>
      </c>
      <c r="B21" s="9" t="str">
        <f>Hoja1!F19</f>
        <v>A-07-0425-2026</v>
      </c>
      <c r="C21" s="4" t="str">
        <f>Hoja1!H19</f>
        <v>MARROQUÍN RODAS, IRWIN WELINGTON</v>
      </c>
      <c r="D21" s="6" t="str">
        <f>Hoja1!J19</f>
        <v xml:space="preserve">5 CALLE 26-67 </v>
      </c>
      <c r="E21" s="6">
        <f>Hoja1!K19</f>
        <v>7</v>
      </c>
      <c r="F21" s="6">
        <f>Hoja1!L19</f>
        <v>0</v>
      </c>
      <c r="G21" s="10">
        <f>Hoja1!N19</f>
        <v>46190</v>
      </c>
    </row>
    <row r="22" spans="1:7" ht="41.4">
      <c r="A22" s="1">
        <v>24</v>
      </c>
      <c r="B22" s="9" t="str">
        <f>Hoja1!F20</f>
        <v>A-07-0425-2026</v>
      </c>
      <c r="C22" s="4" t="str">
        <f>Hoja1!H20</f>
        <v>MARROQUÍN RODAS, IRWIN WELINGTON</v>
      </c>
      <c r="D22" s="6" t="str">
        <f>Hoja1!J20</f>
        <v xml:space="preserve">5 CALLE 26-67 </v>
      </c>
      <c r="E22" s="6">
        <f>Hoja1!K20</f>
        <v>7</v>
      </c>
      <c r="F22" s="6">
        <f>Hoja1!L20</f>
        <v>0</v>
      </c>
      <c r="G22" s="10">
        <f>Hoja1!N20</f>
        <v>46190</v>
      </c>
    </row>
    <row r="23" spans="1:7" ht="55.2">
      <c r="A23" s="1">
        <v>25</v>
      </c>
      <c r="B23" s="9" t="str">
        <f>Hoja1!F21</f>
        <v>RPNP10-5860626</v>
      </c>
      <c r="C23" s="4" t="str">
        <f>Hoja1!H21</f>
        <v xml:space="preserve">POROJ COJULUM, ERVIN ALEJANDRO </v>
      </c>
      <c r="D23" s="6" t="str">
        <f>Hoja1!J21</f>
        <v>6 CALLE 1-76</v>
      </c>
      <c r="E23" s="6">
        <f>Hoja1!K21</f>
        <v>10</v>
      </c>
      <c r="F23" s="6">
        <f>Hoja1!L21</f>
        <v>0</v>
      </c>
      <c r="G23" s="10">
        <f>Hoja1!N21</f>
        <v>46190</v>
      </c>
    </row>
    <row r="24" spans="1:7" ht="46.8">
      <c r="A24" s="1">
        <v>26</v>
      </c>
      <c r="B24" s="9" t="str">
        <f>Hoja1!F22</f>
        <v>EXPENDIENTE</v>
      </c>
      <c r="C24" s="4" t="str">
        <f>Hoja1!H22</f>
        <v xml:space="preserve">NOMBRE DEL PROPIETARIO </v>
      </c>
      <c r="D24" s="6" t="str">
        <f>Hoja1!J22</f>
        <v xml:space="preserve">DIRECCIÓN </v>
      </c>
      <c r="E24" s="6" t="str">
        <f>Hoja1!K22</f>
        <v>ZONA</v>
      </c>
      <c r="F24" s="6" t="str">
        <f>Hoja1!L22</f>
        <v>COLONIA/CONDOMINIO</v>
      </c>
      <c r="G24" s="10" t="str">
        <f>Hoja1!N22</f>
        <v>FECHA DE INSPECCIÓN</v>
      </c>
    </row>
    <row r="25" spans="1:7" ht="41.4">
      <c r="A25" s="1">
        <v>27</v>
      </c>
      <c r="B25" s="9" t="str">
        <f>Hoja1!F23</f>
        <v>1411-2026</v>
      </c>
      <c r="C25" s="4" t="str">
        <f>Hoja1!H23</f>
        <v xml:space="preserve">ALVARADO GONZÁLEZ, LEOPOLDO </v>
      </c>
      <c r="D25" s="6" t="str">
        <f>Hoja1!J23</f>
        <v>9 CALLE A, 0-41</v>
      </c>
      <c r="E25" s="6">
        <f>Hoja1!K23</f>
        <v>7</v>
      </c>
      <c r="F25" s="6" t="str">
        <f>Hoja1!L23</f>
        <v>CONDOMINIO LOS SANTOS</v>
      </c>
      <c r="G25" s="10">
        <f>Hoja1!N23</f>
        <v>46192</v>
      </c>
    </row>
    <row r="26" spans="1:7" ht="41.4">
      <c r="A26" s="1">
        <v>28</v>
      </c>
      <c r="B26" s="9" t="str">
        <f>Hoja1!F24</f>
        <v>I-RCA80-1927-2025</v>
      </c>
      <c r="C26" s="4" t="str">
        <f>Hoja1!H24</f>
        <v>COYOY CAHUEX, SERGIO</v>
      </c>
      <c r="D26" s="6" t="str">
        <f>Hoja1!J24</f>
        <v>CHUICAVIOC</v>
      </c>
      <c r="E26" s="6" t="str">
        <f>Hoja1!K24</f>
        <v>RUR</v>
      </c>
      <c r="F26" s="6">
        <f>Hoja1!L24</f>
        <v>0</v>
      </c>
      <c r="G26" s="10">
        <f>Hoja1!N24</f>
        <v>46192</v>
      </c>
    </row>
    <row r="27" spans="1:7" ht="46.8">
      <c r="A27" s="1">
        <v>29</v>
      </c>
      <c r="B27" s="9" t="str">
        <f>Hoja1!F25</f>
        <v>EXPENDIENTE</v>
      </c>
      <c r="C27" s="4" t="str">
        <f>Hoja1!H25</f>
        <v xml:space="preserve">NOMBRE DEL PROPIETARIO </v>
      </c>
      <c r="D27" s="6" t="str">
        <f>Hoja1!J25</f>
        <v xml:space="preserve">DIRECCIÓN </v>
      </c>
      <c r="E27" s="6" t="str">
        <f>Hoja1!K25</f>
        <v>ZONA</v>
      </c>
      <c r="F27" s="6" t="str">
        <f>Hoja1!L25</f>
        <v>COLONIA/CONDOMINIO</v>
      </c>
      <c r="G27" s="10" t="str">
        <f>Hoja1!N25</f>
        <v>FECHA DE INSPECCIÓN</v>
      </c>
    </row>
    <row r="28" spans="1:7" ht="55.2">
      <c r="A28" s="1">
        <v>30</v>
      </c>
      <c r="B28" s="9" t="str">
        <f>Hoja1!F26</f>
        <v>A-08-0322-2026</v>
      </c>
      <c r="C28" s="4" t="str">
        <f>Hoja1!H26</f>
        <v>OROZCO SANTOS, MARÍA HAIDEE</v>
      </c>
      <c r="D28" s="6" t="str">
        <f>Hoja1!J26</f>
        <v>DIAGONAL 2 0-80A INTERIOR</v>
      </c>
      <c r="E28" s="6">
        <f>Hoja1!K26</f>
        <v>8</v>
      </c>
      <c r="F28" s="6">
        <f>Hoja1!L26</f>
        <v>0</v>
      </c>
      <c r="G28" s="10">
        <f>Hoja1!N26</f>
        <v>46196</v>
      </c>
    </row>
    <row r="29" spans="1:7">
      <c r="A29" s="1">
        <v>31</v>
      </c>
      <c r="B29" s="9">
        <f>Hoja1!F27</f>
        <v>0</v>
      </c>
      <c r="C29" s="4">
        <f>Hoja1!H27</f>
        <v>0</v>
      </c>
      <c r="D29" s="6">
        <f>Hoja1!J27</f>
        <v>0</v>
      </c>
      <c r="E29" s="6">
        <f>Hoja1!K27</f>
        <v>0</v>
      </c>
      <c r="F29" s="6">
        <f>Hoja1!L27</f>
        <v>0</v>
      </c>
      <c r="G29" s="10">
        <f>Hoja1!N27</f>
        <v>0</v>
      </c>
    </row>
    <row r="30" spans="1:7">
      <c r="A30" s="1">
        <v>32</v>
      </c>
      <c r="B30" s="9">
        <f>Hoja1!F28</f>
        <v>0</v>
      </c>
      <c r="C30" s="4">
        <f>Hoja1!H28</f>
        <v>0</v>
      </c>
      <c r="D30" s="6">
        <f>Hoja1!J28</f>
        <v>0</v>
      </c>
      <c r="E30" s="6">
        <f>Hoja1!K28</f>
        <v>0</v>
      </c>
      <c r="F30" s="6">
        <f>Hoja1!L28</f>
        <v>0</v>
      </c>
      <c r="G30" s="10">
        <f>Hoja1!N28</f>
        <v>0</v>
      </c>
    </row>
    <row r="31" spans="1:7">
      <c r="A31" s="1">
        <v>33</v>
      </c>
      <c r="B31" s="9">
        <f>Hoja1!F29</f>
        <v>0</v>
      </c>
      <c r="C31" s="4">
        <f>Hoja1!H29</f>
        <v>0</v>
      </c>
      <c r="D31" s="6">
        <f>Hoja1!J29</f>
        <v>0</v>
      </c>
      <c r="E31" s="6">
        <f>Hoja1!K29</f>
        <v>0</v>
      </c>
      <c r="F31" s="6">
        <f>Hoja1!L29</f>
        <v>0</v>
      </c>
      <c r="G31" s="10">
        <f>Hoja1!N29</f>
        <v>0</v>
      </c>
    </row>
    <row r="32" spans="1:7">
      <c r="A32" s="1">
        <v>34</v>
      </c>
      <c r="B32" s="9">
        <f>Hoja1!F30</f>
        <v>0</v>
      </c>
      <c r="C32" s="4">
        <f>Hoja1!H30</f>
        <v>0</v>
      </c>
      <c r="D32" s="6">
        <f>Hoja1!J30</f>
        <v>0</v>
      </c>
      <c r="E32" s="6">
        <f>Hoja1!K30</f>
        <v>0</v>
      </c>
      <c r="F32" s="6">
        <f>Hoja1!L30</f>
        <v>0</v>
      </c>
      <c r="G32" s="10">
        <f>Hoja1!N30</f>
        <v>0</v>
      </c>
    </row>
  </sheetData>
  <mergeCells count="1">
    <mergeCell ref="A1:G1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45C0-A6DE-E444-9CBD-2CC130EC043C}">
  <sheetPr codeName="Hoja4"/>
  <dimension ref="B2:B3"/>
  <sheetViews>
    <sheetView workbookViewId="0">
      <selection activeCell="B6" sqref="B6"/>
    </sheetView>
  </sheetViews>
  <sheetFormatPr baseColWidth="10" defaultRowHeight="15.6"/>
  <sheetData>
    <row r="2" spans="2:2">
      <c r="B2" t="s">
        <v>22</v>
      </c>
    </row>
    <row r="3" spans="2:2">
      <c r="B3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INFORME</vt:lpstr>
      <vt:lpstr>INSPECCIÓN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Ivan Rivera</cp:lastModifiedBy>
  <dcterms:created xsi:type="dcterms:W3CDTF">2026-06-08T16:29:03Z</dcterms:created>
  <dcterms:modified xsi:type="dcterms:W3CDTF">2026-06-24T05:29:34Z</dcterms:modified>
</cp:coreProperties>
</file>