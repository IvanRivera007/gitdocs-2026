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arreto/Desktop/docs IVAN/REPORTE MENSUAL/"/>
    </mc:Choice>
  </mc:AlternateContent>
  <xr:revisionPtr revIDLastSave="0" documentId="13_ncr:1_{F615E885-B5BF-B243-8821-4BCCA5691F44}" xr6:coauthVersionLast="47" xr6:coauthVersionMax="47" xr10:uidLastSave="{00000000-0000-0000-0000-000000000000}"/>
  <bookViews>
    <workbookView xWindow="0" yWindow="600" windowWidth="22400" windowHeight="22800" xr2:uid="{DA0C0F8E-1F3A-6B41-B147-6AC4BE1AC967}"/>
  </bookViews>
  <sheets>
    <sheet name="Hoja1" sheetId="1" r:id="rId1"/>
    <sheet name="INFORME" sheetId="3" r:id="rId2"/>
    <sheet name="INSPECCIÓN" sheetId="4" r:id="rId3"/>
    <sheet name="TABLA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1" l="1"/>
  <c r="X7" i="1"/>
  <c r="W8" i="1"/>
  <c r="X8" i="1"/>
  <c r="J8" i="3" s="1"/>
  <c r="W9" i="1"/>
  <c r="X9" i="1"/>
  <c r="J9" i="3" s="1"/>
  <c r="W11" i="1"/>
  <c r="X11" i="1"/>
  <c r="W12" i="1"/>
  <c r="X12" i="1"/>
  <c r="J12" i="3" s="1"/>
  <c r="J13" i="3"/>
  <c r="W14" i="1"/>
  <c r="X14" i="1"/>
  <c r="W15" i="1"/>
  <c r="X15" i="1"/>
  <c r="W16" i="1"/>
  <c r="X16" i="1"/>
  <c r="W17" i="1"/>
  <c r="X17" i="1"/>
  <c r="J17" i="3" s="1"/>
  <c r="W19" i="1"/>
  <c r="X19" i="1"/>
  <c r="W20" i="1"/>
  <c r="X20" i="1"/>
  <c r="W21" i="1"/>
  <c r="X21" i="1"/>
  <c r="J21" i="3" s="1"/>
  <c r="W22" i="1"/>
  <c r="X22" i="1"/>
  <c r="W24" i="1"/>
  <c r="X24" i="1"/>
  <c r="W25" i="1"/>
  <c r="X25" i="1"/>
  <c r="J25" i="3" s="1"/>
  <c r="W27" i="1"/>
  <c r="X27" i="1"/>
  <c r="W28" i="1"/>
  <c r="X28" i="1"/>
  <c r="W29" i="1"/>
  <c r="X29" i="1"/>
  <c r="W4" i="1"/>
  <c r="X4" i="1"/>
  <c r="W5" i="1"/>
  <c r="X5" i="1"/>
  <c r="X3" i="1"/>
  <c r="W3" i="1"/>
  <c r="B4" i="3"/>
  <c r="C4" i="3"/>
  <c r="D4" i="3"/>
  <c r="E4" i="3"/>
  <c r="F4" i="3"/>
  <c r="G4" i="3"/>
  <c r="H4" i="3"/>
  <c r="J4" i="3"/>
  <c r="K4" i="3"/>
  <c r="B5" i="3"/>
  <c r="C5" i="3"/>
  <c r="D5" i="3"/>
  <c r="E5" i="3"/>
  <c r="F5" i="3"/>
  <c r="G5" i="3"/>
  <c r="H5" i="3"/>
  <c r="J5" i="3"/>
  <c r="K5" i="3"/>
  <c r="B6" i="3"/>
  <c r="C6" i="3"/>
  <c r="D6" i="3"/>
  <c r="E6" i="3"/>
  <c r="F6" i="3"/>
  <c r="G6" i="3"/>
  <c r="H6" i="3"/>
  <c r="I6" i="3"/>
  <c r="J6" i="3"/>
  <c r="K6" i="3"/>
  <c r="B7" i="3"/>
  <c r="C7" i="3"/>
  <c r="D7" i="3"/>
  <c r="E7" i="3"/>
  <c r="F7" i="3"/>
  <c r="G7" i="3"/>
  <c r="H7" i="3"/>
  <c r="J7" i="3"/>
  <c r="K7" i="3"/>
  <c r="B8" i="3"/>
  <c r="C8" i="3"/>
  <c r="D8" i="3"/>
  <c r="E8" i="3"/>
  <c r="F8" i="3"/>
  <c r="G8" i="3"/>
  <c r="H8" i="3"/>
  <c r="K8" i="3"/>
  <c r="B9" i="3"/>
  <c r="C9" i="3"/>
  <c r="D9" i="3"/>
  <c r="E9" i="3"/>
  <c r="F9" i="3"/>
  <c r="G9" i="3"/>
  <c r="H9" i="3"/>
  <c r="K9" i="3"/>
  <c r="B10" i="3"/>
  <c r="C10" i="3"/>
  <c r="D10" i="3"/>
  <c r="E10" i="3"/>
  <c r="F10" i="3"/>
  <c r="G10" i="3"/>
  <c r="H10" i="3"/>
  <c r="I10" i="3"/>
  <c r="J10" i="3"/>
  <c r="K10" i="3"/>
  <c r="B11" i="3"/>
  <c r="C11" i="3"/>
  <c r="D11" i="3"/>
  <c r="E11" i="3"/>
  <c r="F11" i="3"/>
  <c r="G11" i="3"/>
  <c r="H11" i="3"/>
  <c r="J11" i="3"/>
  <c r="K11" i="3"/>
  <c r="B12" i="3"/>
  <c r="C12" i="3"/>
  <c r="D12" i="3"/>
  <c r="E12" i="3"/>
  <c r="F12" i="3"/>
  <c r="G12" i="3"/>
  <c r="H12" i="3"/>
  <c r="K12" i="3"/>
  <c r="B13" i="3"/>
  <c r="C13" i="3"/>
  <c r="D13" i="3"/>
  <c r="E13" i="3"/>
  <c r="F13" i="3"/>
  <c r="G13" i="3"/>
  <c r="H13" i="3"/>
  <c r="I13" i="3"/>
  <c r="K13" i="3"/>
  <c r="B14" i="3"/>
  <c r="C14" i="3"/>
  <c r="D14" i="3"/>
  <c r="E14" i="3"/>
  <c r="F14" i="3"/>
  <c r="G14" i="3"/>
  <c r="H14" i="3"/>
  <c r="I14" i="3"/>
  <c r="J14" i="3"/>
  <c r="K14" i="3"/>
  <c r="B15" i="3"/>
  <c r="C15" i="3"/>
  <c r="D15" i="3"/>
  <c r="E15" i="3"/>
  <c r="F15" i="3"/>
  <c r="G15" i="3"/>
  <c r="H15" i="3"/>
  <c r="J15" i="3"/>
  <c r="K15" i="3"/>
  <c r="B16" i="3"/>
  <c r="C16" i="3"/>
  <c r="D16" i="3"/>
  <c r="E16" i="3"/>
  <c r="F16" i="3"/>
  <c r="G16" i="3"/>
  <c r="H16" i="3"/>
  <c r="J16" i="3"/>
  <c r="K16" i="3"/>
  <c r="B17" i="3"/>
  <c r="C17" i="3"/>
  <c r="D17" i="3"/>
  <c r="E17" i="3"/>
  <c r="F17" i="3"/>
  <c r="G17" i="3"/>
  <c r="H17" i="3"/>
  <c r="I17" i="3"/>
  <c r="K17" i="3"/>
  <c r="B18" i="3"/>
  <c r="C18" i="3"/>
  <c r="D18" i="3"/>
  <c r="E18" i="3"/>
  <c r="F18" i="3"/>
  <c r="G18" i="3"/>
  <c r="H18" i="3"/>
  <c r="I18" i="3"/>
  <c r="J18" i="3"/>
  <c r="K18" i="3"/>
  <c r="B19" i="3"/>
  <c r="C19" i="3"/>
  <c r="D19" i="3"/>
  <c r="E19" i="3"/>
  <c r="F19" i="3"/>
  <c r="G19" i="3"/>
  <c r="H19" i="3"/>
  <c r="I19" i="3"/>
  <c r="J19" i="3"/>
  <c r="K19" i="3"/>
  <c r="B20" i="3"/>
  <c r="C20" i="3"/>
  <c r="D20" i="3"/>
  <c r="E20" i="3"/>
  <c r="F20" i="3"/>
  <c r="G20" i="3"/>
  <c r="H20" i="3"/>
  <c r="I20" i="3"/>
  <c r="J20" i="3"/>
  <c r="K20" i="3"/>
  <c r="B21" i="3"/>
  <c r="C21" i="3"/>
  <c r="D21" i="3"/>
  <c r="E21" i="3"/>
  <c r="F21" i="3"/>
  <c r="G21" i="3"/>
  <c r="H21" i="3"/>
  <c r="I21" i="3"/>
  <c r="K21" i="3"/>
  <c r="B22" i="3"/>
  <c r="C22" i="3"/>
  <c r="D22" i="3"/>
  <c r="E22" i="3"/>
  <c r="F22" i="3"/>
  <c r="G22" i="3"/>
  <c r="H22" i="3"/>
  <c r="I22" i="3"/>
  <c r="J22" i="3"/>
  <c r="K22" i="3"/>
  <c r="B23" i="3"/>
  <c r="C23" i="3"/>
  <c r="D23" i="3"/>
  <c r="E23" i="3"/>
  <c r="F23" i="3"/>
  <c r="G23" i="3"/>
  <c r="H23" i="3"/>
  <c r="I23" i="3"/>
  <c r="J23" i="3"/>
  <c r="K23" i="3"/>
  <c r="B24" i="3"/>
  <c r="C24" i="3"/>
  <c r="D24" i="3"/>
  <c r="E24" i="3"/>
  <c r="F24" i="3"/>
  <c r="G24" i="3"/>
  <c r="H24" i="3"/>
  <c r="I24" i="3"/>
  <c r="J24" i="3"/>
  <c r="K24" i="3"/>
  <c r="B25" i="3"/>
  <c r="C25" i="3"/>
  <c r="D25" i="3"/>
  <c r="E25" i="3"/>
  <c r="F25" i="3"/>
  <c r="G25" i="3"/>
  <c r="H25" i="3"/>
  <c r="I25" i="3"/>
  <c r="K25" i="3"/>
  <c r="B26" i="3"/>
  <c r="C26" i="3"/>
  <c r="D26" i="3"/>
  <c r="E26" i="3"/>
  <c r="F26" i="3"/>
  <c r="G26" i="3"/>
  <c r="H26" i="3"/>
  <c r="I26" i="3"/>
  <c r="J26" i="3"/>
  <c r="K26" i="3"/>
  <c r="B27" i="3"/>
  <c r="C27" i="3"/>
  <c r="D27" i="3"/>
  <c r="E27" i="3"/>
  <c r="F27" i="3"/>
  <c r="G27" i="3"/>
  <c r="H27" i="3"/>
  <c r="I27" i="3"/>
  <c r="J27" i="3"/>
  <c r="K27" i="3"/>
  <c r="H3" i="3"/>
  <c r="I3" i="3"/>
  <c r="B3" i="3"/>
  <c r="B28" i="4" l="1"/>
  <c r="C28" i="4"/>
  <c r="D28" i="4"/>
  <c r="E28" i="4"/>
  <c r="F28" i="4"/>
  <c r="G28" i="4"/>
  <c r="B29" i="4"/>
  <c r="C29" i="4"/>
  <c r="D29" i="4"/>
  <c r="E29" i="4"/>
  <c r="F29" i="4"/>
  <c r="G29" i="4"/>
  <c r="B30" i="4"/>
  <c r="C30" i="4"/>
  <c r="D30" i="4"/>
  <c r="E30" i="4"/>
  <c r="F30" i="4"/>
  <c r="G30" i="4"/>
  <c r="B31" i="4"/>
  <c r="C31" i="4"/>
  <c r="D31" i="4"/>
  <c r="E31" i="4"/>
  <c r="F31" i="4"/>
  <c r="G31" i="4"/>
  <c r="B32" i="4"/>
  <c r="C32" i="4"/>
  <c r="D32" i="4"/>
  <c r="E32" i="4"/>
  <c r="F32" i="4"/>
  <c r="G32" i="4"/>
  <c r="B18" i="4"/>
  <c r="C18" i="4"/>
  <c r="D18" i="4"/>
  <c r="E18" i="4"/>
  <c r="F18" i="4"/>
  <c r="G18" i="4"/>
  <c r="B19" i="4"/>
  <c r="C19" i="4"/>
  <c r="D19" i="4"/>
  <c r="E19" i="4"/>
  <c r="F19" i="4"/>
  <c r="G19" i="4"/>
  <c r="B20" i="4"/>
  <c r="C20" i="4"/>
  <c r="D20" i="4"/>
  <c r="E20" i="4"/>
  <c r="F20" i="4"/>
  <c r="G20" i="4"/>
  <c r="B21" i="4"/>
  <c r="C21" i="4"/>
  <c r="D21" i="4"/>
  <c r="E21" i="4"/>
  <c r="F21" i="4"/>
  <c r="G21" i="4"/>
  <c r="B22" i="4"/>
  <c r="C22" i="4"/>
  <c r="D22" i="4"/>
  <c r="E22" i="4"/>
  <c r="F22" i="4"/>
  <c r="G22" i="4"/>
  <c r="B23" i="4"/>
  <c r="C23" i="4"/>
  <c r="D23" i="4"/>
  <c r="E23" i="4"/>
  <c r="F23" i="4"/>
  <c r="G23" i="4"/>
  <c r="B24" i="4"/>
  <c r="C24" i="4"/>
  <c r="D24" i="4"/>
  <c r="E24" i="4"/>
  <c r="F24" i="4"/>
  <c r="G24" i="4"/>
  <c r="B25" i="4"/>
  <c r="C25" i="4"/>
  <c r="D25" i="4"/>
  <c r="E25" i="4"/>
  <c r="F25" i="4"/>
  <c r="G25" i="4"/>
  <c r="B26" i="4"/>
  <c r="C26" i="4"/>
  <c r="D26" i="4"/>
  <c r="E26" i="4"/>
  <c r="F26" i="4"/>
  <c r="G26" i="4"/>
  <c r="B27" i="4"/>
  <c r="C27" i="4"/>
  <c r="D27" i="4"/>
  <c r="E27" i="4"/>
  <c r="F27" i="4"/>
  <c r="G27" i="4"/>
  <c r="B28" i="3"/>
  <c r="C28" i="3"/>
  <c r="D28" i="3"/>
  <c r="E28" i="3"/>
  <c r="F28" i="3"/>
  <c r="G28" i="3"/>
  <c r="I28" i="3"/>
  <c r="J28" i="3"/>
  <c r="K28" i="3"/>
  <c r="B29" i="3"/>
  <c r="C29" i="3"/>
  <c r="D29" i="3"/>
  <c r="E29" i="3"/>
  <c r="F29" i="3"/>
  <c r="G29" i="3"/>
  <c r="I29" i="3"/>
  <c r="J29" i="3"/>
  <c r="K29" i="3"/>
  <c r="B30" i="3"/>
  <c r="C30" i="3"/>
  <c r="D30" i="3"/>
  <c r="E30" i="3"/>
  <c r="F30" i="3"/>
  <c r="G30" i="3"/>
  <c r="I30" i="3"/>
  <c r="J30" i="3"/>
  <c r="K30" i="3"/>
  <c r="B31" i="3"/>
  <c r="C31" i="3"/>
  <c r="D31" i="3"/>
  <c r="E31" i="3"/>
  <c r="F31" i="3"/>
  <c r="G31" i="3"/>
  <c r="I31" i="3"/>
  <c r="J31" i="3"/>
  <c r="K31" i="3"/>
  <c r="B32" i="3"/>
  <c r="C32" i="3"/>
  <c r="D32" i="3"/>
  <c r="E32" i="3"/>
  <c r="F32" i="3"/>
  <c r="G32" i="3"/>
  <c r="I32" i="3"/>
  <c r="J32" i="3"/>
  <c r="K32" i="3"/>
  <c r="B33" i="3"/>
  <c r="C33" i="3"/>
  <c r="D33" i="3"/>
  <c r="E33" i="3"/>
  <c r="F33" i="3"/>
  <c r="G33" i="3"/>
  <c r="I33" i="3"/>
  <c r="J33" i="3"/>
  <c r="K33" i="3"/>
  <c r="B34" i="3"/>
  <c r="C34" i="3"/>
  <c r="D34" i="3"/>
  <c r="E34" i="3"/>
  <c r="F34" i="3"/>
  <c r="G34" i="3"/>
  <c r="I34" i="3"/>
  <c r="J34" i="3"/>
  <c r="K34" i="3"/>
  <c r="B35" i="3"/>
  <c r="C35" i="3"/>
  <c r="D35" i="3"/>
  <c r="E35" i="3"/>
  <c r="F35" i="3"/>
  <c r="G35" i="3"/>
  <c r="I35" i="3"/>
  <c r="J35" i="3"/>
  <c r="K35" i="3"/>
  <c r="K3" i="3"/>
  <c r="J3" i="3"/>
  <c r="G3" i="3"/>
  <c r="F3" i="3"/>
  <c r="E3" i="3"/>
  <c r="D3" i="3"/>
  <c r="C3" i="3"/>
  <c r="B15" i="4" l="1"/>
  <c r="C15" i="4"/>
  <c r="D15" i="4"/>
  <c r="E15" i="4"/>
  <c r="F15" i="4"/>
  <c r="G15" i="4"/>
  <c r="B16" i="4"/>
  <c r="C16" i="4"/>
  <c r="D16" i="4"/>
  <c r="E16" i="4"/>
  <c r="F16" i="4"/>
  <c r="B17" i="4"/>
  <c r="C17" i="4"/>
  <c r="D17" i="4"/>
  <c r="E17" i="4"/>
  <c r="F17" i="4"/>
  <c r="V15" i="1" l="1"/>
  <c r="V16" i="1"/>
  <c r="V17" i="1"/>
  <c r="V14" i="1"/>
  <c r="N16" i="1"/>
  <c r="I16" i="3" s="1"/>
  <c r="B13" i="4"/>
  <c r="C13" i="4"/>
  <c r="D13" i="4"/>
  <c r="E13" i="4"/>
  <c r="F13" i="4"/>
  <c r="B14" i="4"/>
  <c r="C14" i="4"/>
  <c r="D14" i="4"/>
  <c r="E14" i="4"/>
  <c r="F14" i="4"/>
  <c r="G17" i="4" l="1"/>
  <c r="B11" i="4"/>
  <c r="C11" i="4"/>
  <c r="D11" i="4"/>
  <c r="E11" i="4"/>
  <c r="F11" i="4"/>
  <c r="B12" i="4"/>
  <c r="C12" i="4"/>
  <c r="D12" i="4"/>
  <c r="E12" i="4"/>
  <c r="F12" i="4"/>
  <c r="F10" i="4"/>
  <c r="E10" i="4"/>
  <c r="D10" i="4"/>
  <c r="C10" i="4"/>
  <c r="B10" i="4"/>
  <c r="V3" i="1"/>
  <c r="V9" i="1"/>
  <c r="V7" i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l="1"/>
  <c r="A16" i="3" s="1"/>
  <c r="A17" i="3" l="1"/>
  <c r="A18" i="3" s="1"/>
  <c r="A19" i="3" s="1"/>
  <c r="A20" i="3" s="1"/>
  <c r="A21" i="3" s="1"/>
  <c r="A22" i="3" s="1"/>
  <c r="AF8" i="1"/>
  <c r="N9" i="1"/>
  <c r="I9" i="3" s="1"/>
  <c r="N11" i="1"/>
  <c r="I11" i="3" s="1"/>
  <c r="N12" i="1"/>
  <c r="I12" i="3" s="1"/>
  <c r="N15" i="1"/>
  <c r="I15" i="3" s="1"/>
  <c r="N8" i="1"/>
  <c r="I8" i="3" s="1"/>
  <c r="N7" i="1"/>
  <c r="I7" i="3" s="1"/>
  <c r="N4" i="1"/>
  <c r="I4" i="3" s="1"/>
  <c r="N5" i="1"/>
  <c r="I5" i="3" s="1"/>
  <c r="AM5" i="1"/>
  <c r="G10" i="4" l="1"/>
  <c r="G11" i="4"/>
  <c r="G14" i="4"/>
  <c r="G13" i="4"/>
  <c r="G12" i="4"/>
  <c r="G1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K8" authorId="0" shapeId="0" xr:uid="{77D13829-0AD2-CF42-9A5D-526224ACF9A9}">
      <text>
        <r>
          <rPr>
            <b/>
            <sz val="10"/>
            <color rgb="FF000000"/>
            <rFont val="Tahoma"/>
            <family val="2"/>
          </rPr>
          <t xml:space="preserve">SE MANDO NOTIFICACION PARA EL VECINO QUE SOLO PRESENTO DORMITORIO Y BAÑO </t>
        </r>
      </text>
    </comment>
  </commentList>
</comments>
</file>

<file path=xl/sharedStrings.xml><?xml version="1.0" encoding="utf-8"?>
<sst xmlns="http://schemas.openxmlformats.org/spreadsheetml/2006/main" count="559" uniqueCount="215">
  <si>
    <t>EXPENDIENTE</t>
  </si>
  <si>
    <t>I-05-0232-2026</t>
  </si>
  <si>
    <t>FECHA INGRESO</t>
  </si>
  <si>
    <t xml:space="preserve">NOMBRE DEL PROPIETARIO </t>
  </si>
  <si>
    <t>DE LEÓN YANI, EDWIN HAROLDO</t>
  </si>
  <si>
    <t>DPI</t>
  </si>
  <si>
    <t xml:space="preserve">DIRECCIÓN </t>
  </si>
  <si>
    <t>CODIGO DEL INMUEBLE</t>
  </si>
  <si>
    <t>FECHA DE INSPECCIÓN</t>
  </si>
  <si>
    <t>INSPECTOR</t>
  </si>
  <si>
    <t>MARLON IVAN CARRETO RIVERA</t>
  </si>
  <si>
    <t xml:space="preserve">NOMBRE DEL TRAMITE </t>
  </si>
  <si>
    <t>REGULARIZACIÓN</t>
  </si>
  <si>
    <t xml:space="preserve">EXPEDIENTE DE REFERENCIA </t>
  </si>
  <si>
    <t>HORA INSPECCIÓN</t>
  </si>
  <si>
    <t xml:space="preserve">PENDIENTE </t>
  </si>
  <si>
    <t>ESTADO</t>
  </si>
  <si>
    <t xml:space="preserve">PROVIDENCIA </t>
  </si>
  <si>
    <t xml:space="preserve">DEPENDENCIA </t>
  </si>
  <si>
    <t xml:space="preserve">CATASTRO </t>
  </si>
  <si>
    <t>FECHA INSPECCIÓN</t>
  </si>
  <si>
    <t>PROCESO?</t>
  </si>
  <si>
    <t>PENDIENTE</t>
  </si>
  <si>
    <t>ENTREGADO</t>
  </si>
  <si>
    <t>PENDIENTE TRAER LA RESOLUCIÓN DEL MEDIO AMBIENTE PORQUE ES COMERCIO</t>
  </si>
  <si>
    <t>TRAMITE REQUERIDO</t>
  </si>
  <si>
    <t xml:space="preserve">CONTROL DE OBRAS </t>
  </si>
  <si>
    <t>RODAS SOTO, OSCAR ARTURO</t>
  </si>
  <si>
    <t>AVENIDA LAS AMERICAS C9A-30</t>
  </si>
  <si>
    <t>ZONA</t>
  </si>
  <si>
    <t>RPNR10-5110526</t>
  </si>
  <si>
    <t>PENDIENTE TRAER LA RESOLUCIÓN DEL MEDIO AMBIENTE DE BODEGA</t>
  </si>
  <si>
    <t>LOCALIZACÍON GOOGLE MAPS</t>
  </si>
  <si>
    <t>14.831360171677817, -91.53635364330418</t>
  </si>
  <si>
    <t>R-03-0023-2026</t>
  </si>
  <si>
    <t>LAM, LUZ MARIA DEL ROSARIO MIGUEZ AGUILAR DE</t>
  </si>
  <si>
    <t xml:space="preserve">INFORME AL VECINO PARA RESOLUCIÓN DEL MEDIO AMBIENTE </t>
  </si>
  <si>
    <t>INFORME EXTERNO</t>
  </si>
  <si>
    <t>Se entrego informe al vecino y se devuelve al inspector, en espera de correcciones o documentos.</t>
  </si>
  <si>
    <t xml:space="preserve">USO DE SUELO </t>
  </si>
  <si>
    <t>URB-Q1</t>
  </si>
  <si>
    <t>14.845118666556194, -91.51761309314378</t>
  </si>
  <si>
    <t>LOCALIZACIÓN QGIS</t>
  </si>
  <si>
    <t>390496.52,1641771.63</t>
  </si>
  <si>
    <t>388494.06,1640251.77</t>
  </si>
  <si>
    <t>URB-Q5</t>
  </si>
  <si>
    <t>14.841108227815925, -91.50194949024149</t>
  </si>
  <si>
    <t>392178.589,1641316.387</t>
  </si>
  <si>
    <t>URB-Q6</t>
  </si>
  <si>
    <t>ANTND10-1500626</t>
  </si>
  <si>
    <t>DIAZ MENCHO, ARTEMIO</t>
  </si>
  <si>
    <t>CALLEJON 10 8A 0-19</t>
  </si>
  <si>
    <t>14.841423818117587, -91.54688431633943</t>
  </si>
  <si>
    <t>387343.201,1641371.953</t>
  </si>
  <si>
    <t>PROVIDENCIA</t>
  </si>
  <si>
    <t>CATASTRO</t>
  </si>
  <si>
    <t>I-13-1172-2022</t>
  </si>
  <si>
    <t xml:space="preserve">CANTON CHICHIGUITAN </t>
  </si>
  <si>
    <t>RUR</t>
  </si>
  <si>
    <t>DMNG5-100626</t>
  </si>
  <si>
    <t>GOMEZ, SHIRLY MARITZABETH VILLAGRAN AGUILAR DE</t>
  </si>
  <si>
    <t>5 AV. 1-23</t>
  </si>
  <si>
    <t>394850.83,1640942.24</t>
  </si>
  <si>
    <t>14.837787849990018, -91.47714061216284</t>
  </si>
  <si>
    <t>RUR-CP</t>
  </si>
  <si>
    <t>14.837371978187736, -91.5041249125388</t>
  </si>
  <si>
    <t>391941.290,1640899.306</t>
  </si>
  <si>
    <t>FINCA</t>
  </si>
  <si>
    <t>FOLIO</t>
  </si>
  <si>
    <t>LIBRO</t>
  </si>
  <si>
    <t>70E</t>
  </si>
  <si>
    <t>MORALES RIVERA, MANOLO</t>
  </si>
  <si>
    <t>REGULARIZACÓN</t>
  </si>
  <si>
    <t>FECHA DE ENTREGA</t>
  </si>
  <si>
    <t>RPNMR-5760626</t>
  </si>
  <si>
    <t>228E</t>
  </si>
  <si>
    <t>AREA DEL TERRNO</t>
  </si>
  <si>
    <t>FRENTE COMPLETO DEL TERRENO</t>
  </si>
  <si>
    <t>AREA TOTAL DE CONSTRUCCIÓN</t>
  </si>
  <si>
    <t>AREA PERMEABLE CALCULADO</t>
  </si>
  <si>
    <t>ALTURA TOTAL DEL EDIFICIOO</t>
  </si>
  <si>
    <t>VIVIENDA UNIFAMILIAR</t>
  </si>
  <si>
    <t xml:space="preserve">INFORME EXTERNO </t>
  </si>
  <si>
    <t>DEMOLICIÓN</t>
  </si>
  <si>
    <t>NO</t>
  </si>
  <si>
    <t>0070-2025/DCN/FACS/msgg</t>
  </si>
  <si>
    <t>CONTROL INDIVIDUAL DE EXPEDIENTES JUNIO 2026</t>
  </si>
  <si>
    <t>NO.</t>
  </si>
  <si>
    <t>INGRESO EXPEDIENTE</t>
  </si>
  <si>
    <t>EXPEDIENTE</t>
  </si>
  <si>
    <t>PROPIETARIO SEGÚN SOLVENCIA</t>
  </si>
  <si>
    <t>DIRECCION SEGÚN SOLVENCIA</t>
  </si>
  <si>
    <t>COLONIA / CONDOMINIO</t>
  </si>
  <si>
    <t>FECHA ENTREGA PARA REVISION</t>
  </si>
  <si>
    <t>OBSERVACIONES O NOTAS IMPORTANTES</t>
  </si>
  <si>
    <t>ANTNR3-1410526</t>
  </si>
  <si>
    <t>VUNI10-1560526</t>
  </si>
  <si>
    <t>A-10-1291-2025</t>
  </si>
  <si>
    <t>JOSE CHAY</t>
  </si>
  <si>
    <t>A-10-0429-2026</t>
  </si>
  <si>
    <t>GABINO ANASTACIO RACANCOJ CHAN</t>
  </si>
  <si>
    <t>R-05-0119-2026</t>
  </si>
  <si>
    <t>RPNTR-5510626</t>
  </si>
  <si>
    <t>CAMILA APOLONIA MONROY TZOC</t>
  </si>
  <si>
    <t xml:space="preserve">ENTREGADO </t>
  </si>
  <si>
    <t>INFORME EXTERNO A VECINO PARA RESOLUCION MEDIO AMBIENTE POR COMERCIO</t>
  </si>
  <si>
    <t>SE CREO RP</t>
  </si>
  <si>
    <t xml:space="preserve">EXPENDIENTE ENTREGADO </t>
  </si>
  <si>
    <t>CONTROL INDIVIDUAL DE INSPECCIONES JUNIO 2026</t>
  </si>
  <si>
    <t>FECHA DE INSPECCION</t>
  </si>
  <si>
    <t>ARLENI LUDMILA RODRIGUEZ HERRERA DE LEON</t>
  </si>
  <si>
    <t xml:space="preserve">14 CALLE 14-24 </t>
  </si>
  <si>
    <t xml:space="preserve">ALAN EDUARDO SACOR BARRIOS </t>
  </si>
  <si>
    <t>0 CALLE. 7-53J INTERIOR</t>
  </si>
  <si>
    <t>CALLEJON5, 5-6 INTERIOR</t>
  </si>
  <si>
    <t>1 AVENIDA 7-19 INTERIOR</t>
  </si>
  <si>
    <t xml:space="preserve">OSCAR OSBERTO ALVARADO PÉREZ </t>
  </si>
  <si>
    <t xml:space="preserve">3RA CALLE 5-04, LA COLINA </t>
  </si>
  <si>
    <t>CANTON XECARACOJ</t>
  </si>
  <si>
    <t>EDWIN HAROLDO DE LEON YANI</t>
  </si>
  <si>
    <t xml:space="preserve">11 CALLE 5-37 </t>
  </si>
  <si>
    <t xml:space="preserve">AMBIENTE </t>
  </si>
  <si>
    <t>DOCUMENTO/TRAMITE CREADO</t>
  </si>
  <si>
    <t>INFORME A VECINO</t>
  </si>
  <si>
    <t>ESTADO 1</t>
  </si>
  <si>
    <t xml:space="preserve">FECHA DE ESTADO 1 </t>
  </si>
  <si>
    <t>ESTADO 2</t>
  </si>
  <si>
    <t>COLINIA MOLINA</t>
  </si>
  <si>
    <t xml:space="preserve">GRAVE HERNANDEZ, GENARO </t>
  </si>
  <si>
    <t>DIAGONAL 10, C14-82</t>
  </si>
  <si>
    <t>14.863927659656785, -91.50187963956097</t>
  </si>
  <si>
    <t>392196.72,1643850.45</t>
  </si>
  <si>
    <t>PEREZ UTUY, MIGUEL JOSE</t>
  </si>
  <si>
    <t>4 CALLE 38-79A</t>
  </si>
  <si>
    <t>14.868798842234774, -91.54177172665082</t>
  </si>
  <si>
    <t>387906.542,1644375.644</t>
  </si>
  <si>
    <t>URB-Q4</t>
  </si>
  <si>
    <t>URBANO Q4 (URB-Q4)</t>
  </si>
  <si>
    <t>A-RCA70-0819-2025</t>
  </si>
  <si>
    <t>IUSI</t>
  </si>
  <si>
    <t>CHICHIGUITAN</t>
  </si>
  <si>
    <t>COLONIA/CONDOMINIO</t>
  </si>
  <si>
    <t xml:space="preserve">CIUDAD VERDE </t>
  </si>
  <si>
    <t>14.831633389178894, -91.48136387442125</t>
  </si>
  <si>
    <t>394389.33,1640247.00</t>
  </si>
  <si>
    <t>ESP</t>
  </si>
  <si>
    <t>351E</t>
  </si>
  <si>
    <t>A-RCA70-0707-2025</t>
  </si>
  <si>
    <t>14.831378267968802, -91.48133573896988</t>
  </si>
  <si>
    <t>MORALES HERNÁNDEZ, WILLIAM AMADO</t>
  </si>
  <si>
    <t>CARRILLO BATEN, ERVIN BENJAMÍN</t>
  </si>
  <si>
    <t>352E</t>
  </si>
  <si>
    <t>A-RCA70-0671-2025</t>
  </si>
  <si>
    <t>CHAJCHALAC CITALÁN, MARLYN MAYARY</t>
  </si>
  <si>
    <t>14.831227951677848, -91.4814765318952</t>
  </si>
  <si>
    <t>JAM</t>
  </si>
  <si>
    <t>JAM-J-570-2026</t>
  </si>
  <si>
    <t>CAJAS ITZEP, RAFAEL SALVADOR</t>
  </si>
  <si>
    <t>8 AVENIDA 0-10</t>
  </si>
  <si>
    <t>MARLON VIAN CARRETO RIVERA</t>
  </si>
  <si>
    <t>OFICIO EXTERNO A JAM</t>
  </si>
  <si>
    <t>INFORME EXTERNO A IUSI, ACTUALIZACIÓN DE AREA</t>
  </si>
  <si>
    <t>INFORME A JAM, POR REGULARIZACIÓN Y LICENCIA</t>
  </si>
  <si>
    <t>RPNP10-5860626</t>
  </si>
  <si>
    <t xml:space="preserve">POROJ COJULUM, ERVIN ALEJANDRO </t>
  </si>
  <si>
    <t>388248.571,1640791.868</t>
  </si>
  <si>
    <t>14.836089678697798, -91.53848261363565</t>
  </si>
  <si>
    <t>6 CALLE 1-76</t>
  </si>
  <si>
    <t>MARLON IVAN CARRETOR RIVERA</t>
  </si>
  <si>
    <t>A-07-0425-2026</t>
  </si>
  <si>
    <t>MARROQUÍN RODAS, IRWIN WELINGTON</t>
  </si>
  <si>
    <t xml:space="preserve">5 CALLE 26-67 </t>
  </si>
  <si>
    <t>14.853717139490382, -91.51889969438244</t>
  </si>
  <si>
    <t>390346.409,1642716.652</t>
  </si>
  <si>
    <t>RPNM7-5920626</t>
  </si>
  <si>
    <t>SE REGULARIZO EXPEDIENTE ASI TAMBIEN SE MANDO OFICIO EXTERNO A IUSI</t>
  </si>
  <si>
    <t xml:space="preserve">REGULARIZACIÓN. </t>
  </si>
  <si>
    <t>INFORME EXTERNO A VECINO</t>
  </si>
  <si>
    <t>1411-2026</t>
  </si>
  <si>
    <t>9 CALLE A, 0-41</t>
  </si>
  <si>
    <t>CONDOMINIO LOS SANTOS</t>
  </si>
  <si>
    <t>14.860705442420667, -91.51355909913407</t>
  </si>
  <si>
    <t>390936.832,1643386.179</t>
  </si>
  <si>
    <t>I-RCA80-1927-2025</t>
  </si>
  <si>
    <t>COYOY CAHUEX, SERGIO</t>
  </si>
  <si>
    <t xml:space="preserve">ALVARADO GONZÁLEZ, LEOPOLDO </t>
  </si>
  <si>
    <t>CHUICAVIOC</t>
  </si>
  <si>
    <t>NO CREADO--</t>
  </si>
  <si>
    <t>D-08-0089-2025</t>
  </si>
  <si>
    <t>RODAS OLIVA, VICTOR MANUEL</t>
  </si>
  <si>
    <t>14.857862263345563, -91.53426681181618</t>
  </si>
  <si>
    <t>388695.354,1643169.175</t>
  </si>
  <si>
    <t>INFORME AL  VECINO DEBIDO A QUE EXCEDE EL AREA INSPECCIONADA PERO AUN FALTA QUE TRAIGA UNA HOJA DEL FORMULARIO Y FOLEAR TODOOO</t>
  </si>
  <si>
    <t>RPNG6-5990626</t>
  </si>
  <si>
    <t>RPNP8-5980626</t>
  </si>
  <si>
    <t>14.775344600790259, -91.52684723319679</t>
  </si>
  <si>
    <t>389458.60,1634051.79</t>
  </si>
  <si>
    <t>RUR-CM</t>
  </si>
  <si>
    <t>OFICIO EXTERNO A CATASTRO REPORTANDO AREA DE DE FINCA MATRIZ Y AREA DE FINCA NUEVA</t>
  </si>
  <si>
    <t xml:space="preserve">OFICIO EXTEERNO A ACATASTRO </t>
  </si>
  <si>
    <t>PRESENTAR 2DA HOJA DEL FORMULARIO RP</t>
  </si>
  <si>
    <t xml:space="preserve">OFICIO A CATASTRO DE CONSTRUCCIÓN INFORMAL </t>
  </si>
  <si>
    <t>OFICIO EXTERNO A CATASTRO</t>
  </si>
  <si>
    <t>23//6/26</t>
  </si>
  <si>
    <t>A-08-0322-2026</t>
  </si>
  <si>
    <t>OROZCO SANTOS, MARÍA HAIDEE</t>
  </si>
  <si>
    <t>DIAGONAL 2 0-80A INTERIOR</t>
  </si>
  <si>
    <t>389129.000,1643365.446</t>
  </si>
  <si>
    <t xml:space="preserve">YA SE MANDO REGULARIZACIÓN, EN ESPERA PARA ENTREGAR </t>
  </si>
  <si>
    <t>OFICIO EXTERNO A IUSI PENDIENTE ….............</t>
  </si>
  <si>
    <t>A-07-0425-2026 PENDIENTE ENTREGAAAAAA</t>
  </si>
  <si>
    <t>RAZON/FECHA_ENTREGA</t>
  </si>
  <si>
    <t xml:space="preserve">OFICIO A IUSI ACTUALIZANDO AREA DE CONSTRUCCIÓN </t>
  </si>
  <si>
    <t xml:space="preserve">OFICIO EXTERNO A IUSI </t>
  </si>
  <si>
    <t>14.859414117679588, -91.53038067494124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</si>
</sst>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"/>
  </numFmts>
  <fonts count="12">
    <font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ArialNarrow"/>
      <family val="2"/>
    </font>
    <font>
      <sz val="10"/>
      <name val="Calibri"/>
      <family val="2"/>
      <scheme val="minor"/>
    </font>
    <font>
      <b/>
      <sz val="10"/>
      <color rgb="FF000000"/>
      <name val="Tahoma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4" borderId="9" applyProtection="0"/>
  </cellStyleXfs>
  <cellXfs count="7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8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8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5" fillId="7" borderId="12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9" xfId="0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9" xfId="1" quotePrefix="1" applyFont="1" applyFill="1" applyAlignment="1">
      <alignment horizontal="center" vertical="center" wrapText="1"/>
    </xf>
    <xf numFmtId="0" fontId="5" fillId="0" borderId="9" xfId="1" applyFont="1" applyFill="1" applyAlignment="1">
      <alignment horizontal="center" vertical="center" wrapText="1"/>
    </xf>
    <xf numFmtId="14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 wrapText="1"/>
    </xf>
    <xf numFmtId="18" fontId="0" fillId="0" borderId="15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8" fontId="0" fillId="0" borderId="20" xfId="0" applyNumberFormat="1" applyBorder="1" applyAlignment="1">
      <alignment horizontal="center" vertical="center" wrapText="1"/>
    </xf>
    <xf numFmtId="14" fontId="0" fillId="0" borderId="23" xfId="0" applyNumberForma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8" borderId="15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164" fontId="0" fillId="0" borderId="20" xfId="0" applyNumberFormat="1" applyBorder="1" applyAlignment="1">
      <alignment horizontal="center" vertical="center" wrapText="1"/>
    </xf>
    <xf numFmtId="14" fontId="0" fillId="8" borderId="0" xfId="0" applyNumberForma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14" fontId="10" fillId="6" borderId="4" xfId="0" applyNumberFormat="1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14" fontId="10" fillId="6" borderId="5" xfId="0" applyNumberFormat="1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24" xfId="0" applyFont="1" applyFill="1" applyBorder="1" applyAlignment="1">
      <alignment horizontal="center" vertical="center" wrapText="1"/>
    </xf>
    <xf numFmtId="14" fontId="9" fillId="7" borderId="8" xfId="0" applyNumberFormat="1" applyFont="1" applyFill="1" applyBorder="1" applyAlignment="1">
      <alignment horizontal="center" vertical="center" wrapText="1"/>
    </xf>
    <xf numFmtId="14" fontId="9" fillId="7" borderId="9" xfId="0" applyNumberFormat="1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14" fontId="9" fillId="7" borderId="11" xfId="0" applyNumberFormat="1" applyFont="1" applyFill="1" applyBorder="1" applyAlignment="1">
      <alignment horizontal="center" vertical="center" wrapText="1"/>
    </xf>
    <xf numFmtId="0" fontId="11" fillId="7" borderId="12" xfId="1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</cellXfs>
  <cellStyles count="2">
    <cellStyle name="ANTIGUA" xfId="1" xr:uid="{A5461D72-166D-BB4C-9F95-07333208348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8789-39AD-174F-862B-8F0DF6A6F54C}">
  <sheetPr codeName="Hoja1"/>
  <dimension ref="A1:AM32"/>
  <sheetViews>
    <sheetView tabSelected="1" zoomScale="110" workbookViewId="0">
      <selection activeCell="C21" sqref="C21"/>
    </sheetView>
  </sheetViews>
  <sheetFormatPr baseColWidth="10" defaultRowHeight="16"/>
  <cols>
    <col min="1" max="1" width="30.5" customWidth="1"/>
    <col min="2" max="5" width="21.1640625" customWidth="1"/>
    <col min="6" max="6" width="20.1640625" customWidth="1"/>
    <col min="7" max="7" width="22.33203125" customWidth="1"/>
    <col min="8" max="8" width="36.33203125" customWidth="1"/>
    <col min="9" max="9" width="26.6640625" style="1" customWidth="1"/>
    <col min="10" max="10" width="20.83203125" style="14" customWidth="1"/>
    <col min="12" max="12" width="18.33203125" customWidth="1"/>
    <col min="13" max="13" width="23.33203125" customWidth="1"/>
    <col min="14" max="14" width="22" customWidth="1"/>
    <col min="15" max="24" width="32.1640625" customWidth="1"/>
    <col min="25" max="25" width="31" customWidth="1"/>
    <col min="26" max="26" width="22.33203125" customWidth="1"/>
    <col min="27" max="37" width="32.1640625" customWidth="1"/>
    <col min="38" max="38" width="25.33203125" customWidth="1"/>
    <col min="39" max="39" width="26" customWidth="1"/>
  </cols>
  <sheetData>
    <row r="1" spans="1:39" s="7" customFormat="1" ht="34">
      <c r="A1" s="7" t="s">
        <v>20</v>
      </c>
      <c r="B1" s="7" t="s">
        <v>16</v>
      </c>
      <c r="C1" s="26" t="s">
        <v>211</v>
      </c>
      <c r="D1" s="7" t="s">
        <v>25</v>
      </c>
      <c r="E1" s="7" t="s">
        <v>18</v>
      </c>
      <c r="F1" s="7" t="s">
        <v>0</v>
      </c>
      <c r="G1" s="7" t="s">
        <v>2</v>
      </c>
      <c r="H1" s="7" t="s">
        <v>3</v>
      </c>
      <c r="I1" s="8" t="s">
        <v>5</v>
      </c>
      <c r="J1" s="26" t="s">
        <v>6</v>
      </c>
      <c r="K1" s="7" t="s">
        <v>29</v>
      </c>
      <c r="L1" s="26" t="s">
        <v>141</v>
      </c>
      <c r="M1" s="7" t="s">
        <v>7</v>
      </c>
      <c r="N1" s="7" t="s">
        <v>8</v>
      </c>
      <c r="O1" s="7" t="s">
        <v>9</v>
      </c>
      <c r="P1" s="7" t="s">
        <v>14</v>
      </c>
      <c r="Q1" s="7" t="s">
        <v>32</v>
      </c>
      <c r="R1" s="7" t="s">
        <v>42</v>
      </c>
      <c r="S1" s="7" t="s">
        <v>39</v>
      </c>
      <c r="T1" s="9" t="s">
        <v>21</v>
      </c>
      <c r="U1" s="9" t="s">
        <v>122</v>
      </c>
      <c r="V1" s="9" t="s">
        <v>107</v>
      </c>
      <c r="W1" s="9" t="s">
        <v>124</v>
      </c>
      <c r="X1" s="9" t="s">
        <v>73</v>
      </c>
      <c r="Y1" s="7" t="s">
        <v>126</v>
      </c>
      <c r="Z1" s="7" t="s">
        <v>125</v>
      </c>
      <c r="AA1" s="9"/>
      <c r="AB1" s="9" t="s">
        <v>67</v>
      </c>
      <c r="AC1" s="9" t="s">
        <v>68</v>
      </c>
      <c r="AD1" s="9" t="s">
        <v>69</v>
      </c>
      <c r="AE1" s="9" t="s">
        <v>121</v>
      </c>
      <c r="AF1" s="9" t="s">
        <v>39</v>
      </c>
      <c r="AG1" s="9" t="s">
        <v>76</v>
      </c>
      <c r="AH1" s="9" t="s">
        <v>77</v>
      </c>
      <c r="AI1" s="9" t="s">
        <v>78</v>
      </c>
      <c r="AJ1" s="9" t="s">
        <v>79</v>
      </c>
      <c r="AK1" s="9" t="s">
        <v>80</v>
      </c>
      <c r="AL1" s="7" t="s">
        <v>11</v>
      </c>
      <c r="AM1" s="7" t="s">
        <v>13</v>
      </c>
    </row>
    <row r="2" spans="1:39" s="2" customFormat="1">
      <c r="I2" s="3"/>
      <c r="J2" s="5"/>
    </row>
    <row r="3" spans="1:39" s="2" customFormat="1" ht="51">
      <c r="A3" s="4">
        <v>46147</v>
      </c>
      <c r="B3" s="43" t="s">
        <v>23</v>
      </c>
      <c r="C3" s="43"/>
      <c r="D3" s="2" t="s">
        <v>17</v>
      </c>
      <c r="E3" s="2" t="s">
        <v>19</v>
      </c>
      <c r="F3" s="2" t="s">
        <v>34</v>
      </c>
      <c r="G3" s="4">
        <v>46071</v>
      </c>
      <c r="H3" s="5" t="s">
        <v>35</v>
      </c>
      <c r="I3" s="3"/>
      <c r="J3" s="5"/>
      <c r="Q3" s="5" t="s">
        <v>41</v>
      </c>
      <c r="R3" s="5" t="s">
        <v>43</v>
      </c>
      <c r="S3" s="2" t="s">
        <v>40</v>
      </c>
      <c r="T3" s="5" t="s">
        <v>36</v>
      </c>
      <c r="U3" s="2" t="s">
        <v>123</v>
      </c>
      <c r="V3" s="5" t="str">
        <f>F3</f>
        <v>R-03-0023-2026</v>
      </c>
      <c r="W3" s="5" t="str">
        <f>B3</f>
        <v>ENTREGADO</v>
      </c>
      <c r="X3" s="11" t="str">
        <f>IF(C3="","",C3)</f>
        <v/>
      </c>
      <c r="Y3" s="5" t="s">
        <v>38</v>
      </c>
      <c r="Z3" s="4">
        <v>46181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2" t="s">
        <v>37</v>
      </c>
      <c r="AM3" s="2" t="s">
        <v>34</v>
      </c>
    </row>
    <row r="4" spans="1:39" s="2" customFormat="1" ht="34">
      <c r="A4" s="4">
        <v>46170</v>
      </c>
      <c r="B4" s="2" t="s">
        <v>15</v>
      </c>
      <c r="D4" s="2" t="s">
        <v>12</v>
      </c>
      <c r="E4" s="2" t="s">
        <v>26</v>
      </c>
      <c r="F4" s="2" t="s">
        <v>30</v>
      </c>
      <c r="G4" s="4">
        <v>46168</v>
      </c>
      <c r="H4" s="2" t="s">
        <v>27</v>
      </c>
      <c r="I4" s="3"/>
      <c r="J4" s="5" t="s">
        <v>28</v>
      </c>
      <c r="K4" s="5">
        <v>10</v>
      </c>
      <c r="L4" s="5"/>
      <c r="M4" s="2">
        <v>206541</v>
      </c>
      <c r="N4" s="4">
        <f>A4</f>
        <v>46170</v>
      </c>
      <c r="O4" s="2" t="s">
        <v>10</v>
      </c>
      <c r="P4" s="6">
        <v>0.4375</v>
      </c>
      <c r="Q4" s="10" t="s">
        <v>33</v>
      </c>
      <c r="R4" s="10" t="s">
        <v>44</v>
      </c>
      <c r="S4" s="10" t="s">
        <v>45</v>
      </c>
      <c r="T4" s="5" t="s">
        <v>31</v>
      </c>
      <c r="U4" s="2" t="s">
        <v>187</v>
      </c>
      <c r="W4" s="5" t="str">
        <f t="shared" ref="W4:W5" si="0">B4</f>
        <v xml:space="preserve">PENDIENTE </v>
      </c>
      <c r="X4" s="11" t="str">
        <f t="shared" ref="X4:X5" si="1">IF(C4="","",C4)</f>
        <v/>
      </c>
    </row>
    <row r="5" spans="1:39" s="2" customFormat="1" ht="51">
      <c r="A5" s="4">
        <v>46178</v>
      </c>
      <c r="B5" s="2" t="s">
        <v>22</v>
      </c>
      <c r="D5" s="2" t="s">
        <v>17</v>
      </c>
      <c r="E5" s="2" t="s">
        <v>19</v>
      </c>
      <c r="F5" s="2" t="s">
        <v>1</v>
      </c>
      <c r="G5" s="4">
        <v>46093</v>
      </c>
      <c r="H5" s="2" t="s">
        <v>4</v>
      </c>
      <c r="I5" s="3">
        <v>2234994040901</v>
      </c>
      <c r="J5" s="5"/>
      <c r="K5" s="2">
        <v>5</v>
      </c>
      <c r="M5" s="2">
        <v>152282</v>
      </c>
      <c r="N5" s="4">
        <f>A5</f>
        <v>46178</v>
      </c>
      <c r="O5" s="2" t="s">
        <v>10</v>
      </c>
      <c r="P5" s="6">
        <v>0.4375</v>
      </c>
      <c r="Q5" s="10" t="s">
        <v>46</v>
      </c>
      <c r="R5" s="6" t="s">
        <v>47</v>
      </c>
      <c r="S5" s="6" t="s">
        <v>48</v>
      </c>
      <c r="T5" s="5" t="s">
        <v>24</v>
      </c>
      <c r="U5" s="6" t="s">
        <v>187</v>
      </c>
      <c r="V5" s="6"/>
      <c r="W5" s="5" t="str">
        <f t="shared" si="0"/>
        <v>PENDIENTE</v>
      </c>
      <c r="X5" s="11" t="str">
        <f t="shared" si="1"/>
        <v/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2" t="s">
        <v>12</v>
      </c>
      <c r="AM5" s="2" t="str">
        <f>F5</f>
        <v>I-05-0232-2026</v>
      </c>
    </row>
    <row r="6" spans="1:39" s="7" customFormat="1" ht="34">
      <c r="A6" s="7" t="s">
        <v>20</v>
      </c>
      <c r="B6" s="7" t="s">
        <v>16</v>
      </c>
      <c r="C6" s="26" t="s">
        <v>211</v>
      </c>
      <c r="D6" s="7" t="s">
        <v>25</v>
      </c>
      <c r="E6" s="7" t="s">
        <v>18</v>
      </c>
      <c r="F6" s="7" t="s">
        <v>0</v>
      </c>
      <c r="G6" s="7" t="s">
        <v>2</v>
      </c>
      <c r="H6" s="7" t="s">
        <v>3</v>
      </c>
      <c r="I6" s="8" t="s">
        <v>5</v>
      </c>
      <c r="J6" s="26" t="s">
        <v>6</v>
      </c>
      <c r="K6" s="7" t="s">
        <v>29</v>
      </c>
      <c r="L6" s="26" t="s">
        <v>141</v>
      </c>
      <c r="M6" s="7" t="s">
        <v>7</v>
      </c>
      <c r="N6" s="7" t="s">
        <v>8</v>
      </c>
      <c r="O6" s="7" t="s">
        <v>9</v>
      </c>
      <c r="P6" s="7" t="s">
        <v>14</v>
      </c>
      <c r="Q6" s="7" t="s">
        <v>32</v>
      </c>
      <c r="R6" s="7" t="s">
        <v>42</v>
      </c>
      <c r="S6" s="7" t="s">
        <v>39</v>
      </c>
      <c r="T6" s="9" t="s">
        <v>21</v>
      </c>
      <c r="U6" s="9" t="s">
        <v>122</v>
      </c>
      <c r="V6" s="9" t="s">
        <v>107</v>
      </c>
      <c r="W6" s="9" t="s">
        <v>124</v>
      </c>
      <c r="X6" s="9" t="s">
        <v>73</v>
      </c>
      <c r="Y6" s="7" t="s">
        <v>126</v>
      </c>
      <c r="Z6" s="7" t="s">
        <v>125</v>
      </c>
      <c r="AA6" s="9"/>
      <c r="AB6" s="9" t="s">
        <v>67</v>
      </c>
      <c r="AC6" s="9" t="s">
        <v>68</v>
      </c>
      <c r="AD6" s="9" t="s">
        <v>69</v>
      </c>
      <c r="AE6" s="9" t="s">
        <v>121</v>
      </c>
      <c r="AF6" s="9" t="s">
        <v>39</v>
      </c>
      <c r="AG6" s="9" t="s">
        <v>76</v>
      </c>
      <c r="AH6" s="9" t="s">
        <v>77</v>
      </c>
      <c r="AI6" s="9" t="s">
        <v>78</v>
      </c>
      <c r="AJ6" s="9" t="s">
        <v>79</v>
      </c>
      <c r="AK6" s="9" t="s">
        <v>80</v>
      </c>
      <c r="AL6" s="7" t="s">
        <v>11</v>
      </c>
      <c r="AM6" s="7" t="s">
        <v>13</v>
      </c>
    </row>
    <row r="7" spans="1:39" s="5" customFormat="1" ht="45">
      <c r="A7" s="11">
        <v>46182</v>
      </c>
      <c r="B7" s="44" t="s">
        <v>23</v>
      </c>
      <c r="C7" s="44"/>
      <c r="E7" s="5" t="s">
        <v>26</v>
      </c>
      <c r="F7" s="5" t="s">
        <v>49</v>
      </c>
      <c r="G7" s="11">
        <v>46181</v>
      </c>
      <c r="H7" s="5" t="s">
        <v>50</v>
      </c>
      <c r="I7" s="12">
        <v>3903403590909</v>
      </c>
      <c r="J7" s="5" t="s">
        <v>51</v>
      </c>
      <c r="K7" s="5">
        <v>10</v>
      </c>
      <c r="M7" s="5">
        <v>181633</v>
      </c>
      <c r="N7" s="11">
        <f>A7</f>
        <v>46182</v>
      </c>
      <c r="O7" s="5" t="s">
        <v>10</v>
      </c>
      <c r="P7" s="10">
        <v>0.33333333333333331</v>
      </c>
      <c r="Q7" s="5" t="s">
        <v>52</v>
      </c>
      <c r="R7" s="5" t="s">
        <v>53</v>
      </c>
      <c r="S7" s="5" t="s">
        <v>45</v>
      </c>
      <c r="T7" s="16" t="s">
        <v>105</v>
      </c>
      <c r="U7" s="5" t="s">
        <v>82</v>
      </c>
      <c r="V7" s="5" t="str">
        <f>F7</f>
        <v>ANTND10-1500626</v>
      </c>
      <c r="W7" s="5" t="str">
        <f t="shared" ref="W7:W29" si="2">B7</f>
        <v>ENTREGADO</v>
      </c>
      <c r="X7" s="11" t="str">
        <f t="shared" ref="X7:X29" si="3">IF(C7="","",C7)</f>
        <v/>
      </c>
      <c r="AA7" s="11"/>
      <c r="AB7" s="5">
        <v>4856</v>
      </c>
      <c r="AC7" s="5">
        <v>356</v>
      </c>
      <c r="AD7" s="5" t="s">
        <v>70</v>
      </c>
    </row>
    <row r="8" spans="1:39" s="5" customFormat="1" ht="34">
      <c r="A8" s="11">
        <v>46182</v>
      </c>
      <c r="B8" s="5" t="s">
        <v>22</v>
      </c>
      <c r="D8" s="5" t="s">
        <v>54</v>
      </c>
      <c r="E8" s="5" t="s">
        <v>55</v>
      </c>
      <c r="F8" s="5" t="s">
        <v>56</v>
      </c>
      <c r="G8" s="11">
        <v>46066</v>
      </c>
      <c r="H8" s="5" t="s">
        <v>71</v>
      </c>
      <c r="I8" s="12">
        <v>2102628180901</v>
      </c>
      <c r="J8" s="5" t="s">
        <v>57</v>
      </c>
      <c r="K8" s="5" t="s">
        <v>58</v>
      </c>
      <c r="M8" s="5" t="s">
        <v>22</v>
      </c>
      <c r="N8" s="11">
        <f>A8</f>
        <v>46182</v>
      </c>
      <c r="O8" s="5" t="s">
        <v>10</v>
      </c>
      <c r="P8" s="10">
        <v>0.38541666666666669</v>
      </c>
      <c r="Q8" s="5" t="s">
        <v>63</v>
      </c>
      <c r="R8" s="5" t="s">
        <v>62</v>
      </c>
      <c r="S8" s="5" t="s">
        <v>64</v>
      </c>
      <c r="T8" s="5" t="s">
        <v>72</v>
      </c>
      <c r="U8" s="5" t="s">
        <v>106</v>
      </c>
      <c r="V8" s="5" t="s">
        <v>74</v>
      </c>
      <c r="W8" s="5" t="str">
        <f t="shared" si="2"/>
        <v>PENDIENTE</v>
      </c>
      <c r="X8" s="11" t="str">
        <f t="shared" si="3"/>
        <v/>
      </c>
      <c r="AA8" s="5" t="s">
        <v>81</v>
      </c>
      <c r="AB8" s="5">
        <v>3776</v>
      </c>
      <c r="AC8" s="5">
        <v>276</v>
      </c>
      <c r="AD8" s="5" t="s">
        <v>75</v>
      </c>
      <c r="AF8" s="5" t="str">
        <f>S8</f>
        <v>RUR-CP</v>
      </c>
      <c r="AG8" s="5">
        <v>120</v>
      </c>
      <c r="AH8" s="5">
        <v>23</v>
      </c>
      <c r="AI8" s="5">
        <v>232.22</v>
      </c>
      <c r="AJ8" s="5">
        <v>7.78</v>
      </c>
      <c r="AK8" s="5">
        <v>5.2</v>
      </c>
    </row>
    <row r="9" spans="1:39" s="2" customFormat="1" ht="34">
      <c r="A9" s="11">
        <v>46182</v>
      </c>
      <c r="B9" s="2" t="s">
        <v>15</v>
      </c>
      <c r="E9" s="2" t="s">
        <v>26</v>
      </c>
      <c r="F9" s="5" t="s">
        <v>59</v>
      </c>
      <c r="G9" s="4">
        <v>46181</v>
      </c>
      <c r="H9" s="5" t="s">
        <v>60</v>
      </c>
      <c r="I9" s="3">
        <v>2294273590901</v>
      </c>
      <c r="J9" s="5" t="s">
        <v>61</v>
      </c>
      <c r="K9" s="2">
        <v>5</v>
      </c>
      <c r="L9" s="5" t="s">
        <v>127</v>
      </c>
      <c r="M9" s="2">
        <v>10372</v>
      </c>
      <c r="N9" s="11">
        <f>A9</f>
        <v>46182</v>
      </c>
      <c r="O9" s="5" t="s">
        <v>10</v>
      </c>
      <c r="P9" s="10">
        <v>0.4375</v>
      </c>
      <c r="Q9" s="5" t="s">
        <v>65</v>
      </c>
      <c r="R9" s="2" t="s">
        <v>66</v>
      </c>
      <c r="S9" s="2" t="s">
        <v>45</v>
      </c>
      <c r="T9" s="2" t="s">
        <v>83</v>
      </c>
      <c r="U9" s="2" t="s">
        <v>84</v>
      </c>
      <c r="V9" s="5" t="str">
        <f>F9</f>
        <v>DMNG5-100626</v>
      </c>
      <c r="W9" s="5" t="str">
        <f t="shared" si="2"/>
        <v xml:space="preserve">PENDIENTE </v>
      </c>
      <c r="X9" s="11" t="str">
        <f t="shared" si="3"/>
        <v/>
      </c>
      <c r="AA9" s="2" t="s">
        <v>81</v>
      </c>
      <c r="AB9" s="2">
        <v>68334</v>
      </c>
      <c r="AC9" s="2">
        <v>61</v>
      </c>
      <c r="AD9" s="2">
        <v>325</v>
      </c>
      <c r="AE9" s="2" t="s">
        <v>85</v>
      </c>
      <c r="AG9" s="2">
        <v>205</v>
      </c>
      <c r="AH9" s="2">
        <v>30.2</v>
      </c>
      <c r="AI9" s="2">
        <v>113.81</v>
      </c>
      <c r="AJ9" s="2">
        <v>91.19</v>
      </c>
      <c r="AK9" s="2">
        <v>2.6</v>
      </c>
    </row>
    <row r="10" spans="1:39" s="7" customFormat="1" ht="35" thickBot="1">
      <c r="A10" s="7" t="s">
        <v>20</v>
      </c>
      <c r="B10" s="7" t="s">
        <v>16</v>
      </c>
      <c r="C10" s="26" t="s">
        <v>211</v>
      </c>
      <c r="D10" s="7" t="s">
        <v>25</v>
      </c>
      <c r="E10" s="7" t="s">
        <v>18</v>
      </c>
      <c r="F10" s="7" t="s">
        <v>0</v>
      </c>
      <c r="G10" s="7" t="s">
        <v>2</v>
      </c>
      <c r="H10" s="7" t="s">
        <v>3</v>
      </c>
      <c r="I10" s="8" t="s">
        <v>5</v>
      </c>
      <c r="J10" s="26" t="s">
        <v>6</v>
      </c>
      <c r="K10" s="7" t="s">
        <v>29</v>
      </c>
      <c r="L10" s="26" t="s">
        <v>141</v>
      </c>
      <c r="M10" s="7" t="s">
        <v>7</v>
      </c>
      <c r="N10" s="7" t="s">
        <v>8</v>
      </c>
      <c r="O10" s="7" t="s">
        <v>9</v>
      </c>
      <c r="P10" s="7" t="s">
        <v>14</v>
      </c>
      <c r="Q10" s="7" t="s">
        <v>32</v>
      </c>
      <c r="R10" s="7" t="s">
        <v>42</v>
      </c>
      <c r="S10" s="7" t="s">
        <v>39</v>
      </c>
      <c r="T10" s="9" t="s">
        <v>21</v>
      </c>
      <c r="U10" s="9" t="s">
        <v>122</v>
      </c>
      <c r="V10" s="9" t="s">
        <v>107</v>
      </c>
      <c r="W10" s="9" t="s">
        <v>124</v>
      </c>
      <c r="X10" s="9" t="s">
        <v>73</v>
      </c>
      <c r="Y10" s="7" t="s">
        <v>126</v>
      </c>
      <c r="Z10" s="7" t="s">
        <v>125</v>
      </c>
      <c r="AA10" s="9"/>
      <c r="AB10" s="9" t="s">
        <v>67</v>
      </c>
      <c r="AC10" s="9" t="s">
        <v>68</v>
      </c>
      <c r="AD10" s="9" t="s">
        <v>69</v>
      </c>
      <c r="AE10" s="9" t="s">
        <v>121</v>
      </c>
      <c r="AF10" s="9" t="s">
        <v>39</v>
      </c>
      <c r="AG10" s="9" t="s">
        <v>76</v>
      </c>
      <c r="AH10" s="9" t="s">
        <v>77</v>
      </c>
      <c r="AI10" s="9" t="s">
        <v>78</v>
      </c>
      <c r="AJ10" s="9" t="s">
        <v>79</v>
      </c>
      <c r="AK10" s="9" t="s">
        <v>80</v>
      </c>
      <c r="AL10" s="7" t="s">
        <v>11</v>
      </c>
      <c r="AM10" s="7" t="s">
        <v>13</v>
      </c>
    </row>
    <row r="11" spans="1:39" s="2" customFormat="1" ht="34">
      <c r="A11" s="24">
        <v>46184</v>
      </c>
      <c r="B11" s="2" t="s">
        <v>22</v>
      </c>
      <c r="D11" s="2" t="s">
        <v>12</v>
      </c>
      <c r="E11" s="2" t="s">
        <v>26</v>
      </c>
      <c r="F11" s="2" t="s">
        <v>193</v>
      </c>
      <c r="G11" s="4">
        <v>46183</v>
      </c>
      <c r="H11" s="2" t="s">
        <v>128</v>
      </c>
      <c r="I11" s="3">
        <v>2540432911404</v>
      </c>
      <c r="J11" s="5" t="s">
        <v>129</v>
      </c>
      <c r="K11" s="2">
        <v>6</v>
      </c>
      <c r="M11" s="2">
        <v>188947</v>
      </c>
      <c r="N11" s="11">
        <f>A11</f>
        <v>46184</v>
      </c>
      <c r="O11" s="5" t="s">
        <v>10</v>
      </c>
      <c r="P11" s="10">
        <v>0.38541666666666669</v>
      </c>
      <c r="Q11" s="5" t="s">
        <v>130</v>
      </c>
      <c r="R11" s="2" t="s">
        <v>131</v>
      </c>
      <c r="S11" s="2" t="s">
        <v>45</v>
      </c>
      <c r="W11" s="5" t="str">
        <f t="shared" si="2"/>
        <v>PENDIENTE</v>
      </c>
      <c r="X11" s="11" t="str">
        <f t="shared" si="3"/>
        <v/>
      </c>
      <c r="AB11" s="2">
        <v>307144</v>
      </c>
      <c r="AC11" s="2">
        <v>134</v>
      </c>
      <c r="AD11" s="2">
        <v>741</v>
      </c>
    </row>
    <row r="12" spans="1:39" s="2" customFormat="1" ht="34">
      <c r="A12" s="25">
        <v>46184</v>
      </c>
      <c r="B12" s="2" t="s">
        <v>22</v>
      </c>
      <c r="D12" s="2" t="s">
        <v>12</v>
      </c>
      <c r="E12" s="2" t="s">
        <v>26</v>
      </c>
      <c r="F12" s="2" t="s">
        <v>194</v>
      </c>
      <c r="G12" s="4">
        <v>46183</v>
      </c>
      <c r="H12" s="2" t="s">
        <v>132</v>
      </c>
      <c r="I12" s="3">
        <v>1967538480901</v>
      </c>
      <c r="J12" s="5" t="s">
        <v>133</v>
      </c>
      <c r="K12" s="2">
        <v>8</v>
      </c>
      <c r="M12" s="2">
        <v>171734</v>
      </c>
      <c r="N12" s="11">
        <f>A12</f>
        <v>46184</v>
      </c>
      <c r="O12" s="5" t="s">
        <v>10</v>
      </c>
      <c r="P12" s="10">
        <v>0.38541666666666669</v>
      </c>
      <c r="Q12" s="5" t="s">
        <v>134</v>
      </c>
      <c r="R12" s="2" t="s">
        <v>135</v>
      </c>
      <c r="S12" s="2" t="s">
        <v>136</v>
      </c>
      <c r="W12" s="5" t="str">
        <f t="shared" si="2"/>
        <v>PENDIENTE</v>
      </c>
      <c r="X12" s="11" t="str">
        <f t="shared" si="3"/>
        <v/>
      </c>
      <c r="AA12" s="2" t="s">
        <v>81</v>
      </c>
      <c r="AB12" s="2">
        <v>251828</v>
      </c>
      <c r="AC12" s="2">
        <v>98</v>
      </c>
      <c r="AD12" s="2">
        <v>560</v>
      </c>
      <c r="AF12" s="5" t="s">
        <v>137</v>
      </c>
      <c r="AG12" s="5">
        <v>109</v>
      </c>
      <c r="AH12" s="5">
        <v>5.22</v>
      </c>
      <c r="AI12" s="5">
        <v>159.72999999999999</v>
      </c>
      <c r="AJ12" s="5">
        <v>6.95</v>
      </c>
      <c r="AK12" s="5">
        <v>5.2</v>
      </c>
    </row>
    <row r="13" spans="1:39" s="7" customFormat="1" ht="35" thickBot="1">
      <c r="A13" s="7" t="s">
        <v>20</v>
      </c>
      <c r="B13" s="7" t="s">
        <v>16</v>
      </c>
      <c r="C13" s="26" t="s">
        <v>211</v>
      </c>
      <c r="D13" s="7" t="s">
        <v>25</v>
      </c>
      <c r="E13" s="7" t="s">
        <v>18</v>
      </c>
      <c r="F13" s="7" t="s">
        <v>0</v>
      </c>
      <c r="G13" s="7" t="s">
        <v>2</v>
      </c>
      <c r="H13" s="7" t="s">
        <v>3</v>
      </c>
      <c r="I13" s="8" t="s">
        <v>5</v>
      </c>
      <c r="J13" s="26" t="s">
        <v>6</v>
      </c>
      <c r="K13" s="7" t="s">
        <v>29</v>
      </c>
      <c r="L13" s="26" t="s">
        <v>141</v>
      </c>
      <c r="M13" s="7" t="s">
        <v>7</v>
      </c>
      <c r="N13" s="7" t="s">
        <v>8</v>
      </c>
      <c r="O13" s="7" t="s">
        <v>9</v>
      </c>
      <c r="P13" s="7" t="s">
        <v>14</v>
      </c>
      <c r="Q13" s="7" t="s">
        <v>32</v>
      </c>
      <c r="R13" s="7" t="s">
        <v>42</v>
      </c>
      <c r="S13" s="7" t="s">
        <v>39</v>
      </c>
      <c r="T13" s="9" t="s">
        <v>21</v>
      </c>
      <c r="U13" s="9" t="s">
        <v>122</v>
      </c>
      <c r="V13" s="9" t="s">
        <v>107</v>
      </c>
      <c r="W13" s="9" t="s">
        <v>124</v>
      </c>
      <c r="X13" s="9" t="s">
        <v>73</v>
      </c>
      <c r="Y13" s="7" t="s">
        <v>126</v>
      </c>
      <c r="Z13" s="7" t="s">
        <v>125</v>
      </c>
      <c r="AA13" s="9"/>
      <c r="AB13" s="9" t="s">
        <v>67</v>
      </c>
      <c r="AC13" s="9" t="s">
        <v>68</v>
      </c>
      <c r="AD13" s="9" t="s">
        <v>69</v>
      </c>
      <c r="AE13" s="9" t="s">
        <v>121</v>
      </c>
      <c r="AF13" s="9" t="s">
        <v>39</v>
      </c>
      <c r="AG13" s="9" t="s">
        <v>76</v>
      </c>
      <c r="AH13" s="9" t="s">
        <v>77</v>
      </c>
      <c r="AI13" s="9" t="s">
        <v>78</v>
      </c>
      <c r="AJ13" s="9" t="s">
        <v>79</v>
      </c>
      <c r="AK13" s="9" t="s">
        <v>80</v>
      </c>
      <c r="AL13" s="7" t="s">
        <v>11</v>
      </c>
      <c r="AM13" s="7" t="s">
        <v>13</v>
      </c>
    </row>
    <row r="14" spans="1:39" s="2" customFormat="1" ht="35" thickBot="1">
      <c r="A14" s="37">
        <v>46188</v>
      </c>
      <c r="B14" s="45" t="s">
        <v>23</v>
      </c>
      <c r="C14" s="45"/>
      <c r="D14" s="27" t="s">
        <v>17</v>
      </c>
      <c r="E14" s="27" t="s">
        <v>139</v>
      </c>
      <c r="F14" s="27" t="s">
        <v>147</v>
      </c>
      <c r="G14" s="28">
        <v>45912</v>
      </c>
      <c r="H14" s="27" t="s">
        <v>149</v>
      </c>
      <c r="I14" s="29">
        <v>1774748150916</v>
      </c>
      <c r="J14" s="36" t="s">
        <v>140</v>
      </c>
      <c r="K14" s="27" t="s">
        <v>58</v>
      </c>
      <c r="L14" s="27" t="s">
        <v>142</v>
      </c>
      <c r="M14" s="27">
        <v>203047</v>
      </c>
      <c r="N14" s="30">
        <v>46188</v>
      </c>
      <c r="O14" s="36" t="s">
        <v>10</v>
      </c>
      <c r="P14" s="31">
        <v>0.33333333333333331</v>
      </c>
      <c r="Q14" s="36" t="s">
        <v>148</v>
      </c>
      <c r="R14" s="27" t="s">
        <v>144</v>
      </c>
      <c r="S14" s="27" t="s">
        <v>145</v>
      </c>
      <c r="T14" s="36" t="s">
        <v>161</v>
      </c>
      <c r="U14" s="27"/>
      <c r="V14" s="27" t="str">
        <f>F14</f>
        <v>A-RCA70-0707-2025</v>
      </c>
      <c r="W14" s="5" t="str">
        <f t="shared" si="2"/>
        <v>ENTREGADO</v>
      </c>
      <c r="X14" s="11" t="str">
        <f t="shared" si="3"/>
        <v/>
      </c>
      <c r="Y14" s="27"/>
      <c r="Z14" s="27"/>
      <c r="AA14" s="27"/>
      <c r="AB14" s="27">
        <v>5394</v>
      </c>
      <c r="AC14" s="27">
        <v>394</v>
      </c>
      <c r="AD14" s="27" t="s">
        <v>151</v>
      </c>
      <c r="AE14" s="27"/>
      <c r="AF14" s="27"/>
      <c r="AG14" s="27"/>
      <c r="AH14" s="27"/>
      <c r="AI14" s="27"/>
      <c r="AJ14" s="27"/>
      <c r="AK14" s="27"/>
      <c r="AL14" s="27"/>
      <c r="AM14" s="32"/>
    </row>
    <row r="15" spans="1:39" s="2" customFormat="1" ht="35" thickBot="1">
      <c r="A15" s="38">
        <v>46188</v>
      </c>
      <c r="B15" s="43" t="s">
        <v>23</v>
      </c>
      <c r="C15" s="43"/>
      <c r="D15" s="2" t="s">
        <v>17</v>
      </c>
      <c r="E15" s="2" t="s">
        <v>139</v>
      </c>
      <c r="F15" s="2" t="s">
        <v>152</v>
      </c>
      <c r="G15" s="4">
        <v>45912</v>
      </c>
      <c r="H15" s="2" t="s">
        <v>153</v>
      </c>
      <c r="I15" s="3">
        <v>2576336500901</v>
      </c>
      <c r="J15" s="5" t="s">
        <v>140</v>
      </c>
      <c r="K15" s="2" t="s">
        <v>58</v>
      </c>
      <c r="L15" s="2" t="s">
        <v>142</v>
      </c>
      <c r="N15" s="11">
        <f>A15</f>
        <v>46188</v>
      </c>
      <c r="O15" s="5" t="s">
        <v>10</v>
      </c>
      <c r="P15" s="10">
        <v>0.38541666666666669</v>
      </c>
      <c r="Q15" s="5" t="s">
        <v>154</v>
      </c>
      <c r="R15" s="2" t="s">
        <v>144</v>
      </c>
      <c r="S15" s="2" t="s">
        <v>145</v>
      </c>
      <c r="T15" s="36" t="s">
        <v>161</v>
      </c>
      <c r="V15" s="27" t="str">
        <f t="shared" ref="V15:V17" si="4">F15</f>
        <v>A-RCA70-0671-2025</v>
      </c>
      <c r="W15" s="5" t="str">
        <f t="shared" si="2"/>
        <v>ENTREGADO</v>
      </c>
      <c r="X15" s="11" t="str">
        <f t="shared" si="3"/>
        <v/>
      </c>
      <c r="AB15" s="2">
        <v>5492</v>
      </c>
      <c r="AC15" s="2">
        <v>492</v>
      </c>
      <c r="AD15" s="2" t="s">
        <v>146</v>
      </c>
      <c r="AM15" s="33"/>
    </row>
    <row r="16" spans="1:39" s="2" customFormat="1" ht="35" thickBot="1">
      <c r="A16" s="38">
        <v>46188</v>
      </c>
      <c r="B16" s="43" t="s">
        <v>23</v>
      </c>
      <c r="C16" s="43"/>
      <c r="D16" s="2" t="s">
        <v>17</v>
      </c>
      <c r="E16" s="2" t="s">
        <v>139</v>
      </c>
      <c r="F16" s="2" t="s">
        <v>138</v>
      </c>
      <c r="G16" s="4">
        <v>45912</v>
      </c>
      <c r="H16" s="2" t="s">
        <v>150</v>
      </c>
      <c r="I16" s="3">
        <v>1758254081330</v>
      </c>
      <c r="J16" s="5" t="s">
        <v>140</v>
      </c>
      <c r="K16" s="2" t="s">
        <v>58</v>
      </c>
      <c r="L16" s="2" t="s">
        <v>142</v>
      </c>
      <c r="N16" s="11">
        <f>A16</f>
        <v>46188</v>
      </c>
      <c r="O16" s="5" t="s">
        <v>10</v>
      </c>
      <c r="P16" s="10">
        <v>0.4375</v>
      </c>
      <c r="Q16" s="5" t="s">
        <v>143</v>
      </c>
      <c r="R16" s="2" t="s">
        <v>144</v>
      </c>
      <c r="S16" s="2" t="s">
        <v>145</v>
      </c>
      <c r="T16" s="36" t="s">
        <v>161</v>
      </c>
      <c r="V16" s="27" t="str">
        <f t="shared" si="4"/>
        <v>A-RCA70-0819-2025</v>
      </c>
      <c r="W16" s="5" t="str">
        <f t="shared" si="2"/>
        <v>ENTREGADO</v>
      </c>
      <c r="X16" s="11" t="str">
        <f t="shared" si="3"/>
        <v/>
      </c>
      <c r="AB16" s="2">
        <v>5498</v>
      </c>
      <c r="AC16" s="2">
        <v>498</v>
      </c>
      <c r="AD16" s="2" t="s">
        <v>146</v>
      </c>
      <c r="AM16" s="33"/>
    </row>
    <row r="17" spans="1:39" s="2" customFormat="1" ht="31" thickBot="1">
      <c r="A17" s="42">
        <v>46163</v>
      </c>
      <c r="B17" s="46" t="s">
        <v>104</v>
      </c>
      <c r="C17" s="46"/>
      <c r="D17" s="34" t="s">
        <v>54</v>
      </c>
      <c r="E17" s="34" t="s">
        <v>155</v>
      </c>
      <c r="F17" s="34" t="s">
        <v>156</v>
      </c>
      <c r="G17" s="39">
        <v>46163</v>
      </c>
      <c r="H17" s="34" t="s">
        <v>157</v>
      </c>
      <c r="I17" s="40">
        <v>2124184670901</v>
      </c>
      <c r="J17" s="50" t="s">
        <v>158</v>
      </c>
      <c r="K17" s="34">
        <v>1</v>
      </c>
      <c r="L17" s="34"/>
      <c r="M17" s="34">
        <v>7090</v>
      </c>
      <c r="N17" s="39">
        <v>46135</v>
      </c>
      <c r="O17" s="34" t="s">
        <v>159</v>
      </c>
      <c r="P17" s="41"/>
      <c r="Q17" s="34"/>
      <c r="R17" s="34"/>
      <c r="S17" s="34"/>
      <c r="T17" s="13" t="s">
        <v>162</v>
      </c>
      <c r="U17" s="34"/>
      <c r="V17" s="27" t="str">
        <f t="shared" si="4"/>
        <v>JAM-J-570-2026</v>
      </c>
      <c r="W17" s="5" t="str">
        <f t="shared" si="2"/>
        <v xml:space="preserve">ENTREGADO </v>
      </c>
      <c r="X17" s="11" t="str">
        <f t="shared" si="3"/>
        <v/>
      </c>
      <c r="Y17" s="34"/>
      <c r="Z17" s="34"/>
      <c r="AA17" s="34"/>
      <c r="AB17" s="34">
        <v>79703</v>
      </c>
      <c r="AC17" s="34">
        <v>243</v>
      </c>
      <c r="AD17" s="34">
        <v>649</v>
      </c>
      <c r="AE17" s="34"/>
      <c r="AF17" s="34"/>
      <c r="AG17" s="34"/>
      <c r="AH17" s="34"/>
      <c r="AI17" s="34"/>
      <c r="AJ17" s="34"/>
      <c r="AK17" s="34"/>
      <c r="AL17" s="34" t="s">
        <v>160</v>
      </c>
      <c r="AM17" s="35" t="s">
        <v>156</v>
      </c>
    </row>
    <row r="18" spans="1:39" s="7" customFormat="1" ht="34">
      <c r="A18" s="7" t="s">
        <v>20</v>
      </c>
      <c r="B18" s="7" t="s">
        <v>16</v>
      </c>
      <c r="C18" s="26" t="s">
        <v>211</v>
      </c>
      <c r="D18" s="7" t="s">
        <v>25</v>
      </c>
      <c r="E18" s="7" t="s">
        <v>18</v>
      </c>
      <c r="F18" s="7" t="s">
        <v>0</v>
      </c>
      <c r="G18" s="7" t="s">
        <v>2</v>
      </c>
      <c r="H18" s="7" t="s">
        <v>3</v>
      </c>
      <c r="I18" s="8" t="s">
        <v>5</v>
      </c>
      <c r="J18" s="26" t="s">
        <v>6</v>
      </c>
      <c r="K18" s="7" t="s">
        <v>29</v>
      </c>
      <c r="L18" s="26" t="s">
        <v>141</v>
      </c>
      <c r="M18" s="7" t="s">
        <v>7</v>
      </c>
      <c r="N18" s="7" t="s">
        <v>8</v>
      </c>
      <c r="O18" s="7" t="s">
        <v>9</v>
      </c>
      <c r="P18" s="7" t="s">
        <v>14</v>
      </c>
      <c r="Q18" s="7" t="s">
        <v>32</v>
      </c>
      <c r="R18" s="7" t="s">
        <v>42</v>
      </c>
      <c r="S18" s="7" t="s">
        <v>39</v>
      </c>
      <c r="T18" s="9" t="s">
        <v>21</v>
      </c>
      <c r="U18" s="9" t="s">
        <v>122</v>
      </c>
      <c r="V18" s="9" t="s">
        <v>107</v>
      </c>
      <c r="W18" s="9" t="s">
        <v>124</v>
      </c>
      <c r="X18" s="9" t="s">
        <v>73</v>
      </c>
      <c r="Y18" s="7" t="s">
        <v>126</v>
      </c>
      <c r="Z18" s="7" t="s">
        <v>125</v>
      </c>
      <c r="AA18" s="9"/>
      <c r="AB18" s="9" t="s">
        <v>67</v>
      </c>
      <c r="AC18" s="9" t="s">
        <v>68</v>
      </c>
      <c r="AD18" s="9" t="s">
        <v>69</v>
      </c>
      <c r="AE18" s="9" t="s">
        <v>121</v>
      </c>
      <c r="AF18" s="9" t="s">
        <v>39</v>
      </c>
      <c r="AG18" s="9" t="s">
        <v>76</v>
      </c>
      <c r="AH18" s="9" t="s">
        <v>77</v>
      </c>
      <c r="AI18" s="9" t="s">
        <v>78</v>
      </c>
      <c r="AJ18" s="9" t="s">
        <v>79</v>
      </c>
      <c r="AK18" s="9" t="s">
        <v>80</v>
      </c>
      <c r="AL18" s="7" t="s">
        <v>11</v>
      </c>
      <c r="AM18" s="7" t="s">
        <v>13</v>
      </c>
    </row>
    <row r="19" spans="1:39" s="2" customFormat="1" ht="51">
      <c r="A19" s="4">
        <v>46190</v>
      </c>
      <c r="B19" s="43" t="s">
        <v>23</v>
      </c>
      <c r="C19" s="43"/>
      <c r="D19" s="2" t="s">
        <v>54</v>
      </c>
      <c r="E19" s="2" t="s">
        <v>19</v>
      </c>
      <c r="F19" s="2" t="s">
        <v>188</v>
      </c>
      <c r="G19" s="4">
        <v>46168</v>
      </c>
      <c r="H19" s="2" t="s">
        <v>189</v>
      </c>
      <c r="I19" s="3">
        <v>2613321470901</v>
      </c>
      <c r="J19" s="5"/>
      <c r="K19" s="2">
        <v>8</v>
      </c>
      <c r="N19" s="4">
        <v>46190</v>
      </c>
      <c r="O19" s="2" t="s">
        <v>10</v>
      </c>
      <c r="P19" s="6">
        <v>0.33333333333333331</v>
      </c>
      <c r="Q19" s="5" t="s">
        <v>190</v>
      </c>
      <c r="R19" s="2" t="s">
        <v>191</v>
      </c>
      <c r="S19" s="2" t="s">
        <v>136</v>
      </c>
      <c r="T19" s="5" t="s">
        <v>198</v>
      </c>
      <c r="U19" s="2" t="s">
        <v>199</v>
      </c>
      <c r="V19" s="2" t="s">
        <v>188</v>
      </c>
      <c r="W19" s="5" t="str">
        <f t="shared" si="2"/>
        <v>ENTREGADO</v>
      </c>
      <c r="X19" s="11" t="str">
        <f t="shared" si="3"/>
        <v/>
      </c>
    </row>
    <row r="20" spans="1:39" s="2" customFormat="1" ht="51">
      <c r="A20" s="4">
        <v>46190</v>
      </c>
      <c r="B20" s="43" t="s">
        <v>23</v>
      </c>
      <c r="C20" s="43"/>
      <c r="D20" s="2" t="s">
        <v>54</v>
      </c>
      <c r="E20" s="2" t="s">
        <v>139</v>
      </c>
      <c r="F20" s="2" t="s">
        <v>169</v>
      </c>
      <c r="G20" s="4">
        <v>46182</v>
      </c>
      <c r="H20" s="2" t="s">
        <v>170</v>
      </c>
      <c r="I20" s="3">
        <v>3148644150901</v>
      </c>
      <c r="J20" s="5" t="s">
        <v>171</v>
      </c>
      <c r="K20" s="2">
        <v>7</v>
      </c>
      <c r="N20" s="4">
        <v>46190</v>
      </c>
      <c r="O20" s="2" t="s">
        <v>168</v>
      </c>
      <c r="P20" s="10">
        <v>0.38541666666666669</v>
      </c>
      <c r="Q20" s="5" t="s">
        <v>172</v>
      </c>
      <c r="R20" s="2" t="s">
        <v>173</v>
      </c>
      <c r="S20" s="2" t="s">
        <v>136</v>
      </c>
      <c r="T20" s="5" t="s">
        <v>175</v>
      </c>
      <c r="U20" s="2" t="s">
        <v>176</v>
      </c>
      <c r="V20" s="2" t="s">
        <v>174</v>
      </c>
      <c r="W20" s="5" t="str">
        <f t="shared" si="2"/>
        <v>ENTREGADO</v>
      </c>
      <c r="X20" s="11" t="str">
        <f t="shared" si="3"/>
        <v/>
      </c>
      <c r="AB20" s="2">
        <v>214451</v>
      </c>
      <c r="AC20" s="2">
        <v>299</v>
      </c>
      <c r="AD20" s="2">
        <v>434</v>
      </c>
      <c r="AF20" s="2" t="s">
        <v>136</v>
      </c>
      <c r="AG20" s="2">
        <v>91.2</v>
      </c>
      <c r="AH20" s="2">
        <v>7.35</v>
      </c>
      <c r="AI20" s="2">
        <v>80.23</v>
      </c>
      <c r="AJ20" s="2">
        <v>19.73</v>
      </c>
      <c r="AK20" s="2">
        <v>2.6</v>
      </c>
    </row>
    <row r="21" spans="1:39" s="2" customFormat="1" ht="68">
      <c r="A21" s="4">
        <v>46190</v>
      </c>
      <c r="B21" s="69" t="s">
        <v>22</v>
      </c>
      <c r="C21" s="70" t="s">
        <v>208</v>
      </c>
      <c r="D21" s="2" t="s">
        <v>54</v>
      </c>
      <c r="E21" s="2" t="s">
        <v>139</v>
      </c>
      <c r="F21" s="2" t="s">
        <v>169</v>
      </c>
      <c r="G21" s="4">
        <v>46182</v>
      </c>
      <c r="H21" s="2" t="s">
        <v>170</v>
      </c>
      <c r="I21" s="3">
        <v>3148644150901</v>
      </c>
      <c r="J21" s="5" t="s">
        <v>171</v>
      </c>
      <c r="K21" s="2">
        <v>7</v>
      </c>
      <c r="N21" s="4">
        <v>46190</v>
      </c>
      <c r="O21" s="2" t="s">
        <v>168</v>
      </c>
      <c r="P21" s="10">
        <v>0.38541666666666669</v>
      </c>
      <c r="Q21" s="5" t="s">
        <v>172</v>
      </c>
      <c r="R21" s="2" t="s">
        <v>173</v>
      </c>
      <c r="S21" s="2" t="s">
        <v>136</v>
      </c>
      <c r="T21" s="5" t="s">
        <v>175</v>
      </c>
      <c r="U21" s="5" t="s">
        <v>209</v>
      </c>
      <c r="V21" s="5" t="s">
        <v>210</v>
      </c>
      <c r="W21" s="5" t="str">
        <f t="shared" si="2"/>
        <v>PENDIENTE</v>
      </c>
      <c r="X21" s="11" t="str">
        <f t="shared" si="3"/>
        <v xml:space="preserve">YA SE MANDO REGULARIZACIÓN, EN ESPERA PARA ENTREGAR </v>
      </c>
      <c r="AB21" s="2">
        <v>214451</v>
      </c>
      <c r="AC21" s="2">
        <v>299</v>
      </c>
      <c r="AD21" s="2">
        <v>434</v>
      </c>
      <c r="AF21" s="2" t="s">
        <v>136</v>
      </c>
      <c r="AG21" s="2">
        <v>91.2</v>
      </c>
      <c r="AH21" s="2">
        <v>7.35</v>
      </c>
      <c r="AI21" s="2">
        <v>80.23</v>
      </c>
      <c r="AJ21" s="2">
        <v>19.73</v>
      </c>
      <c r="AK21" s="2">
        <v>2.6</v>
      </c>
    </row>
    <row r="22" spans="1:39" s="2" customFormat="1" ht="85">
      <c r="A22" s="4">
        <v>46190</v>
      </c>
      <c r="B22" s="2" t="s">
        <v>15</v>
      </c>
      <c r="C22" s="5" t="s">
        <v>200</v>
      </c>
      <c r="D22" s="2" t="s">
        <v>12</v>
      </c>
      <c r="E22" s="2" t="s">
        <v>26</v>
      </c>
      <c r="F22" s="2" t="s">
        <v>163</v>
      </c>
      <c r="G22" s="4">
        <v>46189</v>
      </c>
      <c r="H22" s="2" t="s">
        <v>164</v>
      </c>
      <c r="I22" s="3">
        <v>2602051090901</v>
      </c>
      <c r="J22" s="5" t="s">
        <v>167</v>
      </c>
      <c r="K22" s="2">
        <v>10</v>
      </c>
      <c r="N22" s="4">
        <v>46190</v>
      </c>
      <c r="O22" s="2" t="s">
        <v>168</v>
      </c>
      <c r="P22" s="10">
        <v>0.4375</v>
      </c>
      <c r="Q22" s="5" t="s">
        <v>166</v>
      </c>
      <c r="R22" s="2" t="s">
        <v>165</v>
      </c>
      <c r="S22" s="2" t="s">
        <v>136</v>
      </c>
      <c r="T22" s="5" t="s">
        <v>192</v>
      </c>
      <c r="U22" s="2" t="s">
        <v>177</v>
      </c>
      <c r="V22" s="2" t="s">
        <v>163</v>
      </c>
      <c r="W22" s="5" t="str">
        <f t="shared" si="2"/>
        <v xml:space="preserve">PENDIENTE </v>
      </c>
      <c r="X22" s="11" t="str">
        <f t="shared" si="3"/>
        <v>PRESENTAR 2DA HOJA DEL FORMULARIO RP</v>
      </c>
    </row>
    <row r="23" spans="1:39" s="7" customFormat="1" ht="34">
      <c r="A23" s="7" t="s">
        <v>20</v>
      </c>
      <c r="B23" s="7" t="s">
        <v>16</v>
      </c>
      <c r="C23" s="26" t="s">
        <v>211</v>
      </c>
      <c r="D23" s="7" t="s">
        <v>25</v>
      </c>
      <c r="E23" s="7" t="s">
        <v>18</v>
      </c>
      <c r="F23" s="7" t="s">
        <v>0</v>
      </c>
      <c r="G23" s="7" t="s">
        <v>2</v>
      </c>
      <c r="H23" s="7" t="s">
        <v>3</v>
      </c>
      <c r="I23" s="8" t="s">
        <v>5</v>
      </c>
      <c r="J23" s="26" t="s">
        <v>6</v>
      </c>
      <c r="K23" s="7" t="s">
        <v>29</v>
      </c>
      <c r="L23" s="26" t="s">
        <v>141</v>
      </c>
      <c r="M23" s="7" t="s">
        <v>7</v>
      </c>
      <c r="N23" s="7" t="s">
        <v>8</v>
      </c>
      <c r="O23" s="7" t="s">
        <v>9</v>
      </c>
      <c r="P23" s="7" t="s">
        <v>14</v>
      </c>
      <c r="Q23" s="7" t="s">
        <v>32</v>
      </c>
      <c r="R23" s="7" t="s">
        <v>42</v>
      </c>
      <c r="S23" s="7" t="s">
        <v>39</v>
      </c>
      <c r="T23" s="9" t="s">
        <v>21</v>
      </c>
      <c r="U23" s="9" t="s">
        <v>122</v>
      </c>
      <c r="V23" s="9" t="s">
        <v>107</v>
      </c>
      <c r="W23" s="9" t="s">
        <v>124</v>
      </c>
      <c r="X23" s="9" t="s">
        <v>73</v>
      </c>
      <c r="Y23" s="7" t="s">
        <v>126</v>
      </c>
      <c r="Z23" s="7" t="s">
        <v>125</v>
      </c>
      <c r="AA23" s="9"/>
      <c r="AB23" s="9" t="s">
        <v>67</v>
      </c>
      <c r="AC23" s="9" t="s">
        <v>68</v>
      </c>
      <c r="AD23" s="9" t="s">
        <v>69</v>
      </c>
      <c r="AE23" s="9" t="s">
        <v>121</v>
      </c>
      <c r="AF23" s="9" t="s">
        <v>39</v>
      </c>
      <c r="AG23" s="9" t="s">
        <v>76</v>
      </c>
      <c r="AH23" s="9" t="s">
        <v>77</v>
      </c>
      <c r="AI23" s="9" t="s">
        <v>78</v>
      </c>
      <c r="AJ23" s="9" t="s">
        <v>79</v>
      </c>
      <c r="AK23" s="9" t="s">
        <v>80</v>
      </c>
      <c r="AL23" s="7" t="s">
        <v>11</v>
      </c>
      <c r="AM23" s="7" t="s">
        <v>13</v>
      </c>
    </row>
    <row r="24" spans="1:39" s="2" customFormat="1" ht="34">
      <c r="A24" s="4">
        <v>46192</v>
      </c>
      <c r="B24" s="43" t="s">
        <v>23</v>
      </c>
      <c r="C24" s="51">
        <v>46196</v>
      </c>
      <c r="D24" s="2" t="s">
        <v>17</v>
      </c>
      <c r="E24" s="2" t="s">
        <v>139</v>
      </c>
      <c r="F24" s="2" t="s">
        <v>178</v>
      </c>
      <c r="G24" s="4">
        <v>46182</v>
      </c>
      <c r="H24" s="2" t="s">
        <v>185</v>
      </c>
      <c r="I24" s="3">
        <v>1932229490918</v>
      </c>
      <c r="J24" s="5" t="s">
        <v>179</v>
      </c>
      <c r="K24" s="2">
        <v>7</v>
      </c>
      <c r="L24" s="5" t="s">
        <v>180</v>
      </c>
      <c r="M24" s="5">
        <v>178250</v>
      </c>
      <c r="N24" s="4">
        <v>46192</v>
      </c>
      <c r="O24" s="2" t="s">
        <v>10</v>
      </c>
      <c r="P24" s="6">
        <v>0.33333333333333331</v>
      </c>
      <c r="Q24" s="5" t="s">
        <v>181</v>
      </c>
      <c r="R24" s="2" t="s">
        <v>182</v>
      </c>
      <c r="S24" s="2" t="s">
        <v>136</v>
      </c>
      <c r="T24" s="5" t="s">
        <v>212</v>
      </c>
      <c r="U24" s="2" t="s">
        <v>213</v>
      </c>
      <c r="W24" s="5" t="str">
        <f t="shared" si="2"/>
        <v>ENTREGADO</v>
      </c>
      <c r="X24" s="11">
        <f t="shared" si="3"/>
        <v>46196</v>
      </c>
    </row>
    <row r="25" spans="1:39" s="2" customFormat="1" ht="34">
      <c r="A25" s="4">
        <v>46192</v>
      </c>
      <c r="B25" s="43" t="s">
        <v>23</v>
      </c>
      <c r="C25" s="51">
        <v>46195</v>
      </c>
      <c r="D25" s="2" t="s">
        <v>54</v>
      </c>
      <c r="E25" s="2" t="s">
        <v>55</v>
      </c>
      <c r="F25" s="2" t="s">
        <v>183</v>
      </c>
      <c r="G25" s="4">
        <v>46063</v>
      </c>
      <c r="H25" s="2" t="s">
        <v>184</v>
      </c>
      <c r="I25" s="3">
        <v>1606765090901</v>
      </c>
      <c r="J25" s="5" t="s">
        <v>186</v>
      </c>
      <c r="K25" s="2" t="s">
        <v>58</v>
      </c>
      <c r="N25" s="4">
        <v>46192</v>
      </c>
      <c r="O25" s="2" t="s">
        <v>10</v>
      </c>
      <c r="P25" s="6">
        <v>0.4375</v>
      </c>
      <c r="Q25" s="5" t="s">
        <v>195</v>
      </c>
      <c r="R25" s="2" t="s">
        <v>196</v>
      </c>
      <c r="S25" s="2" t="s">
        <v>197</v>
      </c>
      <c r="T25" s="5" t="s">
        <v>201</v>
      </c>
      <c r="U25" s="2" t="s">
        <v>202</v>
      </c>
      <c r="V25" s="2" t="s">
        <v>183</v>
      </c>
      <c r="W25" s="5" t="str">
        <f t="shared" si="2"/>
        <v>ENTREGADO</v>
      </c>
      <c r="X25" s="11">
        <f t="shared" si="3"/>
        <v>46195</v>
      </c>
    </row>
    <row r="26" spans="1:39" s="7" customFormat="1" ht="34">
      <c r="A26" s="7" t="s">
        <v>20</v>
      </c>
      <c r="B26" s="7" t="s">
        <v>16</v>
      </c>
      <c r="C26" s="26" t="s">
        <v>211</v>
      </c>
      <c r="D26" s="7" t="s">
        <v>25</v>
      </c>
      <c r="E26" s="7" t="s">
        <v>18</v>
      </c>
      <c r="F26" s="7" t="s">
        <v>0</v>
      </c>
      <c r="G26" s="7" t="s">
        <v>2</v>
      </c>
      <c r="H26" s="7" t="s">
        <v>3</v>
      </c>
      <c r="I26" s="8" t="s">
        <v>5</v>
      </c>
      <c r="J26" s="26" t="s">
        <v>6</v>
      </c>
      <c r="K26" s="7" t="s">
        <v>29</v>
      </c>
      <c r="L26" s="26" t="s">
        <v>141</v>
      </c>
      <c r="M26" s="7" t="s">
        <v>7</v>
      </c>
      <c r="N26" s="7" t="s">
        <v>8</v>
      </c>
      <c r="O26" s="7" t="s">
        <v>9</v>
      </c>
      <c r="P26" s="7" t="s">
        <v>14</v>
      </c>
      <c r="Q26" s="7" t="s">
        <v>32</v>
      </c>
      <c r="R26" s="7" t="s">
        <v>42</v>
      </c>
      <c r="S26" s="7" t="s">
        <v>39</v>
      </c>
      <c r="T26" s="9" t="s">
        <v>21</v>
      </c>
      <c r="U26" s="9" t="s">
        <v>122</v>
      </c>
      <c r="V26" s="9" t="s">
        <v>107</v>
      </c>
      <c r="W26" s="9" t="s">
        <v>124</v>
      </c>
      <c r="X26" s="9" t="s">
        <v>73</v>
      </c>
      <c r="Y26" s="7" t="s">
        <v>126</v>
      </c>
      <c r="Z26" s="7" t="s">
        <v>125</v>
      </c>
      <c r="AA26" s="9"/>
      <c r="AB26" s="9" t="s">
        <v>67</v>
      </c>
      <c r="AC26" s="9" t="s">
        <v>68</v>
      </c>
      <c r="AD26" s="9" t="s">
        <v>69</v>
      </c>
      <c r="AE26" s="9" t="s">
        <v>121</v>
      </c>
      <c r="AF26" s="9" t="s">
        <v>39</v>
      </c>
      <c r="AG26" s="9" t="s">
        <v>76</v>
      </c>
      <c r="AH26" s="9" t="s">
        <v>77</v>
      </c>
      <c r="AI26" s="9" t="s">
        <v>78</v>
      </c>
      <c r="AJ26" s="9" t="s">
        <v>79</v>
      </c>
      <c r="AK26" s="9" t="s">
        <v>80</v>
      </c>
      <c r="AL26" s="7" t="s">
        <v>11</v>
      </c>
      <c r="AM26" s="7" t="s">
        <v>13</v>
      </c>
    </row>
    <row r="27" spans="1:39" s="2" customFormat="1" ht="34">
      <c r="A27" s="2" t="s">
        <v>203</v>
      </c>
      <c r="B27" s="2" t="s">
        <v>22</v>
      </c>
      <c r="D27" s="2" t="s">
        <v>54</v>
      </c>
      <c r="E27" s="2" t="s">
        <v>139</v>
      </c>
      <c r="F27" s="2" t="s">
        <v>204</v>
      </c>
      <c r="G27" s="4">
        <v>46174</v>
      </c>
      <c r="H27" s="2" t="s">
        <v>205</v>
      </c>
      <c r="I27" s="3">
        <v>2154418420901</v>
      </c>
      <c r="J27" s="5" t="s">
        <v>206</v>
      </c>
      <c r="K27" s="2">
        <v>8</v>
      </c>
      <c r="N27" s="4">
        <v>46196</v>
      </c>
      <c r="O27" s="2" t="s">
        <v>10</v>
      </c>
      <c r="P27" s="6">
        <v>0.33333333333333331</v>
      </c>
      <c r="Q27" s="5" t="s">
        <v>214</v>
      </c>
      <c r="R27" s="2" t="s">
        <v>207</v>
      </c>
      <c r="S27" s="2" t="s">
        <v>136</v>
      </c>
      <c r="W27" s="5" t="str">
        <f t="shared" si="2"/>
        <v>PENDIENTE</v>
      </c>
      <c r="X27" s="11" t="str">
        <f t="shared" si="3"/>
        <v/>
      </c>
    </row>
    <row r="28" spans="1:39" s="2" customFormat="1" ht="17">
      <c r="A28" s="2" t="s">
        <v>203</v>
      </c>
      <c r="B28" s="2" t="s">
        <v>22</v>
      </c>
      <c r="I28" s="3"/>
      <c r="J28" s="5"/>
      <c r="W28" s="5" t="str">
        <f t="shared" si="2"/>
        <v>PENDIENTE</v>
      </c>
      <c r="X28" s="11" t="str">
        <f t="shared" si="3"/>
        <v/>
      </c>
    </row>
    <row r="29" spans="1:39" s="2" customFormat="1" ht="17">
      <c r="A29" s="2" t="s">
        <v>203</v>
      </c>
      <c r="B29" s="2" t="s">
        <v>22</v>
      </c>
      <c r="I29" s="3"/>
      <c r="J29" s="5"/>
      <c r="W29" s="5" t="str">
        <f t="shared" si="2"/>
        <v>PENDIENTE</v>
      </c>
      <c r="X29" s="11" t="str">
        <f t="shared" si="3"/>
        <v/>
      </c>
    </row>
    <row r="30" spans="1:39" s="2" customFormat="1">
      <c r="I30" s="3"/>
      <c r="J30" s="5"/>
    </row>
    <row r="31" spans="1:39" s="2" customFormat="1">
      <c r="I31" s="3"/>
      <c r="J31" s="5"/>
    </row>
    <row r="32" spans="1:39" s="2" customFormat="1">
      <c r="I32" s="3"/>
      <c r="J32" s="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E6D4768-F2AA-F646-BDA1-2A8335A84C45}">
          <x14:formula1>
            <xm:f>TABLAS!$B$2:$B$3</xm:f>
          </x14:formula1>
          <xm:sqref>B5:C5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C74D-20B7-E349-B2D5-3FEDA93922D1}">
  <sheetPr codeName="Hoja2"/>
  <dimension ref="A1:K35"/>
  <sheetViews>
    <sheetView topLeftCell="A19" zoomScale="150" workbookViewId="0">
      <selection activeCell="G27" sqref="G27"/>
    </sheetView>
  </sheetViews>
  <sheetFormatPr baseColWidth="10" defaultRowHeight="15"/>
  <cols>
    <col min="1" max="1" width="5.6640625" style="68" customWidth="1"/>
    <col min="2" max="2" width="13" style="68" customWidth="1"/>
    <col min="3" max="4" width="10.83203125" style="68"/>
    <col min="5" max="5" width="20.33203125" style="68" customWidth="1"/>
    <col min="6" max="10" width="10.83203125" style="68"/>
    <col min="11" max="11" width="23.1640625" style="68" customWidth="1"/>
    <col min="12" max="16384" width="10.83203125" style="68"/>
  </cols>
  <sheetData>
    <row r="1" spans="1:11" ht="16" thickBot="1">
      <c r="A1" s="52" t="s">
        <v>86</v>
      </c>
      <c r="B1" s="53"/>
      <c r="C1" s="53"/>
      <c r="D1" s="53"/>
      <c r="E1" s="53"/>
      <c r="F1" s="53"/>
      <c r="G1" s="53"/>
      <c r="H1" s="53"/>
      <c r="I1" s="53"/>
      <c r="J1" s="53"/>
      <c r="K1" s="54"/>
    </row>
    <row r="2" spans="1:11" ht="65" thickBot="1">
      <c r="A2" s="55" t="s">
        <v>87</v>
      </c>
      <c r="B2" s="55"/>
      <c r="C2" s="55" t="s">
        <v>88</v>
      </c>
      <c r="D2" s="56" t="s">
        <v>89</v>
      </c>
      <c r="E2" s="56" t="s">
        <v>90</v>
      </c>
      <c r="F2" s="56" t="s">
        <v>91</v>
      </c>
      <c r="G2" s="56" t="s">
        <v>29</v>
      </c>
      <c r="H2" s="56"/>
      <c r="I2" s="57" t="s">
        <v>8</v>
      </c>
      <c r="J2" s="57" t="s">
        <v>93</v>
      </c>
      <c r="K2" s="58" t="s">
        <v>94</v>
      </c>
    </row>
    <row r="3" spans="1:11" ht="48">
      <c r="A3" s="59">
        <v>1</v>
      </c>
      <c r="B3" s="60" t="str">
        <f>Hoja1!B3</f>
        <v>ENTREGADO</v>
      </c>
      <c r="C3" s="61">
        <f>Hoja1!G3</f>
        <v>46071</v>
      </c>
      <c r="D3" s="62" t="str">
        <f>Hoja1!F3</f>
        <v>R-03-0023-2026</v>
      </c>
      <c r="E3" s="63" t="str">
        <f>Hoja1!H3</f>
        <v>LAM, LUZ MARIA DEL ROSARIO MIGUEZ AGUILAR DE</v>
      </c>
      <c r="F3" s="64">
        <f>Hoja1!J3</f>
        <v>0</v>
      </c>
      <c r="G3" s="64">
        <f>Hoja1!K3</f>
        <v>0</v>
      </c>
      <c r="H3" s="64">
        <f>Hoja1!L3</f>
        <v>0</v>
      </c>
      <c r="I3" s="62">
        <f>Hoja1!N3</f>
        <v>0</v>
      </c>
      <c r="J3" s="65" t="str">
        <f>Hoja1!X3</f>
        <v/>
      </c>
      <c r="K3" s="66" t="str">
        <f>Hoja1!T3</f>
        <v xml:space="preserve">INFORME AL VECINO PARA RESOLUCIÓN DEL MEDIO AMBIENTE </v>
      </c>
    </row>
    <row r="4" spans="1:11" ht="48">
      <c r="A4" s="67">
        <f>A3+1</f>
        <v>2</v>
      </c>
      <c r="B4" s="60" t="str">
        <f>Hoja1!B4</f>
        <v xml:space="preserve">PENDIENTE </v>
      </c>
      <c r="C4" s="61">
        <f>Hoja1!G4</f>
        <v>46168</v>
      </c>
      <c r="D4" s="62" t="str">
        <f>Hoja1!F4</f>
        <v>RPNR10-5110526</v>
      </c>
      <c r="E4" s="63" t="str">
        <f>Hoja1!H4</f>
        <v>RODAS SOTO, OSCAR ARTURO</v>
      </c>
      <c r="F4" s="64" t="str">
        <f>Hoja1!J4</f>
        <v>AVENIDA LAS AMERICAS C9A-30</v>
      </c>
      <c r="G4" s="64">
        <f>Hoja1!K4</f>
        <v>10</v>
      </c>
      <c r="H4" s="64">
        <f>Hoja1!L4</f>
        <v>0</v>
      </c>
      <c r="I4" s="62">
        <f>Hoja1!N4</f>
        <v>46170</v>
      </c>
      <c r="J4" s="65" t="str">
        <f>Hoja1!X4</f>
        <v/>
      </c>
      <c r="K4" s="66" t="str">
        <f>Hoja1!T4</f>
        <v>PENDIENTE TRAER LA RESOLUCIÓN DEL MEDIO AMBIENTE DE BODEGA</v>
      </c>
    </row>
    <row r="5" spans="1:11" ht="48">
      <c r="A5" s="67">
        <f t="shared" ref="A5:A22" si="0">A4+1</f>
        <v>3</v>
      </c>
      <c r="B5" s="60" t="str">
        <f>Hoja1!B5</f>
        <v>PENDIENTE</v>
      </c>
      <c r="C5" s="61">
        <f>Hoja1!G5</f>
        <v>46093</v>
      </c>
      <c r="D5" s="62" t="str">
        <f>Hoja1!F5</f>
        <v>I-05-0232-2026</v>
      </c>
      <c r="E5" s="63" t="str">
        <f>Hoja1!H5</f>
        <v>DE LEÓN YANI, EDWIN HAROLDO</v>
      </c>
      <c r="F5" s="64">
        <f>Hoja1!J5</f>
        <v>0</v>
      </c>
      <c r="G5" s="64">
        <f>Hoja1!K5</f>
        <v>5</v>
      </c>
      <c r="H5" s="64">
        <f>Hoja1!L5</f>
        <v>0</v>
      </c>
      <c r="I5" s="62">
        <f>Hoja1!N5</f>
        <v>46178</v>
      </c>
      <c r="J5" s="65" t="str">
        <f>Hoja1!X5</f>
        <v/>
      </c>
      <c r="K5" s="66" t="str">
        <f>Hoja1!T5</f>
        <v>PENDIENTE TRAER LA RESOLUCIÓN DEL MEDIO AMBIENTE PORQUE ES COMERCIO</v>
      </c>
    </row>
    <row r="6" spans="1:11" ht="48">
      <c r="A6" s="67">
        <f t="shared" si="0"/>
        <v>4</v>
      </c>
      <c r="B6" s="60" t="str">
        <f>Hoja1!B6</f>
        <v>ESTADO</v>
      </c>
      <c r="C6" s="61" t="str">
        <f>Hoja1!G6</f>
        <v>FECHA INGRESO</v>
      </c>
      <c r="D6" s="62" t="str">
        <f>Hoja1!F6</f>
        <v>EXPENDIENTE</v>
      </c>
      <c r="E6" s="63" t="str">
        <f>Hoja1!H6</f>
        <v xml:space="preserve">NOMBRE DEL PROPIETARIO </v>
      </c>
      <c r="F6" s="64" t="str">
        <f>Hoja1!J6</f>
        <v xml:space="preserve">DIRECCIÓN </v>
      </c>
      <c r="G6" s="64" t="str">
        <f>Hoja1!K6</f>
        <v>ZONA</v>
      </c>
      <c r="H6" s="64" t="str">
        <f>Hoja1!L6</f>
        <v>COLONIA/CONDOMINIO</v>
      </c>
      <c r="I6" s="62" t="str">
        <f>Hoja1!N6</f>
        <v>FECHA DE INSPECCIÓN</v>
      </c>
      <c r="J6" s="65" t="str">
        <f>Hoja1!X6</f>
        <v>FECHA DE ENTREGA</v>
      </c>
      <c r="K6" s="66" t="str">
        <f>Hoja1!T6</f>
        <v>PROCESO?</v>
      </c>
    </row>
    <row r="7" spans="1:11" ht="48">
      <c r="A7" s="67">
        <f t="shared" si="0"/>
        <v>5</v>
      </c>
      <c r="B7" s="60" t="str">
        <f>Hoja1!B7</f>
        <v>ENTREGADO</v>
      </c>
      <c r="C7" s="61">
        <f>Hoja1!G7</f>
        <v>46181</v>
      </c>
      <c r="D7" s="62" t="str">
        <f>Hoja1!F7</f>
        <v>ANTND10-1500626</v>
      </c>
      <c r="E7" s="63" t="str">
        <f>Hoja1!H7</f>
        <v>DIAZ MENCHO, ARTEMIO</v>
      </c>
      <c r="F7" s="64" t="str">
        <f>Hoja1!J7</f>
        <v>CALLEJON 10 8A 0-19</v>
      </c>
      <c r="G7" s="64">
        <f>Hoja1!K7</f>
        <v>10</v>
      </c>
      <c r="H7" s="64">
        <f>Hoja1!L7</f>
        <v>0</v>
      </c>
      <c r="I7" s="62">
        <f>Hoja1!N7</f>
        <v>46182</v>
      </c>
      <c r="J7" s="65" t="str">
        <f>Hoja1!X7</f>
        <v/>
      </c>
      <c r="K7" s="66" t="str">
        <f>Hoja1!T7</f>
        <v>INFORME EXTERNO A VECINO PARA RESOLUCION MEDIO AMBIENTE POR COMERCIO</v>
      </c>
    </row>
    <row r="8" spans="1:11" ht="48">
      <c r="A8" s="67">
        <f t="shared" si="0"/>
        <v>6</v>
      </c>
      <c r="B8" s="60" t="str">
        <f>Hoja1!B8</f>
        <v>PENDIENTE</v>
      </c>
      <c r="C8" s="61">
        <f>Hoja1!G8</f>
        <v>46066</v>
      </c>
      <c r="D8" s="62" t="str">
        <f>Hoja1!F8</f>
        <v>I-13-1172-2022</v>
      </c>
      <c r="E8" s="63" t="str">
        <f>Hoja1!H8</f>
        <v>MORALES RIVERA, MANOLO</v>
      </c>
      <c r="F8" s="64" t="str">
        <f>Hoja1!J8</f>
        <v xml:space="preserve">CANTON CHICHIGUITAN </v>
      </c>
      <c r="G8" s="64" t="str">
        <f>Hoja1!K8</f>
        <v>RUR</v>
      </c>
      <c r="H8" s="64">
        <f>Hoja1!L8</f>
        <v>0</v>
      </c>
      <c r="I8" s="62">
        <f>Hoja1!N8</f>
        <v>46182</v>
      </c>
      <c r="J8" s="65" t="str">
        <f>Hoja1!X8</f>
        <v/>
      </c>
      <c r="K8" s="66" t="str">
        <f>Hoja1!T8</f>
        <v>REGULARIZACÓN</v>
      </c>
    </row>
    <row r="9" spans="1:11" ht="48">
      <c r="A9" s="67">
        <f t="shared" si="0"/>
        <v>7</v>
      </c>
      <c r="B9" s="60" t="str">
        <f>Hoja1!B9</f>
        <v xml:space="preserve">PENDIENTE </v>
      </c>
      <c r="C9" s="61">
        <f>Hoja1!G9</f>
        <v>46181</v>
      </c>
      <c r="D9" s="62" t="str">
        <f>Hoja1!F9</f>
        <v>DMNG5-100626</v>
      </c>
      <c r="E9" s="63" t="str">
        <f>Hoja1!H9</f>
        <v>GOMEZ, SHIRLY MARITZABETH VILLAGRAN AGUILAR DE</v>
      </c>
      <c r="F9" s="64" t="str">
        <f>Hoja1!J9</f>
        <v>5 AV. 1-23</v>
      </c>
      <c r="G9" s="64">
        <f>Hoja1!K9</f>
        <v>5</v>
      </c>
      <c r="H9" s="64" t="str">
        <f>Hoja1!L9</f>
        <v>COLINIA MOLINA</v>
      </c>
      <c r="I9" s="62">
        <f>Hoja1!N9</f>
        <v>46182</v>
      </c>
      <c r="J9" s="65" t="str">
        <f>Hoja1!X9</f>
        <v/>
      </c>
      <c r="K9" s="66" t="str">
        <f>Hoja1!T9</f>
        <v>DEMOLICIÓN</v>
      </c>
    </row>
    <row r="10" spans="1:11" ht="48">
      <c r="A10" s="67">
        <f t="shared" si="0"/>
        <v>8</v>
      </c>
      <c r="B10" s="60" t="str">
        <f>Hoja1!B10</f>
        <v>ESTADO</v>
      </c>
      <c r="C10" s="61" t="str">
        <f>Hoja1!G10</f>
        <v>FECHA INGRESO</v>
      </c>
      <c r="D10" s="62" t="str">
        <f>Hoja1!F10</f>
        <v>EXPENDIENTE</v>
      </c>
      <c r="E10" s="63" t="str">
        <f>Hoja1!H10</f>
        <v xml:space="preserve">NOMBRE DEL PROPIETARIO </v>
      </c>
      <c r="F10" s="64" t="str">
        <f>Hoja1!J10</f>
        <v xml:space="preserve">DIRECCIÓN </v>
      </c>
      <c r="G10" s="64" t="str">
        <f>Hoja1!K10</f>
        <v>ZONA</v>
      </c>
      <c r="H10" s="64" t="str">
        <f>Hoja1!L10</f>
        <v>COLONIA/CONDOMINIO</v>
      </c>
      <c r="I10" s="62" t="str">
        <f>Hoja1!N10</f>
        <v>FECHA DE INSPECCIÓN</v>
      </c>
      <c r="J10" s="65" t="str">
        <f>Hoja1!X10</f>
        <v>FECHA DE ENTREGA</v>
      </c>
      <c r="K10" s="66" t="str">
        <f>Hoja1!T10</f>
        <v>PROCESO?</v>
      </c>
    </row>
    <row r="11" spans="1:11" ht="48">
      <c r="A11" s="67">
        <f t="shared" si="0"/>
        <v>9</v>
      </c>
      <c r="B11" s="60" t="str">
        <f>Hoja1!B11</f>
        <v>PENDIENTE</v>
      </c>
      <c r="C11" s="61">
        <f>Hoja1!G11</f>
        <v>46183</v>
      </c>
      <c r="D11" s="62" t="str">
        <f>Hoja1!F11</f>
        <v>RPNG6-5990626</v>
      </c>
      <c r="E11" s="63" t="str">
        <f>Hoja1!H11</f>
        <v xml:space="preserve">GRAVE HERNANDEZ, GENARO </v>
      </c>
      <c r="F11" s="64" t="str">
        <f>Hoja1!J11</f>
        <v>DIAGONAL 10, C14-82</v>
      </c>
      <c r="G11" s="64">
        <f>Hoja1!K11</f>
        <v>6</v>
      </c>
      <c r="H11" s="64">
        <f>Hoja1!L11</f>
        <v>0</v>
      </c>
      <c r="I11" s="62">
        <f>Hoja1!N11</f>
        <v>46184</v>
      </c>
      <c r="J11" s="65" t="str">
        <f>Hoja1!X11</f>
        <v/>
      </c>
      <c r="K11" s="66">
        <f>Hoja1!T11</f>
        <v>0</v>
      </c>
    </row>
    <row r="12" spans="1:11" ht="48">
      <c r="A12" s="67">
        <f t="shared" si="0"/>
        <v>10</v>
      </c>
      <c r="B12" s="60" t="str">
        <f>Hoja1!B12</f>
        <v>PENDIENTE</v>
      </c>
      <c r="C12" s="61">
        <f>Hoja1!G12</f>
        <v>46183</v>
      </c>
      <c r="D12" s="62" t="str">
        <f>Hoja1!F12</f>
        <v>RPNP8-5980626</v>
      </c>
      <c r="E12" s="63" t="str">
        <f>Hoja1!H12</f>
        <v>PEREZ UTUY, MIGUEL JOSE</v>
      </c>
      <c r="F12" s="64" t="str">
        <f>Hoja1!J12</f>
        <v>4 CALLE 38-79A</v>
      </c>
      <c r="G12" s="64">
        <f>Hoja1!K12</f>
        <v>8</v>
      </c>
      <c r="H12" s="64">
        <f>Hoja1!L12</f>
        <v>0</v>
      </c>
      <c r="I12" s="62">
        <f>Hoja1!N12</f>
        <v>46184</v>
      </c>
      <c r="J12" s="65" t="str">
        <f>Hoja1!X12</f>
        <v/>
      </c>
      <c r="K12" s="66">
        <f>Hoja1!T12</f>
        <v>0</v>
      </c>
    </row>
    <row r="13" spans="1:11" ht="48">
      <c r="A13" s="67">
        <f t="shared" si="0"/>
        <v>11</v>
      </c>
      <c r="B13" s="60" t="str">
        <f>Hoja1!B13</f>
        <v>ESTADO</v>
      </c>
      <c r="C13" s="61" t="str">
        <f>Hoja1!G13</f>
        <v>FECHA INGRESO</v>
      </c>
      <c r="D13" s="62" t="str">
        <f>Hoja1!F13</f>
        <v>EXPENDIENTE</v>
      </c>
      <c r="E13" s="63" t="str">
        <f>Hoja1!H13</f>
        <v xml:space="preserve">NOMBRE DEL PROPIETARIO </v>
      </c>
      <c r="F13" s="64" t="str">
        <f>Hoja1!J13</f>
        <v xml:space="preserve">DIRECCIÓN </v>
      </c>
      <c r="G13" s="64" t="str">
        <f>Hoja1!K13</f>
        <v>ZONA</v>
      </c>
      <c r="H13" s="64" t="str">
        <f>Hoja1!L13</f>
        <v>COLONIA/CONDOMINIO</v>
      </c>
      <c r="I13" s="62" t="str">
        <f>Hoja1!N13</f>
        <v>FECHA DE INSPECCIÓN</v>
      </c>
      <c r="J13" s="65" t="str">
        <f>Hoja1!X13</f>
        <v>FECHA DE ENTREGA</v>
      </c>
      <c r="K13" s="66" t="str">
        <f>Hoja1!T13</f>
        <v>PROCESO?</v>
      </c>
    </row>
    <row r="14" spans="1:11" ht="49" customHeight="1">
      <c r="A14" s="67">
        <f t="shared" si="0"/>
        <v>12</v>
      </c>
      <c r="B14" s="60" t="str">
        <f>Hoja1!B14</f>
        <v>ENTREGADO</v>
      </c>
      <c r="C14" s="61">
        <f>Hoja1!G14</f>
        <v>45912</v>
      </c>
      <c r="D14" s="62" t="str">
        <f>Hoja1!F14</f>
        <v>A-RCA70-0707-2025</v>
      </c>
      <c r="E14" s="63" t="str">
        <f>Hoja1!H14</f>
        <v>MORALES HERNÁNDEZ, WILLIAM AMADO</v>
      </c>
      <c r="F14" s="64" t="str">
        <f>Hoja1!J14</f>
        <v>CHICHIGUITAN</v>
      </c>
      <c r="G14" s="64" t="str">
        <f>Hoja1!K14</f>
        <v>RUR</v>
      </c>
      <c r="H14" s="64" t="str">
        <f>Hoja1!L14</f>
        <v xml:space="preserve">CIUDAD VERDE </v>
      </c>
      <c r="I14" s="62">
        <f>Hoja1!N14</f>
        <v>46188</v>
      </c>
      <c r="J14" s="65" t="str">
        <f>Hoja1!X14</f>
        <v/>
      </c>
      <c r="K14" s="66" t="str">
        <f>Hoja1!T14</f>
        <v>INFORME EXTERNO A IUSI, ACTUALIZACIÓN DE AREA</v>
      </c>
    </row>
    <row r="15" spans="1:11" ht="40" customHeight="1">
      <c r="A15" s="67">
        <f t="shared" si="0"/>
        <v>13</v>
      </c>
      <c r="B15" s="60" t="str">
        <f>Hoja1!B15</f>
        <v>ENTREGADO</v>
      </c>
      <c r="C15" s="61">
        <f>Hoja1!G15</f>
        <v>45912</v>
      </c>
      <c r="D15" s="62" t="str">
        <f>Hoja1!F15</f>
        <v>A-RCA70-0671-2025</v>
      </c>
      <c r="E15" s="63" t="str">
        <f>Hoja1!H15</f>
        <v>CHAJCHALAC CITALÁN, MARLYN MAYARY</v>
      </c>
      <c r="F15" s="64" t="str">
        <f>Hoja1!J15</f>
        <v>CHICHIGUITAN</v>
      </c>
      <c r="G15" s="64" t="str">
        <f>Hoja1!K15</f>
        <v>RUR</v>
      </c>
      <c r="H15" s="64" t="str">
        <f>Hoja1!L15</f>
        <v xml:space="preserve">CIUDAD VERDE </v>
      </c>
      <c r="I15" s="62">
        <f>Hoja1!N15</f>
        <v>46188</v>
      </c>
      <c r="J15" s="65" t="str">
        <f>Hoja1!X15</f>
        <v/>
      </c>
      <c r="K15" s="66" t="str">
        <f>Hoja1!T15</f>
        <v>INFORME EXTERNO A IUSI, ACTUALIZACIÓN DE AREA</v>
      </c>
    </row>
    <row r="16" spans="1:11" ht="56" customHeight="1">
      <c r="A16" s="67">
        <f t="shared" si="0"/>
        <v>14</v>
      </c>
      <c r="B16" s="60" t="str">
        <f>Hoja1!B16</f>
        <v>ENTREGADO</v>
      </c>
      <c r="C16" s="61">
        <f>Hoja1!G16</f>
        <v>45912</v>
      </c>
      <c r="D16" s="62" t="str">
        <f>Hoja1!F16</f>
        <v>A-RCA70-0819-2025</v>
      </c>
      <c r="E16" s="63" t="str">
        <f>Hoja1!H16</f>
        <v>CARRILLO BATEN, ERVIN BENJAMÍN</v>
      </c>
      <c r="F16" s="64" t="str">
        <f>Hoja1!J16</f>
        <v>CHICHIGUITAN</v>
      </c>
      <c r="G16" s="64" t="str">
        <f>Hoja1!K16</f>
        <v>RUR</v>
      </c>
      <c r="H16" s="64" t="str">
        <f>Hoja1!L16</f>
        <v xml:space="preserve">CIUDAD VERDE </v>
      </c>
      <c r="I16" s="62">
        <f>Hoja1!N16</f>
        <v>46188</v>
      </c>
      <c r="J16" s="65" t="str">
        <f>Hoja1!X16</f>
        <v/>
      </c>
      <c r="K16" s="66" t="str">
        <f>Hoja1!T16</f>
        <v>INFORME EXTERNO A IUSI, ACTUALIZACIÓN DE AREA</v>
      </c>
    </row>
    <row r="17" spans="1:11" ht="48">
      <c r="A17" s="67">
        <f t="shared" si="0"/>
        <v>15</v>
      </c>
      <c r="B17" s="60" t="str">
        <f>Hoja1!B17</f>
        <v xml:space="preserve">ENTREGADO </v>
      </c>
      <c r="C17" s="61">
        <f>Hoja1!G17</f>
        <v>46163</v>
      </c>
      <c r="D17" s="62" t="str">
        <f>Hoja1!F17</f>
        <v>JAM-J-570-2026</v>
      </c>
      <c r="E17" s="63" t="str">
        <f>Hoja1!H17</f>
        <v>CAJAS ITZEP, RAFAEL SALVADOR</v>
      </c>
      <c r="F17" s="64" t="str">
        <f>Hoja1!J17</f>
        <v>8 AVENIDA 0-10</v>
      </c>
      <c r="G17" s="64">
        <f>Hoja1!K17</f>
        <v>1</v>
      </c>
      <c r="H17" s="64">
        <f>Hoja1!L17</f>
        <v>0</v>
      </c>
      <c r="I17" s="62">
        <f>Hoja1!N17</f>
        <v>46135</v>
      </c>
      <c r="J17" s="65" t="str">
        <f>Hoja1!X17</f>
        <v/>
      </c>
      <c r="K17" s="66" t="str">
        <f>Hoja1!T17</f>
        <v>INFORME A JAM, POR REGULARIZACIÓN Y LICENCIA</v>
      </c>
    </row>
    <row r="18" spans="1:11" ht="38" customHeight="1">
      <c r="A18" s="67">
        <f t="shared" si="0"/>
        <v>16</v>
      </c>
      <c r="B18" s="60" t="str">
        <f>Hoja1!B18</f>
        <v>ESTADO</v>
      </c>
      <c r="C18" s="61" t="str">
        <f>Hoja1!G18</f>
        <v>FECHA INGRESO</v>
      </c>
      <c r="D18" s="62" t="str">
        <f>Hoja1!F18</f>
        <v>EXPENDIENTE</v>
      </c>
      <c r="E18" s="63" t="str">
        <f>Hoja1!H18</f>
        <v xml:space="preserve">NOMBRE DEL PROPIETARIO </v>
      </c>
      <c r="F18" s="64" t="str">
        <f>Hoja1!J18</f>
        <v xml:space="preserve">DIRECCIÓN </v>
      </c>
      <c r="G18" s="64" t="str">
        <f>Hoja1!K18</f>
        <v>ZONA</v>
      </c>
      <c r="H18" s="64" t="str">
        <f>Hoja1!L18</f>
        <v>COLONIA/CONDOMINIO</v>
      </c>
      <c r="I18" s="62" t="str">
        <f>Hoja1!N18</f>
        <v>FECHA DE INSPECCIÓN</v>
      </c>
      <c r="J18" s="65" t="str">
        <f>Hoja1!X18</f>
        <v>FECHA DE ENTREGA</v>
      </c>
      <c r="K18" s="66" t="str">
        <f>Hoja1!T18</f>
        <v>PROCESO?</v>
      </c>
    </row>
    <row r="19" spans="1:11" ht="71" customHeight="1">
      <c r="A19" s="67">
        <f t="shared" si="0"/>
        <v>17</v>
      </c>
      <c r="B19" s="60" t="str">
        <f>Hoja1!B19</f>
        <v>ENTREGADO</v>
      </c>
      <c r="C19" s="61">
        <f>Hoja1!G19</f>
        <v>46168</v>
      </c>
      <c r="D19" s="62" t="str">
        <f>Hoja1!F19</f>
        <v>D-08-0089-2025</v>
      </c>
      <c r="E19" s="63" t="str">
        <f>Hoja1!H19</f>
        <v>RODAS OLIVA, VICTOR MANUEL</v>
      </c>
      <c r="F19" s="64">
        <f>Hoja1!J19</f>
        <v>0</v>
      </c>
      <c r="G19" s="64">
        <f>Hoja1!K19</f>
        <v>8</v>
      </c>
      <c r="H19" s="64">
        <f>Hoja1!L19</f>
        <v>0</v>
      </c>
      <c r="I19" s="62">
        <f>Hoja1!N19</f>
        <v>46190</v>
      </c>
      <c r="J19" s="65" t="str">
        <f>Hoja1!X19</f>
        <v/>
      </c>
      <c r="K19" s="66" t="str">
        <f>Hoja1!T19</f>
        <v>OFICIO EXTERNO A CATASTRO REPORTANDO AREA DE DE FINCA MATRIZ Y AREA DE FINCA NUEVA</v>
      </c>
    </row>
    <row r="20" spans="1:11" ht="61" customHeight="1">
      <c r="A20" s="67">
        <f t="shared" si="0"/>
        <v>18</v>
      </c>
      <c r="B20" s="60" t="str">
        <f>Hoja1!B20</f>
        <v>ENTREGADO</v>
      </c>
      <c r="C20" s="61">
        <f>Hoja1!G20</f>
        <v>46182</v>
      </c>
      <c r="D20" s="62" t="str">
        <f>Hoja1!F20</f>
        <v>A-07-0425-2026</v>
      </c>
      <c r="E20" s="63" t="str">
        <f>Hoja1!H20</f>
        <v>MARROQUÍN RODAS, IRWIN WELINGTON</v>
      </c>
      <c r="F20" s="64" t="str">
        <f>Hoja1!J20</f>
        <v xml:space="preserve">5 CALLE 26-67 </v>
      </c>
      <c r="G20" s="64">
        <f>Hoja1!K20</f>
        <v>7</v>
      </c>
      <c r="H20" s="64">
        <f>Hoja1!L20</f>
        <v>0</v>
      </c>
      <c r="I20" s="62">
        <f>Hoja1!N20</f>
        <v>46190</v>
      </c>
      <c r="J20" s="65" t="str">
        <f>Hoja1!X20</f>
        <v/>
      </c>
      <c r="K20" s="66" t="str">
        <f>Hoja1!T20</f>
        <v>SE REGULARIZO EXPEDIENTE ASI TAMBIEN SE MANDO OFICIO EXTERNO A IUSI</v>
      </c>
    </row>
    <row r="21" spans="1:11" ht="64" customHeight="1">
      <c r="A21" s="67">
        <f t="shared" si="0"/>
        <v>19</v>
      </c>
      <c r="B21" s="60" t="str">
        <f>Hoja1!B21</f>
        <v>PENDIENTE</v>
      </c>
      <c r="C21" s="61">
        <f>Hoja1!G21</f>
        <v>46182</v>
      </c>
      <c r="D21" s="62" t="str">
        <f>Hoja1!F21</f>
        <v>A-07-0425-2026</v>
      </c>
      <c r="E21" s="63" t="str">
        <f>Hoja1!H21</f>
        <v>MARROQUÍN RODAS, IRWIN WELINGTON</v>
      </c>
      <c r="F21" s="64" t="str">
        <f>Hoja1!J21</f>
        <v xml:space="preserve">5 CALLE 26-67 </v>
      </c>
      <c r="G21" s="64">
        <f>Hoja1!K21</f>
        <v>7</v>
      </c>
      <c r="H21" s="64">
        <f>Hoja1!L21</f>
        <v>0</v>
      </c>
      <c r="I21" s="62">
        <f>Hoja1!N21</f>
        <v>46190</v>
      </c>
      <c r="J21" s="65" t="str">
        <f>Hoja1!X21</f>
        <v xml:space="preserve">YA SE MANDO REGULARIZACIÓN, EN ESPERA PARA ENTREGAR </v>
      </c>
      <c r="K21" s="66" t="str">
        <f>Hoja1!T21</f>
        <v>SE REGULARIZO EXPEDIENTE ASI TAMBIEN SE MANDO OFICIO EXTERNO A IUSI</v>
      </c>
    </row>
    <row r="22" spans="1:11" ht="48">
      <c r="A22" s="67">
        <f t="shared" si="0"/>
        <v>20</v>
      </c>
      <c r="B22" s="60" t="str">
        <f>Hoja1!B22</f>
        <v xml:space="preserve">PENDIENTE </v>
      </c>
      <c r="C22" s="61">
        <f>Hoja1!G22</f>
        <v>46189</v>
      </c>
      <c r="D22" s="62" t="str">
        <f>Hoja1!F22</f>
        <v>RPNP10-5860626</v>
      </c>
      <c r="E22" s="63" t="str">
        <f>Hoja1!H22</f>
        <v xml:space="preserve">POROJ COJULUM, ERVIN ALEJANDRO </v>
      </c>
      <c r="F22" s="64" t="str">
        <f>Hoja1!J22</f>
        <v>6 CALLE 1-76</v>
      </c>
      <c r="G22" s="64">
        <f>Hoja1!K22</f>
        <v>10</v>
      </c>
      <c r="H22" s="64">
        <f>Hoja1!L22</f>
        <v>0</v>
      </c>
      <c r="I22" s="62">
        <f>Hoja1!N22</f>
        <v>46190</v>
      </c>
      <c r="J22" s="65" t="str">
        <f>Hoja1!X22</f>
        <v>PRESENTAR 2DA HOJA DEL FORMULARIO RP</v>
      </c>
      <c r="K22" s="66" t="str">
        <f>Hoja1!T22</f>
        <v>INFORME AL  VECINO DEBIDO A QUE EXCEDE EL AREA INSPECCIONADA PERO AUN FALTA QUE TRAIGA UNA HOJA DEL FORMULARIO Y FOLEAR TODOOO</v>
      </c>
    </row>
    <row r="23" spans="1:11" ht="59" customHeight="1">
      <c r="B23" s="60" t="str">
        <f>Hoja1!B23</f>
        <v>ESTADO</v>
      </c>
      <c r="C23" s="61" t="str">
        <f>Hoja1!G23</f>
        <v>FECHA INGRESO</v>
      </c>
      <c r="D23" s="62" t="str">
        <f>Hoja1!F23</f>
        <v>EXPENDIENTE</v>
      </c>
      <c r="E23" s="63" t="str">
        <f>Hoja1!H23</f>
        <v xml:space="preserve">NOMBRE DEL PROPIETARIO </v>
      </c>
      <c r="F23" s="64" t="str">
        <f>Hoja1!J23</f>
        <v xml:space="preserve">DIRECCIÓN </v>
      </c>
      <c r="G23" s="64" t="str">
        <f>Hoja1!K23</f>
        <v>ZONA</v>
      </c>
      <c r="H23" s="64" t="str">
        <f>Hoja1!L23</f>
        <v>COLONIA/CONDOMINIO</v>
      </c>
      <c r="I23" s="62" t="str">
        <f>Hoja1!N23</f>
        <v>FECHA DE INSPECCIÓN</v>
      </c>
      <c r="J23" s="65" t="str">
        <f>Hoja1!X23</f>
        <v>FECHA DE ENTREGA</v>
      </c>
      <c r="K23" s="66" t="str">
        <f>Hoja1!T23</f>
        <v>PROCESO?</v>
      </c>
    </row>
    <row r="24" spans="1:11" ht="48">
      <c r="B24" s="60" t="str">
        <f>Hoja1!B24</f>
        <v>ENTREGADO</v>
      </c>
      <c r="C24" s="61">
        <f>Hoja1!G24</f>
        <v>46182</v>
      </c>
      <c r="D24" s="62" t="str">
        <f>Hoja1!F24</f>
        <v>1411-2026</v>
      </c>
      <c r="E24" s="63" t="str">
        <f>Hoja1!H24</f>
        <v xml:space="preserve">ALVARADO GONZÁLEZ, LEOPOLDO </v>
      </c>
      <c r="F24" s="64" t="str">
        <f>Hoja1!J24</f>
        <v>9 CALLE A, 0-41</v>
      </c>
      <c r="G24" s="64">
        <f>Hoja1!K24</f>
        <v>7</v>
      </c>
      <c r="H24" s="64" t="str">
        <f>Hoja1!L24</f>
        <v>CONDOMINIO LOS SANTOS</v>
      </c>
      <c r="I24" s="62">
        <f>Hoja1!N24</f>
        <v>46192</v>
      </c>
      <c r="J24" s="65">
        <f>Hoja1!X24</f>
        <v>46196</v>
      </c>
      <c r="K24" s="66" t="str">
        <f>Hoja1!T24</f>
        <v xml:space="preserve">OFICIO A IUSI ACTUALIZANDO AREA DE CONSTRUCCIÓN </v>
      </c>
    </row>
    <row r="25" spans="1:11" ht="48">
      <c r="B25" s="60" t="str">
        <f>Hoja1!B25</f>
        <v>ENTREGADO</v>
      </c>
      <c r="C25" s="61">
        <f>Hoja1!G25</f>
        <v>46063</v>
      </c>
      <c r="D25" s="62" t="str">
        <f>Hoja1!F25</f>
        <v>I-RCA80-1927-2025</v>
      </c>
      <c r="E25" s="63" t="str">
        <f>Hoja1!H25</f>
        <v>COYOY CAHUEX, SERGIO</v>
      </c>
      <c r="F25" s="64" t="str">
        <f>Hoja1!J25</f>
        <v>CHUICAVIOC</v>
      </c>
      <c r="G25" s="64" t="str">
        <f>Hoja1!K25</f>
        <v>RUR</v>
      </c>
      <c r="H25" s="64">
        <f>Hoja1!L25</f>
        <v>0</v>
      </c>
      <c r="I25" s="62">
        <f>Hoja1!N25</f>
        <v>46192</v>
      </c>
      <c r="J25" s="65">
        <f>Hoja1!X25</f>
        <v>46195</v>
      </c>
      <c r="K25" s="66" t="str">
        <f>Hoja1!T25</f>
        <v xml:space="preserve">OFICIO A CATASTRO DE CONSTRUCCIÓN INFORMAL </v>
      </c>
    </row>
    <row r="26" spans="1:11" ht="48">
      <c r="B26" s="60" t="str">
        <f>Hoja1!B26</f>
        <v>ESTADO</v>
      </c>
      <c r="C26" s="61" t="str">
        <f>Hoja1!G26</f>
        <v>FECHA INGRESO</v>
      </c>
      <c r="D26" s="62" t="str">
        <f>Hoja1!F26</f>
        <v>EXPENDIENTE</v>
      </c>
      <c r="E26" s="63" t="str">
        <f>Hoja1!H26</f>
        <v xml:space="preserve">NOMBRE DEL PROPIETARIO </v>
      </c>
      <c r="F26" s="64" t="str">
        <f>Hoja1!J26</f>
        <v xml:space="preserve">DIRECCIÓN </v>
      </c>
      <c r="G26" s="64" t="str">
        <f>Hoja1!K26</f>
        <v>ZONA</v>
      </c>
      <c r="H26" s="64" t="str">
        <f>Hoja1!L26</f>
        <v>COLONIA/CONDOMINIO</v>
      </c>
      <c r="I26" s="62" t="str">
        <f>Hoja1!N26</f>
        <v>FECHA DE INSPECCIÓN</v>
      </c>
      <c r="J26" s="65" t="str">
        <f>Hoja1!X26</f>
        <v>FECHA DE ENTREGA</v>
      </c>
      <c r="K26" s="66" t="str">
        <f>Hoja1!T26</f>
        <v>PROCESO?</v>
      </c>
    </row>
    <row r="27" spans="1:11" ht="48">
      <c r="B27" s="60" t="str">
        <f>Hoja1!B27</f>
        <v>PENDIENTE</v>
      </c>
      <c r="C27" s="61">
        <f>Hoja1!G27</f>
        <v>46174</v>
      </c>
      <c r="D27" s="62" t="str">
        <f>Hoja1!F27</f>
        <v>A-08-0322-2026</v>
      </c>
      <c r="E27" s="63" t="str">
        <f>Hoja1!H27</f>
        <v>OROZCO SANTOS, MARÍA HAIDEE</v>
      </c>
      <c r="F27" s="64" t="str">
        <f>Hoja1!J27</f>
        <v>DIAGONAL 2 0-80A INTERIOR</v>
      </c>
      <c r="G27" s="64">
        <f>Hoja1!K27</f>
        <v>8</v>
      </c>
      <c r="H27" s="64">
        <f>Hoja1!L27</f>
        <v>0</v>
      </c>
      <c r="I27" s="62">
        <f>Hoja1!N27</f>
        <v>46196</v>
      </c>
      <c r="J27" s="65" t="str">
        <f>Hoja1!X27</f>
        <v/>
      </c>
      <c r="K27" s="66">
        <f>Hoja1!T27</f>
        <v>0</v>
      </c>
    </row>
    <row r="28" spans="1:11" ht="16">
      <c r="B28" s="60" t="str">
        <f>Hoja1!B29</f>
        <v>PENDIENTE</v>
      </c>
      <c r="C28" s="61">
        <f>Hoja1!G29</f>
        <v>0</v>
      </c>
      <c r="D28" s="62">
        <f>Hoja1!F29</f>
        <v>0</v>
      </c>
      <c r="E28" s="63">
        <f>Hoja1!H29</f>
        <v>0</v>
      </c>
      <c r="F28" s="64">
        <f>Hoja1!J29</f>
        <v>0</v>
      </c>
      <c r="G28" s="64">
        <f>Hoja1!K29</f>
        <v>0</v>
      </c>
      <c r="H28" s="64"/>
      <c r="I28" s="62">
        <f>Hoja1!N29</f>
        <v>0</v>
      </c>
      <c r="J28" s="65" t="str">
        <f>Hoja1!X29</f>
        <v/>
      </c>
      <c r="K28" s="66">
        <f>Hoja1!T29</f>
        <v>0</v>
      </c>
    </row>
    <row r="29" spans="1:11">
      <c r="B29" s="60">
        <f>Hoja1!B30</f>
        <v>0</v>
      </c>
      <c r="C29" s="61">
        <f>Hoja1!G30</f>
        <v>0</v>
      </c>
      <c r="D29" s="62">
        <f>Hoja1!F30</f>
        <v>0</v>
      </c>
      <c r="E29" s="63">
        <f>Hoja1!H30</f>
        <v>0</v>
      </c>
      <c r="F29" s="64">
        <f>Hoja1!J30</f>
        <v>0</v>
      </c>
      <c r="G29" s="64">
        <f>Hoja1!K30</f>
        <v>0</v>
      </c>
      <c r="H29" s="64"/>
      <c r="I29" s="62">
        <f>Hoja1!N30</f>
        <v>0</v>
      </c>
      <c r="J29" s="65">
        <f>Hoja1!X30</f>
        <v>0</v>
      </c>
      <c r="K29" s="66">
        <f>Hoja1!T30</f>
        <v>0</v>
      </c>
    </row>
    <row r="30" spans="1:11">
      <c r="B30" s="60">
        <f>Hoja1!B31</f>
        <v>0</v>
      </c>
      <c r="C30" s="61">
        <f>Hoja1!G31</f>
        <v>0</v>
      </c>
      <c r="D30" s="62">
        <f>Hoja1!F31</f>
        <v>0</v>
      </c>
      <c r="E30" s="63">
        <f>Hoja1!H31</f>
        <v>0</v>
      </c>
      <c r="F30" s="64">
        <f>Hoja1!J31</f>
        <v>0</v>
      </c>
      <c r="G30" s="64">
        <f>Hoja1!K31</f>
        <v>0</v>
      </c>
      <c r="H30" s="64"/>
      <c r="I30" s="62">
        <f>Hoja1!N31</f>
        <v>0</v>
      </c>
      <c r="J30" s="65">
        <f>Hoja1!X31</f>
        <v>0</v>
      </c>
      <c r="K30" s="66">
        <f>Hoja1!T31</f>
        <v>0</v>
      </c>
    </row>
    <row r="31" spans="1:11">
      <c r="B31" s="60">
        <f>Hoja1!B32</f>
        <v>0</v>
      </c>
      <c r="C31" s="61">
        <f>Hoja1!G32</f>
        <v>0</v>
      </c>
      <c r="D31" s="62">
        <f>Hoja1!F32</f>
        <v>0</v>
      </c>
      <c r="E31" s="63">
        <f>Hoja1!H32</f>
        <v>0</v>
      </c>
      <c r="F31" s="64">
        <f>Hoja1!J32</f>
        <v>0</v>
      </c>
      <c r="G31" s="64">
        <f>Hoja1!K32</f>
        <v>0</v>
      </c>
      <c r="H31" s="64"/>
      <c r="I31" s="62">
        <f>Hoja1!N32</f>
        <v>0</v>
      </c>
      <c r="J31" s="65">
        <f>Hoja1!X32</f>
        <v>0</v>
      </c>
      <c r="K31" s="66">
        <f>Hoja1!T32</f>
        <v>0</v>
      </c>
    </row>
    <row r="32" spans="1:11">
      <c r="B32" s="60">
        <f>Hoja1!B33</f>
        <v>0</v>
      </c>
      <c r="C32" s="61">
        <f>Hoja1!G33</f>
        <v>0</v>
      </c>
      <c r="D32" s="62">
        <f>Hoja1!F33</f>
        <v>0</v>
      </c>
      <c r="E32" s="63">
        <f>Hoja1!H33</f>
        <v>0</v>
      </c>
      <c r="F32" s="64">
        <f>Hoja1!J33</f>
        <v>0</v>
      </c>
      <c r="G32" s="64">
        <f>Hoja1!K33</f>
        <v>0</v>
      </c>
      <c r="H32" s="64"/>
      <c r="I32" s="62">
        <f>Hoja1!N33</f>
        <v>0</v>
      </c>
      <c r="J32" s="65">
        <f>Hoja1!X33</f>
        <v>0</v>
      </c>
      <c r="K32" s="66">
        <f>Hoja1!T33</f>
        <v>0</v>
      </c>
    </row>
    <row r="33" spans="2:11">
      <c r="B33" s="60">
        <f>Hoja1!B34</f>
        <v>0</v>
      </c>
      <c r="C33" s="61">
        <f>Hoja1!G34</f>
        <v>0</v>
      </c>
      <c r="D33" s="62">
        <f>Hoja1!F34</f>
        <v>0</v>
      </c>
      <c r="E33" s="63">
        <f>Hoja1!H34</f>
        <v>0</v>
      </c>
      <c r="F33" s="64">
        <f>Hoja1!J34</f>
        <v>0</v>
      </c>
      <c r="G33" s="64">
        <f>Hoja1!K34</f>
        <v>0</v>
      </c>
      <c r="H33" s="64"/>
      <c r="I33" s="62">
        <f>Hoja1!N34</f>
        <v>0</v>
      </c>
      <c r="J33" s="65">
        <f>Hoja1!X34</f>
        <v>0</v>
      </c>
      <c r="K33" s="66">
        <f>Hoja1!T34</f>
        <v>0</v>
      </c>
    </row>
    <row r="34" spans="2:11">
      <c r="B34" s="60">
        <f>Hoja1!B35</f>
        <v>0</v>
      </c>
      <c r="C34" s="61">
        <f>Hoja1!G35</f>
        <v>0</v>
      </c>
      <c r="D34" s="62">
        <f>Hoja1!F35</f>
        <v>0</v>
      </c>
      <c r="E34" s="63">
        <f>Hoja1!H35</f>
        <v>0</v>
      </c>
      <c r="F34" s="64">
        <f>Hoja1!J35</f>
        <v>0</v>
      </c>
      <c r="G34" s="64">
        <f>Hoja1!K35</f>
        <v>0</v>
      </c>
      <c r="H34" s="64"/>
      <c r="I34" s="62">
        <f>Hoja1!N35</f>
        <v>0</v>
      </c>
      <c r="J34" s="65">
        <f>Hoja1!X35</f>
        <v>0</v>
      </c>
      <c r="K34" s="66">
        <f>Hoja1!T35</f>
        <v>0</v>
      </c>
    </row>
    <row r="35" spans="2:11">
      <c r="B35" s="60">
        <f>Hoja1!B36</f>
        <v>0</v>
      </c>
      <c r="C35" s="61">
        <f>Hoja1!G36</f>
        <v>0</v>
      </c>
      <c r="D35" s="62">
        <f>Hoja1!F36</f>
        <v>0</v>
      </c>
      <c r="E35" s="63">
        <f>Hoja1!H36</f>
        <v>0</v>
      </c>
      <c r="F35" s="64">
        <f>Hoja1!J36</f>
        <v>0</v>
      </c>
      <c r="G35" s="64">
        <f>Hoja1!K36</f>
        <v>0</v>
      </c>
      <c r="H35" s="64"/>
      <c r="I35" s="62">
        <f>Hoja1!N36</f>
        <v>0</v>
      </c>
      <c r="J35" s="65">
        <f>Hoja1!X36</f>
        <v>0</v>
      </c>
      <c r="K35" s="66">
        <f>Hoja1!T36</f>
        <v>0</v>
      </c>
    </row>
  </sheetData>
  <mergeCells count="1">
    <mergeCell ref="A1:K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CA81-AF38-1749-B2A7-2C8F8297BA71}">
  <sheetPr codeName="Hoja3"/>
  <dimension ref="A1:G32"/>
  <sheetViews>
    <sheetView topLeftCell="A15" zoomScale="150" workbookViewId="0">
      <selection activeCell="B25" sqref="B25:G25"/>
    </sheetView>
  </sheetViews>
  <sheetFormatPr baseColWidth="10" defaultRowHeight="16"/>
  <cols>
    <col min="1" max="1" width="10.83203125" style="5"/>
    <col min="2" max="2" width="17.1640625" style="5" customWidth="1"/>
    <col min="3" max="7" width="10.83203125" style="5"/>
  </cols>
  <sheetData>
    <row r="1" spans="1:7" ht="24">
      <c r="A1" s="47" t="s">
        <v>108</v>
      </c>
      <c r="B1" s="48"/>
      <c r="C1" s="48"/>
      <c r="D1" s="48"/>
      <c r="E1" s="48"/>
      <c r="F1" s="48"/>
      <c r="G1" s="49"/>
    </row>
    <row r="2" spans="1:7" ht="45">
      <c r="A2" s="20" t="s">
        <v>87</v>
      </c>
      <c r="B2" s="21" t="s">
        <v>89</v>
      </c>
      <c r="C2" s="21" t="s">
        <v>90</v>
      </c>
      <c r="D2" s="21" t="s">
        <v>91</v>
      </c>
      <c r="E2" s="21" t="s">
        <v>29</v>
      </c>
      <c r="F2" s="21" t="s">
        <v>92</v>
      </c>
      <c r="G2" s="20" t="s">
        <v>109</v>
      </c>
    </row>
    <row r="3" spans="1:7" ht="75">
      <c r="A3" s="15">
        <v>1</v>
      </c>
      <c r="B3" s="22" t="s">
        <v>95</v>
      </c>
      <c r="C3" s="17" t="s">
        <v>110</v>
      </c>
      <c r="D3" s="18" t="s">
        <v>111</v>
      </c>
      <c r="E3" s="17">
        <v>3</v>
      </c>
      <c r="F3" s="18"/>
      <c r="G3" s="22">
        <v>46174</v>
      </c>
    </row>
    <row r="4" spans="1:7" ht="60">
      <c r="A4" s="15">
        <v>2</v>
      </c>
      <c r="B4" s="22" t="s">
        <v>96</v>
      </c>
      <c r="C4" s="17" t="s">
        <v>112</v>
      </c>
      <c r="D4" s="18" t="s">
        <v>113</v>
      </c>
      <c r="E4" s="17">
        <v>10</v>
      </c>
      <c r="F4" s="18"/>
      <c r="G4" s="22">
        <v>46174</v>
      </c>
    </row>
    <row r="5" spans="1:7" ht="30">
      <c r="A5" s="15">
        <v>4</v>
      </c>
      <c r="B5" s="22" t="s">
        <v>97</v>
      </c>
      <c r="C5" s="17" t="s">
        <v>98</v>
      </c>
      <c r="D5" s="18" t="s">
        <v>114</v>
      </c>
      <c r="E5" s="17">
        <v>10</v>
      </c>
      <c r="F5" s="18"/>
      <c r="G5" s="22">
        <v>46176</v>
      </c>
    </row>
    <row r="6" spans="1:7" ht="60">
      <c r="A6" s="15">
        <v>5</v>
      </c>
      <c r="B6" s="22" t="s">
        <v>99</v>
      </c>
      <c r="C6" s="17" t="s">
        <v>100</v>
      </c>
      <c r="D6" s="18" t="s">
        <v>115</v>
      </c>
      <c r="E6" s="17">
        <v>10</v>
      </c>
      <c r="F6" s="18"/>
      <c r="G6" s="22">
        <v>46176</v>
      </c>
    </row>
    <row r="7" spans="1:7" ht="60">
      <c r="A7" s="15">
        <v>6</v>
      </c>
      <c r="B7" s="22" t="s">
        <v>101</v>
      </c>
      <c r="C7" s="17" t="s">
        <v>116</v>
      </c>
      <c r="D7" s="18" t="s">
        <v>117</v>
      </c>
      <c r="E7" s="17"/>
      <c r="F7" s="18"/>
      <c r="G7" s="22">
        <v>46176</v>
      </c>
    </row>
    <row r="8" spans="1:7" ht="60">
      <c r="A8" s="15">
        <v>7</v>
      </c>
      <c r="B8" s="22" t="s">
        <v>102</v>
      </c>
      <c r="C8" s="17" t="s">
        <v>103</v>
      </c>
      <c r="D8" s="19" t="s">
        <v>118</v>
      </c>
      <c r="E8" s="15" t="s">
        <v>58</v>
      </c>
      <c r="F8" s="15"/>
      <c r="G8" s="23">
        <v>46178</v>
      </c>
    </row>
    <row r="9" spans="1:7" ht="45">
      <c r="A9" s="15">
        <v>8</v>
      </c>
      <c r="B9" s="22" t="s">
        <v>1</v>
      </c>
      <c r="C9" s="17" t="s">
        <v>119</v>
      </c>
      <c r="D9" s="19" t="s">
        <v>120</v>
      </c>
      <c r="E9" s="17">
        <v>5</v>
      </c>
      <c r="F9" s="15"/>
      <c r="G9" s="23">
        <v>46178</v>
      </c>
    </row>
    <row r="10" spans="1:7" ht="45">
      <c r="A10" s="15">
        <v>12</v>
      </c>
      <c r="B10" s="22" t="str">
        <f>Hoja1!F7</f>
        <v>ANTND10-1500626</v>
      </c>
      <c r="C10" s="17" t="str">
        <f>Hoja1!H7</f>
        <v>DIAZ MENCHO, ARTEMIO</v>
      </c>
      <c r="D10" s="19" t="str">
        <f>Hoja1!J7</f>
        <v>CALLEJON 10 8A 0-19</v>
      </c>
      <c r="E10" s="19">
        <f>Hoja1!K7</f>
        <v>10</v>
      </c>
      <c r="F10" s="19">
        <f>Hoja1!L7</f>
        <v>0</v>
      </c>
      <c r="G10" s="23">
        <f>Hoja1!N7</f>
        <v>46182</v>
      </c>
    </row>
    <row r="11" spans="1:7" ht="45">
      <c r="A11" s="15">
        <v>13</v>
      </c>
      <c r="B11" s="22" t="str">
        <f>Hoja1!F8</f>
        <v>I-13-1172-2022</v>
      </c>
      <c r="C11" s="17" t="str">
        <f>Hoja1!H8</f>
        <v>MORALES RIVERA, MANOLO</v>
      </c>
      <c r="D11" s="19" t="str">
        <f>Hoja1!J8</f>
        <v xml:space="preserve">CANTON CHICHIGUITAN </v>
      </c>
      <c r="E11" s="19" t="str">
        <f>Hoja1!K8</f>
        <v>RUR</v>
      </c>
      <c r="F11" s="19">
        <f>Hoja1!L8</f>
        <v>0</v>
      </c>
      <c r="G11" s="23">
        <f>Hoja1!N8</f>
        <v>46182</v>
      </c>
    </row>
    <row r="12" spans="1:7" ht="75">
      <c r="A12" s="15">
        <v>14</v>
      </c>
      <c r="B12" s="22" t="str">
        <f>Hoja1!F9</f>
        <v>DMNG5-100626</v>
      </c>
      <c r="C12" s="17" t="str">
        <f>Hoja1!H9</f>
        <v>GOMEZ, SHIRLY MARITZABETH VILLAGRAN AGUILAR DE</v>
      </c>
      <c r="D12" s="19" t="str">
        <f>Hoja1!J9</f>
        <v>5 AV. 1-23</v>
      </c>
      <c r="E12" s="19">
        <f>Hoja1!K9</f>
        <v>5</v>
      </c>
      <c r="F12" s="19" t="str">
        <f>Hoja1!L9</f>
        <v>COLINIA MOLINA</v>
      </c>
      <c r="G12" s="23">
        <f>Hoja1!N9</f>
        <v>46182</v>
      </c>
    </row>
    <row r="13" spans="1:7" ht="45">
      <c r="A13" s="15">
        <v>15</v>
      </c>
      <c r="B13" s="22" t="str">
        <f>Hoja1!F11</f>
        <v>RPNG6-5990626</v>
      </c>
      <c r="C13" s="17" t="str">
        <f>Hoja1!H11</f>
        <v xml:space="preserve">GRAVE HERNANDEZ, GENARO </v>
      </c>
      <c r="D13" s="19" t="str">
        <f>Hoja1!J11</f>
        <v>DIAGONAL 10, C14-82</v>
      </c>
      <c r="E13" s="19">
        <f>Hoja1!K11</f>
        <v>6</v>
      </c>
      <c r="F13" s="19">
        <f>Hoja1!L11</f>
        <v>0</v>
      </c>
      <c r="G13" s="23">
        <f>Hoja1!N11</f>
        <v>46184</v>
      </c>
    </row>
    <row r="14" spans="1:7" ht="44" customHeight="1">
      <c r="A14" s="15">
        <v>16</v>
      </c>
      <c r="B14" s="22" t="str">
        <f>Hoja1!F12</f>
        <v>RPNP8-5980626</v>
      </c>
      <c r="C14" s="17" t="str">
        <f>Hoja1!H12</f>
        <v>PEREZ UTUY, MIGUEL JOSE</v>
      </c>
      <c r="D14" s="19" t="str">
        <f>Hoja1!J12</f>
        <v>4 CALLE 38-79A</v>
      </c>
      <c r="E14" s="19">
        <f>Hoja1!K12</f>
        <v>8</v>
      </c>
      <c r="F14" s="19">
        <f>Hoja1!L12</f>
        <v>0</v>
      </c>
      <c r="G14" s="23">
        <f>Hoja1!N12</f>
        <v>46184</v>
      </c>
    </row>
    <row r="15" spans="1:7" ht="79" customHeight="1">
      <c r="A15" s="15">
        <v>17</v>
      </c>
      <c r="B15" s="22" t="str">
        <f>Hoja1!F14</f>
        <v>A-RCA70-0707-2025</v>
      </c>
      <c r="C15" s="17" t="str">
        <f>Hoja1!H14</f>
        <v>MORALES HERNÁNDEZ, WILLIAM AMADO</v>
      </c>
      <c r="D15" s="19" t="str">
        <f>Hoja1!J14</f>
        <v>CHICHIGUITAN</v>
      </c>
      <c r="E15" s="19" t="str">
        <f>Hoja1!K14</f>
        <v>RUR</v>
      </c>
      <c r="F15" s="19" t="str">
        <f>Hoja1!L14</f>
        <v xml:space="preserve">CIUDAD VERDE </v>
      </c>
      <c r="G15" s="23">
        <f>Hoja1!N14</f>
        <v>46188</v>
      </c>
    </row>
    <row r="16" spans="1:7" ht="97" customHeight="1">
      <c r="A16" s="5">
        <v>18</v>
      </c>
      <c r="B16" s="22" t="str">
        <f>Hoja1!F15</f>
        <v>A-RCA70-0671-2025</v>
      </c>
      <c r="C16" s="17" t="str">
        <f>Hoja1!H15</f>
        <v>CHAJCHALAC CITALÁN, MARLYN MAYARY</v>
      </c>
      <c r="D16" s="19" t="str">
        <f>Hoja1!J15</f>
        <v>CHICHIGUITAN</v>
      </c>
      <c r="E16" s="19" t="str">
        <f>Hoja1!K15</f>
        <v>RUR</v>
      </c>
      <c r="F16" s="19" t="str">
        <f>Hoja1!L15</f>
        <v xml:space="preserve">CIUDAD VERDE </v>
      </c>
      <c r="G16" s="23">
        <f>Hoja1!N15</f>
        <v>46188</v>
      </c>
    </row>
    <row r="17" spans="1:7" ht="81" customHeight="1">
      <c r="A17" s="5">
        <v>19</v>
      </c>
      <c r="B17" s="22" t="str">
        <f>Hoja1!F16</f>
        <v>A-RCA70-0819-2025</v>
      </c>
      <c r="C17" s="17" t="str">
        <f>Hoja1!H16</f>
        <v>CARRILLO BATEN, ERVIN BENJAMÍN</v>
      </c>
      <c r="D17" s="19" t="str">
        <f>Hoja1!J16</f>
        <v>CHICHIGUITAN</v>
      </c>
      <c r="E17" s="19" t="str">
        <f>Hoja1!K16</f>
        <v>RUR</v>
      </c>
      <c r="F17" s="19" t="str">
        <f>Hoja1!L16</f>
        <v xml:space="preserve">CIUDAD VERDE </v>
      </c>
      <c r="G17" s="23">
        <f>Hoja1!N16</f>
        <v>46188</v>
      </c>
    </row>
    <row r="18" spans="1:7" ht="45">
      <c r="A18" s="5">
        <v>20</v>
      </c>
      <c r="B18" s="22" t="str">
        <f>Hoja1!F17</f>
        <v>JAM-J-570-2026</v>
      </c>
      <c r="C18" s="17" t="str">
        <f>Hoja1!H17</f>
        <v>CAJAS ITZEP, RAFAEL SALVADOR</v>
      </c>
      <c r="D18" s="19" t="str">
        <f>Hoja1!J17</f>
        <v>8 AVENIDA 0-10</v>
      </c>
      <c r="E18" s="19">
        <f>Hoja1!K17</f>
        <v>1</v>
      </c>
      <c r="F18" s="19">
        <f>Hoja1!L17</f>
        <v>0</v>
      </c>
      <c r="G18" s="23">
        <f>Hoja1!N17</f>
        <v>46135</v>
      </c>
    </row>
    <row r="19" spans="1:7" ht="45">
      <c r="A19" s="5">
        <v>21</v>
      </c>
      <c r="B19" s="22" t="str">
        <f>Hoja1!F18</f>
        <v>EXPENDIENTE</v>
      </c>
      <c r="C19" s="17" t="str">
        <f>Hoja1!H18</f>
        <v xml:space="preserve">NOMBRE DEL PROPIETARIO </v>
      </c>
      <c r="D19" s="19" t="str">
        <f>Hoja1!J18</f>
        <v xml:space="preserve">DIRECCIÓN </v>
      </c>
      <c r="E19" s="19" t="str">
        <f>Hoja1!K18</f>
        <v>ZONA</v>
      </c>
      <c r="F19" s="19" t="str">
        <f>Hoja1!L18</f>
        <v>COLONIA/CONDOMINIO</v>
      </c>
      <c r="G19" s="23" t="str">
        <f>Hoja1!N18</f>
        <v>FECHA DE INSPECCIÓN</v>
      </c>
    </row>
    <row r="20" spans="1:7" ht="45">
      <c r="A20" s="5">
        <v>22</v>
      </c>
      <c r="B20" s="22" t="str">
        <f>Hoja1!F19</f>
        <v>D-08-0089-2025</v>
      </c>
      <c r="C20" s="17" t="str">
        <f>Hoja1!H19</f>
        <v>RODAS OLIVA, VICTOR MANUEL</v>
      </c>
      <c r="D20" s="19">
        <f>Hoja1!J19</f>
        <v>0</v>
      </c>
      <c r="E20" s="19">
        <f>Hoja1!K19</f>
        <v>8</v>
      </c>
      <c r="F20" s="19">
        <f>Hoja1!L19</f>
        <v>0</v>
      </c>
      <c r="G20" s="23">
        <f>Hoja1!N19</f>
        <v>46190</v>
      </c>
    </row>
    <row r="21" spans="1:7" ht="45">
      <c r="A21" s="5">
        <v>23</v>
      </c>
      <c r="B21" s="22" t="str">
        <f>Hoja1!F20</f>
        <v>A-07-0425-2026</v>
      </c>
      <c r="C21" s="17" t="str">
        <f>Hoja1!H20</f>
        <v>MARROQUÍN RODAS, IRWIN WELINGTON</v>
      </c>
      <c r="D21" s="19" t="str">
        <f>Hoja1!J20</f>
        <v xml:space="preserve">5 CALLE 26-67 </v>
      </c>
      <c r="E21" s="19">
        <f>Hoja1!K20</f>
        <v>7</v>
      </c>
      <c r="F21" s="19">
        <f>Hoja1!L20</f>
        <v>0</v>
      </c>
      <c r="G21" s="23">
        <f>Hoja1!N20</f>
        <v>46190</v>
      </c>
    </row>
    <row r="22" spans="1:7" ht="45">
      <c r="A22" s="5">
        <v>24</v>
      </c>
      <c r="B22" s="22" t="str">
        <f>Hoja1!F21</f>
        <v>A-07-0425-2026</v>
      </c>
      <c r="C22" s="17" t="str">
        <f>Hoja1!H21</f>
        <v>MARROQUÍN RODAS, IRWIN WELINGTON</v>
      </c>
      <c r="D22" s="19" t="str">
        <f>Hoja1!J21</f>
        <v xml:space="preserve">5 CALLE 26-67 </v>
      </c>
      <c r="E22" s="19">
        <f>Hoja1!K21</f>
        <v>7</v>
      </c>
      <c r="F22" s="19">
        <f>Hoja1!L21</f>
        <v>0</v>
      </c>
      <c r="G22" s="23">
        <f>Hoja1!N21</f>
        <v>46190</v>
      </c>
    </row>
    <row r="23" spans="1:7" ht="45">
      <c r="A23" s="5">
        <v>25</v>
      </c>
      <c r="B23" s="22" t="str">
        <f>Hoja1!F22</f>
        <v>RPNP10-5860626</v>
      </c>
      <c r="C23" s="17" t="str">
        <f>Hoja1!H22</f>
        <v xml:space="preserve">POROJ COJULUM, ERVIN ALEJANDRO </v>
      </c>
      <c r="D23" s="19" t="str">
        <f>Hoja1!J22</f>
        <v>6 CALLE 1-76</v>
      </c>
      <c r="E23" s="19">
        <f>Hoja1!K22</f>
        <v>10</v>
      </c>
      <c r="F23" s="19">
        <f>Hoja1!L22</f>
        <v>0</v>
      </c>
      <c r="G23" s="23">
        <f>Hoja1!N22</f>
        <v>46190</v>
      </c>
    </row>
    <row r="24" spans="1:7" ht="45">
      <c r="A24" s="5">
        <v>26</v>
      </c>
      <c r="B24" s="22" t="str">
        <f>Hoja1!F23</f>
        <v>EXPENDIENTE</v>
      </c>
      <c r="C24" s="17" t="str">
        <f>Hoja1!H23</f>
        <v xml:space="preserve">NOMBRE DEL PROPIETARIO </v>
      </c>
      <c r="D24" s="19" t="str">
        <f>Hoja1!J23</f>
        <v xml:space="preserve">DIRECCIÓN </v>
      </c>
      <c r="E24" s="19" t="str">
        <f>Hoja1!K23</f>
        <v>ZONA</v>
      </c>
      <c r="F24" s="19" t="str">
        <f>Hoja1!L23</f>
        <v>COLONIA/CONDOMINIO</v>
      </c>
      <c r="G24" s="23" t="str">
        <f>Hoja1!N23</f>
        <v>FECHA DE INSPECCIÓN</v>
      </c>
    </row>
    <row r="25" spans="1:7" ht="45">
      <c r="A25" s="5">
        <v>27</v>
      </c>
      <c r="B25" s="22" t="str">
        <f>Hoja1!F24</f>
        <v>1411-2026</v>
      </c>
      <c r="C25" s="17" t="str">
        <f>Hoja1!H24</f>
        <v xml:space="preserve">ALVARADO GONZÁLEZ, LEOPOLDO </v>
      </c>
      <c r="D25" s="19" t="str">
        <f>Hoja1!J24</f>
        <v>9 CALLE A, 0-41</v>
      </c>
      <c r="E25" s="19">
        <f>Hoja1!K24</f>
        <v>7</v>
      </c>
      <c r="F25" s="19" t="str">
        <f>Hoja1!L24</f>
        <v>CONDOMINIO LOS SANTOS</v>
      </c>
      <c r="G25" s="23">
        <f>Hoja1!N24</f>
        <v>46192</v>
      </c>
    </row>
    <row r="26" spans="1:7" ht="45">
      <c r="A26" s="5">
        <v>28</v>
      </c>
      <c r="B26" s="22" t="str">
        <f>Hoja1!F25</f>
        <v>I-RCA80-1927-2025</v>
      </c>
      <c r="C26" s="17" t="str">
        <f>Hoja1!H25</f>
        <v>COYOY CAHUEX, SERGIO</v>
      </c>
      <c r="D26" s="19" t="str">
        <f>Hoja1!J25</f>
        <v>CHUICAVIOC</v>
      </c>
      <c r="E26" s="19" t="str">
        <f>Hoja1!K25</f>
        <v>RUR</v>
      </c>
      <c r="F26" s="19">
        <f>Hoja1!L25</f>
        <v>0</v>
      </c>
      <c r="G26" s="23">
        <f>Hoja1!N25</f>
        <v>46192</v>
      </c>
    </row>
    <row r="27" spans="1:7" ht="45">
      <c r="A27" s="5">
        <v>29</v>
      </c>
      <c r="B27" s="22" t="str">
        <f>Hoja1!F26</f>
        <v>EXPENDIENTE</v>
      </c>
      <c r="C27" s="17" t="str">
        <f>Hoja1!H26</f>
        <v xml:space="preserve">NOMBRE DEL PROPIETARIO </v>
      </c>
      <c r="D27" s="19" t="str">
        <f>Hoja1!J26</f>
        <v xml:space="preserve">DIRECCIÓN </v>
      </c>
      <c r="E27" s="19" t="str">
        <f>Hoja1!K26</f>
        <v>ZONA</v>
      </c>
      <c r="F27" s="19" t="str">
        <f>Hoja1!L26</f>
        <v>COLONIA/CONDOMINIO</v>
      </c>
      <c r="G27" s="23" t="str">
        <f>Hoja1!N26</f>
        <v>FECHA DE INSPECCIÓN</v>
      </c>
    </row>
    <row r="28" spans="1:7" ht="45">
      <c r="A28" s="5">
        <v>30</v>
      </c>
      <c r="B28" s="22" t="str">
        <f>Hoja1!F27</f>
        <v>A-08-0322-2026</v>
      </c>
      <c r="C28" s="17" t="str">
        <f>Hoja1!H27</f>
        <v>OROZCO SANTOS, MARÍA HAIDEE</v>
      </c>
      <c r="D28" s="19" t="str">
        <f>Hoja1!J27</f>
        <v>DIAGONAL 2 0-80A INTERIOR</v>
      </c>
      <c r="E28" s="19">
        <f>Hoja1!K27</f>
        <v>8</v>
      </c>
      <c r="F28" s="19">
        <f>Hoja1!L27</f>
        <v>0</v>
      </c>
      <c r="G28" s="23">
        <f>Hoja1!N27</f>
        <v>46196</v>
      </c>
    </row>
    <row r="29" spans="1:7" ht="45">
      <c r="A29" s="5">
        <v>31</v>
      </c>
      <c r="B29" s="22">
        <f>Hoja1!F28</f>
        <v>0</v>
      </c>
      <c r="C29" s="17">
        <f>Hoja1!H28</f>
        <v>0</v>
      </c>
      <c r="D29" s="19">
        <f>Hoja1!J28</f>
        <v>0</v>
      </c>
      <c r="E29" s="19">
        <f>Hoja1!K28</f>
        <v>0</v>
      </c>
      <c r="F29" s="19">
        <f>Hoja1!L28</f>
        <v>0</v>
      </c>
      <c r="G29" s="23">
        <f>Hoja1!N28</f>
        <v>0</v>
      </c>
    </row>
    <row r="30" spans="1:7" ht="51">
      <c r="A30" s="5">
        <v>32</v>
      </c>
      <c r="B30" s="22">
        <f>Hoja1!F29</f>
        <v>0</v>
      </c>
      <c r="C30" s="17">
        <f>Hoja1!H29</f>
        <v>0</v>
      </c>
      <c r="D30" s="19">
        <f>Hoja1!J29</f>
        <v>0</v>
      </c>
      <c r="E30" s="19">
        <f>Hoja1!K29</f>
        <v>0</v>
      </c>
      <c r="F30" s="19">
        <f>Hoja1!L29</f>
        <v>0</v>
      </c>
      <c r="G30" s="23">
        <f>Hoja1!N29</f>
        <v>0</v>
      </c>
    </row>
    <row r="31" spans="1:7" ht="60">
      <c r="A31" s="5">
        <v>33</v>
      </c>
      <c r="B31" s="22">
        <f>Hoja1!F30</f>
        <v>0</v>
      </c>
      <c r="C31" s="17">
        <f>Hoja1!H30</f>
        <v>0</v>
      </c>
      <c r="D31" s="19">
        <f>Hoja1!J30</f>
        <v>0</v>
      </c>
      <c r="E31" s="19">
        <f>Hoja1!K30</f>
        <v>0</v>
      </c>
      <c r="F31" s="19">
        <f>Hoja1!L30</f>
        <v>0</v>
      </c>
      <c r="G31" s="23">
        <f>Hoja1!N30</f>
        <v>0</v>
      </c>
    </row>
    <row r="32" spans="1:7" ht="60">
      <c r="A32" s="5">
        <v>34</v>
      </c>
      <c r="B32" s="22">
        <f>Hoja1!F31</f>
        <v>0</v>
      </c>
      <c r="C32" s="17">
        <f>Hoja1!H31</f>
        <v>0</v>
      </c>
      <c r="D32" s="19">
        <f>Hoja1!J31</f>
        <v>0</v>
      </c>
      <c r="E32" s="19">
        <f>Hoja1!K31</f>
        <v>0</v>
      </c>
      <c r="F32" s="19">
        <f>Hoja1!L31</f>
        <v>0</v>
      </c>
      <c r="G32" s="23">
        <f>Hoja1!N31</f>
        <v>0</v>
      </c>
    </row>
  </sheetData>
  <mergeCells count="1">
    <mergeCell ref="A1:G1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45C0-A6DE-E444-9CBD-2CC130EC043C}">
  <sheetPr codeName="Hoja4"/>
  <dimension ref="B2:B3"/>
  <sheetViews>
    <sheetView workbookViewId="0">
      <selection activeCell="B6" sqref="B6"/>
    </sheetView>
  </sheetViews>
  <sheetFormatPr baseColWidth="10" defaultRowHeight="16"/>
  <sheetData>
    <row r="2" spans="2:2">
      <c r="B2" t="s">
        <v>22</v>
      </c>
    </row>
    <row r="3" spans="2:2">
      <c r="B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INFORME</vt:lpstr>
      <vt:lpstr>INSPECCIÓN</vt:lpstr>
      <vt:lpstr>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2026-06-08T16:29:03Z</dcterms:created>
  <dcterms:modified xsi:type="dcterms:W3CDTF">2026-06-23T23:53:06Z</dcterms:modified>
</cp:coreProperties>
</file>