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reto/Desktop/docs IVAN/REPORTE MENSUAL/"/>
    </mc:Choice>
  </mc:AlternateContent>
  <xr:revisionPtr revIDLastSave="0" documentId="13_ncr:1_{A79B3C2E-BF66-EB4E-AE76-DC0143AA9711}" xr6:coauthVersionLast="47" xr6:coauthVersionMax="47" xr10:uidLastSave="{00000000-0000-0000-0000-000000000000}"/>
  <bookViews>
    <workbookView xWindow="22400" yWindow="600" windowWidth="22400" windowHeight="22800" tabRatio="849" activeTab="1" xr2:uid="{00000000-000D-0000-FFFF-FFFF00000000}"/>
  </bookViews>
  <sheets>
    <sheet name="DETALLE" sheetId="13" r:id="rId1"/>
    <sheet name="INFORME " sheetId="10" r:id="rId2"/>
    <sheet name="Hoja1" sheetId="18" state="hidden" r:id="rId3"/>
    <sheet name="INSP_" sheetId="6" r:id="rId4"/>
    <sheet name="LICENCIAS" sheetId="9" state="hidden" r:id="rId5"/>
    <sheet name="REPORTES" sheetId="12" r:id="rId6"/>
    <sheet name="JACKY" sheetId="11" state="hidden" r:id="rId7"/>
    <sheet name="PROV_" sheetId="2" r:id="rId8"/>
    <sheet name="INF. EXT" sheetId="17" r:id="rId9"/>
    <sheet name="OFICIOS" sheetId="1" r:id="rId10"/>
    <sheet name="ARCHIVO" sheetId="15" r:id="rId11"/>
    <sheet name="IMP_PEND" sheetId="16" r:id="rId12"/>
    <sheet name="INGRESADOS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0" l="1"/>
  <c r="B6" i="18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8" i="18" s="1"/>
  <c r="B297" i="10"/>
  <c r="B298" i="10" s="1"/>
  <c r="B299" i="10" s="1"/>
  <c r="B300" i="10" s="1"/>
  <c r="B301" i="10" s="1"/>
  <c r="B290" i="10"/>
  <c r="B291" i="10" s="1"/>
  <c r="B292" i="10" s="1"/>
  <c r="B293" i="10" s="1"/>
  <c r="B273" i="10"/>
  <c r="B274" i="10" s="1"/>
  <c r="B275" i="10" s="1"/>
  <c r="B276" i="10" s="1"/>
  <c r="B277" i="10" s="1"/>
  <c r="B266" i="10"/>
  <c r="B267" i="10" s="1"/>
  <c r="B268" i="10" s="1"/>
  <c r="B269" i="10" s="1"/>
  <c r="B30" i="18" l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252" i="10"/>
  <c r="B253" i="10" s="1"/>
  <c r="B254" i="10" s="1"/>
  <c r="B255" i="10" s="1"/>
  <c r="B256" i="10" s="1"/>
  <c r="B245" i="10"/>
  <c r="B246" i="10" s="1"/>
  <c r="B247" i="10" s="1"/>
  <c r="B248" i="10" s="1"/>
  <c r="B223" i="10"/>
  <c r="B224" i="10" s="1"/>
  <c r="B225" i="10" s="1"/>
  <c r="B226" i="10" s="1"/>
  <c r="B230" i="10" s="1"/>
  <c r="B231" i="10" s="1"/>
  <c r="B232" i="10" s="1"/>
  <c r="B233" i="10" s="1"/>
  <c r="B234" i="10" s="1"/>
  <c r="B205" i="10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S476" i="13" l="1"/>
  <c r="L476" i="13"/>
  <c r="K476" i="13"/>
  <c r="I476" i="13"/>
  <c r="H476" i="13"/>
  <c r="G476" i="13"/>
  <c r="F476" i="13"/>
  <c r="D476" i="13"/>
  <c r="C476" i="13"/>
  <c r="S475" i="13"/>
  <c r="L475" i="13"/>
  <c r="K475" i="13"/>
  <c r="I475" i="13"/>
  <c r="H475" i="13"/>
  <c r="G475" i="13"/>
  <c r="F475" i="13"/>
  <c r="D475" i="13"/>
  <c r="C475" i="13"/>
  <c r="S474" i="13"/>
  <c r="L474" i="13"/>
  <c r="K474" i="13"/>
  <c r="I474" i="13"/>
  <c r="H474" i="13"/>
  <c r="G474" i="13"/>
  <c r="F474" i="13"/>
  <c r="D474" i="13"/>
  <c r="C474" i="13"/>
  <c r="S473" i="13"/>
  <c r="L473" i="13"/>
  <c r="K473" i="13"/>
  <c r="I473" i="13"/>
  <c r="H473" i="13"/>
  <c r="G473" i="13"/>
  <c r="F473" i="13"/>
  <c r="D473" i="13"/>
  <c r="C473" i="13"/>
  <c r="S472" i="13"/>
  <c r="L472" i="13"/>
  <c r="K472" i="13"/>
  <c r="I472" i="13"/>
  <c r="H472" i="13"/>
  <c r="G472" i="13"/>
  <c r="F472" i="13"/>
  <c r="D472" i="13"/>
  <c r="C472" i="13"/>
  <c r="S471" i="13"/>
  <c r="L471" i="13"/>
  <c r="K471" i="13"/>
  <c r="I471" i="13"/>
  <c r="H471" i="13"/>
  <c r="G471" i="13"/>
  <c r="F471" i="13"/>
  <c r="D471" i="13"/>
  <c r="C471" i="13"/>
  <c r="S470" i="13"/>
  <c r="L470" i="13"/>
  <c r="K470" i="13"/>
  <c r="I470" i="13"/>
  <c r="H470" i="13"/>
  <c r="G470" i="13"/>
  <c r="F470" i="13"/>
  <c r="D470" i="13"/>
  <c r="C470" i="13"/>
  <c r="S469" i="13"/>
  <c r="L469" i="13"/>
  <c r="K469" i="13"/>
  <c r="I469" i="13"/>
  <c r="H469" i="13"/>
  <c r="G469" i="13"/>
  <c r="F469" i="13"/>
  <c r="D469" i="13"/>
  <c r="C469" i="13"/>
  <c r="S468" i="13"/>
  <c r="L468" i="13"/>
  <c r="K468" i="13"/>
  <c r="I468" i="13"/>
  <c r="H468" i="13"/>
  <c r="G468" i="13"/>
  <c r="F468" i="13"/>
  <c r="D468" i="13"/>
  <c r="C468" i="13"/>
  <c r="S467" i="13"/>
  <c r="L467" i="13"/>
  <c r="K467" i="13"/>
  <c r="I467" i="13"/>
  <c r="H467" i="13"/>
  <c r="G467" i="13"/>
  <c r="F467" i="13"/>
  <c r="D467" i="13"/>
  <c r="C467" i="13"/>
  <c r="S466" i="13"/>
  <c r="L466" i="13"/>
  <c r="K466" i="13"/>
  <c r="I466" i="13"/>
  <c r="H466" i="13"/>
  <c r="G466" i="13"/>
  <c r="F466" i="13"/>
  <c r="D466" i="13"/>
  <c r="C466" i="13"/>
  <c r="S465" i="13"/>
  <c r="L465" i="13"/>
  <c r="K465" i="13"/>
  <c r="I465" i="13"/>
  <c r="H465" i="13"/>
  <c r="G465" i="13"/>
  <c r="F465" i="13"/>
  <c r="D465" i="13"/>
  <c r="C465" i="13"/>
  <c r="S464" i="13"/>
  <c r="L464" i="13"/>
  <c r="K464" i="13"/>
  <c r="I464" i="13"/>
  <c r="H464" i="13"/>
  <c r="G464" i="13"/>
  <c r="F464" i="13"/>
  <c r="D464" i="13"/>
  <c r="C464" i="13"/>
  <c r="S463" i="13"/>
  <c r="L463" i="13"/>
  <c r="K463" i="13"/>
  <c r="I463" i="13"/>
  <c r="H463" i="13"/>
  <c r="G463" i="13"/>
  <c r="F463" i="13"/>
  <c r="D463" i="13"/>
  <c r="C463" i="13"/>
  <c r="S462" i="13"/>
  <c r="L462" i="13"/>
  <c r="K462" i="13"/>
  <c r="I462" i="13"/>
  <c r="H462" i="13"/>
  <c r="G462" i="13"/>
  <c r="F462" i="13"/>
  <c r="D462" i="13"/>
  <c r="C462" i="13"/>
  <c r="S461" i="13"/>
  <c r="L461" i="13"/>
  <c r="K461" i="13"/>
  <c r="I461" i="13"/>
  <c r="H461" i="13"/>
  <c r="G461" i="13"/>
  <c r="F461" i="13"/>
  <c r="D461" i="13"/>
  <c r="C461" i="13"/>
  <c r="S460" i="13"/>
  <c r="L460" i="13"/>
  <c r="K460" i="13"/>
  <c r="I460" i="13"/>
  <c r="H460" i="13"/>
  <c r="G460" i="13"/>
  <c r="F460" i="13"/>
  <c r="D460" i="13"/>
  <c r="C460" i="13"/>
  <c r="S459" i="13"/>
  <c r="L459" i="13"/>
  <c r="K459" i="13"/>
  <c r="I459" i="13"/>
  <c r="H459" i="13"/>
  <c r="G459" i="13"/>
  <c r="F459" i="13"/>
  <c r="D459" i="13"/>
  <c r="C459" i="13"/>
  <c r="S458" i="13"/>
  <c r="L458" i="13"/>
  <c r="K458" i="13"/>
  <c r="I458" i="13"/>
  <c r="H458" i="13"/>
  <c r="G458" i="13"/>
  <c r="F458" i="13"/>
  <c r="D458" i="13"/>
  <c r="C458" i="13"/>
  <c r="S457" i="13"/>
  <c r="L457" i="13"/>
  <c r="K457" i="13"/>
  <c r="I457" i="13"/>
  <c r="H457" i="13"/>
  <c r="G457" i="13"/>
  <c r="F457" i="13"/>
  <c r="D457" i="13"/>
  <c r="C457" i="13"/>
  <c r="S456" i="13"/>
  <c r="L456" i="13"/>
  <c r="K456" i="13"/>
  <c r="I456" i="13"/>
  <c r="H456" i="13"/>
  <c r="G456" i="13"/>
  <c r="F456" i="13"/>
  <c r="D456" i="13"/>
  <c r="C456" i="13"/>
  <c r="S455" i="13"/>
  <c r="L455" i="13"/>
  <c r="K455" i="13"/>
  <c r="I455" i="13"/>
  <c r="H455" i="13"/>
  <c r="G455" i="13"/>
  <c r="F455" i="13"/>
  <c r="D455" i="13"/>
  <c r="C455" i="13"/>
  <c r="S454" i="13"/>
  <c r="L454" i="13"/>
  <c r="K454" i="13"/>
  <c r="I454" i="13"/>
  <c r="H454" i="13"/>
  <c r="G454" i="13"/>
  <c r="F454" i="13"/>
  <c r="D454" i="13"/>
  <c r="C454" i="13"/>
  <c r="S453" i="13"/>
  <c r="L453" i="13"/>
  <c r="K453" i="13"/>
  <c r="I453" i="13"/>
  <c r="H453" i="13"/>
  <c r="G453" i="13"/>
  <c r="F453" i="13"/>
  <c r="D453" i="13"/>
  <c r="C453" i="13"/>
  <c r="S452" i="13"/>
  <c r="L452" i="13"/>
  <c r="K452" i="13"/>
  <c r="I452" i="13"/>
  <c r="H452" i="13"/>
  <c r="G452" i="13"/>
  <c r="F452" i="13"/>
  <c r="D452" i="13"/>
  <c r="C452" i="13"/>
  <c r="S451" i="13"/>
  <c r="L451" i="13"/>
  <c r="K451" i="13"/>
  <c r="I451" i="13"/>
  <c r="H451" i="13"/>
  <c r="G451" i="13"/>
  <c r="F451" i="13"/>
  <c r="D451" i="13"/>
  <c r="C451" i="13"/>
  <c r="S450" i="13"/>
  <c r="L450" i="13"/>
  <c r="K450" i="13"/>
  <c r="H450" i="13"/>
  <c r="G450" i="13"/>
  <c r="F450" i="13"/>
  <c r="D450" i="13"/>
  <c r="C450" i="13"/>
  <c r="B450" i="13"/>
  <c r="B115" i="10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451" i="13" l="1"/>
  <c r="B455" i="13"/>
  <c r="B459" i="13"/>
  <c r="B463" i="13"/>
  <c r="B467" i="13"/>
  <c r="B471" i="13"/>
  <c r="B475" i="13"/>
  <c r="B453" i="13"/>
  <c r="B457" i="13"/>
  <c r="B461" i="13"/>
  <c r="B465" i="13"/>
  <c r="B469" i="13"/>
  <c r="B473" i="13"/>
  <c r="B454" i="13"/>
  <c r="B462" i="13"/>
  <c r="B458" i="13"/>
  <c r="B466" i="13"/>
  <c r="B470" i="13"/>
  <c r="B452" i="13"/>
  <c r="B456" i="13"/>
  <c r="B460" i="13"/>
  <c r="B464" i="13"/>
  <c r="B468" i="13"/>
  <c r="B472" i="13"/>
  <c r="B476" i="13"/>
  <c r="B474" i="13"/>
  <c r="S369" i="13"/>
  <c r="B87" i="6" l="1"/>
  <c r="B88" i="6" s="1"/>
  <c r="B89" i="6" s="1"/>
  <c r="S392" i="13" l="1"/>
  <c r="L392" i="13"/>
  <c r="K392" i="13"/>
  <c r="I392" i="13"/>
  <c r="H392" i="13"/>
  <c r="G392" i="13"/>
  <c r="F392" i="13"/>
  <c r="D392" i="13"/>
  <c r="C392" i="13"/>
  <c r="S391" i="13"/>
  <c r="L391" i="13"/>
  <c r="K391" i="13"/>
  <c r="I391" i="13"/>
  <c r="H391" i="13"/>
  <c r="G391" i="13"/>
  <c r="F391" i="13"/>
  <c r="D391" i="13"/>
  <c r="C391" i="13"/>
  <c r="S390" i="13"/>
  <c r="L390" i="13"/>
  <c r="K390" i="13"/>
  <c r="I390" i="13"/>
  <c r="H390" i="13"/>
  <c r="G390" i="13"/>
  <c r="F390" i="13"/>
  <c r="D390" i="13"/>
  <c r="C390" i="13"/>
  <c r="S389" i="13"/>
  <c r="L389" i="13"/>
  <c r="K389" i="13"/>
  <c r="I389" i="13"/>
  <c r="H389" i="13"/>
  <c r="G389" i="13"/>
  <c r="F389" i="13"/>
  <c r="D389" i="13"/>
  <c r="C389" i="13"/>
  <c r="S388" i="13"/>
  <c r="L388" i="13"/>
  <c r="K388" i="13"/>
  <c r="I388" i="13"/>
  <c r="H388" i="13"/>
  <c r="G388" i="13"/>
  <c r="F388" i="13"/>
  <c r="D388" i="13"/>
  <c r="C388" i="13"/>
  <c r="S387" i="13"/>
  <c r="L387" i="13"/>
  <c r="K387" i="13"/>
  <c r="I387" i="13"/>
  <c r="H387" i="13"/>
  <c r="G387" i="13"/>
  <c r="F387" i="13"/>
  <c r="D387" i="13"/>
  <c r="C387" i="13"/>
  <c r="S386" i="13"/>
  <c r="L386" i="13"/>
  <c r="K386" i="13"/>
  <c r="I386" i="13"/>
  <c r="H386" i="13"/>
  <c r="G386" i="13"/>
  <c r="F386" i="13"/>
  <c r="D386" i="13"/>
  <c r="C386" i="13"/>
  <c r="S385" i="13"/>
  <c r="L385" i="13"/>
  <c r="K385" i="13"/>
  <c r="I385" i="13"/>
  <c r="H385" i="13"/>
  <c r="G385" i="13"/>
  <c r="F385" i="13"/>
  <c r="D385" i="13"/>
  <c r="C385" i="13"/>
  <c r="S384" i="13"/>
  <c r="L384" i="13"/>
  <c r="K384" i="13"/>
  <c r="I384" i="13"/>
  <c r="H384" i="13"/>
  <c r="G384" i="13"/>
  <c r="F384" i="13"/>
  <c r="D384" i="13"/>
  <c r="C384" i="13"/>
  <c r="S383" i="13"/>
  <c r="L383" i="13"/>
  <c r="K383" i="13"/>
  <c r="I383" i="13"/>
  <c r="H383" i="13"/>
  <c r="G383" i="13"/>
  <c r="F383" i="13"/>
  <c r="D383" i="13"/>
  <c r="C383" i="13"/>
  <c r="S382" i="13"/>
  <c r="L382" i="13"/>
  <c r="K382" i="13"/>
  <c r="I382" i="13"/>
  <c r="H382" i="13"/>
  <c r="G382" i="13"/>
  <c r="F382" i="13"/>
  <c r="D382" i="13"/>
  <c r="C382" i="13"/>
  <c r="S381" i="13"/>
  <c r="L381" i="13"/>
  <c r="K381" i="13"/>
  <c r="I381" i="13"/>
  <c r="H381" i="13"/>
  <c r="G381" i="13"/>
  <c r="F381" i="13"/>
  <c r="D381" i="13"/>
  <c r="C381" i="13"/>
  <c r="S380" i="13"/>
  <c r="L380" i="13"/>
  <c r="K380" i="13"/>
  <c r="I380" i="13"/>
  <c r="H380" i="13"/>
  <c r="G380" i="13"/>
  <c r="F380" i="13"/>
  <c r="D380" i="13"/>
  <c r="C380" i="13"/>
  <c r="S379" i="13"/>
  <c r="L379" i="13"/>
  <c r="K379" i="13"/>
  <c r="I379" i="13"/>
  <c r="H379" i="13"/>
  <c r="G379" i="13"/>
  <c r="F379" i="13"/>
  <c r="D379" i="13"/>
  <c r="C379" i="13"/>
  <c r="S378" i="13"/>
  <c r="L378" i="13"/>
  <c r="K378" i="13"/>
  <c r="I378" i="13"/>
  <c r="H378" i="13"/>
  <c r="G378" i="13"/>
  <c r="F378" i="13"/>
  <c r="D378" i="13"/>
  <c r="C378" i="13"/>
  <c r="S377" i="13"/>
  <c r="L377" i="13"/>
  <c r="K377" i="13"/>
  <c r="I377" i="13"/>
  <c r="H377" i="13"/>
  <c r="G377" i="13"/>
  <c r="F377" i="13"/>
  <c r="D377" i="13"/>
  <c r="C377" i="13"/>
  <c r="S376" i="13"/>
  <c r="L376" i="13"/>
  <c r="K376" i="13"/>
  <c r="I376" i="13"/>
  <c r="H376" i="13"/>
  <c r="G376" i="13"/>
  <c r="F376" i="13"/>
  <c r="D376" i="13"/>
  <c r="C376" i="13"/>
  <c r="S375" i="13"/>
  <c r="L375" i="13"/>
  <c r="K375" i="13"/>
  <c r="I375" i="13"/>
  <c r="H375" i="13"/>
  <c r="G375" i="13"/>
  <c r="F375" i="13"/>
  <c r="D375" i="13"/>
  <c r="C375" i="13"/>
  <c r="S374" i="13"/>
  <c r="L374" i="13"/>
  <c r="K374" i="13"/>
  <c r="I374" i="13"/>
  <c r="H374" i="13"/>
  <c r="G374" i="13"/>
  <c r="F374" i="13"/>
  <c r="D374" i="13"/>
  <c r="C374" i="13"/>
  <c r="S373" i="13"/>
  <c r="L373" i="13"/>
  <c r="K373" i="13"/>
  <c r="I373" i="13"/>
  <c r="H373" i="13"/>
  <c r="G373" i="13"/>
  <c r="F373" i="13"/>
  <c r="D373" i="13"/>
  <c r="C373" i="13"/>
  <c r="S372" i="13"/>
  <c r="L372" i="13"/>
  <c r="K372" i="13"/>
  <c r="I372" i="13"/>
  <c r="H372" i="13"/>
  <c r="G372" i="13"/>
  <c r="F372" i="13"/>
  <c r="D372" i="13"/>
  <c r="C372" i="13"/>
  <c r="S371" i="13"/>
  <c r="L371" i="13"/>
  <c r="K371" i="13"/>
  <c r="I371" i="13"/>
  <c r="H371" i="13"/>
  <c r="G371" i="13"/>
  <c r="F371" i="13"/>
  <c r="D371" i="13"/>
  <c r="C371" i="13"/>
  <c r="S370" i="13"/>
  <c r="L370" i="13"/>
  <c r="K370" i="13"/>
  <c r="I370" i="13"/>
  <c r="H370" i="13"/>
  <c r="G370" i="13"/>
  <c r="F370" i="13"/>
  <c r="D370" i="13"/>
  <c r="C370" i="13"/>
  <c r="L369" i="13"/>
  <c r="K369" i="13"/>
  <c r="I369" i="13"/>
  <c r="H369" i="13"/>
  <c r="G369" i="13"/>
  <c r="F369" i="13"/>
  <c r="D369" i="13"/>
  <c r="C369" i="13"/>
  <c r="S368" i="13"/>
  <c r="L368" i="13"/>
  <c r="K368" i="13"/>
  <c r="I368" i="13"/>
  <c r="H368" i="13"/>
  <c r="G368" i="13"/>
  <c r="F368" i="13"/>
  <c r="D368" i="13"/>
  <c r="C368" i="13"/>
  <c r="S367" i="13"/>
  <c r="L367" i="13"/>
  <c r="K367" i="13"/>
  <c r="I367" i="13"/>
  <c r="H367" i="13"/>
  <c r="G367" i="13"/>
  <c r="F367" i="13"/>
  <c r="D367" i="13"/>
  <c r="C367" i="13"/>
  <c r="S366" i="13"/>
  <c r="L366" i="13"/>
  <c r="K366" i="13"/>
  <c r="I366" i="13"/>
  <c r="H366" i="13"/>
  <c r="G366" i="13"/>
  <c r="F366" i="13"/>
  <c r="D366" i="13"/>
  <c r="C366" i="13"/>
  <c r="S365" i="13"/>
  <c r="L365" i="13"/>
  <c r="K365" i="13"/>
  <c r="I365" i="13"/>
  <c r="H365" i="13"/>
  <c r="G365" i="13"/>
  <c r="F365" i="13"/>
  <c r="D365" i="13"/>
  <c r="C365" i="13"/>
  <c r="S364" i="13"/>
  <c r="L364" i="13"/>
  <c r="K364" i="13"/>
  <c r="I364" i="13"/>
  <c r="H364" i="13"/>
  <c r="G364" i="13"/>
  <c r="F364" i="13"/>
  <c r="D364" i="13"/>
  <c r="C364" i="13"/>
  <c r="S363" i="13"/>
  <c r="L363" i="13"/>
  <c r="K363" i="13"/>
  <c r="I363" i="13"/>
  <c r="H363" i="13"/>
  <c r="G363" i="13"/>
  <c r="F363" i="13"/>
  <c r="D363" i="13"/>
  <c r="C363" i="13"/>
  <c r="S362" i="13"/>
  <c r="L362" i="13"/>
  <c r="K362" i="13"/>
  <c r="I362" i="13"/>
  <c r="H362" i="13"/>
  <c r="G362" i="13"/>
  <c r="F362" i="13"/>
  <c r="D362" i="13"/>
  <c r="C362" i="13"/>
  <c r="S361" i="13"/>
  <c r="L361" i="13"/>
  <c r="K361" i="13"/>
  <c r="I361" i="13"/>
  <c r="H361" i="13"/>
  <c r="G361" i="13"/>
  <c r="F361" i="13"/>
  <c r="D361" i="13"/>
  <c r="C361" i="13"/>
  <c r="S360" i="13"/>
  <c r="L360" i="13"/>
  <c r="K360" i="13"/>
  <c r="I360" i="13"/>
  <c r="H360" i="13"/>
  <c r="G360" i="13"/>
  <c r="F360" i="13"/>
  <c r="D360" i="13"/>
  <c r="C360" i="13"/>
  <c r="S359" i="13"/>
  <c r="L359" i="13"/>
  <c r="K359" i="13"/>
  <c r="I359" i="13"/>
  <c r="H359" i="13"/>
  <c r="G359" i="13"/>
  <c r="F359" i="13"/>
  <c r="D359" i="13"/>
  <c r="C359" i="13"/>
  <c r="S358" i="13"/>
  <c r="L358" i="13"/>
  <c r="K358" i="13"/>
  <c r="I358" i="13"/>
  <c r="H358" i="13"/>
  <c r="G358" i="13"/>
  <c r="F358" i="13"/>
  <c r="D358" i="13"/>
  <c r="C358" i="13"/>
  <c r="S357" i="13"/>
  <c r="L357" i="13"/>
  <c r="K357" i="13"/>
  <c r="I357" i="13"/>
  <c r="H357" i="13"/>
  <c r="G357" i="13"/>
  <c r="F357" i="13"/>
  <c r="D357" i="13"/>
  <c r="C357" i="13"/>
  <c r="S356" i="13"/>
  <c r="L356" i="13"/>
  <c r="K356" i="13"/>
  <c r="I356" i="13"/>
  <c r="H356" i="13"/>
  <c r="G356" i="13"/>
  <c r="F356" i="13"/>
  <c r="D356" i="13"/>
  <c r="C356" i="13"/>
  <c r="S355" i="13"/>
  <c r="L355" i="13"/>
  <c r="K355" i="13"/>
  <c r="I355" i="13"/>
  <c r="H355" i="13"/>
  <c r="G355" i="13"/>
  <c r="F355" i="13"/>
  <c r="D355" i="13"/>
  <c r="C355" i="13"/>
  <c r="S354" i="13"/>
  <c r="L354" i="13"/>
  <c r="K354" i="13"/>
  <c r="I354" i="13"/>
  <c r="H354" i="13"/>
  <c r="G354" i="13"/>
  <c r="F354" i="13"/>
  <c r="D354" i="13"/>
  <c r="C354" i="13"/>
  <c r="S353" i="13"/>
  <c r="L353" i="13"/>
  <c r="K353" i="13"/>
  <c r="I353" i="13"/>
  <c r="H353" i="13"/>
  <c r="G353" i="13"/>
  <c r="F353" i="13"/>
  <c r="D353" i="13"/>
  <c r="C353" i="13"/>
  <c r="S352" i="13"/>
  <c r="L352" i="13"/>
  <c r="K352" i="13"/>
  <c r="I352" i="13"/>
  <c r="H352" i="13"/>
  <c r="G352" i="13"/>
  <c r="F352" i="13"/>
  <c r="D352" i="13"/>
  <c r="C352" i="13"/>
  <c r="S351" i="13"/>
  <c r="L351" i="13"/>
  <c r="K351" i="13"/>
  <c r="I351" i="13"/>
  <c r="H351" i="13"/>
  <c r="G351" i="13"/>
  <c r="F351" i="13"/>
  <c r="D351" i="13"/>
  <c r="C351" i="13"/>
  <c r="S350" i="13"/>
  <c r="L350" i="13"/>
  <c r="K350" i="13"/>
  <c r="I350" i="13"/>
  <c r="H350" i="13"/>
  <c r="G350" i="13"/>
  <c r="F350" i="13"/>
  <c r="D350" i="13"/>
  <c r="C350" i="13"/>
  <c r="S349" i="13"/>
  <c r="L349" i="13"/>
  <c r="K349" i="13"/>
  <c r="I349" i="13"/>
  <c r="H349" i="13"/>
  <c r="G349" i="13"/>
  <c r="F349" i="13"/>
  <c r="D349" i="13"/>
  <c r="C349" i="13"/>
  <c r="S348" i="13"/>
  <c r="L348" i="13"/>
  <c r="K348" i="13"/>
  <c r="I348" i="13"/>
  <c r="H348" i="13"/>
  <c r="G348" i="13"/>
  <c r="F348" i="13"/>
  <c r="D348" i="13"/>
  <c r="C348" i="13"/>
  <c r="S347" i="13"/>
  <c r="L347" i="13"/>
  <c r="K347" i="13"/>
  <c r="I347" i="13"/>
  <c r="H347" i="13"/>
  <c r="G347" i="13"/>
  <c r="F347" i="13"/>
  <c r="D347" i="13"/>
  <c r="C347" i="13"/>
  <c r="S346" i="13"/>
  <c r="L346" i="13"/>
  <c r="K346" i="13"/>
  <c r="I346" i="13"/>
  <c r="H346" i="13"/>
  <c r="G346" i="13"/>
  <c r="F346" i="13"/>
  <c r="D346" i="13"/>
  <c r="C346" i="13"/>
  <c r="S345" i="13"/>
  <c r="L345" i="13"/>
  <c r="K345" i="13"/>
  <c r="I345" i="13"/>
  <c r="H345" i="13"/>
  <c r="G345" i="13"/>
  <c r="F345" i="13"/>
  <c r="D345" i="13"/>
  <c r="C345" i="13"/>
  <c r="S344" i="13"/>
  <c r="L344" i="13"/>
  <c r="K344" i="13"/>
  <c r="I344" i="13"/>
  <c r="H344" i="13"/>
  <c r="G344" i="13"/>
  <c r="F344" i="13"/>
  <c r="D344" i="13"/>
  <c r="C344" i="13"/>
  <c r="S343" i="13"/>
  <c r="L343" i="13"/>
  <c r="K343" i="13"/>
  <c r="I343" i="13"/>
  <c r="H343" i="13"/>
  <c r="G343" i="13"/>
  <c r="F343" i="13"/>
  <c r="D343" i="13"/>
  <c r="C343" i="13"/>
  <c r="S342" i="13"/>
  <c r="L342" i="13"/>
  <c r="K342" i="13"/>
  <c r="I342" i="13"/>
  <c r="H342" i="13"/>
  <c r="G342" i="13"/>
  <c r="F342" i="13"/>
  <c r="D342" i="13"/>
  <c r="C342" i="13"/>
  <c r="S341" i="13"/>
  <c r="L341" i="13"/>
  <c r="K341" i="13"/>
  <c r="I341" i="13"/>
  <c r="H341" i="13"/>
  <c r="G341" i="13"/>
  <c r="F341" i="13"/>
  <c r="D341" i="13"/>
  <c r="C341" i="13"/>
  <c r="S340" i="13"/>
  <c r="L340" i="13"/>
  <c r="K340" i="13"/>
  <c r="I340" i="13"/>
  <c r="H340" i="13"/>
  <c r="G340" i="13"/>
  <c r="F340" i="13"/>
  <c r="D340" i="13"/>
  <c r="C340" i="13"/>
  <c r="S339" i="13"/>
  <c r="L339" i="13"/>
  <c r="K339" i="13"/>
  <c r="I339" i="13"/>
  <c r="H339" i="13"/>
  <c r="G339" i="13"/>
  <c r="F339" i="13"/>
  <c r="D339" i="13"/>
  <c r="C339" i="13"/>
  <c r="S338" i="13"/>
  <c r="L338" i="13"/>
  <c r="K338" i="13"/>
  <c r="I338" i="13"/>
  <c r="H338" i="13"/>
  <c r="G338" i="13"/>
  <c r="F338" i="13"/>
  <c r="D338" i="13"/>
  <c r="C338" i="13"/>
  <c r="S337" i="13"/>
  <c r="L337" i="13"/>
  <c r="K337" i="13"/>
  <c r="I337" i="13"/>
  <c r="H337" i="13"/>
  <c r="G337" i="13"/>
  <c r="F337" i="13"/>
  <c r="D337" i="13"/>
  <c r="C337" i="13"/>
  <c r="S336" i="13"/>
  <c r="L336" i="13"/>
  <c r="K336" i="13"/>
  <c r="I336" i="13"/>
  <c r="H336" i="13"/>
  <c r="G336" i="13"/>
  <c r="F336" i="13"/>
  <c r="D336" i="13"/>
  <c r="C336" i="13"/>
  <c r="S335" i="13"/>
  <c r="L335" i="13"/>
  <c r="K335" i="13"/>
  <c r="I335" i="13"/>
  <c r="H335" i="13"/>
  <c r="G335" i="13"/>
  <c r="F335" i="13"/>
  <c r="D335" i="13"/>
  <c r="C335" i="13"/>
  <c r="S334" i="13"/>
  <c r="L334" i="13"/>
  <c r="K334" i="13"/>
  <c r="I334" i="13"/>
  <c r="H334" i="13"/>
  <c r="G334" i="13"/>
  <c r="F334" i="13"/>
  <c r="D334" i="13"/>
  <c r="C334" i="13"/>
  <c r="S333" i="13"/>
  <c r="L333" i="13"/>
  <c r="K333" i="13"/>
  <c r="I333" i="13"/>
  <c r="H333" i="13"/>
  <c r="G333" i="13"/>
  <c r="F333" i="13"/>
  <c r="D333" i="13"/>
  <c r="C333" i="13"/>
  <c r="S332" i="13"/>
  <c r="L332" i="13"/>
  <c r="K332" i="13"/>
  <c r="I332" i="13"/>
  <c r="H332" i="13"/>
  <c r="G332" i="13"/>
  <c r="F332" i="13"/>
  <c r="D332" i="13"/>
  <c r="C332" i="13"/>
  <c r="S331" i="13"/>
  <c r="L331" i="13"/>
  <c r="K331" i="13"/>
  <c r="I331" i="13"/>
  <c r="H331" i="13"/>
  <c r="G331" i="13"/>
  <c r="F331" i="13"/>
  <c r="D331" i="13"/>
  <c r="C331" i="13"/>
  <c r="S330" i="13"/>
  <c r="L330" i="13"/>
  <c r="K330" i="13"/>
  <c r="I330" i="13"/>
  <c r="H330" i="13"/>
  <c r="G330" i="13"/>
  <c r="F330" i="13"/>
  <c r="D330" i="13"/>
  <c r="C330" i="13"/>
  <c r="S329" i="13"/>
  <c r="L329" i="13"/>
  <c r="K329" i="13"/>
  <c r="I329" i="13"/>
  <c r="H329" i="13"/>
  <c r="G329" i="13"/>
  <c r="F329" i="13"/>
  <c r="D329" i="13"/>
  <c r="C329" i="13"/>
  <c r="S328" i="13"/>
  <c r="L328" i="13"/>
  <c r="K328" i="13"/>
  <c r="I328" i="13"/>
  <c r="H328" i="13"/>
  <c r="G328" i="13"/>
  <c r="F328" i="13"/>
  <c r="D328" i="13"/>
  <c r="C328" i="13"/>
  <c r="S327" i="13"/>
  <c r="L327" i="13"/>
  <c r="K327" i="13"/>
  <c r="I327" i="13"/>
  <c r="H327" i="13"/>
  <c r="G327" i="13"/>
  <c r="F327" i="13"/>
  <c r="D327" i="13"/>
  <c r="C327" i="13"/>
  <c r="S326" i="13"/>
  <c r="L326" i="13"/>
  <c r="K326" i="13"/>
  <c r="I326" i="13"/>
  <c r="H326" i="13"/>
  <c r="G326" i="13"/>
  <c r="F326" i="13"/>
  <c r="D326" i="13"/>
  <c r="C326" i="13"/>
  <c r="S325" i="13"/>
  <c r="L325" i="13"/>
  <c r="K325" i="13"/>
  <c r="I325" i="13"/>
  <c r="H325" i="13"/>
  <c r="G325" i="13"/>
  <c r="F325" i="13"/>
  <c r="D325" i="13"/>
  <c r="C325" i="13"/>
  <c r="S324" i="13"/>
  <c r="L324" i="13"/>
  <c r="K324" i="13"/>
  <c r="I324" i="13"/>
  <c r="H324" i="13"/>
  <c r="G324" i="13"/>
  <c r="F324" i="13"/>
  <c r="D324" i="13"/>
  <c r="C324" i="13"/>
  <c r="S323" i="13"/>
  <c r="L323" i="13"/>
  <c r="K323" i="13"/>
  <c r="I323" i="13"/>
  <c r="H323" i="13"/>
  <c r="G323" i="13"/>
  <c r="F323" i="13"/>
  <c r="D323" i="13"/>
  <c r="C323" i="13"/>
  <c r="S322" i="13"/>
  <c r="L322" i="13"/>
  <c r="K322" i="13"/>
  <c r="I322" i="13"/>
  <c r="H322" i="13"/>
  <c r="G322" i="13"/>
  <c r="F322" i="13"/>
  <c r="D322" i="13"/>
  <c r="C322" i="13"/>
  <c r="S321" i="13"/>
  <c r="L321" i="13"/>
  <c r="K321" i="13"/>
  <c r="I321" i="13"/>
  <c r="H321" i="13"/>
  <c r="G321" i="13"/>
  <c r="F321" i="13"/>
  <c r="D321" i="13"/>
  <c r="C321" i="13"/>
  <c r="S320" i="13"/>
  <c r="L320" i="13"/>
  <c r="K320" i="13"/>
  <c r="I320" i="13"/>
  <c r="H320" i="13"/>
  <c r="G320" i="13"/>
  <c r="F320" i="13"/>
  <c r="D320" i="13"/>
  <c r="C320" i="13"/>
  <c r="S319" i="13"/>
  <c r="L319" i="13"/>
  <c r="K319" i="13"/>
  <c r="I319" i="13"/>
  <c r="H319" i="13"/>
  <c r="G319" i="13"/>
  <c r="F319" i="13"/>
  <c r="D319" i="13"/>
  <c r="C319" i="13"/>
  <c r="S318" i="13"/>
  <c r="L318" i="13"/>
  <c r="K318" i="13"/>
  <c r="I318" i="13"/>
  <c r="H318" i="13"/>
  <c r="G318" i="13"/>
  <c r="F318" i="13"/>
  <c r="D318" i="13"/>
  <c r="C318" i="13"/>
  <c r="S317" i="13"/>
  <c r="L317" i="13"/>
  <c r="K317" i="13"/>
  <c r="I317" i="13"/>
  <c r="H317" i="13"/>
  <c r="G317" i="13"/>
  <c r="F317" i="13"/>
  <c r="D317" i="13"/>
  <c r="C317" i="13"/>
  <c r="S316" i="13"/>
  <c r="L316" i="13"/>
  <c r="K316" i="13"/>
  <c r="I316" i="13"/>
  <c r="H316" i="13"/>
  <c r="G316" i="13"/>
  <c r="F316" i="13"/>
  <c r="D316" i="13"/>
  <c r="C316" i="13"/>
  <c r="S315" i="13"/>
  <c r="L315" i="13"/>
  <c r="K315" i="13"/>
  <c r="I315" i="13"/>
  <c r="H315" i="13"/>
  <c r="G315" i="13"/>
  <c r="F315" i="13"/>
  <c r="D315" i="13"/>
  <c r="C315" i="13"/>
  <c r="S314" i="13"/>
  <c r="L314" i="13"/>
  <c r="K314" i="13"/>
  <c r="I314" i="13"/>
  <c r="H314" i="13"/>
  <c r="G314" i="13"/>
  <c r="F314" i="13"/>
  <c r="D314" i="13"/>
  <c r="C314" i="13"/>
  <c r="S313" i="13"/>
  <c r="L313" i="13"/>
  <c r="K313" i="13"/>
  <c r="I313" i="13"/>
  <c r="H313" i="13"/>
  <c r="G313" i="13"/>
  <c r="F313" i="13"/>
  <c r="D313" i="13"/>
  <c r="C313" i="13"/>
  <c r="S312" i="13"/>
  <c r="L312" i="13"/>
  <c r="K312" i="13"/>
  <c r="H312" i="13"/>
  <c r="G312" i="13"/>
  <c r="F312" i="13"/>
  <c r="D312" i="13"/>
  <c r="C312" i="13"/>
  <c r="B312" i="13"/>
  <c r="B43" i="6" l="1"/>
  <c r="B44" i="6" s="1"/>
  <c r="B45" i="6" s="1"/>
  <c r="B37" i="10"/>
  <c r="B38" i="10" l="1"/>
  <c r="B313" i="13"/>
  <c r="C304" i="13"/>
  <c r="D304" i="13"/>
  <c r="F304" i="13"/>
  <c r="G304" i="13"/>
  <c r="H304" i="13"/>
  <c r="I304" i="13"/>
  <c r="K304" i="13"/>
  <c r="L304" i="13"/>
  <c r="S304" i="13"/>
  <c r="C305" i="13"/>
  <c r="D305" i="13"/>
  <c r="F305" i="13"/>
  <c r="G305" i="13"/>
  <c r="H305" i="13"/>
  <c r="I305" i="13"/>
  <c r="K305" i="13"/>
  <c r="L305" i="13"/>
  <c r="S305" i="13"/>
  <c r="C306" i="13"/>
  <c r="D306" i="13"/>
  <c r="F306" i="13"/>
  <c r="G306" i="13"/>
  <c r="H306" i="13"/>
  <c r="I306" i="13"/>
  <c r="K306" i="13"/>
  <c r="L306" i="13"/>
  <c r="S306" i="13"/>
  <c r="B39" i="10" l="1"/>
  <c r="B314" i="13"/>
  <c r="C302" i="13"/>
  <c r="D302" i="13"/>
  <c r="F302" i="13"/>
  <c r="G302" i="13"/>
  <c r="H302" i="13"/>
  <c r="I302" i="13"/>
  <c r="K302" i="13"/>
  <c r="L302" i="13"/>
  <c r="S302" i="13"/>
  <c r="C303" i="13"/>
  <c r="D303" i="13"/>
  <c r="F303" i="13"/>
  <c r="G303" i="13"/>
  <c r="H303" i="13"/>
  <c r="I303" i="13"/>
  <c r="K303" i="13"/>
  <c r="L303" i="13"/>
  <c r="S303" i="13"/>
  <c r="C300" i="13"/>
  <c r="D300" i="13"/>
  <c r="F300" i="13"/>
  <c r="G300" i="13"/>
  <c r="H300" i="13"/>
  <c r="I300" i="13"/>
  <c r="K300" i="13"/>
  <c r="L300" i="13"/>
  <c r="S300" i="13"/>
  <c r="C301" i="13"/>
  <c r="D301" i="13"/>
  <c r="F301" i="13"/>
  <c r="G301" i="13"/>
  <c r="H301" i="13"/>
  <c r="I301" i="13"/>
  <c r="K301" i="13"/>
  <c r="L301" i="13"/>
  <c r="S301" i="13"/>
  <c r="B40" i="10" l="1"/>
  <c r="B315" i="13"/>
  <c r="C292" i="13"/>
  <c r="D292" i="13"/>
  <c r="F292" i="13"/>
  <c r="G292" i="13"/>
  <c r="H292" i="13"/>
  <c r="I292" i="13"/>
  <c r="K292" i="13"/>
  <c r="L292" i="13"/>
  <c r="S292" i="13"/>
  <c r="C293" i="13"/>
  <c r="D293" i="13"/>
  <c r="F293" i="13"/>
  <c r="G293" i="13"/>
  <c r="H293" i="13"/>
  <c r="I293" i="13"/>
  <c r="K293" i="13"/>
  <c r="L293" i="13"/>
  <c r="S293" i="13"/>
  <c r="C294" i="13"/>
  <c r="D294" i="13"/>
  <c r="F294" i="13"/>
  <c r="G294" i="13"/>
  <c r="H294" i="13"/>
  <c r="I294" i="13"/>
  <c r="K294" i="13"/>
  <c r="L294" i="13"/>
  <c r="S294" i="13"/>
  <c r="C295" i="13"/>
  <c r="D295" i="13"/>
  <c r="F295" i="13"/>
  <c r="G295" i="13"/>
  <c r="H295" i="13"/>
  <c r="I295" i="13"/>
  <c r="K295" i="13"/>
  <c r="L295" i="13"/>
  <c r="S295" i="13"/>
  <c r="C296" i="13"/>
  <c r="D296" i="13"/>
  <c r="F296" i="13"/>
  <c r="G296" i="13"/>
  <c r="H296" i="13"/>
  <c r="I296" i="13"/>
  <c r="K296" i="13"/>
  <c r="L296" i="13"/>
  <c r="S296" i="13"/>
  <c r="C297" i="13"/>
  <c r="D297" i="13"/>
  <c r="F297" i="13"/>
  <c r="G297" i="13"/>
  <c r="H297" i="13"/>
  <c r="I297" i="13"/>
  <c r="K297" i="13"/>
  <c r="L297" i="13"/>
  <c r="S297" i="13"/>
  <c r="C298" i="13"/>
  <c r="D298" i="13"/>
  <c r="F298" i="13"/>
  <c r="G298" i="13"/>
  <c r="H298" i="13"/>
  <c r="I298" i="13"/>
  <c r="K298" i="13"/>
  <c r="L298" i="13"/>
  <c r="S298" i="13"/>
  <c r="C299" i="13"/>
  <c r="D299" i="13"/>
  <c r="F299" i="13"/>
  <c r="G299" i="13"/>
  <c r="H299" i="13"/>
  <c r="I299" i="13"/>
  <c r="K299" i="13"/>
  <c r="L299" i="13"/>
  <c r="S299" i="13"/>
  <c r="B41" i="10" l="1"/>
  <c r="B316" i="13"/>
  <c r="C290" i="13"/>
  <c r="D290" i="13"/>
  <c r="F290" i="13"/>
  <c r="G290" i="13"/>
  <c r="H290" i="13"/>
  <c r="I290" i="13"/>
  <c r="K290" i="13"/>
  <c r="L290" i="13"/>
  <c r="S290" i="13"/>
  <c r="C291" i="13"/>
  <c r="D291" i="13"/>
  <c r="F291" i="13"/>
  <c r="G291" i="13"/>
  <c r="H291" i="13"/>
  <c r="I291" i="13"/>
  <c r="K291" i="13"/>
  <c r="L291" i="13"/>
  <c r="S291" i="13"/>
  <c r="B42" i="10" l="1"/>
  <c r="B317" i="13"/>
  <c r="S287" i="13"/>
  <c r="S288" i="13"/>
  <c r="S289" i="13"/>
  <c r="C286" i="13"/>
  <c r="D286" i="13"/>
  <c r="F286" i="13"/>
  <c r="G286" i="13"/>
  <c r="H286" i="13"/>
  <c r="I286" i="13"/>
  <c r="K286" i="13"/>
  <c r="L286" i="13"/>
  <c r="S286" i="13"/>
  <c r="C287" i="13"/>
  <c r="D287" i="13"/>
  <c r="F287" i="13"/>
  <c r="G287" i="13"/>
  <c r="H287" i="13"/>
  <c r="I287" i="13"/>
  <c r="K287" i="13"/>
  <c r="L287" i="13"/>
  <c r="C288" i="13"/>
  <c r="D288" i="13"/>
  <c r="F288" i="13"/>
  <c r="G288" i="13"/>
  <c r="H288" i="13"/>
  <c r="I288" i="13"/>
  <c r="K288" i="13"/>
  <c r="L288" i="13"/>
  <c r="C289" i="13"/>
  <c r="D289" i="13"/>
  <c r="F289" i="13"/>
  <c r="G289" i="13"/>
  <c r="H289" i="13"/>
  <c r="I289" i="13"/>
  <c r="K289" i="13"/>
  <c r="L289" i="13"/>
  <c r="B43" i="10" l="1"/>
  <c r="B318" i="13"/>
  <c r="C279" i="13"/>
  <c r="D279" i="13"/>
  <c r="F279" i="13"/>
  <c r="G279" i="13"/>
  <c r="H279" i="13"/>
  <c r="I279" i="13"/>
  <c r="K279" i="13"/>
  <c r="L279" i="13"/>
  <c r="S279" i="13"/>
  <c r="C280" i="13"/>
  <c r="D280" i="13"/>
  <c r="F280" i="13"/>
  <c r="G280" i="13"/>
  <c r="H280" i="13"/>
  <c r="I280" i="13"/>
  <c r="K280" i="13"/>
  <c r="L280" i="13"/>
  <c r="S280" i="13"/>
  <c r="C281" i="13"/>
  <c r="D281" i="13"/>
  <c r="F281" i="13"/>
  <c r="G281" i="13"/>
  <c r="H281" i="13"/>
  <c r="I281" i="13"/>
  <c r="K281" i="13"/>
  <c r="L281" i="13"/>
  <c r="S281" i="13"/>
  <c r="C282" i="13"/>
  <c r="D282" i="13"/>
  <c r="F282" i="13"/>
  <c r="G282" i="13"/>
  <c r="H282" i="13"/>
  <c r="I282" i="13"/>
  <c r="K282" i="13"/>
  <c r="L282" i="13"/>
  <c r="S282" i="13"/>
  <c r="C283" i="13"/>
  <c r="D283" i="13"/>
  <c r="F283" i="13"/>
  <c r="G283" i="13"/>
  <c r="H283" i="13"/>
  <c r="I283" i="13"/>
  <c r="K283" i="13"/>
  <c r="L283" i="13"/>
  <c r="S283" i="13"/>
  <c r="C284" i="13"/>
  <c r="D284" i="13"/>
  <c r="F284" i="13"/>
  <c r="G284" i="13"/>
  <c r="H284" i="13"/>
  <c r="I284" i="13"/>
  <c r="K284" i="13"/>
  <c r="L284" i="13"/>
  <c r="S284" i="13"/>
  <c r="C285" i="13"/>
  <c r="D285" i="13"/>
  <c r="F285" i="13"/>
  <c r="G285" i="13"/>
  <c r="H285" i="13"/>
  <c r="I285" i="13"/>
  <c r="K285" i="13"/>
  <c r="L285" i="13"/>
  <c r="S285" i="13"/>
  <c r="B44" i="10" l="1"/>
  <c r="B319" i="13"/>
  <c r="S234" i="13"/>
  <c r="S235" i="13"/>
  <c r="S236" i="13"/>
  <c r="S237" i="13"/>
  <c r="S238" i="13"/>
  <c r="S239" i="13"/>
  <c r="S240" i="13"/>
  <c r="S241" i="13"/>
  <c r="S242" i="13"/>
  <c r="S243" i="13"/>
  <c r="S244" i="13"/>
  <c r="S245" i="13"/>
  <c r="S246" i="13"/>
  <c r="S247" i="13"/>
  <c r="S248" i="13"/>
  <c r="S249" i="13"/>
  <c r="S250" i="13"/>
  <c r="S251" i="13"/>
  <c r="S252" i="13"/>
  <c r="S253" i="13"/>
  <c r="S254" i="13"/>
  <c r="S255" i="13"/>
  <c r="S256" i="13"/>
  <c r="S257" i="13"/>
  <c r="S258" i="13"/>
  <c r="S259" i="13"/>
  <c r="S260" i="13"/>
  <c r="S261" i="13"/>
  <c r="S262" i="13"/>
  <c r="S263" i="13"/>
  <c r="S264" i="13"/>
  <c r="S265" i="13"/>
  <c r="S266" i="13"/>
  <c r="S267" i="13"/>
  <c r="S268" i="13"/>
  <c r="S269" i="13"/>
  <c r="S270" i="13"/>
  <c r="S271" i="13"/>
  <c r="S272" i="13"/>
  <c r="S273" i="13"/>
  <c r="S274" i="13"/>
  <c r="S226" i="13"/>
  <c r="S227" i="13"/>
  <c r="S228" i="13"/>
  <c r="S229" i="13"/>
  <c r="S230" i="13"/>
  <c r="S231" i="13"/>
  <c r="S232" i="13"/>
  <c r="S233" i="13"/>
  <c r="S278" i="13"/>
  <c r="L278" i="13"/>
  <c r="K278" i="13"/>
  <c r="I278" i="13"/>
  <c r="H278" i="13"/>
  <c r="G278" i="13"/>
  <c r="F278" i="13"/>
  <c r="D278" i="13"/>
  <c r="C278" i="13"/>
  <c r="S277" i="13"/>
  <c r="L277" i="13"/>
  <c r="K277" i="13"/>
  <c r="I277" i="13"/>
  <c r="H277" i="13"/>
  <c r="G277" i="13"/>
  <c r="F277" i="13"/>
  <c r="D277" i="13"/>
  <c r="C277" i="13"/>
  <c r="S276" i="13"/>
  <c r="L276" i="13"/>
  <c r="K276" i="13"/>
  <c r="I276" i="13"/>
  <c r="H276" i="13"/>
  <c r="G276" i="13"/>
  <c r="F276" i="13"/>
  <c r="D276" i="13"/>
  <c r="C276" i="13"/>
  <c r="S275" i="13"/>
  <c r="L275" i="13"/>
  <c r="K275" i="13"/>
  <c r="I275" i="13"/>
  <c r="H275" i="13"/>
  <c r="G275" i="13"/>
  <c r="F275" i="13"/>
  <c r="D275" i="13"/>
  <c r="C275" i="13"/>
  <c r="L274" i="13"/>
  <c r="K274" i="13"/>
  <c r="I274" i="13"/>
  <c r="H274" i="13"/>
  <c r="G274" i="13"/>
  <c r="F274" i="13"/>
  <c r="D274" i="13"/>
  <c r="C274" i="13"/>
  <c r="L273" i="13"/>
  <c r="K273" i="13"/>
  <c r="I273" i="13"/>
  <c r="H273" i="13"/>
  <c r="G273" i="13"/>
  <c r="F273" i="13"/>
  <c r="D273" i="13"/>
  <c r="C273" i="13"/>
  <c r="L272" i="13"/>
  <c r="K272" i="13"/>
  <c r="I272" i="13"/>
  <c r="H272" i="13"/>
  <c r="G272" i="13"/>
  <c r="F272" i="13"/>
  <c r="D272" i="13"/>
  <c r="C272" i="13"/>
  <c r="L271" i="13"/>
  <c r="K271" i="13"/>
  <c r="I271" i="13"/>
  <c r="H271" i="13"/>
  <c r="G271" i="13"/>
  <c r="F271" i="13"/>
  <c r="D271" i="13"/>
  <c r="C271" i="13"/>
  <c r="L270" i="13"/>
  <c r="K270" i="13"/>
  <c r="I270" i="13"/>
  <c r="H270" i="13"/>
  <c r="G270" i="13"/>
  <c r="F270" i="13"/>
  <c r="D270" i="13"/>
  <c r="C270" i="13"/>
  <c r="L269" i="13"/>
  <c r="K269" i="13"/>
  <c r="I269" i="13"/>
  <c r="H269" i="13"/>
  <c r="G269" i="13"/>
  <c r="F269" i="13"/>
  <c r="D269" i="13"/>
  <c r="C269" i="13"/>
  <c r="L268" i="13"/>
  <c r="K268" i="13"/>
  <c r="I268" i="13"/>
  <c r="H268" i="13"/>
  <c r="G268" i="13"/>
  <c r="F268" i="13"/>
  <c r="D268" i="13"/>
  <c r="C268" i="13"/>
  <c r="L267" i="13"/>
  <c r="K267" i="13"/>
  <c r="I267" i="13"/>
  <c r="H267" i="13"/>
  <c r="G267" i="13"/>
  <c r="F267" i="13"/>
  <c r="D267" i="13"/>
  <c r="C267" i="13"/>
  <c r="L266" i="13"/>
  <c r="K266" i="13"/>
  <c r="I266" i="13"/>
  <c r="H266" i="13"/>
  <c r="G266" i="13"/>
  <c r="F266" i="13"/>
  <c r="D266" i="13"/>
  <c r="C266" i="13"/>
  <c r="L265" i="13"/>
  <c r="K265" i="13"/>
  <c r="I265" i="13"/>
  <c r="H265" i="13"/>
  <c r="G265" i="13"/>
  <c r="F265" i="13"/>
  <c r="D265" i="13"/>
  <c r="C265" i="13"/>
  <c r="L264" i="13"/>
  <c r="K264" i="13"/>
  <c r="I264" i="13"/>
  <c r="H264" i="13"/>
  <c r="G264" i="13"/>
  <c r="F264" i="13"/>
  <c r="D264" i="13"/>
  <c r="C264" i="13"/>
  <c r="L263" i="13"/>
  <c r="K263" i="13"/>
  <c r="I263" i="13"/>
  <c r="H263" i="13"/>
  <c r="G263" i="13"/>
  <c r="F263" i="13"/>
  <c r="D263" i="13"/>
  <c r="C263" i="13"/>
  <c r="L262" i="13"/>
  <c r="K262" i="13"/>
  <c r="I262" i="13"/>
  <c r="H262" i="13"/>
  <c r="G262" i="13"/>
  <c r="F262" i="13"/>
  <c r="D262" i="13"/>
  <c r="C262" i="13"/>
  <c r="L261" i="13"/>
  <c r="K261" i="13"/>
  <c r="I261" i="13"/>
  <c r="H261" i="13"/>
  <c r="G261" i="13"/>
  <c r="F261" i="13"/>
  <c r="D261" i="13"/>
  <c r="C261" i="13"/>
  <c r="L260" i="13"/>
  <c r="K260" i="13"/>
  <c r="I260" i="13"/>
  <c r="H260" i="13"/>
  <c r="G260" i="13"/>
  <c r="F260" i="13"/>
  <c r="D260" i="13"/>
  <c r="C260" i="13"/>
  <c r="L259" i="13"/>
  <c r="K259" i="13"/>
  <c r="I259" i="13"/>
  <c r="H259" i="13"/>
  <c r="G259" i="13"/>
  <c r="F259" i="13"/>
  <c r="D259" i="13"/>
  <c r="C259" i="13"/>
  <c r="L258" i="13"/>
  <c r="K258" i="13"/>
  <c r="I258" i="13"/>
  <c r="H258" i="13"/>
  <c r="G258" i="13"/>
  <c r="F258" i="13"/>
  <c r="D258" i="13"/>
  <c r="C258" i="13"/>
  <c r="L257" i="13"/>
  <c r="K257" i="13"/>
  <c r="I257" i="13"/>
  <c r="H257" i="13"/>
  <c r="G257" i="13"/>
  <c r="F257" i="13"/>
  <c r="D257" i="13"/>
  <c r="C257" i="13"/>
  <c r="L256" i="13"/>
  <c r="K256" i="13"/>
  <c r="I256" i="13"/>
  <c r="H256" i="13"/>
  <c r="G256" i="13"/>
  <c r="F256" i="13"/>
  <c r="D256" i="13"/>
  <c r="C256" i="13"/>
  <c r="L255" i="13"/>
  <c r="K255" i="13"/>
  <c r="I255" i="13"/>
  <c r="H255" i="13"/>
  <c r="G255" i="13"/>
  <c r="F255" i="13"/>
  <c r="D255" i="13"/>
  <c r="C255" i="13"/>
  <c r="L254" i="13"/>
  <c r="K254" i="13"/>
  <c r="I254" i="13"/>
  <c r="H254" i="13"/>
  <c r="G254" i="13"/>
  <c r="F254" i="13"/>
  <c r="D254" i="13"/>
  <c r="C254" i="13"/>
  <c r="L253" i="13"/>
  <c r="K253" i="13"/>
  <c r="I253" i="13"/>
  <c r="H253" i="13"/>
  <c r="G253" i="13"/>
  <c r="F253" i="13"/>
  <c r="D253" i="13"/>
  <c r="C253" i="13"/>
  <c r="L252" i="13"/>
  <c r="K252" i="13"/>
  <c r="I252" i="13"/>
  <c r="H252" i="13"/>
  <c r="G252" i="13"/>
  <c r="F252" i="13"/>
  <c r="D252" i="13"/>
  <c r="C252" i="13"/>
  <c r="L251" i="13"/>
  <c r="K251" i="13"/>
  <c r="I251" i="13"/>
  <c r="H251" i="13"/>
  <c r="G251" i="13"/>
  <c r="F251" i="13"/>
  <c r="D251" i="13"/>
  <c r="C251" i="13"/>
  <c r="L250" i="13"/>
  <c r="K250" i="13"/>
  <c r="I250" i="13"/>
  <c r="H250" i="13"/>
  <c r="G250" i="13"/>
  <c r="F250" i="13"/>
  <c r="D250" i="13"/>
  <c r="C250" i="13"/>
  <c r="L249" i="13"/>
  <c r="K249" i="13"/>
  <c r="I249" i="13"/>
  <c r="H249" i="13"/>
  <c r="G249" i="13"/>
  <c r="F249" i="13"/>
  <c r="D249" i="13"/>
  <c r="C249" i="13"/>
  <c r="L248" i="13"/>
  <c r="K248" i="13"/>
  <c r="I248" i="13"/>
  <c r="H248" i="13"/>
  <c r="G248" i="13"/>
  <c r="F248" i="13"/>
  <c r="D248" i="13"/>
  <c r="C248" i="13"/>
  <c r="L247" i="13"/>
  <c r="K247" i="13"/>
  <c r="I247" i="13"/>
  <c r="H247" i="13"/>
  <c r="G247" i="13"/>
  <c r="F247" i="13"/>
  <c r="D247" i="13"/>
  <c r="C247" i="13"/>
  <c r="L246" i="13"/>
  <c r="K246" i="13"/>
  <c r="I246" i="13"/>
  <c r="H246" i="13"/>
  <c r="G246" i="13"/>
  <c r="F246" i="13"/>
  <c r="D246" i="13"/>
  <c r="C246" i="13"/>
  <c r="L245" i="13"/>
  <c r="K245" i="13"/>
  <c r="I245" i="13"/>
  <c r="H245" i="13"/>
  <c r="G245" i="13"/>
  <c r="F245" i="13"/>
  <c r="D245" i="13"/>
  <c r="C245" i="13"/>
  <c r="L244" i="13"/>
  <c r="K244" i="13"/>
  <c r="I244" i="13"/>
  <c r="H244" i="13"/>
  <c r="G244" i="13"/>
  <c r="F244" i="13"/>
  <c r="D244" i="13"/>
  <c r="C244" i="13"/>
  <c r="L243" i="13"/>
  <c r="K243" i="13"/>
  <c r="I243" i="13"/>
  <c r="H243" i="13"/>
  <c r="G243" i="13"/>
  <c r="F243" i="13"/>
  <c r="D243" i="13"/>
  <c r="C243" i="13"/>
  <c r="L242" i="13"/>
  <c r="K242" i="13"/>
  <c r="I242" i="13"/>
  <c r="H242" i="13"/>
  <c r="G242" i="13"/>
  <c r="F242" i="13"/>
  <c r="D242" i="13"/>
  <c r="C242" i="13"/>
  <c r="L241" i="13"/>
  <c r="K241" i="13"/>
  <c r="I241" i="13"/>
  <c r="H241" i="13"/>
  <c r="G241" i="13"/>
  <c r="F241" i="13"/>
  <c r="D241" i="13"/>
  <c r="C241" i="13"/>
  <c r="L240" i="13"/>
  <c r="K240" i="13"/>
  <c r="I240" i="13"/>
  <c r="H240" i="13"/>
  <c r="G240" i="13"/>
  <c r="F240" i="13"/>
  <c r="D240" i="13"/>
  <c r="C240" i="13"/>
  <c r="L239" i="13"/>
  <c r="K239" i="13"/>
  <c r="I239" i="13"/>
  <c r="H239" i="13"/>
  <c r="G239" i="13"/>
  <c r="F239" i="13"/>
  <c r="D239" i="13"/>
  <c r="C239" i="13"/>
  <c r="L238" i="13"/>
  <c r="K238" i="13"/>
  <c r="I238" i="13"/>
  <c r="H238" i="13"/>
  <c r="G238" i="13"/>
  <c r="F238" i="13"/>
  <c r="D238" i="13"/>
  <c r="C238" i="13"/>
  <c r="L237" i="13"/>
  <c r="K237" i="13"/>
  <c r="I237" i="13"/>
  <c r="H237" i="13"/>
  <c r="G237" i="13"/>
  <c r="F237" i="13"/>
  <c r="D237" i="13"/>
  <c r="C237" i="13"/>
  <c r="L236" i="13"/>
  <c r="K236" i="13"/>
  <c r="I236" i="13"/>
  <c r="H236" i="13"/>
  <c r="G236" i="13"/>
  <c r="F236" i="13"/>
  <c r="D236" i="13"/>
  <c r="C236" i="13"/>
  <c r="L235" i="13"/>
  <c r="K235" i="13"/>
  <c r="I235" i="13"/>
  <c r="H235" i="13"/>
  <c r="G235" i="13"/>
  <c r="F235" i="13"/>
  <c r="D235" i="13"/>
  <c r="C235" i="13"/>
  <c r="L234" i="13"/>
  <c r="K234" i="13"/>
  <c r="I234" i="13"/>
  <c r="H234" i="13"/>
  <c r="G234" i="13"/>
  <c r="F234" i="13"/>
  <c r="D234" i="13"/>
  <c r="C234" i="13"/>
  <c r="L233" i="13"/>
  <c r="K233" i="13"/>
  <c r="I233" i="13"/>
  <c r="H233" i="13"/>
  <c r="G233" i="13"/>
  <c r="F233" i="13"/>
  <c r="D233" i="13"/>
  <c r="C233" i="13"/>
  <c r="L232" i="13"/>
  <c r="K232" i="13"/>
  <c r="I232" i="13"/>
  <c r="H232" i="13"/>
  <c r="G232" i="13"/>
  <c r="F232" i="13"/>
  <c r="D232" i="13"/>
  <c r="C232" i="13"/>
  <c r="L231" i="13"/>
  <c r="K231" i="13"/>
  <c r="I231" i="13"/>
  <c r="H231" i="13"/>
  <c r="G231" i="13"/>
  <c r="F231" i="13"/>
  <c r="D231" i="13"/>
  <c r="C231" i="13"/>
  <c r="L230" i="13"/>
  <c r="K230" i="13"/>
  <c r="I230" i="13"/>
  <c r="H230" i="13"/>
  <c r="G230" i="13"/>
  <c r="F230" i="13"/>
  <c r="D230" i="13"/>
  <c r="C230" i="13"/>
  <c r="L229" i="13"/>
  <c r="K229" i="13"/>
  <c r="I229" i="13"/>
  <c r="H229" i="13"/>
  <c r="G229" i="13"/>
  <c r="F229" i="13"/>
  <c r="D229" i="13"/>
  <c r="C229" i="13"/>
  <c r="L228" i="13"/>
  <c r="K228" i="13"/>
  <c r="I228" i="13"/>
  <c r="H228" i="13"/>
  <c r="G228" i="13"/>
  <c r="F228" i="13"/>
  <c r="D228" i="13"/>
  <c r="C228" i="13"/>
  <c r="L227" i="13"/>
  <c r="K227" i="13"/>
  <c r="I227" i="13"/>
  <c r="H227" i="13"/>
  <c r="G227" i="13"/>
  <c r="F227" i="13"/>
  <c r="D227" i="13"/>
  <c r="C227" i="13"/>
  <c r="L226" i="13"/>
  <c r="K226" i="13"/>
  <c r="I226" i="13"/>
  <c r="H226" i="13"/>
  <c r="G226" i="13"/>
  <c r="F226" i="13"/>
  <c r="D226" i="13"/>
  <c r="C226" i="13"/>
  <c r="S225" i="13"/>
  <c r="L225" i="13"/>
  <c r="K225" i="13"/>
  <c r="I225" i="13"/>
  <c r="H225" i="13"/>
  <c r="G225" i="13"/>
  <c r="F225" i="13"/>
  <c r="D225" i="13"/>
  <c r="C225" i="13"/>
  <c r="B225" i="13"/>
  <c r="B45" i="10" l="1"/>
  <c r="B320" i="13"/>
  <c r="B46" i="10" l="1"/>
  <c r="B321" i="13"/>
  <c r="B7" i="10"/>
  <c r="B226" i="13"/>
  <c r="D10" i="12"/>
  <c r="D9" i="12"/>
  <c r="C9" i="12"/>
  <c r="C8" i="12"/>
  <c r="C7" i="12"/>
  <c r="D6" i="12"/>
  <c r="B168" i="13"/>
  <c r="S219" i="13"/>
  <c r="L219" i="13"/>
  <c r="K219" i="13"/>
  <c r="I219" i="13"/>
  <c r="H219" i="13"/>
  <c r="G219" i="13"/>
  <c r="F219" i="13"/>
  <c r="D219" i="13"/>
  <c r="C219" i="13"/>
  <c r="S218" i="13"/>
  <c r="L218" i="13"/>
  <c r="K218" i="13"/>
  <c r="I218" i="13"/>
  <c r="H218" i="13"/>
  <c r="G218" i="13"/>
  <c r="F218" i="13"/>
  <c r="D218" i="13"/>
  <c r="C218" i="13"/>
  <c r="S217" i="13"/>
  <c r="L217" i="13"/>
  <c r="K217" i="13"/>
  <c r="I217" i="13"/>
  <c r="H217" i="13"/>
  <c r="G217" i="13"/>
  <c r="F217" i="13"/>
  <c r="D217" i="13"/>
  <c r="C217" i="13"/>
  <c r="S216" i="13"/>
  <c r="L216" i="13"/>
  <c r="K216" i="13"/>
  <c r="I216" i="13"/>
  <c r="H216" i="13"/>
  <c r="G216" i="13"/>
  <c r="F216" i="13"/>
  <c r="D216" i="13"/>
  <c r="C216" i="13"/>
  <c r="S215" i="13"/>
  <c r="L215" i="13"/>
  <c r="K215" i="13"/>
  <c r="I215" i="13"/>
  <c r="H215" i="13"/>
  <c r="G215" i="13"/>
  <c r="F215" i="13"/>
  <c r="D215" i="13"/>
  <c r="C215" i="13"/>
  <c r="S214" i="13"/>
  <c r="L214" i="13"/>
  <c r="K214" i="13"/>
  <c r="I214" i="13"/>
  <c r="H214" i="13"/>
  <c r="G214" i="13"/>
  <c r="F214" i="13"/>
  <c r="D214" i="13"/>
  <c r="C214" i="13"/>
  <c r="S213" i="13"/>
  <c r="L213" i="13"/>
  <c r="K213" i="13"/>
  <c r="I213" i="13"/>
  <c r="H213" i="13"/>
  <c r="G213" i="13"/>
  <c r="F213" i="13"/>
  <c r="D213" i="13"/>
  <c r="C213" i="13"/>
  <c r="S212" i="13"/>
  <c r="L212" i="13"/>
  <c r="K212" i="13"/>
  <c r="I212" i="13"/>
  <c r="H212" i="13"/>
  <c r="G212" i="13"/>
  <c r="F212" i="13"/>
  <c r="D212" i="13"/>
  <c r="C212" i="13"/>
  <c r="S211" i="13"/>
  <c r="L211" i="13"/>
  <c r="K211" i="13"/>
  <c r="I211" i="13"/>
  <c r="H211" i="13"/>
  <c r="G211" i="13"/>
  <c r="F211" i="13"/>
  <c r="D211" i="13"/>
  <c r="C211" i="13"/>
  <c r="S210" i="13"/>
  <c r="L210" i="13"/>
  <c r="K210" i="13"/>
  <c r="I210" i="13"/>
  <c r="H210" i="13"/>
  <c r="G210" i="13"/>
  <c r="F210" i="13"/>
  <c r="D210" i="13"/>
  <c r="C210" i="13"/>
  <c r="S209" i="13"/>
  <c r="L209" i="13"/>
  <c r="K209" i="13"/>
  <c r="I209" i="13"/>
  <c r="H209" i="13"/>
  <c r="G209" i="13"/>
  <c r="F209" i="13"/>
  <c r="D209" i="13"/>
  <c r="C209" i="13"/>
  <c r="S208" i="13"/>
  <c r="L208" i="13"/>
  <c r="K208" i="13"/>
  <c r="I208" i="13"/>
  <c r="H208" i="13"/>
  <c r="G208" i="13"/>
  <c r="F208" i="13"/>
  <c r="D208" i="13"/>
  <c r="C208" i="13"/>
  <c r="S207" i="13"/>
  <c r="L207" i="13"/>
  <c r="K207" i="13"/>
  <c r="I207" i="13"/>
  <c r="H207" i="13"/>
  <c r="G207" i="13"/>
  <c r="F207" i="13"/>
  <c r="D207" i="13"/>
  <c r="C207" i="13"/>
  <c r="S206" i="13"/>
  <c r="L206" i="13"/>
  <c r="K206" i="13"/>
  <c r="I206" i="13"/>
  <c r="H206" i="13"/>
  <c r="G206" i="13"/>
  <c r="F206" i="13"/>
  <c r="D206" i="13"/>
  <c r="C206" i="13"/>
  <c r="S205" i="13"/>
  <c r="L205" i="13"/>
  <c r="K205" i="13"/>
  <c r="I205" i="13"/>
  <c r="H205" i="13"/>
  <c r="G205" i="13"/>
  <c r="F205" i="13"/>
  <c r="D205" i="13"/>
  <c r="C205" i="13"/>
  <c r="S204" i="13"/>
  <c r="L204" i="13"/>
  <c r="K204" i="13"/>
  <c r="I204" i="13"/>
  <c r="H204" i="13"/>
  <c r="G204" i="13"/>
  <c r="F204" i="13"/>
  <c r="D204" i="13"/>
  <c r="C204" i="13"/>
  <c r="S203" i="13"/>
  <c r="L203" i="13"/>
  <c r="K203" i="13"/>
  <c r="I203" i="13"/>
  <c r="H203" i="13"/>
  <c r="G203" i="13"/>
  <c r="F203" i="13"/>
  <c r="D203" i="13"/>
  <c r="C203" i="13"/>
  <c r="S202" i="13"/>
  <c r="L202" i="13"/>
  <c r="K202" i="13"/>
  <c r="I202" i="13"/>
  <c r="H202" i="13"/>
  <c r="G202" i="13"/>
  <c r="F202" i="13"/>
  <c r="D202" i="13"/>
  <c r="C202" i="13"/>
  <c r="S201" i="13"/>
  <c r="L201" i="13"/>
  <c r="K201" i="13"/>
  <c r="I201" i="13"/>
  <c r="H201" i="13"/>
  <c r="G201" i="13"/>
  <c r="F201" i="13"/>
  <c r="D201" i="13"/>
  <c r="C201" i="13"/>
  <c r="S200" i="13"/>
  <c r="L200" i="13"/>
  <c r="K200" i="13"/>
  <c r="I200" i="13"/>
  <c r="H200" i="13"/>
  <c r="G200" i="13"/>
  <c r="F200" i="13"/>
  <c r="D200" i="13"/>
  <c r="C200" i="13"/>
  <c r="S199" i="13"/>
  <c r="L199" i="13"/>
  <c r="K199" i="13"/>
  <c r="I199" i="13"/>
  <c r="H199" i="13"/>
  <c r="G199" i="13"/>
  <c r="F199" i="13"/>
  <c r="D199" i="13"/>
  <c r="C199" i="13"/>
  <c r="S198" i="13"/>
  <c r="L198" i="13"/>
  <c r="K198" i="13"/>
  <c r="I198" i="13"/>
  <c r="H198" i="13"/>
  <c r="G198" i="13"/>
  <c r="F198" i="13"/>
  <c r="D198" i="13"/>
  <c r="C198" i="13"/>
  <c r="S197" i="13"/>
  <c r="L197" i="13"/>
  <c r="K197" i="13"/>
  <c r="I197" i="13"/>
  <c r="H197" i="13"/>
  <c r="G197" i="13"/>
  <c r="F197" i="13"/>
  <c r="D197" i="13"/>
  <c r="C197" i="13"/>
  <c r="S196" i="13"/>
  <c r="L196" i="13"/>
  <c r="K196" i="13"/>
  <c r="I196" i="13"/>
  <c r="H196" i="13"/>
  <c r="G196" i="13"/>
  <c r="F196" i="13"/>
  <c r="D196" i="13"/>
  <c r="C196" i="13"/>
  <c r="S195" i="13"/>
  <c r="L195" i="13"/>
  <c r="K195" i="13"/>
  <c r="I195" i="13"/>
  <c r="H195" i="13"/>
  <c r="G195" i="13"/>
  <c r="F195" i="13"/>
  <c r="D195" i="13"/>
  <c r="C195" i="13"/>
  <c r="S194" i="13"/>
  <c r="L194" i="13"/>
  <c r="K194" i="13"/>
  <c r="I194" i="13"/>
  <c r="H194" i="13"/>
  <c r="G194" i="13"/>
  <c r="F194" i="13"/>
  <c r="D194" i="13"/>
  <c r="C194" i="13"/>
  <c r="S193" i="13"/>
  <c r="L193" i="13"/>
  <c r="K193" i="13"/>
  <c r="I193" i="13"/>
  <c r="H193" i="13"/>
  <c r="G193" i="13"/>
  <c r="F193" i="13"/>
  <c r="D193" i="13"/>
  <c r="C193" i="13"/>
  <c r="S192" i="13"/>
  <c r="L192" i="13"/>
  <c r="K192" i="13"/>
  <c r="I192" i="13"/>
  <c r="H192" i="13"/>
  <c r="G192" i="13"/>
  <c r="F192" i="13"/>
  <c r="D192" i="13"/>
  <c r="C192" i="13"/>
  <c r="S191" i="13"/>
  <c r="L191" i="13"/>
  <c r="K191" i="13"/>
  <c r="I191" i="13"/>
  <c r="H191" i="13"/>
  <c r="G191" i="13"/>
  <c r="F191" i="13"/>
  <c r="D191" i="13"/>
  <c r="C191" i="13"/>
  <c r="S190" i="13"/>
  <c r="L190" i="13"/>
  <c r="K190" i="13"/>
  <c r="I190" i="13"/>
  <c r="H190" i="13"/>
  <c r="G190" i="13"/>
  <c r="F190" i="13"/>
  <c r="D190" i="13"/>
  <c r="C190" i="13"/>
  <c r="S189" i="13"/>
  <c r="L189" i="13"/>
  <c r="K189" i="13"/>
  <c r="I189" i="13"/>
  <c r="H189" i="13"/>
  <c r="G189" i="13"/>
  <c r="F189" i="13"/>
  <c r="D189" i="13"/>
  <c r="C189" i="13"/>
  <c r="S188" i="13"/>
  <c r="L188" i="13"/>
  <c r="K188" i="13"/>
  <c r="I188" i="13"/>
  <c r="H188" i="13"/>
  <c r="G188" i="13"/>
  <c r="F188" i="13"/>
  <c r="D188" i="13"/>
  <c r="C188" i="13"/>
  <c r="S187" i="13"/>
  <c r="L187" i="13"/>
  <c r="K187" i="13"/>
  <c r="I187" i="13"/>
  <c r="H187" i="13"/>
  <c r="G187" i="13"/>
  <c r="F187" i="13"/>
  <c r="D187" i="13"/>
  <c r="C187" i="13"/>
  <c r="S186" i="13"/>
  <c r="L186" i="13"/>
  <c r="K186" i="13"/>
  <c r="I186" i="13"/>
  <c r="H186" i="13"/>
  <c r="G186" i="13"/>
  <c r="F186" i="13"/>
  <c r="D186" i="13"/>
  <c r="C186" i="13"/>
  <c r="S185" i="13"/>
  <c r="L185" i="13"/>
  <c r="K185" i="13"/>
  <c r="I185" i="13"/>
  <c r="H185" i="13"/>
  <c r="G185" i="13"/>
  <c r="F185" i="13"/>
  <c r="D185" i="13"/>
  <c r="C185" i="13"/>
  <c r="S184" i="13"/>
  <c r="L184" i="13"/>
  <c r="K184" i="13"/>
  <c r="I184" i="13"/>
  <c r="H184" i="13"/>
  <c r="G184" i="13"/>
  <c r="F184" i="13"/>
  <c r="D184" i="13"/>
  <c r="C184" i="13"/>
  <c r="S183" i="13"/>
  <c r="L183" i="13"/>
  <c r="K183" i="13"/>
  <c r="I183" i="13"/>
  <c r="H183" i="13"/>
  <c r="G183" i="13"/>
  <c r="F183" i="13"/>
  <c r="D183" i="13"/>
  <c r="C183" i="13"/>
  <c r="S182" i="13"/>
  <c r="L182" i="13"/>
  <c r="K182" i="13"/>
  <c r="I182" i="13"/>
  <c r="H182" i="13"/>
  <c r="G182" i="13"/>
  <c r="F182" i="13"/>
  <c r="D182" i="13"/>
  <c r="C182" i="13"/>
  <c r="S181" i="13"/>
  <c r="L181" i="13"/>
  <c r="K181" i="13"/>
  <c r="I181" i="13"/>
  <c r="H181" i="13"/>
  <c r="G181" i="13"/>
  <c r="F181" i="13"/>
  <c r="D181" i="13"/>
  <c r="C181" i="13"/>
  <c r="S180" i="13"/>
  <c r="L180" i="13"/>
  <c r="K180" i="13"/>
  <c r="I180" i="13"/>
  <c r="H180" i="13"/>
  <c r="G180" i="13"/>
  <c r="F180" i="13"/>
  <c r="D180" i="13"/>
  <c r="C180" i="13"/>
  <c r="S179" i="13"/>
  <c r="L179" i="13"/>
  <c r="K179" i="13"/>
  <c r="I179" i="13"/>
  <c r="H179" i="13"/>
  <c r="G179" i="13"/>
  <c r="F179" i="13"/>
  <c r="D179" i="13"/>
  <c r="C179" i="13"/>
  <c r="S178" i="13"/>
  <c r="L178" i="13"/>
  <c r="K178" i="13"/>
  <c r="I178" i="13"/>
  <c r="H178" i="13"/>
  <c r="G178" i="13"/>
  <c r="F178" i="13"/>
  <c r="D178" i="13"/>
  <c r="C178" i="13"/>
  <c r="S177" i="13"/>
  <c r="L177" i="13"/>
  <c r="K177" i="13"/>
  <c r="I177" i="13"/>
  <c r="H177" i="13"/>
  <c r="G177" i="13"/>
  <c r="F177" i="13"/>
  <c r="D177" i="13"/>
  <c r="C177" i="13"/>
  <c r="S176" i="13"/>
  <c r="L176" i="13"/>
  <c r="K176" i="13"/>
  <c r="I176" i="13"/>
  <c r="H176" i="13"/>
  <c r="G176" i="13"/>
  <c r="F176" i="13"/>
  <c r="D176" i="13"/>
  <c r="C176" i="13"/>
  <c r="S175" i="13"/>
  <c r="L175" i="13"/>
  <c r="K175" i="13"/>
  <c r="I175" i="13"/>
  <c r="H175" i="13"/>
  <c r="G175" i="13"/>
  <c r="F175" i="13"/>
  <c r="D175" i="13"/>
  <c r="C175" i="13"/>
  <c r="S174" i="13"/>
  <c r="L174" i="13"/>
  <c r="K174" i="13"/>
  <c r="I174" i="13"/>
  <c r="H174" i="13"/>
  <c r="G174" i="13"/>
  <c r="F174" i="13"/>
  <c r="D174" i="13"/>
  <c r="C174" i="13"/>
  <c r="S173" i="13"/>
  <c r="L173" i="13"/>
  <c r="K173" i="13"/>
  <c r="I173" i="13"/>
  <c r="H173" i="13"/>
  <c r="G173" i="13"/>
  <c r="F173" i="13"/>
  <c r="D173" i="13"/>
  <c r="C173" i="13"/>
  <c r="S172" i="13"/>
  <c r="L172" i="13"/>
  <c r="K172" i="13"/>
  <c r="I172" i="13"/>
  <c r="H172" i="13"/>
  <c r="G172" i="13"/>
  <c r="F172" i="13"/>
  <c r="D172" i="13"/>
  <c r="C172" i="13"/>
  <c r="S171" i="13"/>
  <c r="L171" i="13"/>
  <c r="K171" i="13"/>
  <c r="I171" i="13"/>
  <c r="H171" i="13"/>
  <c r="G171" i="13"/>
  <c r="F171" i="13"/>
  <c r="D171" i="13"/>
  <c r="C171" i="13"/>
  <c r="S170" i="13"/>
  <c r="L170" i="13"/>
  <c r="K170" i="13"/>
  <c r="I170" i="13"/>
  <c r="H170" i="13"/>
  <c r="G170" i="13"/>
  <c r="F170" i="13"/>
  <c r="D170" i="13"/>
  <c r="C170" i="13"/>
  <c r="S169" i="13"/>
  <c r="L169" i="13"/>
  <c r="K169" i="13"/>
  <c r="I169" i="13"/>
  <c r="H169" i="13"/>
  <c r="G169" i="13"/>
  <c r="F169" i="13"/>
  <c r="D169" i="13"/>
  <c r="C169" i="13"/>
  <c r="S168" i="13"/>
  <c r="L168" i="13"/>
  <c r="K168" i="13"/>
  <c r="I168" i="13"/>
  <c r="H168" i="13"/>
  <c r="G168" i="13"/>
  <c r="F168" i="13"/>
  <c r="D168" i="13"/>
  <c r="C168" i="13"/>
  <c r="S167" i="13"/>
  <c r="L167" i="13"/>
  <c r="K167" i="13"/>
  <c r="I167" i="13"/>
  <c r="H167" i="13"/>
  <c r="G167" i="13"/>
  <c r="F167" i="13"/>
  <c r="D167" i="13"/>
  <c r="C167" i="13"/>
  <c r="S166" i="13"/>
  <c r="L166" i="13"/>
  <c r="K166" i="13"/>
  <c r="I166" i="13"/>
  <c r="H166" i="13"/>
  <c r="G166" i="13"/>
  <c r="F166" i="13"/>
  <c r="D166" i="13"/>
  <c r="C166" i="13"/>
  <c r="B166" i="13"/>
  <c r="S159" i="13"/>
  <c r="L159" i="13"/>
  <c r="K159" i="13"/>
  <c r="I159" i="13"/>
  <c r="H159" i="13"/>
  <c r="G159" i="13"/>
  <c r="F159" i="13"/>
  <c r="D159" i="13"/>
  <c r="C159" i="13"/>
  <c r="B159" i="13"/>
  <c r="S158" i="13"/>
  <c r="L158" i="13"/>
  <c r="K158" i="13"/>
  <c r="I158" i="13"/>
  <c r="H158" i="13"/>
  <c r="G158" i="13"/>
  <c r="F158" i="13"/>
  <c r="D158" i="13"/>
  <c r="C158" i="13"/>
  <c r="S157" i="13"/>
  <c r="L157" i="13"/>
  <c r="K157" i="13"/>
  <c r="I157" i="13"/>
  <c r="H157" i="13"/>
  <c r="G157" i="13"/>
  <c r="F157" i="13"/>
  <c r="D157" i="13"/>
  <c r="C157" i="13"/>
  <c r="S156" i="13"/>
  <c r="L156" i="13"/>
  <c r="K156" i="13"/>
  <c r="I156" i="13"/>
  <c r="H156" i="13"/>
  <c r="G156" i="13"/>
  <c r="F156" i="13"/>
  <c r="D156" i="13"/>
  <c r="C156" i="13"/>
  <c r="S155" i="13"/>
  <c r="L155" i="13"/>
  <c r="K155" i="13"/>
  <c r="I155" i="13"/>
  <c r="H155" i="13"/>
  <c r="G155" i="13"/>
  <c r="F155" i="13"/>
  <c r="D155" i="13"/>
  <c r="C155" i="13"/>
  <c r="B155" i="13"/>
  <c r="S154" i="13"/>
  <c r="L154" i="13"/>
  <c r="K154" i="13"/>
  <c r="I154" i="13"/>
  <c r="H154" i="13"/>
  <c r="G154" i="13"/>
  <c r="F154" i="13"/>
  <c r="D154" i="13"/>
  <c r="C154" i="13"/>
  <c r="S153" i="13"/>
  <c r="L153" i="13"/>
  <c r="K153" i="13"/>
  <c r="I153" i="13"/>
  <c r="H153" i="13"/>
  <c r="G153" i="13"/>
  <c r="F153" i="13"/>
  <c r="D153" i="13"/>
  <c r="C153" i="13"/>
  <c r="S152" i="13"/>
  <c r="L152" i="13"/>
  <c r="K152" i="13"/>
  <c r="I152" i="13"/>
  <c r="H152" i="13"/>
  <c r="G152" i="13"/>
  <c r="F152" i="13"/>
  <c r="D152" i="13"/>
  <c r="C152" i="13"/>
  <c r="S151" i="13"/>
  <c r="L151" i="13"/>
  <c r="K151" i="13"/>
  <c r="I151" i="13"/>
  <c r="H151" i="13"/>
  <c r="G151" i="13"/>
  <c r="F151" i="13"/>
  <c r="D151" i="13"/>
  <c r="C151" i="13"/>
  <c r="S150" i="13"/>
  <c r="L150" i="13"/>
  <c r="K150" i="13"/>
  <c r="I150" i="13"/>
  <c r="H150" i="13"/>
  <c r="G150" i="13"/>
  <c r="F150" i="13"/>
  <c r="D150" i="13"/>
  <c r="C150" i="13"/>
  <c r="S149" i="13"/>
  <c r="L149" i="13"/>
  <c r="K149" i="13"/>
  <c r="I149" i="13"/>
  <c r="H149" i="13"/>
  <c r="G149" i="13"/>
  <c r="F149" i="13"/>
  <c r="D149" i="13"/>
  <c r="C149" i="13"/>
  <c r="S148" i="13"/>
  <c r="L148" i="13"/>
  <c r="K148" i="13"/>
  <c r="I148" i="13"/>
  <c r="H148" i="13"/>
  <c r="G148" i="13"/>
  <c r="F148" i="13"/>
  <c r="D148" i="13"/>
  <c r="C148" i="13"/>
  <c r="S147" i="13"/>
  <c r="L147" i="13"/>
  <c r="K147" i="13"/>
  <c r="I147" i="13"/>
  <c r="H147" i="13"/>
  <c r="G147" i="13"/>
  <c r="F147" i="13"/>
  <c r="D147" i="13"/>
  <c r="C147" i="13"/>
  <c r="S146" i="13"/>
  <c r="L146" i="13"/>
  <c r="K146" i="13"/>
  <c r="I146" i="13"/>
  <c r="H146" i="13"/>
  <c r="G146" i="13"/>
  <c r="F146" i="13"/>
  <c r="D146" i="13"/>
  <c r="C146" i="13"/>
  <c r="S145" i="13"/>
  <c r="L145" i="13"/>
  <c r="K145" i="13"/>
  <c r="I145" i="13"/>
  <c r="H145" i="13"/>
  <c r="G145" i="13"/>
  <c r="F145" i="13"/>
  <c r="D145" i="13"/>
  <c r="C145" i="13"/>
  <c r="S144" i="13"/>
  <c r="L144" i="13"/>
  <c r="K144" i="13"/>
  <c r="I144" i="13"/>
  <c r="H144" i="13"/>
  <c r="G144" i="13"/>
  <c r="F144" i="13"/>
  <c r="D144" i="13"/>
  <c r="C144" i="13"/>
  <c r="S143" i="13"/>
  <c r="L143" i="13"/>
  <c r="K143" i="13"/>
  <c r="I143" i="13"/>
  <c r="H143" i="13"/>
  <c r="G143" i="13"/>
  <c r="F143" i="13"/>
  <c r="D143" i="13"/>
  <c r="C143" i="13"/>
  <c r="S142" i="13"/>
  <c r="L142" i="13"/>
  <c r="K142" i="13"/>
  <c r="I142" i="13"/>
  <c r="H142" i="13"/>
  <c r="G142" i="13"/>
  <c r="F142" i="13"/>
  <c r="D142" i="13"/>
  <c r="C142" i="13"/>
  <c r="S141" i="13"/>
  <c r="L141" i="13"/>
  <c r="K141" i="13"/>
  <c r="I141" i="13"/>
  <c r="H141" i="13"/>
  <c r="G141" i="13"/>
  <c r="F141" i="13"/>
  <c r="D141" i="13"/>
  <c r="C141" i="13"/>
  <c r="S140" i="13"/>
  <c r="L140" i="13"/>
  <c r="K140" i="13"/>
  <c r="I140" i="13"/>
  <c r="H140" i="13"/>
  <c r="G140" i="13"/>
  <c r="F140" i="13"/>
  <c r="D140" i="13"/>
  <c r="C140" i="13"/>
  <c r="S139" i="13"/>
  <c r="L139" i="13"/>
  <c r="K139" i="13"/>
  <c r="I139" i="13"/>
  <c r="H139" i="13"/>
  <c r="G139" i="13"/>
  <c r="F139" i="13"/>
  <c r="D139" i="13"/>
  <c r="C139" i="13"/>
  <c r="S138" i="13"/>
  <c r="L138" i="13"/>
  <c r="K138" i="13"/>
  <c r="I138" i="13"/>
  <c r="H138" i="13"/>
  <c r="G138" i="13"/>
  <c r="F138" i="13"/>
  <c r="D138" i="13"/>
  <c r="C138" i="13"/>
  <c r="S137" i="13"/>
  <c r="L137" i="13"/>
  <c r="K137" i="13"/>
  <c r="I137" i="13"/>
  <c r="H137" i="13"/>
  <c r="G137" i="13"/>
  <c r="F137" i="13"/>
  <c r="D137" i="13"/>
  <c r="C137" i="13"/>
  <c r="S136" i="13"/>
  <c r="L136" i="13"/>
  <c r="K136" i="13"/>
  <c r="I136" i="13"/>
  <c r="H136" i="13"/>
  <c r="G136" i="13"/>
  <c r="F136" i="13"/>
  <c r="D136" i="13"/>
  <c r="C136" i="13"/>
  <c r="S135" i="13"/>
  <c r="L135" i="13"/>
  <c r="K135" i="13"/>
  <c r="I135" i="13"/>
  <c r="H135" i="13"/>
  <c r="G135" i="13"/>
  <c r="F135" i="13"/>
  <c r="D135" i="13"/>
  <c r="C135" i="13"/>
  <c r="S134" i="13"/>
  <c r="L134" i="13"/>
  <c r="K134" i="13"/>
  <c r="I134" i="13"/>
  <c r="H134" i="13"/>
  <c r="G134" i="13"/>
  <c r="F134" i="13"/>
  <c r="D134" i="13"/>
  <c r="C134" i="13"/>
  <c r="S133" i="13"/>
  <c r="L133" i="13"/>
  <c r="K133" i="13"/>
  <c r="I133" i="13"/>
  <c r="H133" i="13"/>
  <c r="G133" i="13"/>
  <c r="F133" i="13"/>
  <c r="D133" i="13"/>
  <c r="C133" i="13"/>
  <c r="S132" i="13"/>
  <c r="L132" i="13"/>
  <c r="K132" i="13"/>
  <c r="I132" i="13"/>
  <c r="H132" i="13"/>
  <c r="G132" i="13"/>
  <c r="F132" i="13"/>
  <c r="D132" i="13"/>
  <c r="C132" i="13"/>
  <c r="S131" i="13"/>
  <c r="L131" i="13"/>
  <c r="K131" i="13"/>
  <c r="I131" i="13"/>
  <c r="H131" i="13"/>
  <c r="G131" i="13"/>
  <c r="F131" i="13"/>
  <c r="D131" i="13"/>
  <c r="C131" i="13"/>
  <c r="S130" i="13"/>
  <c r="L130" i="13"/>
  <c r="K130" i="13"/>
  <c r="I130" i="13"/>
  <c r="H130" i="13"/>
  <c r="G130" i="13"/>
  <c r="F130" i="13"/>
  <c r="D130" i="13"/>
  <c r="C130" i="13"/>
  <c r="S129" i="13"/>
  <c r="L129" i="13"/>
  <c r="K129" i="13"/>
  <c r="I129" i="13"/>
  <c r="H129" i="13"/>
  <c r="G129" i="13"/>
  <c r="F129" i="13"/>
  <c r="D129" i="13"/>
  <c r="C129" i="13"/>
  <c r="S128" i="13"/>
  <c r="L128" i="13"/>
  <c r="K128" i="13"/>
  <c r="I128" i="13"/>
  <c r="H128" i="13"/>
  <c r="G128" i="13"/>
  <c r="F128" i="13"/>
  <c r="D128" i="13"/>
  <c r="C128" i="13"/>
  <c r="S127" i="13"/>
  <c r="L127" i="13"/>
  <c r="K127" i="13"/>
  <c r="I127" i="13"/>
  <c r="H127" i="13"/>
  <c r="G127" i="13"/>
  <c r="F127" i="13"/>
  <c r="D127" i="13"/>
  <c r="C127" i="13"/>
  <c r="S126" i="13"/>
  <c r="L126" i="13"/>
  <c r="K126" i="13"/>
  <c r="I126" i="13"/>
  <c r="H126" i="13"/>
  <c r="G126" i="13"/>
  <c r="F126" i="13"/>
  <c r="D126" i="13"/>
  <c r="C126" i="13"/>
  <c r="S125" i="13"/>
  <c r="L125" i="13"/>
  <c r="K125" i="13"/>
  <c r="I125" i="13"/>
  <c r="H125" i="13"/>
  <c r="G125" i="13"/>
  <c r="F125" i="13"/>
  <c r="C125" i="13"/>
  <c r="S124" i="13"/>
  <c r="L124" i="13"/>
  <c r="K124" i="13"/>
  <c r="I124" i="13"/>
  <c r="H124" i="13"/>
  <c r="G124" i="13"/>
  <c r="F124" i="13"/>
  <c r="C124" i="13"/>
  <c r="S123" i="13"/>
  <c r="L123" i="13"/>
  <c r="K123" i="13"/>
  <c r="I123" i="13"/>
  <c r="H123" i="13"/>
  <c r="G123" i="13"/>
  <c r="F123" i="13"/>
  <c r="D123" i="13"/>
  <c r="C123" i="13"/>
  <c r="S122" i="13"/>
  <c r="L122" i="13"/>
  <c r="K122" i="13"/>
  <c r="I122" i="13"/>
  <c r="H122" i="13"/>
  <c r="G122" i="13"/>
  <c r="F122" i="13"/>
  <c r="C122" i="13"/>
  <c r="S121" i="13"/>
  <c r="L121" i="13"/>
  <c r="K121" i="13"/>
  <c r="I121" i="13"/>
  <c r="H121" i="13"/>
  <c r="G121" i="13"/>
  <c r="F121" i="13"/>
  <c r="C121" i="13"/>
  <c r="S120" i="13"/>
  <c r="L120" i="13"/>
  <c r="K120" i="13"/>
  <c r="I120" i="13"/>
  <c r="H120" i="13"/>
  <c r="G120" i="13"/>
  <c r="F120" i="13"/>
  <c r="C120" i="13"/>
  <c r="S119" i="13"/>
  <c r="L119" i="13"/>
  <c r="K119" i="13"/>
  <c r="I119" i="13"/>
  <c r="H119" i="13"/>
  <c r="G119" i="13"/>
  <c r="F119" i="13"/>
  <c r="D119" i="13"/>
  <c r="C119" i="13"/>
  <c r="S118" i="13"/>
  <c r="L118" i="13"/>
  <c r="K118" i="13"/>
  <c r="I118" i="13"/>
  <c r="H118" i="13"/>
  <c r="G118" i="13"/>
  <c r="F118" i="13"/>
  <c r="D118" i="13"/>
  <c r="C118" i="13"/>
  <c r="S117" i="13"/>
  <c r="L117" i="13"/>
  <c r="K117" i="13"/>
  <c r="I117" i="13"/>
  <c r="H117" i="13"/>
  <c r="G117" i="13"/>
  <c r="F117" i="13"/>
  <c r="D117" i="13"/>
  <c r="C117" i="13"/>
  <c r="S116" i="13"/>
  <c r="L116" i="13"/>
  <c r="K116" i="13"/>
  <c r="I116" i="13"/>
  <c r="H116" i="13"/>
  <c r="G116" i="13"/>
  <c r="F116" i="13"/>
  <c r="C116" i="13"/>
  <c r="S115" i="13"/>
  <c r="L115" i="13"/>
  <c r="K115" i="13"/>
  <c r="I115" i="13"/>
  <c r="H115" i="13"/>
  <c r="G115" i="13"/>
  <c r="F115" i="13"/>
  <c r="C115" i="13"/>
  <c r="S114" i="13"/>
  <c r="L114" i="13"/>
  <c r="K114" i="13"/>
  <c r="I114" i="13"/>
  <c r="H114" i="13"/>
  <c r="G114" i="13"/>
  <c r="F114" i="13"/>
  <c r="D114" i="13"/>
  <c r="C114" i="13"/>
  <c r="S113" i="13"/>
  <c r="L113" i="13"/>
  <c r="K113" i="13"/>
  <c r="I113" i="13"/>
  <c r="H113" i="13"/>
  <c r="G113" i="13"/>
  <c r="F113" i="13"/>
  <c r="D113" i="13"/>
  <c r="C113" i="13"/>
  <c r="S112" i="13"/>
  <c r="L112" i="13"/>
  <c r="K112" i="13"/>
  <c r="I112" i="13"/>
  <c r="H112" i="13"/>
  <c r="G112" i="13"/>
  <c r="F112" i="13"/>
  <c r="D112" i="13"/>
  <c r="C112" i="13"/>
  <c r="S111" i="13"/>
  <c r="L111" i="13"/>
  <c r="K111" i="13"/>
  <c r="I111" i="13"/>
  <c r="H111" i="13"/>
  <c r="G111" i="13"/>
  <c r="F111" i="13"/>
  <c r="C111" i="13"/>
  <c r="S110" i="13"/>
  <c r="L110" i="13"/>
  <c r="K110" i="13"/>
  <c r="I110" i="13"/>
  <c r="H110" i="13"/>
  <c r="G110" i="13"/>
  <c r="F110" i="13"/>
  <c r="D110" i="13"/>
  <c r="C110" i="13"/>
  <c r="S109" i="13"/>
  <c r="L109" i="13"/>
  <c r="K109" i="13"/>
  <c r="I109" i="13"/>
  <c r="H109" i="13"/>
  <c r="G109" i="13"/>
  <c r="F109" i="13"/>
  <c r="D109" i="13"/>
  <c r="C109" i="13"/>
  <c r="S108" i="13"/>
  <c r="L108" i="13"/>
  <c r="K108" i="13"/>
  <c r="I108" i="13"/>
  <c r="H108" i="13"/>
  <c r="G108" i="13"/>
  <c r="F108" i="13"/>
  <c r="D108" i="13"/>
  <c r="C108" i="13"/>
  <c r="S107" i="13"/>
  <c r="L107" i="13"/>
  <c r="K107" i="13"/>
  <c r="I107" i="13"/>
  <c r="H107" i="13"/>
  <c r="G107" i="13"/>
  <c r="F107" i="13"/>
  <c r="D107" i="13"/>
  <c r="C107" i="13"/>
  <c r="S106" i="13"/>
  <c r="L106" i="13"/>
  <c r="K106" i="13"/>
  <c r="I106" i="13"/>
  <c r="H106" i="13"/>
  <c r="G106" i="13"/>
  <c r="F106" i="13"/>
  <c r="D106" i="13"/>
  <c r="C106" i="13"/>
  <c r="S105" i="13"/>
  <c r="L105" i="13"/>
  <c r="K105" i="13"/>
  <c r="I105" i="13"/>
  <c r="H105" i="13"/>
  <c r="G105" i="13"/>
  <c r="F105" i="13"/>
  <c r="D105" i="13"/>
  <c r="C105" i="13"/>
  <c r="S104" i="13"/>
  <c r="L104" i="13"/>
  <c r="K104" i="13"/>
  <c r="I104" i="13"/>
  <c r="H104" i="13"/>
  <c r="G104" i="13"/>
  <c r="F104" i="13"/>
  <c r="D104" i="13"/>
  <c r="C104" i="13"/>
  <c r="B104" i="13"/>
  <c r="S64" i="13"/>
  <c r="L64" i="13"/>
  <c r="K64" i="13"/>
  <c r="I64" i="13"/>
  <c r="H64" i="13"/>
  <c r="G64" i="13"/>
  <c r="F64" i="13"/>
  <c r="D64" i="13"/>
  <c r="C64" i="13"/>
  <c r="S63" i="13"/>
  <c r="L63" i="13"/>
  <c r="K63" i="13"/>
  <c r="I63" i="13"/>
  <c r="H63" i="13"/>
  <c r="G63" i="13"/>
  <c r="F63" i="13"/>
  <c r="D63" i="13"/>
  <c r="C63" i="13"/>
  <c r="S62" i="13"/>
  <c r="L62" i="13"/>
  <c r="K62" i="13"/>
  <c r="I62" i="13"/>
  <c r="H62" i="13"/>
  <c r="G62" i="13"/>
  <c r="F62" i="13"/>
  <c r="D62" i="13"/>
  <c r="C62" i="13"/>
  <c r="S61" i="13"/>
  <c r="L61" i="13"/>
  <c r="K61" i="13"/>
  <c r="I61" i="13"/>
  <c r="H61" i="13"/>
  <c r="G61" i="13"/>
  <c r="F61" i="13"/>
  <c r="D61" i="13"/>
  <c r="C61" i="13"/>
  <c r="S60" i="13"/>
  <c r="L60" i="13"/>
  <c r="K60" i="13"/>
  <c r="I60" i="13"/>
  <c r="H60" i="13"/>
  <c r="G60" i="13"/>
  <c r="F60" i="13"/>
  <c r="D60" i="13"/>
  <c r="C60" i="13"/>
  <c r="S59" i="13"/>
  <c r="L59" i="13"/>
  <c r="K59" i="13"/>
  <c r="I59" i="13"/>
  <c r="H59" i="13"/>
  <c r="G59" i="13"/>
  <c r="F59" i="13"/>
  <c r="D59" i="13"/>
  <c r="C59" i="13"/>
  <c r="S58" i="13"/>
  <c r="L58" i="13"/>
  <c r="K58" i="13"/>
  <c r="I58" i="13"/>
  <c r="H58" i="13"/>
  <c r="G58" i="13"/>
  <c r="F58" i="13"/>
  <c r="D58" i="13"/>
  <c r="C58" i="13"/>
  <c r="S57" i="13"/>
  <c r="L57" i="13"/>
  <c r="K57" i="13"/>
  <c r="I57" i="13"/>
  <c r="H57" i="13"/>
  <c r="G57" i="13"/>
  <c r="F57" i="13"/>
  <c r="D57" i="13"/>
  <c r="C57" i="13"/>
  <c r="S56" i="13"/>
  <c r="L56" i="13"/>
  <c r="K56" i="13"/>
  <c r="I56" i="13"/>
  <c r="H56" i="13"/>
  <c r="G56" i="13"/>
  <c r="F56" i="13"/>
  <c r="D56" i="13"/>
  <c r="C56" i="13"/>
  <c r="S55" i="13"/>
  <c r="L55" i="13"/>
  <c r="K55" i="13"/>
  <c r="I55" i="13"/>
  <c r="H55" i="13"/>
  <c r="G55" i="13"/>
  <c r="F55" i="13"/>
  <c r="D55" i="13"/>
  <c r="C55" i="13"/>
  <c r="S54" i="13"/>
  <c r="L54" i="13"/>
  <c r="K54" i="13"/>
  <c r="I54" i="13"/>
  <c r="H54" i="13"/>
  <c r="G54" i="13"/>
  <c r="F54" i="13"/>
  <c r="D54" i="13"/>
  <c r="C54" i="13"/>
  <c r="S53" i="13"/>
  <c r="L53" i="13"/>
  <c r="K53" i="13"/>
  <c r="I53" i="13"/>
  <c r="H53" i="13"/>
  <c r="G53" i="13"/>
  <c r="F53" i="13"/>
  <c r="D53" i="13"/>
  <c r="C53" i="13"/>
  <c r="S52" i="13"/>
  <c r="L52" i="13"/>
  <c r="K52" i="13"/>
  <c r="I52" i="13"/>
  <c r="H52" i="13"/>
  <c r="G52" i="13"/>
  <c r="F52" i="13"/>
  <c r="D52" i="13"/>
  <c r="C52" i="13"/>
  <c r="S45" i="13"/>
  <c r="L45" i="13"/>
  <c r="K45" i="13"/>
  <c r="I45" i="13"/>
  <c r="H45" i="13"/>
  <c r="G45" i="13"/>
  <c r="F45" i="13"/>
  <c r="D45" i="13"/>
  <c r="C45" i="13"/>
  <c r="S44" i="13"/>
  <c r="L44" i="13"/>
  <c r="K44" i="13"/>
  <c r="I44" i="13"/>
  <c r="H44" i="13"/>
  <c r="G44" i="13"/>
  <c r="F44" i="13"/>
  <c r="D44" i="13"/>
  <c r="C44" i="13"/>
  <c r="S43" i="13"/>
  <c r="L43" i="13"/>
  <c r="K43" i="13"/>
  <c r="I43" i="13"/>
  <c r="H43" i="13"/>
  <c r="G43" i="13"/>
  <c r="F43" i="13"/>
  <c r="D43" i="13"/>
  <c r="C43" i="13"/>
  <c r="S42" i="13"/>
  <c r="L42" i="13"/>
  <c r="K42" i="13"/>
  <c r="I42" i="13"/>
  <c r="H42" i="13"/>
  <c r="G42" i="13"/>
  <c r="F42" i="13"/>
  <c r="D42" i="13"/>
  <c r="C42" i="13"/>
  <c r="B42" i="13"/>
  <c r="B43" i="13" s="1"/>
  <c r="B44" i="13" s="1"/>
  <c r="B45" i="13" s="1"/>
  <c r="S41" i="13"/>
  <c r="L41" i="13"/>
  <c r="K41" i="13"/>
  <c r="I41" i="13"/>
  <c r="H41" i="13"/>
  <c r="G41" i="13"/>
  <c r="F41" i="13"/>
  <c r="D41" i="13"/>
  <c r="C41" i="13"/>
  <c r="S40" i="13"/>
  <c r="L40" i="13"/>
  <c r="K40" i="13"/>
  <c r="I40" i="13"/>
  <c r="H40" i="13"/>
  <c r="G40" i="13"/>
  <c r="F40" i="13"/>
  <c r="D40" i="13"/>
  <c r="C40" i="13"/>
  <c r="S39" i="13"/>
  <c r="L39" i="13"/>
  <c r="K39" i="13"/>
  <c r="I39" i="13"/>
  <c r="H39" i="13"/>
  <c r="G39" i="13"/>
  <c r="F39" i="13"/>
  <c r="D39" i="13"/>
  <c r="C39" i="13"/>
  <c r="S38" i="13"/>
  <c r="L38" i="13"/>
  <c r="K38" i="13"/>
  <c r="I38" i="13"/>
  <c r="H38" i="13"/>
  <c r="G38" i="13"/>
  <c r="F38" i="13"/>
  <c r="D38" i="13"/>
  <c r="C38" i="13"/>
  <c r="S37" i="13"/>
  <c r="L37" i="13"/>
  <c r="K37" i="13"/>
  <c r="I37" i="13"/>
  <c r="H37" i="13"/>
  <c r="G37" i="13"/>
  <c r="F37" i="13"/>
  <c r="D37" i="13"/>
  <c r="C37" i="13"/>
  <c r="S36" i="13"/>
  <c r="L36" i="13"/>
  <c r="K36" i="13"/>
  <c r="I36" i="13"/>
  <c r="H36" i="13"/>
  <c r="G36" i="13"/>
  <c r="F36" i="13"/>
  <c r="D36" i="13"/>
  <c r="C36" i="13"/>
  <c r="S35" i="13"/>
  <c r="L35" i="13"/>
  <c r="K35" i="13"/>
  <c r="I35" i="13"/>
  <c r="H35" i="13"/>
  <c r="G35" i="13"/>
  <c r="F35" i="13"/>
  <c r="D35" i="13"/>
  <c r="C35" i="13"/>
  <c r="S34" i="13"/>
  <c r="L34" i="13"/>
  <c r="K34" i="13"/>
  <c r="I34" i="13"/>
  <c r="H34" i="13"/>
  <c r="G34" i="13"/>
  <c r="F34" i="13"/>
  <c r="D34" i="13"/>
  <c r="C34" i="13"/>
  <c r="S33" i="13"/>
  <c r="L33" i="13"/>
  <c r="K33" i="13"/>
  <c r="I33" i="13"/>
  <c r="H33" i="13"/>
  <c r="G33" i="13"/>
  <c r="F33" i="13"/>
  <c r="D33" i="13"/>
  <c r="C33" i="13"/>
  <c r="S32" i="13"/>
  <c r="L32" i="13"/>
  <c r="K32" i="13"/>
  <c r="I32" i="13"/>
  <c r="H32" i="13"/>
  <c r="G32" i="13"/>
  <c r="F32" i="13"/>
  <c r="D32" i="13"/>
  <c r="C32" i="13"/>
  <c r="S31" i="13"/>
  <c r="L31" i="13"/>
  <c r="K31" i="13"/>
  <c r="I31" i="13"/>
  <c r="H31" i="13"/>
  <c r="G31" i="13"/>
  <c r="F31" i="13"/>
  <c r="D31" i="13"/>
  <c r="C31" i="13"/>
  <c r="S30" i="13"/>
  <c r="L30" i="13"/>
  <c r="K30" i="13"/>
  <c r="I30" i="13"/>
  <c r="H30" i="13"/>
  <c r="G30" i="13"/>
  <c r="F30" i="13"/>
  <c r="D30" i="13"/>
  <c r="C30" i="13"/>
  <c r="S29" i="13"/>
  <c r="L29" i="13"/>
  <c r="K29" i="13"/>
  <c r="I29" i="13"/>
  <c r="H29" i="13"/>
  <c r="G29" i="13"/>
  <c r="F29" i="13"/>
  <c r="D29" i="13"/>
  <c r="C29" i="13"/>
  <c r="S28" i="13"/>
  <c r="L28" i="13"/>
  <c r="K28" i="13"/>
  <c r="I28" i="13"/>
  <c r="H28" i="13"/>
  <c r="G28" i="13"/>
  <c r="F28" i="13"/>
  <c r="D28" i="13"/>
  <c r="C28" i="13"/>
  <c r="S27" i="13"/>
  <c r="L27" i="13"/>
  <c r="K27" i="13"/>
  <c r="I27" i="13"/>
  <c r="H27" i="13"/>
  <c r="G27" i="13"/>
  <c r="F27" i="13"/>
  <c r="D27" i="13"/>
  <c r="C27" i="13"/>
  <c r="S26" i="13"/>
  <c r="L26" i="13"/>
  <c r="K26" i="13"/>
  <c r="I26" i="13"/>
  <c r="H26" i="13"/>
  <c r="G26" i="13"/>
  <c r="F26" i="13"/>
  <c r="D26" i="13"/>
  <c r="C26" i="13"/>
  <c r="S25" i="13"/>
  <c r="L25" i="13"/>
  <c r="K25" i="13"/>
  <c r="I25" i="13"/>
  <c r="H25" i="13"/>
  <c r="G25" i="13"/>
  <c r="F25" i="13"/>
  <c r="D25" i="13"/>
  <c r="C25" i="13"/>
  <c r="S24" i="13"/>
  <c r="L24" i="13"/>
  <c r="K24" i="13"/>
  <c r="I24" i="13"/>
  <c r="H24" i="13"/>
  <c r="G24" i="13"/>
  <c r="F24" i="13"/>
  <c r="D24" i="13"/>
  <c r="C24" i="13"/>
  <c r="S20" i="13"/>
  <c r="B167" i="13" l="1"/>
  <c r="B105" i="13"/>
  <c r="B47" i="10"/>
  <c r="B322" i="13"/>
  <c r="B106" i="13"/>
  <c r="B8" i="10"/>
  <c r="B227" i="13"/>
  <c r="B48" i="10" l="1"/>
  <c r="B323" i="13"/>
  <c r="B107" i="13"/>
  <c r="B9" i="10"/>
  <c r="B228" i="13"/>
  <c r="B169" i="13"/>
  <c r="B49" i="10" l="1"/>
  <c r="B324" i="13"/>
  <c r="B10" i="10"/>
  <c r="B229" i="13"/>
  <c r="B170" i="13"/>
  <c r="B108" i="13"/>
  <c r="B50" i="10" l="1"/>
  <c r="B325" i="13"/>
  <c r="B171" i="13"/>
  <c r="B109" i="13"/>
  <c r="B11" i="10"/>
  <c r="B230" i="13"/>
  <c r="B51" i="10" l="1"/>
  <c r="B326" i="13"/>
  <c r="B12" i="10"/>
  <c r="B231" i="13"/>
  <c r="B110" i="13"/>
  <c r="B172" i="13"/>
  <c r="B52" i="10" l="1"/>
  <c r="B327" i="13"/>
  <c r="B111" i="13"/>
  <c r="B173" i="13"/>
  <c r="B13" i="10"/>
  <c r="B232" i="13"/>
  <c r="B53" i="10" l="1"/>
  <c r="B328" i="13"/>
  <c r="B174" i="13"/>
  <c r="B14" i="10"/>
  <c r="B233" i="13"/>
  <c r="B112" i="13"/>
  <c r="B54" i="10" l="1"/>
  <c r="B329" i="13"/>
  <c r="B15" i="10"/>
  <c r="B234" i="13"/>
  <c r="B113" i="13"/>
  <c r="B175" i="13"/>
  <c r="B55" i="10" l="1"/>
  <c r="B330" i="13"/>
  <c r="B16" i="10"/>
  <c r="B235" i="13"/>
  <c r="B176" i="13"/>
  <c r="B114" i="13"/>
  <c r="B56" i="10" l="1"/>
  <c r="B331" i="13"/>
  <c r="B17" i="10"/>
  <c r="B236" i="13"/>
  <c r="B177" i="13"/>
  <c r="B115" i="13"/>
  <c r="B57" i="10" l="1"/>
  <c r="B332" i="13"/>
  <c r="B18" i="10"/>
  <c r="B237" i="13"/>
  <c r="B178" i="13"/>
  <c r="B116" i="13"/>
  <c r="B58" i="10" l="1"/>
  <c r="B333" i="13"/>
  <c r="B179" i="13"/>
  <c r="B117" i="13"/>
  <c r="B19" i="10"/>
  <c r="B238" i="13"/>
  <c r="B59" i="10" l="1"/>
  <c r="B334" i="13"/>
  <c r="B118" i="13"/>
  <c r="B20" i="10"/>
  <c r="B239" i="13"/>
  <c r="B180" i="13"/>
  <c r="B60" i="10" l="1"/>
  <c r="B335" i="13"/>
  <c r="B21" i="10"/>
  <c r="B240" i="13"/>
  <c r="B181" i="13"/>
  <c r="B119" i="13"/>
  <c r="B61" i="10" l="1"/>
  <c r="B336" i="13"/>
  <c r="B120" i="13"/>
  <c r="B22" i="10"/>
  <c r="B241" i="13"/>
  <c r="B182" i="13"/>
  <c r="B62" i="10" l="1"/>
  <c r="B337" i="13"/>
  <c r="B183" i="13"/>
  <c r="B23" i="10"/>
  <c r="B242" i="13"/>
  <c r="B121" i="13"/>
  <c r="B63" i="10" l="1"/>
  <c r="B338" i="13"/>
  <c r="B122" i="13"/>
  <c r="B184" i="13"/>
  <c r="B24" i="10"/>
  <c r="B243" i="13"/>
  <c r="B64" i="10" l="1"/>
  <c r="B339" i="13"/>
  <c r="B185" i="13"/>
  <c r="B25" i="10"/>
  <c r="B244" i="13"/>
  <c r="B123" i="13"/>
  <c r="B65" i="10" l="1"/>
  <c r="B340" i="13"/>
  <c r="B26" i="10"/>
  <c r="B245" i="13"/>
  <c r="B124" i="13"/>
  <c r="B186" i="13"/>
  <c r="B66" i="10" l="1"/>
  <c r="B341" i="13"/>
  <c r="B125" i="13"/>
  <c r="B187" i="13"/>
  <c r="B27" i="10"/>
  <c r="B246" i="13"/>
  <c r="B67" i="10" l="1"/>
  <c r="B342" i="13"/>
  <c r="B188" i="13"/>
  <c r="B247" i="13"/>
  <c r="B126" i="13"/>
  <c r="B68" i="10" l="1"/>
  <c r="B343" i="13"/>
  <c r="B127" i="13"/>
  <c r="B248" i="13"/>
  <c r="B189" i="13"/>
  <c r="B69" i="10" l="1"/>
  <c r="B344" i="13"/>
  <c r="B190" i="13"/>
  <c r="B128" i="13"/>
  <c r="B249" i="13"/>
  <c r="B70" i="10" l="1"/>
  <c r="B345" i="13"/>
  <c r="B129" i="13"/>
  <c r="B250" i="13"/>
  <c r="B191" i="13"/>
  <c r="B71" i="10" l="1"/>
  <c r="B346" i="13"/>
  <c r="B251" i="13"/>
  <c r="B192" i="13"/>
  <c r="B130" i="13"/>
  <c r="B72" i="10" l="1"/>
  <c r="B347" i="13"/>
  <c r="B193" i="13"/>
  <c r="B131" i="13"/>
  <c r="B252" i="13"/>
  <c r="B73" i="10" l="1"/>
  <c r="B348" i="13"/>
  <c r="B132" i="13"/>
  <c r="B253" i="13"/>
  <c r="B194" i="13"/>
  <c r="B74" i="10" l="1"/>
  <c r="B349" i="13"/>
  <c r="B254" i="13"/>
  <c r="B195" i="13"/>
  <c r="B133" i="13"/>
  <c r="B75" i="10" l="1"/>
  <c r="B350" i="13"/>
  <c r="B196" i="13"/>
  <c r="B134" i="13"/>
  <c r="B255" i="13"/>
  <c r="B76" i="10" l="1"/>
  <c r="B351" i="13"/>
  <c r="B135" i="13"/>
  <c r="B197" i="13"/>
  <c r="B256" i="13"/>
  <c r="B77" i="10" l="1"/>
  <c r="B352" i="13"/>
  <c r="B198" i="13"/>
  <c r="B257" i="13"/>
  <c r="B136" i="13"/>
  <c r="B78" i="10" l="1"/>
  <c r="B353" i="13"/>
  <c r="B137" i="13"/>
  <c r="B258" i="13"/>
  <c r="B199" i="13"/>
  <c r="B354" i="13" l="1"/>
  <c r="B200" i="13"/>
  <c r="B138" i="13"/>
  <c r="B259" i="13"/>
  <c r="B355" i="13" l="1"/>
  <c r="B139" i="13"/>
  <c r="B201" i="13"/>
  <c r="B260" i="13"/>
  <c r="B356" i="13" l="1"/>
  <c r="B261" i="13"/>
  <c r="B140" i="13"/>
  <c r="B202" i="13"/>
  <c r="B357" i="13" l="1"/>
  <c r="B203" i="13"/>
  <c r="B262" i="13"/>
  <c r="B141" i="13"/>
  <c r="B358" i="13" l="1"/>
  <c r="B142" i="13"/>
  <c r="B204" i="13"/>
  <c r="B263" i="13"/>
  <c r="B359" i="13" l="1"/>
  <c r="B205" i="13"/>
  <c r="B264" i="13"/>
  <c r="B143" i="13"/>
  <c r="B360" i="13" l="1"/>
  <c r="B265" i="13"/>
  <c r="B144" i="13"/>
  <c r="B206" i="13"/>
  <c r="B361" i="13" l="1"/>
  <c r="B145" i="13"/>
  <c r="B207" i="13"/>
  <c r="B266" i="13"/>
  <c r="B362" i="13" l="1"/>
  <c r="B208" i="13"/>
  <c r="B267" i="13"/>
  <c r="B146" i="13"/>
  <c r="B363" i="13" l="1"/>
  <c r="B268" i="13"/>
  <c r="B147" i="13"/>
  <c r="B209" i="13"/>
  <c r="B364" i="13" l="1"/>
  <c r="B210" i="13"/>
  <c r="B269" i="13"/>
  <c r="B148" i="13"/>
  <c r="B365" i="13" l="1"/>
  <c r="B270" i="13"/>
  <c r="B211" i="13"/>
  <c r="B149" i="13"/>
  <c r="B366" i="13" l="1"/>
  <c r="B212" i="13"/>
  <c r="B150" i="13"/>
  <c r="B271" i="13"/>
  <c r="B367" i="13" l="1"/>
  <c r="B80" i="10"/>
  <c r="B151" i="13"/>
  <c r="B272" i="13"/>
  <c r="B213" i="13"/>
  <c r="B81" i="10" l="1"/>
  <c r="B368" i="13"/>
  <c r="B214" i="13"/>
  <c r="B273" i="13"/>
  <c r="B152" i="13"/>
  <c r="B82" i="10" l="1"/>
  <c r="B369" i="13"/>
  <c r="B274" i="13"/>
  <c r="B215" i="13"/>
  <c r="B153" i="13"/>
  <c r="B370" i="13" l="1"/>
  <c r="B83" i="10"/>
  <c r="B154" i="13"/>
  <c r="B275" i="13"/>
  <c r="B216" i="13"/>
  <c r="B371" i="13" l="1"/>
  <c r="B84" i="10"/>
  <c r="B217" i="13"/>
  <c r="B276" i="13"/>
  <c r="B156" i="13"/>
  <c r="B372" i="13" l="1"/>
  <c r="B85" i="10"/>
  <c r="B277" i="13"/>
  <c r="B158" i="13"/>
  <c r="B157" i="13"/>
  <c r="B218" i="13"/>
  <c r="B219" i="13"/>
  <c r="B373" i="13" l="1"/>
  <c r="B86" i="10"/>
  <c r="B278" i="13"/>
  <c r="B87" i="10" l="1"/>
  <c r="B374" i="13"/>
  <c r="B279" i="13"/>
  <c r="B88" i="10" l="1"/>
  <c r="B375" i="13"/>
  <c r="B280" i="13"/>
  <c r="B376" i="13" l="1"/>
  <c r="B89" i="10"/>
  <c r="B281" i="13"/>
  <c r="B90" i="10" l="1"/>
  <c r="B377" i="13"/>
  <c r="B282" i="13"/>
  <c r="B91" i="10" l="1"/>
  <c r="B378" i="13"/>
  <c r="B283" i="13"/>
  <c r="B92" i="10" l="1"/>
  <c r="B379" i="13"/>
  <c r="B284" i="13"/>
  <c r="B93" i="10" l="1"/>
  <c r="B380" i="13"/>
  <c r="B286" i="13"/>
  <c r="B285" i="13"/>
  <c r="B381" i="13" l="1"/>
  <c r="B94" i="10"/>
  <c r="B287" i="13"/>
  <c r="B95" i="10" l="1"/>
  <c r="B382" i="13"/>
  <c r="B288" i="13"/>
  <c r="B383" i="13" l="1"/>
  <c r="B96" i="10"/>
  <c r="B290" i="13"/>
  <c r="B289" i="13"/>
  <c r="B97" i="10" l="1"/>
  <c r="B384" i="13"/>
  <c r="B292" i="13"/>
  <c r="B291" i="13"/>
  <c r="B98" i="10" l="1"/>
  <c r="B385" i="13"/>
  <c r="B293" i="13"/>
  <c r="B386" i="13" l="1"/>
  <c r="B99" i="10"/>
  <c r="B294" i="13"/>
  <c r="B100" i="10" l="1"/>
  <c r="B387" i="13"/>
  <c r="B295" i="13"/>
  <c r="B101" i="10" l="1"/>
  <c r="B388" i="13"/>
  <c r="B296" i="13"/>
  <c r="B102" i="10" l="1"/>
  <c r="B389" i="13"/>
  <c r="B297" i="13"/>
  <c r="B103" i="10" l="1"/>
  <c r="B390" i="13"/>
  <c r="B298" i="13"/>
  <c r="B104" i="10" l="1"/>
  <c r="B391" i="13"/>
  <c r="B301" i="13"/>
  <c r="B300" i="13"/>
  <c r="B299" i="13"/>
  <c r="B105" i="10" l="1"/>
  <c r="B106" i="10" s="1"/>
  <c r="B392" i="13"/>
  <c r="B304" i="13"/>
  <c r="B302" i="13"/>
  <c r="B28" i="10" l="1"/>
  <c r="B305" i="13"/>
  <c r="B303" i="13"/>
  <c r="B29" i="10" l="1"/>
  <c r="B30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T5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OFICIO NO. 8
NO. 1505-2023
</t>
        </r>
      </text>
    </comment>
    <comment ref="T5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OFICIO NO. 9
NO. 1508-2023</t>
        </r>
      </text>
    </comment>
    <comment ref="T5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NO. PROV. 323</t>
        </r>
      </text>
    </comment>
    <comment ref="T5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NO. PROV. 322</t>
        </r>
      </text>
    </comment>
    <comment ref="T58" authorId="0" shapeId="0" xr:uid="{00000000-0006-0000-0000-000005000000}">
      <text>
        <r>
          <rPr>
            <sz val="9"/>
            <color indexed="81"/>
            <rFont val="Tahoma"/>
            <family val="2"/>
          </rPr>
          <t>NO DE PROV. 324</t>
        </r>
      </text>
    </comment>
    <comment ref="T5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NO. DE OFICIO 1525</t>
        </r>
      </text>
    </comment>
    <comment ref="T6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Usuario
REPORTE KM05
VER PESTAÑA LICENCIAS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Microsoft Office User</author>
    <author>Karen Morales</author>
  </authors>
  <commentList>
    <comment ref="K24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ENCI</t>
        </r>
      </text>
    </comment>
    <comment ref="Q24" authorId="0" shapeId="0" xr:uid="{C7889A6E-CCC6-1743-BA15-8E23F63A00C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ENCI</t>
        </r>
      </text>
    </comment>
    <comment ref="K56" authorId="0" shapeId="0" xr:uid="{00000000-0006-0000-0100-000013000000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ENCI</t>
        </r>
      </text>
    </comment>
    <comment ref="K61" authorId="0" shapeId="0" xr:uid="{00000000-0006-0000-0100-000014000000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K119" authorId="1" shapeId="0" xr:uid="{7FC40934-A451-DB48-AF41-59017D5A3067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  <comment ref="K138" authorId="0" shapeId="0" xr:uid="{00000000-0006-0000-0100-000018000000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K208" authorId="0" shapeId="0" xr:uid="{4E17E473-2BF9-004A-AF97-260796C40B2E}">
      <text>
        <r>
          <rPr>
            <b/>
            <sz val="9"/>
            <color indexed="81"/>
            <rFont val="Tahoma"/>
            <family val="2"/>
          </rPr>
          <t>POR VIVIENDA UNIFAMILIAR DE 177.67 UNA UNIDAD FUNCON</t>
        </r>
      </text>
    </comment>
    <comment ref="K209" authorId="0" shapeId="0" xr:uid="{5E01A836-03D3-7C48-B57E-C4A1B55A3078}">
      <text>
        <r>
          <rPr>
            <b/>
            <sz val="9"/>
            <color indexed="81"/>
            <rFont val="Tahoma"/>
            <family val="2"/>
          </rPr>
          <t>POR VIVIENDA UNIFAMILIAR DE 177.67 UNA UNIDAD FUNCON</t>
        </r>
      </text>
    </comment>
    <comment ref="K232" authorId="2" shapeId="0" xr:uid="{E5DAD785-539B-FF40-8990-60B7B83AFF1D}">
      <text>
        <r>
          <rPr>
            <b/>
            <sz val="10"/>
            <color rgb="FF000000"/>
            <rFont val="Tahoma"/>
            <family val="2"/>
          </rPr>
          <t>Karen Morales: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BELETZUY, DOS TEMPORALIDADES, POT Y PLAN, SE COBRAN AMBAS
</t>
        </r>
        <r>
          <rPr>
            <sz val="10"/>
            <color rgb="FF000000"/>
            <rFont val="Tahoma"/>
            <family val="2"/>
          </rPr>
          <t xml:space="preserve">87.20
</t>
        </r>
      </text>
    </comment>
    <comment ref="K254" authorId="2" shapeId="0" xr:uid="{9D9102C7-F1E5-3147-8C3F-F36FB9545D35}">
      <text>
        <r>
          <rPr>
            <b/>
            <sz val="10"/>
            <color rgb="FF000000"/>
            <rFont val="Tahoma"/>
            <family val="2"/>
          </rPr>
          <t>Karen Morales: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BELETZUY, DOS TEMPORALIDADES, POT Y PLAN, SE COBRAN AMBAS
</t>
        </r>
        <r>
          <rPr>
            <sz val="10"/>
            <color rgb="FF000000"/>
            <rFont val="Tahoma"/>
            <family val="2"/>
          </rPr>
          <t xml:space="preserve">87.20
</t>
        </r>
      </text>
    </comment>
    <comment ref="K275" authorId="2" shapeId="0" xr:uid="{1853CB21-6EA2-2F40-8F9F-634B9F463969}">
      <text>
        <r>
          <rPr>
            <b/>
            <sz val="10"/>
            <color rgb="FF000000"/>
            <rFont val="Tahoma"/>
            <family val="2"/>
          </rPr>
          <t>Karen Morales: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BELETZUY, DOS TEMPORALIDADES, POT Y PLAN, SE COBRAN AMBAS
</t>
        </r>
        <r>
          <rPr>
            <sz val="10"/>
            <color rgb="FF000000"/>
            <rFont val="Tahoma"/>
            <family val="2"/>
          </rPr>
          <t xml:space="preserve">87.20
</t>
        </r>
      </text>
    </comment>
    <comment ref="K299" authorId="2" shapeId="0" xr:uid="{6AC6411A-595A-574A-87BA-E91CAFE7AC72}">
      <text>
        <r>
          <rPr>
            <b/>
            <sz val="10"/>
            <color rgb="FF000000"/>
            <rFont val="Tahoma"/>
            <family val="2"/>
          </rPr>
          <t>Karen Morales: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BELETZUY, DOS TEMPORALIDADES, POT Y PLAN, SE COBRAN AMBAS
</t>
        </r>
        <r>
          <rPr>
            <sz val="10"/>
            <color rgb="FF000000"/>
            <rFont val="Tahoma"/>
            <family val="2"/>
          </rPr>
          <t xml:space="preserve">87.20
</t>
        </r>
      </text>
    </comment>
    <comment ref="K300" authorId="2" shapeId="0" xr:uid="{F2816941-7662-2543-A9D5-24BEF56C33B5}">
      <text>
        <r>
          <rPr>
            <b/>
            <sz val="10"/>
            <color rgb="FF000000"/>
            <rFont val="Tahoma"/>
            <family val="2"/>
          </rPr>
          <t>Karen Morales: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BELETZUY, DOS TEMPORALIDADES, POT Y PLAN, SE COBRAN AMBAS
</t>
        </r>
        <r>
          <rPr>
            <sz val="10"/>
            <color rgb="FF000000"/>
            <rFont val="Tahoma"/>
            <family val="2"/>
          </rPr>
          <t xml:space="preserve">87.20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6" authorId="0" shapeId="0" xr:uid="{2E3087F9-96EF-1648-A486-8C7664E5666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31/01/2024</t>
        </r>
      </text>
    </comment>
    <comment ref="G7" authorId="0" shapeId="0" xr:uid="{EB0BB732-DF6D-EA48-ACC0-B3A35F3EB2E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31/01/2024</t>
        </r>
      </text>
    </comment>
    <comment ref="G8" authorId="0" shapeId="0" xr:uid="{7809A886-BFA8-FB41-865D-FA12DF9A770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31/01/2024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2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PARA REINSPECCION</t>
        </r>
      </text>
    </comment>
    <comment ref="B26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FALTA NUMERO DE RP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Karen Morales</author>
  </authors>
  <commentList>
    <comment ref="E7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SE MANDA INFORME AL VECINO</t>
        </r>
      </text>
    </comment>
    <comment ref="M95" authorId="1" shapeId="0" xr:uid="{A6A6F13D-40F0-A44E-B05D-F9F9B5F5E597}">
      <text>
        <r>
          <rPr>
            <b/>
            <sz val="10"/>
            <color rgb="FF000000"/>
            <rFont val="Tahoma"/>
            <family val="2"/>
          </rPr>
          <t>Karen Morales: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COLOCAR DATOS
</t>
        </r>
        <r>
          <rPr>
            <sz val="10"/>
            <color rgb="FF000000"/>
            <rFont val="Tahoma"/>
            <family val="2"/>
          </rPr>
          <t xml:space="preserve">RESTANTES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50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YA SE TRABAJO LA LICENCIA
</t>
        </r>
      </text>
    </comment>
    <comment ref="C7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ESTA EL ORIGINAL. ESPERAR SOLVENCIA Y DEVOLVER A CATASTRO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K28" authorId="0" shapeId="0" xr:uid="{00000000-0006-0000-0800-000001000000}">
      <text>
        <r>
          <rPr>
            <b/>
            <sz val="9"/>
            <color rgb="FF000000"/>
            <rFont val="Tahoma"/>
            <family val="2"/>
          </rPr>
          <t xml:space="preserve">TIENE EXPEDIENTE DE DEPARTAMENTO POR REGULARIZACION DE DEMOLICION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29" authorId="0" shapeId="0" xr:uid="{00000000-0006-0000-0800-000002000000}">
      <text>
        <r>
          <rPr>
            <b/>
            <sz val="9"/>
            <color rgb="FF000000"/>
            <rFont val="Tahoma"/>
            <family val="2"/>
          </rPr>
          <t>SE TRASLADO A JOSE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2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ANTECEDENTE ANTN-Q7-320923
</t>
        </r>
      </text>
    </comment>
    <comment ref="H5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MP129
MP110</t>
        </r>
      </text>
    </comment>
    <comment ref="H56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OFICIO NO. 9
NO. 1508-2023</t>
        </r>
      </text>
    </comment>
    <comment ref="H58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NO. PROV. 323</t>
        </r>
      </text>
    </comment>
    <comment ref="H5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NO. PROV. 322</t>
        </r>
      </text>
    </comment>
    <comment ref="H60" authorId="0" shapeId="0" xr:uid="{00000000-0006-0000-0900-000006000000}">
      <text>
        <r>
          <rPr>
            <sz val="9"/>
            <color indexed="81"/>
            <rFont val="Tahoma"/>
            <family val="2"/>
          </rPr>
          <t>NO DE PROV. 324</t>
        </r>
      </text>
    </comment>
    <comment ref="H6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NO. DE OFICIO 1525</t>
        </r>
      </text>
    </comment>
    <comment ref="H62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 xml:space="preserve">Usuario
REPORTE KM05
VER PESTAÑA LICENCIAS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SE TRASLADO A HUGO</t>
        </r>
      </text>
    </comment>
    <comment ref="I6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LO QUEDO HUGO, AUN NO HA RETORNADO DE JAM
</t>
        </r>
      </text>
    </comment>
    <comment ref="D28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ANTECEDENTE ANTN-Q7-320923
</t>
        </r>
      </text>
    </comment>
    <comment ref="I55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MP129
MP110</t>
        </r>
      </text>
    </comment>
    <comment ref="I56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OFICIO NO. 9
NO. 1508-2023</t>
        </r>
      </text>
    </comment>
    <comment ref="I58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NO. PROV. 323</t>
        </r>
      </text>
    </comment>
    <comment ref="I59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NO. PROV. 322</t>
        </r>
      </text>
    </comment>
    <comment ref="I60" authorId="0" shapeId="0" xr:uid="{00000000-0006-0000-0A00-000008000000}">
      <text>
        <r>
          <rPr>
            <sz val="9"/>
            <color indexed="81"/>
            <rFont val="Tahoma"/>
            <family val="2"/>
          </rPr>
          <t>NO DE PROV. 324</t>
        </r>
      </text>
    </comment>
    <comment ref="I6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NO. DE OFICIO 1525</t>
        </r>
      </text>
    </comment>
    <comment ref="I62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 xml:space="preserve">Usuario
REPORTE KM05
VER PESTAÑA LICENCIAS
</t>
        </r>
      </text>
    </comment>
  </commentList>
</comments>
</file>

<file path=xl/sharedStrings.xml><?xml version="1.0" encoding="utf-8"?>
<sst xmlns="http://schemas.openxmlformats.org/spreadsheetml/2006/main" count="5451" uniqueCount="1877">
  <si>
    <t>NO. EXPEDIENTE</t>
  </si>
  <si>
    <t>RPNC6-411023</t>
  </si>
  <si>
    <t>NOMBRE</t>
  </si>
  <si>
    <t>FECHA IHGRESO</t>
  </si>
  <si>
    <t>FECHA INSPECCION</t>
  </si>
  <si>
    <t xml:space="preserve">TIPO </t>
  </si>
  <si>
    <t>DEPENDENCIA</t>
  </si>
  <si>
    <t>OT</t>
  </si>
  <si>
    <t>FECHA QUE SE RECIBIO</t>
  </si>
  <si>
    <t>DATOS DEL EXPEDIENTE</t>
  </si>
  <si>
    <t>PROVIDENCIA</t>
  </si>
  <si>
    <t>FECHA QUE SE IMPRIMIO</t>
  </si>
  <si>
    <t>NO.</t>
  </si>
  <si>
    <t xml:space="preserve">NO. </t>
  </si>
  <si>
    <t>EXPEDIENTE</t>
  </si>
  <si>
    <t>CATASTRO</t>
  </si>
  <si>
    <t>PENDIENTE</t>
  </si>
  <si>
    <t>R</t>
  </si>
  <si>
    <t>RPNG2-060923</t>
  </si>
  <si>
    <t>CATALINA QUEME SACOR DE GOMEZ</t>
  </si>
  <si>
    <t>ZONA</t>
  </si>
  <si>
    <t>CONTROL INDIVIDUAL DE EXPEDIENTES NOVIEMBRE 2023</t>
  </si>
  <si>
    <t>INGRESO EXPEDIENTE</t>
  </si>
  <si>
    <t>PROPIETARIO SEGÚN SOLVENCIA</t>
  </si>
  <si>
    <t>DIRECCION SEGÚN SOLVENCIA</t>
  </si>
  <si>
    <t>COLONIA / CONDOMINIO</t>
  </si>
  <si>
    <t>FECHA DE INSPECCIÓN</t>
  </si>
  <si>
    <t>OBSERVACIONES O NOTAS IMPORTANTES</t>
  </si>
  <si>
    <t>VISTALVALLE</t>
  </si>
  <si>
    <t>-</t>
  </si>
  <si>
    <t>TOTAL DE EXPEDIENTES TRABAJADOS</t>
  </si>
  <si>
    <t>CONTROL INDIVIDUAL DE INSPECCIONES NOVIEMBRE 2023</t>
  </si>
  <si>
    <t>FECHA DE INSPECCION</t>
  </si>
  <si>
    <t>NO TELEFONO</t>
  </si>
  <si>
    <t>TOTAL DE INSPECCIONES REALIZADAS</t>
  </si>
  <si>
    <t>INSPECCIONES REALIZADAS</t>
  </si>
  <si>
    <t>ANTECEDENTES</t>
  </si>
  <si>
    <t>NOTA</t>
  </si>
  <si>
    <t>RPNOR-420423</t>
  </si>
  <si>
    <t>I-13-0151-2022</t>
  </si>
  <si>
    <t>LUIS DAVID, OCHOA LOPEZ</t>
  </si>
  <si>
    <t>FALTA PAGO DE MULTA Y SOLVENCIA</t>
  </si>
  <si>
    <t>RPT11-020519</t>
  </si>
  <si>
    <t>I-13-0446-2019</t>
  </si>
  <si>
    <t>CLAUDIA KARINA ROSALES FLORES DE TOBAR</t>
  </si>
  <si>
    <t>FALTA SOLVENCIA</t>
  </si>
  <si>
    <t>RPNC5-500722</t>
  </si>
  <si>
    <t>I-05-0845-2022</t>
  </si>
  <si>
    <t>ANA CAROLINA CARDENAS CITAN</t>
  </si>
  <si>
    <t>RPNG5-611022</t>
  </si>
  <si>
    <t>I-05-1517-2021</t>
  </si>
  <si>
    <t>EDNA ELIZABET DAMIAN GIRON DE GONZALEZ</t>
  </si>
  <si>
    <t>RPND6-060121</t>
  </si>
  <si>
    <t>I-06-0895-2020</t>
  </si>
  <si>
    <t>ERIK ANTONY DE LEON AVILA</t>
  </si>
  <si>
    <t>RPNM10-050220</t>
  </si>
  <si>
    <t>I-13-1205-2019</t>
  </si>
  <si>
    <t>CARLOTA MENCHU HERNANADEZ LOPEZ</t>
  </si>
  <si>
    <t>PENDIENTE CARGA URBANISTICA</t>
  </si>
  <si>
    <t>JAM</t>
  </si>
  <si>
    <t>TIPO DE DOC</t>
  </si>
  <si>
    <t>COPIA</t>
  </si>
  <si>
    <t>RPNC11-420822</t>
  </si>
  <si>
    <t>I-13-0471-2021</t>
  </si>
  <si>
    <t>JOSEFINA ELIZABETH CHAN PEREZ</t>
  </si>
  <si>
    <t>RPNJ1-370722</t>
  </si>
  <si>
    <t>I-01-1383-2021</t>
  </si>
  <si>
    <t>RPNS5-630821</t>
  </si>
  <si>
    <t>I-05-0960-2021</t>
  </si>
  <si>
    <t>JULIA SAJCHE</t>
  </si>
  <si>
    <t>RPND5-560822</t>
  </si>
  <si>
    <t>I-05-06-20-2022</t>
  </si>
  <si>
    <t>PAOLA MERCEDES DE LEON</t>
  </si>
  <si>
    <t>RPND6-052022</t>
  </si>
  <si>
    <t>ANA MARIA VELSQUEZ SIERRA</t>
  </si>
  <si>
    <t>RPPR-090319</t>
  </si>
  <si>
    <t>I-13-0292-2019</t>
  </si>
  <si>
    <t>ABRAHAM PAC BOJ</t>
  </si>
  <si>
    <t>RPND5-170222</t>
  </si>
  <si>
    <t>I-05-1249-2022</t>
  </si>
  <si>
    <t>LUDWIN ALEXANDER DE LEON RIVAS</t>
  </si>
  <si>
    <t>RPNL9-110123</t>
  </si>
  <si>
    <t>I-13-1309-2021</t>
  </si>
  <si>
    <t>LUDY NORBERTA LOPEZ MORENO DE GUTIERREZ</t>
  </si>
  <si>
    <t>RPND5-130323</t>
  </si>
  <si>
    <t>I-05-0841-2022</t>
  </si>
  <si>
    <t>MARCO AURELIO DIAZ REINA</t>
  </si>
  <si>
    <t>RPNM8-180223</t>
  </si>
  <si>
    <t>I-08-0153-2023</t>
  </si>
  <si>
    <t>CLAUDIA MARIA ZALDAÑA RIVERA DE MORALES</t>
  </si>
  <si>
    <t>RPNR6-070322</t>
  </si>
  <si>
    <t>I-01-0093-2022</t>
  </si>
  <si>
    <t>DAMIAN OVISPO RODAS LOPEZ</t>
  </si>
  <si>
    <t>RPNP3-030223</t>
  </si>
  <si>
    <t>I-13-1151-2022</t>
  </si>
  <si>
    <t>ELIAS ABRAHAM PEC DE LEON</t>
  </si>
  <si>
    <t>RPNC2-010222</t>
  </si>
  <si>
    <t>I-02-0773-2020</t>
  </si>
  <si>
    <t>MIRIAM BEATRIZ CUC TECUM</t>
  </si>
  <si>
    <t>RPNH1-721121</t>
  </si>
  <si>
    <t>I-10-1429-2021</t>
  </si>
  <si>
    <t>IRMA PATRICIA HERNANDEZ IXQUIAC</t>
  </si>
  <si>
    <t>RPNRR-041019</t>
  </si>
  <si>
    <t>I-13-1152-2019</t>
  </si>
  <si>
    <t>ELVIS GALIANO RAMIREZ MACARIO</t>
  </si>
  <si>
    <t>RPNJR-440621</t>
  </si>
  <si>
    <t>I-13-0765-2021</t>
  </si>
  <si>
    <t>JOSE FRANCISCO JIMENEZ MIRANDA</t>
  </si>
  <si>
    <t>FALTA SOLVENCIA/USO DE SUELO</t>
  </si>
  <si>
    <t>RPNC4-010122</t>
  </si>
  <si>
    <t>I-13-1607-2021</t>
  </si>
  <si>
    <t>PEDRO DAMASCO COTOC CACATZUM</t>
  </si>
  <si>
    <t>RPNX10-440822</t>
  </si>
  <si>
    <t>I-13-0643-2022</t>
  </si>
  <si>
    <t>SANTIAGO XICARA GOMEZ</t>
  </si>
  <si>
    <t>RPNR11-340321</t>
  </si>
  <si>
    <t>I-11-1026-2020</t>
  </si>
  <si>
    <t>EVANGELINA MUÑOZ OLIVA DE RUIZ</t>
  </si>
  <si>
    <t>NO SE PRESENTO LA INTERESADA/SE DEVOLVIO A CATASTRO</t>
  </si>
  <si>
    <t>RPNM1-090223</t>
  </si>
  <si>
    <t>VITALINA SALVADOR MORALES DE MIRANDA</t>
  </si>
  <si>
    <t>RPNR12-050221</t>
  </si>
  <si>
    <t>R-12-06161-2020</t>
  </si>
  <si>
    <t>SAGAS SOCIEDAD ANONIMA</t>
  </si>
  <si>
    <t>RPNL4-110822</t>
  </si>
  <si>
    <t>R-04-0113-2022</t>
  </si>
  <si>
    <t>EDGAR AROLDO LOPEZ MORALES</t>
  </si>
  <si>
    <t>RPNR12-040221</t>
  </si>
  <si>
    <t>R-12-0160-2020</t>
  </si>
  <si>
    <t>RUBILIA ELIZABETH ROSALES NORIEGA</t>
  </si>
  <si>
    <t>FECHA DE ENVIO</t>
  </si>
  <si>
    <t>RPNC1-140123</t>
  </si>
  <si>
    <t>R-01-0384-2022</t>
  </si>
  <si>
    <t>MARIA DEL ROSARIO COTI SUM DE COJOM</t>
  </si>
  <si>
    <t>RPNP10-240621</t>
  </si>
  <si>
    <t>HERBERT FERNANDO PISQUIY GUZMAN</t>
  </si>
  <si>
    <t>RPW10-411118</t>
  </si>
  <si>
    <t>ACTUALIZAR SOLVENCIA CON CONST. CARGADA</t>
  </si>
  <si>
    <t>INDUSTRIALIZADORA DE VIVIENDAS S.A</t>
  </si>
  <si>
    <t>RPQ6-261118</t>
  </si>
  <si>
    <t>ELIZABETH RAMIREZ CHAVEZ DE QUIEJ</t>
  </si>
  <si>
    <t>RPD3-100519</t>
  </si>
  <si>
    <t>ANT-D3-150519</t>
  </si>
  <si>
    <t>RPNC1-441022</t>
  </si>
  <si>
    <t>R-01-0141-2021</t>
  </si>
  <si>
    <t>MARY NOEMI DE LEON PAREDES</t>
  </si>
  <si>
    <t>BERNABE CHOXOM JOCOL</t>
  </si>
  <si>
    <t>RPC1-090519</t>
  </si>
  <si>
    <t>ANT-C1-250519</t>
  </si>
  <si>
    <t>HONORIA COTOM FUENTES DE CHAVEZ</t>
  </si>
  <si>
    <t>RPM5-050919</t>
  </si>
  <si>
    <t>MOTOS Y AUTOS S.A</t>
  </si>
  <si>
    <t>RPNL12-060122</t>
  </si>
  <si>
    <t>R-12-0216-2021</t>
  </si>
  <si>
    <t>ANA ELIZABETH CARRILLO RIVERA DE LOPEZ</t>
  </si>
  <si>
    <t>RPLR-080419</t>
  </si>
  <si>
    <t>R-13-0019-2019</t>
  </si>
  <si>
    <t>LUISA LOPEZ Y LOPEZ DE RACANCOJ Y JORGE LUIS RACANCOJ TUCUX</t>
  </si>
  <si>
    <t>RPNR3-010122</t>
  </si>
  <si>
    <t>FRANCK WALTER AARON RIOS MONTERROSO</t>
  </si>
  <si>
    <t>RPNV6-080123</t>
  </si>
  <si>
    <t>R-06-0283-2022</t>
  </si>
  <si>
    <t>JUAN VICENTE PEREZ</t>
  </si>
  <si>
    <t>RPNV10-090222</t>
  </si>
  <si>
    <t>R-10-0166-2021</t>
  </si>
  <si>
    <t>MIGUEL VASQUEZ JUAREZ</t>
  </si>
  <si>
    <t>RPNB5-090222</t>
  </si>
  <si>
    <t>R-05-0005-2022</t>
  </si>
  <si>
    <t>LUIS BYRON BOJ DE LEON</t>
  </si>
  <si>
    <t>USY5-010323</t>
  </si>
  <si>
    <t>EDWIN RAMON YAX GOMEZ</t>
  </si>
  <si>
    <t>RPNM10-140220</t>
  </si>
  <si>
    <t>I-13-0078-2020</t>
  </si>
  <si>
    <t>ISRAEL ENRIQUE MENDEZ TOC</t>
  </si>
  <si>
    <t>RPC3-060218</t>
  </si>
  <si>
    <t>I-03-0027-2018</t>
  </si>
  <si>
    <t>RPM8-160618</t>
  </si>
  <si>
    <t>I-08-0454-2018</t>
  </si>
  <si>
    <t>COMPAÑIA DE DESARROLLOS SAN JOAQUIN S.A</t>
  </si>
  <si>
    <t>RPNCR-480822</t>
  </si>
  <si>
    <t>I-13-1874-2021</t>
  </si>
  <si>
    <t>ROSMERY ALICIA MARTINEZ GODINEZ DE MARTINEZ</t>
  </si>
  <si>
    <t>SARA CASTILLO LOPEZ</t>
  </si>
  <si>
    <t>FALTA SOLVENCIA/CARGA URBANISTICA</t>
  </si>
  <si>
    <t>RPNO11-010221</t>
  </si>
  <si>
    <t>I-11-1237-2019</t>
  </si>
  <si>
    <t>MATIAS OVALLE AFRE</t>
  </si>
  <si>
    <t>RPND4-030621</t>
  </si>
  <si>
    <t>I-04-0645-2021</t>
  </si>
  <si>
    <t>ANA MARIELA DE LEON MORALES</t>
  </si>
  <si>
    <t>34 EXPEDIENTES</t>
  </si>
  <si>
    <t>RPR8-051217</t>
  </si>
  <si>
    <t>R-2094-2017</t>
  </si>
  <si>
    <t>JORGE BARTIMEO RODA MAZARIEGOS</t>
  </si>
  <si>
    <t>RPNPR-020121</t>
  </si>
  <si>
    <t>I-13-0660-2020</t>
  </si>
  <si>
    <t>RICARDO PEREZ ESTAZUY</t>
  </si>
  <si>
    <t>RPNL1-040122</t>
  </si>
  <si>
    <t>I-01-1873-2021</t>
  </si>
  <si>
    <t>EDWIN DANICO LOPEZ GONZALEZ</t>
  </si>
  <si>
    <t>RPNC3-050218</t>
  </si>
  <si>
    <t>I-03-0024-2018</t>
  </si>
  <si>
    <t>DESARROLLOS SAN JOAQUIN</t>
  </si>
  <si>
    <t>RPNS5-020121</t>
  </si>
  <si>
    <t>I-05-0746-2020</t>
  </si>
  <si>
    <t>SHEILA YANIRA SANTIAGO GONZALEZ</t>
  </si>
  <si>
    <t>RPNP10-450822</t>
  </si>
  <si>
    <t>GERARDO ISAIAS PEREZ TIU</t>
  </si>
  <si>
    <t>RPNI4-070722</t>
  </si>
  <si>
    <t>DOMINGO ITZEP LOPEZ</t>
  </si>
  <si>
    <t>RPNG11-280321</t>
  </si>
  <si>
    <t>I-11-1032-2020</t>
  </si>
  <si>
    <t>EVA NOELIA GALVEZ SANCHEZ</t>
  </si>
  <si>
    <t>RPNB6-220622</t>
  </si>
  <si>
    <t>I-06-0483-2022</t>
  </si>
  <si>
    <t>VALERY REGINA BATZ CAYAX</t>
  </si>
  <si>
    <t>RPNPR-030123</t>
  </si>
  <si>
    <t>I-13-1473-2022</t>
  </si>
  <si>
    <t>MARITZA CONSUELO LOPEZ FLORES DE PEREIRA</t>
  </si>
  <si>
    <t>RPNJ8-100122</t>
  </si>
  <si>
    <t>I-08-852-2021</t>
  </si>
  <si>
    <t>INGRID LIZETH JUAREZ PALACIOS DE REINA</t>
  </si>
  <si>
    <t>RPP2-010118</t>
  </si>
  <si>
    <t>N-1429-2017</t>
  </si>
  <si>
    <t>V-1502-2017</t>
  </si>
  <si>
    <t>ALIDA ROXANA VELA TEBALAN</t>
  </si>
  <si>
    <t>RPR7-020119</t>
  </si>
  <si>
    <t>D-07-0083-2018</t>
  </si>
  <si>
    <t>DOMINGO BENJAMIN ROJAS RAMIREZ</t>
  </si>
  <si>
    <t>RPNM1-150423</t>
  </si>
  <si>
    <t>R-01-0246-2022</t>
  </si>
  <si>
    <t>ANTHONY ALEXANDER MENDEZ COTOM</t>
  </si>
  <si>
    <t>RPNP5-570722</t>
  </si>
  <si>
    <t>R-05-0258-2022</t>
  </si>
  <si>
    <t>JULIANA ALEJANDRRA AJTUN PAJTUN</t>
  </si>
  <si>
    <t>RPNE8-420921</t>
  </si>
  <si>
    <t>I-08-0113-2020</t>
  </si>
  <si>
    <t>LUISANA YAJAIRA ESTRADA OVALLE</t>
  </si>
  <si>
    <t>RPND11-180321</t>
  </si>
  <si>
    <t>I-11-0941-2020</t>
  </si>
  <si>
    <t>BERNY NICOL DE LA ROSA PEREZ</t>
  </si>
  <si>
    <t>USY5-020323</t>
  </si>
  <si>
    <t>MARIA ELDA ROSELI YAX GOMEZ DE PEREZ</t>
  </si>
  <si>
    <t>RPNP10-080223</t>
  </si>
  <si>
    <t>A-10-0011-2021</t>
  </si>
  <si>
    <t>SAMUEL EZEQUIAS ALVAREZ PEREZ</t>
  </si>
  <si>
    <t>RPNCR-190523</t>
  </si>
  <si>
    <t>I-13-0139-2023</t>
  </si>
  <si>
    <t>MARIA MARIELA CHACHLAN PEREZ DE GARCIA</t>
  </si>
  <si>
    <t>RPNJR-201020</t>
  </si>
  <si>
    <t>I-13-582-2020</t>
  </si>
  <si>
    <t>RUPERTO OBISPO JORGE CHICHE</t>
  </si>
  <si>
    <t>RPNX3-080221</t>
  </si>
  <si>
    <t>I-03-1058-2020</t>
  </si>
  <si>
    <t>ERICK ESTEBAN XICARA MORALES</t>
  </si>
  <si>
    <t>RPR8-251218</t>
  </si>
  <si>
    <t>I-08-1184-2018</t>
  </si>
  <si>
    <t>EVELIN ROCIO RODAS LOPEZ</t>
  </si>
  <si>
    <t>SE DEVOLVIO EXPEDIENTE POR NO INTERES</t>
  </si>
  <si>
    <t>RPNX1-070123</t>
  </si>
  <si>
    <t>I-01-1256-2022</t>
  </si>
  <si>
    <t>JULIO ROBERTO XICARA HERNANDEZ</t>
  </si>
  <si>
    <t>RPNC1-050123</t>
  </si>
  <si>
    <t>I-01-1211-2022</t>
  </si>
  <si>
    <t>ARNOLDO RULAMAN LOARCA BARRIOS</t>
  </si>
  <si>
    <t xml:space="preserve">COPIA  </t>
  </si>
  <si>
    <t>I-11-1020-2020</t>
  </si>
  <si>
    <t>RPNM11-270321</t>
  </si>
  <si>
    <t>MARIA SALOME MARTINEZ ZELADA</t>
  </si>
  <si>
    <t>EN ESPERA DE PAGO EN JAM</t>
  </si>
  <si>
    <t>ORIGINAL</t>
  </si>
  <si>
    <t>RPNC11-280321</t>
  </si>
  <si>
    <t>I-11-1031-2020</t>
  </si>
  <si>
    <t>MARIA TERESA COLOMO</t>
  </si>
  <si>
    <t>RPQ1-381018</t>
  </si>
  <si>
    <t>I-01-0724-2018</t>
  </si>
  <si>
    <t>LUIS ANGEL DE JESUS QUIXTAN TEZO</t>
  </si>
  <si>
    <t>I-2326-2017</t>
  </si>
  <si>
    <t>JUAN DANIEL IPIÑA QUIRCA</t>
  </si>
  <si>
    <t>RPNM11-240321</t>
  </si>
  <si>
    <t>I-11-1022-2020</t>
  </si>
  <si>
    <t>JEFFERSON DAVID MALTA PLATO</t>
  </si>
  <si>
    <t>RPNT11-250321</t>
  </si>
  <si>
    <t>I-11-0975-2020</t>
  </si>
  <si>
    <t>SANTOS FELICITO TUJ MAZARIEGOS</t>
  </si>
  <si>
    <t>RPNC11-290321</t>
  </si>
  <si>
    <t>I-11-0989-2020</t>
  </si>
  <si>
    <t>MARIA ROSARIO CANASTUJ TAX DE IXCHAJCHAL</t>
  </si>
  <si>
    <t>RPNC11-150321</t>
  </si>
  <si>
    <t>I-11-1035-2020</t>
  </si>
  <si>
    <t>MIRNA ASUCELY CHAY OROZCO</t>
  </si>
  <si>
    <t>RPNC1-360822</t>
  </si>
  <si>
    <t>I-01-0555-2022</t>
  </si>
  <si>
    <t>OSCAR JOAQUIN CHUVAC GUZMAN</t>
  </si>
  <si>
    <t>RPNM11-220321</t>
  </si>
  <si>
    <t>I-11-0944-2020</t>
  </si>
  <si>
    <t>SILVIA MARIA MENDEZ DIAZ</t>
  </si>
  <si>
    <t>RPNV11-200321</t>
  </si>
  <si>
    <t>I-11-0943-2020</t>
  </si>
  <si>
    <t xml:space="preserve">KESLIN RUSBELI VELASQUEZ GONZALEZ </t>
  </si>
  <si>
    <t>RPNM11-190321</t>
  </si>
  <si>
    <t>I-11-0942-2020</t>
  </si>
  <si>
    <t>TOMAS MEJIA MORALES</t>
  </si>
  <si>
    <t>PEDRO SANTIAGO VASQUEZ</t>
  </si>
  <si>
    <t>I-11-0939-2020</t>
  </si>
  <si>
    <t>RPNV11-170321</t>
  </si>
  <si>
    <t>RPNA5-270221</t>
  </si>
  <si>
    <t>I-05-1138-2020</t>
  </si>
  <si>
    <t>MARIA TERESA ALVARADO IXQUIACHE</t>
  </si>
  <si>
    <t>RPNAR-100223</t>
  </si>
  <si>
    <t>I-13-0820-2022</t>
  </si>
  <si>
    <t>GEORGINA CLEOTILDE PAZ MENDEZ DE ALONZO</t>
  </si>
  <si>
    <t>RPNV1-430822</t>
  </si>
  <si>
    <t>I-01-1038-2021</t>
  </si>
  <si>
    <t>MARCOS ANCELMO VASQUEZ DE LEON</t>
  </si>
  <si>
    <t>RPNS5-741022</t>
  </si>
  <si>
    <t>I-05-1115-2022</t>
  </si>
  <si>
    <t>KAREN JUDITH SANCHEZ XICARA</t>
  </si>
  <si>
    <t>RPNM3-070123</t>
  </si>
  <si>
    <t>I-03-1525-2022</t>
  </si>
  <si>
    <t>SANDRA VERONICA MENDOZA ALVAREZ</t>
  </si>
  <si>
    <t>I-13-0496-2018</t>
  </si>
  <si>
    <t>ELVIA MARISOL PEREZ IXCOT DE YSTAZUY</t>
  </si>
  <si>
    <t>NO SE PRESENTARON PARA CONTINUAR</t>
  </si>
  <si>
    <t>RPNM6-100323</t>
  </si>
  <si>
    <t>I-06-1040-2019</t>
  </si>
  <si>
    <t>MARVIN ESTUARDO MORAN CAC</t>
  </si>
  <si>
    <t>RPNRUR-170121</t>
  </si>
  <si>
    <t>I-13-0972-2020</t>
  </si>
  <si>
    <t>JOSE OROZCO OROZCO</t>
  </si>
  <si>
    <t>RPNV7-030223</t>
  </si>
  <si>
    <t>SUSANO ROLANDO VICENTE VICENTE</t>
  </si>
  <si>
    <t>I-07-1074-2022</t>
  </si>
  <si>
    <t>RPP7-030119</t>
  </si>
  <si>
    <t>JULIO IVAN PAZ Y PAZ</t>
  </si>
  <si>
    <t>RPL6-120618</t>
  </si>
  <si>
    <t>MAXIMONO LOPEZ CHAN</t>
  </si>
  <si>
    <t>RPNCR-050123</t>
  </si>
  <si>
    <t>I-13-1503-2022</t>
  </si>
  <si>
    <t>VITALINO CRUZ CAHUEX</t>
  </si>
  <si>
    <t>RPNM1-080222</t>
  </si>
  <si>
    <t>R-01-0170-2021</t>
  </si>
  <si>
    <t>HERIBERTO GIOVANNI MAZARIEGOS ESTRADA</t>
  </si>
  <si>
    <t>R-01-0172-2020</t>
  </si>
  <si>
    <t>EN ESPERA DEL OTRO EXPEDIENTE</t>
  </si>
  <si>
    <t>RPC3-030118</t>
  </si>
  <si>
    <t>COOPERATIVA DE AHORRO Y CREDITO INTEGRAL SALCAJA</t>
  </si>
  <si>
    <t>RPV7-080419</t>
  </si>
  <si>
    <t>D-07-0025-2019</t>
  </si>
  <si>
    <t xml:space="preserve">ANDREA ZAVALA ALVA DE VASQUEZ </t>
  </si>
  <si>
    <t>RPNC11-060123</t>
  </si>
  <si>
    <t>R-13-0002-2023</t>
  </si>
  <si>
    <t>DIONISIA CATARINA LOPEZ CHAJ</t>
  </si>
  <si>
    <t>RPNR12-110922</t>
  </si>
  <si>
    <t>R-10-0252-2022</t>
  </si>
  <si>
    <t>IVAN ADOLFO RODAS DE LEON</t>
  </si>
  <si>
    <t>RPNF7-020121</t>
  </si>
  <si>
    <t>R-07-007-2020</t>
  </si>
  <si>
    <t>ROSALBA JANNETTER FUENTES PONCE</t>
  </si>
  <si>
    <t xml:space="preserve"> </t>
  </si>
  <si>
    <t xml:space="preserve">LICENCIAS </t>
  </si>
  <si>
    <t>DE OBRA</t>
  </si>
  <si>
    <t>REPORTES/REGULARIZACIONES</t>
  </si>
  <si>
    <t>FECHA ENTREGA PARA REVISION</t>
  </si>
  <si>
    <t>19 EXPEDIENTES</t>
  </si>
  <si>
    <t>CONTROL INDIVIDUAL DE EXPEDIENTES ENERO 2024</t>
  </si>
  <si>
    <t>RPNSR-560321</t>
  </si>
  <si>
    <t>GLORIA ELIZABETH SANTOS LOPEZ</t>
  </si>
  <si>
    <t>CANTON XEPACHE</t>
  </si>
  <si>
    <t>REPORTE A JAM PARA REGULARIZACION</t>
  </si>
  <si>
    <t>INSPECTOR</t>
  </si>
  <si>
    <t>NATALIE RIVERA</t>
  </si>
  <si>
    <t>D-08-0099-2022</t>
  </si>
  <si>
    <t xml:space="preserve">4 CALLE 38-27 </t>
  </si>
  <si>
    <t xml:space="preserve">OFICIO A CATASTRO POR DESMEMBRACION </t>
  </si>
  <si>
    <t>MARIA TERESA ALVARADO IXQUIACCHE</t>
  </si>
  <si>
    <t>DIAGONAL 15</t>
  </si>
  <si>
    <t>SE RETORNA A CATASTRO A PEDIDO DE LA INTERESADA</t>
  </si>
  <si>
    <t>JUAN VICTOR OLIVEROS RAMIREZ</t>
  </si>
  <si>
    <t>ANTN-O3-141223</t>
  </si>
  <si>
    <t>22 AVENIDA 6-42A</t>
  </si>
  <si>
    <t>SE TRASLADA A SECRETARIA PARA FINALIZAR TRAMITE</t>
  </si>
  <si>
    <t>ILIANA VANESSA IXQUIAC MORALES</t>
  </si>
  <si>
    <t>JOSE JUAREZ</t>
  </si>
  <si>
    <t>CALLEJON 10A 19-15</t>
  </si>
  <si>
    <t>R-08-0158-2023</t>
  </si>
  <si>
    <t>PABLO MACARIO PAXTOR</t>
  </si>
  <si>
    <t>F:96693 F:254 L:385</t>
  </si>
  <si>
    <t>OFICIO A CATASTRO POR RECTIFICACION/CONST. ANTIGUA</t>
  </si>
  <si>
    <t>HENRY JACINTO AGUILAR RECINOS</t>
  </si>
  <si>
    <t>F:1215  F:215  L:343E</t>
  </si>
  <si>
    <t>WERNER ALEXANDER LOPEZ PEREZ</t>
  </si>
  <si>
    <t>F:3374 F:374 L:127E</t>
  </si>
  <si>
    <t>ANTN-E1-421223</t>
  </si>
  <si>
    <t>JOSE ABELARDO ELIAS ALVAREZ</t>
  </si>
  <si>
    <t>DIAGONAL 14, 1-23</t>
  </si>
  <si>
    <t>CONTROL INDIVIDUAL DE EXPEDIENTES MARI/VACACIONES</t>
  </si>
  <si>
    <t>RPNO9-190623</t>
  </si>
  <si>
    <t xml:space="preserve">SILVIA BEATRIZ LOPEZ GARCIA DE OCHOA </t>
  </si>
  <si>
    <t xml:space="preserve">DIAGONAL 15 0-88D INTERIOR </t>
  </si>
  <si>
    <t>INFORME DE LICENCIA</t>
  </si>
  <si>
    <t>R-04-0229-2023</t>
  </si>
  <si>
    <t>MIGUEL ANGEL MENCHU GARCIA</t>
  </si>
  <si>
    <t>AV. EL CENIZAL 8-45</t>
  </si>
  <si>
    <t>INFORME EXTERNO A IUSI PARA CARGAR CONSTRUCCION</t>
  </si>
  <si>
    <t>OFICIO A CATASTRO/ CONSTRUCCION ANTIGUA</t>
  </si>
  <si>
    <t>RPNM5-100323</t>
  </si>
  <si>
    <t>LAURA PILAR MATUL LEMUS DE MERIDA</t>
  </si>
  <si>
    <t>4 CALLE 14-52</t>
  </si>
  <si>
    <t>DMNH3-010124</t>
  </si>
  <si>
    <t>IRAYDA MARIELLA HERNANDEZ MORALES</t>
  </si>
  <si>
    <t xml:space="preserve">8 CALLE 21-22 </t>
  </si>
  <si>
    <t>18/08/2023</t>
  </si>
  <si>
    <t>RPNI1-020124</t>
  </si>
  <si>
    <t>RPNL5-020124</t>
  </si>
  <si>
    <t>RPNA5-030124</t>
  </si>
  <si>
    <t>MARCO ANTONIO TISTOJ PEREZ</t>
  </si>
  <si>
    <t xml:space="preserve">CANTON CHOQUI </t>
  </si>
  <si>
    <t>CANTON CHITUX; F:278973 F:62 L:647</t>
  </si>
  <si>
    <t xml:space="preserve">R </t>
  </si>
  <si>
    <t xml:space="preserve">INFORME DE LICENCIA </t>
  </si>
  <si>
    <t>CALCULO DE LICENCIA PARA DEMOLICION</t>
  </si>
  <si>
    <t>NO. DE TELEFONO</t>
  </si>
  <si>
    <t>RPN012-151022</t>
  </si>
  <si>
    <t>WILLIAM ARNOLDO OSORIO MARTINEZ</t>
  </si>
  <si>
    <t>11 CALLE C11D-33</t>
  </si>
  <si>
    <t xml:space="preserve">5 CALLE 4-52 LOTE 106 MANZANA F </t>
  </si>
  <si>
    <t>RPNT1-340723</t>
  </si>
  <si>
    <t>LETICIA YOLANDA HUITZ ORDOÑEZ DE TIGUILA</t>
  </si>
  <si>
    <t>JORGE MARIO RODAS LOPEZ</t>
  </si>
  <si>
    <t>RPNR8-551023</t>
  </si>
  <si>
    <t>DIRECCION</t>
  </si>
  <si>
    <t>DESTINO AUTORIZADO</t>
  </si>
  <si>
    <t>VIVIENDA UNIFAMILIAR DOS NIVELES</t>
  </si>
  <si>
    <t>UNIDADES EXISTENTES</t>
  </si>
  <si>
    <t>UNIDADES DE LA LICENCIA</t>
  </si>
  <si>
    <t>AÑO DE CONSTRUCCION</t>
  </si>
  <si>
    <t>LICENCIA DE SUELO</t>
  </si>
  <si>
    <t>LICENCIA DE OBRA</t>
  </si>
  <si>
    <t>HENRY FIDEL CHANCHAVAC ACABAL</t>
  </si>
  <si>
    <t>KAREN MORALES</t>
  </si>
  <si>
    <t>INF5-010922</t>
  </si>
  <si>
    <t>ROSA MARIA AMBROSIO CUX</t>
  </si>
  <si>
    <t>16 CALLE 7-30</t>
  </si>
  <si>
    <t>INFORME INTERNO A DANI</t>
  </si>
  <si>
    <t>VIVIENDA UNIFAMILIAR UN NIVEL</t>
  </si>
  <si>
    <t>RPNDR-100124</t>
  </si>
  <si>
    <t>RPNDR-130124</t>
  </si>
  <si>
    <t>RPNTR-090124</t>
  </si>
  <si>
    <t>DESARROLLOS DE SUR OCCIDENTE S.A. LOTE E5</t>
  </si>
  <si>
    <t>DESARROLLOS DE SUR OCCIDENTE S.A. LOTE E9</t>
  </si>
  <si>
    <t>RPNDR-120124</t>
  </si>
  <si>
    <t>DESARROLLOS DE SUR OCCIDENTE S.A. LOTE E11</t>
  </si>
  <si>
    <t>RPNDR-110124</t>
  </si>
  <si>
    <t>DESARROLLOS DE SUR OCCIDENTE S.A. LOTE E4</t>
  </si>
  <si>
    <t>I-09-0529-2023</t>
  </si>
  <si>
    <t>ANA NATALIA ALEJANDRO IXCOT</t>
  </si>
  <si>
    <t>DRENAJES</t>
  </si>
  <si>
    <t>POR ZANJON</t>
  </si>
  <si>
    <t>I-09-0546-2023</t>
  </si>
  <si>
    <t>JOVITA ALVA ACABAL VASQUEZ DE HUNTER</t>
  </si>
  <si>
    <t>INFORME POR CONSTRUCCION RURAL</t>
  </si>
  <si>
    <t>NUMERO INFORME</t>
  </si>
  <si>
    <t>084-2024</t>
  </si>
  <si>
    <t>USC9-020423</t>
  </si>
  <si>
    <t>JUAN FRANCISCO COTOM SAQUIC</t>
  </si>
  <si>
    <t>9 CALLE 4-13 INTERIOR</t>
  </si>
  <si>
    <t>DINA NOEMI QUIÑONEZ DE LA CRUZ</t>
  </si>
  <si>
    <t>I-05-1142-2022</t>
  </si>
  <si>
    <t>ANGELA CHAN</t>
  </si>
  <si>
    <t>INFORME POR CONSTRUCCION RURAL ANTIGUA</t>
  </si>
  <si>
    <t>088-2024</t>
  </si>
  <si>
    <t>OFICIOS EXTERNOS</t>
  </si>
  <si>
    <t>I-09-0534-2023</t>
  </si>
  <si>
    <t>FIDELIA SAQUIC TUY DE FLORES</t>
  </si>
  <si>
    <t>RPNC10-170223</t>
  </si>
  <si>
    <t>HECTOR ARTURO CAMACHO SOLORZANO</t>
  </si>
  <si>
    <t>7 AVENIDA B 0-212</t>
  </si>
  <si>
    <t>RPNQ7-010124</t>
  </si>
  <si>
    <t>SAN JORGE</t>
  </si>
  <si>
    <t>CAROLINA COTOM GUZMAN DE CRUZ</t>
  </si>
  <si>
    <t>PEDRO JOSE PEREZ VASQUEZ</t>
  </si>
  <si>
    <t>I-01-1032-2023</t>
  </si>
  <si>
    <t>MARCO ANTONIO CALVAC GUERRA</t>
  </si>
  <si>
    <t>DIAGONAL 11B; F:261006  F:106  L:590A</t>
  </si>
  <si>
    <t>SE AUTORIZO</t>
  </si>
  <si>
    <t>OBSERVACIONES</t>
  </si>
  <si>
    <t>VIVIENDA UNIFAMILIAR</t>
  </si>
  <si>
    <t>N/A</t>
  </si>
  <si>
    <t>ANTIGUA</t>
  </si>
  <si>
    <t>MT2</t>
  </si>
  <si>
    <t>OFICIO POR CONSTRUCCION ANTIGUA</t>
  </si>
  <si>
    <t>098-2024</t>
  </si>
  <si>
    <t>I-09-0887-2023</t>
  </si>
  <si>
    <t>ALINEACION</t>
  </si>
  <si>
    <t>QUE RETORNE DE OT</t>
  </si>
  <si>
    <t>102-2024</t>
  </si>
  <si>
    <t>I-13-1563-2022</t>
  </si>
  <si>
    <t>CONTROL DE CERTIFICACIONES DE INMUEBLE</t>
  </si>
  <si>
    <t>NOMBRE QUIEN LO INGRESO</t>
  </si>
  <si>
    <t>RE-INGRESO EXPEDIENTE</t>
  </si>
  <si>
    <t xml:space="preserve">ALINEACION Y DONACION </t>
  </si>
  <si>
    <t>AMPLIACION RANCHO DE ACTIVIDADES</t>
  </si>
  <si>
    <t>EDUCACION Y CULTURA</t>
  </si>
  <si>
    <t>USO DE SUELO</t>
  </si>
  <si>
    <t>RESIDENCIAL</t>
  </si>
  <si>
    <t>NO RESIDENCIAL CONDICIONADO</t>
  </si>
  <si>
    <t>REPORTE SI APLICA</t>
  </si>
  <si>
    <t>5212-2385</t>
  </si>
  <si>
    <t>I-06-0302-2023</t>
  </si>
  <si>
    <t>JOSUE GARCIA QUIÑONEZ</t>
  </si>
  <si>
    <t>OFICIO POR REGULARIZACION</t>
  </si>
  <si>
    <t>117-2024</t>
  </si>
  <si>
    <t>I-06-0300-2023</t>
  </si>
  <si>
    <t>118-2024</t>
  </si>
  <si>
    <t>I-13-0790-2022</t>
  </si>
  <si>
    <t>JULIA LUCIA AMBROCIO MACARIO DE MENCHU</t>
  </si>
  <si>
    <t>119-2024</t>
  </si>
  <si>
    <t>RPNG6-340523</t>
  </si>
  <si>
    <t>RPNG6-320523</t>
  </si>
  <si>
    <t>VIVIENDA UNIFAMILIAR 1 NIVEL</t>
  </si>
  <si>
    <t>LOCAL COMERICAL 1 NIVEL</t>
  </si>
  <si>
    <t>RPNM5-140323</t>
  </si>
  <si>
    <t>N</t>
  </si>
  <si>
    <t>INFORMAL</t>
  </si>
  <si>
    <t>COMERCIO</t>
  </si>
  <si>
    <t>RESIDENCIAL NO ORDINARIO</t>
  </si>
  <si>
    <t>AMPLIACION VIVIENDA BIFAMILIAR SEGUNDO NIVEL</t>
  </si>
  <si>
    <t>REGULARIZACION POR POT</t>
  </si>
  <si>
    <t>ANTIGUA/PLAN REG./POT</t>
  </si>
  <si>
    <t>PENDIENTE/NOTAS</t>
  </si>
  <si>
    <t>1ER NIVEL ANTIGUO, SEGUNDO NIVEL POR PLAN REGULADOR</t>
  </si>
  <si>
    <t>I-06-1124-2023</t>
  </si>
  <si>
    <t>NELSON ANIBAL MENDEZ GONZALEZ</t>
  </si>
  <si>
    <t>CORRECCION DE CERTIFICACION DE INMUEBLE</t>
  </si>
  <si>
    <t>VIVIENDA UNIFAMILIAR 2 NIVELES</t>
  </si>
  <si>
    <t>PLAN REGULADOR</t>
  </si>
  <si>
    <t>NIVELES</t>
  </si>
  <si>
    <t>POT</t>
  </si>
  <si>
    <t>ILIANA SORAYA PEREZ LOPEZ</t>
  </si>
  <si>
    <t>RPNP3-</t>
  </si>
  <si>
    <t>I-09-0511-2023</t>
  </si>
  <si>
    <t>IRMA OFELIA IXCOT MAZARIEGOS DE ALEJANDRO</t>
  </si>
  <si>
    <t xml:space="preserve">VIVIENDA UNIFAMILIAR DOS NIVELES </t>
  </si>
  <si>
    <t>ANTIGUA RURAL</t>
  </si>
  <si>
    <t>I-13-0947-2023</t>
  </si>
  <si>
    <t>NOELIA FELICIANA RUIZ ANASTASIO</t>
  </si>
  <si>
    <t>OFICIO POR CONSTRUCCION INFORMAL</t>
  </si>
  <si>
    <t>130-2024</t>
  </si>
  <si>
    <t>CATAASTRO</t>
  </si>
  <si>
    <t>SE ANULA PORQUE NO ES PARA CATASTRO</t>
  </si>
  <si>
    <t>PAVIMENTACION SALIDA DE MAXI DESPENSA</t>
  </si>
  <si>
    <t>I-09-0515-2023</t>
  </si>
  <si>
    <t>LILIA BEATRIZ LOPEZ SAQUIC</t>
  </si>
  <si>
    <t>GESTION DE RIESGOS</t>
  </si>
  <si>
    <t>POR BARRANCO EN LA PARTE POSTERIOR DEL INMUEBLE</t>
  </si>
  <si>
    <t>ANTN-M7-020124</t>
  </si>
  <si>
    <t>ALLAN FRANCISCO MORALES DE LEON</t>
  </si>
  <si>
    <t xml:space="preserve">IUSI </t>
  </si>
  <si>
    <t>CONSTRUCCION ANTIGUA</t>
  </si>
  <si>
    <t>VIVIENDA UNIFAMLILIAR</t>
  </si>
  <si>
    <t>QUE RETORNE DE PROVIDENCIA</t>
  </si>
  <si>
    <t>I-13-0826-2023</t>
  </si>
  <si>
    <t>MOISES AJCA CHAJ</t>
  </si>
  <si>
    <t>141-2024</t>
  </si>
  <si>
    <t>CERTIFICACION DE INMUEBLE</t>
  </si>
  <si>
    <t>RPNR1-151020</t>
  </si>
  <si>
    <t>EDGAR RACANCOJ GARCIA Y CDUENA</t>
  </si>
  <si>
    <t>LILY GOMEZ</t>
  </si>
  <si>
    <t>AURA CATALINA VILLATORO Y VILLATORO DE MONZON</t>
  </si>
  <si>
    <t>I-05-0361-2023</t>
  </si>
  <si>
    <t>ISRAEL ELEONI LOPEZ CIFUENTES</t>
  </si>
  <si>
    <t>PLANES DEL PINAL</t>
  </si>
  <si>
    <t>JUAN HUMBERTO MONTES TUL</t>
  </si>
  <si>
    <t>I-08-1199-2023</t>
  </si>
  <si>
    <t>V-01-0081-2023</t>
  </si>
  <si>
    <t>ARBELIO ELADIO GRAMAJO AGUILAR</t>
  </si>
  <si>
    <t>F:97908 F:269 L:389</t>
  </si>
  <si>
    <t>INFORME POR CORRECCION DE AREA EN PLANO DE REGISTRO</t>
  </si>
  <si>
    <t>RPNG2-100322</t>
  </si>
  <si>
    <t>JUAN JOSE GARCIA GARCIA</t>
  </si>
  <si>
    <t>OFICIO POR EXONERACION</t>
  </si>
  <si>
    <t>146-2024</t>
  </si>
  <si>
    <t>CONTROL INDIVIDUAL DE EXPEDIENTES FEBRERO 2024</t>
  </si>
  <si>
    <t>FECHA</t>
  </si>
  <si>
    <t>ALINEACION MUNICIPAL</t>
  </si>
  <si>
    <t>NUEVA JERUSALEM</t>
  </si>
  <si>
    <t>R-01-0072-2020</t>
  </si>
  <si>
    <t>RPNC9-030124</t>
  </si>
  <si>
    <t>R-07-0226-2023</t>
  </si>
  <si>
    <t>ANTN-V4-010124</t>
  </si>
  <si>
    <t>VIVIAN EUNICE VILLATORO HERRERA</t>
  </si>
  <si>
    <t>XELAGARDENS</t>
  </si>
  <si>
    <t>UNIDAD FUNCIONAL</t>
  </si>
  <si>
    <t>RPNM1-070124</t>
  </si>
  <si>
    <t>OFICIO POR EDIFICABILIDAD</t>
  </si>
  <si>
    <t>157-2024</t>
  </si>
  <si>
    <t>VIVIENDA BIFAMILIAR DOS NIVELES</t>
  </si>
  <si>
    <t>1EX/1LIC</t>
  </si>
  <si>
    <t>MAURA ARACELY CALDERON DIAZ</t>
  </si>
  <si>
    <t>037-2024</t>
  </si>
  <si>
    <t>DICTAMEN DE DRENAJE</t>
  </si>
  <si>
    <t>ORIEL HUSAI DIAZ GRAMAJO</t>
  </si>
  <si>
    <t>LAURA HILDA LOPEZ COJOM DE HUITZ</t>
  </si>
  <si>
    <t xml:space="preserve">OT </t>
  </si>
  <si>
    <t>038-2024</t>
  </si>
  <si>
    <t>NUMERO DE RPN/ESTUDIO DEL MARN/</t>
  </si>
  <si>
    <t>RPND7-060224</t>
  </si>
  <si>
    <t>LOS TRIGALES</t>
  </si>
  <si>
    <t>IR-07-0226-2023</t>
  </si>
  <si>
    <t>AMPLIACION VIVIENDA UNIFAMILIAR 1 NIVEL</t>
  </si>
  <si>
    <t>1EX/0</t>
  </si>
  <si>
    <t>PLAN REG.</t>
  </si>
  <si>
    <t>I-01-1137-2023</t>
  </si>
  <si>
    <t>MARIA GABRIELA ESCOBAR MOMOTIC</t>
  </si>
  <si>
    <t>165-2024</t>
  </si>
  <si>
    <t xml:space="preserve">ANTIGUA  </t>
  </si>
  <si>
    <t>204.8/39.3 INFORMAL</t>
  </si>
  <si>
    <t>55543437</t>
  </si>
  <si>
    <t>JUANA LOPEZ LOPEZ</t>
  </si>
  <si>
    <t>RPNLR-290124</t>
  </si>
  <si>
    <t>OFICIO POR EDIFICABILIDAD Y PERMEABILIDAD</t>
  </si>
  <si>
    <t>172-2024</t>
  </si>
  <si>
    <t>I-13-1229-2021</t>
  </si>
  <si>
    <t>CERTIFICACION DE INMUEBLE/ENVIAR A CATASTRO</t>
  </si>
  <si>
    <t>RPNP3-281021</t>
  </si>
  <si>
    <t>LAS CALAS</t>
  </si>
  <si>
    <t>I-05-1158-2023</t>
  </si>
  <si>
    <t>EFRAIN AVELINO GIRON BARRIOS</t>
  </si>
  <si>
    <t>LA COLINA</t>
  </si>
  <si>
    <t>I-13-0474-2023</t>
  </si>
  <si>
    <t>JUAN MIGUEL MATUL MACARIO</t>
  </si>
  <si>
    <t>I-09-0739-2022</t>
  </si>
  <si>
    <t>ROSA ELIZABETH TOC HERNANDEZ</t>
  </si>
  <si>
    <t>JUAN MIGUE MATUL MACARIO</t>
  </si>
  <si>
    <t>043-2024</t>
  </si>
  <si>
    <t>DICTAMEN OT</t>
  </si>
  <si>
    <t>RETORNAR DE OT PARA INGRESAR RP</t>
  </si>
  <si>
    <t>AMPLIACION VIVIENDA UNIFAMILIAR DOS NIVELES</t>
  </si>
  <si>
    <t>AMPLIACION VIVIENDA UNIFAMILIAR 2 NIVELES</t>
  </si>
  <si>
    <t>I-08-0361-2019</t>
  </si>
  <si>
    <t>ANA GLADYS VASQUEZ BARRIOS DE SILVESTRE</t>
  </si>
  <si>
    <t>RPNT9-050123</t>
  </si>
  <si>
    <t>RPNR10-080224</t>
  </si>
  <si>
    <t>HENRY BALDEMIRO REYES PEÑA</t>
  </si>
  <si>
    <t xml:space="preserve">ORIGINAL </t>
  </si>
  <si>
    <t>FALTA PAGO</t>
  </si>
  <si>
    <t>RPNG5-080124</t>
  </si>
  <si>
    <t>I-10-1093-2023</t>
  </si>
  <si>
    <t xml:space="preserve">HENRY BALDEMIRO REYES PEÑA </t>
  </si>
  <si>
    <t>VIVIENDA UNIFAMILIAR  UN NIVEL</t>
  </si>
  <si>
    <t>CARGA SOBRE MARQUESINA</t>
  </si>
  <si>
    <t>046-2024</t>
  </si>
  <si>
    <t>DICTAMEN JAM</t>
  </si>
  <si>
    <t>2 APARTAMENTOS</t>
  </si>
  <si>
    <t>047-2024</t>
  </si>
  <si>
    <t>DICTAMEN DE OT Y DRENAJE</t>
  </si>
  <si>
    <t>I-01-1194-2023</t>
  </si>
  <si>
    <t>JULIO ESTUARDO ALVARADO ALFONSO</t>
  </si>
  <si>
    <t>R-07-0191-2023</t>
  </si>
  <si>
    <t>SANDRA EMPERATRIZ MERIDA YAX</t>
  </si>
  <si>
    <t>R-01-0009-2024</t>
  </si>
  <si>
    <t>JUAN ALBERTO RACANCOJ ESCOBAR</t>
  </si>
  <si>
    <t>ANA GLADIS VASQUEZ BARRIOS DE SILVESTRE</t>
  </si>
  <si>
    <t>RPNS8-080224</t>
  </si>
  <si>
    <t>AMPLIACION VIVIENDA BIFAMILIAR 1 NIVEL</t>
  </si>
  <si>
    <t>R-03-0143-2021</t>
  </si>
  <si>
    <t>FALTA CERTIFICACION DE INMUEBLE CORREGIDA</t>
  </si>
  <si>
    <t xml:space="preserve">JAM </t>
  </si>
  <si>
    <t>ORIGINAL Y COPIA</t>
  </si>
  <si>
    <t>SE ENVIO PROVIDENCIA A OT</t>
  </si>
  <si>
    <t>212-2024</t>
  </si>
  <si>
    <t>OFICIO A CATASTRO POR REGULARIZACION</t>
  </si>
  <si>
    <t>CERTIFICACION DE INMUEBLE/ENVIAR A JUZGADOS</t>
  </si>
  <si>
    <t>214-2024</t>
  </si>
  <si>
    <t>POR AREA DE INUNDACION</t>
  </si>
  <si>
    <t>048-2024</t>
  </si>
  <si>
    <t>DICTAMEN DE GESTION DE RIESGOS</t>
  </si>
  <si>
    <t>DEMOLICION VIVIENDA UNIFAMILIAR 1 NIVEL</t>
  </si>
  <si>
    <t>NINGUNO</t>
  </si>
  <si>
    <t>ANTIGUA/DEMOLICION</t>
  </si>
  <si>
    <t>DECLARACIONES JURADAS</t>
  </si>
  <si>
    <t>i-13-0859-2023</t>
  </si>
  <si>
    <t>JUSTO RUFINO RAMOS HERNANDEZ</t>
  </si>
  <si>
    <t>CAMBIO DE SECTOR</t>
  </si>
  <si>
    <t>049-2024</t>
  </si>
  <si>
    <t xml:space="preserve">DICTAMEN DE OT </t>
  </si>
  <si>
    <t>RPNO8-070224</t>
  </si>
  <si>
    <t>DESARROLLO COMERCIAL CUPULA, SOCIEDAD ANONIMA</t>
  </si>
  <si>
    <t>SANTA VIRGINIA</t>
  </si>
  <si>
    <t>VIVIENDA BIFAMILIAR 2 NIVELES</t>
  </si>
  <si>
    <t>LOCALES COMERCIALES (3)+PARQUEO TECHADO</t>
  </si>
  <si>
    <t>NO RESIDENCIAL ORDINARIO</t>
  </si>
  <si>
    <t>i-01-1154-2023</t>
  </si>
  <si>
    <t>MAIRA LIZZETH OROZCO VELASQUEZ DE RODAS</t>
  </si>
  <si>
    <t>243-2024</t>
  </si>
  <si>
    <t>VIVIENDA UNIFAMILIAR DE TRES NIVELES</t>
  </si>
  <si>
    <t>i-01-1155-2023</t>
  </si>
  <si>
    <t>VIRGINIA DE LA MERCED OROZCO VELASQUEZ</t>
  </si>
  <si>
    <t>244-2024</t>
  </si>
  <si>
    <t>245-2024</t>
  </si>
  <si>
    <t>MURO PERIMETRAL DE 128.28 M2 E INFORMAL DE 43.32 M2</t>
  </si>
  <si>
    <t>INHABITABLE</t>
  </si>
  <si>
    <t>JORGE MARCELO IXQUIAC CABRERA</t>
  </si>
  <si>
    <t>DICTAMEN DE OT</t>
  </si>
  <si>
    <t>I-03-1130-2023</t>
  </si>
  <si>
    <t>JOSE OMAR COJULUN CIFUENTES</t>
  </si>
  <si>
    <t>249-2024</t>
  </si>
  <si>
    <t>76.23/180.72 INF</t>
  </si>
  <si>
    <t>USO DE SUELO NO RESIDENCIAL ORDINARIO</t>
  </si>
  <si>
    <t>056-2024</t>
  </si>
  <si>
    <t>RPNI1-140124</t>
  </si>
  <si>
    <t>JOSE ANTONIO BELETZUY LOPEZ</t>
  </si>
  <si>
    <t>I-13-0936-2023</t>
  </si>
  <si>
    <t>POR ALINEACION MUNICIPAL</t>
  </si>
  <si>
    <t>057-2024</t>
  </si>
  <si>
    <t>RPNR10-130224</t>
  </si>
  <si>
    <t>MAURICIO JERONIMO RAMOS GALINDO</t>
  </si>
  <si>
    <t>I-10-0722-2023</t>
  </si>
  <si>
    <t xml:space="preserve">FALTA PAGO </t>
  </si>
  <si>
    <t>I-10-1300-2022</t>
  </si>
  <si>
    <t>HUGO LEONEL JUAREZ IBARRA</t>
  </si>
  <si>
    <t xml:space="preserve">MURO PERIMETRAL DE 554.59 M2 </t>
  </si>
  <si>
    <t>VUNA3-010224</t>
  </si>
  <si>
    <t>POR ZONA ESPECIAL/RIO</t>
  </si>
  <si>
    <t>059-2024</t>
  </si>
  <si>
    <t>JOHANA WALESKA DE LEON DE ARGUETA Y CDNO</t>
  </si>
  <si>
    <t>EXPEDIENTE DE VECINO</t>
  </si>
  <si>
    <t>256-2024</t>
  </si>
  <si>
    <t>EN ESPERA DE SOLVENCIA</t>
  </si>
  <si>
    <t>RPNJ8-480823</t>
  </si>
  <si>
    <t>D-08-0129-2022</t>
  </si>
  <si>
    <t>FALTA CERTIFICACION</t>
  </si>
  <si>
    <t>RPNDR-460224</t>
  </si>
  <si>
    <t>RPNDR-450224</t>
  </si>
  <si>
    <t>RPNDR-440224</t>
  </si>
  <si>
    <t>RPNDR-430224</t>
  </si>
  <si>
    <t>HABITACION DE 17.20 M2</t>
  </si>
  <si>
    <t>DESARROLLOS DE SUR OCCIDENTE S.A. LOTE E12</t>
  </si>
  <si>
    <t>DESARROLLOS DE SUR OCCIDENTE S.A. LOTE E13</t>
  </si>
  <si>
    <t>DESARROLLOS DE SUR OCCIDENTE S.A. LOTE C14</t>
  </si>
  <si>
    <t>UNIDADES FUNCIONALES</t>
  </si>
  <si>
    <t>I-01-0055-2024</t>
  </si>
  <si>
    <t>CLARA GABRIELA MARIN PEREZ DE ROSALES</t>
  </si>
  <si>
    <t>0793-2023</t>
  </si>
  <si>
    <t>LUIS RAUL DIAZ COTO</t>
  </si>
  <si>
    <t>I-05-0001-2024</t>
  </si>
  <si>
    <t>CARMEN CLEMENCIA ALVAREZ CHAJ</t>
  </si>
  <si>
    <t>I-08-0020-2024</t>
  </si>
  <si>
    <t>ANA LILIAN QUEME SACOR</t>
  </si>
  <si>
    <t>EN DEPARTAMENTO</t>
  </si>
  <si>
    <t>284-2024</t>
  </si>
  <si>
    <t>FALTA CERTIFICACION DE INMUEBLE</t>
  </si>
  <si>
    <t xml:space="preserve">ANTIGUA/PLAN REG   </t>
  </si>
  <si>
    <t>VUNV6-010224</t>
  </si>
  <si>
    <t>WALTER MANUEL VICENTE TZUN</t>
  </si>
  <si>
    <t>064-2024</t>
  </si>
  <si>
    <t>I-06-0003-2022</t>
  </si>
  <si>
    <t>NIDIA JUDIT FUENTES FUENTES DE BAUTISTA</t>
  </si>
  <si>
    <t>286-2024</t>
  </si>
  <si>
    <t>AMPLIACION VIVIENDA UNIFAMILAR DOS NIVELES</t>
  </si>
  <si>
    <t>ANTIGUA/PLAN REG</t>
  </si>
  <si>
    <t>RPNB6-450823</t>
  </si>
  <si>
    <t>295-2024</t>
  </si>
  <si>
    <t>RPNQ2-020124</t>
  </si>
  <si>
    <t>R-03-0012-2024</t>
  </si>
  <si>
    <t>SAUL DAVID GARCIA PISQUIY</t>
  </si>
  <si>
    <t>296-2024</t>
  </si>
  <si>
    <t>0/1EX</t>
  </si>
  <si>
    <t xml:space="preserve">PLAN REG. </t>
  </si>
  <si>
    <t xml:space="preserve">ANTIGUA   </t>
  </si>
  <si>
    <t>QUE VENGA DE SECRETARIA</t>
  </si>
  <si>
    <t>299-2024</t>
  </si>
  <si>
    <t>MUROS DE ADOBE INHABITADO</t>
  </si>
  <si>
    <t>I-08-0952-2023</t>
  </si>
  <si>
    <t>IRMA LETICIA MENDOZA VELASQUEZ DE INTERIANO</t>
  </si>
  <si>
    <t>306-2024</t>
  </si>
  <si>
    <t>308-2024</t>
  </si>
  <si>
    <t>309-2024</t>
  </si>
  <si>
    <t>R-05-0166-2023</t>
  </si>
  <si>
    <t>SARA CELESTINA CAYAX TORRES DE TORRES</t>
  </si>
  <si>
    <t>RPNT11-240823</t>
  </si>
  <si>
    <t>VIVIENDA UNIFAMLIAR TRES NIVELES</t>
  </si>
  <si>
    <t>CERTIFICACION</t>
  </si>
  <si>
    <t>(2) APARTAMENTOS</t>
  </si>
  <si>
    <t>VIVIENDA UNIFAMILIAR TRES NIVLES</t>
  </si>
  <si>
    <t>1/1EX</t>
  </si>
  <si>
    <t>NOTA: RPNR10-470923 ES REGULARIZACION DE LA FINCA; CON 104.97 M2</t>
  </si>
  <si>
    <t>IUSI</t>
  </si>
  <si>
    <t>OFICIO POR REVALUO DE FINCA</t>
  </si>
  <si>
    <t>317-2024</t>
  </si>
  <si>
    <t>(818)799-0140</t>
  </si>
  <si>
    <t>I-13-0920-2022</t>
  </si>
  <si>
    <t>ALBERTO DAMIAN GUERRA MARIN</t>
  </si>
  <si>
    <t>I-13-0029-2024</t>
  </si>
  <si>
    <t>NICOLAS SACALXOT ESCOBAR</t>
  </si>
  <si>
    <t>DICTAMEN DE ALTO IMPACTO</t>
  </si>
  <si>
    <t>321-2024</t>
  </si>
  <si>
    <t>I-07-0073-2024</t>
  </si>
  <si>
    <t>FILOMENA CHAVEZ HERNANDEZ</t>
  </si>
  <si>
    <t>R-01-0181-2023</t>
  </si>
  <si>
    <t>KARIN YANETH SAJ MORATAYA</t>
  </si>
  <si>
    <t>I-05-0130-2024</t>
  </si>
  <si>
    <t>INGRID MARINA VASQUEZ CALDERON</t>
  </si>
  <si>
    <t>I-13-0074-2024</t>
  </si>
  <si>
    <t>YAQUELINE VICTORIA MONTERROSO AGUILAR</t>
  </si>
  <si>
    <t>ALBERTO DAMIAN GUERRA MARIN/ELSA MARINA COYOY POS DE GUERRA</t>
  </si>
  <si>
    <t>RPNG1-170124</t>
  </si>
  <si>
    <t>ALBERTO DAMIAN GUERRA MARIN Y CONDUEÑA</t>
  </si>
  <si>
    <t>CORRECCIONES DE VECINO</t>
  </si>
  <si>
    <t>RPNM5-120224</t>
  </si>
  <si>
    <t>RPNSR-550224</t>
  </si>
  <si>
    <t>338-2024</t>
  </si>
  <si>
    <t>CERTIFICACION DEL 2DO REGISTRO</t>
  </si>
  <si>
    <t>RPNS1-190324</t>
  </si>
  <si>
    <t>RPNH1-200324</t>
  </si>
  <si>
    <t>I-01-0920-2023</t>
  </si>
  <si>
    <t>SILVIA JUDITH HERNANDEZ LOPEZ</t>
  </si>
  <si>
    <t>SILVIA JUDITH HENRANDEZ LOPEZ</t>
  </si>
  <si>
    <t>OFICIO POR PERMEABILIDAD Y EDIFICABILIDAD</t>
  </si>
  <si>
    <t>343-2024</t>
  </si>
  <si>
    <t xml:space="preserve">AMPLIACION VIVIENDA MULTIFAMIILIAR </t>
  </si>
  <si>
    <t>0/4EX</t>
  </si>
  <si>
    <t>I-13-1117-2023</t>
  </si>
  <si>
    <t>ERVIN JOSE PEREZ ESCOBAR</t>
  </si>
  <si>
    <t>EXPEDIENTE DE CATASTRO</t>
  </si>
  <si>
    <t xml:space="preserve">OFICIO POR RECTIFICACION </t>
  </si>
  <si>
    <t>345-2024</t>
  </si>
  <si>
    <t>LAS ROSAS</t>
  </si>
  <si>
    <t>VUNG7-010324</t>
  </si>
  <si>
    <t>ENRIQUE EZEQUIEL GARCIA GOMEZ</t>
  </si>
  <si>
    <t>070-2024</t>
  </si>
  <si>
    <t>PROVIDENCIA A OT POR ALINEACION MUNICIPAL</t>
  </si>
  <si>
    <t>DECLARACION JURADA</t>
  </si>
  <si>
    <t>DEMOLICION DE MUROS DE ADOBE</t>
  </si>
  <si>
    <t>DEMOLICION</t>
  </si>
  <si>
    <t>VIVIENDA UNIFAMLIAR DOS NIVELES</t>
  </si>
  <si>
    <t>LEOPOLDO ALVARADO GONZALEZ</t>
  </si>
  <si>
    <t>ANTN-A7-090324</t>
  </si>
  <si>
    <t>ANTN-A7-100324</t>
  </si>
  <si>
    <t>I-01-0906-2023</t>
  </si>
  <si>
    <t>HEIDY VANESSA HERRERA SANCHEZ Y CONDUEÑOS</t>
  </si>
  <si>
    <t>358-2024</t>
  </si>
  <si>
    <t xml:space="preserve">DEMOLICION    </t>
  </si>
  <si>
    <t>RPNE12-040323</t>
  </si>
  <si>
    <t>MARLON GIOVANNI ELIAS OCHOA</t>
  </si>
  <si>
    <t>RPNE12-040324</t>
  </si>
  <si>
    <t>TELEFONO</t>
  </si>
  <si>
    <t>VIVIENDA UNIFAMILIAR UN NIVEL + SOTANO</t>
  </si>
  <si>
    <t>1+SOTANO</t>
  </si>
  <si>
    <t xml:space="preserve">POT </t>
  </si>
  <si>
    <t>378-2024</t>
  </si>
  <si>
    <t xml:space="preserve">CERTIFICACION  </t>
  </si>
  <si>
    <t>LILIAN ROXANA CANCINOS FLORES</t>
  </si>
  <si>
    <t>RPNC5-140324</t>
  </si>
  <si>
    <t>SOLICITUD DEL VECINO</t>
  </si>
  <si>
    <t>387-2024</t>
  </si>
  <si>
    <t>388-2024</t>
  </si>
  <si>
    <t>389-2024</t>
  </si>
  <si>
    <t xml:space="preserve">OFICIO POR EXCEDENTE </t>
  </si>
  <si>
    <t>CONTROL INDIVIDUAL DE EXPEDIENTES ABRIL 2024</t>
  </si>
  <si>
    <t>RPNM4-071123</t>
  </si>
  <si>
    <t>ELUVIA ELEODORA SANTOS MENDEZ DE MAZARIEGOS</t>
  </si>
  <si>
    <t>SE ENVIO LA COPIA</t>
  </si>
  <si>
    <t>INFORME INTERNO SECRETARIA CONSTRUCCION ANTIGUA</t>
  </si>
  <si>
    <t>DELFINA ELOISA MARIA XIMIN LOPEZ</t>
  </si>
  <si>
    <t>I-11-0775-2023</t>
  </si>
  <si>
    <t xml:space="preserve">VISTA BELLA </t>
  </si>
  <si>
    <t>080-2024</t>
  </si>
  <si>
    <t>PROVIDENCIA A JUZGADOS POR CARGA SOBRE MARQ.</t>
  </si>
  <si>
    <t>EXP DE JUZGADOS</t>
  </si>
  <si>
    <t>VUNY7-020324</t>
  </si>
  <si>
    <t>ANTONIO CRUZ HERNANDEZ Y HERNANDEZ</t>
  </si>
  <si>
    <t>ANTN-H7-160324</t>
  </si>
  <si>
    <t>OFICIO PARA ACTUALIZAR AREA</t>
  </si>
  <si>
    <t>400-2024</t>
  </si>
  <si>
    <t>LOCAL COMERCIAL UN NIVEL</t>
  </si>
  <si>
    <t>COMERCIAL</t>
  </si>
  <si>
    <t>DULCE FLOR DE MARIA CUPIL TUCUX</t>
  </si>
  <si>
    <t>I-13-0742-2023</t>
  </si>
  <si>
    <t>405-2024</t>
  </si>
  <si>
    <t>I-05-0167-2024</t>
  </si>
  <si>
    <t>DIEGO RAUL MECKLER ALVAREZ</t>
  </si>
  <si>
    <t>ALTOS DE FLORENCIA</t>
  </si>
  <si>
    <t>ANTN-M7-411123</t>
  </si>
  <si>
    <t>PETRONA MATUL OXLAJ</t>
  </si>
  <si>
    <t>RPNC10-180324</t>
  </si>
  <si>
    <t>410-2024</t>
  </si>
  <si>
    <t>1EX/1</t>
  </si>
  <si>
    <t>334.69/219.90</t>
  </si>
  <si>
    <t xml:space="preserve">TALUD DE TIERRA DE 6 METROS </t>
  </si>
  <si>
    <t>081-2024</t>
  </si>
  <si>
    <t>PROVIDENCIA A GESTION DE RIESGOS POR TALUD DE MURO</t>
  </si>
  <si>
    <t>DICTAMEN DE GESTION</t>
  </si>
  <si>
    <t>JUAN FERNANDO MOISES HERNANDEZ QUIJIVIX</t>
  </si>
  <si>
    <t>I-05-0626-2022</t>
  </si>
  <si>
    <t>416-2024</t>
  </si>
  <si>
    <t>417-2024</t>
  </si>
  <si>
    <t>I-05-0490-2023</t>
  </si>
  <si>
    <t>PARQUEO FAMILIAR</t>
  </si>
  <si>
    <t>RPNM5-580623</t>
  </si>
  <si>
    <t>I-13-1196-2023</t>
  </si>
  <si>
    <t>AMELIA GABRIELA CAHUEX MAZARIEGOS</t>
  </si>
  <si>
    <t>420-2024</t>
  </si>
  <si>
    <t>OFICIO A CATASTRO POR CONSTRUCCION INFORMAL</t>
  </si>
  <si>
    <t>RPNS7-140424</t>
  </si>
  <si>
    <t>MARLENI GREGORIA SANTOS DE LEON</t>
  </si>
  <si>
    <t>RPNS47-140424</t>
  </si>
  <si>
    <t>OFICIO POR INDICE DE EDIFICABILIDAD</t>
  </si>
  <si>
    <t>427-2024</t>
  </si>
  <si>
    <t>REGULARIZACION DE OBRA/SE ENVIO COPIA A JUZGADO</t>
  </si>
  <si>
    <t>BRENDA LUCELY DE PAZ ALONZO</t>
  </si>
  <si>
    <t>I-13-0044-2024</t>
  </si>
  <si>
    <t>085-2024</t>
  </si>
  <si>
    <t>CARMELINA CHICHE MEJIA DE LOPEZ</t>
  </si>
  <si>
    <t>I-13-0045-2024</t>
  </si>
  <si>
    <t>ERICK EZEQUIEL SUCHI ACABAL</t>
  </si>
  <si>
    <t>INFORME AL VECINO POR LOCALES/RESOLUCION AMBIENTAL</t>
  </si>
  <si>
    <t>RESOLUCION AMBIENTAL</t>
  </si>
  <si>
    <t>INFORME AL VECINO PARA REQUISTOS DE REGULARIZACION</t>
  </si>
  <si>
    <t>REQUISITOS DE REGULARIZACION</t>
  </si>
  <si>
    <t>SUCELY ANTONIETA VASQUEZ CALDERON</t>
  </si>
  <si>
    <t>VUNT11-010324</t>
  </si>
  <si>
    <t>ISABEL TORRES SONTAY</t>
  </si>
  <si>
    <t>BODEGAS ASTURIAS/MARIA YOLANDA YAX MUÑOZ</t>
  </si>
  <si>
    <t>ALINEACION/USO DE SUELO/CARGA URBANISTICA</t>
  </si>
  <si>
    <t>097-2024</t>
  </si>
  <si>
    <t>PROVIDENCIA A OT POR USO DE SUELO, ALINEACION, CARGA URBANISTICA</t>
  </si>
  <si>
    <t>255,898.5/COSTO DE OBRA. 1553.04</t>
  </si>
  <si>
    <t>RPNC5-150324</t>
  </si>
  <si>
    <t>I-05-0209-2024</t>
  </si>
  <si>
    <t>RPNV5-160224</t>
  </si>
  <si>
    <t>RPNV5-150324</t>
  </si>
  <si>
    <t>I-13-0603-2023</t>
  </si>
  <si>
    <t>I-13-0601-2023</t>
  </si>
  <si>
    <t>ERICK ANIBAL GIOVANNI GARCIA COYOY</t>
  </si>
  <si>
    <t>I-13-0602-2023</t>
  </si>
  <si>
    <t>SARA KARINA GARCIA COYOY</t>
  </si>
  <si>
    <t>I-13-0599-2023</t>
  </si>
  <si>
    <t>MARVIN MOISES DE JESUS GARCIA COYOY</t>
  </si>
  <si>
    <t>ALTO IMPACTO</t>
  </si>
  <si>
    <t>65.16/44.89</t>
  </si>
  <si>
    <t>CONSTRUCCION ANTIGUA Y ESTRUCTURA INFORMAL</t>
  </si>
  <si>
    <t>ESTRUCTURA INFORMAL</t>
  </si>
  <si>
    <t>ESTRUCTURA INFORMAL Y MURO</t>
  </si>
  <si>
    <t>8.83/15.98M</t>
  </si>
  <si>
    <t>69.38/40.64</t>
  </si>
  <si>
    <t>R-10-0020-2024</t>
  </si>
  <si>
    <t>RPNH10-210224</t>
  </si>
  <si>
    <t>RPNV5-150224</t>
  </si>
  <si>
    <t>VIVIENDA UNIFAMILIAR DOS NIVELES+(1)LOCAL COMERCIAL</t>
  </si>
  <si>
    <t>RESIDENCIAL+NO RESIDNECAIL ORDINARIA</t>
  </si>
  <si>
    <t>OFICIO POR CONST. ANTES DEL 2017 RURAL</t>
  </si>
  <si>
    <t>466-2024</t>
  </si>
  <si>
    <t>R-07-0077-2021</t>
  </si>
  <si>
    <t>CINDY ASTRID SAQUICH GONZALEZ</t>
  </si>
  <si>
    <t>REQUISITOS DE VECINO, DICTAMEN DE DRENAJES</t>
  </si>
  <si>
    <t>KENDY PAOLA TANCHEZ GARCIA</t>
  </si>
  <si>
    <t>LOCAL COMERCIAL (1)</t>
  </si>
  <si>
    <t>DICTAMEN DE CONRED</t>
  </si>
  <si>
    <t>I-03-0273-2024</t>
  </si>
  <si>
    <t>AMANDA CIFUENTES HERNANDEZ</t>
  </si>
  <si>
    <t>OFICO POR CONSTRUCCION ANTIGUA</t>
  </si>
  <si>
    <t>469-2024</t>
  </si>
  <si>
    <t>ANA LILIAN QUEME ESCOBAR</t>
  </si>
  <si>
    <t>471-2024</t>
  </si>
  <si>
    <t>OFICIO POR CONST. ANTIGUA Y REGULARIZACION</t>
  </si>
  <si>
    <t>1EX</t>
  </si>
  <si>
    <t>ANTIGUA/PLAN. REG</t>
  </si>
  <si>
    <t>75.53/44.46ANT,31.07</t>
  </si>
  <si>
    <t>FALTA ENVIAR A JUZGADOS</t>
  </si>
  <si>
    <t>DICTAMEN DE DRENAJES</t>
  </si>
  <si>
    <t>104-2024</t>
  </si>
  <si>
    <t>I-03-1224-2023</t>
  </si>
  <si>
    <t>DORA MARINA RODAS HERRERA</t>
  </si>
  <si>
    <t>I-03-0129-2024</t>
  </si>
  <si>
    <t>MARY YOLANDA RODAS HERRERA</t>
  </si>
  <si>
    <t>RPNO10-200424</t>
  </si>
  <si>
    <t>HEIDY AZUCENA OROXOM OCHOA</t>
  </si>
  <si>
    <t>1ERA PRORROGA DE LICENCIA DE OBRA L23-403-JJ024</t>
  </si>
  <si>
    <t>DICTAMEN DE JAIRO</t>
  </si>
  <si>
    <t>RENE FRANCISCO BARRENO BARRENO</t>
  </si>
  <si>
    <t>R-06-0067-2024</t>
  </si>
  <si>
    <t>ABSALON SEGUNDO ALVARADO CALDERON</t>
  </si>
  <si>
    <t>R-03-0083-2023</t>
  </si>
  <si>
    <t>MUROS DE ADOBE PERIMETRAL</t>
  </si>
  <si>
    <t>18.40/44.16</t>
  </si>
  <si>
    <t>UST5-020424</t>
  </si>
  <si>
    <t>POT/USO DE SUELO</t>
  </si>
  <si>
    <t>ANTN-C7-190424</t>
  </si>
  <si>
    <t xml:space="preserve">DEMOLICION DE MURO </t>
  </si>
  <si>
    <t>508-2024</t>
  </si>
  <si>
    <t>I-13-0739-2022</t>
  </si>
  <si>
    <t>509-2024</t>
  </si>
  <si>
    <t>111-2024</t>
  </si>
  <si>
    <t>JOSEFINA MARIA GOMEZ GONZALEZ DE COX</t>
  </si>
  <si>
    <t>OFICIO POR CONSTRUCCION ANTIGUA/EXCEDENTE</t>
  </si>
  <si>
    <t>514-2024</t>
  </si>
  <si>
    <t>RECIBIDO DE IUSI</t>
  </si>
  <si>
    <t>AXEL ARDANIS IXQUIAC CITALAN</t>
  </si>
  <si>
    <t>2453-2023</t>
  </si>
  <si>
    <t>534-2024</t>
  </si>
  <si>
    <t>535-2024</t>
  </si>
  <si>
    <t>536-2024</t>
  </si>
  <si>
    <t>537-2024</t>
  </si>
  <si>
    <t>ANGELICA GUDALUPE GARCIA COYOY DE VELASCO</t>
  </si>
  <si>
    <t>VER PRIMER ANTECEDENTE</t>
  </si>
  <si>
    <t>VIVIENDA BIFAMILIAR TRES NIVELES</t>
  </si>
  <si>
    <t>2/1EX/1NUEVO</t>
  </si>
  <si>
    <t>ANTIGUA/POT</t>
  </si>
  <si>
    <t>EXP. AMPLIACION D7-03-0717         CONSTR. ANT. DE ESTE EXP. SE LE CONCEDIO UNA UNIDAD FUNCIONAL MAS</t>
  </si>
  <si>
    <t>RPNB6-170424</t>
  </si>
  <si>
    <t>RPNM6-160124</t>
  </si>
  <si>
    <t>VIVIENDA BIFAMILIAR UN NIVEL</t>
  </si>
  <si>
    <t>RPNV4-040124</t>
  </si>
  <si>
    <t>RPNM6-160424</t>
  </si>
  <si>
    <t>RESIDENCIA+NO RES.</t>
  </si>
  <si>
    <t>RPNQR-710324</t>
  </si>
  <si>
    <t>ALVARO JAVIER QUEME VELASQUEZ</t>
  </si>
  <si>
    <t>ALEX RECANCOJ</t>
  </si>
  <si>
    <t>I-13-0823-2023</t>
  </si>
  <si>
    <t>VIVIENDA UNIFAMILIAR + LOCAL COMERCIAL (1)</t>
  </si>
  <si>
    <t>VIVIENDA UNIFAMILIAR DOS IVELES</t>
  </si>
  <si>
    <t>RPNR3-100324</t>
  </si>
  <si>
    <t>58.67/50.88</t>
  </si>
  <si>
    <t>RPNM7-170424</t>
  </si>
  <si>
    <t>120-2024</t>
  </si>
  <si>
    <t>GUILLERMO JACOB PEREZ REYES</t>
  </si>
  <si>
    <t>VUNP1-020424</t>
  </si>
  <si>
    <t>DEMOLICION DE VIVIENDA UNIFAMILIAR</t>
  </si>
  <si>
    <t>ANTN-L3-060322</t>
  </si>
  <si>
    <t>TELMA ELIZABETH LOPEZ</t>
  </si>
  <si>
    <t>ASESORIA JURIDICA</t>
  </si>
  <si>
    <t>DICTAMEN DE TELMA</t>
  </si>
  <si>
    <t>122-2024</t>
  </si>
  <si>
    <t>PROVIDENCIA A JURIDICO; DE CONRED</t>
  </si>
  <si>
    <t xml:space="preserve">OFICIO POR ADICIONAL </t>
  </si>
  <si>
    <t>583-2024</t>
  </si>
  <si>
    <t>505-2024</t>
  </si>
  <si>
    <t>NOMENCLATURA ADICIONAL</t>
  </si>
  <si>
    <t xml:space="preserve"> MIXTO</t>
  </si>
  <si>
    <t xml:space="preserve">ANTIGUA/PLAN REG  </t>
  </si>
  <si>
    <t>188.05/67.02</t>
  </si>
  <si>
    <t>123-2024</t>
  </si>
  <si>
    <t>POR CAMBIO DE SECTOR</t>
  </si>
  <si>
    <t>124-2024</t>
  </si>
  <si>
    <t>MILEIDY ESTHER VELASQUEZ CIFUENTES DE JUAREZ</t>
  </si>
  <si>
    <t>597-2024</t>
  </si>
  <si>
    <t>PLAN REG. / POT</t>
  </si>
  <si>
    <t>RPNJ8-</t>
  </si>
  <si>
    <t>I-13-0187-2024</t>
  </si>
  <si>
    <t>LEISVAN BRUMILDA MORALES DE COLOP</t>
  </si>
  <si>
    <t>EXPEDIENTE DE REGULARIZACION</t>
  </si>
  <si>
    <t>YA HAY UN EXPEDIENTE CON EL MISMO NOMBRE ANTN-G8-010324</t>
  </si>
  <si>
    <t>I-05-1086-2022</t>
  </si>
  <si>
    <t>607-2024</t>
  </si>
  <si>
    <t>OFICIO POR USO DE SUELO</t>
  </si>
  <si>
    <t>I-13-0072-2024</t>
  </si>
  <si>
    <t>PAULINA SIQUINA GONON DE TASEJ</t>
  </si>
  <si>
    <t>LOCAL COMERCIAL</t>
  </si>
  <si>
    <t xml:space="preserve">CERTIFICACION/SACAR NUMERO DE ANTIGUA  </t>
  </si>
  <si>
    <t>D-01-0102-2023</t>
  </si>
  <si>
    <t>I-13-0022-2024</t>
  </si>
  <si>
    <t>I-09-0933-2023</t>
  </si>
  <si>
    <t>ARMANDO FLORENCIO GARCIA PEREZ</t>
  </si>
  <si>
    <t>RPNL10-240424</t>
  </si>
  <si>
    <t>PAULINA SIQUINA GONON  DE TASEJ</t>
  </si>
  <si>
    <t>CONTROL INDIVIDUAL DE EXPEDIENTES MAYO 2024</t>
  </si>
  <si>
    <t>AMPLIACION DE VIVIENDA MULTIFAMILIAR  (3)</t>
  </si>
  <si>
    <t>4 EX/1 N</t>
  </si>
  <si>
    <t>MIXTO</t>
  </si>
  <si>
    <t>CESAR ARMANDO LOPEZ DE VELASQUEZ</t>
  </si>
  <si>
    <t>EXP. USO DE SUELO</t>
  </si>
  <si>
    <t xml:space="preserve">EVELIO UBALDO GOMEZ ROMERO </t>
  </si>
  <si>
    <t>YA SE ENVIARON A CATASTRO INFORMANDO LA REGULARIZACION</t>
  </si>
  <si>
    <t>621-2024</t>
  </si>
  <si>
    <t>CONTROL INDIVIDUAL DE INSPECCIONES ABRIL 2024</t>
  </si>
  <si>
    <t>I-01-0920-2023;I-01-0921-2023</t>
  </si>
  <si>
    <t>622-2024</t>
  </si>
  <si>
    <t>I-01-0920-2023; I-01-0921-2023</t>
  </si>
  <si>
    <t>VIVIENDA MULTIFAMILIAR 3 NIVELES</t>
  </si>
  <si>
    <t>4/ 3 EN USO</t>
  </si>
  <si>
    <t>I-05-0054-2023</t>
  </si>
  <si>
    <t>JOSE JAVIER CARDENAS CITAN</t>
  </si>
  <si>
    <t xml:space="preserve">CESAR ARMANDO LOPEZ VASQUEZ </t>
  </si>
  <si>
    <t>129-2024</t>
  </si>
  <si>
    <t xml:space="preserve">OFICIO POR CONSTRUCCION </t>
  </si>
  <si>
    <t>625-2024</t>
  </si>
  <si>
    <t>OFICIO POR CARGA Y EDIFICABILIDAD</t>
  </si>
  <si>
    <t>634-2024</t>
  </si>
  <si>
    <t xml:space="preserve">CERTIFICACION Y ENVIAR A JUZGADOS POR OFICIO </t>
  </si>
  <si>
    <t>I-06-0030-2024</t>
  </si>
  <si>
    <t>ASTRID FABIOLA GONZALEZ GOMEZ</t>
  </si>
  <si>
    <t>OFICIO POR OBRA MENOR A VEINTE METROS CUADRADOS</t>
  </si>
  <si>
    <t>635-2024</t>
  </si>
  <si>
    <t>ACTUAL</t>
  </si>
  <si>
    <t>14.62 FORMAL/17.50 INF.</t>
  </si>
  <si>
    <t>VIVIENDA UNIFAMILIAR TRES NIVELES</t>
  </si>
  <si>
    <t>RPNTR-720324</t>
  </si>
  <si>
    <t>RPNG9-180424</t>
  </si>
  <si>
    <t>RPNGR-730424</t>
  </si>
  <si>
    <t>EVELIO UBALDO GOMEZ ROMERO Y CONDUEÑO</t>
  </si>
  <si>
    <t>ANTECEDENTE</t>
  </si>
  <si>
    <t>RPNR1-330424</t>
  </si>
  <si>
    <t>RANDY STEVE REYES ALVARADO</t>
  </si>
  <si>
    <t>RANDY STEVE: ESTUARDO NOEL; REYES ALVARADO</t>
  </si>
  <si>
    <t>RPNC5-250124</t>
  </si>
  <si>
    <t>ORDEN DE PAGO/MANDARLO A IUSI</t>
  </si>
  <si>
    <t>i-13-0503-2024</t>
  </si>
  <si>
    <t>CARLOS RENE FIGUEROA HERNANDEZ</t>
  </si>
  <si>
    <t xml:space="preserve">OFICIO POR CONTRUCCION EN PLAN REGULADOR </t>
  </si>
  <si>
    <t>657-2024</t>
  </si>
  <si>
    <t>i-13-1229-2021</t>
  </si>
  <si>
    <t>662-2024</t>
  </si>
  <si>
    <t xml:space="preserve">         </t>
  </si>
  <si>
    <t>EDWIN AROLDO LEGRAND BARRIOS</t>
  </si>
  <si>
    <t>CONTRATO DE ARRENDAMIENTO</t>
  </si>
  <si>
    <t>VIVIENDA UNIFAMILIAR + LOCAL COMERCIAL</t>
  </si>
  <si>
    <t>RESIDENCIAL+NO RESD. ORDINARIO</t>
  </si>
  <si>
    <t>122.90/75.44,47.46</t>
  </si>
  <si>
    <t>685-2024</t>
  </si>
  <si>
    <t>ESTUARDO NOEL; RANDY STEVE; REYES ALVARADO</t>
  </si>
  <si>
    <t>684-2024</t>
  </si>
  <si>
    <t>YAQULINE VICTORIA MONTERROSO AGUILAR</t>
  </si>
  <si>
    <t>683-2024</t>
  </si>
  <si>
    <t>ESTUARDO NOEL; RANDY STEVE REYES ALVARADO</t>
  </si>
  <si>
    <t>ANELVIA IRACEMA LOPEZ GONZALEZ DE CHAVEZ</t>
  </si>
  <si>
    <t>APARTAMENTO</t>
  </si>
  <si>
    <t>79 EN TIMBRES, 487 EN LICENCIA</t>
  </si>
  <si>
    <t>PRADOS DE SANTA MARIA ii</t>
  </si>
  <si>
    <t>708-2024</t>
  </si>
  <si>
    <t>7/11//22</t>
  </si>
  <si>
    <t>709-2024</t>
  </si>
  <si>
    <t>ELVIA ELVIRA COYOY IXCOT</t>
  </si>
  <si>
    <t>I-13-0260-2024</t>
  </si>
  <si>
    <t>714-2024</t>
  </si>
  <si>
    <t>715-2024</t>
  </si>
  <si>
    <t>NORMA LETICIA COYOY IXCOT DE AGUSTIN</t>
  </si>
  <si>
    <t>PLAN REGULADOR/RURAL</t>
  </si>
  <si>
    <t>DICTAMEN DE JURIDICO APROBANDO LA CERT. ANTIGUA</t>
  </si>
  <si>
    <t>SOLO SE VA A CONSTRUIR EL PRIMER NIVEL</t>
  </si>
  <si>
    <t>723-2024</t>
  </si>
  <si>
    <t>0078-2023</t>
  </si>
  <si>
    <t>OFICIO POR REGULARIZACION DE DEMOLICION</t>
  </si>
  <si>
    <t xml:space="preserve">DEMOLICION DE VIVIENDA </t>
  </si>
  <si>
    <t>COPIA/</t>
  </si>
  <si>
    <t>PLANOS DEL VECINO</t>
  </si>
  <si>
    <t>I-03-0095;6;7;8-2024</t>
  </si>
  <si>
    <t>740-2024</t>
  </si>
  <si>
    <t>OFICIO POR NOMENCLATURAS ADICIONALES</t>
  </si>
  <si>
    <t>SE LE NEGO LAS 4 NOMENCLATURAS ADICIONALES POR QUE EXCEDE EL LIMITE DE UNIDADES POR PROYECTO.</t>
  </si>
  <si>
    <t>MARIA AMPARO PACAJA IXCOT DE ROJAS</t>
  </si>
  <si>
    <t>VUNR8-030524</t>
  </si>
  <si>
    <t>SE DEBE HACER INFORME DE PARQUEOS, NO DEBE DE TENER EN PASO A SERVIDUMBRE</t>
  </si>
  <si>
    <t>NO RESIDENCIAL ORD</t>
  </si>
  <si>
    <t>NO SE AUTORIZO PARQUEO</t>
  </si>
  <si>
    <t>RPNJ10-460623</t>
  </si>
  <si>
    <t>R-01-0189-2023</t>
  </si>
  <si>
    <t>I-13-0104-2023</t>
  </si>
  <si>
    <t>745-2024</t>
  </si>
  <si>
    <t>744-2024</t>
  </si>
  <si>
    <t>VIVIENDA UNIFAMILIAR DE 4 NIVELES</t>
  </si>
  <si>
    <t>PLAN REG</t>
  </si>
  <si>
    <t>COLONIA JERUSALEM</t>
  </si>
  <si>
    <t>D-06-0017-2021</t>
  </si>
  <si>
    <t>BALDEMAR BAYNOY PEREZ LARIOS</t>
  </si>
  <si>
    <t>747-2024</t>
  </si>
  <si>
    <t>748-2024</t>
  </si>
  <si>
    <t>METZLY ISABEL ZEPEDA ARAUZ</t>
  </si>
  <si>
    <t>I-01-0035-2024</t>
  </si>
  <si>
    <t>754-2024</t>
  </si>
  <si>
    <t>JAIME NOLBERTO LOPEZ OROXOM</t>
  </si>
  <si>
    <t>I-13-0046-2024</t>
  </si>
  <si>
    <t>756-2024</t>
  </si>
  <si>
    <t>RPNC1-360424</t>
  </si>
  <si>
    <t>VUNCR-010524</t>
  </si>
  <si>
    <t>SOLICITUD DE VECINO</t>
  </si>
  <si>
    <t>765-2024</t>
  </si>
  <si>
    <t>EDMER ANDRES GARCIA CASTELLON</t>
  </si>
  <si>
    <t>I-05-0065-2023</t>
  </si>
  <si>
    <t>R-01-0241-2023</t>
  </si>
  <si>
    <t>DIVERSIFICACION DE ACTIVIDADES, SOCIEDAD ANONIMA</t>
  </si>
  <si>
    <t>770-2024</t>
  </si>
  <si>
    <t>GERARDO EVARISTO ROBLERO ROBLERO</t>
  </si>
  <si>
    <t>I-13-0232-2024</t>
  </si>
  <si>
    <t>774-2024</t>
  </si>
  <si>
    <t>CONSTRUCCION ANTIGUA INHABITADA</t>
  </si>
  <si>
    <t>INHABITADA</t>
  </si>
  <si>
    <t>NO SE AUTORIZO UNIDAD FUNCIONAL POR INHABITABILIDAD</t>
  </si>
  <si>
    <t>RPND7-341123</t>
  </si>
  <si>
    <t>R-07-0199-2023</t>
  </si>
  <si>
    <t>YORDAN HERALDO DE LA CRUZ MEJIA</t>
  </si>
  <si>
    <t>ALCALDIA</t>
  </si>
  <si>
    <t>784-2024</t>
  </si>
  <si>
    <t>INDICE DE EDIFICABILIDA Y PERM.</t>
  </si>
  <si>
    <t xml:space="preserve">CONSTRUCCION ANTIGUA  </t>
  </si>
  <si>
    <t>SE TOMA LA MEDIDA DE CONSTRUCCION QUE ESTA EN LA CERTIFICACION</t>
  </si>
  <si>
    <t>I-013-0905-2023</t>
  </si>
  <si>
    <t>EVELYN JOHANA MIJANGOS ARRIAZA DE DIAZ Y CONDUEÑO</t>
  </si>
  <si>
    <t>791-2024</t>
  </si>
  <si>
    <t>I-07-0488-2024</t>
  </si>
  <si>
    <t>HECTOR MARIO VASQUEZ ALVAREZ</t>
  </si>
  <si>
    <t>150-2024</t>
  </si>
  <si>
    <t>DICTAMEN DE ALINEACION DE OT</t>
  </si>
  <si>
    <t>JORGE GIOVANNI PEREZ MONZON</t>
  </si>
  <si>
    <t>I-13-0144-2024</t>
  </si>
  <si>
    <t>OFICIO POR PLAN REGULADOR RURAL</t>
  </si>
  <si>
    <t>793-2024</t>
  </si>
  <si>
    <t>EXCEDE UNIDADES FUNCIONALES DE BAJO IMPACTO</t>
  </si>
  <si>
    <t>RPNL8-220524</t>
  </si>
  <si>
    <t>VICTOR EDUARDO LOPEZ ZACARIAS</t>
  </si>
  <si>
    <t>RPNS8-180524</t>
  </si>
  <si>
    <t>JULIO MARIANO SANTIZO MARTINEZ Y CONDUEÑA</t>
  </si>
  <si>
    <t>PERMEABILIDAD</t>
  </si>
  <si>
    <t>809-2024</t>
  </si>
  <si>
    <t xml:space="preserve">VIVIENDA MULTIFAMILIAR   </t>
  </si>
  <si>
    <t>1 EX/3 NUEVAS</t>
  </si>
  <si>
    <t>TENIA LICENCIA L23-386-JM14</t>
  </si>
  <si>
    <t>JUAN BARTOLO HERNANDEZ POZ</t>
  </si>
  <si>
    <t>I-13-0269-2024</t>
  </si>
  <si>
    <t>PLAN REG. RURAL</t>
  </si>
  <si>
    <t>RESOLUCION AMBIENTAL FAVORABLE</t>
  </si>
  <si>
    <t>816-2024</t>
  </si>
  <si>
    <t>817-2024</t>
  </si>
  <si>
    <t>CERTIFICACION Y ENVIAR A JUZGADOS</t>
  </si>
  <si>
    <t xml:space="preserve">VIVIENDA BIFAMILIAR  </t>
  </si>
  <si>
    <t>JORGE COTI</t>
  </si>
  <si>
    <t>820-2024</t>
  </si>
  <si>
    <t>821-2024</t>
  </si>
  <si>
    <t>819-2024</t>
  </si>
  <si>
    <t>ARALINDA ESTELA GRAMAJO RUIZ DE LOPEZ</t>
  </si>
  <si>
    <t>FAUSTINO UMAÑA GUERRA</t>
  </si>
  <si>
    <t>R-12-0223-2021</t>
  </si>
  <si>
    <t>I-13-0226-2021</t>
  </si>
  <si>
    <t>0599-2023</t>
  </si>
  <si>
    <t>NOELIA JANETH ARRIAGA LOPEZ</t>
  </si>
  <si>
    <t>822-2024</t>
  </si>
  <si>
    <t>I-13-0237-2024</t>
  </si>
  <si>
    <t>845-2024</t>
  </si>
  <si>
    <t>846-2024</t>
  </si>
  <si>
    <t>847-2024</t>
  </si>
  <si>
    <t>VIVIENDA UNIF</t>
  </si>
  <si>
    <t>RES</t>
  </si>
  <si>
    <t>I-13-0129-2024</t>
  </si>
  <si>
    <t>RPNP7-130324</t>
  </si>
  <si>
    <t>SAUL PEREZ Y PEREZ</t>
  </si>
  <si>
    <t>CAFETERIA</t>
  </si>
  <si>
    <t>0/ 1 EXT</t>
  </si>
  <si>
    <t>NO RES. ORD</t>
  </si>
  <si>
    <t>DECLARACION DE VECINO</t>
  </si>
  <si>
    <t>SE TRASLADO A JOSE PARA ENVIAR A CATASTRO JUNTO CON EL ORIGINAL</t>
  </si>
  <si>
    <t>RPNG9-180424 / I-09-0933-2023</t>
  </si>
  <si>
    <t>SE TRASLADO A JOSE PARA TRABAJAR</t>
  </si>
  <si>
    <t>859-2024</t>
  </si>
  <si>
    <t>872-2024</t>
  </si>
  <si>
    <t>873-2024</t>
  </si>
  <si>
    <t>874-2024</t>
  </si>
  <si>
    <t>875-2024</t>
  </si>
  <si>
    <t>R-07-0235-2023</t>
  </si>
  <si>
    <t>RODRIGO ALVARO GONZALEZ MATUL</t>
  </si>
  <si>
    <t>R-06-0245-2023</t>
  </si>
  <si>
    <t>MAGDA WALESKA ESPINOSA MALDONADO DE SERRANO</t>
  </si>
  <si>
    <t>I-08-0877-2022</t>
  </si>
  <si>
    <t>MAYNOR PEDRO SAUCEDO TELLO</t>
  </si>
  <si>
    <t>VIDAL COX GARCIA</t>
  </si>
  <si>
    <t>R-07-0236-2023</t>
  </si>
  <si>
    <t>877-2024</t>
  </si>
  <si>
    <t>ALTURA Y EDIFICABILIDAD</t>
  </si>
  <si>
    <t>878-2024</t>
  </si>
  <si>
    <t>RPNC5-370424</t>
  </si>
  <si>
    <t>VIVI. UNI. TRES N</t>
  </si>
  <si>
    <t>NO FAVORABLE DRENAJES; CAMBIO DE SECTOR; NO REGULARIZACION</t>
  </si>
  <si>
    <t>RPNL3-120224</t>
  </si>
  <si>
    <t>D-03-0102-2022</t>
  </si>
  <si>
    <t>880-2024</t>
  </si>
  <si>
    <t>BENJAMIN RAMOS GOMEZ</t>
  </si>
  <si>
    <t>D-08-0109-2022; D-08-0110-2022</t>
  </si>
  <si>
    <t>VIVI UNIF</t>
  </si>
  <si>
    <t>ENVIAR A JAM</t>
  </si>
  <si>
    <t>BODEGA ASTURIAS</t>
  </si>
  <si>
    <t xml:space="preserve">BODEGAS </t>
  </si>
  <si>
    <t>902-2024</t>
  </si>
  <si>
    <t>OFICIO INFORMANDO CONSTRUCCION</t>
  </si>
  <si>
    <t>A-03-0179-2024</t>
  </si>
  <si>
    <t>I-09-0856-2023</t>
  </si>
  <si>
    <t>JULIO OCTAVIO CITALAN DE PAZ</t>
  </si>
  <si>
    <t>903-2024</t>
  </si>
  <si>
    <t>904-2024</t>
  </si>
  <si>
    <t>I-13-0477-2024</t>
  </si>
  <si>
    <t>RAUL JESUS PEREZ MORALES</t>
  </si>
  <si>
    <t>905-2024</t>
  </si>
  <si>
    <t>906-2024</t>
  </si>
  <si>
    <t>VIV UNIF</t>
  </si>
  <si>
    <t>TIENE LIC POR 60 M2; 03-T2003</t>
  </si>
  <si>
    <t>EDGAR AROLDO LEGRAND BARRIOS</t>
  </si>
  <si>
    <t>988-2024</t>
  </si>
  <si>
    <t>RPNL3-120224/USL3-050424</t>
  </si>
  <si>
    <t>ANT-M7-370624</t>
  </si>
  <si>
    <t>SANTOS HUMBERTO MEJIA SAC</t>
  </si>
  <si>
    <t>997-2024</t>
  </si>
  <si>
    <t>WILLIAM ANDRES PEREZ REONJ</t>
  </si>
  <si>
    <t>CONSTRUCCION PLAN REG. RURAL</t>
  </si>
  <si>
    <t>1016-2024</t>
  </si>
  <si>
    <t>1017-2024</t>
  </si>
  <si>
    <t xml:space="preserve">AMPLIACION DE OFICIO </t>
  </si>
  <si>
    <t>1018-2024</t>
  </si>
  <si>
    <t>AUDITORIA</t>
  </si>
  <si>
    <t>UDAIM-CAI-00001-2024</t>
  </si>
  <si>
    <t>AUDITORIA INTERNO GENERAL MUNICIPAL</t>
  </si>
  <si>
    <t>OFICIO POR EXPEDIENTES ENVIADOS A JUZGADOS</t>
  </si>
  <si>
    <t>1019-2024</t>
  </si>
  <si>
    <t>ARCHIVADOS</t>
  </si>
  <si>
    <t>1095-2024</t>
  </si>
  <si>
    <t>RPNT9-050124</t>
  </si>
  <si>
    <t>1118-2024</t>
  </si>
  <si>
    <t>OFICIO POR INFORMACION</t>
  </si>
  <si>
    <t>JOHANA WALESKA DE LEON ARGUETA Y CDNO</t>
  </si>
  <si>
    <t>OFICIO POR CERTIFICACION</t>
  </si>
  <si>
    <t>1128-2024</t>
  </si>
  <si>
    <t>OFICIO PARA SOLICITAR EXPEDIENTES</t>
  </si>
  <si>
    <t>1164-2024</t>
  </si>
  <si>
    <t>ELEAZAR ALANGUMER CIFUENTES OROZCO</t>
  </si>
  <si>
    <t>I-03-0560-2024</t>
  </si>
  <si>
    <t>OFICIO POR AMPLIACION</t>
  </si>
  <si>
    <t>1172-2024</t>
  </si>
  <si>
    <t>PNRMR-1090824</t>
  </si>
  <si>
    <t>RPNBR-1080824</t>
  </si>
  <si>
    <t>REGULARIZACION</t>
  </si>
  <si>
    <t>I-13-09236-2023</t>
  </si>
  <si>
    <t>RPNMR-1090824</t>
  </si>
  <si>
    <t>RPNH1-460424</t>
  </si>
  <si>
    <t>EXPEDIENTES LOMAS SAN JOSE</t>
  </si>
  <si>
    <t>RPNN12-081120</t>
  </si>
  <si>
    <t>LOURDES PEREZ ESPINOZA</t>
  </si>
  <si>
    <t>OFICIO PARA DICTAMEN</t>
  </si>
  <si>
    <t>1187-2024</t>
  </si>
  <si>
    <t>PRADOS DEL ENCINAL</t>
  </si>
  <si>
    <t>RPNH8-210524</t>
  </si>
  <si>
    <t>OBSERVACIONES/CONSTRUCCION</t>
  </si>
  <si>
    <t>ANGELA MARIA GARCIA OVALLE</t>
  </si>
  <si>
    <t>CERO CALLE 34-40 INTERIOR</t>
  </si>
  <si>
    <t xml:space="preserve">                                                                                                                                         </t>
  </si>
  <si>
    <t>1207-2024</t>
  </si>
  <si>
    <t>1225-2024</t>
  </si>
  <si>
    <t>ANGELA OXLAJ ALVAREZ DE CHAN</t>
  </si>
  <si>
    <t>OFICIO POR AMPLIACION DE DICTAMEN</t>
  </si>
  <si>
    <t>1243-2024</t>
  </si>
  <si>
    <t>R-06-0156-2023</t>
  </si>
  <si>
    <t>MARIO HUMBERTO RODRIGUEZ AGUEDA</t>
  </si>
  <si>
    <t>I-09-1191-2024</t>
  </si>
  <si>
    <t>GRUPO DUBROVNIK S.A</t>
  </si>
  <si>
    <t>OFICIO  POR CONSTRUCCION ANTIGUA</t>
  </si>
  <si>
    <t>1357-2024</t>
  </si>
  <si>
    <t>RPNM5-560324</t>
  </si>
  <si>
    <t>1467-2024</t>
  </si>
  <si>
    <t>1468-2024</t>
  </si>
  <si>
    <t>i-13-0269-2024</t>
  </si>
  <si>
    <t>1469-2024</t>
  </si>
  <si>
    <t>1470-2024</t>
  </si>
  <si>
    <t>SARA FABIOLA MENCHU MACARIO DE CHAJ</t>
  </si>
  <si>
    <t>RPNP1-500524</t>
  </si>
  <si>
    <t>OFICIO PARA AMPLIAR DICTAMEN</t>
  </si>
  <si>
    <t>1496-2024</t>
  </si>
  <si>
    <t>LAURA FELIPA MENCHU SANTIZO</t>
  </si>
  <si>
    <t>R-01-0126-2024</t>
  </si>
  <si>
    <t>OFICIO A CATASTRO</t>
  </si>
  <si>
    <t>LOMAS DE SAN JOSE</t>
  </si>
  <si>
    <t>RRHH</t>
  </si>
  <si>
    <t>I-13-0917-2024</t>
  </si>
  <si>
    <t>JUSTA AMPARO RODAS LOPEZ</t>
  </si>
  <si>
    <t>BERNABE CHOXOM JOCOL LOPEZ</t>
  </si>
  <si>
    <t>AMPLIACION DE OFICIO</t>
  </si>
  <si>
    <t>1585-2024</t>
  </si>
  <si>
    <t>1587-2024</t>
  </si>
  <si>
    <t>D-10-0032-2024</t>
  </si>
  <si>
    <t>JERSON AVIDAN MEJIA SEGURA</t>
  </si>
  <si>
    <t>1588-2024</t>
  </si>
  <si>
    <t>ADECUACION DE CARGA SOBRE MARQUESINA</t>
  </si>
  <si>
    <t>1591-2024</t>
  </si>
  <si>
    <t>1590-2024</t>
  </si>
  <si>
    <t>.</t>
  </si>
  <si>
    <t>i-13-0044-2024</t>
  </si>
  <si>
    <t>RPNCR-1511224</t>
  </si>
  <si>
    <t>OFICIO PARA DEVOLVER POR QUE NO SE CONTINUO PROCESO</t>
  </si>
  <si>
    <t>1746-2024</t>
  </si>
  <si>
    <t>JUAN PEREZ OXLAJ</t>
  </si>
  <si>
    <t>CRUCR-060126</t>
  </si>
  <si>
    <t>CANTON CHUICAVIOC</t>
  </si>
  <si>
    <t>DE 39.34</t>
  </si>
  <si>
    <t>SHEILA YANIRA SANTIZO GONZALEZ</t>
  </si>
  <si>
    <t>14 CALLE C0-20 ZONA 5</t>
  </si>
  <si>
    <t>1 AVENIDA 1-32 LOTE 39 MZ A ZONA 5</t>
  </si>
  <si>
    <t>I-RCA80-1956-2025</t>
  </si>
  <si>
    <t>MIRIAM MARLENY CUPIL OROZCO</t>
  </si>
  <si>
    <t>I-RCA80-1955-2025</t>
  </si>
  <si>
    <t>ALEX GABINO COYOY COTOM</t>
  </si>
  <si>
    <t>I-RCA80-2050-2025</t>
  </si>
  <si>
    <t>HEIDY ESMERALDA ESTACUY OROZCO</t>
  </si>
  <si>
    <t>I-RCA80-1965-2025</t>
  </si>
  <si>
    <t>I-RCA80-1964-2025</t>
  </si>
  <si>
    <t>NELSON ELIAS MACARIO CRUZ</t>
  </si>
  <si>
    <t>LUIS ALFONSO COYOY OROZCO</t>
  </si>
  <si>
    <t>I-RCA80-1963-2025</t>
  </si>
  <si>
    <t>JUAN RAMON AGUSTIN COYOY</t>
  </si>
  <si>
    <t>I-RCA80-1962-2025</t>
  </si>
  <si>
    <t>PEDRO ROBERTO CRUZ OROZCO</t>
  </si>
  <si>
    <t>EUSEBIA LOPEZ GOMEZ DE CRUZ</t>
  </si>
  <si>
    <t>I-RCA80-1960-2025</t>
  </si>
  <si>
    <t>JUANA CAHUEX CRUZ</t>
  </si>
  <si>
    <t>MARIA THELMA COYOY CRUZ DE CAHUEX</t>
  </si>
  <si>
    <t>CANDELARIA OROZCO COYOY DE CUPIL</t>
  </si>
  <si>
    <t>DMNM1-261225</t>
  </si>
  <si>
    <t>VUNM1-4371225</t>
  </si>
  <si>
    <t>LUIS ROBERTO MOLINA POCOM</t>
  </si>
  <si>
    <t>RPNCR-1420226</t>
  </si>
  <si>
    <t>DE MARIA PORRES, 373.41</t>
  </si>
  <si>
    <t>MARIA EULOGIA CHICHCE CRUZ</t>
  </si>
  <si>
    <t>CRUCR-460226</t>
  </si>
  <si>
    <t>ALEX GABINO, COYOY COTOM</t>
  </si>
  <si>
    <t>RURAL</t>
  </si>
  <si>
    <t>CRUCR-470226</t>
  </si>
  <si>
    <t>EUSEBIA LOPEZ GOMEZ DE CRUZ}</t>
  </si>
  <si>
    <t>INFER-210226</t>
  </si>
  <si>
    <t>CRUCR-4990226</t>
  </si>
  <si>
    <t>RPNMR-1810226</t>
  </si>
  <si>
    <t>POT- 135.07</t>
  </si>
  <si>
    <t>rpncr-1830226</t>
  </si>
  <si>
    <t>RPNCR-1820226</t>
  </si>
  <si>
    <t>POT. 102.35</t>
  </si>
  <si>
    <t>POT-36.89</t>
  </si>
  <si>
    <t>CRUCR-570226</t>
  </si>
  <si>
    <t xml:space="preserve">CONTROL INDIVIDUAL DE EXPEDIENTES </t>
  </si>
  <si>
    <t>KARIN YANETH SAJ MORTAYA</t>
  </si>
  <si>
    <t>EN ESPERA DE CERTIFICACION DE INMUEBLE</t>
  </si>
  <si>
    <t>JUAN JOSE GARCIA GARCIA Y CONDUEÑO</t>
  </si>
  <si>
    <t>SILIVIA JUDITH HERNANDEZ LOPEZ</t>
  </si>
  <si>
    <t>USNH3-310725</t>
  </si>
  <si>
    <t>FREDY SON HASTEDT</t>
  </si>
  <si>
    <t>USNH3-300725</t>
  </si>
  <si>
    <t>RPNH3-4120725</t>
  </si>
  <si>
    <t>RPNH3-4100725</t>
  </si>
  <si>
    <t>RPNH3-540225</t>
  </si>
  <si>
    <t>RPNJ8-080823</t>
  </si>
  <si>
    <t>EDGAR ALFREDO ORTIZ LOPEZ</t>
  </si>
  <si>
    <t>JUAN FERNANDO MOISES HERNANDEZ QUIJ</t>
  </si>
  <si>
    <t xml:space="preserve">RPNLR-290124 </t>
  </si>
  <si>
    <t>RPNL1-1690325</t>
  </si>
  <si>
    <t>LAURA HILDA LOPEZ DE COJOM HUITZ</t>
  </si>
  <si>
    <t>RPNP10-521023</t>
  </si>
  <si>
    <t>BASILIO POZ PEREZ</t>
  </si>
  <si>
    <t>HUGO ARIEL CASTILLO PORTO</t>
  </si>
  <si>
    <t>SE DEBE ESPERAR EL CAMBIO DE USO DE SUELO.</t>
  </si>
  <si>
    <t>R-13-0196-2024</t>
  </si>
  <si>
    <t>ANA LUISA DIAZ MEJIA</t>
  </si>
  <si>
    <t>FALTA QUE EL PAGO PARA TRASLADARLO  A DEPENDENCIA.</t>
  </si>
  <si>
    <t>I-RCA80-1959-2025</t>
  </si>
  <si>
    <t>I-RCA80-1957-2025</t>
  </si>
  <si>
    <t>i-RCA80-1961-2025</t>
  </si>
  <si>
    <t>ANTNH3-1910725</t>
  </si>
  <si>
    <t>37 EXPEDIENTES</t>
  </si>
  <si>
    <t>CRUCR-620226</t>
  </si>
  <si>
    <t>CRUAR-610226</t>
  </si>
  <si>
    <t>215.19 ANTIGUA Y 32.56 INFORMAL</t>
  </si>
  <si>
    <t>RPNR11-290722</t>
  </si>
  <si>
    <t>NORMA MARINA RAMOS CASTRO</t>
  </si>
  <si>
    <t>GILBERTO ESAU LIMATUJ REYES</t>
  </si>
  <si>
    <t>RPNL11-470922</t>
  </si>
  <si>
    <t>ANTNC3-230126</t>
  </si>
  <si>
    <t>ANTNM7-240126</t>
  </si>
  <si>
    <t>EDNA PATRICIA MAZARIEGOS RUIZ</t>
  </si>
  <si>
    <t>VUNHR-220226</t>
  </si>
  <si>
    <t>OTTO SELVYN HERRERA TELLO</t>
  </si>
  <si>
    <t>VUNHR-230226</t>
  </si>
  <si>
    <t>9 CALLE A 0-51 ZONA 7</t>
  </si>
  <si>
    <t>ANTNL8-220126</t>
  </si>
  <si>
    <t>LIDIA ELISABETH LUCAS SANTAY</t>
  </si>
  <si>
    <t>9 CALLE 0-31A INTERIOR ZONA 8</t>
  </si>
  <si>
    <t>DIEGO VICTOR CHAN TEZO Y CDUEÑOS</t>
  </si>
  <si>
    <t>21 AVENIDA 10-52 ZONA 3</t>
  </si>
  <si>
    <t>VUNL8</t>
  </si>
  <si>
    <t>LETICIA CENOVIA</t>
  </si>
  <si>
    <t>ANTNM3</t>
  </si>
  <si>
    <t>DEMPSI ALBERTO</t>
  </si>
  <si>
    <t>VUNR3-4541225</t>
  </si>
  <si>
    <t>ANGEL EUGENIO RAMON MACARIO</t>
  </si>
  <si>
    <t>LOCAL CON BODEGA</t>
  </si>
  <si>
    <t>8 CALLE B 26-25 LOTE 49 ZONA 3 LA GRACIA</t>
  </si>
  <si>
    <t>LOTE 60 MZ L FASE I XELAGARDENS</t>
  </si>
  <si>
    <t>207.8 PARTE DE VIVIENDA DE DOS LOTES</t>
  </si>
  <si>
    <t>LOTE 62 MZ L FASE I XELAGARDENS</t>
  </si>
  <si>
    <t>MURO PERIMETRAL</t>
  </si>
  <si>
    <t>99 M2 DE MURO PERIMETRAL</t>
  </si>
  <si>
    <t>1 CALLE 21-27 ZONA 1</t>
  </si>
  <si>
    <t>DEMOLICION DE VIVIENDA ANTIGUA</t>
  </si>
  <si>
    <t>141.28 M2 DE DEMOLICION</t>
  </si>
  <si>
    <t>RPNC7-2000226</t>
  </si>
  <si>
    <t>MARIA CUX LOPEZ</t>
  </si>
  <si>
    <t>RPNS7-180623</t>
  </si>
  <si>
    <t xml:space="preserve">JOSE LUIS SUAREZ SANTIZO </t>
  </si>
  <si>
    <t>9 CALLE A 1-43 LOTE 17 SAN MARTIN ZONA 7</t>
  </si>
  <si>
    <t xml:space="preserve">VIVIENDA UNIFAMILIAR </t>
  </si>
  <si>
    <t>73.09 RECIENTE Y 35 ANTIGUA</t>
  </si>
  <si>
    <t>ANTNS1-1-470226</t>
  </si>
  <si>
    <t>CERO AVENIDA 1-69 ZONA 7</t>
  </si>
  <si>
    <t>VIVIENDA BIFAMILIAR</t>
  </si>
  <si>
    <t>91.13 ANTIGUA Y 95.25 M2 CARGADOS</t>
  </si>
  <si>
    <t>CONTROL INDIVIDUAL DE EXPEDIENTES ABRIL 2026</t>
  </si>
  <si>
    <t>0 EXPEDIENTES</t>
  </si>
  <si>
    <t>CONTROL INDIVIDUAL DE EXPEDIENTES  DICIEMBRE 2026</t>
  </si>
  <si>
    <t>CONTROL INDIVIDUAL DE EXPEDIENTES  NOVIEMBRE 2026</t>
  </si>
  <si>
    <t>CONTROL INDIVIDUAL DE EXPEDIENTES  OCTUBRE 2026</t>
  </si>
  <si>
    <t>CONTROL INDIVIDUAL DE EXPEDIENTES  AGOSTO 2026</t>
  </si>
  <si>
    <t>CONTROL INDIVIDUAL DE EXPEDIENTES JULIO 2026</t>
  </si>
  <si>
    <t>CONTROL INDIVIDUAL DE EXPEDIENTES JUNIO 2026</t>
  </si>
  <si>
    <t>CONTROL INDIVIDUAL DE EXPEDIENTES MAYO 2026</t>
  </si>
  <si>
    <t>CHUICAVIOC</t>
  </si>
  <si>
    <t>OFICIO CATÁSTRO</t>
  </si>
  <si>
    <t>FECHA DE TRABAJO</t>
  </si>
  <si>
    <t>OROZCO GOMEZ, MATEO</t>
  </si>
  <si>
    <t xml:space="preserve">OFICIO CATASTRO </t>
  </si>
  <si>
    <t>I-RCA80-2042-2025</t>
  </si>
  <si>
    <t>I-RCA80-2025-2025</t>
  </si>
  <si>
    <t>LOPEZ LOPEZ, MAYRA LETICIA</t>
  </si>
  <si>
    <t>I-RCA80-1944-2025</t>
  </si>
  <si>
    <t>OROZCO GOMEZ, HENRY SAMUEL</t>
  </si>
  <si>
    <t>OFICIO CATASTRO</t>
  </si>
  <si>
    <t>I-RCA80-2043-2025</t>
  </si>
  <si>
    <t>MORALES, MARIA WENDY COYOY CAHUEX DE</t>
  </si>
  <si>
    <t>I-RCA80-1948-2025</t>
  </si>
  <si>
    <t>OROZCO, CANDIDO ELOY</t>
  </si>
  <si>
    <t>VUNF5-630326</t>
  </si>
  <si>
    <t>FLORES DE LEON, CLAUDIA EUGENIA</t>
  </si>
  <si>
    <t>10 AVENIDA A 15C-02 LOTE 1 MZ G</t>
  </si>
  <si>
    <t xml:space="preserve">LICENCIA DE OBRA </t>
  </si>
  <si>
    <t>RPNT3-4060426</t>
  </si>
  <si>
    <t>TAHAY HERNANDEZ CARMEN</t>
  </si>
  <si>
    <t>7 CALLE 23-19 ZONA3</t>
  </si>
  <si>
    <t xml:space="preserve">REGULARIZACION DE OBRA </t>
  </si>
  <si>
    <t>VUNC11-1080426</t>
  </si>
  <si>
    <t>CIFUENTES MACARIO, MARIA CANDIDA LETICIA</t>
  </si>
  <si>
    <t>6 CALLE 4-19 LOTE 25 FASE 2</t>
  </si>
  <si>
    <t>VUNC8-1090426</t>
  </si>
  <si>
    <t>CELIS, LUCIA FERNANDA MORALES CIFUENTES DE Y CONDUEÑO</t>
  </si>
  <si>
    <t>34 AVENIDA A 0-86</t>
  </si>
  <si>
    <t xml:space="preserve">7 CALLE 23-19 </t>
  </si>
  <si>
    <t>CRUPR-810326</t>
  </si>
  <si>
    <t>PEREZ Y PEREZ, MARIA ANA</t>
  </si>
  <si>
    <t>CANTON CHUILAJU</t>
  </si>
  <si>
    <t>RPNC1-4240426</t>
  </si>
  <si>
    <t>CAJAS ITZEP, RAFAEL SALVADOR</t>
  </si>
  <si>
    <t>8va AVENIDA 0-10</t>
  </si>
  <si>
    <t>VUNDR-1310426</t>
  </si>
  <si>
    <t>DESARROLLOS DE SUR-OCCIDENTE S.A.</t>
  </si>
  <si>
    <t>LOTE E24 SECTOR 1 CIUDAD VERDE CHICHIGUITAN</t>
  </si>
  <si>
    <t>VUNDR-1320427</t>
  </si>
  <si>
    <t>VUNDR-1330428</t>
  </si>
  <si>
    <t>VUNDR-1340429</t>
  </si>
  <si>
    <t>VUNDR-1350430</t>
  </si>
  <si>
    <t>VUNDR-1360431</t>
  </si>
  <si>
    <t>VUNDR-1370432</t>
  </si>
  <si>
    <t>LOTE E25 SECTOR 1 CIUDAD VERDE CHICHIGUITAN</t>
  </si>
  <si>
    <t>LOTE E26 SECTOR 1 CIUDAD VERDE CHICHIGUITAN</t>
  </si>
  <si>
    <t>LOTE E27 SECTOR 1 CIUDAD VERDE CHICHIGUITAN</t>
  </si>
  <si>
    <t>LOTE E28 SECTOR 1 CIUDAD VERDE CHICHIGUITAN</t>
  </si>
  <si>
    <t>LOTE E29 SECTOR 1 CIUDAD VERDE CHICHIGUITAN</t>
  </si>
  <si>
    <t>LOTE E30 SECTOR 1 CIUDAD VERDE CHICHIGUITAN</t>
  </si>
  <si>
    <t>RPNO10-3850426</t>
  </si>
  <si>
    <t>ORDOÑEZ VASQUEZ, DIEGO</t>
  </si>
  <si>
    <t>5 AVENIDA 4-33, INTERIOR</t>
  </si>
  <si>
    <t>VUNSR-1130426</t>
  </si>
  <si>
    <t>SANCHEZ, MARIA HERLINDA LOPEZ SACALXOT DE</t>
  </si>
  <si>
    <t>CANTON TIERRA COLORADA BAJA</t>
  </si>
  <si>
    <t>R-05-0055-2026</t>
  </si>
  <si>
    <t>NAINSO GUAYMER HERNANDEZ VÁZQUES</t>
  </si>
  <si>
    <t>ZONA 5</t>
  </si>
  <si>
    <t>VUNA12-3301025</t>
  </si>
  <si>
    <t> AJSIVINAC SOBERANIS HILDA MARIA</t>
  </si>
  <si>
    <t>6 CALLE 12-158 SECTOR 2</t>
  </si>
  <si>
    <t>9 EXPEDIENTES</t>
  </si>
  <si>
    <t>16 INSPECCIONES</t>
  </si>
  <si>
    <t> 2026-04-30</t>
  </si>
  <si>
    <t>VUNC1-1430526</t>
  </si>
  <si>
    <t>CHO SAC, AROLDO RUBEN</t>
  </si>
  <si>
    <t> ZONA 1 DIAGONAL 11 26-15</t>
  </si>
  <si>
    <t>JUAN MORALES ROMERO</t>
  </si>
  <si>
    <t>R-03-0023-2026</t>
  </si>
  <si>
    <t>LUZ MARIA DEL ROSARIO MIGEZ AGUILAR DE LAM</t>
  </si>
  <si>
    <t>JUANA ANIBAL MACHIC LOPEZ</t>
  </si>
  <si>
    <t>5 AV. 11-44</t>
  </si>
  <si>
    <t>CONTROL INDIVIDUAL DE INSPECCIONES MAYO 2026</t>
  </si>
  <si>
    <t>RPNA12-4430526</t>
  </si>
  <si>
    <t>Ajsivinac Soberanis, Hilda María</t>
  </si>
  <si>
    <t>6ta calle 12-158, sector 2</t>
  </si>
  <si>
    <t>VUN SE PASO A RP, REINSPECCION</t>
  </si>
  <si>
    <t>VUNV1-1400426</t>
  </si>
  <si>
    <t>CARLOS ROLANDO VÁSQUEZ</t>
  </si>
  <si>
    <t xml:space="preserve">27 AVENIDA 4-30C INTERIOR </t>
  </si>
  <si>
    <t>CRUOR-870426</t>
  </si>
  <si>
    <t xml:space="preserve">BRAULIO RENE OROZCO LÓPEZ </t>
  </si>
  <si>
    <t>CANTON CHICAVIOC SECTOR 4</t>
  </si>
  <si>
    <t>RPNO10</t>
  </si>
  <si>
    <t>DIEGO ORDOÑEZ VASQUEZ</t>
  </si>
  <si>
    <t>5A AVENIDA 4-33 INTERIOR ZONA 10</t>
  </si>
  <si>
    <t xml:space="preserve">REGULARIZACIÓN </t>
  </si>
  <si>
    <t>NAINSO GUAYMER HERNANDEZ VÁSQUEZ</t>
  </si>
  <si>
    <t>DIAGONAL 2, 7-68 ZONA5</t>
  </si>
  <si>
    <t xml:space="preserve">REPORTE A CATASTRO </t>
  </si>
  <si>
    <t>CHOJOLAN MACHIC, MARIA YOHANA Y CHOJOLAN MACHIC NICOLASA VERONICA</t>
  </si>
  <si>
    <t>5 AVENIDA 11-46C INTERIOR ZONA 1</t>
  </si>
  <si>
    <t>RPNV10-4370526</t>
  </si>
  <si>
    <t>RIGOBERTO VILLATORO CHACAJ</t>
  </si>
  <si>
    <t>6CALLE 5-70</t>
  </si>
  <si>
    <t>ANTNG8-117052</t>
  </si>
  <si>
    <t>CESAR ALFREDO GOMEZ GARCIA</t>
  </si>
  <si>
    <t>2 CALLE 39C-37</t>
  </si>
  <si>
    <t>ANTNM8-1160526</t>
  </si>
  <si>
    <t>CLAUDIA DENNISE MOLINA</t>
  </si>
  <si>
    <t xml:space="preserve">DIAGONAL 2, 0-81 </t>
  </si>
  <si>
    <t>R-12-0052-2026 a RPNM12-4520526</t>
  </si>
  <si>
    <t>D-01-0113-2025 a RPNC1-4500526</t>
  </si>
  <si>
    <t>RPNM12-4520526</t>
  </si>
  <si>
    <t> 9 CALLE LOTE #250 MANZANA "K" ZONA12</t>
  </si>
  <si>
    <t>LUZ MARIA DEL ROSARIO MIGUEZ AGUILAR DE LAM</t>
  </si>
  <si>
    <t>5 CALLE 14-14, ZONA3</t>
  </si>
  <si>
    <t>RECTIFICACIÓN, OFICIO EXTERNO AL VECINO</t>
  </si>
  <si>
    <t>RPND10-4610526</t>
  </si>
  <si>
    <t>MIGUEL ANTONIO DEL VALLE RIVAS</t>
  </si>
  <si>
    <t>LOTE 14, MANZANA1, CONDOMINIO B4, PACAJA ALTO</t>
  </si>
  <si>
    <t>USNA3-090526</t>
  </si>
  <si>
    <t>RPNR1-4330526</t>
  </si>
  <si>
    <t>SEFORA ISABEL RAMIREZ HERNANDEZ</t>
  </si>
  <si>
    <t>AVENIDA LAS AMERICAS 7.45, APARTAMENTO 14, RESIDENSIALES</t>
  </si>
  <si>
    <t>ANTNE5-1180526</t>
  </si>
  <si>
    <t>MARCO ANTONIO ESCOBAR GIRON</t>
  </si>
  <si>
    <t xml:space="preserve">3A CALLE 7-82 COLONIA MUNICIPAL </t>
  </si>
  <si>
    <t>CHARLY GABRIEL AJANEL VICENTE</t>
  </si>
  <si>
    <t>19 AVENIDA 3-21 INTERIOR</t>
  </si>
  <si>
    <t xml:space="preserve"> 27 AVENIDA 4-30C INTERIOR.   ZONA 1</t>
  </si>
  <si>
    <t xml:space="preserve">VUN </t>
  </si>
  <si>
    <t>BRAULIO RENE OROZCO LÓPEZ</t>
  </si>
  <si>
    <t>CANTÓN CHUICAVIOC SECTOR #4</t>
  </si>
  <si>
    <t>R-10-0088-2026</t>
  </si>
  <si>
    <t>6 CALLE A 5-70 ZONA 10</t>
  </si>
  <si>
    <t>ANTNG8-1170526</t>
  </si>
  <si>
    <t>CESAR ALFREDO GÓMEZ GARCÍA</t>
  </si>
  <si>
    <t>2 CALLE 39C-37 ZOONA 8</t>
  </si>
  <si>
    <t>RPNG8-4740526</t>
  </si>
  <si>
    <t>PROVIDENCIA A IUSI PARA CARGAR AREA</t>
  </si>
  <si>
    <t>RPNIR-2960326</t>
  </si>
  <si>
    <t>JAKELINE JANETH ITZEP RAMON</t>
  </si>
  <si>
    <t>CANTON LLANOS DEL PINAL</t>
  </si>
  <si>
    <t>CONSTRUCCIÓN RURAL ANTIGUA, SOLO USO DE SUELO, SE MANDO A IUSI PARA CARGAR AREA</t>
  </si>
  <si>
    <t>I-RCA70-0294-2026</t>
  </si>
  <si>
    <t>EDUARDO LUIS HERNÁNDEZ VÁSQUES</t>
  </si>
  <si>
    <t>CANTON CHICHIGUITÁN</t>
  </si>
  <si>
    <t>I-RCA70-0279-2026</t>
  </si>
  <si>
    <t>BLANCA LESBY CANTORAL CIFUENTES</t>
  </si>
  <si>
    <t>RUFINO VÁSQUEZ TUCUX</t>
  </si>
  <si>
    <t>RPNVR-4650526</t>
  </si>
  <si>
    <t>CANTÓN XECARACOJ</t>
  </si>
  <si>
    <t>DIAGONAL 2, 0-81 ZONA 8</t>
  </si>
  <si>
    <t xml:space="preserve">ANTIGUA SOLO USO DE SUELO </t>
  </si>
  <si>
    <t>SÉFORA ISABEL RAMÍREZ HERNANDEZ</t>
  </si>
  <si>
    <t>AV LAS AMERICAS 7-54 APARTAMENTO 14, RESIDENSIALES EL BOSQUE ZONA 1</t>
  </si>
  <si>
    <t>3A CALLE 7-82 COLONIA MUNICIPAL ZONA 5</t>
  </si>
  <si>
    <t>ANTIGUA SOLO USO DE SUELO Y PROVIDENCIA A IUSI</t>
  </si>
  <si>
    <t>ANTNG1-1210526</t>
  </si>
  <si>
    <t>JULIO ROBERTO GARCÍA</t>
  </si>
  <si>
    <t>DIAGONAL 8 D11-50 ZONA 1</t>
  </si>
  <si>
    <t xml:space="preserve">ANTIGUA, OFICIO EXTERNO A VECINO POR CAMBIO DE USO COMERCIAL </t>
  </si>
  <si>
    <t>RPNF8-4490526</t>
  </si>
  <si>
    <t>ANAITE YUBITZA FUNES FONSECA</t>
  </si>
  <si>
    <t>9CALLE C 35C-27 LOTE 7 MANZANA J ZONA 8</t>
  </si>
  <si>
    <t>RPNC7-4550526</t>
  </si>
  <si>
    <t>ALBA KARINA COTI SALANIC DE SOC</t>
  </si>
  <si>
    <t>14 CALLE C 32-54 ZONA 7 COLONIA LOS TRIGALES</t>
  </si>
  <si>
    <t>CANTON CHICHIGUITAN ZONA 5</t>
  </si>
  <si>
    <t>EDUARDO LUIS HERNÁNDEZ VÁSQUEZ</t>
  </si>
  <si>
    <t>CANTÓN CHICHIGUITAN ZONA 5</t>
  </si>
  <si>
    <t xml:space="preserve">REGULARIZACIÓN, CONSTRUCCION INFORMAL SOLO USO DE SUELO PARCELAMIENTO, DENTRO DEL PLAN REGULADOR </t>
  </si>
  <si>
    <t>ANTNC3-1330526</t>
  </si>
  <si>
    <t>ESTUARDO DAVID CASTRO GONZALEZ</t>
  </si>
  <si>
    <t xml:space="preserve">RES. VILLA MARCELA 0 AV. CASA 24 ZONA 0 </t>
  </si>
  <si>
    <t>RPND6-4850526</t>
  </si>
  <si>
    <t xml:space="preserve">ISABEL GONEZ GONZALES DE GARCIA </t>
  </si>
  <si>
    <t xml:space="preserve">LOTE 19 MANZANA L </t>
  </si>
  <si>
    <t xml:space="preserve">PRADOS DE SANTA MARIA </t>
  </si>
  <si>
    <t>I-08-0500-2026</t>
  </si>
  <si>
    <t>GLENDY BEATRIZ PAXTOR OXLAJ</t>
  </si>
  <si>
    <t xml:space="preserve">CANTON LAS TAPIAS </t>
  </si>
  <si>
    <t>8va AVENIDA 0-10, ZONA 1</t>
  </si>
  <si>
    <t>CANTON XECARACOJ</t>
  </si>
  <si>
    <t>ANTNC10-900326</t>
  </si>
  <si>
    <t xml:space="preserve">VENANCIA CALMO MATIAS </t>
  </si>
  <si>
    <t>7 AVENIDA 3-23 ZONA 10</t>
  </si>
  <si>
    <t>SE MANDO A DRENAJES PARA EMITIR DICTAMEN TECNICO, POR POSIBLE INUNDACIÓN</t>
  </si>
  <si>
    <t xml:space="preserve">CHARLY GABRIEL AJANEL VICENTE </t>
  </si>
  <si>
    <t>19 AVENIDA 3-21 INTERIOR ZONA 3</t>
  </si>
  <si>
    <t>SE MANDO INFORME EXTERNO  A VECINO PARA REQUISITO DE REGULARIZACIÓN</t>
  </si>
  <si>
    <t>RPNH12-4890526</t>
  </si>
  <si>
    <t>FRANCISCO JAVIER HERNANDEZ HERRERA</t>
  </si>
  <si>
    <t>E AVENIDA 5-08 LOTE 356 MANZANA 0</t>
  </si>
  <si>
    <t>R-011-0074-2026</t>
  </si>
  <si>
    <t>JULIO CÉSAR MIRANDA CALDERÓN</t>
  </si>
  <si>
    <t>CASA NÚMERO 70, CONJUNTO RESIDENCIAL LAS ROSAS.</t>
  </si>
  <si>
    <t>VUNIR-1500526</t>
  </si>
  <si>
    <t>OSCAR ABEL MORALES CIFUENTES</t>
  </si>
  <si>
    <t>PARAJE CHUILAJU, CANTON PUERTA DEL LLANO</t>
  </si>
  <si>
    <t>RPNP7-5080526</t>
  </si>
  <si>
    <t>8 CALLE 29-77 ZONA 7</t>
  </si>
  <si>
    <t>SE REGULARIZO LA CONSTRUCCION NUEVA, Y SE INFORMO AL VECINO PARA RESOLUCIÓN DE MEDIO AMBIENTE</t>
  </si>
  <si>
    <t xml:space="preserve"> ANTIGUA RURAL SOLO COBRODE  USO DE SUELO, SE CREO EXPEDIENTE CRU</t>
  </si>
  <si>
    <t xml:space="preserve">ESTUARDO DAVID CASTRO GONZALES </t>
  </si>
  <si>
    <t>1 CALLE 0-10 ZONA 3</t>
  </si>
  <si>
    <t>ANTIGUA, SE MANDO ACARGAR AREA A IUSI</t>
  </si>
  <si>
    <t>CRUVR-960526</t>
  </si>
  <si>
    <t>RPNR10-5110526</t>
  </si>
  <si>
    <t>OSCAR ARTURO RODAS SOTO</t>
  </si>
  <si>
    <t xml:space="preserve">AV. LAS AMERICAS C9A-30 </t>
  </si>
  <si>
    <t>ANTNI6-1300526</t>
  </si>
  <si>
    <t>AURORA GRACIELA</t>
  </si>
  <si>
    <t xml:space="preserve">5 AVENIDA CA-33 </t>
  </si>
  <si>
    <t>I-11-1027-2020</t>
  </si>
  <si>
    <t>PEDRO MARCOS ACEITUNO ALVAREZ</t>
  </si>
  <si>
    <t xml:space="preserve">LOTE 9, MANZANA 3 </t>
  </si>
  <si>
    <t xml:space="preserve">LOMAS DE SAN JOSE </t>
  </si>
  <si>
    <t>ISABEL GOMEZ GONZALES DE GARCIA</t>
  </si>
  <si>
    <t>PRADOS DE SANTA MARIA II LOTE 19 MZ. L</t>
  </si>
  <si>
    <t>ANTIGUA RURAL, ACUERDO DE  PARCELAMIENTO, PLAN REGULADOR</t>
  </si>
  <si>
    <t>ZONA 11</t>
  </si>
  <si>
    <t>URB Q7, ANTIGUA, ANTES DEL 2000, SE MANDO OFICIO A CATASTRO</t>
  </si>
  <si>
    <t> VUNDR-1310426</t>
  </si>
  <si>
    <t> DESARROLLOS DE SUR-OCCIDENTE S.A.</t>
  </si>
  <si>
    <t> LOTE E24 SECTOR 1 CIUDAD VERDE CHICHIGUITAN</t>
  </si>
  <si>
    <t> VUNC1-1430526</t>
  </si>
  <si>
    <t> CHO SAC, AROLDO RUBEN</t>
  </si>
  <si>
    <t> VUNDR-1370426</t>
  </si>
  <si>
    <t> LOTE E17 SECTOR 1 CIUDAD VERDE CHICHIGUITAN</t>
  </si>
  <si>
    <t> VUNDR-1360426</t>
  </si>
  <si>
    <t> LOTE E29 SECTOR 1 CIUDAD VERDE CHICHIGUITAN</t>
  </si>
  <si>
    <t> VUNDR-1350426</t>
  </si>
  <si>
    <t> LOTE E28 SECTOR 1 CIUDAD VERDE CHICHIGUITAN</t>
  </si>
  <si>
    <t> VUNDR-1340426</t>
  </si>
  <si>
    <t> LOTE E27 SECTOR 1 CIUDAD VERDE CHICHIGUITAN</t>
  </si>
  <si>
    <t> VUNDR-1330426</t>
  </si>
  <si>
    <t> LOTE E26 SECTOR 1 CIUDAD VERDE CHICHIGUITAN</t>
  </si>
  <si>
    <t> VUNDR-1320426</t>
  </si>
  <si>
    <t> LOTE E25 SECTOR 1 CIUDAD VERDE CHICHIGUITAN</t>
  </si>
  <si>
    <t>CONSTRUCCION RURAL</t>
  </si>
  <si>
    <t>REGULARIZACIÓN</t>
  </si>
  <si>
    <t>5 CALLE 14-14</t>
  </si>
  <si>
    <t xml:space="preserve"> 9 CALLE LOTE #250 MANZANA "K" </t>
  </si>
  <si>
    <t>RPNC1-4500526</t>
  </si>
  <si>
    <t>D-01-0113-2025</t>
  </si>
  <si>
    <t>SE DEVOLVIO A CATASTRO PARA ACTUALIZAR AREA DE CONSTRUCCIÓN FINCA MATRIZ Y FINCA NUEVA</t>
  </si>
  <si>
    <t>No. 6968, F:468, L:534E</t>
  </si>
  <si>
    <t>R-05-0085-2026</t>
  </si>
  <si>
    <t>ANTONIO GONZALES GONZALES</t>
  </si>
  <si>
    <t>INMUEBLE EN SUELO ESPECIAL, SE MANDO PROVIDENCIA A DRENAJE</t>
  </si>
  <si>
    <t>I-10-1293-2024</t>
  </si>
  <si>
    <t>ALEX FERNANDO CABRERA POROJ</t>
  </si>
  <si>
    <t xml:space="preserve">RURAL ANTIGUA Y SE MANDO A CATASTRO INFORMANDO EL AREA </t>
  </si>
  <si>
    <t>43 EXPEDIENTES</t>
  </si>
  <si>
    <t>ANTNR3-1410526</t>
  </si>
  <si>
    <t>ARLENI LUDMILA RODRIGUEZ HERRERA DE LEON</t>
  </si>
  <si>
    <t xml:space="preserve">14 CALLE 14-24 </t>
  </si>
  <si>
    <t>VUNI10-1560526</t>
  </si>
  <si>
    <t xml:space="preserve">ALAN EDUARDO SACOR BARRIOS </t>
  </si>
  <si>
    <t>0 CALLE. 7-53J INTERIOR</t>
  </si>
  <si>
    <t>FRANCISCO JAVIER HERNANDEZ HEERRERA</t>
  </si>
  <si>
    <t>3 AVENIDA 5-37 LOTE 356 MZ0</t>
  </si>
  <si>
    <t>23 INSPECCIONES</t>
  </si>
  <si>
    <t>RPNA11-5340626</t>
  </si>
  <si>
    <t>LOMAS DE SAN JOSE ZONA 11</t>
  </si>
  <si>
    <t xml:space="preserve">EXPEDIENTE DE CATASTRO PARA REGULARIZACIÓN </t>
  </si>
  <si>
    <t>A-10-0429-2026</t>
  </si>
  <si>
    <t>A-10-1291-2025</t>
  </si>
  <si>
    <t>JOSE CHAY</t>
  </si>
  <si>
    <t>CALLEJON5, 5-6 INTERIOR</t>
  </si>
  <si>
    <t>GABINO ANASTACIO RACANCOJ CHAN</t>
  </si>
  <si>
    <t>1 AVENIDA 7-19 INTERIOR</t>
  </si>
  <si>
    <t>R-05-0119-2026</t>
  </si>
  <si>
    <t xml:space="preserve">OSCAR OSBERTO ALVARADO PÉREZ </t>
  </si>
  <si>
    <t xml:space="preserve">3RA CALLE 5-04, LA COLINA </t>
  </si>
  <si>
    <t>RPNI6-5460626</t>
  </si>
  <si>
    <t>AURORA GRACIELA IXCATICOY LOPEZ</t>
  </si>
  <si>
    <t>5 AVENIDA CA-3 ZONA 6</t>
  </si>
  <si>
    <t xml:space="preserve">VIVIENDA ANTIGUA REGULARIZADA </t>
  </si>
  <si>
    <t>OFICIO EXTERNO ENVIADO A IUSI PARA CARGAR AREA</t>
  </si>
  <si>
    <t>ARLENI LUDMILA RODRIGUEZ HERRERA DE DE LEÓN</t>
  </si>
  <si>
    <t>14 CALLE 14-24 ZONA 3</t>
  </si>
  <si>
    <t>OFICIO EXTERNO A IUSI PARA CARGAR AREA ANTIGUA</t>
  </si>
  <si>
    <t>MARIA ALEJANDRINA IXQUIAC COX</t>
  </si>
  <si>
    <t>0 CALLE 7-53J INTERIOR ZONA 10</t>
  </si>
  <si>
    <t xml:space="preserve">INFORME EXTERNO A VECINO POR ESPACIOS DE VIVIEDA QUE NO CUMPLE </t>
  </si>
  <si>
    <t>CALLEJON 5 5-60 ZONA 6</t>
  </si>
  <si>
    <t>OFICO A IUSI PARA CARGAR AREA ANTIGUA</t>
  </si>
  <si>
    <t>1 AVENIDA 7-19 INTERIOR ZONA 10</t>
  </si>
  <si>
    <t>OFICIO A IUSI PARA CARGAR AREA ANTIGUA</t>
  </si>
  <si>
    <t>RPNTR-5510626</t>
  </si>
  <si>
    <t>CAMILA APOLONIA MONROY TZOC</t>
  </si>
  <si>
    <t>RUR</t>
  </si>
  <si>
    <t>I-05-0232-2026</t>
  </si>
  <si>
    <t>EDWIN HAROLDO DE LEON YANI</t>
  </si>
  <si>
    <t xml:space="preserve">11 CALLE 5-37 </t>
  </si>
  <si>
    <t>RPNA5-5560626</t>
  </si>
  <si>
    <t>OSCAR OSBERTO ALVARADO PÉREZ</t>
  </si>
  <si>
    <t>3 CALLE 5-04 LOTE 159 LA COLINA, ZONA 5</t>
  </si>
  <si>
    <t xml:space="preserve">OFICIO A IUSI PARA CARGAR AREA ACTUALIZADA </t>
  </si>
  <si>
    <t xml:space="preserve">CANTON XECARACOJ </t>
  </si>
  <si>
    <t>REGULARIZACION POT</t>
  </si>
  <si>
    <t>CONTROL INDIVIDUAL DE INSPECCIONES JUNIO 2026</t>
  </si>
  <si>
    <t>ANTND10-1500626</t>
  </si>
  <si>
    <t xml:space="preserve">CALLEJON 8A 0-19 </t>
  </si>
  <si>
    <t>I-13-1172-2022</t>
  </si>
  <si>
    <t>MANOLO MORALES RIVERA</t>
  </si>
  <si>
    <t>DMNG5-100626</t>
  </si>
  <si>
    <t>SHIRLY MARITZABETH VILLAGRÁN AGUILAR DE GOMEZ</t>
  </si>
  <si>
    <t xml:space="preserve">5 AV. 1-23 </t>
  </si>
  <si>
    <t>COLONIA MOLINA</t>
  </si>
  <si>
    <t>CANTON CHICHIGUITAN</t>
  </si>
  <si>
    <t>ARTEMIO DIAZ MENCHO</t>
  </si>
  <si>
    <t>CALLEJON 10 8A 0-19, ZONA 10</t>
  </si>
  <si>
    <t>INFORME EXTERNO A VECINO PARA RESOLUCION MEDIO AMBIENTE POR COMERCIO</t>
  </si>
  <si>
    <t>RPNMR-5760626</t>
  </si>
  <si>
    <t xml:space="preserve">MANOLO MORALES RIVERA </t>
  </si>
  <si>
    <t>CANTON CHICHIGUITAN, RUR</t>
  </si>
  <si>
    <t>SHIRLY MARITZABETH VILLAGRAN AGUILAR DE GOMEZ</t>
  </si>
  <si>
    <t>5 AV. 1-23, ZONA 5</t>
  </si>
  <si>
    <t>DEMOLICIÓN</t>
  </si>
  <si>
    <t>FECHA DE ENTREGA PARA REVISION</t>
  </si>
  <si>
    <t xml:space="preserve">PENDIENTE </t>
  </si>
  <si>
    <t xml:space="preserve">GRAVE HERNANDEZ, GENARO </t>
  </si>
  <si>
    <t>DIAGONAL 10, C14-82</t>
  </si>
  <si>
    <t>PEREZ UTUY, MIGUEL JOSE</t>
  </si>
  <si>
    <t>4 CALLE 38-79A</t>
  </si>
  <si>
    <t xml:space="preserve">ARTEMIO DÍAZ MENCHO </t>
  </si>
  <si>
    <t>A-RCA70-0819-2025</t>
  </si>
  <si>
    <t>JAM-D-570-2026</t>
  </si>
  <si>
    <t>RAFAEL SALVADOR CAJAS ITZEP</t>
  </si>
  <si>
    <t>INFORME A JAM, POR REGULARIZACIÓN Y LICENCIA</t>
  </si>
  <si>
    <t>A-RCA70-0707-2025</t>
  </si>
  <si>
    <t>MORALES HERNÁNDEZ, WILLIAM AMADO</t>
  </si>
  <si>
    <t>CHICHIGUITAN</t>
  </si>
  <si>
    <t xml:space="preserve">CIUDAD VERDE </t>
  </si>
  <si>
    <t>A-RCA70-0671-2025</t>
  </si>
  <si>
    <t>CHAJCHALAC CITALÁN, MARLYN MAYARY</t>
  </si>
  <si>
    <t>CARRILLO BATEN, ERVIN BENJAMÍN</t>
  </si>
  <si>
    <t>INFORME EXTERNO A IUSI, ACTUALIZACIÓN DE AREA</t>
  </si>
  <si>
    <t>D-08-0089-2025</t>
  </si>
  <si>
    <t xml:space="preserve">VICTOR MANUEL RODAS OLIVA </t>
  </si>
  <si>
    <t>A-07-0425-2026</t>
  </si>
  <si>
    <t>ERWIN ALFONSO MARROQUÍN CALDERÓN</t>
  </si>
  <si>
    <t xml:space="preserve">5 CALLE 26-67 </t>
  </si>
  <si>
    <t>RPNP10-5860626</t>
  </si>
  <si>
    <t>ERVIN ALEJANDRO POROJ COJULUM</t>
  </si>
  <si>
    <t>6 CALLE 1-76</t>
  </si>
  <si>
    <t>MARROQUÍN RODAS, IRWIN WELINGTON</t>
  </si>
  <si>
    <t>5 CALLE 26-67 ZONA 7</t>
  </si>
  <si>
    <t>OFICIO EXTERNO A IUSI PARA ACTUALIZAR AREA</t>
  </si>
  <si>
    <t>RPNM7-5920626</t>
  </si>
  <si>
    <t>RPNP8-5980626</t>
  </si>
  <si>
    <t>4 CALLE 38-79A ZONA 8</t>
  </si>
  <si>
    <t>R-12-0052-2026</t>
  </si>
  <si>
    <t>ZONA 12</t>
  </si>
  <si>
    <t xml:space="preserve">OFICIO A CATASTRO POR METRAJE Y PORQUE YA CUENTA CON LICENCIA </t>
  </si>
  <si>
    <t>RODAS OLIVA, VICTOR MANUEL</t>
  </si>
  <si>
    <t>ZONA 8</t>
  </si>
  <si>
    <t>OFICIO A CATASTRO INFORMANDO AREA FINCA MATRIZ Y FINCA NUEVA</t>
  </si>
  <si>
    <t>I-RCA80-1927-2025</t>
  </si>
  <si>
    <t>COYOY CAHUEX, SERGIO</t>
  </si>
  <si>
    <t xml:space="preserve">OFICIO A CATASTRO DE CONSTRUCCIÓN INFORMAL </t>
  </si>
  <si>
    <t>1411-2026</t>
  </si>
  <si>
    <t xml:space="preserve">ALVARADO GONZÁLEZ, LEOPOLDO </t>
  </si>
  <si>
    <t>9 CALLE A, 0-41</t>
  </si>
  <si>
    <t xml:space="preserve">OFICIO A IUSI ACTUALIZANDO AREA DE CONSTRUCCIÓN </t>
  </si>
  <si>
    <t>CONDOMINIO LOS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</si>
</sst>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name val="ArialNarrow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5" fillId="6" borderId="7" applyProtection="0"/>
    <xf numFmtId="0" fontId="5" fillId="5" borderId="35" applyProtection="0"/>
    <xf numFmtId="0" fontId="32" fillId="0" borderId="0" applyNumberFormat="0" applyFill="0" applyBorder="0" applyAlignment="0" applyProtection="0"/>
  </cellStyleXfs>
  <cellXfs count="461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1" xfId="0" applyFont="1" applyBorder="1"/>
    <xf numFmtId="0" fontId="1" fillId="0" borderId="32" xfId="0" applyFont="1" applyBorder="1" applyAlignment="1">
      <alignment horizontal="center" vertical="center" wrapText="1"/>
    </xf>
    <xf numFmtId="0" fontId="0" fillId="0" borderId="7" xfId="0" applyBorder="1"/>
    <xf numFmtId="0" fontId="6" fillId="2" borderId="2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1" quotePrefix="1" applyFont="1" applyFill="1" applyAlignment="1">
      <alignment horizontal="center" vertical="center" wrapText="1"/>
    </xf>
    <xf numFmtId="14" fontId="6" fillId="2" borderId="24" xfId="0" applyNumberFormat="1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4" fontId="7" fillId="0" borderId="14" xfId="0" applyNumberFormat="1" applyFont="1" applyBorder="1" applyAlignment="1">
      <alignment horizontal="center" vertical="center"/>
    </xf>
    <xf numFmtId="14" fontId="7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8" fillId="0" borderId="15" xfId="1" quotePrefix="1" applyFont="1" applyFill="1" applyBorder="1" applyAlignment="1">
      <alignment horizontal="center" vertical="center" wrapText="1"/>
    </xf>
    <xf numFmtId="0" fontId="8" fillId="0" borderId="16" xfId="1" applyFont="1" applyFill="1" applyBorder="1" applyAlignment="1">
      <alignment horizontal="center" vertical="center" wrapText="1"/>
    </xf>
    <xf numFmtId="14" fontId="7" fillId="0" borderId="17" xfId="0" applyNumberFormat="1" applyFont="1" applyBorder="1" applyAlignment="1">
      <alignment horizontal="center" vertical="center"/>
    </xf>
    <xf numFmtId="0" fontId="8" fillId="0" borderId="18" xfId="1" applyFont="1" applyFill="1" applyBorder="1" applyAlignment="1">
      <alignment horizontal="center" vertical="center" wrapText="1"/>
    </xf>
    <xf numFmtId="0" fontId="8" fillId="0" borderId="18" xfId="2" applyFont="1" applyFill="1" applyBorder="1" applyAlignment="1">
      <alignment horizontal="center" vertical="center" wrapText="1"/>
    </xf>
    <xf numFmtId="14" fontId="7" fillId="0" borderId="19" xfId="0" applyNumberFormat="1" applyFont="1" applyBorder="1" applyAlignment="1">
      <alignment horizontal="center" vertical="center"/>
    </xf>
    <xf numFmtId="14" fontId="7" fillId="0" borderId="20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8" fillId="0" borderId="20" xfId="1" quotePrefix="1" applyFont="1" applyFill="1" applyBorder="1" applyAlignment="1">
      <alignment horizontal="center" vertical="center" wrapText="1"/>
    </xf>
    <xf numFmtId="0" fontId="8" fillId="0" borderId="21" xfId="1" applyFont="1" applyFill="1" applyBorder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14" fontId="7" fillId="0" borderId="17" xfId="0" applyNumberFormat="1" applyFont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4" fontId="7" fillId="0" borderId="17" xfId="0" quotePrefix="1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7" fillId="0" borderId="7" xfId="0" quotePrefix="1" applyNumberFormat="1" applyFont="1" applyBorder="1" applyAlignment="1">
      <alignment horizontal="center" vertical="center"/>
    </xf>
    <xf numFmtId="0" fontId="7" fillId="9" borderId="28" xfId="0" applyFont="1" applyFill="1" applyBorder="1" applyAlignment="1">
      <alignment horizontal="center" vertical="center"/>
    </xf>
    <xf numFmtId="14" fontId="7" fillId="9" borderId="17" xfId="0" applyNumberFormat="1" applyFont="1" applyFill="1" applyBorder="1" applyAlignment="1">
      <alignment horizontal="center" vertical="center"/>
    </xf>
    <xf numFmtId="14" fontId="7" fillId="9" borderId="7" xfId="0" applyNumberFormat="1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8" fillId="9" borderId="7" xfId="1" quotePrefix="1" applyFont="1" applyFill="1" applyAlignment="1">
      <alignment horizontal="center" vertical="center" wrapText="1"/>
    </xf>
    <xf numFmtId="0" fontId="8" fillId="9" borderId="18" xfId="1" applyFont="1" applyFill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14" fontId="7" fillId="0" borderId="37" xfId="0" applyNumberFormat="1" applyFont="1" applyBorder="1" applyAlignment="1">
      <alignment horizontal="center" vertical="center"/>
    </xf>
    <xf numFmtId="14" fontId="7" fillId="0" borderId="33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14" fontId="7" fillId="8" borderId="0" xfId="0" applyNumberFormat="1" applyFont="1" applyFill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14" fontId="11" fillId="2" borderId="24" xfId="0" applyNumberFormat="1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14" fontId="11" fillId="2" borderId="25" xfId="0" applyNumberFormat="1" applyFont="1" applyFill="1" applyBorder="1" applyAlignment="1">
      <alignment horizontal="center" vertical="center" wrapText="1"/>
    </xf>
    <xf numFmtId="14" fontId="11" fillId="2" borderId="36" xfId="0" applyNumberFormat="1" applyFont="1" applyFill="1" applyBorder="1" applyAlignment="1">
      <alignment horizontal="center" vertical="center" wrapText="1"/>
    </xf>
    <xf numFmtId="14" fontId="7" fillId="0" borderId="16" xfId="0" applyNumberFormat="1" applyFont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 wrapText="1"/>
    </xf>
    <xf numFmtId="14" fontId="7" fillId="9" borderId="18" xfId="0" applyNumberFormat="1" applyFont="1" applyFill="1" applyBorder="1" applyAlignment="1">
      <alignment horizontal="center" vertical="center"/>
    </xf>
    <xf numFmtId="0" fontId="7" fillId="0" borderId="18" xfId="0" quotePrefix="1" applyFont="1" applyBorder="1" applyAlignment="1">
      <alignment horizontal="center" vertical="center"/>
    </xf>
    <xf numFmtId="14" fontId="7" fillId="0" borderId="18" xfId="0" quotePrefix="1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4" fontId="7" fillId="0" borderId="21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8" borderId="0" xfId="0" applyFill="1" applyAlignment="1">
      <alignment vertical="center"/>
    </xf>
    <xf numFmtId="0" fontId="0" fillId="2" borderId="10" xfId="0" applyFill="1" applyBorder="1" applyAlignment="1">
      <alignment horizontal="center" vertical="center"/>
    </xf>
    <xf numFmtId="14" fontId="11" fillId="11" borderId="24" xfId="0" applyNumberFormat="1" applyFont="1" applyFill="1" applyBorder="1" applyAlignment="1">
      <alignment horizontal="center" vertical="center" wrapText="1"/>
    </xf>
    <xf numFmtId="0" fontId="11" fillId="11" borderId="25" xfId="0" applyFont="1" applyFill="1" applyBorder="1" applyAlignment="1">
      <alignment horizontal="center" vertical="center" wrapText="1"/>
    </xf>
    <xf numFmtId="14" fontId="11" fillId="11" borderId="25" xfId="0" applyNumberFormat="1" applyFont="1" applyFill="1" applyBorder="1" applyAlignment="1">
      <alignment horizontal="center" vertical="center" wrapText="1"/>
    </xf>
    <xf numFmtId="0" fontId="11" fillId="11" borderId="2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14" fontId="11" fillId="11" borderId="26" xfId="0" applyNumberFormat="1" applyFont="1" applyFill="1" applyBorder="1" applyAlignment="1">
      <alignment horizontal="center" vertical="center" wrapText="1"/>
    </xf>
    <xf numFmtId="14" fontId="11" fillId="11" borderId="36" xfId="0" applyNumberFormat="1" applyFont="1" applyFill="1" applyBorder="1" applyAlignment="1">
      <alignment horizontal="center" vertical="center" wrapText="1"/>
    </xf>
    <xf numFmtId="14" fontId="11" fillId="11" borderId="11" xfId="0" applyNumberFormat="1" applyFont="1" applyFill="1" applyBorder="1" applyAlignment="1">
      <alignment horizontal="center" vertical="center" wrapText="1"/>
    </xf>
    <xf numFmtId="0" fontId="11" fillId="11" borderId="24" xfId="0" applyFont="1" applyFill="1" applyBorder="1" applyAlignment="1">
      <alignment horizontal="center" vertical="center" wrapText="1"/>
    </xf>
    <xf numFmtId="0" fontId="0" fillId="12" borderId="0" xfId="0" applyFill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4" fontId="0" fillId="0" borderId="7" xfId="0" applyNumberFormat="1" applyBorder="1"/>
    <xf numFmtId="0" fontId="7" fillId="2" borderId="7" xfId="0" applyFont="1" applyFill="1" applyBorder="1" applyAlignment="1">
      <alignment horizontal="center" vertical="center"/>
    </xf>
    <xf numFmtId="0" fontId="8" fillId="2" borderId="7" xfId="1" quotePrefix="1" applyFont="1" applyFill="1" applyAlignment="1">
      <alignment horizontal="center" vertical="center" wrapText="1"/>
    </xf>
    <xf numFmtId="14" fontId="7" fillId="2" borderId="18" xfId="0" applyNumberFormat="1" applyFont="1" applyFill="1" applyBorder="1" applyAlignment="1">
      <alignment horizontal="center" vertical="center"/>
    </xf>
    <xf numFmtId="0" fontId="15" fillId="13" borderId="7" xfId="0" applyFont="1" applyFill="1" applyBorder="1"/>
    <xf numFmtId="14" fontId="15" fillId="13" borderId="7" xfId="0" applyNumberFormat="1" applyFont="1" applyFill="1" applyBorder="1"/>
    <xf numFmtId="0" fontId="1" fillId="4" borderId="7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4" borderId="7" xfId="0" applyFill="1" applyBorder="1"/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3" borderId="7" xfId="0" applyFill="1" applyBorder="1"/>
    <xf numFmtId="14" fontId="0" fillId="3" borderId="7" xfId="0" applyNumberFormat="1" applyFill="1" applyBorder="1"/>
    <xf numFmtId="0" fontId="7" fillId="0" borderId="10" xfId="0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/>
    </xf>
    <xf numFmtId="14" fontId="7" fillId="0" borderId="4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 wrapText="1"/>
    </xf>
    <xf numFmtId="0" fontId="8" fillId="14" borderId="7" xfId="1" quotePrefix="1" applyFont="1" applyFill="1" applyAlignment="1">
      <alignment horizontal="center" vertical="center" wrapText="1"/>
    </xf>
    <xf numFmtId="0" fontId="7" fillId="15" borderId="7" xfId="0" applyFont="1" applyFill="1" applyBorder="1" applyAlignment="1">
      <alignment horizontal="center" vertical="center" wrapText="1"/>
    </xf>
    <xf numFmtId="0" fontId="8" fillId="15" borderId="7" xfId="1" quotePrefix="1" applyFont="1" applyFill="1" applyAlignment="1">
      <alignment horizontal="center" vertical="center" wrapText="1"/>
    </xf>
    <xf numFmtId="0" fontId="7" fillId="14" borderId="30" xfId="0" applyFont="1" applyFill="1" applyBorder="1" applyAlignment="1">
      <alignment horizontal="center" vertical="center" wrapText="1"/>
    </xf>
    <xf numFmtId="14" fontId="7" fillId="15" borderId="10" xfId="0" applyNumberFormat="1" applyFont="1" applyFill="1" applyBorder="1" applyAlignment="1">
      <alignment horizontal="center" vertical="center" wrapText="1"/>
    </xf>
    <xf numFmtId="14" fontId="7" fillId="15" borderId="7" xfId="0" applyNumberFormat="1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14" fontId="11" fillId="11" borderId="41" xfId="0" applyNumberFormat="1" applyFont="1" applyFill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7" fillId="0" borderId="10" xfId="0" quotePrefix="1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14" fontId="7" fillId="0" borderId="3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 wrapText="1"/>
    </xf>
    <xf numFmtId="14" fontId="7" fillId="9" borderId="10" xfId="0" applyNumberFormat="1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7" fillId="2" borderId="10" xfId="0" applyNumberFormat="1" applyFont="1" applyFill="1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 wrapText="1"/>
    </xf>
    <xf numFmtId="14" fontId="7" fillId="2" borderId="17" xfId="0" applyNumberFormat="1" applyFont="1" applyFill="1" applyBorder="1" applyAlignment="1">
      <alignment horizontal="center" vertical="center"/>
    </xf>
    <xf numFmtId="0" fontId="8" fillId="2" borderId="18" xfId="2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8" fillId="0" borderId="7" xfId="1" applyFont="1" applyFill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14" fontId="7" fillId="0" borderId="39" xfId="0" applyNumberFormat="1" applyFont="1" applyBorder="1" applyAlignment="1">
      <alignment horizontal="center" vertical="center" wrapText="1"/>
    </xf>
    <xf numFmtId="14" fontId="7" fillId="0" borderId="15" xfId="0" applyNumberFormat="1" applyFont="1" applyBorder="1" applyAlignment="1">
      <alignment horizontal="center" vertical="center" wrapText="1"/>
    </xf>
    <xf numFmtId="14" fontId="7" fillId="0" borderId="42" xfId="0" applyNumberFormat="1" applyFont="1" applyBorder="1" applyAlignment="1">
      <alignment horizontal="center" vertical="center" wrapText="1"/>
    </xf>
    <xf numFmtId="14" fontId="7" fillId="15" borderId="8" xfId="0" applyNumberFormat="1" applyFont="1" applyFill="1" applyBorder="1" applyAlignment="1">
      <alignment horizontal="center" vertical="center" wrapText="1"/>
    </xf>
    <xf numFmtId="14" fontId="7" fillId="14" borderId="10" xfId="0" applyNumberFormat="1" applyFont="1" applyFill="1" applyBorder="1" applyAlignment="1">
      <alignment horizontal="center" vertical="center" wrapText="1"/>
    </xf>
    <xf numFmtId="14" fontId="7" fillId="14" borderId="7" xfId="0" applyNumberFormat="1" applyFont="1" applyFill="1" applyBorder="1" applyAlignment="1">
      <alignment horizontal="center" vertical="center" wrapText="1"/>
    </xf>
    <xf numFmtId="14" fontId="7" fillId="14" borderId="8" xfId="0" applyNumberFormat="1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14" fontId="7" fillId="0" borderId="10" xfId="0" quotePrefix="1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4" fontId="7" fillId="0" borderId="7" xfId="0" quotePrefix="1" applyNumberFormat="1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 wrapText="1"/>
    </xf>
    <xf numFmtId="14" fontId="7" fillId="15" borderId="10" xfId="0" quotePrefix="1" applyNumberFormat="1" applyFont="1" applyFill="1" applyBorder="1" applyAlignment="1">
      <alignment horizontal="center" vertical="center" wrapText="1"/>
    </xf>
    <xf numFmtId="0" fontId="7" fillId="15" borderId="7" xfId="0" quotePrefix="1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8" fillId="0" borderId="7" xfId="2" applyFont="1" applyFill="1" applyBorder="1" applyAlignment="1">
      <alignment horizontal="center" vertical="center" wrapText="1"/>
    </xf>
    <xf numFmtId="0" fontId="8" fillId="15" borderId="7" xfId="1" applyFont="1" applyFill="1" applyAlignment="1">
      <alignment horizontal="center" vertical="center" wrapText="1"/>
    </xf>
    <xf numFmtId="0" fontId="8" fillId="14" borderId="7" xfId="1" applyFont="1" applyFill="1" applyAlignment="1">
      <alignment horizontal="center" vertical="center" wrapText="1"/>
    </xf>
    <xf numFmtId="14" fontId="7" fillId="0" borderId="44" xfId="0" applyNumberFormat="1" applyFont="1" applyBorder="1" applyAlignment="1">
      <alignment horizontal="center" vertical="center" wrapText="1"/>
    </xf>
    <xf numFmtId="0" fontId="8" fillId="0" borderId="22" xfId="1" applyFont="1" applyFill="1" applyBorder="1" applyAlignment="1">
      <alignment horizontal="center" vertical="center" wrapText="1"/>
    </xf>
    <xf numFmtId="14" fontId="11" fillId="11" borderId="7" xfId="0" applyNumberFormat="1" applyFont="1" applyFill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15" borderId="8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11" fillId="11" borderId="41" xfId="0" applyFont="1" applyFill="1" applyBorder="1" applyAlignment="1">
      <alignment horizontal="center" vertical="center" wrapText="1"/>
    </xf>
    <xf numFmtId="14" fontId="7" fillId="0" borderId="2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9" borderId="28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0" fillId="8" borderId="0" xfId="0" applyFill="1" applyAlignment="1">
      <alignment wrapText="1"/>
    </xf>
    <xf numFmtId="0" fontId="0" fillId="0" borderId="0" xfId="0" applyAlignment="1">
      <alignment wrapText="1"/>
    </xf>
    <xf numFmtId="0" fontId="7" fillId="8" borderId="0" xfId="0" applyFont="1" applyFill="1" applyAlignment="1">
      <alignment horizontal="center" vertical="center" wrapText="1"/>
    </xf>
    <xf numFmtId="14" fontId="7" fillId="0" borderId="33" xfId="0" applyNumberFormat="1" applyFont="1" applyBorder="1" applyAlignment="1">
      <alignment horizontal="center" vertical="center" wrapText="1"/>
    </xf>
    <xf numFmtId="14" fontId="7" fillId="0" borderId="20" xfId="0" applyNumberFormat="1" applyFont="1" applyBorder="1" applyAlignment="1">
      <alignment horizontal="center" vertical="center" wrapText="1"/>
    </xf>
    <xf numFmtId="14" fontId="7" fillId="0" borderId="43" xfId="0" applyNumberFormat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7" fillId="0" borderId="4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4" fontId="7" fillId="0" borderId="48" xfId="0" applyNumberFormat="1" applyFont="1" applyBorder="1" applyAlignment="1">
      <alignment horizontal="center" vertical="center" wrapText="1"/>
    </xf>
    <xf numFmtId="14" fontId="7" fillId="0" borderId="37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11" fillId="11" borderId="50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14" fontId="7" fillId="0" borderId="52" xfId="0" applyNumberFormat="1" applyFont="1" applyBorder="1" applyAlignment="1">
      <alignment horizontal="center" vertical="center" wrapText="1"/>
    </xf>
    <xf numFmtId="0" fontId="8" fillId="0" borderId="22" xfId="1" quotePrefix="1" applyFont="1" applyFill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/>
    </xf>
    <xf numFmtId="0" fontId="0" fillId="18" borderId="0" xfId="0" applyFill="1"/>
    <xf numFmtId="0" fontId="7" fillId="2" borderId="28" xfId="0" applyFont="1" applyFill="1" applyBorder="1" applyAlignment="1">
      <alignment horizontal="center" vertical="center"/>
    </xf>
    <xf numFmtId="0" fontId="0" fillId="19" borderId="7" xfId="0" applyFill="1" applyBorder="1"/>
    <xf numFmtId="14" fontId="7" fillId="2" borderId="17" xfId="0" quotePrefix="1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4" fontId="7" fillId="2" borderId="7" xfId="0" quotePrefix="1" applyNumberFormat="1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 wrapText="1"/>
    </xf>
    <xf numFmtId="14" fontId="7" fillId="2" borderId="52" xfId="0" applyNumberFormat="1" applyFont="1" applyFill="1" applyBorder="1" applyAlignment="1">
      <alignment horizontal="center" vertical="center" wrapText="1"/>
    </xf>
    <xf numFmtId="14" fontId="7" fillId="2" borderId="22" xfId="0" applyNumberFormat="1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8" fillId="2" borderId="22" xfId="1" quotePrefix="1" applyFont="1" applyFill="1" applyBorder="1" applyAlignment="1">
      <alignment horizontal="center" vertical="center" wrapText="1"/>
    </xf>
    <xf numFmtId="14" fontId="7" fillId="2" borderId="44" xfId="0" applyNumberFormat="1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19" borderId="51" xfId="0" applyFont="1" applyFill="1" applyBorder="1" applyAlignment="1">
      <alignment horizontal="center" vertical="center" wrapText="1"/>
    </xf>
    <xf numFmtId="0" fontId="8" fillId="0" borderId="33" xfId="1" quotePrefix="1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14" fontId="7" fillId="0" borderId="53" xfId="0" applyNumberFormat="1" applyFont="1" applyBorder="1" applyAlignment="1">
      <alignment horizontal="center" vertical="center"/>
    </xf>
    <xf numFmtId="14" fontId="8" fillId="0" borderId="33" xfId="1" quotePrefix="1" applyNumberFormat="1" applyFont="1" applyFill="1" applyBorder="1" applyAlignment="1">
      <alignment horizontal="center" vertical="center" wrapText="1"/>
    </xf>
    <xf numFmtId="0" fontId="0" fillId="20" borderId="7" xfId="0" applyFill="1" applyBorder="1"/>
    <xf numFmtId="0" fontId="0" fillId="2" borderId="7" xfId="0" applyFill="1" applyBorder="1"/>
    <xf numFmtId="0" fontId="7" fillId="2" borderId="3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14" fontId="1" fillId="19" borderId="7" xfId="0" applyNumberFormat="1" applyFont="1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14" fontId="7" fillId="0" borderId="23" xfId="0" applyNumberFormat="1" applyFont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0" fillId="21" borderId="7" xfId="0" applyFill="1" applyBorder="1"/>
    <xf numFmtId="14" fontId="7" fillId="13" borderId="37" xfId="0" applyNumberFormat="1" applyFont="1" applyFill="1" applyBorder="1" applyAlignment="1">
      <alignment horizontal="center" vertical="center"/>
    </xf>
    <xf numFmtId="14" fontId="7" fillId="0" borderId="48" xfId="0" applyNumberFormat="1" applyFont="1" applyBorder="1" applyAlignment="1">
      <alignment horizontal="center" vertical="center"/>
    </xf>
    <xf numFmtId="14" fontId="7" fillId="2" borderId="33" xfId="0" applyNumberFormat="1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vertical="center"/>
    </xf>
    <xf numFmtId="14" fontId="15" fillId="13" borderId="7" xfId="0" applyNumberFormat="1" applyFont="1" applyFill="1" applyBorder="1" applyAlignment="1">
      <alignment vertical="center"/>
    </xf>
    <xf numFmtId="0" fontId="15" fillId="13" borderId="7" xfId="0" applyFont="1" applyFill="1" applyBorder="1" applyAlignment="1">
      <alignment vertical="center" wrapText="1"/>
    </xf>
    <xf numFmtId="14" fontId="7" fillId="22" borderId="37" xfId="0" applyNumberFormat="1" applyFont="1" applyFill="1" applyBorder="1" applyAlignment="1">
      <alignment horizontal="center" vertical="center"/>
    </xf>
    <xf numFmtId="14" fontId="7" fillId="23" borderId="33" xfId="0" applyNumberFormat="1" applyFont="1" applyFill="1" applyBorder="1" applyAlignment="1">
      <alignment horizontal="center" vertical="center"/>
    </xf>
    <xf numFmtId="0" fontId="7" fillId="23" borderId="33" xfId="0" applyFont="1" applyFill="1" applyBorder="1" applyAlignment="1">
      <alignment horizontal="center" vertical="center" wrapText="1"/>
    </xf>
    <xf numFmtId="0" fontId="8" fillId="23" borderId="33" xfId="1" quotePrefix="1" applyFont="1" applyFill="1" applyBorder="1" applyAlignment="1">
      <alignment horizontal="center" vertical="center" wrapText="1"/>
    </xf>
    <xf numFmtId="0" fontId="7" fillId="23" borderId="33" xfId="0" applyFont="1" applyFill="1" applyBorder="1" applyAlignment="1">
      <alignment horizontal="center" vertical="center"/>
    </xf>
    <xf numFmtId="0" fontId="8" fillId="23" borderId="22" xfId="1" quotePrefix="1" applyFont="1" applyFill="1" applyBorder="1" applyAlignment="1">
      <alignment horizontal="center" vertical="center" wrapText="1"/>
    </xf>
    <xf numFmtId="14" fontId="7" fillId="23" borderId="53" xfId="0" applyNumberFormat="1" applyFont="1" applyFill="1" applyBorder="1" applyAlignment="1">
      <alignment horizontal="center" vertical="center"/>
    </xf>
    <xf numFmtId="0" fontId="0" fillId="21" borderId="0" xfId="0" applyFill="1"/>
    <xf numFmtId="14" fontId="7" fillId="2" borderId="14" xfId="0" applyNumberFormat="1" applyFont="1" applyFill="1" applyBorder="1" applyAlignment="1">
      <alignment horizontal="center" vertical="center"/>
    </xf>
    <xf numFmtId="0" fontId="8" fillId="2" borderId="15" xfId="1" quotePrefix="1" applyFont="1" applyFill="1" applyBorder="1" applyAlignment="1">
      <alignment horizontal="center" vertical="center" wrapText="1"/>
    </xf>
    <xf numFmtId="14" fontId="7" fillId="2" borderId="16" xfId="0" applyNumberFormat="1" applyFont="1" applyFill="1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 vertical="center" wrapText="1"/>
    </xf>
    <xf numFmtId="14" fontId="7" fillId="2" borderId="17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4" fontId="7" fillId="2" borderId="18" xfId="0" applyNumberFormat="1" applyFont="1" applyFill="1" applyBorder="1" applyAlignment="1">
      <alignment horizontal="center" vertical="center" wrapText="1"/>
    </xf>
    <xf numFmtId="14" fontId="7" fillId="2" borderId="37" xfId="0" applyNumberFormat="1" applyFont="1" applyFill="1" applyBorder="1" applyAlignment="1">
      <alignment horizontal="center" vertical="center"/>
    </xf>
    <xf numFmtId="14" fontId="7" fillId="2" borderId="22" xfId="0" applyNumberFormat="1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8" fillId="2" borderId="33" xfId="1" quotePrefix="1" applyFont="1" applyFill="1" applyBorder="1" applyAlignment="1">
      <alignment horizontal="center" vertical="center" wrapText="1"/>
    </xf>
    <xf numFmtId="14" fontId="7" fillId="2" borderId="53" xfId="0" applyNumberFormat="1" applyFont="1" applyFill="1" applyBorder="1" applyAlignment="1">
      <alignment horizontal="center" vertical="center"/>
    </xf>
    <xf numFmtId="14" fontId="7" fillId="2" borderId="23" xfId="0" applyNumberFormat="1" applyFont="1" applyFill="1" applyBorder="1" applyAlignment="1">
      <alignment horizontal="center" vertical="center"/>
    </xf>
    <xf numFmtId="0" fontId="0" fillId="0" borderId="22" xfId="0" applyBorder="1"/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0" fillId="0" borderId="54" xfId="0" applyBorder="1"/>
    <xf numFmtId="0" fontId="0" fillId="0" borderId="23" xfId="0" applyBorder="1"/>
    <xf numFmtId="0" fontId="0" fillId="0" borderId="18" xfId="0" applyBorder="1"/>
    <xf numFmtId="0" fontId="0" fillId="21" borderId="22" xfId="0" applyFill="1" applyBorder="1"/>
    <xf numFmtId="0" fontId="1" fillId="0" borderId="26" xfId="0" applyFont="1" applyBorder="1" applyAlignment="1">
      <alignment horizontal="center" vertical="center"/>
    </xf>
    <xf numFmtId="0" fontId="0" fillId="21" borderId="23" xfId="0" applyFill="1" applyBorder="1"/>
    <xf numFmtId="0" fontId="0" fillId="19" borderId="18" xfId="0" applyFill="1" applyBorder="1"/>
    <xf numFmtId="0" fontId="0" fillId="21" borderId="18" xfId="0" applyFill="1" applyBorder="1"/>
    <xf numFmtId="0" fontId="1" fillId="0" borderId="47" xfId="0" applyFont="1" applyBorder="1" applyAlignment="1">
      <alignment horizontal="center" vertical="center"/>
    </xf>
    <xf numFmtId="0" fontId="0" fillId="0" borderId="30" xfId="0" applyBorder="1"/>
    <xf numFmtId="0" fontId="0" fillId="2" borderId="10" xfId="0" applyFill="1" applyBorder="1"/>
    <xf numFmtId="0" fontId="0" fillId="0" borderId="10" xfId="0" applyBorder="1"/>
    <xf numFmtId="0" fontId="1" fillId="0" borderId="36" xfId="0" applyFont="1" applyBorder="1" applyAlignment="1">
      <alignment horizontal="center" vertical="center"/>
    </xf>
    <xf numFmtId="0" fontId="0" fillId="0" borderId="51" xfId="0" applyBorder="1"/>
    <xf numFmtId="0" fontId="0" fillId="0" borderId="28" xfId="0" applyBorder="1"/>
    <xf numFmtId="0" fontId="0" fillId="21" borderId="30" xfId="0" applyFill="1" applyBorder="1"/>
    <xf numFmtId="0" fontId="0" fillId="19" borderId="10" xfId="0" applyFill="1" applyBorder="1"/>
    <xf numFmtId="0" fontId="0" fillId="21" borderId="10" xfId="0" applyFill="1" applyBorder="1"/>
    <xf numFmtId="0" fontId="0" fillId="21" borderId="51" xfId="0" applyFill="1" applyBorder="1"/>
    <xf numFmtId="0" fontId="0" fillId="21" borderId="28" xfId="0" applyFill="1" applyBorder="1"/>
    <xf numFmtId="14" fontId="7" fillId="2" borderId="46" xfId="0" applyNumberFormat="1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14" fontId="1" fillId="16" borderId="7" xfId="0" applyNumberFormat="1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 wrapText="1"/>
    </xf>
    <xf numFmtId="14" fontId="7" fillId="24" borderId="17" xfId="0" applyNumberFormat="1" applyFont="1" applyFill="1" applyBorder="1" applyAlignment="1">
      <alignment horizontal="center" vertical="center"/>
    </xf>
    <xf numFmtId="0" fontId="0" fillId="25" borderId="28" xfId="0" applyFill="1" applyBorder="1"/>
    <xf numFmtId="0" fontId="0" fillId="25" borderId="10" xfId="0" applyFill="1" applyBorder="1"/>
    <xf numFmtId="0" fontId="0" fillId="25" borderId="7" xfId="0" applyFill="1" applyBorder="1"/>
    <xf numFmtId="0" fontId="0" fillId="25" borderId="18" xfId="0" applyFill="1" applyBorder="1"/>
    <xf numFmtId="0" fontId="0" fillId="25" borderId="0" xfId="0" applyFill="1" applyAlignment="1">
      <alignment wrapText="1"/>
    </xf>
    <xf numFmtId="0" fontId="11" fillId="25" borderId="13" xfId="0" applyFont="1" applyFill="1" applyBorder="1" applyAlignment="1">
      <alignment horizontal="center" vertical="center" wrapText="1"/>
    </xf>
    <xf numFmtId="0" fontId="8" fillId="25" borderId="45" xfId="1" applyFont="1" applyFill="1" applyBorder="1" applyAlignment="1">
      <alignment horizontal="center" vertical="center" wrapText="1"/>
    </xf>
    <xf numFmtId="0" fontId="8" fillId="25" borderId="46" xfId="1" applyFont="1" applyFill="1" applyBorder="1" applyAlignment="1">
      <alignment horizontal="center" vertical="center" wrapText="1"/>
    </xf>
    <xf numFmtId="0" fontId="8" fillId="25" borderId="46" xfId="2" applyFont="1" applyFill="1" applyBorder="1" applyAlignment="1">
      <alignment horizontal="center" vertical="center" wrapText="1"/>
    </xf>
    <xf numFmtId="0" fontId="8" fillId="25" borderId="18" xfId="1" applyFont="1" applyFill="1" applyBorder="1" applyAlignment="1">
      <alignment horizontal="center" vertical="center" wrapText="1"/>
    </xf>
    <xf numFmtId="14" fontId="7" fillId="25" borderId="7" xfId="0" applyNumberFormat="1" applyFont="1" applyFill="1" applyBorder="1" applyAlignment="1">
      <alignment horizontal="center" vertical="center" wrapText="1"/>
    </xf>
    <xf numFmtId="0" fontId="11" fillId="25" borderId="26" xfId="0" applyFont="1" applyFill="1" applyBorder="1" applyAlignment="1">
      <alignment horizontal="center" vertical="center" wrapText="1"/>
    </xf>
    <xf numFmtId="0" fontId="8" fillId="25" borderId="23" xfId="1" applyFont="1" applyFill="1" applyBorder="1" applyAlignment="1">
      <alignment horizontal="center" vertical="center" wrapText="1"/>
    </xf>
    <xf numFmtId="0" fontId="8" fillId="25" borderId="21" xfId="1" applyFont="1" applyFill="1" applyBorder="1" applyAlignment="1">
      <alignment horizontal="center" vertical="center" wrapText="1"/>
    </xf>
    <xf numFmtId="14" fontId="7" fillId="2" borderId="48" xfId="0" applyNumberFormat="1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vertical="center"/>
    </xf>
    <xf numFmtId="14" fontId="7" fillId="27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18" xfId="0" applyFont="1" applyBorder="1"/>
    <xf numFmtId="0" fontId="0" fillId="0" borderId="7" xfId="0" applyBorder="1" applyAlignment="1">
      <alignment horizontal="left" vertical="center"/>
    </xf>
    <xf numFmtId="0" fontId="7" fillId="21" borderId="28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0" borderId="28" xfId="0" applyFill="1" applyBorder="1"/>
    <xf numFmtId="0" fontId="0" fillId="20" borderId="10" xfId="0" applyFill="1" applyBorder="1"/>
    <xf numFmtId="0" fontId="0" fillId="20" borderId="18" xfId="0" applyFill="1" applyBorder="1"/>
    <xf numFmtId="14" fontId="7" fillId="0" borderId="32" xfId="0" applyNumberFormat="1" applyFont="1" applyBorder="1" applyAlignment="1">
      <alignment horizontal="center" vertical="center"/>
    </xf>
    <xf numFmtId="0" fontId="21" fillId="25" borderId="23" xfId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14" fontId="6" fillId="2" borderId="7" xfId="0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 wrapText="1"/>
    </xf>
    <xf numFmtId="0" fontId="1" fillId="0" borderId="0" xfId="0" applyFont="1"/>
    <xf numFmtId="0" fontId="11" fillId="2" borderId="18" xfId="1" applyFont="1" applyFill="1" applyBorder="1" applyAlignment="1">
      <alignment horizontal="center" vertical="center" wrapText="1"/>
    </xf>
    <xf numFmtId="0" fontId="0" fillId="28" borderId="28" xfId="0" applyFill="1" applyBorder="1"/>
    <xf numFmtId="0" fontId="0" fillId="28" borderId="10" xfId="0" applyFill="1" applyBorder="1"/>
    <xf numFmtId="0" fontId="0" fillId="28" borderId="7" xfId="0" applyFill="1" applyBorder="1"/>
    <xf numFmtId="0" fontId="0" fillId="28" borderId="18" xfId="0" applyFill="1" applyBorder="1"/>
    <xf numFmtId="14" fontId="7" fillId="2" borderId="22" xfId="0" quotePrefix="1" applyNumberFormat="1" applyFont="1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 wrapText="1"/>
    </xf>
    <xf numFmtId="16" fontId="1" fillId="0" borderId="7" xfId="0" applyNumberFormat="1" applyFont="1" applyBorder="1" applyAlignment="1">
      <alignment horizontal="center" vertical="center"/>
    </xf>
    <xf numFmtId="14" fontId="7" fillId="2" borderId="10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29" borderId="28" xfId="0" applyFill="1" applyBorder="1"/>
    <xf numFmtId="0" fontId="0" fillId="29" borderId="10" xfId="0" applyFill="1" applyBorder="1"/>
    <xf numFmtId="0" fontId="0" fillId="29" borderId="7" xfId="0" applyFill="1" applyBorder="1"/>
    <xf numFmtId="0" fontId="0" fillId="29" borderId="18" xfId="0" applyFill="1" applyBorder="1"/>
    <xf numFmtId="0" fontId="0" fillId="13" borderId="7" xfId="0" applyFill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14" fontId="7" fillId="2" borderId="8" xfId="0" applyNumberFormat="1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4" fontId="29" fillId="0" borderId="7" xfId="0" applyNumberFormat="1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14" fontId="29" fillId="0" borderId="0" xfId="0" applyNumberFormat="1" applyFont="1" applyAlignment="1">
      <alignment horizontal="center" vertical="center" wrapText="1"/>
    </xf>
    <xf numFmtId="0" fontId="8" fillId="2" borderId="7" xfId="1" applyFont="1" applyFill="1" applyAlignment="1">
      <alignment horizontal="center" vertical="center" wrapText="1"/>
    </xf>
    <xf numFmtId="0" fontId="8" fillId="0" borderId="38" xfId="1" quotePrefix="1" applyFont="1" applyFill="1" applyBorder="1" applyAlignment="1">
      <alignment horizontal="center" vertical="center" wrapText="1"/>
    </xf>
    <xf numFmtId="0" fontId="30" fillId="0" borderId="0" xfId="0" applyFont="1"/>
    <xf numFmtId="14" fontId="7" fillId="2" borderId="38" xfId="0" applyNumberFormat="1" applyFont="1" applyFill="1" applyBorder="1" applyAlignment="1">
      <alignment horizontal="center" vertical="center"/>
    </xf>
    <xf numFmtId="14" fontId="7" fillId="2" borderId="55" xfId="0" applyNumberFormat="1" applyFont="1" applyFill="1" applyBorder="1" applyAlignment="1">
      <alignment horizontal="center" vertical="center"/>
    </xf>
    <xf numFmtId="14" fontId="7" fillId="26" borderId="5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7" xfId="0" quotePrefix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22" fillId="2" borderId="7" xfId="1" quotePrefix="1" applyFont="1" applyFill="1" applyAlignment="1">
      <alignment horizontal="center" vertical="center" wrapText="1"/>
    </xf>
    <xf numFmtId="14" fontId="0" fillId="2" borderId="7" xfId="0" applyNumberFormat="1" applyFill="1" applyBorder="1" applyAlignment="1">
      <alignment horizontal="center" vertical="center" wrapText="1"/>
    </xf>
    <xf numFmtId="0" fontId="22" fillId="2" borderId="18" xfId="1" applyFont="1" applyFill="1" applyBorder="1" applyAlignment="1">
      <alignment horizontal="center" vertical="center" wrapText="1"/>
    </xf>
    <xf numFmtId="14" fontId="0" fillId="2" borderId="7" xfId="0" quotePrefix="1" applyNumberFormat="1" applyFill="1" applyBorder="1" applyAlignment="1">
      <alignment horizontal="center" vertical="center" wrapText="1"/>
    </xf>
    <xf numFmtId="14" fontId="0" fillId="0" borderId="7" xfId="0" quotePrefix="1" applyNumberFormat="1" applyBorder="1" applyAlignment="1">
      <alignment horizontal="center" vertical="center" wrapText="1"/>
    </xf>
    <xf numFmtId="14" fontId="0" fillId="2" borderId="17" xfId="0" applyNumberFormat="1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11" fillId="11" borderId="31" xfId="0" applyNumberFormat="1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  <xf numFmtId="14" fontId="11" fillId="11" borderId="32" xfId="0" applyNumberFormat="1" applyFont="1" applyFill="1" applyBorder="1" applyAlignment="1">
      <alignment horizontal="center" vertical="center" wrapText="1"/>
    </xf>
    <xf numFmtId="14" fontId="11" fillId="11" borderId="56" xfId="0" applyNumberFormat="1" applyFont="1" applyFill="1" applyBorder="1" applyAlignment="1">
      <alignment horizontal="center" vertical="center" wrapText="1"/>
    </xf>
    <xf numFmtId="0" fontId="11" fillId="11" borderId="57" xfId="0" applyFont="1" applyFill="1" applyBorder="1" applyAlignment="1">
      <alignment horizontal="center" vertical="center" wrapText="1"/>
    </xf>
    <xf numFmtId="14" fontId="31" fillId="0" borderId="7" xfId="0" applyNumberFormat="1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22" fillId="0" borderId="7" xfId="1" applyFont="1" applyFill="1" applyAlignment="1">
      <alignment horizontal="center" vertical="center" wrapText="1"/>
    </xf>
    <xf numFmtId="14" fontId="35" fillId="0" borderId="7" xfId="0" applyNumberFormat="1" applyFont="1" applyBorder="1"/>
    <xf numFmtId="0" fontId="22" fillId="2" borderId="7" xfId="1" applyFont="1" applyFill="1" applyAlignment="1">
      <alignment horizontal="center" vertical="center" wrapText="1"/>
    </xf>
    <xf numFmtId="0" fontId="22" fillId="0" borderId="7" xfId="1" quotePrefix="1" applyFont="1" applyFill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14" fontId="22" fillId="0" borderId="7" xfId="1" quotePrefix="1" applyNumberFormat="1" applyFont="1" applyFill="1" applyAlignment="1">
      <alignment horizontal="center" vertical="center" wrapText="1"/>
    </xf>
    <xf numFmtId="14" fontId="33" fillId="0" borderId="7" xfId="3" applyNumberFormat="1" applyFont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8" fillId="2" borderId="50" xfId="1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28" fillId="10" borderId="11" xfId="0" applyFont="1" applyFill="1" applyBorder="1" applyAlignment="1">
      <alignment horizontal="center" vertical="center"/>
    </xf>
    <xf numFmtId="0" fontId="28" fillId="10" borderId="12" xfId="0" applyFont="1" applyFill="1" applyBorder="1" applyAlignment="1">
      <alignment horizontal="center" vertical="center"/>
    </xf>
    <xf numFmtId="0" fontId="28" fillId="10" borderId="13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left" vertical="center"/>
    </xf>
    <xf numFmtId="0" fontId="13" fillId="8" borderId="12" xfId="0" applyFont="1" applyFill="1" applyBorder="1" applyAlignment="1">
      <alignment horizontal="left" vertical="center"/>
    </xf>
    <xf numFmtId="0" fontId="13" fillId="8" borderId="13" xfId="0" applyFont="1" applyFill="1" applyBorder="1" applyAlignment="1">
      <alignment horizontal="left" vertical="center"/>
    </xf>
    <xf numFmtId="0" fontId="7" fillId="20" borderId="34" xfId="0" applyFont="1" applyFill="1" applyBorder="1" applyAlignment="1">
      <alignment horizontal="center" vertical="center"/>
    </xf>
    <xf numFmtId="0" fontId="7" fillId="20" borderId="51" xfId="0" applyFont="1" applyFill="1" applyBorder="1" applyAlignment="1">
      <alignment horizontal="center" vertical="center"/>
    </xf>
    <xf numFmtId="14" fontId="8" fillId="0" borderId="33" xfId="1" quotePrefix="1" applyNumberFormat="1" applyFont="1" applyFill="1" applyBorder="1" applyAlignment="1">
      <alignment horizontal="center" vertical="center" wrapText="1"/>
    </xf>
    <xf numFmtId="14" fontId="8" fillId="0" borderId="22" xfId="1" quotePrefix="1" applyNumberFormat="1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33" xfId="1" quotePrefix="1" applyFont="1" applyFill="1" applyBorder="1" applyAlignment="1">
      <alignment horizontal="center" vertical="center" wrapText="1"/>
    </xf>
    <xf numFmtId="0" fontId="8" fillId="0" borderId="22" xfId="1" quotePrefix="1" applyFont="1" applyFill="1" applyBorder="1" applyAlignment="1">
      <alignment horizontal="center" vertical="center" wrapText="1"/>
    </xf>
    <xf numFmtId="14" fontId="7" fillId="0" borderId="53" xfId="0" applyNumberFormat="1" applyFont="1" applyBorder="1" applyAlignment="1">
      <alignment horizontal="center" vertical="center"/>
    </xf>
    <xf numFmtId="14" fontId="7" fillId="0" borderId="2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7" fontId="1" fillId="0" borderId="33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11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1" fillId="11" borderId="41" xfId="0" applyFont="1" applyFill="1" applyBorder="1" applyAlignment="1">
      <alignment horizontal="center" vertical="center" wrapText="1"/>
    </xf>
    <xf numFmtId="0" fontId="11" fillId="11" borderId="4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 wrapText="1"/>
    </xf>
    <xf numFmtId="0" fontId="19" fillId="0" borderId="1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</cellXfs>
  <cellStyles count="4">
    <cellStyle name="ANTIGUA" xfId="1" xr:uid="{00000000-0005-0000-0000-000000000000}"/>
    <cellStyle name="Hipervínculo" xfId="3" builtinId="8"/>
    <cellStyle name="Normal" xfId="0" builtinId="0"/>
    <cellStyle name="PLAN REGULADOR" xfId="2" xr:uid="{00000000-0005-0000-0000-000002000000}"/>
  </cellStyles>
  <dxfs count="0"/>
  <tableStyles count="0" defaultTableStyle="TableStyleMedium2" defaultPivotStyle="PivotStyleLight16"/>
  <colors>
    <mruColors>
      <color rgb="FFFF99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Archivos/EXPEDIENTES/MAYO%20/19%20Mayo%2026%20Martes/ANTNM8-1160526/PROV_ANTNM8-1160526.pdf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1048522"/>
  <sheetViews>
    <sheetView zoomScale="140" zoomScaleNormal="140" workbookViewId="0">
      <pane ySplit="3" topLeftCell="A301" activePane="bottomLeft" state="frozen"/>
      <selection pane="bottomLeft" activeCell="S27" sqref="S27"/>
    </sheetView>
  </sheetViews>
  <sheetFormatPr baseColWidth="10" defaultColWidth="11.5" defaultRowHeight="15"/>
  <cols>
    <col min="1" max="1" width="5" style="169" customWidth="1"/>
    <col min="2" max="2" width="4.5" style="170" bestFit="1" customWidth="1"/>
    <col min="3" max="3" width="11.5" style="170" bestFit="1" customWidth="1"/>
    <col min="4" max="4" width="17" style="170" customWidth="1"/>
    <col min="5" max="5" width="15.5" style="170" customWidth="1"/>
    <col min="6" max="6" width="25" style="170" customWidth="1"/>
    <col min="7" max="7" width="24.1640625" style="170" customWidth="1"/>
    <col min="8" max="8" width="7.5" style="170" customWidth="1"/>
    <col min="9" max="9" width="12.5" style="170" customWidth="1"/>
    <col min="10" max="10" width="12.5" style="170" hidden="1" customWidth="1"/>
    <col min="11" max="11" width="11.83203125" style="170" bestFit="1" customWidth="1"/>
    <col min="12" max="12" width="16.33203125" style="170" customWidth="1"/>
    <col min="13" max="13" width="29" style="170" customWidth="1"/>
    <col min="14" max="14" width="14.83203125" style="170" customWidth="1"/>
    <col min="15" max="15" width="9.5" style="170" bestFit="1" customWidth="1"/>
    <col min="16" max="16" width="23.5" style="170" customWidth="1"/>
    <col min="17" max="17" width="19.1640625" style="170" customWidth="1"/>
    <col min="18" max="18" width="12.83203125" style="170" customWidth="1"/>
    <col min="19" max="19" width="36.6640625" style="170" bestFit="1" customWidth="1"/>
    <col min="20" max="20" width="30.5" style="279" customWidth="1"/>
    <col min="21" max="22" width="11.5" style="169"/>
    <col min="23" max="16384" width="11.5" style="170"/>
  </cols>
  <sheetData>
    <row r="1" spans="1:22" s="169" customFormat="1" ht="21.75" customHeight="1" thickBot="1">
      <c r="T1" s="279"/>
    </row>
    <row r="2" spans="1:22" ht="25" thickBot="1">
      <c r="B2" s="382" t="s">
        <v>365</v>
      </c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74"/>
      <c r="O2" s="374"/>
      <c r="P2" s="374"/>
      <c r="Q2" s="374"/>
      <c r="R2" s="374"/>
      <c r="S2" s="374"/>
      <c r="T2" s="384"/>
    </row>
    <row r="3" spans="1:22" s="36" customFormat="1" ht="31" thickBot="1">
      <c r="A3" s="171"/>
      <c r="B3" s="79" t="s">
        <v>12</v>
      </c>
      <c r="C3" s="79" t="s">
        <v>22</v>
      </c>
      <c r="D3" s="80" t="s">
        <v>14</v>
      </c>
      <c r="E3" s="80" t="s">
        <v>1102</v>
      </c>
      <c r="F3" s="80" t="s">
        <v>23</v>
      </c>
      <c r="G3" s="80" t="s">
        <v>24</v>
      </c>
      <c r="H3" s="80" t="s">
        <v>20</v>
      </c>
      <c r="I3" s="80" t="s">
        <v>25</v>
      </c>
      <c r="J3" s="80" t="s">
        <v>422</v>
      </c>
      <c r="K3" s="81" t="s">
        <v>26</v>
      </c>
      <c r="L3" s="81" t="s">
        <v>363</v>
      </c>
      <c r="M3" s="116" t="s">
        <v>485</v>
      </c>
      <c r="N3" s="184" t="s">
        <v>741</v>
      </c>
      <c r="O3" s="184" t="s">
        <v>537</v>
      </c>
      <c r="P3" s="159" t="s">
        <v>529</v>
      </c>
      <c r="Q3" s="159" t="s">
        <v>504</v>
      </c>
      <c r="R3" s="153" t="s">
        <v>490</v>
      </c>
      <c r="S3" s="153" t="s">
        <v>486</v>
      </c>
      <c r="T3" s="280" t="s">
        <v>530</v>
      </c>
      <c r="U3" s="171"/>
      <c r="V3" s="171"/>
    </row>
    <row r="4" spans="1:22" s="36" customFormat="1">
      <c r="A4" s="171"/>
      <c r="B4" s="166">
        <v>1</v>
      </c>
      <c r="C4" s="139">
        <v>44278</v>
      </c>
      <c r="D4" s="140" t="s">
        <v>366</v>
      </c>
      <c r="E4" s="140"/>
      <c r="F4" s="20" t="s">
        <v>367</v>
      </c>
      <c r="G4" s="20" t="s">
        <v>368</v>
      </c>
      <c r="H4" s="20" t="s">
        <v>17</v>
      </c>
      <c r="I4" s="21" t="s">
        <v>29</v>
      </c>
      <c r="J4" s="21"/>
      <c r="K4" s="140">
        <v>44417</v>
      </c>
      <c r="L4" s="140">
        <v>45295</v>
      </c>
      <c r="M4" s="141"/>
      <c r="N4" s="160"/>
      <c r="O4" s="160"/>
      <c r="P4" s="157"/>
      <c r="Q4" s="157"/>
      <c r="R4" s="160"/>
      <c r="S4" s="158" t="s">
        <v>369</v>
      </c>
      <c r="T4" s="281"/>
      <c r="U4" s="171"/>
      <c r="V4" s="171"/>
    </row>
    <row r="5" spans="1:22" s="36" customFormat="1">
      <c r="A5" s="171"/>
      <c r="B5" s="167">
        <v>2</v>
      </c>
      <c r="C5" s="127">
        <v>45156</v>
      </c>
      <c r="D5" s="35" t="s">
        <v>372</v>
      </c>
      <c r="E5" s="35"/>
      <c r="F5" s="14" t="s">
        <v>1344</v>
      </c>
      <c r="G5" s="14" t="s">
        <v>373</v>
      </c>
      <c r="H5" s="14">
        <v>8</v>
      </c>
      <c r="I5" s="9" t="s">
        <v>29</v>
      </c>
      <c r="J5" s="9"/>
      <c r="K5" s="35">
        <v>45211</v>
      </c>
      <c r="L5" s="35">
        <v>45295</v>
      </c>
      <c r="M5" s="117"/>
      <c r="N5" s="148"/>
      <c r="O5" s="148"/>
      <c r="P5" s="117"/>
      <c r="Q5" s="117"/>
      <c r="R5" s="148"/>
      <c r="S5" s="136" t="s">
        <v>374</v>
      </c>
      <c r="T5" s="282"/>
      <c r="U5" s="171"/>
      <c r="V5" s="171"/>
    </row>
    <row r="6" spans="1:22" s="36" customFormat="1" ht="30">
      <c r="A6" s="171"/>
      <c r="B6" s="167">
        <v>3</v>
      </c>
      <c r="C6" s="127">
        <v>44230</v>
      </c>
      <c r="D6" s="35" t="s">
        <v>307</v>
      </c>
      <c r="E6" s="35"/>
      <c r="F6" s="14" t="s">
        <v>375</v>
      </c>
      <c r="G6" s="54" t="s">
        <v>376</v>
      </c>
      <c r="H6" s="14">
        <v>5</v>
      </c>
      <c r="I6" s="9" t="s">
        <v>29</v>
      </c>
      <c r="J6" s="9"/>
      <c r="K6" s="35" t="s">
        <v>29</v>
      </c>
      <c r="L6" s="35">
        <v>45295</v>
      </c>
      <c r="M6" s="117"/>
      <c r="N6" s="148"/>
      <c r="O6" s="148"/>
      <c r="P6" s="117"/>
      <c r="Q6" s="117"/>
      <c r="R6" s="148"/>
      <c r="S6" s="154" t="s">
        <v>377</v>
      </c>
      <c r="T6" s="283"/>
      <c r="U6" s="171"/>
      <c r="V6" s="171"/>
    </row>
    <row r="7" spans="1:22" s="36" customFormat="1" ht="30">
      <c r="A7" s="171"/>
      <c r="B7" s="167">
        <v>4</v>
      </c>
      <c r="C7" s="127">
        <v>45288</v>
      </c>
      <c r="D7" s="35" t="s">
        <v>379</v>
      </c>
      <c r="E7" s="35"/>
      <c r="F7" s="14" t="s">
        <v>378</v>
      </c>
      <c r="G7" s="55" t="s">
        <v>380</v>
      </c>
      <c r="H7" s="14">
        <v>3</v>
      </c>
      <c r="I7" s="9" t="s">
        <v>29</v>
      </c>
      <c r="J7" s="9"/>
      <c r="K7" s="35">
        <v>44971</v>
      </c>
      <c r="L7" s="35">
        <v>45295</v>
      </c>
      <c r="M7" s="117"/>
      <c r="N7" s="148"/>
      <c r="O7" s="148"/>
      <c r="P7" s="117"/>
      <c r="Q7" s="117"/>
      <c r="R7" s="148"/>
      <c r="S7" s="136" t="s">
        <v>381</v>
      </c>
      <c r="T7" s="282"/>
      <c r="U7" s="171"/>
      <c r="V7" s="171"/>
    </row>
    <row r="8" spans="1:22" s="36" customFormat="1" ht="30">
      <c r="A8" s="171"/>
      <c r="B8" s="167">
        <v>5</v>
      </c>
      <c r="C8" s="113">
        <v>45211</v>
      </c>
      <c r="D8" s="114" t="s">
        <v>413</v>
      </c>
      <c r="E8" s="114"/>
      <c r="F8" s="110" t="s">
        <v>382</v>
      </c>
      <c r="G8" s="110" t="s">
        <v>384</v>
      </c>
      <c r="H8" s="110">
        <v>1</v>
      </c>
      <c r="I8" s="111" t="s">
        <v>29</v>
      </c>
      <c r="J8" s="111"/>
      <c r="K8" s="114">
        <v>45233</v>
      </c>
      <c r="L8" s="114">
        <v>45302</v>
      </c>
      <c r="M8" s="142"/>
      <c r="N8" s="161"/>
      <c r="O8" s="161"/>
      <c r="P8" s="142"/>
      <c r="Q8" s="142"/>
      <c r="R8" s="161"/>
      <c r="S8" s="155" t="s">
        <v>369</v>
      </c>
      <c r="T8" s="282"/>
      <c r="U8" s="171"/>
      <c r="V8" s="171"/>
    </row>
    <row r="9" spans="1:22" s="36" customFormat="1" ht="30">
      <c r="A9" s="171"/>
      <c r="B9" s="167">
        <v>6</v>
      </c>
      <c r="C9" s="143">
        <v>45168</v>
      </c>
      <c r="D9" s="144" t="s">
        <v>385</v>
      </c>
      <c r="E9" s="144"/>
      <c r="F9" s="108" t="s">
        <v>386</v>
      </c>
      <c r="G9" s="112" t="s">
        <v>387</v>
      </c>
      <c r="H9" s="108">
        <v>8</v>
      </c>
      <c r="I9" s="109" t="s">
        <v>29</v>
      </c>
      <c r="J9" s="109"/>
      <c r="K9" s="144">
        <v>45233</v>
      </c>
      <c r="L9" s="144">
        <v>45300</v>
      </c>
      <c r="M9" s="145"/>
      <c r="N9" s="162"/>
      <c r="O9" s="162"/>
      <c r="P9" s="145"/>
      <c r="Q9" s="145"/>
      <c r="R9" s="162"/>
      <c r="S9" s="156" t="s">
        <v>388</v>
      </c>
      <c r="T9" s="282"/>
      <c r="U9" s="171"/>
      <c r="V9" s="171"/>
    </row>
    <row r="10" spans="1:22" s="36" customFormat="1">
      <c r="A10" s="171"/>
      <c r="B10" s="167">
        <v>7</v>
      </c>
      <c r="C10" s="113">
        <v>45041</v>
      </c>
      <c r="D10" s="114" t="s">
        <v>415</v>
      </c>
      <c r="E10" s="114"/>
      <c r="F10" s="110" t="s">
        <v>389</v>
      </c>
      <c r="G10" s="111" t="s">
        <v>390</v>
      </c>
      <c r="H10" s="110">
        <v>5</v>
      </c>
      <c r="I10" s="115" t="s">
        <v>29</v>
      </c>
      <c r="J10" s="115"/>
      <c r="K10" s="114">
        <v>45233</v>
      </c>
      <c r="L10" s="114">
        <v>45302</v>
      </c>
      <c r="M10" s="142"/>
      <c r="N10" s="161"/>
      <c r="O10" s="161"/>
      <c r="P10" s="142"/>
      <c r="Q10" s="142"/>
      <c r="R10" s="161"/>
      <c r="S10" s="155" t="s">
        <v>369</v>
      </c>
      <c r="T10" s="282"/>
      <c r="U10" s="171"/>
      <c r="V10" s="171"/>
    </row>
    <row r="11" spans="1:22" s="36" customFormat="1">
      <c r="A11" s="171"/>
      <c r="B11" s="167">
        <v>8</v>
      </c>
      <c r="C11" s="113">
        <v>45215</v>
      </c>
      <c r="D11" s="114" t="s">
        <v>414</v>
      </c>
      <c r="E11" s="114"/>
      <c r="F11" s="110" t="s">
        <v>391</v>
      </c>
      <c r="G11" s="110" t="s">
        <v>392</v>
      </c>
      <c r="H11" s="110">
        <v>5</v>
      </c>
      <c r="I11" s="111" t="s">
        <v>28</v>
      </c>
      <c r="J11" s="111"/>
      <c r="K11" s="114">
        <v>45243</v>
      </c>
      <c r="L11" s="114">
        <v>45302</v>
      </c>
      <c r="M11" s="142"/>
      <c r="N11" s="161"/>
      <c r="O11" s="161"/>
      <c r="P11" s="142"/>
      <c r="Q11" s="142"/>
      <c r="R11" s="161"/>
      <c r="S11" s="155" t="s">
        <v>369</v>
      </c>
      <c r="T11" s="282"/>
      <c r="U11" s="171"/>
      <c r="V11" s="171"/>
    </row>
    <row r="12" spans="1:22" s="36" customFormat="1" ht="30">
      <c r="A12" s="171"/>
      <c r="B12" s="167">
        <v>9</v>
      </c>
      <c r="C12" s="127">
        <v>45288</v>
      </c>
      <c r="D12" s="35" t="s">
        <v>393</v>
      </c>
      <c r="E12" s="35"/>
      <c r="F12" s="14" t="s">
        <v>394</v>
      </c>
      <c r="G12" s="104" t="s">
        <v>395</v>
      </c>
      <c r="H12" s="14">
        <v>1</v>
      </c>
      <c r="I12" s="9" t="s">
        <v>29</v>
      </c>
      <c r="J12" s="9"/>
      <c r="K12" s="35">
        <v>45300</v>
      </c>
      <c r="L12" s="35">
        <v>45300</v>
      </c>
      <c r="M12" s="117"/>
      <c r="N12" s="148"/>
      <c r="O12" s="148"/>
      <c r="P12" s="117"/>
      <c r="Q12" s="117"/>
      <c r="R12" s="148"/>
      <c r="S12" s="136" t="s">
        <v>404</v>
      </c>
      <c r="T12" s="282"/>
      <c r="U12" s="171"/>
      <c r="V12" s="171"/>
    </row>
    <row r="13" spans="1:22" s="36" customFormat="1">
      <c r="A13" s="171"/>
      <c r="B13" s="167">
        <v>10</v>
      </c>
      <c r="C13" s="113">
        <v>45280</v>
      </c>
      <c r="D13" s="113" t="s">
        <v>401</v>
      </c>
      <c r="E13" s="113"/>
      <c r="F13" s="110" t="s">
        <v>402</v>
      </c>
      <c r="G13" s="146" t="s">
        <v>403</v>
      </c>
      <c r="H13" s="110">
        <v>4</v>
      </c>
      <c r="I13" s="111" t="s">
        <v>29</v>
      </c>
      <c r="J13" s="111"/>
      <c r="K13" s="114">
        <v>45300</v>
      </c>
      <c r="L13" s="114">
        <v>45302</v>
      </c>
      <c r="M13" s="142"/>
      <c r="N13" s="161"/>
      <c r="O13" s="161"/>
      <c r="P13" s="142"/>
      <c r="Q13" s="142"/>
      <c r="R13" s="161"/>
      <c r="S13" s="155" t="s">
        <v>405</v>
      </c>
      <c r="T13" s="282"/>
      <c r="U13" s="171"/>
      <c r="V13" s="171"/>
    </row>
    <row r="14" spans="1:22" s="36" customFormat="1" ht="30">
      <c r="A14" s="171"/>
      <c r="B14" s="167">
        <v>11</v>
      </c>
      <c r="C14" s="113" t="s">
        <v>29</v>
      </c>
      <c r="D14" s="114" t="s">
        <v>406</v>
      </c>
      <c r="E14" s="114"/>
      <c r="F14" s="110" t="s">
        <v>407</v>
      </c>
      <c r="G14" s="110" t="s">
        <v>408</v>
      </c>
      <c r="H14" s="110">
        <v>5</v>
      </c>
      <c r="I14" s="111" t="s">
        <v>29</v>
      </c>
      <c r="J14" s="111"/>
      <c r="K14" s="114" t="s">
        <v>29</v>
      </c>
      <c r="L14" s="114">
        <v>45302</v>
      </c>
      <c r="M14" s="142"/>
      <c r="N14" s="161"/>
      <c r="O14" s="161"/>
      <c r="P14" s="142"/>
      <c r="Q14" s="142"/>
      <c r="R14" s="161"/>
      <c r="S14" s="155" t="s">
        <v>400</v>
      </c>
      <c r="T14" s="282"/>
      <c r="U14" s="171"/>
      <c r="V14" s="171"/>
    </row>
    <row r="15" spans="1:22" s="36" customFormat="1" ht="30">
      <c r="A15" s="171"/>
      <c r="B15" s="167">
        <v>12</v>
      </c>
      <c r="C15" s="113">
        <v>45294</v>
      </c>
      <c r="D15" s="113" t="s">
        <v>409</v>
      </c>
      <c r="E15" s="113"/>
      <c r="F15" s="110" t="s">
        <v>410</v>
      </c>
      <c r="G15" s="111" t="s">
        <v>411</v>
      </c>
      <c r="H15" s="110">
        <v>3</v>
      </c>
      <c r="I15" s="110" t="s">
        <v>29</v>
      </c>
      <c r="J15" s="110"/>
      <c r="K15" s="114">
        <v>45300</v>
      </c>
      <c r="L15" s="114">
        <v>45302</v>
      </c>
      <c r="M15" s="142"/>
      <c r="N15" s="161"/>
      <c r="O15" s="161"/>
      <c r="P15" s="142"/>
      <c r="Q15" s="142"/>
      <c r="R15" s="161"/>
      <c r="S15" s="155" t="s">
        <v>421</v>
      </c>
      <c r="T15" s="282"/>
      <c r="U15" s="171"/>
      <c r="V15" s="171"/>
    </row>
    <row r="16" spans="1:22" s="36" customFormat="1">
      <c r="A16" s="171"/>
      <c r="B16" s="167">
        <v>13</v>
      </c>
      <c r="C16" s="147" t="s">
        <v>412</v>
      </c>
      <c r="D16" s="35" t="s">
        <v>16</v>
      </c>
      <c r="E16" s="35"/>
      <c r="F16" s="14" t="s">
        <v>416</v>
      </c>
      <c r="G16" s="9" t="s">
        <v>417</v>
      </c>
      <c r="H16" s="148">
        <v>11</v>
      </c>
      <c r="I16" s="149" t="s">
        <v>29</v>
      </c>
      <c r="J16" s="150"/>
      <c r="K16" s="35">
        <v>45243</v>
      </c>
      <c r="L16" s="35"/>
      <c r="M16" s="117"/>
      <c r="N16" s="148"/>
      <c r="O16" s="148"/>
      <c r="P16" s="117"/>
      <c r="Q16" s="117"/>
      <c r="R16" s="148"/>
      <c r="S16" s="136"/>
      <c r="T16" s="282"/>
      <c r="U16" s="171"/>
      <c r="V16" s="171"/>
    </row>
    <row r="17" spans="1:22" s="36" customFormat="1" ht="30">
      <c r="A17" s="171"/>
      <c r="B17" s="167">
        <v>14</v>
      </c>
      <c r="C17" s="151" t="s">
        <v>29</v>
      </c>
      <c r="D17" s="114" t="s">
        <v>216</v>
      </c>
      <c r="E17" s="114"/>
      <c r="F17" s="110" t="s">
        <v>218</v>
      </c>
      <c r="G17" s="110" t="s">
        <v>418</v>
      </c>
      <c r="H17" s="110" t="s">
        <v>419</v>
      </c>
      <c r="I17" s="115" t="s">
        <v>29</v>
      </c>
      <c r="J17" s="115"/>
      <c r="K17" s="152" t="s">
        <v>29</v>
      </c>
      <c r="L17" s="114">
        <v>45302</v>
      </c>
      <c r="M17" s="142"/>
      <c r="N17" s="161"/>
      <c r="O17" s="161"/>
      <c r="P17" s="142"/>
      <c r="Q17" s="142"/>
      <c r="R17" s="161"/>
      <c r="S17" s="155" t="s">
        <v>420</v>
      </c>
      <c r="T17" s="282"/>
      <c r="U17" s="171"/>
      <c r="V17" s="171"/>
    </row>
    <row r="18" spans="1:22" s="36" customFormat="1" ht="14">
      <c r="A18" s="171"/>
      <c r="B18" s="167">
        <v>15</v>
      </c>
      <c r="C18" s="147"/>
      <c r="D18" s="35"/>
      <c r="E18" s="35"/>
      <c r="F18" s="14"/>
      <c r="G18" s="14"/>
      <c r="H18" s="14"/>
      <c r="I18" s="14"/>
      <c r="J18" s="14"/>
      <c r="K18" s="149"/>
      <c r="L18" s="35"/>
      <c r="M18" s="117"/>
      <c r="N18" s="148"/>
      <c r="O18" s="148"/>
      <c r="P18" s="117"/>
      <c r="Q18" s="117"/>
      <c r="R18" s="148"/>
      <c r="S18" s="117"/>
      <c r="T18" s="284"/>
      <c r="U18" s="171"/>
      <c r="V18" s="171"/>
    </row>
    <row r="19" spans="1:22" s="36" customFormat="1" ht="14">
      <c r="A19" s="171"/>
      <c r="B19" s="167">
        <v>16</v>
      </c>
      <c r="C19" s="127"/>
      <c r="D19" s="35"/>
      <c r="E19" s="35"/>
      <c r="F19" s="14"/>
      <c r="G19" s="57"/>
      <c r="H19" s="14"/>
      <c r="I19" s="14"/>
      <c r="J19" s="14"/>
      <c r="K19" s="35"/>
      <c r="L19" s="35"/>
      <c r="M19" s="117"/>
      <c r="N19" s="148"/>
      <c r="O19" s="148"/>
      <c r="P19" s="117"/>
      <c r="Q19" s="117"/>
      <c r="R19" s="148"/>
      <c r="S19" s="117"/>
      <c r="T19" s="284"/>
      <c r="U19" s="171"/>
      <c r="V19" s="171"/>
    </row>
    <row r="20" spans="1:22" s="36" customFormat="1" ht="30">
      <c r="A20" s="171"/>
      <c r="B20" s="167">
        <v>17</v>
      </c>
      <c r="C20" s="127">
        <v>45247</v>
      </c>
      <c r="D20" s="35" t="s">
        <v>482</v>
      </c>
      <c r="E20" s="35" t="s">
        <v>488</v>
      </c>
      <c r="F20" s="14" t="s">
        <v>483</v>
      </c>
      <c r="G20" s="14" t="s">
        <v>484</v>
      </c>
      <c r="H20" s="14">
        <v>1</v>
      </c>
      <c r="I20" s="9" t="s">
        <v>29</v>
      </c>
      <c r="J20" s="14">
        <v>52525090</v>
      </c>
      <c r="K20" s="35">
        <v>45280</v>
      </c>
      <c r="L20" s="136"/>
      <c r="M20" s="35" t="s">
        <v>487</v>
      </c>
      <c r="N20" s="14"/>
      <c r="O20" s="14"/>
      <c r="P20" s="136" t="s">
        <v>489</v>
      </c>
      <c r="Q20" s="136" t="s">
        <v>505</v>
      </c>
      <c r="R20" s="136">
        <v>66.84</v>
      </c>
      <c r="S20" s="138" t="e">
        <f>'INFORME '!#REF!</f>
        <v>#REF!</v>
      </c>
      <c r="T20" s="284" t="s">
        <v>488</v>
      </c>
      <c r="U20" s="171"/>
      <c r="V20" s="171"/>
    </row>
    <row r="21" spans="1:22" s="36" customFormat="1" ht="14">
      <c r="A21" s="171"/>
      <c r="B21" s="167">
        <v>18</v>
      </c>
      <c r="C21" s="127"/>
      <c r="D21" s="35"/>
      <c r="E21" s="35"/>
      <c r="F21" s="54"/>
      <c r="G21" s="9"/>
      <c r="H21" s="14"/>
      <c r="I21" s="14"/>
      <c r="J21" s="14"/>
      <c r="K21" s="14"/>
      <c r="L21" s="35"/>
      <c r="M21" s="117"/>
      <c r="N21" s="148"/>
      <c r="O21" s="148"/>
      <c r="P21" s="117"/>
      <c r="Q21" s="117"/>
      <c r="R21" s="148"/>
      <c r="S21" s="117"/>
      <c r="T21" s="284"/>
      <c r="U21" s="171"/>
      <c r="V21" s="171"/>
    </row>
    <row r="22" spans="1:22" s="36" customFormat="1" ht="14">
      <c r="A22" s="171"/>
      <c r="B22" s="167">
        <v>19</v>
      </c>
      <c r="C22" s="127"/>
      <c r="D22" s="35"/>
      <c r="E22" s="35"/>
      <c r="F22" s="54"/>
      <c r="G22" s="9"/>
      <c r="H22" s="14"/>
      <c r="I22" s="14"/>
      <c r="J22" s="14"/>
      <c r="K22" s="14"/>
      <c r="L22" s="35"/>
      <c r="M22" s="117"/>
      <c r="N22" s="148"/>
      <c r="O22" s="148"/>
      <c r="P22" s="117"/>
      <c r="Q22" s="117"/>
      <c r="R22" s="148"/>
      <c r="S22" s="117"/>
      <c r="T22" s="284"/>
      <c r="U22" s="171"/>
      <c r="V22" s="171"/>
    </row>
    <row r="23" spans="1:22" s="36" customFormat="1" ht="14">
      <c r="A23" s="171"/>
      <c r="B23" s="167">
        <v>20</v>
      </c>
      <c r="C23" s="127"/>
      <c r="D23" s="35"/>
      <c r="E23" s="35"/>
      <c r="F23" s="54"/>
      <c r="G23" s="9"/>
      <c r="H23" s="14"/>
      <c r="I23" s="14"/>
      <c r="J23" s="14"/>
      <c r="K23" s="14"/>
      <c r="L23" s="35"/>
      <c r="M23" s="117"/>
      <c r="N23" s="148"/>
      <c r="O23" s="148"/>
      <c r="P23" s="117"/>
      <c r="Q23" s="117"/>
      <c r="R23" s="148"/>
      <c r="S23" s="117"/>
      <c r="T23" s="284"/>
      <c r="U23" s="171"/>
      <c r="V23" s="171"/>
    </row>
    <row r="24" spans="1:22" s="36" customFormat="1" ht="14">
      <c r="A24" s="171"/>
      <c r="B24" s="167">
        <v>21</v>
      </c>
      <c r="C24" s="127" t="e">
        <f>'INFORME '!#REF!</f>
        <v>#REF!</v>
      </c>
      <c r="D24" s="35" t="e">
        <f>'INFORME '!#REF!</f>
        <v>#REF!</v>
      </c>
      <c r="E24" s="35"/>
      <c r="F24" s="14" t="e">
        <f>'INFORME '!#REF!</f>
        <v>#REF!</v>
      </c>
      <c r="G24" s="14" t="e">
        <f>'INFORME '!#REF!</f>
        <v>#REF!</v>
      </c>
      <c r="H24" s="14" t="e">
        <f>'INFORME '!#REF!</f>
        <v>#REF!</v>
      </c>
      <c r="I24" s="9" t="e">
        <f>'INFORME '!#REF!</f>
        <v>#REF!</v>
      </c>
      <c r="J24" s="9"/>
      <c r="K24" s="35" t="e">
        <f>'INFORME '!#REF!</f>
        <v>#REF!</v>
      </c>
      <c r="L24" s="35" t="e">
        <f>'INFORME '!#REF!</f>
        <v>#REF!</v>
      </c>
      <c r="M24" s="117"/>
      <c r="N24" s="148"/>
      <c r="O24" s="148"/>
      <c r="P24" s="117"/>
      <c r="Q24" s="117"/>
      <c r="R24" s="148"/>
      <c r="S24" s="117" t="e">
        <f>'INFORME '!#REF!</f>
        <v>#REF!</v>
      </c>
      <c r="T24" s="284"/>
      <c r="U24" s="171"/>
      <c r="V24" s="171"/>
    </row>
    <row r="25" spans="1:22" s="36" customFormat="1" ht="14">
      <c r="A25" s="171"/>
      <c r="B25" s="167">
        <v>22</v>
      </c>
      <c r="C25" s="127" t="e">
        <f>'INFORME '!#REF!</f>
        <v>#REF!</v>
      </c>
      <c r="D25" s="35" t="e">
        <f>'INFORME '!#REF!</f>
        <v>#REF!</v>
      </c>
      <c r="E25" s="35"/>
      <c r="F25" s="14" t="e">
        <f>'INFORME '!#REF!</f>
        <v>#REF!</v>
      </c>
      <c r="G25" s="14" t="e">
        <f>'INFORME '!#REF!</f>
        <v>#REF!</v>
      </c>
      <c r="H25" s="14" t="e">
        <f>'INFORME '!#REF!</f>
        <v>#REF!</v>
      </c>
      <c r="I25" s="9" t="e">
        <f>'INFORME '!#REF!</f>
        <v>#REF!</v>
      </c>
      <c r="J25" s="9"/>
      <c r="K25" s="35" t="e">
        <f>'INFORME '!#REF!</f>
        <v>#REF!</v>
      </c>
      <c r="L25" s="35" t="e">
        <f>'INFORME '!#REF!</f>
        <v>#REF!</v>
      </c>
      <c r="M25" s="117"/>
      <c r="N25" s="148"/>
      <c r="O25" s="148"/>
      <c r="P25" s="117"/>
      <c r="Q25" s="117"/>
      <c r="R25" s="148"/>
      <c r="S25" s="117" t="e">
        <f>'INFORME '!#REF!</f>
        <v>#REF!</v>
      </c>
      <c r="T25" s="284"/>
      <c r="U25" s="171"/>
      <c r="V25" s="171"/>
    </row>
    <row r="26" spans="1:22" s="36" customFormat="1" ht="14">
      <c r="A26" s="171"/>
      <c r="B26" s="167">
        <v>23</v>
      </c>
      <c r="C26" s="127" t="e">
        <f>'INFORME '!#REF!</f>
        <v>#REF!</v>
      </c>
      <c r="D26" s="35" t="e">
        <f>'INFORME '!#REF!</f>
        <v>#REF!</v>
      </c>
      <c r="E26" s="35"/>
      <c r="F26" s="14" t="e">
        <f>'INFORME '!#REF!</f>
        <v>#REF!</v>
      </c>
      <c r="G26" s="14" t="e">
        <f>'INFORME '!#REF!</f>
        <v>#REF!</v>
      </c>
      <c r="H26" s="14" t="e">
        <f>'INFORME '!#REF!</f>
        <v>#REF!</v>
      </c>
      <c r="I26" s="9" t="e">
        <f>'INFORME '!#REF!</f>
        <v>#REF!</v>
      </c>
      <c r="J26" s="9"/>
      <c r="K26" s="35" t="e">
        <f>'INFORME '!#REF!</f>
        <v>#REF!</v>
      </c>
      <c r="L26" s="35" t="e">
        <f>'INFORME '!#REF!</f>
        <v>#REF!</v>
      </c>
      <c r="M26" s="117"/>
      <c r="N26" s="148"/>
      <c r="O26" s="148"/>
      <c r="P26" s="117"/>
      <c r="Q26" s="117"/>
      <c r="R26" s="148"/>
      <c r="S26" s="117" t="e">
        <f>'INFORME '!#REF!</f>
        <v>#REF!</v>
      </c>
      <c r="T26" s="284"/>
      <c r="U26" s="171"/>
      <c r="V26" s="171"/>
    </row>
    <row r="27" spans="1:22" s="36" customFormat="1" ht="14">
      <c r="A27" s="171"/>
      <c r="B27" s="167">
        <v>24</v>
      </c>
      <c r="C27" s="127" t="e">
        <f>'INFORME '!#REF!</f>
        <v>#REF!</v>
      </c>
      <c r="D27" s="35" t="e">
        <f>'INFORME '!#REF!</f>
        <v>#REF!</v>
      </c>
      <c r="E27" s="35"/>
      <c r="F27" s="14" t="e">
        <f>'INFORME '!#REF!</f>
        <v>#REF!</v>
      </c>
      <c r="G27" s="14" t="e">
        <f>'INFORME '!#REF!</f>
        <v>#REF!</v>
      </c>
      <c r="H27" s="14" t="e">
        <f>'INFORME '!#REF!</f>
        <v>#REF!</v>
      </c>
      <c r="I27" s="9" t="e">
        <f>'INFORME '!#REF!</f>
        <v>#REF!</v>
      </c>
      <c r="J27" s="9"/>
      <c r="K27" s="35" t="e">
        <f>'INFORME '!#REF!</f>
        <v>#REF!</v>
      </c>
      <c r="L27" s="35" t="e">
        <f>'INFORME '!#REF!</f>
        <v>#REF!</v>
      </c>
      <c r="M27" s="117"/>
      <c r="N27" s="148"/>
      <c r="O27" s="148"/>
      <c r="P27" s="117"/>
      <c r="Q27" s="117"/>
      <c r="R27" s="148"/>
      <c r="S27" s="117" t="e">
        <f>'INFORME '!#REF!</f>
        <v>#REF!</v>
      </c>
      <c r="T27" s="284"/>
      <c r="U27" s="171"/>
      <c r="V27" s="171"/>
    </row>
    <row r="28" spans="1:22" s="36" customFormat="1" ht="14">
      <c r="A28" s="171"/>
      <c r="B28" s="167">
        <v>25</v>
      </c>
      <c r="C28" s="127" t="e">
        <f>'INFORME '!#REF!</f>
        <v>#REF!</v>
      </c>
      <c r="D28" s="35" t="e">
        <f>'INFORME '!#REF!</f>
        <v>#REF!</v>
      </c>
      <c r="E28" s="35"/>
      <c r="F28" s="14" t="e">
        <f>'INFORME '!#REF!</f>
        <v>#REF!</v>
      </c>
      <c r="G28" s="14" t="e">
        <f>'INFORME '!#REF!</f>
        <v>#REF!</v>
      </c>
      <c r="H28" s="14" t="e">
        <f>'INFORME '!#REF!</f>
        <v>#REF!</v>
      </c>
      <c r="I28" s="9" t="e">
        <f>'INFORME '!#REF!</f>
        <v>#REF!</v>
      </c>
      <c r="J28" s="9"/>
      <c r="K28" s="35" t="e">
        <f>'INFORME '!#REF!</f>
        <v>#REF!</v>
      </c>
      <c r="L28" s="35" t="e">
        <f>'INFORME '!#REF!</f>
        <v>#REF!</v>
      </c>
      <c r="M28" s="117"/>
      <c r="N28" s="148"/>
      <c r="O28" s="148"/>
      <c r="P28" s="117"/>
      <c r="Q28" s="117"/>
      <c r="R28" s="148"/>
      <c r="S28" s="117" t="e">
        <f>'INFORME '!#REF!</f>
        <v>#REF!</v>
      </c>
      <c r="T28" s="284"/>
      <c r="U28" s="171"/>
      <c r="V28" s="171"/>
    </row>
    <row r="29" spans="1:22" s="36" customFormat="1" ht="14">
      <c r="A29" s="171"/>
      <c r="B29" s="167">
        <v>26</v>
      </c>
      <c r="C29" s="127" t="e">
        <f>'INFORME '!#REF!</f>
        <v>#REF!</v>
      </c>
      <c r="D29" s="35" t="e">
        <f>'INFORME '!#REF!</f>
        <v>#REF!</v>
      </c>
      <c r="E29" s="35"/>
      <c r="F29" s="14" t="e">
        <f>'INFORME '!#REF!</f>
        <v>#REF!</v>
      </c>
      <c r="G29" s="14" t="e">
        <f>'INFORME '!#REF!</f>
        <v>#REF!</v>
      </c>
      <c r="H29" s="14" t="e">
        <f>'INFORME '!#REF!</f>
        <v>#REF!</v>
      </c>
      <c r="I29" s="9" t="e">
        <f>'INFORME '!#REF!</f>
        <v>#REF!</v>
      </c>
      <c r="J29" s="9"/>
      <c r="K29" s="35" t="e">
        <f>'INFORME '!#REF!</f>
        <v>#REF!</v>
      </c>
      <c r="L29" s="35" t="e">
        <f>'INFORME '!#REF!</f>
        <v>#REF!</v>
      </c>
      <c r="M29" s="117"/>
      <c r="N29" s="148"/>
      <c r="O29" s="148"/>
      <c r="P29" s="117"/>
      <c r="Q29" s="117"/>
      <c r="R29" s="148"/>
      <c r="S29" s="117" t="e">
        <f>'INFORME '!#REF!</f>
        <v>#REF!</v>
      </c>
      <c r="T29" s="284"/>
      <c r="U29" s="171"/>
      <c r="V29" s="171"/>
    </row>
    <row r="30" spans="1:22" s="36" customFormat="1" ht="14">
      <c r="A30" s="171"/>
      <c r="B30" s="167">
        <v>27</v>
      </c>
      <c r="C30" s="127" t="e">
        <f>'INFORME '!#REF!</f>
        <v>#REF!</v>
      </c>
      <c r="D30" s="35" t="e">
        <f>'INFORME '!#REF!</f>
        <v>#REF!</v>
      </c>
      <c r="E30" s="35"/>
      <c r="F30" s="14" t="e">
        <f>'INFORME '!#REF!</f>
        <v>#REF!</v>
      </c>
      <c r="G30" s="14" t="e">
        <f>'INFORME '!#REF!</f>
        <v>#REF!</v>
      </c>
      <c r="H30" s="14" t="e">
        <f>'INFORME '!#REF!</f>
        <v>#REF!</v>
      </c>
      <c r="I30" s="9" t="e">
        <f>'INFORME '!#REF!</f>
        <v>#REF!</v>
      </c>
      <c r="J30" s="9"/>
      <c r="K30" s="35" t="e">
        <f>'INFORME '!#REF!</f>
        <v>#REF!</v>
      </c>
      <c r="L30" s="35" t="e">
        <f>'INFORME '!#REF!</f>
        <v>#REF!</v>
      </c>
      <c r="M30" s="117"/>
      <c r="N30" s="148"/>
      <c r="O30" s="148"/>
      <c r="P30" s="117"/>
      <c r="Q30" s="117"/>
      <c r="R30" s="148"/>
      <c r="S30" s="117" t="e">
        <f>'INFORME '!#REF!</f>
        <v>#REF!</v>
      </c>
      <c r="T30" s="284"/>
      <c r="U30" s="171"/>
      <c r="V30" s="171"/>
    </row>
    <row r="31" spans="1:22" s="36" customFormat="1" ht="14">
      <c r="A31" s="171"/>
      <c r="B31" s="167">
        <v>28</v>
      </c>
      <c r="C31" s="127" t="e">
        <f>'INFORME '!#REF!</f>
        <v>#REF!</v>
      </c>
      <c r="D31" s="35" t="e">
        <f>'INFORME '!#REF!</f>
        <v>#REF!</v>
      </c>
      <c r="E31" s="35"/>
      <c r="F31" s="14" t="e">
        <f>'INFORME '!#REF!</f>
        <v>#REF!</v>
      </c>
      <c r="G31" s="14" t="e">
        <f>'INFORME '!#REF!</f>
        <v>#REF!</v>
      </c>
      <c r="H31" s="14" t="e">
        <f>'INFORME '!#REF!</f>
        <v>#REF!</v>
      </c>
      <c r="I31" s="9" t="e">
        <f>'INFORME '!#REF!</f>
        <v>#REF!</v>
      </c>
      <c r="J31" s="9"/>
      <c r="K31" s="35" t="e">
        <f>'INFORME '!#REF!</f>
        <v>#REF!</v>
      </c>
      <c r="L31" s="35" t="e">
        <f>'INFORME '!#REF!</f>
        <v>#REF!</v>
      </c>
      <c r="M31" s="117"/>
      <c r="N31" s="148"/>
      <c r="O31" s="148"/>
      <c r="P31" s="117"/>
      <c r="Q31" s="117"/>
      <c r="R31" s="148"/>
      <c r="S31" s="117" t="e">
        <f>'INFORME '!#REF!</f>
        <v>#REF!</v>
      </c>
      <c r="T31" s="284"/>
      <c r="U31" s="171"/>
      <c r="V31" s="171"/>
    </row>
    <row r="32" spans="1:22" s="36" customFormat="1" ht="14">
      <c r="A32" s="171"/>
      <c r="B32" s="167">
        <v>29</v>
      </c>
      <c r="C32" s="127" t="e">
        <f>'INFORME '!#REF!</f>
        <v>#REF!</v>
      </c>
      <c r="D32" s="35" t="e">
        <f>'INFORME '!#REF!</f>
        <v>#REF!</v>
      </c>
      <c r="E32" s="35"/>
      <c r="F32" s="14" t="e">
        <f>'INFORME '!#REF!</f>
        <v>#REF!</v>
      </c>
      <c r="G32" s="14" t="e">
        <f>'INFORME '!#REF!</f>
        <v>#REF!</v>
      </c>
      <c r="H32" s="14" t="e">
        <f>'INFORME '!#REF!</f>
        <v>#REF!</v>
      </c>
      <c r="I32" s="9" t="e">
        <f>'INFORME '!#REF!</f>
        <v>#REF!</v>
      </c>
      <c r="J32" s="9">
        <v>53753124</v>
      </c>
      <c r="K32" s="35" t="e">
        <f>'INFORME '!#REF!</f>
        <v>#REF!</v>
      </c>
      <c r="L32" s="35" t="e">
        <f>'INFORME '!#REF!</f>
        <v>#REF!</v>
      </c>
      <c r="M32" s="117"/>
      <c r="N32" s="148"/>
      <c r="O32" s="148"/>
      <c r="P32" s="117"/>
      <c r="Q32" s="117"/>
      <c r="R32" s="148"/>
      <c r="S32" s="117" t="e">
        <f>'INFORME '!#REF!</f>
        <v>#REF!</v>
      </c>
      <c r="T32" s="284"/>
      <c r="U32" s="171"/>
      <c r="V32" s="171"/>
    </row>
    <row r="33" spans="1:22" s="36" customFormat="1">
      <c r="A33" s="171"/>
      <c r="B33" s="167">
        <v>30</v>
      </c>
      <c r="C33" s="127" t="e">
        <f>'INFORME '!#REF!</f>
        <v>#REF!</v>
      </c>
      <c r="D33" s="35" t="e">
        <f>'INFORME '!#REF!</f>
        <v>#REF!</v>
      </c>
      <c r="E33" s="35" t="s">
        <v>495</v>
      </c>
      <c r="F33" s="14" t="e">
        <f>'INFORME '!#REF!</f>
        <v>#REF!</v>
      </c>
      <c r="G33" s="14" t="e">
        <f>'INFORME '!#REF!</f>
        <v>#REF!</v>
      </c>
      <c r="H33" s="14" t="e">
        <f>'INFORME '!#REF!</f>
        <v>#REF!</v>
      </c>
      <c r="I33" s="9" t="e">
        <f>'INFORME '!#REF!</f>
        <v>#REF!</v>
      </c>
      <c r="J33" s="9">
        <v>55096143</v>
      </c>
      <c r="K33" s="35" t="e">
        <f>'INFORME '!#REF!</f>
        <v>#REF!</v>
      </c>
      <c r="L33" s="35" t="e">
        <f>'INFORME '!#REF!</f>
        <v>#REF!</v>
      </c>
      <c r="M33" s="117"/>
      <c r="N33" s="148"/>
      <c r="O33" s="148"/>
      <c r="P33" s="117" t="s">
        <v>536</v>
      </c>
      <c r="Q33" s="117" t="s">
        <v>505</v>
      </c>
      <c r="R33" s="148"/>
      <c r="S33" s="117" t="e">
        <f>'INFORME '!#REF!</f>
        <v>#REF!</v>
      </c>
      <c r="T33" s="285" t="s">
        <v>495</v>
      </c>
      <c r="U33" s="171"/>
      <c r="V33" s="171"/>
    </row>
    <row r="34" spans="1:22" s="36" customFormat="1">
      <c r="A34" s="171"/>
      <c r="B34" s="167">
        <v>31</v>
      </c>
      <c r="C34" s="127" t="e">
        <f>'INFORME '!#REF!</f>
        <v>#REF!</v>
      </c>
      <c r="D34" s="35" t="e">
        <f>'INFORME '!#REF!</f>
        <v>#REF!</v>
      </c>
      <c r="E34" s="35" t="s">
        <v>488</v>
      </c>
      <c r="F34" s="14" t="e">
        <f>'INFORME '!#REF!</f>
        <v>#REF!</v>
      </c>
      <c r="G34" s="14" t="e">
        <f>'INFORME '!#REF!</f>
        <v>#REF!</v>
      </c>
      <c r="H34" s="14" t="e">
        <f>'INFORME '!#REF!</f>
        <v>#REF!</v>
      </c>
      <c r="I34" s="9" t="e">
        <f>'INFORME '!#REF!</f>
        <v>#REF!</v>
      </c>
      <c r="J34" s="9">
        <v>52525090</v>
      </c>
      <c r="K34" s="35" t="e">
        <f>'INFORME '!#REF!</f>
        <v>#REF!</v>
      </c>
      <c r="L34" s="35" t="e">
        <f>'INFORME '!#REF!</f>
        <v>#REF!</v>
      </c>
      <c r="M34" s="117" t="s">
        <v>487</v>
      </c>
      <c r="N34" s="148"/>
      <c r="O34" s="148"/>
      <c r="P34" s="117" t="s">
        <v>489</v>
      </c>
      <c r="Q34" s="117" t="s">
        <v>505</v>
      </c>
      <c r="R34" s="148">
        <v>66.84</v>
      </c>
      <c r="S34" s="117" t="e">
        <f>'INFORME '!#REF!</f>
        <v>#REF!</v>
      </c>
      <c r="T34" s="284" t="s">
        <v>488</v>
      </c>
      <c r="U34" s="171"/>
      <c r="V34" s="171"/>
    </row>
    <row r="35" spans="1:22" s="36" customFormat="1" ht="37.5" customHeight="1">
      <c r="A35" s="171"/>
      <c r="B35" s="167">
        <v>32</v>
      </c>
      <c r="C35" s="127" t="e">
        <f>'INFORME '!#REF!</f>
        <v>#REF!</v>
      </c>
      <c r="D35" s="35" t="e">
        <f>'INFORME '!#REF!</f>
        <v>#REF!</v>
      </c>
      <c r="E35" s="35" t="s">
        <v>488</v>
      </c>
      <c r="F35" s="14" t="e">
        <f>'INFORME '!#REF!</f>
        <v>#REF!</v>
      </c>
      <c r="G35" s="14" t="e">
        <f>'INFORME '!#REF!</f>
        <v>#REF!</v>
      </c>
      <c r="H35" s="14" t="e">
        <f>'INFORME '!#REF!</f>
        <v>#REF!</v>
      </c>
      <c r="I35" s="9" t="e">
        <f>'INFORME '!#REF!</f>
        <v>#REF!</v>
      </c>
      <c r="J35" s="9">
        <v>49554506</v>
      </c>
      <c r="K35" s="35" t="e">
        <f>'INFORME '!#REF!</f>
        <v>#REF!</v>
      </c>
      <c r="L35" s="35" t="e">
        <f>'INFORME '!#REF!</f>
        <v>#REF!</v>
      </c>
      <c r="M35" s="117" t="s">
        <v>16</v>
      </c>
      <c r="N35" s="148"/>
      <c r="O35" s="148"/>
      <c r="P35" s="117"/>
      <c r="Q35" s="117"/>
      <c r="R35" s="148"/>
      <c r="S35" s="117" t="e">
        <f>'INFORME '!#REF!</f>
        <v>#REF!</v>
      </c>
      <c r="T35" s="284" t="s">
        <v>534</v>
      </c>
      <c r="U35" s="171"/>
      <c r="V35" s="171"/>
    </row>
    <row r="36" spans="1:22" s="36" customFormat="1" ht="26.25" customHeight="1">
      <c r="A36" s="171"/>
      <c r="B36" s="167">
        <v>33</v>
      </c>
      <c r="C36" s="127" t="e">
        <f>'INFORME '!#REF!</f>
        <v>#REF!</v>
      </c>
      <c r="D36" s="35" t="e">
        <f>'INFORME '!#REF!</f>
        <v>#REF!</v>
      </c>
      <c r="E36" s="35" t="s">
        <v>488</v>
      </c>
      <c r="F36" s="14" t="e">
        <f>'INFORME '!#REF!</f>
        <v>#REF!</v>
      </c>
      <c r="G36" s="14" t="e">
        <f>'INFORME '!#REF!</f>
        <v>#REF!</v>
      </c>
      <c r="H36" s="14" t="e">
        <f>'INFORME '!#REF!</f>
        <v>#REF!</v>
      </c>
      <c r="I36" s="9" t="e">
        <f>'INFORME '!#REF!</f>
        <v>#REF!</v>
      </c>
      <c r="J36" s="9">
        <v>44283342</v>
      </c>
      <c r="K36" s="35" t="e">
        <f>'INFORME '!#REF!</f>
        <v>#REF!</v>
      </c>
      <c r="L36" s="35" t="e">
        <f>'INFORME '!#REF!</f>
        <v>#REF!</v>
      </c>
      <c r="M36" s="117" t="s">
        <v>16</v>
      </c>
      <c r="N36" s="148"/>
      <c r="O36" s="148"/>
      <c r="P36" s="117"/>
      <c r="Q36" s="117"/>
      <c r="R36" s="148"/>
      <c r="S36" s="117" t="e">
        <f>'INFORME '!#REF!</f>
        <v>#REF!</v>
      </c>
      <c r="T36" s="284" t="s">
        <v>495</v>
      </c>
      <c r="U36" s="171"/>
      <c r="V36" s="171"/>
    </row>
    <row r="37" spans="1:22" s="36" customFormat="1" ht="26.25" customHeight="1">
      <c r="A37" s="171"/>
      <c r="B37" s="167">
        <v>34</v>
      </c>
      <c r="C37" s="127" t="e">
        <f>'INFORME '!#REF!</f>
        <v>#REF!</v>
      </c>
      <c r="D37" s="35" t="e">
        <f>'INFORME '!#REF!</f>
        <v>#REF!</v>
      </c>
      <c r="E37" s="35" t="s">
        <v>488</v>
      </c>
      <c r="F37" s="14" t="e">
        <f>'INFORME '!#REF!</f>
        <v>#REF!</v>
      </c>
      <c r="G37" s="14" t="e">
        <f>'INFORME '!#REF!</f>
        <v>#REF!</v>
      </c>
      <c r="H37" s="14" t="e">
        <f>'INFORME '!#REF!</f>
        <v>#REF!</v>
      </c>
      <c r="I37" s="9" t="e">
        <f>'INFORME '!#REF!</f>
        <v>#REF!</v>
      </c>
      <c r="J37" s="9">
        <v>38480721</v>
      </c>
      <c r="K37" s="35" t="e">
        <f>'INFORME '!#REF!</f>
        <v>#REF!</v>
      </c>
      <c r="L37" s="35" t="e">
        <f>'INFORME '!#REF!</f>
        <v>#REF!</v>
      </c>
      <c r="M37" s="117" t="s">
        <v>527</v>
      </c>
      <c r="N37" s="148"/>
      <c r="O37" s="148">
        <v>2</v>
      </c>
      <c r="P37" s="117" t="s">
        <v>528</v>
      </c>
      <c r="Q37" s="117" t="s">
        <v>505</v>
      </c>
      <c r="R37" s="148">
        <v>73.06</v>
      </c>
      <c r="S37" s="117" t="e">
        <f>'INFORME '!#REF!</f>
        <v>#REF!</v>
      </c>
      <c r="T37" s="284" t="s">
        <v>531</v>
      </c>
      <c r="U37" s="171"/>
      <c r="V37" s="171"/>
    </row>
    <row r="38" spans="1:22" s="36" customFormat="1" ht="26.25" customHeight="1">
      <c r="A38" s="171"/>
      <c r="B38" s="167">
        <v>35</v>
      </c>
      <c r="C38" s="127" t="e">
        <f>'INFORME '!#REF!</f>
        <v>#REF!</v>
      </c>
      <c r="D38" s="35" t="e">
        <f>'INFORME '!#REF!</f>
        <v>#REF!</v>
      </c>
      <c r="E38" s="35" t="s">
        <v>488</v>
      </c>
      <c r="F38" s="14" t="e">
        <f>'INFORME '!#REF!</f>
        <v>#REF!</v>
      </c>
      <c r="G38" s="14" t="e">
        <f>'INFORME '!#REF!</f>
        <v>#REF!</v>
      </c>
      <c r="H38" s="14" t="e">
        <f>'INFORME '!#REF!</f>
        <v>#REF!</v>
      </c>
      <c r="I38" s="9" t="e">
        <f>'INFORME '!#REF!</f>
        <v>#REF!</v>
      </c>
      <c r="J38" s="9">
        <v>30087844</v>
      </c>
      <c r="K38" s="35" t="e">
        <f>'INFORME '!#REF!</f>
        <v>#REF!</v>
      </c>
      <c r="L38" s="35" t="e">
        <f>'INFORME '!#REF!</f>
        <v>#REF!</v>
      </c>
      <c r="M38" s="117" t="s">
        <v>535</v>
      </c>
      <c r="N38" s="148"/>
      <c r="O38" s="148">
        <v>2</v>
      </c>
      <c r="P38" s="117" t="s">
        <v>538</v>
      </c>
      <c r="Q38" s="117" t="s">
        <v>505</v>
      </c>
      <c r="R38" s="148">
        <v>103.12</v>
      </c>
      <c r="S38" s="117" t="e">
        <f>'INFORME '!#REF!</f>
        <v>#REF!</v>
      </c>
      <c r="T38" s="284" t="s">
        <v>488</v>
      </c>
      <c r="U38" s="171"/>
      <c r="V38" s="171"/>
    </row>
    <row r="39" spans="1:22" s="36" customFormat="1" ht="26.25" customHeight="1">
      <c r="A39" s="171"/>
      <c r="B39" s="167">
        <v>36</v>
      </c>
      <c r="C39" s="127" t="e">
        <f>'INFORME '!#REF!</f>
        <v>#REF!</v>
      </c>
      <c r="D39" s="35" t="e">
        <f>'INFORME '!#REF!</f>
        <v>#REF!</v>
      </c>
      <c r="E39" s="35" t="s">
        <v>488</v>
      </c>
      <c r="F39" s="14" t="e">
        <f>'INFORME '!#REF!</f>
        <v>#REF!</v>
      </c>
      <c r="G39" s="14" t="e">
        <f>'INFORME '!#REF!</f>
        <v>#REF!</v>
      </c>
      <c r="H39" s="14" t="e">
        <f>'INFORME '!#REF!</f>
        <v>#REF!</v>
      </c>
      <c r="I39" s="9" t="e">
        <f>'INFORME '!#REF!</f>
        <v>#REF!</v>
      </c>
      <c r="J39" s="9">
        <v>43924538</v>
      </c>
      <c r="K39" s="35" t="e">
        <f>'INFORME '!#REF!</f>
        <v>#REF!</v>
      </c>
      <c r="L39" s="35" t="e">
        <f>'INFORME '!#REF!</f>
        <v>#REF!</v>
      </c>
      <c r="M39" s="117" t="s">
        <v>543</v>
      </c>
      <c r="N39" s="148"/>
      <c r="O39" s="148">
        <v>2</v>
      </c>
      <c r="P39" s="117" t="s">
        <v>544</v>
      </c>
      <c r="Q39" s="117" t="s">
        <v>505</v>
      </c>
      <c r="R39" s="148">
        <v>117.9</v>
      </c>
      <c r="S39" s="117" t="e">
        <f>'INFORME '!#REF!</f>
        <v>#REF!</v>
      </c>
      <c r="T39" s="284" t="s">
        <v>488</v>
      </c>
      <c r="U39" s="171"/>
      <c r="V39" s="171"/>
    </row>
    <row r="40" spans="1:22" s="36" customFormat="1" ht="26.25" customHeight="1">
      <c r="A40" s="171"/>
      <c r="B40" s="167">
        <v>37</v>
      </c>
      <c r="C40" s="127" t="e">
        <f>'INFORME '!#REF!</f>
        <v>#REF!</v>
      </c>
      <c r="D40" s="35" t="e">
        <f>'INFORME '!#REF!</f>
        <v>#REF!</v>
      </c>
      <c r="E40" s="35" t="s">
        <v>488</v>
      </c>
      <c r="F40" s="14" t="e">
        <f>'INFORME '!#REF!</f>
        <v>#REF!</v>
      </c>
      <c r="G40" s="14" t="e">
        <f>'INFORME '!#REF!</f>
        <v>#REF!</v>
      </c>
      <c r="H40" s="14" t="e">
        <f>'INFORME '!#REF!</f>
        <v>#REF!</v>
      </c>
      <c r="I40" s="9" t="e">
        <f>'INFORME '!#REF!</f>
        <v>#REF!</v>
      </c>
      <c r="J40" s="9">
        <v>59594766</v>
      </c>
      <c r="K40" s="35" t="e">
        <f>'INFORME '!#REF!</f>
        <v>#REF!</v>
      </c>
      <c r="L40" s="35" t="e">
        <f>'INFORME '!#REF!</f>
        <v>#REF!</v>
      </c>
      <c r="M40" s="117" t="s">
        <v>520</v>
      </c>
      <c r="N40" s="148"/>
      <c r="O40" s="148">
        <v>1</v>
      </c>
      <c r="P40" s="117" t="s">
        <v>538</v>
      </c>
      <c r="Q40" s="117" t="s">
        <v>505</v>
      </c>
      <c r="R40" s="148">
        <v>41.75</v>
      </c>
      <c r="S40" s="117" t="e">
        <f>'INFORME '!#REF!</f>
        <v>#REF!</v>
      </c>
      <c r="T40" s="284" t="s">
        <v>488</v>
      </c>
      <c r="U40" s="171"/>
      <c r="V40" s="171"/>
    </row>
    <row r="41" spans="1:22" s="36" customFormat="1" ht="26.25" customHeight="1">
      <c r="A41" s="171"/>
      <c r="B41" s="137">
        <v>38</v>
      </c>
      <c r="C41" s="127" t="e">
        <f>'INFORME '!#REF!</f>
        <v>#REF!</v>
      </c>
      <c r="D41" s="35" t="e">
        <f>'INFORME '!#REF!</f>
        <v>#REF!</v>
      </c>
      <c r="E41" s="35" t="s">
        <v>488</v>
      </c>
      <c r="F41" s="14" t="e">
        <f>'INFORME '!#REF!</f>
        <v>#REF!</v>
      </c>
      <c r="G41" s="14" t="e">
        <f>'INFORME '!#REF!</f>
        <v>#REF!</v>
      </c>
      <c r="H41" s="14" t="e">
        <f>'INFORME '!#REF!</f>
        <v>#REF!</v>
      </c>
      <c r="I41" s="9" t="e">
        <f>'INFORME '!#REF!</f>
        <v>#REF!</v>
      </c>
      <c r="J41" s="9">
        <v>421615951</v>
      </c>
      <c r="K41" s="35" t="e">
        <f>'INFORME '!#REF!</f>
        <v>#REF!</v>
      </c>
      <c r="L41" s="35" t="e">
        <f>'INFORME '!#REF!</f>
        <v>#REF!</v>
      </c>
      <c r="M41" s="117" t="s">
        <v>551</v>
      </c>
      <c r="N41" s="148"/>
      <c r="O41" s="148" t="s">
        <v>29</v>
      </c>
      <c r="P41" s="117" t="s">
        <v>538</v>
      </c>
      <c r="Q41" s="117" t="s">
        <v>29</v>
      </c>
      <c r="R41" s="148">
        <v>179.95</v>
      </c>
      <c r="S41" s="117" t="e">
        <f>'INFORME '!#REF!</f>
        <v>#REF!</v>
      </c>
      <c r="T41" s="284" t="s">
        <v>488</v>
      </c>
      <c r="U41" s="171"/>
      <c r="V41" s="171"/>
    </row>
    <row r="42" spans="1:22" s="36" customFormat="1" ht="26.25" customHeight="1">
      <c r="A42" s="171"/>
      <c r="B42" s="137">
        <f>B41+1</f>
        <v>39</v>
      </c>
      <c r="C42" s="127" t="e">
        <f>'INFORME '!#REF!</f>
        <v>#REF!</v>
      </c>
      <c r="D42" s="35" t="e">
        <f>'INFORME '!#REF!</f>
        <v>#REF!</v>
      </c>
      <c r="E42" s="35" t="s">
        <v>488</v>
      </c>
      <c r="F42" s="14" t="e">
        <f>'INFORME '!#REF!</f>
        <v>#REF!</v>
      </c>
      <c r="G42" s="14" t="e">
        <f>'INFORME '!#REF!</f>
        <v>#REF!</v>
      </c>
      <c r="H42" s="14" t="e">
        <f>'INFORME '!#REF!</f>
        <v>#REF!</v>
      </c>
      <c r="I42" s="9" t="e">
        <f>'INFORME '!#REF!</f>
        <v>#REF!</v>
      </c>
      <c r="J42" s="9">
        <v>43924538</v>
      </c>
      <c r="K42" s="35" t="e">
        <f>'INFORME '!#REF!</f>
        <v>#REF!</v>
      </c>
      <c r="L42" s="35" t="e">
        <f>'INFORME '!#REF!</f>
        <v>#REF!</v>
      </c>
      <c r="M42" s="117" t="s">
        <v>16</v>
      </c>
      <c r="N42" s="148"/>
      <c r="O42" s="148"/>
      <c r="P42" s="117"/>
      <c r="Q42" s="117"/>
      <c r="R42" s="148"/>
      <c r="S42" s="117" t="e">
        <f>'INFORME '!#REF!</f>
        <v>#REF!</v>
      </c>
      <c r="T42" s="284" t="s">
        <v>495</v>
      </c>
      <c r="U42" s="171"/>
      <c r="V42" s="171"/>
    </row>
    <row r="43" spans="1:22" s="36" customFormat="1" ht="26.25" customHeight="1">
      <c r="A43" s="171"/>
      <c r="B43" s="137">
        <f>B42+1</f>
        <v>40</v>
      </c>
      <c r="C43" s="127" t="e">
        <f>'INFORME '!#REF!</f>
        <v>#REF!</v>
      </c>
      <c r="D43" s="35" t="e">
        <f>'INFORME '!#REF!</f>
        <v>#REF!</v>
      </c>
      <c r="E43" s="35" t="s">
        <v>488</v>
      </c>
      <c r="F43" s="14" t="e">
        <f>'INFORME '!#REF!</f>
        <v>#REF!</v>
      </c>
      <c r="G43" s="14" t="e">
        <f>'INFORME '!#REF!</f>
        <v>#REF!</v>
      </c>
      <c r="H43" s="14" t="e">
        <f>'INFORME '!#REF!</f>
        <v>#REF!</v>
      </c>
      <c r="I43" s="9" t="e">
        <f>'INFORME '!#REF!</f>
        <v>#REF!</v>
      </c>
      <c r="J43" s="9">
        <v>51304459</v>
      </c>
      <c r="K43" s="35" t="e">
        <f>'INFORME '!#REF!</f>
        <v>#REF!</v>
      </c>
      <c r="L43" s="35" t="e">
        <f>'INFORME '!#REF!</f>
        <v>#REF!</v>
      </c>
      <c r="M43" s="117" t="s">
        <v>16</v>
      </c>
      <c r="N43" s="148"/>
      <c r="O43" s="148"/>
      <c r="P43" s="117"/>
      <c r="Q43" s="117"/>
      <c r="R43" s="148"/>
      <c r="S43" s="117" t="e">
        <f>'INFORME '!#REF!</f>
        <v>#REF!</v>
      </c>
      <c r="T43" s="284" t="s">
        <v>561</v>
      </c>
      <c r="U43" s="171"/>
      <c r="V43" s="171"/>
    </row>
    <row r="44" spans="1:22" s="36" customFormat="1" ht="26.25" customHeight="1">
      <c r="A44" s="171"/>
      <c r="B44" s="137">
        <f>B43+1</f>
        <v>41</v>
      </c>
      <c r="C44" s="127" t="e">
        <f>'INFORME '!#REF!</f>
        <v>#REF!</v>
      </c>
      <c r="D44" s="35" t="e">
        <f>'INFORME '!#REF!</f>
        <v>#REF!</v>
      </c>
      <c r="E44" s="35" t="s">
        <v>488</v>
      </c>
      <c r="F44" s="14" t="e">
        <f>'INFORME '!#REF!</f>
        <v>#REF!</v>
      </c>
      <c r="G44" s="14" t="e">
        <f>'INFORME '!#REF!</f>
        <v>#REF!</v>
      </c>
      <c r="H44" s="14" t="e">
        <f>'INFORME '!#REF!</f>
        <v>#REF!</v>
      </c>
      <c r="I44" s="9" t="e">
        <f>'INFORME '!#REF!</f>
        <v>#REF!</v>
      </c>
      <c r="J44" s="9"/>
      <c r="K44" s="35" t="e">
        <f>'INFORME '!#REF!</f>
        <v>#REF!</v>
      </c>
      <c r="L44" s="35" t="e">
        <f>'INFORME '!#REF!</f>
        <v>#REF!</v>
      </c>
      <c r="M44" s="117" t="s">
        <v>560</v>
      </c>
      <c r="N44" s="148"/>
      <c r="O44" s="148">
        <v>1</v>
      </c>
      <c r="P44" s="117" t="s">
        <v>489</v>
      </c>
      <c r="Q44" s="117" t="s">
        <v>505</v>
      </c>
      <c r="R44" s="148">
        <v>74.06</v>
      </c>
      <c r="S44" s="117" t="e">
        <f>'INFORME '!#REF!</f>
        <v>#REF!</v>
      </c>
      <c r="T44" s="284" t="s">
        <v>488</v>
      </c>
      <c r="U44" s="171"/>
      <c r="V44" s="171"/>
    </row>
    <row r="45" spans="1:22" s="36" customFormat="1" ht="26.25" customHeight="1" thickBot="1">
      <c r="A45" s="171"/>
      <c r="B45" s="137">
        <f>B44+1</f>
        <v>42</v>
      </c>
      <c r="C45" s="127" t="e">
        <f>'INFORME '!#REF!</f>
        <v>#REF!</v>
      </c>
      <c r="D45" s="35" t="e">
        <f>'INFORME '!#REF!</f>
        <v>#REF!</v>
      </c>
      <c r="E45" s="35" t="s">
        <v>488</v>
      </c>
      <c r="F45" s="14" t="e">
        <f>'INFORME '!#REF!</f>
        <v>#REF!</v>
      </c>
      <c r="G45" s="14" t="e">
        <f>'INFORME '!#REF!</f>
        <v>#REF!</v>
      </c>
      <c r="H45" s="14" t="e">
        <f>'INFORME '!#REF!</f>
        <v>#REF!</v>
      </c>
      <c r="I45" s="9" t="e">
        <f>'INFORME '!#REF!</f>
        <v>#REF!</v>
      </c>
      <c r="J45" s="9">
        <v>59047134</v>
      </c>
      <c r="K45" s="35" t="e">
        <f>'INFORME '!#REF!</f>
        <v>#REF!</v>
      </c>
      <c r="L45" s="35" t="e">
        <f>'INFORME '!#REF!</f>
        <v>#REF!</v>
      </c>
      <c r="M45" s="117" t="s">
        <v>560</v>
      </c>
      <c r="N45" s="148"/>
      <c r="O45" s="148">
        <v>1</v>
      </c>
      <c r="P45" s="117" t="s">
        <v>538</v>
      </c>
      <c r="Q45" s="117" t="s">
        <v>505</v>
      </c>
      <c r="R45" s="148">
        <v>105.16</v>
      </c>
      <c r="S45" s="117" t="e">
        <f>'INFORME '!#REF!</f>
        <v>#REF!</v>
      </c>
      <c r="T45" s="284" t="s">
        <v>488</v>
      </c>
      <c r="U45" s="171"/>
      <c r="V45" s="171"/>
    </row>
    <row r="46" spans="1:22" s="177" customFormat="1" ht="22" thickBot="1">
      <c r="A46" s="176"/>
      <c r="B46" s="376" t="s">
        <v>30</v>
      </c>
      <c r="C46" s="377"/>
      <c r="D46" s="377"/>
      <c r="E46" s="377"/>
      <c r="F46" s="378"/>
      <c r="G46" s="385" t="s">
        <v>190</v>
      </c>
      <c r="H46" s="386"/>
      <c r="I46" s="386"/>
      <c r="J46" s="386"/>
      <c r="K46" s="386"/>
      <c r="L46" s="386"/>
      <c r="M46" s="386"/>
      <c r="N46" s="386"/>
      <c r="O46" s="386"/>
      <c r="P46" s="386"/>
      <c r="Q46" s="386"/>
      <c r="R46" s="386"/>
      <c r="S46" s="386"/>
      <c r="T46" s="387"/>
      <c r="U46" s="176"/>
      <c r="V46" s="176"/>
    </row>
    <row r="47" spans="1:22" s="169" customFormat="1">
      <c r="T47" s="279"/>
    </row>
    <row r="48" spans="1:22" s="169" customFormat="1">
      <c r="T48" s="279"/>
    </row>
    <row r="49" spans="2:20" s="169" customFormat="1" ht="16" thickBot="1">
      <c r="T49" s="279"/>
    </row>
    <row r="50" spans="2:20" ht="25" thickBot="1">
      <c r="B50" s="382" t="s">
        <v>396</v>
      </c>
      <c r="C50" s="383"/>
      <c r="D50" s="383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4"/>
    </row>
    <row r="51" spans="2:20" ht="31" thickBot="1">
      <c r="B51" s="79" t="s">
        <v>12</v>
      </c>
      <c r="C51" s="79" t="s">
        <v>22</v>
      </c>
      <c r="D51" s="80" t="s">
        <v>14</v>
      </c>
      <c r="E51" s="80" t="s">
        <v>507</v>
      </c>
      <c r="F51" s="80" t="s">
        <v>23</v>
      </c>
      <c r="G51" s="80" t="s">
        <v>24</v>
      </c>
      <c r="H51" s="80" t="s">
        <v>20</v>
      </c>
      <c r="I51" s="80" t="s">
        <v>25</v>
      </c>
      <c r="J51" s="80" t="s">
        <v>422</v>
      </c>
      <c r="K51" s="81" t="s">
        <v>26</v>
      </c>
      <c r="L51" s="81" t="s">
        <v>363</v>
      </c>
      <c r="M51" s="116" t="s">
        <v>485</v>
      </c>
      <c r="N51" s="163"/>
      <c r="O51" s="163"/>
      <c r="P51" s="116" t="s">
        <v>5</v>
      </c>
      <c r="Q51" s="116" t="s">
        <v>504</v>
      </c>
      <c r="R51" s="163" t="s">
        <v>490</v>
      </c>
      <c r="S51" s="116" t="s">
        <v>486</v>
      </c>
      <c r="T51" s="286" t="s">
        <v>27</v>
      </c>
    </row>
    <row r="52" spans="2:20" ht="32">
      <c r="B52" s="166">
        <v>1</v>
      </c>
      <c r="C52" s="178" t="e">
        <f>'INFORME '!#REF!</f>
        <v>#REF!</v>
      </c>
      <c r="D52" s="164" t="e">
        <f>'INFORME '!#REF!</f>
        <v>#REF!</v>
      </c>
      <c r="E52" s="165" t="s">
        <v>523</v>
      </c>
      <c r="F52" s="164" t="e">
        <f>'INFORME '!#REF!</f>
        <v>#REF!</v>
      </c>
      <c r="G52" s="164" t="e">
        <f>'INFORME '!#REF!</f>
        <v>#REF!</v>
      </c>
      <c r="H52" s="179" t="e">
        <f>'INFORME '!#REF!</f>
        <v>#REF!</v>
      </c>
      <c r="I52" s="164" t="e">
        <f>'INFORME '!#REF!</f>
        <v>#REF!</v>
      </c>
      <c r="J52" s="165" t="s">
        <v>29</v>
      </c>
      <c r="K52" s="164" t="e">
        <f>'INFORME '!#REF!</f>
        <v>#REF!</v>
      </c>
      <c r="L52" s="164" t="e">
        <f>'INFORME '!#REF!</f>
        <v>#REF!</v>
      </c>
      <c r="M52" s="164" t="s">
        <v>502</v>
      </c>
      <c r="N52" s="179"/>
      <c r="O52" s="179"/>
      <c r="P52" s="165" t="s">
        <v>503</v>
      </c>
      <c r="Q52" s="165" t="s">
        <v>506</v>
      </c>
      <c r="R52" s="179">
        <v>116.76</v>
      </c>
      <c r="S52" s="179" t="e">
        <f>'INFORME '!#REF!</f>
        <v>#REF!</v>
      </c>
      <c r="T52" s="287" t="s">
        <v>523</v>
      </c>
    </row>
    <row r="53" spans="2:20" ht="16">
      <c r="B53" s="167">
        <v>2</v>
      </c>
      <c r="C53" s="180" t="e">
        <f>'INFORME '!#REF!</f>
        <v>#REF!</v>
      </c>
      <c r="D53" s="35" t="e">
        <f>'INFORME '!#REF!</f>
        <v>#REF!</v>
      </c>
      <c r="E53" s="1" t="s">
        <v>523</v>
      </c>
      <c r="F53" s="35" t="e">
        <f>'INFORME '!#REF!</f>
        <v>#REF!</v>
      </c>
      <c r="G53" s="35" t="e">
        <f>'INFORME '!#REF!</f>
        <v>#REF!</v>
      </c>
      <c r="H53" s="14" t="e">
        <f>'INFORME '!#REF!</f>
        <v>#REF!</v>
      </c>
      <c r="I53" s="35" t="e">
        <f>'INFORME '!#REF!</f>
        <v>#REF!</v>
      </c>
      <c r="J53" s="1" t="s">
        <v>29</v>
      </c>
      <c r="K53" s="35" t="e">
        <f>'INFORME '!#REF!</f>
        <v>#REF!</v>
      </c>
      <c r="L53" s="35" t="e">
        <f>'INFORME '!#REF!</f>
        <v>#REF!</v>
      </c>
      <c r="M53" s="35"/>
      <c r="N53" s="14"/>
      <c r="O53" s="14"/>
      <c r="P53" s="1" t="s">
        <v>505</v>
      </c>
      <c r="Q53" s="1" t="s">
        <v>505</v>
      </c>
      <c r="R53" s="14"/>
      <c r="S53" s="14" t="e">
        <f>'INFORME '!#REF!</f>
        <v>#REF!</v>
      </c>
      <c r="T53" s="284" t="s">
        <v>523</v>
      </c>
    </row>
    <row r="54" spans="2:20" ht="16">
      <c r="B54" s="167">
        <v>3</v>
      </c>
      <c r="C54" s="180" t="e">
        <f>'INFORME '!#REF!</f>
        <v>#REF!</v>
      </c>
      <c r="D54" s="35" t="e">
        <f>'INFORME '!#REF!</f>
        <v>#REF!</v>
      </c>
      <c r="E54" s="1" t="s">
        <v>523</v>
      </c>
      <c r="F54" s="35" t="e">
        <f>'INFORME '!#REF!</f>
        <v>#REF!</v>
      </c>
      <c r="G54" s="35" t="e">
        <f>'INFORME '!#REF!</f>
        <v>#REF!</v>
      </c>
      <c r="H54" s="14" t="e">
        <f>'INFORME '!#REF!</f>
        <v>#REF!</v>
      </c>
      <c r="I54" s="35" t="e">
        <f>'INFORME '!#REF!</f>
        <v>#REF!</v>
      </c>
      <c r="J54" s="1" t="s">
        <v>29</v>
      </c>
      <c r="K54" s="35" t="e">
        <f>'INFORME '!#REF!</f>
        <v>#REF!</v>
      </c>
      <c r="L54" s="35" t="e">
        <f>'INFORME '!#REF!</f>
        <v>#REF!</v>
      </c>
      <c r="M54" s="35"/>
      <c r="N54" s="14"/>
      <c r="O54" s="14"/>
      <c r="P54" s="1" t="s">
        <v>505</v>
      </c>
      <c r="Q54" s="1" t="s">
        <v>505</v>
      </c>
      <c r="R54" s="14"/>
      <c r="S54" s="14" t="e">
        <f>'INFORME '!#REF!</f>
        <v>#REF!</v>
      </c>
      <c r="T54" s="284" t="s">
        <v>523</v>
      </c>
    </row>
    <row r="55" spans="2:20" ht="16">
      <c r="B55" s="167">
        <v>4</v>
      </c>
      <c r="C55" s="180" t="e">
        <f>'INFORME '!#REF!</f>
        <v>#REF!</v>
      </c>
      <c r="D55" s="35" t="e">
        <f>'INFORME '!#REF!</f>
        <v>#REF!</v>
      </c>
      <c r="E55" s="1" t="s">
        <v>523</v>
      </c>
      <c r="F55" s="35" t="e">
        <f>'INFORME '!#REF!</f>
        <v>#REF!</v>
      </c>
      <c r="G55" s="35" t="e">
        <f>'INFORME '!#REF!</f>
        <v>#REF!</v>
      </c>
      <c r="H55" s="14" t="e">
        <f>'INFORME '!#REF!</f>
        <v>#REF!</v>
      </c>
      <c r="I55" s="35" t="e">
        <f>'INFORME '!#REF!</f>
        <v>#REF!</v>
      </c>
      <c r="J55" s="1" t="s">
        <v>29</v>
      </c>
      <c r="K55" s="35" t="e">
        <f>'INFORME '!#REF!</f>
        <v>#REF!</v>
      </c>
      <c r="L55" s="35" t="e">
        <f>'INFORME '!#REF!</f>
        <v>#REF!</v>
      </c>
      <c r="M55" s="35" t="s">
        <v>524</v>
      </c>
      <c r="N55" s="14"/>
      <c r="O55" s="14"/>
      <c r="P55" s="1" t="s">
        <v>505</v>
      </c>
      <c r="Q55" s="1" t="s">
        <v>505</v>
      </c>
      <c r="R55" s="14"/>
      <c r="S55" s="14" t="e">
        <f>'INFORME '!#REF!</f>
        <v>#REF!</v>
      </c>
      <c r="T55" s="284" t="s">
        <v>523</v>
      </c>
    </row>
    <row r="56" spans="2:20" ht="16">
      <c r="B56" s="167">
        <v>5</v>
      </c>
      <c r="C56" s="180" t="e">
        <f>'INFORME '!#REF!</f>
        <v>#REF!</v>
      </c>
      <c r="D56" s="35" t="e">
        <f>'INFORME '!#REF!</f>
        <v>#REF!</v>
      </c>
      <c r="E56" s="1" t="s">
        <v>523</v>
      </c>
      <c r="F56" s="35" t="e">
        <f>'INFORME '!#REF!</f>
        <v>#REF!</v>
      </c>
      <c r="G56" s="35" t="e">
        <f>'INFORME '!#REF!</f>
        <v>#REF!</v>
      </c>
      <c r="H56" s="14" t="e">
        <f>'INFORME '!#REF!</f>
        <v>#REF!</v>
      </c>
      <c r="I56" s="35" t="e">
        <f>'INFORME '!#REF!</f>
        <v>#REF!</v>
      </c>
      <c r="J56" s="1" t="s">
        <v>29</v>
      </c>
      <c r="K56" s="35" t="e">
        <f>'INFORME '!#REF!</f>
        <v>#REF!</v>
      </c>
      <c r="L56" s="35" t="e">
        <f>'INFORME '!#REF!</f>
        <v>#REF!</v>
      </c>
      <c r="M56" s="35"/>
      <c r="N56" s="14"/>
      <c r="O56" s="14"/>
      <c r="P56" s="1" t="s">
        <v>505</v>
      </c>
      <c r="Q56" s="1" t="s">
        <v>505</v>
      </c>
      <c r="R56" s="14"/>
      <c r="S56" s="14" t="e">
        <f>'INFORME '!#REF!</f>
        <v>#REF!</v>
      </c>
      <c r="T56" s="284" t="s">
        <v>523</v>
      </c>
    </row>
    <row r="57" spans="2:20" ht="16">
      <c r="B57" s="167">
        <v>6</v>
      </c>
      <c r="C57" s="180" t="e">
        <f>'INFORME '!#REF!</f>
        <v>#REF!</v>
      </c>
      <c r="D57" s="35" t="e">
        <f>'INFORME '!#REF!</f>
        <v>#REF!</v>
      </c>
      <c r="E57" s="1" t="s">
        <v>523</v>
      </c>
      <c r="F57" s="35" t="e">
        <f>'INFORME '!#REF!</f>
        <v>#REF!</v>
      </c>
      <c r="G57" s="35" t="e">
        <f>'INFORME '!#REF!</f>
        <v>#REF!</v>
      </c>
      <c r="H57" s="14" t="e">
        <f>'INFORME '!#REF!</f>
        <v>#REF!</v>
      </c>
      <c r="I57" s="35" t="e">
        <f>'INFORME '!#REF!</f>
        <v>#REF!</v>
      </c>
      <c r="J57" s="1" t="s">
        <v>29</v>
      </c>
      <c r="K57" s="35" t="e">
        <f>'INFORME '!#REF!</f>
        <v>#REF!</v>
      </c>
      <c r="L57" s="35" t="e">
        <f>'INFORME '!#REF!</f>
        <v>#REF!</v>
      </c>
      <c r="M57" s="35"/>
      <c r="N57" s="14"/>
      <c r="O57" s="14"/>
      <c r="P57" s="1" t="s">
        <v>505</v>
      </c>
      <c r="Q57" s="1" t="s">
        <v>505</v>
      </c>
      <c r="R57" s="14"/>
      <c r="S57" s="14" t="e">
        <f>'INFORME '!#REF!</f>
        <v>#REF!</v>
      </c>
      <c r="T57" s="284" t="s">
        <v>523</v>
      </c>
    </row>
    <row r="58" spans="2:20" ht="27" customHeight="1">
      <c r="B58" s="167">
        <v>7</v>
      </c>
      <c r="C58" s="180" t="e">
        <f>'INFORME '!#REF!</f>
        <v>#REF!</v>
      </c>
      <c r="D58" s="35" t="e">
        <f>'INFORME '!#REF!</f>
        <v>#REF!</v>
      </c>
      <c r="E58" s="1" t="s">
        <v>523</v>
      </c>
      <c r="F58" s="35" t="e">
        <f>'INFORME '!#REF!</f>
        <v>#REF!</v>
      </c>
      <c r="G58" s="35" t="e">
        <f>'INFORME '!#REF!</f>
        <v>#REF!</v>
      </c>
      <c r="H58" s="14" t="e">
        <f>'INFORME '!#REF!</f>
        <v>#REF!</v>
      </c>
      <c r="I58" s="35" t="e">
        <f>'INFORME '!#REF!</f>
        <v>#REF!</v>
      </c>
      <c r="J58" s="1" t="s">
        <v>29</v>
      </c>
      <c r="K58" s="35" t="e">
        <f>'INFORME '!#REF!</f>
        <v>#REF!</v>
      </c>
      <c r="L58" s="35" t="e">
        <f>'INFORME '!#REF!</f>
        <v>#REF!</v>
      </c>
      <c r="M58" s="35" t="s">
        <v>535</v>
      </c>
      <c r="N58" s="14"/>
      <c r="O58" s="14"/>
      <c r="P58" s="1" t="s">
        <v>505</v>
      </c>
      <c r="Q58" s="1" t="s">
        <v>505</v>
      </c>
      <c r="R58" s="14">
        <v>196.9</v>
      </c>
      <c r="S58" s="14" t="e">
        <f>'INFORME '!#REF!</f>
        <v>#REF!</v>
      </c>
      <c r="T58" s="284" t="s">
        <v>523</v>
      </c>
    </row>
    <row r="59" spans="2:20" ht="32">
      <c r="B59" s="167">
        <v>8</v>
      </c>
      <c r="C59" s="180" t="e">
        <f>'INFORME '!#REF!</f>
        <v>#REF!</v>
      </c>
      <c r="D59" s="35" t="e">
        <f>'INFORME '!#REF!</f>
        <v>#REF!</v>
      </c>
      <c r="E59" s="1" t="s">
        <v>523</v>
      </c>
      <c r="F59" s="35" t="e">
        <f>'INFORME '!#REF!</f>
        <v>#REF!</v>
      </c>
      <c r="G59" s="35" t="e">
        <f>'INFORME '!#REF!</f>
        <v>#REF!</v>
      </c>
      <c r="H59" s="14" t="e">
        <f>'INFORME '!#REF!</f>
        <v>#REF!</v>
      </c>
      <c r="I59" s="35" t="e">
        <f>'INFORME '!#REF!</f>
        <v>#REF!</v>
      </c>
      <c r="J59" s="1" t="s">
        <v>508</v>
      </c>
      <c r="K59" s="35" t="e">
        <f>'INFORME '!#REF!</f>
        <v>#REF!</v>
      </c>
      <c r="L59" s="35" t="e">
        <f>'INFORME '!#REF!</f>
        <v>#REF!</v>
      </c>
      <c r="M59" s="35" t="s">
        <v>502</v>
      </c>
      <c r="N59" s="14"/>
      <c r="O59" s="14"/>
      <c r="P59" s="1" t="s">
        <v>503</v>
      </c>
      <c r="Q59" s="1" t="s">
        <v>506</v>
      </c>
      <c r="R59" s="14">
        <v>123.76</v>
      </c>
      <c r="S59" s="14" t="e">
        <f>'INFORME '!#REF!</f>
        <v>#REF!</v>
      </c>
      <c r="T59" s="284" t="s">
        <v>523</v>
      </c>
    </row>
    <row r="60" spans="2:20" ht="16">
      <c r="B60" s="167">
        <v>9</v>
      </c>
      <c r="C60" s="180" t="e">
        <f>'INFORME '!#REF!</f>
        <v>#REF!</v>
      </c>
      <c r="D60" s="35" t="e">
        <f>'INFORME '!#REF!</f>
        <v>#REF!</v>
      </c>
      <c r="E60" s="1" t="s">
        <v>518</v>
      </c>
      <c r="F60" s="35" t="e">
        <f>'INFORME '!#REF!</f>
        <v>#REF!</v>
      </c>
      <c r="G60" s="35" t="e">
        <f>'INFORME '!#REF!</f>
        <v>#REF!</v>
      </c>
      <c r="H60" s="14" t="e">
        <f>'INFORME '!#REF!</f>
        <v>#REF!</v>
      </c>
      <c r="I60" s="35" t="e">
        <f>'INFORME '!#REF!</f>
        <v>#REF!</v>
      </c>
      <c r="J60" s="1">
        <v>59583457</v>
      </c>
      <c r="K60" s="35" t="e">
        <f>'INFORME '!#REF!</f>
        <v>#REF!</v>
      </c>
      <c r="L60" s="35" t="e">
        <f>'INFORME '!#REF!</f>
        <v>#REF!</v>
      </c>
      <c r="M60" s="35" t="s">
        <v>520</v>
      </c>
      <c r="N60" s="14"/>
      <c r="O60" s="14"/>
      <c r="P60" s="1" t="s">
        <v>505</v>
      </c>
      <c r="Q60" s="1" t="s">
        <v>505</v>
      </c>
      <c r="R60" s="14">
        <v>67.97</v>
      </c>
      <c r="S60" s="14" t="e">
        <f>'INFORME '!#REF!</f>
        <v>#REF!</v>
      </c>
      <c r="T60" s="284" t="s">
        <v>565</v>
      </c>
    </row>
    <row r="61" spans="2:20" ht="27" customHeight="1">
      <c r="B61" s="167">
        <v>10</v>
      </c>
      <c r="C61" s="180" t="e">
        <f>'INFORME '!#REF!</f>
        <v>#REF!</v>
      </c>
      <c r="D61" s="35" t="e">
        <f>'INFORME '!#REF!</f>
        <v>#REF!</v>
      </c>
      <c r="E61" s="1" t="s">
        <v>519</v>
      </c>
      <c r="F61" s="35" t="e">
        <f>'INFORME '!#REF!</f>
        <v>#REF!</v>
      </c>
      <c r="G61" s="35" t="e">
        <f>'INFORME '!#REF!</f>
        <v>#REF!</v>
      </c>
      <c r="H61" s="14" t="e">
        <f>'INFORME '!#REF!</f>
        <v>#REF!</v>
      </c>
      <c r="I61" s="35" t="e">
        <f>'INFORME '!#REF!</f>
        <v>#REF!</v>
      </c>
      <c r="J61" s="1">
        <v>59583457</v>
      </c>
      <c r="K61" s="35" t="e">
        <f>'INFORME '!#REF!</f>
        <v>#REF!</v>
      </c>
      <c r="L61" s="35" t="e">
        <f>'INFORME '!#REF!</f>
        <v>#REF!</v>
      </c>
      <c r="M61" s="35" t="s">
        <v>520</v>
      </c>
      <c r="N61" s="14"/>
      <c r="O61" s="14"/>
      <c r="P61" s="1" t="s">
        <v>505</v>
      </c>
      <c r="Q61" s="1" t="s">
        <v>505</v>
      </c>
      <c r="R61" s="14">
        <v>68.13</v>
      </c>
      <c r="S61" s="14" t="e">
        <f>'INFORME '!#REF!</f>
        <v>#REF!</v>
      </c>
      <c r="T61" s="284" t="s">
        <v>565</v>
      </c>
    </row>
    <row r="62" spans="2:20" ht="32">
      <c r="B62" s="167">
        <v>11</v>
      </c>
      <c r="C62" s="180" t="e">
        <f>'INFORME '!#REF!</f>
        <v>#REF!</v>
      </c>
      <c r="D62" s="35" t="e">
        <f>'INFORME '!#REF!</f>
        <v>#REF!</v>
      </c>
      <c r="E62" s="1" t="s">
        <v>522</v>
      </c>
      <c r="F62" s="35" t="e">
        <f>'INFORME '!#REF!</f>
        <v>#REF!</v>
      </c>
      <c r="G62" s="35" t="e">
        <f>'INFORME '!#REF!</f>
        <v>#REF!</v>
      </c>
      <c r="H62" s="14" t="e">
        <f>'INFORME '!#REF!</f>
        <v>#REF!</v>
      </c>
      <c r="I62" s="35" t="e">
        <f>'INFORME '!#REF!</f>
        <v>#REF!</v>
      </c>
      <c r="J62" s="1">
        <v>56547513</v>
      </c>
      <c r="K62" s="35" t="e">
        <f>'INFORME '!#REF!</f>
        <v>#REF!</v>
      </c>
      <c r="L62" s="35" t="e">
        <f>'INFORME '!#REF!</f>
        <v>#REF!</v>
      </c>
      <c r="M62" s="35" t="s">
        <v>521</v>
      </c>
      <c r="N62" s="14"/>
      <c r="O62" s="14"/>
      <c r="P62" s="1" t="s">
        <v>525</v>
      </c>
      <c r="Q62" s="1" t="s">
        <v>526</v>
      </c>
      <c r="R62" s="14">
        <v>27.6</v>
      </c>
      <c r="S62" s="14" t="e">
        <f>'INFORME '!#REF!</f>
        <v>#REF!</v>
      </c>
      <c r="T62" s="284" t="s">
        <v>565</v>
      </c>
    </row>
    <row r="63" spans="2:20" ht="16">
      <c r="B63" s="137">
        <v>12</v>
      </c>
      <c r="C63" s="180" t="e">
        <f>'INFORME '!#REF!</f>
        <v>#REF!</v>
      </c>
      <c r="D63" s="35" t="e">
        <f>'INFORME '!#REF!</f>
        <v>#REF!</v>
      </c>
      <c r="E63" s="1"/>
      <c r="F63" s="35" t="e">
        <f>'INFORME '!#REF!</f>
        <v>#REF!</v>
      </c>
      <c r="G63" s="35" t="e">
        <f>'INFORME '!#REF!</f>
        <v>#REF!</v>
      </c>
      <c r="H63" s="14" t="e">
        <f>'INFORME '!#REF!</f>
        <v>#REF!</v>
      </c>
      <c r="I63" s="35" t="e">
        <f>'INFORME '!#REF!</f>
        <v>#REF!</v>
      </c>
      <c r="J63" s="1" t="s">
        <v>29</v>
      </c>
      <c r="K63" s="35" t="e">
        <f>'INFORME '!#REF!</f>
        <v>#REF!</v>
      </c>
      <c r="L63" s="35" t="e">
        <f>'INFORME '!#REF!</f>
        <v>#REF!</v>
      </c>
      <c r="M63" s="35" t="s">
        <v>487</v>
      </c>
      <c r="N63" s="14"/>
      <c r="O63" s="14">
        <v>1</v>
      </c>
      <c r="P63" s="1" t="s">
        <v>538</v>
      </c>
      <c r="Q63" s="1" t="s">
        <v>505</v>
      </c>
      <c r="R63" s="14">
        <v>137.66</v>
      </c>
      <c r="S63" s="14" t="e">
        <f>'INFORME '!#REF!</f>
        <v>#REF!</v>
      </c>
      <c r="T63" s="284" t="s">
        <v>565</v>
      </c>
    </row>
    <row r="64" spans="2:20" ht="17" thickBot="1">
      <c r="B64" s="137">
        <v>13</v>
      </c>
      <c r="C64" s="180" t="e">
        <f>'INFORME '!#REF!</f>
        <v>#REF!</v>
      </c>
      <c r="D64" s="35" t="e">
        <f>'INFORME '!#REF!</f>
        <v>#REF!</v>
      </c>
      <c r="E64" s="1" t="s">
        <v>579</v>
      </c>
      <c r="F64" s="35" t="e">
        <f>'INFORME '!#REF!</f>
        <v>#REF!</v>
      </c>
      <c r="G64" s="35" t="e">
        <f>'INFORME '!#REF!</f>
        <v>#REF!</v>
      </c>
      <c r="H64" s="14" t="e">
        <f>'INFORME '!#REF!</f>
        <v>#REF!</v>
      </c>
      <c r="I64" s="35" t="e">
        <f>'INFORME '!#REF!</f>
        <v>#REF!</v>
      </c>
      <c r="J64" s="1">
        <v>30622520</v>
      </c>
      <c r="K64" s="35" t="e">
        <f>'INFORME '!#REF!</f>
        <v>#REF!</v>
      </c>
      <c r="L64" s="35" t="e">
        <f>'INFORME '!#REF!</f>
        <v>#REF!</v>
      </c>
      <c r="M64" s="35"/>
      <c r="N64" s="14"/>
      <c r="O64" s="14"/>
      <c r="P64" s="1"/>
      <c r="Q64" s="1"/>
      <c r="R64" s="14"/>
      <c r="S64" s="14" t="e">
        <f>'INFORME '!#REF!</f>
        <v>#REF!</v>
      </c>
      <c r="T64" s="284"/>
    </row>
    <row r="65" spans="2:20" ht="16" hidden="1" thickBot="1">
      <c r="B65" s="137">
        <v>20</v>
      </c>
      <c r="C65" s="34"/>
      <c r="D65" s="35"/>
      <c r="E65" s="35"/>
      <c r="F65" s="14"/>
      <c r="G65" s="9"/>
      <c r="H65" s="14"/>
      <c r="I65" s="14"/>
      <c r="J65" s="14"/>
      <c r="K65" s="14"/>
      <c r="L65" s="35"/>
      <c r="M65" s="117"/>
      <c r="N65" s="148"/>
      <c r="O65" s="148"/>
      <c r="P65" s="117"/>
      <c r="Q65" s="117"/>
      <c r="R65" s="148"/>
      <c r="S65" s="117"/>
      <c r="T65" s="284"/>
    </row>
    <row r="66" spans="2:20" ht="16" hidden="1" thickBot="1">
      <c r="B66" s="137">
        <v>21</v>
      </c>
      <c r="C66" s="34"/>
      <c r="D66" s="35"/>
      <c r="E66" s="35"/>
      <c r="F66" s="14"/>
      <c r="G66" s="9"/>
      <c r="H66" s="14"/>
      <c r="I66" s="14"/>
      <c r="J66" s="14"/>
      <c r="K66" s="14"/>
      <c r="L66" s="35"/>
      <c r="M66" s="117"/>
      <c r="N66" s="148"/>
      <c r="O66" s="148"/>
      <c r="P66" s="117"/>
      <c r="Q66" s="117"/>
      <c r="R66" s="148"/>
      <c r="S66" s="117"/>
      <c r="T66" s="284"/>
    </row>
    <row r="67" spans="2:20" ht="16" hidden="1" thickBot="1">
      <c r="B67" s="137">
        <v>22</v>
      </c>
      <c r="C67" s="34"/>
      <c r="D67" s="35"/>
      <c r="E67" s="35"/>
      <c r="F67" s="14"/>
      <c r="G67" s="9"/>
      <c r="H67" s="14"/>
      <c r="I67" s="14"/>
      <c r="J67" s="14"/>
      <c r="K67" s="14"/>
      <c r="L67" s="35"/>
      <c r="M67" s="117"/>
      <c r="N67" s="148"/>
      <c r="O67" s="148"/>
      <c r="P67" s="117"/>
      <c r="Q67" s="117"/>
      <c r="R67" s="148"/>
      <c r="S67" s="117"/>
      <c r="T67" s="284"/>
    </row>
    <row r="68" spans="2:20" ht="16" hidden="1" thickBot="1">
      <c r="B68" s="137">
        <v>23</v>
      </c>
      <c r="C68" s="34"/>
      <c r="D68" s="35"/>
      <c r="E68" s="35"/>
      <c r="F68" s="14"/>
      <c r="G68" s="9"/>
      <c r="H68" s="14"/>
      <c r="I68" s="14"/>
      <c r="J68" s="14"/>
      <c r="K68" s="14"/>
      <c r="L68" s="35"/>
      <c r="M68" s="117"/>
      <c r="N68" s="148"/>
      <c r="O68" s="148"/>
      <c r="P68" s="117"/>
      <c r="Q68" s="117"/>
      <c r="R68" s="148"/>
      <c r="S68" s="117"/>
      <c r="T68" s="284"/>
    </row>
    <row r="69" spans="2:20" ht="16" hidden="1" thickBot="1">
      <c r="B69" s="137">
        <v>24</v>
      </c>
      <c r="C69" s="34"/>
      <c r="D69" s="35"/>
      <c r="E69" s="35"/>
      <c r="F69" s="14"/>
      <c r="G69" s="9"/>
      <c r="H69" s="14"/>
      <c r="I69" s="14"/>
      <c r="J69" s="14"/>
      <c r="K69" s="14"/>
      <c r="L69" s="35"/>
      <c r="M69" s="117"/>
      <c r="N69" s="148"/>
      <c r="O69" s="148"/>
      <c r="P69" s="117"/>
      <c r="Q69" s="117"/>
      <c r="R69" s="148"/>
      <c r="S69" s="117"/>
      <c r="T69" s="284"/>
    </row>
    <row r="70" spans="2:20" ht="16" hidden="1" thickBot="1">
      <c r="B70" s="137">
        <v>25</v>
      </c>
      <c r="C70" s="34"/>
      <c r="D70" s="35"/>
      <c r="E70" s="35"/>
      <c r="F70" s="14"/>
      <c r="G70" s="9"/>
      <c r="H70" s="14"/>
      <c r="I70" s="14"/>
      <c r="J70" s="14"/>
      <c r="K70" s="14"/>
      <c r="L70" s="35"/>
      <c r="M70" s="117"/>
      <c r="N70" s="148"/>
      <c r="O70" s="148"/>
      <c r="P70" s="117"/>
      <c r="Q70" s="117"/>
      <c r="R70" s="148"/>
      <c r="S70" s="117"/>
      <c r="T70" s="284"/>
    </row>
    <row r="71" spans="2:20" ht="16" hidden="1" thickBot="1">
      <c r="B71" s="137">
        <v>26</v>
      </c>
      <c r="C71" s="34"/>
      <c r="D71" s="35"/>
      <c r="E71" s="35"/>
      <c r="F71" s="14"/>
      <c r="G71" s="9"/>
      <c r="H71" s="14"/>
      <c r="I71" s="14"/>
      <c r="J71" s="14"/>
      <c r="K71" s="14"/>
      <c r="L71" s="35"/>
      <c r="M71" s="117"/>
      <c r="N71" s="148"/>
      <c r="O71" s="148"/>
      <c r="P71" s="117"/>
      <c r="Q71" s="117"/>
      <c r="R71" s="148"/>
      <c r="S71" s="117"/>
      <c r="T71" s="284"/>
    </row>
    <row r="72" spans="2:20" ht="16" hidden="1" thickBot="1">
      <c r="B72" s="137">
        <v>27</v>
      </c>
      <c r="C72" s="34"/>
      <c r="D72" s="35"/>
      <c r="E72" s="35"/>
      <c r="F72" s="14"/>
      <c r="G72" s="9"/>
      <c r="H72" s="14"/>
      <c r="I72" s="14"/>
      <c r="J72" s="14"/>
      <c r="K72" s="14"/>
      <c r="L72" s="35"/>
      <c r="M72" s="117"/>
      <c r="N72" s="148"/>
      <c r="O72" s="148"/>
      <c r="P72" s="117"/>
      <c r="Q72" s="117"/>
      <c r="R72" s="148"/>
      <c r="S72" s="117"/>
      <c r="T72" s="284"/>
    </row>
    <row r="73" spans="2:20" ht="16" hidden="1" thickBot="1">
      <c r="B73" s="137">
        <v>28</v>
      </c>
      <c r="C73" s="34"/>
      <c r="D73" s="35"/>
      <c r="E73" s="35"/>
      <c r="F73" s="14"/>
      <c r="G73" s="9"/>
      <c r="H73" s="14"/>
      <c r="I73" s="14"/>
      <c r="J73" s="14"/>
      <c r="K73" s="14"/>
      <c r="L73" s="35"/>
      <c r="M73" s="117"/>
      <c r="N73" s="148"/>
      <c r="O73" s="148"/>
      <c r="P73" s="117"/>
      <c r="Q73" s="117"/>
      <c r="R73" s="148"/>
      <c r="S73" s="117"/>
      <c r="T73" s="284"/>
    </row>
    <row r="74" spans="2:20" ht="16" hidden="1" thickBot="1">
      <c r="B74" s="137">
        <v>29</v>
      </c>
      <c r="C74" s="34"/>
      <c r="D74" s="35"/>
      <c r="E74" s="35"/>
      <c r="F74" s="14"/>
      <c r="G74" s="9"/>
      <c r="H74" s="14"/>
      <c r="I74" s="14"/>
      <c r="J74" s="14"/>
      <c r="K74" s="14"/>
      <c r="L74" s="35"/>
      <c r="M74" s="117"/>
      <c r="N74" s="148"/>
      <c r="O74" s="148"/>
      <c r="P74" s="117"/>
      <c r="Q74" s="117"/>
      <c r="R74" s="148"/>
      <c r="S74" s="117"/>
      <c r="T74" s="284"/>
    </row>
    <row r="75" spans="2:20" ht="16" hidden="1" thickBot="1">
      <c r="B75" s="137">
        <v>30</v>
      </c>
      <c r="C75" s="34"/>
      <c r="D75" s="35"/>
      <c r="E75" s="35"/>
      <c r="F75" s="14"/>
      <c r="G75" s="9"/>
      <c r="H75" s="14"/>
      <c r="I75" s="14"/>
      <c r="J75" s="14"/>
      <c r="K75" s="14"/>
      <c r="L75" s="35"/>
      <c r="M75" s="117"/>
      <c r="N75" s="148"/>
      <c r="O75" s="148"/>
      <c r="P75" s="117"/>
      <c r="Q75" s="117"/>
      <c r="R75" s="148"/>
      <c r="S75" s="117"/>
      <c r="T75" s="284"/>
    </row>
    <row r="76" spans="2:20" ht="16" hidden="1" thickBot="1">
      <c r="B76" s="137">
        <v>31</v>
      </c>
      <c r="C76" s="34"/>
      <c r="D76" s="35"/>
      <c r="E76" s="35"/>
      <c r="F76" s="14"/>
      <c r="G76" s="9"/>
      <c r="H76" s="14"/>
      <c r="I76" s="14"/>
      <c r="J76" s="14"/>
      <c r="K76" s="14"/>
      <c r="L76" s="35"/>
      <c r="M76" s="117"/>
      <c r="N76" s="148"/>
      <c r="O76" s="148"/>
      <c r="P76" s="117"/>
      <c r="Q76" s="117"/>
      <c r="R76" s="148"/>
      <c r="S76" s="117"/>
      <c r="T76" s="284"/>
    </row>
    <row r="77" spans="2:20" ht="16" hidden="1" thickBot="1">
      <c r="B77" s="137">
        <v>32</v>
      </c>
      <c r="C77" s="34"/>
      <c r="D77" s="35"/>
      <c r="E77" s="35"/>
      <c r="F77" s="14"/>
      <c r="G77" s="9"/>
      <c r="H77" s="14"/>
      <c r="I77" s="14"/>
      <c r="J77" s="14"/>
      <c r="K77" s="14"/>
      <c r="L77" s="35"/>
      <c r="M77" s="117"/>
      <c r="N77" s="148"/>
      <c r="O77" s="148"/>
      <c r="P77" s="117"/>
      <c r="Q77" s="117"/>
      <c r="R77" s="148"/>
      <c r="S77" s="117"/>
      <c r="T77" s="284"/>
    </row>
    <row r="78" spans="2:20" ht="16" hidden="1" thickBot="1">
      <c r="B78" s="137">
        <v>33</v>
      </c>
      <c r="C78" s="34"/>
      <c r="D78" s="35"/>
      <c r="E78" s="35"/>
      <c r="F78" s="14"/>
      <c r="G78" s="9"/>
      <c r="H78" s="14"/>
      <c r="I78" s="14"/>
      <c r="J78" s="14"/>
      <c r="K78" s="14"/>
      <c r="L78" s="35"/>
      <c r="M78" s="117"/>
      <c r="N78" s="148"/>
      <c r="O78" s="148"/>
      <c r="P78" s="117"/>
      <c r="Q78" s="117"/>
      <c r="R78" s="148"/>
      <c r="S78" s="117"/>
      <c r="T78" s="284"/>
    </row>
    <row r="79" spans="2:20" ht="16" hidden="1" thickBot="1">
      <c r="B79" s="137">
        <v>34</v>
      </c>
      <c r="C79" s="34"/>
      <c r="D79" s="35"/>
      <c r="E79" s="35"/>
      <c r="F79" s="14"/>
      <c r="G79" s="9"/>
      <c r="H79" s="14"/>
      <c r="I79" s="14"/>
      <c r="J79" s="14"/>
      <c r="K79" s="14"/>
      <c r="L79" s="35"/>
      <c r="M79" s="117"/>
      <c r="N79" s="148"/>
      <c r="O79" s="148"/>
      <c r="P79" s="117"/>
      <c r="Q79" s="117"/>
      <c r="R79" s="148"/>
      <c r="S79" s="117"/>
      <c r="T79" s="284"/>
    </row>
    <row r="80" spans="2:20" ht="16" hidden="1" thickBot="1">
      <c r="B80" s="137">
        <v>35</v>
      </c>
      <c r="C80" s="34"/>
      <c r="D80" s="35"/>
      <c r="E80" s="35"/>
      <c r="F80" s="14"/>
      <c r="G80" s="9"/>
      <c r="H80" s="14"/>
      <c r="I80" s="14"/>
      <c r="J80" s="14"/>
      <c r="K80" s="14"/>
      <c r="L80" s="35"/>
      <c r="M80" s="117"/>
      <c r="N80" s="148"/>
      <c r="O80" s="148"/>
      <c r="P80" s="117"/>
      <c r="Q80" s="117"/>
      <c r="R80" s="148"/>
      <c r="S80" s="117"/>
      <c r="T80" s="284"/>
    </row>
    <row r="81" spans="2:20" ht="16" hidden="1" thickBot="1">
      <c r="B81" s="137">
        <v>36</v>
      </c>
      <c r="C81" s="34"/>
      <c r="D81" s="35"/>
      <c r="E81" s="35"/>
      <c r="F81" s="14"/>
      <c r="G81" s="57"/>
      <c r="H81" s="14"/>
      <c r="I81" s="14"/>
      <c r="J81" s="14"/>
      <c r="K81" s="35"/>
      <c r="L81" s="35"/>
      <c r="M81" s="117"/>
      <c r="N81" s="148"/>
      <c r="O81" s="148"/>
      <c r="P81" s="117"/>
      <c r="Q81" s="117"/>
      <c r="R81" s="148"/>
      <c r="S81" s="117"/>
      <c r="T81" s="284"/>
    </row>
    <row r="82" spans="2:20" ht="16" hidden="1" thickBot="1">
      <c r="B82" s="137">
        <v>37</v>
      </c>
      <c r="C82" s="34"/>
      <c r="D82" s="35"/>
      <c r="E82" s="35"/>
      <c r="F82" s="14"/>
      <c r="G82" s="9"/>
      <c r="H82" s="14"/>
      <c r="I82" s="14"/>
      <c r="J82" s="14"/>
      <c r="K82" s="14"/>
      <c r="L82" s="35"/>
      <c r="M82" s="117"/>
      <c r="N82" s="148"/>
      <c r="O82" s="148"/>
      <c r="P82" s="117"/>
      <c r="Q82" s="117"/>
      <c r="R82" s="148"/>
      <c r="S82" s="117"/>
      <c r="T82" s="284"/>
    </row>
    <row r="83" spans="2:20" ht="16" hidden="1" thickBot="1">
      <c r="B83" s="137">
        <v>38</v>
      </c>
      <c r="C83" s="34"/>
      <c r="D83" s="35"/>
      <c r="E83" s="35"/>
      <c r="F83" s="14"/>
      <c r="G83" s="9"/>
      <c r="H83" s="14"/>
      <c r="I83" s="14"/>
      <c r="J83" s="14"/>
      <c r="K83" s="14"/>
      <c r="L83" s="35"/>
      <c r="M83" s="117"/>
      <c r="N83" s="148"/>
      <c r="O83" s="148"/>
      <c r="P83" s="117"/>
      <c r="Q83" s="117"/>
      <c r="R83" s="148"/>
      <c r="S83" s="117"/>
      <c r="T83" s="284"/>
    </row>
    <row r="84" spans="2:20" ht="16" hidden="1" thickBot="1">
      <c r="B84" s="137">
        <v>39</v>
      </c>
      <c r="C84" s="34"/>
      <c r="D84" s="35"/>
      <c r="E84" s="35"/>
      <c r="F84" s="14"/>
      <c r="G84" s="9"/>
      <c r="H84" s="14"/>
      <c r="I84" s="14"/>
      <c r="J84" s="14"/>
      <c r="K84" s="14"/>
      <c r="L84" s="35"/>
      <c r="M84" s="117"/>
      <c r="N84" s="148"/>
      <c r="O84" s="148"/>
      <c r="P84" s="117"/>
      <c r="Q84" s="117"/>
      <c r="R84" s="148"/>
      <c r="S84" s="117"/>
      <c r="T84" s="284"/>
    </row>
    <row r="85" spans="2:20" ht="16" hidden="1" thickBot="1">
      <c r="B85" s="137">
        <v>40</v>
      </c>
      <c r="C85" s="34"/>
      <c r="D85" s="35"/>
      <c r="E85" s="35"/>
      <c r="F85" s="14"/>
      <c r="G85" s="9"/>
      <c r="H85" s="14"/>
      <c r="I85" s="14"/>
      <c r="J85" s="14"/>
      <c r="K85" s="14"/>
      <c r="L85" s="35"/>
      <c r="M85" s="117"/>
      <c r="N85" s="148"/>
      <c r="O85" s="148"/>
      <c r="P85" s="117"/>
      <c r="Q85" s="117"/>
      <c r="R85" s="148"/>
      <c r="S85" s="117"/>
      <c r="T85" s="284"/>
    </row>
    <row r="86" spans="2:20" ht="16" hidden="1" thickBot="1">
      <c r="B86" s="137">
        <v>41</v>
      </c>
      <c r="C86" s="34"/>
      <c r="D86" s="35"/>
      <c r="E86" s="35"/>
      <c r="F86" s="14"/>
      <c r="G86" s="9"/>
      <c r="H86" s="14"/>
      <c r="I86" s="14"/>
      <c r="J86" s="14"/>
      <c r="K86" s="14"/>
      <c r="L86" s="35"/>
      <c r="M86" s="117"/>
      <c r="N86" s="148"/>
      <c r="O86" s="148"/>
      <c r="P86" s="117"/>
      <c r="Q86" s="117"/>
      <c r="R86" s="148"/>
      <c r="S86" s="117"/>
      <c r="T86" s="284"/>
    </row>
    <row r="87" spans="2:20" ht="16" hidden="1" thickBot="1">
      <c r="B87" s="137">
        <v>42</v>
      </c>
      <c r="C87" s="34"/>
      <c r="D87" s="35"/>
      <c r="E87" s="35"/>
      <c r="F87" s="14"/>
      <c r="G87" s="9"/>
      <c r="H87" s="14"/>
      <c r="I87" s="14"/>
      <c r="J87" s="14"/>
      <c r="K87" s="14"/>
      <c r="L87" s="35"/>
      <c r="M87" s="117"/>
      <c r="N87" s="148"/>
      <c r="O87" s="148"/>
      <c r="P87" s="117"/>
      <c r="Q87" s="117"/>
      <c r="R87" s="148"/>
      <c r="S87" s="117"/>
      <c r="T87" s="284"/>
    </row>
    <row r="88" spans="2:20" ht="16" hidden="1" thickBot="1">
      <c r="B88" s="137">
        <v>43</v>
      </c>
      <c r="C88" s="34"/>
      <c r="D88" s="35"/>
      <c r="E88" s="35"/>
      <c r="F88" s="14"/>
      <c r="G88" s="9"/>
      <c r="H88" s="14"/>
      <c r="I88" s="14"/>
      <c r="J88" s="14"/>
      <c r="K88" s="14"/>
      <c r="L88" s="35"/>
      <c r="M88" s="117"/>
      <c r="N88" s="148"/>
      <c r="O88" s="148"/>
      <c r="P88" s="117"/>
      <c r="Q88" s="117"/>
      <c r="R88" s="148"/>
      <c r="S88" s="117"/>
      <c r="T88" s="284"/>
    </row>
    <row r="89" spans="2:20" ht="16" hidden="1" thickBot="1">
      <c r="B89" s="137">
        <v>44</v>
      </c>
      <c r="C89" s="34"/>
      <c r="D89" s="35"/>
      <c r="E89" s="35"/>
      <c r="F89" s="14"/>
      <c r="G89" s="9"/>
      <c r="H89" s="14"/>
      <c r="I89" s="14"/>
      <c r="J89" s="14"/>
      <c r="K89" s="14"/>
      <c r="L89" s="35"/>
      <c r="M89" s="117"/>
      <c r="N89" s="148"/>
      <c r="O89" s="148"/>
      <c r="P89" s="117"/>
      <c r="Q89" s="117"/>
      <c r="R89" s="148"/>
      <c r="S89" s="117"/>
      <c r="T89" s="284"/>
    </row>
    <row r="90" spans="2:20" ht="16" hidden="1" thickBot="1">
      <c r="B90" s="137">
        <v>45</v>
      </c>
      <c r="C90" s="34"/>
      <c r="D90" s="35"/>
      <c r="E90" s="35"/>
      <c r="F90" s="14"/>
      <c r="G90" s="9"/>
      <c r="H90" s="14"/>
      <c r="I90" s="14"/>
      <c r="J90" s="14"/>
      <c r="K90" s="14"/>
      <c r="L90" s="35"/>
      <c r="M90" s="117"/>
      <c r="N90" s="148"/>
      <c r="O90" s="148"/>
      <c r="P90" s="117"/>
      <c r="Q90" s="117"/>
      <c r="R90" s="148"/>
      <c r="S90" s="117"/>
      <c r="T90" s="284"/>
    </row>
    <row r="91" spans="2:20" ht="16" hidden="1" thickBot="1">
      <c r="B91" s="137">
        <v>46</v>
      </c>
      <c r="C91" s="34"/>
      <c r="D91" s="35"/>
      <c r="E91" s="35"/>
      <c r="F91" s="14"/>
      <c r="G91" s="9"/>
      <c r="H91" s="14"/>
      <c r="I91" s="14"/>
      <c r="J91" s="14"/>
      <c r="K91" s="35"/>
      <c r="L91" s="35"/>
      <c r="M91" s="117"/>
      <c r="N91" s="148"/>
      <c r="O91" s="148"/>
      <c r="P91" s="117"/>
      <c r="Q91" s="117"/>
      <c r="R91" s="148"/>
      <c r="S91" s="117"/>
      <c r="T91" s="284"/>
    </row>
    <row r="92" spans="2:20" ht="16" hidden="1" thickBot="1">
      <c r="B92" s="137">
        <v>47</v>
      </c>
      <c r="C92" s="34"/>
      <c r="D92" s="35"/>
      <c r="E92" s="35"/>
      <c r="F92" s="14"/>
      <c r="G92" s="9"/>
      <c r="H92" s="14"/>
      <c r="I92" s="14"/>
      <c r="J92" s="14"/>
      <c r="K92" s="35"/>
      <c r="L92" s="35"/>
      <c r="M92" s="117"/>
      <c r="N92" s="148"/>
      <c r="O92" s="148"/>
      <c r="P92" s="117"/>
      <c r="Q92" s="117"/>
      <c r="R92" s="148"/>
      <c r="S92" s="117"/>
      <c r="T92" s="284"/>
    </row>
    <row r="93" spans="2:20" ht="16" hidden="1" thickBot="1">
      <c r="B93" s="137">
        <v>48</v>
      </c>
      <c r="C93" s="34"/>
      <c r="D93" s="35"/>
      <c r="E93" s="35"/>
      <c r="F93" s="14"/>
      <c r="G93" s="9"/>
      <c r="H93" s="14"/>
      <c r="I93" s="14"/>
      <c r="J93" s="14"/>
      <c r="K93" s="35"/>
      <c r="L93" s="35"/>
      <c r="M93" s="117"/>
      <c r="N93" s="148"/>
      <c r="O93" s="148"/>
      <c r="P93" s="117"/>
      <c r="Q93" s="117"/>
      <c r="R93" s="148"/>
      <c r="S93" s="117"/>
      <c r="T93" s="284"/>
    </row>
    <row r="94" spans="2:20" ht="16" hidden="1" thickBot="1">
      <c r="B94" s="137">
        <v>49</v>
      </c>
      <c r="C94" s="34"/>
      <c r="D94" s="35"/>
      <c r="E94" s="35"/>
      <c r="F94" s="14"/>
      <c r="G94" s="14"/>
      <c r="H94" s="14"/>
      <c r="I94" s="9"/>
      <c r="J94" s="9"/>
      <c r="K94" s="35"/>
      <c r="L94" s="35"/>
      <c r="M94" s="117"/>
      <c r="N94" s="148"/>
      <c r="O94" s="148"/>
      <c r="P94" s="117"/>
      <c r="Q94" s="117"/>
      <c r="R94" s="148"/>
      <c r="S94" s="117"/>
      <c r="T94" s="284"/>
    </row>
    <row r="95" spans="2:20" ht="16" hidden="1" thickBot="1">
      <c r="B95" s="137">
        <v>50</v>
      </c>
      <c r="C95" s="34"/>
      <c r="D95" s="35"/>
      <c r="E95" s="35"/>
      <c r="F95" s="14"/>
      <c r="G95" s="14"/>
      <c r="H95" s="14"/>
      <c r="I95" s="9"/>
      <c r="J95" s="9"/>
      <c r="K95" s="35"/>
      <c r="L95" s="35"/>
      <c r="M95" s="117"/>
      <c r="N95" s="148"/>
      <c r="O95" s="148"/>
      <c r="P95" s="117"/>
      <c r="Q95" s="117"/>
      <c r="R95" s="148"/>
      <c r="S95" s="117"/>
      <c r="T95" s="284"/>
    </row>
    <row r="96" spans="2:20" ht="16" hidden="1" thickBot="1">
      <c r="B96" s="137">
        <v>51</v>
      </c>
      <c r="C96" s="181"/>
      <c r="D96" s="172"/>
      <c r="E96" s="172"/>
      <c r="F96" s="53"/>
      <c r="G96" s="28"/>
      <c r="H96" s="28"/>
      <c r="I96" s="29"/>
      <c r="J96" s="29"/>
      <c r="K96" s="173"/>
      <c r="L96" s="173"/>
      <c r="M96" s="174"/>
      <c r="N96" s="175"/>
      <c r="O96" s="175"/>
      <c r="P96" s="174"/>
      <c r="Q96" s="174"/>
      <c r="R96" s="175"/>
      <c r="S96" s="174"/>
      <c r="T96" s="288"/>
    </row>
    <row r="97" spans="2:20" ht="22" thickBot="1">
      <c r="B97" s="376" t="s">
        <v>30</v>
      </c>
      <c r="C97" s="377"/>
      <c r="D97" s="377"/>
      <c r="E97" s="377"/>
      <c r="F97" s="378"/>
      <c r="G97" s="379" t="s">
        <v>364</v>
      </c>
      <c r="H97" s="380"/>
      <c r="I97" s="380"/>
      <c r="J97" s="380"/>
      <c r="K97" s="380"/>
      <c r="L97" s="380"/>
      <c r="M97" s="380"/>
      <c r="N97" s="380"/>
      <c r="O97" s="380"/>
      <c r="P97" s="380"/>
      <c r="Q97" s="380"/>
      <c r="R97" s="380"/>
      <c r="S97" s="380"/>
      <c r="T97" s="381"/>
    </row>
    <row r="98" spans="2:20" s="169" customFormat="1">
      <c r="T98" s="279"/>
    </row>
    <row r="99" spans="2:20" s="169" customFormat="1">
      <c r="T99" s="279"/>
    </row>
    <row r="100" spans="2:20" s="169" customFormat="1">
      <c r="T100" s="279"/>
    </row>
    <row r="101" spans="2:20" s="169" customFormat="1" ht="16" thickBot="1">
      <c r="T101" s="279"/>
    </row>
    <row r="102" spans="2:20" ht="24" customHeight="1" thickBot="1">
      <c r="B102" s="373" t="s">
        <v>583</v>
      </c>
      <c r="C102" s="374"/>
      <c r="D102" s="374"/>
      <c r="E102" s="374"/>
      <c r="F102" s="374"/>
      <c r="G102" s="374"/>
      <c r="H102" s="374"/>
      <c r="I102" s="374"/>
      <c r="J102" s="374"/>
      <c r="K102" s="374"/>
      <c r="L102" s="374"/>
      <c r="M102" s="374"/>
      <c r="N102" s="374"/>
      <c r="O102" s="374"/>
      <c r="P102" s="374"/>
      <c r="Q102" s="374"/>
      <c r="R102" s="374"/>
      <c r="S102" s="374"/>
      <c r="T102" s="375"/>
    </row>
    <row r="103" spans="2:20" ht="31" thickBot="1">
      <c r="B103" s="79" t="s">
        <v>12</v>
      </c>
      <c r="C103" s="79" t="s">
        <v>22</v>
      </c>
      <c r="D103" s="80" t="s">
        <v>14</v>
      </c>
      <c r="E103" s="80" t="s">
        <v>507</v>
      </c>
      <c r="F103" s="80" t="s">
        <v>23</v>
      </c>
      <c r="G103" s="80" t="s">
        <v>24</v>
      </c>
      <c r="H103" s="80" t="s">
        <v>20</v>
      </c>
      <c r="I103" s="80" t="s">
        <v>25</v>
      </c>
      <c r="J103" s="80" t="s">
        <v>422</v>
      </c>
      <c r="K103" s="81" t="s">
        <v>26</v>
      </c>
      <c r="L103" s="81" t="s">
        <v>363</v>
      </c>
      <c r="M103" s="116" t="s">
        <v>485</v>
      </c>
      <c r="N103" s="163" t="s">
        <v>593</v>
      </c>
      <c r="O103" s="163" t="s">
        <v>537</v>
      </c>
      <c r="P103" s="81" t="s">
        <v>529</v>
      </c>
      <c r="Q103" s="81" t="s">
        <v>504</v>
      </c>
      <c r="R103" s="80" t="s">
        <v>490</v>
      </c>
      <c r="S103" s="80" t="s">
        <v>486</v>
      </c>
      <c r="T103" s="280" t="s">
        <v>530</v>
      </c>
    </row>
    <row r="104" spans="2:20">
      <c r="B104" s="185" t="e">
        <f>'INFORME '!#REF!</f>
        <v>#REF!</v>
      </c>
      <c r="C104" s="186" t="e">
        <f>'INFORME '!#REF!</f>
        <v>#REF!</v>
      </c>
      <c r="D104" s="164" t="e">
        <f>'INFORME '!#REF!</f>
        <v>#REF!</v>
      </c>
      <c r="E104" s="164" t="s">
        <v>488</v>
      </c>
      <c r="F104" s="179" t="e">
        <f>'INFORME '!#REF!</f>
        <v>#REF!</v>
      </c>
      <c r="G104" s="179" t="e">
        <f>'INFORME '!#REF!</f>
        <v>#REF!</v>
      </c>
      <c r="H104" s="179" t="e">
        <f>'INFORME '!#REF!</f>
        <v>#REF!</v>
      </c>
      <c r="I104" s="187" t="e">
        <f>'INFORME '!#REF!</f>
        <v>#REF!</v>
      </c>
      <c r="J104" s="187"/>
      <c r="K104" s="164" t="e">
        <f>'INFORME '!#REF!</f>
        <v>#REF!</v>
      </c>
      <c r="L104" s="164" t="e">
        <f>'INFORME '!#REF!</f>
        <v>#REF!</v>
      </c>
      <c r="M104" s="157"/>
      <c r="N104" s="160"/>
      <c r="O104" s="160"/>
      <c r="P104" s="157"/>
      <c r="Q104" s="157"/>
      <c r="R104" s="160"/>
      <c r="S104" s="157" t="e">
        <f>'INFORME '!#REF!</f>
        <v>#REF!</v>
      </c>
      <c r="T104" s="287"/>
    </row>
    <row r="105" spans="2:20" ht="30" customHeight="1">
      <c r="B105" s="185" t="e">
        <f>'INFORME '!#REF!</f>
        <v>#REF!</v>
      </c>
      <c r="C105" s="186" t="e">
        <f>'INFORME '!#REF!</f>
        <v>#REF!</v>
      </c>
      <c r="D105" s="164" t="e">
        <f>'INFORME '!#REF!</f>
        <v>#REF!</v>
      </c>
      <c r="E105" s="164" t="s">
        <v>488</v>
      </c>
      <c r="F105" s="179" t="e">
        <f>'INFORME '!#REF!</f>
        <v>#REF!</v>
      </c>
      <c r="G105" s="179" t="e">
        <f>'INFORME '!#REF!</f>
        <v>#REF!</v>
      </c>
      <c r="H105" s="179" t="e">
        <f>'INFORME '!#REF!</f>
        <v>#REF!</v>
      </c>
      <c r="I105" s="187" t="e">
        <f>'INFORME '!#REF!</f>
        <v>#REF!</v>
      </c>
      <c r="J105" s="187">
        <v>55172688</v>
      </c>
      <c r="K105" s="164" t="e">
        <f>'INFORME '!#REF!</f>
        <v>#REF!</v>
      </c>
      <c r="L105" s="164" t="e">
        <f>'INFORME '!#REF!</f>
        <v>#REF!</v>
      </c>
      <c r="M105" s="157" t="s">
        <v>433</v>
      </c>
      <c r="N105" s="160">
        <v>1</v>
      </c>
      <c r="O105" s="160">
        <v>2</v>
      </c>
      <c r="P105" s="157" t="s">
        <v>538</v>
      </c>
      <c r="Q105" s="157" t="s">
        <v>505</v>
      </c>
      <c r="R105" s="160">
        <v>65.92</v>
      </c>
      <c r="S105" s="157" t="e">
        <f>'INFORME '!#REF!</f>
        <v>#REF!</v>
      </c>
      <c r="T105" s="287" t="s">
        <v>488</v>
      </c>
    </row>
    <row r="106" spans="2:20" ht="28.5" customHeight="1">
      <c r="B106" s="185" t="e">
        <f>'INFORME '!#REF!</f>
        <v>#REF!</v>
      </c>
      <c r="C106" s="186" t="e">
        <f>'INFORME '!#REF!</f>
        <v>#REF!</v>
      </c>
      <c r="D106" s="164" t="e">
        <f>'INFORME '!#REF!</f>
        <v>#REF!</v>
      </c>
      <c r="E106" s="164" t="s">
        <v>16</v>
      </c>
      <c r="F106" s="179" t="e">
        <f>'INFORME '!#REF!</f>
        <v>#REF!</v>
      </c>
      <c r="G106" s="179" t="e">
        <f>'INFORME '!#REF!</f>
        <v>#REF!</v>
      </c>
      <c r="H106" s="179" t="e">
        <f>'INFORME '!#REF!</f>
        <v>#REF!</v>
      </c>
      <c r="I106" s="187" t="e">
        <f>'INFORME '!#REF!</f>
        <v>#REF!</v>
      </c>
      <c r="J106" s="187">
        <v>30975106</v>
      </c>
      <c r="K106" s="164" t="e">
        <f>'INFORME '!#REF!</f>
        <v>#REF!</v>
      </c>
      <c r="L106" s="164" t="e">
        <f>'INFORME '!#REF!</f>
        <v>#REF!</v>
      </c>
      <c r="M106" s="157"/>
      <c r="N106" s="160"/>
      <c r="O106" s="160"/>
      <c r="P106" s="157"/>
      <c r="Q106" s="157"/>
      <c r="R106" s="160"/>
      <c r="S106" s="157" t="e">
        <f>'INFORME '!#REF!</f>
        <v>#REF!</v>
      </c>
      <c r="T106" s="287" t="s">
        <v>637</v>
      </c>
    </row>
    <row r="107" spans="2:20">
      <c r="B107" s="185" t="e">
        <f>'INFORME '!#REF!</f>
        <v>#REF!</v>
      </c>
      <c r="C107" s="186" t="e">
        <f>'INFORME '!#REF!</f>
        <v>#REF!</v>
      </c>
      <c r="D107" s="164" t="e">
        <f>'INFORME '!#REF!</f>
        <v>#REF!</v>
      </c>
      <c r="E107" s="164" t="s">
        <v>488</v>
      </c>
      <c r="F107" s="179" t="e">
        <f>'INFORME '!#REF!</f>
        <v>#REF!</v>
      </c>
      <c r="G107" s="179" t="e">
        <f>'INFORME '!#REF!</f>
        <v>#REF!</v>
      </c>
      <c r="H107" s="179" t="e">
        <f>'INFORME '!#REF!</f>
        <v>#REF!</v>
      </c>
      <c r="I107" s="187" t="e">
        <f>'INFORME '!#REF!</f>
        <v>#REF!</v>
      </c>
      <c r="J107" s="187" t="s">
        <v>29</v>
      </c>
      <c r="K107" s="164" t="e">
        <f>'INFORME '!#REF!</f>
        <v>#REF!</v>
      </c>
      <c r="L107" s="164" t="e">
        <f>'INFORME '!#REF!</f>
        <v>#REF!</v>
      </c>
      <c r="M107" s="157" t="s">
        <v>433</v>
      </c>
      <c r="N107" s="160">
        <v>1</v>
      </c>
      <c r="O107" s="160">
        <v>2</v>
      </c>
      <c r="P107" s="157" t="s">
        <v>538</v>
      </c>
      <c r="Q107" s="157" t="s">
        <v>505</v>
      </c>
      <c r="R107" s="160">
        <v>192.01</v>
      </c>
      <c r="S107" s="157" t="e">
        <f>'INFORME '!#REF!</f>
        <v>#REF!</v>
      </c>
      <c r="T107" s="287" t="s">
        <v>488</v>
      </c>
    </row>
    <row r="108" spans="2:20" ht="32.25" customHeight="1">
      <c r="B108" s="185" t="e">
        <f>'INFORME '!#REF!</f>
        <v>#REF!</v>
      </c>
      <c r="C108" s="186" t="e">
        <f>'INFORME '!#REF!</f>
        <v>#REF!</v>
      </c>
      <c r="D108" s="164" t="e">
        <f>'INFORME '!#REF!</f>
        <v>#REF!</v>
      </c>
      <c r="E108" s="164" t="s">
        <v>488</v>
      </c>
      <c r="F108" s="179" t="e">
        <f>'INFORME '!#REF!</f>
        <v>#REF!</v>
      </c>
      <c r="G108" s="179" t="e">
        <f>'INFORME '!#REF!</f>
        <v>#REF!</v>
      </c>
      <c r="H108" s="179" t="e">
        <f>'INFORME '!#REF!</f>
        <v>#REF!</v>
      </c>
      <c r="I108" s="187" t="e">
        <f>'INFORME '!#REF!</f>
        <v>#REF!</v>
      </c>
      <c r="J108" s="187">
        <v>50029436</v>
      </c>
      <c r="K108" s="164" t="e">
        <f>'INFORME '!#REF!</f>
        <v>#REF!</v>
      </c>
      <c r="L108" s="164" t="e">
        <f>'INFORME '!#REF!</f>
        <v>#REF!</v>
      </c>
      <c r="M108" s="157" t="s">
        <v>597</v>
      </c>
      <c r="N108" s="160" t="s">
        <v>598</v>
      </c>
      <c r="O108" s="160">
        <v>2</v>
      </c>
      <c r="P108" s="157" t="s">
        <v>538</v>
      </c>
      <c r="Q108" s="157" t="s">
        <v>505</v>
      </c>
      <c r="R108" s="160">
        <v>239.08</v>
      </c>
      <c r="S108" s="157" t="e">
        <f>'INFORME '!#REF!</f>
        <v>#REF!</v>
      </c>
      <c r="T108" s="287" t="s">
        <v>488</v>
      </c>
    </row>
    <row r="109" spans="2:20">
      <c r="B109" s="185" t="e">
        <f>'INFORME '!#REF!</f>
        <v>#REF!</v>
      </c>
      <c r="C109" s="186" t="e">
        <f>'INFORME '!#REF!</f>
        <v>#REF!</v>
      </c>
      <c r="D109" s="164" t="e">
        <f>'INFORME '!#REF!</f>
        <v>#REF!</v>
      </c>
      <c r="E109" s="164" t="s">
        <v>488</v>
      </c>
      <c r="F109" s="179" t="e">
        <f>'INFORME '!#REF!</f>
        <v>#REF!</v>
      </c>
      <c r="G109" s="179" t="e">
        <f>'INFORME '!#REF!</f>
        <v>#REF!</v>
      </c>
      <c r="H109" s="179" t="e">
        <f>'INFORME '!#REF!</f>
        <v>#REF!</v>
      </c>
      <c r="I109" s="187" t="e">
        <f>'INFORME '!#REF!</f>
        <v>#REF!</v>
      </c>
      <c r="J109" s="187">
        <v>57335926</v>
      </c>
      <c r="K109" s="164" t="e">
        <f>'INFORME '!#REF!</f>
        <v>#REF!</v>
      </c>
      <c r="L109" s="164" t="e">
        <f>'INFORME '!#REF!</f>
        <v>#REF!</v>
      </c>
      <c r="M109" s="157"/>
      <c r="N109" s="160"/>
      <c r="O109" s="160"/>
      <c r="P109" s="157"/>
      <c r="Q109" s="157"/>
      <c r="R109" s="160"/>
      <c r="S109" s="157" t="e">
        <f>'INFORME '!#REF!</f>
        <v>#REF!</v>
      </c>
      <c r="T109" s="287" t="s">
        <v>601</v>
      </c>
    </row>
    <row r="110" spans="2:20">
      <c r="B110" s="185" t="e">
        <f>'INFORME '!#REF!</f>
        <v>#REF!</v>
      </c>
      <c r="C110" s="186" t="e">
        <f>'INFORME '!#REF!</f>
        <v>#REF!</v>
      </c>
      <c r="D110" s="164" t="e">
        <f>'INFORME '!#REF!</f>
        <v>#REF!</v>
      </c>
      <c r="E110" s="164" t="s">
        <v>16</v>
      </c>
      <c r="F110" s="179" t="e">
        <f>'INFORME '!#REF!</f>
        <v>#REF!</v>
      </c>
      <c r="G110" s="179" t="e">
        <f>'INFORME '!#REF!</f>
        <v>#REF!</v>
      </c>
      <c r="H110" s="179" t="e">
        <f>'INFORME '!#REF!</f>
        <v>#REF!</v>
      </c>
      <c r="I110" s="187" t="e">
        <f>'INFORME '!#REF!</f>
        <v>#REF!</v>
      </c>
      <c r="J110" s="187">
        <v>42105415</v>
      </c>
      <c r="K110" s="164" t="e">
        <f>'INFORME '!#REF!</f>
        <v>#REF!</v>
      </c>
      <c r="L110" s="164" t="e">
        <f>'INFORME '!#REF!</f>
        <v>#REF!</v>
      </c>
      <c r="M110" s="157"/>
      <c r="N110" s="160"/>
      <c r="O110" s="160"/>
      <c r="P110" s="157"/>
      <c r="Q110" s="157"/>
      <c r="R110" s="160"/>
      <c r="S110" s="157" t="e">
        <f>'INFORME '!#REF!</f>
        <v>#REF!</v>
      </c>
      <c r="T110" s="287" t="s">
        <v>606</v>
      </c>
    </row>
    <row r="111" spans="2:20" ht="30">
      <c r="B111" s="185" t="e">
        <f>'INFORME '!#REF!</f>
        <v>#REF!</v>
      </c>
      <c r="C111" s="186" t="e">
        <f>'INFORME '!#REF!</f>
        <v>#REF!</v>
      </c>
      <c r="D111" s="164" t="s">
        <v>609</v>
      </c>
      <c r="E111" s="164" t="s">
        <v>607</v>
      </c>
      <c r="F111" s="179" t="e">
        <f>'INFORME '!#REF!</f>
        <v>#REF!</v>
      </c>
      <c r="G111" s="179" t="e">
        <f>'INFORME '!#REF!</f>
        <v>#REF!</v>
      </c>
      <c r="H111" s="179" t="e">
        <f>'INFORME '!#REF!</f>
        <v>#REF!</v>
      </c>
      <c r="I111" s="187" t="e">
        <f>'INFORME '!#REF!</f>
        <v>#REF!</v>
      </c>
      <c r="J111" s="187">
        <v>59579108</v>
      </c>
      <c r="K111" s="164" t="e">
        <f>'INFORME '!#REF!</f>
        <v>#REF!</v>
      </c>
      <c r="L111" s="164" t="e">
        <f>'INFORME '!#REF!</f>
        <v>#REF!</v>
      </c>
      <c r="M111" s="157" t="s">
        <v>610</v>
      </c>
      <c r="N111" s="160" t="s">
        <v>611</v>
      </c>
      <c r="O111" s="160">
        <v>1</v>
      </c>
      <c r="P111" s="157" t="s">
        <v>612</v>
      </c>
      <c r="Q111" s="157" t="s">
        <v>505</v>
      </c>
      <c r="R111" s="160">
        <v>54.6</v>
      </c>
      <c r="S111" s="157" t="e">
        <f>'INFORME '!#REF!</f>
        <v>#REF!</v>
      </c>
      <c r="T111" s="287" t="s">
        <v>565</v>
      </c>
    </row>
    <row r="112" spans="2:20" ht="30">
      <c r="B112" s="185" t="e">
        <f>'INFORME '!#REF!</f>
        <v>#REF!</v>
      </c>
      <c r="C112" s="186" t="e">
        <f>'INFORME '!#REF!</f>
        <v>#REF!</v>
      </c>
      <c r="D112" s="164" t="e">
        <f>'INFORME '!#REF!</f>
        <v>#REF!</v>
      </c>
      <c r="E112" s="164" t="s">
        <v>488</v>
      </c>
      <c r="F112" s="179" t="e">
        <f>'INFORME '!#REF!</f>
        <v>#REF!</v>
      </c>
      <c r="G112" s="179" t="e">
        <f>'INFORME '!#REF!</f>
        <v>#REF!</v>
      </c>
      <c r="H112" s="179" t="e">
        <f>'INFORME '!#REF!</f>
        <v>#REF!</v>
      </c>
      <c r="I112" s="187" t="e">
        <f>'INFORME '!#REF!</f>
        <v>#REF!</v>
      </c>
      <c r="J112" s="187">
        <v>59526303</v>
      </c>
      <c r="K112" s="164" t="e">
        <f>'INFORME '!#REF!</f>
        <v>#REF!</v>
      </c>
      <c r="L112" s="164" t="e">
        <f>'INFORME '!#REF!</f>
        <v>#REF!</v>
      </c>
      <c r="M112" s="157" t="s">
        <v>433</v>
      </c>
      <c r="N112" s="160" t="s">
        <v>611</v>
      </c>
      <c r="O112" s="160">
        <v>2</v>
      </c>
      <c r="P112" s="157" t="s">
        <v>616</v>
      </c>
      <c r="Q112" s="157" t="s">
        <v>505</v>
      </c>
      <c r="R112" s="160" t="s">
        <v>617</v>
      </c>
      <c r="S112" s="157" t="e">
        <f>'INFORME '!#REF!</f>
        <v>#REF!</v>
      </c>
      <c r="T112" s="287" t="s">
        <v>488</v>
      </c>
    </row>
    <row r="113" spans="2:20">
      <c r="B113" s="185" t="e">
        <f>'INFORME '!#REF!</f>
        <v>#REF!</v>
      </c>
      <c r="C113" s="186" t="e">
        <f>'INFORME '!#REF!</f>
        <v>#REF!</v>
      </c>
      <c r="D113" s="164" t="e">
        <f>'INFORME '!#REF!</f>
        <v>#REF!</v>
      </c>
      <c r="E113" s="164" t="s">
        <v>16</v>
      </c>
      <c r="F113" s="179" t="e">
        <f>'INFORME '!#REF!</f>
        <v>#REF!</v>
      </c>
      <c r="G113" s="179" t="e">
        <f>'INFORME '!#REF!</f>
        <v>#REF!</v>
      </c>
      <c r="H113" s="179" t="e">
        <f>'INFORME '!#REF!</f>
        <v>#REF!</v>
      </c>
      <c r="I113" s="187" t="e">
        <f>'INFORME '!#REF!</f>
        <v>#REF!</v>
      </c>
      <c r="J113" s="187" t="s">
        <v>618</v>
      </c>
      <c r="K113" s="164" t="e">
        <f>'INFORME '!#REF!</f>
        <v>#REF!</v>
      </c>
      <c r="L113" s="164" t="e">
        <f>'INFORME '!#REF!</f>
        <v>#REF!</v>
      </c>
      <c r="M113" s="157"/>
      <c r="N113" s="160"/>
      <c r="O113" s="160"/>
      <c r="P113" s="157"/>
      <c r="Q113" s="157"/>
      <c r="R113" s="160"/>
      <c r="S113" s="157" t="e">
        <f>'INFORME '!#REF!</f>
        <v>#REF!</v>
      </c>
      <c r="T113" s="287"/>
    </row>
    <row r="114" spans="2:20">
      <c r="B114" s="185" t="e">
        <f>'INFORME '!#REF!</f>
        <v>#REF!</v>
      </c>
      <c r="C114" s="186" t="e">
        <f>'INFORME '!#REF!</f>
        <v>#REF!</v>
      </c>
      <c r="D114" s="164" t="e">
        <f>'INFORME '!#REF!</f>
        <v>#REF!</v>
      </c>
      <c r="E114" s="164" t="s">
        <v>488</v>
      </c>
      <c r="F114" s="179" t="e">
        <f>'INFORME '!#REF!</f>
        <v>#REF!</v>
      </c>
      <c r="G114" s="179" t="e">
        <f>'INFORME '!#REF!</f>
        <v>#REF!</v>
      </c>
      <c r="H114" s="179" t="e">
        <f>'INFORME '!#REF!</f>
        <v>#REF!</v>
      </c>
      <c r="I114" s="187" t="e">
        <f>'INFORME '!#REF!</f>
        <v>#REF!</v>
      </c>
      <c r="J114" s="187">
        <v>41632093</v>
      </c>
      <c r="K114" s="164" t="e">
        <f>'INFORME '!#REF!</f>
        <v>#REF!</v>
      </c>
      <c r="L114" s="164" t="e">
        <f>'INFORME '!#REF!</f>
        <v>#REF!</v>
      </c>
      <c r="M114" s="157" t="s">
        <v>433</v>
      </c>
      <c r="N114" s="160">
        <v>1</v>
      </c>
      <c r="O114" s="160">
        <v>2</v>
      </c>
      <c r="P114" s="157" t="s">
        <v>538</v>
      </c>
      <c r="Q114" s="157" t="s">
        <v>505</v>
      </c>
      <c r="R114" s="160">
        <v>181.7</v>
      </c>
      <c r="S114" s="157" t="e">
        <f>'INFORME '!#REF!</f>
        <v>#REF!</v>
      </c>
      <c r="T114" s="287" t="s">
        <v>488</v>
      </c>
    </row>
    <row r="115" spans="2:20" ht="30">
      <c r="B115" s="185" t="e">
        <f>'INFORME '!#REF!</f>
        <v>#REF!</v>
      </c>
      <c r="C115" s="186" t="e">
        <f>'INFORME '!#REF!</f>
        <v>#REF!</v>
      </c>
      <c r="D115" s="164" t="s">
        <v>623</v>
      </c>
      <c r="E115" s="164" t="s">
        <v>620</v>
      </c>
      <c r="F115" s="179" t="e">
        <f>'INFORME '!#REF!</f>
        <v>#REF!</v>
      </c>
      <c r="G115" s="179" t="e">
        <f>'INFORME '!#REF!</f>
        <v>#REF!</v>
      </c>
      <c r="H115" s="179" t="e">
        <f>'INFORME '!#REF!</f>
        <v>#REF!</v>
      </c>
      <c r="I115" s="187" t="e">
        <f>'INFORME '!#REF!</f>
        <v>#REF!</v>
      </c>
      <c r="J115" s="187">
        <v>59575089</v>
      </c>
      <c r="K115" s="164" t="e">
        <f>'INFORME '!#REF!</f>
        <v>#REF!</v>
      </c>
      <c r="L115" s="164" t="e">
        <f>'INFORME '!#REF!</f>
        <v>#REF!</v>
      </c>
      <c r="M115" s="157" t="s">
        <v>433</v>
      </c>
      <c r="N115" s="160">
        <v>1</v>
      </c>
      <c r="O115" s="160">
        <v>2</v>
      </c>
      <c r="P115" s="157" t="s">
        <v>538</v>
      </c>
      <c r="Q115" s="157" t="s">
        <v>505</v>
      </c>
      <c r="R115" s="160">
        <v>287.2</v>
      </c>
      <c r="S115" s="157" t="e">
        <f>'INFORME '!#REF!</f>
        <v>#REF!</v>
      </c>
      <c r="T115" s="287" t="s">
        <v>624</v>
      </c>
    </row>
    <row r="116" spans="2:20" ht="30">
      <c r="B116" s="195" t="e">
        <f>'INFORME '!#REF!</f>
        <v>#REF!</v>
      </c>
      <c r="C116" s="196" t="e">
        <f>'INFORME '!#REF!</f>
        <v>#REF!</v>
      </c>
      <c r="D116" s="197" t="s">
        <v>666</v>
      </c>
      <c r="E116" s="197" t="s">
        <v>625</v>
      </c>
      <c r="F116" s="198" t="e">
        <f>'INFORME '!#REF!</f>
        <v>#REF!</v>
      </c>
      <c r="G116" s="198" t="e">
        <f>'INFORME '!#REF!</f>
        <v>#REF!</v>
      </c>
      <c r="H116" s="198" t="e">
        <f>'INFORME '!#REF!</f>
        <v>#REF!</v>
      </c>
      <c r="I116" s="199" t="e">
        <f>'INFORME '!#REF!</f>
        <v>#REF!</v>
      </c>
      <c r="J116" s="199">
        <v>57307653</v>
      </c>
      <c r="K116" s="197" t="e">
        <f>'INFORME '!#REF!</f>
        <v>#REF!</v>
      </c>
      <c r="L116" s="197" t="e">
        <f>'INFORME '!#REF!</f>
        <v>#REF!</v>
      </c>
      <c r="M116" s="200" t="s">
        <v>639</v>
      </c>
      <c r="N116" s="201" t="s">
        <v>611</v>
      </c>
      <c r="O116" s="201">
        <v>2</v>
      </c>
      <c r="P116" s="200" t="s">
        <v>538</v>
      </c>
      <c r="Q116" s="200" t="s">
        <v>505</v>
      </c>
      <c r="R116" s="201">
        <v>91.82</v>
      </c>
      <c r="S116" s="200" t="e">
        <f>'INFORME '!#REF!</f>
        <v>#REF!</v>
      </c>
      <c r="T116" s="287" t="s">
        <v>673</v>
      </c>
    </row>
    <row r="117" spans="2:20">
      <c r="B117" s="185" t="e">
        <f>'INFORME '!#REF!</f>
        <v>#REF!</v>
      </c>
      <c r="C117" s="186" t="e">
        <f>'INFORME '!#REF!</f>
        <v>#REF!</v>
      </c>
      <c r="D117" s="164" t="e">
        <f>'INFORME '!#REF!</f>
        <v>#REF!</v>
      </c>
      <c r="E117" s="164" t="s">
        <v>488</v>
      </c>
      <c r="F117" s="179" t="e">
        <f>'INFORME '!#REF!</f>
        <v>#REF!</v>
      </c>
      <c r="G117" s="179" t="e">
        <f>'INFORME '!#REF!</f>
        <v>#REF!</v>
      </c>
      <c r="H117" s="179" t="e">
        <f>'INFORME '!#REF!</f>
        <v>#REF!</v>
      </c>
      <c r="I117" s="187" t="e">
        <f>'INFORME '!#REF!</f>
        <v>#REF!</v>
      </c>
      <c r="J117" s="187">
        <v>41800531</v>
      </c>
      <c r="K117" s="164" t="e">
        <f>'INFORME '!#REF!</f>
        <v>#REF!</v>
      </c>
      <c r="L117" s="164" t="e">
        <f>'INFORME '!#REF!</f>
        <v>#REF!</v>
      </c>
      <c r="M117" s="157" t="s">
        <v>433</v>
      </c>
      <c r="N117" s="160">
        <v>1</v>
      </c>
      <c r="O117" s="160">
        <v>2</v>
      </c>
      <c r="P117" s="157" t="s">
        <v>538</v>
      </c>
      <c r="Q117" s="157" t="s">
        <v>505</v>
      </c>
      <c r="R117" s="160">
        <v>81.14</v>
      </c>
      <c r="S117" s="157" t="e">
        <f>'INFORME '!#REF!</f>
        <v>#REF!</v>
      </c>
      <c r="T117" s="287" t="s">
        <v>488</v>
      </c>
    </row>
    <row r="118" spans="2:20">
      <c r="B118" s="185" t="e">
        <f>'INFORME '!#REF!</f>
        <v>#REF!</v>
      </c>
      <c r="C118" s="186" t="e">
        <f>'INFORME '!#REF!</f>
        <v>#REF!</v>
      </c>
      <c r="D118" s="164" t="e">
        <f>'INFORME '!#REF!</f>
        <v>#REF!</v>
      </c>
      <c r="E118" s="164" t="s">
        <v>16</v>
      </c>
      <c r="F118" s="179" t="e">
        <f>'INFORME '!#REF!</f>
        <v>#REF!</v>
      </c>
      <c r="G118" s="179" t="e">
        <f>'INFORME '!#REF!</f>
        <v>#REF!</v>
      </c>
      <c r="H118" s="179" t="e">
        <f>'INFORME '!#REF!</f>
        <v>#REF!</v>
      </c>
      <c r="I118" s="187" t="e">
        <f>'INFORME '!#REF!</f>
        <v>#REF!</v>
      </c>
      <c r="J118" s="187">
        <v>31248881</v>
      </c>
      <c r="K118" s="164" t="e">
        <f>'INFORME '!#REF!</f>
        <v>#REF!</v>
      </c>
      <c r="L118" s="164" t="e">
        <f>'INFORME '!#REF!</f>
        <v>#REF!</v>
      </c>
      <c r="M118" s="157"/>
      <c r="N118" s="160"/>
      <c r="O118" s="160"/>
      <c r="P118" s="157"/>
      <c r="Q118" s="157"/>
      <c r="R118" s="160"/>
      <c r="S118" s="157" t="e">
        <f>'INFORME '!#REF!</f>
        <v>#REF!</v>
      </c>
      <c r="T118" s="287" t="s">
        <v>636</v>
      </c>
    </row>
    <row r="119" spans="2:20" ht="30">
      <c r="B119" s="185" t="e">
        <f>'INFORME '!#REF!</f>
        <v>#REF!</v>
      </c>
      <c r="C119" s="186" t="e">
        <f>'INFORME '!#REF!</f>
        <v>#REF!</v>
      </c>
      <c r="D119" s="164" t="e">
        <f>'INFORME '!#REF!</f>
        <v>#REF!</v>
      </c>
      <c r="E119" s="164" t="s">
        <v>488</v>
      </c>
      <c r="F119" s="179" t="e">
        <f>'INFORME '!#REF!</f>
        <v>#REF!</v>
      </c>
      <c r="G119" s="179" t="e">
        <f>'INFORME '!#REF!</f>
        <v>#REF!</v>
      </c>
      <c r="H119" s="179" t="e">
        <f>'INFORME '!#REF!</f>
        <v>#REF!</v>
      </c>
      <c r="I119" s="187" t="e">
        <f>'INFORME '!#REF!</f>
        <v>#REF!</v>
      </c>
      <c r="J119" s="187">
        <v>77669124</v>
      </c>
      <c r="K119" s="164" t="e">
        <f>'INFORME '!#REF!</f>
        <v>#REF!</v>
      </c>
      <c r="L119" s="164" t="e">
        <f>'INFORME '!#REF!</f>
        <v>#REF!</v>
      </c>
      <c r="M119" s="157" t="s">
        <v>639</v>
      </c>
      <c r="N119" s="160" t="s">
        <v>611</v>
      </c>
      <c r="O119" s="160">
        <v>2</v>
      </c>
      <c r="P119" s="157" t="s">
        <v>538</v>
      </c>
      <c r="Q119" s="157" t="s">
        <v>505</v>
      </c>
      <c r="R119" s="160">
        <v>66.22</v>
      </c>
      <c r="S119" s="157" t="e">
        <f>'INFORME '!#REF!</f>
        <v>#REF!</v>
      </c>
      <c r="T119" s="287" t="s">
        <v>488</v>
      </c>
    </row>
    <row r="120" spans="2:20" ht="30">
      <c r="B120" s="185" t="e">
        <f>'INFORME '!#REF!</f>
        <v>#REF!</v>
      </c>
      <c r="C120" s="186" t="e">
        <f>'INFORME '!#REF!</f>
        <v>#REF!</v>
      </c>
      <c r="D120" s="164" t="s">
        <v>648</v>
      </c>
      <c r="E120" s="164" t="s">
        <v>643</v>
      </c>
      <c r="F120" s="179" t="e">
        <f>'INFORME '!#REF!</f>
        <v>#REF!</v>
      </c>
      <c r="G120" s="179" t="e">
        <f>'INFORME '!#REF!</f>
        <v>#REF!</v>
      </c>
      <c r="H120" s="179" t="e">
        <f>'INFORME '!#REF!</f>
        <v>#REF!</v>
      </c>
      <c r="I120" s="187" t="e">
        <f>'INFORME '!#REF!</f>
        <v>#REF!</v>
      </c>
      <c r="J120" s="187">
        <v>40488353</v>
      </c>
      <c r="K120" s="164" t="e">
        <f>'INFORME '!#REF!</f>
        <v>#REF!</v>
      </c>
      <c r="L120" s="164" t="e">
        <f>'INFORME '!#REF!</f>
        <v>#REF!</v>
      </c>
      <c r="M120" s="157" t="s">
        <v>654</v>
      </c>
      <c r="N120" s="160">
        <v>2</v>
      </c>
      <c r="O120" s="160">
        <v>2</v>
      </c>
      <c r="P120" s="157" t="s">
        <v>612</v>
      </c>
      <c r="Q120" s="157" t="s">
        <v>505</v>
      </c>
      <c r="R120" s="160">
        <v>153</v>
      </c>
      <c r="S120" s="157" t="e">
        <f>'INFORME '!#REF!</f>
        <v>#REF!</v>
      </c>
      <c r="T120" s="287" t="s">
        <v>624</v>
      </c>
    </row>
    <row r="121" spans="2:20" ht="30">
      <c r="B121" s="185" t="e">
        <f>'INFORME '!#REF!</f>
        <v>#REF!</v>
      </c>
      <c r="C121" s="186" t="e">
        <f>'INFORME '!#REF!</f>
        <v>#REF!</v>
      </c>
      <c r="D121" s="164" t="s">
        <v>632</v>
      </c>
      <c r="E121" s="164" t="s">
        <v>642</v>
      </c>
      <c r="F121" s="179" t="e">
        <f>'INFORME '!#REF!</f>
        <v>#REF!</v>
      </c>
      <c r="G121" s="179" t="e">
        <f>'INFORME '!#REF!</f>
        <v>#REF!</v>
      </c>
      <c r="H121" s="179" t="e">
        <f>'INFORME '!#REF!</f>
        <v>#REF!</v>
      </c>
      <c r="I121" s="187" t="e">
        <f>'INFORME '!#REF!</f>
        <v>#REF!</v>
      </c>
      <c r="J121" s="187">
        <v>48644030</v>
      </c>
      <c r="K121" s="164" t="e">
        <f>'INFORME '!#REF!</f>
        <v>#REF!</v>
      </c>
      <c r="L121" s="164" t="e">
        <f>'INFORME '!#REF!</f>
        <v>#REF!</v>
      </c>
      <c r="M121" s="157" t="s">
        <v>650</v>
      </c>
      <c r="N121" s="160">
        <v>1</v>
      </c>
      <c r="O121" s="160">
        <v>1</v>
      </c>
      <c r="P121" s="157" t="s">
        <v>538</v>
      </c>
      <c r="Q121" s="157" t="s">
        <v>505</v>
      </c>
      <c r="R121" s="160">
        <v>101.76</v>
      </c>
      <c r="S121" s="157" t="e">
        <f>'INFORME '!#REF!</f>
        <v>#REF!</v>
      </c>
      <c r="T121" s="287" t="s">
        <v>624</v>
      </c>
    </row>
    <row r="122" spans="2:20">
      <c r="B122" s="185" t="e">
        <f>'INFORME '!#REF!</f>
        <v>#REF!</v>
      </c>
      <c r="C122" s="186" t="e">
        <f>'INFORME '!#REF!</f>
        <v>#REF!</v>
      </c>
      <c r="D122" s="164" t="s">
        <v>627</v>
      </c>
      <c r="E122" s="164" t="s">
        <v>647</v>
      </c>
      <c r="F122" s="179" t="e">
        <f>'INFORME '!#REF!</f>
        <v>#REF!</v>
      </c>
      <c r="G122" s="179" t="e">
        <f>'INFORME '!#REF!</f>
        <v>#REF!</v>
      </c>
      <c r="H122" s="179" t="e">
        <f>'INFORME '!#REF!</f>
        <v>#REF!</v>
      </c>
      <c r="I122" s="187" t="e">
        <f>'INFORME '!#REF!</f>
        <v>#REF!</v>
      </c>
      <c r="J122" s="187">
        <v>57990436</v>
      </c>
      <c r="K122" s="164" t="e">
        <f>'INFORME '!#REF!</f>
        <v>#REF!</v>
      </c>
      <c r="L122" s="164" t="e">
        <f>'INFORME '!#REF!</f>
        <v>#REF!</v>
      </c>
      <c r="M122" s="157"/>
      <c r="N122" s="160"/>
      <c r="O122" s="160"/>
      <c r="P122" s="157"/>
      <c r="Q122" s="157"/>
      <c r="R122" s="160"/>
      <c r="S122" s="157" t="e">
        <f>'INFORME '!#REF!</f>
        <v>#REF!</v>
      </c>
      <c r="T122" s="287" t="s">
        <v>653</v>
      </c>
    </row>
    <row r="123" spans="2:20">
      <c r="B123" s="185" t="e">
        <f>'INFORME '!#REF!</f>
        <v>#REF!</v>
      </c>
      <c r="C123" s="186" t="e">
        <f>'INFORME '!#REF!</f>
        <v>#REF!</v>
      </c>
      <c r="D123" s="164" t="e">
        <f>'INFORME '!#REF!</f>
        <v>#REF!</v>
      </c>
      <c r="E123" s="164" t="s">
        <v>488</v>
      </c>
      <c r="F123" s="179" t="e">
        <f>'INFORME '!#REF!</f>
        <v>#REF!</v>
      </c>
      <c r="G123" s="179" t="e">
        <f>'INFORME '!#REF!</f>
        <v>#REF!</v>
      </c>
      <c r="H123" s="179" t="e">
        <f>'INFORME '!#REF!</f>
        <v>#REF!</v>
      </c>
      <c r="I123" s="187" t="e">
        <f>'INFORME '!#REF!</f>
        <v>#REF!</v>
      </c>
      <c r="J123" s="187">
        <v>52418287</v>
      </c>
      <c r="K123" s="164" t="e">
        <f>'INFORME '!#REF!</f>
        <v>#REF!</v>
      </c>
      <c r="L123" s="164" t="e">
        <f>'INFORME '!#REF!</f>
        <v>#REF!</v>
      </c>
      <c r="M123" s="157"/>
      <c r="N123" s="160"/>
      <c r="O123" s="160"/>
      <c r="P123" s="157"/>
      <c r="Q123" s="157"/>
      <c r="R123" s="160"/>
      <c r="S123" s="157" t="e">
        <f>'INFORME '!#REF!</f>
        <v>#REF!</v>
      </c>
      <c r="T123" s="287" t="s">
        <v>656</v>
      </c>
    </row>
    <row r="124" spans="2:20" ht="30">
      <c r="B124" s="185" t="e">
        <f>'INFORME '!#REF!</f>
        <v>#REF!</v>
      </c>
      <c r="C124" s="186" t="e">
        <f>'INFORME '!#REF!</f>
        <v>#REF!</v>
      </c>
      <c r="D124" s="164" t="s">
        <v>113</v>
      </c>
      <c r="E124" s="164" t="s">
        <v>112</v>
      </c>
      <c r="F124" s="179" t="e">
        <f>'INFORME '!#REF!</f>
        <v>#REF!</v>
      </c>
      <c r="G124" s="179" t="e">
        <f>'INFORME '!#REF!</f>
        <v>#REF!</v>
      </c>
      <c r="H124" s="179" t="e">
        <f>'INFORME '!#REF!</f>
        <v>#REF!</v>
      </c>
      <c r="I124" s="187" t="e">
        <f>'INFORME '!#REF!</f>
        <v>#REF!</v>
      </c>
      <c r="J124" s="187">
        <v>47507188</v>
      </c>
      <c r="K124" s="164" t="e">
        <f>'INFORME '!#REF!</f>
        <v>#REF!</v>
      </c>
      <c r="L124" s="164" t="e">
        <f>'INFORME '!#REF!</f>
        <v>#REF!</v>
      </c>
      <c r="M124" s="157" t="s">
        <v>665</v>
      </c>
      <c r="N124" s="160" t="s">
        <v>598</v>
      </c>
      <c r="O124" s="160">
        <v>1</v>
      </c>
      <c r="P124" s="157" t="s">
        <v>538</v>
      </c>
      <c r="Q124" s="157" t="s">
        <v>505</v>
      </c>
      <c r="R124" s="160">
        <v>95.93</v>
      </c>
      <c r="S124" s="157" t="e">
        <f>'INFORME '!#REF!</f>
        <v>#REF!</v>
      </c>
      <c r="T124" s="287" t="s">
        <v>488</v>
      </c>
    </row>
    <row r="125" spans="2:20" ht="30">
      <c r="B125" s="185" t="e">
        <f>'INFORME '!#REF!</f>
        <v>#REF!</v>
      </c>
      <c r="C125" s="186" t="e">
        <f>'INFORME '!#REF!</f>
        <v>#REF!</v>
      </c>
      <c r="D125" s="164" t="s">
        <v>640</v>
      </c>
      <c r="E125" s="164" t="s">
        <v>664</v>
      </c>
      <c r="F125" s="179" t="e">
        <f>'INFORME '!#REF!</f>
        <v>#REF!</v>
      </c>
      <c r="G125" s="179" t="e">
        <f>'INFORME '!#REF!</f>
        <v>#REF!</v>
      </c>
      <c r="H125" s="179" t="e">
        <f>'INFORME '!#REF!</f>
        <v>#REF!</v>
      </c>
      <c r="I125" s="187" t="e">
        <f>'INFORME '!#REF!</f>
        <v>#REF!</v>
      </c>
      <c r="J125" s="187">
        <v>59684022</v>
      </c>
      <c r="K125" s="164" t="e">
        <f>'INFORME '!#REF!</f>
        <v>#REF!</v>
      </c>
      <c r="L125" s="164" t="e">
        <f>'INFORME '!#REF!</f>
        <v>#REF!</v>
      </c>
      <c r="M125" s="157" t="s">
        <v>520</v>
      </c>
      <c r="N125" s="160">
        <v>1</v>
      </c>
      <c r="O125" s="160">
        <v>1</v>
      </c>
      <c r="P125" s="157" t="s">
        <v>538</v>
      </c>
      <c r="Q125" s="157" t="s">
        <v>505</v>
      </c>
      <c r="R125" s="160">
        <v>38.11</v>
      </c>
      <c r="S125" s="157" t="e">
        <f>'INFORME '!#REF!</f>
        <v>#REF!</v>
      </c>
      <c r="T125" s="287" t="s">
        <v>624</v>
      </c>
    </row>
    <row r="126" spans="2:20">
      <c r="B126" s="185" t="e">
        <f>'INFORME '!#REF!</f>
        <v>#REF!</v>
      </c>
      <c r="C126" s="186" t="e">
        <f>'INFORME '!#REF!</f>
        <v>#REF!</v>
      </c>
      <c r="D126" s="164" t="e">
        <f>'INFORME '!#REF!</f>
        <v>#REF!</v>
      </c>
      <c r="E126" s="164" t="s">
        <v>488</v>
      </c>
      <c r="F126" s="179" t="e">
        <f>'INFORME '!#REF!</f>
        <v>#REF!</v>
      </c>
      <c r="G126" s="179" t="e">
        <f>'INFORME '!#REF!</f>
        <v>#REF!</v>
      </c>
      <c r="H126" s="179" t="e">
        <f>'INFORME '!#REF!</f>
        <v>#REF!</v>
      </c>
      <c r="I126" s="187" t="e">
        <f>'INFORME '!#REF!</f>
        <v>#REF!</v>
      </c>
      <c r="J126" s="187">
        <v>54460753</v>
      </c>
      <c r="K126" s="164" t="e">
        <f>'INFORME '!#REF!</f>
        <v>#REF!</v>
      </c>
      <c r="L126" s="164" t="e">
        <f>'INFORME '!#REF!</f>
        <v>#REF!</v>
      </c>
      <c r="M126" s="157" t="s">
        <v>520</v>
      </c>
      <c r="N126" s="160" t="s">
        <v>611</v>
      </c>
      <c r="O126" s="160">
        <v>1</v>
      </c>
      <c r="P126" s="157" t="s">
        <v>489</v>
      </c>
      <c r="Q126" s="157" t="s">
        <v>505</v>
      </c>
      <c r="R126" s="160">
        <v>46.96</v>
      </c>
      <c r="S126" s="157" t="e">
        <f>'INFORME '!#REF!</f>
        <v>#REF!</v>
      </c>
      <c r="T126" s="287" t="s">
        <v>488</v>
      </c>
    </row>
    <row r="127" spans="2:20">
      <c r="B127" s="185" t="e">
        <f>'INFORME '!#REF!</f>
        <v>#REF!</v>
      </c>
      <c r="C127" s="186" t="e">
        <f>'INFORME '!#REF!</f>
        <v>#REF!</v>
      </c>
      <c r="D127" s="164" t="e">
        <f>'INFORME '!#REF!</f>
        <v>#REF!</v>
      </c>
      <c r="E127" s="164" t="s">
        <v>488</v>
      </c>
      <c r="F127" s="179" t="e">
        <f>'INFORME '!#REF!</f>
        <v>#REF!</v>
      </c>
      <c r="G127" s="179" t="e">
        <f>'INFORME '!#REF!</f>
        <v>#REF!</v>
      </c>
      <c r="H127" s="179" t="e">
        <f>'INFORME '!#REF!</f>
        <v>#REF!</v>
      </c>
      <c r="I127" s="187" t="e">
        <f>'INFORME '!#REF!</f>
        <v>#REF!</v>
      </c>
      <c r="J127" s="187">
        <v>54297929</v>
      </c>
      <c r="K127" s="164" t="e">
        <f>'INFORME '!#REF!</f>
        <v>#REF!</v>
      </c>
      <c r="L127" s="164" t="e">
        <f>'INFORME '!#REF!</f>
        <v>#REF!</v>
      </c>
      <c r="M127" s="157"/>
      <c r="N127" s="160"/>
      <c r="O127" s="160"/>
      <c r="P127" s="157"/>
      <c r="Q127" s="157"/>
      <c r="R127" s="160"/>
      <c r="S127" s="157" t="e">
        <f>'INFORME '!#REF!</f>
        <v>#REF!</v>
      </c>
      <c r="T127" s="287" t="s">
        <v>677</v>
      </c>
    </row>
    <row r="128" spans="2:20" ht="30">
      <c r="B128" s="202" t="e">
        <f>'INFORME '!#REF!</f>
        <v>#REF!</v>
      </c>
      <c r="C128" s="186" t="e">
        <f>'INFORME '!#REF!</f>
        <v>#REF!</v>
      </c>
      <c r="D128" s="164" t="e">
        <f>'INFORME '!#REF!</f>
        <v>#REF!</v>
      </c>
      <c r="E128" s="164" t="s">
        <v>488</v>
      </c>
      <c r="F128" s="179" t="e">
        <f>'INFORME '!#REF!</f>
        <v>#REF!</v>
      </c>
      <c r="G128" s="179" t="e">
        <f>'INFORME '!#REF!</f>
        <v>#REF!</v>
      </c>
      <c r="H128" s="179" t="e">
        <f>'INFORME '!#REF!</f>
        <v>#REF!</v>
      </c>
      <c r="I128" s="187" t="e">
        <f>'INFORME '!#REF!</f>
        <v>#REF!</v>
      </c>
      <c r="J128" s="187">
        <v>59594766</v>
      </c>
      <c r="K128" s="164" t="e">
        <f>'INFORME '!#REF!</f>
        <v>#REF!</v>
      </c>
      <c r="L128" s="164" t="e">
        <f>'INFORME '!#REF!</f>
        <v>#REF!</v>
      </c>
      <c r="M128" s="157" t="s">
        <v>678</v>
      </c>
      <c r="N128" s="160">
        <v>0</v>
      </c>
      <c r="O128" s="160">
        <v>1</v>
      </c>
      <c r="P128" s="157" t="s">
        <v>680</v>
      </c>
      <c r="Q128" s="157" t="s">
        <v>679</v>
      </c>
      <c r="R128" s="160">
        <v>67</v>
      </c>
      <c r="S128" s="157" t="e">
        <f>'INFORME '!#REF!</f>
        <v>#REF!</v>
      </c>
      <c r="T128" s="287" t="s">
        <v>681</v>
      </c>
    </row>
    <row r="129" spans="2:20">
      <c r="B129" s="185" t="e">
        <f>'INFORME '!#REF!</f>
        <v>#REF!</v>
      </c>
      <c r="C129" s="186" t="e">
        <f>'INFORME '!#REF!</f>
        <v>#REF!</v>
      </c>
      <c r="D129" s="164" t="e">
        <f>'INFORME '!#REF!</f>
        <v>#REF!</v>
      </c>
      <c r="E129" s="164" t="s">
        <v>488</v>
      </c>
      <c r="F129" s="179" t="e">
        <f>'INFORME '!#REF!</f>
        <v>#REF!</v>
      </c>
      <c r="G129" s="179" t="e">
        <f>'INFORME '!#REF!</f>
        <v>#REF!</v>
      </c>
      <c r="H129" s="179" t="e">
        <f>'INFORME '!#REF!</f>
        <v>#REF!</v>
      </c>
      <c r="I129" s="187" t="e">
        <f>'INFORME '!#REF!</f>
        <v>#REF!</v>
      </c>
      <c r="J129" s="187">
        <v>36701043</v>
      </c>
      <c r="K129" s="164" t="e">
        <f>'INFORME '!#REF!</f>
        <v>#REF!</v>
      </c>
      <c r="L129" s="164" t="e">
        <f>'INFORME '!#REF!</f>
        <v>#REF!</v>
      </c>
      <c r="M129" s="157"/>
      <c r="N129" s="160"/>
      <c r="O129" s="160"/>
      <c r="P129" s="157"/>
      <c r="Q129" s="157"/>
      <c r="R129" s="160"/>
      <c r="S129" s="157" t="e">
        <f>'INFORME '!#REF!</f>
        <v>#REF!</v>
      </c>
      <c r="T129" s="287" t="s">
        <v>686</v>
      </c>
    </row>
    <row r="130" spans="2:20">
      <c r="B130" s="185" t="e">
        <f>'INFORME '!#REF!</f>
        <v>#REF!</v>
      </c>
      <c r="C130" s="186" t="e">
        <f>'INFORME '!#REF!</f>
        <v>#REF!</v>
      </c>
      <c r="D130" s="164" t="e">
        <f>'INFORME '!#REF!</f>
        <v>#REF!</v>
      </c>
      <c r="E130" s="164" t="s">
        <v>488</v>
      </c>
      <c r="F130" s="179" t="e">
        <f>'INFORME '!#REF!</f>
        <v>#REF!</v>
      </c>
      <c r="G130" s="179" t="e">
        <f>'INFORME '!#REF!</f>
        <v>#REF!</v>
      </c>
      <c r="H130" s="179" t="e">
        <f>'INFORME '!#REF!</f>
        <v>#REF!</v>
      </c>
      <c r="I130" s="187" t="e">
        <f>'INFORME '!#REF!</f>
        <v>#REF!</v>
      </c>
      <c r="J130" s="187">
        <v>47002222</v>
      </c>
      <c r="K130" s="164" t="e">
        <f>'INFORME '!#REF!</f>
        <v>#REF!</v>
      </c>
      <c r="L130" s="164" t="e">
        <f>'INFORME '!#REF!</f>
        <v>#REF!</v>
      </c>
      <c r="M130" s="157" t="s">
        <v>535</v>
      </c>
      <c r="N130" s="160">
        <v>1</v>
      </c>
      <c r="O130" s="160">
        <v>2</v>
      </c>
      <c r="P130" s="157" t="s">
        <v>538</v>
      </c>
      <c r="Q130" s="157" t="s">
        <v>505</v>
      </c>
      <c r="R130" s="160">
        <v>243</v>
      </c>
      <c r="S130" s="157" t="e">
        <f>'INFORME '!#REF!</f>
        <v>#REF!</v>
      </c>
      <c r="T130" s="287" t="s">
        <v>488</v>
      </c>
    </row>
    <row r="131" spans="2:20">
      <c r="B131" s="185" t="e">
        <f>'INFORME '!#REF!</f>
        <v>#REF!</v>
      </c>
      <c r="C131" s="186" t="e">
        <f>'INFORME '!#REF!</f>
        <v>#REF!</v>
      </c>
      <c r="D131" s="164" t="e">
        <f>'INFORME '!#REF!</f>
        <v>#REF!</v>
      </c>
      <c r="E131" s="164" t="s">
        <v>488</v>
      </c>
      <c r="F131" s="179" t="e">
        <f>'INFORME '!#REF!</f>
        <v>#REF!</v>
      </c>
      <c r="G131" s="179" t="e">
        <f>'INFORME '!#REF!</f>
        <v>#REF!</v>
      </c>
      <c r="H131" s="179" t="e">
        <f>'INFORME '!#REF!</f>
        <v>#REF!</v>
      </c>
      <c r="I131" s="187" t="e">
        <f>'INFORME '!#REF!</f>
        <v>#REF!</v>
      </c>
      <c r="J131" s="187">
        <v>49556360</v>
      </c>
      <c r="K131" s="164" t="e">
        <f>'INFORME '!#REF!</f>
        <v>#REF!</v>
      </c>
      <c r="L131" s="164" t="e">
        <f>'INFORME '!#REF!</f>
        <v>#REF!</v>
      </c>
      <c r="M131" s="157" t="s">
        <v>690</v>
      </c>
      <c r="N131" s="160">
        <v>2</v>
      </c>
      <c r="O131" s="160">
        <v>2</v>
      </c>
      <c r="P131" s="157" t="s">
        <v>538</v>
      </c>
      <c r="Q131" s="157" t="s">
        <v>505</v>
      </c>
      <c r="R131" s="160">
        <v>245.24</v>
      </c>
      <c r="S131" s="157" t="e">
        <f>'INFORME '!#REF!</f>
        <v>#REF!</v>
      </c>
      <c r="T131" s="287" t="s">
        <v>488</v>
      </c>
    </row>
    <row r="132" spans="2:20" ht="30">
      <c r="B132" s="185" t="e">
        <f>'INFORME '!#REF!</f>
        <v>#REF!</v>
      </c>
      <c r="C132" s="186" t="e">
        <f>'INFORME '!#REF!</f>
        <v>#REF!</v>
      </c>
      <c r="D132" s="164" t="e">
        <f>'INFORME '!#REF!</f>
        <v>#REF!</v>
      </c>
      <c r="E132" s="164" t="s">
        <v>488</v>
      </c>
      <c r="F132" s="179" t="e">
        <f>'INFORME '!#REF!</f>
        <v>#REF!</v>
      </c>
      <c r="G132" s="179" t="e">
        <f>'INFORME '!#REF!</f>
        <v>#REF!</v>
      </c>
      <c r="H132" s="179" t="e">
        <f>'INFORME '!#REF!</f>
        <v>#REF!</v>
      </c>
      <c r="I132" s="187" t="e">
        <f>'INFORME '!#REF!</f>
        <v>#REF!</v>
      </c>
      <c r="J132" s="187" t="s">
        <v>29</v>
      </c>
      <c r="K132" s="164" t="e">
        <f>'INFORME '!#REF!</f>
        <v>#REF!</v>
      </c>
      <c r="L132" s="164" t="e">
        <f>'INFORME '!#REF!</f>
        <v>#REF!</v>
      </c>
      <c r="M132" s="157" t="s">
        <v>691</v>
      </c>
      <c r="N132" s="160">
        <v>3</v>
      </c>
      <c r="O132" s="160">
        <v>1</v>
      </c>
      <c r="P132" s="157" t="s">
        <v>538</v>
      </c>
      <c r="Q132" s="157" t="s">
        <v>692</v>
      </c>
      <c r="R132" s="160">
        <v>146.74</v>
      </c>
      <c r="S132" s="157" t="e">
        <f>'INFORME '!#REF!</f>
        <v>#REF!</v>
      </c>
      <c r="T132" s="287" t="s">
        <v>488</v>
      </c>
    </row>
    <row r="133" spans="2:20">
      <c r="B133" s="185" t="e">
        <f>'INFORME '!#REF!</f>
        <v>#REF!</v>
      </c>
      <c r="C133" s="186" t="e">
        <f>'INFORME '!#REF!</f>
        <v>#REF!</v>
      </c>
      <c r="D133" s="164" t="e">
        <f>'INFORME '!#REF!</f>
        <v>#REF!</v>
      </c>
      <c r="E133" s="164" t="s">
        <v>488</v>
      </c>
      <c r="F133" s="179" t="e">
        <f>'INFORME '!#REF!</f>
        <v>#REF!</v>
      </c>
      <c r="G133" s="179" t="e">
        <f>'INFORME '!#REF!</f>
        <v>#REF!</v>
      </c>
      <c r="H133" s="179" t="e">
        <f>'INFORME '!#REF!</f>
        <v>#REF!</v>
      </c>
      <c r="I133" s="187" t="e">
        <f>'INFORME '!#REF!</f>
        <v>#REF!</v>
      </c>
      <c r="J133" s="187">
        <v>42197204</v>
      </c>
      <c r="K133" s="164" t="e">
        <f>'INFORME '!#REF!</f>
        <v>#REF!</v>
      </c>
      <c r="L133" s="164" t="e">
        <f>'INFORME '!#REF!</f>
        <v>#REF!</v>
      </c>
      <c r="M133" s="157" t="s">
        <v>445</v>
      </c>
      <c r="N133" s="160">
        <v>1</v>
      </c>
      <c r="O133" s="160">
        <v>1</v>
      </c>
      <c r="P133" s="157" t="s">
        <v>489</v>
      </c>
      <c r="Q133" s="157" t="s">
        <v>505</v>
      </c>
      <c r="R133" s="160">
        <v>48.47</v>
      </c>
      <c r="S133" s="157" t="e">
        <f>'INFORME '!#REF!</f>
        <v>#REF!</v>
      </c>
      <c r="T133" s="287" t="s">
        <v>488</v>
      </c>
    </row>
    <row r="134" spans="2:20" ht="30">
      <c r="B134" s="185" t="e">
        <f>'INFORME '!#REF!</f>
        <v>#REF!</v>
      </c>
      <c r="C134" s="186" t="e">
        <f>'INFORME '!#REF!</f>
        <v>#REF!</v>
      </c>
      <c r="D134" s="164" t="e">
        <f>'INFORME '!#REF!</f>
        <v>#REF!</v>
      </c>
      <c r="E134" s="164" t="s">
        <v>488</v>
      </c>
      <c r="F134" s="179" t="e">
        <f>'INFORME '!#REF!</f>
        <v>#REF!</v>
      </c>
      <c r="G134" s="179" t="e">
        <f>'INFORME '!#REF!</f>
        <v>#REF!</v>
      </c>
      <c r="H134" s="179" t="e">
        <f>'INFORME '!#REF!</f>
        <v>#REF!</v>
      </c>
      <c r="I134" s="187" t="e">
        <f>'INFORME '!#REF!</f>
        <v>#REF!</v>
      </c>
      <c r="J134" s="187">
        <v>55709740</v>
      </c>
      <c r="K134" s="164" t="e">
        <f>'INFORME '!#REF!</f>
        <v>#REF!</v>
      </c>
      <c r="L134" s="164" t="e">
        <f>'INFORME '!#REF!</f>
        <v>#REF!</v>
      </c>
      <c r="M134" s="157" t="s">
        <v>696</v>
      </c>
      <c r="N134" s="160">
        <v>1</v>
      </c>
      <c r="O134" s="160">
        <v>3</v>
      </c>
      <c r="P134" s="157" t="s">
        <v>489</v>
      </c>
      <c r="Q134" s="157" t="s">
        <v>505</v>
      </c>
      <c r="R134" s="160">
        <v>156.54</v>
      </c>
      <c r="S134" s="157" t="e">
        <f>'INFORME '!#REF!</f>
        <v>#REF!</v>
      </c>
      <c r="T134" s="287" t="s">
        <v>488</v>
      </c>
    </row>
    <row r="135" spans="2:20" ht="30">
      <c r="B135" s="185" t="e">
        <f>'INFORME '!#REF!</f>
        <v>#REF!</v>
      </c>
      <c r="C135" s="186" t="e">
        <f>'INFORME '!#REF!</f>
        <v>#REF!</v>
      </c>
      <c r="D135" s="164" t="e">
        <f>'INFORME '!#REF!</f>
        <v>#REF!</v>
      </c>
      <c r="E135" s="164" t="s">
        <v>488</v>
      </c>
      <c r="F135" s="179" t="e">
        <f>'INFORME '!#REF!</f>
        <v>#REF!</v>
      </c>
      <c r="G135" s="179" t="e">
        <f>'INFORME '!#REF!</f>
        <v>#REF!</v>
      </c>
      <c r="H135" s="179" t="e">
        <f>'INFORME '!#REF!</f>
        <v>#REF!</v>
      </c>
      <c r="I135" s="187" t="e">
        <f>'INFORME '!#REF!</f>
        <v>#REF!</v>
      </c>
      <c r="J135" s="187">
        <v>55709740</v>
      </c>
      <c r="K135" s="164" t="e">
        <f>'INFORME '!#REF!</f>
        <v>#REF!</v>
      </c>
      <c r="L135" s="164" t="e">
        <f>'INFORME '!#REF!</f>
        <v>#REF!</v>
      </c>
      <c r="M135" s="157" t="s">
        <v>696</v>
      </c>
      <c r="N135" s="160">
        <v>1</v>
      </c>
      <c r="O135" s="160">
        <v>3</v>
      </c>
      <c r="P135" s="157" t="s">
        <v>489</v>
      </c>
      <c r="Q135" s="157" t="s">
        <v>505</v>
      </c>
      <c r="R135" s="160">
        <v>94.32</v>
      </c>
      <c r="S135" s="157" t="e">
        <f>'INFORME '!#REF!</f>
        <v>#REF!</v>
      </c>
      <c r="T135" s="287" t="s">
        <v>488</v>
      </c>
    </row>
    <row r="136" spans="2:20" ht="30">
      <c r="B136" s="185" t="e">
        <f>'INFORME '!#REF!</f>
        <v>#REF!</v>
      </c>
      <c r="C136" s="186" t="e">
        <f>'INFORME '!#REF!</f>
        <v>#REF!</v>
      </c>
      <c r="D136" s="164" t="e">
        <f>'INFORME '!#REF!</f>
        <v>#REF!</v>
      </c>
      <c r="E136" s="164" t="s">
        <v>488</v>
      </c>
      <c r="F136" s="179" t="e">
        <f>'INFORME '!#REF!</f>
        <v>#REF!</v>
      </c>
      <c r="G136" s="179" t="e">
        <f>'INFORME '!#REF!</f>
        <v>#REF!</v>
      </c>
      <c r="H136" s="179" t="e">
        <f>'INFORME '!#REF!</f>
        <v>#REF!</v>
      </c>
      <c r="I136" s="187" t="e">
        <f>'INFORME '!#REF!</f>
        <v>#REF!</v>
      </c>
      <c r="J136" s="187">
        <v>59479847</v>
      </c>
      <c r="K136" s="164" t="e">
        <f>'INFORME '!#REF!</f>
        <v>#REF!</v>
      </c>
      <c r="L136" s="164" t="e">
        <f>'INFORME '!#REF!</f>
        <v>#REF!</v>
      </c>
      <c r="M136" s="157" t="s">
        <v>701</v>
      </c>
      <c r="N136" s="160">
        <v>0</v>
      </c>
      <c r="O136" s="160">
        <v>1</v>
      </c>
      <c r="P136" s="157" t="s">
        <v>489</v>
      </c>
      <c r="Q136" s="157" t="s">
        <v>702</v>
      </c>
      <c r="R136" s="160" t="s">
        <v>29</v>
      </c>
      <c r="S136" s="157" t="e">
        <f>'INFORME '!#REF!</f>
        <v>#REF!</v>
      </c>
      <c r="T136" s="287" t="s">
        <v>488</v>
      </c>
    </row>
    <row r="137" spans="2:20">
      <c r="B137" s="185" t="e">
        <f>'INFORME '!#REF!</f>
        <v>#REF!</v>
      </c>
      <c r="C137" s="186" t="e">
        <f>'INFORME '!#REF!</f>
        <v>#REF!</v>
      </c>
      <c r="D137" s="164" t="e">
        <f>'INFORME '!#REF!</f>
        <v>#REF!</v>
      </c>
      <c r="E137" s="164" t="s">
        <v>488</v>
      </c>
      <c r="F137" s="179" t="e">
        <f>'INFORME '!#REF!</f>
        <v>#REF!</v>
      </c>
      <c r="G137" s="179" t="e">
        <f>'INFORME '!#REF!</f>
        <v>#REF!</v>
      </c>
      <c r="H137" s="179" t="e">
        <f>'INFORME '!#REF!</f>
        <v>#REF!</v>
      </c>
      <c r="I137" s="187" t="e">
        <f>'INFORME '!#REF!</f>
        <v>#REF!</v>
      </c>
      <c r="J137" s="187">
        <v>48663153</v>
      </c>
      <c r="K137" s="164" t="e">
        <f>'INFORME '!#REF!</f>
        <v>#REF!</v>
      </c>
      <c r="L137" s="164" t="e">
        <f>'INFORME '!#REF!</f>
        <v>#REF!</v>
      </c>
      <c r="M137" s="157" t="s">
        <v>445</v>
      </c>
      <c r="N137" s="160">
        <v>1</v>
      </c>
      <c r="O137" s="160">
        <v>1</v>
      </c>
      <c r="P137" s="157" t="s">
        <v>489</v>
      </c>
      <c r="Q137" s="157" t="s">
        <v>505</v>
      </c>
      <c r="R137" s="160">
        <v>69.66</v>
      </c>
      <c r="S137" s="157" t="e">
        <f>'INFORME '!#REF!</f>
        <v>#REF!</v>
      </c>
      <c r="T137" s="287" t="s">
        <v>488</v>
      </c>
    </row>
    <row r="138" spans="2:20">
      <c r="B138" s="185" t="e">
        <f>'INFORME '!#REF!</f>
        <v>#REF!</v>
      </c>
      <c r="C138" s="186" t="e">
        <f>'INFORME '!#REF!</f>
        <v>#REF!</v>
      </c>
      <c r="D138" s="164" t="e">
        <f>'INFORME '!#REF!</f>
        <v>#REF!</v>
      </c>
      <c r="E138" s="164" t="s">
        <v>488</v>
      </c>
      <c r="F138" s="179" t="e">
        <f>'INFORME '!#REF!</f>
        <v>#REF!</v>
      </c>
      <c r="G138" s="179" t="e">
        <f>'INFORME '!#REF!</f>
        <v>#REF!</v>
      </c>
      <c r="H138" s="179" t="e">
        <f>'INFORME '!#REF!</f>
        <v>#REF!</v>
      </c>
      <c r="I138" s="187" t="e">
        <f>'INFORME '!#REF!</f>
        <v>#REF!</v>
      </c>
      <c r="J138" s="187">
        <v>37334348</v>
      </c>
      <c r="K138" s="164" t="e">
        <f>'INFORME '!#REF!</f>
        <v>#REF!</v>
      </c>
      <c r="L138" s="164" t="e">
        <f>'INFORME '!#REF!</f>
        <v>#REF!</v>
      </c>
      <c r="M138" s="157"/>
      <c r="N138" s="160"/>
      <c r="O138" s="160"/>
      <c r="P138" s="157"/>
      <c r="Q138" s="157"/>
      <c r="R138" s="160"/>
      <c r="S138" s="157" t="e">
        <f>'INFORME '!#REF!</f>
        <v>#REF!</v>
      </c>
      <c r="T138" s="287" t="s">
        <v>704</v>
      </c>
    </row>
    <row r="139" spans="2:20" ht="30">
      <c r="B139" s="185" t="e">
        <f>'INFORME '!#REF!</f>
        <v>#REF!</v>
      </c>
      <c r="C139" s="186" t="e">
        <f>'INFORME '!#REF!</f>
        <v>#REF!</v>
      </c>
      <c r="D139" s="164" t="e">
        <f>'INFORME '!#REF!</f>
        <v>#REF!</v>
      </c>
      <c r="E139" s="164" t="s">
        <v>488</v>
      </c>
      <c r="F139" s="179" t="e">
        <f>'INFORME '!#REF!</f>
        <v>#REF!</v>
      </c>
      <c r="G139" s="179" t="e">
        <f>'INFORME '!#REF!</f>
        <v>#REF!</v>
      </c>
      <c r="H139" s="179" t="e">
        <f>'INFORME '!#REF!</f>
        <v>#REF!</v>
      </c>
      <c r="I139" s="187" t="e">
        <f>'INFORME '!#REF!</f>
        <v>#REF!</v>
      </c>
      <c r="J139" s="187">
        <v>41254957</v>
      </c>
      <c r="K139" s="164" t="e">
        <f>'INFORME '!#REF!</f>
        <v>#REF!</v>
      </c>
      <c r="L139" s="164" t="e">
        <f>'INFORME '!#REF!</f>
        <v>#REF!</v>
      </c>
      <c r="M139" s="157" t="s">
        <v>445</v>
      </c>
      <c r="N139" s="160">
        <v>1</v>
      </c>
      <c r="O139" s="160">
        <v>1</v>
      </c>
      <c r="P139" s="157" t="s">
        <v>489</v>
      </c>
      <c r="Q139" s="157" t="s">
        <v>505</v>
      </c>
      <c r="R139" s="160" t="s">
        <v>708</v>
      </c>
      <c r="S139" s="157" t="e">
        <f>'INFORME '!#REF!</f>
        <v>#REF!</v>
      </c>
      <c r="T139" s="287" t="s">
        <v>488</v>
      </c>
    </row>
    <row r="140" spans="2:20">
      <c r="B140" s="185" t="e">
        <f>'INFORME '!#REF!</f>
        <v>#REF!</v>
      </c>
      <c r="C140" s="186" t="e">
        <f>'INFORME '!#REF!</f>
        <v>#REF!</v>
      </c>
      <c r="D140" s="164" t="e">
        <f>'INFORME '!#REF!</f>
        <v>#REF!</v>
      </c>
      <c r="E140" s="164" t="s">
        <v>488</v>
      </c>
      <c r="F140" s="179" t="e">
        <f>'INFORME '!#REF!</f>
        <v>#REF!</v>
      </c>
      <c r="G140" s="179" t="e">
        <f>'INFORME '!#REF!</f>
        <v>#REF!</v>
      </c>
      <c r="H140" s="179" t="e">
        <f>'INFORME '!#REF!</f>
        <v>#REF!</v>
      </c>
      <c r="I140" s="187" t="e">
        <f>'INFORME '!#REF!</f>
        <v>#REF!</v>
      </c>
      <c r="J140" s="187">
        <v>55636535</v>
      </c>
      <c r="K140" s="164" t="e">
        <f>'INFORME '!#REF!</f>
        <v>#REF!</v>
      </c>
      <c r="L140" s="164" t="e">
        <f>'INFORME '!#REF!</f>
        <v>#REF!</v>
      </c>
      <c r="M140" s="157"/>
      <c r="N140" s="160"/>
      <c r="O140" s="160"/>
      <c r="P140" s="157"/>
      <c r="Q140" s="157"/>
      <c r="R140" s="160"/>
      <c r="S140" s="157" t="e">
        <f>'INFORME '!#REF!</f>
        <v>#REF!</v>
      </c>
      <c r="T140" s="287" t="s">
        <v>704</v>
      </c>
    </row>
    <row r="141" spans="2:20">
      <c r="B141" s="185" t="e">
        <f>'INFORME '!#REF!</f>
        <v>#REF!</v>
      </c>
      <c r="C141" s="186" t="e">
        <f>'INFORME '!#REF!</f>
        <v>#REF!</v>
      </c>
      <c r="D141" s="164" t="e">
        <f>'INFORME '!#REF!</f>
        <v>#REF!</v>
      </c>
      <c r="E141" s="164" t="s">
        <v>488</v>
      </c>
      <c r="F141" s="179" t="e">
        <f>'INFORME '!#REF!</f>
        <v>#REF!</v>
      </c>
      <c r="G141" s="179" t="e">
        <f>'INFORME '!#REF!</f>
        <v>#REF!</v>
      </c>
      <c r="H141" s="179" t="e">
        <f>'INFORME '!#REF!</f>
        <v>#REF!</v>
      </c>
      <c r="I141" s="187" t="e">
        <f>'INFORME '!#REF!</f>
        <v>#REF!</v>
      </c>
      <c r="J141" s="187">
        <v>37334348</v>
      </c>
      <c r="K141" s="164" t="e">
        <f>'INFORME '!#REF!</f>
        <v>#REF!</v>
      </c>
      <c r="L141" s="164" t="e">
        <f>'INFORME '!#REF!</f>
        <v>#REF!</v>
      </c>
      <c r="M141" s="157"/>
      <c r="N141" s="160"/>
      <c r="O141" s="160"/>
      <c r="P141" s="157"/>
      <c r="Q141" s="157"/>
      <c r="R141" s="160"/>
      <c r="S141" s="157" t="e">
        <f>'INFORME '!#REF!</f>
        <v>#REF!</v>
      </c>
      <c r="T141" s="287" t="s">
        <v>704</v>
      </c>
    </row>
    <row r="142" spans="2:20">
      <c r="B142" s="185" t="e">
        <f>'INFORME '!#REF!</f>
        <v>#REF!</v>
      </c>
      <c r="C142" s="186" t="e">
        <f>'INFORME '!#REF!</f>
        <v>#REF!</v>
      </c>
      <c r="D142" s="164" t="e">
        <f>'INFORME '!#REF!</f>
        <v>#REF!</v>
      </c>
      <c r="E142" s="164" t="s">
        <v>488</v>
      </c>
      <c r="F142" s="179" t="e">
        <f>'INFORME '!#REF!</f>
        <v>#REF!</v>
      </c>
      <c r="G142" s="179" t="e">
        <f>'INFORME '!#REF!</f>
        <v>#REF!</v>
      </c>
      <c r="H142" s="179" t="e">
        <f>'INFORME '!#REF!</f>
        <v>#REF!</v>
      </c>
      <c r="I142" s="187" t="e">
        <f>'INFORME '!#REF!</f>
        <v>#REF!</v>
      </c>
      <c r="J142" s="187">
        <v>42407920</v>
      </c>
      <c r="K142" s="164" t="e">
        <f>'INFORME '!#REF!</f>
        <v>#REF!</v>
      </c>
      <c r="L142" s="164" t="e">
        <f>'INFORME '!#REF!</f>
        <v>#REF!</v>
      </c>
      <c r="M142" s="157" t="s">
        <v>433</v>
      </c>
      <c r="N142" s="160">
        <v>1</v>
      </c>
      <c r="O142" s="160">
        <v>3</v>
      </c>
      <c r="P142" s="157" t="s">
        <v>538</v>
      </c>
      <c r="Q142" s="157" t="s">
        <v>505</v>
      </c>
      <c r="R142" s="160">
        <v>127.76</v>
      </c>
      <c r="S142" s="157" t="e">
        <f>'INFORME '!#REF!</f>
        <v>#REF!</v>
      </c>
      <c r="T142" s="287" t="s">
        <v>488</v>
      </c>
    </row>
    <row r="143" spans="2:20">
      <c r="B143" s="185" t="e">
        <f>'INFORME '!#REF!</f>
        <v>#REF!</v>
      </c>
      <c r="C143" s="186" t="e">
        <f>'INFORME '!#REF!</f>
        <v>#REF!</v>
      </c>
      <c r="D143" s="164" t="e">
        <f>'INFORME '!#REF!</f>
        <v>#REF!</v>
      </c>
      <c r="E143" s="164" t="s">
        <v>488</v>
      </c>
      <c r="F143" s="179" t="e">
        <f>'INFORME '!#REF!</f>
        <v>#REF!</v>
      </c>
      <c r="G143" s="179" t="e">
        <f>'INFORME '!#REF!</f>
        <v>#REF!</v>
      </c>
      <c r="H143" s="179" t="e">
        <f>'INFORME '!#REF!</f>
        <v>#REF!</v>
      </c>
      <c r="I143" s="187" t="e">
        <f>'INFORME '!#REF!</f>
        <v>#REF!</v>
      </c>
      <c r="J143" s="187">
        <v>56319418</v>
      </c>
      <c r="K143" s="164" t="e">
        <f>'INFORME '!#REF!</f>
        <v>#REF!</v>
      </c>
      <c r="L143" s="164" t="e">
        <f>'INFORME '!#REF!</f>
        <v>#REF!</v>
      </c>
      <c r="M143" s="157" t="s">
        <v>722</v>
      </c>
      <c r="N143" s="160">
        <v>0</v>
      </c>
      <c r="O143" s="160">
        <v>1</v>
      </c>
      <c r="P143" s="157" t="s">
        <v>538</v>
      </c>
      <c r="Q143" s="157" t="s">
        <v>702</v>
      </c>
      <c r="R143" s="160">
        <v>554.59</v>
      </c>
      <c r="S143" s="157" t="e">
        <f>'INFORME '!#REF!</f>
        <v>#REF!</v>
      </c>
      <c r="T143" s="287" t="s">
        <v>488</v>
      </c>
    </row>
    <row r="144" spans="2:20">
      <c r="B144" s="185" t="e">
        <f>'INFORME '!#REF!</f>
        <v>#REF!</v>
      </c>
      <c r="C144" s="186" t="e">
        <f>'INFORME '!#REF!</f>
        <v>#REF!</v>
      </c>
      <c r="D144" s="164" t="e">
        <f>'INFORME '!#REF!</f>
        <v>#REF!</v>
      </c>
      <c r="E144" s="164" t="s">
        <v>488</v>
      </c>
      <c r="F144" s="179" t="e">
        <f>'INFORME '!#REF!</f>
        <v>#REF!</v>
      </c>
      <c r="G144" s="179" t="e">
        <f>'INFORME '!#REF!</f>
        <v>#REF!</v>
      </c>
      <c r="H144" s="179" t="e">
        <f>'INFORME '!#REF!</f>
        <v>#REF!</v>
      </c>
      <c r="I144" s="187" t="e">
        <f>'INFORME '!#REF!</f>
        <v>#REF!</v>
      </c>
      <c r="J144" s="187">
        <v>57206862</v>
      </c>
      <c r="K144" s="164" t="e">
        <f>'INFORME '!#REF!</f>
        <v>#REF!</v>
      </c>
      <c r="L144" s="164" t="e">
        <f>'INFORME '!#REF!</f>
        <v>#REF!</v>
      </c>
      <c r="M144" s="157"/>
      <c r="N144" s="160"/>
      <c r="O144" s="160"/>
      <c r="P144" s="157"/>
      <c r="Q144" s="157"/>
      <c r="R144" s="160"/>
      <c r="S144" s="157" t="e">
        <f>'INFORME '!#REF!</f>
        <v>#REF!</v>
      </c>
      <c r="T144" s="287" t="s">
        <v>601</v>
      </c>
    </row>
    <row r="145" spans="2:20">
      <c r="B145" s="185" t="e">
        <f>'INFORME '!#REF!</f>
        <v>#REF!</v>
      </c>
      <c r="C145" s="186" t="e">
        <f>'INFORME '!#REF!</f>
        <v>#REF!</v>
      </c>
      <c r="D145" s="164" t="e">
        <f>'INFORME '!#REF!</f>
        <v>#REF!</v>
      </c>
      <c r="E145" s="164" t="s">
        <v>488</v>
      </c>
      <c r="F145" s="179" t="e">
        <f>'INFORME '!#REF!</f>
        <v>#REF!</v>
      </c>
      <c r="G145" s="179" t="e">
        <f>'INFORME '!#REF!</f>
        <v>#REF!</v>
      </c>
      <c r="H145" s="179" t="e">
        <f>'INFORME '!#REF!</f>
        <v>#REF!</v>
      </c>
      <c r="I145" s="187" t="e">
        <f>'INFORME '!#REF!</f>
        <v>#REF!</v>
      </c>
      <c r="J145" s="187">
        <v>46026625</v>
      </c>
      <c r="K145" s="164" t="e">
        <f>'INFORME '!#REF!</f>
        <v>#REF!</v>
      </c>
      <c r="L145" s="164" t="e">
        <f>'INFORME '!#REF!</f>
        <v>#REF!</v>
      </c>
      <c r="M145" s="157"/>
      <c r="N145" s="160"/>
      <c r="O145" s="160"/>
      <c r="P145" s="157"/>
      <c r="Q145" s="157"/>
      <c r="R145" s="160"/>
      <c r="S145" s="157" t="e">
        <f>'INFORME '!#REF!</f>
        <v>#REF!</v>
      </c>
      <c r="T145" s="287" t="s">
        <v>727</v>
      </c>
    </row>
    <row r="146" spans="2:20">
      <c r="B146" s="185" t="e">
        <f>'INFORME '!#REF!</f>
        <v>#REF!</v>
      </c>
      <c r="C146" s="186" t="e">
        <f>'INFORME '!#REF!</f>
        <v>#REF!</v>
      </c>
      <c r="D146" s="164" t="e">
        <f>'INFORME '!#REF!</f>
        <v>#REF!</v>
      </c>
      <c r="E146" s="164" t="s">
        <v>488</v>
      </c>
      <c r="F146" s="179" t="e">
        <f>'INFORME '!#REF!</f>
        <v>#REF!</v>
      </c>
      <c r="G146" s="179" t="e">
        <f>'INFORME '!#REF!</f>
        <v>#REF!</v>
      </c>
      <c r="H146" s="179" t="e">
        <f>'INFORME '!#REF!</f>
        <v>#REF!</v>
      </c>
      <c r="I146" s="187" t="e">
        <f>'INFORME '!#REF!</f>
        <v>#REF!</v>
      </c>
      <c r="J146" s="187">
        <v>59684022</v>
      </c>
      <c r="K146" s="164" t="e">
        <f>'INFORME '!#REF!</f>
        <v>#REF!</v>
      </c>
      <c r="L146" s="164" t="e">
        <f>'INFORME '!#REF!</f>
        <v>#REF!</v>
      </c>
      <c r="M146" s="157"/>
      <c r="N146" s="160"/>
      <c r="O146" s="160"/>
      <c r="P146" s="157"/>
      <c r="Q146" s="157"/>
      <c r="R146" s="160"/>
      <c r="S146" s="157" t="e">
        <f>'INFORME '!#REF!</f>
        <v>#REF!</v>
      </c>
      <c r="T146" s="287" t="s">
        <v>565</v>
      </c>
    </row>
    <row r="147" spans="2:20">
      <c r="B147" s="185" t="e">
        <f>'INFORME '!#REF!</f>
        <v>#REF!</v>
      </c>
      <c r="C147" s="186" t="e">
        <f>'INFORME '!#REF!</f>
        <v>#REF!</v>
      </c>
      <c r="D147" s="164" t="e">
        <f>'INFORME '!#REF!</f>
        <v>#REF!</v>
      </c>
      <c r="E147" s="164" t="s">
        <v>488</v>
      </c>
      <c r="F147" s="179" t="e">
        <f>'INFORME '!#REF!</f>
        <v>#REF!</v>
      </c>
      <c r="G147" s="179" t="e">
        <f>'INFORME '!#REF!</f>
        <v>#REF!</v>
      </c>
      <c r="H147" s="179" t="e">
        <f>'INFORME '!#REF!</f>
        <v>#REF!</v>
      </c>
      <c r="I147" s="187" t="e">
        <f>'INFORME '!#REF!</f>
        <v>#REF!</v>
      </c>
      <c r="J147" s="187">
        <v>42538147</v>
      </c>
      <c r="K147" s="164" t="e">
        <f>'INFORME '!#REF!</f>
        <v>#REF!</v>
      </c>
      <c r="L147" s="164" t="e">
        <f>'INFORME '!#REF!</f>
        <v>#REF!</v>
      </c>
      <c r="M147" s="157" t="s">
        <v>737</v>
      </c>
      <c r="N147" s="160">
        <v>0</v>
      </c>
      <c r="O147" s="160">
        <v>1</v>
      </c>
      <c r="P147" s="157" t="s">
        <v>29</v>
      </c>
      <c r="Q147" s="157" t="s">
        <v>505</v>
      </c>
      <c r="R147" s="160">
        <v>17.2</v>
      </c>
      <c r="S147" s="157" t="e">
        <f>'INFORME '!#REF!</f>
        <v>#REF!</v>
      </c>
      <c r="T147" s="287" t="s">
        <v>488</v>
      </c>
    </row>
    <row r="148" spans="2:20">
      <c r="B148" s="185" t="e">
        <f>'INFORME '!#REF!</f>
        <v>#REF!</v>
      </c>
      <c r="C148" s="186" t="e">
        <f>'INFORME '!#REF!</f>
        <v>#REF!</v>
      </c>
      <c r="D148" s="164" t="e">
        <f>'INFORME '!#REF!</f>
        <v>#REF!</v>
      </c>
      <c r="E148" s="164" t="s">
        <v>488</v>
      </c>
      <c r="F148" s="179" t="e">
        <f>'INFORME '!#REF!</f>
        <v>#REF!</v>
      </c>
      <c r="G148" s="179" t="e">
        <f>'INFORME '!#REF!</f>
        <v>#REF!</v>
      </c>
      <c r="H148" s="179" t="e">
        <f>'INFORME '!#REF!</f>
        <v>#REF!</v>
      </c>
      <c r="I148" s="187" t="e">
        <f>'INFORME '!#REF!</f>
        <v>#REF!</v>
      </c>
      <c r="J148" s="187">
        <v>77612981</v>
      </c>
      <c r="K148" s="164" t="e">
        <f>'INFORME '!#REF!</f>
        <v>#REF!</v>
      </c>
      <c r="L148" s="164" t="e">
        <f>'INFORME '!#REF!</f>
        <v>#REF!</v>
      </c>
      <c r="M148" s="157" t="s">
        <v>535</v>
      </c>
      <c r="N148" s="160">
        <v>1</v>
      </c>
      <c r="O148" s="160">
        <v>2</v>
      </c>
      <c r="P148" s="157" t="s">
        <v>538</v>
      </c>
      <c r="Q148" s="157" t="s">
        <v>505</v>
      </c>
      <c r="R148" s="160">
        <v>102.4</v>
      </c>
      <c r="S148" s="157" t="e">
        <f>'INFORME '!#REF!</f>
        <v>#REF!</v>
      </c>
      <c r="T148" s="287" t="s">
        <v>488</v>
      </c>
    </row>
    <row r="149" spans="2:20">
      <c r="B149" s="185" t="e">
        <f>'INFORME '!#REF!</f>
        <v>#REF!</v>
      </c>
      <c r="C149" s="186" t="e">
        <f>'INFORME '!#REF!</f>
        <v>#REF!</v>
      </c>
      <c r="D149" s="164" t="e">
        <f>'INFORME '!#REF!</f>
        <v>#REF!</v>
      </c>
      <c r="E149" s="164" t="s">
        <v>488</v>
      </c>
      <c r="F149" s="179" t="e">
        <f>'INFORME '!#REF!</f>
        <v>#REF!</v>
      </c>
      <c r="G149" s="179" t="e">
        <f>'INFORME '!#REF!</f>
        <v>#REF!</v>
      </c>
      <c r="H149" s="179" t="e">
        <f>'INFORME '!#REF!</f>
        <v>#REF!</v>
      </c>
      <c r="I149" s="187" t="e">
        <f>'INFORME '!#REF!</f>
        <v>#REF!</v>
      </c>
      <c r="J149" s="187">
        <v>77612981</v>
      </c>
      <c r="K149" s="164" t="e">
        <f>'INFORME '!#REF!</f>
        <v>#REF!</v>
      </c>
      <c r="L149" s="164" t="e">
        <f>'INFORME '!#REF!</f>
        <v>#REF!</v>
      </c>
      <c r="M149" s="157" t="s">
        <v>535</v>
      </c>
      <c r="N149" s="160">
        <v>1</v>
      </c>
      <c r="O149" s="160">
        <v>2</v>
      </c>
      <c r="P149" s="157" t="s">
        <v>538</v>
      </c>
      <c r="Q149" s="157" t="s">
        <v>505</v>
      </c>
      <c r="R149" s="160">
        <v>102.4</v>
      </c>
      <c r="S149" s="157" t="e">
        <f>'INFORME '!#REF!</f>
        <v>#REF!</v>
      </c>
      <c r="T149" s="287" t="s">
        <v>488</v>
      </c>
    </row>
    <row r="150" spans="2:20">
      <c r="B150" s="185" t="e">
        <f>'INFORME '!#REF!</f>
        <v>#REF!</v>
      </c>
      <c r="C150" s="186" t="e">
        <f>'INFORME '!#REF!</f>
        <v>#REF!</v>
      </c>
      <c r="D150" s="164" t="e">
        <f>'INFORME '!#REF!</f>
        <v>#REF!</v>
      </c>
      <c r="E150" s="164" t="s">
        <v>488</v>
      </c>
      <c r="F150" s="179" t="e">
        <f>'INFORME '!#REF!</f>
        <v>#REF!</v>
      </c>
      <c r="G150" s="179" t="e">
        <f>'INFORME '!#REF!</f>
        <v>#REF!</v>
      </c>
      <c r="H150" s="179" t="e">
        <f>'INFORME '!#REF!</f>
        <v>#REF!</v>
      </c>
      <c r="I150" s="187" t="e">
        <f>'INFORME '!#REF!</f>
        <v>#REF!</v>
      </c>
      <c r="J150" s="187">
        <v>77612981</v>
      </c>
      <c r="K150" s="164" t="e">
        <f>'INFORME '!#REF!</f>
        <v>#REF!</v>
      </c>
      <c r="L150" s="164" t="e">
        <f>'INFORME '!#REF!</f>
        <v>#REF!</v>
      </c>
      <c r="M150" s="157" t="s">
        <v>535</v>
      </c>
      <c r="N150" s="160">
        <v>1</v>
      </c>
      <c r="O150" s="160">
        <v>2</v>
      </c>
      <c r="P150" s="157" t="s">
        <v>538</v>
      </c>
      <c r="Q150" s="157" t="s">
        <v>505</v>
      </c>
      <c r="R150" s="160">
        <v>82.56</v>
      </c>
      <c r="S150" s="157" t="e">
        <f>'INFORME '!#REF!</f>
        <v>#REF!</v>
      </c>
      <c r="T150" s="287" t="s">
        <v>488</v>
      </c>
    </row>
    <row r="151" spans="2:20">
      <c r="B151" s="185" t="e">
        <f>'INFORME '!#REF!</f>
        <v>#REF!</v>
      </c>
      <c r="C151" s="186" t="e">
        <f>'INFORME '!#REF!</f>
        <v>#REF!</v>
      </c>
      <c r="D151" s="164" t="e">
        <f>'INFORME '!#REF!</f>
        <v>#REF!</v>
      </c>
      <c r="E151" s="164" t="s">
        <v>488</v>
      </c>
      <c r="F151" s="179" t="e">
        <f>'INFORME '!#REF!</f>
        <v>#REF!</v>
      </c>
      <c r="G151" s="179" t="e">
        <f>'INFORME '!#REF!</f>
        <v>#REF!</v>
      </c>
      <c r="H151" s="179" t="e">
        <f>'INFORME '!#REF!</f>
        <v>#REF!</v>
      </c>
      <c r="I151" s="187" t="e">
        <f>'INFORME '!#REF!</f>
        <v>#REF!</v>
      </c>
      <c r="J151" s="187">
        <v>77612981</v>
      </c>
      <c r="K151" s="164" t="e">
        <f>'INFORME '!#REF!</f>
        <v>#REF!</v>
      </c>
      <c r="L151" s="164" t="e">
        <f>'INFORME '!#REF!</f>
        <v>#REF!</v>
      </c>
      <c r="M151" s="157" t="s">
        <v>535</v>
      </c>
      <c r="N151" s="160">
        <v>1</v>
      </c>
      <c r="O151" s="160">
        <v>2</v>
      </c>
      <c r="P151" s="157" t="s">
        <v>538</v>
      </c>
      <c r="Q151" s="157" t="s">
        <v>505</v>
      </c>
      <c r="R151" s="160">
        <v>101.22</v>
      </c>
      <c r="S151" s="157" t="e">
        <f>'INFORME '!#REF!</f>
        <v>#REF!</v>
      </c>
      <c r="T151" s="287" t="s">
        <v>488</v>
      </c>
    </row>
    <row r="152" spans="2:20">
      <c r="B152" s="185" t="e">
        <f>'INFORME '!#REF!</f>
        <v>#REF!</v>
      </c>
      <c r="C152" s="186" t="e">
        <f>'INFORME '!#REF!</f>
        <v>#REF!</v>
      </c>
      <c r="D152" s="164" t="e">
        <f>'INFORME '!#REF!</f>
        <v>#REF!</v>
      </c>
      <c r="E152" s="164" t="s">
        <v>488</v>
      </c>
      <c r="F152" s="179" t="e">
        <f>'INFORME '!#REF!</f>
        <v>#REF!</v>
      </c>
      <c r="G152" s="179" t="e">
        <f>'INFORME '!#REF!</f>
        <v>#REF!</v>
      </c>
      <c r="H152" s="179" t="e">
        <f>'INFORME '!#REF!</f>
        <v>#REF!</v>
      </c>
      <c r="I152" s="187" t="e">
        <f>'INFORME '!#REF!</f>
        <v>#REF!</v>
      </c>
      <c r="J152" s="187">
        <v>56923348</v>
      </c>
      <c r="K152" s="164" t="e">
        <f>'INFORME '!#REF!</f>
        <v>#REF!</v>
      </c>
      <c r="L152" s="164" t="e">
        <f>'INFORME '!#REF!</f>
        <v>#REF!</v>
      </c>
      <c r="M152" s="157" t="s">
        <v>535</v>
      </c>
      <c r="N152" s="160">
        <v>1</v>
      </c>
      <c r="O152" s="160">
        <v>2</v>
      </c>
      <c r="P152" s="157" t="s">
        <v>538</v>
      </c>
      <c r="Q152" s="157" t="s">
        <v>505</v>
      </c>
      <c r="R152" s="160">
        <v>200.22</v>
      </c>
      <c r="S152" s="157" t="e">
        <f>'INFORME '!#REF!</f>
        <v>#REF!</v>
      </c>
      <c r="T152" s="287" t="s">
        <v>488</v>
      </c>
    </row>
    <row r="153" spans="2:20" ht="30" customHeight="1">
      <c r="B153" s="185" t="e">
        <f>'INFORME '!#REF!</f>
        <v>#REF!</v>
      </c>
      <c r="C153" s="186" t="e">
        <f>'INFORME '!#REF!</f>
        <v>#REF!</v>
      </c>
      <c r="D153" s="164" t="e">
        <f>'INFORME '!#REF!</f>
        <v>#REF!</v>
      </c>
      <c r="E153" s="164" t="s">
        <v>488</v>
      </c>
      <c r="F153" s="179" t="e">
        <f>'INFORME '!#REF!</f>
        <v>#REF!</v>
      </c>
      <c r="G153" s="179" t="e">
        <f>'INFORME '!#REF!</f>
        <v>#REF!</v>
      </c>
      <c r="H153" s="179" t="e">
        <f>'INFORME '!#REF!</f>
        <v>#REF!</v>
      </c>
      <c r="I153" s="187" t="e">
        <f>'INFORME '!#REF!</f>
        <v>#REF!</v>
      </c>
      <c r="J153" s="187">
        <v>54297929</v>
      </c>
      <c r="K153" s="164" t="e">
        <f>'INFORME '!#REF!</f>
        <v>#REF!</v>
      </c>
      <c r="L153" s="164" t="e">
        <f>'INFORME '!#REF!</f>
        <v>#REF!</v>
      </c>
      <c r="M153" s="157" t="s">
        <v>520</v>
      </c>
      <c r="N153" s="160">
        <v>1</v>
      </c>
      <c r="O153" s="160">
        <v>1</v>
      </c>
      <c r="P153" s="157" t="s">
        <v>538</v>
      </c>
      <c r="Q153" s="157" t="s">
        <v>505</v>
      </c>
      <c r="R153" s="160">
        <v>64.599999999999994</v>
      </c>
      <c r="S153" s="157" t="e">
        <f>'INFORME '!#REF!</f>
        <v>#REF!</v>
      </c>
      <c r="T153" s="287" t="s">
        <v>488</v>
      </c>
    </row>
    <row r="154" spans="2:20">
      <c r="B154" s="185" t="e">
        <f>'INFORME '!#REF!</f>
        <v>#REF!</v>
      </c>
      <c r="C154" s="186" t="e">
        <f>'INFORME '!#REF!</f>
        <v>#REF!</v>
      </c>
      <c r="D154" s="164" t="e">
        <f>'INFORME '!#REF!</f>
        <v>#REF!</v>
      </c>
      <c r="E154" s="164" t="s">
        <v>607</v>
      </c>
      <c r="F154" s="179" t="e">
        <f>'INFORME '!#REF!</f>
        <v>#REF!</v>
      </c>
      <c r="G154" s="179" t="e">
        <f>'INFORME '!#REF!</f>
        <v>#REF!</v>
      </c>
      <c r="H154" s="179" t="e">
        <f>'INFORME '!#REF!</f>
        <v>#REF!</v>
      </c>
      <c r="I154" s="187" t="e">
        <f>'INFORME '!#REF!</f>
        <v>#REF!</v>
      </c>
      <c r="J154" s="187">
        <v>59579108</v>
      </c>
      <c r="K154" s="164" t="e">
        <f>'INFORME '!#REF!</f>
        <v>#REF!</v>
      </c>
      <c r="L154" s="164" t="e">
        <f>'INFORME '!#REF!</f>
        <v>#REF!</v>
      </c>
      <c r="M154" s="157" t="s">
        <v>520</v>
      </c>
      <c r="N154" s="160">
        <v>1</v>
      </c>
      <c r="O154" s="160">
        <v>1</v>
      </c>
      <c r="P154" s="157" t="s">
        <v>753</v>
      </c>
      <c r="Q154" s="157" t="s">
        <v>505</v>
      </c>
      <c r="R154" s="160">
        <v>90</v>
      </c>
      <c r="S154" s="157" t="e">
        <f>'INFORME '!#REF!</f>
        <v>#REF!</v>
      </c>
      <c r="T154" s="287" t="s">
        <v>752</v>
      </c>
    </row>
    <row r="155" spans="2:20" ht="30">
      <c r="B155" s="185" t="e">
        <f>'INFORME '!#REF!</f>
        <v>#REF!</v>
      </c>
      <c r="C155" s="186" t="e">
        <f>'INFORME '!#REF!</f>
        <v>#REF!</v>
      </c>
      <c r="D155" s="164" t="e">
        <f>'INFORME '!#REF!</f>
        <v>#REF!</v>
      </c>
      <c r="E155" s="164" t="s">
        <v>478</v>
      </c>
      <c r="F155" s="179" t="e">
        <f>'INFORME '!#REF!</f>
        <v>#REF!</v>
      </c>
      <c r="G155" s="179" t="e">
        <f>'INFORME '!#REF!</f>
        <v>#REF!</v>
      </c>
      <c r="H155" s="179" t="e">
        <f>'INFORME '!#REF!</f>
        <v>#REF!</v>
      </c>
      <c r="I155" s="187" t="e">
        <f>'INFORME '!#REF!</f>
        <v>#REF!</v>
      </c>
      <c r="J155" s="187" t="s">
        <v>29</v>
      </c>
      <c r="K155" s="164" t="e">
        <f>'INFORME '!#REF!</f>
        <v>#REF!</v>
      </c>
      <c r="L155" s="164" t="e">
        <f>'INFORME '!#REF!</f>
        <v>#REF!</v>
      </c>
      <c r="M155" s="157" t="s">
        <v>760</v>
      </c>
      <c r="N155" s="160">
        <v>1</v>
      </c>
      <c r="O155" s="160">
        <v>2</v>
      </c>
      <c r="P155" s="157" t="s">
        <v>761</v>
      </c>
      <c r="Q155" s="157" t="s">
        <v>505</v>
      </c>
      <c r="R155" s="160">
        <v>164.79</v>
      </c>
      <c r="S155" s="157" t="e">
        <f>'INFORME '!#REF!</f>
        <v>#REF!</v>
      </c>
      <c r="T155" s="287" t="s">
        <v>488</v>
      </c>
    </row>
    <row r="156" spans="2:20">
      <c r="B156" s="185" t="e">
        <f>'INFORME '!#REF!</f>
        <v>#REF!</v>
      </c>
      <c r="C156" s="186" t="e">
        <f>'INFORME '!#REF!</f>
        <v>#REF!</v>
      </c>
      <c r="D156" s="164" t="e">
        <f>'INFORME '!#REF!</f>
        <v>#REF!</v>
      </c>
      <c r="E156" s="164" t="s">
        <v>762</v>
      </c>
      <c r="F156" s="179" t="e">
        <f>'INFORME '!#REF!</f>
        <v>#REF!</v>
      </c>
      <c r="G156" s="179" t="e">
        <f>'INFORME '!#REF!</f>
        <v>#REF!</v>
      </c>
      <c r="H156" s="179" t="e">
        <f>'INFORME '!#REF!</f>
        <v>#REF!</v>
      </c>
      <c r="I156" s="187" t="e">
        <f>'INFORME '!#REF!</f>
        <v>#REF!</v>
      </c>
      <c r="J156" s="187">
        <v>59583457</v>
      </c>
      <c r="K156" s="164" t="e">
        <f>'INFORME '!#REF!</f>
        <v>#REF!</v>
      </c>
      <c r="L156" s="164" t="e">
        <f>'INFORME '!#REF!</f>
        <v>#REF!</v>
      </c>
      <c r="M156" s="157" t="s">
        <v>445</v>
      </c>
      <c r="N156" s="160">
        <v>1</v>
      </c>
      <c r="O156" s="160">
        <v>1</v>
      </c>
      <c r="P156" s="157" t="s">
        <v>538</v>
      </c>
      <c r="Q156" s="157" t="s">
        <v>505</v>
      </c>
      <c r="R156" s="160">
        <v>117.8</v>
      </c>
      <c r="S156" s="157" t="e">
        <f>'INFORME '!#REF!</f>
        <v>#REF!</v>
      </c>
      <c r="T156" s="287" t="s">
        <v>752</v>
      </c>
    </row>
    <row r="157" spans="2:20">
      <c r="B157" s="185" t="e">
        <f>'INFORME '!#REF!</f>
        <v>#REF!</v>
      </c>
      <c r="C157" s="186" t="e">
        <f>'INFORME '!#REF!</f>
        <v>#REF!</v>
      </c>
      <c r="D157" s="164" t="e">
        <f>'INFORME '!#REF!</f>
        <v>#REF!</v>
      </c>
      <c r="E157" s="164" t="s">
        <v>488</v>
      </c>
      <c r="F157" s="179" t="e">
        <f>'INFORME '!#REF!</f>
        <v>#REF!</v>
      </c>
      <c r="G157" s="179" t="e">
        <f>'INFORME '!#REF!</f>
        <v>#REF!</v>
      </c>
      <c r="H157" s="179" t="e">
        <f>'INFORME '!#REF!</f>
        <v>#REF!</v>
      </c>
      <c r="I157" s="187" t="e">
        <f>'INFORME '!#REF!</f>
        <v>#REF!</v>
      </c>
      <c r="J157" s="187">
        <v>37732425</v>
      </c>
      <c r="K157" s="164" t="e">
        <f>'INFORME '!#REF!</f>
        <v>#REF!</v>
      </c>
      <c r="L157" s="164" t="e">
        <f>'INFORME '!#REF!</f>
        <v>#REF!</v>
      </c>
      <c r="M157" s="157"/>
      <c r="N157" s="160"/>
      <c r="O157" s="160"/>
      <c r="P157" s="157"/>
      <c r="Q157" s="157"/>
      <c r="R157" s="160"/>
      <c r="S157" s="157" t="e">
        <f>'INFORME '!#REF!</f>
        <v>#REF!</v>
      </c>
      <c r="T157" s="287" t="s">
        <v>704</v>
      </c>
    </row>
    <row r="158" spans="2:20" ht="28.5" customHeight="1">
      <c r="B158" s="185" t="e">
        <f>'INFORME '!#REF!</f>
        <v>#REF!</v>
      </c>
      <c r="C158" s="186" t="e">
        <f>'INFORME '!#REF!</f>
        <v>#REF!</v>
      </c>
      <c r="D158" s="164" t="e">
        <f>'INFORME '!#REF!</f>
        <v>#REF!</v>
      </c>
      <c r="E158" s="164" t="s">
        <v>488</v>
      </c>
      <c r="F158" s="179" t="e">
        <f>'INFORME '!#REF!</f>
        <v>#REF!</v>
      </c>
      <c r="G158" s="179" t="e">
        <f>'INFORME '!#REF!</f>
        <v>#REF!</v>
      </c>
      <c r="H158" s="179" t="e">
        <f>'INFORME '!#REF!</f>
        <v>#REF!</v>
      </c>
      <c r="I158" s="187" t="e">
        <f>'INFORME '!#REF!</f>
        <v>#REF!</v>
      </c>
      <c r="J158" s="187">
        <v>57107302</v>
      </c>
      <c r="K158" s="164" t="e">
        <f>'INFORME '!#REF!</f>
        <v>#REF!</v>
      </c>
      <c r="L158" s="164" t="e">
        <f>'INFORME '!#REF!</f>
        <v>#REF!</v>
      </c>
      <c r="M158" s="157" t="s">
        <v>487</v>
      </c>
      <c r="N158" s="160">
        <v>1</v>
      </c>
      <c r="O158" s="160">
        <v>2</v>
      </c>
      <c r="P158" s="157" t="s">
        <v>538</v>
      </c>
      <c r="Q158" s="157" t="s">
        <v>505</v>
      </c>
      <c r="R158" s="160">
        <v>205.96</v>
      </c>
      <c r="S158" s="157" t="e">
        <f>'INFORME '!#REF!</f>
        <v>#REF!</v>
      </c>
      <c r="T158" s="287" t="s">
        <v>488</v>
      </c>
    </row>
    <row r="159" spans="2:20">
      <c r="B159" s="185" t="e">
        <f>'INFORME '!#REF!</f>
        <v>#REF!</v>
      </c>
      <c r="C159" s="186" t="e">
        <f>'INFORME '!#REF!</f>
        <v>#REF!</v>
      </c>
      <c r="D159" s="164" t="e">
        <f>'INFORME '!#REF!</f>
        <v>#REF!</v>
      </c>
      <c r="E159" s="164"/>
      <c r="F159" s="179" t="e">
        <f>'INFORME '!#REF!</f>
        <v>#REF!</v>
      </c>
      <c r="G159" s="179" t="e">
        <f>'INFORME '!#REF!</f>
        <v>#REF!</v>
      </c>
      <c r="H159" s="179" t="e">
        <f>'INFORME '!#REF!</f>
        <v>#REF!</v>
      </c>
      <c r="I159" s="187" t="e">
        <f>'INFORME '!#REF!</f>
        <v>#REF!</v>
      </c>
      <c r="J159" s="187"/>
      <c r="K159" s="164" t="e">
        <f>'INFORME '!#REF!</f>
        <v>#REF!</v>
      </c>
      <c r="L159" s="164" t="e">
        <f>'INFORME '!#REF!</f>
        <v>#REF!</v>
      </c>
      <c r="M159" s="157"/>
      <c r="N159" s="160"/>
      <c r="O159" s="160"/>
      <c r="P159" s="157"/>
      <c r="Q159" s="157"/>
      <c r="R159" s="160"/>
      <c r="S159" s="157" t="e">
        <f>'INFORME '!#REF!</f>
        <v>#REF!</v>
      </c>
      <c r="T159" s="287"/>
    </row>
    <row r="160" spans="2:20" ht="16" thickBot="1">
      <c r="B160" s="182">
        <v>32</v>
      </c>
      <c r="C160" s="181"/>
      <c r="D160" s="172"/>
      <c r="E160" s="172"/>
      <c r="F160" s="53"/>
      <c r="G160" s="28"/>
      <c r="H160" s="28"/>
      <c r="I160" s="29"/>
      <c r="J160" s="29"/>
      <c r="K160" s="173"/>
      <c r="L160" s="173"/>
      <c r="M160" s="174"/>
      <c r="N160" s="175"/>
      <c r="O160" s="175"/>
      <c r="P160" s="174"/>
      <c r="Q160" s="174"/>
      <c r="R160" s="175"/>
      <c r="S160" s="174"/>
      <c r="T160" s="288"/>
    </row>
    <row r="161" spans="2:20" ht="22" thickBot="1">
      <c r="B161" s="376" t="s">
        <v>30</v>
      </c>
      <c r="C161" s="377"/>
      <c r="D161" s="377"/>
      <c r="E161" s="377"/>
      <c r="F161" s="378"/>
      <c r="G161" s="379"/>
      <c r="H161" s="380"/>
      <c r="I161" s="380"/>
      <c r="J161" s="380"/>
      <c r="K161" s="380"/>
      <c r="L161" s="380"/>
      <c r="M161" s="380"/>
      <c r="N161" s="380"/>
      <c r="O161" s="380"/>
      <c r="P161" s="380"/>
      <c r="Q161" s="380"/>
      <c r="R161" s="380"/>
      <c r="S161" s="380"/>
      <c r="T161" s="381"/>
    </row>
    <row r="163" spans="2:20" ht="16" thickBot="1"/>
    <row r="164" spans="2:20" ht="25" thickBot="1">
      <c r="B164" s="373" t="s">
        <v>583</v>
      </c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5"/>
    </row>
    <row r="165" spans="2:20" ht="31" thickBot="1">
      <c r="B165" s="79" t="s">
        <v>12</v>
      </c>
      <c r="C165" s="79" t="s">
        <v>22</v>
      </c>
      <c r="D165" s="80" t="s">
        <v>14</v>
      </c>
      <c r="E165" s="80" t="s">
        <v>507</v>
      </c>
      <c r="F165" s="80" t="s">
        <v>23</v>
      </c>
      <c r="G165" s="80" t="s">
        <v>24</v>
      </c>
      <c r="H165" s="80" t="s">
        <v>20</v>
      </c>
      <c r="I165" s="80" t="s">
        <v>25</v>
      </c>
      <c r="J165" s="80" t="s">
        <v>422</v>
      </c>
      <c r="K165" s="81" t="s">
        <v>26</v>
      </c>
      <c r="L165" s="81" t="s">
        <v>363</v>
      </c>
      <c r="M165" s="116" t="s">
        <v>485</v>
      </c>
      <c r="N165" s="163" t="s">
        <v>593</v>
      </c>
      <c r="O165" s="163" t="s">
        <v>537</v>
      </c>
      <c r="P165" s="81" t="s">
        <v>529</v>
      </c>
      <c r="Q165" s="81" t="s">
        <v>504</v>
      </c>
      <c r="R165" s="80" t="s">
        <v>490</v>
      </c>
      <c r="S165" s="80" t="s">
        <v>486</v>
      </c>
      <c r="T165" s="280" t="s">
        <v>530</v>
      </c>
    </row>
    <row r="166" spans="2:20">
      <c r="B166" s="185" t="e">
        <f>'INFORME '!#REF!</f>
        <v>#REF!</v>
      </c>
      <c r="C166" s="186" t="e">
        <f>'INFORME '!#REF!</f>
        <v>#REF!</v>
      </c>
      <c r="D166" s="164" t="e">
        <f>'INFORME '!#REF!</f>
        <v>#REF!</v>
      </c>
      <c r="E166" s="164" t="s">
        <v>488</v>
      </c>
      <c r="F166" s="179" t="e">
        <f>'INFORME '!#REF!</f>
        <v>#REF!</v>
      </c>
      <c r="G166" s="179" t="e">
        <f>'INFORME '!#REF!</f>
        <v>#REF!</v>
      </c>
      <c r="H166" s="179" t="e">
        <f>'INFORME '!#REF!</f>
        <v>#REF!</v>
      </c>
      <c r="I166" s="187" t="e">
        <f>'INFORME '!#REF!</f>
        <v>#REF!</v>
      </c>
      <c r="J166" s="187">
        <v>36708451</v>
      </c>
      <c r="K166" s="164" t="e">
        <f>'INFORME '!#REF!</f>
        <v>#REF!</v>
      </c>
      <c r="L166" s="164" t="e">
        <f>'INFORME '!#REF!</f>
        <v>#REF!</v>
      </c>
      <c r="M166" s="157" t="s">
        <v>433</v>
      </c>
      <c r="N166" s="160">
        <v>1</v>
      </c>
      <c r="O166" s="160">
        <v>2</v>
      </c>
      <c r="P166" s="157" t="s">
        <v>489</v>
      </c>
      <c r="Q166" s="157" t="s">
        <v>505</v>
      </c>
      <c r="R166" s="160">
        <v>75.540000000000006</v>
      </c>
      <c r="S166" s="157" t="e">
        <f>'INFORME '!#REF!</f>
        <v>#REF!</v>
      </c>
      <c r="T166" s="287" t="s">
        <v>488</v>
      </c>
    </row>
    <row r="167" spans="2:20" ht="30">
      <c r="B167" s="185" t="e">
        <f>'INFORME '!#REF!</f>
        <v>#REF!</v>
      </c>
      <c r="C167" s="186" t="e">
        <f>'INFORME '!#REF!</f>
        <v>#REF!</v>
      </c>
      <c r="D167" s="164" t="e">
        <f>'INFORME '!#REF!</f>
        <v>#REF!</v>
      </c>
      <c r="E167" s="164" t="s">
        <v>488</v>
      </c>
      <c r="F167" s="179" t="e">
        <f>'INFORME '!#REF!</f>
        <v>#REF!</v>
      </c>
      <c r="G167" s="179" t="e">
        <f>'INFORME '!#REF!</f>
        <v>#REF!</v>
      </c>
      <c r="H167" s="179" t="e">
        <f>'INFORME '!#REF!</f>
        <v>#REF!</v>
      </c>
      <c r="I167" s="187" t="e">
        <f>'INFORME '!#REF!</f>
        <v>#REF!</v>
      </c>
      <c r="J167" s="187">
        <v>43532565</v>
      </c>
      <c r="K167" s="164" t="e">
        <f>'INFORME '!#REF!</f>
        <v>#REF!</v>
      </c>
      <c r="L167" s="164" t="e">
        <f>'INFORME '!#REF!</f>
        <v>#REF!</v>
      </c>
      <c r="M167" s="157" t="s">
        <v>639</v>
      </c>
      <c r="N167" s="160" t="s">
        <v>768</v>
      </c>
      <c r="O167" s="160">
        <v>2</v>
      </c>
      <c r="P167" s="157" t="s">
        <v>769</v>
      </c>
      <c r="Q167" s="157" t="s">
        <v>505</v>
      </c>
      <c r="R167" s="160">
        <v>31.07</v>
      </c>
      <c r="S167" s="157" t="e">
        <f>'INFORME '!#REF!</f>
        <v>#REF!</v>
      </c>
      <c r="T167" s="287" t="s">
        <v>771</v>
      </c>
    </row>
    <row r="168" spans="2:20">
      <c r="B168" s="185" t="e">
        <f>'INFORME '!#REF!</f>
        <v>#REF!</v>
      </c>
      <c r="C168" s="186" t="e">
        <f>'INFORME '!#REF!</f>
        <v>#REF!</v>
      </c>
      <c r="D168" s="164" t="e">
        <f>'INFORME '!#REF!</f>
        <v>#REF!</v>
      </c>
      <c r="E168" s="164" t="s">
        <v>488</v>
      </c>
      <c r="F168" s="179" t="e">
        <f>'INFORME '!#REF!</f>
        <v>#REF!</v>
      </c>
      <c r="G168" s="179" t="e">
        <f>'INFORME '!#REF!</f>
        <v>#REF!</v>
      </c>
      <c r="H168" s="179" t="e">
        <f>'INFORME '!#REF!</f>
        <v>#REF!</v>
      </c>
      <c r="I168" s="187" t="e">
        <f>'INFORME '!#REF!</f>
        <v>#REF!</v>
      </c>
      <c r="J168" s="187">
        <v>32969978</v>
      </c>
      <c r="K168" s="164" t="e">
        <f>'INFORME '!#REF!</f>
        <v>#REF!</v>
      </c>
      <c r="L168" s="164" t="e">
        <f>'INFORME '!#REF!</f>
        <v>#REF!</v>
      </c>
      <c r="M168" s="157" t="s">
        <v>445</v>
      </c>
      <c r="N168" s="160">
        <v>1</v>
      </c>
      <c r="O168" s="160">
        <v>1</v>
      </c>
      <c r="P168" s="157" t="s">
        <v>770</v>
      </c>
      <c r="Q168" s="157" t="s">
        <v>505</v>
      </c>
      <c r="R168" s="160">
        <v>40.29</v>
      </c>
      <c r="S168" s="157" t="e">
        <f>'INFORME '!#REF!</f>
        <v>#REF!</v>
      </c>
      <c r="T168" s="287" t="s">
        <v>488</v>
      </c>
    </row>
    <row r="169" spans="2:20">
      <c r="B169" s="185" t="e">
        <f>'INFORME '!#REF!</f>
        <v>#REF!</v>
      </c>
      <c r="C169" s="186" t="e">
        <f>'INFORME '!#REF!</f>
        <v>#REF!</v>
      </c>
      <c r="D169" s="164" t="e">
        <f>'INFORME '!#REF!</f>
        <v>#REF!</v>
      </c>
      <c r="E169" s="164" t="s">
        <v>488</v>
      </c>
      <c r="F169" s="179" t="e">
        <f>'INFORME '!#REF!</f>
        <v>#REF!</v>
      </c>
      <c r="G169" s="179" t="e">
        <f>'INFORME '!#REF!</f>
        <v>#REF!</v>
      </c>
      <c r="H169" s="179" t="e">
        <f>'INFORME '!#REF!</f>
        <v>#REF!</v>
      </c>
      <c r="I169" s="187" t="e">
        <f>'INFORME '!#REF!</f>
        <v>#REF!</v>
      </c>
      <c r="J169" s="187">
        <v>47532565</v>
      </c>
      <c r="K169" s="164" t="e">
        <f>'INFORME '!#REF!</f>
        <v>#REF!</v>
      </c>
      <c r="L169" s="164" t="e">
        <f>'INFORME '!#REF!</f>
        <v>#REF!</v>
      </c>
      <c r="M169" s="157" t="s">
        <v>773</v>
      </c>
      <c r="N169" s="160">
        <v>0</v>
      </c>
      <c r="O169" s="160">
        <v>0</v>
      </c>
      <c r="P169" s="157" t="s">
        <v>489</v>
      </c>
      <c r="Q169" s="157" t="s">
        <v>505</v>
      </c>
      <c r="R169" s="160">
        <v>67.87</v>
      </c>
      <c r="S169" s="157" t="e">
        <f>'INFORME '!#REF!</f>
        <v>#REF!</v>
      </c>
      <c r="T169" s="287" t="s">
        <v>488</v>
      </c>
    </row>
    <row r="170" spans="2:20">
      <c r="B170" s="185" t="e">
        <f>'INFORME '!#REF!</f>
        <v>#REF!</v>
      </c>
      <c r="C170" s="186" t="e">
        <f>'INFORME '!#REF!</f>
        <v>#REF!</v>
      </c>
      <c r="D170" s="164" t="e">
        <f>'INFORME '!#REF!</f>
        <v>#REF!</v>
      </c>
      <c r="E170" s="164" t="s">
        <v>488</v>
      </c>
      <c r="F170" s="179" t="e">
        <f>'INFORME '!#REF!</f>
        <v>#REF!</v>
      </c>
      <c r="G170" s="179" t="e">
        <f>'INFORME '!#REF!</f>
        <v>#REF!</v>
      </c>
      <c r="H170" s="179" t="e">
        <f>'INFORME '!#REF!</f>
        <v>#REF!</v>
      </c>
      <c r="I170" s="187" t="e">
        <f>'INFORME '!#REF!</f>
        <v>#REF!</v>
      </c>
      <c r="J170" s="187">
        <v>33209972</v>
      </c>
      <c r="K170" s="164" t="e">
        <f>'INFORME '!#REF!</f>
        <v>#REF!</v>
      </c>
      <c r="L170" s="164" t="e">
        <f>'INFORME '!#REF!</f>
        <v>#REF!</v>
      </c>
      <c r="M170" s="157" t="s">
        <v>785</v>
      </c>
      <c r="N170" s="160">
        <v>1</v>
      </c>
      <c r="O170" s="160">
        <v>3</v>
      </c>
      <c r="P170" s="157" t="s">
        <v>489</v>
      </c>
      <c r="Q170" s="157" t="s">
        <v>505</v>
      </c>
      <c r="R170" s="160">
        <v>73.42</v>
      </c>
      <c r="S170" s="157" t="e">
        <f>'INFORME '!#REF!</f>
        <v>#REF!</v>
      </c>
      <c r="T170" s="287" t="s">
        <v>488</v>
      </c>
    </row>
    <row r="171" spans="2:20">
      <c r="B171" s="185" t="e">
        <f>'INFORME '!#REF!</f>
        <v>#REF!</v>
      </c>
      <c r="C171" s="186" t="e">
        <f>'INFORME '!#REF!</f>
        <v>#REF!</v>
      </c>
      <c r="D171" s="164" t="e">
        <f>'INFORME '!#REF!</f>
        <v>#REF!</v>
      </c>
      <c r="E171" s="164" t="s">
        <v>488</v>
      </c>
      <c r="F171" s="179" t="e">
        <f>'INFORME '!#REF!</f>
        <v>#REF!</v>
      </c>
      <c r="G171" s="179" t="e">
        <f>'INFORME '!#REF!</f>
        <v>#REF!</v>
      </c>
      <c r="H171" s="179" t="e">
        <f>'INFORME '!#REF!</f>
        <v>#REF!</v>
      </c>
      <c r="I171" s="187" t="e">
        <f>'INFORME '!#REF!</f>
        <v>#REF!</v>
      </c>
      <c r="J171" s="187">
        <v>40488353</v>
      </c>
      <c r="K171" s="164" t="e">
        <f>'INFORME '!#REF!</f>
        <v>#REF!</v>
      </c>
      <c r="L171" s="164" t="e">
        <f>'INFORME '!#REF!</f>
        <v>#REF!</v>
      </c>
      <c r="M171" s="157" t="s">
        <v>784</v>
      </c>
      <c r="N171" s="160">
        <v>2</v>
      </c>
      <c r="O171" s="160">
        <v>2</v>
      </c>
      <c r="P171" s="157" t="s">
        <v>769</v>
      </c>
      <c r="Q171" s="157" t="s">
        <v>505</v>
      </c>
      <c r="R171" s="160">
        <v>153</v>
      </c>
      <c r="S171" s="157" t="e">
        <f>'INFORME '!#REF!</f>
        <v>#REF!</v>
      </c>
      <c r="T171" s="287" t="s">
        <v>783</v>
      </c>
    </row>
    <row r="172" spans="2:20">
      <c r="B172" s="185" t="e">
        <f>'INFORME '!#REF!</f>
        <v>#REF!</v>
      </c>
      <c r="C172" s="186" t="e">
        <f>'INFORME '!#REF!</f>
        <v>#REF!</v>
      </c>
      <c r="D172" s="164" t="e">
        <f>'INFORME '!#REF!</f>
        <v>#REF!</v>
      </c>
      <c r="E172" s="164" t="s">
        <v>488</v>
      </c>
      <c r="F172" s="179" t="e">
        <f>'INFORME '!#REF!</f>
        <v>#REF!</v>
      </c>
      <c r="G172" s="179" t="e">
        <f>'INFORME '!#REF!</f>
        <v>#REF!</v>
      </c>
      <c r="H172" s="179" t="e">
        <f>'INFORME '!#REF!</f>
        <v>#REF!</v>
      </c>
      <c r="I172" s="187" t="e">
        <f>'INFORME '!#REF!</f>
        <v>#REF!</v>
      </c>
      <c r="J172" s="187">
        <v>45405016</v>
      </c>
      <c r="K172" s="164" t="e">
        <f>'INFORME '!#REF!</f>
        <v>#REF!</v>
      </c>
      <c r="L172" s="164" t="e">
        <f>'INFORME '!#REF!</f>
        <v>#REF!</v>
      </c>
      <c r="M172" s="157" t="s">
        <v>782</v>
      </c>
      <c r="N172" s="160">
        <v>1</v>
      </c>
      <c r="O172" s="160">
        <v>3</v>
      </c>
      <c r="P172" s="157" t="s">
        <v>769</v>
      </c>
      <c r="Q172" s="157" t="s">
        <v>505</v>
      </c>
      <c r="R172" s="160">
        <v>96</v>
      </c>
      <c r="S172" s="157" t="e">
        <f>'INFORME '!#REF!</f>
        <v>#REF!</v>
      </c>
      <c r="T172" s="287" t="s">
        <v>783</v>
      </c>
    </row>
    <row r="173" spans="2:20" ht="45">
      <c r="B173" s="185" t="e">
        <f>'INFORME '!#REF!</f>
        <v>#REF!</v>
      </c>
      <c r="C173" s="186" t="e">
        <f>'INFORME '!#REF!</f>
        <v>#REF!</v>
      </c>
      <c r="D173" s="164" t="e">
        <f>'INFORME '!#REF!</f>
        <v>#REF!</v>
      </c>
      <c r="E173" s="164" t="s">
        <v>488</v>
      </c>
      <c r="F173" s="179" t="e">
        <f>'INFORME '!#REF!</f>
        <v>#REF!</v>
      </c>
      <c r="G173" s="179" t="e">
        <f>'INFORME '!#REF!</f>
        <v>#REF!</v>
      </c>
      <c r="H173" s="179" t="e">
        <f>'INFORME '!#REF!</f>
        <v>#REF!</v>
      </c>
      <c r="I173" s="187" t="e">
        <f>'INFORME '!#REF!</f>
        <v>#REF!</v>
      </c>
      <c r="J173" s="187">
        <v>47201656</v>
      </c>
      <c r="K173" s="164" t="e">
        <f>'INFORME '!#REF!</f>
        <v>#REF!</v>
      </c>
      <c r="L173" s="164" t="e">
        <f>'INFORME '!#REF!</f>
        <v>#REF!</v>
      </c>
      <c r="M173" s="157" t="s">
        <v>445</v>
      </c>
      <c r="N173" s="160" t="s">
        <v>786</v>
      </c>
      <c r="O173" s="160">
        <v>1</v>
      </c>
      <c r="P173" s="157" t="s">
        <v>538</v>
      </c>
      <c r="Q173" s="157" t="s">
        <v>505</v>
      </c>
      <c r="R173" s="160">
        <v>66.599999999999994</v>
      </c>
      <c r="S173" s="157" t="e">
        <f>'INFORME '!#REF!</f>
        <v>#REF!</v>
      </c>
      <c r="T173" s="287" t="s">
        <v>787</v>
      </c>
    </row>
    <row r="174" spans="2:20">
      <c r="B174" s="185" t="e">
        <f>'INFORME '!#REF!</f>
        <v>#REF!</v>
      </c>
      <c r="C174" s="186" t="e">
        <f>'INFORME '!#REF!</f>
        <v>#REF!</v>
      </c>
      <c r="D174" s="164" t="e">
        <f>'INFORME '!#REF!</f>
        <v>#REF!</v>
      </c>
      <c r="E174" s="164" t="s">
        <v>488</v>
      </c>
      <c r="F174" s="179" t="e">
        <f>'INFORME '!#REF!</f>
        <v>#REF!</v>
      </c>
      <c r="G174" s="179" t="e">
        <f>'INFORME '!#REF!</f>
        <v>#REF!</v>
      </c>
      <c r="H174" s="179" t="e">
        <f>'INFORME '!#REF!</f>
        <v>#REF!</v>
      </c>
      <c r="I174" s="187" t="e">
        <f>'INFORME '!#REF!</f>
        <v>#REF!</v>
      </c>
      <c r="J174" s="187"/>
      <c r="K174" s="164" t="e">
        <f>'INFORME '!#REF!</f>
        <v>#REF!</v>
      </c>
      <c r="L174" s="164" t="e">
        <f>'INFORME '!#REF!</f>
        <v>#REF!</v>
      </c>
      <c r="M174" s="157" t="s">
        <v>785</v>
      </c>
      <c r="N174" s="160" t="s">
        <v>768</v>
      </c>
      <c r="O174" s="160">
        <v>3</v>
      </c>
      <c r="P174" s="157" t="s">
        <v>769</v>
      </c>
      <c r="Q174" s="157" t="s">
        <v>505</v>
      </c>
      <c r="R174" s="160"/>
      <c r="S174" s="157" t="e">
        <f>'INFORME '!#REF!</f>
        <v>#REF!</v>
      </c>
      <c r="T174" s="287"/>
    </row>
    <row r="175" spans="2:20">
      <c r="B175" s="185" t="e">
        <f>'INFORME '!#REF!</f>
        <v>#REF!</v>
      </c>
      <c r="C175" s="186" t="e">
        <f>'INFORME '!#REF!</f>
        <v>#REF!</v>
      </c>
      <c r="D175" s="164" t="e">
        <f>'INFORME '!#REF!</f>
        <v>#REF!</v>
      </c>
      <c r="E175" s="164" t="s">
        <v>488</v>
      </c>
      <c r="F175" s="179" t="e">
        <f>'INFORME '!#REF!</f>
        <v>#REF!</v>
      </c>
      <c r="G175" s="179" t="e">
        <f>'INFORME '!#REF!</f>
        <v>#REF!</v>
      </c>
      <c r="H175" s="179" t="e">
        <f>'INFORME '!#REF!</f>
        <v>#REF!</v>
      </c>
      <c r="I175" s="187" t="e">
        <f>'INFORME '!#REF!</f>
        <v>#REF!</v>
      </c>
      <c r="J175" s="187">
        <v>54578627</v>
      </c>
      <c r="K175" s="164" t="e">
        <f>'INFORME '!#REF!</f>
        <v>#REF!</v>
      </c>
      <c r="L175" s="164" t="e">
        <f>'INFORME '!#REF!</f>
        <v>#REF!</v>
      </c>
      <c r="M175" s="157" t="s">
        <v>445</v>
      </c>
      <c r="N175" s="160" t="s">
        <v>768</v>
      </c>
      <c r="O175" s="160">
        <v>1</v>
      </c>
      <c r="P175" s="157" t="s">
        <v>769</v>
      </c>
      <c r="Q175" s="157" t="s">
        <v>505</v>
      </c>
      <c r="R175" s="160">
        <v>94.39</v>
      </c>
      <c r="S175" s="157" t="e">
        <f>'INFORME '!#REF!</f>
        <v>#REF!</v>
      </c>
      <c r="T175" s="287" t="s">
        <v>488</v>
      </c>
    </row>
    <row r="176" spans="2:20">
      <c r="B176" s="185" t="e">
        <f>'INFORME '!#REF!</f>
        <v>#REF!</v>
      </c>
      <c r="C176" s="186" t="e">
        <f>'INFORME '!#REF!</f>
        <v>#REF!</v>
      </c>
      <c r="D176" s="164" t="e">
        <f>'INFORME '!#REF!</f>
        <v>#REF!</v>
      </c>
      <c r="E176" s="164" t="s">
        <v>488</v>
      </c>
      <c r="F176" s="179" t="e">
        <f>'INFORME '!#REF!</f>
        <v>#REF!</v>
      </c>
      <c r="G176" s="179" t="e">
        <f>'INFORME '!#REF!</f>
        <v>#REF!</v>
      </c>
      <c r="H176" s="179" t="e">
        <f>'INFORME '!#REF!</f>
        <v>#REF!</v>
      </c>
      <c r="I176" s="187" t="e">
        <f>'INFORME '!#REF!</f>
        <v>#REF!</v>
      </c>
      <c r="J176" s="187" t="s">
        <v>791</v>
      </c>
      <c r="K176" s="164" t="e">
        <f>'INFORME '!#REF!</f>
        <v>#REF!</v>
      </c>
      <c r="L176" s="164" t="e">
        <f>'INFORME '!#REF!</f>
        <v>#REF!</v>
      </c>
      <c r="M176" s="157" t="s">
        <v>433</v>
      </c>
      <c r="N176" s="160">
        <v>1</v>
      </c>
      <c r="O176" s="160">
        <v>1</v>
      </c>
      <c r="P176" s="157" t="s">
        <v>538</v>
      </c>
      <c r="Q176" s="157" t="s">
        <v>505</v>
      </c>
      <c r="R176" s="160">
        <v>209.67</v>
      </c>
      <c r="S176" s="157" t="e">
        <f>'INFORME '!#REF!</f>
        <v>#REF!</v>
      </c>
      <c r="T176" s="287" t="s">
        <v>488</v>
      </c>
    </row>
    <row r="177" spans="2:20">
      <c r="B177" s="185" t="e">
        <f>'INFORME '!#REF!</f>
        <v>#REF!</v>
      </c>
      <c r="C177" s="186" t="e">
        <f>'INFORME '!#REF!</f>
        <v>#REF!</v>
      </c>
      <c r="D177" s="164" t="e">
        <f>'INFORME '!#REF!</f>
        <v>#REF!</v>
      </c>
      <c r="E177" s="164" t="s">
        <v>488</v>
      </c>
      <c r="F177" s="179" t="e">
        <f>'INFORME '!#REF!</f>
        <v>#REF!</v>
      </c>
      <c r="G177" s="179" t="e">
        <f>'INFORME '!#REF!</f>
        <v>#REF!</v>
      </c>
      <c r="H177" s="179" t="e">
        <f>'INFORME '!#REF!</f>
        <v>#REF!</v>
      </c>
      <c r="I177" s="187" t="e">
        <f>'INFORME '!#REF!</f>
        <v>#REF!</v>
      </c>
      <c r="J177" s="187">
        <v>42525564</v>
      </c>
      <c r="K177" s="164" t="e">
        <f>'INFORME '!#REF!</f>
        <v>#REF!</v>
      </c>
      <c r="L177" s="164" t="e">
        <f>'INFORME '!#REF!</f>
        <v>#REF!</v>
      </c>
      <c r="M177" s="157"/>
      <c r="N177" s="160"/>
      <c r="O177" s="160"/>
      <c r="P177" s="157"/>
      <c r="Q177" s="157"/>
      <c r="R177" s="160"/>
      <c r="S177" s="157" t="e">
        <f>'INFORME '!#REF!</f>
        <v>#REF!</v>
      </c>
      <c r="T177" s="287" t="s">
        <v>796</v>
      </c>
    </row>
    <row r="178" spans="2:20">
      <c r="B178" s="185" t="e">
        <f>'INFORME '!#REF!</f>
        <v>#REF!</v>
      </c>
      <c r="C178" s="186" t="e">
        <f>'INFORME '!#REF!</f>
        <v>#REF!</v>
      </c>
      <c r="D178" s="164" t="e">
        <f>'INFORME '!#REF!</f>
        <v>#REF!</v>
      </c>
      <c r="E178" s="164" t="s">
        <v>488</v>
      </c>
      <c r="F178" s="179" t="e">
        <f>'INFORME '!#REF!</f>
        <v>#REF!</v>
      </c>
      <c r="G178" s="179" t="e">
        <f>'INFORME '!#REF!</f>
        <v>#REF!</v>
      </c>
      <c r="H178" s="179" t="e">
        <f>'INFORME '!#REF!</f>
        <v>#REF!</v>
      </c>
      <c r="I178" s="187" t="e">
        <f>'INFORME '!#REF!</f>
        <v>#REF!</v>
      </c>
      <c r="J178" s="187">
        <v>32962180</v>
      </c>
      <c r="K178" s="164" t="e">
        <f>'INFORME '!#REF!</f>
        <v>#REF!</v>
      </c>
      <c r="L178" s="164" t="e">
        <f>'INFORME '!#REF!</f>
        <v>#REF!</v>
      </c>
      <c r="M178" s="157" t="s">
        <v>445</v>
      </c>
      <c r="N178" s="160">
        <v>1</v>
      </c>
      <c r="O178" s="160">
        <v>1</v>
      </c>
      <c r="P178" s="157" t="s">
        <v>489</v>
      </c>
      <c r="Q178" s="157" t="s">
        <v>505</v>
      </c>
      <c r="R178" s="160">
        <v>34.86</v>
      </c>
      <c r="S178" s="157" t="e">
        <f>'INFORME '!#REF!</f>
        <v>#REF!</v>
      </c>
      <c r="T178" s="287" t="s">
        <v>488</v>
      </c>
    </row>
    <row r="179" spans="2:20">
      <c r="B179" s="185" t="e">
        <f>'INFORME '!#REF!</f>
        <v>#REF!</v>
      </c>
      <c r="C179" s="186" t="e">
        <f>'INFORME '!#REF!</f>
        <v>#REF!</v>
      </c>
      <c r="D179" s="164" t="e">
        <f>'INFORME '!#REF!</f>
        <v>#REF!</v>
      </c>
      <c r="E179" s="164" t="s">
        <v>488</v>
      </c>
      <c r="F179" s="179" t="e">
        <f>'INFORME '!#REF!</f>
        <v>#REF!</v>
      </c>
      <c r="G179" s="179" t="e">
        <f>'INFORME '!#REF!</f>
        <v>#REF!</v>
      </c>
      <c r="H179" s="179" t="e">
        <f>'INFORME '!#REF!</f>
        <v>#REF!</v>
      </c>
      <c r="I179" s="187" t="e">
        <f>'INFORME '!#REF!</f>
        <v>#REF!</v>
      </c>
      <c r="J179" s="187">
        <v>50623424</v>
      </c>
      <c r="K179" s="164" t="e">
        <f>'INFORME '!#REF!</f>
        <v>#REF!</v>
      </c>
      <c r="L179" s="164" t="e">
        <f>'INFORME '!#REF!</f>
        <v>#REF!</v>
      </c>
      <c r="M179" s="157"/>
      <c r="N179" s="160"/>
      <c r="O179" s="160"/>
      <c r="P179" s="157"/>
      <c r="Q179" s="157"/>
      <c r="R179" s="160"/>
      <c r="S179" s="157" t="e">
        <f>'INFORME '!#REF!</f>
        <v>#REF!</v>
      </c>
      <c r="T179" s="287" t="s">
        <v>813</v>
      </c>
    </row>
    <row r="180" spans="2:20">
      <c r="B180" s="185" t="e">
        <f>'INFORME '!#REF!</f>
        <v>#REF!</v>
      </c>
      <c r="C180" s="186" t="e">
        <f>'INFORME '!#REF!</f>
        <v>#REF!</v>
      </c>
      <c r="D180" s="164" t="e">
        <f>'INFORME '!#REF!</f>
        <v>#REF!</v>
      </c>
      <c r="E180" s="164" t="s">
        <v>807</v>
      </c>
      <c r="F180" s="179" t="e">
        <f>'INFORME '!#REF!</f>
        <v>#REF!</v>
      </c>
      <c r="G180" s="179" t="e">
        <f>'INFORME '!#REF!</f>
        <v>#REF!</v>
      </c>
      <c r="H180" s="179" t="e">
        <f>'INFORME '!#REF!</f>
        <v>#REF!</v>
      </c>
      <c r="I180" s="187" t="e">
        <f>'INFORME '!#REF!</f>
        <v>#REF!</v>
      </c>
      <c r="J180" s="187">
        <v>54045758</v>
      </c>
      <c r="K180" s="164" t="e">
        <f>'INFORME '!#REF!</f>
        <v>#REF!</v>
      </c>
      <c r="L180" s="164" t="e">
        <f>'INFORME '!#REF!</f>
        <v>#REF!</v>
      </c>
      <c r="M180" s="157" t="s">
        <v>445</v>
      </c>
      <c r="N180" s="160">
        <v>1</v>
      </c>
      <c r="O180" s="160">
        <v>1</v>
      </c>
      <c r="P180" s="157" t="s">
        <v>769</v>
      </c>
      <c r="Q180" s="157" t="s">
        <v>505</v>
      </c>
      <c r="R180" s="160">
        <v>85.19</v>
      </c>
      <c r="S180" s="157" t="e">
        <f>'INFORME '!#REF!</f>
        <v>#REF!</v>
      </c>
      <c r="T180" s="287" t="s">
        <v>783</v>
      </c>
    </row>
    <row r="181" spans="2:20">
      <c r="B181" s="185" t="e">
        <f>'INFORME '!#REF!</f>
        <v>#REF!</v>
      </c>
      <c r="C181" s="186" t="e">
        <f>'INFORME '!#REF!</f>
        <v>#REF!</v>
      </c>
      <c r="D181" s="164" t="e">
        <f>'INFORME '!#REF!</f>
        <v>#REF!</v>
      </c>
      <c r="E181" s="164" t="s">
        <v>488</v>
      </c>
      <c r="F181" s="179" t="e">
        <f>'INFORME '!#REF!</f>
        <v>#REF!</v>
      </c>
      <c r="G181" s="179" t="e">
        <f>'INFORME '!#REF!</f>
        <v>#REF!</v>
      </c>
      <c r="H181" s="179" t="e">
        <f>'INFORME '!#REF!</f>
        <v>#REF!</v>
      </c>
      <c r="I181" s="187" t="e">
        <f>'INFORME '!#REF!</f>
        <v>#REF!</v>
      </c>
      <c r="J181" s="187">
        <v>54796937</v>
      </c>
      <c r="K181" s="164" t="e">
        <f>'INFORME '!#REF!</f>
        <v>#REF!</v>
      </c>
      <c r="L181" s="164" t="e">
        <f>'INFORME '!#REF!</f>
        <v>#REF!</v>
      </c>
      <c r="M181" s="157"/>
      <c r="N181" s="160"/>
      <c r="O181" s="160"/>
      <c r="P181" s="157"/>
      <c r="Q181" s="157"/>
      <c r="R181" s="160"/>
      <c r="S181" s="157" t="e">
        <f>'INFORME '!#REF!</f>
        <v>#REF!</v>
      </c>
      <c r="T181" s="287" t="s">
        <v>809</v>
      </c>
    </row>
    <row r="182" spans="2:20">
      <c r="B182" s="185" t="e">
        <f>'INFORME '!#REF!</f>
        <v>#REF!</v>
      </c>
      <c r="C182" s="186" t="e">
        <f>'INFORME '!#REF!</f>
        <v>#REF!</v>
      </c>
      <c r="D182" s="164" t="e">
        <f>'INFORME '!#REF!</f>
        <v>#REF!</v>
      </c>
      <c r="E182" s="164" t="s">
        <v>488</v>
      </c>
      <c r="F182" s="179" t="e">
        <f>'INFORME '!#REF!</f>
        <v>#REF!</v>
      </c>
      <c r="G182" s="179" t="e">
        <f>'INFORME '!#REF!</f>
        <v>#REF!</v>
      </c>
      <c r="H182" s="179" t="e">
        <f>'INFORME '!#REF!</f>
        <v>#REF!</v>
      </c>
      <c r="I182" s="187" t="e">
        <f>'INFORME '!#REF!</f>
        <v>#REF!</v>
      </c>
      <c r="J182" s="187">
        <v>57990436</v>
      </c>
      <c r="K182" s="164" t="e">
        <f>'INFORME '!#REF!</f>
        <v>#REF!</v>
      </c>
      <c r="L182" s="164" t="e">
        <f>'INFORME '!#REF!</f>
        <v>#REF!</v>
      </c>
      <c r="M182" s="157" t="s">
        <v>445</v>
      </c>
      <c r="N182" s="160">
        <v>1</v>
      </c>
      <c r="O182" s="160">
        <v>1</v>
      </c>
      <c r="P182" s="157" t="s">
        <v>538</v>
      </c>
      <c r="Q182" s="157" t="s">
        <v>505</v>
      </c>
      <c r="R182" s="160">
        <v>185.74</v>
      </c>
      <c r="S182" s="157" t="e">
        <f>'INFORME '!#REF!</f>
        <v>#REF!</v>
      </c>
      <c r="T182" s="287" t="s">
        <v>783</v>
      </c>
    </row>
    <row r="183" spans="2:20" ht="30">
      <c r="B183" s="185" t="e">
        <f>'INFORME '!#REF!</f>
        <v>#REF!</v>
      </c>
      <c r="C183" s="186" t="e">
        <f>'INFORME '!#REF!</f>
        <v>#REF!</v>
      </c>
      <c r="D183" s="164" t="e">
        <f>'INFORME '!#REF!</f>
        <v>#REF!</v>
      </c>
      <c r="E183" s="164" t="s">
        <v>488</v>
      </c>
      <c r="F183" s="179" t="e">
        <f>'INFORME '!#REF!</f>
        <v>#REF!</v>
      </c>
      <c r="G183" s="179" t="e">
        <f>'INFORME '!#REF!</f>
        <v>#REF!</v>
      </c>
      <c r="H183" s="179" t="e">
        <f>'INFORME '!#REF!</f>
        <v>#REF!</v>
      </c>
      <c r="I183" s="187" t="e">
        <f>'INFORME '!#REF!</f>
        <v>#REF!</v>
      </c>
      <c r="J183" s="187">
        <v>42166473</v>
      </c>
      <c r="K183" s="164" t="e">
        <f>'INFORME '!#REF!</f>
        <v>#REF!</v>
      </c>
      <c r="L183" s="164" t="e">
        <f>'INFORME '!#REF!</f>
        <v>#REF!</v>
      </c>
      <c r="M183" s="157" t="s">
        <v>639</v>
      </c>
      <c r="N183" s="160" t="s">
        <v>768</v>
      </c>
      <c r="O183" s="160">
        <v>2</v>
      </c>
      <c r="P183" s="157" t="s">
        <v>769</v>
      </c>
      <c r="Q183" s="157" t="s">
        <v>505</v>
      </c>
      <c r="R183" s="160">
        <v>126.66</v>
      </c>
      <c r="S183" s="157" t="e">
        <f>'INFORME '!#REF!</f>
        <v>#REF!</v>
      </c>
      <c r="T183" s="287" t="s">
        <v>783</v>
      </c>
    </row>
    <row r="184" spans="2:20" ht="30">
      <c r="B184" s="185" t="e">
        <f>'INFORME '!#REF!</f>
        <v>#REF!</v>
      </c>
      <c r="C184" s="186" t="e">
        <f>'INFORME '!#REF!</f>
        <v>#REF!</v>
      </c>
      <c r="D184" s="164" t="e">
        <f>'INFORME '!#REF!</f>
        <v>#REF!</v>
      </c>
      <c r="E184" s="164" t="s">
        <v>488</v>
      </c>
      <c r="F184" s="179" t="e">
        <f>'INFORME '!#REF!</f>
        <v>#REF!</v>
      </c>
      <c r="G184" s="179" t="e">
        <f>'INFORME '!#REF!</f>
        <v>#REF!</v>
      </c>
      <c r="H184" s="179" t="e">
        <f>'INFORME '!#REF!</f>
        <v>#REF!</v>
      </c>
      <c r="I184" s="187" t="e">
        <f>'INFORME '!#REF!</f>
        <v>#REF!</v>
      </c>
      <c r="J184" s="187">
        <v>39615604</v>
      </c>
      <c r="K184" s="164" t="e">
        <f>'INFORME '!#REF!</f>
        <v>#REF!</v>
      </c>
      <c r="L184" s="164" t="e">
        <f>'INFORME '!#REF!</f>
        <v>#REF!</v>
      </c>
      <c r="M184" s="157" t="s">
        <v>821</v>
      </c>
      <c r="N184" s="160" t="s">
        <v>822</v>
      </c>
      <c r="O184" s="160">
        <v>3</v>
      </c>
      <c r="P184" s="157" t="s">
        <v>538</v>
      </c>
      <c r="Q184" s="157" t="s">
        <v>505</v>
      </c>
      <c r="R184" s="160">
        <v>111.04</v>
      </c>
      <c r="S184" s="157" t="e">
        <f>'INFORME '!#REF!</f>
        <v>#REF!</v>
      </c>
      <c r="T184" s="287" t="s">
        <v>783</v>
      </c>
    </row>
    <row r="185" spans="2:20">
      <c r="B185" s="185" t="e">
        <f>'INFORME '!#REF!</f>
        <v>#REF!</v>
      </c>
      <c r="C185" s="186" t="e">
        <f>'INFORME '!#REF!</f>
        <v>#REF!</v>
      </c>
      <c r="D185" s="164" t="e">
        <f>'INFORME '!#REF!</f>
        <v>#REF!</v>
      </c>
      <c r="E185" s="164" t="s">
        <v>488</v>
      </c>
      <c r="F185" s="179" t="e">
        <f>'INFORME '!#REF!</f>
        <v>#REF!</v>
      </c>
      <c r="G185" s="179" t="e">
        <f>'INFORME '!#REF!</f>
        <v>#REF!</v>
      </c>
      <c r="H185" s="179" t="e">
        <f>'INFORME '!#REF!</f>
        <v>#REF!</v>
      </c>
      <c r="I185" s="187" t="e">
        <f>'INFORME '!#REF!</f>
        <v>#REF!</v>
      </c>
      <c r="J185" s="187">
        <v>40488353</v>
      </c>
      <c r="K185" s="164" t="e">
        <f>'INFORME '!#REF!</f>
        <v>#REF!</v>
      </c>
      <c r="L185" s="164" t="e">
        <f>'INFORME '!#REF!</f>
        <v>#REF!</v>
      </c>
      <c r="M185" s="157"/>
      <c r="N185" s="160"/>
      <c r="O185" s="160"/>
      <c r="P185" s="157"/>
      <c r="Q185" s="157"/>
      <c r="R185" s="160"/>
      <c r="S185" s="157" t="e">
        <f>'INFORME '!#REF!</f>
        <v>#REF!</v>
      </c>
      <c r="T185" s="287" t="s">
        <v>825</v>
      </c>
    </row>
    <row r="186" spans="2:20">
      <c r="B186" s="185" t="e">
        <f>'INFORME '!#REF!</f>
        <v>#REF!</v>
      </c>
      <c r="C186" s="186" t="e">
        <f>'INFORME '!#REF!</f>
        <v>#REF!</v>
      </c>
      <c r="D186" s="164" t="e">
        <f>'INFORME '!#REF!</f>
        <v>#REF!</v>
      </c>
      <c r="E186" s="164" t="s">
        <v>488</v>
      </c>
      <c r="F186" s="179" t="e">
        <f>'INFORME '!#REF!</f>
        <v>#REF!</v>
      </c>
      <c r="G186" s="179" t="e">
        <f>'INFORME '!#REF!</f>
        <v>#REF!</v>
      </c>
      <c r="H186" s="179" t="e">
        <f>'INFORME '!#REF!</f>
        <v>#REF!</v>
      </c>
      <c r="I186" s="187" t="e">
        <f>'INFORME '!#REF!</f>
        <v>#REF!</v>
      </c>
      <c r="J186" s="187">
        <v>35792766</v>
      </c>
      <c r="K186" s="164" t="e">
        <f>'INFORME '!#REF!</f>
        <v>#REF!</v>
      </c>
      <c r="L186" s="164" t="e">
        <f>'INFORME '!#REF!</f>
        <v>#REF!</v>
      </c>
      <c r="M186" s="157"/>
      <c r="N186" s="160"/>
      <c r="O186" s="160"/>
      <c r="P186" s="157"/>
      <c r="Q186" s="157"/>
      <c r="R186" s="160"/>
      <c r="S186" s="157" t="e">
        <f>'INFORME '!#REF!</f>
        <v>#REF!</v>
      </c>
      <c r="T186" s="287" t="s">
        <v>833</v>
      </c>
    </row>
    <row r="187" spans="2:20">
      <c r="B187" s="185" t="e">
        <f>'INFORME '!#REF!</f>
        <v>#REF!</v>
      </c>
      <c r="C187" s="186" t="e">
        <f>'INFORME '!#REF!</f>
        <v>#REF!</v>
      </c>
      <c r="D187" s="164" t="e">
        <f>'INFORME '!#REF!</f>
        <v>#REF!</v>
      </c>
      <c r="E187" s="164" t="s">
        <v>488</v>
      </c>
      <c r="F187" s="179" t="e">
        <f>'INFORME '!#REF!</f>
        <v>#REF!</v>
      </c>
      <c r="G187" s="179" t="e">
        <f>'INFORME '!#REF!</f>
        <v>#REF!</v>
      </c>
      <c r="H187" s="179" t="e">
        <f>'INFORME '!#REF!</f>
        <v>#REF!</v>
      </c>
      <c r="I187" s="187" t="e">
        <f>'INFORME '!#REF!</f>
        <v>#REF!</v>
      </c>
      <c r="J187" s="187">
        <v>59594766</v>
      </c>
      <c r="K187" s="164" t="e">
        <f>'INFORME '!#REF!</f>
        <v>#REF!</v>
      </c>
      <c r="L187" s="164" t="e">
        <f>'INFORME '!#REF!</f>
        <v>#REF!</v>
      </c>
      <c r="M187" s="157"/>
      <c r="N187" s="160"/>
      <c r="O187" s="160"/>
      <c r="P187" s="157"/>
      <c r="Q187" s="157"/>
      <c r="R187" s="160"/>
      <c r="S187" s="157" t="e">
        <f>'INFORME '!#REF!</f>
        <v>#REF!</v>
      </c>
      <c r="T187" s="287" t="s">
        <v>704</v>
      </c>
    </row>
    <row r="188" spans="2:20">
      <c r="B188" s="185" t="e">
        <f>'INFORME '!#REF!</f>
        <v>#REF!</v>
      </c>
      <c r="C188" s="186" t="e">
        <f>'INFORME '!#REF!</f>
        <v>#REF!</v>
      </c>
      <c r="D188" s="164" t="e">
        <f>'INFORME '!#REF!</f>
        <v>#REF!</v>
      </c>
      <c r="E188" s="164" t="s">
        <v>488</v>
      </c>
      <c r="F188" s="179" t="e">
        <f>'INFORME '!#REF!</f>
        <v>#REF!</v>
      </c>
      <c r="G188" s="179" t="e">
        <f>'INFORME '!#REF!</f>
        <v>#REF!</v>
      </c>
      <c r="H188" s="179" t="e">
        <f>'INFORME '!#REF!</f>
        <v>#REF!</v>
      </c>
      <c r="I188" s="187" t="e">
        <f>'INFORME '!#REF!</f>
        <v>#REF!</v>
      </c>
      <c r="J188" s="187">
        <v>40109366</v>
      </c>
      <c r="K188" s="164" t="e">
        <f>'INFORME '!#REF!</f>
        <v>#REF!</v>
      </c>
      <c r="L188" s="164" t="e">
        <f>'INFORME '!#REF!</f>
        <v>#REF!</v>
      </c>
      <c r="M188" s="157"/>
      <c r="N188" s="160"/>
      <c r="O188" s="160"/>
      <c r="P188" s="157"/>
      <c r="Q188" s="157"/>
      <c r="R188" s="160"/>
      <c r="S188" s="157" t="e">
        <f>'INFORME '!#REF!</f>
        <v>#REF!</v>
      </c>
      <c r="T188" s="287" t="s">
        <v>809</v>
      </c>
    </row>
    <row r="189" spans="2:20">
      <c r="B189" s="185" t="e">
        <f>'INFORME '!#REF!</f>
        <v>#REF!</v>
      </c>
      <c r="C189" s="186" t="e">
        <f>'INFORME '!#REF!</f>
        <v>#REF!</v>
      </c>
      <c r="D189" s="164" t="e">
        <f>'INFORME '!#REF!</f>
        <v>#REF!</v>
      </c>
      <c r="E189" s="164" t="s">
        <v>488</v>
      </c>
      <c r="F189" s="179" t="e">
        <f>'INFORME '!#REF!</f>
        <v>#REF!</v>
      </c>
      <c r="G189" s="179" t="e">
        <f>'INFORME '!#REF!</f>
        <v>#REF!</v>
      </c>
      <c r="H189" s="179" t="e">
        <f>'INFORME '!#REF!</f>
        <v>#REF!</v>
      </c>
      <c r="I189" s="187" t="e">
        <f>'INFORME '!#REF!</f>
        <v>#REF!</v>
      </c>
      <c r="J189" s="187">
        <v>40109366</v>
      </c>
      <c r="K189" s="164" t="e">
        <f>'INFORME '!#REF!</f>
        <v>#REF!</v>
      </c>
      <c r="L189" s="164" t="e">
        <f>'INFORME '!#REF!</f>
        <v>#REF!</v>
      </c>
      <c r="M189" s="157" t="s">
        <v>834</v>
      </c>
      <c r="N189" s="160">
        <v>0</v>
      </c>
      <c r="O189" s="160">
        <v>1</v>
      </c>
      <c r="P189" s="157" t="s">
        <v>835</v>
      </c>
      <c r="Q189" s="157" t="s">
        <v>702</v>
      </c>
      <c r="R189" s="160">
        <v>62.15</v>
      </c>
      <c r="S189" s="157" t="e">
        <f>'INFORME '!#REF!</f>
        <v>#REF!</v>
      </c>
      <c r="T189" s="287" t="s">
        <v>488</v>
      </c>
    </row>
    <row r="190" spans="2:20">
      <c r="B190" s="185" t="e">
        <f>'INFORME '!#REF!</f>
        <v>#REF!</v>
      </c>
      <c r="C190" s="186" t="e">
        <f>'INFORME '!#REF!</f>
        <v>#REF!</v>
      </c>
      <c r="D190" s="164" t="e">
        <f>'INFORME '!#REF!</f>
        <v>#REF!</v>
      </c>
      <c r="E190" s="164" t="s">
        <v>488</v>
      </c>
      <c r="F190" s="179" t="e">
        <f>'INFORME '!#REF!</f>
        <v>#REF!</v>
      </c>
      <c r="G190" s="179" t="e">
        <f>'INFORME '!#REF!</f>
        <v>#REF!</v>
      </c>
      <c r="H190" s="179" t="e">
        <f>'INFORME '!#REF!</f>
        <v>#REF!</v>
      </c>
      <c r="I190" s="187" t="e">
        <f>'INFORME '!#REF!</f>
        <v>#REF!</v>
      </c>
      <c r="J190" s="187">
        <v>30480388</v>
      </c>
      <c r="K190" s="164" t="e">
        <f>'INFORME '!#REF!</f>
        <v>#REF!</v>
      </c>
      <c r="L190" s="164" t="e">
        <f>'INFORME '!#REF!</f>
        <v>#REF!</v>
      </c>
      <c r="M190" s="157" t="s">
        <v>836</v>
      </c>
      <c r="N190" s="160">
        <v>1</v>
      </c>
      <c r="O190" s="160">
        <v>2</v>
      </c>
      <c r="P190" s="157" t="s">
        <v>538</v>
      </c>
      <c r="Q190" s="157" t="s">
        <v>505</v>
      </c>
      <c r="R190" s="160">
        <v>191.46</v>
      </c>
      <c r="S190" s="157" t="e">
        <f>'INFORME '!#REF!</f>
        <v>#REF!</v>
      </c>
      <c r="T190" s="287" t="s">
        <v>488</v>
      </c>
    </row>
    <row r="191" spans="2:20">
      <c r="B191" s="185" t="e">
        <f>'INFORME '!#REF!</f>
        <v>#REF!</v>
      </c>
      <c r="C191" s="186" t="e">
        <f>'INFORME '!#REF!</f>
        <v>#REF!</v>
      </c>
      <c r="D191" s="164" t="e">
        <f>'INFORME '!#REF!</f>
        <v>#REF!</v>
      </c>
      <c r="E191" s="164" t="s">
        <v>488</v>
      </c>
      <c r="F191" s="179" t="e">
        <f>'INFORME '!#REF!</f>
        <v>#REF!</v>
      </c>
      <c r="G191" s="179" t="e">
        <f>'INFORME '!#REF!</f>
        <v>#REF!</v>
      </c>
      <c r="H191" s="179" t="e">
        <f>'INFORME '!#REF!</f>
        <v>#REF!</v>
      </c>
      <c r="I191" s="187" t="e">
        <f>'INFORME '!#REF!</f>
        <v>#REF!</v>
      </c>
      <c r="J191" s="187">
        <v>31274539</v>
      </c>
      <c r="K191" s="164" t="e">
        <f>'INFORME '!#REF!</f>
        <v>#REF!</v>
      </c>
      <c r="L191" s="164" t="e">
        <f>'INFORME '!#REF!</f>
        <v>#REF!</v>
      </c>
      <c r="M191" s="157" t="s">
        <v>445</v>
      </c>
      <c r="N191" s="160">
        <v>1</v>
      </c>
      <c r="O191" s="160">
        <v>1</v>
      </c>
      <c r="P191" s="157" t="s">
        <v>769</v>
      </c>
      <c r="Q191" s="157" t="s">
        <v>505</v>
      </c>
      <c r="R191" s="160">
        <v>80.989999999999995</v>
      </c>
      <c r="S191" s="157" t="e">
        <f>'INFORME '!#REF!</f>
        <v>#REF!</v>
      </c>
      <c r="T191" s="287" t="s">
        <v>488</v>
      </c>
    </row>
    <row r="192" spans="2:20">
      <c r="B192" s="185" t="e">
        <f>'INFORME '!#REF!</f>
        <v>#REF!</v>
      </c>
      <c r="C192" s="186" t="e">
        <f>'INFORME '!#REF!</f>
        <v>#REF!</v>
      </c>
      <c r="D192" s="164" t="e">
        <f>'INFORME '!#REF!</f>
        <v>#REF!</v>
      </c>
      <c r="E192" s="164" t="s">
        <v>488</v>
      </c>
      <c r="F192" s="179" t="e">
        <f>'INFORME '!#REF!</f>
        <v>#REF!</v>
      </c>
      <c r="G192" s="179" t="e">
        <f>'INFORME '!#REF!</f>
        <v>#REF!</v>
      </c>
      <c r="H192" s="179" t="e">
        <f>'INFORME '!#REF!</f>
        <v>#REF!</v>
      </c>
      <c r="I192" s="187" t="e">
        <f>'INFORME '!#REF!</f>
        <v>#REF!</v>
      </c>
      <c r="J192" s="187">
        <v>31274539</v>
      </c>
      <c r="K192" s="164" t="e">
        <f>'INFORME '!#REF!</f>
        <v>#REF!</v>
      </c>
      <c r="L192" s="164" t="e">
        <f>'INFORME '!#REF!</f>
        <v>#REF!</v>
      </c>
      <c r="M192" s="157" t="s">
        <v>445</v>
      </c>
      <c r="N192" s="160">
        <v>1</v>
      </c>
      <c r="O192" s="160">
        <v>1</v>
      </c>
      <c r="P192" s="157" t="s">
        <v>769</v>
      </c>
      <c r="Q192" s="157" t="s">
        <v>505</v>
      </c>
      <c r="R192" s="160">
        <v>81.09</v>
      </c>
      <c r="S192" s="157" t="e">
        <f>'INFORME '!#REF!</f>
        <v>#REF!</v>
      </c>
      <c r="T192" s="287" t="s">
        <v>488</v>
      </c>
    </row>
    <row r="193" spans="2:20">
      <c r="B193" s="185" t="e">
        <f>'INFORME '!#REF!</f>
        <v>#REF!</v>
      </c>
      <c r="C193" s="186" t="e">
        <f>'INFORME '!#REF!</f>
        <v>#REF!</v>
      </c>
      <c r="D193" s="164" t="e">
        <f>'INFORME '!#REF!</f>
        <v>#REF!</v>
      </c>
      <c r="E193" s="164" t="s">
        <v>488</v>
      </c>
      <c r="F193" s="179" t="e">
        <f>'INFORME '!#REF!</f>
        <v>#REF!</v>
      </c>
      <c r="G193" s="179" t="e">
        <f>'INFORME '!#REF!</f>
        <v>#REF!</v>
      </c>
      <c r="H193" s="179" t="e">
        <f>'INFORME '!#REF!</f>
        <v>#REF!</v>
      </c>
      <c r="I193" s="187" t="e">
        <f>'INFORME '!#REF!</f>
        <v>#REF!</v>
      </c>
      <c r="J193" s="187">
        <v>31274539</v>
      </c>
      <c r="K193" s="164" t="e">
        <f>'INFORME '!#REF!</f>
        <v>#REF!</v>
      </c>
      <c r="L193" s="164" t="e">
        <f>'INFORME '!#REF!</f>
        <v>#REF!</v>
      </c>
      <c r="M193" s="157" t="s">
        <v>445</v>
      </c>
      <c r="N193" s="160">
        <v>1</v>
      </c>
      <c r="O193" s="160">
        <v>1</v>
      </c>
      <c r="P193" s="157" t="s">
        <v>769</v>
      </c>
      <c r="Q193" s="157" t="s">
        <v>505</v>
      </c>
      <c r="R193" s="160">
        <v>80.8</v>
      </c>
      <c r="S193" s="157" t="e">
        <f>'INFORME '!#REF!</f>
        <v>#REF!</v>
      </c>
      <c r="T193" s="287" t="s">
        <v>488</v>
      </c>
    </row>
    <row r="194" spans="2:20">
      <c r="B194" s="185" t="e">
        <f>'INFORME '!#REF!</f>
        <v>#REF!</v>
      </c>
      <c r="C194" s="186" t="e">
        <f>'INFORME '!#REF!</f>
        <v>#REF!</v>
      </c>
      <c r="D194" s="164" t="e">
        <f>'INFORME '!#REF!</f>
        <v>#REF!</v>
      </c>
      <c r="E194" s="164" t="s">
        <v>488</v>
      </c>
      <c r="F194" s="179" t="e">
        <f>'INFORME '!#REF!</f>
        <v>#REF!</v>
      </c>
      <c r="G194" s="179" t="e">
        <f>'INFORME '!#REF!</f>
        <v>#REF!</v>
      </c>
      <c r="H194" s="179" t="e">
        <f>'INFORME '!#REF!</f>
        <v>#REF!</v>
      </c>
      <c r="I194" s="187" t="e">
        <f>'INFORME '!#REF!</f>
        <v>#REF!</v>
      </c>
      <c r="J194" s="187">
        <v>54323317</v>
      </c>
      <c r="K194" s="164" t="e">
        <f>'INFORME '!#REF!</f>
        <v>#REF!</v>
      </c>
      <c r="L194" s="164" t="e">
        <f>'INFORME '!#REF!</f>
        <v>#REF!</v>
      </c>
      <c r="M194" s="157" t="s">
        <v>445</v>
      </c>
      <c r="N194" s="160">
        <v>1</v>
      </c>
      <c r="O194" s="160">
        <v>1</v>
      </c>
      <c r="P194" s="157" t="s">
        <v>489</v>
      </c>
      <c r="Q194" s="157" t="s">
        <v>505</v>
      </c>
      <c r="R194" s="160">
        <v>108.2</v>
      </c>
      <c r="S194" s="157" t="e">
        <f>'INFORME '!#REF!</f>
        <v>#REF!</v>
      </c>
      <c r="T194" s="287" t="s">
        <v>488</v>
      </c>
    </row>
    <row r="195" spans="2:20">
      <c r="B195" s="185" t="e">
        <f>'INFORME '!#REF!</f>
        <v>#REF!</v>
      </c>
      <c r="C195" s="186" t="e">
        <f>'INFORME '!#REF!</f>
        <v>#REF!</v>
      </c>
      <c r="D195" s="164" t="e">
        <f>'INFORME '!#REF!</f>
        <v>#REF!</v>
      </c>
      <c r="E195" s="164" t="s">
        <v>488</v>
      </c>
      <c r="F195" s="179" t="e">
        <f>'INFORME '!#REF!</f>
        <v>#REF!</v>
      </c>
      <c r="G195" s="179" t="e">
        <f>'INFORME '!#REF!</f>
        <v>#REF!</v>
      </c>
      <c r="H195" s="179" t="e">
        <f>'INFORME '!#REF!</f>
        <v>#REF!</v>
      </c>
      <c r="I195" s="187" t="e">
        <f>'INFORME '!#REF!</f>
        <v>#REF!</v>
      </c>
      <c r="J195" s="187">
        <v>54110412</v>
      </c>
      <c r="K195" s="164" t="e">
        <f>'INFORME '!#REF!</f>
        <v>#REF!</v>
      </c>
      <c r="L195" s="164" t="e">
        <f>'INFORME '!#REF!</f>
        <v>#REF!</v>
      </c>
      <c r="M195" s="157" t="s">
        <v>843</v>
      </c>
      <c r="N195" s="160">
        <v>0</v>
      </c>
      <c r="O195" s="160">
        <v>1</v>
      </c>
      <c r="P195" s="157" t="s">
        <v>835</v>
      </c>
      <c r="Q195" s="157" t="s">
        <v>29</v>
      </c>
      <c r="R195" s="160">
        <v>2268</v>
      </c>
      <c r="S195" s="157" t="e">
        <f>'INFORME '!#REF!</f>
        <v>#REF!</v>
      </c>
      <c r="T195" s="287" t="s">
        <v>488</v>
      </c>
    </row>
    <row r="196" spans="2:20">
      <c r="B196" s="185" t="e">
        <f>'INFORME '!#REF!</f>
        <v>#REF!</v>
      </c>
      <c r="C196" s="186" t="e">
        <f>'INFORME '!#REF!</f>
        <v>#REF!</v>
      </c>
      <c r="D196" s="164" t="e">
        <f>'INFORME '!#REF!</f>
        <v>#REF!</v>
      </c>
      <c r="E196" s="164" t="s">
        <v>488</v>
      </c>
      <c r="F196" s="179" t="e">
        <f>'INFORME '!#REF!</f>
        <v>#REF!</v>
      </c>
      <c r="G196" s="179" t="e">
        <f>'INFORME '!#REF!</f>
        <v>#REF!</v>
      </c>
      <c r="H196" s="179" t="e">
        <f>'INFORME '!#REF!</f>
        <v>#REF!</v>
      </c>
      <c r="I196" s="187" t="e">
        <f>'INFORME '!#REF!</f>
        <v>#REF!</v>
      </c>
      <c r="J196" s="187">
        <v>58447306</v>
      </c>
      <c r="K196" s="164" t="e">
        <f>'INFORME '!#REF!</f>
        <v>#REF!</v>
      </c>
      <c r="L196" s="164" t="e">
        <f>'INFORME '!#REF!</f>
        <v>#REF!</v>
      </c>
      <c r="M196" s="157" t="s">
        <v>836</v>
      </c>
      <c r="N196" s="160">
        <v>1</v>
      </c>
      <c r="O196" s="160">
        <v>2</v>
      </c>
      <c r="P196" s="157" t="s">
        <v>538</v>
      </c>
      <c r="Q196" s="157" t="s">
        <v>505</v>
      </c>
      <c r="R196" s="160">
        <v>192.19</v>
      </c>
      <c r="S196" s="157" t="e">
        <f>'INFORME '!#REF!</f>
        <v>#REF!</v>
      </c>
      <c r="T196" s="287" t="s">
        <v>488</v>
      </c>
    </row>
    <row r="197" spans="2:20">
      <c r="B197" s="185" t="e">
        <f>'INFORME '!#REF!</f>
        <v>#REF!</v>
      </c>
      <c r="C197" s="186" t="e">
        <f>'INFORME '!#REF!</f>
        <v>#REF!</v>
      </c>
      <c r="D197" s="164" t="e">
        <f>'INFORME '!#REF!</f>
        <v>#REF!</v>
      </c>
      <c r="E197" s="164" t="s">
        <v>488</v>
      </c>
      <c r="F197" s="179" t="e">
        <f>'INFORME '!#REF!</f>
        <v>#REF!</v>
      </c>
      <c r="G197" s="179" t="e">
        <f>'INFORME '!#REF!</f>
        <v>#REF!</v>
      </c>
      <c r="H197" s="179" t="e">
        <f>'INFORME '!#REF!</f>
        <v>#REF!</v>
      </c>
      <c r="I197" s="187" t="e">
        <f>'INFORME '!#REF!</f>
        <v>#REF!</v>
      </c>
      <c r="J197" s="187">
        <v>42713447</v>
      </c>
      <c r="K197" s="164" t="e">
        <f>'INFORME '!#REF!</f>
        <v>#REF!</v>
      </c>
      <c r="L197" s="164" t="e">
        <f>'INFORME '!#REF!</f>
        <v>#REF!</v>
      </c>
      <c r="M197" s="157" t="s">
        <v>445</v>
      </c>
      <c r="N197" s="160">
        <v>1</v>
      </c>
      <c r="O197" s="160">
        <v>1</v>
      </c>
      <c r="P197" s="157" t="s">
        <v>538</v>
      </c>
      <c r="Q197" s="157" t="s">
        <v>505</v>
      </c>
      <c r="R197" s="160">
        <v>44.3</v>
      </c>
      <c r="S197" s="157" t="e">
        <f>'INFORME '!#REF!</f>
        <v>#REF!</v>
      </c>
      <c r="T197" s="287" t="s">
        <v>488</v>
      </c>
    </row>
    <row r="198" spans="2:20">
      <c r="B198" s="185" t="e">
        <f>'INFORME '!#REF!</f>
        <v>#REF!</v>
      </c>
      <c r="C198" s="186" t="e">
        <f>'INFORME '!#REF!</f>
        <v>#REF!</v>
      </c>
      <c r="D198" s="164" t="e">
        <f>'INFORME '!#REF!</f>
        <v>#REF!</v>
      </c>
      <c r="E198" s="164" t="s">
        <v>488</v>
      </c>
      <c r="F198" s="179" t="e">
        <f>'INFORME '!#REF!</f>
        <v>#REF!</v>
      </c>
      <c r="G198" s="179" t="e">
        <f>'INFORME '!#REF!</f>
        <v>#REF!</v>
      </c>
      <c r="H198" s="179" t="e">
        <f>'INFORME '!#REF!</f>
        <v>#REF!</v>
      </c>
      <c r="I198" s="187" t="e">
        <f>'INFORME '!#REF!</f>
        <v>#REF!</v>
      </c>
      <c r="J198" s="187">
        <v>59594766</v>
      </c>
      <c r="K198" s="164" t="e">
        <f>'INFORME '!#REF!</f>
        <v>#REF!</v>
      </c>
      <c r="L198" s="164" t="e">
        <f>'INFORME '!#REF!</f>
        <v>#REF!</v>
      </c>
      <c r="M198" s="157" t="s">
        <v>836</v>
      </c>
      <c r="N198" s="160">
        <v>1</v>
      </c>
      <c r="O198" s="160">
        <v>2</v>
      </c>
      <c r="P198" s="157" t="s">
        <v>538</v>
      </c>
      <c r="Q198" s="157" t="s">
        <v>505</v>
      </c>
      <c r="R198" s="160">
        <v>85.8</v>
      </c>
      <c r="S198" s="157" t="e">
        <f>'INFORME '!#REF!</f>
        <v>#REF!</v>
      </c>
      <c r="T198" s="287" t="s">
        <v>488</v>
      </c>
    </row>
    <row r="199" spans="2:20">
      <c r="B199" s="185" t="e">
        <f>'INFORME '!#REF!</f>
        <v>#REF!</v>
      </c>
      <c r="C199" s="186" t="e">
        <f>'INFORME '!#REF!</f>
        <v>#REF!</v>
      </c>
      <c r="D199" s="164" t="e">
        <f>'INFORME '!#REF!</f>
        <v>#REF!</v>
      </c>
      <c r="E199" s="164" t="s">
        <v>488</v>
      </c>
      <c r="F199" s="179" t="e">
        <f>'INFORME '!#REF!</f>
        <v>#REF!</v>
      </c>
      <c r="G199" s="179" t="e">
        <f>'INFORME '!#REF!</f>
        <v>#REF!</v>
      </c>
      <c r="H199" s="179" t="e">
        <f>'INFORME '!#REF!</f>
        <v>#REF!</v>
      </c>
      <c r="I199" s="187" t="e">
        <f>'INFORME '!#REF!</f>
        <v>#REF!</v>
      </c>
      <c r="J199" s="187">
        <v>59594766</v>
      </c>
      <c r="K199" s="164" t="e">
        <f>'INFORME '!#REF!</f>
        <v>#REF!</v>
      </c>
      <c r="L199" s="164" t="e">
        <f>'INFORME '!#REF!</f>
        <v>#REF!</v>
      </c>
      <c r="M199" s="157"/>
      <c r="N199" s="160"/>
      <c r="O199" s="160"/>
      <c r="P199" s="157"/>
      <c r="Q199" s="157"/>
      <c r="R199" s="160"/>
      <c r="S199" s="157" t="e">
        <f>'INFORME '!#REF!</f>
        <v>#REF!</v>
      </c>
      <c r="T199" s="287" t="s">
        <v>809</v>
      </c>
    </row>
    <row r="200" spans="2:20" ht="30">
      <c r="B200" s="185" t="e">
        <f>'INFORME '!#REF!</f>
        <v>#REF!</v>
      </c>
      <c r="C200" s="186" t="e">
        <f>'INFORME '!#REF!</f>
        <v>#REF!</v>
      </c>
      <c r="D200" s="164" t="e">
        <f>'INFORME '!#REF!</f>
        <v>#REF!</v>
      </c>
      <c r="E200" s="164" t="s">
        <v>488</v>
      </c>
      <c r="F200" s="179" t="e">
        <f>'INFORME '!#REF!</f>
        <v>#REF!</v>
      </c>
      <c r="G200" s="179" t="e">
        <f>'INFORME '!#REF!</f>
        <v>#REF!</v>
      </c>
      <c r="H200" s="179" t="e">
        <f>'INFORME '!#REF!</f>
        <v>#REF!</v>
      </c>
      <c r="I200" s="187" t="e">
        <f>'INFORME '!#REF!</f>
        <v>#REF!</v>
      </c>
      <c r="J200" s="187">
        <v>54824951</v>
      </c>
      <c r="K200" s="164" t="e">
        <f>'INFORME '!#REF!</f>
        <v>#REF!</v>
      </c>
      <c r="L200" s="164" t="e">
        <f>'INFORME '!#REF!</f>
        <v>#REF!</v>
      </c>
      <c r="M200" s="157" t="s">
        <v>848</v>
      </c>
      <c r="N200" s="160">
        <v>1</v>
      </c>
      <c r="O200" s="160" t="s">
        <v>849</v>
      </c>
      <c r="P200" s="157" t="s">
        <v>850</v>
      </c>
      <c r="Q200" s="157" t="s">
        <v>505</v>
      </c>
      <c r="R200" s="160">
        <v>120.8</v>
      </c>
      <c r="S200" s="157" t="e">
        <f>'INFORME '!#REF!</f>
        <v>#REF!</v>
      </c>
      <c r="T200" s="287" t="s">
        <v>488</v>
      </c>
    </row>
    <row r="201" spans="2:20">
      <c r="B201" s="185" t="e">
        <f>'INFORME '!#REF!</f>
        <v>#REF!</v>
      </c>
      <c r="C201" s="186" t="e">
        <f>'INFORME '!#REF!</f>
        <v>#REF!</v>
      </c>
      <c r="D201" s="164" t="e">
        <f>'INFORME '!#REF!</f>
        <v>#REF!</v>
      </c>
      <c r="E201" s="164" t="s">
        <v>488</v>
      </c>
      <c r="F201" s="179" t="e">
        <f>'INFORME '!#REF!</f>
        <v>#REF!</v>
      </c>
      <c r="G201" s="179" t="e">
        <f>'INFORME '!#REF!</f>
        <v>#REF!</v>
      </c>
      <c r="H201" s="179" t="e">
        <f>'INFORME '!#REF!</f>
        <v>#REF!</v>
      </c>
      <c r="I201" s="187" t="e">
        <f>'INFORME '!#REF!</f>
        <v>#REF!</v>
      </c>
      <c r="J201" s="187">
        <v>50922030</v>
      </c>
      <c r="K201" s="164" t="e">
        <f>'INFORME '!#REF!</f>
        <v>#REF!</v>
      </c>
      <c r="L201" s="164" t="e">
        <f>'INFORME '!#REF!</f>
        <v>#REF!</v>
      </c>
      <c r="M201" s="157" t="s">
        <v>836</v>
      </c>
      <c r="N201" s="160">
        <v>1</v>
      </c>
      <c r="O201" s="160">
        <v>2</v>
      </c>
      <c r="P201" s="157" t="s">
        <v>538</v>
      </c>
      <c r="Q201" s="157" t="s">
        <v>505</v>
      </c>
      <c r="R201" s="160">
        <v>141.15</v>
      </c>
      <c r="S201" s="157" t="e">
        <f>'INFORME '!#REF!</f>
        <v>#REF!</v>
      </c>
      <c r="T201" s="287" t="s">
        <v>488</v>
      </c>
    </row>
    <row r="202" spans="2:20">
      <c r="B202" s="185" t="e">
        <f>'INFORME '!#REF!</f>
        <v>#REF!</v>
      </c>
      <c r="C202" s="186" t="e">
        <f>'INFORME '!#REF!</f>
        <v>#REF!</v>
      </c>
      <c r="D202" s="164" t="e">
        <f>'INFORME '!#REF!</f>
        <v>#REF!</v>
      </c>
      <c r="E202" s="164" t="s">
        <v>488</v>
      </c>
      <c r="F202" s="179" t="e">
        <f>'INFORME '!#REF!</f>
        <v>#REF!</v>
      </c>
      <c r="G202" s="179" t="e">
        <f>'INFORME '!#REF!</f>
        <v>#REF!</v>
      </c>
      <c r="H202" s="179" t="e">
        <f>'INFORME '!#REF!</f>
        <v>#REF!</v>
      </c>
      <c r="I202" s="187" t="e">
        <f>'INFORME '!#REF!</f>
        <v>#REF!</v>
      </c>
      <c r="J202" s="187">
        <v>42407920</v>
      </c>
      <c r="K202" s="164" t="e">
        <f>'INFORME '!#REF!</f>
        <v>#REF!</v>
      </c>
      <c r="L202" s="164" t="e">
        <f>'INFORME '!#REF!</f>
        <v>#REF!</v>
      </c>
      <c r="M202" s="157" t="s">
        <v>836</v>
      </c>
      <c r="N202" s="160">
        <v>1</v>
      </c>
      <c r="O202" s="160">
        <v>2</v>
      </c>
      <c r="P202" s="157" t="s">
        <v>538</v>
      </c>
      <c r="Q202" s="157" t="s">
        <v>505</v>
      </c>
      <c r="R202" s="160">
        <v>114.67</v>
      </c>
      <c r="S202" s="157" t="e">
        <f>'INFORME '!#REF!</f>
        <v>#REF!</v>
      </c>
      <c r="T202" s="287" t="s">
        <v>852</v>
      </c>
    </row>
    <row r="203" spans="2:20">
      <c r="B203" s="185" t="e">
        <f>'INFORME '!#REF!</f>
        <v>#REF!</v>
      </c>
      <c r="C203" s="186" t="e">
        <f>'INFORME '!#REF!</f>
        <v>#REF!</v>
      </c>
      <c r="D203" s="164" t="e">
        <f>'INFORME '!#REF!</f>
        <v>#REF!</v>
      </c>
      <c r="E203" s="164" t="s">
        <v>488</v>
      </c>
      <c r="F203" s="179" t="e">
        <f>'INFORME '!#REF!</f>
        <v>#REF!</v>
      </c>
      <c r="G203" s="179" t="e">
        <f>'INFORME '!#REF!</f>
        <v>#REF!</v>
      </c>
      <c r="H203" s="179" t="e">
        <f>'INFORME '!#REF!</f>
        <v>#REF!</v>
      </c>
      <c r="I203" s="187" t="e">
        <f>'INFORME '!#REF!</f>
        <v>#REF!</v>
      </c>
      <c r="J203" s="187">
        <v>34317424</v>
      </c>
      <c r="K203" s="164" t="e">
        <f>'INFORME '!#REF!</f>
        <v>#REF!</v>
      </c>
      <c r="L203" s="164" t="e">
        <f>'INFORME '!#REF!</f>
        <v>#REF!</v>
      </c>
      <c r="M203" s="157"/>
      <c r="N203" s="160"/>
      <c r="O203" s="160"/>
      <c r="P203" s="157"/>
      <c r="Q203" s="157"/>
      <c r="R203" s="160"/>
      <c r="S203" s="157" t="e">
        <f>'INFORME '!#REF!</f>
        <v>#REF!</v>
      </c>
      <c r="T203" s="287" t="s">
        <v>855</v>
      </c>
    </row>
    <row r="204" spans="2:20">
      <c r="B204" s="185" t="e">
        <f>'INFORME '!#REF!</f>
        <v>#REF!</v>
      </c>
      <c r="C204" s="186" t="e">
        <f>'INFORME '!#REF!</f>
        <v>#REF!</v>
      </c>
      <c r="D204" s="164" t="e">
        <f>'INFORME '!#REF!</f>
        <v>#REF!</v>
      </c>
      <c r="E204" s="164" t="s">
        <v>488</v>
      </c>
      <c r="F204" s="179" t="e">
        <f>'INFORME '!#REF!</f>
        <v>#REF!</v>
      </c>
      <c r="G204" s="179" t="e">
        <f>'INFORME '!#REF!</f>
        <v>#REF!</v>
      </c>
      <c r="H204" s="179" t="e">
        <f>'INFORME '!#REF!</f>
        <v>#REF!</v>
      </c>
      <c r="I204" s="187" t="e">
        <f>'INFORME '!#REF!</f>
        <v>#REF!</v>
      </c>
      <c r="J204" s="187">
        <v>51244094</v>
      </c>
      <c r="K204" s="164" t="e">
        <f>'INFORME '!#REF!</f>
        <v>#REF!</v>
      </c>
      <c r="L204" s="164" t="e">
        <f>'INFORME '!#REF!</f>
        <v>#REF!</v>
      </c>
      <c r="M204" s="157"/>
      <c r="N204" s="160"/>
      <c r="O204" s="160"/>
      <c r="P204" s="157"/>
      <c r="Q204" s="157"/>
      <c r="R204" s="160"/>
      <c r="S204" s="157" t="e">
        <f>'INFORME '!#REF!</f>
        <v>#REF!</v>
      </c>
      <c r="T204" s="287" t="s">
        <v>488</v>
      </c>
    </row>
    <row r="205" spans="2:20" ht="29.25" customHeight="1" thickBot="1">
      <c r="B205" s="185" t="e">
        <f>'INFORME '!#REF!</f>
        <v>#REF!</v>
      </c>
      <c r="C205" s="186" t="e">
        <f>'INFORME '!#REF!</f>
        <v>#REF!</v>
      </c>
      <c r="D205" s="164" t="e">
        <f>'INFORME '!#REF!</f>
        <v>#REF!</v>
      </c>
      <c r="E205" s="164" t="s">
        <v>488</v>
      </c>
      <c r="F205" s="179" t="e">
        <f>'INFORME '!#REF!</f>
        <v>#REF!</v>
      </c>
      <c r="G205" s="179" t="e">
        <f>'INFORME '!#REF!</f>
        <v>#REF!</v>
      </c>
      <c r="H205" s="179" t="e">
        <f>'INFORME '!#REF!</f>
        <v>#REF!</v>
      </c>
      <c r="I205" s="187" t="e">
        <f>'INFORME '!#REF!</f>
        <v>#REF!</v>
      </c>
      <c r="J205" s="187"/>
      <c r="K205" s="164" t="e">
        <f>'INFORME '!#REF!</f>
        <v>#REF!</v>
      </c>
      <c r="L205" s="164" t="e">
        <f>'INFORME '!#REF!</f>
        <v>#REF!</v>
      </c>
      <c r="M205" s="157"/>
      <c r="N205" s="160"/>
      <c r="O205" s="160"/>
      <c r="P205" s="157"/>
      <c r="Q205" s="157"/>
      <c r="R205" s="160"/>
      <c r="S205" s="157" t="e">
        <f>'INFORME '!#REF!</f>
        <v>#REF!</v>
      </c>
      <c r="T205" s="287"/>
    </row>
    <row r="206" spans="2:20" hidden="1">
      <c r="B206" s="185" t="e">
        <f>'INFORME '!#REF!</f>
        <v>#REF!</v>
      </c>
      <c r="C206" s="186" t="e">
        <f>'INFORME '!#REF!</f>
        <v>#REF!</v>
      </c>
      <c r="D206" s="164" t="e">
        <f>'INFORME '!#REF!</f>
        <v>#REF!</v>
      </c>
      <c r="E206" s="164" t="s">
        <v>488</v>
      </c>
      <c r="F206" s="179" t="e">
        <f>'INFORME '!#REF!</f>
        <v>#REF!</v>
      </c>
      <c r="G206" s="179" t="e">
        <f>'INFORME '!#REF!</f>
        <v>#REF!</v>
      </c>
      <c r="H206" s="179" t="e">
        <f>'INFORME '!#REF!</f>
        <v>#REF!</v>
      </c>
      <c r="I206" s="187" t="e">
        <f>'INFORME '!#REF!</f>
        <v>#REF!</v>
      </c>
      <c r="J206" s="187"/>
      <c r="K206" s="164" t="e">
        <f>'INFORME '!#REF!</f>
        <v>#REF!</v>
      </c>
      <c r="L206" s="164" t="e">
        <f>'INFORME '!#REF!</f>
        <v>#REF!</v>
      </c>
      <c r="M206" s="157"/>
      <c r="N206" s="160"/>
      <c r="O206" s="160"/>
      <c r="P206" s="157"/>
      <c r="Q206" s="157"/>
      <c r="R206" s="160"/>
      <c r="S206" s="157" t="e">
        <f>'INFORME '!#REF!</f>
        <v>#REF!</v>
      </c>
      <c r="T206" s="287"/>
    </row>
    <row r="207" spans="2:20" hidden="1">
      <c r="B207" s="185" t="e">
        <f>'INFORME '!#REF!</f>
        <v>#REF!</v>
      </c>
      <c r="C207" s="186" t="e">
        <f>'INFORME '!#REF!</f>
        <v>#REF!</v>
      </c>
      <c r="D207" s="164" t="e">
        <f>'INFORME '!#REF!</f>
        <v>#REF!</v>
      </c>
      <c r="E207" s="164" t="s">
        <v>488</v>
      </c>
      <c r="F207" s="179" t="e">
        <f>'INFORME '!#REF!</f>
        <v>#REF!</v>
      </c>
      <c r="G207" s="179" t="e">
        <f>'INFORME '!#REF!</f>
        <v>#REF!</v>
      </c>
      <c r="H207" s="179" t="e">
        <f>'INFORME '!#REF!</f>
        <v>#REF!</v>
      </c>
      <c r="I207" s="187" t="e">
        <f>'INFORME '!#REF!</f>
        <v>#REF!</v>
      </c>
      <c r="J207" s="187"/>
      <c r="K207" s="164" t="e">
        <f>'INFORME '!#REF!</f>
        <v>#REF!</v>
      </c>
      <c r="L207" s="164" t="e">
        <f>'INFORME '!#REF!</f>
        <v>#REF!</v>
      </c>
      <c r="M207" s="157"/>
      <c r="N207" s="160"/>
      <c r="O207" s="160"/>
      <c r="P207" s="157"/>
      <c r="Q207" s="157"/>
      <c r="R207" s="160"/>
      <c r="S207" s="157" t="e">
        <f>'INFORME '!#REF!</f>
        <v>#REF!</v>
      </c>
      <c r="T207" s="287"/>
    </row>
    <row r="208" spans="2:20" hidden="1">
      <c r="B208" s="185" t="e">
        <f>'INFORME '!#REF!</f>
        <v>#REF!</v>
      </c>
      <c r="C208" s="186" t="e">
        <f>'INFORME '!#REF!</f>
        <v>#REF!</v>
      </c>
      <c r="D208" s="164" t="e">
        <f>'INFORME '!#REF!</f>
        <v>#REF!</v>
      </c>
      <c r="E208" s="164" t="s">
        <v>488</v>
      </c>
      <c r="F208" s="179" t="e">
        <f>'INFORME '!#REF!</f>
        <v>#REF!</v>
      </c>
      <c r="G208" s="179" t="e">
        <f>'INFORME '!#REF!</f>
        <v>#REF!</v>
      </c>
      <c r="H208" s="179" t="e">
        <f>'INFORME '!#REF!</f>
        <v>#REF!</v>
      </c>
      <c r="I208" s="187" t="e">
        <f>'INFORME '!#REF!</f>
        <v>#REF!</v>
      </c>
      <c r="J208" s="187"/>
      <c r="K208" s="164" t="e">
        <f>'INFORME '!#REF!</f>
        <v>#REF!</v>
      </c>
      <c r="L208" s="164" t="e">
        <f>'INFORME '!#REF!</f>
        <v>#REF!</v>
      </c>
      <c r="M208" s="157"/>
      <c r="N208" s="160"/>
      <c r="O208" s="160"/>
      <c r="P208" s="157"/>
      <c r="Q208" s="157"/>
      <c r="R208" s="160"/>
      <c r="S208" s="157" t="e">
        <f>'INFORME '!#REF!</f>
        <v>#REF!</v>
      </c>
      <c r="T208" s="287"/>
    </row>
    <row r="209" spans="2:20" hidden="1">
      <c r="B209" s="185" t="e">
        <f>'INFORME '!#REF!</f>
        <v>#REF!</v>
      </c>
      <c r="C209" s="186" t="e">
        <f>'INFORME '!#REF!</f>
        <v>#REF!</v>
      </c>
      <c r="D209" s="164" t="e">
        <f>'INFORME '!#REF!</f>
        <v>#REF!</v>
      </c>
      <c r="E209" s="164" t="s">
        <v>488</v>
      </c>
      <c r="F209" s="179" t="e">
        <f>'INFORME '!#REF!</f>
        <v>#REF!</v>
      </c>
      <c r="G209" s="179" t="e">
        <f>'INFORME '!#REF!</f>
        <v>#REF!</v>
      </c>
      <c r="H209" s="179" t="e">
        <f>'INFORME '!#REF!</f>
        <v>#REF!</v>
      </c>
      <c r="I209" s="187" t="e">
        <f>'INFORME '!#REF!</f>
        <v>#REF!</v>
      </c>
      <c r="J209" s="187"/>
      <c r="K209" s="164" t="e">
        <f>'INFORME '!#REF!</f>
        <v>#REF!</v>
      </c>
      <c r="L209" s="164" t="e">
        <f>'INFORME '!#REF!</f>
        <v>#REF!</v>
      </c>
      <c r="M209" s="157"/>
      <c r="N209" s="160"/>
      <c r="O209" s="160"/>
      <c r="P209" s="157"/>
      <c r="Q209" s="157"/>
      <c r="R209" s="160"/>
      <c r="S209" s="157" t="e">
        <f>'INFORME '!#REF!</f>
        <v>#REF!</v>
      </c>
      <c r="T209" s="287"/>
    </row>
    <row r="210" spans="2:20" hidden="1">
      <c r="B210" s="185" t="e">
        <f>'INFORME '!#REF!</f>
        <v>#REF!</v>
      </c>
      <c r="C210" s="186" t="e">
        <f>'INFORME '!#REF!</f>
        <v>#REF!</v>
      </c>
      <c r="D210" s="164" t="e">
        <f>'INFORME '!#REF!</f>
        <v>#REF!</v>
      </c>
      <c r="E210" s="164" t="s">
        <v>488</v>
      </c>
      <c r="F210" s="179" t="e">
        <f>'INFORME '!#REF!</f>
        <v>#REF!</v>
      </c>
      <c r="G210" s="179" t="e">
        <f>'INFORME '!#REF!</f>
        <v>#REF!</v>
      </c>
      <c r="H210" s="179" t="e">
        <f>'INFORME '!#REF!</f>
        <v>#REF!</v>
      </c>
      <c r="I210" s="187" t="e">
        <f>'INFORME '!#REF!</f>
        <v>#REF!</v>
      </c>
      <c r="J210" s="187"/>
      <c r="K210" s="164" t="e">
        <f>'INFORME '!#REF!</f>
        <v>#REF!</v>
      </c>
      <c r="L210" s="164" t="e">
        <f>'INFORME '!#REF!</f>
        <v>#REF!</v>
      </c>
      <c r="M210" s="157"/>
      <c r="N210" s="160"/>
      <c r="O210" s="160"/>
      <c r="P210" s="157"/>
      <c r="Q210" s="157"/>
      <c r="R210" s="160"/>
      <c r="S210" s="157" t="e">
        <f>'INFORME '!#REF!</f>
        <v>#REF!</v>
      </c>
      <c r="T210" s="287"/>
    </row>
    <row r="211" spans="2:20" hidden="1">
      <c r="B211" s="185" t="e">
        <f>'INFORME '!#REF!</f>
        <v>#REF!</v>
      </c>
      <c r="C211" s="186" t="e">
        <f>'INFORME '!#REF!</f>
        <v>#REF!</v>
      </c>
      <c r="D211" s="164" t="e">
        <f>'INFORME '!#REF!</f>
        <v>#REF!</v>
      </c>
      <c r="E211" s="164" t="s">
        <v>488</v>
      </c>
      <c r="F211" s="179" t="e">
        <f>'INFORME '!#REF!</f>
        <v>#REF!</v>
      </c>
      <c r="G211" s="179" t="e">
        <f>'INFORME '!#REF!</f>
        <v>#REF!</v>
      </c>
      <c r="H211" s="179" t="e">
        <f>'INFORME '!#REF!</f>
        <v>#REF!</v>
      </c>
      <c r="I211" s="187" t="e">
        <f>'INFORME '!#REF!</f>
        <v>#REF!</v>
      </c>
      <c r="J211" s="187"/>
      <c r="K211" s="164" t="e">
        <f>'INFORME '!#REF!</f>
        <v>#REF!</v>
      </c>
      <c r="L211" s="164" t="e">
        <f>'INFORME '!#REF!</f>
        <v>#REF!</v>
      </c>
      <c r="M211" s="157"/>
      <c r="N211" s="160"/>
      <c r="O211" s="160"/>
      <c r="P211" s="157"/>
      <c r="Q211" s="157"/>
      <c r="R211" s="160"/>
      <c r="S211" s="157" t="e">
        <f>'INFORME '!#REF!</f>
        <v>#REF!</v>
      </c>
      <c r="T211" s="287"/>
    </row>
    <row r="212" spans="2:20" hidden="1">
      <c r="B212" s="185" t="e">
        <f>'INFORME '!#REF!</f>
        <v>#REF!</v>
      </c>
      <c r="C212" s="186" t="e">
        <f>'INFORME '!#REF!</f>
        <v>#REF!</v>
      </c>
      <c r="D212" s="164" t="e">
        <f>'INFORME '!#REF!</f>
        <v>#REF!</v>
      </c>
      <c r="E212" s="164" t="s">
        <v>488</v>
      </c>
      <c r="F212" s="179" t="e">
        <f>'INFORME '!#REF!</f>
        <v>#REF!</v>
      </c>
      <c r="G212" s="179" t="e">
        <f>'INFORME '!#REF!</f>
        <v>#REF!</v>
      </c>
      <c r="H212" s="179" t="e">
        <f>'INFORME '!#REF!</f>
        <v>#REF!</v>
      </c>
      <c r="I212" s="187" t="e">
        <f>'INFORME '!#REF!</f>
        <v>#REF!</v>
      </c>
      <c r="J212" s="187"/>
      <c r="K212" s="164" t="e">
        <f>'INFORME '!#REF!</f>
        <v>#REF!</v>
      </c>
      <c r="L212" s="164" t="e">
        <f>'INFORME '!#REF!</f>
        <v>#REF!</v>
      </c>
      <c r="M212" s="157"/>
      <c r="N212" s="160"/>
      <c r="O212" s="160"/>
      <c r="P212" s="157"/>
      <c r="Q212" s="157"/>
      <c r="R212" s="160"/>
      <c r="S212" s="157" t="e">
        <f>'INFORME '!#REF!</f>
        <v>#REF!</v>
      </c>
      <c r="T212" s="287"/>
    </row>
    <row r="213" spans="2:20" hidden="1">
      <c r="B213" s="185" t="e">
        <f>'INFORME '!#REF!</f>
        <v>#REF!</v>
      </c>
      <c r="C213" s="186" t="e">
        <f>'INFORME '!#REF!</f>
        <v>#REF!</v>
      </c>
      <c r="D213" s="164" t="e">
        <f>'INFORME '!#REF!</f>
        <v>#REF!</v>
      </c>
      <c r="E213" s="164" t="s">
        <v>488</v>
      </c>
      <c r="F213" s="179" t="e">
        <f>'INFORME '!#REF!</f>
        <v>#REF!</v>
      </c>
      <c r="G213" s="179" t="e">
        <f>'INFORME '!#REF!</f>
        <v>#REF!</v>
      </c>
      <c r="H213" s="179" t="e">
        <f>'INFORME '!#REF!</f>
        <v>#REF!</v>
      </c>
      <c r="I213" s="187" t="e">
        <f>'INFORME '!#REF!</f>
        <v>#REF!</v>
      </c>
      <c r="J213" s="187"/>
      <c r="K213" s="164" t="e">
        <f>'INFORME '!#REF!</f>
        <v>#REF!</v>
      </c>
      <c r="L213" s="164" t="e">
        <f>'INFORME '!#REF!</f>
        <v>#REF!</v>
      </c>
      <c r="M213" s="157"/>
      <c r="N213" s="160"/>
      <c r="O213" s="160"/>
      <c r="P213" s="157"/>
      <c r="Q213" s="157"/>
      <c r="R213" s="160"/>
      <c r="S213" s="157" t="e">
        <f>'INFORME '!#REF!</f>
        <v>#REF!</v>
      </c>
      <c r="T213" s="287"/>
    </row>
    <row r="214" spans="2:20" hidden="1">
      <c r="B214" s="185" t="e">
        <f>'INFORME '!#REF!</f>
        <v>#REF!</v>
      </c>
      <c r="C214" s="186" t="e">
        <f>'INFORME '!#REF!</f>
        <v>#REF!</v>
      </c>
      <c r="D214" s="164" t="e">
        <f>'INFORME '!#REF!</f>
        <v>#REF!</v>
      </c>
      <c r="E214" s="164" t="s">
        <v>488</v>
      </c>
      <c r="F214" s="179" t="e">
        <f>'INFORME '!#REF!</f>
        <v>#REF!</v>
      </c>
      <c r="G214" s="179" t="e">
        <f>'INFORME '!#REF!</f>
        <v>#REF!</v>
      </c>
      <c r="H214" s="179" t="e">
        <f>'INFORME '!#REF!</f>
        <v>#REF!</v>
      </c>
      <c r="I214" s="187" t="e">
        <f>'INFORME '!#REF!</f>
        <v>#REF!</v>
      </c>
      <c r="J214" s="187"/>
      <c r="K214" s="164" t="e">
        <f>'INFORME '!#REF!</f>
        <v>#REF!</v>
      </c>
      <c r="L214" s="164" t="e">
        <f>'INFORME '!#REF!</f>
        <v>#REF!</v>
      </c>
      <c r="M214" s="157"/>
      <c r="N214" s="160"/>
      <c r="O214" s="160"/>
      <c r="P214" s="157"/>
      <c r="Q214" s="157"/>
      <c r="R214" s="160"/>
      <c r="S214" s="157" t="e">
        <f>'INFORME '!#REF!</f>
        <v>#REF!</v>
      </c>
      <c r="T214" s="287"/>
    </row>
    <row r="215" spans="2:20" hidden="1">
      <c r="B215" s="185" t="e">
        <f>'INFORME '!#REF!</f>
        <v>#REF!</v>
      </c>
      <c r="C215" s="186" t="e">
        <f>'INFORME '!#REF!</f>
        <v>#REF!</v>
      </c>
      <c r="D215" s="164" t="e">
        <f>'INFORME '!#REF!</f>
        <v>#REF!</v>
      </c>
      <c r="E215" s="164" t="s">
        <v>488</v>
      </c>
      <c r="F215" s="179" t="e">
        <f>'INFORME '!#REF!</f>
        <v>#REF!</v>
      </c>
      <c r="G215" s="179" t="e">
        <f>'INFORME '!#REF!</f>
        <v>#REF!</v>
      </c>
      <c r="H215" s="179" t="e">
        <f>'INFORME '!#REF!</f>
        <v>#REF!</v>
      </c>
      <c r="I215" s="187" t="e">
        <f>'INFORME '!#REF!</f>
        <v>#REF!</v>
      </c>
      <c r="J215" s="187"/>
      <c r="K215" s="164" t="e">
        <f>'INFORME '!#REF!</f>
        <v>#REF!</v>
      </c>
      <c r="L215" s="164" t="e">
        <f>'INFORME '!#REF!</f>
        <v>#REF!</v>
      </c>
      <c r="M215" s="157"/>
      <c r="N215" s="160"/>
      <c r="O215" s="160"/>
      <c r="P215" s="157"/>
      <c r="Q215" s="157"/>
      <c r="R215" s="160"/>
      <c r="S215" s="157" t="e">
        <f>'INFORME '!#REF!</f>
        <v>#REF!</v>
      </c>
      <c r="T215" s="287"/>
    </row>
    <row r="216" spans="2:20" hidden="1">
      <c r="B216" s="185" t="e">
        <f>'INFORME '!#REF!</f>
        <v>#REF!</v>
      </c>
      <c r="C216" s="186" t="e">
        <f>'INFORME '!#REF!</f>
        <v>#REF!</v>
      </c>
      <c r="D216" s="164" t="e">
        <f>'INFORME '!#REF!</f>
        <v>#REF!</v>
      </c>
      <c r="E216" s="164" t="s">
        <v>488</v>
      </c>
      <c r="F216" s="179" t="e">
        <f>'INFORME '!#REF!</f>
        <v>#REF!</v>
      </c>
      <c r="G216" s="179" t="e">
        <f>'INFORME '!#REF!</f>
        <v>#REF!</v>
      </c>
      <c r="H216" s="179" t="e">
        <f>'INFORME '!#REF!</f>
        <v>#REF!</v>
      </c>
      <c r="I216" s="187" t="e">
        <f>'INFORME '!#REF!</f>
        <v>#REF!</v>
      </c>
      <c r="J216" s="187"/>
      <c r="K216" s="164" t="e">
        <f>'INFORME '!#REF!</f>
        <v>#REF!</v>
      </c>
      <c r="L216" s="164" t="e">
        <f>'INFORME '!#REF!</f>
        <v>#REF!</v>
      </c>
      <c r="M216" s="157"/>
      <c r="N216" s="160"/>
      <c r="O216" s="160"/>
      <c r="P216" s="157"/>
      <c r="Q216" s="157"/>
      <c r="R216" s="160"/>
      <c r="S216" s="157" t="e">
        <f>'INFORME '!#REF!</f>
        <v>#REF!</v>
      </c>
      <c r="T216" s="287"/>
    </row>
    <row r="217" spans="2:20" hidden="1">
      <c r="B217" s="185" t="e">
        <f>'INFORME '!#REF!</f>
        <v>#REF!</v>
      </c>
      <c r="C217" s="186" t="e">
        <f>'INFORME '!#REF!</f>
        <v>#REF!</v>
      </c>
      <c r="D217" s="164" t="e">
        <f>'INFORME '!#REF!</f>
        <v>#REF!</v>
      </c>
      <c r="E217" s="164" t="s">
        <v>488</v>
      </c>
      <c r="F217" s="179" t="e">
        <f>'INFORME '!#REF!</f>
        <v>#REF!</v>
      </c>
      <c r="G217" s="179" t="e">
        <f>'INFORME '!#REF!</f>
        <v>#REF!</v>
      </c>
      <c r="H217" s="179" t="e">
        <f>'INFORME '!#REF!</f>
        <v>#REF!</v>
      </c>
      <c r="I217" s="187" t="e">
        <f>'INFORME '!#REF!</f>
        <v>#REF!</v>
      </c>
      <c r="J217" s="187"/>
      <c r="K217" s="164" t="e">
        <f>'INFORME '!#REF!</f>
        <v>#REF!</v>
      </c>
      <c r="L217" s="164" t="e">
        <f>'INFORME '!#REF!</f>
        <v>#REF!</v>
      </c>
      <c r="M217" s="157"/>
      <c r="N217" s="160"/>
      <c r="O217" s="160"/>
      <c r="P217" s="157"/>
      <c r="Q217" s="157"/>
      <c r="R217" s="160"/>
      <c r="S217" s="157" t="e">
        <f>'INFORME '!#REF!</f>
        <v>#REF!</v>
      </c>
      <c r="T217" s="287"/>
    </row>
    <row r="218" spans="2:20" hidden="1">
      <c r="B218" s="185" t="e">
        <f>'INFORME '!#REF!</f>
        <v>#REF!</v>
      </c>
      <c r="C218" s="186" t="e">
        <f>'INFORME '!#REF!</f>
        <v>#REF!</v>
      </c>
      <c r="D218" s="164" t="e">
        <f>'INFORME '!#REF!</f>
        <v>#REF!</v>
      </c>
      <c r="E218" s="164" t="s">
        <v>488</v>
      </c>
      <c r="F218" s="179" t="e">
        <f>'INFORME '!#REF!</f>
        <v>#REF!</v>
      </c>
      <c r="G218" s="179" t="e">
        <f>'INFORME '!#REF!</f>
        <v>#REF!</v>
      </c>
      <c r="H218" s="179" t="e">
        <f>'INFORME '!#REF!</f>
        <v>#REF!</v>
      </c>
      <c r="I218" s="187" t="e">
        <f>'INFORME '!#REF!</f>
        <v>#REF!</v>
      </c>
      <c r="J218" s="187"/>
      <c r="K218" s="164" t="e">
        <f>'INFORME '!#REF!</f>
        <v>#REF!</v>
      </c>
      <c r="L218" s="164" t="e">
        <f>'INFORME '!#REF!</f>
        <v>#REF!</v>
      </c>
      <c r="M218" s="157"/>
      <c r="N218" s="160"/>
      <c r="O218" s="160"/>
      <c r="P218" s="157"/>
      <c r="Q218" s="157"/>
      <c r="R218" s="160"/>
      <c r="S218" s="157" t="e">
        <f>'INFORME '!#REF!</f>
        <v>#REF!</v>
      </c>
      <c r="T218" s="287"/>
    </row>
    <row r="219" spans="2:20" ht="16" hidden="1" thickBot="1">
      <c r="B219" s="185" t="e">
        <f>'INFORME '!#REF!</f>
        <v>#REF!</v>
      </c>
      <c r="C219" s="186" t="e">
        <f>'INFORME '!#REF!</f>
        <v>#REF!</v>
      </c>
      <c r="D219" s="164" t="e">
        <f>'INFORME '!#REF!</f>
        <v>#REF!</v>
      </c>
      <c r="E219" s="164" t="s">
        <v>488</v>
      </c>
      <c r="F219" s="179" t="e">
        <f>'INFORME '!#REF!</f>
        <v>#REF!</v>
      </c>
      <c r="G219" s="179" t="e">
        <f>'INFORME '!#REF!</f>
        <v>#REF!</v>
      </c>
      <c r="H219" s="179" t="e">
        <f>'INFORME '!#REF!</f>
        <v>#REF!</v>
      </c>
      <c r="I219" s="187" t="e">
        <f>'INFORME '!#REF!</f>
        <v>#REF!</v>
      </c>
      <c r="J219" s="187"/>
      <c r="K219" s="164" t="e">
        <f>'INFORME '!#REF!</f>
        <v>#REF!</v>
      </c>
      <c r="L219" s="164" t="e">
        <f>'INFORME '!#REF!</f>
        <v>#REF!</v>
      </c>
      <c r="M219" s="157"/>
      <c r="N219" s="160"/>
      <c r="O219" s="160"/>
      <c r="P219" s="157"/>
      <c r="Q219" s="157"/>
      <c r="R219" s="160"/>
      <c r="S219" s="157" t="e">
        <f>'INFORME '!#REF!</f>
        <v>#REF!</v>
      </c>
      <c r="T219" s="287"/>
    </row>
    <row r="220" spans="2:20" ht="22" thickBot="1">
      <c r="B220" s="376" t="s">
        <v>30</v>
      </c>
      <c r="C220" s="377"/>
      <c r="D220" s="377"/>
      <c r="E220" s="377"/>
      <c r="F220" s="378"/>
      <c r="G220" s="379"/>
      <c r="H220" s="380"/>
      <c r="I220" s="380"/>
      <c r="J220" s="380"/>
      <c r="K220" s="380"/>
      <c r="L220" s="380"/>
      <c r="M220" s="380"/>
      <c r="N220" s="380"/>
      <c r="O220" s="380"/>
      <c r="P220" s="380"/>
      <c r="Q220" s="380"/>
      <c r="R220" s="380"/>
      <c r="S220" s="380"/>
      <c r="T220" s="381"/>
    </row>
    <row r="221" spans="2:20" s="169" customFormat="1">
      <c r="T221" s="279"/>
    </row>
    <row r="222" spans="2:20" s="169" customFormat="1" ht="16" thickBot="1">
      <c r="T222" s="279"/>
    </row>
    <row r="223" spans="2:20" ht="25" thickBot="1">
      <c r="B223" s="373" t="s">
        <v>860</v>
      </c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4"/>
      <c r="T223" s="375"/>
    </row>
    <row r="224" spans="2:20" ht="31" thickBot="1">
      <c r="B224" s="79" t="s">
        <v>12</v>
      </c>
      <c r="C224" s="79" t="s">
        <v>22</v>
      </c>
      <c r="D224" s="80" t="s">
        <v>14</v>
      </c>
      <c r="E224" s="80" t="s">
        <v>507</v>
      </c>
      <c r="F224" s="80" t="s">
        <v>23</v>
      </c>
      <c r="G224" s="80" t="s">
        <v>24</v>
      </c>
      <c r="H224" s="80" t="s">
        <v>20</v>
      </c>
      <c r="I224" s="80" t="s">
        <v>25</v>
      </c>
      <c r="J224" s="80" t="s">
        <v>422</v>
      </c>
      <c r="K224" s="81" t="s">
        <v>26</v>
      </c>
      <c r="L224" s="81" t="s">
        <v>363</v>
      </c>
      <c r="M224" s="116" t="s">
        <v>485</v>
      </c>
      <c r="N224" s="163" t="s">
        <v>593</v>
      </c>
      <c r="O224" s="163" t="s">
        <v>537</v>
      </c>
      <c r="P224" s="81" t="s">
        <v>529</v>
      </c>
      <c r="Q224" s="81" t="s">
        <v>504</v>
      </c>
      <c r="R224" s="80" t="s">
        <v>490</v>
      </c>
      <c r="S224" s="80" t="s">
        <v>486</v>
      </c>
      <c r="T224" s="280" t="s">
        <v>530</v>
      </c>
    </row>
    <row r="225" spans="2:20">
      <c r="B225" s="185">
        <f>'INFORME '!B5</f>
        <v>1</v>
      </c>
      <c r="C225" s="186" t="e">
        <f>'INFORME '!#REF!</f>
        <v>#REF!</v>
      </c>
      <c r="D225" s="164" t="e">
        <f>'INFORME '!#REF!</f>
        <v>#REF!</v>
      </c>
      <c r="E225" s="164" t="s">
        <v>488</v>
      </c>
      <c r="F225" s="179" t="e">
        <f>'INFORME '!#REF!</f>
        <v>#REF!</v>
      </c>
      <c r="G225" s="179" t="e">
        <f>'INFORME '!#REF!</f>
        <v>#REF!</v>
      </c>
      <c r="H225" s="179" t="e">
        <f>'INFORME '!#REF!</f>
        <v>#REF!</v>
      </c>
      <c r="I225" s="187" t="e">
        <f>'INFORME '!#REF!</f>
        <v>#REF!</v>
      </c>
      <c r="J225" s="187">
        <v>40953265</v>
      </c>
      <c r="K225" s="164" t="e">
        <f>'INFORME '!#REF!</f>
        <v>#REF!</v>
      </c>
      <c r="L225" s="164" t="e">
        <f>'INFORME '!#REF!</f>
        <v>#REF!</v>
      </c>
      <c r="M225" s="157" t="s">
        <v>445</v>
      </c>
      <c r="N225" s="160">
        <v>1</v>
      </c>
      <c r="O225" s="160">
        <v>1</v>
      </c>
      <c r="P225" s="157" t="s">
        <v>538</v>
      </c>
      <c r="Q225" s="157" t="s">
        <v>505</v>
      </c>
      <c r="R225" s="160">
        <v>51</v>
      </c>
      <c r="S225" s="157" t="e">
        <f>'INFORME '!#REF!</f>
        <v>#REF!</v>
      </c>
      <c r="T225" s="287" t="s">
        <v>863</v>
      </c>
    </row>
    <row r="226" spans="2:20">
      <c r="B226" s="185">
        <f>'INFORME '!B6</f>
        <v>2</v>
      </c>
      <c r="C226" s="186" t="e">
        <f>'INFORME '!#REF!</f>
        <v>#REF!</v>
      </c>
      <c r="D226" s="164" t="e">
        <f>'INFORME '!#REF!</f>
        <v>#REF!</v>
      </c>
      <c r="E226" s="164" t="s">
        <v>488</v>
      </c>
      <c r="F226" s="179" t="e">
        <f>'INFORME '!#REF!</f>
        <v>#REF!</v>
      </c>
      <c r="G226" s="179" t="e">
        <f>'INFORME '!#REF!</f>
        <v>#REF!</v>
      </c>
      <c r="H226" s="179" t="e">
        <f>'INFORME '!#REF!</f>
        <v>#REF!</v>
      </c>
      <c r="I226" s="187" t="e">
        <f>'INFORME '!#REF!</f>
        <v>#REF!</v>
      </c>
      <c r="J226" s="187">
        <v>35212495</v>
      </c>
      <c r="K226" s="164" t="e">
        <f>'INFORME '!#REF!</f>
        <v>#REF!</v>
      </c>
      <c r="L226" s="164" t="e">
        <f>'INFORME '!#REF!</f>
        <v>#REF!</v>
      </c>
      <c r="M226" s="157" t="s">
        <v>445</v>
      </c>
      <c r="N226" s="160">
        <v>1</v>
      </c>
      <c r="O226" s="160">
        <v>1</v>
      </c>
      <c r="P226" s="157" t="s">
        <v>538</v>
      </c>
      <c r="Q226" s="157" t="s">
        <v>505</v>
      </c>
      <c r="R226" s="160">
        <v>109.89</v>
      </c>
      <c r="S226" s="157" t="e">
        <f>'INFORME '!#REF!</f>
        <v>#REF!</v>
      </c>
      <c r="T226" s="287" t="s">
        <v>488</v>
      </c>
    </row>
    <row r="227" spans="2:20">
      <c r="B227" s="185">
        <f>'INFORME '!B7</f>
        <v>3</v>
      </c>
      <c r="C227" s="186" t="e">
        <f>'INFORME '!#REF!</f>
        <v>#REF!</v>
      </c>
      <c r="D227" s="164" t="e">
        <f>'INFORME '!#REF!</f>
        <v>#REF!</v>
      </c>
      <c r="E227" s="164" t="s">
        <v>488</v>
      </c>
      <c r="F227" s="179" t="e">
        <f>'INFORME '!#REF!</f>
        <v>#REF!</v>
      </c>
      <c r="G227" s="179" t="e">
        <f>'INFORME '!#REF!</f>
        <v>#REF!</v>
      </c>
      <c r="H227" s="179" t="e">
        <f>'INFORME '!#REF!</f>
        <v>#REF!</v>
      </c>
      <c r="I227" s="187" t="e">
        <f>'INFORME '!#REF!</f>
        <v>#REF!</v>
      </c>
      <c r="J227" s="187">
        <v>41017898</v>
      </c>
      <c r="K227" s="164" t="e">
        <f>'INFORME '!#REF!</f>
        <v>#REF!</v>
      </c>
      <c r="L227" s="164" t="e">
        <f>'INFORME '!#REF!</f>
        <v>#REF!</v>
      </c>
      <c r="M227" s="157" t="s">
        <v>445</v>
      </c>
      <c r="N227" s="160">
        <v>1</v>
      </c>
      <c r="O227" s="160">
        <v>1</v>
      </c>
      <c r="P227" s="157" t="s">
        <v>538</v>
      </c>
      <c r="Q227" s="157" t="s">
        <v>505</v>
      </c>
      <c r="R227" s="160">
        <v>57.66</v>
      </c>
      <c r="S227" s="157" t="e">
        <f>'INFORME '!#REF!</f>
        <v>#REF!</v>
      </c>
      <c r="T227" s="287" t="s">
        <v>488</v>
      </c>
    </row>
    <row r="228" spans="2:20">
      <c r="B228" s="185">
        <f>'INFORME '!B8</f>
        <v>4</v>
      </c>
      <c r="C228" s="186">
        <f>'INFORME '!C5</f>
        <v>46049</v>
      </c>
      <c r="D228" s="164" t="str">
        <f>'INFORME '!D5</f>
        <v>I-RCA80-2025-2025</v>
      </c>
      <c r="E228" s="164" t="s">
        <v>488</v>
      </c>
      <c r="F228" s="179" t="str">
        <f>'INFORME '!E5</f>
        <v>OROZCO GOMEZ, MATEO</v>
      </c>
      <c r="G228" s="179" t="str">
        <f>'INFORME '!F5</f>
        <v>CHUICAVIOC</v>
      </c>
      <c r="H228" s="179">
        <f>'INFORME '!G5</f>
        <v>0</v>
      </c>
      <c r="I228" s="187">
        <f>'INFORME '!H5</f>
        <v>0</v>
      </c>
      <c r="J228" s="187">
        <v>48088952</v>
      </c>
      <c r="K228" s="164">
        <f>'INFORME '!I5</f>
        <v>46027</v>
      </c>
      <c r="L228" s="164" t="e">
        <f>'INFORME '!#REF!</f>
        <v>#REF!</v>
      </c>
      <c r="M228" s="157" t="s">
        <v>445</v>
      </c>
      <c r="N228" s="160">
        <v>1</v>
      </c>
      <c r="O228" s="160">
        <v>1</v>
      </c>
      <c r="P228" s="157" t="s">
        <v>616</v>
      </c>
      <c r="Q228" s="157" t="s">
        <v>505</v>
      </c>
      <c r="R228" s="160">
        <v>63.3</v>
      </c>
      <c r="S228" s="157" t="str">
        <f>'INFORME '!K5</f>
        <v xml:space="preserve">OFICIO CATASTRO </v>
      </c>
      <c r="T228" s="287" t="s">
        <v>488</v>
      </c>
    </row>
    <row r="229" spans="2:20" ht="27" customHeight="1">
      <c r="B229" s="185">
        <f>'INFORME '!B9</f>
        <v>5</v>
      </c>
      <c r="C229" s="186">
        <f>'INFORME '!C6</f>
        <v>46049</v>
      </c>
      <c r="D229" s="164" t="str">
        <f>'INFORME '!D6</f>
        <v>I-RCA80-2042-2025</v>
      </c>
      <c r="E229" s="164" t="s">
        <v>488</v>
      </c>
      <c r="F229" s="179" t="str">
        <f>'INFORME '!E6</f>
        <v>LOPEZ LOPEZ, MAYRA LETICIA</v>
      </c>
      <c r="G229" s="179" t="str">
        <f>'INFORME '!F6</f>
        <v>CHUICAVIOC</v>
      </c>
      <c r="H229" s="179">
        <f>'INFORME '!G6</f>
        <v>0</v>
      </c>
      <c r="I229" s="187">
        <f>'INFORME '!H6</f>
        <v>0</v>
      </c>
      <c r="J229" s="187">
        <v>49554506</v>
      </c>
      <c r="K229" s="164">
        <f>'INFORME '!I6</f>
        <v>46027</v>
      </c>
      <c r="L229" s="164" t="e">
        <f>'INFORME '!#REF!</f>
        <v>#REF!</v>
      </c>
      <c r="M229" s="157" t="s">
        <v>445</v>
      </c>
      <c r="N229" s="160">
        <v>1</v>
      </c>
      <c r="O229" s="160">
        <v>1</v>
      </c>
      <c r="P229" s="157" t="s">
        <v>538</v>
      </c>
      <c r="Q229" s="157" t="s">
        <v>505</v>
      </c>
      <c r="R229" s="160">
        <v>94.76</v>
      </c>
      <c r="S229" s="157" t="str">
        <f>'INFORME '!K6</f>
        <v>OFICIO CATASTRO</v>
      </c>
      <c r="T229" s="287" t="s">
        <v>488</v>
      </c>
    </row>
    <row r="230" spans="2:20">
      <c r="B230" s="185">
        <f>'INFORME '!B10</f>
        <v>6</v>
      </c>
      <c r="C230" s="186">
        <f>'INFORME '!C7</f>
        <v>46049</v>
      </c>
      <c r="D230" s="164" t="str">
        <f>'INFORME '!D7</f>
        <v>I-RCA80-1944-2025</v>
      </c>
      <c r="E230" s="164" t="s">
        <v>488</v>
      </c>
      <c r="F230" s="179" t="str">
        <f>'INFORME '!E7</f>
        <v>OROZCO GOMEZ, HENRY SAMUEL</v>
      </c>
      <c r="G230" s="179" t="str">
        <f>'INFORME '!F7</f>
        <v>CHUICAVIOC</v>
      </c>
      <c r="H230" s="179">
        <f>'INFORME '!G7</f>
        <v>0</v>
      </c>
      <c r="I230" s="187">
        <f>'INFORME '!H7</f>
        <v>0</v>
      </c>
      <c r="J230" s="187">
        <v>55145885</v>
      </c>
      <c r="K230" s="164">
        <f>'INFORME '!I7</f>
        <v>46027</v>
      </c>
      <c r="L230" s="164" t="e">
        <f>'INFORME '!#REF!</f>
        <v>#REF!</v>
      </c>
      <c r="M230" s="157"/>
      <c r="N230" s="160"/>
      <c r="O230" s="160"/>
      <c r="P230" s="157"/>
      <c r="Q230" s="157"/>
      <c r="R230" s="160"/>
      <c r="S230" s="157" t="str">
        <f>'INFORME '!K7</f>
        <v>OFICIO CATASTRO</v>
      </c>
      <c r="T230" s="287" t="s">
        <v>870</v>
      </c>
    </row>
    <row r="231" spans="2:20" ht="30">
      <c r="B231" s="185">
        <f>'INFORME '!B11</f>
        <v>7</v>
      </c>
      <c r="C231" s="186">
        <f>'INFORME '!C8</f>
        <v>46049</v>
      </c>
      <c r="D231" s="164" t="str">
        <f>'INFORME '!D8</f>
        <v>I-RCA80-2043-2025</v>
      </c>
      <c r="E231" s="164" t="s">
        <v>488</v>
      </c>
      <c r="F231" s="179" t="str">
        <f>'INFORME '!E8</f>
        <v>MORALES, MARIA WENDY COYOY CAHUEX DE</v>
      </c>
      <c r="G231" s="179" t="str">
        <f>'INFORME '!F8</f>
        <v>CHUICAVIOC</v>
      </c>
      <c r="H231" s="179">
        <f>'INFORME '!G8</f>
        <v>0</v>
      </c>
      <c r="I231" s="187">
        <f>'INFORME '!H8</f>
        <v>0</v>
      </c>
      <c r="J231" s="187">
        <v>58658715</v>
      </c>
      <c r="K231" s="164">
        <f>'INFORME '!I8</f>
        <v>46027</v>
      </c>
      <c r="L231" s="164" t="e">
        <f>'INFORME '!#REF!</f>
        <v>#REF!</v>
      </c>
      <c r="M231" s="157" t="s">
        <v>433</v>
      </c>
      <c r="N231" s="160">
        <v>1</v>
      </c>
      <c r="O231" s="160">
        <v>2</v>
      </c>
      <c r="P231" s="157" t="s">
        <v>538</v>
      </c>
      <c r="Q231" s="157" t="s">
        <v>505</v>
      </c>
      <c r="R231" s="160">
        <v>149.91999999999999</v>
      </c>
      <c r="S231" s="157" t="str">
        <f>'INFORME '!K8</f>
        <v xml:space="preserve">OFICIO CATASTRO </v>
      </c>
      <c r="T231" s="287" t="s">
        <v>488</v>
      </c>
    </row>
    <row r="232" spans="2:20">
      <c r="B232" s="185">
        <f>'INFORME '!B12</f>
        <v>8</v>
      </c>
      <c r="C232" s="186">
        <f>'INFORME '!C9</f>
        <v>46049</v>
      </c>
      <c r="D232" s="164" t="str">
        <f>'INFORME '!D9</f>
        <v>I-RCA80-1948-2025</v>
      </c>
      <c r="E232" s="164" t="s">
        <v>488</v>
      </c>
      <c r="F232" s="179" t="str">
        <f>'INFORME '!E9</f>
        <v>OROZCO, CANDIDO ELOY</v>
      </c>
      <c r="G232" s="179" t="str">
        <f>'INFORME '!F9</f>
        <v>CHUICAVIOC</v>
      </c>
      <c r="H232" s="179">
        <f>'INFORME '!G9</f>
        <v>0</v>
      </c>
      <c r="I232" s="187">
        <f>'INFORME '!H9</f>
        <v>0</v>
      </c>
      <c r="J232" s="187">
        <v>40487352</v>
      </c>
      <c r="K232" s="164">
        <f>'INFORME '!I9</f>
        <v>46027</v>
      </c>
      <c r="L232" s="164" t="e">
        <f>'INFORME '!#REF!</f>
        <v>#REF!</v>
      </c>
      <c r="M232" s="157" t="s">
        <v>876</v>
      </c>
      <c r="N232" s="160">
        <v>1</v>
      </c>
      <c r="O232" s="160">
        <v>2</v>
      </c>
      <c r="P232" s="157" t="s">
        <v>489</v>
      </c>
      <c r="Q232" s="157" t="s">
        <v>877</v>
      </c>
      <c r="R232" s="160">
        <v>61</v>
      </c>
      <c r="S232" s="157" t="str">
        <f>'INFORME '!K9</f>
        <v xml:space="preserve">OFICIO CATASTRO </v>
      </c>
      <c r="T232" s="287" t="s">
        <v>488</v>
      </c>
    </row>
    <row r="233" spans="2:20" ht="30">
      <c r="B233" s="185">
        <f>'INFORME '!B13</f>
        <v>9</v>
      </c>
      <c r="C233" s="186">
        <f>'INFORME '!C10</f>
        <v>46086</v>
      </c>
      <c r="D233" s="164" t="str">
        <f>'INFORME '!D10</f>
        <v>VUNF5-630326</v>
      </c>
      <c r="E233" s="164" t="s">
        <v>488</v>
      </c>
      <c r="F233" s="179" t="str">
        <f>'INFORME '!E10</f>
        <v>FLORES DE LEON, CLAUDIA EUGENIA</v>
      </c>
      <c r="G233" s="179" t="str">
        <f>'INFORME '!F10</f>
        <v>10 AVENIDA A 15C-02 LOTE 1 MZ G</v>
      </c>
      <c r="H233" s="179">
        <f>'INFORME '!G10</f>
        <v>0</v>
      </c>
      <c r="I233" s="187">
        <f>'INFORME '!H10</f>
        <v>0</v>
      </c>
      <c r="J233" s="187">
        <v>52151013</v>
      </c>
      <c r="K233" s="164">
        <f>'INFORME '!I10</f>
        <v>46107</v>
      </c>
      <c r="L233" s="164" t="e">
        <f>'INFORME '!#REF!</f>
        <v>#REF!</v>
      </c>
      <c r="M233" s="157" t="s">
        <v>445</v>
      </c>
      <c r="N233" s="160">
        <v>1</v>
      </c>
      <c r="O233" s="160">
        <v>1</v>
      </c>
      <c r="P233" s="157" t="s">
        <v>489</v>
      </c>
      <c r="Q233" s="157" t="s">
        <v>505</v>
      </c>
      <c r="R233" s="160">
        <v>52.42</v>
      </c>
      <c r="S233" s="157" t="str">
        <f>'INFORME '!K10</f>
        <v xml:space="preserve">LICENCIA DE OBRA </v>
      </c>
      <c r="T233" s="287" t="s">
        <v>488</v>
      </c>
    </row>
    <row r="234" spans="2:20">
      <c r="B234" s="185">
        <f>'INFORME '!B14</f>
        <v>10</v>
      </c>
      <c r="C234" s="186">
        <f>'INFORME '!C11</f>
        <v>46106</v>
      </c>
      <c r="D234" s="164" t="str">
        <f>'INFORME '!D11</f>
        <v>RPNT3-4060426</v>
      </c>
      <c r="E234" s="164" t="s">
        <v>488</v>
      </c>
      <c r="F234" s="179" t="str">
        <f>'INFORME '!E11</f>
        <v>TAHAY HERNANDEZ CARMEN</v>
      </c>
      <c r="G234" s="179" t="str">
        <f>'INFORME '!F11</f>
        <v>7 CALLE 23-19 ZONA3</v>
      </c>
      <c r="H234" s="179">
        <f>'INFORME '!G11</f>
        <v>0</v>
      </c>
      <c r="I234" s="187">
        <f>'INFORME '!H11</f>
        <v>0</v>
      </c>
      <c r="J234" s="187" t="s">
        <v>29</v>
      </c>
      <c r="K234" s="164">
        <f>'INFORME '!I11</f>
        <v>46133</v>
      </c>
      <c r="L234" s="164" t="e">
        <f>'INFORME '!#REF!</f>
        <v>#REF!</v>
      </c>
      <c r="M234" s="157" t="s">
        <v>445</v>
      </c>
      <c r="N234" s="160">
        <v>1</v>
      </c>
      <c r="O234" s="160">
        <v>1</v>
      </c>
      <c r="P234" s="157" t="s">
        <v>769</v>
      </c>
      <c r="Q234" s="157" t="s">
        <v>505</v>
      </c>
      <c r="R234" s="160">
        <v>205</v>
      </c>
      <c r="S234" s="157" t="str">
        <f>'INFORME '!K11</f>
        <v xml:space="preserve">REGULARIZACION DE OBRA </v>
      </c>
      <c r="T234" s="287" t="s">
        <v>852</v>
      </c>
    </row>
    <row r="235" spans="2:20" ht="30">
      <c r="B235" s="185">
        <f>'INFORME '!B15</f>
        <v>11</v>
      </c>
      <c r="C235" s="186">
        <f>'INFORME '!C12</f>
        <v>46128</v>
      </c>
      <c r="D235" s="164" t="str">
        <f>'INFORME '!D12</f>
        <v>VUNC11-1080426</v>
      </c>
      <c r="E235" s="164" t="s">
        <v>488</v>
      </c>
      <c r="F235" s="179" t="str">
        <f>'INFORME '!E12</f>
        <v>CIFUENTES MACARIO, MARIA CANDIDA LETICIA</v>
      </c>
      <c r="G235" s="179" t="str">
        <f>'INFORME '!F12</f>
        <v>6 CALLE 4-19 LOTE 25 FASE 2</v>
      </c>
      <c r="H235" s="179">
        <f>'INFORME '!G12</f>
        <v>0</v>
      </c>
      <c r="I235" s="187">
        <f>'INFORME '!H12</f>
        <v>0</v>
      </c>
      <c r="J235" s="187">
        <v>30236330</v>
      </c>
      <c r="K235" s="164">
        <f>'INFORME '!I12</f>
        <v>46135</v>
      </c>
      <c r="L235" s="164" t="e">
        <f>'INFORME '!#REF!</f>
        <v>#REF!</v>
      </c>
      <c r="M235" s="157" t="s">
        <v>445</v>
      </c>
      <c r="N235" s="160">
        <v>1</v>
      </c>
      <c r="O235" s="160">
        <v>1</v>
      </c>
      <c r="P235" s="157" t="s">
        <v>769</v>
      </c>
      <c r="Q235" s="157" t="s">
        <v>505</v>
      </c>
      <c r="R235" s="160">
        <v>44.85</v>
      </c>
      <c r="S235" s="157" t="str">
        <f>'INFORME '!K12</f>
        <v xml:space="preserve">LICENCIA DE OBRA </v>
      </c>
      <c r="T235" s="287" t="s">
        <v>488</v>
      </c>
    </row>
    <row r="236" spans="2:20" ht="30">
      <c r="B236" s="185">
        <f>'INFORME '!B16</f>
        <v>12</v>
      </c>
      <c r="C236" s="186">
        <f>'INFORME '!C13</f>
        <v>46135</v>
      </c>
      <c r="D236" s="164" t="str">
        <f>'INFORME '!D13</f>
        <v>VUNC8-1090426</v>
      </c>
      <c r="E236" s="164" t="s">
        <v>488</v>
      </c>
      <c r="F236" s="179" t="str">
        <f>'INFORME '!E13</f>
        <v>CELIS, LUCIA FERNANDA MORALES CIFUENTES DE Y CONDUEÑO</v>
      </c>
      <c r="G236" s="179" t="str">
        <f>'INFORME '!F13</f>
        <v>34 AVENIDA A 0-86</v>
      </c>
      <c r="H236" s="179">
        <f>'INFORME '!G13</f>
        <v>0</v>
      </c>
      <c r="I236" s="187">
        <f>'INFORME '!H13</f>
        <v>0</v>
      </c>
      <c r="J236" s="187">
        <v>59491349</v>
      </c>
      <c r="K236" s="164">
        <f>'INFORME '!I13</f>
        <v>46135</v>
      </c>
      <c r="L236" s="164" t="e">
        <f>'INFORME '!#REF!</f>
        <v>#REF!</v>
      </c>
      <c r="M236" s="157" t="s">
        <v>597</v>
      </c>
      <c r="N236" s="160" t="s">
        <v>888</v>
      </c>
      <c r="O236" s="160">
        <v>2</v>
      </c>
      <c r="P236" s="157" t="s">
        <v>538</v>
      </c>
      <c r="Q236" s="157" t="s">
        <v>505</v>
      </c>
      <c r="R236" s="160" t="s">
        <v>889</v>
      </c>
      <c r="S236" s="157" t="str">
        <f>'INFORME '!K13</f>
        <v xml:space="preserve">LICENCIA DE OBRA </v>
      </c>
      <c r="T236" s="287" t="s">
        <v>852</v>
      </c>
    </row>
    <row r="237" spans="2:20">
      <c r="B237" s="185">
        <f>'INFORME '!B17</f>
        <v>13</v>
      </c>
      <c r="C237" s="186">
        <f>'INFORME '!C17</f>
        <v>0</v>
      </c>
      <c r="D237" s="164">
        <f>'INFORME '!D17</f>
        <v>0</v>
      </c>
      <c r="E237" s="164" t="s">
        <v>488</v>
      </c>
      <c r="F237" s="179">
        <f>'INFORME '!E17</f>
        <v>0</v>
      </c>
      <c r="G237" s="179">
        <f>'INFORME '!F17</f>
        <v>0</v>
      </c>
      <c r="H237" s="179">
        <f>'INFORME '!G17</f>
        <v>0</v>
      </c>
      <c r="I237" s="187">
        <f>'INFORME '!H17</f>
        <v>0</v>
      </c>
      <c r="J237" s="187">
        <v>36690977</v>
      </c>
      <c r="K237" s="164">
        <f>'INFORME '!I17</f>
        <v>0</v>
      </c>
      <c r="L237" s="164" t="e">
        <f>'INFORME '!#REF!</f>
        <v>#REF!</v>
      </c>
      <c r="M237" s="157"/>
      <c r="N237" s="160"/>
      <c r="O237" s="160"/>
      <c r="P237" s="157"/>
      <c r="Q237" s="157"/>
      <c r="R237" s="160"/>
      <c r="S237" s="157">
        <f>'INFORME '!K17</f>
        <v>0</v>
      </c>
      <c r="T237" s="287" t="s">
        <v>893</v>
      </c>
    </row>
    <row r="238" spans="2:20">
      <c r="B238" s="185">
        <f>'INFORME '!B18</f>
        <v>14</v>
      </c>
      <c r="C238" s="186">
        <f>'INFORME '!C18</f>
        <v>0</v>
      </c>
      <c r="D238" s="164">
        <f>'INFORME '!D18</f>
        <v>0</v>
      </c>
      <c r="E238" s="164" t="s">
        <v>488</v>
      </c>
      <c r="F238" s="179">
        <f>'INFORME '!E18</f>
        <v>0</v>
      </c>
      <c r="G238" s="179">
        <f>'INFORME '!F18</f>
        <v>0</v>
      </c>
      <c r="H238" s="179">
        <f>'INFORME '!G18</f>
        <v>0</v>
      </c>
      <c r="I238" s="187">
        <f>'INFORME '!H18</f>
        <v>0</v>
      </c>
      <c r="J238" s="187">
        <v>59324308</v>
      </c>
      <c r="K238" s="164">
        <f>'INFORME '!I18</f>
        <v>0</v>
      </c>
      <c r="L238" s="164" t="e">
        <f>'INFORME '!#REF!</f>
        <v>#REF!</v>
      </c>
      <c r="M238" s="157"/>
      <c r="N238" s="160"/>
      <c r="O238" s="160"/>
      <c r="P238" s="157"/>
      <c r="Q238" s="157"/>
      <c r="R238" s="160"/>
      <c r="S238" s="157">
        <f>'INFORME '!K18</f>
        <v>0</v>
      </c>
      <c r="T238" s="287" t="s">
        <v>809</v>
      </c>
    </row>
    <row r="239" spans="2:20">
      <c r="B239" s="185">
        <f>'INFORME '!B19</f>
        <v>15</v>
      </c>
      <c r="C239" s="186">
        <f>'INFORME '!C19</f>
        <v>0</v>
      </c>
      <c r="D239" s="164">
        <f>'INFORME '!D19</f>
        <v>0</v>
      </c>
      <c r="E239" s="164" t="s">
        <v>488</v>
      </c>
      <c r="F239" s="179">
        <f>'INFORME '!E19</f>
        <v>0</v>
      </c>
      <c r="G239" s="179">
        <f>'INFORME '!F19</f>
        <v>0</v>
      </c>
      <c r="H239" s="179">
        <f>'INFORME '!G19</f>
        <v>0</v>
      </c>
      <c r="I239" s="187">
        <f>'INFORME '!H19</f>
        <v>0</v>
      </c>
      <c r="J239" s="187">
        <v>59594766</v>
      </c>
      <c r="K239" s="164">
        <f>'INFORME '!I19</f>
        <v>0</v>
      </c>
      <c r="L239" s="164" t="e">
        <f>'INFORME '!#REF!</f>
        <v>#REF!</v>
      </c>
      <c r="M239" s="157" t="s">
        <v>445</v>
      </c>
      <c r="N239" s="160">
        <v>1</v>
      </c>
      <c r="O239" s="160">
        <v>1</v>
      </c>
      <c r="P239" s="157" t="s">
        <v>538</v>
      </c>
      <c r="Q239" s="157" t="s">
        <v>505</v>
      </c>
      <c r="R239" s="160">
        <v>77.930000000000007</v>
      </c>
      <c r="S239" s="157">
        <f>'INFORME '!K19</f>
        <v>0</v>
      </c>
      <c r="T239" s="287" t="s">
        <v>488</v>
      </c>
    </row>
    <row r="240" spans="2:20">
      <c r="B240" s="185">
        <f>'INFORME '!B20</f>
        <v>16</v>
      </c>
      <c r="C240" s="186">
        <f>'INFORME '!C20</f>
        <v>0</v>
      </c>
      <c r="D240" s="164">
        <f>'INFORME '!D20</f>
        <v>0</v>
      </c>
      <c r="E240" s="164" t="s">
        <v>488</v>
      </c>
      <c r="F240" s="179">
        <f>'INFORME '!E20</f>
        <v>0</v>
      </c>
      <c r="G240" s="179">
        <f>'INFORME '!F20</f>
        <v>0</v>
      </c>
      <c r="H240" s="179">
        <f>'INFORME '!G20</f>
        <v>0</v>
      </c>
      <c r="I240" s="187">
        <f>'INFORME '!H20</f>
        <v>0</v>
      </c>
      <c r="J240" s="187">
        <v>30594227</v>
      </c>
      <c r="K240" s="164">
        <f>'INFORME '!I20</f>
        <v>0</v>
      </c>
      <c r="L240" s="164" t="e">
        <f>'INFORME '!#REF!</f>
        <v>#REF!</v>
      </c>
      <c r="M240" s="157" t="s">
        <v>445</v>
      </c>
      <c r="N240" s="160">
        <v>1</v>
      </c>
      <c r="O240" s="160">
        <v>1</v>
      </c>
      <c r="P240" s="157" t="s">
        <v>769</v>
      </c>
      <c r="Q240" s="157" t="s">
        <v>505</v>
      </c>
      <c r="R240" s="160">
        <v>150.38</v>
      </c>
      <c r="S240" s="157">
        <f>'INFORME '!K20</f>
        <v>0</v>
      </c>
      <c r="T240" s="287" t="s">
        <v>852</v>
      </c>
    </row>
    <row r="241" spans="2:20">
      <c r="B241" s="185">
        <f>'INFORME '!B21</f>
        <v>17</v>
      </c>
      <c r="C241" s="186">
        <f>'INFORME '!C21</f>
        <v>0</v>
      </c>
      <c r="D241" s="164">
        <f>'INFORME '!D21</f>
        <v>0</v>
      </c>
      <c r="E241" s="164" t="s">
        <v>488</v>
      </c>
      <c r="F241" s="179">
        <f>'INFORME '!E21</f>
        <v>0</v>
      </c>
      <c r="G241" s="179">
        <f>'INFORME '!F21</f>
        <v>0</v>
      </c>
      <c r="H241" s="179">
        <f>'INFORME '!G21</f>
        <v>0</v>
      </c>
      <c r="I241" s="187">
        <f>'INFORME '!H21</f>
        <v>0</v>
      </c>
      <c r="J241" s="187">
        <v>42407920</v>
      </c>
      <c r="K241" s="164">
        <f>'INFORME '!I21</f>
        <v>0</v>
      </c>
      <c r="L241" s="164" t="e">
        <f>'INFORME '!#REF!</f>
        <v>#REF!</v>
      </c>
      <c r="M241" s="157" t="s">
        <v>899</v>
      </c>
      <c r="N241" s="160">
        <v>1</v>
      </c>
      <c r="O241" s="160">
        <v>1</v>
      </c>
      <c r="P241" s="157" t="s">
        <v>538</v>
      </c>
      <c r="Q241" s="157" t="s">
        <v>505</v>
      </c>
      <c r="R241" s="160">
        <v>144.80000000000001</v>
      </c>
      <c r="S241" s="157">
        <f>'INFORME '!K21</f>
        <v>0</v>
      </c>
      <c r="T241" s="287" t="s">
        <v>852</v>
      </c>
    </row>
    <row r="242" spans="2:20">
      <c r="B242" s="185">
        <f>'INFORME '!B22</f>
        <v>18</v>
      </c>
      <c r="C242" s="186">
        <f>'INFORME '!C22</f>
        <v>0</v>
      </c>
      <c r="D242" s="164">
        <f>'INFORME '!D22</f>
        <v>0</v>
      </c>
      <c r="E242" s="164" t="s">
        <v>488</v>
      </c>
      <c r="F242" s="179">
        <f>'INFORME '!E22</f>
        <v>0</v>
      </c>
      <c r="G242" s="179">
        <f>'INFORME '!F22</f>
        <v>0</v>
      </c>
      <c r="H242" s="179">
        <f>'INFORME '!G22</f>
        <v>0</v>
      </c>
      <c r="I242" s="187">
        <f>'INFORME '!H22</f>
        <v>0</v>
      </c>
      <c r="J242" s="187">
        <v>40488353</v>
      </c>
      <c r="K242" s="164">
        <f>'INFORME '!I22</f>
        <v>0</v>
      </c>
      <c r="L242" s="164" t="e">
        <f>'INFORME '!#REF!</f>
        <v>#REF!</v>
      </c>
      <c r="M242" s="157" t="s">
        <v>445</v>
      </c>
      <c r="N242" s="160">
        <v>1</v>
      </c>
      <c r="O242" s="160">
        <v>1</v>
      </c>
      <c r="P242" s="157" t="s">
        <v>524</v>
      </c>
      <c r="Q242" s="157" t="s">
        <v>505</v>
      </c>
      <c r="R242" s="160">
        <v>41.44</v>
      </c>
      <c r="S242" s="157">
        <f>'INFORME '!K22</f>
        <v>0</v>
      </c>
      <c r="T242" s="287" t="s">
        <v>488</v>
      </c>
    </row>
    <row r="243" spans="2:20" ht="30">
      <c r="B243" s="185">
        <f>'INFORME '!B23</f>
        <v>19</v>
      </c>
      <c r="C243" s="186">
        <f>'INFORME '!C23</f>
        <v>0</v>
      </c>
      <c r="D243" s="164">
        <f>'INFORME '!D23</f>
        <v>0</v>
      </c>
      <c r="E243" s="164" t="s">
        <v>488</v>
      </c>
      <c r="F243" s="179">
        <f>'INFORME '!E23</f>
        <v>0</v>
      </c>
      <c r="G243" s="179">
        <f>'INFORME '!F23</f>
        <v>0</v>
      </c>
      <c r="H243" s="179">
        <f>'INFORME '!G23</f>
        <v>0</v>
      </c>
      <c r="I243" s="187">
        <f>'INFORME '!H23</f>
        <v>0</v>
      </c>
      <c r="J243" s="187">
        <v>58913274</v>
      </c>
      <c r="K243" s="164">
        <f>'INFORME '!I23</f>
        <v>0</v>
      </c>
      <c r="L243" s="164" t="e">
        <f>'INFORME '!#REF!</f>
        <v>#REF!</v>
      </c>
      <c r="M243" s="157" t="s">
        <v>638</v>
      </c>
      <c r="N243" s="160" t="s">
        <v>611</v>
      </c>
      <c r="O243" s="160">
        <v>2</v>
      </c>
      <c r="P243" s="157" t="s">
        <v>769</v>
      </c>
      <c r="Q243" s="157" t="s">
        <v>505</v>
      </c>
      <c r="R243" s="160">
        <v>32.65</v>
      </c>
      <c r="S243" s="157">
        <f>'INFORME '!K23</f>
        <v>0</v>
      </c>
      <c r="T243" s="287" t="s">
        <v>488</v>
      </c>
    </row>
    <row r="244" spans="2:20">
      <c r="B244" s="185">
        <f>'INFORME '!B24</f>
        <v>20</v>
      </c>
      <c r="C244" s="186">
        <f>'INFORME '!C24</f>
        <v>0</v>
      </c>
      <c r="D244" s="164">
        <f>'INFORME '!D24</f>
        <v>0</v>
      </c>
      <c r="E244" s="164" t="s">
        <v>488</v>
      </c>
      <c r="F244" s="179">
        <f>'INFORME '!E24</f>
        <v>0</v>
      </c>
      <c r="G244" s="179">
        <f>'INFORME '!F24</f>
        <v>0</v>
      </c>
      <c r="H244" s="179">
        <f>'INFORME '!G24</f>
        <v>0</v>
      </c>
      <c r="I244" s="187">
        <f>'INFORME '!H24</f>
        <v>0</v>
      </c>
      <c r="J244" s="187">
        <v>54969622</v>
      </c>
      <c r="K244" s="164">
        <f>'INFORME '!I24</f>
        <v>0</v>
      </c>
      <c r="L244" s="164" t="e">
        <f>'INFORME '!#REF!</f>
        <v>#REF!</v>
      </c>
      <c r="M244" s="157" t="s">
        <v>433</v>
      </c>
      <c r="N244" s="160">
        <v>1</v>
      </c>
      <c r="O244" s="160">
        <v>2</v>
      </c>
      <c r="P244" s="157" t="s">
        <v>538</v>
      </c>
      <c r="Q244" s="157" t="s">
        <v>505</v>
      </c>
      <c r="R244" s="160">
        <v>263.98</v>
      </c>
      <c r="S244" s="157">
        <f>'INFORME '!K24</f>
        <v>0</v>
      </c>
      <c r="T244" s="287" t="s">
        <v>488</v>
      </c>
    </row>
    <row r="245" spans="2:20">
      <c r="B245" s="185">
        <f>'INFORME '!B25</f>
        <v>21</v>
      </c>
      <c r="C245" s="186">
        <f>'INFORME '!C25</f>
        <v>0</v>
      </c>
      <c r="D245" s="164">
        <f>'INFORME '!D25</f>
        <v>0</v>
      </c>
      <c r="E245" s="164" t="s">
        <v>488</v>
      </c>
      <c r="F245" s="179">
        <f>'INFORME '!E25</f>
        <v>0</v>
      </c>
      <c r="G245" s="179">
        <f>'INFORME '!F25</f>
        <v>0</v>
      </c>
      <c r="H245" s="179">
        <f>'INFORME '!G25</f>
        <v>0</v>
      </c>
      <c r="I245" s="187">
        <f>'INFORME '!H25</f>
        <v>0</v>
      </c>
      <c r="J245" s="187">
        <v>37334348</v>
      </c>
      <c r="K245" s="164">
        <f>'INFORME '!I25</f>
        <v>0</v>
      </c>
      <c r="L245" s="164" t="e">
        <f>'INFORME '!#REF!</f>
        <v>#REF!</v>
      </c>
      <c r="M245" s="157"/>
      <c r="N245" s="160"/>
      <c r="O245" s="160"/>
      <c r="P245" s="157"/>
      <c r="Q245" s="157"/>
      <c r="R245" s="160"/>
      <c r="S245" s="157">
        <f>'INFORME '!K25</f>
        <v>0</v>
      </c>
      <c r="T245" s="287" t="s">
        <v>704</v>
      </c>
    </row>
    <row r="246" spans="2:20">
      <c r="B246" s="185">
        <f>'INFORME '!B26</f>
        <v>22</v>
      </c>
      <c r="C246" s="186">
        <f>'INFORME '!C26</f>
        <v>0</v>
      </c>
      <c r="D246" s="164">
        <f>'INFORME '!D26</f>
        <v>0</v>
      </c>
      <c r="E246" s="164" t="s">
        <v>488</v>
      </c>
      <c r="F246" s="179">
        <f>'INFORME '!E26</f>
        <v>0</v>
      </c>
      <c r="G246" s="179">
        <f>'INFORME '!F26</f>
        <v>0</v>
      </c>
      <c r="H246" s="179">
        <f>'INFORME '!G26</f>
        <v>0</v>
      </c>
      <c r="I246" s="187">
        <f>'INFORME '!H26</f>
        <v>0</v>
      </c>
      <c r="J246" s="187">
        <v>31064329</v>
      </c>
      <c r="K246" s="164">
        <f>'INFORME '!I26</f>
        <v>0</v>
      </c>
      <c r="L246" s="164" t="e">
        <f>'INFORME '!#REF!</f>
        <v>#REF!</v>
      </c>
      <c r="M246" s="157"/>
      <c r="N246" s="160"/>
      <c r="O246" s="160"/>
      <c r="P246" s="157"/>
      <c r="Q246" s="157"/>
      <c r="R246" s="160"/>
      <c r="S246" s="157">
        <f>'INFORME '!K26</f>
        <v>0</v>
      </c>
      <c r="T246" s="287" t="s">
        <v>918</v>
      </c>
    </row>
    <row r="247" spans="2:20">
      <c r="B247" s="185">
        <f>'INFORME '!B27</f>
        <v>23</v>
      </c>
      <c r="C247" s="186">
        <f>'INFORME '!C27</f>
        <v>0</v>
      </c>
      <c r="D247" s="164">
        <f>'INFORME '!D27</f>
        <v>0</v>
      </c>
      <c r="E247" s="164" t="s">
        <v>488</v>
      </c>
      <c r="F247" s="179">
        <f>'INFORME '!E27</f>
        <v>0</v>
      </c>
      <c r="G247" s="179">
        <f>'INFORME '!F27</f>
        <v>0</v>
      </c>
      <c r="H247" s="179">
        <f>'INFORME '!G27</f>
        <v>0</v>
      </c>
      <c r="I247" s="187">
        <f>'INFORME '!H27</f>
        <v>0</v>
      </c>
      <c r="J247" s="187">
        <v>42985373</v>
      </c>
      <c r="K247" s="164">
        <f>'INFORME '!I27</f>
        <v>0</v>
      </c>
      <c r="L247" s="164" t="e">
        <f>'INFORME '!#REF!</f>
        <v>#REF!</v>
      </c>
      <c r="M247" s="157"/>
      <c r="N247" s="160"/>
      <c r="O247" s="160"/>
      <c r="P247" s="157"/>
      <c r="Q247" s="157"/>
      <c r="R247" s="160"/>
      <c r="S247" s="157">
        <f>'INFORME '!K27</f>
        <v>0</v>
      </c>
      <c r="T247" s="287" t="s">
        <v>920</v>
      </c>
    </row>
    <row r="248" spans="2:20">
      <c r="B248" s="185" t="e">
        <f>'INFORME '!#REF!</f>
        <v>#REF!</v>
      </c>
      <c r="C248" s="186" t="e">
        <f>'INFORME '!#REF!</f>
        <v>#REF!</v>
      </c>
      <c r="D248" s="164" t="e">
        <f>'INFORME '!#REF!</f>
        <v>#REF!</v>
      </c>
      <c r="E248" s="164" t="s">
        <v>488</v>
      </c>
      <c r="F248" s="179" t="e">
        <f>'INFORME '!#REF!</f>
        <v>#REF!</v>
      </c>
      <c r="G248" s="179" t="e">
        <f>'INFORME '!#REF!</f>
        <v>#REF!</v>
      </c>
      <c r="H248" s="179" t="e">
        <f>'INFORME '!#REF!</f>
        <v>#REF!</v>
      </c>
      <c r="I248" s="187" t="e">
        <f>'INFORME '!#REF!</f>
        <v>#REF!</v>
      </c>
      <c r="J248" s="187">
        <v>42799118</v>
      </c>
      <c r="K248" s="164" t="e">
        <f>'INFORME '!#REF!</f>
        <v>#REF!</v>
      </c>
      <c r="L248" s="164" t="e">
        <f>'INFORME '!#REF!</f>
        <v>#REF!</v>
      </c>
      <c r="M248" s="157"/>
      <c r="N248" s="160"/>
      <c r="O248" s="160"/>
      <c r="P248" s="157"/>
      <c r="Q248" s="157"/>
      <c r="R248" s="160"/>
      <c r="S248" s="157" t="e">
        <f>'INFORME '!#REF!</f>
        <v>#REF!</v>
      </c>
      <c r="T248" s="287" t="s">
        <v>684</v>
      </c>
    </row>
    <row r="249" spans="2:20">
      <c r="B249" s="185" t="e">
        <f>'INFORME '!#REF!</f>
        <v>#REF!</v>
      </c>
      <c r="C249" s="186" t="e">
        <f>'INFORME '!#REF!</f>
        <v>#REF!</v>
      </c>
      <c r="D249" s="164" t="e">
        <f>'INFORME '!#REF!</f>
        <v>#REF!</v>
      </c>
      <c r="E249" s="164" t="s">
        <v>488</v>
      </c>
      <c r="F249" s="179" t="e">
        <f>'INFORME '!#REF!</f>
        <v>#REF!</v>
      </c>
      <c r="G249" s="179" t="e">
        <f>'INFORME '!#REF!</f>
        <v>#REF!</v>
      </c>
      <c r="H249" s="179" t="e">
        <f>'INFORME '!#REF!</f>
        <v>#REF!</v>
      </c>
      <c r="I249" s="187" t="e">
        <f>'INFORME '!#REF!</f>
        <v>#REF!</v>
      </c>
      <c r="J249" s="187">
        <v>59499847</v>
      </c>
      <c r="K249" s="164" t="e">
        <f>'INFORME '!#REF!</f>
        <v>#REF!</v>
      </c>
      <c r="L249" s="164" t="e">
        <f>'INFORME '!#REF!</f>
        <v>#REF!</v>
      </c>
      <c r="M249" s="157" t="s">
        <v>445</v>
      </c>
      <c r="N249" s="160">
        <v>1</v>
      </c>
      <c r="O249" s="160">
        <v>1</v>
      </c>
      <c r="P249" s="157" t="s">
        <v>538</v>
      </c>
      <c r="Q249" s="157" t="s">
        <v>505</v>
      </c>
      <c r="R249" s="160">
        <v>116.87</v>
      </c>
      <c r="S249" s="157" t="e">
        <f>'INFORME '!#REF!</f>
        <v>#REF!</v>
      </c>
      <c r="T249" s="287" t="s">
        <v>928</v>
      </c>
    </row>
    <row r="250" spans="2:20">
      <c r="B250" s="185" t="e">
        <f>'INFORME '!#REF!</f>
        <v>#REF!</v>
      </c>
      <c r="C250" s="186" t="e">
        <f>'INFORME '!#REF!</f>
        <v>#REF!</v>
      </c>
      <c r="D250" s="164" t="e">
        <f>'INFORME '!#REF!</f>
        <v>#REF!</v>
      </c>
      <c r="E250" s="164" t="s">
        <v>488</v>
      </c>
      <c r="F250" s="179" t="e">
        <f>'INFORME '!#REF!</f>
        <v>#REF!</v>
      </c>
      <c r="G250" s="179" t="e">
        <f>'INFORME '!#REF!</f>
        <v>#REF!</v>
      </c>
      <c r="H250" s="179" t="e">
        <f>'INFORME '!#REF!</f>
        <v>#REF!</v>
      </c>
      <c r="I250" s="187" t="e">
        <f>'INFORME '!#REF!</f>
        <v>#REF!</v>
      </c>
      <c r="J250" s="187">
        <v>50623424</v>
      </c>
      <c r="K250" s="164" t="e">
        <f>'INFORME '!#REF!</f>
        <v>#REF!</v>
      </c>
      <c r="L250" s="164" t="e">
        <f>'INFORME '!#REF!</f>
        <v>#REF!</v>
      </c>
      <c r="M250" s="157" t="s">
        <v>445</v>
      </c>
      <c r="N250" s="160">
        <v>1</v>
      </c>
      <c r="O250" s="160">
        <v>1</v>
      </c>
      <c r="P250" s="157" t="s">
        <v>538</v>
      </c>
      <c r="Q250" s="157" t="s">
        <v>505</v>
      </c>
      <c r="R250" s="160">
        <v>37.200000000000003</v>
      </c>
      <c r="S250" s="157" t="e">
        <f>'INFORME '!#REF!</f>
        <v>#REF!</v>
      </c>
      <c r="T250" s="287" t="s">
        <v>488</v>
      </c>
    </row>
    <row r="251" spans="2:20">
      <c r="B251" s="185" t="e">
        <f>'INFORME '!#REF!</f>
        <v>#REF!</v>
      </c>
      <c r="C251" s="186" t="e">
        <f>'INFORME '!#REF!</f>
        <v>#REF!</v>
      </c>
      <c r="D251" s="164" t="e">
        <f>'INFORME '!#REF!</f>
        <v>#REF!</v>
      </c>
      <c r="E251" s="164" t="s">
        <v>488</v>
      </c>
      <c r="F251" s="179" t="e">
        <f>'INFORME '!#REF!</f>
        <v>#REF!</v>
      </c>
      <c r="G251" s="179" t="e">
        <f>'INFORME '!#REF!</f>
        <v>#REF!</v>
      </c>
      <c r="H251" s="179" t="e">
        <f>'INFORME '!#REF!</f>
        <v>#REF!</v>
      </c>
      <c r="I251" s="187" t="e">
        <f>'INFORME '!#REF!</f>
        <v>#REF!</v>
      </c>
      <c r="J251" s="187">
        <v>47263504</v>
      </c>
      <c r="K251" s="164" t="e">
        <f>'INFORME '!#REF!</f>
        <v>#REF!</v>
      </c>
      <c r="L251" s="164" t="e">
        <f>'INFORME '!#REF!</f>
        <v>#REF!</v>
      </c>
      <c r="M251" s="157" t="s">
        <v>445</v>
      </c>
      <c r="N251" s="160">
        <v>1</v>
      </c>
      <c r="O251" s="160">
        <v>1</v>
      </c>
      <c r="P251" s="157" t="s">
        <v>538</v>
      </c>
      <c r="Q251" s="157" t="s">
        <v>505</v>
      </c>
      <c r="R251" s="160">
        <v>86.2</v>
      </c>
      <c r="S251" s="157" t="e">
        <f>'INFORME '!#REF!</f>
        <v>#REF!</v>
      </c>
      <c r="T251" s="287" t="s">
        <v>488</v>
      </c>
    </row>
    <row r="252" spans="2:20">
      <c r="B252" s="185" t="e">
        <f>'INFORME '!#REF!</f>
        <v>#REF!</v>
      </c>
      <c r="C252" s="186" t="e">
        <f>'INFORME '!#REF!</f>
        <v>#REF!</v>
      </c>
      <c r="D252" s="164" t="e">
        <f>'INFORME '!#REF!</f>
        <v>#REF!</v>
      </c>
      <c r="E252" s="164" t="s">
        <v>488</v>
      </c>
      <c r="F252" s="179" t="e">
        <f>'INFORME '!#REF!</f>
        <v>#REF!</v>
      </c>
      <c r="G252" s="179" t="e">
        <f>'INFORME '!#REF!</f>
        <v>#REF!</v>
      </c>
      <c r="H252" s="179" t="e">
        <f>'INFORME '!#REF!</f>
        <v>#REF!</v>
      </c>
      <c r="I252" s="187" t="e">
        <f>'INFORME '!#REF!</f>
        <v>#REF!</v>
      </c>
      <c r="J252" s="187">
        <v>57967071</v>
      </c>
      <c r="K252" s="164" t="e">
        <f>'INFORME '!#REF!</f>
        <v>#REF!</v>
      </c>
      <c r="L252" s="164" t="e">
        <f>'INFORME '!#REF!</f>
        <v>#REF!</v>
      </c>
      <c r="M252" s="157" t="s">
        <v>433</v>
      </c>
      <c r="N252" s="160">
        <v>1</v>
      </c>
      <c r="O252" s="160">
        <v>2</v>
      </c>
      <c r="P252" s="157" t="s">
        <v>538</v>
      </c>
      <c r="Q252" s="157" t="s">
        <v>505</v>
      </c>
      <c r="R252" s="160">
        <v>114.5</v>
      </c>
      <c r="S252" s="157" t="e">
        <f>'INFORME '!#REF!</f>
        <v>#REF!</v>
      </c>
      <c r="T252" s="287" t="s">
        <v>488</v>
      </c>
    </row>
    <row r="253" spans="2:20">
      <c r="B253" s="185" t="e">
        <f>'INFORME '!#REF!</f>
        <v>#REF!</v>
      </c>
      <c r="C253" s="186" t="e">
        <f>'INFORME '!#REF!</f>
        <v>#REF!</v>
      </c>
      <c r="D253" s="164" t="e">
        <f>'INFORME '!#REF!</f>
        <v>#REF!</v>
      </c>
      <c r="E253" s="164" t="s">
        <v>488</v>
      </c>
      <c r="F253" s="179" t="e">
        <f>'INFORME '!#REF!</f>
        <v>#REF!</v>
      </c>
      <c r="G253" s="179" t="e">
        <f>'INFORME '!#REF!</f>
        <v>#REF!</v>
      </c>
      <c r="H253" s="179" t="e">
        <f>'INFORME '!#REF!</f>
        <v>#REF!</v>
      </c>
      <c r="I253" s="187" t="e">
        <f>'INFORME '!#REF!</f>
        <v>#REF!</v>
      </c>
      <c r="J253" s="187">
        <v>43782866</v>
      </c>
      <c r="K253" s="164" t="e">
        <f>'INFORME '!#REF!</f>
        <v>#REF!</v>
      </c>
      <c r="L253" s="164" t="e">
        <f>'INFORME '!#REF!</f>
        <v>#REF!</v>
      </c>
      <c r="M253" s="157" t="s">
        <v>445</v>
      </c>
      <c r="N253" s="160">
        <v>1</v>
      </c>
      <c r="O253" s="160">
        <v>1</v>
      </c>
      <c r="P253" s="157" t="s">
        <v>769</v>
      </c>
      <c r="Q253" s="157" t="s">
        <v>505</v>
      </c>
      <c r="R253" s="160">
        <v>55.67</v>
      </c>
      <c r="S253" s="157" t="e">
        <f>'INFORME '!#REF!</f>
        <v>#REF!</v>
      </c>
      <c r="T253" s="287" t="s">
        <v>488</v>
      </c>
    </row>
    <row r="254" spans="2:20">
      <c r="B254" s="185" t="e">
        <f>'INFORME '!#REF!</f>
        <v>#REF!</v>
      </c>
      <c r="C254" s="186" t="e">
        <f>'INFORME '!#REF!</f>
        <v>#REF!</v>
      </c>
      <c r="D254" s="164" t="e">
        <f>'INFORME '!#REF!</f>
        <v>#REF!</v>
      </c>
      <c r="E254" s="164" t="s">
        <v>488</v>
      </c>
      <c r="F254" s="179" t="e">
        <f>'INFORME '!#REF!</f>
        <v>#REF!</v>
      </c>
      <c r="G254" s="179" t="e">
        <f>'INFORME '!#REF!</f>
        <v>#REF!</v>
      </c>
      <c r="H254" s="179" t="e">
        <f>'INFORME '!#REF!</f>
        <v>#REF!</v>
      </c>
      <c r="I254" s="187" t="e">
        <f>'INFORME '!#REF!</f>
        <v>#REF!</v>
      </c>
      <c r="J254" s="187">
        <v>56319413</v>
      </c>
      <c r="K254" s="164" t="e">
        <f>'INFORME '!#REF!</f>
        <v>#REF!</v>
      </c>
      <c r="L254" s="164" t="e">
        <f>'INFORME '!#REF!</f>
        <v>#REF!</v>
      </c>
      <c r="M254" s="157" t="s">
        <v>433</v>
      </c>
      <c r="N254" s="160">
        <v>1</v>
      </c>
      <c r="O254" s="160">
        <v>3</v>
      </c>
      <c r="P254" s="157" t="s">
        <v>538</v>
      </c>
      <c r="Q254" s="157" t="s">
        <v>505</v>
      </c>
      <c r="R254" s="160">
        <v>137.21</v>
      </c>
      <c r="S254" s="157" t="e">
        <f>'INFORME '!#REF!</f>
        <v>#REF!</v>
      </c>
      <c r="T254" s="287" t="s">
        <v>488</v>
      </c>
    </row>
    <row r="255" spans="2:20" ht="30">
      <c r="B255" s="185" t="e">
        <f>'INFORME '!#REF!</f>
        <v>#REF!</v>
      </c>
      <c r="C255" s="186" t="e">
        <f>'INFORME '!#REF!</f>
        <v>#REF!</v>
      </c>
      <c r="D255" s="164" t="e">
        <f>'INFORME '!#REF!</f>
        <v>#REF!</v>
      </c>
      <c r="E255" s="164" t="s">
        <v>488</v>
      </c>
      <c r="F255" s="179" t="e">
        <f>'INFORME '!#REF!</f>
        <v>#REF!</v>
      </c>
      <c r="G255" s="179" t="e">
        <f>'INFORME '!#REF!</f>
        <v>#REF!</v>
      </c>
      <c r="H255" s="179" t="e">
        <f>'INFORME '!#REF!</f>
        <v>#REF!</v>
      </c>
      <c r="I255" s="187" t="e">
        <f>'INFORME '!#REF!</f>
        <v>#REF!</v>
      </c>
      <c r="J255" s="187">
        <v>46347654</v>
      </c>
      <c r="K255" s="164" t="e">
        <f>'INFORME '!#REF!</f>
        <v>#REF!</v>
      </c>
      <c r="L255" s="164" t="e">
        <f>'INFORME '!#REF!</f>
        <v>#REF!</v>
      </c>
      <c r="M255" s="157" t="s">
        <v>942</v>
      </c>
      <c r="N255" s="160">
        <v>0</v>
      </c>
      <c r="O255" s="160">
        <v>1</v>
      </c>
      <c r="P255" s="157" t="s">
        <v>489</v>
      </c>
      <c r="Q255" s="157"/>
      <c r="R255" s="160" t="s">
        <v>941</v>
      </c>
      <c r="S255" s="157" t="e">
        <f>'INFORME '!#REF!</f>
        <v>#REF!</v>
      </c>
      <c r="T255" s="287" t="s">
        <v>940</v>
      </c>
    </row>
    <row r="256" spans="2:20">
      <c r="B256" s="185" t="e">
        <f>'INFORME '!#REF!</f>
        <v>#REF!</v>
      </c>
      <c r="C256" s="186" t="e">
        <f>'INFORME '!#REF!</f>
        <v>#REF!</v>
      </c>
      <c r="D256" s="164" t="e">
        <f>'INFORME '!#REF!</f>
        <v>#REF!</v>
      </c>
      <c r="E256" s="164" t="s">
        <v>488</v>
      </c>
      <c r="F256" s="179" t="e">
        <f>'INFORME '!#REF!</f>
        <v>#REF!</v>
      </c>
      <c r="G256" s="179" t="e">
        <f>'INFORME '!#REF!</f>
        <v>#REF!</v>
      </c>
      <c r="H256" s="179" t="e">
        <f>'INFORME '!#REF!</f>
        <v>#REF!</v>
      </c>
      <c r="I256" s="187" t="e">
        <f>'INFORME '!#REF!</f>
        <v>#REF!</v>
      </c>
      <c r="J256" s="187">
        <v>55975682</v>
      </c>
      <c r="K256" s="164" t="e">
        <f>'INFORME '!#REF!</f>
        <v>#REF!</v>
      </c>
      <c r="L256" s="164" t="e">
        <f>'INFORME '!#REF!</f>
        <v>#REF!</v>
      </c>
      <c r="M256" s="157" t="s">
        <v>943</v>
      </c>
      <c r="N256" s="160">
        <v>0</v>
      </c>
      <c r="O256" s="160">
        <v>1</v>
      </c>
      <c r="P256" s="157" t="s">
        <v>489</v>
      </c>
      <c r="Q256" s="157"/>
      <c r="R256" s="160">
        <v>110.01</v>
      </c>
      <c r="S256" s="157" t="e">
        <f>'INFORME '!#REF!</f>
        <v>#REF!</v>
      </c>
      <c r="T256" s="287" t="s">
        <v>940</v>
      </c>
    </row>
    <row r="257" spans="2:20">
      <c r="B257" s="185" t="e">
        <f>'INFORME '!#REF!</f>
        <v>#REF!</v>
      </c>
      <c r="C257" s="186" t="e">
        <f>'INFORME '!#REF!</f>
        <v>#REF!</v>
      </c>
      <c r="D257" s="164" t="e">
        <f>'INFORME '!#REF!</f>
        <v>#REF!</v>
      </c>
      <c r="E257" s="164" t="s">
        <v>488</v>
      </c>
      <c r="F257" s="179" t="e">
        <f>'INFORME '!#REF!</f>
        <v>#REF!</v>
      </c>
      <c r="G257" s="179" t="e">
        <f>'INFORME '!#REF!</f>
        <v>#REF!</v>
      </c>
      <c r="H257" s="179" t="e">
        <f>'INFORME '!#REF!</f>
        <v>#REF!</v>
      </c>
      <c r="I257" s="187" t="e">
        <f>'INFORME '!#REF!</f>
        <v>#REF!</v>
      </c>
      <c r="J257" s="187">
        <v>55864910</v>
      </c>
      <c r="K257" s="164" t="e">
        <f>'INFORME '!#REF!</f>
        <v>#REF!</v>
      </c>
      <c r="L257" s="164" t="e">
        <f>'INFORME '!#REF!</f>
        <v>#REF!</v>
      </c>
      <c r="M257" s="157" t="s">
        <v>943</v>
      </c>
      <c r="N257" s="160">
        <v>0</v>
      </c>
      <c r="O257" s="160">
        <v>1</v>
      </c>
      <c r="P257" s="157" t="s">
        <v>489</v>
      </c>
      <c r="Q257" s="157"/>
      <c r="R257" s="160" t="s">
        <v>946</v>
      </c>
      <c r="S257" s="157" t="e">
        <f>'INFORME '!#REF!</f>
        <v>#REF!</v>
      </c>
      <c r="T257" s="287" t="s">
        <v>940</v>
      </c>
    </row>
    <row r="258" spans="2:20">
      <c r="B258" s="185" t="e">
        <f>'INFORME '!#REF!</f>
        <v>#REF!</v>
      </c>
      <c r="C258" s="186" t="e">
        <f>'INFORME '!#REF!</f>
        <v>#REF!</v>
      </c>
      <c r="D258" s="164" t="e">
        <f>'INFORME '!#REF!</f>
        <v>#REF!</v>
      </c>
      <c r="E258" s="164" t="s">
        <v>488</v>
      </c>
      <c r="F258" s="179" t="e">
        <f>'INFORME '!#REF!</f>
        <v>#REF!</v>
      </c>
      <c r="G258" s="179" t="e">
        <f>'INFORME '!#REF!</f>
        <v>#REF!</v>
      </c>
      <c r="H258" s="179" t="e">
        <f>'INFORME '!#REF!</f>
        <v>#REF!</v>
      </c>
      <c r="I258" s="187" t="e">
        <f>'INFORME '!#REF!</f>
        <v>#REF!</v>
      </c>
      <c r="J258" s="187">
        <v>58171551</v>
      </c>
      <c r="K258" s="164" t="e">
        <f>'INFORME '!#REF!</f>
        <v>#REF!</v>
      </c>
      <c r="L258" s="164" t="e">
        <f>'INFORME '!#REF!</f>
        <v>#REF!</v>
      </c>
      <c r="M258" s="157" t="s">
        <v>944</v>
      </c>
      <c r="N258" s="160">
        <v>0</v>
      </c>
      <c r="O258" s="160">
        <v>1</v>
      </c>
      <c r="P258" s="157" t="s">
        <v>489</v>
      </c>
      <c r="Q258" s="157"/>
      <c r="R258" s="160" t="s">
        <v>945</v>
      </c>
      <c r="S258" s="157" t="e">
        <f>'INFORME '!#REF!</f>
        <v>#REF!</v>
      </c>
      <c r="T258" s="287" t="s">
        <v>940</v>
      </c>
    </row>
    <row r="259" spans="2:20">
      <c r="B259" s="185" t="e">
        <f>'INFORME '!#REF!</f>
        <v>#REF!</v>
      </c>
      <c r="C259" s="186" t="e">
        <f>'INFORME '!#REF!</f>
        <v>#REF!</v>
      </c>
      <c r="D259" s="164" t="e">
        <f>'INFORME '!#REF!</f>
        <v>#REF!</v>
      </c>
      <c r="E259" s="164" t="s">
        <v>488</v>
      </c>
      <c r="F259" s="179" t="e">
        <f>'INFORME '!#REF!</f>
        <v>#REF!</v>
      </c>
      <c r="G259" s="179" t="e">
        <f>'INFORME '!#REF!</f>
        <v>#REF!</v>
      </c>
      <c r="H259" s="179" t="e">
        <f>'INFORME '!#REF!</f>
        <v>#REF!</v>
      </c>
      <c r="I259" s="187" t="e">
        <f>'INFORME '!#REF!</f>
        <v>#REF!</v>
      </c>
      <c r="J259" s="187">
        <v>30380122</v>
      </c>
      <c r="K259" s="164" t="e">
        <f>'INFORME '!#REF!</f>
        <v>#REF!</v>
      </c>
      <c r="L259" s="164" t="e">
        <f>'INFORME '!#REF!</f>
        <v>#REF!</v>
      </c>
      <c r="M259" s="157" t="s">
        <v>433</v>
      </c>
      <c r="N259" s="160">
        <v>1</v>
      </c>
      <c r="O259" s="160">
        <v>2</v>
      </c>
      <c r="P259" s="157" t="s">
        <v>538</v>
      </c>
      <c r="Q259" s="157" t="s">
        <v>505</v>
      </c>
      <c r="R259" s="160">
        <v>170.62</v>
      </c>
      <c r="S259" s="157" t="e">
        <f>'INFORME '!#REF!</f>
        <v>#REF!</v>
      </c>
      <c r="T259" s="287" t="s">
        <v>488</v>
      </c>
    </row>
    <row r="260" spans="2:20">
      <c r="B260" s="185" t="e">
        <f>'INFORME '!#REF!</f>
        <v>#REF!</v>
      </c>
      <c r="C260" s="186" t="e">
        <f>'INFORME '!#REF!</f>
        <v>#REF!</v>
      </c>
      <c r="D260" s="164" t="e">
        <f>'INFORME '!#REF!</f>
        <v>#REF!</v>
      </c>
      <c r="E260" s="164" t="s">
        <v>488</v>
      </c>
      <c r="F260" s="179" t="e">
        <f>'INFORME '!#REF!</f>
        <v>#REF!</v>
      </c>
      <c r="G260" s="179" t="e">
        <f>'INFORME '!#REF!</f>
        <v>#REF!</v>
      </c>
      <c r="H260" s="179" t="e">
        <f>'INFORME '!#REF!</f>
        <v>#REF!</v>
      </c>
      <c r="I260" s="187" t="e">
        <f>'INFORME '!#REF!</f>
        <v>#REF!</v>
      </c>
      <c r="J260" s="187">
        <v>45164666</v>
      </c>
      <c r="K260" s="164" t="e">
        <f>'INFORME '!#REF!</f>
        <v>#REF!</v>
      </c>
      <c r="L260" s="164" t="e">
        <f>'INFORME '!#REF!</f>
        <v>#REF!</v>
      </c>
      <c r="M260" s="157" t="s">
        <v>433</v>
      </c>
      <c r="N260" s="160">
        <v>1</v>
      </c>
      <c r="O260" s="160">
        <v>2</v>
      </c>
      <c r="P260" s="157" t="s">
        <v>538</v>
      </c>
      <c r="Q260" s="157" t="s">
        <v>505</v>
      </c>
      <c r="R260" s="160">
        <v>258.26</v>
      </c>
      <c r="S260" s="157" t="e">
        <f>'INFORME '!#REF!</f>
        <v>#REF!</v>
      </c>
      <c r="T260" s="287" t="s">
        <v>488</v>
      </c>
    </row>
    <row r="261" spans="2:20" ht="30">
      <c r="B261" s="185" t="e">
        <f>'INFORME '!#REF!</f>
        <v>#REF!</v>
      </c>
      <c r="C261" s="186" t="e">
        <f>'INFORME '!#REF!</f>
        <v>#REF!</v>
      </c>
      <c r="D261" s="164" t="e">
        <f>'INFORME '!#REF!</f>
        <v>#REF!</v>
      </c>
      <c r="E261" s="164" t="s">
        <v>488</v>
      </c>
      <c r="F261" s="179" t="e">
        <f>'INFORME '!#REF!</f>
        <v>#REF!</v>
      </c>
      <c r="G261" s="179" t="e">
        <f>'INFORME '!#REF!</f>
        <v>#REF!</v>
      </c>
      <c r="H261" s="179" t="e">
        <f>'INFORME '!#REF!</f>
        <v>#REF!</v>
      </c>
      <c r="I261" s="187" t="e">
        <f>'INFORME '!#REF!</f>
        <v>#REF!</v>
      </c>
      <c r="J261" s="187">
        <v>51330064</v>
      </c>
      <c r="K261" s="164" t="e">
        <f>'INFORME '!#REF!</f>
        <v>#REF!</v>
      </c>
      <c r="L261" s="164" t="e">
        <f>'INFORME '!#REF!</f>
        <v>#REF!</v>
      </c>
      <c r="M261" s="157" t="s">
        <v>638</v>
      </c>
      <c r="N261" s="160" t="s">
        <v>768</v>
      </c>
      <c r="O261" s="160">
        <v>2</v>
      </c>
      <c r="P261" s="157" t="s">
        <v>769</v>
      </c>
      <c r="Q261" s="157" t="s">
        <v>505</v>
      </c>
      <c r="R261" s="160">
        <v>79.78</v>
      </c>
      <c r="S261" s="157" t="e">
        <f>'INFORME '!#REF!</f>
        <v>#REF!</v>
      </c>
      <c r="T261" s="287" t="s">
        <v>852</v>
      </c>
    </row>
    <row r="262" spans="2:20" ht="30">
      <c r="B262" s="185" t="e">
        <f>'INFORME '!#REF!</f>
        <v>#REF!</v>
      </c>
      <c r="C262" s="186" t="e">
        <f>'INFORME '!#REF!</f>
        <v>#REF!</v>
      </c>
      <c r="D262" s="164" t="e">
        <f>'INFORME '!#REF!</f>
        <v>#REF!</v>
      </c>
      <c r="E262" s="164" t="s">
        <v>488</v>
      </c>
      <c r="F262" s="179" t="e">
        <f>'INFORME '!#REF!</f>
        <v>#REF!</v>
      </c>
      <c r="G262" s="179" t="e">
        <f>'INFORME '!#REF!</f>
        <v>#REF!</v>
      </c>
      <c r="H262" s="179" t="e">
        <f>'INFORME '!#REF!</f>
        <v>#REF!</v>
      </c>
      <c r="I262" s="187" t="e">
        <f>'INFORME '!#REF!</f>
        <v>#REF!</v>
      </c>
      <c r="J262" s="187">
        <v>40109366</v>
      </c>
      <c r="K262" s="164" t="e">
        <f>'INFORME '!#REF!</f>
        <v>#REF!</v>
      </c>
      <c r="L262" s="164" t="e">
        <f>'INFORME '!#REF!</f>
        <v>#REF!</v>
      </c>
      <c r="M262" s="157" t="s">
        <v>950</v>
      </c>
      <c r="N262" s="160">
        <v>2</v>
      </c>
      <c r="O262" s="160">
        <v>2</v>
      </c>
      <c r="P262" s="157" t="s">
        <v>538</v>
      </c>
      <c r="Q262" s="157" t="s">
        <v>951</v>
      </c>
      <c r="R262" s="160">
        <v>117.75</v>
      </c>
      <c r="S262" s="157" t="e">
        <f>'INFORME '!#REF!</f>
        <v>#REF!</v>
      </c>
      <c r="T262" s="287" t="s">
        <v>488</v>
      </c>
    </row>
    <row r="263" spans="2:20">
      <c r="B263" s="185" t="e">
        <f>'INFORME '!#REF!</f>
        <v>#REF!</v>
      </c>
      <c r="C263" s="186" t="e">
        <f>'INFORME '!#REF!</f>
        <v>#REF!</v>
      </c>
      <c r="D263" s="164" t="e">
        <f>'INFORME '!#REF!</f>
        <v>#REF!</v>
      </c>
      <c r="E263" s="164" t="s">
        <v>488</v>
      </c>
      <c r="F263" s="179" t="e">
        <f>'INFORME '!#REF!</f>
        <v>#REF!</v>
      </c>
      <c r="G263" s="179" t="e">
        <f>'INFORME '!#REF!</f>
        <v>#REF!</v>
      </c>
      <c r="H263" s="179" t="e">
        <f>'INFORME '!#REF!</f>
        <v>#REF!</v>
      </c>
      <c r="I263" s="187" t="e">
        <f>'INFORME '!#REF!</f>
        <v>#REF!</v>
      </c>
      <c r="J263" s="187">
        <v>44316388</v>
      </c>
      <c r="K263" s="164" t="e">
        <f>'INFORME '!#REF!</f>
        <v>#REF!</v>
      </c>
      <c r="L263" s="164" t="e">
        <f>'INFORME '!#REF!</f>
        <v>#REF!</v>
      </c>
      <c r="M263" s="157" t="s">
        <v>433</v>
      </c>
      <c r="N263" s="160">
        <v>1</v>
      </c>
      <c r="O263" s="160">
        <v>2</v>
      </c>
      <c r="P263" s="157" t="s">
        <v>769</v>
      </c>
      <c r="Q263" s="157" t="s">
        <v>505</v>
      </c>
      <c r="R263" s="160">
        <v>216.71</v>
      </c>
      <c r="S263" s="157" t="e">
        <f>'INFORME '!#REF!</f>
        <v>#REF!</v>
      </c>
      <c r="T263" s="287" t="s">
        <v>488</v>
      </c>
    </row>
    <row r="264" spans="2:20" ht="30">
      <c r="B264" s="185" t="e">
        <f>'INFORME '!#REF!</f>
        <v>#REF!</v>
      </c>
      <c r="C264" s="186" t="e">
        <f>'INFORME '!#REF!</f>
        <v>#REF!</v>
      </c>
      <c r="D264" s="164" t="e">
        <f>'INFORME '!#REF!</f>
        <v>#REF!</v>
      </c>
      <c r="E264" s="164" t="s">
        <v>488</v>
      </c>
      <c r="F264" s="179" t="e">
        <f>'INFORME '!#REF!</f>
        <v>#REF!</v>
      </c>
      <c r="G264" s="179" t="e">
        <f>'INFORME '!#REF!</f>
        <v>#REF!</v>
      </c>
      <c r="H264" s="179" t="e">
        <f>'INFORME '!#REF!</f>
        <v>#REF!</v>
      </c>
      <c r="I264" s="187" t="e">
        <f>'INFORME '!#REF!</f>
        <v>#REF!</v>
      </c>
      <c r="J264" s="187" t="s">
        <v>29</v>
      </c>
      <c r="K264" s="164" t="e">
        <f>'INFORME '!#REF!</f>
        <v>#REF!</v>
      </c>
      <c r="L264" s="164" t="e">
        <f>'INFORME '!#REF!</f>
        <v>#REF!</v>
      </c>
      <c r="M264" s="157"/>
      <c r="N264" s="160"/>
      <c r="O264" s="160"/>
      <c r="P264" s="157"/>
      <c r="Q264" s="157"/>
      <c r="R264" s="160"/>
      <c r="S264" s="157" t="e">
        <f>'INFORME '!#REF!</f>
        <v>#REF!</v>
      </c>
      <c r="T264" s="287" t="s">
        <v>956</v>
      </c>
    </row>
    <row r="265" spans="2:20">
      <c r="B265" s="185" t="e">
        <f>'INFORME '!#REF!</f>
        <v>#REF!</v>
      </c>
      <c r="C265" s="186" t="e">
        <f>'INFORME '!#REF!</f>
        <v>#REF!</v>
      </c>
      <c r="D265" s="164" t="e">
        <f>'INFORME '!#REF!</f>
        <v>#REF!</v>
      </c>
      <c r="E265" s="164" t="s">
        <v>488</v>
      </c>
      <c r="F265" s="179" t="e">
        <f>'INFORME '!#REF!</f>
        <v>#REF!</v>
      </c>
      <c r="G265" s="179" t="e">
        <f>'INFORME '!#REF!</f>
        <v>#REF!</v>
      </c>
      <c r="H265" s="179" t="e">
        <f>'INFORME '!#REF!</f>
        <v>#REF!</v>
      </c>
      <c r="I265" s="187" t="e">
        <f>'INFORME '!#REF!</f>
        <v>#REF!</v>
      </c>
      <c r="J265" s="187">
        <v>57335926</v>
      </c>
      <c r="K265" s="164" t="e">
        <f>'INFORME '!#REF!</f>
        <v>#REF!</v>
      </c>
      <c r="L265" s="164" t="e">
        <f>'INFORME '!#REF!</f>
        <v>#REF!</v>
      </c>
      <c r="M265" s="157"/>
      <c r="N265" s="160"/>
      <c r="O265" s="160"/>
      <c r="P265" s="157"/>
      <c r="Q265" s="157"/>
      <c r="R265" s="160"/>
      <c r="S265" s="157" t="e">
        <f>'INFORME '!#REF!</f>
        <v>#REF!</v>
      </c>
      <c r="T265" s="287" t="s">
        <v>959</v>
      </c>
    </row>
    <row r="266" spans="2:20">
      <c r="B266" s="185" t="e">
        <f>'INFORME '!#REF!</f>
        <v>#REF!</v>
      </c>
      <c r="C266" s="186" t="e">
        <f>'INFORME '!#REF!</f>
        <v>#REF!</v>
      </c>
      <c r="D266" s="164" t="e">
        <f>'INFORME '!#REF!</f>
        <v>#REF!</v>
      </c>
      <c r="E266" s="164" t="s">
        <v>488</v>
      </c>
      <c r="F266" s="179" t="e">
        <f>'INFORME '!#REF!</f>
        <v>#REF!</v>
      </c>
      <c r="G266" s="179" t="e">
        <f>'INFORME '!#REF!</f>
        <v>#REF!</v>
      </c>
      <c r="H266" s="179" t="e">
        <f>'INFORME '!#REF!</f>
        <v>#REF!</v>
      </c>
      <c r="I266" s="187" t="e">
        <f>'INFORME '!#REF!</f>
        <v>#REF!</v>
      </c>
      <c r="J266" s="187">
        <v>51376198</v>
      </c>
      <c r="K266" s="164" t="e">
        <f>'INFORME '!#REF!</f>
        <v>#REF!</v>
      </c>
      <c r="L266" s="164" t="e">
        <f>'INFORME '!#REF!</f>
        <v>#REF!</v>
      </c>
      <c r="M266" s="157" t="s">
        <v>433</v>
      </c>
      <c r="N266" s="160">
        <v>1</v>
      </c>
      <c r="O266" s="160">
        <v>2</v>
      </c>
      <c r="P266" s="157" t="s">
        <v>489</v>
      </c>
      <c r="Q266" s="157" t="s">
        <v>505</v>
      </c>
      <c r="R266" s="160">
        <v>160.44999999999999</v>
      </c>
      <c r="S266" s="157" t="e">
        <f>'INFORME '!#REF!</f>
        <v>#REF!</v>
      </c>
      <c r="T266" s="287" t="s">
        <v>488</v>
      </c>
    </row>
    <row r="267" spans="2:20" ht="30">
      <c r="B267" s="185" t="e">
        <f>'INFORME '!#REF!</f>
        <v>#REF!</v>
      </c>
      <c r="C267" s="186" t="e">
        <f>'INFORME '!#REF!</f>
        <v>#REF!</v>
      </c>
      <c r="D267" s="164" t="e">
        <f>'INFORME '!#REF!</f>
        <v>#REF!</v>
      </c>
      <c r="E267" s="164" t="s">
        <v>488</v>
      </c>
      <c r="F267" s="179" t="e">
        <f>'INFORME '!#REF!</f>
        <v>#REF!</v>
      </c>
      <c r="G267" s="179" t="e">
        <f>'INFORME '!#REF!</f>
        <v>#REF!</v>
      </c>
      <c r="H267" s="179" t="e">
        <f>'INFORME '!#REF!</f>
        <v>#REF!</v>
      </c>
      <c r="I267" s="187" t="e">
        <f>'INFORME '!#REF!</f>
        <v>#REF!</v>
      </c>
      <c r="J267" s="187">
        <v>53532565</v>
      </c>
      <c r="K267" s="164" t="e">
        <f>'INFORME '!#REF!</f>
        <v>#REF!</v>
      </c>
      <c r="L267" s="164" t="e">
        <f>'INFORME '!#REF!</f>
        <v>#REF!</v>
      </c>
      <c r="M267" s="157" t="s">
        <v>433</v>
      </c>
      <c r="N267" s="160" t="s">
        <v>967</v>
      </c>
      <c r="O267" s="160">
        <v>2</v>
      </c>
      <c r="P267" s="157" t="s">
        <v>968</v>
      </c>
      <c r="Q267" s="157" t="s">
        <v>505</v>
      </c>
      <c r="R267" s="160" t="s">
        <v>969</v>
      </c>
      <c r="S267" s="157" t="e">
        <f>'INFORME '!#REF!</f>
        <v>#REF!</v>
      </c>
      <c r="T267" s="287" t="s">
        <v>970</v>
      </c>
    </row>
    <row r="268" spans="2:20" ht="30">
      <c r="B268" s="185" t="e">
        <f>'INFORME '!#REF!</f>
        <v>#REF!</v>
      </c>
      <c r="C268" s="186" t="e">
        <f>'INFORME '!#REF!</f>
        <v>#REF!</v>
      </c>
      <c r="D268" s="164" t="e">
        <f>'INFORME '!#REF!</f>
        <v>#REF!</v>
      </c>
      <c r="E268" s="164" t="s">
        <v>488</v>
      </c>
      <c r="F268" s="179" t="e">
        <f>'INFORME '!#REF!</f>
        <v>#REF!</v>
      </c>
      <c r="G268" s="179" t="e">
        <f>'INFORME '!#REF!</f>
        <v>#REF!</v>
      </c>
      <c r="H268" s="179" t="e">
        <f>'INFORME '!#REF!</f>
        <v>#REF!</v>
      </c>
      <c r="I268" s="187" t="e">
        <f>'INFORME '!#REF!</f>
        <v>#REF!</v>
      </c>
      <c r="J268" s="187">
        <v>55541081</v>
      </c>
      <c r="K268" s="164" t="e">
        <f>'INFORME '!#REF!</f>
        <v>#REF!</v>
      </c>
      <c r="L268" s="164" t="e">
        <f>'INFORME '!#REF!</f>
        <v>#REF!</v>
      </c>
      <c r="M268" s="157" t="s">
        <v>979</v>
      </c>
      <c r="N268" s="160" t="s">
        <v>29</v>
      </c>
      <c r="O268" s="160">
        <v>1</v>
      </c>
      <c r="P268" s="157" t="s">
        <v>538</v>
      </c>
      <c r="Q268" s="157" t="s">
        <v>505</v>
      </c>
      <c r="R268" s="160">
        <v>42.32</v>
      </c>
      <c r="S268" s="157" t="e">
        <f>'INFORME '!#REF!</f>
        <v>#REF!</v>
      </c>
      <c r="T268" s="287" t="s">
        <v>488</v>
      </c>
    </row>
    <row r="269" spans="2:20">
      <c r="B269" s="185" t="e">
        <f>'INFORME '!#REF!</f>
        <v>#REF!</v>
      </c>
      <c r="C269" s="186" t="e">
        <f>'INFORME '!#REF!</f>
        <v>#REF!</v>
      </c>
      <c r="D269" s="164" t="e">
        <f>'INFORME '!#REF!</f>
        <v>#REF!</v>
      </c>
      <c r="E269" s="164" t="s">
        <v>488</v>
      </c>
      <c r="F269" s="179" t="e">
        <f>'INFORME '!#REF!</f>
        <v>#REF!</v>
      </c>
      <c r="G269" s="179" t="e">
        <f>'INFORME '!#REF!</f>
        <v>#REF!</v>
      </c>
      <c r="H269" s="179" t="e">
        <f>'INFORME '!#REF!</f>
        <v>#REF!</v>
      </c>
      <c r="I269" s="187" t="e">
        <f>'INFORME '!#REF!</f>
        <v>#REF!</v>
      </c>
      <c r="J269" s="187">
        <v>55373900</v>
      </c>
      <c r="K269" s="164" t="e">
        <f>'INFORME '!#REF!</f>
        <v>#REF!</v>
      </c>
      <c r="L269" s="164" t="e">
        <f>'INFORME '!#REF!</f>
        <v>#REF!</v>
      </c>
      <c r="M269" s="157"/>
      <c r="N269" s="160"/>
      <c r="O269" s="160"/>
      <c r="P269" s="157"/>
      <c r="Q269" s="157"/>
      <c r="R269" s="160"/>
      <c r="S269" s="157" t="e">
        <f>'INFORME '!#REF!</f>
        <v>#REF!</v>
      </c>
      <c r="T269" s="287" t="s">
        <v>980</v>
      </c>
    </row>
    <row r="270" spans="2:20">
      <c r="B270" s="185" t="e">
        <f>'INFORME '!#REF!</f>
        <v>#REF!</v>
      </c>
      <c r="C270" s="186" t="e">
        <f>'INFORME '!#REF!</f>
        <v>#REF!</v>
      </c>
      <c r="D270" s="164" t="e">
        <f>'INFORME '!#REF!</f>
        <v>#REF!</v>
      </c>
      <c r="E270" s="164" t="s">
        <v>488</v>
      </c>
      <c r="F270" s="179" t="e">
        <f>'INFORME '!#REF!</f>
        <v>#REF!</v>
      </c>
      <c r="G270" s="179" t="e">
        <f>'INFORME '!#REF!</f>
        <v>#REF!</v>
      </c>
      <c r="H270" s="179" t="e">
        <f>'INFORME '!#REF!</f>
        <v>#REF!</v>
      </c>
      <c r="I270" s="187" t="e">
        <f>'INFORME '!#REF!</f>
        <v>#REF!</v>
      </c>
      <c r="J270" s="187">
        <v>59367074</v>
      </c>
      <c r="K270" s="164" t="e">
        <f>'INFORME '!#REF!</f>
        <v>#REF!</v>
      </c>
      <c r="L270" s="164" t="e">
        <f>'INFORME '!#REF!</f>
        <v>#REF!</v>
      </c>
      <c r="M270" s="157" t="s">
        <v>985</v>
      </c>
      <c r="N270" s="160">
        <v>0</v>
      </c>
      <c r="O270" s="160">
        <v>1</v>
      </c>
      <c r="P270" s="157" t="s">
        <v>489</v>
      </c>
      <c r="Q270" s="157" t="s">
        <v>702</v>
      </c>
      <c r="R270" s="160" t="s">
        <v>986</v>
      </c>
      <c r="S270" s="157" t="e">
        <f>'INFORME '!#REF!</f>
        <v>#REF!</v>
      </c>
      <c r="T270" s="287" t="s">
        <v>488</v>
      </c>
    </row>
    <row r="271" spans="2:20">
      <c r="B271" s="185" t="e">
        <f>'INFORME '!#REF!</f>
        <v>#REF!</v>
      </c>
      <c r="C271" s="186" t="e">
        <f>'INFORME '!#REF!</f>
        <v>#REF!</v>
      </c>
      <c r="D271" s="164" t="e">
        <f>'INFORME '!#REF!</f>
        <v>#REF!</v>
      </c>
      <c r="E271" s="164" t="s">
        <v>488</v>
      </c>
      <c r="F271" s="179" t="e">
        <f>'INFORME '!#REF!</f>
        <v>#REF!</v>
      </c>
      <c r="G271" s="179" t="e">
        <f>'INFORME '!#REF!</f>
        <v>#REF!</v>
      </c>
      <c r="H271" s="179" t="e">
        <f>'INFORME '!#REF!</f>
        <v>#REF!</v>
      </c>
      <c r="I271" s="187" t="e">
        <f>'INFORME '!#REF!</f>
        <v>#REF!</v>
      </c>
      <c r="J271" s="187">
        <v>56309440</v>
      </c>
      <c r="K271" s="164" t="e">
        <f>'INFORME '!#REF!</f>
        <v>#REF!</v>
      </c>
      <c r="L271" s="164" t="e">
        <f>'INFORME '!#REF!</f>
        <v>#REF!</v>
      </c>
      <c r="M271" s="157" t="s">
        <v>958</v>
      </c>
      <c r="N271" s="160">
        <v>1</v>
      </c>
      <c r="O271" s="160">
        <v>1</v>
      </c>
      <c r="P271" s="157" t="s">
        <v>988</v>
      </c>
      <c r="Q271" s="157" t="s">
        <v>504</v>
      </c>
      <c r="R271" s="160">
        <v>106.72</v>
      </c>
      <c r="S271" s="157" t="e">
        <f>'INFORME '!#REF!</f>
        <v>#REF!</v>
      </c>
      <c r="T271" s="287" t="s">
        <v>488</v>
      </c>
    </row>
    <row r="272" spans="2:20">
      <c r="B272" s="185" t="e">
        <f>'INFORME '!#REF!</f>
        <v>#REF!</v>
      </c>
      <c r="C272" s="186" t="e">
        <f>'INFORME '!#REF!</f>
        <v>#REF!</v>
      </c>
      <c r="D272" s="164" t="e">
        <f>'INFORME '!#REF!</f>
        <v>#REF!</v>
      </c>
      <c r="E272" s="164" t="s">
        <v>488</v>
      </c>
      <c r="F272" s="179" t="e">
        <f>'INFORME '!#REF!</f>
        <v>#REF!</v>
      </c>
      <c r="G272" s="179" t="e">
        <f>'INFORME '!#REF!</f>
        <v>#REF!</v>
      </c>
      <c r="H272" s="179" t="e">
        <f>'INFORME '!#REF!</f>
        <v>#REF!</v>
      </c>
      <c r="I272" s="187" t="e">
        <f>'INFORME '!#REF!</f>
        <v>#REF!</v>
      </c>
      <c r="J272" s="187">
        <v>55113029</v>
      </c>
      <c r="K272" s="164" t="e">
        <f>'INFORME '!#REF!</f>
        <v>#REF!</v>
      </c>
      <c r="L272" s="164" t="e">
        <f>'INFORME '!#REF!</f>
        <v>#REF!</v>
      </c>
      <c r="M272" s="157" t="s">
        <v>990</v>
      </c>
      <c r="N272" s="160">
        <v>0</v>
      </c>
      <c r="O272" s="160">
        <v>1</v>
      </c>
      <c r="P272" s="157" t="s">
        <v>538</v>
      </c>
      <c r="Q272" s="157" t="s">
        <v>835</v>
      </c>
      <c r="R272" s="160">
        <v>39.619999999999997</v>
      </c>
      <c r="S272" s="157" t="e">
        <f>'INFORME '!#REF!</f>
        <v>#REF!</v>
      </c>
      <c r="T272" s="287" t="s">
        <v>488</v>
      </c>
    </row>
    <row r="273" spans="2:20">
      <c r="B273" s="185" t="e">
        <f>'INFORME '!#REF!</f>
        <v>#REF!</v>
      </c>
      <c r="C273" s="186" t="e">
        <f>'INFORME '!#REF!</f>
        <v>#REF!</v>
      </c>
      <c r="D273" s="164" t="e">
        <f>'INFORME '!#REF!</f>
        <v>#REF!</v>
      </c>
      <c r="E273" s="164" t="s">
        <v>488</v>
      </c>
      <c r="F273" s="179" t="e">
        <f>'INFORME '!#REF!</f>
        <v>#REF!</v>
      </c>
      <c r="G273" s="179" t="e">
        <f>'INFORME '!#REF!</f>
        <v>#REF!</v>
      </c>
      <c r="H273" s="179" t="e">
        <f>'INFORME '!#REF!</f>
        <v>#REF!</v>
      </c>
      <c r="I273" s="187" t="e">
        <f>'INFORME '!#REF!</f>
        <v>#REF!</v>
      </c>
      <c r="J273" s="187">
        <v>57990436</v>
      </c>
      <c r="K273" s="164" t="e">
        <f>'INFORME '!#REF!</f>
        <v>#REF!</v>
      </c>
      <c r="L273" s="164" t="e">
        <f>'INFORME '!#REF!</f>
        <v>#REF!</v>
      </c>
      <c r="M273" s="157" t="s">
        <v>445</v>
      </c>
      <c r="N273" s="160">
        <v>1</v>
      </c>
      <c r="O273" s="160">
        <v>1</v>
      </c>
      <c r="P273" s="157" t="s">
        <v>538</v>
      </c>
      <c r="Q273" s="157" t="s">
        <v>505</v>
      </c>
      <c r="R273" s="160">
        <v>186.74</v>
      </c>
      <c r="S273" s="157" t="e">
        <f>'INFORME '!#REF!</f>
        <v>#REF!</v>
      </c>
      <c r="T273" s="287" t="s">
        <v>852</v>
      </c>
    </row>
    <row r="274" spans="2:20">
      <c r="B274" s="185" t="e">
        <f>'INFORME '!#REF!</f>
        <v>#REF!</v>
      </c>
      <c r="C274" s="186" t="e">
        <f>'INFORME '!#REF!</f>
        <v>#REF!</v>
      </c>
      <c r="D274" s="164" t="e">
        <f>'INFORME '!#REF!</f>
        <v>#REF!</v>
      </c>
      <c r="E274" s="164" t="s">
        <v>488</v>
      </c>
      <c r="F274" s="179" t="e">
        <f>'INFORME '!#REF!</f>
        <v>#REF!</v>
      </c>
      <c r="G274" s="179" t="e">
        <f>'INFORME '!#REF!</f>
        <v>#REF!</v>
      </c>
      <c r="H274" s="179" t="e">
        <f>'INFORME '!#REF!</f>
        <v>#REF!</v>
      </c>
      <c r="I274" s="187" t="e">
        <f>'INFORME '!#REF!</f>
        <v>#REF!</v>
      </c>
      <c r="J274" s="187">
        <v>48644030</v>
      </c>
      <c r="K274" s="164" t="e">
        <f>'INFORME '!#REF!</f>
        <v>#REF!</v>
      </c>
      <c r="L274" s="164" t="e">
        <f>'INFORME '!#REF!</f>
        <v>#REF!</v>
      </c>
      <c r="M274" s="157" t="s">
        <v>445</v>
      </c>
      <c r="N274" s="160">
        <v>1</v>
      </c>
      <c r="O274" s="160">
        <v>1</v>
      </c>
      <c r="P274" s="157" t="s">
        <v>538</v>
      </c>
      <c r="Q274" s="157" t="s">
        <v>505</v>
      </c>
      <c r="R274" s="160">
        <v>101.76</v>
      </c>
      <c r="S274" s="157" t="e">
        <f>'INFORME '!#REF!</f>
        <v>#REF!</v>
      </c>
      <c r="T274" s="287" t="s">
        <v>852</v>
      </c>
    </row>
    <row r="275" spans="2:20">
      <c r="B275" s="185" t="e">
        <f>'INFORME '!#REF!</f>
        <v>#REF!</v>
      </c>
      <c r="C275" s="186" t="e">
        <f>'INFORME '!#REF!</f>
        <v>#REF!</v>
      </c>
      <c r="D275" s="164" t="e">
        <f>'INFORME '!#REF!</f>
        <v>#REF!</v>
      </c>
      <c r="E275" s="164" t="s">
        <v>488</v>
      </c>
      <c r="F275" s="179" t="e">
        <f>'INFORME '!#REF!</f>
        <v>#REF!</v>
      </c>
      <c r="G275" s="179" t="e">
        <f>'INFORME '!#REF!</f>
        <v>#REF!</v>
      </c>
      <c r="H275" s="179" t="e">
        <f>'INFORME '!#REF!</f>
        <v>#REF!</v>
      </c>
      <c r="I275" s="187" t="e">
        <f>'INFORME '!#REF!</f>
        <v>#REF!</v>
      </c>
      <c r="J275" s="187">
        <v>34317424</v>
      </c>
      <c r="K275" s="164" t="e">
        <f>'INFORME '!#REF!</f>
        <v>#REF!</v>
      </c>
      <c r="L275" s="164" t="e">
        <f>'INFORME '!#REF!</f>
        <v>#REF!</v>
      </c>
      <c r="M275" s="157"/>
      <c r="N275" s="160"/>
      <c r="O275" s="160"/>
      <c r="P275" s="157"/>
      <c r="Q275" s="157"/>
      <c r="R275" s="160"/>
      <c r="S275" s="157" t="e">
        <f>'INFORME '!#REF!</f>
        <v>#REF!</v>
      </c>
      <c r="T275" s="287" t="s">
        <v>636</v>
      </c>
    </row>
    <row r="276" spans="2:20">
      <c r="B276" s="185" t="e">
        <f>'INFORME '!#REF!</f>
        <v>#REF!</v>
      </c>
      <c r="C276" s="186" t="e">
        <f>'INFORME '!#REF!</f>
        <v>#REF!</v>
      </c>
      <c r="D276" s="164" t="e">
        <f>'INFORME '!#REF!</f>
        <v>#REF!</v>
      </c>
      <c r="E276" s="164" t="s">
        <v>488</v>
      </c>
      <c r="F276" s="179" t="e">
        <f>'INFORME '!#REF!</f>
        <v>#REF!</v>
      </c>
      <c r="G276" s="179" t="e">
        <f>'INFORME '!#REF!</f>
        <v>#REF!</v>
      </c>
      <c r="H276" s="179" t="e">
        <f>'INFORME '!#REF!</f>
        <v>#REF!</v>
      </c>
      <c r="I276" s="187" t="e">
        <f>'INFORME '!#REF!</f>
        <v>#REF!</v>
      </c>
      <c r="J276" s="187">
        <v>35792766</v>
      </c>
      <c r="K276" s="164" t="e">
        <f>'INFORME '!#REF!</f>
        <v>#REF!</v>
      </c>
      <c r="L276" s="164" t="e">
        <f>'INFORME '!#REF!</f>
        <v>#REF!</v>
      </c>
      <c r="M276" s="157" t="s">
        <v>445</v>
      </c>
      <c r="N276" s="160">
        <v>1</v>
      </c>
      <c r="O276" s="160">
        <v>1</v>
      </c>
      <c r="P276" s="157" t="s">
        <v>538</v>
      </c>
      <c r="Q276" s="157" t="s">
        <v>505</v>
      </c>
      <c r="R276" s="160">
        <v>136</v>
      </c>
      <c r="S276" s="157" t="e">
        <f>'INFORME '!#REF!</f>
        <v>#REF!</v>
      </c>
      <c r="T276" s="287" t="s">
        <v>488</v>
      </c>
    </row>
    <row r="277" spans="2:20">
      <c r="B277" s="185" t="e">
        <f>'INFORME '!#REF!</f>
        <v>#REF!</v>
      </c>
      <c r="C277" s="186" t="e">
        <f>'INFORME '!#REF!</f>
        <v>#REF!</v>
      </c>
      <c r="D277" s="164" t="e">
        <f>'INFORME '!#REF!</f>
        <v>#REF!</v>
      </c>
      <c r="E277" s="164" t="s">
        <v>488</v>
      </c>
      <c r="F277" s="179" t="e">
        <f>'INFORME '!#REF!</f>
        <v>#REF!</v>
      </c>
      <c r="G277" s="179" t="e">
        <f>'INFORME '!#REF!</f>
        <v>#REF!</v>
      </c>
      <c r="H277" s="179" t="e">
        <f>'INFORME '!#REF!</f>
        <v>#REF!</v>
      </c>
      <c r="I277" s="187" t="e">
        <f>'INFORME '!#REF!</f>
        <v>#REF!</v>
      </c>
      <c r="J277" s="187">
        <v>43532565</v>
      </c>
      <c r="K277" s="164" t="e">
        <f>'INFORME '!#REF!</f>
        <v>#REF!</v>
      </c>
      <c r="L277" s="164" t="e">
        <f>'INFORME '!#REF!</f>
        <v>#REF!</v>
      </c>
      <c r="M277" s="157" t="s">
        <v>445</v>
      </c>
      <c r="N277" s="160">
        <v>1</v>
      </c>
      <c r="O277" s="160">
        <v>1</v>
      </c>
      <c r="P277" s="157" t="s">
        <v>538</v>
      </c>
      <c r="Q277" s="157" t="s">
        <v>505</v>
      </c>
      <c r="R277" s="160">
        <v>63.51</v>
      </c>
      <c r="S277" s="157" t="e">
        <f>'INFORME '!#REF!</f>
        <v>#REF!</v>
      </c>
      <c r="T277" s="287" t="s">
        <v>488</v>
      </c>
    </row>
    <row r="278" spans="2:20">
      <c r="B278" s="185" t="e">
        <f>'INFORME '!#REF!</f>
        <v>#REF!</v>
      </c>
      <c r="C278" s="186" t="e">
        <f>'INFORME '!#REF!</f>
        <v>#REF!</v>
      </c>
      <c r="D278" s="164" t="e">
        <f>'INFORME '!#REF!</f>
        <v>#REF!</v>
      </c>
      <c r="E278" s="164" t="s">
        <v>488</v>
      </c>
      <c r="F278" s="179" t="e">
        <f>'INFORME '!#REF!</f>
        <v>#REF!</v>
      </c>
      <c r="G278" s="179" t="e">
        <f>'INFORME '!#REF!</f>
        <v>#REF!</v>
      </c>
      <c r="H278" s="179" t="e">
        <f>'INFORME '!#REF!</f>
        <v>#REF!</v>
      </c>
      <c r="I278" s="187" t="e">
        <f>'INFORME '!#REF!</f>
        <v>#REF!</v>
      </c>
      <c r="J278" s="187">
        <v>55287921</v>
      </c>
      <c r="K278" s="164" t="e">
        <f>'INFORME '!#REF!</f>
        <v>#REF!</v>
      </c>
      <c r="L278" s="164" t="e">
        <f>'INFORME '!#REF!</f>
        <v>#REF!</v>
      </c>
      <c r="M278" s="157" t="s">
        <v>445</v>
      </c>
      <c r="N278" s="160">
        <v>1</v>
      </c>
      <c r="O278" s="160">
        <v>1</v>
      </c>
      <c r="P278" s="157" t="s">
        <v>489</v>
      </c>
      <c r="Q278" s="157" t="s">
        <v>505</v>
      </c>
      <c r="R278" s="160">
        <v>93.95</v>
      </c>
      <c r="S278" s="157" t="e">
        <f>'INFORME '!#REF!</f>
        <v>#REF!</v>
      </c>
      <c r="T278" s="287" t="s">
        <v>998</v>
      </c>
    </row>
    <row r="279" spans="2:20">
      <c r="B279" s="185" t="e">
        <f>'INFORME '!#REF!</f>
        <v>#REF!</v>
      </c>
      <c r="C279" s="186" t="e">
        <f>'INFORME '!#REF!</f>
        <v>#REF!</v>
      </c>
      <c r="D279" s="164" t="e">
        <f>'INFORME '!#REF!</f>
        <v>#REF!</v>
      </c>
      <c r="E279" s="164" t="s">
        <v>488</v>
      </c>
      <c r="F279" s="179" t="e">
        <f>'INFORME '!#REF!</f>
        <v>#REF!</v>
      </c>
      <c r="G279" s="179" t="e">
        <f>'INFORME '!#REF!</f>
        <v>#REF!</v>
      </c>
      <c r="H279" s="179" t="e">
        <f>'INFORME '!#REF!</f>
        <v>#REF!</v>
      </c>
      <c r="I279" s="187" t="e">
        <f>'INFORME '!#REF!</f>
        <v>#REF!</v>
      </c>
      <c r="J279" s="187">
        <v>46347654</v>
      </c>
      <c r="K279" s="164" t="e">
        <f>'INFORME '!#REF!</f>
        <v>#REF!</v>
      </c>
      <c r="L279" s="164" t="e">
        <f>'INFORME '!#REF!</f>
        <v>#REF!</v>
      </c>
      <c r="M279" s="157" t="s">
        <v>1006</v>
      </c>
      <c r="N279" s="160"/>
      <c r="O279" s="160"/>
      <c r="P279" s="157"/>
      <c r="Q279" s="157"/>
      <c r="R279" s="160"/>
      <c r="S279" s="157" t="e">
        <f>'INFORME '!#REF!</f>
        <v>#REF!</v>
      </c>
      <c r="T279" s="287"/>
    </row>
    <row r="280" spans="2:20">
      <c r="B280" s="185" t="e">
        <f>'INFORME '!#REF!</f>
        <v>#REF!</v>
      </c>
      <c r="C280" s="186" t="e">
        <f>'INFORME '!#REF!</f>
        <v>#REF!</v>
      </c>
      <c r="D280" s="164" t="e">
        <f>'INFORME '!#REF!</f>
        <v>#REF!</v>
      </c>
      <c r="E280" s="164" t="s">
        <v>488</v>
      </c>
      <c r="F280" s="179" t="e">
        <f>'INFORME '!#REF!</f>
        <v>#REF!</v>
      </c>
      <c r="G280" s="179" t="e">
        <f>'INFORME '!#REF!</f>
        <v>#REF!</v>
      </c>
      <c r="H280" s="179" t="e">
        <f>'INFORME '!#REF!</f>
        <v>#REF!</v>
      </c>
      <c r="I280" s="187" t="e">
        <f>'INFORME '!#REF!</f>
        <v>#REF!</v>
      </c>
      <c r="J280" s="187">
        <v>55975682</v>
      </c>
      <c r="K280" s="164" t="e">
        <f>'INFORME '!#REF!</f>
        <v>#REF!</v>
      </c>
      <c r="L280" s="164" t="e">
        <f>'INFORME '!#REF!</f>
        <v>#REF!</v>
      </c>
      <c r="M280" s="157" t="s">
        <v>1006</v>
      </c>
      <c r="N280" s="160"/>
      <c r="O280" s="160"/>
      <c r="P280" s="157"/>
      <c r="Q280" s="157"/>
      <c r="R280" s="160"/>
      <c r="S280" s="157" t="e">
        <f>'INFORME '!#REF!</f>
        <v>#REF!</v>
      </c>
      <c r="T280" s="287"/>
    </row>
    <row r="281" spans="2:20">
      <c r="B281" s="185" t="e">
        <f>'INFORME '!#REF!</f>
        <v>#REF!</v>
      </c>
      <c r="C281" s="186" t="e">
        <f>'INFORME '!#REF!</f>
        <v>#REF!</v>
      </c>
      <c r="D281" s="164" t="e">
        <f>'INFORME '!#REF!</f>
        <v>#REF!</v>
      </c>
      <c r="E281" s="164" t="s">
        <v>488</v>
      </c>
      <c r="F281" s="179" t="e">
        <f>'INFORME '!#REF!</f>
        <v>#REF!</v>
      </c>
      <c r="G281" s="179" t="e">
        <f>'INFORME '!#REF!</f>
        <v>#REF!</v>
      </c>
      <c r="H281" s="179" t="e">
        <f>'INFORME '!#REF!</f>
        <v>#REF!</v>
      </c>
      <c r="I281" s="187" t="e">
        <f>'INFORME '!#REF!</f>
        <v>#REF!</v>
      </c>
      <c r="J281" s="187">
        <v>55864910</v>
      </c>
      <c r="K281" s="164" t="e">
        <f>'INFORME '!#REF!</f>
        <v>#REF!</v>
      </c>
      <c r="L281" s="164" t="e">
        <f>'INFORME '!#REF!</f>
        <v>#REF!</v>
      </c>
      <c r="M281" s="157" t="s">
        <v>1006</v>
      </c>
      <c r="N281" s="160"/>
      <c r="O281" s="160"/>
      <c r="P281" s="157"/>
      <c r="Q281" s="157"/>
      <c r="R281" s="160"/>
      <c r="S281" s="157" t="e">
        <f>'INFORME '!#REF!</f>
        <v>#REF!</v>
      </c>
      <c r="T281" s="287"/>
    </row>
    <row r="282" spans="2:20">
      <c r="B282" s="185" t="e">
        <f>'INFORME '!#REF!</f>
        <v>#REF!</v>
      </c>
      <c r="C282" s="186" t="e">
        <f>'INFORME '!#REF!</f>
        <v>#REF!</v>
      </c>
      <c r="D282" s="164" t="e">
        <f>'INFORME '!#REF!</f>
        <v>#REF!</v>
      </c>
      <c r="E282" s="164" t="s">
        <v>488</v>
      </c>
      <c r="F282" s="179" t="e">
        <f>'INFORME '!#REF!</f>
        <v>#REF!</v>
      </c>
      <c r="G282" s="179" t="e">
        <f>'INFORME '!#REF!</f>
        <v>#REF!</v>
      </c>
      <c r="H282" s="179" t="e">
        <f>'INFORME '!#REF!</f>
        <v>#REF!</v>
      </c>
      <c r="I282" s="187" t="e">
        <f>'INFORME '!#REF!</f>
        <v>#REF!</v>
      </c>
      <c r="J282" s="187">
        <v>58171551</v>
      </c>
      <c r="K282" s="164" t="e">
        <f>'INFORME '!#REF!</f>
        <v>#REF!</v>
      </c>
      <c r="L282" s="164" t="e">
        <f>'INFORME '!#REF!</f>
        <v>#REF!</v>
      </c>
      <c r="M282" s="157" t="s">
        <v>1006</v>
      </c>
      <c r="N282" s="160"/>
      <c r="O282" s="160"/>
      <c r="P282" s="157"/>
      <c r="Q282" s="157"/>
      <c r="R282" s="160"/>
      <c r="S282" s="157" t="e">
        <f>'INFORME '!#REF!</f>
        <v>#REF!</v>
      </c>
      <c r="T282" s="287"/>
    </row>
    <row r="283" spans="2:20" ht="45">
      <c r="B283" s="185" t="e">
        <f>'INFORME '!#REF!</f>
        <v>#REF!</v>
      </c>
      <c r="C283" s="186" t="e">
        <f>'INFORME '!#REF!</f>
        <v>#REF!</v>
      </c>
      <c r="D283" s="164" t="e">
        <f>'INFORME '!#REF!</f>
        <v>#REF!</v>
      </c>
      <c r="E283" s="164" t="s">
        <v>488</v>
      </c>
      <c r="F283" s="179" t="e">
        <f>'INFORME '!#REF!</f>
        <v>#REF!</v>
      </c>
      <c r="G283" s="179" t="e">
        <f>'INFORME '!#REF!</f>
        <v>#REF!</v>
      </c>
      <c r="H283" s="179" t="e">
        <f>'INFORME '!#REF!</f>
        <v>#REF!</v>
      </c>
      <c r="I283" s="187" t="e">
        <f>'INFORME '!#REF!</f>
        <v>#REF!</v>
      </c>
      <c r="J283" s="187" t="s">
        <v>29</v>
      </c>
      <c r="K283" s="164" t="e">
        <f>'INFORME '!#REF!</f>
        <v>#REF!</v>
      </c>
      <c r="L283" s="164" t="e">
        <f>'INFORME '!#REF!</f>
        <v>#REF!</v>
      </c>
      <c r="M283" s="157" t="s">
        <v>1007</v>
      </c>
      <c r="N283" s="160" t="s">
        <v>1008</v>
      </c>
      <c r="O283" s="160">
        <v>3</v>
      </c>
      <c r="P283" s="157" t="s">
        <v>1009</v>
      </c>
      <c r="Q283" s="157" t="s">
        <v>505</v>
      </c>
      <c r="R283" s="160">
        <v>208.93</v>
      </c>
      <c r="S283" s="157" t="e">
        <f>'INFORME '!#REF!</f>
        <v>#REF!</v>
      </c>
      <c r="T283" s="287" t="s">
        <v>1010</v>
      </c>
    </row>
    <row r="284" spans="2:20">
      <c r="B284" s="185" t="e">
        <f>'INFORME '!#REF!</f>
        <v>#REF!</v>
      </c>
      <c r="C284" s="186" t="e">
        <f>'INFORME '!#REF!</f>
        <v>#REF!</v>
      </c>
      <c r="D284" s="164" t="e">
        <f>'INFORME '!#REF!</f>
        <v>#REF!</v>
      </c>
      <c r="E284" s="164" t="s">
        <v>488</v>
      </c>
      <c r="F284" s="179" t="e">
        <f>'INFORME '!#REF!</f>
        <v>#REF!</v>
      </c>
      <c r="G284" s="179" t="e">
        <f>'INFORME '!#REF!</f>
        <v>#REF!</v>
      </c>
      <c r="H284" s="179" t="e">
        <f>'INFORME '!#REF!</f>
        <v>#REF!</v>
      </c>
      <c r="I284" s="187" t="e">
        <f>'INFORME '!#REF!</f>
        <v>#REF!</v>
      </c>
      <c r="J284" s="187">
        <v>57332769</v>
      </c>
      <c r="K284" s="164" t="e">
        <f>'INFORME '!#REF!</f>
        <v>#REF!</v>
      </c>
      <c r="L284" s="164" t="e">
        <f>'INFORME '!#REF!</f>
        <v>#REF!</v>
      </c>
      <c r="M284" s="157" t="s">
        <v>445</v>
      </c>
      <c r="N284" s="160">
        <v>1</v>
      </c>
      <c r="O284" s="160">
        <v>1</v>
      </c>
      <c r="P284" s="157" t="s">
        <v>769</v>
      </c>
      <c r="Q284" s="157" t="s">
        <v>505</v>
      </c>
      <c r="R284" s="160">
        <v>103.72</v>
      </c>
      <c r="S284" s="157" t="e">
        <f>'INFORME '!#REF!</f>
        <v>#REF!</v>
      </c>
      <c r="T284" s="287" t="s">
        <v>852</v>
      </c>
    </row>
    <row r="285" spans="2:20">
      <c r="B285" s="185" t="e">
        <f>'INFORME '!#REF!</f>
        <v>#REF!</v>
      </c>
      <c r="C285" s="186" t="e">
        <f>'INFORME '!#REF!</f>
        <v>#REF!</v>
      </c>
      <c r="D285" s="164" t="e">
        <f>'INFORME '!#REF!</f>
        <v>#REF!</v>
      </c>
      <c r="E285" s="164" t="s">
        <v>488</v>
      </c>
      <c r="F285" s="179" t="e">
        <f>'INFORME '!#REF!</f>
        <v>#REF!</v>
      </c>
      <c r="G285" s="179" t="e">
        <f>'INFORME '!#REF!</f>
        <v>#REF!</v>
      </c>
      <c r="H285" s="179" t="e">
        <f>'INFORME '!#REF!</f>
        <v>#REF!</v>
      </c>
      <c r="I285" s="187" t="e">
        <f>'INFORME '!#REF!</f>
        <v>#REF!</v>
      </c>
      <c r="J285" s="187">
        <v>51304459</v>
      </c>
      <c r="K285" s="164" t="e">
        <f>'INFORME '!#REF!</f>
        <v>#REF!</v>
      </c>
      <c r="L285" s="164" t="e">
        <f>'INFORME '!#REF!</f>
        <v>#REF!</v>
      </c>
      <c r="M285" s="157" t="s">
        <v>1013</v>
      </c>
      <c r="N285" s="160">
        <v>2</v>
      </c>
      <c r="O285" s="160">
        <v>1</v>
      </c>
      <c r="P285" s="157" t="s">
        <v>538</v>
      </c>
      <c r="Q285" s="157" t="s">
        <v>505</v>
      </c>
      <c r="R285" s="160">
        <v>180.7</v>
      </c>
      <c r="S285" s="157" t="e">
        <f>'INFORME '!#REF!</f>
        <v>#REF!</v>
      </c>
      <c r="T285" s="287" t="s">
        <v>852</v>
      </c>
    </row>
    <row r="286" spans="2:20">
      <c r="B286" s="185" t="e">
        <f>'INFORME '!#REF!</f>
        <v>#REF!</v>
      </c>
      <c r="C286" s="186" t="e">
        <f>'INFORME '!#REF!</f>
        <v>#REF!</v>
      </c>
      <c r="D286" s="164" t="e">
        <f>'INFORME '!#REF!</f>
        <v>#REF!</v>
      </c>
      <c r="E286" s="164" t="s">
        <v>488</v>
      </c>
      <c r="F286" s="179" t="e">
        <f>'INFORME '!#REF!</f>
        <v>#REF!</v>
      </c>
      <c r="G286" s="179" t="e">
        <f>'INFORME '!#REF!</f>
        <v>#REF!</v>
      </c>
      <c r="H286" s="179" t="e">
        <f>'INFORME '!#REF!</f>
        <v>#REF!</v>
      </c>
      <c r="I286" s="187" t="e">
        <f>'INFORME '!#REF!</f>
        <v>#REF!</v>
      </c>
      <c r="J286" s="187">
        <v>55543437</v>
      </c>
      <c r="K286" s="164" t="e">
        <f>'INFORME '!#REF!</f>
        <v>#REF!</v>
      </c>
      <c r="L286" s="164" t="e">
        <f>'INFORME '!#REF!</f>
        <v>#REF!</v>
      </c>
      <c r="M286" s="157" t="s">
        <v>433</v>
      </c>
      <c r="N286" s="160">
        <v>1</v>
      </c>
      <c r="O286" s="160">
        <v>1</v>
      </c>
      <c r="P286" s="157" t="s">
        <v>769</v>
      </c>
      <c r="Q286" s="157" t="s">
        <v>505</v>
      </c>
      <c r="R286" s="160">
        <v>74.28</v>
      </c>
      <c r="S286" s="157" t="e">
        <f>'INFORME '!#REF!</f>
        <v>#REF!</v>
      </c>
      <c r="T286" s="287" t="s">
        <v>852</v>
      </c>
    </row>
    <row r="287" spans="2:20">
      <c r="B287" s="185" t="e">
        <f>'INFORME '!#REF!</f>
        <v>#REF!</v>
      </c>
      <c r="C287" s="186" t="e">
        <f>'INFORME '!#REF!</f>
        <v>#REF!</v>
      </c>
      <c r="D287" s="164" t="e">
        <f>'INFORME '!#REF!</f>
        <v>#REF!</v>
      </c>
      <c r="E287" s="164" t="s">
        <v>488</v>
      </c>
      <c r="F287" s="179" t="e">
        <f>'INFORME '!#REF!</f>
        <v>#REF!</v>
      </c>
      <c r="G287" s="179" t="e">
        <f>'INFORME '!#REF!</f>
        <v>#REF!</v>
      </c>
      <c r="H287" s="179" t="e">
        <f>'INFORME '!#REF!</f>
        <v>#REF!</v>
      </c>
      <c r="I287" s="187" t="e">
        <f>'INFORME '!#REF!</f>
        <v>#REF!</v>
      </c>
      <c r="J287" s="187" t="s">
        <v>29</v>
      </c>
      <c r="K287" s="164" t="e">
        <f>'INFORME '!#REF!</f>
        <v>#REF!</v>
      </c>
      <c r="L287" s="164" t="e">
        <f>'INFORME '!#REF!</f>
        <v>#REF!</v>
      </c>
      <c r="M287" s="157"/>
      <c r="N287" s="160"/>
      <c r="O287" s="160"/>
      <c r="P287" s="157"/>
      <c r="Q287" s="157"/>
      <c r="R287" s="160"/>
      <c r="S287" s="157" t="e">
        <f>'INFORME '!#REF!</f>
        <v>#REF!</v>
      </c>
      <c r="T287" s="287"/>
    </row>
    <row r="288" spans="2:20" ht="30">
      <c r="B288" s="185" t="e">
        <f>'INFORME '!#REF!</f>
        <v>#REF!</v>
      </c>
      <c r="C288" s="186" t="e">
        <f>'INFORME '!#REF!</f>
        <v>#REF!</v>
      </c>
      <c r="D288" s="164" t="e">
        <f>'INFORME '!#REF!</f>
        <v>#REF!</v>
      </c>
      <c r="E288" s="164" t="s">
        <v>488</v>
      </c>
      <c r="F288" s="179" t="e">
        <f>'INFORME '!#REF!</f>
        <v>#REF!</v>
      </c>
      <c r="G288" s="179" t="e">
        <f>'INFORME '!#REF!</f>
        <v>#REF!</v>
      </c>
      <c r="H288" s="179" t="e">
        <f>'INFORME '!#REF!</f>
        <v>#REF!</v>
      </c>
      <c r="I288" s="187" t="e">
        <f>'INFORME '!#REF!</f>
        <v>#REF!</v>
      </c>
      <c r="J288" s="187">
        <v>47634884</v>
      </c>
      <c r="K288" s="164" t="e">
        <f>'INFORME '!#REF!</f>
        <v>#REF!</v>
      </c>
      <c r="L288" s="164" t="e">
        <f>'INFORME '!#REF!</f>
        <v>#REF!</v>
      </c>
      <c r="M288" s="157" t="s">
        <v>1021</v>
      </c>
      <c r="N288" s="160">
        <v>2</v>
      </c>
      <c r="O288" s="160">
        <v>2</v>
      </c>
      <c r="P288" s="157" t="s">
        <v>538</v>
      </c>
      <c r="Q288" s="157" t="s">
        <v>1016</v>
      </c>
      <c r="R288" s="160">
        <v>177.23</v>
      </c>
      <c r="S288" s="157" t="e">
        <f>'INFORME '!#REF!</f>
        <v>#REF!</v>
      </c>
      <c r="T288" s="287" t="s">
        <v>488</v>
      </c>
    </row>
    <row r="289" spans="2:20">
      <c r="B289" s="185" t="e">
        <f>'INFORME '!#REF!</f>
        <v>#REF!</v>
      </c>
      <c r="C289" s="186" t="e">
        <f>'INFORME '!#REF!</f>
        <v>#REF!</v>
      </c>
      <c r="D289" s="164" t="e">
        <f>'INFORME '!#REF!</f>
        <v>#REF!</v>
      </c>
      <c r="E289" s="164" t="s">
        <v>488</v>
      </c>
      <c r="F289" s="179" t="e">
        <f>'INFORME '!#REF!</f>
        <v>#REF!</v>
      </c>
      <c r="G289" s="179" t="e">
        <f>'INFORME '!#REF!</f>
        <v>#REF!</v>
      </c>
      <c r="H289" s="179" t="e">
        <f>'INFORME '!#REF!</f>
        <v>#REF!</v>
      </c>
      <c r="I289" s="187" t="e">
        <f>'INFORME '!#REF!</f>
        <v>#REF!</v>
      </c>
      <c r="J289" s="187">
        <v>42146963</v>
      </c>
      <c r="K289" s="164" t="e">
        <f>'INFORME '!#REF!</f>
        <v>#REF!</v>
      </c>
      <c r="L289" s="164" t="e">
        <f>'INFORME '!#REF!</f>
        <v>#REF!</v>
      </c>
      <c r="M289" s="157" t="s">
        <v>1022</v>
      </c>
      <c r="N289" s="160">
        <v>1</v>
      </c>
      <c r="O289" s="160">
        <v>2</v>
      </c>
      <c r="P289" s="157" t="s">
        <v>538</v>
      </c>
      <c r="Q289" s="157" t="s">
        <v>505</v>
      </c>
      <c r="R289" s="160">
        <v>177.67</v>
      </c>
      <c r="S289" s="157" t="e">
        <f>'INFORME '!#REF!</f>
        <v>#REF!</v>
      </c>
      <c r="T289" s="287" t="s">
        <v>852</v>
      </c>
    </row>
    <row r="290" spans="2:20">
      <c r="B290" s="185" t="e">
        <f>'INFORME '!#REF!</f>
        <v>#REF!</v>
      </c>
      <c r="C290" s="186" t="e">
        <f>'INFORME '!#REF!</f>
        <v>#REF!</v>
      </c>
      <c r="D290" s="164" t="e">
        <f>'INFORME '!#REF!</f>
        <v>#REF!</v>
      </c>
      <c r="E290" s="164" t="s">
        <v>488</v>
      </c>
      <c r="F290" s="179" t="e">
        <f>'INFORME '!#REF!</f>
        <v>#REF!</v>
      </c>
      <c r="G290" s="179" t="e">
        <f>'INFORME '!#REF!</f>
        <v>#REF!</v>
      </c>
      <c r="H290" s="179" t="e">
        <f>'INFORME '!#REF!</f>
        <v>#REF!</v>
      </c>
      <c r="I290" s="187" t="e">
        <f>'INFORME '!#REF!</f>
        <v>#REF!</v>
      </c>
      <c r="J290" s="187">
        <v>34052614</v>
      </c>
      <c r="K290" s="164" t="e">
        <f>'INFORME '!#REF!</f>
        <v>#REF!</v>
      </c>
      <c r="L290" s="164" t="e">
        <f>'INFORME '!#REF!</f>
        <v>#REF!</v>
      </c>
      <c r="M290" s="157" t="s">
        <v>1022</v>
      </c>
      <c r="N290" s="160">
        <v>1</v>
      </c>
      <c r="O290" s="160">
        <v>2</v>
      </c>
      <c r="P290" s="157" t="s">
        <v>538</v>
      </c>
      <c r="Q290" s="157" t="s">
        <v>505</v>
      </c>
      <c r="R290" s="160">
        <v>200.64</v>
      </c>
      <c r="S290" s="157" t="e">
        <f>'INFORME '!#REF!</f>
        <v>#REF!</v>
      </c>
      <c r="T290" s="287" t="s">
        <v>488</v>
      </c>
    </row>
    <row r="291" spans="2:20" ht="30">
      <c r="B291" s="185" t="e">
        <f>'INFORME '!#REF!</f>
        <v>#REF!</v>
      </c>
      <c r="C291" s="186" t="e">
        <f>'INFORME '!#REF!</f>
        <v>#REF!</v>
      </c>
      <c r="D291" s="164" t="e">
        <f>'INFORME '!#REF!</f>
        <v>#REF!</v>
      </c>
      <c r="E291" s="164" t="s">
        <v>488</v>
      </c>
      <c r="F291" s="179" t="e">
        <f>'INFORME '!#REF!</f>
        <v>#REF!</v>
      </c>
      <c r="G291" s="179" t="e">
        <f>'INFORME '!#REF!</f>
        <v>#REF!</v>
      </c>
      <c r="H291" s="179" t="e">
        <f>'INFORME '!#REF!</f>
        <v>#REF!</v>
      </c>
      <c r="I291" s="187" t="e">
        <f>'INFORME '!#REF!</f>
        <v>#REF!</v>
      </c>
      <c r="J291" s="187">
        <v>77673349</v>
      </c>
      <c r="K291" s="164" t="e">
        <f>'INFORME '!#REF!</f>
        <v>#REF!</v>
      </c>
      <c r="L291" s="164" t="e">
        <f>'INFORME '!#REF!</f>
        <v>#REF!</v>
      </c>
      <c r="M291" s="157" t="s">
        <v>638</v>
      </c>
      <c r="N291" s="160">
        <v>1</v>
      </c>
      <c r="O291" s="160">
        <v>2</v>
      </c>
      <c r="P291" s="157" t="s">
        <v>1009</v>
      </c>
      <c r="Q291" s="157" t="s">
        <v>505</v>
      </c>
      <c r="R291" s="160" t="s">
        <v>1024</v>
      </c>
      <c r="S291" s="157" t="e">
        <f>'INFORME '!#REF!</f>
        <v>#REF!</v>
      </c>
      <c r="T291" s="287" t="s">
        <v>852</v>
      </c>
    </row>
    <row r="292" spans="2:20" ht="30">
      <c r="B292" s="185" t="e">
        <f>'INFORME '!#REF!</f>
        <v>#REF!</v>
      </c>
      <c r="C292" s="186" t="e">
        <f>'INFORME '!#REF!</f>
        <v>#REF!</v>
      </c>
      <c r="D292" s="164" t="e">
        <f>'INFORME '!#REF!</f>
        <v>#REF!</v>
      </c>
      <c r="E292" s="164" t="s">
        <v>488</v>
      </c>
      <c r="F292" s="179" t="e">
        <f>'INFORME '!#REF!</f>
        <v>#REF!</v>
      </c>
      <c r="G292" s="179" t="e">
        <f>'INFORME '!#REF!</f>
        <v>#REF!</v>
      </c>
      <c r="H292" s="179" t="e">
        <f>'INFORME '!#REF!</f>
        <v>#REF!</v>
      </c>
      <c r="I292" s="187" t="e">
        <f>'INFORME '!#REF!</f>
        <v>#REF!</v>
      </c>
      <c r="J292" s="187">
        <v>55287921</v>
      </c>
      <c r="K292" s="164" t="e">
        <f>'INFORME '!#REF!</f>
        <v>#REF!</v>
      </c>
      <c r="L292" s="164" t="e">
        <f>'INFORME '!#REF!</f>
        <v>#REF!</v>
      </c>
      <c r="M292" s="157" t="s">
        <v>638</v>
      </c>
      <c r="N292" s="160">
        <v>1</v>
      </c>
      <c r="O292" s="160">
        <v>3</v>
      </c>
      <c r="P292" s="157" t="s">
        <v>1041</v>
      </c>
      <c r="Q292" s="157" t="s">
        <v>505</v>
      </c>
      <c r="R292" s="160" t="s">
        <v>1042</v>
      </c>
      <c r="S292" s="157" t="e">
        <f>'INFORME '!#REF!</f>
        <v>#REF!</v>
      </c>
      <c r="T292" s="287" t="s">
        <v>852</v>
      </c>
    </row>
    <row r="293" spans="2:20" ht="30">
      <c r="B293" s="185" t="e">
        <f>'INFORME '!#REF!</f>
        <v>#REF!</v>
      </c>
      <c r="C293" s="186" t="e">
        <f>'INFORME '!#REF!</f>
        <v>#REF!</v>
      </c>
      <c r="D293" s="164" t="e">
        <f>'INFORME '!#REF!</f>
        <v>#REF!</v>
      </c>
      <c r="E293" s="164" t="s">
        <v>488</v>
      </c>
      <c r="F293" s="179" t="e">
        <f>'INFORME '!#REF!</f>
        <v>#REF!</v>
      </c>
      <c r="G293" s="179" t="e">
        <f>'INFORME '!#REF!</f>
        <v>#REF!</v>
      </c>
      <c r="H293" s="179" t="e">
        <f>'INFORME '!#REF!</f>
        <v>#REF!</v>
      </c>
      <c r="I293" s="187" t="e">
        <f>'INFORME '!#REF!</f>
        <v>#REF!</v>
      </c>
      <c r="J293" s="187">
        <v>58697399</v>
      </c>
      <c r="K293" s="164" t="e">
        <f>'INFORME '!#REF!</f>
        <v>#REF!</v>
      </c>
      <c r="L293" s="164" t="e">
        <f>'INFORME '!#REF!</f>
        <v>#REF!</v>
      </c>
      <c r="M293" s="157" t="s">
        <v>1029</v>
      </c>
      <c r="N293" s="160">
        <v>0</v>
      </c>
      <c r="O293" s="160">
        <v>1</v>
      </c>
      <c r="P293" s="157" t="s">
        <v>835</v>
      </c>
      <c r="Q293" s="157" t="s">
        <v>835</v>
      </c>
      <c r="R293" s="160">
        <v>57.66</v>
      </c>
      <c r="S293" s="157" t="e">
        <f>'INFORME '!#REF!</f>
        <v>#REF!</v>
      </c>
      <c r="T293" s="287" t="s">
        <v>488</v>
      </c>
    </row>
    <row r="294" spans="2:20">
      <c r="B294" s="185" t="e">
        <f>'INFORME '!#REF!</f>
        <v>#REF!</v>
      </c>
      <c r="C294" s="186" t="e">
        <f>'INFORME '!#REF!</f>
        <v>#REF!</v>
      </c>
      <c r="D294" s="164" t="e">
        <f>'INFORME '!#REF!</f>
        <v>#REF!</v>
      </c>
      <c r="E294" s="164" t="s">
        <v>488</v>
      </c>
      <c r="F294" s="179" t="e">
        <f>'INFORME '!#REF!</f>
        <v>#REF!</v>
      </c>
      <c r="G294" s="179" t="e">
        <f>'INFORME '!#REF!</f>
        <v>#REF!</v>
      </c>
      <c r="H294" s="179" t="e">
        <f>'INFORME '!#REF!</f>
        <v>#REF!</v>
      </c>
      <c r="I294" s="187" t="e">
        <f>'INFORME '!#REF!</f>
        <v>#REF!</v>
      </c>
      <c r="J294" s="187" t="s">
        <v>29</v>
      </c>
      <c r="K294" s="164" t="e">
        <f>'INFORME '!#REF!</f>
        <v>#REF!</v>
      </c>
      <c r="L294" s="164" t="e">
        <f>'INFORME '!#REF!</f>
        <v>#REF!</v>
      </c>
      <c r="M294" s="157"/>
      <c r="N294" s="160"/>
      <c r="O294" s="160"/>
      <c r="P294" s="157"/>
      <c r="Q294" s="157"/>
      <c r="R294" s="160"/>
      <c r="S294" s="157" t="e">
        <f>'INFORME '!#REF!</f>
        <v>#REF!</v>
      </c>
      <c r="T294" s="287" t="s">
        <v>1035</v>
      </c>
    </row>
    <row r="295" spans="2:20">
      <c r="B295" s="185" t="e">
        <f>'INFORME '!#REF!</f>
        <v>#REF!</v>
      </c>
      <c r="C295" s="186" t="e">
        <f>'INFORME '!#REF!</f>
        <v>#REF!</v>
      </c>
      <c r="D295" s="164" t="e">
        <f>'INFORME '!#REF!</f>
        <v>#REF!</v>
      </c>
      <c r="E295" s="164"/>
      <c r="F295" s="179" t="e">
        <f>'INFORME '!#REF!</f>
        <v>#REF!</v>
      </c>
      <c r="G295" s="179" t="e">
        <f>'INFORME '!#REF!</f>
        <v>#REF!</v>
      </c>
      <c r="H295" s="179" t="e">
        <f>'INFORME '!#REF!</f>
        <v>#REF!</v>
      </c>
      <c r="I295" s="187" t="e">
        <f>'INFORME '!#REF!</f>
        <v>#REF!</v>
      </c>
      <c r="J295" s="187">
        <v>77673349</v>
      </c>
      <c r="K295" s="164" t="e">
        <f>'INFORME '!#REF!</f>
        <v>#REF!</v>
      </c>
      <c r="L295" s="164" t="e">
        <f>'INFORME '!#REF!</f>
        <v>#REF!</v>
      </c>
      <c r="M295" s="157" t="s">
        <v>1039</v>
      </c>
      <c r="N295" s="160">
        <v>4</v>
      </c>
      <c r="O295" s="160">
        <v>3</v>
      </c>
      <c r="P295" s="157"/>
      <c r="Q295" s="157" t="s">
        <v>1040</v>
      </c>
      <c r="R295" s="160">
        <v>320.35000000000002</v>
      </c>
      <c r="S295" s="157" t="e">
        <f>'INFORME '!#REF!</f>
        <v>#REF!</v>
      </c>
      <c r="T295" s="287" t="s">
        <v>488</v>
      </c>
    </row>
    <row r="296" spans="2:20">
      <c r="B296" s="185" t="e">
        <f>'INFORME '!#REF!</f>
        <v>#REF!</v>
      </c>
      <c r="C296" s="186" t="e">
        <f>'INFORME '!#REF!</f>
        <v>#REF!</v>
      </c>
      <c r="D296" s="164" t="e">
        <f>'INFORME '!#REF!</f>
        <v>#REF!</v>
      </c>
      <c r="E296" s="164"/>
      <c r="F296" s="179" t="e">
        <f>'INFORME '!#REF!</f>
        <v>#REF!</v>
      </c>
      <c r="G296" s="179" t="e">
        <f>'INFORME '!#REF!</f>
        <v>#REF!</v>
      </c>
      <c r="H296" s="179" t="e">
        <f>'INFORME '!#REF!</f>
        <v>#REF!</v>
      </c>
      <c r="I296" s="187" t="e">
        <f>'INFORME '!#REF!</f>
        <v>#REF!</v>
      </c>
      <c r="J296" s="187" t="s">
        <v>29</v>
      </c>
      <c r="K296" s="164" t="e">
        <f>'INFORME '!#REF!</f>
        <v>#REF!</v>
      </c>
      <c r="L296" s="164" t="e">
        <f>'INFORME '!#REF!</f>
        <v>#REF!</v>
      </c>
      <c r="M296" s="157" t="s">
        <v>520</v>
      </c>
      <c r="N296" s="160">
        <v>1</v>
      </c>
      <c r="O296" s="160">
        <v>1</v>
      </c>
      <c r="P296" s="157" t="s">
        <v>489</v>
      </c>
      <c r="Q296" s="157" t="s">
        <v>505</v>
      </c>
      <c r="R296" s="160">
        <v>44.78</v>
      </c>
      <c r="S296" s="157" t="e">
        <f>'INFORME '!#REF!</f>
        <v>#REF!</v>
      </c>
      <c r="T296" s="287" t="s">
        <v>488</v>
      </c>
    </row>
    <row r="297" spans="2:20">
      <c r="B297" s="185" t="e">
        <f>'INFORME '!#REF!</f>
        <v>#REF!</v>
      </c>
      <c r="C297" s="186" t="e">
        <f>'INFORME '!#REF!</f>
        <v>#REF!</v>
      </c>
      <c r="D297" s="164" t="e">
        <f>'INFORME '!#REF!</f>
        <v>#REF!</v>
      </c>
      <c r="E297" s="164"/>
      <c r="F297" s="179" t="e">
        <f>'INFORME '!#REF!</f>
        <v>#REF!</v>
      </c>
      <c r="G297" s="179" t="e">
        <f>'INFORME '!#REF!</f>
        <v>#REF!</v>
      </c>
      <c r="H297" s="179" t="e">
        <f>'INFORME '!#REF!</f>
        <v>#REF!</v>
      </c>
      <c r="I297" s="187" t="e">
        <f>'INFORME '!#REF!</f>
        <v>#REF!</v>
      </c>
      <c r="J297" s="187">
        <v>58697399</v>
      </c>
      <c r="K297" s="164" t="e">
        <f>'INFORME '!#REF!</f>
        <v>#REF!</v>
      </c>
      <c r="L297" s="164" t="e">
        <f>'INFORME '!#REF!</f>
        <v>#REF!</v>
      </c>
      <c r="M297" s="157"/>
      <c r="N297" s="160"/>
      <c r="O297" s="160"/>
      <c r="P297" s="157"/>
      <c r="Q297" s="157"/>
      <c r="R297" s="160"/>
      <c r="S297" s="157" t="e">
        <f>'INFORME '!#REF!</f>
        <v>#REF!</v>
      </c>
      <c r="T297" s="287" t="s">
        <v>704</v>
      </c>
    </row>
    <row r="298" spans="2:20">
      <c r="B298" s="185" t="e">
        <f>'INFORME '!#REF!</f>
        <v>#REF!</v>
      </c>
      <c r="C298" s="186" t="e">
        <f>'INFORME '!#REF!</f>
        <v>#REF!</v>
      </c>
      <c r="D298" s="164" t="e">
        <f>'INFORME '!#REF!</f>
        <v>#REF!</v>
      </c>
      <c r="E298" s="164"/>
      <c r="F298" s="179" t="e">
        <f>'INFORME '!#REF!</f>
        <v>#REF!</v>
      </c>
      <c r="G298" s="179" t="e">
        <f>'INFORME '!#REF!</f>
        <v>#REF!</v>
      </c>
      <c r="H298" s="179" t="e">
        <f>'INFORME '!#REF!</f>
        <v>#REF!</v>
      </c>
      <c r="I298" s="187" t="e">
        <f>'INFORME '!#REF!</f>
        <v>#REF!</v>
      </c>
      <c r="J298" s="187">
        <v>42799118</v>
      </c>
      <c r="K298" s="164" t="e">
        <f>'INFORME '!#REF!</f>
        <v>#REF!</v>
      </c>
      <c r="L298" s="164" t="e">
        <f>'INFORME '!#REF!</f>
        <v>#REF!</v>
      </c>
      <c r="M298" s="157"/>
      <c r="N298" s="160"/>
      <c r="O298" s="160"/>
      <c r="P298" s="157"/>
      <c r="Q298" s="157"/>
      <c r="R298" s="160"/>
      <c r="S298" s="157" t="e">
        <f>'INFORME '!#REF!</f>
        <v>#REF!</v>
      </c>
      <c r="T298" s="287" t="s">
        <v>704</v>
      </c>
    </row>
    <row r="299" spans="2:20">
      <c r="B299" s="185" t="e">
        <f>'INFORME '!#REF!</f>
        <v>#REF!</v>
      </c>
      <c r="C299" s="186" t="e">
        <f>'INFORME '!#REF!</f>
        <v>#REF!</v>
      </c>
      <c r="D299" s="164" t="e">
        <f>'INFORME '!#REF!</f>
        <v>#REF!</v>
      </c>
      <c r="E299" s="164" t="s">
        <v>1049</v>
      </c>
      <c r="F299" s="179" t="e">
        <f>'INFORME '!#REF!</f>
        <v>#REF!</v>
      </c>
      <c r="G299" s="179" t="e">
        <f>'INFORME '!#REF!</f>
        <v>#REF!</v>
      </c>
      <c r="H299" s="179" t="e">
        <f>'INFORME '!#REF!</f>
        <v>#REF!</v>
      </c>
      <c r="I299" s="187" t="e">
        <f>'INFORME '!#REF!</f>
        <v>#REF!</v>
      </c>
      <c r="J299" s="187">
        <v>41135992</v>
      </c>
      <c r="K299" s="164" t="e">
        <f>'INFORME '!#REF!</f>
        <v>#REF!</v>
      </c>
      <c r="L299" s="164" t="e">
        <f>'INFORME '!#REF!</f>
        <v>#REF!</v>
      </c>
      <c r="M299" s="157" t="s">
        <v>782</v>
      </c>
      <c r="N299" s="160">
        <v>1</v>
      </c>
      <c r="O299" s="160">
        <v>3</v>
      </c>
      <c r="P299" s="157" t="s">
        <v>1048</v>
      </c>
      <c r="Q299" s="157" t="s">
        <v>505</v>
      </c>
      <c r="R299" s="160">
        <v>236.55</v>
      </c>
      <c r="S299" s="157" t="e">
        <f>'INFORME '!#REF!</f>
        <v>#REF!</v>
      </c>
      <c r="T299" s="287" t="s">
        <v>852</v>
      </c>
    </row>
    <row r="300" spans="2:20">
      <c r="B300" s="185" t="e">
        <f>'INFORME '!#REF!</f>
        <v>#REF!</v>
      </c>
      <c r="C300" s="186" t="e">
        <f>'INFORME '!#REF!</f>
        <v>#REF!</v>
      </c>
      <c r="D300" s="164" t="e">
        <f>'INFORME '!#REF!</f>
        <v>#REF!</v>
      </c>
      <c r="E300" s="164"/>
      <c r="F300" s="179" t="e">
        <f>'INFORME '!#REF!</f>
        <v>#REF!</v>
      </c>
      <c r="G300" s="179" t="e">
        <f>'INFORME '!#REF!</f>
        <v>#REF!</v>
      </c>
      <c r="H300" s="179" t="e">
        <f>'INFORME '!#REF!</f>
        <v>#REF!</v>
      </c>
      <c r="I300" s="187" t="e">
        <f>'INFORME '!#REF!</f>
        <v>#REF!</v>
      </c>
      <c r="J300" s="187">
        <v>51146260</v>
      </c>
      <c r="K300" s="164" t="e">
        <f>'INFORME '!#REF!</f>
        <v>#REF!</v>
      </c>
      <c r="L300" s="164" t="e">
        <f>'INFORME '!#REF!</f>
        <v>#REF!</v>
      </c>
      <c r="M300" s="157"/>
      <c r="N300" s="160"/>
      <c r="O300" s="160"/>
      <c r="P300" s="157"/>
      <c r="Q300" s="157"/>
      <c r="R300" s="160"/>
      <c r="S300" s="157" t="e">
        <f>'INFORME '!#REF!</f>
        <v>#REF!</v>
      </c>
      <c r="T300" s="287" t="s">
        <v>809</v>
      </c>
    </row>
    <row r="301" spans="2:20">
      <c r="B301" s="185" t="e">
        <f>'INFORME '!#REF!</f>
        <v>#REF!</v>
      </c>
      <c r="C301" s="186" t="e">
        <f>'INFORME '!#REF!</f>
        <v>#REF!</v>
      </c>
      <c r="D301" s="164" t="e">
        <f>'INFORME '!#REF!</f>
        <v>#REF!</v>
      </c>
      <c r="E301" s="164"/>
      <c r="F301" s="179" t="e">
        <f>'INFORME '!#REF!</f>
        <v>#REF!</v>
      </c>
      <c r="G301" s="179" t="e">
        <f>'INFORME '!#REF!</f>
        <v>#REF!</v>
      </c>
      <c r="H301" s="179" t="e">
        <f>'INFORME '!#REF!</f>
        <v>#REF!</v>
      </c>
      <c r="I301" s="187" t="e">
        <f>'INFORME '!#REF!</f>
        <v>#REF!</v>
      </c>
      <c r="J301" s="187">
        <v>57615556</v>
      </c>
      <c r="K301" s="164" t="e">
        <f>'INFORME '!#REF!</f>
        <v>#REF!</v>
      </c>
      <c r="L301" s="164" t="e">
        <f>'INFORME '!#REF!</f>
        <v>#REF!</v>
      </c>
      <c r="M301" s="157"/>
      <c r="N301" s="160"/>
      <c r="O301" s="160"/>
      <c r="P301" s="157"/>
      <c r="Q301" s="157"/>
      <c r="R301" s="160"/>
      <c r="S301" s="157" t="e">
        <f>'INFORME '!#REF!</f>
        <v>#REF!</v>
      </c>
      <c r="T301" s="287" t="s">
        <v>1052</v>
      </c>
    </row>
    <row r="302" spans="2:20" ht="30">
      <c r="B302" s="185" t="e">
        <f>'INFORME '!#REF!</f>
        <v>#REF!</v>
      </c>
      <c r="C302" s="186" t="e">
        <f>'INFORME '!#REF!</f>
        <v>#REF!</v>
      </c>
      <c r="D302" s="164" t="e">
        <f>'INFORME '!#REF!</f>
        <v>#REF!</v>
      </c>
      <c r="E302" s="164"/>
      <c r="F302" s="179" t="e">
        <f>'INFORME '!#REF!</f>
        <v>#REF!</v>
      </c>
      <c r="G302" s="179" t="e">
        <f>'INFORME '!#REF!</f>
        <v>#REF!</v>
      </c>
      <c r="H302" s="179" t="e">
        <f>'INFORME '!#REF!</f>
        <v>#REF!</v>
      </c>
      <c r="I302" s="187" t="e">
        <f>'INFORME '!#REF!</f>
        <v>#REF!</v>
      </c>
      <c r="J302" s="187" t="s">
        <v>29</v>
      </c>
      <c r="K302" s="164" t="e">
        <f>'INFORME '!#REF!</f>
        <v>#REF!</v>
      </c>
      <c r="L302" s="164" t="e">
        <f>'INFORME '!#REF!</f>
        <v>#REF!</v>
      </c>
      <c r="M302" s="157"/>
      <c r="N302" s="160"/>
      <c r="O302" s="160"/>
      <c r="P302" s="157"/>
      <c r="Q302" s="157"/>
      <c r="R302" s="160"/>
      <c r="S302" s="157" t="e">
        <f>'INFORME '!#REF!</f>
        <v>#REF!</v>
      </c>
      <c r="T302" s="287" t="s">
        <v>1053</v>
      </c>
    </row>
    <row r="303" spans="2:20">
      <c r="B303" s="185" t="e">
        <f>'INFORME '!#REF!</f>
        <v>#REF!</v>
      </c>
      <c r="C303" s="186" t="e">
        <f>'INFORME '!#REF!</f>
        <v>#REF!</v>
      </c>
      <c r="D303" s="164" t="e">
        <f>'INFORME '!#REF!</f>
        <v>#REF!</v>
      </c>
      <c r="E303" s="164"/>
      <c r="F303" s="179" t="e">
        <f>'INFORME '!#REF!</f>
        <v>#REF!</v>
      </c>
      <c r="G303" s="179" t="e">
        <f>'INFORME '!#REF!</f>
        <v>#REF!</v>
      </c>
      <c r="H303" s="179" t="e">
        <f>'INFORME '!#REF!</f>
        <v>#REF!</v>
      </c>
      <c r="I303" s="187" t="e">
        <f>'INFORME '!#REF!</f>
        <v>#REF!</v>
      </c>
      <c r="J303" s="187" t="s">
        <v>29</v>
      </c>
      <c r="K303" s="164" t="e">
        <f>'INFORME '!#REF!</f>
        <v>#REF!</v>
      </c>
      <c r="L303" s="164" t="e">
        <f>'INFORME '!#REF!</f>
        <v>#REF!</v>
      </c>
      <c r="M303" s="157" t="s">
        <v>597</v>
      </c>
      <c r="N303" s="160">
        <v>2</v>
      </c>
      <c r="O303" s="160">
        <v>1</v>
      </c>
      <c r="P303" s="157" t="s">
        <v>538</v>
      </c>
      <c r="Q303" s="157" t="s">
        <v>505</v>
      </c>
      <c r="R303" s="160">
        <v>153</v>
      </c>
      <c r="S303" s="157" t="e">
        <f>'INFORME '!#REF!</f>
        <v>#REF!</v>
      </c>
      <c r="T303" s="287" t="s">
        <v>488</v>
      </c>
    </row>
    <row r="304" spans="2:20">
      <c r="B304" s="185" t="e">
        <f>'INFORME '!#REF!</f>
        <v>#REF!</v>
      </c>
      <c r="C304" s="186" t="e">
        <f>'INFORME '!#REF!</f>
        <v>#REF!</v>
      </c>
      <c r="D304" s="164" t="e">
        <f>'INFORME '!#REF!</f>
        <v>#REF!</v>
      </c>
      <c r="E304" s="164"/>
      <c r="F304" s="179" t="e">
        <f>'INFORME '!#REF!</f>
        <v>#REF!</v>
      </c>
      <c r="G304" s="179" t="e">
        <f>'INFORME '!#REF!</f>
        <v>#REF!</v>
      </c>
      <c r="H304" s="179" t="e">
        <f>'INFORME '!#REF!</f>
        <v>#REF!</v>
      </c>
      <c r="I304" s="187" t="e">
        <f>'INFORME '!#REF!</f>
        <v>#REF!</v>
      </c>
      <c r="J304" s="187">
        <v>51354990</v>
      </c>
      <c r="K304" s="164" t="e">
        <f>'INFORME '!#REF!</f>
        <v>#REF!</v>
      </c>
      <c r="L304" s="164" t="e">
        <f>'INFORME '!#REF!</f>
        <v>#REF!</v>
      </c>
      <c r="M304" s="157" t="s">
        <v>445</v>
      </c>
      <c r="N304" s="160">
        <v>1</v>
      </c>
      <c r="O304" s="160">
        <v>1</v>
      </c>
      <c r="P304" s="157" t="s">
        <v>538</v>
      </c>
      <c r="Q304" s="157" t="s">
        <v>505</v>
      </c>
      <c r="R304" s="160">
        <v>68.11</v>
      </c>
      <c r="S304" s="157" t="e">
        <f>'INFORME '!#REF!</f>
        <v>#REF!</v>
      </c>
      <c r="T304" s="287" t="s">
        <v>488</v>
      </c>
    </row>
    <row r="305" spans="2:20" ht="31" thickBot="1">
      <c r="B305" s="185" t="e">
        <f>'INFORME '!#REF!</f>
        <v>#REF!</v>
      </c>
      <c r="C305" s="186" t="e">
        <f>'INFORME '!#REF!</f>
        <v>#REF!</v>
      </c>
      <c r="D305" s="164" t="e">
        <f>'INFORME '!#REF!</f>
        <v>#REF!</v>
      </c>
      <c r="E305" s="164"/>
      <c r="F305" s="179" t="e">
        <f>'INFORME '!#REF!</f>
        <v>#REF!</v>
      </c>
      <c r="G305" s="179" t="e">
        <f>'INFORME '!#REF!</f>
        <v>#REF!</v>
      </c>
      <c r="H305" s="179" t="e">
        <f>'INFORME '!#REF!</f>
        <v>#REF!</v>
      </c>
      <c r="I305" s="187" t="e">
        <f>'INFORME '!#REF!</f>
        <v>#REF!</v>
      </c>
      <c r="J305" s="187">
        <v>42587403</v>
      </c>
      <c r="K305" s="164" t="e">
        <f>'INFORME '!#REF!</f>
        <v>#REF!</v>
      </c>
      <c r="L305" s="164" t="e">
        <f>'INFORME '!#REF!</f>
        <v>#REF!</v>
      </c>
      <c r="M305" s="157" t="s">
        <v>1059</v>
      </c>
      <c r="N305" s="160">
        <v>1</v>
      </c>
      <c r="O305" s="160">
        <v>1</v>
      </c>
      <c r="P305" s="157" t="s">
        <v>489</v>
      </c>
      <c r="Q305" s="157" t="s">
        <v>692</v>
      </c>
      <c r="R305" s="160">
        <v>96</v>
      </c>
      <c r="S305" s="157" t="e">
        <f>'INFORME '!#REF!</f>
        <v>#REF!</v>
      </c>
      <c r="T305" s="287" t="s">
        <v>1060</v>
      </c>
    </row>
    <row r="306" spans="2:20" ht="16" hidden="1" thickBot="1">
      <c r="B306" s="185" t="e">
        <f>'INFORME '!B28</f>
        <v>#REF!</v>
      </c>
      <c r="C306" s="186">
        <f>'INFORME '!C28</f>
        <v>0</v>
      </c>
      <c r="D306" s="164">
        <f>'INFORME '!D28</f>
        <v>0</v>
      </c>
      <c r="E306" s="164"/>
      <c r="F306" s="179">
        <f>'INFORME '!E28</f>
        <v>0</v>
      </c>
      <c r="G306" s="179">
        <f>'INFORME '!F28</f>
        <v>0</v>
      </c>
      <c r="H306" s="179">
        <f>'INFORME '!G28</f>
        <v>0</v>
      </c>
      <c r="I306" s="187">
        <f>'INFORME '!H28</f>
        <v>0</v>
      </c>
      <c r="J306" s="187"/>
      <c r="K306" s="164">
        <f>'INFORME '!I28</f>
        <v>0</v>
      </c>
      <c r="L306" s="164" t="e">
        <f>'INFORME '!#REF!</f>
        <v>#REF!</v>
      </c>
      <c r="M306" s="157"/>
      <c r="N306" s="160"/>
      <c r="O306" s="160"/>
      <c r="P306" s="157"/>
      <c r="Q306" s="157"/>
      <c r="R306" s="160"/>
      <c r="S306" s="157">
        <f>'INFORME '!K28</f>
        <v>0</v>
      </c>
      <c r="T306" s="287"/>
    </row>
    <row r="307" spans="2:20" ht="22" thickBot="1">
      <c r="B307" s="376" t="s">
        <v>30</v>
      </c>
      <c r="C307" s="377"/>
      <c r="D307" s="377"/>
      <c r="E307" s="377"/>
      <c r="F307" s="378"/>
      <c r="G307" s="379"/>
      <c r="H307" s="380"/>
      <c r="I307" s="380"/>
      <c r="J307" s="380"/>
      <c r="K307" s="380"/>
      <c r="L307" s="380"/>
      <c r="M307" s="380"/>
      <c r="N307" s="380"/>
      <c r="O307" s="380"/>
      <c r="P307" s="380"/>
      <c r="Q307" s="380"/>
      <c r="R307" s="380"/>
      <c r="S307" s="380"/>
      <c r="T307" s="381"/>
    </row>
    <row r="308" spans="2:20" s="169" customFormat="1">
      <c r="T308" s="279"/>
    </row>
    <row r="309" spans="2:20" s="169" customFormat="1" ht="16" thickBot="1">
      <c r="T309" s="279"/>
    </row>
    <row r="310" spans="2:20" ht="25" thickBot="1">
      <c r="B310" s="373" t="s">
        <v>1067</v>
      </c>
      <c r="C310" s="374"/>
      <c r="D310" s="374"/>
      <c r="E310" s="374"/>
      <c r="F310" s="374"/>
      <c r="G310" s="374"/>
      <c r="H310" s="374"/>
      <c r="I310" s="374"/>
      <c r="J310" s="374"/>
      <c r="K310" s="374"/>
      <c r="L310" s="374"/>
      <c r="M310" s="374"/>
      <c r="N310" s="374"/>
      <c r="O310" s="374"/>
      <c r="P310" s="374"/>
      <c r="Q310" s="374"/>
      <c r="R310" s="374"/>
      <c r="S310" s="374"/>
      <c r="T310" s="375"/>
    </row>
    <row r="311" spans="2:20" ht="31" thickBot="1">
      <c r="B311" s="79" t="s">
        <v>12</v>
      </c>
      <c r="C311" s="79" t="s">
        <v>22</v>
      </c>
      <c r="D311" s="80" t="s">
        <v>14</v>
      </c>
      <c r="E311" s="80" t="s">
        <v>507</v>
      </c>
      <c r="F311" s="80" t="s">
        <v>23</v>
      </c>
      <c r="G311" s="80" t="s">
        <v>24</v>
      </c>
      <c r="H311" s="80" t="s">
        <v>20</v>
      </c>
      <c r="I311" s="80" t="s">
        <v>25</v>
      </c>
      <c r="J311" s="80" t="s">
        <v>422</v>
      </c>
      <c r="K311" s="81" t="s">
        <v>26</v>
      </c>
      <c r="L311" s="81" t="s">
        <v>363</v>
      </c>
      <c r="M311" s="116" t="s">
        <v>485</v>
      </c>
      <c r="N311" s="163" t="s">
        <v>593</v>
      </c>
      <c r="O311" s="163" t="s">
        <v>537</v>
      </c>
      <c r="P311" s="81" t="s">
        <v>529</v>
      </c>
      <c r="Q311" s="81" t="s">
        <v>504</v>
      </c>
      <c r="R311" s="80" t="s">
        <v>490</v>
      </c>
      <c r="S311" s="80" t="s">
        <v>486</v>
      </c>
      <c r="T311" s="280" t="s">
        <v>530</v>
      </c>
    </row>
    <row r="312" spans="2:20" ht="30">
      <c r="B312" s="185">
        <f>'INFORME '!B36</f>
        <v>1</v>
      </c>
      <c r="C312" s="186">
        <f>'INFORME '!C36</f>
        <v>46129</v>
      </c>
      <c r="D312" s="164" t="str">
        <f>'INFORME '!D36</f>
        <v>RPNC1-4240426</v>
      </c>
      <c r="E312" s="164" t="s">
        <v>488</v>
      </c>
      <c r="F312" s="179" t="str">
        <f>'INFORME '!E36</f>
        <v>CAJAS ITZEP, RAFAEL SALVADOR</v>
      </c>
      <c r="G312" s="179" t="str">
        <f>'INFORME '!F36</f>
        <v>8va AVENIDA 0-10, ZONA 1</v>
      </c>
      <c r="H312" s="179">
        <f>'INFORME '!G36</f>
        <v>1</v>
      </c>
      <c r="I312" s="187">
        <v>0</v>
      </c>
      <c r="J312" s="187">
        <v>34317424</v>
      </c>
      <c r="K312" s="164" t="e">
        <f>'INFORME '!#REF!</f>
        <v>#REF!</v>
      </c>
      <c r="L312" s="164" t="e">
        <f>'INFORME '!#REF!</f>
        <v>#REF!</v>
      </c>
      <c r="M312" s="157" t="s">
        <v>1068</v>
      </c>
      <c r="N312" s="160" t="s">
        <v>1069</v>
      </c>
      <c r="O312" s="160">
        <v>3</v>
      </c>
      <c r="P312" s="157" t="s">
        <v>1009</v>
      </c>
      <c r="Q312" s="157" t="s">
        <v>1070</v>
      </c>
      <c r="R312" s="160">
        <v>289.94</v>
      </c>
      <c r="S312" s="157" t="str">
        <f>'INFORME '!K36</f>
        <v>REGULARIZACIÓN</v>
      </c>
      <c r="T312" s="287" t="s">
        <v>488</v>
      </c>
    </row>
    <row r="313" spans="2:20">
      <c r="B313" s="185">
        <f>'INFORME '!B37</f>
        <v>2</v>
      </c>
      <c r="C313" s="186">
        <f>'INFORME '!C37</f>
        <v>46105</v>
      </c>
      <c r="D313" s="164" t="str">
        <f>'INFORME '!D37</f>
        <v>CRUPR-810326</v>
      </c>
      <c r="E313" s="164" t="s">
        <v>488</v>
      </c>
      <c r="F313" s="179" t="str">
        <f>'INFORME '!E37</f>
        <v>PEREZ Y PEREZ, MARIA ANA</v>
      </c>
      <c r="G313" s="179" t="str">
        <f>'INFORME '!F37</f>
        <v>CANTON CHUILAJU</v>
      </c>
      <c r="H313" s="179">
        <f>'INFORME '!G37</f>
        <v>5</v>
      </c>
      <c r="I313" s="187" t="str">
        <f>'INFORME '!H37</f>
        <v>-</v>
      </c>
      <c r="J313" s="187">
        <v>34541764</v>
      </c>
      <c r="K313" s="164">
        <f>'INFORME '!I37</f>
        <v>46129</v>
      </c>
      <c r="L313" s="164" t="e">
        <f>'INFORME '!#REF!</f>
        <v>#REF!</v>
      </c>
      <c r="M313" s="157"/>
      <c r="N313" s="160"/>
      <c r="O313" s="160"/>
      <c r="P313" s="157"/>
      <c r="Q313" s="157"/>
      <c r="R313" s="160"/>
      <c r="S313" s="157" t="str">
        <f>'INFORME '!K37</f>
        <v>CONSTRUCCION RURAL</v>
      </c>
      <c r="T313" s="287" t="s">
        <v>1072</v>
      </c>
    </row>
    <row r="314" spans="2:20" ht="30">
      <c r="B314" s="185">
        <f>'INFORME '!B38</f>
        <v>3</v>
      </c>
      <c r="C314" s="186">
        <f>'INFORME '!C38</f>
        <v>46128</v>
      </c>
      <c r="D314" s="164" t="str">
        <f>'INFORME '!D38</f>
        <v> VUNDR-1310426</v>
      </c>
      <c r="E314" s="164" t="s">
        <v>488</v>
      </c>
      <c r="F314" s="179" t="str">
        <f>'INFORME '!E38</f>
        <v> DESARROLLOS DE SUR-OCCIDENTE S.A.</v>
      </c>
      <c r="G314" s="179" t="str">
        <f>'INFORME '!F38</f>
        <v> LOTE E24 SECTOR 1 CIUDAD VERDE CHICHIGUITAN</v>
      </c>
      <c r="H314" s="179">
        <f>'INFORME '!G38</f>
        <v>0</v>
      </c>
      <c r="I314" s="187">
        <f>'INFORME '!H38</f>
        <v>0</v>
      </c>
      <c r="J314" s="187">
        <v>34541764</v>
      </c>
      <c r="K314" s="164">
        <f>'INFORME '!I38</f>
        <v>46140</v>
      </c>
      <c r="L314" s="164" t="e">
        <f>'INFORME '!#REF!</f>
        <v>#REF!</v>
      </c>
      <c r="M314" s="157"/>
      <c r="N314" s="160"/>
      <c r="O314" s="160"/>
      <c r="P314" s="157"/>
      <c r="Q314" s="157"/>
      <c r="R314" s="160"/>
      <c r="S314" s="157" t="str">
        <f>'INFORME '!K38</f>
        <v>REGULARIZACIÓN</v>
      </c>
      <c r="T314" s="287" t="s">
        <v>1072</v>
      </c>
    </row>
    <row r="315" spans="2:20">
      <c r="B315" s="185">
        <f>'INFORME '!B39</f>
        <v>4</v>
      </c>
      <c r="C315" s="186">
        <f>'INFORME '!C39</f>
        <v>46142</v>
      </c>
      <c r="D315" s="164" t="str">
        <f>'INFORME '!D39</f>
        <v> VUNC1-1430526</v>
      </c>
      <c r="E315" s="164" t="s">
        <v>488</v>
      </c>
      <c r="F315" s="179" t="str">
        <f>'INFORME '!E39</f>
        <v> CHO SAC, AROLDO RUBEN</v>
      </c>
      <c r="G315" s="179" t="str">
        <f>'INFORME '!F39</f>
        <v> ZONA 1 DIAGONAL 11 26-15</v>
      </c>
      <c r="H315" s="179">
        <f>'INFORME '!G39</f>
        <v>5</v>
      </c>
      <c r="I315" s="187" t="str">
        <f>'INFORME '!H39</f>
        <v>-</v>
      </c>
      <c r="J315" s="187">
        <v>50623424</v>
      </c>
      <c r="K315" s="164">
        <f>'INFORME '!I39</f>
        <v>46148</v>
      </c>
      <c r="L315" s="164" t="e">
        <f>'INFORME '!#REF!</f>
        <v>#REF!</v>
      </c>
      <c r="M315" s="157" t="s">
        <v>445</v>
      </c>
      <c r="N315" s="160">
        <v>1</v>
      </c>
      <c r="O315" s="160">
        <v>1</v>
      </c>
      <c r="P315" s="157" t="s">
        <v>538</v>
      </c>
      <c r="Q315" s="157" t="s">
        <v>505</v>
      </c>
      <c r="R315" s="160">
        <v>37.200000000000003</v>
      </c>
      <c r="S315" s="157" t="str">
        <f>'INFORME '!K39</f>
        <v>REGULARIZACIÓN</v>
      </c>
      <c r="T315" s="287" t="s">
        <v>783</v>
      </c>
    </row>
    <row r="316" spans="2:20" ht="30">
      <c r="B316" s="185">
        <f>'INFORME '!B40</f>
        <v>5</v>
      </c>
      <c r="C316" s="186">
        <f>'INFORME '!C40</f>
        <v>46128</v>
      </c>
      <c r="D316" s="164" t="str">
        <f>'INFORME '!D40</f>
        <v> VUNDR-1370426</v>
      </c>
      <c r="E316" s="164" t="s">
        <v>488</v>
      </c>
      <c r="F316" s="179" t="str">
        <f>'INFORME '!E40</f>
        <v> DESARROLLOS DE SUR-OCCIDENTE S.A.</v>
      </c>
      <c r="G316" s="179" t="str">
        <f>'INFORME '!F40</f>
        <v> LOTE E17 SECTOR 1 CIUDAD VERDE CHICHIGUITAN</v>
      </c>
      <c r="H316" s="179">
        <f>'INFORME '!G40</f>
        <v>1</v>
      </c>
      <c r="I316" s="187" t="str">
        <f>'INFORME '!H40</f>
        <v>-</v>
      </c>
      <c r="J316" s="187">
        <v>39615604</v>
      </c>
      <c r="K316" s="164">
        <f>'INFORME '!I40</f>
        <v>46140</v>
      </c>
      <c r="L316" s="164" t="e">
        <f>'INFORME '!#REF!</f>
        <v>#REF!</v>
      </c>
      <c r="M316" s="157" t="s">
        <v>1080</v>
      </c>
      <c r="N316" s="160" t="s">
        <v>1081</v>
      </c>
      <c r="O316" s="160">
        <v>3</v>
      </c>
      <c r="P316" s="157" t="s">
        <v>538</v>
      </c>
      <c r="Q316" s="157" t="s">
        <v>505</v>
      </c>
      <c r="R316" s="160">
        <v>111.04</v>
      </c>
      <c r="S316" s="157" t="str">
        <f>'INFORME '!K40</f>
        <v>REGULARIZACIÓN</v>
      </c>
      <c r="T316" s="287" t="s">
        <v>783</v>
      </c>
    </row>
    <row r="317" spans="2:20" ht="30">
      <c r="B317" s="185">
        <f>'INFORME '!B41</f>
        <v>6</v>
      </c>
      <c r="C317" s="186">
        <f>'INFORME '!C41</f>
        <v>46128</v>
      </c>
      <c r="D317" s="164" t="str">
        <f>'INFORME '!D41</f>
        <v> VUNDR-1360426</v>
      </c>
      <c r="E317" s="164" t="s">
        <v>488</v>
      </c>
      <c r="F317" s="179" t="str">
        <f>'INFORME '!E41</f>
        <v> DESARROLLOS DE SUR-OCCIDENTE S.A.</v>
      </c>
      <c r="G317" s="179" t="str">
        <f>'INFORME '!F41</f>
        <v> LOTE E29 SECTOR 1 CIUDAD VERDE CHICHIGUITAN</v>
      </c>
      <c r="H317" s="179">
        <f>'INFORME '!G41</f>
        <v>10</v>
      </c>
      <c r="I317" s="187" t="str">
        <f>'INFORME '!H41</f>
        <v>-</v>
      </c>
      <c r="J317" s="187">
        <v>53271434</v>
      </c>
      <c r="K317" s="164">
        <f>'INFORME '!I41</f>
        <v>46140</v>
      </c>
      <c r="L317" s="164" t="e">
        <f>'INFORME '!#REF!</f>
        <v>#REF!</v>
      </c>
      <c r="M317" s="157"/>
      <c r="N317" s="160"/>
      <c r="O317" s="160"/>
      <c r="P317" s="157"/>
      <c r="Q317" s="157"/>
      <c r="R317" s="160"/>
      <c r="S317" s="157" t="str">
        <f>'INFORME '!K41</f>
        <v>REGULARIZACIÓN</v>
      </c>
      <c r="T317" s="287" t="s">
        <v>704</v>
      </c>
    </row>
    <row r="318" spans="2:20" ht="30">
      <c r="B318" s="185">
        <f>'INFORME '!B42</f>
        <v>7</v>
      </c>
      <c r="C318" s="186">
        <f>'INFORME '!C42</f>
        <v>46128</v>
      </c>
      <c r="D318" s="164" t="str">
        <f>'INFORME '!D42</f>
        <v> VUNDR-1350426</v>
      </c>
      <c r="E318" s="164" t="s">
        <v>488</v>
      </c>
      <c r="F318" s="179" t="str">
        <f>'INFORME '!E42</f>
        <v> DESARROLLOS DE SUR-OCCIDENTE S.A.</v>
      </c>
      <c r="G318" s="179" t="str">
        <f>'INFORME '!F42</f>
        <v> LOTE E28 SECTOR 1 CIUDAD VERDE CHICHIGUITAN</v>
      </c>
      <c r="H318" s="179">
        <f>'INFORME '!G42</f>
        <v>3</v>
      </c>
      <c r="I318" s="187" t="str">
        <f>'INFORME '!H42</f>
        <v>-</v>
      </c>
      <c r="J318" s="187"/>
      <c r="K318" s="164">
        <f>'INFORME '!I42</f>
        <v>46140</v>
      </c>
      <c r="L318" s="164" t="e">
        <f>'INFORME '!#REF!</f>
        <v>#REF!</v>
      </c>
      <c r="M318" s="157"/>
      <c r="N318" s="160"/>
      <c r="O318" s="160"/>
      <c r="P318" s="157"/>
      <c r="Q318" s="157"/>
      <c r="R318" s="160"/>
      <c r="S318" s="157" t="str">
        <f>'INFORME '!K42</f>
        <v>REGULARIZACIÓN</v>
      </c>
      <c r="T318" s="287"/>
    </row>
    <row r="319" spans="2:20" ht="30">
      <c r="B319" s="185">
        <f>'INFORME '!B43</f>
        <v>8</v>
      </c>
      <c r="C319" s="186">
        <f>'INFORME '!C43</f>
        <v>46128</v>
      </c>
      <c r="D319" s="164" t="str">
        <f>'INFORME '!D43</f>
        <v> VUNDR-1340426</v>
      </c>
      <c r="E319" s="164" t="s">
        <v>488</v>
      </c>
      <c r="F319" s="179" t="str">
        <f>'INFORME '!E43</f>
        <v> DESARROLLOS DE SUR-OCCIDENTE S.A.</v>
      </c>
      <c r="G319" s="179" t="str">
        <f>'INFORME '!F43</f>
        <v> LOTE E27 SECTOR 1 CIUDAD VERDE CHICHIGUITAN</v>
      </c>
      <c r="H319" s="179">
        <f>'INFORME '!G43</f>
        <v>5</v>
      </c>
      <c r="I319" s="187" t="str">
        <f>'INFORME '!H43</f>
        <v>LA COLINA</v>
      </c>
      <c r="J319" s="187">
        <v>57990436</v>
      </c>
      <c r="K319" s="164">
        <f>'INFORME '!I43</f>
        <v>46140</v>
      </c>
      <c r="L319" s="164" t="e">
        <f>'INFORME '!#REF!</f>
        <v>#REF!</v>
      </c>
      <c r="M319" s="157" t="s">
        <v>690</v>
      </c>
      <c r="N319" s="160">
        <v>2</v>
      </c>
      <c r="O319" s="160">
        <v>2</v>
      </c>
      <c r="P319" s="157" t="s">
        <v>538</v>
      </c>
      <c r="Q319" s="157" t="s">
        <v>505</v>
      </c>
      <c r="R319" s="160">
        <v>173.52</v>
      </c>
      <c r="S319" s="157" t="str">
        <f>'INFORME '!K43</f>
        <v>REGULARIZACIÓN</v>
      </c>
      <c r="T319" s="287" t="s">
        <v>1090</v>
      </c>
    </row>
    <row r="320" spans="2:20" ht="45">
      <c r="B320" s="185">
        <f>'INFORME '!B44</f>
        <v>9</v>
      </c>
      <c r="C320" s="186">
        <f>'INFORME '!C44</f>
        <v>46128</v>
      </c>
      <c r="D320" s="164" t="str">
        <f>'INFORME '!D44</f>
        <v> VUNDR-1330426</v>
      </c>
      <c r="E320" s="164" t="s">
        <v>488</v>
      </c>
      <c r="F320" s="179" t="str">
        <f>'INFORME '!E44</f>
        <v> DESARROLLOS DE SUR-OCCIDENTE S.A.</v>
      </c>
      <c r="G320" s="179" t="str">
        <f>'INFORME '!F44</f>
        <v> LOTE E26 SECTOR 1 CIUDAD VERDE CHICHIGUITAN</v>
      </c>
      <c r="H320" s="179">
        <f>'INFORME '!G44</f>
        <v>6</v>
      </c>
      <c r="I320" s="187" t="str">
        <f>'INFORME '!H44</f>
        <v>-</v>
      </c>
      <c r="J320" s="187">
        <v>58292403</v>
      </c>
      <c r="K320" s="164">
        <f>'INFORME '!I44</f>
        <v>46140</v>
      </c>
      <c r="L320" s="164" t="e">
        <f>'INFORME '!#REF!</f>
        <v>#REF!</v>
      </c>
      <c r="M320" s="157" t="s">
        <v>445</v>
      </c>
      <c r="N320" s="160">
        <v>1</v>
      </c>
      <c r="O320" s="160">
        <v>1</v>
      </c>
      <c r="P320" s="157" t="s">
        <v>1095</v>
      </c>
      <c r="Q320" s="157" t="s">
        <v>505</v>
      </c>
      <c r="R320" s="160" t="s">
        <v>1096</v>
      </c>
      <c r="S320" s="157" t="str">
        <f>'INFORME '!K44</f>
        <v>REGULARIZACIÓN</v>
      </c>
      <c r="T320" s="287" t="s">
        <v>488</v>
      </c>
    </row>
    <row r="321" spans="1:20">
      <c r="B321" s="185">
        <f>'INFORME '!B45</f>
        <v>10</v>
      </c>
      <c r="C321" s="186" t="e">
        <f>'INFORME '!#REF!</f>
        <v>#REF!</v>
      </c>
      <c r="D321" s="164" t="e">
        <f>'INFORME '!#REF!</f>
        <v>#REF!</v>
      </c>
      <c r="E321" s="164" t="s">
        <v>488</v>
      </c>
      <c r="F321" s="179" t="e">
        <f>'INFORME '!#REF!</f>
        <v>#REF!</v>
      </c>
      <c r="G321" s="179" t="e">
        <f>'INFORME '!#REF!</f>
        <v>#REF!</v>
      </c>
      <c r="H321" s="179" t="e">
        <f>'INFORME '!#REF!</f>
        <v>#REF!</v>
      </c>
      <c r="I321" s="187" t="e">
        <f>'INFORME '!#REF!</f>
        <v>#REF!</v>
      </c>
      <c r="J321" s="187">
        <v>54572575</v>
      </c>
      <c r="K321" s="164" t="e">
        <f>'INFORME '!#REF!</f>
        <v>#REF!</v>
      </c>
      <c r="L321" s="164" t="e">
        <f>'INFORME '!#REF!</f>
        <v>#REF!</v>
      </c>
      <c r="M321" s="157" t="s">
        <v>1097</v>
      </c>
      <c r="N321" s="160">
        <v>1</v>
      </c>
      <c r="O321" s="160">
        <v>3</v>
      </c>
      <c r="P321" s="157" t="s">
        <v>538</v>
      </c>
      <c r="Q321" s="157" t="s">
        <v>505</v>
      </c>
      <c r="R321" s="160">
        <v>216.12</v>
      </c>
      <c r="S321" s="157" t="e">
        <f>'INFORME '!#REF!</f>
        <v>#REF!</v>
      </c>
      <c r="T321" s="287" t="s">
        <v>488</v>
      </c>
    </row>
    <row r="322" spans="1:20" ht="30">
      <c r="B322" s="185">
        <f>'INFORME '!B46</f>
        <v>11</v>
      </c>
      <c r="C322" s="186" t="str">
        <f>'INFORME '!D46</f>
        <v>RPNA12-4430526</v>
      </c>
      <c r="D322" s="164" t="e">
        <f>'INFORME '!#REF!</f>
        <v>#REF!</v>
      </c>
      <c r="E322" s="164" t="s">
        <v>1062</v>
      </c>
      <c r="F322" s="179" t="str">
        <f>'INFORME '!E46</f>
        <v>Ajsivinac Soberanis, Hilda María</v>
      </c>
      <c r="G322" s="179" t="str">
        <f>'INFORME '!F46</f>
        <v>6ta calle 12-158, sector 2</v>
      </c>
      <c r="H322" s="179" t="str">
        <f>'INFORME '!G46</f>
        <v>R</v>
      </c>
      <c r="I322" s="187" t="str">
        <f>'INFORME '!H46</f>
        <v>-</v>
      </c>
      <c r="J322" s="187">
        <v>48281487</v>
      </c>
      <c r="K322" s="164">
        <f>'INFORME '!I46</f>
        <v>46141</v>
      </c>
      <c r="L322" s="164" t="e">
        <f>'INFORME '!#REF!</f>
        <v>#REF!</v>
      </c>
      <c r="M322" s="157" t="s">
        <v>445</v>
      </c>
      <c r="N322" s="160">
        <v>1</v>
      </c>
      <c r="O322" s="160">
        <v>1</v>
      </c>
      <c r="P322" s="157" t="s">
        <v>538</v>
      </c>
      <c r="Q322" s="157" t="s">
        <v>505</v>
      </c>
      <c r="R322" s="160">
        <v>27.28</v>
      </c>
      <c r="S322" s="157" t="str">
        <f>'INFORME '!K46</f>
        <v>VUN SE PASO A RP, REINSPECCION</v>
      </c>
      <c r="T322" s="287" t="s">
        <v>783</v>
      </c>
    </row>
    <row r="323" spans="1:20" ht="30">
      <c r="B323" s="185">
        <f>'INFORME '!B47</f>
        <v>12</v>
      </c>
      <c r="C323" s="186">
        <f>'INFORME '!C48</f>
        <v>46129</v>
      </c>
      <c r="D323" s="164" t="str">
        <f>'INFORME '!D48</f>
        <v>RPNO10</v>
      </c>
      <c r="E323" s="164" t="s">
        <v>488</v>
      </c>
      <c r="F323" s="179" t="str">
        <f>'INFORME '!E48</f>
        <v>DIEGO ORDOÑEZ VASQUEZ</v>
      </c>
      <c r="G323" s="179" t="str">
        <f>'INFORME '!F48</f>
        <v>5A AVENIDA 4-33 INTERIOR ZONA 10</v>
      </c>
      <c r="H323" s="179">
        <f>'INFORME '!G48</f>
        <v>9</v>
      </c>
      <c r="I323" s="187" t="str">
        <f>'INFORME '!H48</f>
        <v>-</v>
      </c>
      <c r="J323" s="187">
        <v>31513429</v>
      </c>
      <c r="K323" s="164">
        <f>'INFORME '!I48</f>
        <v>46141</v>
      </c>
      <c r="L323" s="164" t="e">
        <f>'INFORME '!#REF!</f>
        <v>#REF!</v>
      </c>
      <c r="M323" s="157" t="s">
        <v>445</v>
      </c>
      <c r="N323" s="160">
        <v>1</v>
      </c>
      <c r="O323" s="160">
        <v>1</v>
      </c>
      <c r="P323" s="157" t="s">
        <v>538</v>
      </c>
      <c r="Q323" s="157" t="s">
        <v>505</v>
      </c>
      <c r="R323" s="160">
        <v>30.1</v>
      </c>
      <c r="S323" s="157" t="str">
        <f>'INFORME '!K48</f>
        <v xml:space="preserve">REGULARIZACIÓN </v>
      </c>
      <c r="T323" s="287" t="s">
        <v>783</v>
      </c>
    </row>
    <row r="324" spans="1:20" ht="30">
      <c r="B324" s="185">
        <f>'INFORME '!B48</f>
        <v>13</v>
      </c>
      <c r="C324" s="186">
        <f>'INFORME '!C49</f>
        <v>46105</v>
      </c>
      <c r="D324" s="164" t="str">
        <f>'INFORME '!D49</f>
        <v>R-05-0055-2026</v>
      </c>
      <c r="E324" s="164" t="s">
        <v>488</v>
      </c>
      <c r="F324" s="179" t="str">
        <f>'INFORME '!E49</f>
        <v>NAINSO GUAYMER HERNANDEZ VÁSQUEZ</v>
      </c>
      <c r="G324" s="179" t="str">
        <f>'INFORME '!F49</f>
        <v>DIAGONAL 2, 7-68 ZONA5</v>
      </c>
      <c r="H324" s="179" t="str">
        <f>'INFORME '!G49</f>
        <v>R</v>
      </c>
      <c r="I324" s="187" t="str">
        <f>'INFORME '!H49</f>
        <v>-</v>
      </c>
      <c r="J324" s="187">
        <v>56313421</v>
      </c>
      <c r="K324" s="164">
        <f>'INFORME '!I49</f>
        <v>46141</v>
      </c>
      <c r="L324" s="164" t="e">
        <f>'INFORME '!#REF!</f>
        <v>#REF!</v>
      </c>
      <c r="M324" s="157" t="s">
        <v>445</v>
      </c>
      <c r="N324" s="160">
        <v>1</v>
      </c>
      <c r="O324" s="160">
        <v>1</v>
      </c>
      <c r="P324" s="157" t="s">
        <v>538</v>
      </c>
      <c r="Q324" s="157" t="s">
        <v>505</v>
      </c>
      <c r="R324" s="160">
        <v>111</v>
      </c>
      <c r="S324" s="157" t="str">
        <f>'INFORME '!K49</f>
        <v xml:space="preserve">REPORTE A CATASTRO </v>
      </c>
      <c r="T324" s="287" t="s">
        <v>783</v>
      </c>
    </row>
    <row r="325" spans="1:20" ht="45">
      <c r="B325" s="185">
        <f>'INFORME '!B49</f>
        <v>14</v>
      </c>
      <c r="C325" s="186">
        <f>'INFORME '!C50</f>
        <v>46247</v>
      </c>
      <c r="D325" s="164" t="str">
        <f>'INFORME '!D50</f>
        <v>RPNC1-4500526</v>
      </c>
      <c r="E325" s="164" t="s">
        <v>1061</v>
      </c>
      <c r="F325" s="179" t="str">
        <f>'INFORME '!E50</f>
        <v>CHOJOLAN MACHIC, MARIA YOHANA Y CHOJOLAN MACHIC NICOLASA VERONICA</v>
      </c>
      <c r="G325" s="179" t="str">
        <f>'INFORME '!F50</f>
        <v>5 AVENIDA 11-46C INTERIOR ZONA 1</v>
      </c>
      <c r="H325" s="179">
        <f>'INFORME '!G50</f>
        <v>1</v>
      </c>
      <c r="I325" s="187" t="str">
        <f>'INFORME '!H50</f>
        <v>-</v>
      </c>
      <c r="J325" s="187">
        <v>55320534</v>
      </c>
      <c r="K325" s="164">
        <f>'INFORME '!I50</f>
        <v>46147</v>
      </c>
      <c r="L325" s="164" t="e">
        <f>'INFORME '!#REF!</f>
        <v>#REF!</v>
      </c>
      <c r="M325" s="157" t="s">
        <v>433</v>
      </c>
      <c r="N325" s="160">
        <v>1</v>
      </c>
      <c r="O325" s="160">
        <v>2</v>
      </c>
      <c r="P325" s="157" t="s">
        <v>538</v>
      </c>
      <c r="Q325" s="157" t="s">
        <v>505</v>
      </c>
      <c r="R325" s="160">
        <v>123.99</v>
      </c>
      <c r="S325" s="157" t="str">
        <f>'INFORME '!K50</f>
        <v xml:space="preserve">REGULARIZACIÓN </v>
      </c>
      <c r="T325" s="287" t="s">
        <v>783</v>
      </c>
    </row>
    <row r="326" spans="1:20" ht="30">
      <c r="B326" s="185">
        <f>'INFORME '!B50</f>
        <v>15</v>
      </c>
      <c r="C326" s="186">
        <f>'INFORME '!C51</f>
        <v>46104</v>
      </c>
      <c r="D326" s="164" t="str">
        <f>'INFORME '!D51</f>
        <v>RPNM12-4520526</v>
      </c>
      <c r="E326" s="164" t="s">
        <v>488</v>
      </c>
      <c r="F326" s="179" t="str">
        <f>'INFORME '!E51</f>
        <v>JUAN MORALES ROMERO</v>
      </c>
      <c r="G326" s="179" t="str">
        <f>'INFORME '!F51</f>
        <v> 9 CALLE LOTE #250 MANZANA "K" ZONA12</v>
      </c>
      <c r="H326" s="179">
        <f>'INFORME '!G51</f>
        <v>5</v>
      </c>
      <c r="I326" s="187" t="str">
        <f>'INFORME '!H51</f>
        <v>-</v>
      </c>
      <c r="J326" s="187">
        <v>59903207</v>
      </c>
      <c r="K326" s="164">
        <f>'INFORME '!I51</f>
        <v>46147</v>
      </c>
      <c r="L326" s="164" t="e">
        <f>'INFORME '!#REF!</f>
        <v>#REF!</v>
      </c>
      <c r="M326" s="157" t="s">
        <v>433</v>
      </c>
      <c r="N326" s="160">
        <v>1</v>
      </c>
      <c r="O326" s="160">
        <v>2</v>
      </c>
      <c r="P326" s="157" t="s">
        <v>538</v>
      </c>
      <c r="Q326" s="157" t="s">
        <v>505</v>
      </c>
      <c r="R326" s="160">
        <v>123.55</v>
      </c>
      <c r="S326" s="157" t="str">
        <f>'INFORME '!K51</f>
        <v xml:space="preserve">REGULARIZACIÓN </v>
      </c>
      <c r="T326" s="287" t="s">
        <v>1107</v>
      </c>
    </row>
    <row r="327" spans="1:20" ht="30">
      <c r="B327" s="185">
        <f>'INFORME '!B51</f>
        <v>16</v>
      </c>
      <c r="C327" s="186">
        <f>'INFORME '!C52</f>
        <v>46064</v>
      </c>
      <c r="D327" s="164" t="str">
        <f>'INFORME '!D52</f>
        <v>R-03-0023-2026</v>
      </c>
      <c r="E327" s="164" t="s">
        <v>488</v>
      </c>
      <c r="F327" s="179" t="str">
        <f>'INFORME '!E52</f>
        <v>LUZ MARIA DEL ROSARIO MIGUEZ AGUILAR DE LAM</v>
      </c>
      <c r="G327" s="179" t="str">
        <f>'INFORME '!F52</f>
        <v>5 CALLE 14-14, ZONA3</v>
      </c>
      <c r="H327" s="179" t="str">
        <f>'INFORME '!G52</f>
        <v>R</v>
      </c>
      <c r="I327" s="187" t="str">
        <f>'INFORME '!H52</f>
        <v>-</v>
      </c>
      <c r="J327" s="187">
        <v>53513415</v>
      </c>
      <c r="K327" s="164">
        <f>'INFORME '!I52</f>
        <v>46147</v>
      </c>
      <c r="L327" s="164" t="e">
        <f>'INFORME '!#REF!</f>
        <v>#REF!</v>
      </c>
      <c r="M327" s="157" t="s">
        <v>445</v>
      </c>
      <c r="N327" s="160">
        <v>1</v>
      </c>
      <c r="O327" s="160">
        <v>1</v>
      </c>
      <c r="P327" s="157" t="s">
        <v>536</v>
      </c>
      <c r="Q327" s="157" t="s">
        <v>505</v>
      </c>
      <c r="R327" s="160">
        <v>126.87</v>
      </c>
      <c r="S327" s="157" t="str">
        <f>'INFORME '!K52</f>
        <v>RECTIFICACIÓN, OFICIO EXTERNO AL VECINO</v>
      </c>
      <c r="T327" s="287" t="s">
        <v>488</v>
      </c>
    </row>
    <row r="328" spans="1:20" ht="30">
      <c r="B328" s="185">
        <f>'INFORME '!B52</f>
        <v>17</v>
      </c>
      <c r="C328" s="186">
        <f>'INFORME '!C53</f>
        <v>46132</v>
      </c>
      <c r="D328" s="164" t="str">
        <f>'INFORME '!D53</f>
        <v>RPND10-4610526</v>
      </c>
      <c r="E328" s="164" t="s">
        <v>488</v>
      </c>
      <c r="F328" s="179" t="str">
        <f>'INFORME '!E53</f>
        <v>MIGUEL ANTONIO DEL VALLE RIVAS</v>
      </c>
      <c r="G328" s="179" t="str">
        <f>'INFORME '!F53</f>
        <v>LOTE 14, MANZANA1, CONDOMINIO B4, PACAJA ALTO</v>
      </c>
      <c r="H328" s="179" t="str">
        <f>'INFORME '!G53</f>
        <v>R</v>
      </c>
      <c r="I328" s="187" t="str">
        <f>'INFORME '!H53</f>
        <v>-</v>
      </c>
      <c r="J328" s="187">
        <v>59575089</v>
      </c>
      <c r="K328" s="164">
        <f>'INFORME '!I53</f>
        <v>46147</v>
      </c>
      <c r="L328" s="164" t="e">
        <f>'INFORME '!#REF!</f>
        <v>#REF!</v>
      </c>
      <c r="M328" s="157" t="s">
        <v>433</v>
      </c>
      <c r="N328" s="160">
        <v>1</v>
      </c>
      <c r="O328" s="160">
        <v>2</v>
      </c>
      <c r="P328" s="157" t="s">
        <v>538</v>
      </c>
      <c r="Q328" s="157" t="s">
        <v>505</v>
      </c>
      <c r="R328" s="160">
        <v>287.2</v>
      </c>
      <c r="S328" s="157" t="str">
        <f>'INFORME '!K53</f>
        <v xml:space="preserve">REGULARIZACIÓN </v>
      </c>
      <c r="T328" s="287" t="s">
        <v>783</v>
      </c>
    </row>
    <row r="329" spans="1:20" ht="30">
      <c r="A329" s="169" t="s">
        <v>1114</v>
      </c>
      <c r="B329" s="185">
        <f>'INFORME '!B53</f>
        <v>18</v>
      </c>
      <c r="C329" s="186">
        <f>'INFORME '!C54</f>
        <v>46141</v>
      </c>
      <c r="D329" s="164" t="str">
        <f>'INFORME '!D54</f>
        <v>VUNV1-1400426</v>
      </c>
      <c r="E329" s="164" t="s">
        <v>488</v>
      </c>
      <c r="F329" s="179" t="str">
        <f>'INFORME '!E54</f>
        <v>CARLOS ROLANDO VÁSQUEZ</v>
      </c>
      <c r="G329" s="179" t="str">
        <f>'INFORME '!F54</f>
        <v xml:space="preserve"> 27 AVENIDA 4-30C INTERIOR.   ZONA 1</v>
      </c>
      <c r="H329" s="179">
        <f>'INFORME '!G54</f>
        <v>3</v>
      </c>
      <c r="I329" s="187" t="str">
        <f>'INFORME '!H54</f>
        <v>-</v>
      </c>
      <c r="J329" s="187">
        <v>55754169</v>
      </c>
      <c r="K329" s="164">
        <f>'INFORME '!I54</f>
        <v>46149</v>
      </c>
      <c r="L329" s="164" t="e">
        <f>'INFORME '!#REF!</f>
        <v>#REF!</v>
      </c>
      <c r="M329" s="157"/>
      <c r="N329" s="160"/>
      <c r="O329" s="160"/>
      <c r="P329" s="157"/>
      <c r="Q329" s="157"/>
      <c r="R329" s="160"/>
      <c r="S329" s="157" t="str">
        <f>'INFORME '!K54</f>
        <v xml:space="preserve">VUN </v>
      </c>
      <c r="T329" s="287" t="s">
        <v>809</v>
      </c>
    </row>
    <row r="330" spans="1:20" ht="30">
      <c r="B330" s="185">
        <f>'INFORME '!B54</f>
        <v>19</v>
      </c>
      <c r="C330" s="186">
        <f>'INFORME '!C55</f>
        <v>46140</v>
      </c>
      <c r="D330" s="164" t="str">
        <f>'INFORME '!D55</f>
        <v>CRUOR-870426</v>
      </c>
      <c r="E330" s="164" t="s">
        <v>488</v>
      </c>
      <c r="F330" s="179" t="str">
        <f>'INFORME '!E55</f>
        <v>BRAULIO RENE OROZCO LÓPEZ</v>
      </c>
      <c r="G330" s="179" t="str">
        <f>'INFORME '!F55</f>
        <v>CANTÓN CHUICAVIOC SECTOR #4</v>
      </c>
      <c r="H330" s="179">
        <f>'INFORME '!G55</f>
        <v>3</v>
      </c>
      <c r="I330" s="187" t="str">
        <f>'INFORME '!H55</f>
        <v>-</v>
      </c>
      <c r="J330" s="187"/>
      <c r="K330" s="164">
        <f>'INFORME '!I55</f>
        <v>46149</v>
      </c>
      <c r="L330" s="164" t="e">
        <f>'INFORME '!#REF!</f>
        <v>#REF!</v>
      </c>
      <c r="M330" s="157"/>
      <c r="N330" s="160"/>
      <c r="O330" s="160"/>
      <c r="P330" s="157"/>
      <c r="Q330" s="157"/>
      <c r="R330" s="160"/>
      <c r="S330" s="157" t="str">
        <f>'INFORME '!K55</f>
        <v>CONSTRUCCIÓN RURAL ANTIGUA, SOLO USO DE SUELO, SE MANDO A IUSI PARA CARGAR AREA</v>
      </c>
      <c r="T330" s="287" t="s">
        <v>1116</v>
      </c>
    </row>
    <row r="331" spans="1:20" ht="30">
      <c r="B331" s="185">
        <f>'INFORME '!B55</f>
        <v>20</v>
      </c>
      <c r="C331" s="186">
        <f>'INFORME '!C56</f>
        <v>46132</v>
      </c>
      <c r="D331" s="164" t="str">
        <f>'INFORME '!D56</f>
        <v>R-10-0088-2026</v>
      </c>
      <c r="E331" s="164" t="s">
        <v>488</v>
      </c>
      <c r="F331" s="179" t="str">
        <f>'INFORME '!E56</f>
        <v>MIGUEL ANTONIO DEL VALLE RIVAS</v>
      </c>
      <c r="G331" s="179" t="str">
        <f>'INFORME '!F56</f>
        <v>LOTE 14, MANZANA1, CONDOMINIO B4, PACAJA ALTO</v>
      </c>
      <c r="H331" s="179">
        <f>'INFORME '!G56</f>
        <v>7</v>
      </c>
      <c r="I331" s="187" t="str">
        <f>'INFORME '!H56</f>
        <v>LOS TRIGALES</v>
      </c>
      <c r="J331" s="187">
        <v>34317424</v>
      </c>
      <c r="K331" s="164">
        <f>'INFORME '!I56</f>
        <v>46149</v>
      </c>
      <c r="L331" s="164" t="e">
        <f>'INFORME '!#REF!</f>
        <v>#REF!</v>
      </c>
      <c r="M331" s="157" t="s">
        <v>1117</v>
      </c>
      <c r="N331" s="160">
        <v>2</v>
      </c>
      <c r="O331" s="160">
        <v>1</v>
      </c>
      <c r="P331" s="157" t="s">
        <v>538</v>
      </c>
      <c r="Q331" s="157" t="s">
        <v>1118</v>
      </c>
      <c r="R331" s="160" t="s">
        <v>1119</v>
      </c>
      <c r="S331" s="157" t="str">
        <f>'INFORME '!K56</f>
        <v xml:space="preserve">OFICIO CATASTRO </v>
      </c>
      <c r="T331" s="287" t="s">
        <v>488</v>
      </c>
    </row>
    <row r="332" spans="1:20">
      <c r="B332" s="185">
        <f>'INFORME '!B56</f>
        <v>21</v>
      </c>
      <c r="C332" s="186">
        <f>'INFORME '!C57</f>
        <v>46147</v>
      </c>
      <c r="D332" s="164" t="str">
        <f>'INFORME '!D57</f>
        <v>RPNV10-4370526</v>
      </c>
      <c r="E332" s="164" t="s">
        <v>488</v>
      </c>
      <c r="F332" s="179" t="str">
        <f>'INFORME '!E57</f>
        <v>RIGOBERTO VILLATORO CHACAJ</v>
      </c>
      <c r="G332" s="179" t="str">
        <f>'INFORME '!F57</f>
        <v>6 CALLE A 5-70 ZONA 10</v>
      </c>
      <c r="H332" s="179">
        <f>'INFORME '!G57</f>
        <v>5</v>
      </c>
      <c r="I332" s="187" t="str">
        <f>'INFORME '!H57</f>
        <v>-</v>
      </c>
      <c r="J332" s="187">
        <v>47263504</v>
      </c>
      <c r="K332" s="164">
        <f>'INFORME '!I57</f>
        <v>46153</v>
      </c>
      <c r="L332" s="164" t="e">
        <f>'INFORME '!#REF!</f>
        <v>#REF!</v>
      </c>
      <c r="M332" s="157" t="s">
        <v>445</v>
      </c>
      <c r="N332" s="160">
        <v>1</v>
      </c>
      <c r="O332" s="160">
        <v>1</v>
      </c>
      <c r="P332" s="157" t="s">
        <v>538</v>
      </c>
      <c r="Q332" s="157" t="s">
        <v>505</v>
      </c>
      <c r="R332" s="160">
        <v>86.2</v>
      </c>
      <c r="S332" s="157" t="str">
        <f>'INFORME '!K57</f>
        <v xml:space="preserve">REGULARIZACIÓN </v>
      </c>
      <c r="T332" s="287" t="s">
        <v>783</v>
      </c>
    </row>
    <row r="333" spans="1:20">
      <c r="B333" s="185">
        <f>'INFORME '!B57</f>
        <v>22</v>
      </c>
      <c r="C333" s="186">
        <f>'INFORME '!C58</f>
        <v>46147</v>
      </c>
      <c r="D333" s="164" t="str">
        <f>'INFORME '!D58</f>
        <v>RPNG8-4740526</v>
      </c>
      <c r="E333" s="164" t="s">
        <v>488</v>
      </c>
      <c r="F333" s="179" t="str">
        <f>'INFORME '!E58</f>
        <v>CESAR ALFREDO GÓMEZ GARCÍA</v>
      </c>
      <c r="G333" s="179" t="str">
        <f>'INFORME '!F58</f>
        <v>2 CALLE 39C-37 ZOONA 8</v>
      </c>
      <c r="H333" s="179">
        <f>'INFORME '!G58</f>
        <v>5</v>
      </c>
      <c r="I333" s="187" t="str">
        <f>'INFORME '!H58</f>
        <v>LAS ROSAS</v>
      </c>
      <c r="J333" s="187">
        <v>35792966</v>
      </c>
      <c r="K333" s="164">
        <f>'INFORME '!I58</f>
        <v>46153</v>
      </c>
      <c r="L333" s="164" t="e">
        <f>'INFORME '!#REF!</f>
        <v>#REF!</v>
      </c>
      <c r="M333" s="157" t="s">
        <v>445</v>
      </c>
      <c r="N333" s="160">
        <v>1</v>
      </c>
      <c r="O333" s="160">
        <v>1</v>
      </c>
      <c r="P333" s="157" t="s">
        <v>538</v>
      </c>
      <c r="Q333" s="157" t="s">
        <v>505</v>
      </c>
      <c r="R333" s="160">
        <v>136</v>
      </c>
      <c r="S333" s="157" t="str">
        <f>'INFORME '!K58</f>
        <v xml:space="preserve">REGULARIZACIÓN </v>
      </c>
      <c r="T333" s="287" t="s">
        <v>783</v>
      </c>
    </row>
    <row r="334" spans="1:20">
      <c r="B334" s="185">
        <f>'INFORME '!B58</f>
        <v>23</v>
      </c>
      <c r="C334" s="186">
        <f>'INFORME '!C59</f>
        <v>46147</v>
      </c>
      <c r="D334" s="164" t="str">
        <f>'INFORME '!D59</f>
        <v>ANTNG8-1170526</v>
      </c>
      <c r="E334" s="164" t="s">
        <v>488</v>
      </c>
      <c r="F334" s="179" t="str">
        <f>'INFORME '!E59</f>
        <v>CESAR ALFREDO GÓMEZ GARCÍA</v>
      </c>
      <c r="G334" s="179" t="str">
        <f>'INFORME '!F59</f>
        <v>2 CALLE 39C-37 ZOONA 8</v>
      </c>
      <c r="H334" s="179">
        <f>'INFORME '!G59</f>
        <v>5</v>
      </c>
      <c r="I334" s="187" t="str">
        <f>'INFORME '!H59</f>
        <v>LAS ROSAS</v>
      </c>
      <c r="J334" s="187">
        <v>55320534</v>
      </c>
      <c r="K334" s="164">
        <f>'INFORME '!I59</f>
        <v>46153</v>
      </c>
      <c r="L334" s="164" t="e">
        <f>'INFORME '!#REF!</f>
        <v>#REF!</v>
      </c>
      <c r="M334" s="157"/>
      <c r="N334" s="160"/>
      <c r="O334" s="160"/>
      <c r="P334" s="157"/>
      <c r="Q334" s="157"/>
      <c r="R334" s="160"/>
      <c r="S334" s="157" t="str">
        <f>'INFORME '!K59</f>
        <v>PROVIDENCIA A IUSI PARA CARGAR AREA</v>
      </c>
      <c r="T334" s="287" t="s">
        <v>359</v>
      </c>
    </row>
    <row r="335" spans="1:20">
      <c r="B335" s="185">
        <f>'INFORME '!B59</f>
        <v>24</v>
      </c>
      <c r="C335" s="186">
        <f>'INFORME '!C60</f>
        <v>46101</v>
      </c>
      <c r="D335" s="164" t="str">
        <f>'INFORME '!D60</f>
        <v>RPNIR-2960326</v>
      </c>
      <c r="E335" s="164" t="s">
        <v>488</v>
      </c>
      <c r="F335" s="179" t="str">
        <f>'INFORME '!E60</f>
        <v>JAKELINE JANETH ITZEP RAMON</v>
      </c>
      <c r="G335" s="179" t="str">
        <f>'INFORME '!F60</f>
        <v>CANTON LLANOS DEL PINAL</v>
      </c>
      <c r="H335" s="179">
        <f>'INFORME '!G60</f>
        <v>2</v>
      </c>
      <c r="I335" s="187" t="str">
        <f>'INFORME '!H60</f>
        <v>-</v>
      </c>
      <c r="J335" s="187">
        <v>59594766</v>
      </c>
      <c r="K335" s="164">
        <f>'INFORME '!I60</f>
        <v>46129</v>
      </c>
      <c r="L335" s="164" t="e">
        <f>'INFORME '!#REF!</f>
        <v>#REF!</v>
      </c>
      <c r="M335" s="157" t="s">
        <v>1127</v>
      </c>
      <c r="N335" s="160">
        <v>1</v>
      </c>
      <c r="O335" s="160">
        <v>1</v>
      </c>
      <c r="P335" s="157" t="s">
        <v>538</v>
      </c>
      <c r="Q335" s="157" t="s">
        <v>505</v>
      </c>
      <c r="R335" s="160">
        <v>39.4</v>
      </c>
      <c r="S335" s="157" t="str">
        <f>'INFORME '!K60</f>
        <v xml:space="preserve">REGULARIZACIÓN </v>
      </c>
      <c r="T335" s="287" t="s">
        <v>1128</v>
      </c>
    </row>
    <row r="336" spans="1:20" ht="30">
      <c r="B336" s="185">
        <f>'INFORME '!B60</f>
        <v>25</v>
      </c>
      <c r="C336" s="186">
        <f>'INFORME '!C61</f>
        <v>46147</v>
      </c>
      <c r="D336" s="164" t="str">
        <f>'INFORME '!D61</f>
        <v>ANTNM8-1160526</v>
      </c>
      <c r="E336" s="164" t="s">
        <v>488</v>
      </c>
      <c r="F336" s="179" t="str">
        <f>'INFORME '!E61</f>
        <v>CLAUDIA DENNISE MOLINA</v>
      </c>
      <c r="G336" s="179" t="str">
        <f>'INFORME '!F61</f>
        <v>DIAGONAL 2, 0-81 ZONA 8</v>
      </c>
      <c r="H336" s="179">
        <f>'INFORME '!G61</f>
        <v>6</v>
      </c>
      <c r="I336" s="187" t="str">
        <f>'INFORME '!H61</f>
        <v>PRADOS DE SANTA MARIA ii</v>
      </c>
      <c r="J336" s="187">
        <v>59168165</v>
      </c>
      <c r="K336" s="164">
        <f>'INFORME '!I61</f>
        <v>46153</v>
      </c>
      <c r="L336" s="164" t="e">
        <f>'INFORME '!#REF!</f>
        <v>#REF!</v>
      </c>
      <c r="M336" s="157" t="s">
        <v>433</v>
      </c>
      <c r="N336" s="160">
        <v>1</v>
      </c>
      <c r="O336" s="160">
        <v>2</v>
      </c>
      <c r="P336" s="157" t="s">
        <v>538</v>
      </c>
      <c r="Q336" s="157" t="s">
        <v>505</v>
      </c>
      <c r="R336" s="160">
        <v>165.26</v>
      </c>
      <c r="S336" s="157" t="str">
        <f>'INFORME '!K61</f>
        <v xml:space="preserve">ANTIGUA SOLO USO DE SUELO </v>
      </c>
      <c r="T336" s="287" t="s">
        <v>488</v>
      </c>
    </row>
    <row r="337" spans="2:20" ht="60">
      <c r="B337" s="185">
        <f>'INFORME '!B61</f>
        <v>26</v>
      </c>
      <c r="C337" s="186">
        <f>'INFORME '!C62</f>
        <v>46146</v>
      </c>
      <c r="D337" s="164" t="str">
        <f>'INFORME '!D62</f>
        <v>RPNR1-4330526</v>
      </c>
      <c r="E337" s="164" t="s">
        <v>488</v>
      </c>
      <c r="F337" s="179" t="str">
        <f>'INFORME '!E62</f>
        <v>SÉFORA ISABEL RAMÍREZ HERNANDEZ</v>
      </c>
      <c r="G337" s="179" t="str">
        <f>'INFORME '!F62</f>
        <v>AV LAS AMERICAS 7-54 APARTAMENTO 14, RESIDENSIALES EL BOSQUE ZONA 1</v>
      </c>
      <c r="H337" s="179">
        <f>'INFORME '!G62</f>
        <v>1</v>
      </c>
      <c r="I337" s="187" t="str">
        <f>'INFORME '!H62</f>
        <v>-</v>
      </c>
      <c r="J337" s="187">
        <v>54460753</v>
      </c>
      <c r="K337" s="164">
        <f>'INFORME '!I62</f>
        <v>46155</v>
      </c>
      <c r="L337" s="164" t="e">
        <f>'INFORME '!#REF!</f>
        <v>#REF!</v>
      </c>
      <c r="M337" s="157" t="s">
        <v>445</v>
      </c>
      <c r="N337" s="160">
        <v>1</v>
      </c>
      <c r="O337" s="160">
        <v>1</v>
      </c>
      <c r="P337" s="157" t="s">
        <v>536</v>
      </c>
      <c r="Q337" s="157" t="s">
        <v>505</v>
      </c>
      <c r="R337" s="160">
        <v>60.69</v>
      </c>
      <c r="S337" s="157" t="str">
        <f>'INFORME '!K62</f>
        <v xml:space="preserve">REGULARIZACIÓN </v>
      </c>
      <c r="T337" s="287"/>
    </row>
    <row r="338" spans="2:20" ht="30">
      <c r="B338" s="185">
        <f>'INFORME '!B62</f>
        <v>27</v>
      </c>
      <c r="C338" s="186">
        <f>'INFORME '!C63</f>
        <v>46149</v>
      </c>
      <c r="D338" s="164" t="str">
        <f>'INFORME '!D63</f>
        <v>ANTNE5-1180526</v>
      </c>
      <c r="E338" s="164" t="s">
        <v>948</v>
      </c>
      <c r="F338" s="179" t="str">
        <f>'INFORME '!E63</f>
        <v>MARCO ANTONIO ESCOBAR GIRON</v>
      </c>
      <c r="G338" s="179" t="str">
        <f>'INFORME '!F63</f>
        <v>3A CALLE 7-82 COLONIA MUNICIPAL ZONA 5</v>
      </c>
      <c r="H338" s="179">
        <f>'INFORME '!G63</f>
        <v>10</v>
      </c>
      <c r="I338" s="187" t="str">
        <f>'INFORME '!H63</f>
        <v>-</v>
      </c>
      <c r="J338" s="187">
        <v>51330084</v>
      </c>
      <c r="K338" s="164">
        <f>'INFORME '!I63</f>
        <v>46155</v>
      </c>
      <c r="L338" s="164" t="e">
        <f>'INFORME '!#REF!</f>
        <v>#REF!</v>
      </c>
      <c r="M338" s="157" t="s">
        <v>433</v>
      </c>
      <c r="N338" s="160">
        <v>1</v>
      </c>
      <c r="O338" s="160">
        <v>2</v>
      </c>
      <c r="P338" s="157" t="s">
        <v>536</v>
      </c>
      <c r="Q338" s="157" t="s">
        <v>505</v>
      </c>
      <c r="R338" s="160">
        <v>79.78</v>
      </c>
      <c r="S338" s="157" t="str">
        <f>'INFORME '!K63</f>
        <v>ANTIGUA SOLO USO DE SUELO Y PROVIDENCIA A IUSI</v>
      </c>
      <c r="T338" s="287" t="s">
        <v>783</v>
      </c>
    </row>
    <row r="339" spans="2:20" ht="30">
      <c r="B339" s="185">
        <f>'INFORME '!B63</f>
        <v>28</v>
      </c>
      <c r="C339" s="186">
        <f>'INFORME '!C64</f>
        <v>46242</v>
      </c>
      <c r="D339" s="164" t="str">
        <f>'INFORME '!D64</f>
        <v>ANTNG1-1210526</v>
      </c>
      <c r="E339" s="164" t="s">
        <v>330</v>
      </c>
      <c r="F339" s="179" t="str">
        <f>'INFORME '!E64</f>
        <v>JULIO ROBERTO GARCÍA</v>
      </c>
      <c r="G339" s="179" t="str">
        <f>'INFORME '!F64</f>
        <v>DIAGONAL 8 D11-50 ZONA 1</v>
      </c>
      <c r="H339" s="179">
        <f>'INFORME '!G64</f>
        <v>7</v>
      </c>
      <c r="I339" s="187" t="str">
        <f>'INFORME '!H64</f>
        <v>-</v>
      </c>
      <c r="J339" s="187">
        <v>58928639</v>
      </c>
      <c r="K339" s="164">
        <f>'INFORME '!I64</f>
        <v>46157</v>
      </c>
      <c r="L339" s="164" t="e">
        <f>'INFORME '!#REF!</f>
        <v>#REF!</v>
      </c>
      <c r="M339" s="157" t="s">
        <v>445</v>
      </c>
      <c r="N339" s="160">
        <v>1</v>
      </c>
      <c r="O339" s="160">
        <v>1</v>
      </c>
      <c r="P339" s="157" t="s">
        <v>536</v>
      </c>
      <c r="Q339" s="157" t="s">
        <v>505</v>
      </c>
      <c r="R339" s="160">
        <v>79.11</v>
      </c>
      <c r="S339" s="157" t="str">
        <f>'INFORME '!K64</f>
        <v xml:space="preserve">ANTIGUA, OFICIO EXTERNO A VECINO POR CAMBIO DE USO COMERCIAL </v>
      </c>
      <c r="T339" s="287" t="s">
        <v>783</v>
      </c>
    </row>
    <row r="340" spans="2:20" ht="30">
      <c r="B340" s="185">
        <f>'INFORME '!B64</f>
        <v>29</v>
      </c>
      <c r="C340" s="186">
        <f>'INFORME '!C65</f>
        <v>46242</v>
      </c>
      <c r="D340" s="164" t="str">
        <f>'INFORME '!D65</f>
        <v>RPNF8-4490526</v>
      </c>
      <c r="E340" s="164" t="s">
        <v>488</v>
      </c>
      <c r="F340" s="179" t="str">
        <f>'INFORME '!E65</f>
        <v>ANAITE YUBITZA FUNES FONSECA</v>
      </c>
      <c r="G340" s="179" t="str">
        <f>'INFORME '!F65</f>
        <v>9CALLE C 35C-27 LOTE 7 MANZANA J ZONA 8</v>
      </c>
      <c r="H340" s="179" t="str">
        <f>'INFORME '!G65</f>
        <v>R</v>
      </c>
      <c r="I340" s="187" t="str">
        <f>'INFORME '!H65</f>
        <v>-</v>
      </c>
      <c r="J340" s="187">
        <v>59586451</v>
      </c>
      <c r="K340" s="164">
        <f>'INFORME '!I65</f>
        <v>46157</v>
      </c>
      <c r="L340" s="164" t="e">
        <f>'INFORME '!#REF!</f>
        <v>#REF!</v>
      </c>
      <c r="M340" s="157" t="s">
        <v>445</v>
      </c>
      <c r="N340" s="160">
        <v>1</v>
      </c>
      <c r="O340" s="160">
        <v>1</v>
      </c>
      <c r="P340" s="157" t="s">
        <v>1138</v>
      </c>
      <c r="Q340" s="157" t="s">
        <v>505</v>
      </c>
      <c r="R340" s="160">
        <v>46.05</v>
      </c>
      <c r="S340" s="157" t="str">
        <f>'INFORME '!K65</f>
        <v xml:space="preserve">REGULARIZACIÓN </v>
      </c>
      <c r="T340" s="287" t="s">
        <v>488</v>
      </c>
    </row>
    <row r="341" spans="2:20" ht="30">
      <c r="B341" s="185">
        <f>'INFORME '!B65</f>
        <v>30</v>
      </c>
      <c r="C341" s="186">
        <f>'INFORME '!C66</f>
        <v>46153</v>
      </c>
      <c r="D341" s="164" t="str">
        <f>'INFORME '!D66</f>
        <v>RPNC7-4550526</v>
      </c>
      <c r="E341" s="164" t="s">
        <v>488</v>
      </c>
      <c r="F341" s="179" t="str">
        <f>'INFORME '!E66</f>
        <v>ALBA KARINA COTI SALANIC DE SOC</v>
      </c>
      <c r="G341" s="179" t="str">
        <f>'INFORME '!F66</f>
        <v>14 CALLE C 32-54 ZONA 7 COLONIA LOS TRIGALES</v>
      </c>
      <c r="H341" s="179" t="str">
        <f>'INFORME '!G66</f>
        <v>R</v>
      </c>
      <c r="I341" s="187" t="str">
        <f>'INFORME '!H66</f>
        <v>-</v>
      </c>
      <c r="J341" s="187">
        <v>59586451</v>
      </c>
      <c r="K341" s="164">
        <f>'INFORME '!I66</f>
        <v>46157</v>
      </c>
      <c r="L341" s="164" t="e">
        <f>'INFORME '!#REF!</f>
        <v>#REF!</v>
      </c>
      <c r="M341" s="157" t="s">
        <v>445</v>
      </c>
      <c r="N341" s="160">
        <v>1</v>
      </c>
      <c r="O341" s="160">
        <v>1</v>
      </c>
      <c r="P341" s="157" t="s">
        <v>1138</v>
      </c>
      <c r="Q341" s="157" t="s">
        <v>505</v>
      </c>
      <c r="R341" s="160">
        <v>23.36</v>
      </c>
      <c r="S341" s="157" t="str">
        <f>'INFORME '!K66</f>
        <v xml:space="preserve">REGULARIZACIÓN </v>
      </c>
      <c r="T341" s="287" t="s">
        <v>488</v>
      </c>
    </row>
    <row r="342" spans="2:20" ht="30">
      <c r="B342" s="185">
        <f>'INFORME '!B66</f>
        <v>31</v>
      </c>
      <c r="C342" s="186">
        <f>'INFORME '!C67</f>
        <v>46098</v>
      </c>
      <c r="D342" s="164" t="str">
        <f>'INFORME '!D67</f>
        <v>I-RCA70-0279-2026</v>
      </c>
      <c r="E342" s="164" t="s">
        <v>488</v>
      </c>
      <c r="F342" s="179" t="str">
        <f>'INFORME '!E67</f>
        <v>BLANCA LESBY CANTORAL CIFUENTES</v>
      </c>
      <c r="G342" s="179" t="str">
        <f>'INFORME '!F67</f>
        <v>CANTON CHICHIGUITAN ZONA 5</v>
      </c>
      <c r="H342" s="179">
        <f>'INFORME '!G67</f>
        <v>3</v>
      </c>
      <c r="I342" s="187" t="str">
        <f>'INFORME '!H67</f>
        <v>-</v>
      </c>
      <c r="J342" s="187" t="s">
        <v>29</v>
      </c>
      <c r="K342" s="164">
        <f>'INFORME '!I67</f>
        <v>46161</v>
      </c>
      <c r="L342" s="164" t="e">
        <f>'INFORME '!#REF!</f>
        <v>#REF!</v>
      </c>
      <c r="M342" s="157" t="s">
        <v>445</v>
      </c>
      <c r="N342" s="160">
        <v>1</v>
      </c>
      <c r="O342" s="160">
        <v>1</v>
      </c>
      <c r="P342" s="157" t="s">
        <v>489</v>
      </c>
      <c r="Q342" s="157" t="s">
        <v>505</v>
      </c>
      <c r="R342" s="160">
        <v>46.68</v>
      </c>
      <c r="S342" s="157" t="str">
        <f>'INFORME '!K67</f>
        <v>ANTIGUA RURAL, ACUERDO DE  PARCELAMIENTO, PLAN REGULADOR</v>
      </c>
      <c r="T342" s="287" t="s">
        <v>1139</v>
      </c>
    </row>
    <row r="343" spans="2:20" ht="45">
      <c r="B343" s="185">
        <f>'INFORME '!B67</f>
        <v>32</v>
      </c>
      <c r="C343" s="186">
        <f>'INFORME '!C68</f>
        <v>46098</v>
      </c>
      <c r="D343" s="164" t="str">
        <f>'INFORME '!D68</f>
        <v>I-RCA70-0294-2026</v>
      </c>
      <c r="E343" s="164" t="s">
        <v>488</v>
      </c>
      <c r="F343" s="179" t="str">
        <f>'INFORME '!E68</f>
        <v>EDUARDO LUIS HERNÁNDEZ VÁSQUEZ</v>
      </c>
      <c r="G343" s="179" t="str">
        <f>'INFORME '!F68</f>
        <v>CANTÓN CHICHIGUITAN ZONA 5</v>
      </c>
      <c r="H343" s="179">
        <f>'INFORME '!G68</f>
        <v>4</v>
      </c>
      <c r="I343" s="187" t="str">
        <f>'INFORME '!H68</f>
        <v>-</v>
      </c>
      <c r="J343" s="187">
        <v>54796937</v>
      </c>
      <c r="K343" s="164">
        <f>'INFORME '!I68</f>
        <v>46161</v>
      </c>
      <c r="L343" s="164" t="e">
        <f>'INFORME '!#REF!</f>
        <v>#REF!</v>
      </c>
      <c r="M343" s="157" t="s">
        <v>445</v>
      </c>
      <c r="N343" s="160">
        <v>1</v>
      </c>
      <c r="O343" s="160">
        <v>1</v>
      </c>
      <c r="P343" s="157" t="s">
        <v>538</v>
      </c>
      <c r="Q343" s="157" t="s">
        <v>505</v>
      </c>
      <c r="R343" s="160">
        <v>75.25</v>
      </c>
      <c r="S343" s="157" t="str">
        <f>'INFORME '!K68</f>
        <v xml:space="preserve">REGULARIZACIÓN, CONSTRUCCION INFORMAL SOLO USO DE SUELO PARCELAMIENTO, DENTRO DEL PLAN REGULADOR </v>
      </c>
      <c r="T343" s="287" t="s">
        <v>1140</v>
      </c>
    </row>
    <row r="344" spans="2:20" ht="30">
      <c r="B344" s="185">
        <f>'INFORME '!B68</f>
        <v>33</v>
      </c>
      <c r="C344" s="186">
        <f>'INFORME '!C69</f>
        <v>46155</v>
      </c>
      <c r="D344" s="164" t="str">
        <f>'INFORME '!D69</f>
        <v>CRUVR-960526</v>
      </c>
      <c r="E344" s="164" t="s">
        <v>488</v>
      </c>
      <c r="F344" s="179" t="str">
        <f>'INFORME '!E69</f>
        <v>RUFINO VÁSQUEZ TUCUX</v>
      </c>
      <c r="G344" s="179" t="str">
        <f>'INFORME '!F69</f>
        <v>CANTON XECARACOJ</v>
      </c>
      <c r="H344" s="179">
        <f>'INFORME '!G69</f>
        <v>7</v>
      </c>
      <c r="I344" s="187" t="str">
        <f>'INFORME '!H69</f>
        <v>-</v>
      </c>
      <c r="J344" s="187">
        <v>43936520</v>
      </c>
      <c r="K344" s="164">
        <f>'INFORME '!I69</f>
        <v>46161</v>
      </c>
      <c r="L344" s="164" t="e">
        <f>'INFORME '!#REF!</f>
        <v>#REF!</v>
      </c>
      <c r="M344" s="157" t="s">
        <v>445</v>
      </c>
      <c r="N344" s="160">
        <v>1</v>
      </c>
      <c r="O344" s="160">
        <v>1</v>
      </c>
      <c r="P344" s="157" t="s">
        <v>538</v>
      </c>
      <c r="Q344" s="157" t="s">
        <v>505</v>
      </c>
      <c r="R344" s="160">
        <v>73.2</v>
      </c>
      <c r="S344" s="157" t="str">
        <f>'INFORME '!K69</f>
        <v xml:space="preserve"> ANTIGUA RURAL SOLO COBRODE  USO DE SUELO, SE CREO EXPEDIENTE CRU</v>
      </c>
      <c r="T344" s="287" t="s">
        <v>488</v>
      </c>
    </row>
    <row r="345" spans="2:20" ht="30">
      <c r="B345" s="185">
        <f>'INFORME '!B69</f>
        <v>34</v>
      </c>
      <c r="C345" s="186">
        <f>'INFORME '!C70</f>
        <v>46112</v>
      </c>
      <c r="D345" s="164" t="str">
        <f>'INFORME '!D70</f>
        <v>ANTNC10-900326</v>
      </c>
      <c r="E345" s="164" t="s">
        <v>488</v>
      </c>
      <c r="F345" s="179" t="str">
        <f>'INFORME '!E70</f>
        <v xml:space="preserve">VENANCIA CALMO MATIAS </v>
      </c>
      <c r="G345" s="179" t="str">
        <f>'INFORME '!F70</f>
        <v>7 AVENIDA 3-23 ZONA 10</v>
      </c>
      <c r="H345" s="179">
        <f>'INFORME '!G70</f>
        <v>8</v>
      </c>
      <c r="I345" s="187" t="str">
        <f>'INFORME '!H70</f>
        <v>-</v>
      </c>
      <c r="J345" s="187">
        <v>42374896</v>
      </c>
      <c r="K345" s="164">
        <f>'INFORME '!I70</f>
        <v>46129</v>
      </c>
      <c r="L345" s="164" t="e">
        <f>'INFORME '!#REF!</f>
        <v>#REF!</v>
      </c>
      <c r="M345" s="157" t="s">
        <v>445</v>
      </c>
      <c r="N345" s="160">
        <v>1</v>
      </c>
      <c r="O345" s="160">
        <v>1</v>
      </c>
      <c r="P345" s="157" t="s">
        <v>524</v>
      </c>
      <c r="Q345" s="157" t="s">
        <v>505</v>
      </c>
      <c r="R345" s="160">
        <v>124.74</v>
      </c>
      <c r="S345" s="157" t="str">
        <f>'INFORME '!K70</f>
        <v>SE MANDO A DRENAJES PARA EMITIR DICTAMEN TECNICO, POR POSIBLE INUNDACIÓN</v>
      </c>
      <c r="T345" s="287" t="s">
        <v>488</v>
      </c>
    </row>
    <row r="346" spans="2:20" ht="30">
      <c r="B346" s="185">
        <f>'INFORME '!B70</f>
        <v>35</v>
      </c>
      <c r="C346" s="186">
        <f>'INFORME '!C71</f>
        <v>46149</v>
      </c>
      <c r="D346" s="164" t="str">
        <f>'INFORME '!D71</f>
        <v>USNA3-090526</v>
      </c>
      <c r="E346" s="164" t="s">
        <v>488</v>
      </c>
      <c r="F346" s="179" t="str">
        <f>'INFORME '!E71</f>
        <v xml:space="preserve">CHARLY GABRIEL AJANEL VICENTE </v>
      </c>
      <c r="G346" s="179" t="str">
        <f>'INFORME '!F71</f>
        <v>19 AVENIDA 3-21 INTERIOR ZONA 3</v>
      </c>
      <c r="H346" s="179">
        <f>'INFORME '!G71</f>
        <v>2</v>
      </c>
      <c r="I346" s="187" t="str">
        <f>'INFORME '!H71</f>
        <v>-</v>
      </c>
      <c r="J346" s="187">
        <v>77618660</v>
      </c>
      <c r="K346" s="164">
        <f>'INFORME '!I71</f>
        <v>46155</v>
      </c>
      <c r="L346" s="164" t="e">
        <f>'INFORME '!#REF!</f>
        <v>#REF!</v>
      </c>
      <c r="M346" s="157" t="s">
        <v>1144</v>
      </c>
      <c r="N346" s="160">
        <v>0</v>
      </c>
      <c r="O346" s="160">
        <v>0</v>
      </c>
      <c r="P346" s="157" t="s">
        <v>835</v>
      </c>
      <c r="Q346" s="157" t="s">
        <v>835</v>
      </c>
      <c r="R346" s="160">
        <v>130.02000000000001</v>
      </c>
      <c r="S346" s="157" t="str">
        <f>'INFORME '!K71</f>
        <v>SE MANDO INFORME EXTERNO  A VECINO PARA REQUISITO DE REGULARIZACIÓN</v>
      </c>
      <c r="T346" s="287" t="s">
        <v>783</v>
      </c>
    </row>
    <row r="347" spans="2:20" ht="45">
      <c r="B347" s="185">
        <f>'INFORME '!B71</f>
        <v>36</v>
      </c>
      <c r="C347" s="186">
        <f>'INFORME '!C72</f>
        <v>46148</v>
      </c>
      <c r="D347" s="164" t="str">
        <f>'INFORME '!D72</f>
        <v>RPNP7-5080526</v>
      </c>
      <c r="E347" s="164" t="s">
        <v>488</v>
      </c>
      <c r="F347" s="179" t="str">
        <f>'INFORME '!E72</f>
        <v>GLENDY BEATRIZ PAXTOR OXLAJ</v>
      </c>
      <c r="G347" s="179" t="str">
        <f>'INFORME '!F72</f>
        <v>8 CALLE 29-77 ZONA 7</v>
      </c>
      <c r="H347" s="179">
        <f>'INFORME '!G72</f>
        <v>1</v>
      </c>
      <c r="I347" s="187" t="str">
        <f>'INFORME '!H72</f>
        <v>-</v>
      </c>
      <c r="J347" s="187">
        <v>40488353</v>
      </c>
      <c r="K347" s="164">
        <f>'INFORME '!I72</f>
        <v>46164</v>
      </c>
      <c r="L347" s="164" t="e">
        <f>'INFORME '!#REF!</f>
        <v>#REF!</v>
      </c>
      <c r="M347" s="157"/>
      <c r="N347" s="160"/>
      <c r="O347" s="160"/>
      <c r="P347" s="157"/>
      <c r="Q347" s="157"/>
      <c r="R347" s="160"/>
      <c r="S347" s="157" t="str">
        <f>'INFORME '!K72</f>
        <v>SE REGULARIZO LA CONSTRUCCION NUEVA, Y SE INFORMO AL VECINO PARA RESOLUCIÓN DE MEDIO AMBIENTE</v>
      </c>
      <c r="T347" s="287" t="s">
        <v>1146</v>
      </c>
    </row>
    <row r="348" spans="2:20" ht="45">
      <c r="B348" s="185">
        <f>'INFORME '!B72</f>
        <v>37</v>
      </c>
      <c r="C348" s="186">
        <f>'INFORME '!C73</f>
        <v>46160</v>
      </c>
      <c r="D348" s="164" t="str">
        <f>'INFORME '!D73</f>
        <v>ANTNC3-1330526</v>
      </c>
      <c r="E348" s="164" t="s">
        <v>488</v>
      </c>
      <c r="F348" s="179" t="str">
        <f>'INFORME '!E73</f>
        <v xml:space="preserve">ESTUARDO DAVID CASTRO GONZALES </v>
      </c>
      <c r="G348" s="179" t="str">
        <f>'INFORME '!F73</f>
        <v>1 CALLE 0-10 ZONA 3</v>
      </c>
      <c r="H348" s="179">
        <f>'INFORME '!G73</f>
        <v>3</v>
      </c>
      <c r="I348" s="187" t="str">
        <f>'INFORME '!H73</f>
        <v>-</v>
      </c>
      <c r="J348" s="187">
        <v>77673349</v>
      </c>
      <c r="K348" s="164">
        <f>'INFORME '!I73</f>
        <v>46164</v>
      </c>
      <c r="L348" s="164" t="e">
        <f>'INFORME '!#REF!</f>
        <v>#REF!</v>
      </c>
      <c r="M348" s="157"/>
      <c r="N348" s="160"/>
      <c r="O348" s="160"/>
      <c r="P348" s="157"/>
      <c r="Q348" s="157"/>
      <c r="R348" s="160"/>
      <c r="S348" s="157" t="e">
        <f>'INFORME '!#REF!</f>
        <v>#REF!</v>
      </c>
      <c r="T348" s="287" t="s">
        <v>1150</v>
      </c>
    </row>
    <row r="349" spans="2:20" ht="30">
      <c r="B349" s="185">
        <f>'INFORME '!B73</f>
        <v>38</v>
      </c>
      <c r="C349" s="186" t="e">
        <f>INSP_!#REF!</f>
        <v>#REF!</v>
      </c>
      <c r="D349" s="164" t="str">
        <f>INSP_!D71</f>
        <v>RPNH12-4890526</v>
      </c>
      <c r="E349" s="164" t="s">
        <v>488</v>
      </c>
      <c r="F349" s="179" t="str">
        <f>INSP_!E71</f>
        <v>FRANCISCO JAVIER HERNANDEZ HERRERA</v>
      </c>
      <c r="G349" s="179">
        <f>INSP_!G71</f>
        <v>12</v>
      </c>
      <c r="H349" s="179" t="e">
        <f>'INFORME '!#REF!</f>
        <v>#REF!</v>
      </c>
      <c r="I349" s="187" t="e">
        <f>'INFORME '!#REF!</f>
        <v>#REF!</v>
      </c>
      <c r="J349" s="187">
        <v>56965663</v>
      </c>
      <c r="K349" s="164" t="e">
        <f>'INFORME '!#REF!</f>
        <v>#REF!</v>
      </c>
      <c r="L349" s="164" t="e">
        <f>'INFORME '!#REF!</f>
        <v>#REF!</v>
      </c>
      <c r="M349" s="157" t="s">
        <v>958</v>
      </c>
      <c r="N349" s="160">
        <v>1</v>
      </c>
      <c r="O349" s="160">
        <v>2</v>
      </c>
      <c r="P349" s="157" t="s">
        <v>538</v>
      </c>
      <c r="Q349" s="157" t="s">
        <v>1154</v>
      </c>
      <c r="R349" s="160">
        <v>67.75</v>
      </c>
      <c r="S349" s="157" t="str">
        <f>'INFORME '!K73</f>
        <v>ANTIGUA, SE MANDO ACARGAR AREA A IUSI</v>
      </c>
      <c r="T349" s="287" t="s">
        <v>1155</v>
      </c>
    </row>
    <row r="350" spans="2:20" ht="30">
      <c r="B350" s="185">
        <f>'INFORME '!B74</f>
        <v>39</v>
      </c>
      <c r="C350" s="186" t="str">
        <f>'INFORME '!D74</f>
        <v>RPND6-4850526</v>
      </c>
      <c r="D350" s="164" t="e">
        <f>'INFORME '!#REF!</f>
        <v>#REF!</v>
      </c>
      <c r="E350" s="164" t="s">
        <v>488</v>
      </c>
      <c r="F350" s="179" t="str">
        <f>'INFORME '!E74</f>
        <v>ISABEL GOMEZ GONZALES DE GARCIA</v>
      </c>
      <c r="G350" s="179" t="str">
        <f>'INFORME '!F74</f>
        <v>PRADOS DE SANTA MARIA II LOTE 19 MZ. L</v>
      </c>
      <c r="H350" s="179">
        <f>'INFORME '!G74</f>
        <v>8</v>
      </c>
      <c r="I350" s="187" t="str">
        <f>'INFORME '!H74</f>
        <v>-</v>
      </c>
      <c r="J350" s="187">
        <v>56965663</v>
      </c>
      <c r="K350" s="164">
        <f>'INFORME '!I74</f>
        <v>46164</v>
      </c>
      <c r="L350" s="164" t="e">
        <f>'INFORME '!#REF!</f>
        <v>#REF!</v>
      </c>
      <c r="M350" s="157" t="s">
        <v>958</v>
      </c>
      <c r="N350" s="160">
        <v>1</v>
      </c>
      <c r="O350" s="160">
        <v>2</v>
      </c>
      <c r="P350" s="157" t="s">
        <v>538</v>
      </c>
      <c r="Q350" s="157" t="s">
        <v>1154</v>
      </c>
      <c r="R350" s="160">
        <v>67.75</v>
      </c>
      <c r="S350" s="157" t="str">
        <f>'INFORME '!K74</f>
        <v xml:space="preserve">REGULARIZACIÓN </v>
      </c>
      <c r="T350" s="287" t="s">
        <v>1155</v>
      </c>
    </row>
    <row r="351" spans="2:20" ht="45">
      <c r="B351" s="185">
        <f>'INFORME '!B75</f>
        <v>40</v>
      </c>
      <c r="C351" s="186">
        <f>'INFORME '!C76</f>
        <v>46247</v>
      </c>
      <c r="D351" s="164" t="str">
        <f>'INFORME '!D76</f>
        <v>D-01-0113-2025</v>
      </c>
      <c r="E351" s="164" t="s">
        <v>413</v>
      </c>
      <c r="F351" s="179" t="str">
        <f>'INFORME '!E76</f>
        <v>CHOJOLAN MACHIC, MARIA YOHANA Y CHOJOLAN MACHIC NICOLASA VERONICA</v>
      </c>
      <c r="G351" s="179" t="str">
        <f>'INFORME '!F76</f>
        <v>No. 6968, F:468, L:534E</v>
      </c>
      <c r="H351" s="179">
        <f>'INFORME '!G76</f>
        <v>1</v>
      </c>
      <c r="I351" s="187" t="str">
        <f>'INFORME '!H76</f>
        <v>-</v>
      </c>
      <c r="J351" s="187" t="s">
        <v>29</v>
      </c>
      <c r="K351" s="164">
        <f>'INFORME '!I76</f>
        <v>46147</v>
      </c>
      <c r="L351" s="164" t="e">
        <f>'INFORME '!#REF!</f>
        <v>#REF!</v>
      </c>
      <c r="M351" s="157" t="s">
        <v>1161</v>
      </c>
      <c r="N351" s="160">
        <v>1</v>
      </c>
      <c r="O351" s="160">
        <v>4</v>
      </c>
      <c r="P351" s="157" t="s">
        <v>1162</v>
      </c>
      <c r="Q351" s="157" t="s">
        <v>505</v>
      </c>
      <c r="R351" s="160">
        <v>107.4</v>
      </c>
      <c r="S351" s="157" t="str">
        <f>'INFORME '!K76</f>
        <v>SE DEVOLVIO A CATASTRO PARA ACTUALIZAR AREA DE CONSTRUCCIÓN FINCA MATRIZ Y FINCA NUEVA</v>
      </c>
      <c r="T351" s="287" t="s">
        <v>783</v>
      </c>
    </row>
    <row r="352" spans="2:20" ht="30">
      <c r="B352" s="185">
        <f>'INFORME '!B76</f>
        <v>41</v>
      </c>
      <c r="C352" s="186">
        <f>'INFORME '!C77</f>
        <v>46111</v>
      </c>
      <c r="D352" s="164" t="str">
        <f>'INFORME '!D77</f>
        <v>R-05-0085-2026</v>
      </c>
      <c r="E352" s="164" t="s">
        <v>488</v>
      </c>
      <c r="F352" s="179" t="str">
        <f>'INFORME '!E77</f>
        <v>ANTONIO GONZALES GONZALES</v>
      </c>
      <c r="G352" s="179" t="str">
        <f>'INFORME '!F77</f>
        <v>ZONA 5</v>
      </c>
      <c r="H352" s="179" t="str">
        <f>'INFORME '!G77</f>
        <v>R</v>
      </c>
      <c r="I352" s="187" t="str">
        <f>'INFORME '!H77</f>
        <v>COLONIA JERUSALEM</v>
      </c>
      <c r="J352" s="187">
        <v>57100147</v>
      </c>
      <c r="K352" s="164">
        <f>'INFORME '!I77</f>
        <v>46149</v>
      </c>
      <c r="L352" s="164" t="e">
        <f>'INFORME '!#REF!</f>
        <v>#REF!</v>
      </c>
      <c r="M352" s="157" t="s">
        <v>445</v>
      </c>
      <c r="N352" s="160">
        <v>1</v>
      </c>
      <c r="O352" s="160">
        <v>1</v>
      </c>
      <c r="P352" s="157" t="s">
        <v>538</v>
      </c>
      <c r="Q352" s="157" t="s">
        <v>505</v>
      </c>
      <c r="R352" s="160">
        <v>71.849999999999994</v>
      </c>
      <c r="S352" s="157" t="str">
        <f>'INFORME '!K77</f>
        <v>INMUEBLE EN SUELO ESPECIAL, SE MANDO PROVIDENCIA A DRENAJE</v>
      </c>
      <c r="T352" s="287" t="s">
        <v>783</v>
      </c>
    </row>
    <row r="353" spans="2:20" ht="30">
      <c r="B353" s="185">
        <f>'INFORME '!B77</f>
        <v>42</v>
      </c>
      <c r="C353" s="186">
        <f>'INFORME '!C78</f>
        <v>46264</v>
      </c>
      <c r="D353" s="164" t="str">
        <f>'INFORME '!D78</f>
        <v>I-10-1293-2024</v>
      </c>
      <c r="E353" s="164" t="s">
        <v>488</v>
      </c>
      <c r="F353" s="179" t="str">
        <f>'INFORME '!E78</f>
        <v>ALEX FERNANDO CABRERA POROJ</v>
      </c>
      <c r="G353" s="179" t="str">
        <f>'INFORME '!F78</f>
        <v>CANTON LLANOS DEL PINAL</v>
      </c>
      <c r="H353" s="179">
        <f>'INFORME '!G78</f>
        <v>10</v>
      </c>
      <c r="I353" s="187" t="str">
        <f>'INFORME '!H78</f>
        <v>-</v>
      </c>
      <c r="J353" s="187"/>
      <c r="K353" s="164">
        <f>'INFORME '!I78</f>
        <v>45607</v>
      </c>
      <c r="L353" s="164" t="e">
        <f>'INFORME '!#REF!</f>
        <v>#REF!</v>
      </c>
      <c r="M353" s="157"/>
      <c r="N353" s="160"/>
      <c r="O353" s="160"/>
      <c r="P353" s="157"/>
      <c r="Q353" s="157"/>
      <c r="R353" s="160"/>
      <c r="S353" s="157" t="str">
        <f>'INFORME '!K78</f>
        <v xml:space="preserve">RURAL ANTIGUA Y SE MANDO A CATASTRO INFORMANDO EL AREA </v>
      </c>
      <c r="T353" s="287" t="s">
        <v>488</v>
      </c>
    </row>
    <row r="354" spans="2:20">
      <c r="B354" s="185">
        <f>'INFORME '!B78</f>
        <v>43</v>
      </c>
      <c r="C354" s="186" t="e">
        <f>'INFORME '!#REF!</f>
        <v>#REF!</v>
      </c>
      <c r="D354" s="164" t="e">
        <f>'INFORME '!#REF!</f>
        <v>#REF!</v>
      </c>
      <c r="E354" s="164" t="s">
        <v>488</v>
      </c>
      <c r="F354" s="179" t="e">
        <f>'INFORME '!#REF!</f>
        <v>#REF!</v>
      </c>
      <c r="G354" s="179" t="e">
        <f>'INFORME '!#REF!</f>
        <v>#REF!</v>
      </c>
      <c r="H354" s="179" t="e">
        <f>'INFORME '!#REF!</f>
        <v>#REF!</v>
      </c>
      <c r="I354" s="187" t="e">
        <f>'INFORME '!#REF!</f>
        <v>#REF!</v>
      </c>
      <c r="J354" s="187">
        <v>55190755</v>
      </c>
      <c r="K354" s="164" t="e">
        <f>'INFORME '!#REF!</f>
        <v>#REF!</v>
      </c>
      <c r="L354" s="164" t="e">
        <f>'INFORME '!#REF!</f>
        <v>#REF!</v>
      </c>
      <c r="M354" s="157" t="s">
        <v>433</v>
      </c>
      <c r="N354" s="160">
        <v>1</v>
      </c>
      <c r="O354" s="160">
        <v>2</v>
      </c>
      <c r="P354" s="157" t="s">
        <v>850</v>
      </c>
      <c r="Q354" s="157" t="s">
        <v>505</v>
      </c>
      <c r="R354" s="160">
        <v>146.28</v>
      </c>
      <c r="S354" s="157" t="e">
        <f>'INFORME '!#REF!</f>
        <v>#REF!</v>
      </c>
      <c r="T354" s="287" t="s">
        <v>783</v>
      </c>
    </row>
    <row r="355" spans="2:20">
      <c r="B355" s="185" t="e">
        <f>'INFORME '!#REF!</f>
        <v>#REF!</v>
      </c>
      <c r="C355" s="186" t="e">
        <f>'INFORME '!#REF!</f>
        <v>#REF!</v>
      </c>
      <c r="D355" s="164" t="e">
        <f>'INFORME '!#REF!</f>
        <v>#REF!</v>
      </c>
      <c r="E355" s="164" t="s">
        <v>488</v>
      </c>
      <c r="F355" s="179" t="e">
        <f>'INFORME '!#REF!</f>
        <v>#REF!</v>
      </c>
      <c r="G355" s="179" t="e">
        <f>'INFORME '!#REF!</f>
        <v>#REF!</v>
      </c>
      <c r="H355" s="179" t="e">
        <f>'INFORME '!#REF!</f>
        <v>#REF!</v>
      </c>
      <c r="I355" s="187" t="e">
        <f>'INFORME '!#REF!</f>
        <v>#REF!</v>
      </c>
      <c r="J355" s="187">
        <v>54297929</v>
      </c>
      <c r="K355" s="164" t="e">
        <f>'INFORME '!#REF!</f>
        <v>#REF!</v>
      </c>
      <c r="L355" s="164" t="e">
        <f>'INFORME '!#REF!</f>
        <v>#REF!</v>
      </c>
      <c r="M355" s="157" t="s">
        <v>433</v>
      </c>
      <c r="N355" s="160">
        <v>1</v>
      </c>
      <c r="O355" s="160">
        <v>2</v>
      </c>
      <c r="P355" s="157" t="s">
        <v>489</v>
      </c>
      <c r="Q355" s="157" t="s">
        <v>505</v>
      </c>
      <c r="R355" s="160">
        <v>241.09</v>
      </c>
      <c r="S355" s="157" t="e">
        <f>'INFORME '!#REF!</f>
        <v>#REF!</v>
      </c>
      <c r="T355" s="287" t="s">
        <v>488</v>
      </c>
    </row>
    <row r="356" spans="2:20">
      <c r="B356" s="185" t="e">
        <f>'INFORME '!#REF!</f>
        <v>#REF!</v>
      </c>
      <c r="C356" s="186" t="e">
        <f>'INFORME '!#REF!</f>
        <v>#REF!</v>
      </c>
      <c r="D356" s="164" t="e">
        <f>'INFORME '!#REF!</f>
        <v>#REF!</v>
      </c>
      <c r="E356" s="164" t="s">
        <v>488</v>
      </c>
      <c r="F356" s="179" t="e">
        <f>'INFORME '!#REF!</f>
        <v>#REF!</v>
      </c>
      <c r="G356" s="179" t="e">
        <f>'INFORME '!#REF!</f>
        <v>#REF!</v>
      </c>
      <c r="H356" s="179" t="e">
        <f>'INFORME '!#REF!</f>
        <v>#REF!</v>
      </c>
      <c r="I356" s="187" t="e">
        <f>'INFORME '!#REF!</f>
        <v>#REF!</v>
      </c>
      <c r="J356" s="187">
        <v>30220267</v>
      </c>
      <c r="K356" s="164" t="e">
        <f>'INFORME '!#REF!</f>
        <v>#REF!</v>
      </c>
      <c r="L356" s="164" t="e">
        <f>'INFORME '!#REF!</f>
        <v>#REF!</v>
      </c>
      <c r="M356" s="157"/>
      <c r="N356" s="160"/>
      <c r="O356" s="160"/>
      <c r="P356" s="157"/>
      <c r="Q356" s="157"/>
      <c r="R356" s="160"/>
      <c r="S356" s="157" t="e">
        <f>'INFORME '!#REF!</f>
        <v>#REF!</v>
      </c>
      <c r="T356" s="287" t="s">
        <v>809</v>
      </c>
    </row>
    <row r="357" spans="2:20">
      <c r="B357" s="185" t="e">
        <f>'INFORME '!#REF!</f>
        <v>#REF!</v>
      </c>
      <c r="C357" s="186" t="e">
        <f>'INFORME '!#REF!</f>
        <v>#REF!</v>
      </c>
      <c r="D357" s="164" t="e">
        <f>'INFORME '!#REF!</f>
        <v>#REF!</v>
      </c>
      <c r="E357" s="164" t="s">
        <v>488</v>
      </c>
      <c r="F357" s="179" t="e">
        <f>'INFORME '!#REF!</f>
        <v>#REF!</v>
      </c>
      <c r="G357" s="179" t="e">
        <f>'INFORME '!#REF!</f>
        <v>#REF!</v>
      </c>
      <c r="H357" s="179" t="e">
        <f>'INFORME '!#REF!</f>
        <v>#REF!</v>
      </c>
      <c r="I357" s="187" t="e">
        <f>'INFORME '!#REF!</f>
        <v>#REF!</v>
      </c>
      <c r="J357" s="187">
        <v>36609133</v>
      </c>
      <c r="K357" s="164" t="e">
        <f>'INFORME '!#REF!</f>
        <v>#REF!</v>
      </c>
      <c r="L357" s="164" t="e">
        <f>'INFORME '!#REF!</f>
        <v>#REF!</v>
      </c>
      <c r="M357" s="157"/>
      <c r="N357" s="160"/>
      <c r="O357" s="160"/>
      <c r="P357" s="157"/>
      <c r="Q357" s="157"/>
      <c r="R357" s="160"/>
      <c r="S357" s="157" t="e">
        <f>'INFORME '!#REF!</f>
        <v>#REF!</v>
      </c>
      <c r="T357" s="287" t="s">
        <v>1176</v>
      </c>
    </row>
    <row r="358" spans="2:20" ht="30">
      <c r="B358" s="185" t="e">
        <f>'INFORME '!#REF!</f>
        <v>#REF!</v>
      </c>
      <c r="C358" s="186" t="e">
        <f>'INFORME '!#REF!</f>
        <v>#REF!</v>
      </c>
      <c r="D358" s="164" t="e">
        <f>'INFORME '!#REF!</f>
        <v>#REF!</v>
      </c>
      <c r="E358" s="164" t="s">
        <v>488</v>
      </c>
      <c r="F358" s="179" t="e">
        <f>'INFORME '!#REF!</f>
        <v>#REF!</v>
      </c>
      <c r="G358" s="179" t="e">
        <f>'INFORME '!#REF!</f>
        <v>#REF!</v>
      </c>
      <c r="H358" s="179" t="e">
        <f>'INFORME '!#REF!</f>
        <v>#REF!</v>
      </c>
      <c r="I358" s="187" t="e">
        <f>'INFORME '!#REF!</f>
        <v>#REF!</v>
      </c>
      <c r="J358" s="187">
        <v>595750898</v>
      </c>
      <c r="K358" s="164" t="e">
        <f>'INFORME '!#REF!</f>
        <v>#REF!</v>
      </c>
      <c r="L358" s="164" t="e">
        <f>'INFORME '!#REF!</f>
        <v>#REF!</v>
      </c>
      <c r="M358" s="157" t="s">
        <v>1186</v>
      </c>
      <c r="N358" s="160">
        <v>0</v>
      </c>
      <c r="O358" s="160">
        <v>1</v>
      </c>
      <c r="P358" s="157" t="s">
        <v>489</v>
      </c>
      <c r="Q358" s="157" t="s">
        <v>1187</v>
      </c>
      <c r="R358" s="160">
        <v>31.83</v>
      </c>
      <c r="S358" s="157" t="e">
        <f>'INFORME '!#REF!</f>
        <v>#REF!</v>
      </c>
      <c r="T358" s="287" t="s">
        <v>1188</v>
      </c>
    </row>
    <row r="359" spans="2:20" ht="30">
      <c r="B359" s="185" t="e">
        <f>'INFORME '!#REF!</f>
        <v>#REF!</v>
      </c>
      <c r="C359" s="186" t="e">
        <f>'INFORME '!#REF!</f>
        <v>#REF!</v>
      </c>
      <c r="D359" s="164" t="e">
        <f>'INFORME '!#REF!</f>
        <v>#REF!</v>
      </c>
      <c r="E359" s="164" t="s">
        <v>488</v>
      </c>
      <c r="F359" s="179" t="e">
        <f>'INFORME '!#REF!</f>
        <v>#REF!</v>
      </c>
      <c r="G359" s="179" t="e">
        <f>'INFORME '!#REF!</f>
        <v>#REF!</v>
      </c>
      <c r="H359" s="179" t="e">
        <f>'INFORME '!#REF!</f>
        <v>#REF!</v>
      </c>
      <c r="I359" s="187" t="e">
        <f>'INFORME '!#REF!</f>
        <v>#REF!</v>
      </c>
      <c r="J359" s="187">
        <v>33366226</v>
      </c>
      <c r="K359" s="164" t="e">
        <f>'INFORME '!#REF!</f>
        <v>#REF!</v>
      </c>
      <c r="L359" s="164" t="e">
        <f>'INFORME '!#REF!</f>
        <v>#REF!</v>
      </c>
      <c r="M359" s="157" t="s">
        <v>1195</v>
      </c>
      <c r="N359" s="160">
        <v>1</v>
      </c>
      <c r="O359" s="160">
        <v>2</v>
      </c>
      <c r="P359" s="157" t="s">
        <v>489</v>
      </c>
      <c r="Q359" s="157" t="s">
        <v>505</v>
      </c>
      <c r="R359" s="160">
        <v>161.85</v>
      </c>
      <c r="S359" s="157" t="e">
        <f>'INFORME '!#REF!</f>
        <v>#REF!</v>
      </c>
      <c r="T359" s="287" t="s">
        <v>1196</v>
      </c>
    </row>
    <row r="360" spans="2:20">
      <c r="B360" s="185" t="e">
        <f>'INFORME '!#REF!</f>
        <v>#REF!</v>
      </c>
      <c r="C360" s="186" t="e">
        <f>'INFORME '!#REF!</f>
        <v>#REF!</v>
      </c>
      <c r="D360" s="164" t="e">
        <f>'INFORME '!#REF!</f>
        <v>#REF!</v>
      </c>
      <c r="E360" s="164" t="s">
        <v>488</v>
      </c>
      <c r="F360" s="179" t="e">
        <f>'INFORME '!#REF!</f>
        <v>#REF!</v>
      </c>
      <c r="G360" s="179" t="e">
        <f>'INFORME '!#REF!</f>
        <v>#REF!</v>
      </c>
      <c r="H360" s="179" t="e">
        <f>'INFORME '!#REF!</f>
        <v>#REF!</v>
      </c>
      <c r="I360" s="187" t="e">
        <f>'INFORME '!#REF!</f>
        <v>#REF!</v>
      </c>
      <c r="J360" s="187">
        <v>44431356</v>
      </c>
      <c r="K360" s="164" t="e">
        <f>'INFORME '!#REF!</f>
        <v>#REF!</v>
      </c>
      <c r="L360" s="164" t="e">
        <f>'INFORME '!#REF!</f>
        <v>#REF!</v>
      </c>
      <c r="M360" s="157"/>
      <c r="N360" s="160"/>
      <c r="O360" s="160"/>
      <c r="P360" s="157"/>
      <c r="Q360" s="157"/>
      <c r="R360" s="160"/>
      <c r="S360" s="157" t="e">
        <f>'INFORME '!#REF!</f>
        <v>#REF!</v>
      </c>
      <c r="T360" s="287" t="s">
        <v>1203</v>
      </c>
    </row>
    <row r="361" spans="2:20">
      <c r="B361" s="185" t="e">
        <f>'INFORME '!#REF!</f>
        <v>#REF!</v>
      </c>
      <c r="C361" s="186" t="e">
        <f>'INFORME '!#REF!</f>
        <v>#REF!</v>
      </c>
      <c r="D361" s="164" t="e">
        <f>'INFORME '!#REF!</f>
        <v>#REF!</v>
      </c>
      <c r="E361" s="164" t="s">
        <v>488</v>
      </c>
      <c r="F361" s="179" t="e">
        <f>'INFORME '!#REF!</f>
        <v>#REF!</v>
      </c>
      <c r="G361" s="179" t="e">
        <f>'INFORME '!#REF!</f>
        <v>#REF!</v>
      </c>
      <c r="H361" s="179" t="e">
        <f>'INFORME '!#REF!</f>
        <v>#REF!</v>
      </c>
      <c r="I361" s="187" t="e">
        <f>'INFORME '!#REF!</f>
        <v>#REF!</v>
      </c>
      <c r="J361" s="187">
        <v>41372963</v>
      </c>
      <c r="K361" s="164" t="e">
        <f>'INFORME '!#REF!</f>
        <v>#REF!</v>
      </c>
      <c r="L361" s="164" t="e">
        <f>'INFORME '!#REF!</f>
        <v>#REF!</v>
      </c>
      <c r="M361" s="157"/>
      <c r="N361" s="160"/>
      <c r="O361" s="160"/>
      <c r="P361" s="157"/>
      <c r="Q361" s="157"/>
      <c r="R361" s="160"/>
      <c r="S361" s="157" t="e">
        <f>'INFORME '!#REF!</f>
        <v>#REF!</v>
      </c>
      <c r="T361" s="287" t="s">
        <v>833</v>
      </c>
    </row>
    <row r="362" spans="2:20" ht="30">
      <c r="B362" s="185" t="e">
        <f>'INFORME '!#REF!</f>
        <v>#REF!</v>
      </c>
      <c r="C362" s="186" t="e">
        <f>'INFORME '!#REF!</f>
        <v>#REF!</v>
      </c>
      <c r="D362" s="164" t="e">
        <f>'INFORME '!#REF!</f>
        <v>#REF!</v>
      </c>
      <c r="E362" s="164" t="s">
        <v>488</v>
      </c>
      <c r="F362" s="179" t="e">
        <f>'INFORME '!#REF!</f>
        <v>#REF!</v>
      </c>
      <c r="G362" s="179" t="e">
        <f>'INFORME '!#REF!</f>
        <v>#REF!</v>
      </c>
      <c r="H362" s="179" t="e">
        <f>'INFORME '!#REF!</f>
        <v>#REF!</v>
      </c>
      <c r="I362" s="187" t="e">
        <f>'INFORME '!#REF!</f>
        <v>#REF!</v>
      </c>
      <c r="J362" s="187">
        <v>59575089</v>
      </c>
      <c r="K362" s="164" t="e">
        <f>'INFORME '!#REF!</f>
        <v>#REF!</v>
      </c>
      <c r="L362" s="164" t="e">
        <f>'INFORME '!#REF!</f>
        <v>#REF!</v>
      </c>
      <c r="M362" s="157"/>
      <c r="N362" s="160"/>
      <c r="O362" s="160"/>
      <c r="P362" s="157"/>
      <c r="Q362" s="157"/>
      <c r="R362" s="160"/>
      <c r="S362" s="157" t="e">
        <f>'INFORME '!#REF!</f>
        <v>#REF!</v>
      </c>
      <c r="T362" s="287" t="s">
        <v>1208</v>
      </c>
    </row>
    <row r="363" spans="2:20">
      <c r="B363" s="185" t="e">
        <f>'INFORME '!#REF!</f>
        <v>#REF!</v>
      </c>
      <c r="C363" s="186" t="e">
        <f>'INFORME '!#REF!</f>
        <v>#REF!</v>
      </c>
      <c r="D363" s="164" t="e">
        <f>'INFORME '!#REF!</f>
        <v>#REF!</v>
      </c>
      <c r="E363" s="164" t="s">
        <v>488</v>
      </c>
      <c r="F363" s="179" t="e">
        <f>'INFORME '!#REF!</f>
        <v>#REF!</v>
      </c>
      <c r="G363" s="179" t="e">
        <f>'INFORME '!#REF!</f>
        <v>#REF!</v>
      </c>
      <c r="H363" s="179" t="e">
        <f>'INFORME '!#REF!</f>
        <v>#REF!</v>
      </c>
      <c r="I363" s="187" t="e">
        <f>'INFORME '!#REF!</f>
        <v>#REF!</v>
      </c>
      <c r="J363" s="187">
        <v>55489447</v>
      </c>
      <c r="K363" s="164" t="e">
        <f>'INFORME '!#REF!</f>
        <v>#REF!</v>
      </c>
      <c r="L363" s="164" t="e">
        <f>'INFORME '!#REF!</f>
        <v>#REF!</v>
      </c>
      <c r="M363" s="157" t="s">
        <v>690</v>
      </c>
      <c r="N363" s="160">
        <v>2</v>
      </c>
      <c r="O363" s="160">
        <v>2</v>
      </c>
      <c r="P363" s="157" t="s">
        <v>538</v>
      </c>
      <c r="Q363" s="157" t="s">
        <v>505</v>
      </c>
      <c r="R363" s="160">
        <v>276.85000000000002</v>
      </c>
      <c r="S363" s="157" t="e">
        <f>'INFORME '!#REF!</f>
        <v>#REF!</v>
      </c>
      <c r="T363" s="287" t="s">
        <v>488</v>
      </c>
    </row>
    <row r="364" spans="2:20">
      <c r="B364" s="185" t="e">
        <f>'INFORME '!#REF!</f>
        <v>#REF!</v>
      </c>
      <c r="C364" s="186" t="e">
        <f>'INFORME '!#REF!</f>
        <v>#REF!</v>
      </c>
      <c r="D364" s="164" t="e">
        <f>'INFORME '!#REF!</f>
        <v>#REF!</v>
      </c>
      <c r="E364" s="164" t="s">
        <v>488</v>
      </c>
      <c r="F364" s="179" t="e">
        <f>'INFORME '!#REF!</f>
        <v>#REF!</v>
      </c>
      <c r="G364" s="179" t="e">
        <f>'INFORME '!#REF!</f>
        <v>#REF!</v>
      </c>
      <c r="H364" s="179" t="e">
        <f>'INFORME '!#REF!</f>
        <v>#REF!</v>
      </c>
      <c r="I364" s="187" t="e">
        <f>'INFORME '!#REF!</f>
        <v>#REF!</v>
      </c>
      <c r="J364" s="187">
        <v>55489447</v>
      </c>
      <c r="K364" s="164" t="e">
        <f>'INFORME '!#REF!</f>
        <v>#REF!</v>
      </c>
      <c r="L364" s="164" t="e">
        <f>'INFORME '!#REF!</f>
        <v>#REF!</v>
      </c>
      <c r="M364" s="157" t="s">
        <v>1215</v>
      </c>
      <c r="N364" s="160" t="s">
        <v>1216</v>
      </c>
      <c r="O364" s="160">
        <v>3</v>
      </c>
      <c r="P364" s="157" t="s">
        <v>538</v>
      </c>
      <c r="Q364" s="157" t="s">
        <v>505</v>
      </c>
      <c r="R364" s="160">
        <v>265.38</v>
      </c>
      <c r="S364" s="157" t="e">
        <f>'INFORME '!#REF!</f>
        <v>#REF!</v>
      </c>
      <c r="T364" s="287" t="s">
        <v>1217</v>
      </c>
    </row>
    <row r="365" spans="2:20">
      <c r="B365" s="185" t="e">
        <f>'INFORME '!#REF!</f>
        <v>#REF!</v>
      </c>
      <c r="C365" s="186" t="e">
        <f>'INFORME '!#REF!</f>
        <v>#REF!</v>
      </c>
      <c r="D365" s="164" t="e">
        <f>'INFORME '!#REF!</f>
        <v>#REF!</v>
      </c>
      <c r="E365" s="164" t="s">
        <v>488</v>
      </c>
      <c r="F365" s="179" t="e">
        <f>'INFORME '!#REF!</f>
        <v>#REF!</v>
      </c>
      <c r="G365" s="179" t="e">
        <f>'INFORME '!#REF!</f>
        <v>#REF!</v>
      </c>
      <c r="H365" s="179" t="e">
        <f>'INFORME '!#REF!</f>
        <v>#REF!</v>
      </c>
      <c r="I365" s="187" t="e">
        <f>'INFORME '!#REF!</f>
        <v>#REF!</v>
      </c>
      <c r="J365" s="187">
        <v>59575089</v>
      </c>
      <c r="K365" s="164" t="e">
        <f>'INFORME '!#REF!</f>
        <v>#REF!</v>
      </c>
      <c r="L365" s="164" t="e">
        <f>'INFORME '!#REF!</f>
        <v>#REF!</v>
      </c>
      <c r="M365" s="157"/>
      <c r="N365" s="160"/>
      <c r="O365" s="160"/>
      <c r="P365" s="157"/>
      <c r="Q365" s="157"/>
      <c r="R365" s="160"/>
      <c r="S365" s="157" t="e">
        <f>'INFORME '!#REF!</f>
        <v>#REF!</v>
      </c>
      <c r="T365" s="287" t="s">
        <v>1146</v>
      </c>
    </row>
    <row r="366" spans="2:20">
      <c r="B366" s="185" t="e">
        <f>'INFORME '!#REF!</f>
        <v>#REF!</v>
      </c>
      <c r="C366" s="186" t="e">
        <f>'INFORME '!#REF!</f>
        <v>#REF!</v>
      </c>
      <c r="D366" s="164" t="e">
        <f>'INFORME '!#REF!</f>
        <v>#REF!</v>
      </c>
      <c r="E366" s="164" t="s">
        <v>488</v>
      </c>
      <c r="F366" s="179" t="e">
        <f>'INFORME '!#REF!</f>
        <v>#REF!</v>
      </c>
      <c r="G366" s="179" t="e">
        <f>'INFORME '!#REF!</f>
        <v>#REF!</v>
      </c>
      <c r="H366" s="179" t="e">
        <f>'INFORME '!#REF!</f>
        <v>#REF!</v>
      </c>
      <c r="I366" s="187" t="e">
        <f>'INFORME '!#REF!</f>
        <v>#REF!</v>
      </c>
      <c r="J366" s="187">
        <v>59575089</v>
      </c>
      <c r="K366" s="164" t="e">
        <f>'INFORME '!#REF!</f>
        <v>#REF!</v>
      </c>
      <c r="L366" s="164" t="e">
        <f>'INFORME '!#REF!</f>
        <v>#REF!</v>
      </c>
      <c r="M366" s="157" t="s">
        <v>487</v>
      </c>
      <c r="N366" s="160">
        <v>1</v>
      </c>
      <c r="O366" s="160">
        <v>1</v>
      </c>
      <c r="P366" s="157" t="s">
        <v>1220</v>
      </c>
      <c r="Q366" s="157" t="s">
        <v>505</v>
      </c>
      <c r="R366" s="160">
        <v>48.29</v>
      </c>
      <c r="S366" s="157" t="e">
        <f>'INFORME '!#REF!</f>
        <v>#REF!</v>
      </c>
      <c r="T366" s="287" t="s">
        <v>783</v>
      </c>
    </row>
    <row r="367" spans="2:20">
      <c r="B367" s="185" t="e">
        <f>'INFORME '!#REF!</f>
        <v>#REF!</v>
      </c>
      <c r="C367" s="186">
        <f>'INFORME '!C79</f>
        <v>0</v>
      </c>
      <c r="D367" s="164">
        <f>'INFORME '!D79</f>
        <v>0</v>
      </c>
      <c r="E367" s="164" t="s">
        <v>488</v>
      </c>
      <c r="F367" s="179">
        <f>'INFORME '!E79</f>
        <v>0</v>
      </c>
      <c r="G367" s="179">
        <f>'INFORME '!F79</f>
        <v>0</v>
      </c>
      <c r="H367" s="179">
        <f>'INFORME '!G79</f>
        <v>3</v>
      </c>
      <c r="I367" s="187" t="str">
        <f>'INFORME '!H79</f>
        <v>-</v>
      </c>
      <c r="J367" s="187">
        <v>40919817</v>
      </c>
      <c r="K367" s="164">
        <f>'INFORME '!I79</f>
        <v>0</v>
      </c>
      <c r="L367" s="164" t="e">
        <f>'INFORME '!#REF!</f>
        <v>#REF!</v>
      </c>
      <c r="M367" s="157"/>
      <c r="N367" s="160"/>
      <c r="O367" s="160"/>
      <c r="P367" s="157"/>
      <c r="Q367" s="157"/>
      <c r="R367" s="160"/>
      <c r="S367" s="157">
        <f>'INFORME '!K79</f>
        <v>0</v>
      </c>
      <c r="T367" s="287" t="s">
        <v>1221</v>
      </c>
    </row>
    <row r="368" spans="2:20" ht="30">
      <c r="B368" s="185" t="e">
        <f>'INFORME '!B80</f>
        <v>#REF!</v>
      </c>
      <c r="C368" s="186">
        <f>'INFORME '!C114</f>
        <v>46162</v>
      </c>
      <c r="D368" s="164" t="str">
        <f>'INFORME '!D114</f>
        <v>RPNH12-4890526</v>
      </c>
      <c r="E368" s="164" t="s">
        <v>488</v>
      </c>
      <c r="F368" s="179" t="str">
        <f>'INFORME '!E114</f>
        <v>FRANCISCO JAVIER HERNANDEZ HEERRERA</v>
      </c>
      <c r="G368" s="179" t="str">
        <f>'INFORME '!F114</f>
        <v>3 AVENIDA 5-37 LOTE 356 MZ0</v>
      </c>
      <c r="H368" s="179">
        <f>'INFORME '!G114</f>
        <v>0</v>
      </c>
      <c r="I368" s="187">
        <f>'INFORME '!H114</f>
        <v>0</v>
      </c>
      <c r="J368" s="187">
        <v>57990436</v>
      </c>
      <c r="K368" s="164">
        <f>'INFORME '!I114</f>
        <v>46168</v>
      </c>
      <c r="L368" s="164" t="e">
        <f>'INFORME '!#REF!</f>
        <v>#REF!</v>
      </c>
      <c r="M368" s="157" t="s">
        <v>487</v>
      </c>
      <c r="N368" s="160">
        <v>1</v>
      </c>
      <c r="O368" s="160">
        <v>2</v>
      </c>
      <c r="P368" s="157" t="s">
        <v>538</v>
      </c>
      <c r="Q368" s="157" t="s">
        <v>505</v>
      </c>
      <c r="R368" s="160">
        <v>173.52</v>
      </c>
      <c r="S368" s="157" t="str">
        <f>'INFORME '!K114</f>
        <v>REGULARIZACIÓN</v>
      </c>
      <c r="T368" s="287" t="s">
        <v>1224</v>
      </c>
    </row>
    <row r="369" spans="2:20" ht="30">
      <c r="B369" s="185" t="e">
        <f>'INFORME '!B81</f>
        <v>#REF!</v>
      </c>
      <c r="C369" s="186">
        <f>'INFORME '!C115</f>
        <v>46367</v>
      </c>
      <c r="D369" s="164" t="str">
        <f>'INFORME '!D115</f>
        <v>RPNA11-5340626</v>
      </c>
      <c r="E369" s="164" t="s">
        <v>488</v>
      </c>
      <c r="F369" s="179" t="str">
        <f>'INFORME '!E115</f>
        <v>PEDRO MARCOS ACEITUNO ALVAREZ</v>
      </c>
      <c r="G369" s="179" t="str">
        <f>'INFORME '!F115</f>
        <v>LOMAS DE SAN JOSE ZONA 11</v>
      </c>
      <c r="H369" s="179">
        <f>'INFORME '!G115</f>
        <v>0</v>
      </c>
      <c r="I369" s="187">
        <f>'INFORME '!H115</f>
        <v>0</v>
      </c>
      <c r="J369" s="187">
        <v>51304459</v>
      </c>
      <c r="K369" s="164">
        <f>'INFORME '!I115</f>
        <v>46170</v>
      </c>
      <c r="L369" s="164" t="e">
        <f>'INFORME '!#REF!</f>
        <v>#REF!</v>
      </c>
      <c r="M369" s="157" t="s">
        <v>1225</v>
      </c>
      <c r="N369" s="160">
        <v>1</v>
      </c>
      <c r="O369" s="160">
        <v>1</v>
      </c>
      <c r="P369" s="157" t="s">
        <v>538</v>
      </c>
      <c r="Q369" s="157" t="s">
        <v>505</v>
      </c>
      <c r="R369" s="160">
        <v>180.7</v>
      </c>
      <c r="S369" s="157" t="str">
        <f>'INFORME '!K115</f>
        <v xml:space="preserve">EXPEDIENTE DE CATASTRO PARA REGULARIZACIÓN </v>
      </c>
      <c r="T369" s="287" t="s">
        <v>1224</v>
      </c>
    </row>
    <row r="370" spans="2:20" ht="30">
      <c r="B370" s="185" t="e">
        <f>'INFORME '!B82</f>
        <v>#REF!</v>
      </c>
      <c r="C370" s="186" t="str">
        <f>'INFORME '!D116</f>
        <v>RPNI6-5460626</v>
      </c>
      <c r="D370" s="164" t="e">
        <f>'INFORME '!#REF!</f>
        <v>#REF!</v>
      </c>
      <c r="E370" s="164" t="s">
        <v>488</v>
      </c>
      <c r="F370" s="179" t="str">
        <f>'INFORME '!E116</f>
        <v>AURORA GRACIELA IXCATICOY LOPEZ</v>
      </c>
      <c r="G370" s="179" t="str">
        <f>'INFORME '!F116</f>
        <v>5 AVENIDA CA-3 ZONA 6</v>
      </c>
      <c r="H370" s="179">
        <f>'INFORME '!G116</f>
        <v>0</v>
      </c>
      <c r="I370" s="187">
        <f>'INFORME '!H116</f>
        <v>0</v>
      </c>
      <c r="J370" s="187">
        <v>46216841</v>
      </c>
      <c r="K370" s="164">
        <f>'INFORME '!I116</f>
        <v>46170</v>
      </c>
      <c r="L370" s="164" t="e">
        <f>'INFORME '!#REF!</f>
        <v>#REF!</v>
      </c>
      <c r="M370" s="157" t="s">
        <v>487</v>
      </c>
      <c r="N370" s="160">
        <v>1</v>
      </c>
      <c r="O370" s="160">
        <v>1</v>
      </c>
      <c r="P370" s="157" t="s">
        <v>524</v>
      </c>
      <c r="Q370" s="157" t="s">
        <v>505</v>
      </c>
      <c r="R370" s="160">
        <v>33.25</v>
      </c>
      <c r="S370" s="157" t="str">
        <f>'INFORME '!K116</f>
        <v xml:space="preserve">VIVIENDA ANTIGUA REGULARIZADA </v>
      </c>
      <c r="T370" s="287" t="s">
        <v>488</v>
      </c>
    </row>
    <row r="371" spans="2:20" ht="30">
      <c r="B371" s="185" t="e">
        <f>'INFORME '!B83</f>
        <v>#REF!</v>
      </c>
      <c r="C371" s="186">
        <f>'INFORME '!C117</f>
        <v>46160</v>
      </c>
      <c r="D371" s="164" t="str">
        <f>'INFORME '!D117</f>
        <v>ANTNI6-1300526</v>
      </c>
      <c r="E371" s="164" t="s">
        <v>488</v>
      </c>
      <c r="F371" s="179" t="str">
        <f>'INFORME '!E117</f>
        <v>AURORA GRACIELA IXCATICOY LOPEZ</v>
      </c>
      <c r="G371" s="179" t="str">
        <f>'INFORME '!F117</f>
        <v>5 AVENIDA CA-3 ZONA 6</v>
      </c>
      <c r="H371" s="179">
        <f>'INFORME '!G117</f>
        <v>0</v>
      </c>
      <c r="I371" s="187">
        <f>'INFORME '!H117</f>
        <v>0</v>
      </c>
      <c r="J371" s="187">
        <v>42780580</v>
      </c>
      <c r="K371" s="164">
        <f>'INFORME '!I117</f>
        <v>46170</v>
      </c>
      <c r="L371" s="164" t="e">
        <f>'INFORME '!#REF!</f>
        <v>#REF!</v>
      </c>
      <c r="M371" s="157"/>
      <c r="N371" s="160"/>
      <c r="O371" s="160"/>
      <c r="P371" s="157"/>
      <c r="Q371" s="157"/>
      <c r="R371" s="160"/>
      <c r="S371" s="157" t="str">
        <f>'INFORME '!K117</f>
        <v>OFICIO EXTERNO ENVIADO A IUSI PARA CARGAR AREA</v>
      </c>
      <c r="T371" s="287" t="s">
        <v>704</v>
      </c>
    </row>
    <row r="372" spans="2:20">
      <c r="B372" s="185" t="e">
        <f>'INFORME '!B84</f>
        <v>#REF!</v>
      </c>
      <c r="C372" s="186">
        <f>'INFORME '!C84</f>
        <v>0</v>
      </c>
      <c r="D372" s="164">
        <f>'INFORME '!D84</f>
        <v>0</v>
      </c>
      <c r="E372" s="164" t="s">
        <v>488</v>
      </c>
      <c r="F372" s="179">
        <f>'INFORME '!E84</f>
        <v>0</v>
      </c>
      <c r="G372" s="179">
        <f>'INFORME '!F84</f>
        <v>0</v>
      </c>
      <c r="H372" s="179">
        <f>'INFORME '!G84</f>
        <v>0</v>
      </c>
      <c r="I372" s="187">
        <f>'INFORME '!H84</f>
        <v>0</v>
      </c>
      <c r="J372" s="187"/>
      <c r="K372" s="164">
        <f>'INFORME '!I84</f>
        <v>0</v>
      </c>
      <c r="L372" s="164" t="e">
        <f>'INFORME '!#REF!</f>
        <v>#REF!</v>
      </c>
      <c r="M372" s="157"/>
      <c r="N372" s="160"/>
      <c r="O372" s="160"/>
      <c r="P372" s="157"/>
      <c r="Q372" s="157"/>
      <c r="R372" s="160"/>
      <c r="S372" s="157">
        <f>'INFORME '!K84</f>
        <v>0</v>
      </c>
      <c r="T372" s="287"/>
    </row>
    <row r="373" spans="2:20">
      <c r="B373" s="185" t="e">
        <f>'INFORME '!B85</f>
        <v>#REF!</v>
      </c>
      <c r="C373" s="186">
        <f>'INFORME '!C85</f>
        <v>0</v>
      </c>
      <c r="D373" s="164">
        <f>'INFORME '!D85</f>
        <v>0</v>
      </c>
      <c r="E373" s="164" t="s">
        <v>488</v>
      </c>
      <c r="F373" s="179">
        <f>'INFORME '!E85</f>
        <v>0</v>
      </c>
      <c r="G373" s="179">
        <f>'INFORME '!F85</f>
        <v>0</v>
      </c>
      <c r="H373" s="179">
        <f>'INFORME '!G85</f>
        <v>0</v>
      </c>
      <c r="I373" s="187">
        <f>'INFORME '!H85</f>
        <v>0</v>
      </c>
      <c r="J373" s="187"/>
      <c r="K373" s="164">
        <f>'INFORME '!I85</f>
        <v>0</v>
      </c>
      <c r="L373" s="164" t="e">
        <f>'INFORME '!#REF!</f>
        <v>#REF!</v>
      </c>
      <c r="M373" s="157"/>
      <c r="N373" s="160"/>
      <c r="O373" s="160"/>
      <c r="P373" s="157"/>
      <c r="Q373" s="157"/>
      <c r="R373" s="160"/>
      <c r="S373" s="157">
        <f>'INFORME '!K85</f>
        <v>0</v>
      </c>
      <c r="T373" s="287"/>
    </row>
    <row r="374" spans="2:20">
      <c r="B374" s="185" t="e">
        <f>'INFORME '!B86</f>
        <v>#REF!</v>
      </c>
      <c r="C374" s="186">
        <f>'INFORME '!C86</f>
        <v>0</v>
      </c>
      <c r="D374" s="164">
        <f>'INFORME '!D86</f>
        <v>0</v>
      </c>
      <c r="E374" s="164" t="s">
        <v>488</v>
      </c>
      <c r="F374" s="179">
        <f>'INFORME '!E86</f>
        <v>0</v>
      </c>
      <c r="G374" s="179">
        <f>'INFORME '!F86</f>
        <v>0</v>
      </c>
      <c r="H374" s="179">
        <f>'INFORME '!G86</f>
        <v>0</v>
      </c>
      <c r="I374" s="187">
        <f>'INFORME '!H86</f>
        <v>0</v>
      </c>
      <c r="J374" s="187"/>
      <c r="K374" s="164">
        <f>'INFORME '!I86</f>
        <v>0</v>
      </c>
      <c r="L374" s="164" t="e">
        <f>'INFORME '!#REF!</f>
        <v>#REF!</v>
      </c>
      <c r="M374" s="157"/>
      <c r="N374" s="160"/>
      <c r="O374" s="160"/>
      <c r="P374" s="157"/>
      <c r="Q374" s="157"/>
      <c r="R374" s="160"/>
      <c r="S374" s="157">
        <f>'INFORME '!K86</f>
        <v>0</v>
      </c>
      <c r="T374" s="287"/>
    </row>
    <row r="375" spans="2:20">
      <c r="B375" s="185" t="e">
        <f>'INFORME '!B87</f>
        <v>#REF!</v>
      </c>
      <c r="C375" s="186">
        <f>'INFORME '!C87</f>
        <v>0</v>
      </c>
      <c r="D375" s="164">
        <f>'INFORME '!D87</f>
        <v>0</v>
      </c>
      <c r="E375" s="164" t="s">
        <v>488</v>
      </c>
      <c r="F375" s="179">
        <f>'INFORME '!E87</f>
        <v>0</v>
      </c>
      <c r="G375" s="179">
        <f>'INFORME '!F87</f>
        <v>0</v>
      </c>
      <c r="H375" s="179">
        <f>'INFORME '!G87</f>
        <v>0</v>
      </c>
      <c r="I375" s="187">
        <f>'INFORME '!H87</f>
        <v>0</v>
      </c>
      <c r="J375" s="187"/>
      <c r="K375" s="164">
        <f>'INFORME '!I87</f>
        <v>0</v>
      </c>
      <c r="L375" s="164" t="e">
        <f>'INFORME '!#REF!</f>
        <v>#REF!</v>
      </c>
      <c r="M375" s="157"/>
      <c r="N375" s="160"/>
      <c r="O375" s="160"/>
      <c r="P375" s="157"/>
      <c r="Q375" s="157"/>
      <c r="R375" s="160"/>
      <c r="S375" s="157">
        <f>'INFORME '!K87</f>
        <v>0</v>
      </c>
      <c r="T375" s="287"/>
    </row>
    <row r="376" spans="2:20">
      <c r="B376" s="185" t="e">
        <f>'INFORME '!B88</f>
        <v>#REF!</v>
      </c>
      <c r="C376" s="186">
        <f>'INFORME '!C88</f>
        <v>0</v>
      </c>
      <c r="D376" s="164">
        <f>'INFORME '!D88</f>
        <v>0</v>
      </c>
      <c r="E376" s="164" t="s">
        <v>488</v>
      </c>
      <c r="F376" s="179">
        <f>'INFORME '!E88</f>
        <v>0</v>
      </c>
      <c r="G376" s="179">
        <f>'INFORME '!F88</f>
        <v>0</v>
      </c>
      <c r="H376" s="179">
        <f>'INFORME '!G88</f>
        <v>0</v>
      </c>
      <c r="I376" s="187">
        <f>'INFORME '!H88</f>
        <v>0</v>
      </c>
      <c r="J376" s="187"/>
      <c r="K376" s="164">
        <f>'INFORME '!I88</f>
        <v>0</v>
      </c>
      <c r="L376" s="164" t="e">
        <f>'INFORME '!#REF!</f>
        <v>#REF!</v>
      </c>
      <c r="M376" s="157"/>
      <c r="N376" s="160"/>
      <c r="O376" s="160"/>
      <c r="P376" s="157"/>
      <c r="Q376" s="157"/>
      <c r="R376" s="160"/>
      <c r="S376" s="157">
        <f>'INFORME '!K88</f>
        <v>0</v>
      </c>
      <c r="T376" s="287"/>
    </row>
    <row r="377" spans="2:20">
      <c r="B377" s="185" t="e">
        <f>'INFORME '!B89</f>
        <v>#REF!</v>
      </c>
      <c r="C377" s="186">
        <f>'INFORME '!C89</f>
        <v>0</v>
      </c>
      <c r="D377" s="164">
        <f>'INFORME '!D89</f>
        <v>0</v>
      </c>
      <c r="E377" s="164" t="s">
        <v>488</v>
      </c>
      <c r="F377" s="179">
        <f>'INFORME '!E89</f>
        <v>0</v>
      </c>
      <c r="G377" s="179">
        <f>'INFORME '!F89</f>
        <v>0</v>
      </c>
      <c r="H377" s="179">
        <f>'INFORME '!G89</f>
        <v>0</v>
      </c>
      <c r="I377" s="187">
        <f>'INFORME '!H89</f>
        <v>0</v>
      </c>
      <c r="J377" s="187"/>
      <c r="K377" s="164">
        <f>'INFORME '!I89</f>
        <v>0</v>
      </c>
      <c r="L377" s="164" t="e">
        <f>'INFORME '!#REF!</f>
        <v>#REF!</v>
      </c>
      <c r="M377" s="157"/>
      <c r="N377" s="160"/>
      <c r="O377" s="160"/>
      <c r="P377" s="157"/>
      <c r="Q377" s="157"/>
      <c r="R377" s="160"/>
      <c r="S377" s="157">
        <f>'INFORME '!K89</f>
        <v>0</v>
      </c>
      <c r="T377" s="287"/>
    </row>
    <row r="378" spans="2:20">
      <c r="B378" s="185" t="e">
        <f>'INFORME '!B90</f>
        <v>#REF!</v>
      </c>
      <c r="C378" s="186">
        <f>'INFORME '!C90</f>
        <v>0</v>
      </c>
      <c r="D378" s="164">
        <f>'INFORME '!D90</f>
        <v>0</v>
      </c>
      <c r="E378" s="164" t="s">
        <v>488</v>
      </c>
      <c r="F378" s="179">
        <f>'INFORME '!E90</f>
        <v>0</v>
      </c>
      <c r="G378" s="179">
        <f>'INFORME '!F90</f>
        <v>0</v>
      </c>
      <c r="H378" s="179">
        <f>'INFORME '!G90</f>
        <v>0</v>
      </c>
      <c r="I378" s="187">
        <f>'INFORME '!H90</f>
        <v>0</v>
      </c>
      <c r="J378" s="187"/>
      <c r="K378" s="164">
        <f>'INFORME '!I90</f>
        <v>0</v>
      </c>
      <c r="L378" s="164" t="e">
        <f>'INFORME '!#REF!</f>
        <v>#REF!</v>
      </c>
      <c r="M378" s="157"/>
      <c r="N378" s="160"/>
      <c r="O378" s="160"/>
      <c r="P378" s="157"/>
      <c r="Q378" s="157"/>
      <c r="R378" s="160"/>
      <c r="S378" s="157">
        <f>'INFORME '!K90</f>
        <v>0</v>
      </c>
      <c r="T378" s="287"/>
    </row>
    <row r="379" spans="2:20">
      <c r="B379" s="185" t="e">
        <f>'INFORME '!B91</f>
        <v>#REF!</v>
      </c>
      <c r="C379" s="186">
        <f>'INFORME '!C91</f>
        <v>0</v>
      </c>
      <c r="D379" s="164">
        <f>'INFORME '!D91</f>
        <v>0</v>
      </c>
      <c r="E379" s="164" t="s">
        <v>488</v>
      </c>
      <c r="F379" s="179">
        <f>'INFORME '!E91</f>
        <v>0</v>
      </c>
      <c r="G379" s="179">
        <f>'INFORME '!F91</f>
        <v>0</v>
      </c>
      <c r="H379" s="179">
        <f>'INFORME '!G91</f>
        <v>0</v>
      </c>
      <c r="I379" s="187">
        <f>'INFORME '!H91</f>
        <v>0</v>
      </c>
      <c r="J379" s="187"/>
      <c r="K379" s="164">
        <f>'INFORME '!I91</f>
        <v>0</v>
      </c>
      <c r="L379" s="164" t="e">
        <f>'INFORME '!#REF!</f>
        <v>#REF!</v>
      </c>
      <c r="M379" s="157"/>
      <c r="N379" s="160"/>
      <c r="O379" s="160"/>
      <c r="P379" s="157"/>
      <c r="Q379" s="157"/>
      <c r="R379" s="160"/>
      <c r="S379" s="157">
        <f>'INFORME '!K91</f>
        <v>0</v>
      </c>
      <c r="T379" s="287"/>
    </row>
    <row r="380" spans="2:20">
      <c r="B380" s="185" t="e">
        <f>'INFORME '!B92</f>
        <v>#REF!</v>
      </c>
      <c r="C380" s="186">
        <f>'INFORME '!C92</f>
        <v>0</v>
      </c>
      <c r="D380" s="164">
        <f>'INFORME '!D92</f>
        <v>0</v>
      </c>
      <c r="E380" s="164" t="s">
        <v>488</v>
      </c>
      <c r="F380" s="179">
        <f>'INFORME '!E92</f>
        <v>0</v>
      </c>
      <c r="G380" s="179">
        <f>'INFORME '!F92</f>
        <v>0</v>
      </c>
      <c r="H380" s="179">
        <f>'INFORME '!G92</f>
        <v>0</v>
      </c>
      <c r="I380" s="187">
        <f>'INFORME '!H92</f>
        <v>0</v>
      </c>
      <c r="J380" s="187"/>
      <c r="K380" s="164">
        <f>'INFORME '!I92</f>
        <v>0</v>
      </c>
      <c r="L380" s="164" t="e">
        <f>'INFORME '!#REF!</f>
        <v>#REF!</v>
      </c>
      <c r="M380" s="157"/>
      <c r="N380" s="160"/>
      <c r="O380" s="160"/>
      <c r="P380" s="157"/>
      <c r="Q380" s="157"/>
      <c r="R380" s="160"/>
      <c r="S380" s="157">
        <f>'INFORME '!K92</f>
        <v>0</v>
      </c>
      <c r="T380" s="287"/>
    </row>
    <row r="381" spans="2:20">
      <c r="B381" s="185" t="e">
        <f>'INFORME '!B93</f>
        <v>#REF!</v>
      </c>
      <c r="C381" s="186">
        <f>'INFORME '!C93</f>
        <v>0</v>
      </c>
      <c r="D381" s="164">
        <f>'INFORME '!D93</f>
        <v>0</v>
      </c>
      <c r="E381" s="164"/>
      <c r="F381" s="179">
        <f>'INFORME '!E93</f>
        <v>0</v>
      </c>
      <c r="G381" s="179">
        <f>'INFORME '!F93</f>
        <v>0</v>
      </c>
      <c r="H381" s="179">
        <f>'INFORME '!G93</f>
        <v>0</v>
      </c>
      <c r="I381" s="187">
        <f>'INFORME '!H93</f>
        <v>0</v>
      </c>
      <c r="J381" s="187"/>
      <c r="K381" s="164">
        <f>'INFORME '!I93</f>
        <v>0</v>
      </c>
      <c r="L381" s="164" t="e">
        <f>'INFORME '!#REF!</f>
        <v>#REF!</v>
      </c>
      <c r="M381" s="157"/>
      <c r="N381" s="160"/>
      <c r="O381" s="160"/>
      <c r="P381" s="157"/>
      <c r="Q381" s="157"/>
      <c r="R381" s="160"/>
      <c r="S381" s="157">
        <f>'INFORME '!K93</f>
        <v>0</v>
      </c>
      <c r="T381" s="287"/>
    </row>
    <row r="382" spans="2:20">
      <c r="B382" s="185" t="e">
        <f>'INFORME '!B94</f>
        <v>#REF!</v>
      </c>
      <c r="C382" s="186">
        <f>'INFORME '!C94</f>
        <v>0</v>
      </c>
      <c r="D382" s="164">
        <f>'INFORME '!D94</f>
        <v>0</v>
      </c>
      <c r="E382" s="164"/>
      <c r="F382" s="179">
        <f>'INFORME '!E94</f>
        <v>0</v>
      </c>
      <c r="G382" s="179">
        <f>'INFORME '!F94</f>
        <v>0</v>
      </c>
      <c r="H382" s="179">
        <f>'INFORME '!G94</f>
        <v>0</v>
      </c>
      <c r="I382" s="187">
        <f>'INFORME '!H94</f>
        <v>0</v>
      </c>
      <c r="J382" s="187"/>
      <c r="K382" s="164">
        <f>'INFORME '!I94</f>
        <v>0</v>
      </c>
      <c r="L382" s="164" t="e">
        <f>'INFORME '!#REF!</f>
        <v>#REF!</v>
      </c>
      <c r="M382" s="157"/>
      <c r="N382" s="160"/>
      <c r="O382" s="160"/>
      <c r="P382" s="157"/>
      <c r="Q382" s="157"/>
      <c r="R382" s="160"/>
      <c r="S382" s="157">
        <f>'INFORME '!K94</f>
        <v>0</v>
      </c>
      <c r="T382" s="287"/>
    </row>
    <row r="383" spans="2:20">
      <c r="B383" s="185" t="e">
        <f>'INFORME '!B95</f>
        <v>#REF!</v>
      </c>
      <c r="C383" s="186">
        <f>'INFORME '!C95</f>
        <v>0</v>
      </c>
      <c r="D383" s="164">
        <f>'INFORME '!D95</f>
        <v>0</v>
      </c>
      <c r="E383" s="164"/>
      <c r="F383" s="179">
        <f>'INFORME '!E95</f>
        <v>0</v>
      </c>
      <c r="G383" s="179">
        <f>'INFORME '!F95</f>
        <v>0</v>
      </c>
      <c r="H383" s="179">
        <f>'INFORME '!G95</f>
        <v>0</v>
      </c>
      <c r="I383" s="187">
        <f>'INFORME '!H95</f>
        <v>0</v>
      </c>
      <c r="J383" s="187"/>
      <c r="K383" s="164">
        <f>'INFORME '!I95</f>
        <v>0</v>
      </c>
      <c r="L383" s="164" t="e">
        <f>'INFORME '!#REF!</f>
        <v>#REF!</v>
      </c>
      <c r="M383" s="157"/>
      <c r="N383" s="160"/>
      <c r="O383" s="160"/>
      <c r="P383" s="157"/>
      <c r="Q383" s="157"/>
      <c r="R383" s="160"/>
      <c r="S383" s="157">
        <f>'INFORME '!K95</f>
        <v>0</v>
      </c>
      <c r="T383" s="287"/>
    </row>
    <row r="384" spans="2:20">
      <c r="B384" s="185" t="e">
        <f>'INFORME '!B96</f>
        <v>#REF!</v>
      </c>
      <c r="C384" s="186">
        <f>'INFORME '!C96</f>
        <v>0</v>
      </c>
      <c r="D384" s="164">
        <f>'INFORME '!D96</f>
        <v>0</v>
      </c>
      <c r="E384" s="164"/>
      <c r="F384" s="179">
        <f>'INFORME '!E96</f>
        <v>0</v>
      </c>
      <c r="G384" s="179">
        <f>'INFORME '!F96</f>
        <v>0</v>
      </c>
      <c r="H384" s="179">
        <f>'INFORME '!G96</f>
        <v>0</v>
      </c>
      <c r="I384" s="187">
        <f>'INFORME '!H96</f>
        <v>0</v>
      </c>
      <c r="J384" s="187"/>
      <c r="K384" s="164">
        <f>'INFORME '!I96</f>
        <v>0</v>
      </c>
      <c r="L384" s="164" t="e">
        <f>'INFORME '!#REF!</f>
        <v>#REF!</v>
      </c>
      <c r="M384" s="157"/>
      <c r="N384" s="160"/>
      <c r="O384" s="160"/>
      <c r="P384" s="157"/>
      <c r="Q384" s="157"/>
      <c r="R384" s="160"/>
      <c r="S384" s="157">
        <f>'INFORME '!K96</f>
        <v>0</v>
      </c>
      <c r="T384" s="287"/>
    </row>
    <row r="385" spans="2:20">
      <c r="B385" s="185" t="e">
        <f>'INFORME '!B97</f>
        <v>#REF!</v>
      </c>
      <c r="C385" s="186">
        <f>'INFORME '!C97</f>
        <v>0</v>
      </c>
      <c r="D385" s="164">
        <f>'INFORME '!D97</f>
        <v>0</v>
      </c>
      <c r="E385" s="164" t="s">
        <v>1049</v>
      </c>
      <c r="F385" s="179">
        <f>'INFORME '!E97</f>
        <v>0</v>
      </c>
      <c r="G385" s="179">
        <f>'INFORME '!F97</f>
        <v>0</v>
      </c>
      <c r="H385" s="179">
        <f>'INFORME '!G97</f>
        <v>0</v>
      </c>
      <c r="I385" s="187">
        <f>'INFORME '!H97</f>
        <v>0</v>
      </c>
      <c r="J385" s="187"/>
      <c r="K385" s="164">
        <f>'INFORME '!I97</f>
        <v>0</v>
      </c>
      <c r="L385" s="164" t="e">
        <f>'INFORME '!#REF!</f>
        <v>#REF!</v>
      </c>
      <c r="M385" s="157"/>
      <c r="N385" s="160"/>
      <c r="O385" s="160"/>
      <c r="P385" s="157"/>
      <c r="Q385" s="157"/>
      <c r="R385" s="160"/>
      <c r="S385" s="157">
        <f>'INFORME '!K97</f>
        <v>0</v>
      </c>
      <c r="T385" s="287"/>
    </row>
    <row r="386" spans="2:20">
      <c r="B386" s="185" t="e">
        <f>'INFORME '!B98</f>
        <v>#REF!</v>
      </c>
      <c r="C386" s="186">
        <f>'INFORME '!C98</f>
        <v>0</v>
      </c>
      <c r="D386" s="164">
        <f>'INFORME '!D98</f>
        <v>0</v>
      </c>
      <c r="E386" s="164"/>
      <c r="F386" s="179">
        <f>'INFORME '!E98</f>
        <v>0</v>
      </c>
      <c r="G386" s="179">
        <f>'INFORME '!F98</f>
        <v>0</v>
      </c>
      <c r="H386" s="179">
        <f>'INFORME '!G98</f>
        <v>0</v>
      </c>
      <c r="I386" s="187">
        <f>'INFORME '!H98</f>
        <v>0</v>
      </c>
      <c r="J386" s="187"/>
      <c r="K386" s="164">
        <f>'INFORME '!I98</f>
        <v>0</v>
      </c>
      <c r="L386" s="164" t="e">
        <f>'INFORME '!#REF!</f>
        <v>#REF!</v>
      </c>
      <c r="M386" s="157"/>
      <c r="N386" s="160"/>
      <c r="O386" s="160"/>
      <c r="P386" s="157"/>
      <c r="Q386" s="157"/>
      <c r="R386" s="160"/>
      <c r="S386" s="157">
        <f>'INFORME '!K98</f>
        <v>0</v>
      </c>
      <c r="T386" s="287"/>
    </row>
    <row r="387" spans="2:20">
      <c r="B387" s="185" t="e">
        <f>'INFORME '!B99</f>
        <v>#REF!</v>
      </c>
      <c r="C387" s="186">
        <f>'INFORME '!C99</f>
        <v>0</v>
      </c>
      <c r="D387" s="164">
        <f>'INFORME '!D99</f>
        <v>0</v>
      </c>
      <c r="E387" s="164"/>
      <c r="F387" s="179">
        <f>'INFORME '!E99</f>
        <v>0</v>
      </c>
      <c r="G387" s="179">
        <f>'INFORME '!F99</f>
        <v>0</v>
      </c>
      <c r="H387" s="179">
        <f>'INFORME '!G99</f>
        <v>0</v>
      </c>
      <c r="I387" s="187">
        <f>'INFORME '!H99</f>
        <v>0</v>
      </c>
      <c r="J387" s="187"/>
      <c r="K387" s="164">
        <f>'INFORME '!I99</f>
        <v>0</v>
      </c>
      <c r="L387" s="164" t="e">
        <f>'INFORME '!#REF!</f>
        <v>#REF!</v>
      </c>
      <c r="M387" s="157"/>
      <c r="N387" s="160"/>
      <c r="O387" s="160"/>
      <c r="P387" s="157"/>
      <c r="Q387" s="157"/>
      <c r="R387" s="160"/>
      <c r="S387" s="157">
        <f>'INFORME '!K99</f>
        <v>0</v>
      </c>
      <c r="T387" s="287"/>
    </row>
    <row r="388" spans="2:20">
      <c r="B388" s="185" t="e">
        <f>'INFORME '!B100</f>
        <v>#REF!</v>
      </c>
      <c r="C388" s="186">
        <f>'INFORME '!C100</f>
        <v>0</v>
      </c>
      <c r="D388" s="164">
        <f>'INFORME '!D100</f>
        <v>0</v>
      </c>
      <c r="E388" s="164"/>
      <c r="F388" s="179">
        <f>'INFORME '!E100</f>
        <v>0</v>
      </c>
      <c r="G388" s="179">
        <f>'INFORME '!F100</f>
        <v>0</v>
      </c>
      <c r="H388" s="179">
        <f>'INFORME '!G100</f>
        <v>0</v>
      </c>
      <c r="I388" s="187">
        <f>'INFORME '!H100</f>
        <v>0</v>
      </c>
      <c r="J388" s="187"/>
      <c r="K388" s="164">
        <f>'INFORME '!I100</f>
        <v>0</v>
      </c>
      <c r="L388" s="164" t="e">
        <f>'INFORME '!#REF!</f>
        <v>#REF!</v>
      </c>
      <c r="M388" s="157"/>
      <c r="N388" s="160"/>
      <c r="O388" s="160"/>
      <c r="P388" s="157"/>
      <c r="Q388" s="157"/>
      <c r="R388" s="160"/>
      <c r="S388" s="157">
        <f>'INFORME '!K100</f>
        <v>0</v>
      </c>
      <c r="T388" s="287"/>
    </row>
    <row r="389" spans="2:20">
      <c r="B389" s="185" t="e">
        <f>'INFORME '!B101</f>
        <v>#REF!</v>
      </c>
      <c r="C389" s="186">
        <f>'INFORME '!C101</f>
        <v>0</v>
      </c>
      <c r="D389" s="164">
        <f>'INFORME '!D101</f>
        <v>0</v>
      </c>
      <c r="E389" s="164"/>
      <c r="F389" s="179">
        <f>'INFORME '!E101</f>
        <v>0</v>
      </c>
      <c r="G389" s="179">
        <f>'INFORME '!F101</f>
        <v>0</v>
      </c>
      <c r="H389" s="179">
        <f>'INFORME '!G101</f>
        <v>0</v>
      </c>
      <c r="I389" s="187">
        <f>'INFORME '!H101</f>
        <v>0</v>
      </c>
      <c r="J389" s="187"/>
      <c r="K389" s="164">
        <f>'INFORME '!I101</f>
        <v>0</v>
      </c>
      <c r="L389" s="164" t="e">
        <f>'INFORME '!#REF!</f>
        <v>#REF!</v>
      </c>
      <c r="M389" s="157"/>
      <c r="N389" s="160"/>
      <c r="O389" s="160"/>
      <c r="P389" s="157"/>
      <c r="Q389" s="157"/>
      <c r="R389" s="160"/>
      <c r="S389" s="157">
        <f>'INFORME '!K101</f>
        <v>0</v>
      </c>
      <c r="T389" s="287"/>
    </row>
    <row r="390" spans="2:20">
      <c r="B390" s="185" t="e">
        <f>'INFORME '!B102</f>
        <v>#REF!</v>
      </c>
      <c r="C390" s="186">
        <f>'INFORME '!C102</f>
        <v>0</v>
      </c>
      <c r="D390" s="164">
        <f>'INFORME '!D102</f>
        <v>0</v>
      </c>
      <c r="E390" s="164"/>
      <c r="F390" s="179">
        <f>'INFORME '!E102</f>
        <v>0</v>
      </c>
      <c r="G390" s="179">
        <f>'INFORME '!F102</f>
        <v>0</v>
      </c>
      <c r="H390" s="179">
        <f>'INFORME '!G102</f>
        <v>0</v>
      </c>
      <c r="I390" s="187">
        <f>'INFORME '!H102</f>
        <v>0</v>
      </c>
      <c r="J390" s="187"/>
      <c r="K390" s="164">
        <f>'INFORME '!I102</f>
        <v>0</v>
      </c>
      <c r="L390" s="164" t="e">
        <f>'INFORME '!#REF!</f>
        <v>#REF!</v>
      </c>
      <c r="M390" s="157"/>
      <c r="N390" s="160"/>
      <c r="O390" s="160"/>
      <c r="P390" s="157"/>
      <c r="Q390" s="157"/>
      <c r="R390" s="160"/>
      <c r="S390" s="157">
        <f>'INFORME '!K102</f>
        <v>0</v>
      </c>
      <c r="T390" s="287"/>
    </row>
    <row r="391" spans="2:20">
      <c r="B391" s="185" t="e">
        <f>'INFORME '!B103</f>
        <v>#REF!</v>
      </c>
      <c r="C391" s="186">
        <f>'INFORME '!C103</f>
        <v>0</v>
      </c>
      <c r="D391" s="164">
        <f>'INFORME '!D103</f>
        <v>0</v>
      </c>
      <c r="E391" s="164"/>
      <c r="F391" s="179">
        <f>'INFORME '!E103</f>
        <v>0</v>
      </c>
      <c r="G391" s="179">
        <f>'INFORME '!F103</f>
        <v>0</v>
      </c>
      <c r="H391" s="179">
        <f>'INFORME '!G103</f>
        <v>0</v>
      </c>
      <c r="I391" s="187">
        <f>'INFORME '!H103</f>
        <v>0</v>
      </c>
      <c r="J391" s="187"/>
      <c r="K391" s="164">
        <f>'INFORME '!I103</f>
        <v>0</v>
      </c>
      <c r="L391" s="164" t="e">
        <f>'INFORME '!#REF!</f>
        <v>#REF!</v>
      </c>
      <c r="M391" s="157"/>
      <c r="N391" s="160"/>
      <c r="O391" s="160"/>
      <c r="P391" s="157"/>
      <c r="Q391" s="157"/>
      <c r="R391" s="160"/>
      <c r="S391" s="157">
        <f>'INFORME '!K103</f>
        <v>0</v>
      </c>
      <c r="T391" s="287"/>
    </row>
    <row r="392" spans="2:20" ht="16" thickBot="1">
      <c r="B392" s="185" t="e">
        <f>'INFORME '!B104</f>
        <v>#REF!</v>
      </c>
      <c r="C392" s="186">
        <f>'INFORME '!C104</f>
        <v>0</v>
      </c>
      <c r="D392" s="164">
        <f>'INFORME '!D104</f>
        <v>0</v>
      </c>
      <c r="E392" s="164"/>
      <c r="F392" s="179">
        <f>'INFORME '!E104</f>
        <v>0</v>
      </c>
      <c r="G392" s="179">
        <f>'INFORME '!F104</f>
        <v>0</v>
      </c>
      <c r="H392" s="179">
        <f>'INFORME '!G104</f>
        <v>0</v>
      </c>
      <c r="I392" s="187">
        <f>'INFORME '!H104</f>
        <v>0</v>
      </c>
      <c r="J392" s="187"/>
      <c r="K392" s="164">
        <f>'INFORME '!I104</f>
        <v>0</v>
      </c>
      <c r="L392" s="164" t="e">
        <f>'INFORME '!#REF!</f>
        <v>#REF!</v>
      </c>
      <c r="M392" s="157"/>
      <c r="N392" s="160"/>
      <c r="O392" s="160"/>
      <c r="P392" s="157"/>
      <c r="Q392" s="157"/>
      <c r="R392" s="160"/>
      <c r="S392" s="157">
        <f>'INFORME '!K104</f>
        <v>0</v>
      </c>
      <c r="T392" s="287"/>
    </row>
    <row r="393" spans="2:20" ht="22" thickBot="1">
      <c r="B393" s="376" t="s">
        <v>30</v>
      </c>
      <c r="C393" s="377"/>
      <c r="D393" s="377"/>
      <c r="E393" s="377"/>
      <c r="F393" s="378"/>
      <c r="G393" s="379"/>
      <c r="H393" s="380"/>
      <c r="I393" s="380"/>
      <c r="J393" s="380"/>
      <c r="K393" s="380"/>
      <c r="L393" s="380"/>
      <c r="M393" s="380"/>
      <c r="N393" s="380"/>
      <c r="O393" s="380"/>
      <c r="P393" s="380"/>
      <c r="Q393" s="380"/>
      <c r="R393" s="380"/>
      <c r="S393" s="380"/>
      <c r="T393" s="381"/>
    </row>
    <row r="394" spans="2:20" hidden="1"/>
    <row r="395" spans="2:20" hidden="1"/>
    <row r="396" spans="2:20" hidden="1"/>
    <row r="397" spans="2:20" hidden="1"/>
    <row r="398" spans="2:20" hidden="1"/>
    <row r="399" spans="2:20" hidden="1"/>
    <row r="400" spans="2:2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spans="2:20" hidden="1"/>
    <row r="434" spans="2:20" hidden="1"/>
    <row r="435" spans="2:20" hidden="1"/>
    <row r="436" spans="2:20" hidden="1"/>
    <row r="437" spans="2:20" hidden="1"/>
    <row r="438" spans="2:20" hidden="1"/>
    <row r="439" spans="2:20" hidden="1"/>
    <row r="440" spans="2:20" hidden="1"/>
    <row r="441" spans="2:20" hidden="1"/>
    <row r="442" spans="2:20" hidden="1"/>
    <row r="443" spans="2:20" hidden="1"/>
    <row r="444" spans="2:20" hidden="1"/>
    <row r="445" spans="2:20" hidden="1"/>
    <row r="446" spans="2:20" hidden="1"/>
    <row r="447" spans="2:20" ht="16" hidden="1" thickBot="1"/>
    <row r="448" spans="2:20" ht="25" thickBot="1">
      <c r="B448" s="373" t="s">
        <v>1067</v>
      </c>
      <c r="C448" s="374"/>
      <c r="D448" s="374"/>
      <c r="E448" s="374"/>
      <c r="F448" s="374"/>
      <c r="G448" s="374"/>
      <c r="H448" s="374"/>
      <c r="I448" s="374"/>
      <c r="J448" s="374"/>
      <c r="K448" s="374"/>
      <c r="L448" s="374"/>
      <c r="M448" s="374"/>
      <c r="N448" s="374"/>
      <c r="O448" s="374"/>
      <c r="P448" s="374"/>
      <c r="Q448" s="374"/>
      <c r="R448" s="374"/>
      <c r="S448" s="374"/>
      <c r="T448" s="375"/>
    </row>
    <row r="449" spans="2:20" ht="31" thickBot="1">
      <c r="B449" s="79" t="s">
        <v>12</v>
      </c>
      <c r="C449" s="79" t="s">
        <v>22</v>
      </c>
      <c r="D449" s="80" t="s">
        <v>14</v>
      </c>
      <c r="E449" s="80" t="s">
        <v>507</v>
      </c>
      <c r="F449" s="80" t="s">
        <v>23</v>
      </c>
      <c r="G449" s="80" t="s">
        <v>24</v>
      </c>
      <c r="H449" s="80" t="s">
        <v>20</v>
      </c>
      <c r="I449" s="80" t="s">
        <v>25</v>
      </c>
      <c r="J449" s="80" t="s">
        <v>422</v>
      </c>
      <c r="K449" s="81" t="s">
        <v>26</v>
      </c>
      <c r="L449" s="81" t="s">
        <v>363</v>
      </c>
      <c r="M449" s="116" t="s">
        <v>485</v>
      </c>
      <c r="N449" s="163" t="s">
        <v>593</v>
      </c>
      <c r="O449" s="163" t="s">
        <v>537</v>
      </c>
      <c r="P449" s="81" t="s">
        <v>529</v>
      </c>
      <c r="Q449" s="81" t="s">
        <v>504</v>
      </c>
      <c r="R449" s="80" t="s">
        <v>490</v>
      </c>
      <c r="S449" s="80" t="s">
        <v>486</v>
      </c>
      <c r="T449" s="280" t="s">
        <v>530</v>
      </c>
    </row>
    <row r="450" spans="2:20">
      <c r="B450" s="185">
        <f>'INFORME '!B114</f>
        <v>1</v>
      </c>
      <c r="C450" s="186" t="e">
        <f>'INFORME '!#REF!</f>
        <v>#REF!</v>
      </c>
      <c r="D450" s="164" t="e">
        <f>'INFORME '!#REF!</f>
        <v>#REF!</v>
      </c>
      <c r="E450" s="164" t="s">
        <v>488</v>
      </c>
      <c r="F450" s="179" t="e">
        <f>'INFORME '!#REF!</f>
        <v>#REF!</v>
      </c>
      <c r="G450" s="179" t="e">
        <f>'INFORME '!#REF!</f>
        <v>#REF!</v>
      </c>
      <c r="H450" s="179" t="e">
        <f>'INFORME '!#REF!</f>
        <v>#REF!</v>
      </c>
      <c r="I450" s="187">
        <v>0</v>
      </c>
      <c r="J450" s="187"/>
      <c r="K450" s="164" t="e">
        <f>'INFORME '!#REF!</f>
        <v>#REF!</v>
      </c>
      <c r="L450" s="164" t="e">
        <f>'INFORME '!#REF!</f>
        <v>#REF!</v>
      </c>
      <c r="M450" s="157"/>
      <c r="N450" s="160"/>
      <c r="O450" s="160"/>
      <c r="P450" s="157"/>
      <c r="Q450" s="157"/>
      <c r="R450" s="160"/>
      <c r="S450" s="157" t="e">
        <f>'INFORME '!#REF!</f>
        <v>#REF!</v>
      </c>
      <c r="T450" s="287"/>
    </row>
    <row r="451" spans="2:20">
      <c r="B451" s="185">
        <f>'INFORME '!B115</f>
        <v>2</v>
      </c>
      <c r="C451" s="186" t="e">
        <f>'INFORME '!#REF!</f>
        <v>#REF!</v>
      </c>
      <c r="D451" s="164" t="e">
        <f>'INFORME '!#REF!</f>
        <v>#REF!</v>
      </c>
      <c r="E451" s="164" t="s">
        <v>488</v>
      </c>
      <c r="F451" s="179" t="e">
        <f>'INFORME '!#REF!</f>
        <v>#REF!</v>
      </c>
      <c r="G451" s="179" t="e">
        <f>'INFORME '!#REF!</f>
        <v>#REF!</v>
      </c>
      <c r="H451" s="179" t="e">
        <f>'INFORME '!#REF!</f>
        <v>#REF!</v>
      </c>
      <c r="I451" s="187" t="e">
        <f>'INFORME '!#REF!</f>
        <v>#REF!</v>
      </c>
      <c r="J451" s="187"/>
      <c r="K451" s="164" t="e">
        <f>'INFORME '!#REF!</f>
        <v>#REF!</v>
      </c>
      <c r="L451" s="164" t="e">
        <f>'INFORME '!#REF!</f>
        <v>#REF!</v>
      </c>
      <c r="M451" s="157"/>
      <c r="N451" s="160"/>
      <c r="O451" s="160"/>
      <c r="P451" s="157"/>
      <c r="Q451" s="157"/>
      <c r="R451" s="160"/>
      <c r="S451" s="157" t="e">
        <f>'INFORME '!#REF!</f>
        <v>#REF!</v>
      </c>
      <c r="T451" s="287"/>
    </row>
    <row r="452" spans="2:20">
      <c r="B452" s="185">
        <f>'INFORME '!B116</f>
        <v>3</v>
      </c>
      <c r="C452" s="186" t="e">
        <f>'INFORME '!#REF!</f>
        <v>#REF!</v>
      </c>
      <c r="D452" s="164" t="e">
        <f>'INFORME '!#REF!</f>
        <v>#REF!</v>
      </c>
      <c r="E452" s="164" t="s">
        <v>488</v>
      </c>
      <c r="F452" s="179" t="e">
        <f>'INFORME '!#REF!</f>
        <v>#REF!</v>
      </c>
      <c r="G452" s="179" t="e">
        <f>'INFORME '!#REF!</f>
        <v>#REF!</v>
      </c>
      <c r="H452" s="179" t="e">
        <f>'INFORME '!#REF!</f>
        <v>#REF!</v>
      </c>
      <c r="I452" s="187" t="e">
        <f>'INFORME '!#REF!</f>
        <v>#REF!</v>
      </c>
      <c r="J452" s="187"/>
      <c r="K452" s="164" t="e">
        <f>'INFORME '!#REF!</f>
        <v>#REF!</v>
      </c>
      <c r="L452" s="164" t="e">
        <f>'INFORME '!#REF!</f>
        <v>#REF!</v>
      </c>
      <c r="M452" s="157"/>
      <c r="N452" s="160"/>
      <c r="O452" s="160"/>
      <c r="P452" s="157"/>
      <c r="Q452" s="157"/>
      <c r="R452" s="160"/>
      <c r="S452" s="157" t="e">
        <f>'INFORME '!#REF!</f>
        <v>#REF!</v>
      </c>
      <c r="T452" s="287"/>
    </row>
    <row r="453" spans="2:20">
      <c r="B453" s="185">
        <f>'INFORME '!B117</f>
        <v>4</v>
      </c>
      <c r="C453" s="186" t="e">
        <f>'INFORME '!#REF!</f>
        <v>#REF!</v>
      </c>
      <c r="D453" s="164" t="e">
        <f>'INFORME '!#REF!</f>
        <v>#REF!</v>
      </c>
      <c r="E453" s="164" t="s">
        <v>488</v>
      </c>
      <c r="F453" s="179" t="e">
        <f>'INFORME '!#REF!</f>
        <v>#REF!</v>
      </c>
      <c r="G453" s="179" t="e">
        <f>'INFORME '!#REF!</f>
        <v>#REF!</v>
      </c>
      <c r="H453" s="179" t="e">
        <f>'INFORME '!#REF!</f>
        <v>#REF!</v>
      </c>
      <c r="I453" s="187" t="e">
        <f>'INFORME '!#REF!</f>
        <v>#REF!</v>
      </c>
      <c r="J453" s="187"/>
      <c r="K453" s="164" t="e">
        <f>'INFORME '!#REF!</f>
        <v>#REF!</v>
      </c>
      <c r="L453" s="164" t="e">
        <f>'INFORME '!#REF!</f>
        <v>#REF!</v>
      </c>
      <c r="M453" s="157"/>
      <c r="N453" s="160"/>
      <c r="O453" s="160"/>
      <c r="P453" s="157"/>
      <c r="Q453" s="157"/>
      <c r="R453" s="160"/>
      <c r="S453" s="157" t="e">
        <f>'INFORME '!#REF!</f>
        <v>#REF!</v>
      </c>
      <c r="T453" s="287"/>
    </row>
    <row r="454" spans="2:20" ht="30">
      <c r="B454" s="185">
        <f>'INFORME '!B118</f>
        <v>5</v>
      </c>
      <c r="C454" s="186">
        <f>'INFORME '!C118</f>
        <v>46169</v>
      </c>
      <c r="D454" s="164" t="str">
        <f>'INFORME '!D118</f>
        <v>ANTNR3-1410526</v>
      </c>
      <c r="E454" s="164" t="s">
        <v>488</v>
      </c>
      <c r="F454" s="179" t="str">
        <f>'INFORME '!E118</f>
        <v>ARLENI LUDMILA RODRIGUEZ HERRERA DE DE LEÓN</v>
      </c>
      <c r="G454" s="179" t="str">
        <f>'INFORME '!F118</f>
        <v>14 CALLE 14-24 ZONA 3</v>
      </c>
      <c r="H454" s="179">
        <f>'INFORME '!G118</f>
        <v>0</v>
      </c>
      <c r="I454" s="187">
        <f>'INFORME '!H118</f>
        <v>0</v>
      </c>
      <c r="J454" s="187"/>
      <c r="K454" s="164">
        <f>'INFORME '!I118</f>
        <v>46174</v>
      </c>
      <c r="L454" s="164" t="e">
        <f>'INFORME '!#REF!</f>
        <v>#REF!</v>
      </c>
      <c r="M454" s="157" t="s">
        <v>1241</v>
      </c>
      <c r="N454" s="160">
        <v>1</v>
      </c>
      <c r="O454" s="160">
        <v>2</v>
      </c>
      <c r="P454" s="157" t="s">
        <v>538</v>
      </c>
      <c r="Q454" s="157" t="s">
        <v>1242</v>
      </c>
      <c r="R454" s="160">
        <v>177.67</v>
      </c>
      <c r="S454" s="157" t="str">
        <f>'INFORME '!K118</f>
        <v>OFICIO EXTERNO A IUSI PARA CARGAR AREA ANTIGUA</v>
      </c>
      <c r="T454" s="287" t="s">
        <v>783</v>
      </c>
    </row>
    <row r="455" spans="2:20" ht="30">
      <c r="B455" s="185">
        <f>'INFORME '!B119</f>
        <v>6</v>
      </c>
      <c r="C455" s="186">
        <f>'INFORME '!C119</f>
        <v>46169</v>
      </c>
      <c r="D455" s="164" t="str">
        <f>'INFORME '!D119</f>
        <v>VUNI10-1560526</v>
      </c>
      <c r="E455" s="164" t="s">
        <v>488</v>
      </c>
      <c r="F455" s="179" t="str">
        <f>'INFORME '!E119</f>
        <v>MARIA ALEJANDRINA IXQUIAC COX</v>
      </c>
      <c r="G455" s="179" t="str">
        <f>'INFORME '!F119</f>
        <v>0 CALLE 7-53J INTERIOR ZONA 10</v>
      </c>
      <c r="H455" s="179">
        <f>'INFORME '!G119</f>
        <v>0</v>
      </c>
      <c r="I455" s="187">
        <f>'INFORME '!H119</f>
        <v>0</v>
      </c>
      <c r="J455" s="187"/>
      <c r="K455" s="164">
        <f>'INFORME '!I119</f>
        <v>46174</v>
      </c>
      <c r="L455" s="164" t="e">
        <f>'INFORME '!#REF!</f>
        <v>#REF!</v>
      </c>
      <c r="M455" s="157" t="s">
        <v>1241</v>
      </c>
      <c r="N455" s="160">
        <v>1</v>
      </c>
      <c r="O455" s="160">
        <v>2</v>
      </c>
      <c r="P455" s="157" t="s">
        <v>538</v>
      </c>
      <c r="Q455" s="157" t="s">
        <v>1242</v>
      </c>
      <c r="R455" s="160">
        <v>128.94999999999999</v>
      </c>
      <c r="S455" s="157" t="str">
        <f>'INFORME '!K119</f>
        <v xml:space="preserve">INFORME EXTERNO A VECINO POR ESPACIOS DE VIVIEDA QUE NO CUMPLE </v>
      </c>
      <c r="T455" s="287" t="s">
        <v>783</v>
      </c>
    </row>
    <row r="456" spans="2:20">
      <c r="B456" s="185">
        <f>'INFORME '!B120</f>
        <v>7</v>
      </c>
      <c r="C456" s="186">
        <f>'INFORME '!C120</f>
        <v>46154</v>
      </c>
      <c r="D456" s="164" t="str">
        <f>'INFORME '!D120</f>
        <v>A-10-1291-2025</v>
      </c>
      <c r="E456" s="164" t="s">
        <v>488</v>
      </c>
      <c r="F456" s="179" t="str">
        <f>'INFORME '!E120</f>
        <v>JOSE CHAY</v>
      </c>
      <c r="G456" s="179" t="str">
        <f>'INFORME '!F120</f>
        <v>CALLEJON 5 5-60 ZONA 6</v>
      </c>
      <c r="H456" s="179">
        <f>'INFORME '!G120</f>
        <v>0</v>
      </c>
      <c r="I456" s="187">
        <f>'INFORME '!H120</f>
        <v>0</v>
      </c>
      <c r="J456" s="187"/>
      <c r="K456" s="164">
        <f>'INFORME '!I120</f>
        <v>46176</v>
      </c>
      <c r="L456" s="164" t="e">
        <f>'INFORME '!#REF!</f>
        <v>#REF!</v>
      </c>
      <c r="M456" s="157" t="s">
        <v>1241</v>
      </c>
      <c r="N456" s="160">
        <v>1</v>
      </c>
      <c r="O456" s="160">
        <v>2</v>
      </c>
      <c r="P456" s="157" t="s">
        <v>538</v>
      </c>
      <c r="Q456" s="157" t="s">
        <v>1242</v>
      </c>
      <c r="R456" s="160">
        <v>109.55</v>
      </c>
      <c r="S456" s="157" t="str">
        <f>'INFORME '!K120</f>
        <v>OFICO A IUSI PARA CARGAR AREA ANTIGUA</v>
      </c>
      <c r="T456" s="287" t="s">
        <v>783</v>
      </c>
    </row>
    <row r="457" spans="2:20" ht="30">
      <c r="B457" s="185">
        <f>'INFORME '!B121</f>
        <v>8</v>
      </c>
      <c r="C457" s="186">
        <f>'INFORME '!C121</f>
        <v>46140</v>
      </c>
      <c r="D457" s="164" t="str">
        <f>'INFORME '!D121</f>
        <v>A-10-0429-2026</v>
      </c>
      <c r="E457" s="164" t="s">
        <v>488</v>
      </c>
      <c r="F457" s="179" t="str">
        <f>'INFORME '!E121</f>
        <v>GABINO ANASTACIO RACANCOJ CHAN</v>
      </c>
      <c r="G457" s="179" t="str">
        <f>'INFORME '!F121</f>
        <v>1 AVENIDA 7-19 INTERIOR ZONA 10</v>
      </c>
      <c r="H457" s="179">
        <f>'INFORME '!G121</f>
        <v>0</v>
      </c>
      <c r="I457" s="187">
        <f>'INFORME '!H121</f>
        <v>0</v>
      </c>
      <c r="J457" s="187"/>
      <c r="K457" s="164">
        <f>'INFORME '!I121</f>
        <v>46176</v>
      </c>
      <c r="L457" s="164" t="e">
        <f>'INFORME '!#REF!</f>
        <v>#REF!</v>
      </c>
      <c r="M457" s="157" t="s">
        <v>1241</v>
      </c>
      <c r="N457" s="160">
        <v>1</v>
      </c>
      <c r="O457" s="160">
        <v>2</v>
      </c>
      <c r="P457" s="157" t="s">
        <v>538</v>
      </c>
      <c r="Q457" s="157" t="s">
        <v>1242</v>
      </c>
      <c r="R457" s="160">
        <v>243.65</v>
      </c>
      <c r="S457" s="157" t="str">
        <f>'INFORME '!K121</f>
        <v>OFICIO A IUSI PARA CARGAR AREA ANTIGUA</v>
      </c>
      <c r="T457" s="287"/>
    </row>
    <row r="458" spans="2:20" ht="30">
      <c r="B458" s="185">
        <f>'INFORME '!B122</f>
        <v>9</v>
      </c>
      <c r="C458" s="186">
        <f>'INFORME '!C122</f>
        <v>46168</v>
      </c>
      <c r="D458" s="164" t="str">
        <f>'INFORME '!D122</f>
        <v>RPNA5-5560626</v>
      </c>
      <c r="E458" s="164" t="s">
        <v>488</v>
      </c>
      <c r="F458" s="179" t="str">
        <f>'INFORME '!E122</f>
        <v>OSCAR OSBERTO ALVARADO PÉREZ</v>
      </c>
      <c r="G458" s="179" t="str">
        <f>'INFORME '!F122</f>
        <v>3 CALLE 5-04 LOTE 159 LA COLINA, ZONA 5</v>
      </c>
      <c r="H458" s="179">
        <f>'INFORME '!G122</f>
        <v>0</v>
      </c>
      <c r="I458" s="187">
        <f>'INFORME '!H122</f>
        <v>0</v>
      </c>
      <c r="J458" s="187"/>
      <c r="K458" s="164">
        <f>'INFORME '!I122</f>
        <v>46176</v>
      </c>
      <c r="L458" s="164" t="e">
        <f>'INFORME '!#REF!</f>
        <v>#REF!</v>
      </c>
      <c r="M458" s="157" t="s">
        <v>1246</v>
      </c>
      <c r="N458" s="160" t="s">
        <v>1247</v>
      </c>
      <c r="O458" s="160">
        <v>1</v>
      </c>
      <c r="P458" s="157" t="s">
        <v>504</v>
      </c>
      <c r="Q458" s="157" t="s">
        <v>1248</v>
      </c>
      <c r="R458" s="160">
        <v>160.41</v>
      </c>
      <c r="S458" s="157" t="str">
        <f>'INFORME '!K122</f>
        <v xml:space="preserve">REGULARIZACIÓN </v>
      </c>
      <c r="T458" s="287"/>
    </row>
    <row r="459" spans="2:20" ht="30">
      <c r="B459" s="185">
        <f>'INFORME '!B123</f>
        <v>10</v>
      </c>
      <c r="C459" s="186">
        <f>'INFORME '!C123</f>
        <v>46154</v>
      </c>
      <c r="D459" s="164" t="str">
        <f>'INFORME '!D123</f>
        <v>R-05-0119-2026</v>
      </c>
      <c r="E459" s="164" t="s">
        <v>488</v>
      </c>
      <c r="F459" s="179" t="str">
        <f>'INFORME '!E123</f>
        <v>OSCAR OSBERTO ALVARADO PÉREZ</v>
      </c>
      <c r="G459" s="179" t="str">
        <f>'INFORME '!F123</f>
        <v>3 CALLE 5-04 LOTE 159 LA COLINA, ZONA 5</v>
      </c>
      <c r="H459" s="179">
        <f>'INFORME '!G123</f>
        <v>0</v>
      </c>
      <c r="I459" s="187">
        <f>'INFORME '!H123</f>
        <v>0</v>
      </c>
      <c r="J459" s="187"/>
      <c r="K459" s="164">
        <f>'INFORME '!I123</f>
        <v>46176</v>
      </c>
      <c r="L459" s="164" t="e">
        <f>'INFORME '!#REF!</f>
        <v>#REF!</v>
      </c>
      <c r="M459" s="157"/>
      <c r="N459" s="160"/>
      <c r="O459" s="160"/>
      <c r="P459" s="157"/>
      <c r="Q459" s="157"/>
      <c r="R459" s="160"/>
      <c r="S459" s="157" t="str">
        <f>'INFORME '!K123</f>
        <v xml:space="preserve">OFICIO A IUSI PARA CARGAR AREA ACTUALIZADA </v>
      </c>
      <c r="T459" s="287" t="s">
        <v>1249</v>
      </c>
    </row>
    <row r="460" spans="2:20" ht="30">
      <c r="B460" s="185">
        <f>'INFORME '!B124</f>
        <v>11</v>
      </c>
      <c r="C460" s="186">
        <f>'INFORME '!C124</f>
        <v>46176</v>
      </c>
      <c r="D460" s="164" t="str">
        <f>'INFORME '!D124</f>
        <v>RPNTR-5510626</v>
      </c>
      <c r="E460" s="164" t="s">
        <v>1062</v>
      </c>
      <c r="F460" s="179" t="str">
        <f>'INFORME '!E124</f>
        <v>CAMILA APOLONIA MONROY TZOC</v>
      </c>
      <c r="G460" s="179" t="str">
        <f>'INFORME '!F124</f>
        <v xml:space="preserve">CANTON XECARACOJ </v>
      </c>
      <c r="H460" s="179">
        <f>'INFORME '!G124</f>
        <v>0</v>
      </c>
      <c r="I460" s="187">
        <f>'INFORME '!H124</f>
        <v>0</v>
      </c>
      <c r="J460" s="187"/>
      <c r="K460" s="164">
        <f>'INFORME '!I124</f>
        <v>46178</v>
      </c>
      <c r="L460" s="164" t="e">
        <f>'INFORME '!#REF!</f>
        <v>#REF!</v>
      </c>
      <c r="M460" s="157" t="s">
        <v>1241</v>
      </c>
      <c r="N460" s="160">
        <v>1</v>
      </c>
      <c r="O460" s="160">
        <v>1</v>
      </c>
      <c r="P460" s="157" t="s">
        <v>1162</v>
      </c>
      <c r="Q460" s="157" t="s">
        <v>1242</v>
      </c>
      <c r="R460" s="160">
        <v>103.72</v>
      </c>
      <c r="S460" s="157" t="str">
        <f>'INFORME '!K124</f>
        <v>REGULARIZACION POT</v>
      </c>
      <c r="T460" s="287" t="s">
        <v>783</v>
      </c>
    </row>
    <row r="461" spans="2:20" ht="30">
      <c r="B461" s="185">
        <f>'INFORME '!B125</f>
        <v>12</v>
      </c>
      <c r="C461" s="186">
        <f>'INFORME '!C125</f>
        <v>46181</v>
      </c>
      <c r="D461" s="164" t="str">
        <f>'INFORME '!D125</f>
        <v>ANTND10-1500626</v>
      </c>
      <c r="E461" s="164" t="s">
        <v>488</v>
      </c>
      <c r="F461" s="179" t="str">
        <f>'INFORME '!E125</f>
        <v>ARTEMIO DIAZ MENCHO</v>
      </c>
      <c r="G461" s="179" t="str">
        <f>'INFORME '!F125</f>
        <v>CALLEJON 10 8A 0-19, ZONA 10</v>
      </c>
      <c r="H461" s="179">
        <f>'INFORME '!G125</f>
        <v>0</v>
      </c>
      <c r="I461" s="187">
        <f>'INFORME '!H125</f>
        <v>0</v>
      </c>
      <c r="J461" s="187"/>
      <c r="K461" s="164">
        <f>'INFORME '!I125</f>
        <v>46182</v>
      </c>
      <c r="L461" s="164" t="e">
        <f>'INFORME '!#REF!</f>
        <v>#REF!</v>
      </c>
      <c r="M461" s="157" t="s">
        <v>1270</v>
      </c>
      <c r="N461" s="160">
        <v>1</v>
      </c>
      <c r="O461" s="160">
        <v>3</v>
      </c>
      <c r="P461" s="157" t="s">
        <v>538</v>
      </c>
      <c r="Q461" s="157" t="s">
        <v>1242</v>
      </c>
      <c r="R461" s="160">
        <v>175</v>
      </c>
      <c r="S461" s="157" t="str">
        <f>'INFORME '!K125</f>
        <v>INFORME EXTERNO A VECINO PARA RESOLUCION MEDIO AMBIENTE POR COMERCIO</v>
      </c>
      <c r="T461" s="287" t="s">
        <v>783</v>
      </c>
    </row>
    <row r="462" spans="2:20" ht="30">
      <c r="B462" s="185">
        <f>'INFORME '!B126</f>
        <v>13</v>
      </c>
      <c r="C462" s="186">
        <f>'INFORME '!C126</f>
        <v>46066</v>
      </c>
      <c r="D462" s="164" t="str">
        <f>'INFORME '!D126</f>
        <v>RPNMR-5760626</v>
      </c>
      <c r="E462" s="164" t="s">
        <v>488</v>
      </c>
      <c r="F462" s="179" t="str">
        <f>'INFORME '!E126</f>
        <v xml:space="preserve">MANOLO MORALES RIVERA </v>
      </c>
      <c r="G462" s="179" t="str">
        <f>'INFORME '!F126</f>
        <v>CANTON CHICHIGUITAN, RUR</v>
      </c>
      <c r="H462" s="179">
        <f>'INFORME '!G126</f>
        <v>0</v>
      </c>
      <c r="I462" s="187">
        <f>'INFORME '!H126</f>
        <v>0</v>
      </c>
      <c r="J462" s="187"/>
      <c r="K462" s="164">
        <f>'INFORME '!I126</f>
        <v>46182</v>
      </c>
      <c r="L462" s="164" t="e">
        <f>'INFORME '!#REF!</f>
        <v>#REF!</v>
      </c>
      <c r="M462" s="157"/>
      <c r="N462" s="160"/>
      <c r="O462" s="160"/>
      <c r="P462" s="157"/>
      <c r="Q462" s="157"/>
      <c r="R462" s="160"/>
      <c r="S462" s="157" t="str">
        <f>'INFORME '!K126</f>
        <v>REGULARIZACIÓN</v>
      </c>
      <c r="T462" s="287" t="s">
        <v>1271</v>
      </c>
    </row>
    <row r="463" spans="2:20" ht="30">
      <c r="B463" s="185">
        <f>'INFORME '!B127</f>
        <v>14</v>
      </c>
      <c r="C463" s="186">
        <f>'INFORME '!C127</f>
        <v>46181</v>
      </c>
      <c r="D463" s="164" t="str">
        <f>'INFORME '!D127</f>
        <v>DMNG5-100626</v>
      </c>
      <c r="E463" s="164" t="s">
        <v>1061</v>
      </c>
      <c r="F463" s="179" t="str">
        <f>'INFORME '!E127</f>
        <v>SHIRLY MARITZABETH VILLAGRAN AGUILAR DE GOMEZ</v>
      </c>
      <c r="G463" s="179" t="str">
        <f>'INFORME '!F127</f>
        <v>5 AV. 1-23, ZONA 5</v>
      </c>
      <c r="H463" s="179">
        <f>'INFORME '!G127</f>
        <v>0</v>
      </c>
      <c r="I463" s="187">
        <f>'INFORME '!H127</f>
        <v>0</v>
      </c>
      <c r="J463" s="187"/>
      <c r="K463" s="164">
        <f>'INFORME '!I127</f>
        <v>46182</v>
      </c>
      <c r="L463" s="164" t="e">
        <f>'INFORME '!#REF!</f>
        <v>#REF!</v>
      </c>
      <c r="M463" s="157"/>
      <c r="N463" s="160"/>
      <c r="O463" s="160"/>
      <c r="P463" s="157"/>
      <c r="Q463" s="157"/>
      <c r="R463" s="160"/>
      <c r="S463" s="157" t="str">
        <f>'INFORME '!K127</f>
        <v>DEMOLICIÓN</v>
      </c>
      <c r="T463" s="287"/>
    </row>
    <row r="464" spans="2:20">
      <c r="B464" s="185">
        <f>'INFORME '!B128</f>
        <v>15</v>
      </c>
      <c r="C464" s="186">
        <f>'INFORME '!C131</f>
        <v>46163</v>
      </c>
      <c r="D464" s="164" t="str">
        <f>'INFORME '!D131</f>
        <v>JAM-D-570-2026</v>
      </c>
      <c r="E464" s="164" t="s">
        <v>488</v>
      </c>
      <c r="F464" s="179" t="str">
        <f>'INFORME '!E131</f>
        <v>RAFAEL SALVADOR CAJAS ITZEP</v>
      </c>
      <c r="G464" s="179" t="str">
        <f>'INFORME '!F131</f>
        <v>8va AVENIDA 0-10, ZONA 1</v>
      </c>
      <c r="H464" s="179">
        <f>'INFORME '!G131</f>
        <v>0</v>
      </c>
      <c r="I464" s="187">
        <f>'INFORME '!H131</f>
        <v>0</v>
      </c>
      <c r="J464" s="187"/>
      <c r="K464" s="164">
        <f>'INFORME '!I131</f>
        <v>46135</v>
      </c>
      <c r="L464" s="164" t="e">
        <f>'INFORME '!#REF!</f>
        <v>#REF!</v>
      </c>
      <c r="M464" s="157" t="s">
        <v>1277</v>
      </c>
      <c r="N464" s="160">
        <v>1</v>
      </c>
      <c r="O464" s="160">
        <v>1</v>
      </c>
      <c r="P464" s="157" t="s">
        <v>616</v>
      </c>
      <c r="Q464" s="157" t="s">
        <v>1242</v>
      </c>
      <c r="R464" s="160">
        <v>58.1</v>
      </c>
      <c r="S464" s="157" t="str">
        <f>'INFORME '!K131</f>
        <v>INFORME A JAM, POR REGULARIZACIÓN Y LICENCIA</v>
      </c>
      <c r="T464" s="287"/>
    </row>
    <row r="465" spans="2:20" ht="30">
      <c r="B465" s="185">
        <f>'INFORME '!B129</f>
        <v>16</v>
      </c>
      <c r="C465" s="186">
        <f>'INFORME '!C129</f>
        <v>45912</v>
      </c>
      <c r="D465" s="164" t="str">
        <f>'INFORME '!D129</f>
        <v>A-RCA70-0671-2025</v>
      </c>
      <c r="E465" s="164" t="s">
        <v>488</v>
      </c>
      <c r="F465" s="179" t="str">
        <f>'INFORME '!E129</f>
        <v>CHAJCHALAC CITALÁN, MARLYN MAYARY</v>
      </c>
      <c r="G465" s="179" t="str">
        <f>'INFORME '!F129</f>
        <v>CHICHIGUITAN</v>
      </c>
      <c r="H465" s="179">
        <f>'INFORME '!G129</f>
        <v>0</v>
      </c>
      <c r="I465" s="187">
        <f>'INFORME '!H129</f>
        <v>0</v>
      </c>
      <c r="J465" s="187"/>
      <c r="K465" s="164">
        <f>'INFORME '!I129</f>
        <v>46188</v>
      </c>
      <c r="L465" s="164" t="e">
        <f>'INFORME '!#REF!</f>
        <v>#REF!</v>
      </c>
      <c r="M465" s="157"/>
      <c r="N465" s="160"/>
      <c r="O465" s="160"/>
      <c r="P465" s="157"/>
      <c r="Q465" s="157"/>
      <c r="R465" s="160" t="s">
        <v>359</v>
      </c>
      <c r="S465" s="157" t="str">
        <f>'INFORME '!K129</f>
        <v>INFORME EXTERNO A IUSI, ACTUALIZACIÓN DE AREA</v>
      </c>
      <c r="T465" s="287" t="s">
        <v>1278</v>
      </c>
    </row>
    <row r="466" spans="2:20" ht="30">
      <c r="B466" s="185">
        <f>'INFORME '!B130</f>
        <v>17</v>
      </c>
      <c r="C466" s="186">
        <f>'INFORME '!C130</f>
        <v>45912</v>
      </c>
      <c r="D466" s="164" t="str">
        <f>'INFORME '!D130</f>
        <v>A-RCA70-0819-2025</v>
      </c>
      <c r="E466" s="164" t="s">
        <v>488</v>
      </c>
      <c r="F466" s="179" t="str">
        <f>'INFORME '!E130</f>
        <v>CARRILLO BATEN, ERVIN BENJAMÍN</v>
      </c>
      <c r="G466" s="179" t="str">
        <f>'INFORME '!F130</f>
        <v>CHICHIGUITAN</v>
      </c>
      <c r="H466" s="179">
        <f>'INFORME '!G130</f>
        <v>0</v>
      </c>
      <c r="I466" s="187">
        <f>'INFORME '!H130</f>
        <v>0</v>
      </c>
      <c r="J466" s="187"/>
      <c r="K466" s="164">
        <f>'INFORME '!I130</f>
        <v>46188</v>
      </c>
      <c r="L466" s="164" t="e">
        <f>'INFORME '!#REF!</f>
        <v>#REF!</v>
      </c>
      <c r="M466" s="157" t="s">
        <v>1280</v>
      </c>
      <c r="N466" s="160">
        <v>1</v>
      </c>
      <c r="O466" s="160">
        <v>1</v>
      </c>
      <c r="P466" s="157" t="s">
        <v>538</v>
      </c>
      <c r="Q466" s="157" t="s">
        <v>1248</v>
      </c>
      <c r="R466" s="160">
        <v>526.15</v>
      </c>
      <c r="S466" s="157" t="str">
        <f>'INFORME '!K130</f>
        <v>INFORME EXTERNO A IUSI, ACTUALIZACIÓN DE AREA</v>
      </c>
      <c r="T466" s="287"/>
    </row>
    <row r="467" spans="2:20">
      <c r="B467" s="185">
        <f>'INFORME '!B131</f>
        <v>18</v>
      </c>
      <c r="C467" s="186" t="e">
        <f>'INFORME '!#REF!</f>
        <v>#REF!</v>
      </c>
      <c r="D467" s="164" t="e">
        <f>'INFORME '!#REF!</f>
        <v>#REF!</v>
      </c>
      <c r="E467" s="164" t="s">
        <v>488</v>
      </c>
      <c r="F467" s="179" t="e">
        <f>'INFORME '!#REF!</f>
        <v>#REF!</v>
      </c>
      <c r="G467" s="179" t="e">
        <f>'INFORME '!#REF!</f>
        <v>#REF!</v>
      </c>
      <c r="H467" s="179" t="e">
        <f>'INFORME '!#REF!</f>
        <v>#REF!</v>
      </c>
      <c r="I467" s="187" t="e">
        <f>'INFORME '!#REF!</f>
        <v>#REF!</v>
      </c>
      <c r="J467" s="187"/>
      <c r="K467" s="164" t="e">
        <f>'INFORME '!#REF!</f>
        <v>#REF!</v>
      </c>
      <c r="L467" s="164" t="e">
        <f>'INFORME '!#REF!</f>
        <v>#REF!</v>
      </c>
      <c r="M467" s="157" t="s">
        <v>1279</v>
      </c>
      <c r="N467" s="160">
        <v>1</v>
      </c>
      <c r="O467" s="160">
        <v>1</v>
      </c>
      <c r="P467" s="157" t="s">
        <v>538</v>
      </c>
      <c r="Q467" s="157" t="s">
        <v>1248</v>
      </c>
      <c r="R467" s="160">
        <v>975.25</v>
      </c>
      <c r="S467" s="157" t="e">
        <f>'INFORME '!#REF!</f>
        <v>#REF!</v>
      </c>
      <c r="T467" s="301"/>
    </row>
    <row r="468" spans="2:20" ht="30">
      <c r="B468" s="185">
        <f>'INFORME '!B132</f>
        <v>19</v>
      </c>
      <c r="C468" s="186">
        <f>'INFORME '!C132</f>
        <v>46182</v>
      </c>
      <c r="D468" s="164" t="str">
        <f>'INFORME '!D132</f>
        <v>A-07-0425-2026</v>
      </c>
      <c r="E468" s="164" t="s">
        <v>488</v>
      </c>
      <c r="F468" s="179" t="str">
        <f>'INFORME '!E132</f>
        <v>MARROQUÍN RODAS, IRWIN WELINGTON</v>
      </c>
      <c r="G468" s="179" t="str">
        <f>'INFORME '!F132</f>
        <v>5 CALLE 26-67 ZONA 7</v>
      </c>
      <c r="H468" s="179">
        <f>'INFORME '!G132</f>
        <v>0</v>
      </c>
      <c r="I468" s="187">
        <f>'INFORME '!H132</f>
        <v>0</v>
      </c>
      <c r="J468" s="187"/>
      <c r="K468" s="164">
        <f>'INFORME '!I132</f>
        <v>46190</v>
      </c>
      <c r="L468" s="164" t="e">
        <f>'INFORME '!#REF!</f>
        <v>#REF!</v>
      </c>
      <c r="M468" s="157" t="s">
        <v>1241</v>
      </c>
      <c r="N468" s="160">
        <v>1</v>
      </c>
      <c r="O468" s="160">
        <v>1</v>
      </c>
      <c r="P468" s="157" t="s">
        <v>538</v>
      </c>
      <c r="Q468" s="157" t="s">
        <v>1242</v>
      </c>
      <c r="R468" s="160">
        <v>69.739999999999995</v>
      </c>
      <c r="S468" s="157" t="str">
        <f>'INFORME '!K132</f>
        <v>OFICIO EXTERNO A IUSI PARA ACTUALIZAR AREA</v>
      </c>
      <c r="T468" s="287"/>
    </row>
    <row r="469" spans="2:20" ht="30">
      <c r="B469" s="185">
        <f>'INFORME '!B133</f>
        <v>20</v>
      </c>
      <c r="C469" s="186">
        <f>'INFORME '!C133</f>
        <v>46182</v>
      </c>
      <c r="D469" s="164" t="str">
        <f>'INFORME '!D133</f>
        <v>RPNM7-5920626</v>
      </c>
      <c r="E469" s="164" t="s">
        <v>488</v>
      </c>
      <c r="F469" s="179" t="str">
        <f>'INFORME '!E133</f>
        <v>MARROQUÍN RODAS, IRWIN WELINGTON</v>
      </c>
      <c r="G469" s="179" t="str">
        <f>'INFORME '!F133</f>
        <v>5 CALLE 26-67 ZONA 7</v>
      </c>
      <c r="H469" s="179">
        <f>'INFORME '!G133</f>
        <v>0</v>
      </c>
      <c r="I469" s="187">
        <f>'INFORME '!H133</f>
        <v>0</v>
      </c>
      <c r="J469" s="187"/>
      <c r="K469" s="164">
        <f>'INFORME '!I133</f>
        <v>46190</v>
      </c>
      <c r="L469" s="164" t="e">
        <f>'INFORME '!#REF!</f>
        <v>#REF!</v>
      </c>
      <c r="M469" s="157"/>
      <c r="N469" s="160"/>
      <c r="O469" s="160"/>
      <c r="P469" s="157"/>
      <c r="Q469" s="157"/>
      <c r="R469" s="160"/>
      <c r="S469" s="157" t="str">
        <f>'INFORME '!K133</f>
        <v>REGULARIZACIÓN</v>
      </c>
      <c r="T469" s="287"/>
    </row>
    <row r="470" spans="2:20">
      <c r="B470" s="185">
        <f>'INFORME '!B134</f>
        <v>21</v>
      </c>
      <c r="C470" s="186">
        <f>'INFORME '!C134</f>
        <v>46183</v>
      </c>
      <c r="D470" s="164" t="str">
        <f>'INFORME '!D134</f>
        <v>RPNP8-5980626</v>
      </c>
      <c r="E470" s="164" t="s">
        <v>488</v>
      </c>
      <c r="F470" s="179" t="str">
        <f>'INFORME '!E134</f>
        <v>PEREZ UTUY, MIGUEL JOSE</v>
      </c>
      <c r="G470" s="179" t="str">
        <f>'INFORME '!F134</f>
        <v>4 CALLE 38-79A ZONA 8</v>
      </c>
      <c r="H470" s="179">
        <f>'INFORME '!G134</f>
        <v>0</v>
      </c>
      <c r="I470" s="187">
        <f>'INFORME '!H134</f>
        <v>0</v>
      </c>
      <c r="J470" s="187"/>
      <c r="K470" s="164">
        <f>'INFORME '!I134</f>
        <v>46184</v>
      </c>
      <c r="L470" s="164" t="e">
        <f>'INFORME '!#REF!</f>
        <v>#REF!</v>
      </c>
      <c r="M470" s="157" t="s">
        <v>1241</v>
      </c>
      <c r="N470" s="160">
        <v>1</v>
      </c>
      <c r="O470" s="160">
        <v>1</v>
      </c>
      <c r="P470" s="157" t="s">
        <v>489</v>
      </c>
      <c r="Q470" s="157" t="s">
        <v>1242</v>
      </c>
      <c r="R470" s="160">
        <v>46.71</v>
      </c>
      <c r="S470" s="157" t="str">
        <f>'INFORME '!K134</f>
        <v>REGULARIZACIÓN</v>
      </c>
      <c r="T470" s="287"/>
    </row>
    <row r="471" spans="2:20" ht="30">
      <c r="B471" s="185">
        <f>'INFORME '!B135</f>
        <v>22</v>
      </c>
      <c r="C471" s="186">
        <f>'INFORME '!C135</f>
        <v>46105</v>
      </c>
      <c r="D471" s="164" t="str">
        <f>'INFORME '!D135</f>
        <v>R-12-0052-2026</v>
      </c>
      <c r="E471" s="164" t="s">
        <v>488</v>
      </c>
      <c r="F471" s="179" t="str">
        <f>'INFORME '!E135</f>
        <v>JUAN MORALES ROMERO</v>
      </c>
      <c r="G471" s="179" t="str">
        <f>'INFORME '!F135</f>
        <v>ZONA 12</v>
      </c>
      <c r="H471" s="179">
        <f>'INFORME '!G135</f>
        <v>0</v>
      </c>
      <c r="I471" s="187">
        <f>'INFORME '!H135</f>
        <v>0</v>
      </c>
      <c r="J471" s="187"/>
      <c r="K471" s="164">
        <f>'INFORME '!I135</f>
        <v>46147</v>
      </c>
      <c r="L471" s="164" t="e">
        <f>'INFORME '!#REF!</f>
        <v>#REF!</v>
      </c>
      <c r="M471" s="157"/>
      <c r="N471" s="160"/>
      <c r="O471" s="160"/>
      <c r="P471" s="157"/>
      <c r="Q471" s="157"/>
      <c r="R471" s="160"/>
      <c r="S471" s="157" t="str">
        <f>'INFORME '!K135</f>
        <v xml:space="preserve">OFICIO A CATASTRO POR METRAJE Y PORQUE YA CUENTA CON LICENCIA </v>
      </c>
      <c r="T471" s="287"/>
    </row>
    <row r="472" spans="2:20" ht="30">
      <c r="B472" s="185">
        <f>'INFORME '!B136</f>
        <v>23</v>
      </c>
      <c r="C472" s="186">
        <f>'INFORME '!C136</f>
        <v>46168</v>
      </c>
      <c r="D472" s="164" t="str">
        <f>'INFORME '!D136</f>
        <v>D-08-0089-2025</v>
      </c>
      <c r="E472" s="164" t="s">
        <v>488</v>
      </c>
      <c r="F472" s="179" t="str">
        <f>'INFORME '!E136</f>
        <v>RODAS OLIVA, VICTOR MANUEL</v>
      </c>
      <c r="G472" s="179" t="str">
        <f>'INFORME '!F136</f>
        <v>ZONA 8</v>
      </c>
      <c r="H472" s="179">
        <f>'INFORME '!G136</f>
        <v>0</v>
      </c>
      <c r="I472" s="187">
        <f>'INFORME '!H136</f>
        <v>0</v>
      </c>
      <c r="J472" s="187"/>
      <c r="K472" s="164">
        <f>'INFORME '!I136</f>
        <v>46190</v>
      </c>
      <c r="L472" s="164" t="e">
        <f>'INFORME '!#REF!</f>
        <v>#REF!</v>
      </c>
      <c r="M472" s="157" t="s">
        <v>1292</v>
      </c>
      <c r="N472" s="160">
        <v>1</v>
      </c>
      <c r="O472" s="160">
        <v>2</v>
      </c>
      <c r="P472" s="157" t="s">
        <v>1162</v>
      </c>
      <c r="Q472" s="157" t="s">
        <v>1242</v>
      </c>
      <c r="R472" s="160">
        <v>108</v>
      </c>
      <c r="S472" s="157" t="str">
        <f>'INFORME '!K136</f>
        <v>OFICIO A CATASTRO INFORMANDO AREA FINCA MATRIZ Y FINCA NUEVA</v>
      </c>
      <c r="T472" s="287" t="s">
        <v>1293</v>
      </c>
    </row>
    <row r="473" spans="2:20" ht="30">
      <c r="B473" s="185">
        <f>'INFORME '!B137</f>
        <v>24</v>
      </c>
      <c r="C473" s="186">
        <f>'INFORME '!C137</f>
        <v>46063</v>
      </c>
      <c r="D473" s="164" t="str">
        <f>'INFORME '!D137</f>
        <v>I-RCA80-1927-2025</v>
      </c>
      <c r="E473" s="164" t="s">
        <v>488</v>
      </c>
      <c r="F473" s="179" t="str">
        <f>'INFORME '!E137</f>
        <v>COYOY CAHUEX, SERGIO</v>
      </c>
      <c r="G473" s="179" t="str">
        <f>'INFORME '!F137</f>
        <v>CHUICAVIOC</v>
      </c>
      <c r="H473" s="179">
        <f>'INFORME '!G137</f>
        <v>0</v>
      </c>
      <c r="I473" s="187">
        <f>'INFORME '!H137</f>
        <v>0</v>
      </c>
      <c r="J473" s="187"/>
      <c r="K473" s="164">
        <f>'INFORME '!I137</f>
        <v>46192</v>
      </c>
      <c r="L473" s="164" t="e">
        <f>'INFORME '!#REF!</f>
        <v>#REF!</v>
      </c>
      <c r="M473" s="157" t="s">
        <v>1292</v>
      </c>
      <c r="N473" s="160">
        <v>1</v>
      </c>
      <c r="O473" s="160">
        <v>1</v>
      </c>
      <c r="P473" s="157" t="s">
        <v>538</v>
      </c>
      <c r="Q473" s="157" t="s">
        <v>1242</v>
      </c>
      <c r="R473" s="160">
        <v>111</v>
      </c>
      <c r="S473" s="157" t="str">
        <f>'INFORME '!K137</f>
        <v xml:space="preserve">OFICIO A CATASTRO DE CONSTRUCCIÓN INFORMAL </v>
      </c>
      <c r="T473" s="287"/>
    </row>
    <row r="474" spans="2:20">
      <c r="B474" s="185">
        <f>'INFORME '!B138</f>
        <v>25</v>
      </c>
      <c r="C474" s="186">
        <f>'INFORME '!C138</f>
        <v>46182</v>
      </c>
      <c r="D474" s="164" t="str">
        <f>'INFORME '!D138</f>
        <v>1411-2026</v>
      </c>
      <c r="E474" s="164" t="s">
        <v>488</v>
      </c>
      <c r="F474" s="179" t="str">
        <f>'INFORME '!E138</f>
        <v xml:space="preserve">ALVARADO GONZÁLEZ, LEOPOLDO </v>
      </c>
      <c r="G474" s="179" t="str">
        <f>'INFORME '!F138</f>
        <v>9 CALLE A, 0-41</v>
      </c>
      <c r="H474" s="179">
        <f>'INFORME '!G138</f>
        <v>7</v>
      </c>
      <c r="I474" s="187" t="str">
        <f>'INFORME '!H138</f>
        <v>CONDOMINIO LOS SANTOS</v>
      </c>
      <c r="J474" s="187"/>
      <c r="K474" s="164">
        <f>'INFORME '!I138</f>
        <v>46192</v>
      </c>
      <c r="L474" s="164" t="e">
        <f>'INFORME '!#REF!</f>
        <v>#REF!</v>
      </c>
      <c r="M474" s="157"/>
      <c r="N474" s="160"/>
      <c r="O474" s="160"/>
      <c r="P474" s="157"/>
      <c r="Q474" s="157"/>
      <c r="R474" s="160"/>
      <c r="S474" s="157" t="str">
        <f>'INFORME '!K138</f>
        <v xml:space="preserve">OFICIO A IUSI ACTUALIZANDO AREA DE CONSTRUCCIÓN </v>
      </c>
      <c r="T474" s="287"/>
    </row>
    <row r="475" spans="2:20">
      <c r="B475" s="185">
        <f>'INFORME '!B139</f>
        <v>26</v>
      </c>
      <c r="C475" s="186">
        <f>'INFORME '!C139</f>
        <v>0</v>
      </c>
      <c r="D475" s="164">
        <f>'INFORME '!D139</f>
        <v>0</v>
      </c>
      <c r="E475" s="164" t="s">
        <v>488</v>
      </c>
      <c r="F475" s="179">
        <f>'INFORME '!E139</f>
        <v>0</v>
      </c>
      <c r="G475" s="179">
        <f>'INFORME '!F139</f>
        <v>0</v>
      </c>
      <c r="H475" s="179">
        <f>'INFORME '!G139</f>
        <v>0</v>
      </c>
      <c r="I475" s="187">
        <f>'INFORME '!H139</f>
        <v>0</v>
      </c>
      <c r="J475" s="187"/>
      <c r="K475" s="164">
        <f>'INFORME '!I139</f>
        <v>0</v>
      </c>
      <c r="L475" s="164" t="e">
        <f>'INFORME '!#REF!</f>
        <v>#REF!</v>
      </c>
      <c r="M475" s="157"/>
      <c r="N475" s="160"/>
      <c r="O475" s="160"/>
      <c r="P475" s="157"/>
      <c r="Q475" s="157"/>
      <c r="R475" s="160"/>
      <c r="S475" s="157">
        <f>'INFORME '!K139</f>
        <v>0</v>
      </c>
      <c r="T475" s="287"/>
    </row>
    <row r="476" spans="2:20" ht="16" thickBot="1">
      <c r="B476" s="185">
        <f>'INFORME '!B140</f>
        <v>27</v>
      </c>
      <c r="C476" s="186">
        <f>'INFORME '!C140</f>
        <v>0</v>
      </c>
      <c r="D476" s="164">
        <f>'INFORME '!D140</f>
        <v>0</v>
      </c>
      <c r="E476" s="164" t="s">
        <v>948</v>
      </c>
      <c r="F476" s="179">
        <f>'INFORME '!E140</f>
        <v>0</v>
      </c>
      <c r="G476" s="179">
        <f>'INFORME '!F140</f>
        <v>0</v>
      </c>
      <c r="H476" s="179">
        <f>'INFORME '!G140</f>
        <v>0</v>
      </c>
      <c r="I476" s="187">
        <f>'INFORME '!H140</f>
        <v>0</v>
      </c>
      <c r="J476" s="187"/>
      <c r="K476" s="164">
        <f>'INFORME '!I140</f>
        <v>0</v>
      </c>
      <c r="L476" s="164" t="e">
        <f>'INFORME '!#REF!</f>
        <v>#REF!</v>
      </c>
      <c r="M476" s="157"/>
      <c r="N476" s="160"/>
      <c r="O476" s="160"/>
      <c r="P476" s="157"/>
      <c r="Q476" s="157"/>
      <c r="R476" s="160"/>
      <c r="S476" s="157">
        <f>'INFORME '!K140</f>
        <v>0</v>
      </c>
      <c r="T476" s="287"/>
    </row>
    <row r="477" spans="2:20" ht="22" thickBot="1">
      <c r="B477" s="376" t="s">
        <v>30</v>
      </c>
      <c r="C477" s="377"/>
      <c r="D477" s="377"/>
      <c r="E477" s="377"/>
      <c r="F477" s="378"/>
      <c r="G477" s="379"/>
      <c r="H477" s="380"/>
      <c r="I477" s="380"/>
      <c r="J477" s="380"/>
      <c r="K477" s="380"/>
      <c r="L477" s="380"/>
      <c r="M477" s="380"/>
      <c r="N477" s="380"/>
      <c r="O477" s="380"/>
      <c r="P477" s="380"/>
      <c r="Q477" s="380"/>
      <c r="R477" s="380"/>
      <c r="S477" s="380"/>
      <c r="T477" s="381"/>
    </row>
    <row r="1048522" spans="10:10">
      <c r="J1048522" s="187"/>
    </row>
  </sheetData>
  <mergeCells count="21">
    <mergeCell ref="B164:T164"/>
    <mergeCell ref="B2:T2"/>
    <mergeCell ref="B46:F46"/>
    <mergeCell ref="G46:T46"/>
    <mergeCell ref="B102:T102"/>
    <mergeCell ref="B161:F161"/>
    <mergeCell ref="G161:T161"/>
    <mergeCell ref="B50:T50"/>
    <mergeCell ref="B97:F97"/>
    <mergeCell ref="G97:T97"/>
    <mergeCell ref="B448:T448"/>
    <mergeCell ref="B477:F477"/>
    <mergeCell ref="G477:T477"/>
    <mergeCell ref="B220:F220"/>
    <mergeCell ref="G220:T220"/>
    <mergeCell ref="B310:T310"/>
    <mergeCell ref="B393:F393"/>
    <mergeCell ref="G393:T393"/>
    <mergeCell ref="B223:T223"/>
    <mergeCell ref="B307:F307"/>
    <mergeCell ref="G307:T307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92D050"/>
  </sheetPr>
  <dimension ref="A1:V1048164"/>
  <sheetViews>
    <sheetView tabSelected="1" zoomScale="125" zoomScaleNormal="100" workbookViewId="0">
      <pane ySplit="1" topLeftCell="A129" activePane="bottomLeft" state="frozen"/>
      <selection pane="bottomLeft" activeCell="I138" sqref="I138"/>
    </sheetView>
  </sheetViews>
  <sheetFormatPr baseColWidth="10" defaultColWidth="11.5" defaultRowHeight="15"/>
  <cols>
    <col min="1" max="1" width="5" style="31" customWidth="1"/>
    <col min="2" max="2" width="4" customWidth="1"/>
    <col min="3" max="3" width="19.33203125" customWidth="1"/>
    <col min="4" max="4" width="14.33203125" customWidth="1"/>
    <col min="5" max="6" width="33" customWidth="1"/>
    <col min="7" max="7" width="7.83203125" customWidth="1"/>
    <col min="8" max="8" width="11" customWidth="1"/>
    <col min="9" max="9" width="16.5" customWidth="1"/>
    <col min="10" max="10" width="14.33203125" customWidth="1"/>
    <col min="11" max="11" width="25.1640625" customWidth="1"/>
    <col min="12" max="16" width="11.5" style="31"/>
    <col min="17" max="17" width="25" customWidth="1"/>
  </cols>
  <sheetData>
    <row r="1" spans="2:17" s="31" customFormat="1"/>
    <row r="2" spans="2:17" s="31" customFormat="1" ht="16" thickBot="1"/>
    <row r="3" spans="2:17" ht="25" thickBot="1">
      <c r="B3" s="364" t="s">
        <v>1506</v>
      </c>
      <c r="C3" s="365"/>
      <c r="D3" s="365"/>
      <c r="E3" s="365"/>
      <c r="F3" s="365"/>
      <c r="G3" s="365"/>
      <c r="H3" s="365"/>
      <c r="I3" s="365"/>
      <c r="J3" s="365"/>
      <c r="K3" s="366"/>
    </row>
    <row r="4" spans="2:17" ht="47" customHeight="1" thickBot="1">
      <c r="B4" s="79" t="s">
        <v>12</v>
      </c>
      <c r="C4" s="79" t="s">
        <v>22</v>
      </c>
      <c r="D4" s="80" t="s">
        <v>14</v>
      </c>
      <c r="E4" s="80" t="s">
        <v>23</v>
      </c>
      <c r="F4" s="80" t="s">
        <v>24</v>
      </c>
      <c r="G4" s="80" t="s">
        <v>20</v>
      </c>
      <c r="H4" s="80" t="s">
        <v>25</v>
      </c>
      <c r="I4" s="81" t="s">
        <v>26</v>
      </c>
      <c r="J4" s="116" t="s">
        <v>1517</v>
      </c>
      <c r="K4" s="82" t="s">
        <v>27</v>
      </c>
    </row>
    <row r="5" spans="2:17">
      <c r="B5" s="216">
        <v>1</v>
      </c>
      <c r="C5" s="326">
        <v>46049</v>
      </c>
      <c r="D5" s="14" t="s">
        <v>1521</v>
      </c>
      <c r="E5" s="327" t="s">
        <v>1518</v>
      </c>
      <c r="F5" s="14" t="s">
        <v>1515</v>
      </c>
      <c r="G5" s="14"/>
      <c r="H5" s="150"/>
      <c r="I5" s="326">
        <v>46027</v>
      </c>
      <c r="J5" s="35">
        <v>46133</v>
      </c>
      <c r="K5" s="14" t="s">
        <v>1519</v>
      </c>
      <c r="Q5" s="24" t="s">
        <v>1516</v>
      </c>
    </row>
    <row r="6" spans="2:17">
      <c r="B6" s="190">
        <f>B5+1</f>
        <v>2</v>
      </c>
      <c r="C6" s="326">
        <v>46049</v>
      </c>
      <c r="D6" s="327" t="s">
        <v>1520</v>
      </c>
      <c r="E6" s="14" t="s">
        <v>1522</v>
      </c>
      <c r="F6" s="14" t="s">
        <v>1515</v>
      </c>
      <c r="G6" s="14"/>
      <c r="H6" s="9"/>
      <c r="I6" s="326">
        <v>46027</v>
      </c>
      <c r="J6" s="326">
        <v>46133</v>
      </c>
      <c r="K6" s="136" t="s">
        <v>1525</v>
      </c>
      <c r="Q6" s="24" t="s">
        <v>1516</v>
      </c>
    </row>
    <row r="7" spans="2:17" ht="23" customHeight="1">
      <c r="B7" s="190">
        <f t="shared" ref="B7:B27" si="0">B6+1</f>
        <v>3</v>
      </c>
      <c r="C7" s="326">
        <v>46049</v>
      </c>
      <c r="D7" s="327" t="s">
        <v>1523</v>
      </c>
      <c r="E7" s="327" t="s">
        <v>1524</v>
      </c>
      <c r="F7" s="14" t="s">
        <v>1515</v>
      </c>
      <c r="G7" s="14"/>
      <c r="H7" s="9"/>
      <c r="I7" s="35">
        <v>46027</v>
      </c>
      <c r="J7" s="35">
        <v>46133</v>
      </c>
      <c r="K7" s="136" t="s">
        <v>1525</v>
      </c>
      <c r="Q7" s="24" t="s">
        <v>1516</v>
      </c>
    </row>
    <row r="8" spans="2:17" ht="25" customHeight="1">
      <c r="B8" s="324">
        <f t="shared" si="0"/>
        <v>4</v>
      </c>
      <c r="C8" s="326">
        <v>46049</v>
      </c>
      <c r="D8" s="327" t="s">
        <v>1526</v>
      </c>
      <c r="E8" s="327" t="s">
        <v>1527</v>
      </c>
      <c r="F8" s="14" t="s">
        <v>1515</v>
      </c>
      <c r="G8" s="14"/>
      <c r="H8" s="14"/>
      <c r="I8" s="35">
        <v>46027</v>
      </c>
      <c r="J8" s="35">
        <v>46133</v>
      </c>
      <c r="K8" s="136" t="s">
        <v>1519</v>
      </c>
      <c r="Q8" s="24" t="s">
        <v>864</v>
      </c>
    </row>
    <row r="9" spans="2:17">
      <c r="B9" s="324">
        <f t="shared" si="0"/>
        <v>5</v>
      </c>
      <c r="C9" s="235">
        <v>46049</v>
      </c>
      <c r="D9" s="327" t="s">
        <v>1528</v>
      </c>
      <c r="E9" s="327" t="s">
        <v>1529</v>
      </c>
      <c r="F9" s="14" t="s">
        <v>1515</v>
      </c>
      <c r="G9" s="14"/>
      <c r="H9" s="93"/>
      <c r="I9" s="35">
        <v>46027</v>
      </c>
      <c r="J9" s="35">
        <v>46133</v>
      </c>
      <c r="K9" s="136" t="s">
        <v>1519</v>
      </c>
      <c r="Q9" s="24" t="s">
        <v>438</v>
      </c>
    </row>
    <row r="10" spans="2:17" ht="30">
      <c r="B10" s="324">
        <f t="shared" si="0"/>
        <v>6</v>
      </c>
      <c r="C10" s="326">
        <v>46086</v>
      </c>
      <c r="D10" s="235" t="s">
        <v>1530</v>
      </c>
      <c r="E10" s="54" t="s">
        <v>1531</v>
      </c>
      <c r="F10" s="327" t="s">
        <v>1532</v>
      </c>
      <c r="G10" s="54"/>
      <c r="H10" s="93"/>
      <c r="I10" s="326">
        <v>46107</v>
      </c>
      <c r="J10" s="35">
        <v>46136</v>
      </c>
      <c r="K10" s="136" t="s">
        <v>1533</v>
      </c>
      <c r="Q10" s="132" t="s">
        <v>869</v>
      </c>
    </row>
    <row r="11" spans="2:17">
      <c r="B11" s="324">
        <f t="shared" si="0"/>
        <v>7</v>
      </c>
      <c r="C11" s="326">
        <v>46106</v>
      </c>
      <c r="D11" s="235" t="s">
        <v>1534</v>
      </c>
      <c r="E11" s="54" t="s">
        <v>1535</v>
      </c>
      <c r="F11" s="54" t="s">
        <v>1536</v>
      </c>
      <c r="G11" s="54"/>
      <c r="H11" s="93"/>
      <c r="I11" s="326">
        <v>46133</v>
      </c>
      <c r="J11" s="35">
        <v>46139</v>
      </c>
      <c r="K11" s="329" t="s">
        <v>1537</v>
      </c>
      <c r="Q11" s="132" t="s">
        <v>438</v>
      </c>
    </row>
    <row r="12" spans="2:17" ht="36" customHeight="1">
      <c r="B12" s="324">
        <f t="shared" si="0"/>
        <v>8</v>
      </c>
      <c r="C12" s="326">
        <v>46128</v>
      </c>
      <c r="D12" s="235" t="s">
        <v>1538</v>
      </c>
      <c r="E12" s="54" t="s">
        <v>1539</v>
      </c>
      <c r="F12" s="327" t="s">
        <v>1540</v>
      </c>
      <c r="G12" s="54"/>
      <c r="H12" s="93"/>
      <c r="I12" s="326">
        <v>46135</v>
      </c>
      <c r="J12" s="35">
        <v>46140</v>
      </c>
      <c r="K12" s="329" t="s">
        <v>1533</v>
      </c>
      <c r="Q12" s="24" t="s">
        <v>864</v>
      </c>
    </row>
    <row r="13" spans="2:17" ht="36" customHeight="1">
      <c r="B13" s="92">
        <f t="shared" si="0"/>
        <v>9</v>
      </c>
      <c r="C13" s="326">
        <v>46135</v>
      </c>
      <c r="D13" s="35" t="s">
        <v>1541</v>
      </c>
      <c r="E13" s="14" t="s">
        <v>1542</v>
      </c>
      <c r="F13" s="327" t="s">
        <v>1543</v>
      </c>
      <c r="G13" s="14"/>
      <c r="H13" s="14"/>
      <c r="I13" s="326">
        <v>46135</v>
      </c>
      <c r="J13" s="35">
        <v>46140</v>
      </c>
      <c r="K13" s="329" t="s">
        <v>1533</v>
      </c>
      <c r="Q13" s="24" t="s">
        <v>864</v>
      </c>
    </row>
    <row r="14" spans="2:17" ht="30">
      <c r="B14" s="92">
        <f t="shared" si="0"/>
        <v>10</v>
      </c>
      <c r="F14" s="5"/>
      <c r="G14" s="5"/>
      <c r="H14" s="5"/>
      <c r="I14" s="5"/>
      <c r="J14" s="5"/>
      <c r="K14" s="5"/>
      <c r="Q14" s="132" t="s">
        <v>672</v>
      </c>
    </row>
    <row r="15" spans="2:17" ht="27" customHeight="1">
      <c r="B15" s="92">
        <f t="shared" si="0"/>
        <v>11</v>
      </c>
      <c r="C15" s="5"/>
      <c r="D15" s="5"/>
      <c r="E15" s="5"/>
      <c r="F15" s="5"/>
      <c r="G15" s="5"/>
      <c r="H15" s="5"/>
      <c r="I15" s="5"/>
      <c r="J15" s="5"/>
      <c r="K15" s="5"/>
      <c r="Q15" s="132" t="s">
        <v>400</v>
      </c>
    </row>
    <row r="16" spans="2:17" ht="30">
      <c r="B16" s="92">
        <f t="shared" si="0"/>
        <v>12</v>
      </c>
      <c r="C16" s="5"/>
      <c r="D16" s="5"/>
      <c r="E16" s="5"/>
      <c r="F16" s="5"/>
      <c r="G16" s="5"/>
      <c r="H16" s="5"/>
      <c r="I16" s="5"/>
      <c r="J16" s="5"/>
      <c r="K16" s="5"/>
      <c r="Q16" s="132" t="s">
        <v>672</v>
      </c>
    </row>
    <row r="17" spans="2:17" ht="30">
      <c r="B17" s="92">
        <f t="shared" si="0"/>
        <v>13</v>
      </c>
      <c r="C17" s="194"/>
      <c r="D17" s="131"/>
      <c r="E17" s="54"/>
      <c r="F17" s="93"/>
      <c r="G17" s="92"/>
      <c r="H17" s="194"/>
      <c r="I17" s="131"/>
      <c r="J17" s="13"/>
      <c r="K17" s="136"/>
      <c r="Q17" s="24" t="s">
        <v>892</v>
      </c>
    </row>
    <row r="18" spans="2:17" ht="45">
      <c r="B18" s="190">
        <f t="shared" si="0"/>
        <v>14</v>
      </c>
      <c r="C18" s="40"/>
      <c r="D18" s="13"/>
      <c r="E18" s="14"/>
      <c r="F18" s="93"/>
      <c r="G18" s="8"/>
      <c r="H18" s="7"/>
      <c r="I18" s="42"/>
      <c r="J18" s="322"/>
      <c r="K18" s="24"/>
      <c r="Q18" s="24" t="s">
        <v>927</v>
      </c>
    </row>
    <row r="19" spans="2:17">
      <c r="B19" s="190">
        <f t="shared" si="0"/>
        <v>15</v>
      </c>
      <c r="C19" s="40"/>
      <c r="D19" s="13"/>
      <c r="E19" s="14"/>
      <c r="F19" s="93"/>
      <c r="G19" s="8"/>
      <c r="H19" s="14"/>
      <c r="I19" s="42"/>
      <c r="J19" s="322"/>
      <c r="K19" s="24"/>
      <c r="Q19" s="24" t="s">
        <v>438</v>
      </c>
    </row>
    <row r="20" spans="2:17" ht="30">
      <c r="B20" s="190">
        <f t="shared" si="0"/>
        <v>16</v>
      </c>
      <c r="C20" s="23"/>
      <c r="D20" s="13"/>
      <c r="E20" s="54"/>
      <c r="F20" s="57"/>
      <c r="G20" s="8"/>
      <c r="H20" s="8"/>
      <c r="I20" s="13"/>
      <c r="J20" s="322"/>
      <c r="K20" s="24"/>
      <c r="Q20" s="24" t="s">
        <v>672</v>
      </c>
    </row>
    <row r="21" spans="2:17" ht="30">
      <c r="B21" s="190">
        <f t="shared" si="0"/>
        <v>17</v>
      </c>
      <c r="C21" s="23"/>
      <c r="D21" s="13"/>
      <c r="E21" s="54"/>
      <c r="F21" s="57"/>
      <c r="G21" s="8"/>
      <c r="H21" s="8"/>
      <c r="I21" s="13"/>
      <c r="J21" s="322"/>
      <c r="K21" s="24"/>
      <c r="Q21" s="24" t="s">
        <v>672</v>
      </c>
    </row>
    <row r="22" spans="2:17" ht="30">
      <c r="B22" s="190">
        <f t="shared" si="0"/>
        <v>18</v>
      </c>
      <c r="C22" s="23"/>
      <c r="D22" s="13"/>
      <c r="E22" s="54"/>
      <c r="F22" s="9"/>
      <c r="G22" s="8"/>
      <c r="H22" s="14"/>
      <c r="I22" s="13"/>
      <c r="J22" s="322"/>
      <c r="K22" s="24"/>
      <c r="Q22" s="24" t="s">
        <v>904</v>
      </c>
    </row>
    <row r="23" spans="2:17">
      <c r="B23" s="190">
        <f t="shared" si="0"/>
        <v>19</v>
      </c>
      <c r="C23" s="23"/>
      <c r="D23" s="13"/>
      <c r="E23" s="54"/>
      <c r="F23" s="9"/>
      <c r="G23" s="8"/>
      <c r="H23" s="8"/>
      <c r="I23" s="13"/>
      <c r="J23" s="322"/>
      <c r="K23" s="24"/>
      <c r="Q23" s="24" t="s">
        <v>400</v>
      </c>
    </row>
    <row r="24" spans="2:17" ht="30">
      <c r="B24" s="190">
        <f t="shared" si="0"/>
        <v>20</v>
      </c>
      <c r="C24" s="23"/>
      <c r="D24" s="13"/>
      <c r="E24" s="54"/>
      <c r="F24" s="9"/>
      <c r="G24" s="8"/>
      <c r="H24" s="8"/>
      <c r="I24" s="13"/>
      <c r="J24" s="322"/>
      <c r="K24" s="24"/>
      <c r="Q24" s="24" t="s">
        <v>910</v>
      </c>
    </row>
    <row r="25" spans="2:17" ht="30">
      <c r="B25" s="190">
        <f t="shared" si="0"/>
        <v>21</v>
      </c>
      <c r="C25" s="23"/>
      <c r="D25" s="13"/>
      <c r="E25" s="54"/>
      <c r="F25" s="9"/>
      <c r="G25" s="8"/>
      <c r="H25" s="8"/>
      <c r="I25" s="13"/>
      <c r="J25" s="322"/>
      <c r="K25" s="24"/>
      <c r="Q25" s="24" t="s">
        <v>832</v>
      </c>
    </row>
    <row r="26" spans="2:17" ht="45">
      <c r="B26" s="190">
        <f t="shared" si="0"/>
        <v>22</v>
      </c>
      <c r="C26" s="23"/>
      <c r="D26" s="13"/>
      <c r="E26" s="54"/>
      <c r="F26" s="9"/>
      <c r="G26" s="8"/>
      <c r="H26" s="8"/>
      <c r="I26" s="13"/>
      <c r="J26" s="322"/>
      <c r="K26" s="24"/>
      <c r="Q26" s="24" t="s">
        <v>917</v>
      </c>
    </row>
    <row r="27" spans="2:17" ht="42" customHeight="1" thickBot="1">
      <c r="B27" s="190">
        <f t="shared" si="0"/>
        <v>23</v>
      </c>
      <c r="C27" s="23"/>
      <c r="D27" s="13"/>
      <c r="E27" s="54"/>
      <c r="F27" s="58"/>
      <c r="G27" s="8"/>
      <c r="H27" s="14"/>
      <c r="I27" s="13"/>
      <c r="J27" s="322"/>
      <c r="K27" s="24"/>
      <c r="Q27" s="24" t="s">
        <v>919</v>
      </c>
    </row>
    <row r="28" spans="2:17" ht="16" hidden="1" thickBot="1">
      <c r="B28" s="190" t="e">
        <f>#REF!+1</f>
        <v>#REF!</v>
      </c>
      <c r="C28" s="23"/>
      <c r="D28" s="13"/>
      <c r="E28" s="14"/>
      <c r="F28" s="9"/>
      <c r="G28" s="8"/>
      <c r="H28" s="8"/>
      <c r="I28" s="13"/>
      <c r="J28" s="323"/>
      <c r="K28" s="24"/>
    </row>
    <row r="29" spans="2:17" ht="16" hidden="1" thickBot="1">
      <c r="B29" s="190" t="e">
        <f t="shared" ref="B29" si="1">B28+1</f>
        <v>#REF!</v>
      </c>
      <c r="C29" s="23"/>
      <c r="D29" s="13"/>
      <c r="E29" s="14"/>
      <c r="F29" s="9"/>
      <c r="G29" s="8"/>
      <c r="H29" s="8"/>
      <c r="I29" s="13"/>
      <c r="J29" s="323"/>
      <c r="K29" s="24"/>
    </row>
    <row r="30" spans="2:17" ht="22" thickBot="1">
      <c r="B30" s="367" t="s">
        <v>30</v>
      </c>
      <c r="C30" s="368"/>
      <c r="D30" s="368"/>
      <c r="E30" s="369"/>
      <c r="F30" s="370" t="s">
        <v>1578</v>
      </c>
      <c r="G30" s="371"/>
      <c r="H30" s="371"/>
      <c r="I30" s="371"/>
      <c r="J30" s="371"/>
      <c r="K30" s="372"/>
    </row>
    <row r="31" spans="2:17" s="31" customFormat="1"/>
    <row r="32" spans="2:17" s="31" customFormat="1"/>
    <row r="33" spans="2:11" s="31" customFormat="1" ht="16" thickBot="1"/>
    <row r="34" spans="2:11" ht="25" thickBot="1">
      <c r="B34" s="364" t="s">
        <v>1514</v>
      </c>
      <c r="C34" s="365"/>
      <c r="D34" s="365"/>
      <c r="E34" s="365"/>
      <c r="F34" s="365"/>
      <c r="G34" s="365"/>
      <c r="H34" s="365"/>
      <c r="I34" s="365"/>
      <c r="J34" s="365"/>
      <c r="K34" s="366"/>
    </row>
    <row r="35" spans="2:11" ht="45">
      <c r="B35" s="346" t="s">
        <v>12</v>
      </c>
      <c r="C35" s="346" t="s">
        <v>22</v>
      </c>
      <c r="D35" s="347" t="s">
        <v>14</v>
      </c>
      <c r="E35" s="347" t="s">
        <v>23</v>
      </c>
      <c r="F35" s="347" t="s">
        <v>24</v>
      </c>
      <c r="G35" s="347" t="s">
        <v>20</v>
      </c>
      <c r="H35" s="347" t="s">
        <v>25</v>
      </c>
      <c r="I35" s="348" t="s">
        <v>26</v>
      </c>
      <c r="J35" s="349"/>
      <c r="K35" s="350" t="s">
        <v>27</v>
      </c>
    </row>
    <row r="36" spans="2:11" ht="16">
      <c r="B36" s="92">
        <v>1</v>
      </c>
      <c r="C36" s="351">
        <v>46129</v>
      </c>
      <c r="D36" s="352" t="s">
        <v>1548</v>
      </c>
      <c r="E36" s="352" t="s">
        <v>1549</v>
      </c>
      <c r="F36" s="352" t="s">
        <v>1690</v>
      </c>
      <c r="G36" s="1">
        <v>1</v>
      </c>
      <c r="H36" s="336" t="s">
        <v>29</v>
      </c>
      <c r="I36" s="351">
        <v>46135</v>
      </c>
      <c r="J36" s="351">
        <v>46146</v>
      </c>
      <c r="K36" s="353" t="s">
        <v>1749</v>
      </c>
    </row>
    <row r="37" spans="2:11" ht="16">
      <c r="B37" s="92">
        <f>B36+1</f>
        <v>2</v>
      </c>
      <c r="C37" s="351">
        <v>46105</v>
      </c>
      <c r="D37" s="352" t="s">
        <v>1545</v>
      </c>
      <c r="E37" s="352" t="s">
        <v>1546</v>
      </c>
      <c r="F37" s="352" t="s">
        <v>1547</v>
      </c>
      <c r="G37" s="1">
        <v>5</v>
      </c>
      <c r="H37" s="336" t="s">
        <v>29</v>
      </c>
      <c r="I37" s="351">
        <v>46129</v>
      </c>
      <c r="J37" s="351">
        <v>46146</v>
      </c>
      <c r="K37" s="353" t="s">
        <v>1748</v>
      </c>
    </row>
    <row r="38" spans="2:11" ht="32">
      <c r="B38" s="92">
        <f t="shared" ref="B38:B43" si="2">B37+1</f>
        <v>3</v>
      </c>
      <c r="C38" s="351">
        <v>46128</v>
      </c>
      <c r="D38" s="352" t="s">
        <v>1731</v>
      </c>
      <c r="E38" s="352" t="s">
        <v>1732</v>
      </c>
      <c r="F38" s="352" t="s">
        <v>1733</v>
      </c>
      <c r="G38" s="1"/>
      <c r="H38" s="336"/>
      <c r="I38" s="351">
        <v>46140</v>
      </c>
      <c r="J38" s="354">
        <v>46146</v>
      </c>
      <c r="K38" s="353" t="s">
        <v>1749</v>
      </c>
    </row>
    <row r="39" spans="2:11" ht="16">
      <c r="B39" s="92">
        <f t="shared" si="2"/>
        <v>4</v>
      </c>
      <c r="C39" s="351">
        <v>46142</v>
      </c>
      <c r="D39" s="352" t="s">
        <v>1734</v>
      </c>
      <c r="E39" s="352" t="s">
        <v>1735</v>
      </c>
      <c r="F39" s="352" t="s">
        <v>1583</v>
      </c>
      <c r="G39" s="1">
        <v>5</v>
      </c>
      <c r="H39" s="336" t="s">
        <v>29</v>
      </c>
      <c r="I39" s="351">
        <v>46148</v>
      </c>
      <c r="J39" s="354">
        <v>46147</v>
      </c>
      <c r="K39" s="353" t="s">
        <v>1749</v>
      </c>
    </row>
    <row r="40" spans="2:11" ht="32">
      <c r="B40" s="92">
        <f t="shared" si="2"/>
        <v>5</v>
      </c>
      <c r="C40" s="351">
        <v>46128</v>
      </c>
      <c r="D40" s="352" t="s">
        <v>1736</v>
      </c>
      <c r="E40" s="352" t="s">
        <v>1732</v>
      </c>
      <c r="F40" s="352" t="s">
        <v>1737</v>
      </c>
      <c r="G40" s="1">
        <v>1</v>
      </c>
      <c r="H40" s="336" t="s">
        <v>29</v>
      </c>
      <c r="I40" s="351">
        <v>46140</v>
      </c>
      <c r="J40" s="354">
        <v>46147</v>
      </c>
      <c r="K40" s="353" t="s">
        <v>1749</v>
      </c>
    </row>
    <row r="41" spans="2:11" ht="32">
      <c r="B41" s="92">
        <f t="shared" si="2"/>
        <v>6</v>
      </c>
      <c r="C41" s="351">
        <v>46128</v>
      </c>
      <c r="D41" s="352" t="s">
        <v>1738</v>
      </c>
      <c r="E41" s="352" t="s">
        <v>1732</v>
      </c>
      <c r="F41" s="352" t="s">
        <v>1739</v>
      </c>
      <c r="G41" s="1">
        <v>10</v>
      </c>
      <c r="H41" s="336" t="s">
        <v>29</v>
      </c>
      <c r="I41" s="351">
        <v>46140</v>
      </c>
      <c r="J41" s="354">
        <v>46147</v>
      </c>
      <c r="K41" s="353" t="s">
        <v>1749</v>
      </c>
    </row>
    <row r="42" spans="2:11" ht="32">
      <c r="B42" s="92">
        <f t="shared" si="2"/>
        <v>7</v>
      </c>
      <c r="C42" s="351">
        <v>46128</v>
      </c>
      <c r="D42" s="352" t="s">
        <v>1740</v>
      </c>
      <c r="E42" s="352" t="s">
        <v>1732</v>
      </c>
      <c r="F42" s="352" t="s">
        <v>1741</v>
      </c>
      <c r="G42" s="1">
        <v>3</v>
      </c>
      <c r="H42" s="336" t="s">
        <v>29</v>
      </c>
      <c r="I42" s="351">
        <v>46140</v>
      </c>
      <c r="J42" s="354">
        <v>46147</v>
      </c>
      <c r="K42" s="353" t="s">
        <v>1749</v>
      </c>
    </row>
    <row r="43" spans="2:11" ht="47.5" customHeight="1">
      <c r="B43" s="92">
        <f t="shared" si="2"/>
        <v>8</v>
      </c>
      <c r="C43" s="351">
        <v>46128</v>
      </c>
      <c r="D43" s="352" t="s">
        <v>1742</v>
      </c>
      <c r="E43" s="352" t="s">
        <v>1732</v>
      </c>
      <c r="F43" s="352" t="s">
        <v>1743</v>
      </c>
      <c r="G43" s="1">
        <v>5</v>
      </c>
      <c r="H43" s="336" t="s">
        <v>629</v>
      </c>
      <c r="I43" s="351">
        <v>46140</v>
      </c>
      <c r="J43" s="354">
        <v>46147</v>
      </c>
      <c r="K43" s="353" t="s">
        <v>1749</v>
      </c>
    </row>
    <row r="44" spans="2:11" ht="32">
      <c r="B44" s="92">
        <f t="shared" ref="B44:B78" si="3">B43+1</f>
        <v>9</v>
      </c>
      <c r="C44" s="351">
        <v>46128</v>
      </c>
      <c r="D44" s="352" t="s">
        <v>1744</v>
      </c>
      <c r="E44" s="352" t="s">
        <v>1732</v>
      </c>
      <c r="F44" s="352" t="s">
        <v>1745</v>
      </c>
      <c r="G44" s="1">
        <v>6</v>
      </c>
      <c r="H44" s="336" t="s">
        <v>29</v>
      </c>
      <c r="I44" s="351">
        <v>46140</v>
      </c>
      <c r="J44" s="354">
        <v>46147</v>
      </c>
      <c r="K44" s="353" t="s">
        <v>1749</v>
      </c>
    </row>
    <row r="45" spans="2:11" ht="32">
      <c r="B45" s="92">
        <f t="shared" si="3"/>
        <v>10</v>
      </c>
      <c r="C45" s="351">
        <v>46128</v>
      </c>
      <c r="D45" s="352" t="s">
        <v>1746</v>
      </c>
      <c r="E45" s="352" t="s">
        <v>1732</v>
      </c>
      <c r="F45" s="352" t="s">
        <v>1747</v>
      </c>
      <c r="G45" s="1"/>
      <c r="H45" s="336"/>
      <c r="I45" s="351">
        <v>46140</v>
      </c>
      <c r="J45" s="354">
        <v>46147</v>
      </c>
      <c r="K45" s="353" t="s">
        <v>1749</v>
      </c>
    </row>
    <row r="46" spans="2:11" ht="32">
      <c r="B46" s="92">
        <f t="shared" si="3"/>
        <v>11</v>
      </c>
      <c r="C46" s="351">
        <v>45936</v>
      </c>
      <c r="D46" s="339" t="s">
        <v>1590</v>
      </c>
      <c r="E46" s="352" t="s">
        <v>1591</v>
      </c>
      <c r="F46" s="352" t="s">
        <v>1592</v>
      </c>
      <c r="G46" s="119" t="s">
        <v>17</v>
      </c>
      <c r="H46" s="338" t="s">
        <v>29</v>
      </c>
      <c r="I46" s="339">
        <v>46141</v>
      </c>
      <c r="J46" s="337">
        <v>46148</v>
      </c>
      <c r="K46" s="355" t="s">
        <v>1593</v>
      </c>
    </row>
    <row r="47" spans="2:11" ht="16">
      <c r="B47" s="92">
        <f t="shared" si="3"/>
        <v>12</v>
      </c>
      <c r="C47" s="352" t="s">
        <v>1580</v>
      </c>
      <c r="D47" s="352" t="s">
        <v>1581</v>
      </c>
      <c r="E47" s="352" t="s">
        <v>1582</v>
      </c>
      <c r="F47" s="352" t="s">
        <v>1583</v>
      </c>
      <c r="G47" s="1">
        <v>2</v>
      </c>
      <c r="H47" s="356" t="s">
        <v>29</v>
      </c>
      <c r="I47" s="351">
        <v>46148</v>
      </c>
      <c r="J47" s="337">
        <v>46149</v>
      </c>
      <c r="K47" s="1" t="s">
        <v>1749</v>
      </c>
    </row>
    <row r="48" spans="2:11" ht="16">
      <c r="B48" s="92">
        <f t="shared" si="3"/>
        <v>13</v>
      </c>
      <c r="C48" s="337">
        <v>46129</v>
      </c>
      <c r="D48" s="337" t="s">
        <v>1600</v>
      </c>
      <c r="E48" s="1" t="s">
        <v>1601</v>
      </c>
      <c r="F48" s="356" t="s">
        <v>1602</v>
      </c>
      <c r="G48" s="1">
        <v>9</v>
      </c>
      <c r="H48" s="1" t="s">
        <v>29</v>
      </c>
      <c r="I48" s="337">
        <v>46141</v>
      </c>
      <c r="J48" s="337">
        <v>46149</v>
      </c>
      <c r="K48" s="355" t="s">
        <v>1603</v>
      </c>
    </row>
    <row r="49" spans="2:11" ht="16">
      <c r="B49" s="92">
        <f t="shared" si="3"/>
        <v>14</v>
      </c>
      <c r="C49" s="341">
        <v>46105</v>
      </c>
      <c r="D49" s="339" t="s">
        <v>1572</v>
      </c>
      <c r="E49" s="119" t="s">
        <v>1604</v>
      </c>
      <c r="F49" s="356" t="s">
        <v>1605</v>
      </c>
      <c r="G49" s="1" t="s">
        <v>17</v>
      </c>
      <c r="H49" s="341" t="s">
        <v>29</v>
      </c>
      <c r="I49" s="337">
        <v>46141</v>
      </c>
      <c r="J49" s="337">
        <v>46150</v>
      </c>
      <c r="K49" s="355" t="s">
        <v>1606</v>
      </c>
    </row>
    <row r="50" spans="2:11" ht="32">
      <c r="B50" s="92">
        <f t="shared" si="3"/>
        <v>15</v>
      </c>
      <c r="C50" s="342">
        <v>46247</v>
      </c>
      <c r="D50" s="337" t="s">
        <v>1752</v>
      </c>
      <c r="E50" s="357" t="s">
        <v>1607</v>
      </c>
      <c r="F50" s="357" t="s">
        <v>1608</v>
      </c>
      <c r="G50" s="1">
        <v>1</v>
      </c>
      <c r="H50" s="1" t="s">
        <v>29</v>
      </c>
      <c r="I50" s="342">
        <v>46147</v>
      </c>
      <c r="J50" s="337">
        <v>46150</v>
      </c>
      <c r="K50" s="353" t="s">
        <v>1603</v>
      </c>
    </row>
    <row r="51" spans="2:11" ht="32">
      <c r="B51" s="92">
        <f t="shared" si="3"/>
        <v>16</v>
      </c>
      <c r="C51" s="342">
        <v>46104</v>
      </c>
      <c r="D51" s="342" t="s">
        <v>1620</v>
      </c>
      <c r="E51" s="1" t="s">
        <v>1584</v>
      </c>
      <c r="F51" s="352" t="s">
        <v>1621</v>
      </c>
      <c r="G51" s="1">
        <v>5</v>
      </c>
      <c r="H51" s="1" t="s">
        <v>29</v>
      </c>
      <c r="I51" s="342">
        <v>46147</v>
      </c>
      <c r="J51" s="337">
        <v>46154</v>
      </c>
      <c r="K51" s="353" t="s">
        <v>1603</v>
      </c>
    </row>
    <row r="52" spans="2:11" ht="32">
      <c r="B52" s="92">
        <f t="shared" si="3"/>
        <v>17</v>
      </c>
      <c r="C52" s="337">
        <v>46064</v>
      </c>
      <c r="D52" s="337" t="s">
        <v>1585</v>
      </c>
      <c r="E52" s="119" t="s">
        <v>1622</v>
      </c>
      <c r="F52" s="357" t="s">
        <v>1623</v>
      </c>
      <c r="G52" s="1" t="s">
        <v>17</v>
      </c>
      <c r="H52" s="1" t="s">
        <v>29</v>
      </c>
      <c r="I52" s="342">
        <v>46147</v>
      </c>
      <c r="J52" s="337">
        <v>46154</v>
      </c>
      <c r="K52" s="353" t="s">
        <v>1624</v>
      </c>
    </row>
    <row r="53" spans="2:11" ht="32">
      <c r="B53" s="92">
        <f t="shared" si="3"/>
        <v>18</v>
      </c>
      <c r="C53" s="337">
        <v>46132</v>
      </c>
      <c r="D53" s="337" t="s">
        <v>1625</v>
      </c>
      <c r="E53" s="119" t="s">
        <v>1626</v>
      </c>
      <c r="F53" s="119" t="s">
        <v>1627</v>
      </c>
      <c r="G53" s="1" t="s">
        <v>17</v>
      </c>
      <c r="H53" s="1" t="s">
        <v>29</v>
      </c>
      <c r="I53" s="342">
        <v>46147</v>
      </c>
      <c r="J53" s="337">
        <v>46154</v>
      </c>
      <c r="K53" s="353" t="s">
        <v>1603</v>
      </c>
    </row>
    <row r="54" spans="2:11" ht="16">
      <c r="B54" s="92">
        <f t="shared" si="3"/>
        <v>19</v>
      </c>
      <c r="C54" s="337">
        <v>46141</v>
      </c>
      <c r="D54" s="337" t="s">
        <v>1594</v>
      </c>
      <c r="E54" s="119" t="s">
        <v>1595</v>
      </c>
      <c r="F54" s="356" t="s">
        <v>1637</v>
      </c>
      <c r="G54" s="1">
        <v>3</v>
      </c>
      <c r="H54" s="1" t="s">
        <v>29</v>
      </c>
      <c r="I54" s="337">
        <v>46149</v>
      </c>
      <c r="J54" s="337">
        <v>46155</v>
      </c>
      <c r="K54" s="353" t="s">
        <v>1638</v>
      </c>
    </row>
    <row r="55" spans="2:11" ht="76.75" customHeight="1">
      <c r="B55" s="92">
        <f t="shared" si="3"/>
        <v>20</v>
      </c>
      <c r="C55" s="337">
        <v>46140</v>
      </c>
      <c r="D55" s="337" t="s">
        <v>1597</v>
      </c>
      <c r="E55" s="119" t="s">
        <v>1639</v>
      </c>
      <c r="F55" s="356" t="s">
        <v>1640</v>
      </c>
      <c r="G55" s="1">
        <v>3</v>
      </c>
      <c r="H55" s="1" t="s">
        <v>29</v>
      </c>
      <c r="I55" s="337">
        <v>46149</v>
      </c>
      <c r="J55" s="337">
        <v>46155</v>
      </c>
      <c r="K55" s="353" t="s">
        <v>1651</v>
      </c>
    </row>
    <row r="56" spans="2:11" ht="32">
      <c r="B56" s="92">
        <f t="shared" si="3"/>
        <v>21</v>
      </c>
      <c r="C56" s="337">
        <v>46132</v>
      </c>
      <c r="D56" s="337" t="s">
        <v>1641</v>
      </c>
      <c r="E56" s="119" t="s">
        <v>1626</v>
      </c>
      <c r="F56" s="119" t="s">
        <v>1627</v>
      </c>
      <c r="G56" s="1">
        <v>7</v>
      </c>
      <c r="H56" s="1" t="s">
        <v>608</v>
      </c>
      <c r="I56" s="337">
        <v>46149</v>
      </c>
      <c r="J56" s="337">
        <v>46156</v>
      </c>
      <c r="K56" s="353" t="s">
        <v>1519</v>
      </c>
    </row>
    <row r="57" spans="2:11" ht="32">
      <c r="B57" s="92">
        <f t="shared" si="3"/>
        <v>22</v>
      </c>
      <c r="C57" s="337">
        <v>46147</v>
      </c>
      <c r="D57" s="337" t="s">
        <v>1609</v>
      </c>
      <c r="E57" s="119" t="s">
        <v>1610</v>
      </c>
      <c r="F57" s="356" t="s">
        <v>1642</v>
      </c>
      <c r="G57" s="1">
        <v>5</v>
      </c>
      <c r="H57" s="1" t="s">
        <v>29</v>
      </c>
      <c r="I57" s="337">
        <v>46153</v>
      </c>
      <c r="J57" s="337">
        <v>46156</v>
      </c>
      <c r="K57" s="353" t="s">
        <v>1603</v>
      </c>
    </row>
    <row r="58" spans="2:11" ht="16">
      <c r="B58" s="92">
        <f t="shared" si="3"/>
        <v>23</v>
      </c>
      <c r="C58" s="337">
        <v>46147</v>
      </c>
      <c r="D58" s="337" t="s">
        <v>1646</v>
      </c>
      <c r="E58" s="119" t="s">
        <v>1644</v>
      </c>
      <c r="F58" s="356" t="s">
        <v>1645</v>
      </c>
      <c r="G58" s="1">
        <v>5</v>
      </c>
      <c r="H58" s="1" t="s">
        <v>828</v>
      </c>
      <c r="I58" s="337">
        <v>46153</v>
      </c>
      <c r="J58" s="337">
        <v>46160</v>
      </c>
      <c r="K58" s="353" t="s">
        <v>1603</v>
      </c>
    </row>
    <row r="59" spans="2:11" ht="32">
      <c r="B59" s="92">
        <f t="shared" si="3"/>
        <v>24</v>
      </c>
      <c r="C59" s="337">
        <v>46147</v>
      </c>
      <c r="D59" s="359" t="s">
        <v>1643</v>
      </c>
      <c r="E59" s="119" t="s">
        <v>1644</v>
      </c>
      <c r="F59" s="356" t="s">
        <v>1645</v>
      </c>
      <c r="G59" s="1">
        <v>5</v>
      </c>
      <c r="H59" s="1" t="s">
        <v>828</v>
      </c>
      <c r="I59" s="337">
        <v>46153</v>
      </c>
      <c r="J59" s="337">
        <v>46160</v>
      </c>
      <c r="K59" s="353" t="s">
        <v>1647</v>
      </c>
    </row>
    <row r="60" spans="2:11" ht="16">
      <c r="B60" s="92">
        <f t="shared" si="3"/>
        <v>25</v>
      </c>
      <c r="C60" s="337">
        <v>46101</v>
      </c>
      <c r="D60" s="337" t="s">
        <v>1648</v>
      </c>
      <c r="E60" s="119" t="s">
        <v>1649</v>
      </c>
      <c r="F60" s="119" t="s">
        <v>1650</v>
      </c>
      <c r="G60" s="1">
        <v>2</v>
      </c>
      <c r="H60" s="1" t="s">
        <v>29</v>
      </c>
      <c r="I60" s="337">
        <v>46129</v>
      </c>
      <c r="J60" s="337">
        <v>46160</v>
      </c>
      <c r="K60" s="353" t="s">
        <v>1603</v>
      </c>
    </row>
    <row r="61" spans="2:11" ht="37.75" customHeight="1">
      <c r="B61" s="92">
        <f t="shared" si="3"/>
        <v>26</v>
      </c>
      <c r="C61" s="337">
        <v>46147</v>
      </c>
      <c r="D61" s="337" t="s">
        <v>1615</v>
      </c>
      <c r="E61" s="119" t="s">
        <v>1616</v>
      </c>
      <c r="F61" s="356" t="s">
        <v>1660</v>
      </c>
      <c r="G61" s="1">
        <v>6</v>
      </c>
      <c r="H61" s="1" t="s">
        <v>1129</v>
      </c>
      <c r="I61" s="337">
        <v>46153</v>
      </c>
      <c r="J61" s="337">
        <v>46161</v>
      </c>
      <c r="K61" s="353" t="s">
        <v>1661</v>
      </c>
    </row>
    <row r="62" spans="2:11" ht="32">
      <c r="B62" s="92">
        <f t="shared" si="3"/>
        <v>27</v>
      </c>
      <c r="C62" s="337">
        <v>46146</v>
      </c>
      <c r="D62" s="337" t="s">
        <v>1629</v>
      </c>
      <c r="E62" s="119" t="s">
        <v>1662</v>
      </c>
      <c r="F62" s="119" t="s">
        <v>1663</v>
      </c>
      <c r="G62" s="119">
        <v>1</v>
      </c>
      <c r="H62" s="338" t="s">
        <v>29</v>
      </c>
      <c r="I62" s="337">
        <v>46155</v>
      </c>
      <c r="J62" s="337">
        <v>46162</v>
      </c>
      <c r="K62" s="353" t="s">
        <v>1603</v>
      </c>
    </row>
    <row r="63" spans="2:11" ht="32">
      <c r="B63" s="92">
        <f t="shared" si="3"/>
        <v>28</v>
      </c>
      <c r="C63" s="337">
        <v>46149</v>
      </c>
      <c r="D63" s="339" t="s">
        <v>1632</v>
      </c>
      <c r="E63" s="119" t="s">
        <v>1633</v>
      </c>
      <c r="F63" s="356" t="s">
        <v>1664</v>
      </c>
      <c r="G63" s="119">
        <v>10</v>
      </c>
      <c r="H63" s="338" t="s">
        <v>29</v>
      </c>
      <c r="I63" s="337">
        <v>46155</v>
      </c>
      <c r="J63" s="337">
        <v>46162</v>
      </c>
      <c r="K63" s="353" t="s">
        <v>1665</v>
      </c>
    </row>
    <row r="64" spans="2:11" ht="45" customHeight="1">
      <c r="B64" s="92">
        <f t="shared" si="3"/>
        <v>29</v>
      </c>
      <c r="C64" s="337">
        <v>46242</v>
      </c>
      <c r="D64" s="339" t="s">
        <v>1666</v>
      </c>
      <c r="E64" s="119" t="s">
        <v>1667</v>
      </c>
      <c r="F64" s="356" t="s">
        <v>1668</v>
      </c>
      <c r="G64" s="119">
        <v>7</v>
      </c>
      <c r="H64" s="338" t="s">
        <v>29</v>
      </c>
      <c r="I64" s="337">
        <v>46157</v>
      </c>
      <c r="J64" s="337">
        <v>46163</v>
      </c>
      <c r="K64" s="353" t="s">
        <v>1669</v>
      </c>
    </row>
    <row r="65" spans="2:11" ht="32">
      <c r="B65" s="92">
        <f t="shared" si="3"/>
        <v>30</v>
      </c>
      <c r="C65" s="337">
        <v>46242</v>
      </c>
      <c r="D65" s="337" t="s">
        <v>1670</v>
      </c>
      <c r="E65" s="119" t="s">
        <v>1671</v>
      </c>
      <c r="F65" s="120" t="s">
        <v>1672</v>
      </c>
      <c r="G65" s="1" t="s">
        <v>17</v>
      </c>
      <c r="H65" s="356" t="s">
        <v>29</v>
      </c>
      <c r="I65" s="337">
        <v>46157</v>
      </c>
      <c r="J65" s="337">
        <v>46163</v>
      </c>
      <c r="K65" s="353" t="s">
        <v>1603</v>
      </c>
    </row>
    <row r="66" spans="2:11" ht="32">
      <c r="B66" s="92">
        <f t="shared" si="3"/>
        <v>31</v>
      </c>
      <c r="C66" s="337">
        <v>46153</v>
      </c>
      <c r="D66" s="337" t="s">
        <v>1673</v>
      </c>
      <c r="E66" s="119" t="s">
        <v>1674</v>
      </c>
      <c r="F66" s="356" t="s">
        <v>1675</v>
      </c>
      <c r="G66" s="1" t="s">
        <v>17</v>
      </c>
      <c r="H66" s="1" t="s">
        <v>29</v>
      </c>
      <c r="I66" s="337">
        <v>46157</v>
      </c>
      <c r="J66" s="337">
        <v>46163</v>
      </c>
      <c r="K66" s="353" t="s">
        <v>1603</v>
      </c>
    </row>
    <row r="67" spans="2:11" ht="48">
      <c r="B67" s="92">
        <f t="shared" si="3"/>
        <v>32</v>
      </c>
      <c r="C67" s="337">
        <v>46098</v>
      </c>
      <c r="D67" s="337" t="s">
        <v>1655</v>
      </c>
      <c r="E67" s="1" t="s">
        <v>1656</v>
      </c>
      <c r="F67" s="356" t="s">
        <v>1676</v>
      </c>
      <c r="G67" s="1">
        <v>3</v>
      </c>
      <c r="H67" s="1" t="s">
        <v>29</v>
      </c>
      <c r="I67" s="337">
        <v>46161</v>
      </c>
      <c r="J67" s="337">
        <v>46163</v>
      </c>
      <c r="K67" s="355" t="s">
        <v>1728</v>
      </c>
    </row>
    <row r="68" spans="2:11" ht="80">
      <c r="B68" s="92">
        <f t="shared" si="3"/>
        <v>33</v>
      </c>
      <c r="C68" s="337">
        <v>46098</v>
      </c>
      <c r="D68" s="1" t="s">
        <v>1652</v>
      </c>
      <c r="E68" s="119" t="s">
        <v>1677</v>
      </c>
      <c r="F68" s="1" t="s">
        <v>1678</v>
      </c>
      <c r="G68" s="1">
        <v>4</v>
      </c>
      <c r="H68" s="1" t="s">
        <v>29</v>
      </c>
      <c r="I68" s="337">
        <v>46161</v>
      </c>
      <c r="J68" s="337">
        <v>46163</v>
      </c>
      <c r="K68" s="355" t="s">
        <v>1679</v>
      </c>
    </row>
    <row r="69" spans="2:11" ht="48">
      <c r="B69" s="92">
        <f t="shared" si="3"/>
        <v>34</v>
      </c>
      <c r="C69" s="339">
        <v>46155</v>
      </c>
      <c r="D69" s="337" t="s">
        <v>1715</v>
      </c>
      <c r="E69" s="1" t="s">
        <v>1657</v>
      </c>
      <c r="F69" s="1" t="s">
        <v>1691</v>
      </c>
      <c r="G69" s="1">
        <v>7</v>
      </c>
      <c r="H69" s="1" t="s">
        <v>29</v>
      </c>
      <c r="I69" s="337">
        <v>46161</v>
      </c>
      <c r="J69" s="337">
        <v>46164</v>
      </c>
      <c r="K69" s="355" t="s">
        <v>1711</v>
      </c>
    </row>
    <row r="70" spans="2:11" ht="48">
      <c r="B70" s="92">
        <f t="shared" si="3"/>
        <v>35</v>
      </c>
      <c r="C70" s="339">
        <v>46112</v>
      </c>
      <c r="D70" s="1" t="s">
        <v>1692</v>
      </c>
      <c r="E70" s="1" t="s">
        <v>1693</v>
      </c>
      <c r="F70" s="1" t="s">
        <v>1694</v>
      </c>
      <c r="G70" s="1">
        <v>8</v>
      </c>
      <c r="H70" s="1" t="s">
        <v>29</v>
      </c>
      <c r="I70" s="337">
        <v>46129</v>
      </c>
      <c r="J70" s="337">
        <v>46167</v>
      </c>
      <c r="K70" s="355" t="s">
        <v>1695</v>
      </c>
    </row>
    <row r="71" spans="2:11" ht="48">
      <c r="B71" s="92">
        <f t="shared" si="3"/>
        <v>36</v>
      </c>
      <c r="C71" s="339">
        <v>46149</v>
      </c>
      <c r="D71" s="337" t="s">
        <v>1628</v>
      </c>
      <c r="E71" s="1" t="s">
        <v>1696</v>
      </c>
      <c r="F71" s="358" t="s">
        <v>1697</v>
      </c>
      <c r="G71" s="1">
        <v>2</v>
      </c>
      <c r="H71" s="356" t="s">
        <v>29</v>
      </c>
      <c r="I71" s="337">
        <v>46155</v>
      </c>
      <c r="J71" s="337">
        <v>46167</v>
      </c>
      <c r="K71" s="353" t="s">
        <v>1698</v>
      </c>
    </row>
    <row r="72" spans="2:11" ht="80">
      <c r="B72" s="92">
        <f t="shared" si="3"/>
        <v>37</v>
      </c>
      <c r="C72" s="339">
        <v>46148</v>
      </c>
      <c r="D72" s="337" t="s">
        <v>1708</v>
      </c>
      <c r="E72" s="1" t="s">
        <v>1688</v>
      </c>
      <c r="F72" s="356" t="s">
        <v>1709</v>
      </c>
      <c r="G72" s="1">
        <v>1</v>
      </c>
      <c r="H72" s="336" t="s">
        <v>29</v>
      </c>
      <c r="I72" s="337">
        <v>46164</v>
      </c>
      <c r="J72" s="337">
        <v>46168</v>
      </c>
      <c r="K72" s="355" t="s">
        <v>1710</v>
      </c>
    </row>
    <row r="73" spans="2:11" ht="32">
      <c r="B73" s="92">
        <f t="shared" si="3"/>
        <v>38</v>
      </c>
      <c r="C73" s="339">
        <v>46160</v>
      </c>
      <c r="D73" s="337" t="s">
        <v>1680</v>
      </c>
      <c r="E73" s="1" t="s">
        <v>1712</v>
      </c>
      <c r="F73" s="119" t="s">
        <v>1713</v>
      </c>
      <c r="G73" s="119">
        <v>3</v>
      </c>
      <c r="H73" s="119" t="s">
        <v>29</v>
      </c>
      <c r="I73" s="337">
        <v>46164</v>
      </c>
      <c r="J73" s="337">
        <v>46169</v>
      </c>
      <c r="K73" s="355" t="s">
        <v>1714</v>
      </c>
    </row>
    <row r="74" spans="2:11" ht="27" customHeight="1">
      <c r="B74" s="92">
        <f t="shared" si="3"/>
        <v>39</v>
      </c>
      <c r="C74" s="337">
        <v>46161</v>
      </c>
      <c r="D74" s="339" t="s">
        <v>1683</v>
      </c>
      <c r="E74" s="119" t="s">
        <v>1726</v>
      </c>
      <c r="F74" s="338" t="s">
        <v>1727</v>
      </c>
      <c r="G74" s="119">
        <v>8</v>
      </c>
      <c r="H74" s="119" t="s">
        <v>29</v>
      </c>
      <c r="I74" s="337">
        <v>46164</v>
      </c>
      <c r="J74" s="337">
        <v>46170</v>
      </c>
      <c r="K74" s="355" t="s">
        <v>1603</v>
      </c>
    </row>
    <row r="75" spans="2:11" ht="54" customHeight="1">
      <c r="B75" s="92">
        <f t="shared" si="3"/>
        <v>40</v>
      </c>
      <c r="C75" s="337">
        <v>46104</v>
      </c>
      <c r="D75" s="1" t="s">
        <v>1702</v>
      </c>
      <c r="E75" s="1" t="s">
        <v>1703</v>
      </c>
      <c r="F75" s="1" t="s">
        <v>1729</v>
      </c>
      <c r="G75" s="1"/>
      <c r="H75" s="1"/>
      <c r="I75" s="337">
        <v>46168</v>
      </c>
      <c r="J75" s="337">
        <v>46170</v>
      </c>
      <c r="K75" s="355" t="s">
        <v>1730</v>
      </c>
    </row>
    <row r="76" spans="2:11" ht="64">
      <c r="B76" s="92">
        <f t="shared" si="3"/>
        <v>41</v>
      </c>
      <c r="C76" s="342">
        <v>46247</v>
      </c>
      <c r="D76" s="337" t="s">
        <v>1753</v>
      </c>
      <c r="E76" s="357" t="s">
        <v>1607</v>
      </c>
      <c r="F76" s="357" t="s">
        <v>1755</v>
      </c>
      <c r="G76" s="1">
        <v>1</v>
      </c>
      <c r="H76" s="1" t="s">
        <v>29</v>
      </c>
      <c r="I76" s="342">
        <v>46147</v>
      </c>
      <c r="J76" s="337">
        <v>46171</v>
      </c>
      <c r="K76" s="353" t="s">
        <v>1754</v>
      </c>
    </row>
    <row r="77" spans="2:11" ht="60" customHeight="1">
      <c r="B77" s="190">
        <f t="shared" si="3"/>
        <v>42</v>
      </c>
      <c r="C77" s="343">
        <v>46111</v>
      </c>
      <c r="D77" s="344" t="s">
        <v>1756</v>
      </c>
      <c r="E77" s="119" t="s">
        <v>1757</v>
      </c>
      <c r="F77" s="338" t="s">
        <v>1574</v>
      </c>
      <c r="G77" s="296" t="s">
        <v>17</v>
      </c>
      <c r="H77" s="119" t="s">
        <v>1163</v>
      </c>
      <c r="I77" s="344">
        <v>46149</v>
      </c>
      <c r="J77" s="345">
        <v>46171</v>
      </c>
      <c r="K77" s="340" t="s">
        <v>1758</v>
      </c>
    </row>
    <row r="78" spans="2:11" ht="33" customHeight="1">
      <c r="B78" s="190">
        <f t="shared" si="3"/>
        <v>43</v>
      </c>
      <c r="C78" s="133">
        <v>46264</v>
      </c>
      <c r="D78" s="13" t="s">
        <v>1759</v>
      </c>
      <c r="E78" s="54" t="s">
        <v>1760</v>
      </c>
      <c r="F78" s="9" t="s">
        <v>1650</v>
      </c>
      <c r="G78" s="8">
        <v>10</v>
      </c>
      <c r="H78" s="8" t="s">
        <v>29</v>
      </c>
      <c r="I78" s="131">
        <v>45607</v>
      </c>
      <c r="J78" s="322">
        <v>46171</v>
      </c>
      <c r="K78" s="132" t="s">
        <v>1761</v>
      </c>
    </row>
    <row r="79" spans="2:11" ht="16" thickBot="1">
      <c r="C79" s="133"/>
      <c r="D79" s="107"/>
      <c r="E79" s="54"/>
      <c r="F79" s="1"/>
      <c r="G79" s="8">
        <v>3</v>
      </c>
      <c r="H79" s="8" t="s">
        <v>29</v>
      </c>
      <c r="I79" s="13"/>
      <c r="J79" s="322"/>
      <c r="K79" s="24"/>
    </row>
    <row r="80" spans="2:11" ht="16" hidden="1" thickBot="1">
      <c r="B80" s="295" t="e">
        <f>#REF!+1</f>
        <v>#REF!</v>
      </c>
    </row>
    <row r="81" spans="2:11" ht="16" hidden="1" thickBot="1">
      <c r="B81" s="295" t="e">
        <f t="shared" ref="B81:B106" si="4">B80+1</f>
        <v>#REF!</v>
      </c>
    </row>
    <row r="82" spans="2:11" ht="16" hidden="1" thickBot="1">
      <c r="B82" s="295" t="e">
        <f t="shared" si="4"/>
        <v>#REF!</v>
      </c>
    </row>
    <row r="83" spans="2:11" ht="16" hidden="1" thickBot="1">
      <c r="B83" s="295" t="e">
        <f t="shared" si="4"/>
        <v>#REF!</v>
      </c>
    </row>
    <row r="84" spans="2:11" ht="16" hidden="1" thickBot="1">
      <c r="B84" s="190" t="e">
        <f t="shared" si="4"/>
        <v>#REF!</v>
      </c>
      <c r="C84" s="274"/>
      <c r="D84" s="13"/>
      <c r="E84" s="14"/>
      <c r="F84" s="1"/>
      <c r="G84" s="8"/>
      <c r="H84" s="8"/>
      <c r="I84" s="13"/>
      <c r="J84" s="323"/>
      <c r="K84" s="24"/>
    </row>
    <row r="85" spans="2:11" ht="16" hidden="1" thickBot="1">
      <c r="B85" s="190" t="e">
        <f t="shared" si="4"/>
        <v>#REF!</v>
      </c>
      <c r="C85" s="274"/>
      <c r="D85" s="13"/>
      <c r="E85" s="14"/>
      <c r="F85" s="9"/>
      <c r="G85" s="8"/>
      <c r="H85" s="8"/>
      <c r="I85" s="13"/>
      <c r="J85" s="323"/>
      <c r="K85" s="24"/>
    </row>
    <row r="86" spans="2:11" ht="16" hidden="1" thickBot="1">
      <c r="B86" s="190" t="e">
        <f t="shared" si="4"/>
        <v>#REF!</v>
      </c>
      <c r="C86" s="274"/>
      <c r="D86" s="13"/>
      <c r="E86" s="14"/>
      <c r="F86" s="9"/>
      <c r="G86" s="8"/>
      <c r="H86" s="8"/>
      <c r="I86" s="13"/>
      <c r="J86" s="323"/>
      <c r="K86" s="24"/>
    </row>
    <row r="87" spans="2:11" ht="16" hidden="1" thickBot="1">
      <c r="B87" s="190" t="e">
        <f t="shared" si="4"/>
        <v>#REF!</v>
      </c>
      <c r="C87" s="291"/>
      <c r="D87" s="13"/>
      <c r="E87" s="14"/>
      <c r="F87" s="9"/>
      <c r="G87" s="8"/>
      <c r="H87" s="8"/>
      <c r="I87" s="13"/>
      <c r="J87" s="323"/>
      <c r="K87" s="24"/>
    </row>
    <row r="88" spans="2:11" ht="16" hidden="1" thickBot="1">
      <c r="B88" s="190" t="e">
        <f t="shared" si="4"/>
        <v>#REF!</v>
      </c>
      <c r="C88" s="23"/>
      <c r="D88" s="13"/>
      <c r="E88" s="14"/>
      <c r="F88" s="9"/>
      <c r="G88" s="8"/>
      <c r="H88" s="8"/>
      <c r="I88" s="13"/>
      <c r="J88" s="323"/>
      <c r="K88" s="24"/>
    </row>
    <row r="89" spans="2:11" ht="16" hidden="1" thickBot="1">
      <c r="B89" s="190" t="e">
        <f t="shared" si="4"/>
        <v>#REF!</v>
      </c>
      <c r="C89" s="23"/>
      <c r="D89" s="13"/>
      <c r="E89" s="14"/>
      <c r="F89" s="9"/>
      <c r="G89" s="8"/>
      <c r="H89" s="8"/>
      <c r="I89" s="13"/>
      <c r="J89" s="323"/>
      <c r="K89" s="24"/>
    </row>
    <row r="90" spans="2:11" ht="16" hidden="1" thickBot="1">
      <c r="B90" s="190" t="e">
        <f t="shared" si="4"/>
        <v>#REF!</v>
      </c>
      <c r="C90" s="23"/>
      <c r="D90" s="13"/>
      <c r="E90" s="14"/>
      <c r="F90" s="9"/>
      <c r="G90" s="8"/>
      <c r="H90" s="8"/>
      <c r="I90" s="13"/>
      <c r="J90" s="323"/>
      <c r="K90" s="24"/>
    </row>
    <row r="91" spans="2:11" ht="16" hidden="1" thickBot="1">
      <c r="B91" s="190" t="e">
        <f t="shared" si="4"/>
        <v>#REF!</v>
      </c>
      <c r="C91" s="23"/>
      <c r="D91" s="13"/>
      <c r="E91" s="13"/>
      <c r="F91" s="9"/>
      <c r="G91" s="8"/>
      <c r="H91" s="8"/>
      <c r="I91" s="13"/>
      <c r="J91" s="323"/>
      <c r="K91" s="24"/>
    </row>
    <row r="92" spans="2:11" ht="16" hidden="1" thickBot="1">
      <c r="B92" s="190" t="e">
        <f t="shared" si="4"/>
        <v>#REF!</v>
      </c>
      <c r="C92" s="219"/>
      <c r="D92" s="13"/>
      <c r="E92" s="14"/>
      <c r="F92" s="9"/>
      <c r="G92" s="8"/>
      <c r="H92" s="8"/>
      <c r="I92" s="13"/>
      <c r="J92" s="323"/>
      <c r="K92" s="24"/>
    </row>
    <row r="93" spans="2:11" ht="16" hidden="1" thickBot="1">
      <c r="B93" s="190" t="e">
        <f t="shared" si="4"/>
        <v>#REF!</v>
      </c>
      <c r="C93" s="23"/>
      <c r="D93" s="13"/>
      <c r="E93" s="14"/>
      <c r="F93" s="9"/>
      <c r="G93" s="8"/>
      <c r="H93" s="8"/>
      <c r="I93" s="13"/>
      <c r="J93" s="323"/>
      <c r="K93" s="24"/>
    </row>
    <row r="94" spans="2:11" ht="16" hidden="1" thickBot="1">
      <c r="B94" s="190" t="e">
        <f t="shared" si="4"/>
        <v>#REF!</v>
      </c>
      <c r="C94" s="23"/>
      <c r="D94" s="13"/>
      <c r="E94" s="14"/>
      <c r="F94" s="9"/>
      <c r="G94" s="8"/>
      <c r="H94" s="8"/>
      <c r="I94" s="13"/>
      <c r="J94" s="323"/>
      <c r="K94" s="24"/>
    </row>
    <row r="95" spans="2:11" ht="16" hidden="1" thickBot="1">
      <c r="B95" s="190" t="e">
        <f t="shared" si="4"/>
        <v>#REF!</v>
      </c>
      <c r="C95" s="23"/>
      <c r="D95" s="13"/>
      <c r="E95" s="14"/>
      <c r="F95" s="9"/>
      <c r="G95" s="8"/>
      <c r="H95" s="8"/>
      <c r="I95" s="13"/>
      <c r="J95" s="323"/>
      <c r="K95" s="24"/>
    </row>
    <row r="96" spans="2:11" ht="16" hidden="1" thickBot="1">
      <c r="B96" s="190" t="e">
        <f t="shared" si="4"/>
        <v>#REF!</v>
      </c>
      <c r="C96" s="23"/>
      <c r="D96" s="13"/>
      <c r="E96" s="14"/>
      <c r="F96" s="9"/>
      <c r="G96" s="8"/>
      <c r="H96" s="8"/>
      <c r="I96" s="13"/>
      <c r="J96" s="323"/>
      <c r="K96" s="24"/>
    </row>
    <row r="97" spans="2:11" ht="16" hidden="1" thickBot="1">
      <c r="B97" s="190" t="e">
        <f t="shared" si="4"/>
        <v>#REF!</v>
      </c>
      <c r="C97" s="23"/>
      <c r="D97" s="13"/>
      <c r="E97" s="14"/>
      <c r="F97" s="9"/>
      <c r="G97" s="8"/>
      <c r="H97" s="8"/>
      <c r="I97" s="13"/>
      <c r="J97" s="323"/>
      <c r="K97" s="24"/>
    </row>
    <row r="98" spans="2:11" ht="16" hidden="1" thickBot="1">
      <c r="B98" s="190" t="e">
        <f t="shared" si="4"/>
        <v>#REF!</v>
      </c>
      <c r="C98" s="23"/>
      <c r="D98" s="13"/>
      <c r="E98" s="14"/>
      <c r="F98" s="9"/>
      <c r="G98" s="8"/>
      <c r="H98" s="8"/>
      <c r="I98" s="13"/>
      <c r="J98" s="323"/>
      <c r="K98" s="24"/>
    </row>
    <row r="99" spans="2:11" ht="16" hidden="1" thickBot="1">
      <c r="B99" s="190" t="e">
        <f t="shared" si="4"/>
        <v>#REF!</v>
      </c>
      <c r="C99" s="23"/>
      <c r="D99" s="13"/>
      <c r="E99" s="14"/>
      <c r="F99" s="9"/>
      <c r="G99" s="8"/>
      <c r="H99" s="8"/>
      <c r="I99" s="13"/>
      <c r="J99" s="323"/>
      <c r="K99" s="24"/>
    </row>
    <row r="100" spans="2:11" ht="16" hidden="1" thickBot="1">
      <c r="B100" s="190" t="e">
        <f t="shared" si="4"/>
        <v>#REF!</v>
      </c>
      <c r="C100" s="23"/>
      <c r="D100" s="13"/>
      <c r="E100" s="14"/>
      <c r="F100" s="203"/>
      <c r="G100" s="8"/>
      <c r="H100" s="14"/>
      <c r="I100" s="13"/>
      <c r="J100" s="323"/>
      <c r="K100" s="24"/>
    </row>
    <row r="101" spans="2:11" ht="16" hidden="1" thickBot="1">
      <c r="B101" s="190" t="e">
        <f t="shared" si="4"/>
        <v>#REF!</v>
      </c>
      <c r="C101" s="23"/>
      <c r="D101" s="13"/>
      <c r="E101" s="14"/>
      <c r="F101" s="9"/>
      <c r="G101" s="8"/>
      <c r="H101" s="8"/>
      <c r="I101" s="13"/>
      <c r="J101" s="323"/>
      <c r="K101" s="24"/>
    </row>
    <row r="102" spans="2:11" ht="16" hidden="1" thickBot="1">
      <c r="B102" s="190" t="e">
        <f t="shared" si="4"/>
        <v>#REF!</v>
      </c>
      <c r="C102" s="23"/>
      <c r="D102" s="13"/>
      <c r="E102" s="14"/>
      <c r="F102" s="9"/>
      <c r="G102" s="8"/>
      <c r="H102" s="8"/>
      <c r="I102" s="13"/>
      <c r="J102" s="323"/>
      <c r="K102" s="24"/>
    </row>
    <row r="103" spans="2:11" ht="16" hidden="1" thickBot="1">
      <c r="B103" s="190" t="e">
        <f t="shared" si="4"/>
        <v>#REF!</v>
      </c>
      <c r="C103" s="23"/>
      <c r="D103" s="13"/>
      <c r="E103" s="14"/>
      <c r="F103" s="9"/>
      <c r="G103" s="8"/>
      <c r="H103" s="8"/>
      <c r="I103" s="13"/>
      <c r="J103" s="323"/>
      <c r="K103" s="24"/>
    </row>
    <row r="104" spans="2:11" ht="16" hidden="1" thickBot="1">
      <c r="B104" s="190" t="e">
        <f t="shared" si="4"/>
        <v>#REF!</v>
      </c>
      <c r="C104" s="23"/>
      <c r="D104" s="13"/>
      <c r="E104" s="14"/>
      <c r="F104" s="9"/>
      <c r="G104" s="8"/>
      <c r="H104" s="8"/>
      <c r="I104" s="13"/>
      <c r="J104" s="323"/>
      <c r="K104" s="24"/>
    </row>
    <row r="105" spans="2:11" ht="16" hidden="1" thickBot="1">
      <c r="B105" s="190" t="e">
        <f t="shared" si="4"/>
        <v>#REF!</v>
      </c>
      <c r="C105" s="23"/>
      <c r="D105" s="13"/>
      <c r="E105" s="14"/>
      <c r="F105" s="9"/>
      <c r="G105" s="8"/>
      <c r="H105" s="8"/>
      <c r="I105" s="13"/>
      <c r="J105" s="323"/>
      <c r="K105" s="24"/>
    </row>
    <row r="106" spans="2:11" ht="16" hidden="1" thickBot="1">
      <c r="B106" s="190" t="e">
        <f t="shared" si="4"/>
        <v>#REF!</v>
      </c>
      <c r="C106" s="23"/>
      <c r="D106" s="13"/>
      <c r="E106" s="14"/>
      <c r="F106" s="9"/>
      <c r="G106" s="8"/>
      <c r="H106" s="8"/>
      <c r="I106" s="13"/>
      <c r="J106" s="323"/>
      <c r="K106" s="24"/>
    </row>
    <row r="107" spans="2:11" ht="22" thickBot="1">
      <c r="B107" s="367" t="s">
        <v>30</v>
      </c>
      <c r="C107" s="368"/>
      <c r="D107" s="368"/>
      <c r="E107" s="369"/>
      <c r="F107" s="370" t="s">
        <v>1762</v>
      </c>
      <c r="G107" s="371"/>
      <c r="H107" s="371"/>
      <c r="I107" s="371"/>
      <c r="J107" s="371"/>
      <c r="K107" s="372"/>
    </row>
    <row r="108" spans="2:11" s="31" customFormat="1"/>
    <row r="109" spans="2:11" s="31" customFormat="1"/>
    <row r="111" spans="2:11" ht="16" thickBot="1"/>
    <row r="112" spans="2:11" ht="25" thickBot="1">
      <c r="B112" s="364" t="s">
        <v>1513</v>
      </c>
      <c r="C112" s="365"/>
      <c r="D112" s="365"/>
      <c r="E112" s="365"/>
      <c r="F112" s="365"/>
      <c r="G112" s="365"/>
      <c r="H112" s="365"/>
      <c r="I112" s="365"/>
      <c r="J112" s="365"/>
      <c r="K112" s="366"/>
    </row>
    <row r="113" spans="2:11" ht="46" thickBot="1">
      <c r="B113" s="79" t="s">
        <v>12</v>
      </c>
      <c r="C113" s="79" t="s">
        <v>22</v>
      </c>
      <c r="D113" s="80" t="s">
        <v>14</v>
      </c>
      <c r="E113" s="80" t="s">
        <v>23</v>
      </c>
      <c r="F113" s="80" t="s">
        <v>24</v>
      </c>
      <c r="G113" s="80" t="s">
        <v>20</v>
      </c>
      <c r="H113" s="80" t="s">
        <v>25</v>
      </c>
      <c r="I113" s="81" t="s">
        <v>26</v>
      </c>
      <c r="J113" s="116" t="s">
        <v>1830</v>
      </c>
      <c r="K113" s="82" t="s">
        <v>27</v>
      </c>
    </row>
    <row r="114" spans="2:11" ht="19" customHeight="1">
      <c r="B114" s="216">
        <v>1</v>
      </c>
      <c r="C114" s="133">
        <v>46162</v>
      </c>
      <c r="D114" s="131" t="s">
        <v>1699</v>
      </c>
      <c r="E114" s="54" t="s">
        <v>1769</v>
      </c>
      <c r="F114" s="58" t="s">
        <v>1770</v>
      </c>
      <c r="G114" s="92"/>
      <c r="H114" s="93"/>
      <c r="I114" s="131">
        <v>46168</v>
      </c>
      <c r="J114" s="323">
        <v>46174</v>
      </c>
      <c r="K114" s="132" t="s">
        <v>1749</v>
      </c>
    </row>
    <row r="115" spans="2:11" ht="30">
      <c r="B115" s="190">
        <f>B114+1</f>
        <v>2</v>
      </c>
      <c r="C115" s="133">
        <v>46367</v>
      </c>
      <c r="D115" s="131" t="s">
        <v>1772</v>
      </c>
      <c r="E115" s="209" t="s">
        <v>1723</v>
      </c>
      <c r="F115" s="119" t="s">
        <v>1773</v>
      </c>
      <c r="G115" s="92"/>
      <c r="H115" s="92"/>
      <c r="I115" s="131">
        <v>46170</v>
      </c>
      <c r="J115" s="323">
        <v>46175</v>
      </c>
      <c r="K115" s="132" t="s">
        <v>1774</v>
      </c>
    </row>
    <row r="116" spans="2:11" ht="30">
      <c r="B116" s="190">
        <f t="shared" ref="B116:B164" si="5">B115+1</f>
        <v>3</v>
      </c>
      <c r="C116" s="133">
        <v>46160</v>
      </c>
      <c r="D116" s="133" t="s">
        <v>1784</v>
      </c>
      <c r="E116" s="209" t="s">
        <v>1785</v>
      </c>
      <c r="F116" s="93" t="s">
        <v>1786</v>
      </c>
      <c r="G116" s="92"/>
      <c r="H116" s="54"/>
      <c r="I116" s="131">
        <v>46170</v>
      </c>
      <c r="J116" s="323">
        <v>46176</v>
      </c>
      <c r="K116" s="132" t="s">
        <v>1787</v>
      </c>
    </row>
    <row r="117" spans="2:11" ht="30">
      <c r="B117" s="190">
        <f t="shared" si="5"/>
        <v>4</v>
      </c>
      <c r="C117" s="133">
        <v>46160</v>
      </c>
      <c r="D117" s="133" t="s">
        <v>1719</v>
      </c>
      <c r="E117" s="209" t="s">
        <v>1785</v>
      </c>
      <c r="F117" s="93" t="s">
        <v>1786</v>
      </c>
      <c r="G117" s="92"/>
      <c r="H117" s="54"/>
      <c r="I117" s="131">
        <v>46170</v>
      </c>
      <c r="J117" s="323">
        <v>46176</v>
      </c>
      <c r="K117" s="132" t="s">
        <v>1788</v>
      </c>
    </row>
    <row r="118" spans="2:11" ht="30">
      <c r="B118" s="190">
        <f t="shared" si="5"/>
        <v>5</v>
      </c>
      <c r="C118" s="133">
        <v>46169</v>
      </c>
      <c r="D118" s="133" t="s">
        <v>1763</v>
      </c>
      <c r="E118" s="209" t="s">
        <v>1789</v>
      </c>
      <c r="F118" s="93" t="s">
        <v>1790</v>
      </c>
      <c r="G118" s="92"/>
      <c r="H118" s="54"/>
      <c r="I118" s="131">
        <v>46174</v>
      </c>
      <c r="J118" s="323">
        <v>46177</v>
      </c>
      <c r="K118" s="132" t="s">
        <v>1791</v>
      </c>
    </row>
    <row r="119" spans="2:11" ht="45">
      <c r="B119" s="190">
        <f t="shared" si="5"/>
        <v>6</v>
      </c>
      <c r="C119" s="133">
        <v>46169</v>
      </c>
      <c r="D119" s="133" t="s">
        <v>1766</v>
      </c>
      <c r="E119" s="209" t="s">
        <v>1792</v>
      </c>
      <c r="F119" s="93" t="s">
        <v>1793</v>
      </c>
      <c r="G119" s="92"/>
      <c r="H119" s="54"/>
      <c r="I119" s="131">
        <v>46174</v>
      </c>
      <c r="J119" s="323">
        <v>46177</v>
      </c>
      <c r="K119" s="132" t="s">
        <v>1794</v>
      </c>
    </row>
    <row r="120" spans="2:11" ht="30">
      <c r="B120" s="190">
        <f t="shared" si="5"/>
        <v>7</v>
      </c>
      <c r="C120" s="133">
        <v>46154</v>
      </c>
      <c r="D120" s="133" t="s">
        <v>1776</v>
      </c>
      <c r="E120" s="209" t="s">
        <v>1777</v>
      </c>
      <c r="F120" s="93" t="s">
        <v>1795</v>
      </c>
      <c r="G120" s="92"/>
      <c r="H120" s="54"/>
      <c r="I120" s="131">
        <v>46176</v>
      </c>
      <c r="J120" s="323">
        <v>46177</v>
      </c>
      <c r="K120" s="132" t="s">
        <v>1796</v>
      </c>
    </row>
    <row r="121" spans="2:11" ht="30">
      <c r="B121" s="190">
        <f t="shared" si="5"/>
        <v>8</v>
      </c>
      <c r="C121" s="133">
        <v>46140</v>
      </c>
      <c r="D121" s="133" t="s">
        <v>1775</v>
      </c>
      <c r="E121" s="209" t="s">
        <v>1779</v>
      </c>
      <c r="F121" s="93" t="s">
        <v>1797</v>
      </c>
      <c r="G121" s="92"/>
      <c r="H121" s="54"/>
      <c r="I121" s="131">
        <v>46176</v>
      </c>
      <c r="J121" s="323">
        <v>46177</v>
      </c>
      <c r="K121" s="132" t="s">
        <v>1798</v>
      </c>
    </row>
    <row r="122" spans="2:11">
      <c r="B122" s="190">
        <f t="shared" si="5"/>
        <v>9</v>
      </c>
      <c r="C122" s="133">
        <v>46168</v>
      </c>
      <c r="D122" s="133" t="s">
        <v>1805</v>
      </c>
      <c r="E122" s="209" t="s">
        <v>1806</v>
      </c>
      <c r="F122" s="93" t="s">
        <v>1807</v>
      </c>
      <c r="G122" s="92"/>
      <c r="H122" s="54"/>
      <c r="I122" s="131">
        <v>46176</v>
      </c>
      <c r="J122" s="323">
        <v>46178</v>
      </c>
      <c r="K122" s="132" t="s">
        <v>1603</v>
      </c>
    </row>
    <row r="123" spans="2:11" ht="30">
      <c r="B123" s="190">
        <f t="shared" si="5"/>
        <v>10</v>
      </c>
      <c r="C123" s="133">
        <v>46154</v>
      </c>
      <c r="D123" s="133" t="s">
        <v>1781</v>
      </c>
      <c r="E123" s="209" t="s">
        <v>1806</v>
      </c>
      <c r="F123" s="93" t="s">
        <v>1807</v>
      </c>
      <c r="G123" s="92"/>
      <c r="H123" s="54"/>
      <c r="I123" s="131">
        <v>46176</v>
      </c>
      <c r="J123" s="323">
        <v>46178</v>
      </c>
      <c r="K123" s="132" t="s">
        <v>1808</v>
      </c>
    </row>
    <row r="124" spans="2:11" ht="27" customHeight="1">
      <c r="B124" s="190">
        <f t="shared" si="5"/>
        <v>11</v>
      </c>
      <c r="C124" s="133">
        <v>46176</v>
      </c>
      <c r="D124" s="133" t="s">
        <v>1799</v>
      </c>
      <c r="E124" s="209" t="s">
        <v>1800</v>
      </c>
      <c r="F124" s="93" t="s">
        <v>1809</v>
      </c>
      <c r="G124" s="92"/>
      <c r="H124" s="54"/>
      <c r="I124" s="131">
        <v>46178</v>
      </c>
      <c r="J124" s="131">
        <v>46178</v>
      </c>
      <c r="K124" s="132" t="s">
        <v>1810</v>
      </c>
    </row>
    <row r="125" spans="2:11" ht="48" customHeight="1">
      <c r="B125" s="190">
        <f t="shared" si="5"/>
        <v>12</v>
      </c>
      <c r="C125" s="362">
        <v>46181</v>
      </c>
      <c r="D125" s="133" t="s">
        <v>1812</v>
      </c>
      <c r="E125" s="209" t="s">
        <v>1821</v>
      </c>
      <c r="F125" s="93" t="s">
        <v>1822</v>
      </c>
      <c r="G125" s="92"/>
      <c r="H125" s="54"/>
      <c r="I125" s="131">
        <v>46182</v>
      </c>
      <c r="J125" s="323">
        <v>46183</v>
      </c>
      <c r="K125" s="132" t="s">
        <v>1823</v>
      </c>
    </row>
    <row r="126" spans="2:11">
      <c r="B126" s="190">
        <f t="shared" si="5"/>
        <v>13</v>
      </c>
      <c r="C126" s="133">
        <v>46066</v>
      </c>
      <c r="D126" s="133" t="s">
        <v>1824</v>
      </c>
      <c r="E126" s="209" t="s">
        <v>1825</v>
      </c>
      <c r="F126" s="93" t="s">
        <v>1826</v>
      </c>
      <c r="G126" s="92"/>
      <c r="H126" s="54"/>
      <c r="I126" s="131">
        <v>46182</v>
      </c>
      <c r="J126" s="323">
        <v>46183</v>
      </c>
      <c r="K126" s="132" t="s">
        <v>1749</v>
      </c>
    </row>
    <row r="127" spans="2:11" ht="30">
      <c r="B127" s="190">
        <f t="shared" si="5"/>
        <v>14</v>
      </c>
      <c r="C127" s="133">
        <v>46181</v>
      </c>
      <c r="D127" s="133" t="s">
        <v>1816</v>
      </c>
      <c r="E127" s="209" t="s">
        <v>1827</v>
      </c>
      <c r="F127" s="93" t="s">
        <v>1828</v>
      </c>
      <c r="G127" s="92"/>
      <c r="H127" s="54"/>
      <c r="I127" s="131">
        <v>46182</v>
      </c>
      <c r="J127" s="323">
        <v>46183</v>
      </c>
      <c r="K127" s="132" t="s">
        <v>1829</v>
      </c>
    </row>
    <row r="128" spans="2:11" ht="30">
      <c r="B128" s="190">
        <f t="shared" si="5"/>
        <v>15</v>
      </c>
      <c r="C128" s="236">
        <v>45912</v>
      </c>
      <c r="D128" s="236" t="s">
        <v>1841</v>
      </c>
      <c r="E128" s="209" t="s">
        <v>1842</v>
      </c>
      <c r="F128" s="93" t="s">
        <v>1843</v>
      </c>
      <c r="I128" s="131">
        <v>46188</v>
      </c>
      <c r="J128" s="323">
        <v>46189</v>
      </c>
      <c r="K128" s="132" t="s">
        <v>1848</v>
      </c>
    </row>
    <row r="129" spans="2:22" ht="30">
      <c r="B129" s="190">
        <f t="shared" si="5"/>
        <v>16</v>
      </c>
      <c r="C129" s="236">
        <v>45912</v>
      </c>
      <c r="D129" s="236" t="s">
        <v>1845</v>
      </c>
      <c r="E129" s="209" t="s">
        <v>1846</v>
      </c>
      <c r="F129" s="93" t="s">
        <v>1843</v>
      </c>
      <c r="G129" s="92"/>
      <c r="H129" s="54"/>
      <c r="I129" s="131">
        <v>46188</v>
      </c>
      <c r="J129" s="323">
        <v>46189</v>
      </c>
      <c r="K129" s="132" t="s">
        <v>1848</v>
      </c>
    </row>
    <row r="130" spans="2:22" ht="30">
      <c r="B130" s="190">
        <f t="shared" si="5"/>
        <v>17</v>
      </c>
      <c r="C130" s="236">
        <v>45912</v>
      </c>
      <c r="D130" s="236" t="s">
        <v>1837</v>
      </c>
      <c r="E130" s="209" t="s">
        <v>1847</v>
      </c>
      <c r="F130" s="93" t="s">
        <v>1843</v>
      </c>
      <c r="G130" s="92"/>
      <c r="H130" s="54"/>
      <c r="I130" s="131">
        <v>46188</v>
      </c>
      <c r="J130" s="323">
        <v>46189</v>
      </c>
      <c r="K130" s="132" t="s">
        <v>1848</v>
      </c>
    </row>
    <row r="131" spans="2:22" ht="30">
      <c r="B131" s="190">
        <f t="shared" si="5"/>
        <v>18</v>
      </c>
      <c r="C131" s="236">
        <v>46163</v>
      </c>
      <c r="D131" s="236" t="s">
        <v>1838</v>
      </c>
      <c r="E131" s="209" t="s">
        <v>1839</v>
      </c>
      <c r="F131" s="93" t="s">
        <v>1690</v>
      </c>
      <c r="G131" s="92"/>
      <c r="H131" s="54"/>
      <c r="I131" s="131">
        <v>46135</v>
      </c>
      <c r="J131" s="323">
        <v>46189</v>
      </c>
      <c r="K131" s="132" t="s">
        <v>1840</v>
      </c>
    </row>
    <row r="132" spans="2:22" ht="30">
      <c r="B132" s="190">
        <f t="shared" si="5"/>
        <v>19</v>
      </c>
      <c r="C132" s="133">
        <v>46182</v>
      </c>
      <c r="D132" s="133" t="s">
        <v>1851</v>
      </c>
      <c r="E132" s="209" t="s">
        <v>1857</v>
      </c>
      <c r="F132" s="93" t="s">
        <v>1858</v>
      </c>
      <c r="G132" s="92"/>
      <c r="H132" s="54"/>
      <c r="I132" s="131">
        <v>46190</v>
      </c>
      <c r="J132" s="323">
        <v>46192</v>
      </c>
      <c r="K132" s="132" t="s">
        <v>1859</v>
      </c>
    </row>
    <row r="133" spans="2:22">
      <c r="B133" s="190">
        <f t="shared" si="5"/>
        <v>20</v>
      </c>
      <c r="C133" s="133">
        <v>46182</v>
      </c>
      <c r="D133" s="133" t="s">
        <v>1860</v>
      </c>
      <c r="E133" s="209" t="s">
        <v>1857</v>
      </c>
      <c r="F133" s="93" t="s">
        <v>1858</v>
      </c>
      <c r="G133" s="92"/>
      <c r="H133" s="54"/>
      <c r="I133" s="131">
        <v>46190</v>
      </c>
      <c r="J133" s="323">
        <v>46192</v>
      </c>
      <c r="K133" s="132" t="s">
        <v>1749</v>
      </c>
    </row>
    <row r="134" spans="2:22">
      <c r="B134" s="190">
        <f t="shared" si="5"/>
        <v>21</v>
      </c>
      <c r="C134" s="23">
        <v>46183</v>
      </c>
      <c r="D134" s="13" t="s">
        <v>1861</v>
      </c>
      <c r="E134" s="54" t="s">
        <v>1834</v>
      </c>
      <c r="F134" s="9" t="s">
        <v>1862</v>
      </c>
      <c r="G134" s="8"/>
      <c r="H134" s="8"/>
      <c r="I134" s="13">
        <v>46184</v>
      </c>
      <c r="J134" s="323">
        <v>46192</v>
      </c>
      <c r="K134" s="24" t="s">
        <v>1749</v>
      </c>
    </row>
    <row r="135" spans="2:22" ht="48">
      <c r="B135" s="190">
        <f t="shared" si="5"/>
        <v>22</v>
      </c>
      <c r="C135" s="342">
        <v>46105</v>
      </c>
      <c r="D135" s="342" t="s">
        <v>1863</v>
      </c>
      <c r="E135" s="1" t="s">
        <v>1584</v>
      </c>
      <c r="F135" s="352" t="s">
        <v>1864</v>
      </c>
      <c r="G135" s="1"/>
      <c r="H135" s="1"/>
      <c r="I135" s="342">
        <v>46147</v>
      </c>
      <c r="J135" s="337">
        <v>46192</v>
      </c>
      <c r="K135" s="353" t="s">
        <v>1865</v>
      </c>
    </row>
    <row r="136" spans="2:22" ht="48">
      <c r="B136" s="190">
        <f t="shared" si="5"/>
        <v>23</v>
      </c>
      <c r="C136" s="342">
        <v>46168</v>
      </c>
      <c r="D136" s="342" t="s">
        <v>1849</v>
      </c>
      <c r="E136" s="1" t="s">
        <v>1866</v>
      </c>
      <c r="F136" s="352" t="s">
        <v>1867</v>
      </c>
      <c r="G136" s="1"/>
      <c r="H136" s="1"/>
      <c r="I136" s="342">
        <v>46190</v>
      </c>
      <c r="J136" s="337">
        <v>46195</v>
      </c>
      <c r="K136" s="353" t="s">
        <v>1868</v>
      </c>
    </row>
    <row r="137" spans="2:22" ht="32">
      <c r="B137" s="190">
        <f t="shared" si="5"/>
        <v>24</v>
      </c>
      <c r="C137" s="342">
        <v>46063</v>
      </c>
      <c r="D137" s="342" t="s">
        <v>1869</v>
      </c>
      <c r="E137" s="1" t="s">
        <v>1870</v>
      </c>
      <c r="F137" s="352" t="s">
        <v>1515</v>
      </c>
      <c r="G137" s="1"/>
      <c r="H137" s="1"/>
      <c r="I137" s="342">
        <v>46192</v>
      </c>
      <c r="J137" s="337">
        <v>46195</v>
      </c>
      <c r="K137" s="353" t="s">
        <v>1871</v>
      </c>
    </row>
    <row r="138" spans="2:22" ht="30">
      <c r="B138" s="190">
        <f t="shared" si="5"/>
        <v>25</v>
      </c>
      <c r="C138" s="23">
        <v>46182</v>
      </c>
      <c r="D138" s="13" t="s">
        <v>1872</v>
      </c>
      <c r="E138" s="54" t="s">
        <v>1873</v>
      </c>
      <c r="F138" s="9" t="s">
        <v>1874</v>
      </c>
      <c r="G138" s="8">
        <v>7</v>
      </c>
      <c r="H138" s="14" t="s">
        <v>1876</v>
      </c>
      <c r="I138" s="13">
        <v>46192</v>
      </c>
      <c r="J138" s="322">
        <v>46196</v>
      </c>
      <c r="K138" s="24" t="s">
        <v>1875</v>
      </c>
      <c r="V138" s="306"/>
    </row>
    <row r="139" spans="2:22" ht="16" thickBot="1">
      <c r="B139" s="190">
        <f t="shared" si="5"/>
        <v>26</v>
      </c>
      <c r="C139" s="23"/>
      <c r="D139" s="131"/>
      <c r="E139" s="54"/>
      <c r="F139" s="57"/>
      <c r="G139" s="92"/>
      <c r="H139" s="93"/>
      <c r="I139" s="13"/>
      <c r="J139" s="322"/>
      <c r="K139" s="24"/>
    </row>
    <row r="140" spans="2:22" ht="16" hidden="1" thickBot="1">
      <c r="B140" s="190">
        <f t="shared" si="5"/>
        <v>27</v>
      </c>
      <c r="C140" s="23"/>
      <c r="D140" s="131"/>
      <c r="E140" s="54"/>
      <c r="F140" s="9"/>
      <c r="G140" s="92"/>
      <c r="H140" s="93"/>
      <c r="I140" s="13"/>
      <c r="J140" s="322"/>
      <c r="K140" s="24"/>
    </row>
    <row r="141" spans="2:22" ht="16" hidden="1" thickBot="1">
      <c r="B141" s="190">
        <f t="shared" si="5"/>
        <v>28</v>
      </c>
      <c r="C141" s="23"/>
      <c r="D141" s="131"/>
      <c r="E141" s="54"/>
      <c r="F141" s="9"/>
      <c r="G141" s="92"/>
      <c r="H141" s="93"/>
      <c r="I141" s="13"/>
      <c r="J141" s="322"/>
      <c r="K141" s="24"/>
    </row>
    <row r="142" spans="2:22" ht="16" hidden="1" thickBot="1">
      <c r="B142" s="190">
        <f t="shared" si="5"/>
        <v>29</v>
      </c>
      <c r="C142" s="23"/>
      <c r="D142" s="52"/>
      <c r="E142" s="54"/>
      <c r="F142" s="57"/>
      <c r="G142" s="204"/>
      <c r="H142" s="203"/>
      <c r="I142" s="13"/>
      <c r="J142" s="322"/>
      <c r="K142" s="24"/>
    </row>
    <row r="143" spans="2:22" ht="16" hidden="1" thickBot="1">
      <c r="B143" s="190">
        <f t="shared" si="5"/>
        <v>30</v>
      </c>
      <c r="C143" s="23"/>
      <c r="D143" s="13"/>
      <c r="E143" s="54"/>
      <c r="F143" s="203"/>
      <c r="G143" s="204"/>
      <c r="H143" s="8"/>
      <c r="I143" s="13"/>
      <c r="J143" s="322"/>
      <c r="K143" s="24"/>
    </row>
    <row r="144" spans="2:22" ht="16" hidden="1" thickBot="1">
      <c r="B144" s="190">
        <f t="shared" si="5"/>
        <v>31</v>
      </c>
      <c r="C144" s="23"/>
      <c r="D144" s="13"/>
      <c r="E144" s="14"/>
      <c r="F144" s="9"/>
      <c r="G144" s="8"/>
      <c r="H144" s="8"/>
      <c r="I144" s="13"/>
      <c r="J144" s="322"/>
      <c r="K144" s="132"/>
    </row>
    <row r="145" spans="2:11" ht="16" hidden="1" thickBot="1">
      <c r="B145" s="190">
        <f t="shared" si="5"/>
        <v>32</v>
      </c>
      <c r="C145" s="23"/>
      <c r="D145" s="107"/>
      <c r="E145" s="54"/>
      <c r="F145" s="1"/>
      <c r="G145" s="8"/>
      <c r="H145" s="8"/>
      <c r="I145" s="13"/>
      <c r="J145" s="322"/>
      <c r="K145" s="132"/>
    </row>
    <row r="146" spans="2:11" ht="16" hidden="1" thickBot="1">
      <c r="B146" s="190">
        <f t="shared" si="5"/>
        <v>33</v>
      </c>
      <c r="C146" s="133"/>
      <c r="D146" s="107"/>
      <c r="E146" s="53"/>
      <c r="F146" s="1"/>
      <c r="G146" s="8"/>
      <c r="H146" s="8"/>
      <c r="I146" s="13"/>
      <c r="J146" s="322"/>
      <c r="K146" s="132"/>
    </row>
    <row r="147" spans="2:11" ht="16" hidden="1" thickBot="1">
      <c r="B147" s="190">
        <f t="shared" si="5"/>
        <v>34</v>
      </c>
      <c r="C147" s="133"/>
      <c r="D147" s="107"/>
      <c r="E147" s="53"/>
      <c r="F147" s="1"/>
      <c r="G147" s="8"/>
      <c r="H147" s="8"/>
      <c r="I147" s="13"/>
      <c r="J147" s="322"/>
      <c r="K147" s="132"/>
    </row>
    <row r="148" spans="2:11" ht="16" hidden="1" thickBot="1">
      <c r="B148" s="190">
        <f t="shared" si="5"/>
        <v>35</v>
      </c>
      <c r="C148" s="133"/>
      <c r="D148" s="13"/>
      <c r="E148" s="53"/>
      <c r="F148" s="206"/>
      <c r="G148" s="204"/>
      <c r="H148" s="203"/>
      <c r="I148" s="13"/>
      <c r="J148" s="322"/>
      <c r="K148" s="24"/>
    </row>
    <row r="149" spans="2:11" ht="16" hidden="1" thickBot="1">
      <c r="B149" s="190">
        <f t="shared" si="5"/>
        <v>36</v>
      </c>
      <c r="C149" s="133"/>
      <c r="D149" s="13"/>
      <c r="E149" s="14"/>
      <c r="F149" s="9"/>
      <c r="G149" s="8"/>
      <c r="H149" s="49"/>
      <c r="I149" s="13"/>
      <c r="J149" s="322"/>
      <c r="K149" s="132"/>
    </row>
    <row r="150" spans="2:11" ht="16" hidden="1" thickBot="1">
      <c r="B150" s="190">
        <f t="shared" si="5"/>
        <v>37</v>
      </c>
      <c r="C150" s="133"/>
      <c r="D150" s="35"/>
      <c r="E150" s="14"/>
      <c r="F150" s="55"/>
      <c r="G150" s="92"/>
      <c r="H150" s="92"/>
      <c r="I150" s="131"/>
      <c r="J150" s="322"/>
      <c r="K150" s="132"/>
    </row>
    <row r="151" spans="2:11" ht="16" hidden="1" thickBot="1">
      <c r="B151" s="190">
        <f t="shared" si="5"/>
        <v>38</v>
      </c>
      <c r="C151" s="133"/>
      <c r="D151" s="131"/>
      <c r="E151" s="53"/>
      <c r="F151" s="58"/>
      <c r="G151" s="8"/>
      <c r="H151" s="8"/>
      <c r="I151" s="13"/>
      <c r="J151" s="322"/>
      <c r="K151" s="132"/>
    </row>
    <row r="152" spans="2:11" ht="16" hidden="1" thickBot="1">
      <c r="B152" s="190">
        <f t="shared" si="5"/>
        <v>39</v>
      </c>
      <c r="C152" s="133"/>
      <c r="D152" s="131"/>
      <c r="E152" s="54"/>
      <c r="F152" s="93"/>
      <c r="G152" s="92"/>
      <c r="H152" s="92"/>
      <c r="I152" s="13"/>
      <c r="J152" s="322"/>
      <c r="K152" s="132"/>
    </row>
    <row r="153" spans="2:11" ht="16" hidden="1" thickBot="1">
      <c r="B153" s="190">
        <f t="shared" si="5"/>
        <v>40</v>
      </c>
      <c r="C153" s="133"/>
      <c r="D153" s="131"/>
      <c r="E153" s="54"/>
      <c r="F153" s="93"/>
      <c r="G153" s="92"/>
      <c r="H153" s="92"/>
      <c r="I153" s="131"/>
      <c r="J153" s="322"/>
      <c r="K153" s="132"/>
    </row>
    <row r="154" spans="2:11" ht="16" hidden="1" thickBot="1">
      <c r="B154" s="190">
        <f t="shared" si="5"/>
        <v>41</v>
      </c>
      <c r="C154" s="133"/>
      <c r="D154" s="131"/>
      <c r="E154" s="54"/>
      <c r="F154" s="93"/>
      <c r="G154" s="92"/>
      <c r="H154" s="54"/>
      <c r="I154" s="131"/>
      <c r="J154" s="322"/>
      <c r="K154" s="132"/>
    </row>
    <row r="155" spans="2:11" ht="16" hidden="1" thickBot="1">
      <c r="B155" s="190">
        <f t="shared" si="5"/>
        <v>42</v>
      </c>
      <c r="C155" s="133"/>
      <c r="D155" s="13"/>
      <c r="E155" s="54"/>
      <c r="F155" s="9"/>
      <c r="G155" s="8"/>
      <c r="H155" s="8"/>
      <c r="I155" s="131"/>
      <c r="J155" s="322"/>
      <c r="K155" s="132"/>
    </row>
    <row r="156" spans="2:11" ht="16" hidden="1" thickBot="1">
      <c r="B156" s="190">
        <f t="shared" si="5"/>
        <v>43</v>
      </c>
      <c r="C156" s="133"/>
      <c r="D156" s="131"/>
      <c r="E156" s="54"/>
      <c r="F156" s="93"/>
      <c r="G156" s="92"/>
      <c r="H156" s="92"/>
      <c r="I156" s="131"/>
      <c r="J156" s="323"/>
      <c r="K156" s="132"/>
    </row>
    <row r="157" spans="2:11" ht="16" hidden="1" thickBot="1">
      <c r="B157" s="190">
        <f t="shared" si="5"/>
        <v>44</v>
      </c>
      <c r="C157" s="133"/>
      <c r="D157" s="209"/>
      <c r="E157" s="209"/>
      <c r="F157" s="93"/>
      <c r="G157" s="92"/>
      <c r="H157" s="92"/>
      <c r="I157" s="131"/>
      <c r="J157" s="323"/>
      <c r="K157" s="132"/>
    </row>
    <row r="158" spans="2:11" ht="16" hidden="1" thickBot="1">
      <c r="B158" s="190">
        <f t="shared" si="5"/>
        <v>45</v>
      </c>
      <c r="C158" s="133"/>
      <c r="D158" s="53"/>
      <c r="E158" s="14"/>
      <c r="F158" s="9"/>
      <c r="G158" s="204"/>
      <c r="H158" s="8"/>
      <c r="I158" s="13"/>
      <c r="J158" s="323"/>
      <c r="K158" s="24"/>
    </row>
    <row r="159" spans="2:11" ht="16" hidden="1" thickBot="1">
      <c r="B159" s="190">
        <f t="shared" si="5"/>
        <v>46</v>
      </c>
      <c r="C159" s="133"/>
      <c r="D159" s="53"/>
      <c r="E159" s="14"/>
      <c r="F159" s="9"/>
      <c r="G159" s="8"/>
      <c r="H159" s="8"/>
      <c r="I159" s="13"/>
      <c r="J159" s="323"/>
      <c r="K159" s="24"/>
    </row>
    <row r="160" spans="2:11" ht="16" hidden="1" thickBot="1">
      <c r="B160" s="190">
        <f t="shared" si="5"/>
        <v>47</v>
      </c>
      <c r="C160" s="289"/>
      <c r="D160" s="131"/>
      <c r="E160" s="54"/>
      <c r="F160" s="57"/>
      <c r="G160" s="92"/>
      <c r="H160" s="8"/>
      <c r="I160" s="13"/>
      <c r="J160" s="323"/>
      <c r="K160" s="24"/>
    </row>
    <row r="161" spans="2:11" ht="16" hidden="1" thickBot="1">
      <c r="B161" s="190">
        <f t="shared" si="5"/>
        <v>48</v>
      </c>
      <c r="C161" s="133"/>
      <c r="D161" s="53"/>
      <c r="E161" s="14"/>
      <c r="F161" s="203"/>
      <c r="G161" s="8"/>
      <c r="H161" s="8"/>
      <c r="I161" s="13"/>
      <c r="J161" s="323"/>
      <c r="K161" s="24"/>
    </row>
    <row r="162" spans="2:11" ht="16" hidden="1" thickBot="1">
      <c r="B162" s="190">
        <f t="shared" si="5"/>
        <v>49</v>
      </c>
      <c r="C162" s="133"/>
      <c r="D162" s="13"/>
      <c r="E162" s="14"/>
      <c r="F162" s="54"/>
      <c r="G162" s="8"/>
      <c r="H162" s="9"/>
      <c r="I162" s="13"/>
      <c r="J162" s="323"/>
      <c r="K162" s="24"/>
    </row>
    <row r="163" spans="2:11" ht="16" hidden="1" thickBot="1">
      <c r="B163" s="190">
        <f t="shared" si="5"/>
        <v>50</v>
      </c>
      <c r="C163" s="130"/>
      <c r="D163" s="131"/>
      <c r="E163" s="54"/>
      <c r="F163" s="93"/>
      <c r="G163" s="92"/>
      <c r="H163" s="92"/>
      <c r="I163" s="131"/>
      <c r="J163" s="322"/>
      <c r="K163" s="24"/>
    </row>
    <row r="164" spans="2:11" ht="16" hidden="1" thickBot="1">
      <c r="B164" s="190">
        <f t="shared" si="5"/>
        <v>51</v>
      </c>
      <c r="C164" s="133"/>
      <c r="D164" s="13"/>
      <c r="E164" s="14"/>
      <c r="F164" s="54"/>
      <c r="G164" s="92"/>
      <c r="H164" s="93"/>
      <c r="I164" s="131"/>
      <c r="J164" s="322"/>
      <c r="K164" s="132"/>
    </row>
    <row r="165" spans="2:11" ht="16" hidden="1" thickBot="1">
      <c r="B165" s="190">
        <f>B164+1</f>
        <v>52</v>
      </c>
      <c r="C165" s="133"/>
      <c r="D165" s="220"/>
      <c r="E165" s="209"/>
      <c r="F165" s="243"/>
      <c r="G165" s="242"/>
      <c r="H165" s="243"/>
      <c r="I165" s="13"/>
      <c r="J165" s="322"/>
      <c r="K165" s="132"/>
    </row>
    <row r="166" spans="2:11" ht="16" hidden="1" thickBot="1">
      <c r="B166" s="190">
        <f>B165+1</f>
        <v>53</v>
      </c>
      <c r="C166" s="133"/>
      <c r="D166" s="13"/>
      <c r="E166" s="14"/>
      <c r="F166" s="9"/>
      <c r="G166" s="8"/>
      <c r="H166" s="14"/>
      <c r="I166" s="13"/>
      <c r="J166" s="322"/>
      <c r="K166" s="24"/>
    </row>
    <row r="167" spans="2:11" ht="16" hidden="1" thickBot="1">
      <c r="B167" s="190">
        <f>B166+1</f>
        <v>54</v>
      </c>
      <c r="C167" s="133"/>
      <c r="D167" s="13"/>
      <c r="E167" s="14"/>
      <c r="F167" s="9"/>
      <c r="G167" s="8"/>
      <c r="H167" s="8"/>
      <c r="I167" s="13"/>
      <c r="J167" s="322"/>
      <c r="K167" s="24"/>
    </row>
    <row r="168" spans="2:11" ht="16" hidden="1" thickBot="1">
      <c r="B168" s="190">
        <f t="shared" ref="B168:B196" si="6">B167+1</f>
        <v>55</v>
      </c>
      <c r="C168" s="133"/>
      <c r="D168" s="107"/>
      <c r="E168" s="54"/>
      <c r="F168" s="1"/>
      <c r="G168" s="8"/>
      <c r="H168" s="8"/>
      <c r="I168" s="13"/>
      <c r="J168" s="322"/>
      <c r="K168" s="24"/>
    </row>
    <row r="169" spans="2:11" ht="16" hidden="1" thickBot="1">
      <c r="B169" s="190">
        <f t="shared" si="6"/>
        <v>56</v>
      </c>
      <c r="C169" s="133"/>
      <c r="D169" s="107"/>
      <c r="E169" s="54"/>
      <c r="F169" s="1"/>
      <c r="G169" s="8"/>
      <c r="H169" s="8"/>
      <c r="I169" s="13"/>
      <c r="J169" s="322"/>
      <c r="K169" s="24"/>
    </row>
    <row r="170" spans="2:11" ht="16" hidden="1" thickBot="1">
      <c r="B170" s="190">
        <f t="shared" si="6"/>
        <v>57</v>
      </c>
      <c r="C170" s="23"/>
      <c r="D170" s="13"/>
      <c r="E170" s="14"/>
      <c r="F170" s="83"/>
      <c r="G170" s="8"/>
      <c r="H170" s="9"/>
      <c r="I170" s="13"/>
      <c r="J170" s="322"/>
      <c r="K170" s="24"/>
    </row>
    <row r="171" spans="2:11" ht="16" hidden="1" thickBot="1">
      <c r="B171" s="190">
        <f t="shared" si="6"/>
        <v>58</v>
      </c>
      <c r="C171" s="133"/>
      <c r="D171" s="107"/>
      <c r="E171" s="53"/>
      <c r="F171" s="1"/>
      <c r="G171" s="8"/>
      <c r="H171" s="8"/>
      <c r="I171" s="13"/>
      <c r="J171" s="323"/>
      <c r="K171" s="24"/>
    </row>
    <row r="172" spans="2:11" ht="16" hidden="1" thickBot="1">
      <c r="B172" s="190">
        <f t="shared" si="6"/>
        <v>59</v>
      </c>
      <c r="C172" s="133"/>
      <c r="D172" s="52"/>
      <c r="E172" s="209"/>
      <c r="F172" s="9"/>
      <c r="G172" s="8"/>
      <c r="H172" s="14"/>
      <c r="I172" s="13"/>
      <c r="J172" s="323"/>
      <c r="K172" s="24"/>
    </row>
    <row r="173" spans="2:11" ht="16" hidden="1" thickBot="1">
      <c r="B173" s="190">
        <f t="shared" si="6"/>
        <v>60</v>
      </c>
      <c r="C173" s="133"/>
      <c r="D173" s="13"/>
      <c r="E173" s="14"/>
      <c r="F173" s="1"/>
      <c r="G173" s="8"/>
      <c r="H173" s="8"/>
      <c r="I173" s="13"/>
      <c r="J173" s="323"/>
      <c r="K173" s="24"/>
    </row>
    <row r="174" spans="2:11" ht="16" hidden="1" thickBot="1">
      <c r="B174" s="190">
        <f t="shared" si="6"/>
        <v>61</v>
      </c>
      <c r="C174" s="274"/>
      <c r="D174" s="13"/>
      <c r="E174" s="14"/>
      <c r="F174" s="1"/>
      <c r="G174" s="8"/>
      <c r="H174" s="8"/>
      <c r="I174" s="13"/>
      <c r="J174" s="323"/>
      <c r="K174" s="24"/>
    </row>
    <row r="175" spans="2:11" ht="16" hidden="1" thickBot="1">
      <c r="B175" s="190">
        <f t="shared" si="6"/>
        <v>62</v>
      </c>
      <c r="C175" s="274"/>
      <c r="D175" s="13"/>
      <c r="E175" s="14"/>
      <c r="F175" s="9"/>
      <c r="G175" s="8"/>
      <c r="H175" s="8"/>
      <c r="I175" s="13"/>
      <c r="J175" s="323"/>
      <c r="K175" s="24"/>
    </row>
    <row r="176" spans="2:11" ht="16" hidden="1" thickBot="1">
      <c r="B176" s="190">
        <f t="shared" si="6"/>
        <v>63</v>
      </c>
      <c r="C176" s="274"/>
      <c r="D176" s="13"/>
      <c r="E176" s="14"/>
      <c r="F176" s="9"/>
      <c r="G176" s="8"/>
      <c r="H176" s="8"/>
      <c r="I176" s="13"/>
      <c r="J176" s="323"/>
      <c r="K176" s="24"/>
    </row>
    <row r="177" spans="2:11" ht="16" hidden="1" thickBot="1">
      <c r="B177" s="190">
        <f t="shared" si="6"/>
        <v>64</v>
      </c>
      <c r="C177" s="291"/>
      <c r="D177" s="13"/>
      <c r="E177" s="14"/>
      <c r="F177" s="9"/>
      <c r="G177" s="8"/>
      <c r="H177" s="8"/>
      <c r="I177" s="13"/>
      <c r="J177" s="323"/>
      <c r="K177" s="24"/>
    </row>
    <row r="178" spans="2:11" ht="16" hidden="1" thickBot="1">
      <c r="B178" s="190">
        <f t="shared" si="6"/>
        <v>65</v>
      </c>
      <c r="C178" s="23"/>
      <c r="D178" s="13"/>
      <c r="E178" s="14"/>
      <c r="F178" s="9"/>
      <c r="G178" s="8"/>
      <c r="H178" s="8"/>
      <c r="I178" s="13"/>
      <c r="J178" s="323"/>
      <c r="K178" s="24"/>
    </row>
    <row r="179" spans="2:11" ht="16" hidden="1" thickBot="1">
      <c r="B179" s="190">
        <f t="shared" si="6"/>
        <v>66</v>
      </c>
      <c r="C179" s="23"/>
      <c r="D179" s="13"/>
      <c r="E179" s="14"/>
      <c r="F179" s="9"/>
      <c r="G179" s="8"/>
      <c r="H179" s="8"/>
      <c r="I179" s="13"/>
      <c r="J179" s="323"/>
      <c r="K179" s="24"/>
    </row>
    <row r="180" spans="2:11" ht="16" hidden="1" thickBot="1">
      <c r="B180" s="190">
        <f t="shared" si="6"/>
        <v>67</v>
      </c>
      <c r="C180" s="23"/>
      <c r="D180" s="13"/>
      <c r="E180" s="14"/>
      <c r="F180" s="9"/>
      <c r="G180" s="8"/>
      <c r="H180" s="8"/>
      <c r="I180" s="13"/>
      <c r="J180" s="323"/>
      <c r="K180" s="24"/>
    </row>
    <row r="181" spans="2:11" ht="16" hidden="1" thickBot="1">
      <c r="B181" s="190">
        <f t="shared" si="6"/>
        <v>68</v>
      </c>
      <c r="C181" s="23"/>
      <c r="D181" s="13"/>
      <c r="E181" s="13"/>
      <c r="F181" s="9"/>
      <c r="G181" s="8"/>
      <c r="H181" s="8"/>
      <c r="I181" s="13"/>
      <c r="J181" s="323"/>
      <c r="K181" s="24"/>
    </row>
    <row r="182" spans="2:11" ht="16" hidden="1" thickBot="1">
      <c r="B182" s="190">
        <f t="shared" si="6"/>
        <v>69</v>
      </c>
      <c r="C182" s="219"/>
      <c r="D182" s="13"/>
      <c r="E182" s="14"/>
      <c r="F182" s="9"/>
      <c r="G182" s="8"/>
      <c r="H182" s="8"/>
      <c r="I182" s="13"/>
      <c r="J182" s="323"/>
      <c r="K182" s="24"/>
    </row>
    <row r="183" spans="2:11" ht="16" hidden="1" thickBot="1">
      <c r="B183" s="190">
        <f t="shared" si="6"/>
        <v>70</v>
      </c>
      <c r="C183" s="23"/>
      <c r="D183" s="13"/>
      <c r="E183" s="14"/>
      <c r="F183" s="9"/>
      <c r="G183" s="8"/>
      <c r="H183" s="8"/>
      <c r="I183" s="13"/>
      <c r="J183" s="323"/>
      <c r="K183" s="24"/>
    </row>
    <row r="184" spans="2:11" ht="16" hidden="1" thickBot="1">
      <c r="B184" s="190">
        <f t="shared" si="6"/>
        <v>71</v>
      </c>
      <c r="C184" s="23"/>
      <c r="D184" s="13"/>
      <c r="E184" s="14"/>
      <c r="F184" s="9"/>
      <c r="G184" s="8"/>
      <c r="H184" s="8"/>
      <c r="I184" s="13"/>
      <c r="J184" s="323"/>
      <c r="K184" s="24"/>
    </row>
    <row r="185" spans="2:11" ht="16" hidden="1" thickBot="1">
      <c r="B185" s="190">
        <f t="shared" si="6"/>
        <v>72</v>
      </c>
      <c r="C185" s="23"/>
      <c r="D185" s="13"/>
      <c r="E185" s="14"/>
      <c r="F185" s="9"/>
      <c r="G185" s="8"/>
      <c r="H185" s="8"/>
      <c r="I185" s="13"/>
      <c r="J185" s="323"/>
      <c r="K185" s="24"/>
    </row>
    <row r="186" spans="2:11" ht="16" hidden="1" thickBot="1">
      <c r="B186" s="190">
        <f t="shared" si="6"/>
        <v>73</v>
      </c>
      <c r="C186" s="23"/>
      <c r="D186" s="13"/>
      <c r="E186" s="14"/>
      <c r="F186" s="9"/>
      <c r="G186" s="8"/>
      <c r="H186" s="8"/>
      <c r="I186" s="13"/>
      <c r="J186" s="323"/>
      <c r="K186" s="24"/>
    </row>
    <row r="187" spans="2:11" ht="16" hidden="1" thickBot="1">
      <c r="B187" s="190">
        <f t="shared" si="6"/>
        <v>74</v>
      </c>
      <c r="C187" s="23"/>
      <c r="D187" s="13"/>
      <c r="E187" s="14"/>
      <c r="F187" s="9"/>
      <c r="G187" s="8"/>
      <c r="H187" s="8"/>
      <c r="I187" s="13"/>
      <c r="J187" s="323"/>
      <c r="K187" s="24"/>
    </row>
    <row r="188" spans="2:11" ht="16" hidden="1" thickBot="1">
      <c r="B188" s="190">
        <f t="shared" si="6"/>
        <v>75</v>
      </c>
      <c r="C188" s="23"/>
      <c r="D188" s="13"/>
      <c r="E188" s="14"/>
      <c r="F188" s="9"/>
      <c r="G188" s="8"/>
      <c r="H188" s="8"/>
      <c r="I188" s="13"/>
      <c r="J188" s="323"/>
      <c r="K188" s="24"/>
    </row>
    <row r="189" spans="2:11" ht="16" hidden="1" thickBot="1">
      <c r="B189" s="190">
        <f t="shared" si="6"/>
        <v>76</v>
      </c>
      <c r="C189" s="23"/>
      <c r="D189" s="13"/>
      <c r="E189" s="14"/>
      <c r="F189" s="9"/>
      <c r="G189" s="8"/>
      <c r="H189" s="8"/>
      <c r="I189" s="13"/>
      <c r="J189" s="323"/>
      <c r="K189" s="24"/>
    </row>
    <row r="190" spans="2:11" ht="16" hidden="1" thickBot="1">
      <c r="B190" s="190">
        <f t="shared" si="6"/>
        <v>77</v>
      </c>
      <c r="C190" s="23"/>
      <c r="D190" s="13"/>
      <c r="E190" s="14"/>
      <c r="F190" s="203"/>
      <c r="G190" s="8"/>
      <c r="H190" s="14"/>
      <c r="I190" s="13"/>
      <c r="J190" s="323"/>
      <c r="K190" s="24"/>
    </row>
    <row r="191" spans="2:11" ht="16" hidden="1" thickBot="1">
      <c r="B191" s="190">
        <f t="shared" si="6"/>
        <v>78</v>
      </c>
      <c r="C191" s="23"/>
      <c r="D191" s="13"/>
      <c r="E191" s="14"/>
      <c r="F191" s="9"/>
      <c r="G191" s="8"/>
      <c r="H191" s="8"/>
      <c r="I191" s="13"/>
      <c r="J191" s="323"/>
      <c r="K191" s="24"/>
    </row>
    <row r="192" spans="2:11" ht="16" hidden="1" thickBot="1">
      <c r="B192" s="190">
        <f t="shared" si="6"/>
        <v>79</v>
      </c>
      <c r="C192" s="23"/>
      <c r="D192" s="13"/>
      <c r="E192" s="14"/>
      <c r="F192" s="9"/>
      <c r="G192" s="8"/>
      <c r="H192" s="8"/>
      <c r="I192" s="13"/>
      <c r="J192" s="323"/>
      <c r="K192" s="24"/>
    </row>
    <row r="193" spans="2:11" ht="16" hidden="1" thickBot="1">
      <c r="B193" s="190">
        <f t="shared" si="6"/>
        <v>80</v>
      </c>
      <c r="C193" s="23"/>
      <c r="D193" s="13"/>
      <c r="E193" s="14"/>
      <c r="F193" s="9"/>
      <c r="G193" s="8"/>
      <c r="H193" s="8"/>
      <c r="I193" s="13"/>
      <c r="J193" s="323"/>
      <c r="K193" s="24"/>
    </row>
    <row r="194" spans="2:11" ht="16" hidden="1" thickBot="1">
      <c r="B194" s="190">
        <f t="shared" si="6"/>
        <v>81</v>
      </c>
      <c r="C194" s="23"/>
      <c r="D194" s="13"/>
      <c r="E194" s="14"/>
      <c r="F194" s="9"/>
      <c r="G194" s="8"/>
      <c r="H194" s="8"/>
      <c r="I194" s="13"/>
      <c r="J194" s="323"/>
      <c r="K194" s="24"/>
    </row>
    <row r="195" spans="2:11" ht="16" hidden="1" thickBot="1">
      <c r="B195" s="190">
        <f t="shared" si="6"/>
        <v>82</v>
      </c>
      <c r="C195" s="23"/>
      <c r="D195" s="13"/>
      <c r="E195" s="14"/>
      <c r="F195" s="9"/>
      <c r="G195" s="8"/>
      <c r="H195" s="8"/>
      <c r="I195" s="13"/>
      <c r="J195" s="323"/>
      <c r="K195" s="24"/>
    </row>
    <row r="196" spans="2:11" ht="16" hidden="1" thickBot="1">
      <c r="B196" s="190">
        <f t="shared" si="6"/>
        <v>83</v>
      </c>
      <c r="C196" s="23"/>
      <c r="D196" s="13"/>
      <c r="E196" s="14"/>
      <c r="F196" s="9"/>
      <c r="G196" s="8"/>
      <c r="H196" s="8"/>
      <c r="I196" s="13"/>
      <c r="J196" s="323"/>
      <c r="K196" s="24"/>
    </row>
    <row r="197" spans="2:11" ht="22" thickBot="1">
      <c r="B197" s="367" t="s">
        <v>30</v>
      </c>
      <c r="C197" s="368"/>
      <c r="D197" s="368"/>
      <c r="E197" s="369"/>
      <c r="F197" s="370" t="s">
        <v>1507</v>
      </c>
      <c r="G197" s="371"/>
      <c r="H197" s="371"/>
      <c r="I197" s="371"/>
      <c r="J197" s="371"/>
      <c r="K197" s="372"/>
    </row>
    <row r="201" spans="2:11" ht="16" thickBot="1"/>
    <row r="202" spans="2:11" ht="25" thickBot="1">
      <c r="B202" s="364" t="s">
        <v>1512</v>
      </c>
      <c r="C202" s="365"/>
      <c r="D202" s="365"/>
      <c r="E202" s="365"/>
      <c r="F202" s="365"/>
      <c r="G202" s="365"/>
      <c r="H202" s="365"/>
      <c r="I202" s="365"/>
      <c r="J202" s="365"/>
      <c r="K202" s="366"/>
    </row>
    <row r="203" spans="2:11" ht="46" thickBot="1">
      <c r="B203" s="79" t="s">
        <v>12</v>
      </c>
      <c r="C203" s="79" t="s">
        <v>22</v>
      </c>
      <c r="D203" s="80" t="s">
        <v>14</v>
      </c>
      <c r="E203" s="80" t="s">
        <v>23</v>
      </c>
      <c r="F203" s="80" t="s">
        <v>24</v>
      </c>
      <c r="G203" s="80" t="s">
        <v>20</v>
      </c>
      <c r="H203" s="80" t="s">
        <v>25</v>
      </c>
      <c r="I203" s="81" t="s">
        <v>26</v>
      </c>
      <c r="J203" s="116" t="s">
        <v>1830</v>
      </c>
      <c r="K203" s="82" t="s">
        <v>27</v>
      </c>
    </row>
    <row r="204" spans="2:11">
      <c r="B204" s="216">
        <v>1</v>
      </c>
      <c r="C204" s="133"/>
      <c r="D204" s="131"/>
      <c r="E204" s="131"/>
      <c r="F204" s="58"/>
      <c r="G204" s="92"/>
      <c r="H204" s="93"/>
      <c r="I204" s="131"/>
      <c r="J204" s="323"/>
      <c r="K204" s="132"/>
    </row>
    <row r="205" spans="2:11">
      <c r="B205" s="190">
        <f>B204+1</f>
        <v>2</v>
      </c>
      <c r="C205" s="133"/>
      <c r="D205" s="296"/>
      <c r="E205" s="209"/>
      <c r="F205" s="119"/>
      <c r="G205" s="92"/>
      <c r="H205" s="92"/>
      <c r="I205" s="131"/>
      <c r="J205" s="323"/>
      <c r="K205" s="132"/>
    </row>
    <row r="206" spans="2:11">
      <c r="B206" s="190">
        <f t="shared" ref="B206:B217" si="7">B205+1</f>
        <v>3</v>
      </c>
      <c r="C206" s="133"/>
      <c r="D206" s="220"/>
      <c r="E206" s="209"/>
      <c r="F206" s="93"/>
      <c r="G206" s="92"/>
      <c r="H206" s="54"/>
      <c r="I206" s="131"/>
      <c r="J206" s="323"/>
      <c r="K206" s="132"/>
    </row>
    <row r="207" spans="2:11">
      <c r="B207" s="190">
        <f t="shared" si="7"/>
        <v>4</v>
      </c>
      <c r="C207" s="133"/>
      <c r="D207" s="131"/>
      <c r="E207" s="54"/>
      <c r="F207" s="119"/>
      <c r="G207" s="92"/>
      <c r="H207" s="92"/>
      <c r="I207" s="131"/>
      <c r="J207" s="323"/>
      <c r="K207" s="307"/>
    </row>
    <row r="208" spans="2:11">
      <c r="B208" s="190">
        <f t="shared" si="7"/>
        <v>5</v>
      </c>
      <c r="C208" s="23"/>
      <c r="D208" s="35"/>
      <c r="E208" s="14"/>
      <c r="F208" s="54"/>
      <c r="G208" s="8"/>
      <c r="H208" s="9"/>
      <c r="I208" s="13"/>
      <c r="J208" s="323"/>
      <c r="K208" s="132"/>
    </row>
    <row r="209" spans="2:11" ht="18" customHeight="1">
      <c r="B209" s="190">
        <f t="shared" si="7"/>
        <v>6</v>
      </c>
      <c r="C209" s="23"/>
      <c r="D209" s="13"/>
      <c r="E209" s="14"/>
      <c r="F209" s="54"/>
      <c r="G209" s="8"/>
      <c r="H209" s="9"/>
      <c r="I209" s="13"/>
      <c r="J209" s="323"/>
      <c r="K209" s="307"/>
    </row>
    <row r="210" spans="2:11">
      <c r="B210" s="190">
        <f t="shared" si="7"/>
        <v>7</v>
      </c>
      <c r="C210" s="34"/>
      <c r="D210" s="35"/>
      <c r="E210" s="35"/>
      <c r="F210" s="54"/>
      <c r="G210" s="14"/>
      <c r="H210" s="36"/>
      <c r="I210" s="35"/>
      <c r="J210" s="323"/>
      <c r="K210" s="132"/>
    </row>
    <row r="211" spans="2:11">
      <c r="B211" s="190">
        <f t="shared" si="7"/>
        <v>8</v>
      </c>
      <c r="C211" s="133"/>
      <c r="D211" s="52"/>
      <c r="E211" s="53"/>
      <c r="F211" s="203"/>
      <c r="G211" s="204"/>
      <c r="H211" s="93"/>
      <c r="I211" s="131"/>
      <c r="J211" s="323"/>
      <c r="K211" s="132"/>
    </row>
    <row r="212" spans="2:11">
      <c r="B212" s="190">
        <f t="shared" si="7"/>
        <v>9</v>
      </c>
      <c r="C212" s="133"/>
      <c r="D212" s="131"/>
      <c r="E212" s="54"/>
      <c r="F212" s="57"/>
      <c r="G212" s="92"/>
      <c r="H212" s="93"/>
      <c r="I212" s="131"/>
      <c r="J212" s="323"/>
      <c r="K212" s="24"/>
    </row>
    <row r="213" spans="2:11" ht="15" customHeight="1">
      <c r="B213" s="190">
        <f t="shared" si="7"/>
        <v>10</v>
      </c>
      <c r="C213" s="133"/>
      <c r="D213" s="131"/>
      <c r="E213" s="54"/>
      <c r="F213" s="57"/>
      <c r="G213" s="92"/>
      <c r="H213" s="93"/>
      <c r="I213" s="131"/>
      <c r="J213" s="323"/>
      <c r="K213" s="132"/>
    </row>
    <row r="214" spans="2:11">
      <c r="B214" s="190">
        <f t="shared" si="7"/>
        <v>11</v>
      </c>
      <c r="C214" s="133"/>
      <c r="D214" s="133"/>
      <c r="E214" s="54"/>
      <c r="F214" s="54"/>
      <c r="G214" s="92"/>
      <c r="H214" s="93"/>
      <c r="I214" s="131"/>
      <c r="J214" s="322"/>
      <c r="K214" s="132"/>
    </row>
    <row r="215" spans="2:11">
      <c r="B215" s="190">
        <f t="shared" si="7"/>
        <v>12</v>
      </c>
      <c r="C215" s="23"/>
      <c r="D215" s="13"/>
      <c r="E215" s="14"/>
      <c r="F215" s="203"/>
      <c r="G215" s="204"/>
      <c r="H215" s="8"/>
      <c r="I215" s="13"/>
      <c r="J215" s="323"/>
      <c r="K215" s="132"/>
    </row>
    <row r="216" spans="2:11">
      <c r="B216" s="190">
        <f t="shared" si="7"/>
        <v>13</v>
      </c>
      <c r="C216" s="192"/>
      <c r="D216" s="131"/>
      <c r="E216" s="54"/>
      <c r="F216" s="203"/>
      <c r="G216" s="204"/>
      <c r="H216" s="194"/>
      <c r="I216" s="131"/>
      <c r="J216" s="323"/>
      <c r="K216" s="132"/>
    </row>
    <row r="217" spans="2:11" ht="16" thickBot="1">
      <c r="B217" s="190">
        <f t="shared" si="7"/>
        <v>14</v>
      </c>
      <c r="C217" s="40"/>
      <c r="D217" s="13"/>
      <c r="E217" s="14"/>
      <c r="F217" s="93"/>
      <c r="G217" s="8"/>
      <c r="H217" s="7"/>
      <c r="I217" s="42"/>
      <c r="J217" s="323"/>
      <c r="K217" s="24"/>
    </row>
    <row r="218" spans="2:11" ht="22" thickBot="1">
      <c r="B218" s="367" t="s">
        <v>30</v>
      </c>
      <c r="C218" s="368"/>
      <c r="D218" s="368"/>
      <c r="E218" s="369"/>
      <c r="F218" s="370"/>
      <c r="G218" s="371"/>
      <c r="H218" s="371"/>
      <c r="I218" s="371"/>
      <c r="J218" s="371"/>
      <c r="K218" s="372"/>
    </row>
    <row r="219" spans="2:11" ht="16" thickBot="1"/>
    <row r="220" spans="2:11" ht="25" thickBot="1">
      <c r="B220" s="364" t="s">
        <v>1511</v>
      </c>
      <c r="C220" s="365"/>
      <c r="D220" s="365"/>
      <c r="E220" s="365"/>
      <c r="F220" s="365"/>
      <c r="G220" s="365"/>
      <c r="H220" s="365"/>
      <c r="I220" s="365"/>
      <c r="J220" s="365"/>
      <c r="K220" s="366"/>
    </row>
    <row r="221" spans="2:11" ht="46" thickBot="1">
      <c r="B221" s="79" t="s">
        <v>12</v>
      </c>
      <c r="C221" s="79" t="s">
        <v>22</v>
      </c>
      <c r="D221" s="80" t="s">
        <v>14</v>
      </c>
      <c r="E221" s="80" t="s">
        <v>23</v>
      </c>
      <c r="F221" s="80" t="s">
        <v>24</v>
      </c>
      <c r="G221" s="80" t="s">
        <v>20</v>
      </c>
      <c r="H221" s="80" t="s">
        <v>25</v>
      </c>
      <c r="I221" s="81" t="s">
        <v>26</v>
      </c>
      <c r="J221" s="116"/>
      <c r="K221" s="82" t="s">
        <v>27</v>
      </c>
    </row>
    <row r="222" spans="2:11">
      <c r="B222" s="216">
        <v>1</v>
      </c>
      <c r="C222" s="133"/>
      <c r="D222" s="131"/>
      <c r="E222" s="131"/>
      <c r="F222" s="57"/>
      <c r="G222" s="92" t="s">
        <v>17</v>
      </c>
      <c r="H222" s="93" t="s">
        <v>29</v>
      </c>
      <c r="I222" s="131"/>
      <c r="J222" s="323"/>
      <c r="K222" s="132"/>
    </row>
    <row r="223" spans="2:11">
      <c r="B223" s="190">
        <f>B222+1</f>
        <v>2</v>
      </c>
      <c r="C223" s="289"/>
      <c r="D223" s="131"/>
      <c r="E223" s="54"/>
      <c r="F223" s="93"/>
      <c r="G223" s="92">
        <v>7</v>
      </c>
      <c r="H223" s="92" t="s">
        <v>29</v>
      </c>
      <c r="I223" s="131"/>
      <c r="J223" s="323"/>
      <c r="K223" s="132"/>
    </row>
    <row r="224" spans="2:11">
      <c r="B224" s="190">
        <f t="shared" ref="B224:B234" si="8">B223+1</f>
        <v>3</v>
      </c>
      <c r="C224" s="219"/>
      <c r="D224" s="35"/>
      <c r="E224" s="14"/>
      <c r="F224" s="54"/>
      <c r="G224" s="8" t="s">
        <v>17</v>
      </c>
      <c r="H224" s="9" t="s">
        <v>29</v>
      </c>
      <c r="I224" s="13"/>
      <c r="J224" s="323"/>
      <c r="K224" s="132"/>
    </row>
    <row r="225" spans="2:12" ht="16" customHeight="1">
      <c r="B225" s="190">
        <f t="shared" si="8"/>
        <v>4</v>
      </c>
      <c r="C225" s="57"/>
      <c r="D225" s="57"/>
      <c r="E225" s="57"/>
      <c r="F225" s="57"/>
      <c r="G225" s="57">
        <v>5</v>
      </c>
      <c r="H225" s="57" t="s">
        <v>883</v>
      </c>
      <c r="I225" s="13"/>
      <c r="J225" s="323"/>
      <c r="K225" s="132"/>
    </row>
    <row r="226" spans="2:12">
      <c r="B226" s="190">
        <f t="shared" si="8"/>
        <v>5</v>
      </c>
      <c r="C226" s="57"/>
      <c r="D226" s="57"/>
      <c r="E226" s="57"/>
      <c r="F226" s="57"/>
      <c r="G226" s="57" t="s">
        <v>17</v>
      </c>
      <c r="H226" s="57" t="s">
        <v>29</v>
      </c>
      <c r="I226" s="13"/>
      <c r="J226" s="323"/>
      <c r="K226" s="132"/>
    </row>
    <row r="227" spans="2:12">
      <c r="B227" s="190">
        <v>6</v>
      </c>
      <c r="C227" s="57"/>
      <c r="D227" s="57"/>
      <c r="E227" s="57"/>
      <c r="F227" s="57"/>
      <c r="G227" s="57">
        <v>3</v>
      </c>
      <c r="H227" s="57" t="s">
        <v>29</v>
      </c>
      <c r="I227" s="13"/>
      <c r="J227" s="323"/>
      <c r="K227" s="132"/>
    </row>
    <row r="228" spans="2:12">
      <c r="B228" s="190">
        <v>7</v>
      </c>
      <c r="C228" s="57"/>
      <c r="D228" s="57"/>
      <c r="E228" s="57"/>
      <c r="F228" s="57"/>
      <c r="G228" s="57">
        <v>8</v>
      </c>
      <c r="H228" s="57" t="s">
        <v>29</v>
      </c>
      <c r="I228" s="13"/>
      <c r="J228" s="323"/>
      <c r="K228" s="132"/>
    </row>
    <row r="229" spans="2:12" ht="18" customHeight="1">
      <c r="B229" s="190">
        <v>8</v>
      </c>
      <c r="C229" s="57"/>
      <c r="D229" s="57"/>
      <c r="E229" s="57"/>
      <c r="F229" s="57"/>
      <c r="G229" s="57">
        <v>12</v>
      </c>
      <c r="H229" s="57" t="s">
        <v>1336</v>
      </c>
      <c r="I229" s="131"/>
      <c r="J229" s="323"/>
      <c r="K229" s="132"/>
    </row>
    <row r="230" spans="2:12">
      <c r="B230" s="190">
        <f t="shared" si="8"/>
        <v>9</v>
      </c>
      <c r="C230" s="57"/>
      <c r="D230" s="57"/>
      <c r="E230" s="57"/>
      <c r="F230" s="57"/>
      <c r="G230" s="57" t="s">
        <v>17</v>
      </c>
      <c r="H230" s="57" t="s">
        <v>29</v>
      </c>
      <c r="I230" s="131"/>
      <c r="J230" s="322"/>
      <c r="K230" s="24"/>
    </row>
    <row r="231" spans="2:12" ht="19" customHeight="1">
      <c r="B231" s="190">
        <f t="shared" si="8"/>
        <v>10</v>
      </c>
      <c r="C231" s="57"/>
      <c r="D231" s="57"/>
      <c r="E231" s="57"/>
      <c r="F231" s="57"/>
      <c r="G231" s="57" t="s">
        <v>17</v>
      </c>
      <c r="H231" s="57" t="s">
        <v>586</v>
      </c>
      <c r="I231" s="131"/>
      <c r="J231" s="322"/>
      <c r="K231" s="132"/>
    </row>
    <row r="232" spans="2:12">
      <c r="B232" s="190">
        <f t="shared" si="8"/>
        <v>11</v>
      </c>
      <c r="C232" s="57"/>
      <c r="D232" s="57"/>
      <c r="E232" s="57"/>
      <c r="F232" s="57"/>
      <c r="G232" s="57" t="s">
        <v>17</v>
      </c>
      <c r="H232" s="57" t="s">
        <v>29</v>
      </c>
      <c r="I232" s="131"/>
      <c r="J232" s="322"/>
      <c r="K232" s="132"/>
    </row>
    <row r="233" spans="2:12">
      <c r="B233" s="190">
        <f t="shared" si="8"/>
        <v>12</v>
      </c>
      <c r="C233" s="23"/>
      <c r="D233" s="13"/>
      <c r="E233" s="14"/>
      <c r="F233" s="203"/>
      <c r="G233" s="204" t="s">
        <v>17</v>
      </c>
      <c r="H233" s="8" t="s">
        <v>29</v>
      </c>
      <c r="I233" s="13"/>
      <c r="J233" s="322"/>
      <c r="K233" s="132"/>
    </row>
    <row r="234" spans="2:12">
      <c r="B234" s="190">
        <f t="shared" si="8"/>
        <v>13</v>
      </c>
      <c r="C234" s="192"/>
      <c r="D234" s="131"/>
      <c r="E234" s="54"/>
      <c r="F234" s="203"/>
      <c r="G234" s="204">
        <v>1</v>
      </c>
      <c r="H234" s="194" t="s">
        <v>29</v>
      </c>
      <c r="I234" s="131"/>
      <c r="J234" s="322"/>
      <c r="K234" s="132"/>
    </row>
    <row r="235" spans="2:12">
      <c r="B235" s="190">
        <v>14</v>
      </c>
      <c r="C235" s="192"/>
      <c r="D235" s="235"/>
      <c r="E235" s="54"/>
      <c r="F235" s="203"/>
      <c r="G235" s="204">
        <v>7</v>
      </c>
      <c r="H235" s="194" t="s">
        <v>479</v>
      </c>
      <c r="I235" s="131"/>
      <c r="J235" s="322"/>
      <c r="K235" s="132"/>
    </row>
    <row r="236" spans="2:12" ht="16" thickBot="1">
      <c r="B236" s="190">
        <v>15</v>
      </c>
      <c r="C236" s="192"/>
      <c r="D236" s="192"/>
      <c r="E236" s="54"/>
      <c r="F236" s="203"/>
      <c r="G236" s="204">
        <v>12</v>
      </c>
      <c r="H236" s="312" t="s">
        <v>1336</v>
      </c>
      <c r="I236" s="131"/>
      <c r="J236" s="322"/>
      <c r="K236" s="132"/>
    </row>
    <row r="237" spans="2:12" ht="16" hidden="1" thickBot="1">
      <c r="B237" s="190">
        <v>16</v>
      </c>
      <c r="C237" s="192">
        <v>44860</v>
      </c>
      <c r="D237" s="131" t="s">
        <v>1337</v>
      </c>
      <c r="E237" s="54" t="s">
        <v>1339</v>
      </c>
      <c r="F237" s="203" t="s">
        <v>1340</v>
      </c>
      <c r="G237" s="204">
        <v>8</v>
      </c>
      <c r="H237" s="194" t="s">
        <v>29</v>
      </c>
      <c r="I237" s="131">
        <v>45428</v>
      </c>
      <c r="J237" s="322"/>
      <c r="K237" s="132" t="s">
        <v>400</v>
      </c>
    </row>
    <row r="238" spans="2:12" ht="16" hidden="1" thickBot="1">
      <c r="B238" s="190">
        <v>17</v>
      </c>
      <c r="C238" s="40"/>
      <c r="D238" s="13"/>
      <c r="E238" s="14"/>
      <c r="F238" s="93"/>
      <c r="G238" s="8"/>
      <c r="H238" s="7"/>
      <c r="I238" s="42"/>
      <c r="J238" s="323"/>
      <c r="K238" s="24"/>
      <c r="L238" s="31" t="s">
        <v>1341</v>
      </c>
    </row>
    <row r="239" spans="2:12" ht="22" thickBot="1">
      <c r="B239" s="367" t="s">
        <v>30</v>
      </c>
      <c r="C239" s="368"/>
      <c r="D239" s="368"/>
      <c r="E239" s="369"/>
      <c r="F239" s="370" t="s">
        <v>1507</v>
      </c>
      <c r="G239" s="371"/>
      <c r="H239" s="371"/>
      <c r="I239" s="371"/>
      <c r="J239" s="371"/>
      <c r="K239" s="372"/>
    </row>
    <row r="241" spans="2:11" ht="16" thickBot="1"/>
    <row r="242" spans="2:11" ht="25" thickBot="1">
      <c r="B242" s="364" t="s">
        <v>1510</v>
      </c>
      <c r="C242" s="365"/>
      <c r="D242" s="365"/>
      <c r="E242" s="365"/>
      <c r="F242" s="365"/>
      <c r="G242" s="365"/>
      <c r="H242" s="365"/>
      <c r="I242" s="365"/>
      <c r="J242" s="365"/>
      <c r="K242" s="366"/>
    </row>
    <row r="243" spans="2:11" ht="46" thickBot="1">
      <c r="B243" s="79" t="s">
        <v>12</v>
      </c>
      <c r="C243" s="79" t="s">
        <v>22</v>
      </c>
      <c r="D243" s="80" t="s">
        <v>14</v>
      </c>
      <c r="E243" s="80" t="s">
        <v>23</v>
      </c>
      <c r="F243" s="80" t="s">
        <v>24</v>
      </c>
      <c r="G243" s="80" t="s">
        <v>20</v>
      </c>
      <c r="H243" s="80" t="s">
        <v>25</v>
      </c>
      <c r="I243" s="81" t="s">
        <v>26</v>
      </c>
      <c r="J243" s="116"/>
      <c r="K243" s="82" t="s">
        <v>27</v>
      </c>
    </row>
    <row r="244" spans="2:11">
      <c r="B244" s="216">
        <v>1</v>
      </c>
      <c r="C244" s="133"/>
      <c r="D244" s="131"/>
      <c r="E244" s="131"/>
      <c r="F244" s="57"/>
      <c r="G244" s="92">
        <v>5</v>
      </c>
      <c r="H244" s="93" t="s">
        <v>29</v>
      </c>
      <c r="I244" s="131"/>
      <c r="J244" s="323"/>
      <c r="K244" s="132"/>
    </row>
    <row r="245" spans="2:11">
      <c r="B245" s="190">
        <f>B244+1</f>
        <v>2</v>
      </c>
      <c r="C245" s="289"/>
      <c r="D245" s="131"/>
      <c r="E245" s="54"/>
      <c r="F245" s="93"/>
      <c r="G245" s="92">
        <v>11</v>
      </c>
      <c r="H245" s="92" t="s">
        <v>1366</v>
      </c>
      <c r="I245" s="131"/>
      <c r="J245" s="323"/>
      <c r="K245" s="132"/>
    </row>
    <row r="246" spans="2:11" ht="18" customHeight="1">
      <c r="B246" s="190">
        <f t="shared" ref="B246:B256" si="9">B245+1</f>
        <v>3</v>
      </c>
      <c r="C246" s="289"/>
      <c r="D246" s="35"/>
      <c r="E246" s="14"/>
      <c r="F246" s="54"/>
      <c r="G246" s="8">
        <v>11</v>
      </c>
      <c r="H246" s="9" t="s">
        <v>1366</v>
      </c>
      <c r="I246" s="131"/>
      <c r="J246" s="323"/>
      <c r="K246" s="132"/>
    </row>
    <row r="247" spans="2:11" ht="17" customHeight="1">
      <c r="B247" s="190">
        <f t="shared" si="9"/>
        <v>4</v>
      </c>
      <c r="C247" s="289"/>
      <c r="D247" s="35"/>
      <c r="E247" s="57"/>
      <c r="F247" s="54"/>
      <c r="G247" s="57">
        <v>11</v>
      </c>
      <c r="H247" s="57" t="s">
        <v>1366</v>
      </c>
      <c r="I247" s="131"/>
      <c r="J247" s="323"/>
      <c r="K247" s="132"/>
    </row>
    <row r="248" spans="2:11" ht="18" customHeight="1">
      <c r="B248" s="190">
        <f t="shared" si="9"/>
        <v>5</v>
      </c>
      <c r="C248" s="289"/>
      <c r="D248" s="35"/>
      <c r="E248" s="57"/>
      <c r="F248" s="54"/>
      <c r="G248" s="57">
        <v>11</v>
      </c>
      <c r="H248" s="57" t="s">
        <v>1366</v>
      </c>
      <c r="I248" s="131"/>
      <c r="J248" s="323"/>
      <c r="K248" s="132"/>
    </row>
    <row r="249" spans="2:11">
      <c r="B249" s="190">
        <v>6</v>
      </c>
      <c r="C249" s="289"/>
      <c r="D249" s="35"/>
      <c r="E249" s="57"/>
      <c r="F249" s="57"/>
      <c r="G249" s="57" t="s">
        <v>17</v>
      </c>
      <c r="H249" s="57" t="s">
        <v>29</v>
      </c>
      <c r="I249" s="13"/>
      <c r="J249" s="323"/>
      <c r="K249" s="132"/>
    </row>
    <row r="250" spans="2:11">
      <c r="B250" s="190">
        <v>7</v>
      </c>
      <c r="C250" s="289"/>
      <c r="D250" s="35"/>
      <c r="E250" s="57"/>
      <c r="F250" s="57"/>
      <c r="G250" s="57" t="s">
        <v>17</v>
      </c>
      <c r="H250" s="57" t="s">
        <v>29</v>
      </c>
      <c r="I250" s="13"/>
      <c r="J250" s="323"/>
      <c r="K250" s="132"/>
    </row>
    <row r="251" spans="2:11">
      <c r="B251" s="190">
        <v>8</v>
      </c>
      <c r="C251" s="315"/>
      <c r="D251" s="35"/>
      <c r="E251" s="57"/>
      <c r="F251" s="57"/>
      <c r="G251" s="57">
        <v>1</v>
      </c>
      <c r="H251" s="57" t="s">
        <v>29</v>
      </c>
      <c r="I251" s="131"/>
      <c r="J251" s="323"/>
      <c r="K251" s="132"/>
    </row>
    <row r="252" spans="2:11">
      <c r="B252" s="190">
        <f t="shared" si="9"/>
        <v>9</v>
      </c>
      <c r="C252" s="315"/>
      <c r="D252" s="57"/>
      <c r="E252" s="57"/>
      <c r="F252" s="57"/>
      <c r="G252" s="57">
        <v>11</v>
      </c>
      <c r="H252" s="57" t="s">
        <v>29</v>
      </c>
      <c r="I252" s="131"/>
      <c r="J252" s="322"/>
      <c r="K252" s="24"/>
    </row>
    <row r="253" spans="2:11">
      <c r="B253" s="190">
        <f t="shared" si="9"/>
        <v>10</v>
      </c>
      <c r="C253" s="315"/>
      <c r="D253" s="57"/>
      <c r="E253" s="57"/>
      <c r="F253" s="57"/>
      <c r="G253" s="57">
        <v>1</v>
      </c>
      <c r="H253" s="57" t="s">
        <v>29</v>
      </c>
      <c r="I253" s="131"/>
      <c r="J253" s="322"/>
      <c r="K253" s="132"/>
    </row>
    <row r="254" spans="2:11" ht="16" thickBot="1">
      <c r="B254" s="190">
        <f t="shared" si="9"/>
        <v>11</v>
      </c>
      <c r="C254" s="315"/>
      <c r="D254" s="57"/>
      <c r="E254" s="57"/>
      <c r="F254" s="57"/>
      <c r="G254" s="57">
        <v>10</v>
      </c>
      <c r="H254" s="57" t="s">
        <v>29</v>
      </c>
      <c r="I254" s="131"/>
      <c r="J254" s="322"/>
      <c r="K254" s="132"/>
    </row>
    <row r="255" spans="2:11" ht="16" hidden="1" thickBot="1">
      <c r="B255" s="190">
        <f t="shared" si="9"/>
        <v>12</v>
      </c>
      <c r="C255" s="23"/>
      <c r="D255" s="13"/>
      <c r="E255" s="14"/>
      <c r="F255" s="203"/>
      <c r="G255" s="204"/>
      <c r="H255" s="8"/>
      <c r="I255" s="13"/>
      <c r="J255" s="322"/>
      <c r="K255" s="132"/>
    </row>
    <row r="256" spans="2:11" ht="16" hidden="1" thickBot="1">
      <c r="B256" s="190">
        <f t="shared" si="9"/>
        <v>13</v>
      </c>
      <c r="C256" s="192"/>
      <c r="D256" s="131"/>
      <c r="E256" s="54"/>
      <c r="F256" s="203"/>
      <c r="G256" s="204"/>
      <c r="H256" s="194"/>
      <c r="I256" s="131"/>
      <c r="J256" s="322"/>
      <c r="K256" s="132"/>
    </row>
    <row r="257" spans="2:11" ht="16" hidden="1" thickBot="1">
      <c r="B257" s="190">
        <v>14</v>
      </c>
      <c r="C257" s="192"/>
      <c r="D257" s="235"/>
      <c r="E257" s="54"/>
      <c r="F257" s="203"/>
      <c r="G257" s="204"/>
      <c r="H257" s="194"/>
      <c r="I257" s="131"/>
      <c r="J257" s="322"/>
      <c r="K257" s="132"/>
    </row>
    <row r="258" spans="2:11" ht="16" hidden="1" thickBot="1">
      <c r="B258" s="190">
        <v>15</v>
      </c>
      <c r="C258" s="192"/>
      <c r="D258" s="192"/>
      <c r="E258" s="54"/>
      <c r="F258" s="203"/>
      <c r="G258" s="204"/>
      <c r="H258" s="312"/>
      <c r="I258" s="131"/>
      <c r="J258" s="322"/>
      <c r="K258" s="132"/>
    </row>
    <row r="259" spans="2:11" ht="16" hidden="1" thickBot="1">
      <c r="B259" s="190">
        <v>16</v>
      </c>
      <c r="C259" s="192"/>
      <c r="D259" s="131"/>
      <c r="E259" s="54"/>
      <c r="F259" s="203"/>
      <c r="G259" s="204"/>
      <c r="H259" s="194"/>
      <c r="I259" s="131"/>
      <c r="J259" s="322"/>
      <c r="K259" s="132"/>
    </row>
    <row r="260" spans="2:11" ht="16" hidden="1" thickBot="1">
      <c r="B260" s="190">
        <v>17</v>
      </c>
      <c r="C260" s="40"/>
      <c r="D260" s="13"/>
      <c r="E260" s="14"/>
      <c r="F260" s="93"/>
      <c r="G260" s="8"/>
      <c r="H260" s="7"/>
      <c r="I260" s="42"/>
      <c r="J260" s="323"/>
      <c r="K260" s="24"/>
    </row>
    <row r="261" spans="2:11" ht="22" thickBot="1">
      <c r="B261" s="367" t="s">
        <v>30</v>
      </c>
      <c r="C261" s="368"/>
      <c r="D261" s="368"/>
      <c r="E261" s="369"/>
      <c r="F261" s="370" t="s">
        <v>1507</v>
      </c>
      <c r="G261" s="371"/>
      <c r="H261" s="371"/>
      <c r="I261" s="371"/>
      <c r="J261" s="371"/>
      <c r="K261" s="372"/>
    </row>
    <row r="262" spans="2:11" ht="16" thickBot="1"/>
    <row r="263" spans="2:11" ht="25" thickBot="1">
      <c r="B263" s="364" t="s">
        <v>1509</v>
      </c>
      <c r="C263" s="365"/>
      <c r="D263" s="365"/>
      <c r="E263" s="365"/>
      <c r="F263" s="365"/>
      <c r="G263" s="365"/>
      <c r="H263" s="365"/>
      <c r="I263" s="365"/>
      <c r="J263" s="365"/>
      <c r="K263" s="366"/>
    </row>
    <row r="264" spans="2:11" ht="46" thickBot="1">
      <c r="B264" s="79" t="s">
        <v>12</v>
      </c>
      <c r="C264" s="79" t="s">
        <v>22</v>
      </c>
      <c r="D264" s="80" t="s">
        <v>14</v>
      </c>
      <c r="E264" s="80" t="s">
        <v>23</v>
      </c>
      <c r="F264" s="80" t="s">
        <v>24</v>
      </c>
      <c r="G264" s="80" t="s">
        <v>20</v>
      </c>
      <c r="H264" s="80" t="s">
        <v>25</v>
      </c>
      <c r="I264" s="81" t="s">
        <v>26</v>
      </c>
      <c r="J264" s="116"/>
      <c r="K264" s="82" t="s">
        <v>27</v>
      </c>
    </row>
    <row r="265" spans="2:11">
      <c r="B265" s="216">
        <v>1</v>
      </c>
      <c r="C265" s="133"/>
      <c r="D265" s="131"/>
      <c r="E265" s="131"/>
      <c r="F265" s="57"/>
      <c r="G265" s="92">
        <v>5</v>
      </c>
      <c r="H265" s="93" t="s">
        <v>29</v>
      </c>
      <c r="I265" s="131"/>
      <c r="J265" s="323"/>
      <c r="K265" s="132"/>
    </row>
    <row r="266" spans="2:11">
      <c r="B266" s="190">
        <f>B265+1</f>
        <v>2</v>
      </c>
      <c r="C266" s="289"/>
      <c r="D266" s="131"/>
      <c r="E266" s="54"/>
      <c r="F266" s="93"/>
      <c r="G266" s="92" t="s">
        <v>17</v>
      </c>
      <c r="H266" s="92" t="s">
        <v>29</v>
      </c>
      <c r="I266" s="131"/>
      <c r="J266" s="323"/>
      <c r="K266" s="132"/>
    </row>
    <row r="267" spans="2:11">
      <c r="B267" s="190">
        <f t="shared" ref="B267:B277" si="10">B266+1</f>
        <v>3</v>
      </c>
      <c r="C267" s="289"/>
      <c r="D267" s="35"/>
      <c r="E267" s="35"/>
      <c r="F267" s="54"/>
      <c r="G267" s="8">
        <v>6</v>
      </c>
      <c r="H267" s="9" t="s">
        <v>29</v>
      </c>
      <c r="I267" s="131"/>
      <c r="J267" s="323"/>
      <c r="K267" s="132"/>
    </row>
    <row r="268" spans="2:11">
      <c r="B268" s="190">
        <f t="shared" si="10"/>
        <v>4</v>
      </c>
      <c r="C268" s="315"/>
      <c r="D268" s="35"/>
      <c r="E268" s="57"/>
      <c r="F268" s="57"/>
      <c r="G268" s="57">
        <v>1</v>
      </c>
      <c r="H268" s="57" t="s">
        <v>29</v>
      </c>
      <c r="I268" s="131"/>
      <c r="J268" s="323"/>
      <c r="K268" s="132"/>
    </row>
    <row r="269" spans="2:11" ht="16" customHeight="1">
      <c r="B269" s="190">
        <f t="shared" si="10"/>
        <v>5</v>
      </c>
      <c r="C269" s="23"/>
      <c r="D269" s="13"/>
      <c r="E269" s="14"/>
      <c r="F269" s="54"/>
      <c r="G269" s="8">
        <v>11</v>
      </c>
      <c r="H269" s="9" t="s">
        <v>867</v>
      </c>
      <c r="I269" s="13"/>
      <c r="J269" s="322"/>
      <c r="K269" s="132"/>
    </row>
    <row r="270" spans="2:11">
      <c r="B270" s="190">
        <v>6</v>
      </c>
      <c r="C270" s="289"/>
      <c r="D270" s="35"/>
      <c r="E270" s="57"/>
      <c r="F270" s="57"/>
      <c r="G270" s="57">
        <v>10</v>
      </c>
      <c r="H270" s="57" t="s">
        <v>29</v>
      </c>
      <c r="I270" s="13"/>
      <c r="J270" s="322"/>
      <c r="K270" s="132"/>
    </row>
    <row r="271" spans="2:11">
      <c r="B271" s="190">
        <v>7</v>
      </c>
      <c r="C271" s="289"/>
      <c r="D271" s="35"/>
      <c r="E271" s="57"/>
      <c r="F271" s="57"/>
      <c r="G271" s="57">
        <v>12</v>
      </c>
      <c r="H271" s="57" t="s">
        <v>29</v>
      </c>
      <c r="I271" s="13"/>
      <c r="J271" s="322"/>
      <c r="K271" s="132"/>
    </row>
    <row r="272" spans="2:11">
      <c r="B272" s="190">
        <v>8</v>
      </c>
      <c r="C272" s="315"/>
      <c r="D272" s="35"/>
      <c r="E272" s="57"/>
      <c r="F272" s="57"/>
      <c r="G272" s="57">
        <v>5</v>
      </c>
      <c r="H272" s="57" t="s">
        <v>29</v>
      </c>
      <c r="I272" s="131"/>
      <c r="J272" s="322"/>
      <c r="K272" s="132"/>
    </row>
    <row r="273" spans="2:11">
      <c r="B273" s="190">
        <f t="shared" si="10"/>
        <v>9</v>
      </c>
      <c r="C273" s="133"/>
      <c r="D273" s="54"/>
      <c r="E273" s="54"/>
      <c r="F273" s="54"/>
      <c r="G273" s="92">
        <v>1</v>
      </c>
      <c r="H273" s="93" t="s">
        <v>29</v>
      </c>
      <c r="I273" s="131"/>
      <c r="J273" s="322"/>
      <c r="K273" s="132"/>
    </row>
    <row r="274" spans="2:11">
      <c r="B274" s="190">
        <f t="shared" si="10"/>
        <v>10</v>
      </c>
      <c r="C274" s="316"/>
      <c r="D274" s="235"/>
      <c r="E274" s="57"/>
      <c r="F274" s="57"/>
      <c r="G274" s="57">
        <v>1</v>
      </c>
      <c r="H274" s="57" t="s">
        <v>29</v>
      </c>
      <c r="I274" s="131"/>
      <c r="J274" s="322"/>
      <c r="K274" s="132"/>
    </row>
    <row r="275" spans="2:11">
      <c r="B275" s="190">
        <f t="shared" si="10"/>
        <v>11</v>
      </c>
      <c r="C275" s="315"/>
      <c r="D275" s="57"/>
      <c r="E275" s="57"/>
      <c r="F275" s="57"/>
      <c r="G275" s="57">
        <v>6</v>
      </c>
      <c r="H275" s="57" t="s">
        <v>29</v>
      </c>
      <c r="I275" s="131"/>
      <c r="J275" s="322"/>
      <c r="K275" s="132"/>
    </row>
    <row r="276" spans="2:11">
      <c r="B276" s="190">
        <f t="shared" si="10"/>
        <v>12</v>
      </c>
      <c r="C276" s="23"/>
      <c r="D276" s="13"/>
      <c r="E276" s="14"/>
      <c r="F276" s="203"/>
      <c r="G276" s="204">
        <v>1</v>
      </c>
      <c r="H276" s="8" t="s">
        <v>29</v>
      </c>
      <c r="I276" s="13"/>
      <c r="J276" s="322"/>
      <c r="K276" s="132"/>
    </row>
    <row r="277" spans="2:11">
      <c r="B277" s="190">
        <f t="shared" si="10"/>
        <v>13</v>
      </c>
      <c r="C277" s="192"/>
      <c r="D277" s="131"/>
      <c r="E277" s="54"/>
      <c r="F277" s="203"/>
      <c r="G277" s="204" t="s">
        <v>17</v>
      </c>
      <c r="H277" s="194" t="s">
        <v>29</v>
      </c>
      <c r="I277" s="131"/>
      <c r="J277" s="322"/>
      <c r="K277" s="132"/>
    </row>
    <row r="278" spans="2:11">
      <c r="B278" s="190">
        <v>14</v>
      </c>
      <c r="C278" s="192"/>
      <c r="D278" s="235"/>
      <c r="E278" s="54"/>
      <c r="F278" s="203"/>
      <c r="G278" s="204">
        <v>10</v>
      </c>
      <c r="H278" s="194" t="s">
        <v>29</v>
      </c>
      <c r="I278" s="131"/>
      <c r="J278" s="322"/>
      <c r="K278" s="132"/>
    </row>
    <row r="279" spans="2:11" ht="16" thickBot="1">
      <c r="B279" s="190">
        <v>15</v>
      </c>
      <c r="C279" s="192"/>
      <c r="D279" s="315"/>
      <c r="E279" s="54"/>
      <c r="F279" s="203"/>
      <c r="G279" s="204">
        <v>7</v>
      </c>
      <c r="H279" s="312" t="s">
        <v>1380</v>
      </c>
      <c r="I279" s="131"/>
      <c r="J279" s="322"/>
      <c r="K279" s="132"/>
    </row>
    <row r="280" spans="2:11" ht="16" hidden="1" thickBot="1">
      <c r="B280" s="190">
        <v>16</v>
      </c>
      <c r="C280" s="192"/>
      <c r="D280" s="315"/>
      <c r="E280" s="54"/>
      <c r="F280" s="203"/>
      <c r="G280" s="204"/>
      <c r="H280" s="312"/>
      <c r="I280" s="131"/>
      <c r="J280" s="322"/>
      <c r="K280" s="132"/>
    </row>
    <row r="281" spans="2:11" ht="16" hidden="1" thickBot="1">
      <c r="B281" s="190">
        <v>17</v>
      </c>
      <c r="C281" s="192"/>
      <c r="D281" s="315"/>
      <c r="E281" s="54"/>
      <c r="F281" s="203"/>
      <c r="G281" s="204"/>
      <c r="H281" s="312"/>
      <c r="I281" s="131"/>
      <c r="J281" s="322"/>
      <c r="K281" s="132"/>
    </row>
    <row r="282" spans="2:11" ht="16" hidden="1" thickBot="1">
      <c r="B282" s="190">
        <v>18</v>
      </c>
      <c r="C282" s="192"/>
      <c r="D282" s="192"/>
      <c r="E282" s="54"/>
      <c r="F282" s="203"/>
      <c r="G282" s="204"/>
      <c r="H282" s="312"/>
      <c r="I282" s="131"/>
      <c r="J282" s="322"/>
      <c r="K282" s="132"/>
    </row>
    <row r="283" spans="2:11" ht="16" hidden="1" thickBot="1">
      <c r="B283" s="190">
        <v>19</v>
      </c>
      <c r="C283" s="192"/>
      <c r="D283" s="131"/>
      <c r="E283" s="54"/>
      <c r="F283" s="203"/>
      <c r="G283" s="204"/>
      <c r="H283" s="194"/>
      <c r="I283" s="131"/>
      <c r="J283" s="322"/>
      <c r="K283" s="132"/>
    </row>
    <row r="284" spans="2:11" ht="16" hidden="1" thickBot="1">
      <c r="B284" s="190">
        <v>20</v>
      </c>
      <c r="C284" s="40"/>
      <c r="D284" s="13"/>
      <c r="E284" s="14"/>
      <c r="F284" s="93"/>
      <c r="G284" s="8"/>
      <c r="H284" s="7"/>
      <c r="I284" s="42"/>
      <c r="J284" s="323"/>
      <c r="K284" s="24"/>
    </row>
    <row r="285" spans="2:11" ht="22" thickBot="1">
      <c r="B285" s="367" t="s">
        <v>30</v>
      </c>
      <c r="C285" s="368"/>
      <c r="D285" s="368"/>
      <c r="E285" s="369"/>
      <c r="F285" s="370" t="s">
        <v>1507</v>
      </c>
      <c r="G285" s="371"/>
      <c r="H285" s="371"/>
      <c r="I285" s="371"/>
      <c r="J285" s="371"/>
      <c r="K285" s="372"/>
    </row>
    <row r="286" spans="2:11" ht="16" thickBot="1"/>
    <row r="287" spans="2:11" ht="25" thickBot="1">
      <c r="B287" s="364" t="s">
        <v>1508</v>
      </c>
      <c r="C287" s="365"/>
      <c r="D287" s="365"/>
      <c r="E287" s="365"/>
      <c r="F287" s="365"/>
      <c r="G287" s="365"/>
      <c r="H287" s="365"/>
      <c r="I287" s="365"/>
      <c r="J287" s="365"/>
      <c r="K287" s="366"/>
    </row>
    <row r="288" spans="2:11" ht="46" thickBot="1">
      <c r="B288" s="79" t="s">
        <v>12</v>
      </c>
      <c r="C288" s="79" t="s">
        <v>22</v>
      </c>
      <c r="D288" s="80" t="s">
        <v>14</v>
      </c>
      <c r="E288" s="80" t="s">
        <v>23</v>
      </c>
      <c r="F288" s="80" t="s">
        <v>24</v>
      </c>
      <c r="G288" s="80" t="s">
        <v>20</v>
      </c>
      <c r="H288" s="80" t="s">
        <v>25</v>
      </c>
      <c r="I288" s="81" t="s">
        <v>26</v>
      </c>
      <c r="J288" s="116"/>
      <c r="K288" s="82" t="s">
        <v>27</v>
      </c>
    </row>
    <row r="289" spans="2:11">
      <c r="B289" s="216">
        <v>1</v>
      </c>
      <c r="C289" s="133"/>
      <c r="D289" s="131"/>
      <c r="E289" s="131"/>
      <c r="F289" s="57"/>
      <c r="G289" s="92">
        <v>9</v>
      </c>
      <c r="H289" s="93" t="s">
        <v>29</v>
      </c>
      <c r="I289" s="131"/>
      <c r="J289" s="323"/>
      <c r="K289" s="132"/>
    </row>
    <row r="290" spans="2:11">
      <c r="B290" s="190">
        <f>B289+1</f>
        <v>2</v>
      </c>
      <c r="C290" s="289" t="s">
        <v>29</v>
      </c>
      <c r="D290" s="131"/>
      <c r="E290" s="54"/>
      <c r="F290" s="93"/>
      <c r="G290" s="92">
        <v>3</v>
      </c>
      <c r="H290" s="92" t="s">
        <v>29</v>
      </c>
      <c r="I290" s="131"/>
      <c r="J290" s="323"/>
      <c r="K290" s="132"/>
    </row>
    <row r="291" spans="2:11">
      <c r="B291" s="190">
        <f t="shared" ref="B291:B301" si="11">B290+1</f>
        <v>3</v>
      </c>
      <c r="C291" s="289"/>
      <c r="D291" s="35"/>
      <c r="E291" s="35"/>
      <c r="F291" s="54"/>
      <c r="G291" s="8" t="s">
        <v>17</v>
      </c>
      <c r="H291" s="9" t="s">
        <v>29</v>
      </c>
      <c r="I291" s="131"/>
      <c r="J291" s="323"/>
      <c r="K291" s="132"/>
    </row>
    <row r="292" spans="2:11">
      <c r="B292" s="190">
        <f t="shared" si="11"/>
        <v>4</v>
      </c>
      <c r="C292" s="315"/>
      <c r="D292" s="35"/>
      <c r="E292" s="57"/>
      <c r="F292" s="57"/>
      <c r="G292" s="57">
        <v>5</v>
      </c>
      <c r="H292" s="57" t="s">
        <v>29</v>
      </c>
      <c r="I292" s="131"/>
      <c r="J292" s="323"/>
      <c r="K292" s="132"/>
    </row>
    <row r="293" spans="2:11">
      <c r="B293" s="190">
        <f t="shared" si="11"/>
        <v>5</v>
      </c>
      <c r="C293" s="23"/>
      <c r="D293" s="13"/>
      <c r="E293" s="14"/>
      <c r="F293" s="54"/>
      <c r="G293" s="8">
        <v>2</v>
      </c>
      <c r="H293" s="9" t="s">
        <v>29</v>
      </c>
      <c r="I293" s="13"/>
      <c r="J293" s="322"/>
      <c r="K293" s="132"/>
    </row>
    <row r="294" spans="2:11">
      <c r="B294" s="190">
        <v>6</v>
      </c>
      <c r="C294" s="289"/>
      <c r="D294" s="35"/>
      <c r="E294" s="57"/>
      <c r="F294" s="57"/>
      <c r="G294" s="57" t="s">
        <v>17</v>
      </c>
      <c r="H294" s="57" t="s">
        <v>29</v>
      </c>
      <c r="I294" s="13"/>
      <c r="J294" s="322"/>
      <c r="K294" s="132"/>
    </row>
    <row r="295" spans="2:11">
      <c r="B295" s="190">
        <v>7</v>
      </c>
      <c r="C295" s="289"/>
      <c r="D295" s="35"/>
      <c r="E295" s="57"/>
      <c r="F295" s="57"/>
      <c r="G295" s="57">
        <v>5</v>
      </c>
      <c r="H295" s="57" t="s">
        <v>29</v>
      </c>
      <c r="I295" s="13"/>
      <c r="J295" s="322"/>
      <c r="K295" s="132"/>
    </row>
    <row r="296" spans="2:11">
      <c r="B296" s="190">
        <v>8</v>
      </c>
      <c r="C296" s="315"/>
      <c r="D296" s="35"/>
      <c r="E296" s="57"/>
      <c r="F296" s="57"/>
      <c r="G296" s="57">
        <v>4</v>
      </c>
      <c r="H296" s="57" t="s">
        <v>29</v>
      </c>
      <c r="I296" s="131"/>
      <c r="J296" s="322"/>
      <c r="K296" s="132"/>
    </row>
    <row r="297" spans="2:11">
      <c r="B297" s="190">
        <f t="shared" si="11"/>
        <v>9</v>
      </c>
      <c r="C297" s="133"/>
      <c r="D297" s="54"/>
      <c r="E297" s="54"/>
      <c r="F297" s="54"/>
      <c r="G297" s="92">
        <v>2</v>
      </c>
      <c r="H297" s="93" t="s">
        <v>29</v>
      </c>
      <c r="I297" s="131"/>
      <c r="J297" s="322"/>
      <c r="K297" s="132"/>
    </row>
    <row r="298" spans="2:11">
      <c r="B298" s="190">
        <f t="shared" si="11"/>
        <v>10</v>
      </c>
      <c r="C298" s="316"/>
      <c r="D298" s="235"/>
      <c r="E298" s="57"/>
      <c r="F298" s="57"/>
      <c r="G298" s="57" t="s">
        <v>17</v>
      </c>
      <c r="H298" s="57" t="s">
        <v>29</v>
      </c>
      <c r="I298" s="131"/>
      <c r="J298" s="322"/>
      <c r="K298" s="132"/>
    </row>
    <row r="299" spans="2:11">
      <c r="B299" s="190">
        <f t="shared" si="11"/>
        <v>11</v>
      </c>
      <c r="C299" s="315"/>
      <c r="D299" s="57"/>
      <c r="E299" s="57"/>
      <c r="F299" s="57"/>
      <c r="G299" s="57">
        <v>5</v>
      </c>
      <c r="H299" s="57" t="s">
        <v>29</v>
      </c>
      <c r="I299" s="131"/>
      <c r="J299" s="322"/>
      <c r="K299" s="132"/>
    </row>
    <row r="300" spans="2:11" ht="16" thickBot="1">
      <c r="B300" s="190">
        <f t="shared" si="11"/>
        <v>12</v>
      </c>
      <c r="C300" s="23"/>
      <c r="D300" s="13"/>
      <c r="E300" s="57"/>
      <c r="F300" s="57"/>
      <c r="G300" s="204">
        <v>5</v>
      </c>
      <c r="H300" s="8" t="s">
        <v>29</v>
      </c>
      <c r="I300" s="13"/>
      <c r="J300" s="322"/>
      <c r="K300" s="132"/>
    </row>
    <row r="301" spans="2:11" ht="16" hidden="1" thickBot="1">
      <c r="B301" s="190">
        <f t="shared" si="11"/>
        <v>13</v>
      </c>
      <c r="C301" s="192"/>
      <c r="D301" s="131"/>
      <c r="E301" s="54"/>
      <c r="F301" s="203"/>
      <c r="G301" s="204"/>
      <c r="H301" s="194"/>
      <c r="I301" s="131"/>
      <c r="J301" s="322"/>
      <c r="K301" s="132"/>
    </row>
    <row r="302" spans="2:11" ht="16" hidden="1" thickBot="1">
      <c r="B302" s="190">
        <v>14</v>
      </c>
      <c r="C302" s="192"/>
      <c r="D302" s="235"/>
      <c r="E302" s="54"/>
      <c r="F302" s="203"/>
      <c r="G302" s="204"/>
      <c r="H302" s="194"/>
      <c r="I302" s="131"/>
      <c r="J302" s="322"/>
      <c r="K302" s="132"/>
    </row>
    <row r="303" spans="2:11" ht="16" hidden="1" thickBot="1">
      <c r="B303" s="190">
        <v>15</v>
      </c>
      <c r="C303" s="192"/>
      <c r="D303" s="315"/>
      <c r="E303" s="54"/>
      <c r="F303" s="203"/>
      <c r="G303" s="204"/>
      <c r="H303" s="312"/>
      <c r="I303" s="131"/>
      <c r="J303" s="322"/>
      <c r="K303" s="132"/>
    </row>
    <row r="304" spans="2:11" ht="16" hidden="1" thickBot="1">
      <c r="B304" s="190">
        <v>16</v>
      </c>
      <c r="C304" s="192"/>
      <c r="D304" s="315"/>
      <c r="E304" s="54"/>
      <c r="F304" s="203"/>
      <c r="G304" s="204"/>
      <c r="H304" s="312"/>
      <c r="I304" s="131"/>
      <c r="J304" s="322"/>
      <c r="K304" s="132"/>
    </row>
    <row r="305" spans="2:11" ht="16" hidden="1" thickBot="1">
      <c r="B305" s="190">
        <v>17</v>
      </c>
      <c r="C305" s="192"/>
      <c r="D305" s="315"/>
      <c r="E305" s="54"/>
      <c r="F305" s="203"/>
      <c r="G305" s="204"/>
      <c r="H305" s="312"/>
      <c r="I305" s="131"/>
      <c r="J305" s="322"/>
      <c r="K305" s="132"/>
    </row>
    <row r="306" spans="2:11" ht="16" hidden="1" thickBot="1">
      <c r="B306" s="190">
        <v>18</v>
      </c>
      <c r="C306" s="192"/>
      <c r="D306" s="192"/>
      <c r="E306" s="54"/>
      <c r="F306" s="203"/>
      <c r="G306" s="204"/>
      <c r="H306" s="312"/>
      <c r="I306" s="131"/>
      <c r="J306" s="322"/>
      <c r="K306" s="132"/>
    </row>
    <row r="307" spans="2:11" ht="16" hidden="1" thickBot="1">
      <c r="B307" s="190">
        <v>19</v>
      </c>
      <c r="C307" s="192"/>
      <c r="D307" s="131"/>
      <c r="E307" s="54"/>
      <c r="F307" s="203"/>
      <c r="G307" s="204"/>
      <c r="H307" s="194"/>
      <c r="I307" s="131"/>
      <c r="J307" s="322"/>
      <c r="K307" s="132"/>
    </row>
    <row r="308" spans="2:11" ht="16" hidden="1" thickBot="1">
      <c r="B308" s="190">
        <v>20</v>
      </c>
      <c r="C308" s="40"/>
      <c r="D308" s="13"/>
      <c r="E308" s="14"/>
      <c r="F308" s="93"/>
      <c r="G308" s="8"/>
      <c r="H308" s="7"/>
      <c r="I308" s="42"/>
      <c r="J308" s="323"/>
      <c r="K308" s="24"/>
    </row>
    <row r="309" spans="2:11" ht="22" thickBot="1">
      <c r="B309" s="367" t="s">
        <v>30</v>
      </c>
      <c r="C309" s="368"/>
      <c r="D309" s="368"/>
      <c r="E309" s="369"/>
      <c r="F309" s="370" t="s">
        <v>1507</v>
      </c>
      <c r="G309" s="371"/>
      <c r="H309" s="371"/>
      <c r="I309" s="371"/>
      <c r="J309" s="371"/>
      <c r="K309" s="372"/>
    </row>
    <row r="1048164" spans="9:9">
      <c r="I1048164" s="13"/>
    </row>
  </sheetData>
  <mergeCells count="24">
    <mergeCell ref="B218:E218"/>
    <mergeCell ref="F218:K218"/>
    <mergeCell ref="B287:K287"/>
    <mergeCell ref="B309:E309"/>
    <mergeCell ref="F309:K309"/>
    <mergeCell ref="B263:K263"/>
    <mergeCell ref="B285:E285"/>
    <mergeCell ref="F285:K285"/>
    <mergeCell ref="B3:K3"/>
    <mergeCell ref="B30:E30"/>
    <mergeCell ref="F30:K30"/>
    <mergeCell ref="B242:K242"/>
    <mergeCell ref="B261:E261"/>
    <mergeCell ref="F261:K261"/>
    <mergeCell ref="B107:E107"/>
    <mergeCell ref="F107:K107"/>
    <mergeCell ref="B239:E239"/>
    <mergeCell ref="F239:K239"/>
    <mergeCell ref="B34:K34"/>
    <mergeCell ref="B220:K220"/>
    <mergeCell ref="B112:K112"/>
    <mergeCell ref="B197:E197"/>
    <mergeCell ref="F197:K197"/>
    <mergeCell ref="B202:K202"/>
  </mergeCells>
  <phoneticPr fontId="27" type="noConversion"/>
  <hyperlinks>
    <hyperlink ref="D59" r:id="rId1" xr:uid="{971D88A8-24CE-E741-A0EE-A36D3216A2C3}"/>
  </hyperlinks>
  <pageMargins left="0.7" right="0.7" top="0.75" bottom="0.75" header="0.3" footer="0.3"/>
  <pageSetup paperSize="9" orientation="portrait" horizontalDpi="4294967293" verticalDpi="0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F7FD-DCDA-F54B-A9C8-F904490FECCF}">
  <dimension ref="B2:H42"/>
  <sheetViews>
    <sheetView topLeftCell="A32" zoomScale="140" zoomScaleNormal="140" workbookViewId="0">
      <selection activeCell="L13" sqref="L13"/>
    </sheetView>
  </sheetViews>
  <sheetFormatPr baseColWidth="10" defaultRowHeight="15"/>
  <cols>
    <col min="2" max="2" width="4" customWidth="1"/>
    <col min="3" max="3" width="14.6640625" customWidth="1"/>
    <col min="4" max="4" width="33.83203125" customWidth="1"/>
    <col min="5" max="7" width="0" hidden="1" customWidth="1"/>
    <col min="8" max="8" width="25.5" customWidth="1"/>
  </cols>
  <sheetData>
    <row r="2" spans="2:8" ht="16" thickBot="1"/>
    <row r="3" spans="2:8" ht="27" thickBot="1">
      <c r="B3" s="388" t="s">
        <v>1431</v>
      </c>
      <c r="C3" s="389"/>
      <c r="D3" s="389"/>
      <c r="E3" s="389"/>
      <c r="F3" s="389"/>
      <c r="G3" s="389"/>
      <c r="H3" s="390"/>
    </row>
    <row r="4" spans="2:8" ht="31" customHeight="1" thickBot="1">
      <c r="B4" s="79" t="s">
        <v>12</v>
      </c>
      <c r="C4" s="80" t="s">
        <v>14</v>
      </c>
      <c r="D4" s="80" t="s">
        <v>23</v>
      </c>
      <c r="E4" s="80" t="s">
        <v>20</v>
      </c>
      <c r="F4" s="80" t="s">
        <v>25</v>
      </c>
      <c r="G4" s="81" t="s">
        <v>363</v>
      </c>
      <c r="H4" s="82" t="s">
        <v>27</v>
      </c>
    </row>
    <row r="5" spans="2:8" ht="30">
      <c r="B5" s="15">
        <v>1</v>
      </c>
      <c r="C5" s="13" t="s">
        <v>814</v>
      </c>
      <c r="D5" s="14" t="s">
        <v>1432</v>
      </c>
      <c r="E5" s="41">
        <v>1</v>
      </c>
      <c r="F5" s="49" t="s">
        <v>29</v>
      </c>
      <c r="G5" s="13">
        <v>45334</v>
      </c>
      <c r="H5" s="24" t="s">
        <v>1433</v>
      </c>
    </row>
    <row r="6" spans="2:8" ht="30">
      <c r="B6" s="16">
        <f>B5+1</f>
        <v>2</v>
      </c>
      <c r="C6" s="13" t="s">
        <v>807</v>
      </c>
      <c r="D6" s="14" t="s">
        <v>793</v>
      </c>
      <c r="E6" s="8" t="s">
        <v>17</v>
      </c>
      <c r="F6" s="9" t="s">
        <v>572</v>
      </c>
      <c r="G6" s="13">
        <v>45322</v>
      </c>
      <c r="H6" s="24" t="s">
        <v>1433</v>
      </c>
    </row>
    <row r="7" spans="2:8" ht="30">
      <c r="B7" s="16">
        <f t="shared" ref="B7:B41" si="0">B6+1</f>
        <v>3</v>
      </c>
      <c r="C7" s="13" t="s">
        <v>413</v>
      </c>
      <c r="D7" s="14" t="s">
        <v>382</v>
      </c>
      <c r="E7" s="8" t="s">
        <v>17</v>
      </c>
      <c r="F7" s="9" t="s">
        <v>586</v>
      </c>
      <c r="G7" s="13">
        <v>45322</v>
      </c>
      <c r="H7" s="24" t="s">
        <v>1433</v>
      </c>
    </row>
    <row r="8" spans="2:8" ht="30">
      <c r="B8" s="16">
        <f t="shared" si="0"/>
        <v>4</v>
      </c>
      <c r="C8" s="13" t="s">
        <v>579</v>
      </c>
      <c r="D8" s="14" t="s">
        <v>1434</v>
      </c>
      <c r="E8" s="41">
        <v>5</v>
      </c>
      <c r="F8" s="49" t="s">
        <v>592</v>
      </c>
      <c r="G8" s="13">
        <v>45322</v>
      </c>
      <c r="H8" s="24" t="s">
        <v>1433</v>
      </c>
    </row>
    <row r="9" spans="2:8" ht="30">
      <c r="B9" s="16">
        <f t="shared" si="0"/>
        <v>5</v>
      </c>
      <c r="C9" s="13" t="s">
        <v>815</v>
      </c>
      <c r="D9" s="14" t="s">
        <v>1435</v>
      </c>
      <c r="E9" s="8">
        <v>1</v>
      </c>
      <c r="F9" s="9" t="s">
        <v>29</v>
      </c>
      <c r="G9" s="131">
        <v>45323</v>
      </c>
      <c r="H9" s="24" t="s">
        <v>1433</v>
      </c>
    </row>
    <row r="10" spans="2:8" ht="30">
      <c r="B10" s="16">
        <f t="shared" si="0"/>
        <v>6</v>
      </c>
      <c r="C10" s="13" t="s">
        <v>1436</v>
      </c>
      <c r="D10" s="14" t="s">
        <v>1437</v>
      </c>
      <c r="E10" s="8">
        <v>9</v>
      </c>
      <c r="F10" s="9" t="s">
        <v>29</v>
      </c>
      <c r="G10" s="131">
        <v>45327</v>
      </c>
      <c r="H10" s="24" t="s">
        <v>1433</v>
      </c>
    </row>
    <row r="11" spans="2:8" ht="30">
      <c r="B11" s="190">
        <f t="shared" si="0"/>
        <v>7</v>
      </c>
      <c r="C11" s="35" t="s">
        <v>1458</v>
      </c>
      <c r="D11" s="14" t="s">
        <v>1437</v>
      </c>
      <c r="E11" s="14">
        <v>1</v>
      </c>
      <c r="F11" s="36" t="s">
        <v>29</v>
      </c>
      <c r="G11" s="131">
        <v>45327</v>
      </c>
      <c r="H11" s="24" t="s">
        <v>1433</v>
      </c>
    </row>
    <row r="12" spans="2:8" ht="30">
      <c r="B12" s="16">
        <f t="shared" si="0"/>
        <v>8</v>
      </c>
      <c r="C12" s="131" t="s">
        <v>1438</v>
      </c>
      <c r="D12" s="54" t="s">
        <v>1437</v>
      </c>
      <c r="E12" s="92">
        <v>7</v>
      </c>
      <c r="F12" s="93" t="s">
        <v>608</v>
      </c>
      <c r="G12" s="131">
        <v>45327</v>
      </c>
      <c r="H12" s="24" t="s">
        <v>1433</v>
      </c>
    </row>
    <row r="13" spans="2:8" ht="30">
      <c r="B13" s="16">
        <f t="shared" si="0"/>
        <v>9</v>
      </c>
      <c r="C13" s="131" t="s">
        <v>1439</v>
      </c>
      <c r="D13" s="54" t="s">
        <v>1437</v>
      </c>
      <c r="E13" s="92">
        <v>1</v>
      </c>
      <c r="F13" s="93" t="s">
        <v>29</v>
      </c>
      <c r="G13" s="131">
        <v>45327</v>
      </c>
      <c r="H13" s="24" t="s">
        <v>1433</v>
      </c>
    </row>
    <row r="14" spans="2:8" ht="30">
      <c r="B14" s="16">
        <f t="shared" si="0"/>
        <v>10</v>
      </c>
      <c r="C14" s="131" t="s">
        <v>1440</v>
      </c>
      <c r="D14" s="54" t="s">
        <v>1437</v>
      </c>
      <c r="E14" s="92">
        <v>4</v>
      </c>
      <c r="F14" s="93" t="s">
        <v>29</v>
      </c>
      <c r="G14" s="131">
        <v>45327</v>
      </c>
      <c r="H14" s="24" t="s">
        <v>1433</v>
      </c>
    </row>
    <row r="15" spans="2:8" ht="30">
      <c r="B15" s="16">
        <f t="shared" si="0"/>
        <v>11</v>
      </c>
      <c r="C15" s="131" t="s">
        <v>1023</v>
      </c>
      <c r="D15" s="54" t="s">
        <v>976</v>
      </c>
      <c r="E15" s="92" t="s">
        <v>17</v>
      </c>
      <c r="F15" s="93" t="s">
        <v>592</v>
      </c>
      <c r="G15" s="131">
        <v>45328</v>
      </c>
      <c r="H15" s="24" t="s">
        <v>1433</v>
      </c>
    </row>
    <row r="16" spans="2:8" ht="30">
      <c r="B16" s="16">
        <f t="shared" si="0"/>
        <v>12</v>
      </c>
      <c r="C16" s="13" t="s">
        <v>1441</v>
      </c>
      <c r="D16" s="14" t="s">
        <v>1437</v>
      </c>
      <c r="E16" s="8" t="s">
        <v>17</v>
      </c>
      <c r="F16" s="8" t="s">
        <v>29</v>
      </c>
      <c r="G16" s="13">
        <v>45328</v>
      </c>
      <c r="H16" s="24" t="s">
        <v>1433</v>
      </c>
    </row>
    <row r="17" spans="2:8" ht="30">
      <c r="B17" s="190">
        <f t="shared" si="0"/>
        <v>13</v>
      </c>
      <c r="C17" s="131" t="s">
        <v>647</v>
      </c>
      <c r="D17" s="54" t="s">
        <v>628</v>
      </c>
      <c r="E17" s="193">
        <v>3</v>
      </c>
      <c r="F17" s="194" t="s">
        <v>29</v>
      </c>
      <c r="G17" s="13">
        <v>45338</v>
      </c>
      <c r="H17" s="24" t="s">
        <v>1433</v>
      </c>
    </row>
    <row r="18" spans="2:8" ht="30">
      <c r="B18" s="16">
        <f t="shared" si="0"/>
        <v>14</v>
      </c>
      <c r="C18" s="13" t="s">
        <v>1011</v>
      </c>
      <c r="D18" s="14" t="s">
        <v>981</v>
      </c>
      <c r="E18" s="8">
        <v>5</v>
      </c>
      <c r="F18" s="7" t="s">
        <v>626</v>
      </c>
      <c r="G18" s="13">
        <v>45334</v>
      </c>
      <c r="H18" s="24" t="s">
        <v>1433</v>
      </c>
    </row>
    <row r="19" spans="2:8" ht="30">
      <c r="B19" s="16">
        <f t="shared" si="0"/>
        <v>15</v>
      </c>
      <c r="C19" s="13" t="s">
        <v>1189</v>
      </c>
      <c r="D19" s="14" t="s">
        <v>1191</v>
      </c>
      <c r="E19" s="8" t="s">
        <v>17</v>
      </c>
      <c r="F19" s="14" t="s">
        <v>29</v>
      </c>
      <c r="G19" s="13">
        <v>45334</v>
      </c>
      <c r="H19" s="24" t="s">
        <v>1433</v>
      </c>
    </row>
    <row r="20" spans="2:8" ht="30">
      <c r="B20" s="16">
        <f t="shared" si="0"/>
        <v>16</v>
      </c>
      <c r="C20" s="13" t="s">
        <v>607</v>
      </c>
      <c r="D20" s="54" t="s">
        <v>602</v>
      </c>
      <c r="E20" s="8">
        <v>3</v>
      </c>
      <c r="F20" s="8" t="s">
        <v>29</v>
      </c>
      <c r="G20" s="13">
        <v>45334</v>
      </c>
      <c r="H20" s="24" t="s">
        <v>1433</v>
      </c>
    </row>
    <row r="21" spans="2:8" ht="30">
      <c r="B21" s="16">
        <f t="shared" si="0"/>
        <v>17</v>
      </c>
      <c r="C21" s="13" t="s">
        <v>1442</v>
      </c>
      <c r="D21" s="54" t="s">
        <v>1443</v>
      </c>
      <c r="E21" s="8">
        <v>10</v>
      </c>
      <c r="F21" s="8" t="s">
        <v>29</v>
      </c>
      <c r="G21" s="13">
        <v>45334</v>
      </c>
      <c r="H21" s="24" t="s">
        <v>1433</v>
      </c>
    </row>
    <row r="22" spans="2:8" ht="30">
      <c r="B22" s="16">
        <f t="shared" si="0"/>
        <v>18</v>
      </c>
      <c r="C22" s="13" t="s">
        <v>430</v>
      </c>
      <c r="D22" s="54" t="s">
        <v>429</v>
      </c>
      <c r="E22" s="8" t="s">
        <v>17</v>
      </c>
      <c r="F22" s="8" t="s">
        <v>29</v>
      </c>
      <c r="G22" s="13">
        <v>45334</v>
      </c>
      <c r="H22" s="24" t="s">
        <v>1433</v>
      </c>
    </row>
    <row r="23" spans="2:8" ht="30">
      <c r="B23" s="16">
        <f t="shared" si="0"/>
        <v>19</v>
      </c>
      <c r="C23" s="13" t="s">
        <v>948</v>
      </c>
      <c r="D23" s="54" t="s">
        <v>1444</v>
      </c>
      <c r="E23" s="8">
        <v>5</v>
      </c>
      <c r="F23" s="8" t="s">
        <v>629</v>
      </c>
      <c r="G23" s="13">
        <v>45334</v>
      </c>
      <c r="H23" s="24" t="s">
        <v>1433</v>
      </c>
    </row>
    <row r="24" spans="2:8" ht="30">
      <c r="B24" s="16">
        <f t="shared" si="0"/>
        <v>20</v>
      </c>
      <c r="C24" s="13" t="s">
        <v>781</v>
      </c>
      <c r="D24" s="54" t="s">
        <v>780</v>
      </c>
      <c r="E24" s="8">
        <v>8</v>
      </c>
      <c r="F24" s="8" t="s">
        <v>29</v>
      </c>
      <c r="G24" s="13">
        <v>45334</v>
      </c>
      <c r="H24" s="24" t="s">
        <v>1433</v>
      </c>
    </row>
    <row r="25" spans="2:8" ht="30">
      <c r="B25" s="16">
        <f t="shared" si="0"/>
        <v>21</v>
      </c>
      <c r="C25" s="13" t="s">
        <v>1445</v>
      </c>
      <c r="D25" s="54" t="s">
        <v>619</v>
      </c>
      <c r="E25" s="8">
        <v>10</v>
      </c>
      <c r="F25" s="8" t="s">
        <v>29</v>
      </c>
      <c r="G25" s="13">
        <v>45338</v>
      </c>
      <c r="H25" s="24" t="s">
        <v>1433</v>
      </c>
    </row>
    <row r="26" spans="2:8" ht="30">
      <c r="B26" s="16">
        <f t="shared" si="0"/>
        <v>22</v>
      </c>
      <c r="C26" s="13" t="s">
        <v>1446</v>
      </c>
      <c r="D26" s="54" t="s">
        <v>1447</v>
      </c>
      <c r="E26" s="8">
        <v>8</v>
      </c>
      <c r="F26" s="8" t="s">
        <v>29</v>
      </c>
      <c r="G26" s="13">
        <v>45338</v>
      </c>
      <c r="H26" s="24" t="s">
        <v>1433</v>
      </c>
    </row>
    <row r="27" spans="2:8" ht="30">
      <c r="B27" s="16">
        <v>23</v>
      </c>
      <c r="C27" s="13" t="s">
        <v>337</v>
      </c>
      <c r="D27" s="54" t="s">
        <v>339</v>
      </c>
      <c r="E27" s="8">
        <v>1</v>
      </c>
      <c r="F27" s="8" t="s">
        <v>29</v>
      </c>
      <c r="G27" s="13">
        <v>45338</v>
      </c>
      <c r="H27" s="24" t="s">
        <v>1433</v>
      </c>
    </row>
    <row r="28" spans="2:8" ht="30">
      <c r="B28" s="190">
        <f t="shared" si="0"/>
        <v>24</v>
      </c>
      <c r="C28" s="13" t="s">
        <v>1448</v>
      </c>
      <c r="D28" s="54" t="s">
        <v>1449</v>
      </c>
      <c r="E28" s="8"/>
      <c r="F28" s="14"/>
      <c r="G28" s="13"/>
      <c r="H28" s="24" t="s">
        <v>1433</v>
      </c>
    </row>
    <row r="29" spans="2:8" ht="30">
      <c r="B29" s="16">
        <v>25</v>
      </c>
      <c r="C29" s="13" t="s">
        <v>1175</v>
      </c>
      <c r="D29" s="14" t="s">
        <v>1450</v>
      </c>
      <c r="E29" s="8">
        <v>8</v>
      </c>
      <c r="F29" s="8" t="s">
        <v>689</v>
      </c>
      <c r="G29" s="13">
        <v>45338</v>
      </c>
      <c r="H29" s="24" t="s">
        <v>1451</v>
      </c>
    </row>
    <row r="30" spans="2:8" ht="30">
      <c r="B30" s="16">
        <f t="shared" si="0"/>
        <v>26</v>
      </c>
      <c r="C30" s="13" t="s">
        <v>1452</v>
      </c>
      <c r="D30" s="14" t="s">
        <v>1453</v>
      </c>
      <c r="E30" s="8">
        <v>7</v>
      </c>
      <c r="F30" s="8" t="s">
        <v>29</v>
      </c>
      <c r="G30" s="13">
        <v>45338</v>
      </c>
      <c r="H30" s="24" t="s">
        <v>1454</v>
      </c>
    </row>
    <row r="31" spans="2:8" ht="30">
      <c r="B31" s="16">
        <f t="shared" si="0"/>
        <v>27</v>
      </c>
      <c r="C31" s="14" t="s">
        <v>1404</v>
      </c>
      <c r="D31" s="14" t="s">
        <v>1405</v>
      </c>
      <c r="E31" s="8"/>
      <c r="F31" s="8"/>
      <c r="G31" s="13"/>
      <c r="H31" s="24" t="s">
        <v>1454</v>
      </c>
    </row>
    <row r="32" spans="2:8" ht="30">
      <c r="B32" s="16">
        <f t="shared" si="0"/>
        <v>28</v>
      </c>
      <c r="C32" s="13" t="s">
        <v>1455</v>
      </c>
      <c r="D32" s="14" t="s">
        <v>1409</v>
      </c>
      <c r="E32" s="8"/>
      <c r="F32" s="8"/>
      <c r="G32" s="13"/>
      <c r="H32" s="24" t="s">
        <v>1454</v>
      </c>
    </row>
    <row r="33" spans="2:8" ht="30">
      <c r="B33" s="16">
        <f t="shared" si="0"/>
        <v>29</v>
      </c>
      <c r="C33" s="13" t="s">
        <v>1402</v>
      </c>
      <c r="D33" s="14" t="s">
        <v>1403</v>
      </c>
      <c r="E33" s="8"/>
      <c r="F33" s="8"/>
      <c r="G33" s="13"/>
      <c r="H33" s="24" t="s">
        <v>1454</v>
      </c>
    </row>
    <row r="34" spans="2:8" ht="30">
      <c r="B34" s="16">
        <f t="shared" si="0"/>
        <v>30</v>
      </c>
      <c r="C34" s="13" t="s">
        <v>1398</v>
      </c>
      <c r="D34" s="14" t="s">
        <v>1400</v>
      </c>
      <c r="E34" s="8"/>
      <c r="F34" s="8"/>
      <c r="G34" s="13"/>
      <c r="H34" s="132" t="s">
        <v>1454</v>
      </c>
    </row>
    <row r="35" spans="2:8" ht="30">
      <c r="B35" s="16">
        <f t="shared" si="0"/>
        <v>31</v>
      </c>
      <c r="C35" s="13" t="s">
        <v>1407</v>
      </c>
      <c r="D35" s="14" t="s">
        <v>1408</v>
      </c>
      <c r="E35" s="8"/>
      <c r="F35" s="8"/>
      <c r="G35" s="13"/>
      <c r="H35" s="132" t="s">
        <v>1454</v>
      </c>
    </row>
    <row r="36" spans="2:8" ht="30">
      <c r="B36" s="16">
        <f t="shared" si="0"/>
        <v>32</v>
      </c>
      <c r="C36" s="13" t="s">
        <v>1456</v>
      </c>
      <c r="D36" s="14" t="s">
        <v>1410</v>
      </c>
      <c r="E36" s="8"/>
      <c r="F36" s="8"/>
      <c r="G36" s="13"/>
      <c r="H36" s="24" t="s">
        <v>1454</v>
      </c>
    </row>
    <row r="37" spans="2:8" ht="30">
      <c r="B37" s="16">
        <f t="shared" si="0"/>
        <v>33</v>
      </c>
      <c r="C37" s="13" t="s">
        <v>1392</v>
      </c>
      <c r="D37" s="14" t="s">
        <v>1393</v>
      </c>
      <c r="E37" s="8"/>
      <c r="F37" s="8"/>
      <c r="G37" s="13"/>
      <c r="H37" s="24" t="s">
        <v>1454</v>
      </c>
    </row>
    <row r="38" spans="2:8" ht="30">
      <c r="B38" s="16">
        <f t="shared" si="0"/>
        <v>34</v>
      </c>
      <c r="C38" s="13" t="s">
        <v>1457</v>
      </c>
      <c r="D38" s="14" t="s">
        <v>1406</v>
      </c>
      <c r="E38" s="8"/>
      <c r="F38" s="8"/>
      <c r="G38" s="13"/>
      <c r="H38" s="132" t="s">
        <v>1454</v>
      </c>
    </row>
    <row r="39" spans="2:8" ht="30">
      <c r="B39" s="16">
        <f t="shared" si="0"/>
        <v>35</v>
      </c>
      <c r="C39" s="13" t="s">
        <v>1399</v>
      </c>
      <c r="D39" s="14" t="s">
        <v>1401</v>
      </c>
      <c r="E39" s="8"/>
      <c r="F39" s="8"/>
      <c r="G39" s="13"/>
      <c r="H39" s="132" t="s">
        <v>1454</v>
      </c>
    </row>
    <row r="40" spans="2:8" ht="30">
      <c r="B40" s="190">
        <f t="shared" si="0"/>
        <v>36</v>
      </c>
      <c r="C40" s="131" t="s">
        <v>1396</v>
      </c>
      <c r="D40" s="54" t="s">
        <v>1397</v>
      </c>
      <c r="E40" s="92"/>
      <c r="F40" s="92"/>
      <c r="G40" s="131"/>
      <c r="H40" s="132" t="s">
        <v>1454</v>
      </c>
    </row>
    <row r="41" spans="2:8" ht="31" thickBot="1">
      <c r="B41" s="190">
        <f t="shared" si="0"/>
        <v>37</v>
      </c>
      <c r="C41" s="131" t="s">
        <v>1394</v>
      </c>
      <c r="D41" s="54" t="s">
        <v>1395</v>
      </c>
      <c r="E41" s="92"/>
      <c r="F41" s="92"/>
      <c r="G41" s="131"/>
      <c r="H41" s="132" t="s">
        <v>1454</v>
      </c>
    </row>
    <row r="42" spans="2:8" ht="22" thickBot="1">
      <c r="B42" s="367" t="s">
        <v>30</v>
      </c>
      <c r="C42" s="368"/>
      <c r="D42" s="369"/>
      <c r="E42" s="371" t="s">
        <v>1459</v>
      </c>
      <c r="F42" s="371"/>
      <c r="G42" s="371"/>
      <c r="H42" s="372"/>
    </row>
  </sheetData>
  <mergeCells count="3">
    <mergeCell ref="B3:H3"/>
    <mergeCell ref="B42:D42"/>
    <mergeCell ref="E42:H4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U111"/>
  <sheetViews>
    <sheetView topLeftCell="A90" zoomScale="144" workbookViewId="0">
      <selection activeCell="G115" sqref="G115"/>
    </sheetView>
  </sheetViews>
  <sheetFormatPr baseColWidth="10" defaultRowHeight="15"/>
  <cols>
    <col min="1" max="1" width="4.1640625" style="88" customWidth="1"/>
    <col min="2" max="2" width="4.1640625" bestFit="1" customWidth="1"/>
    <col min="3" max="3" width="0" hidden="1" customWidth="1"/>
    <col min="4" max="4" width="14.83203125" bestFit="1" customWidth="1"/>
    <col min="5" max="5" width="20.6640625" customWidth="1"/>
    <col min="6" max="6" width="20.83203125" customWidth="1"/>
    <col min="7" max="7" width="5.5" bestFit="1" customWidth="1"/>
    <col min="8" max="8" width="13.5" customWidth="1"/>
    <col min="9" max="9" width="9.1640625" hidden="1" customWidth="1"/>
    <col min="10" max="10" width="10.5" bestFit="1" customWidth="1"/>
    <col min="11" max="21" width="11.5" style="88"/>
  </cols>
  <sheetData>
    <row r="1" spans="2:10" s="189" customFormat="1"/>
    <row r="2" spans="2:10" s="189" customFormat="1" ht="16" thickBot="1"/>
    <row r="3" spans="2:10" ht="25" thickBot="1">
      <c r="B3" s="364" t="s">
        <v>1076</v>
      </c>
      <c r="C3" s="365"/>
      <c r="D3" s="365"/>
      <c r="E3" s="365"/>
      <c r="F3" s="365"/>
      <c r="G3" s="365"/>
      <c r="H3" s="365"/>
      <c r="I3" s="365"/>
      <c r="J3" s="366"/>
    </row>
    <row r="4" spans="2:10" ht="31" thickBot="1">
      <c r="B4" s="85" t="s">
        <v>12</v>
      </c>
      <c r="C4" s="86" t="s">
        <v>22</v>
      </c>
      <c r="D4" s="87" t="s">
        <v>14</v>
      </c>
      <c r="E4" s="80" t="s">
        <v>23</v>
      </c>
      <c r="F4" s="80" t="s">
        <v>24</v>
      </c>
      <c r="G4" s="80" t="s">
        <v>20</v>
      </c>
      <c r="H4" s="80" t="s">
        <v>25</v>
      </c>
      <c r="I4" s="80" t="s">
        <v>847</v>
      </c>
      <c r="J4" s="84" t="s">
        <v>32</v>
      </c>
    </row>
    <row r="5" spans="2:10" ht="30">
      <c r="B5" s="210">
        <v>1</v>
      </c>
      <c r="C5" s="18">
        <v>45225</v>
      </c>
      <c r="D5" s="35" t="s">
        <v>1534</v>
      </c>
      <c r="E5" s="325" t="s">
        <v>1535</v>
      </c>
      <c r="F5" s="55" t="s">
        <v>1544</v>
      </c>
      <c r="G5" s="14">
        <v>3</v>
      </c>
      <c r="H5" s="9"/>
      <c r="I5" s="9"/>
      <c r="J5" s="68">
        <v>46133</v>
      </c>
    </row>
    <row r="6" spans="2:10" ht="30">
      <c r="B6" s="211">
        <v>2</v>
      </c>
      <c r="C6" s="23">
        <v>45230</v>
      </c>
      <c r="D6" s="172" t="s">
        <v>1538</v>
      </c>
      <c r="E6" s="53" t="s">
        <v>1539</v>
      </c>
      <c r="F6" s="243" t="s">
        <v>1540</v>
      </c>
      <c r="G6" s="53"/>
      <c r="H6" s="53"/>
      <c r="I6" s="330"/>
      <c r="J6" s="328">
        <v>46135</v>
      </c>
    </row>
    <row r="7" spans="2:10" ht="45">
      <c r="B7" s="211">
        <v>3</v>
      </c>
      <c r="C7" s="23">
        <v>45216</v>
      </c>
      <c r="D7" s="35" t="s">
        <v>1541</v>
      </c>
      <c r="E7" s="54" t="s">
        <v>1542</v>
      </c>
      <c r="F7" s="54" t="s">
        <v>1543</v>
      </c>
      <c r="G7" s="14"/>
      <c r="H7" s="9"/>
      <c r="I7" s="9"/>
      <c r="J7" s="326">
        <v>46135</v>
      </c>
    </row>
    <row r="8" spans="2:10" ht="30">
      <c r="B8" s="211">
        <v>4</v>
      </c>
      <c r="C8" s="23">
        <v>45216</v>
      </c>
      <c r="D8" s="327" t="s">
        <v>1548</v>
      </c>
      <c r="E8" s="327" t="s">
        <v>1549</v>
      </c>
      <c r="F8" s="327" t="s">
        <v>1550</v>
      </c>
      <c r="G8" s="14">
        <v>1</v>
      </c>
      <c r="H8" s="14"/>
      <c r="I8" s="14"/>
      <c r="J8" s="326">
        <v>46135</v>
      </c>
    </row>
    <row r="9" spans="2:10">
      <c r="B9" s="211">
        <v>5</v>
      </c>
      <c r="C9" s="23">
        <v>45196</v>
      </c>
      <c r="D9" s="327" t="s">
        <v>1545</v>
      </c>
      <c r="E9" s="327" t="s">
        <v>1546</v>
      </c>
      <c r="F9" s="327" t="s">
        <v>1547</v>
      </c>
      <c r="G9" s="14"/>
      <c r="H9" s="14"/>
      <c r="I9" s="14"/>
      <c r="J9" s="326">
        <v>46135</v>
      </c>
    </row>
    <row r="10" spans="2:10" ht="30">
      <c r="B10" s="211">
        <v>6</v>
      </c>
      <c r="C10" s="23">
        <v>45175</v>
      </c>
      <c r="D10" s="327" t="s">
        <v>1551</v>
      </c>
      <c r="E10" s="327" t="s">
        <v>1552</v>
      </c>
      <c r="F10" s="327" t="s">
        <v>1553</v>
      </c>
      <c r="G10" s="14"/>
      <c r="H10" s="14"/>
      <c r="I10" s="14"/>
      <c r="J10" s="326">
        <v>46140</v>
      </c>
    </row>
    <row r="11" spans="2:10" ht="30">
      <c r="B11" s="211">
        <v>7</v>
      </c>
      <c r="C11" s="34">
        <v>45232</v>
      </c>
      <c r="D11" s="327" t="s">
        <v>1554</v>
      </c>
      <c r="E11" s="327" t="s">
        <v>1552</v>
      </c>
      <c r="F11" s="327" t="s">
        <v>1560</v>
      </c>
      <c r="G11" s="14"/>
      <c r="H11" s="14"/>
      <c r="I11" s="14"/>
      <c r="J11" s="326">
        <v>46140</v>
      </c>
    </row>
    <row r="12" spans="2:10" ht="30">
      <c r="B12" s="211">
        <v>8</v>
      </c>
      <c r="C12" s="133">
        <v>45133</v>
      </c>
      <c r="D12" s="327" t="s">
        <v>1555</v>
      </c>
      <c r="E12" s="327" t="s">
        <v>1552</v>
      </c>
      <c r="F12" s="327" t="s">
        <v>1561</v>
      </c>
      <c r="G12" s="14"/>
      <c r="H12" s="14"/>
      <c r="I12" s="14"/>
      <c r="J12" s="326">
        <v>46140</v>
      </c>
    </row>
    <row r="13" spans="2:10" ht="30">
      <c r="B13" s="211">
        <v>9</v>
      </c>
      <c r="C13" s="133">
        <v>45166</v>
      </c>
      <c r="D13" s="327" t="s">
        <v>1556</v>
      </c>
      <c r="E13" s="327" t="s">
        <v>1552</v>
      </c>
      <c r="F13" s="327" t="s">
        <v>1562</v>
      </c>
      <c r="G13" s="14"/>
      <c r="H13" s="14"/>
      <c r="I13" s="14"/>
      <c r="J13" s="326">
        <v>46140</v>
      </c>
    </row>
    <row r="14" spans="2:10" ht="30">
      <c r="B14" s="211">
        <v>10</v>
      </c>
      <c r="C14" s="133">
        <v>45167</v>
      </c>
      <c r="D14" s="327" t="s">
        <v>1557</v>
      </c>
      <c r="E14" s="327" t="s">
        <v>1552</v>
      </c>
      <c r="F14" s="327" t="s">
        <v>1563</v>
      </c>
      <c r="G14" s="14"/>
      <c r="H14" s="14"/>
      <c r="I14" s="14"/>
      <c r="J14" s="326">
        <v>46140</v>
      </c>
    </row>
    <row r="15" spans="2:10" ht="30">
      <c r="B15" s="211">
        <v>11</v>
      </c>
      <c r="C15" s="133"/>
      <c r="D15" s="327" t="s">
        <v>1558</v>
      </c>
      <c r="E15" s="327" t="s">
        <v>1552</v>
      </c>
      <c r="F15" s="327" t="s">
        <v>1564</v>
      </c>
      <c r="G15" s="14"/>
      <c r="H15" s="14"/>
      <c r="I15" s="14"/>
      <c r="J15" s="326">
        <v>46140</v>
      </c>
    </row>
    <row r="16" spans="2:10" ht="30">
      <c r="B16" s="211">
        <v>12</v>
      </c>
      <c r="C16" s="133"/>
      <c r="D16" s="327" t="s">
        <v>1559</v>
      </c>
      <c r="E16" s="327" t="s">
        <v>1552</v>
      </c>
      <c r="F16" s="327" t="s">
        <v>1565</v>
      </c>
      <c r="G16" s="14"/>
      <c r="H16" s="14"/>
      <c r="I16" s="14"/>
      <c r="J16" s="326">
        <v>46140</v>
      </c>
    </row>
    <row r="17" spans="2:10">
      <c r="B17" s="211">
        <v>13</v>
      </c>
      <c r="C17" s="133"/>
      <c r="D17" s="235" t="s">
        <v>1566</v>
      </c>
      <c r="E17" s="327" t="s">
        <v>1567</v>
      </c>
      <c r="F17" s="327" t="s">
        <v>1568</v>
      </c>
      <c r="G17" s="54"/>
      <c r="H17" s="93"/>
      <c r="I17" s="93"/>
      <c r="J17" s="326">
        <v>46141</v>
      </c>
    </row>
    <row r="18" spans="2:10" ht="41" customHeight="1">
      <c r="B18" s="211">
        <v>14</v>
      </c>
      <c r="C18" s="133"/>
      <c r="D18" s="327" t="s">
        <v>1569</v>
      </c>
      <c r="E18" s="54" t="s">
        <v>1570</v>
      </c>
      <c r="F18" s="327" t="s">
        <v>1571</v>
      </c>
      <c r="G18" s="54"/>
      <c r="H18" s="93"/>
      <c r="I18" s="93"/>
      <c r="J18" s="326">
        <v>46141</v>
      </c>
    </row>
    <row r="19" spans="2:10" ht="30">
      <c r="B19" s="211">
        <v>15</v>
      </c>
      <c r="C19" s="133"/>
      <c r="D19" s="327" t="s">
        <v>1572</v>
      </c>
      <c r="E19" s="54" t="s">
        <v>1573</v>
      </c>
      <c r="F19" s="54" t="s">
        <v>1574</v>
      </c>
      <c r="G19" s="54"/>
      <c r="H19" s="93"/>
      <c r="I19" s="93"/>
      <c r="J19" s="326">
        <v>46141</v>
      </c>
    </row>
    <row r="20" spans="2:10" ht="30">
      <c r="B20" s="211">
        <v>16</v>
      </c>
      <c r="C20" s="133"/>
      <c r="D20" s="327" t="s">
        <v>1575</v>
      </c>
      <c r="E20" s="327" t="s">
        <v>1576</v>
      </c>
      <c r="F20" s="327" t="s">
        <v>1577</v>
      </c>
      <c r="G20" s="54"/>
      <c r="H20" s="93"/>
      <c r="I20" s="93"/>
      <c r="J20" s="326">
        <v>46141</v>
      </c>
    </row>
    <row r="21" spans="2:10">
      <c r="B21" s="211">
        <v>17</v>
      </c>
      <c r="C21" s="23"/>
      <c r="D21" s="131"/>
      <c r="E21" s="54"/>
      <c r="F21" s="54"/>
      <c r="G21" s="92"/>
      <c r="H21" s="93"/>
      <c r="I21" s="93"/>
      <c r="J21" s="131"/>
    </row>
    <row r="22" spans="2:10">
      <c r="B22" s="211">
        <v>18</v>
      </c>
      <c r="C22" s="224"/>
      <c r="D22" s="240"/>
      <c r="E22" s="198"/>
      <c r="F22" s="199"/>
      <c r="G22" s="241"/>
      <c r="H22" s="199"/>
      <c r="I22" s="199"/>
      <c r="J22" s="245"/>
    </row>
    <row r="23" spans="2:10">
      <c r="B23" s="211">
        <v>19</v>
      </c>
      <c r="C23" s="51"/>
      <c r="D23" s="52"/>
      <c r="E23" s="209"/>
      <c r="F23" s="9"/>
      <c r="G23" s="204"/>
      <c r="H23" s="203"/>
      <c r="I23" s="187"/>
      <c r="J23" s="215"/>
    </row>
    <row r="24" spans="2:10">
      <c r="B24" s="190">
        <v>20</v>
      </c>
      <c r="C24" s="218"/>
      <c r="D24" s="225"/>
      <c r="E24" s="226"/>
      <c r="F24" s="227"/>
      <c r="G24" s="228"/>
      <c r="H24" s="227"/>
      <c r="I24" s="229"/>
      <c r="J24" s="230"/>
    </row>
    <row r="25" spans="2:10">
      <c r="B25" s="211">
        <v>21</v>
      </c>
      <c r="C25" s="51"/>
      <c r="D25" s="52"/>
      <c r="E25" s="209"/>
      <c r="F25" s="58"/>
      <c r="G25" s="204"/>
      <c r="H25" s="203"/>
      <c r="I25" s="187"/>
      <c r="J25" s="205"/>
    </row>
    <row r="26" spans="2:10">
      <c r="B26" s="211">
        <v>22</v>
      </c>
      <c r="C26" s="51"/>
      <c r="D26" s="52"/>
      <c r="E26" s="209"/>
      <c r="F26" s="203"/>
      <c r="G26" s="204"/>
      <c r="H26" s="203"/>
      <c r="I26" s="187"/>
      <c r="J26" s="205"/>
    </row>
    <row r="27" spans="2:10">
      <c r="B27" s="211">
        <v>23</v>
      </c>
      <c r="C27" s="51"/>
      <c r="D27" s="52"/>
      <c r="E27" s="209"/>
      <c r="F27" s="203"/>
      <c r="G27" s="204"/>
      <c r="H27" s="203"/>
      <c r="I27" s="187"/>
      <c r="J27" s="205"/>
    </row>
    <row r="28" spans="2:10">
      <c r="B28" s="211">
        <v>24</v>
      </c>
      <c r="C28" s="51"/>
      <c r="D28" s="220"/>
      <c r="E28" s="209"/>
      <c r="F28" s="203"/>
      <c r="G28" s="204"/>
      <c r="H28" s="203"/>
      <c r="I28" s="187"/>
      <c r="J28" s="205"/>
    </row>
    <row r="29" spans="2:10">
      <c r="B29" s="211">
        <v>25</v>
      </c>
      <c r="C29" s="51"/>
      <c r="D29" s="220"/>
      <c r="E29" s="209"/>
      <c r="F29" s="203"/>
      <c r="G29" s="204"/>
      <c r="H29" s="203"/>
      <c r="I29" s="187"/>
      <c r="J29" s="205"/>
    </row>
    <row r="30" spans="2:10">
      <c r="B30" s="397">
        <v>26</v>
      </c>
      <c r="C30" s="51"/>
      <c r="D30" s="220"/>
      <c r="E30" s="209"/>
      <c r="F30" s="399"/>
      <c r="G30" s="401"/>
      <c r="H30" s="403"/>
      <c r="I30" s="403"/>
      <c r="J30" s="405"/>
    </row>
    <row r="31" spans="2:10">
      <c r="B31" s="398"/>
      <c r="C31" s="51"/>
      <c r="D31" s="220"/>
      <c r="E31" s="209"/>
      <c r="F31" s="400"/>
      <c r="G31" s="402"/>
      <c r="H31" s="404"/>
      <c r="I31" s="404"/>
      <c r="J31" s="406"/>
    </row>
    <row r="32" spans="2:10">
      <c r="B32" s="211">
        <v>27</v>
      </c>
      <c r="C32" s="51"/>
      <c r="D32" s="220"/>
      <c r="E32" s="209"/>
      <c r="F32" s="203"/>
      <c r="G32" s="204"/>
      <c r="H32" s="203"/>
      <c r="I32" s="187"/>
      <c r="J32" s="205"/>
    </row>
    <row r="33" spans="2:10">
      <c r="B33" s="211">
        <v>28</v>
      </c>
      <c r="C33" s="51"/>
      <c r="D33" s="52"/>
      <c r="E33" s="209"/>
      <c r="F33" s="203"/>
      <c r="G33" s="204"/>
      <c r="H33" s="203"/>
      <c r="I33" s="187"/>
      <c r="J33" s="205"/>
    </row>
    <row r="34" spans="2:10">
      <c r="B34" s="211">
        <v>29</v>
      </c>
      <c r="C34" s="51"/>
      <c r="D34" s="52"/>
      <c r="E34" s="209"/>
      <c r="F34" s="203"/>
      <c r="G34" s="204"/>
      <c r="H34" s="203"/>
      <c r="I34" s="187"/>
      <c r="J34" s="205"/>
    </row>
    <row r="35" spans="2:10">
      <c r="B35" s="211">
        <v>30</v>
      </c>
      <c r="C35" s="51"/>
      <c r="D35" s="52"/>
      <c r="E35" s="209"/>
      <c r="F35" s="203"/>
      <c r="G35" s="204"/>
      <c r="H35" s="203"/>
      <c r="I35" s="187"/>
      <c r="J35" s="205"/>
    </row>
    <row r="36" spans="2:10">
      <c r="B36" s="211">
        <v>31</v>
      </c>
      <c r="C36" s="51"/>
      <c r="D36" s="52"/>
      <c r="E36" s="209"/>
      <c r="F36" s="203"/>
      <c r="G36" s="204"/>
      <c r="H36" s="203"/>
      <c r="I36" s="187"/>
      <c r="J36" s="205"/>
    </row>
    <row r="37" spans="2:10">
      <c r="B37" s="211">
        <v>32</v>
      </c>
      <c r="C37" s="51"/>
      <c r="D37" s="13"/>
      <c r="E37" s="14"/>
      <c r="F37" s="9"/>
      <c r="G37" s="8"/>
      <c r="H37" s="203"/>
      <c r="I37" s="187"/>
      <c r="J37" s="205"/>
    </row>
    <row r="38" spans="2:10">
      <c r="B38" s="211">
        <v>33</v>
      </c>
      <c r="C38" s="51"/>
      <c r="D38" s="52"/>
      <c r="E38" s="209"/>
      <c r="F38" s="203"/>
      <c r="G38" s="204"/>
      <c r="H38" s="203"/>
      <c r="I38" s="187"/>
      <c r="J38" s="205"/>
    </row>
    <row r="39" spans="2:10">
      <c r="B39" s="211">
        <v>34</v>
      </c>
      <c r="C39" s="51"/>
      <c r="D39" s="209"/>
      <c r="E39" s="209"/>
      <c r="F39" s="203"/>
      <c r="G39" s="204"/>
      <c r="H39" s="203"/>
      <c r="I39" s="187"/>
      <c r="J39" s="205"/>
    </row>
    <row r="40" spans="2:10">
      <c r="B40" s="211">
        <v>35</v>
      </c>
      <c r="C40" s="51"/>
      <c r="D40" s="52"/>
      <c r="E40" s="209"/>
      <c r="F40" s="203"/>
      <c r="G40" s="204"/>
      <c r="H40" s="203"/>
      <c r="I40" s="187"/>
      <c r="J40" s="205"/>
    </row>
    <row r="41" spans="2:10">
      <c r="B41" s="211">
        <v>36</v>
      </c>
      <c r="C41" s="51"/>
      <c r="D41" s="52"/>
      <c r="E41" s="209"/>
      <c r="F41" s="203"/>
      <c r="G41" s="204"/>
      <c r="H41" s="203"/>
      <c r="I41" s="187"/>
      <c r="J41" s="205"/>
    </row>
    <row r="42" spans="2:10">
      <c r="B42" s="211">
        <v>37</v>
      </c>
      <c r="C42" s="51"/>
      <c r="D42" s="52"/>
      <c r="E42" s="53"/>
      <c r="F42" s="203"/>
      <c r="G42" s="204"/>
      <c r="H42" s="203"/>
      <c r="I42" s="187"/>
      <c r="J42" s="205"/>
    </row>
    <row r="43" spans="2:10">
      <c r="B43" s="211">
        <f>B42+1</f>
        <v>38</v>
      </c>
      <c r="C43" s="51"/>
      <c r="D43" s="52"/>
      <c r="E43" s="209"/>
      <c r="F43" s="203"/>
      <c r="G43" s="204"/>
      <c r="H43" s="203"/>
      <c r="I43" s="187"/>
      <c r="J43" s="205"/>
    </row>
    <row r="44" spans="2:10">
      <c r="B44" s="211">
        <f t="shared" ref="B44:B45" si="0">B43+1</f>
        <v>39</v>
      </c>
      <c r="C44" s="51"/>
      <c r="D44" s="52"/>
      <c r="E44" s="209"/>
      <c r="F44" s="203"/>
      <c r="G44" s="204"/>
      <c r="H44" s="203"/>
      <c r="I44" s="187"/>
      <c r="J44" s="205"/>
    </row>
    <row r="45" spans="2:10" ht="16" thickBot="1">
      <c r="B45" s="211">
        <f t="shared" si="0"/>
        <v>40</v>
      </c>
      <c r="C45" s="51"/>
      <c r="D45" s="52"/>
      <c r="E45" s="53"/>
      <c r="F45" s="203"/>
      <c r="G45" s="204"/>
      <c r="H45" s="203"/>
      <c r="I45" s="187"/>
      <c r="J45" s="205"/>
    </row>
    <row r="46" spans="2:10" ht="22" thickBot="1">
      <c r="B46" s="391" t="s">
        <v>35</v>
      </c>
      <c r="C46" s="392"/>
      <c r="D46" s="392"/>
      <c r="E46" s="393"/>
      <c r="F46" s="394" t="s">
        <v>1579</v>
      </c>
      <c r="G46" s="395"/>
      <c r="H46" s="395"/>
      <c r="I46" s="395"/>
      <c r="J46" s="396"/>
    </row>
    <row r="47" spans="2:10" s="189" customFormat="1"/>
    <row r="48" spans="2:10" s="189" customFormat="1" ht="16" thickBot="1"/>
    <row r="49" spans="2:10" ht="25" thickBot="1">
      <c r="B49" s="364" t="s">
        <v>1589</v>
      </c>
      <c r="C49" s="365"/>
      <c r="D49" s="365"/>
      <c r="E49" s="365"/>
      <c r="F49" s="365"/>
      <c r="G49" s="365"/>
      <c r="H49" s="365"/>
      <c r="I49" s="365"/>
      <c r="J49" s="366"/>
    </row>
    <row r="50" spans="2:10" ht="31" thickBot="1">
      <c r="B50" s="85" t="s">
        <v>12</v>
      </c>
      <c r="C50" s="86" t="s">
        <v>22</v>
      </c>
      <c r="D50" s="87" t="s">
        <v>14</v>
      </c>
      <c r="E50" s="80" t="s">
        <v>23</v>
      </c>
      <c r="F50" s="80" t="s">
        <v>24</v>
      </c>
      <c r="G50" s="80" t="s">
        <v>20</v>
      </c>
      <c r="H50" s="80" t="s">
        <v>25</v>
      </c>
      <c r="I50" s="80" t="s">
        <v>847</v>
      </c>
      <c r="J50" s="84" t="s">
        <v>32</v>
      </c>
    </row>
    <row r="51" spans="2:10" ht="33" thickBot="1">
      <c r="B51" s="216">
        <v>1</v>
      </c>
      <c r="C51" s="232">
        <v>45225</v>
      </c>
      <c r="D51" s="235" t="s">
        <v>1618</v>
      </c>
      <c r="E51" s="54" t="s">
        <v>1584</v>
      </c>
      <c r="F51" s="352" t="s">
        <v>1751</v>
      </c>
      <c r="G51" s="92">
        <v>12</v>
      </c>
      <c r="H51" s="233"/>
      <c r="I51" s="199"/>
      <c r="J51" s="234">
        <v>46147</v>
      </c>
    </row>
    <row r="52" spans="2:10" ht="31" thickBot="1">
      <c r="B52" s="190">
        <v>2</v>
      </c>
      <c r="C52" s="133">
        <v>45230</v>
      </c>
      <c r="D52" s="131" t="s">
        <v>1585</v>
      </c>
      <c r="E52" s="54" t="s">
        <v>1586</v>
      </c>
      <c r="F52" s="357" t="s">
        <v>1750</v>
      </c>
      <c r="G52" s="92">
        <v>3</v>
      </c>
      <c r="H52" s="93"/>
      <c r="I52" s="93"/>
      <c r="J52" s="234">
        <v>46147</v>
      </c>
    </row>
    <row r="53" spans="2:10" ht="31" thickBot="1">
      <c r="B53" s="190">
        <v>3</v>
      </c>
      <c r="C53" s="133">
        <v>45216</v>
      </c>
      <c r="D53" s="235" t="s">
        <v>1619</v>
      </c>
      <c r="E53" s="54" t="s">
        <v>1587</v>
      </c>
      <c r="F53" s="54" t="s">
        <v>1588</v>
      </c>
      <c r="G53" s="92">
        <v>1</v>
      </c>
      <c r="H53" s="93"/>
      <c r="I53" s="93"/>
      <c r="J53" s="234">
        <v>46147</v>
      </c>
    </row>
    <row r="54" spans="2:10" ht="45">
      <c r="B54" s="190">
        <v>4</v>
      </c>
      <c r="C54" s="133"/>
      <c r="D54" s="235" t="s">
        <v>1625</v>
      </c>
      <c r="E54" s="54" t="s">
        <v>1626</v>
      </c>
      <c r="F54" s="55" t="s">
        <v>1627</v>
      </c>
      <c r="G54" s="92">
        <v>10</v>
      </c>
      <c r="H54" s="93"/>
      <c r="I54" s="93"/>
      <c r="J54" s="234">
        <v>46147</v>
      </c>
    </row>
    <row r="55" spans="2:10" ht="30">
      <c r="B55" s="190">
        <v>5</v>
      </c>
      <c r="C55" s="133">
        <v>45216</v>
      </c>
      <c r="D55" s="131" t="s">
        <v>1594</v>
      </c>
      <c r="E55" s="54" t="s">
        <v>1595</v>
      </c>
      <c r="F55" s="55" t="s">
        <v>1596</v>
      </c>
      <c r="G55" s="92">
        <v>1</v>
      </c>
      <c r="H55" s="93"/>
      <c r="I55" s="93"/>
      <c r="J55" s="94">
        <v>46149</v>
      </c>
    </row>
    <row r="56" spans="2:10" ht="30">
      <c r="B56" s="190">
        <v>6</v>
      </c>
      <c r="C56" s="133">
        <v>45196</v>
      </c>
      <c r="D56" s="131" t="s">
        <v>1597</v>
      </c>
      <c r="E56" s="54" t="s">
        <v>1598</v>
      </c>
      <c r="F56" s="93" t="s">
        <v>1599</v>
      </c>
      <c r="G56" s="92"/>
      <c r="H56" s="54"/>
      <c r="I56" s="199"/>
      <c r="J56" s="94">
        <v>46149</v>
      </c>
    </row>
    <row r="57" spans="2:10" ht="30">
      <c r="B57" s="190">
        <v>7</v>
      </c>
      <c r="C57" s="133">
        <v>45175</v>
      </c>
      <c r="D57" s="331" t="s">
        <v>1609</v>
      </c>
      <c r="E57" s="54" t="s">
        <v>1610</v>
      </c>
      <c r="F57" s="55" t="s">
        <v>1611</v>
      </c>
      <c r="G57" s="92">
        <v>10</v>
      </c>
      <c r="H57" s="93"/>
      <c r="I57" s="93"/>
      <c r="J57" s="94">
        <v>46153</v>
      </c>
    </row>
    <row r="58" spans="2:10" ht="30">
      <c r="B58" s="190">
        <v>8</v>
      </c>
      <c r="C58" s="236">
        <v>45232</v>
      </c>
      <c r="D58" s="331" t="s">
        <v>1612</v>
      </c>
      <c r="E58" s="54" t="s">
        <v>1613</v>
      </c>
      <c r="F58" s="57" t="s">
        <v>1614</v>
      </c>
      <c r="G58" s="54">
        <v>8</v>
      </c>
      <c r="H58" s="237"/>
      <c r="I58" s="54"/>
      <c r="J58" s="238">
        <v>46153</v>
      </c>
    </row>
    <row r="59" spans="2:10">
      <c r="B59" s="190">
        <v>9</v>
      </c>
      <c r="C59" s="133">
        <v>45133</v>
      </c>
      <c r="D59" s="131" t="s">
        <v>1615</v>
      </c>
      <c r="E59" s="54" t="s">
        <v>1616</v>
      </c>
      <c r="F59" s="57" t="s">
        <v>1617</v>
      </c>
      <c r="G59" s="92">
        <v>8</v>
      </c>
      <c r="H59" s="93"/>
      <c r="I59" s="54"/>
      <c r="J59" s="238">
        <v>46153</v>
      </c>
    </row>
    <row r="60" spans="2:10" ht="45">
      <c r="B60" s="190">
        <v>10</v>
      </c>
      <c r="C60" s="133">
        <v>45166</v>
      </c>
      <c r="D60" s="131" t="s">
        <v>1629</v>
      </c>
      <c r="E60" s="54" t="s">
        <v>1630</v>
      </c>
      <c r="F60" s="57" t="s">
        <v>1631</v>
      </c>
      <c r="G60" s="92">
        <v>1</v>
      </c>
      <c r="H60" s="93"/>
      <c r="I60" s="93"/>
      <c r="J60" s="238">
        <v>46155</v>
      </c>
    </row>
    <row r="61" spans="2:10" ht="30">
      <c r="B61" s="190">
        <v>11</v>
      </c>
      <c r="C61" s="133">
        <v>45167</v>
      </c>
      <c r="D61" s="131" t="s">
        <v>1632</v>
      </c>
      <c r="E61" s="54" t="s">
        <v>1633</v>
      </c>
      <c r="F61" s="57" t="s">
        <v>1634</v>
      </c>
      <c r="G61" s="92">
        <v>5</v>
      </c>
      <c r="H61" s="93"/>
      <c r="I61" s="93"/>
      <c r="J61" s="238">
        <v>46155</v>
      </c>
    </row>
    <row r="62" spans="2:10" ht="30">
      <c r="B62" s="190">
        <v>12</v>
      </c>
      <c r="C62" s="133"/>
      <c r="D62" s="131" t="s">
        <v>1628</v>
      </c>
      <c r="E62" s="54" t="s">
        <v>1635</v>
      </c>
      <c r="F62" s="57" t="s">
        <v>1636</v>
      </c>
      <c r="G62" s="92">
        <v>3</v>
      </c>
      <c r="H62" s="93"/>
      <c r="I62" s="93"/>
      <c r="J62" s="238">
        <v>46155</v>
      </c>
    </row>
    <row r="63" spans="2:10" ht="30">
      <c r="B63" s="190">
        <v>13</v>
      </c>
      <c r="C63" s="133"/>
      <c r="D63" s="131" t="s">
        <v>1652</v>
      </c>
      <c r="E63" s="54" t="s">
        <v>1653</v>
      </c>
      <c r="F63" s="57" t="s">
        <v>1654</v>
      </c>
      <c r="G63" s="92"/>
      <c r="H63" s="93"/>
      <c r="I63" s="93"/>
      <c r="J63" s="269">
        <v>46161</v>
      </c>
    </row>
    <row r="64" spans="2:10" ht="30">
      <c r="B64" s="190">
        <v>14</v>
      </c>
      <c r="C64" s="133"/>
      <c r="D64" s="131" t="s">
        <v>1655</v>
      </c>
      <c r="E64" s="54" t="s">
        <v>1656</v>
      </c>
      <c r="F64" s="58" t="s">
        <v>1654</v>
      </c>
      <c r="G64" s="92"/>
      <c r="H64" s="93"/>
      <c r="I64" s="92"/>
      <c r="J64" s="269">
        <v>46161</v>
      </c>
    </row>
    <row r="65" spans="2:10">
      <c r="B65" s="190">
        <v>15</v>
      </c>
      <c r="C65" s="133"/>
      <c r="D65" s="332" t="s">
        <v>1658</v>
      </c>
      <c r="E65" s="235" t="s">
        <v>1657</v>
      </c>
      <c r="F65" s="58" t="s">
        <v>1659</v>
      </c>
      <c r="G65" s="92"/>
      <c r="H65" s="93"/>
      <c r="I65" s="92"/>
      <c r="J65" s="269">
        <v>46161</v>
      </c>
    </row>
    <row r="66" spans="2:10" ht="30">
      <c r="B66" s="190">
        <v>16</v>
      </c>
      <c r="C66" s="133"/>
      <c r="D66" s="131" t="s">
        <v>1680</v>
      </c>
      <c r="E66" s="54" t="s">
        <v>1681</v>
      </c>
      <c r="F66" s="57" t="s">
        <v>1682</v>
      </c>
      <c r="G66" s="92">
        <v>0</v>
      </c>
      <c r="H66" s="93"/>
      <c r="I66" s="92"/>
      <c r="J66" s="269">
        <v>46164</v>
      </c>
    </row>
    <row r="67" spans="2:10" ht="30">
      <c r="B67" s="190">
        <v>17</v>
      </c>
      <c r="C67" s="133"/>
      <c r="D67" s="131" t="s">
        <v>1683</v>
      </c>
      <c r="E67" s="54" t="s">
        <v>1684</v>
      </c>
      <c r="F67" s="58" t="s">
        <v>1685</v>
      </c>
      <c r="G67" s="92">
        <v>6</v>
      </c>
      <c r="H67" s="93" t="s">
        <v>1686</v>
      </c>
      <c r="I67" s="92"/>
      <c r="J67" s="269">
        <v>46164</v>
      </c>
    </row>
    <row r="68" spans="2:10" ht="30">
      <c r="B68" s="190">
        <v>18</v>
      </c>
      <c r="C68" s="133"/>
      <c r="D68" s="235" t="s">
        <v>1687</v>
      </c>
      <c r="E68" s="54" t="s">
        <v>1688</v>
      </c>
      <c r="F68" s="57" t="s">
        <v>1689</v>
      </c>
      <c r="G68" s="92">
        <v>7</v>
      </c>
      <c r="H68" s="93"/>
      <c r="I68" s="92"/>
      <c r="J68" s="269">
        <v>46164</v>
      </c>
    </row>
    <row r="69" spans="2:10" ht="30">
      <c r="B69" s="190">
        <v>19</v>
      </c>
      <c r="C69" s="239"/>
      <c r="D69" s="240" t="s">
        <v>1705</v>
      </c>
      <c r="E69" s="198" t="s">
        <v>1706</v>
      </c>
      <c r="F69" s="199" t="s">
        <v>1707</v>
      </c>
      <c r="G69" s="241"/>
      <c r="H69" s="199"/>
      <c r="I69" s="92"/>
      <c r="J69" s="244">
        <v>46168</v>
      </c>
    </row>
    <row r="70" spans="2:10" ht="45">
      <c r="B70" s="190">
        <v>20</v>
      </c>
      <c r="C70" s="239"/>
      <c r="D70" s="220" t="s">
        <v>1702</v>
      </c>
      <c r="E70" s="209" t="s">
        <v>1703</v>
      </c>
      <c r="F70" s="93" t="s">
        <v>1704</v>
      </c>
      <c r="G70" s="242"/>
      <c r="H70" s="243"/>
      <c r="I70" s="93"/>
      <c r="J70" s="244">
        <v>46168</v>
      </c>
    </row>
    <row r="71" spans="2:10" ht="32">
      <c r="B71" s="190">
        <v>21</v>
      </c>
      <c r="C71" s="239"/>
      <c r="D71" s="131" t="s">
        <v>1699</v>
      </c>
      <c r="E71" s="14" t="s">
        <v>1700</v>
      </c>
      <c r="F71" s="335" t="s">
        <v>1701</v>
      </c>
      <c r="G71" s="92">
        <v>12</v>
      </c>
      <c r="H71" s="93"/>
      <c r="I71" s="93"/>
      <c r="J71" s="131">
        <v>46168</v>
      </c>
    </row>
    <row r="72" spans="2:10" ht="32">
      <c r="B72" s="190">
        <v>22</v>
      </c>
      <c r="C72" s="333"/>
      <c r="D72" s="235" t="s">
        <v>1722</v>
      </c>
      <c r="E72" s="54" t="s">
        <v>1723</v>
      </c>
      <c r="F72" s="1" t="s">
        <v>1724</v>
      </c>
      <c r="G72" s="54">
        <v>11</v>
      </c>
      <c r="H72" s="1" t="s">
        <v>1725</v>
      </c>
      <c r="I72" s="5"/>
      <c r="J72" s="235">
        <v>46170</v>
      </c>
    </row>
    <row r="73" spans="2:10">
      <c r="B73" s="190">
        <v>23</v>
      </c>
      <c r="C73" s="333"/>
      <c r="D73" s="131" t="s">
        <v>1719</v>
      </c>
      <c r="E73" s="54" t="s">
        <v>1720</v>
      </c>
      <c r="F73" s="92" t="s">
        <v>1721</v>
      </c>
      <c r="G73" s="92">
        <v>6</v>
      </c>
      <c r="H73" s="93"/>
      <c r="I73" s="93"/>
      <c r="J73" s="235">
        <v>46170</v>
      </c>
    </row>
    <row r="74" spans="2:10" ht="31" thickBot="1">
      <c r="B74" s="360">
        <v>24</v>
      </c>
      <c r="C74" s="334"/>
      <c r="D74" s="235" t="s">
        <v>1716</v>
      </c>
      <c r="E74" s="54" t="s">
        <v>1717</v>
      </c>
      <c r="F74" s="335" t="s">
        <v>1718</v>
      </c>
      <c r="G74" s="54">
        <v>10</v>
      </c>
      <c r="H74" s="93"/>
      <c r="I74" s="93"/>
      <c r="J74" s="235">
        <v>46170</v>
      </c>
    </row>
    <row r="75" spans="2:10" ht="16" hidden="1" thickBot="1">
      <c r="B75" s="290"/>
      <c r="C75" s="239"/>
      <c r="D75" s="220"/>
      <c r="E75" s="209"/>
      <c r="F75" s="243"/>
      <c r="G75" s="242"/>
      <c r="H75" s="243"/>
      <c r="I75" s="199"/>
      <c r="J75" s="244"/>
    </row>
    <row r="76" spans="2:10" ht="16" hidden="1" thickBot="1">
      <c r="B76" s="190">
        <v>27</v>
      </c>
      <c r="C76" s="239"/>
      <c r="D76" s="220"/>
      <c r="E76" s="209"/>
      <c r="F76" s="243"/>
      <c r="G76" s="242"/>
      <c r="H76" s="243"/>
      <c r="I76" s="199"/>
      <c r="J76" s="244"/>
    </row>
    <row r="77" spans="2:10" ht="16" hidden="1" thickBot="1">
      <c r="B77" s="190">
        <v>28</v>
      </c>
      <c r="C77" s="239"/>
      <c r="D77" s="220"/>
      <c r="E77" s="209"/>
      <c r="F77" s="243"/>
      <c r="G77" s="242"/>
      <c r="H77" s="243"/>
      <c r="I77" s="199"/>
      <c r="J77" s="244"/>
    </row>
    <row r="78" spans="2:10" ht="16" hidden="1" thickBot="1">
      <c r="B78" s="190">
        <v>29</v>
      </c>
      <c r="C78" s="239"/>
      <c r="D78" s="220"/>
      <c r="E78" s="209"/>
      <c r="F78" s="243"/>
      <c r="G78" s="242"/>
      <c r="H78" s="243"/>
      <c r="I78" s="199"/>
      <c r="J78" s="244"/>
    </row>
    <row r="79" spans="2:10" ht="16.5" hidden="1" customHeight="1">
      <c r="B79" s="190">
        <v>30</v>
      </c>
      <c r="C79" s="239"/>
      <c r="D79" s="220"/>
      <c r="E79" s="209"/>
      <c r="F79" s="243"/>
      <c r="G79" s="242"/>
      <c r="H79" s="243"/>
      <c r="I79" s="199"/>
      <c r="J79" s="244"/>
    </row>
    <row r="80" spans="2:10" ht="16" hidden="1" thickBot="1">
      <c r="B80" s="190">
        <v>31</v>
      </c>
      <c r="C80" s="239"/>
      <c r="D80" s="220"/>
      <c r="E80" s="209"/>
      <c r="F80" s="243"/>
      <c r="G80" s="242"/>
      <c r="H80" s="243"/>
      <c r="I80" s="199"/>
      <c r="J80" s="244"/>
    </row>
    <row r="81" spans="2:10" ht="16" hidden="1" thickBot="1">
      <c r="B81" s="190">
        <v>32</v>
      </c>
      <c r="C81" s="239"/>
      <c r="D81" s="131"/>
      <c r="E81" s="54"/>
      <c r="F81" s="93"/>
      <c r="G81" s="92"/>
      <c r="H81" s="243"/>
      <c r="I81" s="199"/>
      <c r="J81" s="244"/>
    </row>
    <row r="82" spans="2:10" ht="16" hidden="1" thickBot="1">
      <c r="B82" s="190">
        <v>33</v>
      </c>
      <c r="C82" s="239"/>
      <c r="D82" s="220"/>
      <c r="E82" s="209"/>
      <c r="F82" s="243"/>
      <c r="G82" s="242"/>
      <c r="H82" s="243"/>
      <c r="I82" s="199"/>
      <c r="J82" s="244"/>
    </row>
    <row r="83" spans="2:10" ht="16" hidden="1" thickBot="1">
      <c r="B83" s="190">
        <v>34</v>
      </c>
      <c r="C83" s="239"/>
      <c r="D83" s="209"/>
      <c r="E83" s="209"/>
      <c r="F83" s="243"/>
      <c r="G83" s="242"/>
      <c r="H83" s="243"/>
      <c r="I83" s="199"/>
      <c r="J83" s="244"/>
    </row>
    <row r="84" spans="2:10" ht="16" hidden="1" thickBot="1">
      <c r="B84" s="190">
        <v>35</v>
      </c>
      <c r="C84" s="239"/>
      <c r="D84" s="220"/>
      <c r="E84" s="209"/>
      <c r="F84" s="243"/>
      <c r="G84" s="242"/>
      <c r="H84" s="243"/>
      <c r="I84" s="199"/>
      <c r="J84" s="244"/>
    </row>
    <row r="85" spans="2:10" ht="16" hidden="1" thickBot="1">
      <c r="B85" s="190">
        <v>36</v>
      </c>
      <c r="C85" s="239"/>
      <c r="D85" s="220"/>
      <c r="E85" s="209"/>
      <c r="F85" s="243"/>
      <c r="G85" s="242"/>
      <c r="H85" s="243"/>
      <c r="I85" s="199"/>
      <c r="J85" s="244"/>
    </row>
    <row r="86" spans="2:10" ht="16" hidden="1" thickBot="1">
      <c r="B86" s="190">
        <v>37</v>
      </c>
      <c r="C86" s="239"/>
      <c r="D86" s="220"/>
      <c r="E86" s="209"/>
      <c r="F86" s="243"/>
      <c r="G86" s="242"/>
      <c r="H86" s="243"/>
      <c r="I86" s="199"/>
      <c r="J86" s="244"/>
    </row>
    <row r="87" spans="2:10" ht="16" hidden="1" thickBot="1">
      <c r="B87" s="190">
        <f>B86+1</f>
        <v>38</v>
      </c>
      <c r="C87" s="239"/>
      <c r="D87" s="220"/>
      <c r="E87" s="209"/>
      <c r="F87" s="243"/>
      <c r="G87" s="242"/>
      <c r="H87" s="243"/>
      <c r="I87" s="199"/>
      <c r="J87" s="244"/>
    </row>
    <row r="88" spans="2:10" ht="16" hidden="1" thickBot="1">
      <c r="B88" s="190">
        <f t="shared" ref="B88:B89" si="1">B87+1</f>
        <v>39</v>
      </c>
      <c r="C88" s="239"/>
      <c r="D88" s="220"/>
      <c r="E88" s="209"/>
      <c r="F88" s="243"/>
      <c r="G88" s="242"/>
      <c r="H88" s="243"/>
      <c r="I88" s="199"/>
      <c r="J88" s="244"/>
    </row>
    <row r="89" spans="2:10" ht="16" hidden="1" thickBot="1">
      <c r="B89" s="190">
        <f t="shared" si="1"/>
        <v>40</v>
      </c>
      <c r="C89" s="239"/>
      <c r="D89" s="220"/>
      <c r="E89" s="209"/>
      <c r="F89" s="243"/>
      <c r="G89" s="242"/>
      <c r="H89" s="243"/>
      <c r="I89" s="199"/>
      <c r="J89" s="244"/>
    </row>
    <row r="90" spans="2:10" ht="22" thickBot="1">
      <c r="B90" s="391" t="s">
        <v>35</v>
      </c>
      <c r="C90" s="392"/>
      <c r="D90" s="392"/>
      <c r="E90" s="393"/>
      <c r="F90" s="394" t="s">
        <v>1771</v>
      </c>
      <c r="G90" s="395"/>
      <c r="H90" s="395"/>
      <c r="I90" s="395"/>
      <c r="J90" s="396"/>
    </row>
    <row r="91" spans="2:10" ht="25" thickBot="1">
      <c r="B91" s="364" t="s">
        <v>1811</v>
      </c>
      <c r="C91" s="365"/>
      <c r="D91" s="365"/>
      <c r="E91" s="365"/>
      <c r="F91" s="365"/>
      <c r="G91" s="365"/>
      <c r="H91" s="365"/>
      <c r="I91" s="365"/>
      <c r="J91" s="366"/>
    </row>
    <row r="92" spans="2:10" ht="31" thickBot="1">
      <c r="B92" s="85" t="s">
        <v>12</v>
      </c>
      <c r="C92" s="86" t="s">
        <v>22</v>
      </c>
      <c r="D92" s="87" t="s">
        <v>14</v>
      </c>
      <c r="E92" s="80" t="s">
        <v>23</v>
      </c>
      <c r="F92" s="80" t="s">
        <v>24</v>
      </c>
      <c r="G92" s="80" t="s">
        <v>20</v>
      </c>
      <c r="H92" s="80" t="s">
        <v>25</v>
      </c>
      <c r="I92" s="80" t="s">
        <v>847</v>
      </c>
      <c r="J92" s="84" t="s">
        <v>32</v>
      </c>
    </row>
    <row r="93" spans="2:10" ht="45">
      <c r="B93">
        <v>1</v>
      </c>
      <c r="D93" s="131" t="s">
        <v>1763</v>
      </c>
      <c r="E93" s="54" t="s">
        <v>1764</v>
      </c>
      <c r="F93" s="93" t="s">
        <v>1765</v>
      </c>
      <c r="G93" s="92">
        <v>3</v>
      </c>
      <c r="H93" s="243"/>
      <c r="I93" s="199"/>
      <c r="J93" s="244">
        <v>46174</v>
      </c>
    </row>
    <row r="94" spans="2:10" ht="30">
      <c r="B94">
        <v>2</v>
      </c>
      <c r="D94" s="220" t="s">
        <v>1766</v>
      </c>
      <c r="E94" s="209" t="s">
        <v>1767</v>
      </c>
      <c r="F94" s="243" t="s">
        <v>1768</v>
      </c>
      <c r="G94" s="242">
        <v>10</v>
      </c>
      <c r="H94" s="243"/>
      <c r="I94" s="199"/>
      <c r="J94" s="244">
        <v>46174</v>
      </c>
    </row>
    <row r="95" spans="2:10">
      <c r="B95">
        <v>4</v>
      </c>
      <c r="D95" s="220" t="s">
        <v>1776</v>
      </c>
      <c r="E95" s="209" t="s">
        <v>1777</v>
      </c>
      <c r="F95" s="243" t="s">
        <v>1778</v>
      </c>
      <c r="G95" s="242">
        <v>10</v>
      </c>
      <c r="H95" s="243"/>
      <c r="I95" s="199"/>
      <c r="J95" s="244">
        <v>46176</v>
      </c>
    </row>
    <row r="96" spans="2:10" ht="30">
      <c r="B96">
        <v>5</v>
      </c>
      <c r="D96" s="220" t="s">
        <v>1775</v>
      </c>
      <c r="E96" s="209" t="s">
        <v>1779</v>
      </c>
      <c r="F96" s="243" t="s">
        <v>1780</v>
      </c>
      <c r="G96" s="242">
        <v>10</v>
      </c>
      <c r="H96" s="243"/>
      <c r="I96" s="199"/>
      <c r="J96" s="244">
        <v>46176</v>
      </c>
    </row>
    <row r="97" spans="2:10" ht="30">
      <c r="B97">
        <v>6</v>
      </c>
      <c r="D97" s="131" t="s">
        <v>1781</v>
      </c>
      <c r="E97" s="54" t="s">
        <v>1782</v>
      </c>
      <c r="F97" s="93" t="s">
        <v>1783</v>
      </c>
      <c r="G97" s="92"/>
      <c r="H97" s="93"/>
      <c r="I97" s="93"/>
      <c r="J97" s="131">
        <v>46176</v>
      </c>
    </row>
    <row r="98" spans="2:10" ht="30">
      <c r="B98">
        <v>7</v>
      </c>
      <c r="D98" s="131" t="s">
        <v>1799</v>
      </c>
      <c r="E98" s="54" t="s">
        <v>1800</v>
      </c>
      <c r="F98" s="329" t="s">
        <v>1691</v>
      </c>
      <c r="G98" s="5" t="s">
        <v>1801</v>
      </c>
      <c r="H98" s="5"/>
      <c r="I98" s="5"/>
      <c r="J98" s="91">
        <v>46178</v>
      </c>
    </row>
    <row r="99" spans="2:10" ht="30">
      <c r="B99">
        <v>8</v>
      </c>
      <c r="D99" s="131" t="s">
        <v>1802</v>
      </c>
      <c r="E99" s="54" t="s">
        <v>1803</v>
      </c>
      <c r="F99" s="329" t="s">
        <v>1804</v>
      </c>
      <c r="G99" s="92">
        <v>5</v>
      </c>
      <c r="H99" s="5"/>
      <c r="I99" s="5"/>
      <c r="J99" s="91">
        <v>46178</v>
      </c>
    </row>
    <row r="100" spans="2:10">
      <c r="B100">
        <v>9</v>
      </c>
      <c r="D100" s="131" t="s">
        <v>1812</v>
      </c>
      <c r="E100" s="54" t="s">
        <v>1836</v>
      </c>
      <c r="F100" s="329" t="s">
        <v>1813</v>
      </c>
      <c r="G100" s="92">
        <v>10</v>
      </c>
      <c r="H100" s="5"/>
      <c r="I100" s="5"/>
      <c r="J100" s="91">
        <v>46182</v>
      </c>
    </row>
    <row r="101" spans="2:10">
      <c r="B101">
        <v>10</v>
      </c>
      <c r="D101" s="131" t="s">
        <v>1814</v>
      </c>
      <c r="E101" s="54" t="s">
        <v>1815</v>
      </c>
      <c r="F101" s="329" t="s">
        <v>1820</v>
      </c>
      <c r="G101" s="92" t="s">
        <v>1801</v>
      </c>
      <c r="H101" s="5"/>
      <c r="I101" s="5"/>
      <c r="J101" s="91">
        <v>46182</v>
      </c>
    </row>
    <row r="102" spans="2:10" ht="45">
      <c r="B102">
        <v>11</v>
      </c>
      <c r="D102" s="131" t="s">
        <v>1816</v>
      </c>
      <c r="E102" s="54" t="s">
        <v>1817</v>
      </c>
      <c r="F102" s="329" t="s">
        <v>1818</v>
      </c>
      <c r="G102" s="92">
        <v>5</v>
      </c>
      <c r="H102" s="361" t="s">
        <v>1819</v>
      </c>
      <c r="I102" s="5"/>
      <c r="J102" s="91">
        <v>46182</v>
      </c>
    </row>
    <row r="103" spans="2:10" ht="30">
      <c r="B103">
        <v>12</v>
      </c>
      <c r="D103" s="131" t="s">
        <v>1831</v>
      </c>
      <c r="E103" s="54" t="s">
        <v>1832</v>
      </c>
      <c r="F103" s="329" t="s">
        <v>1833</v>
      </c>
      <c r="G103" s="92">
        <v>6</v>
      </c>
      <c r="H103" s="5"/>
      <c r="I103" s="5"/>
      <c r="J103" s="91">
        <v>46184</v>
      </c>
    </row>
    <row r="104" spans="2:10">
      <c r="B104">
        <v>13</v>
      </c>
      <c r="D104" s="131" t="s">
        <v>1831</v>
      </c>
      <c r="E104" s="54" t="s">
        <v>1834</v>
      </c>
      <c r="F104" s="329" t="s">
        <v>1835</v>
      </c>
      <c r="G104" s="92">
        <v>8</v>
      </c>
      <c r="H104" s="5"/>
      <c r="I104" s="5"/>
      <c r="J104" s="91">
        <v>46184</v>
      </c>
    </row>
    <row r="105" spans="2:10" ht="30">
      <c r="B105">
        <v>14</v>
      </c>
      <c r="D105" s="131" t="s">
        <v>1841</v>
      </c>
      <c r="E105" s="54" t="s">
        <v>1842</v>
      </c>
      <c r="F105" s="329" t="s">
        <v>1843</v>
      </c>
      <c r="G105" s="92" t="s">
        <v>1801</v>
      </c>
      <c r="H105" s="5" t="s">
        <v>1844</v>
      </c>
      <c r="I105" s="5"/>
      <c r="J105" s="91">
        <v>46188</v>
      </c>
    </row>
    <row r="106" spans="2:10" ht="30">
      <c r="B106">
        <v>15</v>
      </c>
      <c r="D106" s="131" t="s">
        <v>1845</v>
      </c>
      <c r="E106" s="54" t="s">
        <v>1846</v>
      </c>
      <c r="F106" s="329" t="s">
        <v>1843</v>
      </c>
      <c r="G106" s="92" t="s">
        <v>1801</v>
      </c>
      <c r="H106" s="5" t="s">
        <v>1844</v>
      </c>
      <c r="I106" s="5"/>
      <c r="J106" s="91">
        <v>46188</v>
      </c>
    </row>
    <row r="107" spans="2:10" ht="30">
      <c r="B107">
        <v>16</v>
      </c>
      <c r="D107" s="131" t="s">
        <v>1837</v>
      </c>
      <c r="E107" s="54" t="s">
        <v>1847</v>
      </c>
      <c r="F107" s="329" t="s">
        <v>1843</v>
      </c>
      <c r="G107" s="92" t="s">
        <v>1801</v>
      </c>
      <c r="H107" s="5" t="s">
        <v>1844</v>
      </c>
      <c r="I107" s="5"/>
      <c r="J107" s="91">
        <v>46188</v>
      </c>
    </row>
    <row r="108" spans="2:10" ht="30">
      <c r="B108">
        <v>17</v>
      </c>
      <c r="D108" s="332" t="s">
        <v>1849</v>
      </c>
      <c r="E108" s="135" t="s">
        <v>1850</v>
      </c>
      <c r="G108">
        <v>8</v>
      </c>
      <c r="J108" s="316">
        <v>46190</v>
      </c>
    </row>
    <row r="109" spans="2:10" ht="30">
      <c r="B109">
        <v>18</v>
      </c>
      <c r="D109" s="332" t="s">
        <v>1851</v>
      </c>
      <c r="E109" s="135" t="s">
        <v>1852</v>
      </c>
      <c r="F109" s="363" t="s">
        <v>1853</v>
      </c>
      <c r="G109">
        <v>7</v>
      </c>
      <c r="J109" s="316">
        <v>46190</v>
      </c>
    </row>
    <row r="110" spans="2:10" ht="30">
      <c r="B110">
        <v>19</v>
      </c>
      <c r="D110" s="332" t="s">
        <v>1854</v>
      </c>
      <c r="E110" s="135" t="s">
        <v>1855</v>
      </c>
      <c r="F110" s="363" t="s">
        <v>1856</v>
      </c>
      <c r="G110">
        <v>10</v>
      </c>
      <c r="J110" s="316">
        <v>46190</v>
      </c>
    </row>
    <row r="111" spans="2:10">
      <c r="B111">
        <v>20</v>
      </c>
    </row>
  </sheetData>
  <mergeCells count="13">
    <mergeCell ref="B91:J91"/>
    <mergeCell ref="J30:J31"/>
    <mergeCell ref="B90:E90"/>
    <mergeCell ref="F90:J90"/>
    <mergeCell ref="B49:J49"/>
    <mergeCell ref="B3:J3"/>
    <mergeCell ref="B46:E46"/>
    <mergeCell ref="F46:J46"/>
    <mergeCell ref="B30:B31"/>
    <mergeCell ref="F30:F31"/>
    <mergeCell ref="G30:G31"/>
    <mergeCell ref="H30:H31"/>
    <mergeCell ref="I30:I31"/>
  </mergeCells>
  <phoneticPr fontId="27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V1048576"/>
  <sheetViews>
    <sheetView zoomScale="120" zoomScaleNormal="120" workbookViewId="0">
      <pane ySplit="5" topLeftCell="A6" activePane="bottomLeft" state="frozen"/>
      <selection pane="bottomLeft" activeCell="G18" sqref="G18"/>
    </sheetView>
  </sheetViews>
  <sheetFormatPr baseColWidth="10" defaultColWidth="11.5" defaultRowHeight="15"/>
  <cols>
    <col min="1" max="1" width="5.5" style="101" customWidth="1"/>
    <col min="2" max="2" width="11.5" style="123" customWidth="1"/>
    <col min="3" max="3" width="13.33203125" style="123" customWidth="1"/>
    <col min="4" max="4" width="11.83203125" style="123" hidden="1" customWidth="1"/>
    <col min="5" max="5" width="15.5" style="2" bestFit="1" customWidth="1"/>
    <col min="6" max="6" width="39.5" style="177" customWidth="1"/>
    <col min="7" max="7" width="31.5" style="177" bestFit="1" customWidth="1"/>
    <col min="8" max="8" width="30.6640625" style="177" customWidth="1"/>
    <col min="9" max="9" width="8.1640625" style="2" bestFit="1" customWidth="1"/>
    <col min="10" max="10" width="12.6640625" style="2" customWidth="1"/>
    <col min="11" max="11" width="14" style="2" customWidth="1"/>
    <col min="12" max="12" width="15" style="2" customWidth="1"/>
    <col min="13" max="13" width="31" style="2" customWidth="1"/>
    <col min="14" max="16" width="3.1640625" style="101" customWidth="1"/>
    <col min="17" max="22" width="11.5" style="101"/>
    <col min="23" max="16384" width="11.5" style="2"/>
  </cols>
  <sheetData>
    <row r="1" spans="2:16" s="101" customFormat="1" ht="16" thickBot="1">
      <c r="B1" s="122"/>
      <c r="C1" s="122"/>
      <c r="D1" s="122"/>
      <c r="F1" s="121"/>
      <c r="G1" s="121"/>
      <c r="H1" s="121"/>
    </row>
    <row r="2" spans="2:16" ht="30" thickBot="1">
      <c r="B2" s="407" t="s">
        <v>360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</row>
    <row r="3" spans="2:16" s="101" customFormat="1">
      <c r="B3" s="122"/>
      <c r="C3" s="122"/>
      <c r="D3" s="122"/>
      <c r="F3" s="121"/>
      <c r="G3" s="121"/>
      <c r="H3" s="121"/>
    </row>
    <row r="4" spans="2:16" ht="24">
      <c r="B4" s="409" t="s">
        <v>361</v>
      </c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</row>
    <row r="5" spans="2:16" ht="32">
      <c r="B5" s="118" t="s">
        <v>438</v>
      </c>
      <c r="C5" s="118" t="s">
        <v>437</v>
      </c>
      <c r="D5" s="118" t="s">
        <v>584</v>
      </c>
      <c r="E5" s="1" t="s">
        <v>14</v>
      </c>
      <c r="F5" s="1" t="s">
        <v>2</v>
      </c>
      <c r="G5" s="1" t="s">
        <v>431</v>
      </c>
      <c r="H5" s="1" t="s">
        <v>432</v>
      </c>
      <c r="I5" s="107" t="s">
        <v>537</v>
      </c>
      <c r="J5" s="1" t="s">
        <v>434</v>
      </c>
      <c r="K5" s="1" t="s">
        <v>435</v>
      </c>
      <c r="L5" s="1" t="s">
        <v>436</v>
      </c>
      <c r="M5" s="1" t="s">
        <v>1338</v>
      </c>
    </row>
    <row r="6" spans="2:16" ht="16">
      <c r="B6" s="89" t="s">
        <v>29</v>
      </c>
      <c r="C6" s="120">
        <v>1</v>
      </c>
      <c r="D6" s="411"/>
      <c r="E6" s="107" t="s">
        <v>1386</v>
      </c>
      <c r="F6" s="119" t="s">
        <v>339</v>
      </c>
      <c r="G6" s="119" t="s">
        <v>1387</v>
      </c>
      <c r="H6" s="119" t="s">
        <v>487</v>
      </c>
      <c r="I6" s="119">
        <v>1</v>
      </c>
      <c r="J6" s="119">
        <v>0</v>
      </c>
      <c r="K6" s="119">
        <v>1</v>
      </c>
      <c r="L6" s="119" t="s">
        <v>489</v>
      </c>
      <c r="M6" s="119" t="s">
        <v>1388</v>
      </c>
      <c r="N6" s="121"/>
      <c r="O6" s="121"/>
      <c r="P6" s="121"/>
    </row>
    <row r="7" spans="2:16" ht="15" customHeight="1">
      <c r="B7" s="89">
        <v>1</v>
      </c>
      <c r="C7" s="89" t="s">
        <v>29</v>
      </c>
      <c r="D7" s="412"/>
      <c r="E7" s="107" t="s">
        <v>203</v>
      </c>
      <c r="F7" s="1" t="s">
        <v>1389</v>
      </c>
      <c r="G7" s="1" t="s">
        <v>1390</v>
      </c>
      <c r="H7" s="1" t="s">
        <v>487</v>
      </c>
      <c r="I7" s="107"/>
      <c r="J7" s="107"/>
      <c r="K7" s="107"/>
      <c r="L7" s="107"/>
      <c r="M7" s="107"/>
    </row>
    <row r="8" spans="2:16" ht="16">
      <c r="B8" s="89">
        <v>2</v>
      </c>
      <c r="C8" s="89">
        <v>2</v>
      </c>
      <c r="D8" s="412"/>
      <c r="E8" s="107" t="s">
        <v>67</v>
      </c>
      <c r="F8" s="1" t="s">
        <v>69</v>
      </c>
      <c r="G8" s="1" t="s">
        <v>1391</v>
      </c>
      <c r="H8" s="1"/>
      <c r="I8" s="107"/>
      <c r="J8" s="107"/>
      <c r="K8" s="107"/>
      <c r="L8" s="107"/>
      <c r="M8" s="107"/>
    </row>
    <row r="9" spans="2:16" ht="16">
      <c r="B9" s="89">
        <v>3</v>
      </c>
      <c r="C9" s="89">
        <v>3</v>
      </c>
      <c r="D9" s="412"/>
      <c r="E9" s="107" t="s">
        <v>1414</v>
      </c>
      <c r="F9" s="1" t="s">
        <v>1416</v>
      </c>
      <c r="G9" s="1" t="s">
        <v>1387</v>
      </c>
      <c r="H9" s="1" t="s">
        <v>487</v>
      </c>
      <c r="I9" s="107">
        <v>2</v>
      </c>
      <c r="J9" s="107">
        <v>0</v>
      </c>
      <c r="K9" s="107">
        <v>1</v>
      </c>
      <c r="L9" s="107" t="s">
        <v>538</v>
      </c>
      <c r="M9" s="107" t="s">
        <v>1415</v>
      </c>
    </row>
    <row r="10" spans="2:16" ht="16">
      <c r="B10" s="89" t="s">
        <v>29</v>
      </c>
      <c r="C10" s="89">
        <v>4</v>
      </c>
      <c r="D10" s="412"/>
      <c r="E10" s="107" t="s">
        <v>1417</v>
      </c>
      <c r="F10" s="1" t="s">
        <v>1418</v>
      </c>
      <c r="G10" s="1" t="s">
        <v>1387</v>
      </c>
      <c r="H10" s="1" t="s">
        <v>487</v>
      </c>
      <c r="I10" s="107">
        <v>1</v>
      </c>
      <c r="J10" s="107"/>
      <c r="K10" s="107">
        <v>1</v>
      </c>
      <c r="L10" s="107" t="s">
        <v>1419</v>
      </c>
      <c r="M10" s="107">
        <v>254.04</v>
      </c>
    </row>
    <row r="11" spans="2:16" ht="16">
      <c r="B11" s="89" t="s">
        <v>29</v>
      </c>
      <c r="C11" s="89">
        <v>5</v>
      </c>
      <c r="D11" s="412"/>
      <c r="E11" s="107" t="s">
        <v>1420</v>
      </c>
      <c r="F11" s="1" t="s">
        <v>1421</v>
      </c>
      <c r="G11" s="1" t="s">
        <v>1387</v>
      </c>
      <c r="H11" s="1" t="s">
        <v>487</v>
      </c>
      <c r="I11" s="107">
        <v>1</v>
      </c>
      <c r="J11" s="107"/>
      <c r="K11" s="107">
        <v>1</v>
      </c>
      <c r="L11" s="107" t="s">
        <v>1419</v>
      </c>
      <c r="M11" s="107">
        <v>301.22000000000003</v>
      </c>
    </row>
    <row r="12" spans="2:16" ht="16">
      <c r="B12" s="89" t="s">
        <v>29</v>
      </c>
      <c r="C12" s="89">
        <v>6</v>
      </c>
      <c r="D12" s="412"/>
      <c r="E12" s="107" t="s">
        <v>1422</v>
      </c>
      <c r="F12" s="1" t="s">
        <v>1397</v>
      </c>
      <c r="G12" s="1" t="s">
        <v>1387</v>
      </c>
      <c r="H12" s="1" t="s">
        <v>487</v>
      </c>
      <c r="I12" s="107">
        <v>1</v>
      </c>
      <c r="J12" s="107"/>
      <c r="K12" s="107">
        <v>1</v>
      </c>
      <c r="L12" s="107" t="s">
        <v>524</v>
      </c>
      <c r="M12" s="107">
        <v>20</v>
      </c>
    </row>
    <row r="13" spans="2:16" ht="16">
      <c r="B13" s="89" t="s">
        <v>29</v>
      </c>
      <c r="C13" s="89">
        <v>7</v>
      </c>
      <c r="D13" s="412"/>
      <c r="E13" s="107" t="s">
        <v>1423</v>
      </c>
      <c r="F13" s="1" t="s">
        <v>1401</v>
      </c>
      <c r="G13" s="1" t="s">
        <v>1387</v>
      </c>
      <c r="H13" s="1" t="s">
        <v>487</v>
      </c>
      <c r="I13" s="107">
        <v>1</v>
      </c>
      <c r="J13" s="107"/>
      <c r="K13" s="107">
        <v>1</v>
      </c>
      <c r="L13" s="107" t="s">
        <v>1419</v>
      </c>
      <c r="M13" s="107">
        <v>177.71</v>
      </c>
    </row>
    <row r="14" spans="2:16" ht="16">
      <c r="B14" s="89">
        <v>8</v>
      </c>
      <c r="C14" s="89">
        <v>8</v>
      </c>
      <c r="D14" s="412"/>
      <c r="E14" s="107" t="s">
        <v>1424</v>
      </c>
      <c r="F14" s="1" t="s">
        <v>1400</v>
      </c>
      <c r="G14" s="1" t="s">
        <v>1387</v>
      </c>
      <c r="H14" s="1" t="s">
        <v>487</v>
      </c>
      <c r="I14" s="107">
        <v>1</v>
      </c>
      <c r="J14" s="107"/>
      <c r="K14" s="107">
        <v>1</v>
      </c>
      <c r="L14" s="107" t="s">
        <v>1327</v>
      </c>
      <c r="M14" s="107" t="s">
        <v>1425</v>
      </c>
    </row>
    <row r="15" spans="2:16" ht="16">
      <c r="B15" s="89">
        <v>9</v>
      </c>
      <c r="C15" s="89">
        <v>9</v>
      </c>
      <c r="D15" s="412"/>
      <c r="E15" s="107" t="s">
        <v>1426</v>
      </c>
      <c r="F15" s="1" t="s">
        <v>1393</v>
      </c>
      <c r="G15" s="1" t="s">
        <v>1387</v>
      </c>
      <c r="H15" s="1" t="s">
        <v>487</v>
      </c>
      <c r="I15" s="107">
        <v>1</v>
      </c>
      <c r="J15" s="107"/>
      <c r="K15" s="107">
        <v>1</v>
      </c>
      <c r="L15" s="107" t="s">
        <v>1327</v>
      </c>
      <c r="M15" s="107" t="s">
        <v>1429</v>
      </c>
    </row>
    <row r="16" spans="2:16" ht="16">
      <c r="B16" s="89">
        <v>10</v>
      </c>
      <c r="C16" s="89">
        <v>10</v>
      </c>
      <c r="D16" s="412"/>
      <c r="E16" s="107" t="s">
        <v>1427</v>
      </c>
      <c r="F16" s="1" t="s">
        <v>1410</v>
      </c>
      <c r="G16" s="1" t="s">
        <v>1387</v>
      </c>
      <c r="H16" s="1" t="s">
        <v>487</v>
      </c>
      <c r="I16" s="107">
        <v>1</v>
      </c>
      <c r="J16" s="107"/>
      <c r="K16" s="107">
        <v>1</v>
      </c>
      <c r="L16" s="107" t="s">
        <v>1327</v>
      </c>
      <c r="M16" s="107" t="s">
        <v>1428</v>
      </c>
    </row>
    <row r="17" spans="2:13" ht="16">
      <c r="B17" s="89" t="s">
        <v>29</v>
      </c>
      <c r="C17" s="89">
        <v>11</v>
      </c>
      <c r="D17" s="412"/>
      <c r="E17" s="107" t="s">
        <v>1430</v>
      </c>
      <c r="F17" s="1" t="s">
        <v>1408</v>
      </c>
      <c r="G17" s="1" t="s">
        <v>1387</v>
      </c>
      <c r="H17" s="1" t="s">
        <v>487</v>
      </c>
      <c r="I17" s="1">
        <v>1</v>
      </c>
      <c r="J17" s="107"/>
      <c r="K17" s="107">
        <v>1</v>
      </c>
      <c r="L17" s="107" t="s">
        <v>1419</v>
      </c>
      <c r="M17" s="107">
        <v>80.39</v>
      </c>
    </row>
    <row r="18" spans="2:13" ht="30" customHeight="1">
      <c r="B18" s="89" t="s">
        <v>29</v>
      </c>
      <c r="C18" s="89">
        <v>12</v>
      </c>
      <c r="D18" s="412"/>
      <c r="E18" s="107" t="s">
        <v>1460</v>
      </c>
      <c r="F18" s="1" t="s">
        <v>1405</v>
      </c>
      <c r="G18" s="1" t="s">
        <v>1387</v>
      </c>
      <c r="H18" s="1" t="s">
        <v>487</v>
      </c>
      <c r="I18" s="107">
        <v>2</v>
      </c>
      <c r="J18" s="107"/>
      <c r="K18" s="107">
        <v>1</v>
      </c>
      <c r="L18" s="107" t="s">
        <v>1419</v>
      </c>
      <c r="M18" s="107">
        <v>130.97999999999999</v>
      </c>
    </row>
    <row r="19" spans="2:13" ht="16">
      <c r="B19" s="89" t="s">
        <v>29</v>
      </c>
      <c r="C19" s="89">
        <v>13</v>
      </c>
      <c r="D19" s="412"/>
      <c r="E19" s="107" t="s">
        <v>1461</v>
      </c>
      <c r="F19" s="1" t="s">
        <v>1403</v>
      </c>
      <c r="G19" s="1" t="s">
        <v>1387</v>
      </c>
      <c r="H19" s="1" t="s">
        <v>487</v>
      </c>
      <c r="I19" s="107">
        <v>1</v>
      </c>
      <c r="J19" s="107"/>
      <c r="K19" s="107">
        <v>1</v>
      </c>
      <c r="L19" s="107" t="s">
        <v>1419</v>
      </c>
      <c r="M19" s="107" t="s">
        <v>1462</v>
      </c>
    </row>
    <row r="20" spans="2:13" ht="16">
      <c r="B20" s="89">
        <v>14</v>
      </c>
      <c r="C20" s="89" t="s">
        <v>29</v>
      </c>
      <c r="D20" s="413"/>
      <c r="E20" s="107" t="s">
        <v>1463</v>
      </c>
      <c r="F20" s="1" t="s">
        <v>1464</v>
      </c>
      <c r="G20" s="1" t="s">
        <v>1366</v>
      </c>
      <c r="H20" s="1" t="s">
        <v>487</v>
      </c>
      <c r="I20" s="107">
        <v>1</v>
      </c>
      <c r="J20" s="107"/>
      <c r="K20" s="107">
        <v>1</v>
      </c>
      <c r="L20" s="107"/>
      <c r="M20" s="1"/>
    </row>
    <row r="21" spans="2:13" ht="16">
      <c r="B21" s="89">
        <v>15</v>
      </c>
      <c r="C21" s="89">
        <v>15</v>
      </c>
      <c r="D21" s="188"/>
      <c r="E21" s="107" t="s">
        <v>1466</v>
      </c>
      <c r="F21" s="1" t="s">
        <v>1465</v>
      </c>
      <c r="G21" s="1" t="s">
        <v>1366</v>
      </c>
      <c r="H21" s="1" t="s">
        <v>487</v>
      </c>
      <c r="I21" s="107">
        <v>2</v>
      </c>
      <c r="J21" s="107"/>
      <c r="K21" s="107">
        <v>1</v>
      </c>
      <c r="L21" s="107" t="s">
        <v>538</v>
      </c>
      <c r="M21" s="107">
        <v>135.06</v>
      </c>
    </row>
    <row r="22" spans="2:13" ht="16">
      <c r="B22" s="89" t="s">
        <v>29</v>
      </c>
      <c r="C22" s="89">
        <v>16</v>
      </c>
      <c r="D22" s="188"/>
      <c r="E22" s="107" t="s">
        <v>1468</v>
      </c>
      <c r="F22" s="1" t="s">
        <v>1469</v>
      </c>
      <c r="G22" s="1" t="s">
        <v>1473</v>
      </c>
      <c r="H22" s="1" t="s">
        <v>487</v>
      </c>
      <c r="I22" s="107">
        <v>1</v>
      </c>
      <c r="J22" s="107"/>
      <c r="K22" s="107">
        <v>1</v>
      </c>
      <c r="L22" s="107" t="s">
        <v>489</v>
      </c>
      <c r="M22" s="107">
        <v>73.78</v>
      </c>
    </row>
    <row r="23" spans="2:13" ht="16">
      <c r="B23" s="89" t="s">
        <v>29</v>
      </c>
      <c r="C23" s="89">
        <v>17</v>
      </c>
      <c r="D23" s="188"/>
      <c r="E23" s="107" t="s">
        <v>1474</v>
      </c>
      <c r="F23" s="1" t="s">
        <v>1475</v>
      </c>
      <c r="G23" s="1" t="s">
        <v>1476</v>
      </c>
      <c r="H23" s="1" t="s">
        <v>487</v>
      </c>
      <c r="I23" s="107">
        <v>2</v>
      </c>
      <c r="J23" s="107"/>
      <c r="K23" s="107">
        <v>1</v>
      </c>
      <c r="L23" s="107" t="s">
        <v>489</v>
      </c>
      <c r="M23" s="1">
        <v>179.72</v>
      </c>
    </row>
    <row r="24" spans="2:13" ht="16">
      <c r="B24" s="89" t="s">
        <v>29</v>
      </c>
      <c r="C24" s="89">
        <v>18</v>
      </c>
      <c r="D24" s="188"/>
      <c r="E24" s="107" t="s">
        <v>1467</v>
      </c>
      <c r="F24" s="1" t="s">
        <v>1477</v>
      </c>
      <c r="G24" s="1" t="s">
        <v>1478</v>
      </c>
      <c r="H24" s="1" t="s">
        <v>487</v>
      </c>
      <c r="I24" s="107">
        <v>1</v>
      </c>
      <c r="J24" s="107"/>
      <c r="K24" s="107">
        <v>1</v>
      </c>
      <c r="L24" s="107" t="s">
        <v>489</v>
      </c>
      <c r="M24" s="107">
        <v>66.53</v>
      </c>
    </row>
    <row r="25" spans="2:13" ht="16">
      <c r="B25" s="89">
        <v>19</v>
      </c>
      <c r="C25" s="89">
        <v>19</v>
      </c>
      <c r="D25" s="188"/>
      <c r="E25" s="107" t="s">
        <v>1479</v>
      </c>
      <c r="F25" s="1" t="s">
        <v>1480</v>
      </c>
      <c r="G25" s="1"/>
      <c r="H25" s="1"/>
      <c r="I25" s="107"/>
      <c r="J25" s="107"/>
      <c r="K25" s="107"/>
      <c r="L25" s="107"/>
      <c r="M25" s="107"/>
    </row>
    <row r="26" spans="2:13" ht="16">
      <c r="B26" s="89" t="s">
        <v>29</v>
      </c>
      <c r="C26" s="89">
        <v>20</v>
      </c>
      <c r="D26" s="188"/>
      <c r="E26" s="107" t="s">
        <v>1481</v>
      </c>
      <c r="F26" s="1" t="s">
        <v>1482</v>
      </c>
      <c r="G26" s="1"/>
      <c r="H26" s="1"/>
      <c r="I26" s="107"/>
      <c r="J26" s="107"/>
      <c r="K26" s="107"/>
      <c r="L26" s="107"/>
      <c r="M26" s="107"/>
    </row>
    <row r="27" spans="2:13" ht="32">
      <c r="B27" s="89">
        <v>21</v>
      </c>
      <c r="C27" s="89">
        <v>21</v>
      </c>
      <c r="D27" s="188"/>
      <c r="E27" s="107" t="s">
        <v>1483</v>
      </c>
      <c r="F27" s="1" t="s">
        <v>1484</v>
      </c>
      <c r="G27" s="1" t="s">
        <v>1486</v>
      </c>
      <c r="H27" s="1" t="s">
        <v>1485</v>
      </c>
      <c r="I27" s="107"/>
      <c r="J27" s="107"/>
      <c r="K27" s="107"/>
      <c r="L27" s="107"/>
    </row>
    <row r="28" spans="2:13" ht="32">
      <c r="B28" s="89">
        <v>22</v>
      </c>
      <c r="C28" s="89">
        <v>22</v>
      </c>
      <c r="D28" s="188"/>
      <c r="E28" s="107" t="s">
        <v>1470</v>
      </c>
      <c r="F28" s="1" t="s">
        <v>1471</v>
      </c>
      <c r="G28" s="1" t="s">
        <v>1487</v>
      </c>
      <c r="H28" s="1" t="s">
        <v>487</v>
      </c>
      <c r="I28" s="107">
        <v>2</v>
      </c>
      <c r="J28" s="107">
        <v>0</v>
      </c>
      <c r="K28" s="107">
        <v>1</v>
      </c>
      <c r="L28" s="107" t="s">
        <v>538</v>
      </c>
      <c r="M28" s="1" t="s">
        <v>1488</v>
      </c>
    </row>
    <row r="29" spans="2:13" ht="16">
      <c r="B29" s="89">
        <v>23</v>
      </c>
      <c r="C29" s="89" t="s">
        <v>29</v>
      </c>
      <c r="D29" s="188"/>
      <c r="E29" s="107" t="s">
        <v>1472</v>
      </c>
      <c r="F29" s="1" t="s">
        <v>1471</v>
      </c>
      <c r="G29" s="1" t="s">
        <v>1489</v>
      </c>
      <c r="H29" s="1" t="s">
        <v>1490</v>
      </c>
      <c r="I29" s="107" t="s">
        <v>29</v>
      </c>
      <c r="J29" s="107">
        <v>0</v>
      </c>
      <c r="K29" s="107">
        <v>0</v>
      </c>
      <c r="L29" s="107" t="s">
        <v>538</v>
      </c>
      <c r="M29" s="107" t="s">
        <v>1491</v>
      </c>
    </row>
    <row r="30" spans="2:13" ht="16">
      <c r="B30" s="89">
        <v>24</v>
      </c>
      <c r="C30" s="89" t="s">
        <v>29</v>
      </c>
      <c r="D30" s="188"/>
      <c r="E30" s="107" t="s">
        <v>1411</v>
      </c>
      <c r="F30" s="1" t="s">
        <v>1413</v>
      </c>
      <c r="G30" s="1" t="s">
        <v>1492</v>
      </c>
      <c r="H30" s="1" t="s">
        <v>1493</v>
      </c>
      <c r="I30" s="107">
        <v>1</v>
      </c>
      <c r="J30" s="107">
        <v>0</v>
      </c>
      <c r="K30" s="107">
        <v>0</v>
      </c>
      <c r="L30" s="107" t="s">
        <v>538</v>
      </c>
      <c r="M30" s="107" t="s">
        <v>1494</v>
      </c>
    </row>
    <row r="31" spans="2:13" ht="16">
      <c r="B31" s="89">
        <v>25</v>
      </c>
      <c r="C31" s="89">
        <v>25</v>
      </c>
      <c r="D31" s="188"/>
      <c r="E31" s="107" t="s">
        <v>1412</v>
      </c>
      <c r="F31" s="1" t="s">
        <v>1413</v>
      </c>
      <c r="G31" s="1" t="s">
        <v>1492</v>
      </c>
      <c r="H31" s="1" t="s">
        <v>487</v>
      </c>
      <c r="I31" s="107">
        <v>2</v>
      </c>
      <c r="J31" s="107"/>
      <c r="K31" s="107">
        <v>1</v>
      </c>
      <c r="L31" s="107" t="s">
        <v>538</v>
      </c>
      <c r="M31" s="107">
        <v>160.91</v>
      </c>
    </row>
    <row r="32" spans="2:13" ht="32">
      <c r="B32" s="89">
        <v>26</v>
      </c>
      <c r="C32" s="89">
        <v>26</v>
      </c>
      <c r="D32" s="188"/>
      <c r="E32" s="107" t="s">
        <v>1497</v>
      </c>
      <c r="F32" s="1" t="s">
        <v>1498</v>
      </c>
      <c r="G32" s="1" t="s">
        <v>1499</v>
      </c>
      <c r="H32" s="1" t="s">
        <v>1500</v>
      </c>
      <c r="I32" s="107">
        <v>2</v>
      </c>
      <c r="J32" s="107"/>
      <c r="K32" s="107">
        <v>1</v>
      </c>
      <c r="L32" s="107" t="s">
        <v>1327</v>
      </c>
      <c r="M32" s="107" t="s">
        <v>1501</v>
      </c>
    </row>
    <row r="33" spans="2:13">
      <c r="B33" s="89" t="s">
        <v>29</v>
      </c>
      <c r="C33" s="89">
        <v>27</v>
      </c>
      <c r="D33" s="188"/>
      <c r="E33" s="107" t="s">
        <v>1502</v>
      </c>
      <c r="F33" s="1"/>
      <c r="G33" s="1"/>
      <c r="H33" s="1"/>
      <c r="I33" s="107"/>
      <c r="J33" s="107"/>
      <c r="K33" s="107"/>
      <c r="L33" s="107"/>
      <c r="M33" s="107"/>
    </row>
    <row r="34" spans="2:13" ht="16">
      <c r="B34" s="89">
        <v>28</v>
      </c>
      <c r="C34" s="89">
        <v>28</v>
      </c>
      <c r="D34" s="188"/>
      <c r="E34" s="107" t="s">
        <v>1495</v>
      </c>
      <c r="F34" s="1" t="s">
        <v>1496</v>
      </c>
      <c r="G34" s="1" t="s">
        <v>1503</v>
      </c>
      <c r="H34" s="1" t="s">
        <v>1504</v>
      </c>
      <c r="I34" s="107">
        <v>1</v>
      </c>
      <c r="J34" s="107"/>
      <c r="K34" s="107">
        <v>2</v>
      </c>
      <c r="L34" s="107" t="s">
        <v>538</v>
      </c>
      <c r="M34" s="107" t="s">
        <v>1505</v>
      </c>
    </row>
    <row r="35" spans="2:13">
      <c r="B35" s="89"/>
      <c r="C35" s="89"/>
      <c r="D35" s="188"/>
      <c r="E35" s="107"/>
      <c r="F35" s="1"/>
      <c r="G35" s="1"/>
      <c r="H35" s="1"/>
      <c r="I35" s="107"/>
      <c r="J35" s="107"/>
      <c r="K35" s="107"/>
      <c r="L35" s="107"/>
      <c r="M35" s="107"/>
    </row>
    <row r="36" spans="2:13">
      <c r="B36" s="89"/>
      <c r="C36" s="89"/>
      <c r="D36" s="188"/>
      <c r="E36" s="107"/>
      <c r="F36" s="1"/>
      <c r="G36" s="1"/>
      <c r="H36" s="1"/>
      <c r="I36" s="107"/>
      <c r="J36" s="107"/>
      <c r="K36" s="107"/>
      <c r="L36" s="107"/>
      <c r="M36" s="107"/>
    </row>
    <row r="37" spans="2:13">
      <c r="B37" s="89"/>
      <c r="C37" s="89"/>
      <c r="D37" s="188"/>
      <c r="E37" s="107"/>
      <c r="F37" s="1"/>
      <c r="G37" s="1"/>
      <c r="H37" s="1"/>
      <c r="I37" s="107"/>
      <c r="J37" s="107"/>
      <c r="K37" s="107"/>
      <c r="L37" s="107"/>
      <c r="M37" s="107"/>
    </row>
    <row r="38" spans="2:13">
      <c r="B38" s="89"/>
      <c r="C38" s="89"/>
      <c r="D38" s="188"/>
      <c r="E38" s="107"/>
      <c r="F38" s="1"/>
      <c r="G38" s="1"/>
      <c r="H38" s="1"/>
      <c r="I38" s="107"/>
      <c r="J38" s="107"/>
      <c r="K38" s="107"/>
      <c r="L38" s="107"/>
      <c r="M38" s="107"/>
    </row>
    <row r="39" spans="2:13">
      <c r="B39" s="89"/>
      <c r="C39" s="89"/>
      <c r="D39" s="188"/>
      <c r="E39" s="107"/>
      <c r="F39" s="1"/>
      <c r="G39" s="1"/>
      <c r="H39" s="1"/>
      <c r="I39" s="107"/>
      <c r="J39" s="107"/>
      <c r="K39" s="107"/>
      <c r="L39" s="107"/>
      <c r="M39" s="107"/>
    </row>
    <row r="40" spans="2:13">
      <c r="B40" s="89"/>
      <c r="C40" s="89"/>
      <c r="D40" s="188"/>
      <c r="E40" s="107"/>
      <c r="F40" s="1"/>
      <c r="G40" s="1"/>
      <c r="H40" s="1"/>
      <c r="I40" s="107"/>
      <c r="J40" s="107"/>
      <c r="K40" s="107"/>
      <c r="L40" s="107"/>
      <c r="M40" s="107"/>
    </row>
    <row r="41" spans="2:13">
      <c r="B41" s="212"/>
      <c r="C41" s="89"/>
      <c r="D41" s="213"/>
      <c r="E41" s="214"/>
      <c r="F41" s="1"/>
      <c r="G41" s="1"/>
      <c r="H41" s="1"/>
      <c r="I41" s="107"/>
      <c r="J41" s="107"/>
      <c r="K41" s="107"/>
      <c r="L41" s="107"/>
      <c r="M41" s="107"/>
    </row>
    <row r="42" spans="2:13">
      <c r="B42" s="89"/>
      <c r="C42" s="89"/>
      <c r="D42" s="188"/>
      <c r="E42" s="107"/>
      <c r="F42" s="1"/>
      <c r="G42" s="1"/>
      <c r="H42" s="1"/>
      <c r="I42" s="107"/>
      <c r="J42" s="107"/>
      <c r="K42" s="107"/>
      <c r="L42" s="107"/>
      <c r="M42" s="107"/>
    </row>
    <row r="43" spans="2:13">
      <c r="B43" s="89"/>
      <c r="C43" s="89"/>
      <c r="D43" s="188"/>
      <c r="E43" s="107"/>
      <c r="F43" s="1"/>
      <c r="G43" s="1"/>
      <c r="H43" s="1"/>
      <c r="I43" s="107"/>
      <c r="J43" s="107"/>
      <c r="K43" s="107"/>
      <c r="L43" s="107"/>
      <c r="M43" s="107"/>
    </row>
    <row r="44" spans="2:13">
      <c r="B44" s="89"/>
      <c r="C44" s="89"/>
      <c r="D44" s="188"/>
      <c r="E44" s="107"/>
      <c r="F44" s="1"/>
      <c r="G44" s="1"/>
      <c r="H44" s="1"/>
      <c r="I44" s="107"/>
      <c r="J44" s="107"/>
      <c r="K44" s="107"/>
      <c r="L44" s="107"/>
      <c r="M44" s="107"/>
    </row>
    <row r="45" spans="2:13">
      <c r="B45" s="89"/>
      <c r="C45" s="89"/>
      <c r="D45" s="188"/>
      <c r="E45" s="107"/>
      <c r="F45" s="1"/>
      <c r="G45" s="1"/>
      <c r="H45" s="1"/>
      <c r="I45" s="107"/>
      <c r="J45" s="107"/>
      <c r="K45" s="107"/>
      <c r="L45" s="107"/>
      <c r="M45" s="107"/>
    </row>
    <row r="46" spans="2:13">
      <c r="B46" s="89"/>
      <c r="C46" s="89"/>
      <c r="D46" s="188"/>
      <c r="E46" s="107"/>
      <c r="F46" s="1"/>
      <c r="G46" s="1"/>
      <c r="H46" s="1"/>
      <c r="I46" s="1"/>
      <c r="J46" s="107"/>
      <c r="K46" s="107"/>
      <c r="L46" s="107"/>
      <c r="M46" s="107"/>
    </row>
    <row r="47" spans="2:13">
      <c r="B47" s="89"/>
      <c r="C47" s="89"/>
      <c r="D47" s="188"/>
      <c r="E47" s="1"/>
      <c r="F47" s="1"/>
      <c r="G47" s="1"/>
      <c r="H47" s="1"/>
      <c r="I47" s="107"/>
      <c r="J47" s="107"/>
      <c r="K47" s="107"/>
      <c r="L47" s="107"/>
      <c r="M47" s="107"/>
    </row>
    <row r="48" spans="2:13">
      <c r="B48" s="89"/>
      <c r="C48" s="89"/>
      <c r="D48" s="188"/>
      <c r="E48" s="107"/>
      <c r="F48" s="1"/>
      <c r="G48" s="1"/>
      <c r="H48" s="1"/>
      <c r="I48" s="107"/>
      <c r="J48" s="107"/>
      <c r="K48" s="107"/>
      <c r="L48" s="107"/>
      <c r="M48" s="107"/>
    </row>
    <row r="49" spans="2:13">
      <c r="B49" s="89"/>
      <c r="C49" s="89"/>
      <c r="D49" s="188"/>
      <c r="E49" s="107"/>
      <c r="F49" s="1"/>
      <c r="G49" s="1"/>
      <c r="H49" s="1"/>
      <c r="I49" s="107"/>
      <c r="J49" s="107"/>
      <c r="K49" s="107"/>
      <c r="L49" s="107"/>
      <c r="M49" s="107"/>
    </row>
    <row r="50" spans="2:13">
      <c r="B50" s="89"/>
      <c r="C50" s="89"/>
      <c r="D50" s="188"/>
      <c r="E50" s="107"/>
      <c r="F50" s="1"/>
      <c r="G50" s="1"/>
      <c r="H50" s="1"/>
      <c r="I50" s="107"/>
      <c r="J50" s="107"/>
      <c r="K50" s="107"/>
      <c r="L50" s="107"/>
      <c r="M50" s="107"/>
    </row>
    <row r="51" spans="2:13">
      <c r="B51" s="89"/>
      <c r="C51" s="89"/>
      <c r="D51" s="188"/>
      <c r="E51" s="107"/>
      <c r="F51" s="1"/>
      <c r="G51" s="1"/>
      <c r="H51" s="1"/>
      <c r="I51" s="107"/>
      <c r="J51" s="107"/>
      <c r="K51" s="107"/>
      <c r="L51" s="107"/>
      <c r="M51" s="107"/>
    </row>
    <row r="52" spans="2:13">
      <c r="B52" s="89"/>
      <c r="C52" s="89"/>
      <c r="D52" s="188"/>
      <c r="E52" s="107"/>
      <c r="F52" s="1"/>
      <c r="G52" s="1"/>
      <c r="H52" s="1"/>
      <c r="I52" s="107"/>
      <c r="J52" s="107"/>
      <c r="K52" s="107"/>
      <c r="L52" s="107"/>
      <c r="M52" s="107"/>
    </row>
    <row r="53" spans="2:13">
      <c r="B53" s="89"/>
      <c r="C53" s="89"/>
      <c r="D53" s="188"/>
      <c r="E53" s="107"/>
      <c r="F53" s="1"/>
      <c r="G53" s="1"/>
      <c r="H53" s="1"/>
      <c r="I53" s="107"/>
      <c r="J53" s="107"/>
      <c r="K53" s="107"/>
      <c r="L53" s="107"/>
      <c r="M53" s="107"/>
    </row>
    <row r="54" spans="2:13">
      <c r="B54" s="89"/>
      <c r="C54" s="89"/>
      <c r="D54" s="188"/>
      <c r="E54" s="107"/>
      <c r="F54" s="1"/>
      <c r="G54" s="1"/>
      <c r="H54" s="1"/>
      <c r="I54" s="107"/>
      <c r="J54" s="107"/>
      <c r="K54" s="107"/>
      <c r="L54" s="107"/>
      <c r="M54" s="107"/>
    </row>
    <row r="55" spans="2:13">
      <c r="B55" s="89"/>
      <c r="C55" s="89"/>
      <c r="D55" s="188"/>
      <c r="E55" s="107"/>
      <c r="F55" s="1"/>
      <c r="G55" s="1"/>
      <c r="H55" s="1"/>
      <c r="I55" s="107"/>
      <c r="J55" s="107"/>
      <c r="K55" s="107"/>
      <c r="L55" s="107"/>
      <c r="M55" s="107"/>
    </row>
    <row r="56" spans="2:13">
      <c r="B56" s="89"/>
      <c r="C56" s="89"/>
      <c r="D56" s="188"/>
      <c r="E56" s="107"/>
      <c r="F56" s="1"/>
      <c r="G56" s="1"/>
      <c r="H56" s="1"/>
      <c r="I56" s="107"/>
      <c r="J56" s="107"/>
      <c r="K56" s="107"/>
      <c r="L56" s="107"/>
      <c r="M56" s="107"/>
    </row>
    <row r="57" spans="2:13">
      <c r="B57" s="89"/>
      <c r="C57" s="89"/>
      <c r="D57" s="188"/>
      <c r="E57" s="107"/>
      <c r="F57" s="1"/>
      <c r="G57" s="1"/>
      <c r="H57" s="1"/>
      <c r="I57" s="107"/>
      <c r="J57" s="107"/>
      <c r="K57" s="107"/>
      <c r="L57" s="107"/>
      <c r="M57" s="107"/>
    </row>
    <row r="58" spans="2:13">
      <c r="B58" s="89"/>
      <c r="C58" s="89"/>
      <c r="D58" s="188"/>
      <c r="E58" s="107"/>
      <c r="F58" s="1"/>
      <c r="G58" s="1"/>
      <c r="H58" s="1"/>
      <c r="I58" s="107"/>
      <c r="J58" s="107"/>
      <c r="K58" s="107"/>
      <c r="L58" s="107"/>
      <c r="M58" s="107"/>
    </row>
    <row r="59" spans="2:13">
      <c r="B59" s="89"/>
      <c r="C59" s="89"/>
      <c r="D59" s="188"/>
      <c r="E59" s="107"/>
      <c r="F59" s="1"/>
      <c r="G59" s="1"/>
      <c r="H59" s="1"/>
      <c r="I59" s="107"/>
      <c r="J59" s="107"/>
      <c r="K59" s="107"/>
      <c r="L59" s="107"/>
      <c r="M59" s="107"/>
    </row>
    <row r="60" spans="2:13">
      <c r="B60" s="89"/>
      <c r="C60" s="89"/>
      <c r="D60" s="188"/>
      <c r="E60" s="107"/>
      <c r="F60" s="1"/>
      <c r="G60" s="1"/>
      <c r="H60" s="1"/>
      <c r="I60" s="107"/>
      <c r="J60" s="107"/>
      <c r="K60" s="107"/>
      <c r="L60" s="107"/>
      <c r="M60" s="107"/>
    </row>
    <row r="61" spans="2:13">
      <c r="B61" s="89"/>
      <c r="C61" s="89"/>
      <c r="D61" s="188"/>
      <c r="E61" s="107"/>
      <c r="F61" s="1"/>
      <c r="G61" s="1"/>
      <c r="H61" s="1"/>
      <c r="I61" s="107"/>
      <c r="J61" s="107"/>
      <c r="K61" s="107"/>
      <c r="L61" s="107"/>
      <c r="M61" s="107"/>
    </row>
    <row r="62" spans="2:13">
      <c r="B62" s="89"/>
      <c r="C62" s="89"/>
      <c r="D62" s="188"/>
      <c r="E62" s="107"/>
      <c r="F62" s="1"/>
      <c r="G62" s="1"/>
      <c r="H62" s="1"/>
      <c r="I62" s="107"/>
      <c r="J62" s="107"/>
      <c r="K62" s="107"/>
      <c r="L62" s="107"/>
      <c r="M62" s="107"/>
    </row>
    <row r="63" spans="2:13">
      <c r="B63" s="89"/>
      <c r="C63" s="89"/>
      <c r="D63" s="188"/>
      <c r="E63" s="107"/>
      <c r="F63" s="1"/>
      <c r="G63" s="1"/>
      <c r="H63" s="1"/>
      <c r="I63" s="107"/>
      <c r="J63" s="107"/>
      <c r="K63" s="107"/>
      <c r="L63" s="107"/>
      <c r="M63" s="107"/>
    </row>
    <row r="64" spans="2:13">
      <c r="B64" s="89"/>
      <c r="C64" s="89"/>
      <c r="D64" s="188"/>
      <c r="E64" s="107"/>
      <c r="F64" s="1"/>
      <c r="G64" s="1"/>
      <c r="H64" s="1"/>
      <c r="I64" s="107"/>
      <c r="J64" s="107"/>
      <c r="K64" s="107"/>
      <c r="L64" s="107"/>
      <c r="M64" s="107"/>
    </row>
    <row r="65" spans="2:13">
      <c r="B65" s="89"/>
      <c r="C65" s="89"/>
      <c r="D65" s="188"/>
      <c r="E65" s="107"/>
      <c r="F65" s="1"/>
      <c r="G65" s="1"/>
      <c r="H65" s="1"/>
      <c r="I65" s="107"/>
      <c r="J65" s="107"/>
      <c r="K65" s="107"/>
      <c r="L65" s="107"/>
      <c r="M65" s="107"/>
    </row>
    <row r="66" spans="2:13">
      <c r="B66" s="89"/>
      <c r="C66" s="89"/>
      <c r="D66" s="188"/>
      <c r="E66" s="107"/>
      <c r="F66" s="1"/>
      <c r="G66" s="1"/>
      <c r="H66" s="1"/>
      <c r="I66" s="107"/>
      <c r="J66" s="107"/>
      <c r="K66" s="107"/>
      <c r="L66" s="107"/>
      <c r="M66" s="107"/>
    </row>
    <row r="67" spans="2:13">
      <c r="B67" s="89"/>
      <c r="C67" s="89"/>
      <c r="D67" s="188"/>
      <c r="E67" s="107"/>
      <c r="F67" s="1"/>
      <c r="G67" s="1"/>
      <c r="H67" s="1"/>
      <c r="I67" s="107"/>
      <c r="J67" s="107"/>
      <c r="K67" s="107"/>
      <c r="L67" s="107"/>
      <c r="M67" s="1"/>
    </row>
    <row r="68" spans="2:13">
      <c r="B68" s="89"/>
      <c r="C68" s="89"/>
      <c r="D68" s="188"/>
      <c r="E68" s="107"/>
      <c r="F68" s="1"/>
      <c r="G68" s="1"/>
      <c r="H68" s="1"/>
      <c r="I68" s="107"/>
      <c r="J68" s="107"/>
      <c r="K68" s="107"/>
      <c r="L68" s="107"/>
      <c r="M68" s="107"/>
    </row>
    <row r="69" spans="2:13">
      <c r="B69" s="89"/>
      <c r="C69" s="89"/>
      <c r="D69" s="188"/>
      <c r="E69" s="107"/>
      <c r="F69" s="1"/>
      <c r="G69" s="1"/>
      <c r="H69" s="1"/>
      <c r="I69" s="107"/>
      <c r="J69" s="107"/>
      <c r="K69" s="107"/>
      <c r="L69" s="107"/>
      <c r="M69" s="107"/>
    </row>
    <row r="70" spans="2:13">
      <c r="B70" s="89"/>
      <c r="C70" s="89"/>
      <c r="D70" s="188"/>
      <c r="E70" s="107"/>
      <c r="F70" s="1"/>
      <c r="G70" s="1"/>
      <c r="H70" s="1"/>
      <c r="I70" s="107"/>
      <c r="J70" s="107"/>
      <c r="K70" s="107"/>
      <c r="L70" s="107"/>
      <c r="M70" s="1"/>
    </row>
    <row r="71" spans="2:13">
      <c r="B71" s="89"/>
      <c r="C71" s="89"/>
      <c r="D71" s="188"/>
      <c r="E71" s="107"/>
      <c r="F71" s="1"/>
      <c r="G71" s="1"/>
      <c r="H71" s="1"/>
      <c r="I71" s="107"/>
      <c r="J71" s="107"/>
      <c r="K71" s="107"/>
      <c r="L71" s="107"/>
      <c r="M71" s="107"/>
    </row>
    <row r="72" spans="2:13">
      <c r="B72" s="89"/>
      <c r="C72" s="89"/>
      <c r="D72" s="188"/>
      <c r="E72" s="107"/>
      <c r="F72" s="1"/>
      <c r="G72" s="1"/>
      <c r="H72" s="1"/>
      <c r="I72" s="107"/>
      <c r="J72" s="107"/>
      <c r="K72" s="107"/>
      <c r="L72" s="107"/>
      <c r="M72" s="107"/>
    </row>
    <row r="73" spans="2:13">
      <c r="B73" s="89"/>
      <c r="C73" s="89"/>
      <c r="D73" s="188"/>
      <c r="E73" s="107"/>
      <c r="F73" s="1"/>
      <c r="G73" s="1"/>
      <c r="H73" s="1"/>
      <c r="I73" s="107"/>
      <c r="J73" s="107"/>
      <c r="K73" s="107"/>
      <c r="L73" s="107"/>
      <c r="M73" s="107"/>
    </row>
    <row r="74" spans="2:13">
      <c r="B74" s="270"/>
      <c r="C74" s="270"/>
      <c r="D74" s="271"/>
      <c r="E74" s="272"/>
      <c r="F74" s="273"/>
      <c r="G74" s="273"/>
      <c r="H74" s="273"/>
      <c r="I74" s="272"/>
      <c r="J74" s="272"/>
      <c r="K74" s="272"/>
      <c r="L74" s="272"/>
      <c r="M74" s="272"/>
    </row>
    <row r="75" spans="2:13">
      <c r="B75" s="302"/>
      <c r="C75" s="302"/>
      <c r="D75" s="303"/>
      <c r="E75" s="304"/>
      <c r="F75" s="305"/>
      <c r="G75" s="305"/>
      <c r="H75" s="305"/>
      <c r="I75" s="304"/>
      <c r="J75" s="304"/>
      <c r="K75" s="304"/>
      <c r="L75" s="304"/>
      <c r="M75" s="304"/>
    </row>
    <row r="76" spans="2:13">
      <c r="B76" s="89"/>
      <c r="C76" s="89"/>
      <c r="D76" s="188"/>
      <c r="E76" s="107"/>
      <c r="F76" s="1"/>
      <c r="G76" s="1"/>
      <c r="H76" s="1"/>
      <c r="I76" s="107"/>
      <c r="J76" s="107"/>
      <c r="K76" s="107"/>
      <c r="L76" s="107"/>
      <c r="M76" s="107"/>
    </row>
    <row r="77" spans="2:13">
      <c r="B77" s="89"/>
      <c r="C77" s="89"/>
      <c r="D77" s="188"/>
      <c r="E77" s="107"/>
      <c r="F77" s="1"/>
      <c r="G77" s="1"/>
      <c r="H77" s="1"/>
      <c r="I77" s="107"/>
      <c r="J77" s="107"/>
      <c r="K77" s="107"/>
      <c r="L77" s="107"/>
      <c r="M77" s="1"/>
    </row>
    <row r="78" spans="2:13">
      <c r="B78" s="89"/>
      <c r="C78" s="89"/>
      <c r="D78" s="188"/>
      <c r="E78" s="107"/>
      <c r="F78" s="1"/>
      <c r="G78" s="1"/>
      <c r="H78" s="1"/>
      <c r="I78" s="107"/>
      <c r="J78" s="107"/>
      <c r="K78" s="107"/>
      <c r="L78" s="107"/>
      <c r="M78" s="1"/>
    </row>
    <row r="79" spans="2:13">
      <c r="B79" s="89"/>
      <c r="C79" s="89"/>
      <c r="D79" s="188"/>
      <c r="E79" s="107"/>
      <c r="F79" s="1"/>
      <c r="G79" s="1"/>
      <c r="H79" s="1"/>
      <c r="I79" s="107"/>
      <c r="J79" s="107"/>
      <c r="K79" s="107"/>
      <c r="L79" s="107"/>
      <c r="M79" s="107"/>
    </row>
    <row r="80" spans="2:13">
      <c r="B80" s="89"/>
      <c r="C80" s="89"/>
      <c r="D80" s="188"/>
      <c r="E80" s="107"/>
      <c r="F80" s="1"/>
      <c r="G80" s="1"/>
      <c r="H80" s="1"/>
      <c r="I80" s="107"/>
      <c r="J80" s="107"/>
      <c r="K80" s="107"/>
      <c r="L80" s="107"/>
      <c r="M80" s="107"/>
    </row>
    <row r="81" spans="2:13">
      <c r="B81" s="89"/>
      <c r="C81" s="89"/>
      <c r="D81" s="188"/>
      <c r="E81" s="107"/>
      <c r="F81" s="1"/>
      <c r="G81" s="1"/>
      <c r="H81" s="1"/>
      <c r="I81" s="107"/>
      <c r="J81" s="107"/>
      <c r="K81" s="107"/>
      <c r="L81" s="107"/>
      <c r="M81" s="107"/>
    </row>
    <row r="82" spans="2:13">
      <c r="B82" s="89"/>
      <c r="C82" s="89"/>
      <c r="D82" s="188"/>
      <c r="E82" s="107"/>
      <c r="F82" s="1"/>
      <c r="G82" s="1"/>
      <c r="H82" s="1"/>
      <c r="I82" s="107"/>
      <c r="J82" s="107"/>
      <c r="K82" s="107"/>
      <c r="L82" s="107"/>
      <c r="M82" s="107"/>
    </row>
    <row r="83" spans="2:13">
      <c r="B83" s="89"/>
      <c r="C83" s="89"/>
      <c r="D83" s="188"/>
      <c r="E83" s="107"/>
      <c r="F83" s="1"/>
      <c r="G83" s="1"/>
      <c r="H83" s="1"/>
      <c r="I83" s="107"/>
      <c r="J83" s="107"/>
      <c r="K83" s="107"/>
      <c r="L83" s="107"/>
      <c r="M83" s="107"/>
    </row>
    <row r="84" spans="2:13">
      <c r="B84" s="89"/>
      <c r="C84" s="89"/>
      <c r="D84" s="188"/>
      <c r="E84" s="107"/>
      <c r="F84" s="1"/>
      <c r="G84" s="1"/>
      <c r="H84" s="1"/>
      <c r="I84" s="107"/>
      <c r="J84" s="107"/>
      <c r="K84" s="107"/>
      <c r="L84" s="107"/>
      <c r="M84" s="107"/>
    </row>
    <row r="85" spans="2:13">
      <c r="B85" s="89"/>
      <c r="C85" s="89"/>
      <c r="D85" s="188"/>
      <c r="E85" s="107"/>
      <c r="F85" s="1"/>
      <c r="G85" s="1"/>
      <c r="H85" s="1"/>
      <c r="I85" s="107"/>
      <c r="J85" s="107"/>
      <c r="K85" s="107"/>
      <c r="L85" s="107"/>
      <c r="M85" s="107"/>
    </row>
    <row r="86" spans="2:13">
      <c r="B86" s="89"/>
      <c r="C86" s="89"/>
      <c r="D86" s="188"/>
      <c r="E86" s="107"/>
      <c r="F86" s="1"/>
      <c r="G86" s="1"/>
      <c r="H86" s="1"/>
      <c r="I86" s="107"/>
      <c r="J86" s="107"/>
      <c r="K86" s="107"/>
      <c r="L86" s="107"/>
      <c r="M86" s="107"/>
    </row>
    <row r="87" spans="2:13">
      <c r="B87" s="89"/>
      <c r="C87" s="89"/>
      <c r="D87" s="188"/>
      <c r="E87" s="107"/>
      <c r="F87" s="1"/>
      <c r="G87" s="1"/>
      <c r="H87" s="1"/>
      <c r="I87" s="107"/>
      <c r="J87" s="107"/>
      <c r="K87" s="107"/>
      <c r="L87" s="107"/>
      <c r="M87" s="107"/>
    </row>
    <row r="88" spans="2:13">
      <c r="B88" s="89"/>
      <c r="C88" s="89"/>
      <c r="D88" s="188"/>
      <c r="E88" s="107"/>
      <c r="F88" s="1"/>
      <c r="G88" s="1"/>
      <c r="H88" s="1"/>
      <c r="I88" s="107"/>
      <c r="J88" s="107"/>
      <c r="K88" s="107"/>
      <c r="L88" s="107"/>
      <c r="M88" s="107"/>
    </row>
    <row r="89" spans="2:13">
      <c r="B89" s="89"/>
      <c r="C89" s="89"/>
      <c r="D89" s="188"/>
      <c r="E89" s="107"/>
      <c r="F89" s="1"/>
      <c r="G89" s="1"/>
      <c r="H89" s="1"/>
      <c r="I89" s="107"/>
      <c r="J89" s="107"/>
      <c r="K89" s="107"/>
      <c r="L89" s="107"/>
      <c r="M89" s="107"/>
    </row>
    <row r="90" spans="2:13">
      <c r="B90" s="89"/>
      <c r="C90" s="89"/>
      <c r="D90" s="188"/>
      <c r="E90" s="107"/>
      <c r="F90" s="1"/>
      <c r="G90" s="1"/>
      <c r="H90" s="1"/>
      <c r="I90" s="107"/>
      <c r="J90" s="107"/>
      <c r="K90" s="107"/>
      <c r="L90" s="107"/>
      <c r="M90" s="107"/>
    </row>
    <row r="91" spans="2:13">
      <c r="B91" s="89"/>
      <c r="C91" s="89"/>
      <c r="D91" s="188"/>
      <c r="E91" s="107"/>
      <c r="F91" s="1"/>
      <c r="G91" s="1"/>
      <c r="H91" s="1"/>
      <c r="I91" s="107"/>
      <c r="J91" s="107"/>
      <c r="K91" s="107"/>
      <c r="L91" s="107"/>
      <c r="M91" s="107"/>
    </row>
    <row r="92" spans="2:13">
      <c r="B92" s="89"/>
      <c r="C92" s="89"/>
      <c r="D92" s="188"/>
      <c r="E92" s="107"/>
      <c r="F92" s="1"/>
      <c r="G92" s="1"/>
      <c r="H92" s="1"/>
      <c r="I92" s="107"/>
      <c r="J92" s="107"/>
      <c r="K92" s="107"/>
      <c r="L92" s="107"/>
      <c r="M92" s="1"/>
    </row>
    <row r="93" spans="2:13">
      <c r="B93" s="89"/>
      <c r="C93" s="89"/>
      <c r="D93" s="188"/>
      <c r="E93" s="107"/>
      <c r="F93" s="1"/>
      <c r="G93" s="1"/>
      <c r="H93" s="1"/>
      <c r="I93" s="107"/>
      <c r="J93" s="107"/>
      <c r="K93" s="107"/>
      <c r="L93" s="107"/>
      <c r="M93" s="107"/>
    </row>
    <row r="94" spans="2:13">
      <c r="B94" s="89"/>
      <c r="C94" s="89"/>
      <c r="D94" s="188"/>
      <c r="E94" s="107"/>
      <c r="F94" s="1"/>
      <c r="G94" s="1"/>
      <c r="H94" s="1"/>
      <c r="I94" s="107"/>
      <c r="J94" s="107"/>
      <c r="K94" s="107"/>
      <c r="L94" s="107"/>
      <c r="M94" s="107"/>
    </row>
    <row r="95" spans="2:13">
      <c r="B95" s="212"/>
      <c r="C95" s="212"/>
      <c r="D95" s="213"/>
      <c r="E95" s="214"/>
      <c r="F95" s="313"/>
      <c r="G95" s="313"/>
      <c r="H95" s="313"/>
      <c r="I95" s="214"/>
      <c r="J95" s="214"/>
      <c r="K95" s="214"/>
      <c r="L95" s="214"/>
      <c r="M95" s="214"/>
    </row>
    <row r="96" spans="2:13">
      <c r="B96" s="89"/>
      <c r="C96" s="89"/>
      <c r="D96" s="188"/>
      <c r="E96" s="107"/>
      <c r="F96" s="1"/>
      <c r="G96" s="1"/>
      <c r="H96" s="1"/>
      <c r="I96" s="107"/>
      <c r="J96" s="107"/>
      <c r="K96" s="107"/>
      <c r="L96" s="107"/>
      <c r="M96" s="107"/>
    </row>
    <row r="97" spans="2:13">
      <c r="B97" s="89"/>
      <c r="C97" s="89"/>
      <c r="D97" s="188"/>
      <c r="E97" s="107"/>
      <c r="F97" s="1"/>
      <c r="G97" s="1"/>
      <c r="H97" s="1"/>
      <c r="I97" s="107"/>
      <c r="J97" s="107"/>
      <c r="K97" s="107"/>
      <c r="L97" s="107"/>
      <c r="M97" s="107"/>
    </row>
    <row r="98" spans="2:13">
      <c r="B98" s="89"/>
      <c r="C98" s="89"/>
      <c r="D98" s="89"/>
      <c r="E98" s="107"/>
      <c r="F98" s="1"/>
      <c r="G98" s="1"/>
      <c r="H98" s="1"/>
      <c r="I98" s="107"/>
      <c r="J98" s="107"/>
      <c r="K98" s="107"/>
      <c r="L98" s="107"/>
      <c r="M98" s="107"/>
    </row>
    <row r="99" spans="2:13">
      <c r="B99" s="89"/>
      <c r="C99" s="89"/>
      <c r="D99" s="89"/>
      <c r="E99" s="107"/>
      <c r="F99" s="1"/>
      <c r="G99" s="1"/>
      <c r="H99" s="1"/>
      <c r="I99" s="107"/>
      <c r="J99" s="107"/>
      <c r="K99" s="107"/>
      <c r="L99" s="107"/>
      <c r="M99" s="107"/>
    </row>
    <row r="100" spans="2:13">
      <c r="B100" s="89"/>
      <c r="C100" s="89"/>
      <c r="D100" s="89"/>
      <c r="E100" s="107"/>
      <c r="F100" s="1"/>
      <c r="G100" s="1"/>
      <c r="H100" s="1"/>
      <c r="I100" s="107"/>
      <c r="J100" s="107"/>
      <c r="K100" s="107"/>
      <c r="L100" s="107"/>
      <c r="M100" s="107"/>
    </row>
    <row r="101" spans="2:13">
      <c r="B101" s="89"/>
      <c r="C101" s="89"/>
      <c r="D101" s="314"/>
      <c r="E101" s="107"/>
      <c r="F101" s="1"/>
      <c r="G101" s="1"/>
      <c r="H101" s="1"/>
      <c r="I101" s="107"/>
      <c r="J101" s="107"/>
      <c r="K101" s="107"/>
      <c r="L101" s="107"/>
      <c r="M101" s="107"/>
    </row>
    <row r="102" spans="2:13">
      <c r="B102" s="89"/>
      <c r="C102" s="89"/>
      <c r="D102" s="314"/>
      <c r="E102" s="107"/>
      <c r="F102" s="1"/>
      <c r="G102" s="1"/>
      <c r="H102" s="1"/>
      <c r="I102" s="107"/>
      <c r="J102" s="107"/>
      <c r="K102" s="107"/>
      <c r="L102" s="107"/>
      <c r="M102" s="107"/>
    </row>
    <row r="103" spans="2:13">
      <c r="B103" s="89"/>
      <c r="C103" s="89"/>
      <c r="D103" s="314"/>
      <c r="E103" s="107"/>
      <c r="F103" s="1"/>
      <c r="G103" s="1"/>
      <c r="H103" s="1"/>
      <c r="I103" s="107"/>
      <c r="J103" s="107"/>
      <c r="K103" s="107"/>
      <c r="L103" s="107"/>
      <c r="M103" s="107"/>
    </row>
    <row r="104" spans="2:13">
      <c r="B104" s="89"/>
      <c r="C104" s="89"/>
      <c r="D104" s="314"/>
      <c r="E104" s="107"/>
      <c r="F104" s="1"/>
      <c r="G104" s="1"/>
      <c r="H104" s="1"/>
      <c r="I104" s="107"/>
      <c r="J104" s="107"/>
      <c r="K104" s="107"/>
      <c r="L104" s="107"/>
      <c r="M104" s="107"/>
    </row>
    <row r="105" spans="2:13">
      <c r="B105" s="89"/>
      <c r="C105" s="89"/>
      <c r="D105" s="314"/>
      <c r="E105" s="107"/>
      <c r="F105" s="1"/>
      <c r="G105" s="1"/>
      <c r="H105" s="1"/>
      <c r="I105" s="107"/>
      <c r="J105" s="107"/>
      <c r="K105" s="107"/>
      <c r="L105" s="107"/>
      <c r="M105" s="107"/>
    </row>
    <row r="106" spans="2:13">
      <c r="B106" s="89"/>
      <c r="C106" s="89"/>
      <c r="D106" s="314"/>
      <c r="E106" s="107"/>
      <c r="F106" s="1"/>
      <c r="G106" s="1"/>
      <c r="H106" s="1"/>
      <c r="I106" s="107"/>
      <c r="J106" s="107"/>
      <c r="K106" s="107"/>
      <c r="L106" s="107"/>
      <c r="M106" s="107"/>
    </row>
    <row r="107" spans="2:13">
      <c r="B107" s="89"/>
      <c r="C107" s="89"/>
      <c r="D107" s="314"/>
      <c r="E107" s="107"/>
      <c r="F107" s="1"/>
      <c r="G107" s="1"/>
      <c r="H107" s="1"/>
      <c r="I107" s="107"/>
      <c r="J107" s="107"/>
      <c r="K107" s="107"/>
      <c r="L107" s="107"/>
      <c r="M107" s="107"/>
    </row>
    <row r="108" spans="2:13">
      <c r="B108" s="89"/>
      <c r="C108" s="89"/>
      <c r="D108" s="314"/>
      <c r="E108" s="107"/>
      <c r="F108" s="1"/>
      <c r="G108" s="1"/>
      <c r="H108" s="1"/>
      <c r="I108" s="107"/>
      <c r="J108" s="107"/>
      <c r="K108" s="107"/>
      <c r="L108" s="107"/>
      <c r="M108" s="107"/>
    </row>
    <row r="109" spans="2:13">
      <c r="B109" s="89"/>
      <c r="C109" s="89"/>
      <c r="D109" s="314"/>
      <c r="E109" s="107"/>
      <c r="F109" s="1"/>
      <c r="G109" s="1"/>
      <c r="H109" s="1"/>
      <c r="I109" s="107"/>
      <c r="J109" s="107"/>
      <c r="K109" s="107"/>
      <c r="L109" s="107"/>
      <c r="M109" s="107"/>
    </row>
    <row r="110" spans="2:13">
      <c r="B110" s="89"/>
      <c r="C110" s="89"/>
      <c r="D110" s="314"/>
      <c r="E110" s="107"/>
      <c r="F110" s="1"/>
      <c r="G110" s="1"/>
      <c r="H110" s="1"/>
      <c r="I110" s="107"/>
      <c r="J110" s="107"/>
      <c r="K110" s="107"/>
      <c r="L110" s="107"/>
      <c r="M110" s="107"/>
    </row>
    <row r="111" spans="2:13">
      <c r="B111" s="89"/>
      <c r="C111" s="89"/>
      <c r="D111" s="314"/>
      <c r="E111" s="107"/>
      <c r="F111" s="1"/>
      <c r="G111" s="1"/>
      <c r="H111" s="1"/>
      <c r="I111" s="107"/>
      <c r="J111" s="107"/>
      <c r="K111" s="107"/>
      <c r="L111" s="107"/>
      <c r="M111" s="107"/>
    </row>
    <row r="112" spans="2:13">
      <c r="B112" s="89"/>
      <c r="C112" s="89"/>
      <c r="D112" s="314"/>
      <c r="E112" s="107"/>
      <c r="F112" s="1"/>
      <c r="G112" s="1"/>
      <c r="H112" s="1"/>
      <c r="I112" s="107"/>
      <c r="J112" s="107"/>
      <c r="K112" s="107"/>
      <c r="L112" s="107"/>
      <c r="M112" s="107"/>
    </row>
    <row r="113" spans="2:13">
      <c r="B113" s="89"/>
      <c r="C113" s="89"/>
      <c r="D113" s="314"/>
      <c r="E113" s="107"/>
      <c r="F113" s="1"/>
      <c r="G113" s="1"/>
      <c r="H113" s="1"/>
      <c r="I113" s="107"/>
      <c r="J113" s="107"/>
      <c r="K113" s="107"/>
      <c r="L113" s="107"/>
      <c r="M113" s="107"/>
    </row>
    <row r="114" spans="2:13">
      <c r="B114" s="89"/>
      <c r="C114" s="89"/>
      <c r="D114" s="314"/>
      <c r="E114" s="107"/>
      <c r="F114" s="1"/>
      <c r="G114" s="1"/>
      <c r="H114" s="1"/>
      <c r="I114" s="107"/>
      <c r="J114" s="107"/>
      <c r="K114" s="107"/>
      <c r="L114" s="107"/>
      <c r="M114" s="107"/>
    </row>
    <row r="115" spans="2:13">
      <c r="B115" s="89"/>
      <c r="C115" s="89"/>
      <c r="D115" s="314"/>
      <c r="E115" s="107"/>
      <c r="F115" s="1"/>
      <c r="G115" s="1"/>
      <c r="H115" s="1"/>
      <c r="I115" s="107"/>
      <c r="J115" s="107"/>
      <c r="K115" s="107"/>
      <c r="L115" s="107"/>
      <c r="M115" s="107"/>
    </row>
    <row r="116" spans="2:13">
      <c r="B116" s="89"/>
      <c r="C116" s="89"/>
      <c r="D116" s="314"/>
      <c r="E116" s="107"/>
      <c r="F116" s="1"/>
      <c r="G116" s="1"/>
      <c r="H116" s="1"/>
      <c r="I116" s="107"/>
      <c r="J116" s="107"/>
      <c r="K116" s="107"/>
      <c r="L116" s="107"/>
      <c r="M116" s="107"/>
    </row>
    <row r="117" spans="2:13">
      <c r="B117" s="89"/>
      <c r="C117" s="89"/>
      <c r="D117" s="314"/>
      <c r="E117" s="107"/>
      <c r="F117" s="1"/>
      <c r="G117" s="1"/>
      <c r="H117" s="1"/>
      <c r="I117" s="107"/>
      <c r="J117" s="107"/>
      <c r="K117" s="107"/>
      <c r="L117" s="107"/>
      <c r="M117" s="107"/>
    </row>
    <row r="118" spans="2:13">
      <c r="B118" s="89"/>
      <c r="C118" s="89"/>
      <c r="D118" s="314"/>
      <c r="E118" s="107"/>
      <c r="F118" s="1"/>
      <c r="G118" s="1"/>
      <c r="H118" s="1"/>
      <c r="I118" s="107"/>
      <c r="J118" s="107"/>
      <c r="K118" s="107"/>
      <c r="L118" s="107"/>
      <c r="M118" s="107"/>
    </row>
    <row r="119" spans="2:13">
      <c r="B119" s="89"/>
      <c r="C119" s="89"/>
      <c r="D119" s="314"/>
      <c r="E119" s="107"/>
      <c r="F119" s="1"/>
      <c r="G119" s="1"/>
      <c r="H119" s="1"/>
      <c r="I119" s="107"/>
      <c r="J119" s="107"/>
      <c r="K119" s="107"/>
      <c r="L119" s="107"/>
      <c r="M119" s="107"/>
    </row>
    <row r="120" spans="2:13">
      <c r="B120" s="89"/>
      <c r="C120" s="89"/>
      <c r="D120" s="314"/>
      <c r="E120" s="107"/>
      <c r="F120" s="1"/>
      <c r="G120" s="1"/>
      <c r="H120" s="1"/>
      <c r="I120" s="107"/>
      <c r="J120" s="107"/>
      <c r="K120" s="107"/>
      <c r="L120" s="107"/>
      <c r="M120" s="107"/>
    </row>
    <row r="121" spans="2:13">
      <c r="B121" s="89"/>
      <c r="C121" s="89"/>
      <c r="D121" s="314"/>
      <c r="E121" s="107"/>
      <c r="F121" s="1"/>
      <c r="G121" s="1"/>
      <c r="H121" s="1"/>
      <c r="I121" s="107"/>
      <c r="J121" s="107"/>
      <c r="K121" s="107"/>
      <c r="L121" s="107"/>
      <c r="M121" s="107"/>
    </row>
    <row r="122" spans="2:13">
      <c r="B122" s="89"/>
      <c r="C122" s="89"/>
      <c r="D122" s="314"/>
      <c r="E122" s="107"/>
      <c r="F122" s="1"/>
      <c r="G122" s="1"/>
      <c r="H122" s="1"/>
      <c r="I122" s="107"/>
      <c r="J122" s="107"/>
      <c r="K122" s="107"/>
      <c r="L122" s="107"/>
      <c r="M122" s="107"/>
    </row>
    <row r="123" spans="2:13">
      <c r="B123" s="89"/>
      <c r="C123" s="89"/>
      <c r="D123" s="314"/>
      <c r="E123" s="107"/>
      <c r="F123" s="1"/>
      <c r="G123" s="1"/>
      <c r="H123" s="1"/>
      <c r="I123" s="107"/>
      <c r="J123" s="107"/>
      <c r="K123" s="107"/>
      <c r="L123" s="107"/>
      <c r="M123" s="107"/>
    </row>
    <row r="124" spans="2:13">
      <c r="B124" s="89"/>
      <c r="C124" s="89"/>
      <c r="D124" s="314"/>
      <c r="E124" s="107"/>
      <c r="F124" s="1"/>
      <c r="G124" s="1"/>
      <c r="H124" s="1"/>
      <c r="I124" s="107"/>
      <c r="J124" s="107"/>
      <c r="K124" s="107"/>
      <c r="L124" s="107"/>
      <c r="M124" s="107"/>
    </row>
    <row r="125" spans="2:13">
      <c r="B125" s="89"/>
      <c r="C125" s="89"/>
      <c r="D125" s="89"/>
      <c r="E125" s="107"/>
      <c r="F125" s="1"/>
      <c r="G125" s="1"/>
      <c r="H125" s="1"/>
      <c r="I125" s="107"/>
      <c r="J125" s="107"/>
      <c r="K125" s="107"/>
      <c r="L125" s="107"/>
      <c r="M125" s="107"/>
    </row>
    <row r="126" spans="2:13">
      <c r="B126" s="89"/>
      <c r="C126" s="89"/>
      <c r="D126" s="89"/>
      <c r="E126" s="107"/>
      <c r="F126" s="1"/>
      <c r="G126" s="1"/>
      <c r="H126" s="1"/>
      <c r="I126" s="107"/>
      <c r="J126" s="107"/>
      <c r="K126" s="107"/>
      <c r="L126" s="107"/>
      <c r="M126" s="107"/>
    </row>
    <row r="127" spans="2:13">
      <c r="B127" s="89"/>
      <c r="C127" s="89"/>
      <c r="D127" s="89"/>
      <c r="E127" s="107"/>
      <c r="F127" s="1"/>
      <c r="G127" s="1"/>
      <c r="H127" s="1"/>
      <c r="I127" s="107"/>
      <c r="J127" s="107"/>
      <c r="K127" s="107"/>
      <c r="L127" s="107"/>
      <c r="M127" s="107"/>
    </row>
    <row r="128" spans="2:13">
      <c r="B128" s="89"/>
      <c r="C128" s="89"/>
      <c r="D128" s="89"/>
      <c r="E128" s="107"/>
      <c r="F128" s="1"/>
      <c r="G128" s="1"/>
      <c r="H128" s="1"/>
      <c r="I128" s="107"/>
      <c r="J128" s="107"/>
      <c r="K128" s="107"/>
      <c r="L128" s="107"/>
      <c r="M128" s="107"/>
    </row>
    <row r="129" spans="2:13">
      <c r="B129" s="89"/>
      <c r="C129" s="89"/>
      <c r="D129" s="89"/>
      <c r="E129" s="107"/>
      <c r="F129" s="1"/>
      <c r="G129" s="1"/>
      <c r="H129" s="1"/>
      <c r="I129" s="107"/>
      <c r="J129" s="107"/>
      <c r="K129" s="107"/>
      <c r="L129" s="107"/>
      <c r="M129" s="107"/>
    </row>
    <row r="130" spans="2:13">
      <c r="B130" s="89"/>
      <c r="C130" s="89"/>
      <c r="D130" s="89"/>
      <c r="E130" s="107"/>
      <c r="F130" s="1"/>
      <c r="G130" s="1"/>
      <c r="H130" s="1"/>
      <c r="I130" s="107"/>
      <c r="J130" s="107"/>
      <c r="K130" s="107"/>
      <c r="L130" s="107"/>
      <c r="M130" s="107"/>
    </row>
    <row r="131" spans="2:13">
      <c r="B131" s="89"/>
      <c r="C131" s="89"/>
      <c r="D131" s="89"/>
      <c r="E131" s="107"/>
      <c r="F131" s="1"/>
      <c r="G131" s="1"/>
      <c r="H131" s="1"/>
      <c r="I131" s="107"/>
      <c r="J131" s="107"/>
      <c r="K131" s="107"/>
      <c r="L131" s="107"/>
      <c r="M131" s="107"/>
    </row>
    <row r="132" spans="2:13">
      <c r="B132" s="89"/>
      <c r="C132" s="89"/>
      <c r="D132" s="89"/>
      <c r="E132" s="107"/>
      <c r="F132" s="1"/>
      <c r="G132" s="1"/>
      <c r="H132" s="1"/>
      <c r="I132" s="107"/>
      <c r="J132" s="107"/>
      <c r="K132" s="107"/>
      <c r="L132" s="107"/>
      <c r="M132" s="1"/>
    </row>
    <row r="133" spans="2:13">
      <c r="B133" s="89"/>
      <c r="C133" s="89"/>
      <c r="D133" s="89"/>
      <c r="E133" s="107"/>
      <c r="F133" s="1"/>
      <c r="G133" s="1"/>
      <c r="H133" s="1"/>
      <c r="I133" s="107"/>
      <c r="J133" s="107"/>
      <c r="K133" s="107"/>
      <c r="L133" s="107"/>
      <c r="M133" s="107"/>
    </row>
    <row r="134" spans="2:13">
      <c r="B134" s="89"/>
      <c r="C134" s="89"/>
      <c r="D134" s="89"/>
      <c r="E134" s="107"/>
      <c r="F134" s="1"/>
      <c r="G134" s="1"/>
      <c r="H134" s="1"/>
      <c r="I134" s="107"/>
      <c r="J134" s="107"/>
      <c r="K134" s="107"/>
      <c r="L134" s="107"/>
      <c r="M134" s="107"/>
    </row>
    <row r="135" spans="2:13">
      <c r="B135" s="89"/>
      <c r="C135" s="89"/>
      <c r="D135" s="89"/>
      <c r="E135" s="107"/>
      <c r="F135" s="1"/>
      <c r="G135" s="1"/>
      <c r="H135" s="1"/>
      <c r="I135" s="107"/>
      <c r="J135" s="107"/>
      <c r="K135" s="107"/>
      <c r="L135" s="107"/>
      <c r="M135" s="107"/>
    </row>
    <row r="136" spans="2:13">
      <c r="B136" s="89"/>
      <c r="C136" s="89"/>
      <c r="D136" s="89"/>
      <c r="E136" s="107"/>
      <c r="F136" s="1"/>
      <c r="G136" s="1"/>
      <c r="H136" s="1"/>
      <c r="I136" s="107"/>
      <c r="J136" s="107"/>
      <c r="K136" s="107"/>
      <c r="L136" s="107"/>
      <c r="M136" s="107"/>
    </row>
    <row r="137" spans="2:13">
      <c r="B137" s="89"/>
      <c r="C137" s="89"/>
      <c r="D137" s="89"/>
      <c r="E137" s="107"/>
      <c r="F137" s="1"/>
      <c r="G137" s="1"/>
      <c r="H137" s="1"/>
      <c r="I137" s="107"/>
      <c r="J137" s="107"/>
      <c r="K137" s="107"/>
      <c r="L137" s="107"/>
      <c r="M137" s="107"/>
    </row>
    <row r="138" spans="2:13">
      <c r="B138" s="89"/>
      <c r="C138" s="89"/>
    </row>
    <row r="139" spans="2:13"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</row>
    <row r="140" spans="2:13"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</row>
    <row r="141" spans="2:13"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</row>
    <row r="142" spans="2:13"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</row>
    <row r="143" spans="2:13"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</row>
    <row r="144" spans="2:13"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</row>
    <row r="145" spans="2:13"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</row>
    <row r="146" spans="2:13"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</row>
    <row r="147" spans="2:13"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</row>
    <row r="148" spans="2:13"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</row>
    <row r="149" spans="2:13"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</row>
    <row r="150" spans="2:13"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</row>
    <row r="151" spans="2:13"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</row>
    <row r="152" spans="2:13"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</row>
    <row r="153" spans="2:13"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</row>
    <row r="154" spans="2:13"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</row>
    <row r="155" spans="2:13"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</row>
    <row r="1048576" spans="7:7">
      <c r="G1048576" s="1"/>
    </row>
  </sheetData>
  <mergeCells count="3">
    <mergeCell ref="B2:P2"/>
    <mergeCell ref="B4:M4"/>
    <mergeCell ref="D6:D20"/>
  </mergeCells>
  <phoneticPr fontId="27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O132"/>
  <sheetViews>
    <sheetView zoomScale="160" zoomScaleNormal="160" workbookViewId="0">
      <selection activeCell="D7" sqref="D7:E7"/>
    </sheetView>
  </sheetViews>
  <sheetFormatPr baseColWidth="10" defaultRowHeight="15"/>
  <cols>
    <col min="1" max="1" width="5.6640625" style="100" customWidth="1"/>
    <col min="2" max="2" width="4.83203125" bestFit="1" customWidth="1"/>
    <col min="3" max="3" width="14.33203125" bestFit="1" customWidth="1"/>
    <col min="5" max="5" width="40.1640625" customWidth="1"/>
    <col min="6" max="6" width="16.83203125" hidden="1" customWidth="1"/>
    <col min="7" max="15" width="11.5" style="100"/>
  </cols>
  <sheetData>
    <row r="1" spans="2:12" s="100" customFormat="1" ht="16" thickBot="1"/>
    <row r="2" spans="2:12">
      <c r="B2" s="417" t="s">
        <v>362</v>
      </c>
      <c r="C2" s="418"/>
      <c r="D2" s="418"/>
      <c r="E2" s="418"/>
      <c r="F2" s="419"/>
    </row>
    <row r="3" spans="2:12" ht="16" thickBot="1">
      <c r="B3" s="420"/>
      <c r="C3" s="421"/>
      <c r="D3" s="421"/>
      <c r="E3" s="421"/>
      <c r="F3" s="422"/>
    </row>
    <row r="4" spans="2:12" s="100" customFormat="1" ht="16" thickBot="1"/>
    <row r="5" spans="2:12" ht="16">
      <c r="B5" s="3" t="s">
        <v>13</v>
      </c>
      <c r="C5" s="4" t="s">
        <v>0</v>
      </c>
      <c r="D5" s="423" t="s">
        <v>2</v>
      </c>
      <c r="E5" s="423"/>
      <c r="F5" s="4" t="s">
        <v>370</v>
      </c>
    </row>
    <row r="6" spans="2:12">
      <c r="B6" s="5">
        <v>1</v>
      </c>
      <c r="C6" s="5" t="s">
        <v>366</v>
      </c>
      <c r="D6" s="414" t="e">
        <f>'INFORME '!#REF!</f>
        <v>#REF!</v>
      </c>
      <c r="E6" s="415"/>
      <c r="F6" s="91" t="s">
        <v>371</v>
      </c>
    </row>
    <row r="7" spans="2:12">
      <c r="B7" s="5">
        <v>2</v>
      </c>
      <c r="C7" s="91" t="e">
        <f>'INFORME '!#REF!</f>
        <v>#REF!</v>
      </c>
      <c r="D7" s="414" t="s">
        <v>382</v>
      </c>
      <c r="E7" s="415"/>
      <c r="F7" s="5" t="s">
        <v>383</v>
      </c>
    </row>
    <row r="8" spans="2:12">
      <c r="B8" s="5">
        <v>3</v>
      </c>
      <c r="C8" s="91" t="e">
        <f>'INFORME '!#REF!</f>
        <v>#REF!</v>
      </c>
      <c r="D8" s="424" t="s">
        <v>389</v>
      </c>
      <c r="E8" s="425"/>
      <c r="F8" s="5" t="s">
        <v>383</v>
      </c>
      <c r="I8" s="101"/>
      <c r="J8" s="416"/>
      <c r="K8" s="416"/>
      <c r="L8" s="416"/>
    </row>
    <row r="9" spans="2:12">
      <c r="B9" s="5">
        <v>4</v>
      </c>
      <c r="C9" s="91" t="e">
        <f>'INFORME '!#REF!</f>
        <v>#REF!</v>
      </c>
      <c r="D9" s="424" t="e">
        <f>'INFORME '!#REF!</f>
        <v>#REF!</v>
      </c>
      <c r="E9" s="425"/>
      <c r="F9" s="5" t="s">
        <v>383</v>
      </c>
    </row>
    <row r="10" spans="2:12">
      <c r="B10" s="5">
        <v>5</v>
      </c>
      <c r="C10" s="91" t="s">
        <v>448</v>
      </c>
      <c r="D10" s="426" t="e">
        <f>'INFORME '!#REF!</f>
        <v>#REF!</v>
      </c>
      <c r="E10" s="427"/>
      <c r="F10" s="5" t="s">
        <v>383</v>
      </c>
    </row>
    <row r="11" spans="2:12">
      <c r="B11" s="5">
        <v>6</v>
      </c>
      <c r="C11" s="5" t="s">
        <v>430</v>
      </c>
      <c r="D11" s="414" t="s">
        <v>429</v>
      </c>
      <c r="E11" s="415"/>
      <c r="F11" s="5" t="s">
        <v>383</v>
      </c>
    </row>
    <row r="12" spans="2:12">
      <c r="B12" s="5">
        <v>7</v>
      </c>
      <c r="C12" s="5" t="s">
        <v>1</v>
      </c>
      <c r="D12" s="414" t="s">
        <v>439</v>
      </c>
      <c r="E12" s="415"/>
      <c r="F12" s="5" t="s">
        <v>440</v>
      </c>
    </row>
    <row r="13" spans="2:12">
      <c r="B13" s="5">
        <v>8</v>
      </c>
      <c r="C13" s="5" t="s">
        <v>446</v>
      </c>
      <c r="D13" s="414" t="s">
        <v>450</v>
      </c>
      <c r="E13" s="415"/>
      <c r="F13" s="5" t="s">
        <v>440</v>
      </c>
    </row>
    <row r="14" spans="2:12">
      <c r="B14" s="5">
        <v>9</v>
      </c>
      <c r="C14" s="5" t="s">
        <v>447</v>
      </c>
      <c r="D14" s="414" t="s">
        <v>449</v>
      </c>
      <c r="E14" s="415"/>
      <c r="F14" s="5" t="s">
        <v>440</v>
      </c>
    </row>
    <row r="15" spans="2:12">
      <c r="B15" s="5">
        <v>10</v>
      </c>
      <c r="C15" s="5" t="s">
        <v>451</v>
      </c>
      <c r="D15" s="414" t="s">
        <v>452</v>
      </c>
      <c r="E15" s="415"/>
      <c r="F15" s="5" t="s">
        <v>440</v>
      </c>
    </row>
    <row r="16" spans="2:12">
      <c r="B16" s="5">
        <v>11</v>
      </c>
      <c r="C16" s="5" t="s">
        <v>453</v>
      </c>
      <c r="D16" s="414" t="s">
        <v>454</v>
      </c>
      <c r="E16" s="415"/>
      <c r="F16" s="5" t="s">
        <v>440</v>
      </c>
    </row>
    <row r="17" spans="2:6">
      <c r="B17" s="5">
        <v>12</v>
      </c>
      <c r="C17" s="5" t="s">
        <v>478</v>
      </c>
      <c r="D17" s="414" t="s">
        <v>467</v>
      </c>
      <c r="E17" s="415"/>
      <c r="F17" s="5" t="s">
        <v>383</v>
      </c>
    </row>
    <row r="18" spans="2:6">
      <c r="B18" s="5">
        <v>13</v>
      </c>
      <c r="C18" s="5" t="s">
        <v>566</v>
      </c>
      <c r="D18" s="414" t="s">
        <v>567</v>
      </c>
      <c r="E18" s="415"/>
      <c r="F18" s="5" t="s">
        <v>568</v>
      </c>
    </row>
    <row r="19" spans="2:6">
      <c r="B19" s="5">
        <v>14</v>
      </c>
      <c r="C19" s="5" t="s">
        <v>594</v>
      </c>
      <c r="D19" s="414" t="s">
        <v>569</v>
      </c>
      <c r="E19" s="415"/>
      <c r="F19" s="5" t="s">
        <v>440</v>
      </c>
    </row>
    <row r="20" spans="2:6">
      <c r="B20" s="5">
        <v>15</v>
      </c>
      <c r="C20" s="131" t="s">
        <v>607</v>
      </c>
      <c r="D20" s="414" t="s">
        <v>602</v>
      </c>
      <c r="E20" s="415"/>
      <c r="F20" s="5" t="s">
        <v>440</v>
      </c>
    </row>
    <row r="21" spans="2:6">
      <c r="B21" s="5">
        <v>16</v>
      </c>
      <c r="C21" s="5" t="s">
        <v>620</v>
      </c>
      <c r="D21" s="414" t="s">
        <v>619</v>
      </c>
      <c r="E21" s="415"/>
      <c r="F21" s="5" t="s">
        <v>440</v>
      </c>
    </row>
    <row r="22" spans="2:6">
      <c r="B22" s="5">
        <v>17</v>
      </c>
      <c r="C22" s="5" t="s">
        <v>664</v>
      </c>
      <c r="D22" s="414" t="s">
        <v>663</v>
      </c>
      <c r="E22" s="415"/>
      <c r="F22" s="5" t="s">
        <v>440</v>
      </c>
    </row>
    <row r="23" spans="2:6">
      <c r="B23" s="5">
        <v>18</v>
      </c>
      <c r="C23" s="5" t="s">
        <v>642</v>
      </c>
      <c r="D23" s="414" t="s">
        <v>633</v>
      </c>
      <c r="E23" s="415"/>
      <c r="F23" s="5" t="s">
        <v>440</v>
      </c>
    </row>
    <row r="24" spans="2:6">
      <c r="B24" s="5">
        <v>19</v>
      </c>
      <c r="C24" s="5" t="s">
        <v>643</v>
      </c>
      <c r="D24" s="414" t="s">
        <v>644</v>
      </c>
      <c r="E24" s="415"/>
      <c r="F24" s="5" t="s">
        <v>383</v>
      </c>
    </row>
    <row r="25" spans="2:6">
      <c r="B25" s="5">
        <v>20</v>
      </c>
      <c r="C25" s="5" t="s">
        <v>687</v>
      </c>
      <c r="D25" s="414" t="s">
        <v>688</v>
      </c>
      <c r="E25" s="415"/>
      <c r="F25" s="5" t="s">
        <v>440</v>
      </c>
    </row>
    <row r="26" spans="2:6">
      <c r="B26" s="5">
        <v>21</v>
      </c>
      <c r="C26" s="5" t="s">
        <v>716</v>
      </c>
      <c r="D26" s="414" t="s">
        <v>717</v>
      </c>
      <c r="E26" s="415"/>
      <c r="F26" s="5" t="s">
        <v>440</v>
      </c>
    </row>
    <row r="27" spans="2:6">
      <c r="B27" s="5">
        <v>22</v>
      </c>
      <c r="C27" s="5" t="s">
        <v>733</v>
      </c>
      <c r="D27" s="414" t="s">
        <v>738</v>
      </c>
      <c r="E27" s="415"/>
      <c r="F27" s="5" t="s">
        <v>440</v>
      </c>
    </row>
    <row r="28" spans="2:6">
      <c r="B28" s="5">
        <v>23</v>
      </c>
      <c r="C28" s="5" t="s">
        <v>734</v>
      </c>
      <c r="D28" s="414" t="s">
        <v>739</v>
      </c>
      <c r="E28" s="415"/>
      <c r="F28" s="5" t="s">
        <v>440</v>
      </c>
    </row>
    <row r="29" spans="2:6">
      <c r="B29" s="5">
        <v>24</v>
      </c>
      <c r="C29" s="5" t="s">
        <v>735</v>
      </c>
      <c r="D29" s="414" t="s">
        <v>740</v>
      </c>
      <c r="E29" s="415"/>
      <c r="F29" s="5" t="s">
        <v>440</v>
      </c>
    </row>
    <row r="30" spans="2:6">
      <c r="B30" s="5">
        <v>25</v>
      </c>
      <c r="C30" s="5" t="s">
        <v>736</v>
      </c>
      <c r="D30" s="414" t="s">
        <v>449</v>
      </c>
      <c r="E30" s="415"/>
      <c r="F30" s="5" t="s">
        <v>440</v>
      </c>
    </row>
    <row r="31" spans="2:6">
      <c r="B31" s="5">
        <v>26</v>
      </c>
      <c r="C31" s="5" t="s">
        <v>764</v>
      </c>
      <c r="D31" s="414" t="s">
        <v>749</v>
      </c>
      <c r="E31" s="415"/>
      <c r="F31" s="5" t="s">
        <v>440</v>
      </c>
    </row>
    <row r="32" spans="2:6">
      <c r="B32" s="5">
        <v>27</v>
      </c>
      <c r="C32" s="5" t="s">
        <v>807</v>
      </c>
      <c r="D32" s="428" t="s">
        <v>806</v>
      </c>
      <c r="E32" s="429"/>
      <c r="F32" s="5" t="s">
        <v>440</v>
      </c>
    </row>
    <row r="33" spans="2:6">
      <c r="B33" s="5">
        <v>28</v>
      </c>
      <c r="C33" s="5" t="s">
        <v>810</v>
      </c>
      <c r="D33" s="414" t="s">
        <v>805</v>
      </c>
      <c r="E33" s="415"/>
      <c r="F33" s="5" t="s">
        <v>440</v>
      </c>
    </row>
    <row r="34" spans="2:6">
      <c r="B34" s="5">
        <v>29</v>
      </c>
      <c r="C34" s="5" t="s">
        <v>811</v>
      </c>
      <c r="D34" s="414" t="s">
        <v>795</v>
      </c>
      <c r="E34" s="415"/>
      <c r="F34" s="5" t="s">
        <v>440</v>
      </c>
    </row>
    <row r="35" spans="2:6">
      <c r="B35" s="5">
        <v>30</v>
      </c>
      <c r="C35" s="5" t="s">
        <v>814</v>
      </c>
      <c r="D35" s="414" t="s">
        <v>801</v>
      </c>
      <c r="E35" s="415"/>
      <c r="F35" s="5" t="s">
        <v>440</v>
      </c>
    </row>
    <row r="36" spans="2:6">
      <c r="B36" s="5">
        <v>31</v>
      </c>
      <c r="C36" s="5" t="s">
        <v>815</v>
      </c>
      <c r="D36" s="414" t="s">
        <v>817</v>
      </c>
      <c r="E36" s="415"/>
      <c r="F36" s="5" t="s">
        <v>440</v>
      </c>
    </row>
    <row r="37" spans="2:6">
      <c r="B37" s="5">
        <v>32</v>
      </c>
      <c r="C37" s="5" t="s">
        <v>844</v>
      </c>
      <c r="D37" s="414" t="s">
        <v>845</v>
      </c>
      <c r="E37" s="415"/>
      <c r="F37" s="5" t="s">
        <v>440</v>
      </c>
    </row>
    <row r="38" spans="2:6">
      <c r="B38" s="5">
        <v>33</v>
      </c>
      <c r="C38" s="5" t="s">
        <v>861</v>
      </c>
      <c r="D38" s="414" t="s">
        <v>862</v>
      </c>
      <c r="E38" s="415"/>
      <c r="F38" s="5" t="s">
        <v>383</v>
      </c>
    </row>
    <row r="39" spans="2:6">
      <c r="B39" s="5">
        <v>34</v>
      </c>
      <c r="C39" s="5" t="s">
        <v>948</v>
      </c>
      <c r="D39" s="414" t="s">
        <v>894</v>
      </c>
      <c r="E39" s="415"/>
      <c r="F39" s="5" t="s">
        <v>440</v>
      </c>
    </row>
    <row r="40" spans="2:6">
      <c r="B40" s="5">
        <v>35</v>
      </c>
      <c r="C40" s="5" t="s">
        <v>905</v>
      </c>
      <c r="D40" s="414" t="s">
        <v>906</v>
      </c>
      <c r="E40" s="415"/>
      <c r="F40" s="5" t="s">
        <v>440</v>
      </c>
    </row>
    <row r="41" spans="2:6">
      <c r="B41" s="5">
        <v>36</v>
      </c>
      <c r="C41" s="5" t="s">
        <v>931</v>
      </c>
      <c r="D41" s="414" t="s">
        <v>803</v>
      </c>
      <c r="E41" s="415"/>
      <c r="F41" s="5" t="s">
        <v>440</v>
      </c>
    </row>
    <row r="42" spans="2:6">
      <c r="B42" s="5">
        <v>37</v>
      </c>
      <c r="C42" s="5" t="s">
        <v>949</v>
      </c>
      <c r="D42" s="414" t="s">
        <v>921</v>
      </c>
      <c r="E42" s="415"/>
      <c r="F42" s="5" t="s">
        <v>440</v>
      </c>
    </row>
    <row r="43" spans="2:6">
      <c r="B43" s="5">
        <v>38</v>
      </c>
      <c r="C43" s="5" t="s">
        <v>1011</v>
      </c>
      <c r="D43" s="414" t="s">
        <v>981</v>
      </c>
      <c r="E43" s="415"/>
      <c r="F43" s="5" t="s">
        <v>440</v>
      </c>
    </row>
    <row r="44" spans="2:6">
      <c r="B44" s="5">
        <v>39</v>
      </c>
      <c r="C44" s="5" t="s">
        <v>977</v>
      </c>
      <c r="D44" s="414" t="s">
        <v>978</v>
      </c>
      <c r="E44" s="415"/>
      <c r="F44" s="5" t="s">
        <v>440</v>
      </c>
    </row>
    <row r="45" spans="2:6">
      <c r="B45" s="5">
        <v>40</v>
      </c>
      <c r="C45" s="5" t="s">
        <v>1012</v>
      </c>
      <c r="D45" s="414" t="s">
        <v>533</v>
      </c>
      <c r="E45" s="415"/>
      <c r="F45" s="5" t="s">
        <v>440</v>
      </c>
    </row>
    <row r="46" spans="2:6">
      <c r="B46" s="5">
        <v>41</v>
      </c>
      <c r="C46" s="5" t="s">
        <v>1025</v>
      </c>
      <c r="D46" s="414" t="s">
        <v>885</v>
      </c>
      <c r="E46" s="415"/>
      <c r="F46" s="5" t="s">
        <v>440</v>
      </c>
    </row>
    <row r="47" spans="2:6">
      <c r="B47" s="5">
        <v>42</v>
      </c>
      <c r="C47" s="5" t="s">
        <v>1014</v>
      </c>
      <c r="D47" s="414" t="s">
        <v>591</v>
      </c>
      <c r="E47" s="415"/>
      <c r="F47" s="5" t="s">
        <v>440</v>
      </c>
    </row>
    <row r="48" spans="2:6">
      <c r="B48" s="5">
        <v>43</v>
      </c>
      <c r="C48" s="5" t="s">
        <v>1017</v>
      </c>
      <c r="D48" s="414" t="s">
        <v>1018</v>
      </c>
      <c r="E48" s="415"/>
      <c r="F48" s="5" t="s">
        <v>1019</v>
      </c>
    </row>
    <row r="49" spans="2:6">
      <c r="B49" s="5">
        <v>44</v>
      </c>
      <c r="C49" s="5" t="s">
        <v>1023</v>
      </c>
      <c r="D49" s="414" t="s">
        <v>976</v>
      </c>
      <c r="E49" s="415"/>
      <c r="F49" s="5" t="s">
        <v>440</v>
      </c>
    </row>
    <row r="50" spans="2:6">
      <c r="B50" s="208">
        <v>45</v>
      </c>
      <c r="C50" s="5" t="s">
        <v>1098</v>
      </c>
      <c r="D50" s="414" t="s">
        <v>1066</v>
      </c>
      <c r="E50" s="415"/>
      <c r="F50" s="5" t="s">
        <v>440</v>
      </c>
    </row>
    <row r="51" spans="2:6">
      <c r="B51" s="208">
        <v>46</v>
      </c>
      <c r="C51" s="5" t="s">
        <v>1099</v>
      </c>
      <c r="D51" s="414" t="s">
        <v>1064</v>
      </c>
      <c r="E51" s="415"/>
      <c r="F51" s="5" t="s">
        <v>440</v>
      </c>
    </row>
    <row r="52" spans="2:6">
      <c r="B52" s="208">
        <v>47</v>
      </c>
      <c r="C52" s="5" t="s">
        <v>1100</v>
      </c>
      <c r="D52" s="414" t="s">
        <v>1073</v>
      </c>
      <c r="E52" s="415"/>
      <c r="F52" s="5" t="s">
        <v>440</v>
      </c>
    </row>
    <row r="53" spans="2:6">
      <c r="B53" s="5">
        <v>48</v>
      </c>
      <c r="C53" s="5" t="s">
        <v>647</v>
      </c>
      <c r="D53" s="414" t="s">
        <v>628</v>
      </c>
      <c r="E53" s="415"/>
      <c r="F53" s="5" t="s">
        <v>440</v>
      </c>
    </row>
    <row r="54" spans="2:6">
      <c r="B54" s="5">
        <v>49</v>
      </c>
      <c r="C54" s="5" t="s">
        <v>1103</v>
      </c>
      <c r="D54" s="414" t="s">
        <v>1104</v>
      </c>
      <c r="E54" s="415"/>
      <c r="F54" s="5" t="s">
        <v>440</v>
      </c>
    </row>
    <row r="55" spans="2:6">
      <c r="B55" s="5">
        <v>50</v>
      </c>
      <c r="C55" s="5" t="s">
        <v>1106</v>
      </c>
      <c r="D55" s="414" t="s">
        <v>1083</v>
      </c>
      <c r="E55" s="415"/>
      <c r="F55" s="5" t="s">
        <v>440</v>
      </c>
    </row>
    <row r="56" spans="2:6">
      <c r="B56" s="5">
        <v>51</v>
      </c>
      <c r="C56" s="5" t="s">
        <v>1174</v>
      </c>
      <c r="D56" s="414" t="s">
        <v>1126</v>
      </c>
      <c r="E56" s="415"/>
      <c r="F56" s="5" t="s">
        <v>440</v>
      </c>
    </row>
    <row r="57" spans="2:6">
      <c r="B57" s="5">
        <v>52</v>
      </c>
      <c r="C57" s="5" t="s">
        <v>1209</v>
      </c>
      <c r="D57" s="414" t="s">
        <v>1210</v>
      </c>
      <c r="E57" s="415"/>
      <c r="F57" s="5"/>
    </row>
    <row r="58" spans="2:6">
      <c r="B58" s="5">
        <v>53</v>
      </c>
      <c r="C58" s="5" t="s">
        <v>1211</v>
      </c>
      <c r="D58" s="414" t="s">
        <v>1212</v>
      </c>
      <c r="E58" s="415"/>
      <c r="F58" s="5"/>
    </row>
    <row r="59" spans="2:6">
      <c r="B59" s="5">
        <v>54</v>
      </c>
      <c r="C59" s="5" t="s">
        <v>1244</v>
      </c>
      <c r="D59" s="414" t="s">
        <v>1245</v>
      </c>
      <c r="E59" s="415"/>
      <c r="F59" s="5"/>
    </row>
    <row r="60" spans="2:6">
      <c r="B60" s="5">
        <v>55</v>
      </c>
      <c r="C60" s="5" t="s">
        <v>1269</v>
      </c>
      <c r="D60" s="414" t="s">
        <v>1051</v>
      </c>
      <c r="E60" s="415"/>
      <c r="F60" s="5"/>
    </row>
    <row r="61" spans="2:6">
      <c r="B61" s="5">
        <v>56</v>
      </c>
      <c r="C61" s="5" t="s">
        <v>1272</v>
      </c>
      <c r="D61" s="414" t="s">
        <v>1115</v>
      </c>
      <c r="E61" s="415"/>
      <c r="F61" s="5"/>
    </row>
    <row r="62" spans="2:6">
      <c r="B62" s="5">
        <v>57</v>
      </c>
      <c r="C62" s="5" t="s">
        <v>886</v>
      </c>
      <c r="D62" s="414" t="s">
        <v>878</v>
      </c>
      <c r="E62" s="415"/>
      <c r="F62" s="5"/>
    </row>
    <row r="63" spans="2:6">
      <c r="B63" s="5">
        <v>58</v>
      </c>
      <c r="C63" s="5" t="s">
        <v>588</v>
      </c>
      <c r="D63" s="414" t="s">
        <v>599</v>
      </c>
      <c r="E63" s="415"/>
      <c r="F63" s="5"/>
    </row>
    <row r="64" spans="2:6">
      <c r="B64" s="5">
        <v>59</v>
      </c>
      <c r="C64" s="5" t="s">
        <v>1325</v>
      </c>
      <c r="D64" s="414" t="s">
        <v>631</v>
      </c>
      <c r="E64" s="415"/>
      <c r="F64" s="5"/>
    </row>
    <row r="65" spans="2:6">
      <c r="B65" s="5">
        <v>60</v>
      </c>
      <c r="C65" s="5" t="s">
        <v>1326</v>
      </c>
      <c r="D65" s="414" t="s">
        <v>712</v>
      </c>
      <c r="E65" s="415"/>
      <c r="F65" s="5"/>
    </row>
    <row r="66" spans="2:6">
      <c r="B66" s="5">
        <v>61</v>
      </c>
      <c r="C66" s="5" t="s">
        <v>1330</v>
      </c>
      <c r="D66" s="414" t="s">
        <v>1218</v>
      </c>
      <c r="E66" s="415"/>
      <c r="F66" s="5"/>
    </row>
    <row r="67" spans="2:6">
      <c r="B67" s="5">
        <v>62</v>
      </c>
      <c r="C67" s="5" t="s">
        <v>1353</v>
      </c>
      <c r="D67" s="414" t="s">
        <v>882</v>
      </c>
      <c r="E67" s="415"/>
      <c r="F67" s="5"/>
    </row>
    <row r="68" spans="2:6">
      <c r="B68" s="5">
        <v>63</v>
      </c>
      <c r="C68" s="5" t="s">
        <v>1360</v>
      </c>
      <c r="D68" s="414" t="s">
        <v>824</v>
      </c>
      <c r="E68" s="415"/>
      <c r="F68" s="5"/>
    </row>
    <row r="69" spans="2:6">
      <c r="B69" s="5">
        <v>64</v>
      </c>
      <c r="C69" s="5" t="s">
        <v>854</v>
      </c>
      <c r="D69" s="414" t="s">
        <v>853</v>
      </c>
      <c r="E69" s="415"/>
      <c r="F69" s="5"/>
    </row>
    <row r="70" spans="2:6">
      <c r="B70" s="5">
        <v>65</v>
      </c>
      <c r="C70" s="5" t="s">
        <v>1382</v>
      </c>
      <c r="D70" s="414" t="s">
        <v>914</v>
      </c>
      <c r="E70" s="415"/>
      <c r="F70" s="5"/>
    </row>
    <row r="71" spans="2:6">
      <c r="B71" s="5">
        <v>66</v>
      </c>
      <c r="C71" s="5"/>
      <c r="D71" s="414"/>
      <c r="E71" s="415"/>
      <c r="F71" s="5"/>
    </row>
    <row r="72" spans="2:6">
      <c r="B72" s="5">
        <v>67</v>
      </c>
      <c r="C72" s="5"/>
      <c r="D72" s="414"/>
      <c r="E72" s="415"/>
      <c r="F72" s="5"/>
    </row>
    <row r="73" spans="2:6">
      <c r="B73" s="5">
        <v>68</v>
      </c>
      <c r="C73" s="5"/>
      <c r="D73" s="414"/>
      <c r="E73" s="415"/>
      <c r="F73" s="5"/>
    </row>
    <row r="74" spans="2:6">
      <c r="B74" s="5">
        <v>69</v>
      </c>
      <c r="C74" s="5"/>
      <c r="D74" s="414"/>
      <c r="E74" s="415"/>
      <c r="F74" s="5"/>
    </row>
    <row r="75" spans="2:6">
      <c r="B75" s="5">
        <v>70</v>
      </c>
      <c r="C75" s="5"/>
      <c r="D75" s="414"/>
      <c r="E75" s="415"/>
      <c r="F75" s="5"/>
    </row>
    <row r="76" spans="2:6">
      <c r="B76" s="5">
        <v>71</v>
      </c>
      <c r="C76" s="5"/>
      <c r="D76" s="414"/>
      <c r="E76" s="415"/>
      <c r="F76" s="5"/>
    </row>
    <row r="77" spans="2:6">
      <c r="B77" s="5">
        <v>72</v>
      </c>
      <c r="C77" s="5"/>
      <c r="D77" s="414"/>
      <c r="E77" s="415"/>
      <c r="F77" s="5"/>
    </row>
    <row r="78" spans="2:6">
      <c r="B78" s="5">
        <v>73</v>
      </c>
      <c r="C78" s="5"/>
      <c r="D78" s="414"/>
      <c r="E78" s="415"/>
      <c r="F78" s="5"/>
    </row>
    <row r="79" spans="2:6">
      <c r="B79" s="5">
        <v>74</v>
      </c>
      <c r="C79" s="5"/>
      <c r="D79" s="414"/>
      <c r="E79" s="415"/>
      <c r="F79" s="5"/>
    </row>
    <row r="80" spans="2:6">
      <c r="B80" s="5">
        <v>75</v>
      </c>
      <c r="C80" s="5"/>
      <c r="D80" s="414"/>
      <c r="E80" s="415"/>
      <c r="F80" s="5"/>
    </row>
    <row r="81" spans="2:6">
      <c r="B81" s="5">
        <v>76</v>
      </c>
      <c r="C81" s="5"/>
      <c r="D81" s="414"/>
      <c r="E81" s="415"/>
      <c r="F81" s="5"/>
    </row>
    <row r="82" spans="2:6">
      <c r="B82" s="5">
        <v>77</v>
      </c>
      <c r="C82" s="5"/>
      <c r="D82" s="414"/>
      <c r="E82" s="415"/>
      <c r="F82" s="5"/>
    </row>
    <row r="83" spans="2:6">
      <c r="B83" s="5">
        <v>78</v>
      </c>
      <c r="C83" s="5"/>
      <c r="D83" s="414"/>
      <c r="E83" s="415"/>
      <c r="F83" s="5"/>
    </row>
    <row r="84" spans="2:6">
      <c r="B84" s="5">
        <v>79</v>
      </c>
      <c r="C84" s="5"/>
      <c r="D84" s="414"/>
      <c r="E84" s="415"/>
      <c r="F84" s="5"/>
    </row>
    <row r="85" spans="2:6">
      <c r="B85" s="5">
        <v>80</v>
      </c>
      <c r="C85" s="5"/>
      <c r="D85" s="414"/>
      <c r="E85" s="415"/>
      <c r="F85" s="5"/>
    </row>
    <row r="86" spans="2:6">
      <c r="B86" s="5">
        <v>81</v>
      </c>
      <c r="C86" s="5"/>
      <c r="D86" s="414"/>
      <c r="E86" s="415"/>
      <c r="F86" s="5"/>
    </row>
    <row r="87" spans="2:6">
      <c r="B87" s="5">
        <v>82</v>
      </c>
      <c r="C87" s="5"/>
      <c r="D87" s="414"/>
      <c r="E87" s="415"/>
      <c r="F87" s="5"/>
    </row>
    <row r="88" spans="2:6">
      <c r="B88" s="5">
        <v>83</v>
      </c>
      <c r="C88" s="5"/>
      <c r="D88" s="414"/>
      <c r="E88" s="415"/>
      <c r="F88" s="5"/>
    </row>
    <row r="89" spans="2:6">
      <c r="B89" s="5">
        <v>84</v>
      </c>
      <c r="C89" s="5"/>
      <c r="D89" s="414"/>
      <c r="E89" s="415"/>
      <c r="F89" s="5"/>
    </row>
    <row r="90" spans="2:6">
      <c r="B90" s="5">
        <v>85</v>
      </c>
      <c r="C90" s="5"/>
      <c r="D90" s="414"/>
      <c r="E90" s="415"/>
      <c r="F90" s="5"/>
    </row>
    <row r="91" spans="2:6">
      <c r="B91" s="5">
        <v>86</v>
      </c>
      <c r="C91" s="5"/>
      <c r="D91" s="414"/>
      <c r="E91" s="415"/>
      <c r="F91" s="5"/>
    </row>
    <row r="92" spans="2:6">
      <c r="B92" s="5">
        <v>87</v>
      </c>
      <c r="C92" s="5"/>
      <c r="D92" s="414"/>
      <c r="E92" s="415"/>
      <c r="F92" s="5"/>
    </row>
    <row r="93" spans="2:6">
      <c r="B93" s="5">
        <v>88</v>
      </c>
      <c r="C93" s="5"/>
      <c r="D93" s="414"/>
      <c r="E93" s="415"/>
      <c r="F93" s="5"/>
    </row>
    <row r="94" spans="2:6">
      <c r="B94" s="5">
        <v>89</v>
      </c>
      <c r="C94" s="5"/>
      <c r="D94" s="414"/>
      <c r="E94" s="415"/>
      <c r="F94" s="5"/>
    </row>
    <row r="95" spans="2:6">
      <c r="B95" s="5">
        <v>90</v>
      </c>
      <c r="C95" s="5"/>
      <c r="D95" s="414"/>
      <c r="E95" s="415"/>
      <c r="F95" s="5"/>
    </row>
    <row r="96" spans="2:6">
      <c r="B96" s="5">
        <v>91</v>
      </c>
      <c r="C96" s="5"/>
      <c r="D96" s="414"/>
      <c r="E96" s="415"/>
      <c r="F96" s="5"/>
    </row>
    <row r="97" spans="2:6">
      <c r="B97" s="5">
        <v>92</v>
      </c>
      <c r="C97" s="5"/>
      <c r="D97" s="414"/>
      <c r="E97" s="415"/>
      <c r="F97" s="5"/>
    </row>
    <row r="98" spans="2:6">
      <c r="B98" s="5">
        <v>93</v>
      </c>
      <c r="C98" s="5"/>
      <c r="D98" s="414"/>
      <c r="E98" s="415"/>
      <c r="F98" s="5"/>
    </row>
    <row r="99" spans="2:6">
      <c r="B99" s="5">
        <v>94</v>
      </c>
      <c r="C99" s="5"/>
      <c r="D99" s="414"/>
      <c r="E99" s="415"/>
      <c r="F99" s="5"/>
    </row>
    <row r="100" spans="2:6">
      <c r="B100" s="5">
        <v>95</v>
      </c>
      <c r="C100" s="5"/>
      <c r="D100" s="414"/>
      <c r="E100" s="415"/>
      <c r="F100" s="5"/>
    </row>
    <row r="101" spans="2:6">
      <c r="B101" s="5">
        <v>96</v>
      </c>
      <c r="C101" s="5"/>
      <c r="D101" s="414"/>
      <c r="E101" s="415"/>
      <c r="F101" s="5"/>
    </row>
    <row r="102" spans="2:6">
      <c r="B102" s="5">
        <v>97</v>
      </c>
      <c r="C102" s="5"/>
      <c r="D102" s="414"/>
      <c r="E102" s="415"/>
      <c r="F102" s="5"/>
    </row>
    <row r="103" spans="2:6">
      <c r="B103" s="5">
        <v>98</v>
      </c>
      <c r="C103" s="5"/>
      <c r="D103" s="414"/>
      <c r="E103" s="415"/>
      <c r="F103" s="5"/>
    </row>
    <row r="104" spans="2:6">
      <c r="B104" s="5">
        <v>99</v>
      </c>
      <c r="C104" s="5"/>
      <c r="D104" s="414"/>
      <c r="E104" s="415"/>
      <c r="F104" s="5"/>
    </row>
    <row r="105" spans="2:6">
      <c r="B105" s="5">
        <v>100</v>
      </c>
      <c r="C105" s="5"/>
      <c r="D105" s="414"/>
      <c r="E105" s="415"/>
      <c r="F105" s="5"/>
    </row>
    <row r="106" spans="2:6">
      <c r="B106" s="5">
        <v>101</v>
      </c>
      <c r="C106" s="5"/>
      <c r="D106" s="414"/>
      <c r="E106" s="415"/>
      <c r="F106" s="5"/>
    </row>
    <row r="107" spans="2:6">
      <c r="B107" s="5">
        <v>102</v>
      </c>
      <c r="C107" s="5"/>
      <c r="D107" s="414"/>
      <c r="E107" s="415"/>
      <c r="F107" s="5"/>
    </row>
    <row r="108" spans="2:6">
      <c r="B108" s="5">
        <v>103</v>
      </c>
      <c r="C108" s="5"/>
      <c r="D108" s="414"/>
      <c r="E108" s="415"/>
      <c r="F108" s="5"/>
    </row>
    <row r="109" spans="2:6">
      <c r="B109" s="5">
        <v>104</v>
      </c>
      <c r="C109" s="5"/>
      <c r="D109" s="414"/>
      <c r="E109" s="415"/>
      <c r="F109" s="5"/>
    </row>
    <row r="110" spans="2:6">
      <c r="B110" s="5">
        <v>105</v>
      </c>
      <c r="C110" s="5"/>
      <c r="D110" s="414"/>
      <c r="E110" s="415"/>
      <c r="F110" s="5"/>
    </row>
    <row r="111" spans="2:6">
      <c r="B111" s="5">
        <v>106</v>
      </c>
      <c r="C111" s="5"/>
      <c r="D111" s="414"/>
      <c r="E111" s="415"/>
      <c r="F111" s="5"/>
    </row>
    <row r="112" spans="2:6">
      <c r="B112" s="5">
        <v>107</v>
      </c>
      <c r="C112" s="5"/>
      <c r="D112" s="414"/>
      <c r="E112" s="415"/>
      <c r="F112" s="5"/>
    </row>
    <row r="113" spans="2:6">
      <c r="B113" s="5">
        <v>108</v>
      </c>
      <c r="C113" s="5"/>
      <c r="D113" s="414"/>
      <c r="E113" s="415"/>
      <c r="F113" s="5"/>
    </row>
    <row r="114" spans="2:6">
      <c r="B114" s="5">
        <v>109</v>
      </c>
      <c r="C114" s="5"/>
      <c r="D114" s="414"/>
      <c r="E114" s="415"/>
      <c r="F114" s="5"/>
    </row>
    <row r="115" spans="2:6">
      <c r="B115" s="5">
        <v>110</v>
      </c>
      <c r="C115" s="5"/>
      <c r="D115" s="414"/>
      <c r="E115" s="415"/>
      <c r="F115" s="5"/>
    </row>
    <row r="116" spans="2:6">
      <c r="B116" s="5">
        <v>111</v>
      </c>
      <c r="C116" s="5"/>
      <c r="D116" s="414"/>
      <c r="E116" s="415"/>
      <c r="F116" s="5"/>
    </row>
    <row r="117" spans="2:6">
      <c r="B117" s="5">
        <v>112</v>
      </c>
      <c r="C117" s="5"/>
      <c r="D117" s="414"/>
      <c r="E117" s="415"/>
      <c r="F117" s="5"/>
    </row>
    <row r="118" spans="2:6">
      <c r="B118" s="5">
        <v>113</v>
      </c>
      <c r="C118" s="5"/>
      <c r="D118" s="414"/>
      <c r="E118" s="415"/>
      <c r="F118" s="5"/>
    </row>
    <row r="119" spans="2:6">
      <c r="B119" s="5">
        <v>114</v>
      </c>
      <c r="C119" s="5"/>
      <c r="D119" s="414"/>
      <c r="E119" s="415"/>
      <c r="F119" s="5"/>
    </row>
    <row r="120" spans="2:6">
      <c r="B120" s="5">
        <v>115</v>
      </c>
      <c r="C120" s="5"/>
      <c r="D120" s="414"/>
      <c r="E120" s="415"/>
      <c r="F120" s="5"/>
    </row>
    <row r="121" spans="2:6">
      <c r="B121" s="5">
        <v>116</v>
      </c>
      <c r="C121" s="5"/>
      <c r="D121" s="414"/>
      <c r="E121" s="415"/>
      <c r="F121" s="5"/>
    </row>
    <row r="122" spans="2:6">
      <c r="B122" s="5">
        <v>117</v>
      </c>
      <c r="C122" s="5"/>
      <c r="D122" s="414"/>
      <c r="E122" s="415"/>
      <c r="F122" s="5"/>
    </row>
    <row r="123" spans="2:6">
      <c r="B123" s="5">
        <v>118</v>
      </c>
      <c r="C123" s="5"/>
      <c r="D123" s="414"/>
      <c r="E123" s="415"/>
      <c r="F123" s="5"/>
    </row>
    <row r="124" spans="2:6">
      <c r="B124" s="5">
        <v>119</v>
      </c>
      <c r="C124" s="5"/>
      <c r="D124" s="414"/>
      <c r="E124" s="415"/>
      <c r="F124" s="5"/>
    </row>
    <row r="125" spans="2:6">
      <c r="B125" s="5">
        <v>120</v>
      </c>
      <c r="C125" s="5"/>
      <c r="D125" s="414"/>
      <c r="E125" s="415"/>
      <c r="F125" s="5"/>
    </row>
    <row r="126" spans="2:6">
      <c r="B126" s="5">
        <v>121</v>
      </c>
      <c r="C126" s="5"/>
      <c r="D126" s="414"/>
      <c r="E126" s="415"/>
      <c r="F126" s="5"/>
    </row>
    <row r="127" spans="2:6">
      <c r="B127" s="5">
        <v>122</v>
      </c>
      <c r="C127" s="5"/>
      <c r="D127" s="414"/>
      <c r="E127" s="415"/>
      <c r="F127" s="5"/>
    </row>
    <row r="128" spans="2:6">
      <c r="B128" s="5">
        <v>123</v>
      </c>
      <c r="C128" s="5"/>
      <c r="D128" s="414"/>
      <c r="E128" s="415"/>
      <c r="F128" s="5"/>
    </row>
    <row r="129" spans="2:6">
      <c r="B129" s="5">
        <v>124</v>
      </c>
      <c r="C129" s="5"/>
      <c r="D129" s="414"/>
      <c r="E129" s="415"/>
      <c r="F129" s="5"/>
    </row>
    <row r="130" spans="2:6">
      <c r="B130" s="5">
        <v>125</v>
      </c>
      <c r="C130" s="5"/>
      <c r="D130" s="414"/>
      <c r="E130" s="415"/>
      <c r="F130" s="5"/>
    </row>
    <row r="131" spans="2:6">
      <c r="B131" s="5">
        <v>126</v>
      </c>
      <c r="C131" s="5"/>
      <c r="D131" s="414"/>
      <c r="E131" s="415"/>
      <c r="F131" s="5"/>
    </row>
    <row r="132" spans="2:6">
      <c r="B132" s="5">
        <v>127</v>
      </c>
      <c r="C132" s="5"/>
      <c r="D132" s="414"/>
      <c r="E132" s="415"/>
      <c r="F132" s="5"/>
    </row>
  </sheetData>
  <mergeCells count="130">
    <mergeCell ref="D38:E38"/>
    <mergeCell ref="D39:E39"/>
    <mergeCell ref="D40:E40"/>
    <mergeCell ref="D41:E41"/>
    <mergeCell ref="D42:E42"/>
    <mergeCell ref="D43:E43"/>
    <mergeCell ref="D49:E49"/>
    <mergeCell ref="D50:E50"/>
    <mergeCell ref="D51:E51"/>
    <mergeCell ref="D44:E44"/>
    <mergeCell ref="D45:E45"/>
    <mergeCell ref="D46:E46"/>
    <mergeCell ref="D47:E47"/>
    <mergeCell ref="D48:E48"/>
    <mergeCell ref="D19:E19"/>
    <mergeCell ref="D20:E20"/>
    <mergeCell ref="D21:E21"/>
    <mergeCell ref="D22:E22"/>
    <mergeCell ref="D23:E23"/>
    <mergeCell ref="D34:E34"/>
    <mergeCell ref="D35:E35"/>
    <mergeCell ref="D36:E36"/>
    <mergeCell ref="D37:E37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J8:L8"/>
    <mergeCell ref="B2:F3"/>
    <mergeCell ref="D5:E5"/>
    <mergeCell ref="D6:E6"/>
    <mergeCell ref="D7:E7"/>
    <mergeCell ref="D8:E8"/>
    <mergeCell ref="D16:E16"/>
    <mergeCell ref="D17:E17"/>
    <mergeCell ref="D18:E18"/>
    <mergeCell ref="D9:E9"/>
    <mergeCell ref="D11:E11"/>
    <mergeCell ref="D12:E12"/>
    <mergeCell ref="D13:E13"/>
    <mergeCell ref="D14:E14"/>
    <mergeCell ref="D15:E15"/>
    <mergeCell ref="D10:E10"/>
    <mergeCell ref="D57:E57"/>
    <mergeCell ref="D58:E58"/>
    <mergeCell ref="D59:E59"/>
    <mergeCell ref="D60:E60"/>
    <mergeCell ref="D61:E61"/>
    <mergeCell ref="D52:E52"/>
    <mergeCell ref="D53:E53"/>
    <mergeCell ref="D54:E54"/>
    <mergeCell ref="D55:E55"/>
    <mergeCell ref="D56:E56"/>
    <mergeCell ref="D67:E67"/>
    <mergeCell ref="D68:E68"/>
    <mergeCell ref="D69:E69"/>
    <mergeCell ref="D70:E70"/>
    <mergeCell ref="D71:E71"/>
    <mergeCell ref="D62:E62"/>
    <mergeCell ref="D63:E63"/>
    <mergeCell ref="D64:E64"/>
    <mergeCell ref="D65:E65"/>
    <mergeCell ref="D66:E66"/>
    <mergeCell ref="D77:E77"/>
    <mergeCell ref="D78:E78"/>
    <mergeCell ref="D79:E79"/>
    <mergeCell ref="D80:E80"/>
    <mergeCell ref="D81:E81"/>
    <mergeCell ref="D72:E72"/>
    <mergeCell ref="D73:E73"/>
    <mergeCell ref="D74:E74"/>
    <mergeCell ref="D75:E75"/>
    <mergeCell ref="D76:E76"/>
    <mergeCell ref="D87:E87"/>
    <mergeCell ref="D88:E88"/>
    <mergeCell ref="D89:E89"/>
    <mergeCell ref="D90:E90"/>
    <mergeCell ref="D91:E91"/>
    <mergeCell ref="D82:E82"/>
    <mergeCell ref="D83:E83"/>
    <mergeCell ref="D84:E84"/>
    <mergeCell ref="D85:E85"/>
    <mergeCell ref="D86:E86"/>
    <mergeCell ref="D97:E97"/>
    <mergeCell ref="D98:E98"/>
    <mergeCell ref="D99:E99"/>
    <mergeCell ref="D100:E100"/>
    <mergeCell ref="D101:E101"/>
    <mergeCell ref="D92:E92"/>
    <mergeCell ref="D93:E93"/>
    <mergeCell ref="D94:E94"/>
    <mergeCell ref="D95:E95"/>
    <mergeCell ref="D96:E96"/>
    <mergeCell ref="D107:E107"/>
    <mergeCell ref="D108:E108"/>
    <mergeCell ref="D109:E109"/>
    <mergeCell ref="D110:E110"/>
    <mergeCell ref="D111:E111"/>
    <mergeCell ref="D102:E102"/>
    <mergeCell ref="D103:E103"/>
    <mergeCell ref="D104:E104"/>
    <mergeCell ref="D105:E105"/>
    <mergeCell ref="D106:E106"/>
    <mergeCell ref="D117:E117"/>
    <mergeCell ref="D118:E118"/>
    <mergeCell ref="D119:E119"/>
    <mergeCell ref="D120:E120"/>
    <mergeCell ref="D121:E121"/>
    <mergeCell ref="D112:E112"/>
    <mergeCell ref="D113:E113"/>
    <mergeCell ref="D114:E114"/>
    <mergeCell ref="D115:E115"/>
    <mergeCell ref="D116:E116"/>
    <mergeCell ref="D132:E132"/>
    <mergeCell ref="D127:E127"/>
    <mergeCell ref="D128:E128"/>
    <mergeCell ref="D129:E129"/>
    <mergeCell ref="D130:E130"/>
    <mergeCell ref="D131:E131"/>
    <mergeCell ref="D122:E122"/>
    <mergeCell ref="D123:E123"/>
    <mergeCell ref="D124:E124"/>
    <mergeCell ref="D125:E125"/>
    <mergeCell ref="D126:E126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V124"/>
  <sheetViews>
    <sheetView topLeftCell="C1" workbookViewId="0">
      <selection activeCell="E31" sqref="E31"/>
    </sheetView>
  </sheetViews>
  <sheetFormatPr baseColWidth="10" defaultRowHeight="15"/>
  <cols>
    <col min="1" max="1" width="3.33203125" style="88" customWidth="1"/>
    <col min="2" max="2" width="4.5" bestFit="1" customWidth="1"/>
    <col min="3" max="3" width="15.1640625" bestFit="1" customWidth="1"/>
    <col min="4" max="4" width="15.33203125" bestFit="1" customWidth="1"/>
    <col min="5" max="5" width="47.6640625" customWidth="1"/>
    <col min="6" max="6" width="33.6640625" bestFit="1" customWidth="1"/>
    <col min="7" max="7" width="10.6640625" bestFit="1" customWidth="1"/>
    <col min="8" max="8" width="13.5" bestFit="1" customWidth="1"/>
    <col min="9" max="9" width="13.83203125" customWidth="1"/>
    <col min="10" max="22" width="11.5" style="88"/>
  </cols>
  <sheetData>
    <row r="1" spans="2:9" s="88" customFormat="1"/>
    <row r="2" spans="2:9" ht="32">
      <c r="B2" s="89" t="s">
        <v>12</v>
      </c>
      <c r="C2" s="89" t="s">
        <v>14</v>
      </c>
      <c r="D2" s="89" t="s">
        <v>36</v>
      </c>
      <c r="E2" s="89" t="s">
        <v>2</v>
      </c>
      <c r="F2" s="89" t="s">
        <v>37</v>
      </c>
      <c r="G2" s="90" t="s">
        <v>130</v>
      </c>
      <c r="H2" s="89" t="s">
        <v>6</v>
      </c>
      <c r="I2" s="89" t="s">
        <v>60</v>
      </c>
    </row>
    <row r="3" spans="2:9">
      <c r="B3" s="5">
        <v>1</v>
      </c>
      <c r="C3" s="5" t="s">
        <v>38</v>
      </c>
      <c r="D3" s="5" t="s">
        <v>39</v>
      </c>
      <c r="E3" s="5" t="s">
        <v>40</v>
      </c>
      <c r="F3" s="5" t="s">
        <v>41</v>
      </c>
      <c r="G3" s="91">
        <v>45019</v>
      </c>
      <c r="H3" s="5" t="s">
        <v>59</v>
      </c>
      <c r="I3" s="5" t="s">
        <v>61</v>
      </c>
    </row>
    <row r="4" spans="2:9">
      <c r="B4" s="5">
        <v>2</v>
      </c>
      <c r="C4" s="5" t="s">
        <v>42</v>
      </c>
      <c r="D4" s="5" t="s">
        <v>43</v>
      </c>
      <c r="E4" s="5" t="s">
        <v>44</v>
      </c>
      <c r="F4" s="5" t="s">
        <v>45</v>
      </c>
      <c r="G4" s="91">
        <v>43894</v>
      </c>
      <c r="H4" s="5" t="s">
        <v>59</v>
      </c>
      <c r="I4" s="5" t="s">
        <v>61</v>
      </c>
    </row>
    <row r="5" spans="2:9">
      <c r="B5" s="95">
        <v>3</v>
      </c>
      <c r="C5" s="95" t="s">
        <v>46</v>
      </c>
      <c r="D5" s="95" t="s">
        <v>47</v>
      </c>
      <c r="E5" s="95" t="s">
        <v>48</v>
      </c>
      <c r="F5" s="95" t="s">
        <v>45</v>
      </c>
      <c r="G5" s="96">
        <v>44847</v>
      </c>
      <c r="H5" s="95" t="s">
        <v>59</v>
      </c>
      <c r="I5" s="95" t="s">
        <v>61</v>
      </c>
    </row>
    <row r="6" spans="2:9">
      <c r="B6" s="5">
        <v>4</v>
      </c>
      <c r="C6" s="5" t="s">
        <v>49</v>
      </c>
      <c r="D6" s="5" t="s">
        <v>50</v>
      </c>
      <c r="E6" s="5" t="s">
        <v>51</v>
      </c>
      <c r="F6" s="5" t="s">
        <v>45</v>
      </c>
      <c r="G6" s="91">
        <v>45008</v>
      </c>
      <c r="H6" s="5" t="s">
        <v>59</v>
      </c>
      <c r="I6" s="5" t="s">
        <v>61</v>
      </c>
    </row>
    <row r="7" spans="2:9">
      <c r="B7" s="5">
        <v>5</v>
      </c>
      <c r="C7" s="5" t="s">
        <v>52</v>
      </c>
      <c r="D7" s="5" t="s">
        <v>53</v>
      </c>
      <c r="E7" s="5" t="s">
        <v>54</v>
      </c>
      <c r="F7" s="5" t="s">
        <v>45</v>
      </c>
      <c r="G7" s="91">
        <v>44371</v>
      </c>
      <c r="H7" s="5" t="s">
        <v>59</v>
      </c>
      <c r="I7" s="5" t="s">
        <v>61</v>
      </c>
    </row>
    <row r="8" spans="2:9">
      <c r="B8" s="5">
        <v>6</v>
      </c>
      <c r="C8" s="5" t="s">
        <v>55</v>
      </c>
      <c r="D8" s="5" t="s">
        <v>56</v>
      </c>
      <c r="E8" s="5" t="s">
        <v>57</v>
      </c>
      <c r="F8" s="5" t="s">
        <v>58</v>
      </c>
      <c r="G8" s="91">
        <v>44214</v>
      </c>
      <c r="H8" s="5" t="s">
        <v>7</v>
      </c>
      <c r="I8" s="5" t="s">
        <v>61</v>
      </c>
    </row>
    <row r="9" spans="2:9">
      <c r="B9" s="5">
        <v>7</v>
      </c>
      <c r="C9" s="5" t="s">
        <v>62</v>
      </c>
      <c r="D9" s="5" t="s">
        <v>63</v>
      </c>
      <c r="E9" s="5" t="s">
        <v>64</v>
      </c>
      <c r="F9" s="5" t="s">
        <v>45</v>
      </c>
      <c r="G9" s="91">
        <v>44895</v>
      </c>
      <c r="H9" s="5" t="s">
        <v>59</v>
      </c>
      <c r="I9" s="5" t="s">
        <v>61</v>
      </c>
    </row>
    <row r="10" spans="2:9">
      <c r="B10" s="5">
        <v>8</v>
      </c>
      <c r="C10" s="5" t="s">
        <v>65</v>
      </c>
      <c r="D10" s="5" t="s">
        <v>66</v>
      </c>
      <c r="E10" s="5"/>
      <c r="F10" s="5" t="s">
        <v>45</v>
      </c>
      <c r="G10" s="91">
        <v>44916</v>
      </c>
      <c r="H10" s="5" t="s">
        <v>59</v>
      </c>
      <c r="I10" s="5" t="s">
        <v>61</v>
      </c>
    </row>
    <row r="11" spans="2:9">
      <c r="B11" s="5">
        <v>9</v>
      </c>
      <c r="C11" s="5" t="s">
        <v>67</v>
      </c>
      <c r="D11" s="5" t="s">
        <v>68</v>
      </c>
      <c r="E11" s="5" t="s">
        <v>69</v>
      </c>
      <c r="F11" s="5" t="s">
        <v>45</v>
      </c>
      <c r="G11" s="91">
        <v>44635</v>
      </c>
      <c r="H11" s="5" t="s">
        <v>59</v>
      </c>
      <c r="I11" s="5" t="s">
        <v>61</v>
      </c>
    </row>
    <row r="12" spans="2:9">
      <c r="B12" s="95">
        <v>10</v>
      </c>
      <c r="C12" s="95" t="s">
        <v>70</v>
      </c>
      <c r="D12" s="95" t="s">
        <v>71</v>
      </c>
      <c r="E12" s="95" t="s">
        <v>72</v>
      </c>
      <c r="F12" s="95" t="s">
        <v>45</v>
      </c>
      <c r="G12" s="96">
        <v>44895</v>
      </c>
      <c r="H12" s="95" t="s">
        <v>59</v>
      </c>
      <c r="I12" s="95" t="s">
        <v>61</v>
      </c>
    </row>
    <row r="13" spans="2:9">
      <c r="B13" s="5">
        <v>11</v>
      </c>
      <c r="C13" s="5" t="s">
        <v>73</v>
      </c>
      <c r="D13" s="5"/>
      <c r="E13" s="5" t="s">
        <v>74</v>
      </c>
      <c r="F13" s="5" t="s">
        <v>45</v>
      </c>
      <c r="G13" s="91">
        <v>44684</v>
      </c>
      <c r="H13" s="5" t="s">
        <v>59</v>
      </c>
      <c r="I13" s="5" t="s">
        <v>61</v>
      </c>
    </row>
    <row r="14" spans="2:9">
      <c r="B14" s="5">
        <v>12</v>
      </c>
      <c r="C14" s="5" t="s">
        <v>75</v>
      </c>
      <c r="D14" s="5" t="s">
        <v>76</v>
      </c>
      <c r="E14" s="5" t="s">
        <v>77</v>
      </c>
      <c r="F14" s="5" t="s">
        <v>45</v>
      </c>
      <c r="G14" s="91">
        <v>43844</v>
      </c>
      <c r="H14" s="5" t="s">
        <v>59</v>
      </c>
      <c r="I14" s="5" t="s">
        <v>61</v>
      </c>
    </row>
    <row r="15" spans="2:9">
      <c r="B15" s="5">
        <v>13</v>
      </c>
      <c r="C15" s="5" t="s">
        <v>78</v>
      </c>
      <c r="D15" s="5" t="s">
        <v>79</v>
      </c>
      <c r="E15" s="5" t="s">
        <v>80</v>
      </c>
      <c r="F15" s="5" t="s">
        <v>45</v>
      </c>
      <c r="G15" s="91">
        <v>45099</v>
      </c>
      <c r="H15" s="5" t="s">
        <v>59</v>
      </c>
      <c r="I15" s="5" t="s">
        <v>61</v>
      </c>
    </row>
    <row r="16" spans="2:9">
      <c r="B16" s="5">
        <v>14</v>
      </c>
      <c r="C16" s="5" t="s">
        <v>81</v>
      </c>
      <c r="D16" s="5" t="s">
        <v>82</v>
      </c>
      <c r="E16" s="5" t="s">
        <v>83</v>
      </c>
      <c r="F16" s="5" t="s">
        <v>45</v>
      </c>
      <c r="G16" s="91">
        <v>45110</v>
      </c>
      <c r="H16" s="5" t="s">
        <v>59</v>
      </c>
      <c r="I16" s="5" t="s">
        <v>61</v>
      </c>
    </row>
    <row r="17" spans="2:9">
      <c r="B17" s="5">
        <v>15</v>
      </c>
      <c r="C17" s="5" t="s">
        <v>84</v>
      </c>
      <c r="D17" s="5" t="s">
        <v>85</v>
      </c>
      <c r="E17" s="5" t="s">
        <v>86</v>
      </c>
      <c r="F17" s="5" t="s">
        <v>45</v>
      </c>
      <c r="G17" s="91">
        <v>45063</v>
      </c>
      <c r="H17" s="5" t="s">
        <v>59</v>
      </c>
      <c r="I17" s="5" t="s">
        <v>61</v>
      </c>
    </row>
    <row r="18" spans="2:9">
      <c r="B18" s="5">
        <v>16</v>
      </c>
      <c r="C18" s="5" t="s">
        <v>87</v>
      </c>
      <c r="D18" s="5" t="s">
        <v>88</v>
      </c>
      <c r="E18" s="5" t="s">
        <v>89</v>
      </c>
      <c r="F18" s="5" t="s">
        <v>45</v>
      </c>
      <c r="G18" s="91">
        <v>45092</v>
      </c>
      <c r="H18" s="5" t="s">
        <v>59</v>
      </c>
      <c r="I18" s="5" t="s">
        <v>61</v>
      </c>
    </row>
    <row r="19" spans="2:9">
      <c r="B19" s="5">
        <v>17</v>
      </c>
      <c r="C19" s="5" t="s">
        <v>90</v>
      </c>
      <c r="D19" s="5" t="s">
        <v>91</v>
      </c>
      <c r="E19" s="5" t="s">
        <v>92</v>
      </c>
      <c r="F19" s="5" t="s">
        <v>45</v>
      </c>
      <c r="G19" s="91">
        <v>44714</v>
      </c>
      <c r="H19" s="5" t="s">
        <v>59</v>
      </c>
      <c r="I19" s="5" t="s">
        <v>61</v>
      </c>
    </row>
    <row r="20" spans="2:9" ht="16">
      <c r="B20" s="95">
        <v>18</v>
      </c>
      <c r="C20" s="221" t="s">
        <v>93</v>
      </c>
      <c r="D20" s="221" t="s">
        <v>94</v>
      </c>
      <c r="E20" s="221" t="s">
        <v>95</v>
      </c>
      <c r="F20" s="221" t="s">
        <v>45</v>
      </c>
      <c r="G20" s="222">
        <v>45061</v>
      </c>
      <c r="H20" s="221" t="s">
        <v>59</v>
      </c>
      <c r="I20" s="223" t="s">
        <v>265</v>
      </c>
    </row>
    <row r="21" spans="2:9">
      <c r="B21" s="5">
        <v>19</v>
      </c>
      <c r="C21" s="5" t="s">
        <v>96</v>
      </c>
      <c r="D21" s="5" t="s">
        <v>97</v>
      </c>
      <c r="E21" s="5" t="s">
        <v>98</v>
      </c>
      <c r="F21" s="5" t="s">
        <v>45</v>
      </c>
      <c r="G21" s="91">
        <v>44791</v>
      </c>
      <c r="H21" s="5" t="s">
        <v>59</v>
      </c>
      <c r="I21" s="5" t="s">
        <v>61</v>
      </c>
    </row>
    <row r="22" spans="2:9">
      <c r="B22" s="95">
        <v>20</v>
      </c>
      <c r="C22" s="95" t="s">
        <v>99</v>
      </c>
      <c r="D22" s="95" t="s">
        <v>100</v>
      </c>
      <c r="E22" s="95" t="s">
        <v>101</v>
      </c>
      <c r="F22" s="95" t="s">
        <v>45</v>
      </c>
      <c r="G22" s="96">
        <v>44602</v>
      </c>
      <c r="H22" s="95" t="s">
        <v>59</v>
      </c>
      <c r="I22" s="95" t="s">
        <v>61</v>
      </c>
    </row>
    <row r="23" spans="2:9">
      <c r="B23" s="5">
        <v>21</v>
      </c>
      <c r="C23" s="5" t="s">
        <v>102</v>
      </c>
      <c r="D23" s="5" t="s">
        <v>103</v>
      </c>
      <c r="E23" s="5" t="s">
        <v>104</v>
      </c>
      <c r="F23" s="5" t="s">
        <v>108</v>
      </c>
      <c r="G23" s="91">
        <v>43878</v>
      </c>
      <c r="H23" s="5" t="s">
        <v>59</v>
      </c>
      <c r="I23" s="5" t="s">
        <v>61</v>
      </c>
    </row>
    <row r="24" spans="2:9">
      <c r="B24" s="5">
        <v>22</v>
      </c>
      <c r="C24" s="5" t="s">
        <v>105</v>
      </c>
      <c r="D24" s="5" t="s">
        <v>106</v>
      </c>
      <c r="E24" s="5" t="s">
        <v>107</v>
      </c>
      <c r="F24" s="5" t="s">
        <v>45</v>
      </c>
      <c r="G24" s="91">
        <v>44657</v>
      </c>
      <c r="H24" s="5" t="s">
        <v>59</v>
      </c>
      <c r="I24" s="5" t="s">
        <v>61</v>
      </c>
    </row>
    <row r="25" spans="2:9">
      <c r="B25" s="5">
        <v>23</v>
      </c>
      <c r="C25" s="5" t="s">
        <v>109</v>
      </c>
      <c r="D25" s="5" t="s">
        <v>110</v>
      </c>
      <c r="E25" s="5" t="s">
        <v>111</v>
      </c>
      <c r="F25" s="5" t="s">
        <v>45</v>
      </c>
      <c r="G25" s="91">
        <v>44643</v>
      </c>
      <c r="H25" s="5" t="s">
        <v>59</v>
      </c>
      <c r="I25" s="5" t="s">
        <v>61</v>
      </c>
    </row>
    <row r="26" spans="2:9">
      <c r="B26" s="5">
        <v>24</v>
      </c>
      <c r="C26" s="5" t="s">
        <v>112</v>
      </c>
      <c r="D26" s="5" t="s">
        <v>113</v>
      </c>
      <c r="E26" s="5" t="s">
        <v>114</v>
      </c>
      <c r="F26" s="5" t="s">
        <v>45</v>
      </c>
      <c r="G26" s="91">
        <v>44977</v>
      </c>
      <c r="H26" s="5" t="s">
        <v>59</v>
      </c>
      <c r="I26" s="5" t="s">
        <v>61</v>
      </c>
    </row>
    <row r="27" spans="2:9">
      <c r="B27" s="5">
        <v>25</v>
      </c>
      <c r="C27" s="5" t="s">
        <v>115</v>
      </c>
      <c r="D27" s="5" t="s">
        <v>116</v>
      </c>
      <c r="E27" s="5" t="s">
        <v>117</v>
      </c>
      <c r="F27" s="5" t="s">
        <v>118</v>
      </c>
      <c r="G27" s="91">
        <v>45019</v>
      </c>
      <c r="H27" s="5" t="s">
        <v>59</v>
      </c>
      <c r="I27" s="5" t="s">
        <v>61</v>
      </c>
    </row>
    <row r="28" spans="2:9">
      <c r="B28" s="95">
        <v>26</v>
      </c>
      <c r="C28" s="95" t="s">
        <v>119</v>
      </c>
      <c r="D28" s="95"/>
      <c r="E28" s="95" t="s">
        <v>120</v>
      </c>
      <c r="F28" s="95" t="s">
        <v>45</v>
      </c>
      <c r="G28" s="96">
        <v>45042</v>
      </c>
      <c r="H28" s="95" t="s">
        <v>59</v>
      </c>
      <c r="I28" s="95" t="s">
        <v>61</v>
      </c>
    </row>
    <row r="29" spans="2:9">
      <c r="B29" s="95">
        <v>27</v>
      </c>
      <c r="C29" s="95" t="s">
        <v>121</v>
      </c>
      <c r="D29" s="95" t="s">
        <v>122</v>
      </c>
      <c r="E29" s="95" t="s">
        <v>123</v>
      </c>
      <c r="F29" s="95" t="s">
        <v>45</v>
      </c>
      <c r="G29" s="96">
        <v>44392</v>
      </c>
      <c r="H29" s="95" t="s">
        <v>59</v>
      </c>
      <c r="I29" s="95" t="s">
        <v>61</v>
      </c>
    </row>
    <row r="30" spans="2:9">
      <c r="B30" s="5">
        <v>28</v>
      </c>
      <c r="C30" s="5" t="s">
        <v>124</v>
      </c>
      <c r="D30" s="5" t="s">
        <v>125</v>
      </c>
      <c r="E30" s="5" t="s">
        <v>126</v>
      </c>
      <c r="F30" s="5" t="s">
        <v>45</v>
      </c>
      <c r="G30" s="91">
        <v>44980</v>
      </c>
      <c r="H30" s="5" t="s">
        <v>59</v>
      </c>
      <c r="I30" s="5" t="s">
        <v>61</v>
      </c>
    </row>
    <row r="31" spans="2:9">
      <c r="B31" s="5">
        <v>29</v>
      </c>
      <c r="C31" s="5" t="s">
        <v>127</v>
      </c>
      <c r="D31" s="5" t="s">
        <v>128</v>
      </c>
      <c r="E31" s="5" t="s">
        <v>129</v>
      </c>
      <c r="F31" s="5" t="s">
        <v>45</v>
      </c>
      <c r="G31" s="91">
        <v>44938</v>
      </c>
      <c r="H31" s="5" t="s">
        <v>59</v>
      </c>
      <c r="I31" s="5" t="s">
        <v>61</v>
      </c>
    </row>
    <row r="32" spans="2:9">
      <c r="B32" s="5">
        <v>30</v>
      </c>
      <c r="C32" s="5" t="s">
        <v>131</v>
      </c>
      <c r="D32" s="5" t="s">
        <v>132</v>
      </c>
      <c r="E32" s="5" t="s">
        <v>133</v>
      </c>
      <c r="F32" s="5" t="s">
        <v>45</v>
      </c>
      <c r="G32" s="91">
        <v>45092</v>
      </c>
      <c r="H32" s="5" t="s">
        <v>59</v>
      </c>
      <c r="I32" s="5" t="s">
        <v>61</v>
      </c>
    </row>
    <row r="33" spans="2:9">
      <c r="B33" s="5">
        <v>31</v>
      </c>
      <c r="C33" s="5" t="s">
        <v>134</v>
      </c>
      <c r="D33" s="5"/>
      <c r="E33" s="5" t="s">
        <v>135</v>
      </c>
      <c r="F33" s="5" t="s">
        <v>45</v>
      </c>
      <c r="G33" s="91">
        <v>44432</v>
      </c>
      <c r="H33" s="5" t="s">
        <v>59</v>
      </c>
      <c r="I33" s="5" t="s">
        <v>61</v>
      </c>
    </row>
    <row r="34" spans="2:9">
      <c r="B34" s="5">
        <v>32</v>
      </c>
      <c r="C34" s="5" t="s">
        <v>136</v>
      </c>
      <c r="D34" s="5"/>
      <c r="E34" s="5" t="s">
        <v>138</v>
      </c>
      <c r="F34" s="5" t="s">
        <v>137</v>
      </c>
      <c r="G34" s="91">
        <v>43495</v>
      </c>
      <c r="H34" s="5" t="s">
        <v>59</v>
      </c>
      <c r="I34" s="5" t="s">
        <v>61</v>
      </c>
    </row>
    <row r="35" spans="2:9">
      <c r="B35" s="5">
        <v>33</v>
      </c>
      <c r="C35" s="5" t="s">
        <v>139</v>
      </c>
      <c r="D35" s="5"/>
      <c r="E35" s="5" t="s">
        <v>140</v>
      </c>
      <c r="F35" s="5" t="s">
        <v>137</v>
      </c>
      <c r="G35" s="91">
        <v>43495</v>
      </c>
      <c r="H35" s="5" t="s">
        <v>59</v>
      </c>
      <c r="I35" s="5" t="s">
        <v>61</v>
      </c>
    </row>
    <row r="36" spans="2:9">
      <c r="B36" s="5">
        <v>34</v>
      </c>
      <c r="C36" s="5" t="s">
        <v>141</v>
      </c>
      <c r="D36" s="5" t="s">
        <v>142</v>
      </c>
      <c r="E36" s="5" t="s">
        <v>145</v>
      </c>
      <c r="F36" s="5" t="s">
        <v>45</v>
      </c>
      <c r="G36" s="91">
        <v>43661</v>
      </c>
      <c r="H36" s="5" t="s">
        <v>59</v>
      </c>
      <c r="I36" s="5" t="s">
        <v>61</v>
      </c>
    </row>
    <row r="37" spans="2:9">
      <c r="B37" s="5">
        <v>35</v>
      </c>
      <c r="C37" s="5" t="s">
        <v>143</v>
      </c>
      <c r="D37" s="5" t="s">
        <v>144</v>
      </c>
      <c r="E37" s="5" t="s">
        <v>146</v>
      </c>
      <c r="F37" s="5" t="s">
        <v>45</v>
      </c>
      <c r="G37" s="91">
        <v>44938</v>
      </c>
      <c r="H37" s="5" t="s">
        <v>59</v>
      </c>
      <c r="I37" s="5" t="s">
        <v>61</v>
      </c>
    </row>
    <row r="38" spans="2:9">
      <c r="B38" s="5">
        <v>36</v>
      </c>
      <c r="C38" s="5" t="s">
        <v>147</v>
      </c>
      <c r="D38" s="5" t="s">
        <v>148</v>
      </c>
      <c r="E38" s="5" t="s">
        <v>149</v>
      </c>
      <c r="F38" s="5" t="s">
        <v>45</v>
      </c>
      <c r="G38" s="91">
        <v>43655</v>
      </c>
      <c r="H38" s="5" t="s">
        <v>59</v>
      </c>
      <c r="I38" s="5" t="s">
        <v>61</v>
      </c>
    </row>
    <row r="39" spans="2:9">
      <c r="B39" s="5">
        <v>37</v>
      </c>
      <c r="C39" s="5" t="s">
        <v>150</v>
      </c>
      <c r="D39" s="5"/>
      <c r="E39" s="5" t="s">
        <v>151</v>
      </c>
      <c r="F39" s="5" t="s">
        <v>45</v>
      </c>
      <c r="G39" s="91">
        <v>43616</v>
      </c>
      <c r="H39" s="5" t="s">
        <v>59</v>
      </c>
      <c r="I39" s="5" t="s">
        <v>61</v>
      </c>
    </row>
    <row r="40" spans="2:9">
      <c r="B40" s="5">
        <v>38</v>
      </c>
      <c r="C40" s="5" t="s">
        <v>152</v>
      </c>
      <c r="D40" s="5" t="s">
        <v>153</v>
      </c>
      <c r="E40" s="5" t="s">
        <v>154</v>
      </c>
      <c r="F40" s="5" t="s">
        <v>45</v>
      </c>
      <c r="G40" s="91">
        <v>44672</v>
      </c>
      <c r="H40" s="5" t="s">
        <v>59</v>
      </c>
      <c r="I40" s="5" t="s">
        <v>61</v>
      </c>
    </row>
    <row r="41" spans="2:9">
      <c r="B41" s="5">
        <v>39</v>
      </c>
      <c r="C41" s="5" t="s">
        <v>155</v>
      </c>
      <c r="D41" s="5" t="s">
        <v>156</v>
      </c>
      <c r="E41" s="5" t="s">
        <v>157</v>
      </c>
      <c r="F41" s="5" t="s">
        <v>45</v>
      </c>
      <c r="G41" s="91">
        <v>43741</v>
      </c>
      <c r="H41" s="5" t="s">
        <v>59</v>
      </c>
      <c r="I41" s="5" t="s">
        <v>61</v>
      </c>
    </row>
    <row r="42" spans="2:9">
      <c r="B42" s="5">
        <v>40</v>
      </c>
      <c r="C42" s="5" t="s">
        <v>158</v>
      </c>
      <c r="D42" s="5"/>
      <c r="E42" s="5" t="s">
        <v>159</v>
      </c>
      <c r="F42" s="5" t="s">
        <v>45</v>
      </c>
      <c r="G42" s="91">
        <v>44620</v>
      </c>
      <c r="H42" s="5" t="s">
        <v>59</v>
      </c>
      <c r="I42" s="5" t="s">
        <v>61</v>
      </c>
    </row>
    <row r="43" spans="2:9">
      <c r="B43" s="5">
        <v>41</v>
      </c>
      <c r="C43" s="5" t="s">
        <v>160</v>
      </c>
      <c r="D43" s="5" t="s">
        <v>161</v>
      </c>
      <c r="E43" s="5" t="s">
        <v>162</v>
      </c>
      <c r="F43" s="5" t="s">
        <v>45</v>
      </c>
      <c r="G43" s="91">
        <v>45026</v>
      </c>
      <c r="H43" s="5" t="s">
        <v>59</v>
      </c>
      <c r="I43" s="5" t="s">
        <v>61</v>
      </c>
    </row>
    <row r="44" spans="2:9">
      <c r="B44" s="5">
        <v>42</v>
      </c>
      <c r="C44" s="5" t="s">
        <v>163</v>
      </c>
      <c r="D44" s="5" t="s">
        <v>164</v>
      </c>
      <c r="E44" s="5" t="s">
        <v>165</v>
      </c>
      <c r="F44" s="5" t="s">
        <v>45</v>
      </c>
      <c r="G44" s="91">
        <v>44837</v>
      </c>
      <c r="H44" s="5" t="s">
        <v>59</v>
      </c>
      <c r="I44" s="5" t="s">
        <v>61</v>
      </c>
    </row>
    <row r="45" spans="2:9">
      <c r="B45" s="5">
        <v>43</v>
      </c>
      <c r="C45" s="5" t="s">
        <v>166</v>
      </c>
      <c r="D45" s="5" t="s">
        <v>167</v>
      </c>
      <c r="E45" s="5" t="s">
        <v>168</v>
      </c>
      <c r="F45" s="5" t="s">
        <v>45</v>
      </c>
      <c r="G45" s="91">
        <v>44714</v>
      </c>
      <c r="H45" s="5" t="s">
        <v>59</v>
      </c>
      <c r="I45" s="5" t="s">
        <v>61</v>
      </c>
    </row>
    <row r="46" spans="2:9">
      <c r="B46" s="5">
        <v>44</v>
      </c>
      <c r="C46" s="5" t="s">
        <v>169</v>
      </c>
      <c r="D46" s="5"/>
      <c r="E46" s="5" t="s">
        <v>170</v>
      </c>
      <c r="F46" s="5" t="s">
        <v>45</v>
      </c>
      <c r="G46" s="91">
        <v>45029</v>
      </c>
      <c r="H46" s="5" t="s">
        <v>59</v>
      </c>
      <c r="I46" s="5" t="s">
        <v>61</v>
      </c>
    </row>
    <row r="47" spans="2:9">
      <c r="B47" s="5">
        <v>45</v>
      </c>
      <c r="C47" s="5" t="s">
        <v>171</v>
      </c>
      <c r="D47" s="5" t="s">
        <v>172</v>
      </c>
      <c r="E47" s="5" t="s">
        <v>173</v>
      </c>
      <c r="F47" s="5" t="s">
        <v>45</v>
      </c>
      <c r="G47" s="91">
        <v>44439</v>
      </c>
      <c r="H47" s="5" t="s">
        <v>59</v>
      </c>
      <c r="I47" s="5" t="s">
        <v>61</v>
      </c>
    </row>
    <row r="48" spans="2:9">
      <c r="B48" s="5">
        <v>46</v>
      </c>
      <c r="C48" s="5" t="s">
        <v>174</v>
      </c>
      <c r="D48" s="5" t="s">
        <v>175</v>
      </c>
      <c r="E48" s="5" t="s">
        <v>178</v>
      </c>
      <c r="F48" s="5" t="s">
        <v>45</v>
      </c>
      <c r="G48" s="91">
        <v>43195</v>
      </c>
      <c r="H48" s="5" t="s">
        <v>59</v>
      </c>
      <c r="I48" s="5" t="s">
        <v>61</v>
      </c>
    </row>
    <row r="49" spans="2:9">
      <c r="B49" s="5">
        <v>47</v>
      </c>
      <c r="C49" s="5" t="s">
        <v>176</v>
      </c>
      <c r="D49" s="5" t="s">
        <v>177</v>
      </c>
      <c r="E49" s="5" t="s">
        <v>181</v>
      </c>
      <c r="F49" s="5" t="s">
        <v>45</v>
      </c>
      <c r="G49" s="91">
        <v>43322</v>
      </c>
      <c r="H49" s="5" t="s">
        <v>59</v>
      </c>
      <c r="I49" s="5" t="s">
        <v>61</v>
      </c>
    </row>
    <row r="50" spans="2:9">
      <c r="B50" s="95">
        <v>48</v>
      </c>
      <c r="C50" s="95" t="s">
        <v>179</v>
      </c>
      <c r="D50" s="95" t="s">
        <v>180</v>
      </c>
      <c r="E50" s="95" t="s">
        <v>182</v>
      </c>
      <c r="F50" s="95" t="s">
        <v>183</v>
      </c>
      <c r="G50" s="96">
        <v>44900</v>
      </c>
      <c r="H50" s="95" t="s">
        <v>59</v>
      </c>
      <c r="I50" s="95" t="s">
        <v>61</v>
      </c>
    </row>
    <row r="51" spans="2:9">
      <c r="B51" s="5">
        <v>49</v>
      </c>
      <c r="C51" s="5" t="s">
        <v>184</v>
      </c>
      <c r="D51" s="5" t="s">
        <v>185</v>
      </c>
      <c r="E51" s="5" t="s">
        <v>186</v>
      </c>
      <c r="F51" s="5" t="s">
        <v>45</v>
      </c>
      <c r="G51" s="91">
        <v>44271</v>
      </c>
      <c r="H51" s="5" t="s">
        <v>59</v>
      </c>
      <c r="I51" s="5" t="s">
        <v>61</v>
      </c>
    </row>
    <row r="52" spans="2:9">
      <c r="B52" s="95">
        <v>50</v>
      </c>
      <c r="C52" s="95" t="s">
        <v>187</v>
      </c>
      <c r="D52" s="95" t="s">
        <v>188</v>
      </c>
      <c r="E52" s="95" t="s">
        <v>189</v>
      </c>
      <c r="F52" s="95" t="s">
        <v>45</v>
      </c>
      <c r="G52" s="96">
        <v>44432</v>
      </c>
      <c r="H52" s="95" t="s">
        <v>59</v>
      </c>
      <c r="I52" s="95" t="s">
        <v>61</v>
      </c>
    </row>
    <row r="53" spans="2:9">
      <c r="B53" s="5">
        <v>51</v>
      </c>
      <c r="C53" s="5" t="s">
        <v>191</v>
      </c>
      <c r="D53" s="5" t="s">
        <v>192</v>
      </c>
      <c r="E53" s="5" t="s">
        <v>193</v>
      </c>
      <c r="F53" s="5" t="s">
        <v>45</v>
      </c>
      <c r="G53" s="91">
        <v>43186</v>
      </c>
      <c r="H53" s="5" t="s">
        <v>59</v>
      </c>
      <c r="I53" s="5" t="s">
        <v>61</v>
      </c>
    </row>
    <row r="54" spans="2:9">
      <c r="B54" s="5">
        <v>52</v>
      </c>
      <c r="C54" s="5" t="s">
        <v>194</v>
      </c>
      <c r="D54" s="5" t="s">
        <v>195</v>
      </c>
      <c r="E54" s="5" t="s">
        <v>196</v>
      </c>
      <c r="F54" s="5" t="s">
        <v>45</v>
      </c>
      <c r="G54" s="91">
        <v>44277</v>
      </c>
      <c r="H54" s="5" t="s">
        <v>59</v>
      </c>
      <c r="I54" s="5" t="s">
        <v>61</v>
      </c>
    </row>
    <row r="55" spans="2:9">
      <c r="B55" s="5">
        <v>53</v>
      </c>
      <c r="C55" s="5" t="s">
        <v>197</v>
      </c>
      <c r="D55" s="5" t="s">
        <v>198</v>
      </c>
      <c r="E55" s="5" t="s">
        <v>199</v>
      </c>
      <c r="F55" s="5" t="s">
        <v>45</v>
      </c>
      <c r="G55" s="91">
        <v>44867</v>
      </c>
      <c r="H55" s="5" t="s">
        <v>59</v>
      </c>
      <c r="I55" s="5" t="s">
        <v>61</v>
      </c>
    </row>
    <row r="56" spans="2:9">
      <c r="B56" s="5">
        <v>54</v>
      </c>
      <c r="C56" s="5" t="s">
        <v>200</v>
      </c>
      <c r="D56" s="5" t="s">
        <v>201</v>
      </c>
      <c r="E56" s="5" t="s">
        <v>202</v>
      </c>
      <c r="F56" s="5" t="s">
        <v>45</v>
      </c>
      <c r="G56" s="91">
        <v>43196</v>
      </c>
      <c r="H56" s="5" t="s">
        <v>59</v>
      </c>
      <c r="I56" s="5" t="s">
        <v>61</v>
      </c>
    </row>
    <row r="57" spans="2:9">
      <c r="B57" s="5">
        <v>55</v>
      </c>
      <c r="C57" s="5" t="s">
        <v>203</v>
      </c>
      <c r="D57" s="5" t="s">
        <v>204</v>
      </c>
      <c r="E57" s="5" t="s">
        <v>205</v>
      </c>
      <c r="F57" s="5" t="s">
        <v>45</v>
      </c>
      <c r="G57" s="91">
        <v>43252</v>
      </c>
      <c r="H57" s="5" t="s">
        <v>59</v>
      </c>
      <c r="I57" s="5" t="s">
        <v>61</v>
      </c>
    </row>
    <row r="58" spans="2:9">
      <c r="B58" s="5">
        <v>56</v>
      </c>
      <c r="C58" s="5" t="s">
        <v>206</v>
      </c>
      <c r="D58" s="5"/>
      <c r="E58" s="5" t="s">
        <v>207</v>
      </c>
      <c r="F58" s="5" t="s">
        <v>45</v>
      </c>
      <c r="G58" s="91">
        <v>44937</v>
      </c>
      <c r="H58" s="5" t="s">
        <v>59</v>
      </c>
      <c r="I58" s="5" t="s">
        <v>61</v>
      </c>
    </row>
    <row r="59" spans="2:9">
      <c r="B59" s="5">
        <v>57</v>
      </c>
      <c r="C59" s="5" t="s">
        <v>208</v>
      </c>
      <c r="D59" s="5"/>
      <c r="E59" s="5" t="s">
        <v>209</v>
      </c>
      <c r="F59" s="5" t="s">
        <v>45</v>
      </c>
      <c r="G59" s="91">
        <v>45063</v>
      </c>
      <c r="H59" s="5" t="s">
        <v>59</v>
      </c>
      <c r="I59" s="5" t="s">
        <v>61</v>
      </c>
    </row>
    <row r="60" spans="2:9">
      <c r="B60" s="5">
        <v>58</v>
      </c>
      <c r="C60" s="5" t="s">
        <v>210</v>
      </c>
      <c r="D60" s="5" t="s">
        <v>211</v>
      </c>
      <c r="E60" s="5" t="s">
        <v>212</v>
      </c>
      <c r="F60" s="5" t="s">
        <v>45</v>
      </c>
      <c r="G60" s="91">
        <v>44700</v>
      </c>
      <c r="H60" s="5" t="s">
        <v>59</v>
      </c>
      <c r="I60" s="5" t="s">
        <v>61</v>
      </c>
    </row>
    <row r="61" spans="2:9">
      <c r="B61" s="5">
        <v>59</v>
      </c>
      <c r="C61" s="5" t="s">
        <v>213</v>
      </c>
      <c r="D61" s="5" t="s">
        <v>214</v>
      </c>
      <c r="E61" s="5" t="s">
        <v>215</v>
      </c>
      <c r="F61" s="5" t="s">
        <v>45</v>
      </c>
      <c r="G61" s="91">
        <v>44802</v>
      </c>
      <c r="H61" s="5" t="s">
        <v>59</v>
      </c>
      <c r="I61" s="5" t="s">
        <v>61</v>
      </c>
    </row>
    <row r="62" spans="2:9">
      <c r="B62" s="95">
        <v>60</v>
      </c>
      <c r="C62" s="95" t="s">
        <v>216</v>
      </c>
      <c r="D62" s="95" t="s">
        <v>217</v>
      </c>
      <c r="E62" s="95" t="s">
        <v>218</v>
      </c>
      <c r="F62" s="95" t="s">
        <v>45</v>
      </c>
      <c r="G62" s="96">
        <v>45026</v>
      </c>
      <c r="H62" s="95" t="s">
        <v>59</v>
      </c>
      <c r="I62" s="95" t="s">
        <v>61</v>
      </c>
    </row>
    <row r="63" spans="2:9">
      <c r="B63" s="5">
        <v>61</v>
      </c>
      <c r="C63" s="5" t="s">
        <v>219</v>
      </c>
      <c r="D63" s="5" t="s">
        <v>220</v>
      </c>
      <c r="E63" s="5" t="s">
        <v>221</v>
      </c>
      <c r="F63" s="5" t="s">
        <v>45</v>
      </c>
      <c r="G63" s="91">
        <v>44643</v>
      </c>
      <c r="H63" s="5" t="s">
        <v>59</v>
      </c>
      <c r="I63" s="5" t="s">
        <v>61</v>
      </c>
    </row>
    <row r="64" spans="2:9">
      <c r="B64" s="5">
        <v>62</v>
      </c>
      <c r="C64" s="5" t="s">
        <v>222</v>
      </c>
      <c r="D64" s="5" t="s">
        <v>223</v>
      </c>
      <c r="E64" s="5" t="s">
        <v>1385</v>
      </c>
      <c r="F64" s="5" t="s">
        <v>45</v>
      </c>
      <c r="G64" s="91">
        <v>43143</v>
      </c>
      <c r="H64" s="5" t="s">
        <v>59</v>
      </c>
      <c r="I64" s="5" t="s">
        <v>61</v>
      </c>
    </row>
    <row r="65" spans="2:9">
      <c r="B65" s="5">
        <v>63</v>
      </c>
      <c r="C65" s="5" t="s">
        <v>224</v>
      </c>
      <c r="D65" s="5"/>
      <c r="E65" s="5" t="s">
        <v>225</v>
      </c>
      <c r="F65" s="5" t="s">
        <v>45</v>
      </c>
      <c r="G65" s="5"/>
      <c r="H65" s="5" t="s">
        <v>59</v>
      </c>
      <c r="I65" s="5" t="s">
        <v>61</v>
      </c>
    </row>
    <row r="66" spans="2:9">
      <c r="B66" s="5">
        <v>64</v>
      </c>
      <c r="C66" s="5" t="s">
        <v>226</v>
      </c>
      <c r="D66" s="5" t="s">
        <v>227</v>
      </c>
      <c r="E66" s="5" t="s">
        <v>228</v>
      </c>
      <c r="F66" s="5" t="s">
        <v>45</v>
      </c>
      <c r="G66" s="91">
        <v>43536</v>
      </c>
      <c r="H66" s="5" t="s">
        <v>59</v>
      </c>
      <c r="I66" s="5" t="s">
        <v>61</v>
      </c>
    </row>
    <row r="67" spans="2:9">
      <c r="B67" s="5">
        <v>65</v>
      </c>
      <c r="C67" s="5" t="s">
        <v>229</v>
      </c>
      <c r="D67" s="5" t="s">
        <v>230</v>
      </c>
      <c r="E67" s="5" t="s">
        <v>231</v>
      </c>
      <c r="F67" s="5" t="s">
        <v>45</v>
      </c>
      <c r="G67" s="91">
        <v>45075</v>
      </c>
      <c r="H67" s="5" t="s">
        <v>59</v>
      </c>
      <c r="I67" s="5" t="s">
        <v>61</v>
      </c>
    </row>
    <row r="68" spans="2:9">
      <c r="B68" s="5">
        <v>66</v>
      </c>
      <c r="C68" s="5" t="s">
        <v>232</v>
      </c>
      <c r="D68" s="5" t="s">
        <v>233</v>
      </c>
      <c r="E68" s="5" t="s">
        <v>234</v>
      </c>
      <c r="F68" s="5" t="s">
        <v>45</v>
      </c>
      <c r="G68" s="91">
        <v>44895</v>
      </c>
      <c r="H68" s="5" t="s">
        <v>59</v>
      </c>
      <c r="I68" s="5" t="s">
        <v>61</v>
      </c>
    </row>
    <row r="69" spans="2:9">
      <c r="B69" s="5">
        <v>67</v>
      </c>
      <c r="C69" s="5" t="s">
        <v>235</v>
      </c>
      <c r="D69" s="5" t="s">
        <v>236</v>
      </c>
      <c r="E69" s="5" t="s">
        <v>237</v>
      </c>
      <c r="F69" s="5" t="s">
        <v>45</v>
      </c>
      <c r="G69" s="91">
        <v>44895</v>
      </c>
      <c r="H69" s="5" t="s">
        <v>59</v>
      </c>
      <c r="I69" s="5" t="s">
        <v>61</v>
      </c>
    </row>
    <row r="70" spans="2:9">
      <c r="B70" s="5">
        <v>68</v>
      </c>
      <c r="C70" s="5" t="s">
        <v>238</v>
      </c>
      <c r="D70" s="5" t="s">
        <v>239</v>
      </c>
      <c r="E70" s="5" t="s">
        <v>240</v>
      </c>
      <c r="F70" s="5" t="s">
        <v>45</v>
      </c>
      <c r="G70" s="91">
        <v>44539</v>
      </c>
      <c r="H70" s="5" t="s">
        <v>59</v>
      </c>
      <c r="I70" s="5" t="s">
        <v>61</v>
      </c>
    </row>
    <row r="71" spans="2:9">
      <c r="B71" s="5">
        <v>69</v>
      </c>
      <c r="C71" s="5" t="s">
        <v>241</v>
      </c>
      <c r="D71" s="5"/>
      <c r="E71" s="5" t="s">
        <v>242</v>
      </c>
      <c r="F71" s="5" t="s">
        <v>45</v>
      </c>
      <c r="G71" s="91">
        <v>45029</v>
      </c>
      <c r="H71" s="5" t="s">
        <v>59</v>
      </c>
      <c r="I71" s="5" t="s">
        <v>61</v>
      </c>
    </row>
    <row r="72" spans="2:9">
      <c r="B72" s="5">
        <v>70</v>
      </c>
      <c r="C72" s="5" t="s">
        <v>243</v>
      </c>
      <c r="D72" s="5" t="s">
        <v>244</v>
      </c>
      <c r="E72" s="5" t="s">
        <v>245</v>
      </c>
      <c r="F72" s="5" t="s">
        <v>45</v>
      </c>
      <c r="G72" s="91">
        <v>45063</v>
      </c>
      <c r="H72" s="5" t="s">
        <v>59</v>
      </c>
      <c r="I72" s="5" t="s">
        <v>61</v>
      </c>
    </row>
    <row r="73" spans="2:9">
      <c r="B73" s="95">
        <v>71</v>
      </c>
      <c r="C73" s="95" t="s">
        <v>246</v>
      </c>
      <c r="D73" s="95" t="s">
        <v>247</v>
      </c>
      <c r="E73" s="95" t="s">
        <v>248</v>
      </c>
      <c r="F73" s="95" t="s">
        <v>45</v>
      </c>
      <c r="G73" s="96">
        <v>45120</v>
      </c>
      <c r="H73" s="95" t="s">
        <v>59</v>
      </c>
      <c r="I73" s="95" t="s">
        <v>61</v>
      </c>
    </row>
    <row r="74" spans="2:9">
      <c r="B74" s="5">
        <v>72</v>
      </c>
      <c r="C74" s="5" t="s">
        <v>249</v>
      </c>
      <c r="D74" s="5" t="s">
        <v>250</v>
      </c>
      <c r="E74" s="5" t="s">
        <v>251</v>
      </c>
      <c r="F74" s="5" t="s">
        <v>45</v>
      </c>
      <c r="G74" s="91">
        <v>44418</v>
      </c>
      <c r="H74" s="5" t="s">
        <v>59</v>
      </c>
      <c r="I74" s="5" t="s">
        <v>61</v>
      </c>
    </row>
    <row r="75" spans="2:9">
      <c r="B75" s="5">
        <v>73</v>
      </c>
      <c r="C75" s="5" t="s">
        <v>252</v>
      </c>
      <c r="D75" s="5" t="s">
        <v>253</v>
      </c>
      <c r="E75" s="5" t="s">
        <v>254</v>
      </c>
      <c r="F75" s="5" t="s">
        <v>45</v>
      </c>
      <c r="G75" s="91">
        <v>44314</v>
      </c>
      <c r="H75" s="5" t="s">
        <v>59</v>
      </c>
      <c r="I75" s="5" t="s">
        <v>61</v>
      </c>
    </row>
    <row r="76" spans="2:9">
      <c r="B76" s="5">
        <v>74</v>
      </c>
      <c r="C76" s="5" t="s">
        <v>255</v>
      </c>
      <c r="D76" s="5" t="s">
        <v>256</v>
      </c>
      <c r="E76" s="5" t="s">
        <v>257</v>
      </c>
      <c r="F76" s="5" t="s">
        <v>258</v>
      </c>
      <c r="G76" s="91">
        <v>43895</v>
      </c>
      <c r="H76" s="5" t="s">
        <v>59</v>
      </c>
      <c r="I76" s="5" t="s">
        <v>61</v>
      </c>
    </row>
    <row r="77" spans="2:9">
      <c r="B77" s="5">
        <v>75</v>
      </c>
      <c r="C77" s="5" t="s">
        <v>259</v>
      </c>
      <c r="D77" s="5" t="s">
        <v>260</v>
      </c>
      <c r="E77" s="5" t="s">
        <v>261</v>
      </c>
      <c r="F77" s="5" t="s">
        <v>45</v>
      </c>
      <c r="G77" s="91">
        <v>45019</v>
      </c>
      <c r="H77" s="5" t="s">
        <v>59</v>
      </c>
      <c r="I77" s="5" t="s">
        <v>61</v>
      </c>
    </row>
    <row r="78" spans="2:9">
      <c r="B78" s="95">
        <v>76</v>
      </c>
      <c r="C78" s="95" t="s">
        <v>262</v>
      </c>
      <c r="D78" s="95" t="s">
        <v>263</v>
      </c>
      <c r="E78" s="95" t="s">
        <v>264</v>
      </c>
      <c r="F78" s="95" t="s">
        <v>45</v>
      </c>
      <c r="G78" s="96">
        <v>45019</v>
      </c>
      <c r="H78" s="95" t="s">
        <v>59</v>
      </c>
      <c r="I78" s="95" t="s">
        <v>61</v>
      </c>
    </row>
    <row r="79" spans="2:9">
      <c r="B79" s="102">
        <v>77</v>
      </c>
      <c r="C79" s="102" t="s">
        <v>318</v>
      </c>
      <c r="D79" s="102" t="s">
        <v>319</v>
      </c>
      <c r="E79" s="102" t="s">
        <v>320</v>
      </c>
      <c r="F79" s="102" t="s">
        <v>45</v>
      </c>
      <c r="G79" s="103">
        <v>45271</v>
      </c>
      <c r="H79" s="102" t="s">
        <v>59</v>
      </c>
      <c r="I79" s="102" t="s">
        <v>61</v>
      </c>
    </row>
    <row r="80" spans="2:9">
      <c r="B80" s="5">
        <v>78</v>
      </c>
      <c r="C80" s="5"/>
      <c r="D80" s="5"/>
      <c r="E80" s="5"/>
      <c r="F80" s="5" t="s">
        <v>45</v>
      </c>
      <c r="G80" s="5"/>
      <c r="H80" s="5" t="s">
        <v>59</v>
      </c>
      <c r="I80" s="5" t="s">
        <v>61</v>
      </c>
    </row>
    <row r="81" spans="2:9" s="88" customFormat="1"/>
    <row r="82" spans="2:9" s="88" customFormat="1"/>
    <row r="83" spans="2:9" s="88" customFormat="1"/>
    <row r="84" spans="2:9" s="88" customFormat="1"/>
    <row r="85" spans="2:9" s="88" customFormat="1"/>
    <row r="86" spans="2:9" s="88" customFormat="1"/>
    <row r="87" spans="2:9" s="88" customFormat="1"/>
    <row r="88" spans="2:9">
      <c r="B88" s="89" t="s">
        <v>12</v>
      </c>
      <c r="C88" s="89" t="s">
        <v>14</v>
      </c>
      <c r="D88" s="89" t="s">
        <v>36</v>
      </c>
      <c r="E88" s="89" t="s">
        <v>2</v>
      </c>
      <c r="F88" s="89" t="s">
        <v>37</v>
      </c>
      <c r="G88" s="97"/>
      <c r="H88" s="89" t="s">
        <v>6</v>
      </c>
      <c r="I88" s="89" t="s">
        <v>60</v>
      </c>
    </row>
    <row r="89" spans="2:9">
      <c r="B89" s="5">
        <v>1</v>
      </c>
      <c r="C89" t="s">
        <v>267</v>
      </c>
      <c r="D89" s="5" t="s">
        <v>266</v>
      </c>
      <c r="E89" s="5" t="s">
        <v>268</v>
      </c>
      <c r="F89" s="5" t="s">
        <v>269</v>
      </c>
      <c r="G89" s="98"/>
      <c r="H89" s="5" t="s">
        <v>59</v>
      </c>
      <c r="I89" s="5" t="s">
        <v>270</v>
      </c>
    </row>
    <row r="90" spans="2:9">
      <c r="B90" s="5">
        <v>2</v>
      </c>
      <c r="C90" s="5" t="s">
        <v>271</v>
      </c>
      <c r="D90" s="5" t="s">
        <v>272</v>
      </c>
      <c r="E90" s="5" t="s">
        <v>273</v>
      </c>
      <c r="F90" s="5" t="s">
        <v>269</v>
      </c>
      <c r="G90" s="99"/>
      <c r="H90" s="5" t="s">
        <v>59</v>
      </c>
      <c r="I90" s="5" t="s">
        <v>270</v>
      </c>
    </row>
    <row r="91" spans="2:9">
      <c r="B91" s="5">
        <v>3</v>
      </c>
      <c r="C91" s="5" t="s">
        <v>274</v>
      </c>
      <c r="D91" s="5" t="s">
        <v>275</v>
      </c>
      <c r="E91" s="5" t="s">
        <v>276</v>
      </c>
      <c r="F91" s="5" t="s">
        <v>269</v>
      </c>
      <c r="G91" s="99"/>
      <c r="H91" s="5" t="s">
        <v>59</v>
      </c>
      <c r="I91" s="5" t="s">
        <v>270</v>
      </c>
    </row>
    <row r="92" spans="2:9">
      <c r="B92" s="5">
        <v>4</v>
      </c>
      <c r="C92" s="5"/>
      <c r="D92" s="5" t="s">
        <v>277</v>
      </c>
      <c r="E92" s="5" t="s">
        <v>278</v>
      </c>
      <c r="F92" s="5" t="s">
        <v>269</v>
      </c>
      <c r="G92" s="99"/>
      <c r="H92" s="5" t="s">
        <v>59</v>
      </c>
      <c r="I92" s="5" t="s">
        <v>270</v>
      </c>
    </row>
    <row r="93" spans="2:9">
      <c r="B93" s="5">
        <v>5</v>
      </c>
      <c r="C93" s="5" t="s">
        <v>279</v>
      </c>
      <c r="D93" s="5" t="s">
        <v>280</v>
      </c>
      <c r="E93" s="5" t="s">
        <v>281</v>
      </c>
      <c r="F93" s="5" t="s">
        <v>269</v>
      </c>
      <c r="G93" s="99"/>
      <c r="H93" s="5" t="s">
        <v>59</v>
      </c>
      <c r="I93" s="5" t="s">
        <v>270</v>
      </c>
    </row>
    <row r="94" spans="2:9">
      <c r="B94" s="5">
        <v>6</v>
      </c>
      <c r="C94" s="5" t="s">
        <v>282</v>
      </c>
      <c r="D94" s="5" t="s">
        <v>283</v>
      </c>
      <c r="E94" s="5" t="s">
        <v>284</v>
      </c>
      <c r="F94" s="5" t="s">
        <v>269</v>
      </c>
      <c r="G94" s="99"/>
      <c r="H94" s="5" t="s">
        <v>59</v>
      </c>
      <c r="I94" s="5" t="s">
        <v>270</v>
      </c>
    </row>
    <row r="95" spans="2:9">
      <c r="B95" s="5">
        <v>7</v>
      </c>
      <c r="C95" s="5" t="s">
        <v>285</v>
      </c>
      <c r="D95" s="5" t="s">
        <v>286</v>
      </c>
      <c r="E95" s="5" t="s">
        <v>287</v>
      </c>
      <c r="F95" s="5" t="s">
        <v>269</v>
      </c>
      <c r="G95" s="99"/>
      <c r="H95" s="5" t="s">
        <v>59</v>
      </c>
      <c r="I95" s="5" t="s">
        <v>270</v>
      </c>
    </row>
    <row r="96" spans="2:9">
      <c r="B96" s="5">
        <v>8</v>
      </c>
      <c r="C96" s="5" t="s">
        <v>288</v>
      </c>
      <c r="D96" s="5" t="s">
        <v>289</v>
      </c>
      <c r="E96" s="5" t="s">
        <v>290</v>
      </c>
      <c r="F96" s="5" t="s">
        <v>269</v>
      </c>
      <c r="G96" s="99"/>
      <c r="H96" s="5" t="s">
        <v>59</v>
      </c>
      <c r="I96" s="5" t="s">
        <v>270</v>
      </c>
    </row>
    <row r="97" spans="2:12">
      <c r="B97" s="5">
        <v>9</v>
      </c>
      <c r="C97" s="5" t="s">
        <v>291</v>
      </c>
      <c r="D97" s="5" t="s">
        <v>292</v>
      </c>
      <c r="E97" s="5" t="s">
        <v>293</v>
      </c>
      <c r="F97" s="5" t="s">
        <v>269</v>
      </c>
      <c r="G97" s="99"/>
      <c r="H97" s="5" t="s">
        <v>59</v>
      </c>
      <c r="I97" s="5" t="s">
        <v>270</v>
      </c>
      <c r="L97" s="88" t="s">
        <v>359</v>
      </c>
    </row>
    <row r="98" spans="2:12">
      <c r="B98" s="5">
        <v>10</v>
      </c>
      <c r="C98" s="5" t="s">
        <v>294</v>
      </c>
      <c r="D98" s="5" t="s">
        <v>295</v>
      </c>
      <c r="E98" s="5" t="s">
        <v>296</v>
      </c>
      <c r="F98" s="5" t="s">
        <v>269</v>
      </c>
      <c r="G98" s="99"/>
      <c r="H98" s="5" t="s">
        <v>59</v>
      </c>
      <c r="I98" s="5" t="s">
        <v>270</v>
      </c>
    </row>
    <row r="99" spans="2:12">
      <c r="B99" s="5">
        <v>11</v>
      </c>
      <c r="C99" s="5" t="s">
        <v>297</v>
      </c>
      <c r="D99" s="5" t="s">
        <v>298</v>
      </c>
      <c r="E99" s="5" t="s">
        <v>299</v>
      </c>
      <c r="F99" s="5" t="s">
        <v>269</v>
      </c>
      <c r="G99" s="99"/>
      <c r="H99" s="5" t="s">
        <v>59</v>
      </c>
      <c r="I99" s="5" t="s">
        <v>270</v>
      </c>
    </row>
    <row r="100" spans="2:12">
      <c r="B100" s="5">
        <v>12</v>
      </c>
      <c r="C100" s="5" t="s">
        <v>300</v>
      </c>
      <c r="D100" s="5" t="s">
        <v>301</v>
      </c>
      <c r="E100" s="5" t="s">
        <v>302</v>
      </c>
      <c r="F100" s="5" t="s">
        <v>269</v>
      </c>
      <c r="G100" s="99"/>
      <c r="H100" s="5" t="s">
        <v>59</v>
      </c>
      <c r="I100" s="5" t="s">
        <v>270</v>
      </c>
    </row>
    <row r="101" spans="2:12">
      <c r="B101" s="5">
        <v>13</v>
      </c>
      <c r="C101" s="5" t="s">
        <v>305</v>
      </c>
      <c r="D101" s="5" t="s">
        <v>304</v>
      </c>
      <c r="E101" s="5" t="s">
        <v>303</v>
      </c>
      <c r="F101" s="5" t="s">
        <v>269</v>
      </c>
      <c r="G101" s="99"/>
      <c r="H101" s="5" t="s">
        <v>59</v>
      </c>
      <c r="I101" s="5" t="s">
        <v>270</v>
      </c>
    </row>
    <row r="102" spans="2:12">
      <c r="B102" s="207">
        <v>14</v>
      </c>
      <c r="C102" s="207" t="s">
        <v>306</v>
      </c>
      <c r="D102" s="207" t="s">
        <v>307</v>
      </c>
      <c r="E102" s="207" t="s">
        <v>308</v>
      </c>
      <c r="F102" s="207" t="s">
        <v>269</v>
      </c>
      <c r="G102" s="207"/>
      <c r="H102" s="207" t="s">
        <v>59</v>
      </c>
      <c r="I102" s="207" t="s">
        <v>270</v>
      </c>
    </row>
    <row r="103" spans="2:12">
      <c r="B103" s="5">
        <v>15</v>
      </c>
      <c r="C103" s="5" t="s">
        <v>309</v>
      </c>
      <c r="D103" s="5" t="s">
        <v>310</v>
      </c>
      <c r="E103" s="5" t="s">
        <v>311</v>
      </c>
      <c r="F103" s="5" t="s">
        <v>269</v>
      </c>
      <c r="G103" s="99"/>
      <c r="H103" s="5" t="s">
        <v>59</v>
      </c>
      <c r="I103" s="5" t="s">
        <v>270</v>
      </c>
    </row>
    <row r="104" spans="2:12">
      <c r="B104" s="5">
        <v>16</v>
      </c>
      <c r="C104" s="5" t="s">
        <v>312</v>
      </c>
      <c r="D104" s="5" t="s">
        <v>313</v>
      </c>
      <c r="E104" s="5" t="s">
        <v>314</v>
      </c>
      <c r="F104" s="5" t="s">
        <v>269</v>
      </c>
      <c r="G104" s="99"/>
      <c r="H104" s="5" t="s">
        <v>59</v>
      </c>
      <c r="I104" s="5" t="s">
        <v>270</v>
      </c>
    </row>
    <row r="105" spans="2:12">
      <c r="B105" s="5">
        <v>17</v>
      </c>
      <c r="C105" s="5" t="s">
        <v>315</v>
      </c>
      <c r="D105" s="5" t="s">
        <v>316</v>
      </c>
      <c r="E105" s="5" t="s">
        <v>317</v>
      </c>
      <c r="F105" s="5" t="s">
        <v>269</v>
      </c>
      <c r="G105" s="99"/>
      <c r="H105" s="5" t="s">
        <v>59</v>
      </c>
      <c r="I105" s="5" t="s">
        <v>270</v>
      </c>
    </row>
    <row r="106" spans="2:12">
      <c r="B106" s="102">
        <v>18</v>
      </c>
      <c r="C106" s="102" t="s">
        <v>318</v>
      </c>
      <c r="D106" s="102" t="s">
        <v>319</v>
      </c>
      <c r="E106" s="102" t="s">
        <v>320</v>
      </c>
      <c r="F106" s="102" t="s">
        <v>269</v>
      </c>
      <c r="G106" s="102"/>
      <c r="H106" s="102" t="s">
        <v>59</v>
      </c>
      <c r="I106" s="102" t="s">
        <v>270</v>
      </c>
    </row>
    <row r="107" spans="2:12">
      <c r="B107" s="99">
        <v>19</v>
      </c>
      <c r="C107" s="99"/>
      <c r="D107" s="99"/>
      <c r="E107" s="99"/>
      <c r="F107" s="99"/>
      <c r="G107" s="99"/>
      <c r="H107" s="99"/>
      <c r="I107" s="99"/>
    </row>
    <row r="108" spans="2:12">
      <c r="B108" s="5">
        <v>20</v>
      </c>
      <c r="C108" s="5"/>
      <c r="D108" s="5" t="s">
        <v>321</v>
      </c>
      <c r="E108" s="5" t="s">
        <v>322</v>
      </c>
      <c r="F108" s="5" t="s">
        <v>323</v>
      </c>
      <c r="G108" s="99"/>
      <c r="H108" s="5" t="s">
        <v>59</v>
      </c>
      <c r="I108" s="5" t="s">
        <v>270</v>
      </c>
    </row>
    <row r="109" spans="2:12">
      <c r="B109" s="5">
        <v>21</v>
      </c>
      <c r="C109" s="5" t="s">
        <v>324</v>
      </c>
      <c r="D109" s="5" t="s">
        <v>325</v>
      </c>
      <c r="E109" s="5" t="s">
        <v>326</v>
      </c>
      <c r="F109" s="5" t="s">
        <v>269</v>
      </c>
      <c r="G109" s="99"/>
      <c r="H109" s="5" t="s">
        <v>59</v>
      </c>
      <c r="I109" s="5" t="s">
        <v>270</v>
      </c>
    </row>
    <row r="110" spans="2:12">
      <c r="B110" s="5">
        <v>22</v>
      </c>
      <c r="C110" s="5" t="s">
        <v>327</v>
      </c>
      <c r="D110" s="5" t="s">
        <v>328</v>
      </c>
      <c r="E110" s="5" t="s">
        <v>329</v>
      </c>
      <c r="F110" s="5" t="s">
        <v>269</v>
      </c>
      <c r="G110" s="99"/>
      <c r="H110" s="5" t="s">
        <v>59</v>
      </c>
      <c r="I110" s="5" t="s">
        <v>270</v>
      </c>
    </row>
    <row r="111" spans="2:12">
      <c r="B111" s="95">
        <v>23</v>
      </c>
      <c r="C111" s="95" t="s">
        <v>330</v>
      </c>
      <c r="D111" s="95" t="s">
        <v>332</v>
      </c>
      <c r="E111" s="95" t="s">
        <v>331</v>
      </c>
      <c r="F111" s="95" t="s">
        <v>269</v>
      </c>
      <c r="G111" s="95"/>
      <c r="H111" s="95" t="s">
        <v>59</v>
      </c>
      <c r="I111" s="95" t="s">
        <v>270</v>
      </c>
    </row>
    <row r="112" spans="2:12">
      <c r="B112" s="5">
        <v>24</v>
      </c>
      <c r="C112" s="5" t="s">
        <v>333</v>
      </c>
      <c r="D112" s="5"/>
      <c r="E112" s="5" t="s">
        <v>334</v>
      </c>
      <c r="F112" s="5" t="s">
        <v>269</v>
      </c>
      <c r="G112" s="99"/>
      <c r="H112" s="5" t="s">
        <v>59</v>
      </c>
      <c r="I112" s="5" t="s">
        <v>270</v>
      </c>
    </row>
    <row r="113" spans="2:9">
      <c r="B113" s="5">
        <v>25</v>
      </c>
      <c r="C113" s="5" t="s">
        <v>335</v>
      </c>
      <c r="D113" s="5"/>
      <c r="E113" s="5" t="s">
        <v>336</v>
      </c>
      <c r="F113" s="5" t="s">
        <v>45</v>
      </c>
      <c r="G113" s="98">
        <v>43700</v>
      </c>
      <c r="H113" s="5" t="s">
        <v>59</v>
      </c>
      <c r="I113" s="5" t="s">
        <v>270</v>
      </c>
    </row>
    <row r="114" spans="2:9">
      <c r="B114" s="95">
        <v>26</v>
      </c>
      <c r="C114" s="95" t="s">
        <v>337</v>
      </c>
      <c r="D114" s="95" t="s">
        <v>338</v>
      </c>
      <c r="E114" s="95" t="s">
        <v>339</v>
      </c>
      <c r="F114" s="95" t="s">
        <v>269</v>
      </c>
      <c r="G114" s="95"/>
      <c r="H114" s="95" t="s">
        <v>59</v>
      </c>
      <c r="I114" s="95" t="s">
        <v>270</v>
      </c>
    </row>
    <row r="115" spans="2:9">
      <c r="B115" s="5">
        <v>27</v>
      </c>
      <c r="C115" s="5" t="s">
        <v>340</v>
      </c>
      <c r="D115" s="5" t="s">
        <v>341</v>
      </c>
      <c r="E115" s="5" t="s">
        <v>342</v>
      </c>
      <c r="F115" s="5" t="s">
        <v>269</v>
      </c>
      <c r="G115" s="99"/>
      <c r="H115" s="5" t="s">
        <v>59</v>
      </c>
      <c r="I115" s="5" t="s">
        <v>270</v>
      </c>
    </row>
    <row r="116" spans="2:9">
      <c r="B116" s="5">
        <v>28</v>
      </c>
      <c r="C116" s="5"/>
      <c r="D116" s="5" t="s">
        <v>343</v>
      </c>
      <c r="E116" s="5" t="s">
        <v>314</v>
      </c>
      <c r="F116" s="5" t="s">
        <v>344</v>
      </c>
      <c r="G116" s="99"/>
      <c r="H116" s="5" t="s">
        <v>59</v>
      </c>
      <c r="I116" s="5" t="s">
        <v>270</v>
      </c>
    </row>
    <row r="117" spans="2:9">
      <c r="B117" s="5">
        <v>29</v>
      </c>
      <c r="C117" s="5" t="s">
        <v>345</v>
      </c>
      <c r="D117" s="5"/>
      <c r="E117" s="5" t="s">
        <v>346</v>
      </c>
      <c r="F117" s="5" t="s">
        <v>269</v>
      </c>
      <c r="G117" s="99"/>
      <c r="H117" s="5" t="s">
        <v>59</v>
      </c>
      <c r="I117" s="5" t="s">
        <v>270</v>
      </c>
    </row>
    <row r="118" spans="2:9">
      <c r="B118" s="5">
        <v>30</v>
      </c>
      <c r="C118" s="5" t="s">
        <v>347</v>
      </c>
      <c r="D118" s="5" t="s">
        <v>348</v>
      </c>
      <c r="E118" s="5" t="s">
        <v>349</v>
      </c>
      <c r="F118" s="5" t="s">
        <v>269</v>
      </c>
      <c r="G118" s="99"/>
      <c r="H118" s="5" t="s">
        <v>59</v>
      </c>
      <c r="I118" s="5" t="s">
        <v>270</v>
      </c>
    </row>
    <row r="119" spans="2:9">
      <c r="B119" s="5">
        <v>31</v>
      </c>
      <c r="C119" s="5" t="s">
        <v>350</v>
      </c>
      <c r="D119" s="5" t="s">
        <v>351</v>
      </c>
      <c r="E119" s="5" t="s">
        <v>352</v>
      </c>
      <c r="F119" s="5" t="s">
        <v>269</v>
      </c>
      <c r="G119" s="99"/>
      <c r="H119" s="5" t="s">
        <v>59</v>
      </c>
      <c r="I119" s="5" t="s">
        <v>270</v>
      </c>
    </row>
    <row r="120" spans="2:9">
      <c r="B120" s="5">
        <v>32</v>
      </c>
      <c r="C120" s="5" t="s">
        <v>353</v>
      </c>
      <c r="D120" s="5" t="s">
        <v>354</v>
      </c>
      <c r="E120" s="5" t="s">
        <v>355</v>
      </c>
      <c r="F120" s="5" t="s">
        <v>269</v>
      </c>
      <c r="G120" s="99"/>
      <c r="H120" s="5" t="s">
        <v>59</v>
      </c>
      <c r="I120" s="5" t="s">
        <v>270</v>
      </c>
    </row>
    <row r="121" spans="2:9">
      <c r="B121" s="5">
        <v>33</v>
      </c>
      <c r="C121" s="5" t="s">
        <v>356</v>
      </c>
      <c r="D121" s="5" t="s">
        <v>357</v>
      </c>
      <c r="E121" s="5" t="s">
        <v>358</v>
      </c>
      <c r="F121" s="5" t="s">
        <v>269</v>
      </c>
      <c r="G121" s="99"/>
      <c r="H121" s="5" t="s">
        <v>59</v>
      </c>
      <c r="I121" s="5" t="s">
        <v>270</v>
      </c>
    </row>
    <row r="124" spans="2:9">
      <c r="E124" t="s">
        <v>359</v>
      </c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AA1048576"/>
  <sheetViews>
    <sheetView workbookViewId="0">
      <pane ySplit="6" topLeftCell="A7" activePane="bottomLeft" state="frozen"/>
      <selection pane="bottomLeft" activeCell="I14" sqref="I14"/>
    </sheetView>
  </sheetViews>
  <sheetFormatPr baseColWidth="10" defaultColWidth="11.5" defaultRowHeight="15"/>
  <cols>
    <col min="1" max="1" width="4.5" style="101" customWidth="1"/>
    <col min="2" max="2" width="4" style="2" customWidth="1"/>
    <col min="3" max="3" width="16.5" style="2" bestFit="1" customWidth="1"/>
    <col min="4" max="4" width="11.5" style="2"/>
    <col min="5" max="5" width="23.83203125" style="2" customWidth="1"/>
    <col min="6" max="6" width="11.5" style="2"/>
    <col min="7" max="7" width="15.1640625" style="2" customWidth="1"/>
    <col min="8" max="8" width="1.83203125" style="101" customWidth="1"/>
    <col min="9" max="9" width="20.83203125" style="2" customWidth="1"/>
    <col min="10" max="10" width="11.5" style="2"/>
    <col min="11" max="11" width="16.33203125" style="2" customWidth="1"/>
    <col min="12" max="12" width="11.5" style="2"/>
    <col min="13" max="13" width="1.5" style="2" customWidth="1"/>
    <col min="14" max="14" width="13" style="2" customWidth="1"/>
    <col min="15" max="27" width="11.5" style="101"/>
    <col min="28" max="16384" width="11.5" style="2"/>
  </cols>
  <sheetData>
    <row r="1" spans="2:14" s="101" customFormat="1"/>
    <row r="2" spans="2:14" s="101" customFormat="1" ht="16" thickBot="1"/>
    <row r="3" spans="2:14" ht="15" customHeight="1">
      <c r="B3" s="417" t="s">
        <v>9</v>
      </c>
      <c r="C3" s="418"/>
      <c r="D3" s="418"/>
      <c r="E3" s="418"/>
      <c r="F3" s="418"/>
      <c r="G3" s="419"/>
      <c r="I3" s="417" t="s">
        <v>10</v>
      </c>
      <c r="J3" s="418"/>
      <c r="K3" s="418"/>
      <c r="L3" s="418"/>
      <c r="M3" s="418"/>
      <c r="N3" s="419"/>
    </row>
    <row r="4" spans="2:14" ht="15.75" customHeight="1" thickBot="1">
      <c r="B4" s="420"/>
      <c r="C4" s="421"/>
      <c r="D4" s="421"/>
      <c r="E4" s="421"/>
      <c r="F4" s="421"/>
      <c r="G4" s="422"/>
      <c r="I4" s="420"/>
      <c r="J4" s="421"/>
      <c r="K4" s="421"/>
      <c r="L4" s="421"/>
      <c r="M4" s="421"/>
      <c r="N4" s="422"/>
    </row>
    <row r="5" spans="2:14" s="101" customFormat="1"/>
    <row r="6" spans="2:14" ht="32">
      <c r="B6" s="107" t="s">
        <v>13</v>
      </c>
      <c r="C6" s="1" t="s">
        <v>0</v>
      </c>
      <c r="D6" s="430" t="s">
        <v>2</v>
      </c>
      <c r="E6" s="430"/>
      <c r="F6" s="1" t="s">
        <v>3</v>
      </c>
      <c r="G6" s="1" t="s">
        <v>4</v>
      </c>
      <c r="I6" s="1" t="s">
        <v>6</v>
      </c>
      <c r="J6" s="430" t="s">
        <v>5</v>
      </c>
      <c r="K6" s="430"/>
      <c r="L6" s="430"/>
      <c r="M6" s="101"/>
      <c r="N6" s="1" t="s">
        <v>12</v>
      </c>
    </row>
    <row r="7" spans="2:14" s="101" customFormat="1" ht="8.25" customHeight="1"/>
    <row r="8" spans="2:14">
      <c r="B8" s="107">
        <v>1</v>
      </c>
      <c r="C8" s="107" t="s">
        <v>455</v>
      </c>
      <c r="D8" s="430" t="s">
        <v>456</v>
      </c>
      <c r="E8" s="430"/>
      <c r="F8" s="129">
        <v>45181</v>
      </c>
      <c r="G8" s="129">
        <v>45301</v>
      </c>
      <c r="I8" s="107" t="s">
        <v>457</v>
      </c>
      <c r="J8" s="430" t="s">
        <v>458</v>
      </c>
      <c r="K8" s="430"/>
      <c r="L8" s="430"/>
      <c r="M8" s="101"/>
      <c r="N8" s="129"/>
    </row>
    <row r="9" spans="2:14">
      <c r="B9" s="107">
        <v>2</v>
      </c>
      <c r="C9" s="107" t="s">
        <v>493</v>
      </c>
      <c r="D9" s="430" t="s">
        <v>481</v>
      </c>
      <c r="E9" s="430"/>
      <c r="F9" s="129">
        <v>45211</v>
      </c>
      <c r="G9" s="129">
        <v>45219</v>
      </c>
      <c r="I9" s="107" t="s">
        <v>7</v>
      </c>
      <c r="J9" s="430" t="s">
        <v>494</v>
      </c>
      <c r="K9" s="430"/>
      <c r="L9" s="430"/>
      <c r="M9" s="101"/>
      <c r="N9" s="129"/>
    </row>
    <row r="10" spans="2:14">
      <c r="B10" s="107">
        <v>3</v>
      </c>
      <c r="C10" s="107" t="s">
        <v>473</v>
      </c>
      <c r="D10" s="430" t="s">
        <v>474</v>
      </c>
      <c r="E10" s="430"/>
      <c r="F10" s="129">
        <v>45258</v>
      </c>
      <c r="G10" s="129">
        <v>45308</v>
      </c>
      <c r="I10" s="107" t="s">
        <v>7</v>
      </c>
      <c r="J10" s="430" t="s">
        <v>501</v>
      </c>
      <c r="K10" s="430"/>
      <c r="L10" s="430"/>
      <c r="M10" s="101"/>
      <c r="N10" s="129"/>
    </row>
    <row r="11" spans="2:14" ht="30" customHeight="1">
      <c r="B11" s="107">
        <v>4</v>
      </c>
      <c r="C11" s="107" t="s">
        <v>541</v>
      </c>
      <c r="D11" s="431" t="s">
        <v>542</v>
      </c>
      <c r="E11" s="431"/>
      <c r="F11" s="129">
        <v>45181</v>
      </c>
      <c r="G11" s="129">
        <v>45301</v>
      </c>
      <c r="I11" s="107" t="s">
        <v>7</v>
      </c>
      <c r="J11" s="430" t="s">
        <v>494</v>
      </c>
      <c r="K11" s="430"/>
      <c r="L11" s="430"/>
      <c r="M11" s="101"/>
      <c r="N11" s="107"/>
    </row>
    <row r="12" spans="2:14">
      <c r="B12" s="107">
        <v>5</v>
      </c>
      <c r="C12" s="107" t="s">
        <v>552</v>
      </c>
      <c r="D12" s="430" t="s">
        <v>553</v>
      </c>
      <c r="E12" s="430"/>
      <c r="F12" s="129">
        <v>45181</v>
      </c>
      <c r="G12" s="129">
        <v>45301</v>
      </c>
      <c r="I12" s="107" t="s">
        <v>7</v>
      </c>
      <c r="J12" s="430" t="s">
        <v>494</v>
      </c>
      <c r="K12" s="430"/>
      <c r="L12" s="430"/>
      <c r="M12" s="101"/>
      <c r="N12" s="107"/>
    </row>
    <row r="13" spans="2:14" ht="16">
      <c r="B13" s="107">
        <v>6</v>
      </c>
      <c r="C13" s="107" t="s">
        <v>532</v>
      </c>
      <c r="D13" s="430" t="s">
        <v>533</v>
      </c>
      <c r="E13" s="430"/>
      <c r="F13" s="129">
        <v>45295</v>
      </c>
      <c r="G13" s="129">
        <v>45314</v>
      </c>
      <c r="I13" s="1" t="s">
        <v>554</v>
      </c>
      <c r="J13" s="431" t="s">
        <v>555</v>
      </c>
      <c r="K13" s="431"/>
      <c r="L13" s="431"/>
      <c r="M13" s="101"/>
      <c r="N13" s="107"/>
    </row>
    <row r="14" spans="2:14">
      <c r="B14" s="107">
        <v>7</v>
      </c>
      <c r="C14" s="107" t="s">
        <v>556</v>
      </c>
      <c r="D14" s="430" t="s">
        <v>557</v>
      </c>
      <c r="E14" s="430"/>
      <c r="F14" s="107"/>
      <c r="G14" s="107"/>
      <c r="I14" s="107" t="s">
        <v>558</v>
      </c>
      <c r="J14" s="430" t="s">
        <v>559</v>
      </c>
      <c r="K14" s="430"/>
      <c r="L14" s="430"/>
      <c r="M14" s="101"/>
      <c r="N14" s="107"/>
    </row>
    <row r="15" spans="2:14">
      <c r="B15" s="107">
        <v>8</v>
      </c>
      <c r="C15" s="107" t="s">
        <v>570</v>
      </c>
      <c r="D15" s="430" t="s">
        <v>571</v>
      </c>
      <c r="E15" s="430"/>
      <c r="F15" s="129">
        <v>45211</v>
      </c>
      <c r="G15" s="129">
        <v>45320</v>
      </c>
      <c r="I15" s="107" t="s">
        <v>7</v>
      </c>
      <c r="J15" s="430" t="s">
        <v>585</v>
      </c>
      <c r="K15" s="430"/>
      <c r="L15" s="430"/>
      <c r="M15" s="101"/>
      <c r="N15" s="107"/>
    </row>
    <row r="16" spans="2:14">
      <c r="B16" s="107">
        <v>9</v>
      </c>
      <c r="C16" s="107" t="s">
        <v>588</v>
      </c>
      <c r="D16" s="430" t="s">
        <v>599</v>
      </c>
      <c r="E16" s="430"/>
      <c r="F16" s="129">
        <v>45317</v>
      </c>
      <c r="G16" s="129">
        <v>45322</v>
      </c>
      <c r="I16" s="107" t="s">
        <v>457</v>
      </c>
      <c r="J16" s="430" t="s">
        <v>458</v>
      </c>
      <c r="K16" s="430"/>
      <c r="L16" s="430"/>
      <c r="M16" s="101"/>
      <c r="N16" s="107" t="s">
        <v>600</v>
      </c>
    </row>
    <row r="17" spans="2:14">
      <c r="B17" s="107">
        <v>10</v>
      </c>
      <c r="C17" s="107" t="s">
        <v>587</v>
      </c>
      <c r="D17" s="430" t="s">
        <v>603</v>
      </c>
      <c r="E17" s="430"/>
      <c r="F17" s="129">
        <v>45266</v>
      </c>
      <c r="G17" s="129">
        <v>45324</v>
      </c>
      <c r="I17" s="107" t="s">
        <v>604</v>
      </c>
      <c r="J17" s="430" t="s">
        <v>585</v>
      </c>
      <c r="K17" s="430"/>
      <c r="L17" s="430"/>
      <c r="M17" s="101"/>
      <c r="N17" s="107" t="s">
        <v>605</v>
      </c>
    </row>
    <row r="18" spans="2:14">
      <c r="B18" s="107">
        <v>11</v>
      </c>
      <c r="C18" s="107" t="s">
        <v>630</v>
      </c>
      <c r="D18" s="430" t="s">
        <v>634</v>
      </c>
      <c r="E18" s="430"/>
      <c r="F18" s="129">
        <v>45215</v>
      </c>
      <c r="G18" s="129">
        <v>45328</v>
      </c>
      <c r="I18" s="107" t="s">
        <v>7</v>
      </c>
      <c r="J18" s="430" t="s">
        <v>585</v>
      </c>
      <c r="K18" s="430"/>
      <c r="L18" s="430"/>
      <c r="M18" s="101"/>
      <c r="N18" s="107" t="s">
        <v>635</v>
      </c>
    </row>
    <row r="19" spans="2:14">
      <c r="B19" s="107">
        <v>12</v>
      </c>
      <c r="C19" s="107" t="s">
        <v>627</v>
      </c>
      <c r="D19" s="430" t="s">
        <v>628</v>
      </c>
      <c r="E19" s="430"/>
      <c r="F19" s="129">
        <v>45313</v>
      </c>
      <c r="G19" s="129">
        <v>45328</v>
      </c>
      <c r="I19" s="107" t="s">
        <v>59</v>
      </c>
      <c r="J19" s="430" t="s">
        <v>651</v>
      </c>
      <c r="K19" s="430"/>
      <c r="L19" s="430"/>
      <c r="M19" s="101"/>
      <c r="N19" s="107" t="s">
        <v>652</v>
      </c>
    </row>
    <row r="20" spans="2:14">
      <c r="B20" s="107">
        <v>13</v>
      </c>
      <c r="C20" s="107" t="s">
        <v>574</v>
      </c>
      <c r="D20" s="430" t="s">
        <v>573</v>
      </c>
      <c r="E20" s="430"/>
      <c r="F20" s="129">
        <v>45313</v>
      </c>
      <c r="G20" s="129">
        <v>45320</v>
      </c>
      <c r="I20" s="107" t="s">
        <v>7</v>
      </c>
      <c r="J20" s="430" t="s">
        <v>684</v>
      </c>
      <c r="K20" s="430"/>
      <c r="L20" s="430"/>
      <c r="M20" s="101"/>
      <c r="N20" s="107" t="s">
        <v>655</v>
      </c>
    </row>
    <row r="21" spans="2:14" ht="16">
      <c r="B21" s="107">
        <v>14</v>
      </c>
      <c r="C21" s="107" t="s">
        <v>661</v>
      </c>
      <c r="D21" s="430" t="s">
        <v>662</v>
      </c>
      <c r="E21" s="430"/>
      <c r="F21" s="129">
        <v>45321</v>
      </c>
      <c r="G21" s="129">
        <v>45330</v>
      </c>
      <c r="I21" s="1" t="s">
        <v>554</v>
      </c>
      <c r="J21" s="430" t="s">
        <v>675</v>
      </c>
      <c r="K21" s="430"/>
      <c r="L21" s="430"/>
      <c r="M21" s="101"/>
      <c r="N21" s="107" t="s">
        <v>676</v>
      </c>
    </row>
    <row r="22" spans="2:14">
      <c r="B22" s="107">
        <v>15</v>
      </c>
      <c r="C22" s="107" t="s">
        <v>682</v>
      </c>
      <c r="D22" s="430" t="s">
        <v>683</v>
      </c>
      <c r="E22" s="430"/>
      <c r="F22" s="129">
        <v>45203</v>
      </c>
      <c r="G22" s="129">
        <v>45336</v>
      </c>
      <c r="I22" s="107" t="s">
        <v>7</v>
      </c>
      <c r="J22" s="430" t="s">
        <v>684</v>
      </c>
      <c r="K22" s="430"/>
      <c r="L22" s="430"/>
      <c r="M22" s="101"/>
      <c r="N22" s="107" t="s">
        <v>685</v>
      </c>
    </row>
    <row r="23" spans="2:14">
      <c r="B23" s="107">
        <v>16</v>
      </c>
      <c r="C23" s="107" t="s">
        <v>711</v>
      </c>
      <c r="D23" s="430" t="s">
        <v>703</v>
      </c>
      <c r="E23" s="430"/>
      <c r="F23" s="129">
        <v>45321</v>
      </c>
      <c r="G23" s="129">
        <v>45335</v>
      </c>
      <c r="I23" s="107" t="s">
        <v>604</v>
      </c>
      <c r="J23" s="430" t="s">
        <v>709</v>
      </c>
      <c r="K23" s="430"/>
      <c r="L23" s="430"/>
      <c r="M23" s="101"/>
      <c r="N23" s="107" t="s">
        <v>710</v>
      </c>
    </row>
    <row r="24" spans="2:14">
      <c r="B24" s="107">
        <v>17</v>
      </c>
      <c r="C24" s="107" t="s">
        <v>713</v>
      </c>
      <c r="D24" s="430" t="s">
        <v>712</v>
      </c>
      <c r="E24" s="430"/>
      <c r="F24" s="129">
        <v>45233</v>
      </c>
      <c r="G24" s="129">
        <v>45338</v>
      </c>
      <c r="I24" s="107" t="s">
        <v>7</v>
      </c>
      <c r="J24" s="430" t="s">
        <v>714</v>
      </c>
      <c r="K24" s="430"/>
      <c r="L24" s="430"/>
      <c r="M24" s="101"/>
      <c r="N24" s="107" t="s">
        <v>715</v>
      </c>
    </row>
    <row r="25" spans="2:14">
      <c r="B25" s="107">
        <v>18</v>
      </c>
      <c r="C25" s="107" t="s">
        <v>723</v>
      </c>
      <c r="D25" s="431" t="s">
        <v>726</v>
      </c>
      <c r="E25" s="431"/>
      <c r="F25" s="129">
        <v>45337</v>
      </c>
      <c r="G25" s="129">
        <v>45342</v>
      </c>
      <c r="I25" s="107" t="s">
        <v>457</v>
      </c>
      <c r="J25" s="430" t="s">
        <v>724</v>
      </c>
      <c r="K25" s="430"/>
      <c r="L25" s="430"/>
      <c r="M25" s="101"/>
      <c r="N25" s="107" t="s">
        <v>725</v>
      </c>
    </row>
    <row r="26" spans="2:14">
      <c r="B26" s="107">
        <v>19</v>
      </c>
      <c r="C26" s="107" t="s">
        <v>754</v>
      </c>
      <c r="D26" s="430" t="s">
        <v>755</v>
      </c>
      <c r="E26" s="430"/>
      <c r="F26" s="129">
        <v>45329</v>
      </c>
      <c r="G26" s="129">
        <v>45334</v>
      </c>
      <c r="I26" s="107" t="s">
        <v>604</v>
      </c>
      <c r="J26" s="430" t="s">
        <v>714</v>
      </c>
      <c r="K26" s="430"/>
      <c r="L26" s="430"/>
      <c r="M26" s="101"/>
      <c r="N26" s="107" t="s">
        <v>756</v>
      </c>
    </row>
    <row r="27" spans="2:14">
      <c r="B27" s="107">
        <v>20</v>
      </c>
      <c r="C27" s="107" t="s">
        <v>829</v>
      </c>
      <c r="D27" s="430" t="s">
        <v>830</v>
      </c>
      <c r="E27" s="430"/>
      <c r="F27" s="129">
        <v>45359</v>
      </c>
      <c r="G27" s="129">
        <v>45363</v>
      </c>
      <c r="I27" s="107" t="s">
        <v>7</v>
      </c>
      <c r="J27" s="430" t="s">
        <v>714</v>
      </c>
      <c r="K27" s="430"/>
      <c r="L27" s="430"/>
      <c r="M27" s="101"/>
      <c r="N27" s="107" t="s">
        <v>831</v>
      </c>
    </row>
    <row r="28" spans="2:14">
      <c r="B28" s="107">
        <v>21</v>
      </c>
      <c r="C28" s="107" t="s">
        <v>866</v>
      </c>
      <c r="D28" s="430" t="s">
        <v>865</v>
      </c>
      <c r="E28" s="430"/>
      <c r="F28" s="129">
        <v>45168</v>
      </c>
      <c r="G28" s="129">
        <v>45364</v>
      </c>
      <c r="I28" s="107" t="s">
        <v>59</v>
      </c>
      <c r="J28" s="430" t="s">
        <v>651</v>
      </c>
      <c r="K28" s="430"/>
      <c r="L28" s="430"/>
      <c r="M28" s="101"/>
      <c r="N28" s="107" t="s">
        <v>868</v>
      </c>
    </row>
    <row r="29" spans="2:14" ht="16">
      <c r="B29" s="107">
        <v>22</v>
      </c>
      <c r="C29" s="107" t="s">
        <v>886</v>
      </c>
      <c r="D29" s="430" t="s">
        <v>878</v>
      </c>
      <c r="E29" s="430"/>
      <c r="F29" s="129">
        <v>45369</v>
      </c>
      <c r="G29" s="129">
        <v>45370</v>
      </c>
      <c r="I29" s="1" t="s">
        <v>554</v>
      </c>
      <c r="J29" s="430" t="s">
        <v>890</v>
      </c>
      <c r="K29" s="430"/>
      <c r="L29" s="430"/>
      <c r="M29" s="101"/>
      <c r="N29" s="107" t="s">
        <v>891</v>
      </c>
    </row>
    <row r="30" spans="2:14">
      <c r="B30" s="107">
        <v>23</v>
      </c>
      <c r="C30" s="107" t="s">
        <v>912</v>
      </c>
      <c r="D30" s="430" t="s">
        <v>911</v>
      </c>
      <c r="E30" s="430"/>
      <c r="F30" s="129">
        <v>45324</v>
      </c>
      <c r="G30" s="129">
        <v>45383</v>
      </c>
      <c r="I30" s="107" t="s">
        <v>7</v>
      </c>
      <c r="J30" s="430" t="s">
        <v>714</v>
      </c>
      <c r="K30" s="430"/>
      <c r="L30" s="430"/>
      <c r="M30" s="101"/>
      <c r="N30" s="107" t="s">
        <v>913</v>
      </c>
    </row>
    <row r="31" spans="2:14">
      <c r="B31" s="107">
        <v>24</v>
      </c>
      <c r="C31" s="107" t="s">
        <v>871</v>
      </c>
      <c r="D31" s="430" t="s">
        <v>924</v>
      </c>
      <c r="E31" s="430"/>
      <c r="F31" s="129">
        <v>45373</v>
      </c>
      <c r="G31" s="129">
        <v>45376</v>
      </c>
      <c r="I31" s="107" t="s">
        <v>7</v>
      </c>
      <c r="J31" s="430" t="s">
        <v>925</v>
      </c>
      <c r="K31" s="430"/>
      <c r="L31" s="430"/>
      <c r="M31" s="101"/>
      <c r="N31" s="107" t="s">
        <v>926</v>
      </c>
    </row>
    <row r="32" spans="2:14">
      <c r="B32" s="107">
        <v>25</v>
      </c>
      <c r="C32" s="107" t="s">
        <v>954</v>
      </c>
      <c r="D32" s="430" t="s">
        <v>955</v>
      </c>
      <c r="E32" s="430"/>
      <c r="F32" s="129">
        <v>45336</v>
      </c>
      <c r="G32" s="129">
        <v>44502</v>
      </c>
      <c r="I32" s="107" t="s">
        <v>457</v>
      </c>
      <c r="J32" s="430" t="s">
        <v>971</v>
      </c>
      <c r="K32" s="430"/>
      <c r="L32" s="430"/>
      <c r="M32" s="101"/>
      <c r="N32" s="107" t="s">
        <v>972</v>
      </c>
    </row>
    <row r="33" spans="2:14">
      <c r="B33" s="107">
        <v>26</v>
      </c>
      <c r="C33" s="107" t="s">
        <v>854</v>
      </c>
      <c r="D33" s="430" t="s">
        <v>853</v>
      </c>
      <c r="E33" s="430"/>
      <c r="F33" s="129">
        <v>45369</v>
      </c>
      <c r="G33" s="129">
        <v>45370</v>
      </c>
      <c r="I33" s="107" t="s">
        <v>7</v>
      </c>
      <c r="J33" s="430" t="s">
        <v>684</v>
      </c>
      <c r="K33" s="430"/>
      <c r="L33" s="430"/>
      <c r="M33" s="101"/>
      <c r="N33" s="107" t="s">
        <v>994</v>
      </c>
    </row>
    <row r="34" spans="2:14">
      <c r="B34" s="107">
        <v>27</v>
      </c>
      <c r="C34" s="107" t="s">
        <v>884</v>
      </c>
      <c r="D34" s="430" t="s">
        <v>885</v>
      </c>
      <c r="E34" s="430"/>
      <c r="F34" s="129">
        <v>45247</v>
      </c>
      <c r="G34" s="129">
        <v>45376</v>
      </c>
      <c r="I34" s="107" t="s">
        <v>59</v>
      </c>
      <c r="J34" s="430" t="s">
        <v>651</v>
      </c>
      <c r="K34" s="430"/>
      <c r="L34" s="430"/>
      <c r="M34" s="101"/>
      <c r="N34" s="107" t="s">
        <v>1026</v>
      </c>
    </row>
    <row r="35" spans="2:14">
      <c r="B35" s="107">
        <v>28</v>
      </c>
      <c r="C35" s="107" t="s">
        <v>1030</v>
      </c>
      <c r="D35" s="430" t="s">
        <v>1031</v>
      </c>
      <c r="E35" s="430"/>
      <c r="F35" s="129">
        <v>44648</v>
      </c>
      <c r="G35" s="129" t="s">
        <v>29</v>
      </c>
      <c r="I35" s="107" t="s">
        <v>1032</v>
      </c>
      <c r="J35" s="430" t="s">
        <v>1033</v>
      </c>
      <c r="K35" s="430"/>
      <c r="L35" s="430"/>
      <c r="M35" s="101"/>
      <c r="N35" s="107" t="s">
        <v>1034</v>
      </c>
    </row>
    <row r="36" spans="2:14">
      <c r="B36" s="107">
        <v>29</v>
      </c>
      <c r="C36" s="107" t="s">
        <v>1028</v>
      </c>
      <c r="D36" s="430" t="s">
        <v>1027</v>
      </c>
      <c r="E36" s="430"/>
      <c r="F36" s="129">
        <v>45391</v>
      </c>
      <c r="G36" s="129">
        <v>45399</v>
      </c>
      <c r="I36" s="107" t="s">
        <v>7</v>
      </c>
      <c r="J36" s="430" t="s">
        <v>714</v>
      </c>
      <c r="K36" s="430"/>
      <c r="L36" s="430"/>
      <c r="M36" s="101"/>
      <c r="N36" s="107" t="s">
        <v>1043</v>
      </c>
    </row>
    <row r="37" spans="2:14">
      <c r="B37" s="107">
        <v>30</v>
      </c>
      <c r="C37" s="107" t="s">
        <v>922</v>
      </c>
      <c r="D37" s="430" t="s">
        <v>923</v>
      </c>
      <c r="E37" s="430"/>
      <c r="F37" s="129">
        <v>45356</v>
      </c>
      <c r="G37" s="129">
        <v>45359</v>
      </c>
      <c r="I37" s="107" t="s">
        <v>7</v>
      </c>
      <c r="J37" s="430" t="s">
        <v>1044</v>
      </c>
      <c r="K37" s="430"/>
      <c r="L37" s="430"/>
      <c r="M37" s="101"/>
      <c r="N37" s="107" t="s">
        <v>1045</v>
      </c>
    </row>
    <row r="38" spans="2:14">
      <c r="B38" s="107">
        <v>31</v>
      </c>
      <c r="C38" s="107" t="s">
        <v>1065</v>
      </c>
      <c r="D38" s="430" t="s">
        <v>1084</v>
      </c>
      <c r="E38" s="430"/>
      <c r="F38" s="129">
        <v>45400</v>
      </c>
      <c r="G38" s="129">
        <v>45412</v>
      </c>
      <c r="I38" s="107" t="s">
        <v>7</v>
      </c>
      <c r="J38" s="430" t="s">
        <v>714</v>
      </c>
      <c r="K38" s="430"/>
      <c r="L38" s="430"/>
      <c r="M38" s="101"/>
      <c r="N38" s="107" t="s">
        <v>1085</v>
      </c>
    </row>
    <row r="39" spans="2:14">
      <c r="B39" s="107">
        <v>32</v>
      </c>
      <c r="C39" s="107" t="s">
        <v>1200</v>
      </c>
      <c r="D39" s="430" t="s">
        <v>1201</v>
      </c>
      <c r="E39" s="430"/>
      <c r="F39" s="129">
        <v>45411</v>
      </c>
      <c r="G39" s="129">
        <v>45432</v>
      </c>
      <c r="I39" s="107" t="s">
        <v>7</v>
      </c>
      <c r="J39" s="430" t="s">
        <v>714</v>
      </c>
      <c r="K39" s="430"/>
      <c r="L39" s="430"/>
      <c r="M39" s="101"/>
      <c r="N39" s="107" t="s">
        <v>1202</v>
      </c>
    </row>
    <row r="40" spans="2:14">
      <c r="B40" s="107">
        <v>33</v>
      </c>
      <c r="C40" s="107" t="s">
        <v>1172</v>
      </c>
      <c r="D40" s="430" t="s">
        <v>1171</v>
      </c>
      <c r="E40" s="430"/>
      <c r="F40" s="129">
        <v>45404</v>
      </c>
      <c r="G40" s="129">
        <v>45428</v>
      </c>
      <c r="I40" s="107" t="s">
        <v>7</v>
      </c>
      <c r="J40" s="430" t="s">
        <v>714</v>
      </c>
      <c r="K40" s="430"/>
      <c r="L40" s="430"/>
      <c r="M40" s="101"/>
      <c r="N40" s="107"/>
    </row>
    <row r="41" spans="2:14">
      <c r="B41" s="107">
        <v>34</v>
      </c>
      <c r="C41" s="107"/>
      <c r="D41" s="430"/>
      <c r="E41" s="430"/>
      <c r="F41" s="107"/>
      <c r="G41" s="107"/>
      <c r="I41" s="107"/>
      <c r="J41" s="430"/>
      <c r="K41" s="430"/>
      <c r="L41" s="430"/>
      <c r="M41" s="101"/>
      <c r="N41" s="107"/>
    </row>
    <row r="42" spans="2:14">
      <c r="B42" s="107">
        <v>35</v>
      </c>
      <c r="C42" s="107"/>
      <c r="D42" s="430"/>
      <c r="E42" s="430"/>
      <c r="F42" s="107"/>
      <c r="G42" s="107"/>
      <c r="I42" s="107"/>
      <c r="J42" s="430"/>
      <c r="K42" s="430"/>
      <c r="L42" s="430"/>
      <c r="M42" s="101"/>
      <c r="N42" s="107"/>
    </row>
    <row r="43" spans="2:14">
      <c r="B43" s="107">
        <v>36</v>
      </c>
      <c r="C43" s="107"/>
      <c r="D43" s="430"/>
      <c r="E43" s="430"/>
      <c r="F43" s="107"/>
      <c r="G43" s="107"/>
      <c r="I43" s="107"/>
      <c r="J43" s="430"/>
      <c r="K43" s="430"/>
      <c r="L43" s="430"/>
      <c r="M43" s="101"/>
      <c r="N43" s="107"/>
    </row>
    <row r="44" spans="2:14">
      <c r="B44" s="107">
        <v>37</v>
      </c>
      <c r="C44" s="107"/>
      <c r="D44" s="430"/>
      <c r="E44" s="430"/>
      <c r="F44" s="107"/>
      <c r="G44" s="107"/>
      <c r="I44" s="107"/>
      <c r="J44" s="430"/>
      <c r="K44" s="430"/>
      <c r="L44" s="430"/>
      <c r="M44" s="101"/>
      <c r="N44" s="107"/>
    </row>
    <row r="45" spans="2:14">
      <c r="B45" s="107">
        <v>38</v>
      </c>
      <c r="C45" s="107"/>
      <c r="D45" s="430"/>
      <c r="E45" s="430"/>
      <c r="F45" s="107"/>
      <c r="G45" s="107"/>
      <c r="I45" s="107"/>
      <c r="J45" s="430"/>
      <c r="K45" s="430"/>
      <c r="L45" s="430"/>
      <c r="M45" s="101"/>
      <c r="N45" s="107"/>
    </row>
    <row r="46" spans="2:14">
      <c r="B46" s="107">
        <v>39</v>
      </c>
      <c r="C46" s="107"/>
      <c r="D46" s="430"/>
      <c r="E46" s="430"/>
      <c r="F46" s="107"/>
      <c r="G46" s="107"/>
      <c r="I46" s="107"/>
      <c r="J46" s="430"/>
      <c r="K46" s="430"/>
      <c r="L46" s="430"/>
      <c r="M46" s="101"/>
      <c r="N46" s="107"/>
    </row>
    <row r="47" spans="2:14">
      <c r="B47" s="107">
        <v>40</v>
      </c>
      <c r="C47" s="107"/>
      <c r="D47" s="430"/>
      <c r="E47" s="430"/>
      <c r="F47" s="107"/>
      <c r="G47" s="107"/>
      <c r="I47" s="107"/>
      <c r="J47" s="430"/>
      <c r="K47" s="430"/>
      <c r="L47" s="430"/>
      <c r="M47" s="101"/>
      <c r="N47" s="107"/>
    </row>
    <row r="48" spans="2:14">
      <c r="B48" s="107">
        <v>41</v>
      </c>
      <c r="D48" s="432"/>
      <c r="E48" s="432"/>
      <c r="I48" s="107"/>
      <c r="J48" s="430"/>
      <c r="K48" s="430"/>
      <c r="L48" s="430"/>
      <c r="M48" s="101"/>
      <c r="N48" s="107"/>
    </row>
    <row r="49" spans="2:13">
      <c r="B49" s="107">
        <v>42</v>
      </c>
      <c r="D49" s="432"/>
      <c r="E49" s="432"/>
      <c r="J49" s="433"/>
      <c r="K49" s="433"/>
      <c r="L49" s="433"/>
      <c r="M49" s="101"/>
    </row>
    <row r="50" spans="2:13">
      <c r="B50" s="107">
        <v>43</v>
      </c>
      <c r="D50" s="432"/>
      <c r="E50" s="432"/>
      <c r="J50" s="430"/>
      <c r="K50" s="430"/>
      <c r="L50" s="430"/>
      <c r="M50" s="101"/>
    </row>
    <row r="51" spans="2:13">
      <c r="B51" s="107">
        <v>44</v>
      </c>
      <c r="J51" s="430"/>
      <c r="K51" s="430"/>
      <c r="L51" s="430"/>
      <c r="M51" s="101"/>
    </row>
    <row r="52" spans="2:13">
      <c r="B52" s="107">
        <v>45</v>
      </c>
      <c r="J52" s="430"/>
      <c r="K52" s="430"/>
      <c r="L52" s="430"/>
      <c r="M52" s="101"/>
    </row>
    <row r="53" spans="2:13">
      <c r="B53" s="107">
        <v>46</v>
      </c>
      <c r="J53" s="430"/>
      <c r="K53" s="430"/>
      <c r="L53" s="430"/>
      <c r="M53" s="101"/>
    </row>
    <row r="54" spans="2:13">
      <c r="J54" s="430"/>
      <c r="K54" s="430"/>
      <c r="L54" s="430"/>
      <c r="M54" s="101"/>
    </row>
    <row r="55" spans="2:13">
      <c r="J55" s="430"/>
      <c r="K55" s="430"/>
      <c r="L55" s="430"/>
      <c r="M55" s="101"/>
    </row>
    <row r="56" spans="2:13">
      <c r="J56" s="430"/>
      <c r="K56" s="430"/>
      <c r="L56" s="430"/>
      <c r="M56" s="101"/>
    </row>
    <row r="57" spans="2:13">
      <c r="J57" s="430"/>
      <c r="K57" s="430"/>
      <c r="L57" s="430"/>
      <c r="M57" s="101"/>
    </row>
    <row r="58" spans="2:13">
      <c r="M58" s="101"/>
    </row>
    <row r="59" spans="2:13">
      <c r="M59" s="101"/>
    </row>
    <row r="60" spans="2:13">
      <c r="M60" s="101"/>
    </row>
    <row r="61" spans="2:13">
      <c r="M61" s="101"/>
    </row>
    <row r="62" spans="2:13">
      <c r="M62" s="101"/>
    </row>
    <row r="63" spans="2:13">
      <c r="M63" s="101"/>
    </row>
    <row r="64" spans="2:13">
      <c r="M64" s="101"/>
    </row>
    <row r="65" spans="13:13">
      <c r="M65" s="101"/>
    </row>
    <row r="66" spans="13:13">
      <c r="M66" s="101"/>
    </row>
    <row r="67" spans="13:13">
      <c r="M67" s="101"/>
    </row>
    <row r="68" spans="13:13">
      <c r="M68" s="101"/>
    </row>
    <row r="69" spans="13:13">
      <c r="M69" s="101"/>
    </row>
    <row r="70" spans="13:13">
      <c r="M70" s="101"/>
    </row>
    <row r="71" spans="13:13">
      <c r="M71" s="101"/>
    </row>
    <row r="72" spans="13:13">
      <c r="M72" s="101"/>
    </row>
    <row r="73" spans="13:13">
      <c r="M73" s="101"/>
    </row>
    <row r="74" spans="13:13">
      <c r="M74" s="101"/>
    </row>
    <row r="75" spans="13:13">
      <c r="M75" s="101"/>
    </row>
    <row r="76" spans="13:13">
      <c r="M76" s="101"/>
    </row>
    <row r="77" spans="13:13">
      <c r="M77" s="101"/>
    </row>
    <row r="78" spans="13:13">
      <c r="M78" s="101"/>
    </row>
    <row r="79" spans="13:13">
      <c r="M79" s="101"/>
    </row>
    <row r="80" spans="13:13">
      <c r="M80" s="101"/>
    </row>
    <row r="81" spans="13:13">
      <c r="M81" s="101"/>
    </row>
    <row r="82" spans="13:13">
      <c r="M82" s="101"/>
    </row>
    <row r="83" spans="13:13">
      <c r="M83" s="101"/>
    </row>
    <row r="84" spans="13:13">
      <c r="M84" s="101"/>
    </row>
    <row r="85" spans="13:13">
      <c r="M85" s="101"/>
    </row>
    <row r="86" spans="13:13">
      <c r="M86" s="101"/>
    </row>
    <row r="87" spans="13:13">
      <c r="M87" s="101"/>
    </row>
    <row r="88" spans="13:13">
      <c r="M88" s="101"/>
    </row>
    <row r="89" spans="13:13">
      <c r="M89" s="101"/>
    </row>
    <row r="90" spans="13:13">
      <c r="M90" s="101"/>
    </row>
    <row r="91" spans="13:13">
      <c r="M91" s="101"/>
    </row>
    <row r="92" spans="13:13">
      <c r="M92" s="101"/>
    </row>
    <row r="93" spans="13:13">
      <c r="M93" s="101"/>
    </row>
    <row r="94" spans="13:13">
      <c r="M94" s="101"/>
    </row>
    <row r="95" spans="13:13">
      <c r="M95" s="101"/>
    </row>
    <row r="96" spans="13:13">
      <c r="M96" s="101"/>
    </row>
    <row r="97" spans="13:13">
      <c r="M97" s="101"/>
    </row>
    <row r="98" spans="13:13">
      <c r="M98" s="101"/>
    </row>
    <row r="99" spans="13:13">
      <c r="M99" s="101"/>
    </row>
    <row r="100" spans="13:13">
      <c r="M100" s="101"/>
    </row>
    <row r="101" spans="13:13">
      <c r="M101" s="101"/>
    </row>
    <row r="102" spans="13:13">
      <c r="M102" s="101"/>
    </row>
    <row r="103" spans="13:13">
      <c r="M103" s="101"/>
    </row>
    <row r="104" spans="13:13">
      <c r="M104" s="101"/>
    </row>
    <row r="105" spans="13:13">
      <c r="M105" s="101"/>
    </row>
    <row r="106" spans="13:13">
      <c r="M106" s="101"/>
    </row>
    <row r="107" spans="13:13">
      <c r="M107" s="101"/>
    </row>
    <row r="108" spans="13:13">
      <c r="M108" s="101"/>
    </row>
    <row r="109" spans="13:13">
      <c r="M109" s="101"/>
    </row>
    <row r="110" spans="13:13">
      <c r="M110" s="101"/>
    </row>
    <row r="111" spans="13:13">
      <c r="M111" s="101"/>
    </row>
    <row r="112" spans="13:13">
      <c r="M112" s="101"/>
    </row>
    <row r="113" spans="13:13">
      <c r="M113" s="101"/>
    </row>
    <row r="114" spans="13:13">
      <c r="M114" s="101"/>
    </row>
    <row r="115" spans="13:13">
      <c r="M115" s="101"/>
    </row>
    <row r="116" spans="13:13">
      <c r="M116" s="101"/>
    </row>
    <row r="117" spans="13:13">
      <c r="M117" s="101"/>
    </row>
    <row r="118" spans="13:13">
      <c r="M118" s="101"/>
    </row>
    <row r="119" spans="13:13">
      <c r="M119" s="101"/>
    </row>
    <row r="120" spans="13:13">
      <c r="M120" s="101"/>
    </row>
    <row r="121" spans="13:13">
      <c r="M121" s="101"/>
    </row>
    <row r="122" spans="13:13">
      <c r="M122" s="101"/>
    </row>
    <row r="123" spans="13:13">
      <c r="M123" s="101"/>
    </row>
    <row r="124" spans="13:13">
      <c r="M124" s="101"/>
    </row>
    <row r="125" spans="13:13">
      <c r="M125" s="101"/>
    </row>
    <row r="126" spans="13:13">
      <c r="M126" s="101"/>
    </row>
    <row r="127" spans="13:13">
      <c r="M127" s="101"/>
    </row>
    <row r="128" spans="13:13">
      <c r="M128" s="101"/>
    </row>
    <row r="129" spans="13:13">
      <c r="M129" s="101"/>
    </row>
    <row r="130" spans="13:13">
      <c r="M130" s="101"/>
    </row>
    <row r="131" spans="13:13">
      <c r="M131" s="101"/>
    </row>
    <row r="132" spans="13:13">
      <c r="M132" s="101"/>
    </row>
    <row r="133" spans="13:13">
      <c r="M133" s="101"/>
    </row>
    <row r="134" spans="13:13">
      <c r="M134" s="101"/>
    </row>
    <row r="135" spans="13:13">
      <c r="M135" s="101"/>
    </row>
    <row r="136" spans="13:13">
      <c r="M136" s="101"/>
    </row>
    <row r="137" spans="13:13">
      <c r="M137" s="101"/>
    </row>
    <row r="138" spans="13:13">
      <c r="M138" s="101"/>
    </row>
    <row r="139" spans="13:13">
      <c r="M139" s="101"/>
    </row>
    <row r="140" spans="13:13">
      <c r="M140" s="101"/>
    </row>
    <row r="141" spans="13:13">
      <c r="M141" s="101"/>
    </row>
    <row r="142" spans="13:13">
      <c r="M142" s="101"/>
    </row>
    <row r="143" spans="13:13">
      <c r="M143" s="101"/>
    </row>
    <row r="144" spans="13:13">
      <c r="M144" s="101"/>
    </row>
    <row r="145" spans="13:13">
      <c r="M145" s="101"/>
    </row>
    <row r="146" spans="13:13">
      <c r="M146" s="101"/>
    </row>
    <row r="147" spans="13:13">
      <c r="M147" s="101"/>
    </row>
    <row r="148" spans="13:13">
      <c r="M148" s="101"/>
    </row>
    <row r="149" spans="13:13">
      <c r="M149" s="101"/>
    </row>
    <row r="150" spans="13:13">
      <c r="M150" s="101"/>
    </row>
    <row r="151" spans="13:13">
      <c r="M151" s="101"/>
    </row>
    <row r="152" spans="13:13">
      <c r="M152" s="101"/>
    </row>
    <row r="153" spans="13:13">
      <c r="M153" s="101"/>
    </row>
    <row r="154" spans="13:13">
      <c r="M154" s="101"/>
    </row>
    <row r="155" spans="13:13">
      <c r="M155" s="101"/>
    </row>
    <row r="156" spans="13:13">
      <c r="M156" s="101"/>
    </row>
    <row r="157" spans="13:13">
      <c r="M157" s="101"/>
    </row>
    <row r="158" spans="13:13">
      <c r="M158" s="101"/>
    </row>
    <row r="159" spans="13:13">
      <c r="M159" s="101"/>
    </row>
    <row r="160" spans="13:13">
      <c r="M160" s="101"/>
    </row>
    <row r="161" spans="13:13">
      <c r="M161" s="101"/>
    </row>
    <row r="162" spans="13:13">
      <c r="M162" s="101"/>
    </row>
    <row r="163" spans="13:13">
      <c r="M163" s="101"/>
    </row>
    <row r="164" spans="13:13">
      <c r="M164" s="101"/>
    </row>
    <row r="165" spans="13:13">
      <c r="M165" s="101"/>
    </row>
    <row r="166" spans="13:13">
      <c r="M166" s="101"/>
    </row>
    <row r="167" spans="13:13">
      <c r="M167" s="101"/>
    </row>
    <row r="168" spans="13:13">
      <c r="M168" s="101"/>
    </row>
    <row r="169" spans="13:13">
      <c r="M169" s="101"/>
    </row>
    <row r="170" spans="13:13">
      <c r="M170" s="101"/>
    </row>
    <row r="171" spans="13:13">
      <c r="M171" s="101"/>
    </row>
    <row r="172" spans="13:13">
      <c r="M172" s="101"/>
    </row>
    <row r="173" spans="13:13">
      <c r="M173" s="101"/>
    </row>
    <row r="174" spans="13:13">
      <c r="M174" s="101"/>
    </row>
    <row r="175" spans="13:13">
      <c r="M175" s="101"/>
    </row>
    <row r="176" spans="13:13">
      <c r="M176" s="101"/>
    </row>
    <row r="177" spans="13:13">
      <c r="M177" s="101"/>
    </row>
    <row r="178" spans="13:13">
      <c r="M178" s="101"/>
    </row>
    <row r="179" spans="13:13">
      <c r="M179" s="101"/>
    </row>
    <row r="180" spans="13:13">
      <c r="M180" s="101"/>
    </row>
    <row r="181" spans="13:13">
      <c r="M181" s="101"/>
    </row>
    <row r="182" spans="13:13">
      <c r="M182" s="101"/>
    </row>
    <row r="183" spans="13:13">
      <c r="M183" s="101"/>
    </row>
    <row r="184" spans="13:13">
      <c r="M184" s="101"/>
    </row>
    <row r="185" spans="13:13">
      <c r="M185" s="101"/>
    </row>
    <row r="186" spans="13:13">
      <c r="M186" s="101"/>
    </row>
    <row r="187" spans="13:13">
      <c r="M187" s="101"/>
    </row>
    <row r="188" spans="13:13">
      <c r="M188" s="101"/>
    </row>
    <row r="189" spans="13:13">
      <c r="M189" s="101"/>
    </row>
    <row r="190" spans="13:13">
      <c r="M190" s="101"/>
    </row>
    <row r="191" spans="13:13">
      <c r="M191" s="101"/>
    </row>
    <row r="192" spans="13:13">
      <c r="M192" s="101"/>
    </row>
    <row r="193" spans="13:13">
      <c r="M193" s="101"/>
    </row>
    <row r="194" spans="13:13">
      <c r="M194" s="101"/>
    </row>
    <row r="195" spans="13:13">
      <c r="M195" s="101"/>
    </row>
    <row r="196" spans="13:13">
      <c r="M196" s="101"/>
    </row>
    <row r="197" spans="13:13">
      <c r="M197" s="101"/>
    </row>
    <row r="198" spans="13:13">
      <c r="M198" s="101"/>
    </row>
    <row r="199" spans="13:13">
      <c r="M199" s="101"/>
    </row>
    <row r="200" spans="13:13">
      <c r="M200" s="101"/>
    </row>
    <row r="201" spans="13:13">
      <c r="M201" s="101"/>
    </row>
    <row r="202" spans="13:13">
      <c r="M202" s="101"/>
    </row>
    <row r="203" spans="13:13">
      <c r="M203" s="101"/>
    </row>
    <row r="204" spans="13:13">
      <c r="M204" s="101"/>
    </row>
    <row r="205" spans="13:13">
      <c r="M205" s="101"/>
    </row>
    <row r="206" spans="13:13">
      <c r="M206" s="101"/>
    </row>
    <row r="207" spans="13:13">
      <c r="M207" s="101"/>
    </row>
    <row r="208" spans="13:13">
      <c r="M208" s="101"/>
    </row>
    <row r="209" spans="13:13">
      <c r="M209" s="101"/>
    </row>
    <row r="210" spans="13:13">
      <c r="M210" s="101"/>
    </row>
    <row r="211" spans="13:13">
      <c r="M211" s="101"/>
    </row>
    <row r="212" spans="13:13">
      <c r="M212" s="101"/>
    </row>
    <row r="213" spans="13:13">
      <c r="M213" s="101"/>
    </row>
    <row r="214" spans="13:13">
      <c r="M214" s="101"/>
    </row>
    <row r="215" spans="13:13">
      <c r="M215" s="101"/>
    </row>
    <row r="216" spans="13:13">
      <c r="M216" s="101"/>
    </row>
    <row r="217" spans="13:13">
      <c r="M217" s="101"/>
    </row>
    <row r="218" spans="13:13">
      <c r="M218" s="101"/>
    </row>
    <row r="219" spans="13:13">
      <c r="M219" s="101"/>
    </row>
    <row r="220" spans="13:13">
      <c r="M220" s="101"/>
    </row>
    <row r="221" spans="13:13">
      <c r="M221" s="101"/>
    </row>
    <row r="222" spans="13:13">
      <c r="M222" s="101"/>
    </row>
    <row r="223" spans="13:13">
      <c r="M223" s="101"/>
    </row>
    <row r="224" spans="13:13">
      <c r="M224" s="101"/>
    </row>
    <row r="225" spans="13:13">
      <c r="M225" s="101"/>
    </row>
    <row r="226" spans="13:13">
      <c r="M226" s="101"/>
    </row>
    <row r="227" spans="13:13">
      <c r="M227" s="101"/>
    </row>
    <row r="228" spans="13:13">
      <c r="M228" s="101"/>
    </row>
    <row r="229" spans="13:13">
      <c r="M229" s="101"/>
    </row>
    <row r="230" spans="13:13">
      <c r="M230" s="101"/>
    </row>
    <row r="1048576" spans="10:12">
      <c r="J1048576" s="430"/>
      <c r="K1048576" s="430"/>
      <c r="L1048576" s="430"/>
    </row>
  </sheetData>
  <mergeCells count="98">
    <mergeCell ref="J1048576:L1048576"/>
    <mergeCell ref="J54:L54"/>
    <mergeCell ref="J55:L55"/>
    <mergeCell ref="J56:L56"/>
    <mergeCell ref="J57:L57"/>
    <mergeCell ref="J49:L49"/>
    <mergeCell ref="J50:L50"/>
    <mergeCell ref="J51:L51"/>
    <mergeCell ref="J52:L52"/>
    <mergeCell ref="J53:L53"/>
    <mergeCell ref="D48:E48"/>
    <mergeCell ref="D49:E49"/>
    <mergeCell ref="D50:E50"/>
    <mergeCell ref="J36:L36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47:L47"/>
    <mergeCell ref="J48:L48"/>
    <mergeCell ref="D43:E43"/>
    <mergeCell ref="D44:E44"/>
    <mergeCell ref="D45:E45"/>
    <mergeCell ref="D46:E46"/>
    <mergeCell ref="D47:E47"/>
    <mergeCell ref="D38:E38"/>
    <mergeCell ref="D39:E39"/>
    <mergeCell ref="D40:E40"/>
    <mergeCell ref="D41:E41"/>
    <mergeCell ref="D42:E42"/>
    <mergeCell ref="J34:L34"/>
    <mergeCell ref="J35:L35"/>
    <mergeCell ref="D36:E36"/>
    <mergeCell ref="D37:E37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30:L30"/>
    <mergeCell ref="J31:L31"/>
    <mergeCell ref="J32:L32"/>
    <mergeCell ref="J33:L33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9:E19"/>
    <mergeCell ref="D20:E20"/>
    <mergeCell ref="J9:L9"/>
    <mergeCell ref="J10:L10"/>
    <mergeCell ref="J11:L11"/>
    <mergeCell ref="J12:L12"/>
    <mergeCell ref="J13:L13"/>
    <mergeCell ref="J14:L14"/>
    <mergeCell ref="J15:L15"/>
    <mergeCell ref="J16:L16"/>
    <mergeCell ref="J17:L17"/>
    <mergeCell ref="J18:L18"/>
    <mergeCell ref="J19:L19"/>
    <mergeCell ref="D14:E14"/>
    <mergeCell ref="D15:E15"/>
    <mergeCell ref="D16:E16"/>
    <mergeCell ref="D17:E17"/>
    <mergeCell ref="D18:E18"/>
    <mergeCell ref="D9:E9"/>
    <mergeCell ref="D10:E10"/>
    <mergeCell ref="D11:E11"/>
    <mergeCell ref="D12:E12"/>
    <mergeCell ref="D13:E13"/>
    <mergeCell ref="D8:E8"/>
    <mergeCell ref="D6:E6"/>
    <mergeCell ref="J6:L6"/>
    <mergeCell ref="J8:L8"/>
    <mergeCell ref="I3:N4"/>
    <mergeCell ref="B3:G4"/>
  </mergeCells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BE7C-B7CA-244F-AF4E-01EC0A3D4891}">
  <sheetPr codeName="Hoja8"/>
  <dimension ref="A1:M177"/>
  <sheetViews>
    <sheetView topLeftCell="A2" zoomScale="130" zoomScaleNormal="130" workbookViewId="0">
      <pane ySplit="4" topLeftCell="A6" activePane="bottomLeft" state="frozen"/>
      <selection activeCell="A2" sqref="A2"/>
      <selection pane="bottomLeft" activeCell="J38" sqref="J38"/>
    </sheetView>
  </sheetViews>
  <sheetFormatPr baseColWidth="10" defaultColWidth="11.5" defaultRowHeight="15"/>
  <cols>
    <col min="1" max="1" width="2.5" style="168" customWidth="1"/>
    <col min="2" max="2" width="1.5" style="168" customWidth="1"/>
    <col min="3" max="3" width="4.83203125" style="2" bestFit="1" customWidth="1"/>
    <col min="4" max="4" width="20.5" style="2" customWidth="1"/>
    <col min="5" max="5" width="20" style="2" bestFit="1" customWidth="1"/>
    <col min="6" max="6" width="22.5" style="2" customWidth="1"/>
    <col min="7" max="7" width="0" style="2" hidden="1" customWidth="1"/>
    <col min="8" max="8" width="12.33203125" style="2" hidden="1" customWidth="1"/>
    <col min="9" max="13" width="11.5" style="168"/>
    <col min="14" max="16384" width="11.5" style="2"/>
  </cols>
  <sheetData>
    <row r="1" spans="3:8" s="168" customFormat="1" ht="16" thickBot="1"/>
    <row r="2" spans="3:8" ht="15" customHeight="1">
      <c r="C2" s="436" t="s">
        <v>472</v>
      </c>
      <c r="D2" s="437"/>
      <c r="E2" s="437"/>
      <c r="F2" s="437"/>
      <c r="G2" s="437"/>
      <c r="H2" s="437"/>
    </row>
    <row r="3" spans="3:8" ht="15.75" customHeight="1" thickBot="1">
      <c r="C3" s="438"/>
      <c r="D3" s="439"/>
      <c r="E3" s="439"/>
      <c r="F3" s="439"/>
      <c r="G3" s="439"/>
      <c r="H3" s="439"/>
    </row>
    <row r="4" spans="3:8" s="168" customFormat="1" ht="16" thickBot="1"/>
    <row r="5" spans="3:8" ht="31" thickBot="1">
      <c r="C5" s="80" t="s">
        <v>13</v>
      </c>
      <c r="D5" s="80" t="s">
        <v>0</v>
      </c>
      <c r="E5" s="440" t="s">
        <v>2</v>
      </c>
      <c r="F5" s="441"/>
      <c r="G5" s="80" t="s">
        <v>3</v>
      </c>
      <c r="H5" s="80" t="s">
        <v>4</v>
      </c>
    </row>
    <row r="6" spans="3:8">
      <c r="C6" s="107">
        <v>1</v>
      </c>
      <c r="D6" s="107"/>
      <c r="E6" s="426"/>
      <c r="F6" s="427"/>
      <c r="G6" s="107"/>
      <c r="H6" s="107"/>
    </row>
    <row r="7" spans="3:8" ht="15" customHeight="1">
      <c r="C7" s="107">
        <v>2</v>
      </c>
      <c r="D7" s="107"/>
      <c r="E7" s="426"/>
      <c r="F7" s="427"/>
      <c r="G7" s="107"/>
      <c r="H7" s="107"/>
    </row>
    <row r="8" spans="3:8" ht="15" customHeight="1">
      <c r="C8" s="107">
        <v>3</v>
      </c>
      <c r="D8" s="107"/>
      <c r="E8" s="426"/>
      <c r="F8" s="427"/>
      <c r="G8" s="107"/>
      <c r="H8" s="107"/>
    </row>
    <row r="9" spans="3:8">
      <c r="C9" s="107">
        <v>4</v>
      </c>
      <c r="D9" s="107"/>
      <c r="E9" s="426"/>
      <c r="F9" s="427"/>
      <c r="G9" s="107"/>
      <c r="H9" s="107"/>
    </row>
    <row r="10" spans="3:8">
      <c r="C10" s="107">
        <v>5</v>
      </c>
      <c r="D10" s="107"/>
      <c r="E10" s="426"/>
      <c r="F10" s="427"/>
      <c r="G10" s="129"/>
      <c r="H10" s="129"/>
    </row>
    <row r="11" spans="3:8">
      <c r="C11" s="107">
        <v>6</v>
      </c>
      <c r="D11" s="107"/>
      <c r="E11" s="426"/>
      <c r="F11" s="427"/>
      <c r="G11" s="129"/>
      <c r="H11" s="129"/>
    </row>
    <row r="12" spans="3:8" ht="30.75" customHeight="1">
      <c r="C12" s="107">
        <v>7</v>
      </c>
      <c r="D12" s="107"/>
      <c r="E12" s="426"/>
      <c r="F12" s="427"/>
      <c r="G12" s="129"/>
      <c r="H12" s="129"/>
    </row>
    <row r="13" spans="3:8">
      <c r="C13" s="107">
        <v>8</v>
      </c>
      <c r="D13" s="107"/>
      <c r="E13" s="426"/>
      <c r="F13" s="427"/>
      <c r="G13" s="129"/>
      <c r="H13" s="129"/>
    </row>
    <row r="14" spans="3:8">
      <c r="C14" s="107">
        <v>9</v>
      </c>
      <c r="D14" s="107"/>
      <c r="E14" s="426"/>
      <c r="F14" s="427"/>
      <c r="G14" s="129"/>
      <c r="H14" s="129"/>
    </row>
    <row r="15" spans="3:8">
      <c r="C15" s="107">
        <v>10</v>
      </c>
      <c r="D15" s="107"/>
      <c r="E15" s="426"/>
      <c r="F15" s="427"/>
      <c r="G15" s="129"/>
      <c r="H15" s="129"/>
    </row>
    <row r="16" spans="3:8">
      <c r="C16" s="107">
        <v>11</v>
      </c>
      <c r="D16" s="107"/>
      <c r="E16" s="426"/>
      <c r="F16" s="427"/>
      <c r="G16" s="129"/>
      <c r="H16" s="129"/>
    </row>
    <row r="17" spans="3:8">
      <c r="C17" s="107">
        <v>12</v>
      </c>
      <c r="D17" s="107"/>
      <c r="E17" s="426"/>
      <c r="F17" s="427"/>
      <c r="G17" s="129"/>
      <c r="H17" s="129"/>
    </row>
    <row r="18" spans="3:8" ht="30.75" customHeight="1">
      <c r="C18" s="107">
        <v>13</v>
      </c>
      <c r="D18" s="107"/>
      <c r="E18" s="426"/>
      <c r="F18" s="427"/>
      <c r="G18" s="129"/>
      <c r="H18" s="129"/>
    </row>
    <row r="19" spans="3:8">
      <c r="C19" s="107">
        <v>14</v>
      </c>
      <c r="D19" s="107"/>
      <c r="E19" s="426"/>
      <c r="F19" s="427"/>
      <c r="G19" s="129"/>
      <c r="H19" s="129"/>
    </row>
    <row r="20" spans="3:8">
      <c r="C20" s="107">
        <v>15</v>
      </c>
      <c r="D20" s="107"/>
      <c r="E20" s="426"/>
      <c r="F20" s="427"/>
      <c r="G20" s="129"/>
      <c r="H20" s="129"/>
    </row>
    <row r="21" spans="3:8" ht="28.5" customHeight="1">
      <c r="C21" s="107">
        <v>16</v>
      </c>
      <c r="D21" s="107"/>
      <c r="E21" s="426"/>
      <c r="F21" s="427"/>
      <c r="G21" s="129"/>
      <c r="H21" s="129"/>
    </row>
    <row r="22" spans="3:8">
      <c r="C22" s="107">
        <v>17</v>
      </c>
      <c r="D22" s="107"/>
      <c r="E22" s="426"/>
      <c r="F22" s="427"/>
      <c r="G22" s="129"/>
      <c r="H22" s="129"/>
    </row>
    <row r="23" spans="3:8" ht="30" customHeight="1">
      <c r="C23" s="107">
        <v>18</v>
      </c>
      <c r="D23" s="107"/>
      <c r="E23" s="426"/>
      <c r="F23" s="427"/>
      <c r="G23" s="129"/>
      <c r="H23" s="129"/>
    </row>
    <row r="24" spans="3:8">
      <c r="C24" s="107">
        <v>19</v>
      </c>
      <c r="D24" s="107"/>
      <c r="E24" s="426"/>
      <c r="F24" s="427"/>
      <c r="G24" s="129"/>
      <c r="H24" s="129"/>
    </row>
    <row r="25" spans="3:8">
      <c r="C25" s="107">
        <v>20</v>
      </c>
      <c r="D25" s="107"/>
      <c r="E25" s="426"/>
      <c r="F25" s="427"/>
      <c r="G25" s="129"/>
      <c r="H25" s="129"/>
    </row>
    <row r="26" spans="3:8" ht="15" customHeight="1">
      <c r="C26" s="107">
        <v>21</v>
      </c>
      <c r="D26" s="107"/>
      <c r="E26" s="426"/>
      <c r="F26" s="427"/>
      <c r="G26" s="129"/>
      <c r="H26" s="129"/>
    </row>
    <row r="27" spans="3:8" ht="30.75" customHeight="1">
      <c r="C27" s="107">
        <v>22</v>
      </c>
      <c r="D27" s="107"/>
      <c r="E27" s="426"/>
      <c r="F27" s="427"/>
      <c r="G27" s="129"/>
      <c r="H27" s="129"/>
    </row>
    <row r="28" spans="3:8">
      <c r="C28" s="107">
        <v>23</v>
      </c>
      <c r="D28" s="107"/>
      <c r="E28" s="426"/>
      <c r="F28" s="427"/>
      <c r="G28" s="129"/>
      <c r="H28" s="129"/>
    </row>
    <row r="29" spans="3:8">
      <c r="C29" s="107">
        <v>24</v>
      </c>
      <c r="D29" s="107"/>
      <c r="E29" s="426"/>
      <c r="F29" s="427"/>
      <c r="G29" s="129"/>
      <c r="H29" s="129"/>
    </row>
    <row r="30" spans="3:8">
      <c r="C30" s="107">
        <v>25</v>
      </c>
      <c r="D30" s="107"/>
      <c r="E30" s="426"/>
      <c r="F30" s="427"/>
      <c r="G30" s="129"/>
      <c r="H30" s="129"/>
    </row>
    <row r="31" spans="3:8">
      <c r="C31" s="107">
        <v>26</v>
      </c>
      <c r="D31" s="107"/>
      <c r="E31" s="426"/>
      <c r="F31" s="427"/>
      <c r="G31" s="129"/>
      <c r="H31" s="129"/>
    </row>
    <row r="32" spans="3:8">
      <c r="C32" s="107">
        <v>27</v>
      </c>
      <c r="D32" s="107"/>
      <c r="E32" s="426"/>
      <c r="F32" s="427"/>
      <c r="G32" s="129"/>
      <c r="H32" s="129"/>
    </row>
    <row r="33" spans="3:8">
      <c r="C33" s="107">
        <v>28</v>
      </c>
      <c r="D33" s="107"/>
      <c r="E33" s="434"/>
      <c r="F33" s="435"/>
      <c r="G33" s="129"/>
      <c r="H33" s="129"/>
    </row>
    <row r="34" spans="3:8">
      <c r="C34" s="107">
        <v>29</v>
      </c>
      <c r="D34" s="107"/>
      <c r="E34" s="434"/>
      <c r="F34" s="435"/>
      <c r="G34" s="129"/>
      <c r="H34" s="129"/>
    </row>
    <row r="35" spans="3:8">
      <c r="C35" s="107">
        <v>30</v>
      </c>
      <c r="D35" s="107"/>
      <c r="E35" s="434"/>
      <c r="F35" s="435"/>
      <c r="G35" s="129"/>
      <c r="H35" s="129"/>
    </row>
    <row r="36" spans="3:8">
      <c r="C36" s="107">
        <v>31</v>
      </c>
      <c r="D36" s="107"/>
      <c r="E36" s="434"/>
      <c r="F36" s="435"/>
      <c r="G36" s="129"/>
      <c r="H36" s="129"/>
    </row>
    <row r="37" spans="3:8">
      <c r="C37" s="107">
        <v>32</v>
      </c>
      <c r="D37" s="107"/>
      <c r="E37" s="434"/>
      <c r="F37" s="435"/>
      <c r="G37" s="129"/>
      <c r="H37" s="129"/>
    </row>
    <row r="38" spans="3:8">
      <c r="C38" s="107">
        <v>33</v>
      </c>
      <c r="D38" s="107"/>
      <c r="E38" s="434"/>
      <c r="F38" s="435"/>
      <c r="G38" s="129"/>
      <c r="H38" s="129"/>
    </row>
    <row r="39" spans="3:8">
      <c r="C39" s="107">
        <v>34</v>
      </c>
      <c r="D39" s="107"/>
      <c r="E39" s="434"/>
      <c r="F39" s="435"/>
      <c r="G39" s="129"/>
      <c r="H39" s="129"/>
    </row>
    <row r="40" spans="3:8">
      <c r="C40" s="107">
        <v>35</v>
      </c>
      <c r="D40" s="107"/>
      <c r="E40" s="434"/>
      <c r="F40" s="435"/>
      <c r="G40" s="129"/>
      <c r="H40" s="129"/>
    </row>
    <row r="41" spans="3:8">
      <c r="C41" s="107">
        <v>36</v>
      </c>
      <c r="D41" s="107"/>
      <c r="E41" s="434"/>
      <c r="F41" s="435"/>
      <c r="G41" s="129"/>
      <c r="H41" s="129"/>
    </row>
    <row r="42" spans="3:8" ht="30.75" customHeight="1">
      <c r="C42" s="107">
        <v>37</v>
      </c>
      <c r="D42" s="107"/>
      <c r="E42" s="434"/>
      <c r="F42" s="435"/>
      <c r="G42" s="129"/>
      <c r="H42" s="129"/>
    </row>
    <row r="43" spans="3:8">
      <c r="C43" s="107">
        <v>38</v>
      </c>
      <c r="D43" s="107"/>
      <c r="E43" s="434"/>
      <c r="F43" s="435"/>
      <c r="G43" s="129"/>
      <c r="H43" s="129"/>
    </row>
    <row r="44" spans="3:8">
      <c r="C44" s="107">
        <v>39</v>
      </c>
      <c r="D44" s="107"/>
      <c r="E44" s="426"/>
      <c r="F44" s="427"/>
      <c r="G44" s="129"/>
      <c r="H44" s="129"/>
    </row>
    <row r="45" spans="3:8">
      <c r="C45" s="107">
        <v>40</v>
      </c>
      <c r="D45" s="107"/>
      <c r="E45" s="434"/>
      <c r="F45" s="435"/>
      <c r="G45" s="129"/>
      <c r="H45" s="129"/>
    </row>
    <row r="46" spans="3:8" ht="15" customHeight="1">
      <c r="C46" s="107">
        <v>41</v>
      </c>
      <c r="D46" s="107"/>
      <c r="E46" s="434"/>
      <c r="F46" s="435"/>
      <c r="G46" s="129"/>
      <c r="H46" s="129"/>
    </row>
    <row r="47" spans="3:8" ht="15" customHeight="1">
      <c r="C47" s="107">
        <v>42</v>
      </c>
      <c r="D47" s="107"/>
      <c r="E47" s="434"/>
      <c r="F47" s="435"/>
      <c r="G47" s="129"/>
      <c r="H47" s="129"/>
    </row>
    <row r="48" spans="3:8" ht="15" customHeight="1">
      <c r="C48" s="107">
        <v>43</v>
      </c>
      <c r="D48" s="107"/>
      <c r="E48" s="434"/>
      <c r="F48" s="435"/>
      <c r="G48" s="129"/>
      <c r="H48" s="129"/>
    </row>
    <row r="49" spans="3:8">
      <c r="C49" s="107">
        <v>44</v>
      </c>
      <c r="D49" s="107"/>
      <c r="E49" s="434"/>
      <c r="F49" s="435"/>
      <c r="G49" s="129"/>
      <c r="H49" s="129"/>
    </row>
    <row r="50" spans="3:8">
      <c r="C50" s="107">
        <v>45</v>
      </c>
      <c r="D50" s="107"/>
      <c r="E50" s="434"/>
      <c r="F50" s="435"/>
      <c r="G50" s="129"/>
      <c r="H50" s="129"/>
    </row>
    <row r="51" spans="3:8">
      <c r="C51" s="107">
        <v>46</v>
      </c>
      <c r="D51" s="107"/>
      <c r="E51" s="434"/>
      <c r="F51" s="435"/>
      <c r="G51" s="129"/>
      <c r="H51" s="129"/>
    </row>
    <row r="52" spans="3:8">
      <c r="C52" s="107">
        <v>47</v>
      </c>
      <c r="D52" s="107"/>
      <c r="E52" s="434"/>
      <c r="F52" s="435"/>
      <c r="G52" s="129"/>
      <c r="H52" s="129"/>
    </row>
    <row r="53" spans="3:8">
      <c r="C53" s="107">
        <v>48</v>
      </c>
      <c r="D53" s="107"/>
      <c r="E53" s="434"/>
      <c r="F53" s="435"/>
      <c r="G53" s="129"/>
      <c r="H53" s="129"/>
    </row>
    <row r="54" spans="3:8">
      <c r="C54" s="107">
        <v>49</v>
      </c>
      <c r="D54" s="107"/>
      <c r="E54" s="434"/>
      <c r="F54" s="435"/>
      <c r="G54" s="129"/>
      <c r="H54" s="129"/>
    </row>
    <row r="55" spans="3:8">
      <c r="C55" s="107">
        <v>50</v>
      </c>
      <c r="D55" s="107" t="s">
        <v>754</v>
      </c>
      <c r="E55" s="434" t="s">
        <v>755</v>
      </c>
      <c r="F55" s="435"/>
      <c r="G55" s="129"/>
      <c r="H55" s="129"/>
    </row>
    <row r="56" spans="3:8" ht="30" customHeight="1">
      <c r="C56" s="107">
        <v>51</v>
      </c>
      <c r="D56" s="107"/>
      <c r="E56" s="434"/>
      <c r="F56" s="435"/>
      <c r="G56" s="129"/>
      <c r="H56" s="129"/>
    </row>
    <row r="57" spans="3:8">
      <c r="C57" s="107">
        <v>52</v>
      </c>
      <c r="D57" s="107"/>
      <c r="E57" s="434"/>
      <c r="F57" s="435"/>
      <c r="G57" s="129"/>
      <c r="H57" s="129"/>
    </row>
    <row r="58" spans="3:8">
      <c r="C58" s="107">
        <v>53</v>
      </c>
      <c r="D58" s="107"/>
      <c r="E58" s="434"/>
      <c r="F58" s="435"/>
      <c r="G58" s="129"/>
      <c r="H58" s="129"/>
    </row>
    <row r="59" spans="3:8">
      <c r="C59" s="107">
        <v>54</v>
      </c>
      <c r="D59" s="107"/>
      <c r="E59" s="434"/>
      <c r="F59" s="435"/>
      <c r="G59" s="129"/>
      <c r="H59" s="129"/>
    </row>
    <row r="60" spans="3:8">
      <c r="C60" s="107">
        <v>55</v>
      </c>
      <c r="D60" s="107"/>
      <c r="E60" s="434"/>
      <c r="F60" s="435"/>
      <c r="G60" s="129"/>
      <c r="H60" s="129"/>
    </row>
    <row r="61" spans="3:8">
      <c r="C61" s="107">
        <v>56</v>
      </c>
      <c r="D61" s="107"/>
      <c r="E61" s="434"/>
      <c r="F61" s="435"/>
      <c r="G61" s="129"/>
      <c r="H61" s="129"/>
    </row>
    <row r="62" spans="3:8">
      <c r="C62" s="107">
        <v>57</v>
      </c>
      <c r="D62" s="107"/>
      <c r="E62" s="434"/>
      <c r="F62" s="435"/>
      <c r="G62" s="129"/>
      <c r="H62" s="129"/>
    </row>
    <row r="63" spans="3:8">
      <c r="C63" s="107">
        <v>58</v>
      </c>
      <c r="D63" s="107"/>
      <c r="E63" s="434"/>
      <c r="F63" s="435"/>
      <c r="G63" s="129"/>
      <c r="H63" s="129"/>
    </row>
    <row r="64" spans="3:8">
      <c r="C64" s="107">
        <v>59</v>
      </c>
      <c r="D64" s="107"/>
      <c r="E64" s="434"/>
      <c r="F64" s="435"/>
      <c r="G64" s="129"/>
      <c r="H64" s="129"/>
    </row>
    <row r="65" spans="3:8">
      <c r="C65" s="107">
        <v>60</v>
      </c>
      <c r="D65" s="107"/>
      <c r="E65" s="434"/>
      <c r="F65" s="435"/>
      <c r="G65" s="129"/>
      <c r="H65" s="129"/>
    </row>
    <row r="66" spans="3:8">
      <c r="C66" s="107">
        <v>61</v>
      </c>
      <c r="D66" s="107"/>
      <c r="E66" s="434"/>
      <c r="F66" s="435"/>
      <c r="G66" s="129"/>
      <c r="H66" s="129"/>
    </row>
    <row r="67" spans="3:8">
      <c r="C67" s="107">
        <v>62</v>
      </c>
      <c r="D67" s="107"/>
      <c r="E67" s="434"/>
      <c r="F67" s="435"/>
      <c r="G67" s="129"/>
      <c r="H67" s="129"/>
    </row>
    <row r="68" spans="3:8">
      <c r="C68" s="107">
        <v>63</v>
      </c>
      <c r="D68" s="107"/>
      <c r="E68" s="434"/>
      <c r="F68" s="435"/>
      <c r="G68" s="129"/>
      <c r="H68" s="129"/>
    </row>
    <row r="69" spans="3:8" ht="15" customHeight="1">
      <c r="C69" s="107">
        <v>64</v>
      </c>
      <c r="D69" s="107"/>
      <c r="E69" s="434"/>
      <c r="F69" s="435"/>
      <c r="G69" s="129"/>
      <c r="H69" s="129"/>
    </row>
    <row r="70" spans="3:8">
      <c r="C70" s="107">
        <v>65</v>
      </c>
      <c r="D70" s="107"/>
      <c r="E70" s="434"/>
      <c r="F70" s="435"/>
      <c r="G70" s="129"/>
      <c r="H70" s="129"/>
    </row>
    <row r="71" spans="3:8">
      <c r="C71" s="107">
        <v>66</v>
      </c>
      <c r="D71" s="107"/>
      <c r="E71" s="434"/>
      <c r="F71" s="435"/>
      <c r="G71" s="129"/>
      <c r="H71" s="129"/>
    </row>
    <row r="72" spans="3:8">
      <c r="C72" s="107">
        <v>67</v>
      </c>
      <c r="D72" s="107"/>
      <c r="E72" s="434"/>
      <c r="F72" s="435"/>
      <c r="G72" s="129"/>
      <c r="H72" s="129"/>
    </row>
    <row r="73" spans="3:8">
      <c r="C73" s="107">
        <v>68</v>
      </c>
      <c r="D73" s="107"/>
      <c r="E73" s="434"/>
      <c r="F73" s="435"/>
      <c r="G73" s="129"/>
      <c r="H73" s="129"/>
    </row>
    <row r="74" spans="3:8">
      <c r="C74" s="107">
        <v>69</v>
      </c>
      <c r="D74" s="107"/>
      <c r="E74" s="434"/>
      <c r="F74" s="435"/>
      <c r="G74" s="129"/>
      <c r="H74" s="129"/>
    </row>
    <row r="75" spans="3:8">
      <c r="C75" s="107">
        <v>70</v>
      </c>
      <c r="D75" s="107"/>
      <c r="E75" s="434"/>
      <c r="F75" s="435"/>
      <c r="G75" s="129"/>
      <c r="H75" s="129"/>
    </row>
    <row r="76" spans="3:8">
      <c r="C76" s="107">
        <v>71</v>
      </c>
      <c r="D76" s="107"/>
      <c r="E76" s="434"/>
      <c r="F76" s="435"/>
      <c r="G76" s="129"/>
      <c r="H76" s="129"/>
    </row>
    <row r="77" spans="3:8">
      <c r="C77" s="107">
        <v>72</v>
      </c>
      <c r="D77" s="107"/>
      <c r="E77" s="434"/>
      <c r="F77" s="435"/>
      <c r="G77" s="129"/>
      <c r="H77" s="129"/>
    </row>
    <row r="78" spans="3:8">
      <c r="C78" s="107">
        <v>73</v>
      </c>
      <c r="D78" s="107"/>
      <c r="E78" s="434"/>
      <c r="F78" s="435"/>
      <c r="G78" s="129"/>
      <c r="H78" s="129"/>
    </row>
    <row r="79" spans="3:8">
      <c r="C79" s="107">
        <v>74</v>
      </c>
      <c r="D79" s="107"/>
      <c r="E79" s="434"/>
      <c r="F79" s="435"/>
      <c r="G79" s="129"/>
      <c r="H79" s="129"/>
    </row>
    <row r="80" spans="3:8">
      <c r="C80" s="107">
        <v>75</v>
      </c>
      <c r="D80" s="107"/>
      <c r="E80" s="434"/>
      <c r="F80" s="435"/>
      <c r="G80" s="129"/>
      <c r="H80" s="129"/>
    </row>
    <row r="81" spans="3:8">
      <c r="C81" s="107">
        <v>76</v>
      </c>
      <c r="D81" s="107"/>
      <c r="E81" s="434"/>
      <c r="F81" s="435"/>
      <c r="G81" s="107"/>
      <c r="H81" s="129"/>
    </row>
    <row r="82" spans="3:8">
      <c r="C82" s="107">
        <v>77</v>
      </c>
      <c r="D82" s="107"/>
      <c r="E82" s="434"/>
      <c r="F82" s="435"/>
      <c r="G82" s="129"/>
      <c r="H82" s="129"/>
    </row>
    <row r="83" spans="3:8">
      <c r="C83" s="107">
        <v>78</v>
      </c>
      <c r="D83" s="107"/>
      <c r="E83" s="434"/>
      <c r="F83" s="435"/>
      <c r="G83" s="129"/>
      <c r="H83" s="129"/>
    </row>
    <row r="84" spans="3:8">
      <c r="C84" s="107">
        <v>79</v>
      </c>
      <c r="D84" s="107"/>
      <c r="E84" s="434"/>
      <c r="F84" s="435"/>
      <c r="G84" s="129"/>
      <c r="H84" s="129"/>
    </row>
    <row r="85" spans="3:8">
      <c r="C85" s="107">
        <v>80</v>
      </c>
      <c r="D85" s="1"/>
      <c r="E85" s="434"/>
      <c r="F85" s="435"/>
      <c r="G85" s="129"/>
      <c r="H85" s="129"/>
    </row>
    <row r="86" spans="3:8">
      <c r="C86" s="107">
        <v>81</v>
      </c>
      <c r="D86" s="107"/>
      <c r="E86" s="434"/>
      <c r="F86" s="435"/>
      <c r="G86" s="107"/>
      <c r="H86" s="107"/>
    </row>
    <row r="87" spans="3:8">
      <c r="C87" s="107">
        <v>82</v>
      </c>
      <c r="D87" s="107"/>
      <c r="E87" s="434"/>
      <c r="F87" s="435"/>
      <c r="G87" s="107"/>
      <c r="H87" s="107"/>
    </row>
    <row r="88" spans="3:8">
      <c r="C88" s="107">
        <v>83</v>
      </c>
      <c r="D88" s="107"/>
      <c r="E88" s="434"/>
      <c r="F88" s="435"/>
      <c r="G88" s="107"/>
      <c r="H88" s="107"/>
    </row>
    <row r="89" spans="3:8">
      <c r="C89" s="107">
        <v>84</v>
      </c>
      <c r="D89" s="107"/>
      <c r="E89" s="434"/>
      <c r="F89" s="435"/>
      <c r="G89" s="107"/>
      <c r="H89" s="107"/>
    </row>
    <row r="90" spans="3:8">
      <c r="C90" s="107">
        <v>85</v>
      </c>
      <c r="D90" s="107"/>
      <c r="E90" s="434"/>
      <c r="F90" s="435"/>
      <c r="G90" s="107"/>
      <c r="H90" s="107"/>
    </row>
    <row r="91" spans="3:8">
      <c r="C91" s="107">
        <v>86</v>
      </c>
      <c r="D91" s="107"/>
      <c r="E91" s="434"/>
      <c r="F91" s="435"/>
      <c r="G91" s="107"/>
      <c r="H91" s="107"/>
    </row>
    <row r="92" spans="3:8">
      <c r="C92" s="107">
        <v>87</v>
      </c>
      <c r="D92" s="107"/>
      <c r="E92" s="434"/>
      <c r="F92" s="435"/>
      <c r="G92" s="107"/>
      <c r="H92" s="107"/>
    </row>
    <row r="93" spans="3:8">
      <c r="C93" s="107">
        <v>88</v>
      </c>
      <c r="D93" s="107"/>
      <c r="E93" s="426"/>
      <c r="F93" s="427"/>
      <c r="G93" s="107"/>
      <c r="H93" s="107"/>
    </row>
    <row r="94" spans="3:8">
      <c r="C94" s="107">
        <v>89</v>
      </c>
      <c r="D94" s="107"/>
      <c r="E94" s="434"/>
      <c r="F94" s="435"/>
      <c r="G94" s="107"/>
      <c r="H94" s="107"/>
    </row>
    <row r="95" spans="3:8">
      <c r="C95" s="107">
        <v>90</v>
      </c>
      <c r="D95" s="107"/>
      <c r="E95" s="434"/>
      <c r="F95" s="435"/>
      <c r="G95" s="107"/>
      <c r="H95" s="107"/>
    </row>
    <row r="96" spans="3:8">
      <c r="C96" s="107">
        <v>91</v>
      </c>
      <c r="D96" s="107"/>
      <c r="E96" s="434"/>
      <c r="F96" s="435"/>
      <c r="G96" s="107"/>
      <c r="H96" s="107"/>
    </row>
    <row r="97" spans="3:8">
      <c r="C97" s="107">
        <v>92</v>
      </c>
      <c r="D97" s="107"/>
      <c r="E97" s="426"/>
      <c r="F97" s="427"/>
      <c r="G97" s="107"/>
      <c r="H97" s="107"/>
    </row>
    <row r="98" spans="3:8">
      <c r="C98" s="107">
        <v>93</v>
      </c>
      <c r="D98" s="107"/>
      <c r="E98" s="434"/>
      <c r="F98" s="435"/>
      <c r="G98" s="107"/>
      <c r="H98" s="107"/>
    </row>
    <row r="99" spans="3:8">
      <c r="C99" s="107">
        <v>94</v>
      </c>
      <c r="D99" s="107"/>
      <c r="E99" s="434"/>
      <c r="F99" s="435"/>
      <c r="G99" s="107"/>
      <c r="H99" s="107"/>
    </row>
    <row r="100" spans="3:8">
      <c r="C100" s="107">
        <v>95</v>
      </c>
      <c r="D100" s="107"/>
      <c r="E100" s="434"/>
      <c r="F100" s="435"/>
      <c r="G100" s="107"/>
      <c r="H100" s="107"/>
    </row>
    <row r="101" spans="3:8">
      <c r="C101" s="107">
        <v>96</v>
      </c>
      <c r="D101" s="107"/>
      <c r="E101" s="434"/>
      <c r="F101" s="435"/>
      <c r="G101" s="107"/>
      <c r="H101" s="107"/>
    </row>
    <row r="102" spans="3:8">
      <c r="C102" s="107">
        <v>97</v>
      </c>
      <c r="D102" s="107"/>
      <c r="E102" s="434"/>
      <c r="F102" s="435"/>
      <c r="G102" s="107"/>
      <c r="H102" s="107"/>
    </row>
    <row r="103" spans="3:8">
      <c r="C103" s="107">
        <v>98</v>
      </c>
      <c r="D103" s="107"/>
      <c r="E103" s="434"/>
      <c r="F103" s="435"/>
      <c r="G103" s="107"/>
      <c r="H103" s="107"/>
    </row>
    <row r="104" spans="3:8">
      <c r="C104" s="107">
        <v>99</v>
      </c>
      <c r="D104" s="107"/>
      <c r="E104" s="434"/>
      <c r="F104" s="435"/>
      <c r="G104" s="107"/>
      <c r="H104" s="107"/>
    </row>
    <row r="105" spans="3:8">
      <c r="C105" s="107">
        <v>100</v>
      </c>
      <c r="D105" s="107"/>
      <c r="E105" s="434"/>
      <c r="F105" s="435"/>
      <c r="G105" s="107"/>
      <c r="H105" s="107"/>
    </row>
    <row r="106" spans="3:8">
      <c r="C106" s="107">
        <v>101</v>
      </c>
      <c r="D106" s="107"/>
      <c r="E106" s="434"/>
      <c r="F106" s="435"/>
      <c r="G106" s="107"/>
      <c r="H106" s="107"/>
    </row>
    <row r="107" spans="3:8">
      <c r="C107" s="107">
        <v>102</v>
      </c>
      <c r="D107" s="107"/>
      <c r="E107" s="434"/>
      <c r="F107" s="435"/>
      <c r="G107" s="107"/>
      <c r="H107" s="107"/>
    </row>
    <row r="108" spans="3:8">
      <c r="C108" s="107">
        <v>103</v>
      </c>
      <c r="D108" s="107"/>
      <c r="E108" s="434"/>
      <c r="F108" s="435"/>
      <c r="G108" s="107"/>
      <c r="H108" s="107"/>
    </row>
    <row r="109" spans="3:8">
      <c r="C109" s="107">
        <v>104</v>
      </c>
      <c r="D109" s="107"/>
      <c r="E109" s="434"/>
      <c r="F109" s="435"/>
      <c r="G109" s="107"/>
      <c r="H109" s="107"/>
    </row>
    <row r="110" spans="3:8">
      <c r="C110" s="107">
        <v>105</v>
      </c>
      <c r="D110" s="107"/>
      <c r="E110" s="434"/>
      <c r="F110" s="435"/>
      <c r="G110" s="107"/>
      <c r="H110" s="107"/>
    </row>
    <row r="111" spans="3:8">
      <c r="C111" s="107">
        <v>106</v>
      </c>
      <c r="D111" s="107"/>
      <c r="E111" s="434"/>
      <c r="F111" s="435"/>
      <c r="G111" s="107"/>
      <c r="H111" s="107"/>
    </row>
    <row r="112" spans="3:8">
      <c r="C112" s="107">
        <v>107</v>
      </c>
      <c r="D112" s="107"/>
      <c r="E112" s="434"/>
      <c r="F112" s="435"/>
      <c r="G112" s="107"/>
      <c r="H112" s="107"/>
    </row>
    <row r="113" spans="3:8">
      <c r="C113" s="107">
        <v>108</v>
      </c>
      <c r="D113" s="107"/>
      <c r="E113" s="434"/>
      <c r="F113" s="435"/>
      <c r="G113" s="107"/>
      <c r="H113" s="107"/>
    </row>
    <row r="114" spans="3:8">
      <c r="C114" s="107">
        <v>109</v>
      </c>
      <c r="D114" s="107"/>
      <c r="E114" s="434"/>
      <c r="F114" s="435"/>
      <c r="G114" s="107"/>
      <c r="H114" s="107"/>
    </row>
    <row r="115" spans="3:8">
      <c r="C115" s="107">
        <v>110</v>
      </c>
      <c r="D115" s="107"/>
      <c r="E115" s="434"/>
      <c r="F115" s="435"/>
      <c r="G115" s="107"/>
      <c r="H115" s="107"/>
    </row>
    <row r="116" spans="3:8">
      <c r="C116" s="107">
        <v>111</v>
      </c>
      <c r="D116" s="1"/>
      <c r="E116" s="434"/>
      <c r="F116" s="435"/>
      <c r="G116" s="107"/>
      <c r="H116" s="107"/>
    </row>
    <row r="117" spans="3:8">
      <c r="C117" s="107">
        <v>112</v>
      </c>
      <c r="D117" s="107"/>
      <c r="E117" s="434"/>
      <c r="F117" s="435"/>
      <c r="G117" s="107"/>
      <c r="H117" s="107"/>
    </row>
    <row r="118" spans="3:8">
      <c r="C118" s="107">
        <v>113</v>
      </c>
      <c r="D118" s="107"/>
      <c r="E118" s="434"/>
      <c r="F118" s="435"/>
      <c r="G118" s="107"/>
      <c r="H118" s="107"/>
    </row>
    <row r="119" spans="3:8">
      <c r="C119" s="107">
        <v>114</v>
      </c>
      <c r="D119" s="107"/>
      <c r="E119" s="434"/>
      <c r="F119" s="435"/>
      <c r="G119" s="107"/>
      <c r="H119" s="107"/>
    </row>
    <row r="120" spans="3:8">
      <c r="C120" s="107">
        <v>115</v>
      </c>
      <c r="D120" s="107"/>
      <c r="E120" s="434"/>
      <c r="F120" s="435"/>
      <c r="G120" s="107"/>
      <c r="H120" s="107"/>
    </row>
    <row r="121" spans="3:8">
      <c r="C121" s="107">
        <v>116</v>
      </c>
      <c r="D121" s="107"/>
      <c r="E121" s="434"/>
      <c r="F121" s="435"/>
      <c r="G121" s="107"/>
      <c r="H121" s="107"/>
    </row>
    <row r="122" spans="3:8">
      <c r="C122" s="107">
        <v>117</v>
      </c>
      <c r="D122" s="107"/>
      <c r="E122" s="434"/>
      <c r="F122" s="435"/>
      <c r="G122" s="107"/>
      <c r="H122" s="107"/>
    </row>
    <row r="123" spans="3:8">
      <c r="C123" s="107">
        <v>118</v>
      </c>
      <c r="D123" s="107"/>
      <c r="E123" s="434"/>
      <c r="F123" s="435"/>
      <c r="G123" s="107"/>
      <c r="H123" s="107"/>
    </row>
    <row r="124" spans="3:8">
      <c r="C124" s="107">
        <v>119</v>
      </c>
      <c r="D124" s="107"/>
      <c r="E124" s="434"/>
      <c r="F124" s="435"/>
      <c r="G124" s="107"/>
      <c r="H124" s="107"/>
    </row>
    <row r="125" spans="3:8">
      <c r="C125" s="107">
        <v>120</v>
      </c>
      <c r="D125" s="107"/>
      <c r="E125" s="434"/>
      <c r="F125" s="435"/>
      <c r="G125" s="107"/>
      <c r="H125" s="107"/>
    </row>
    <row r="126" spans="3:8">
      <c r="C126" s="107">
        <v>121</v>
      </c>
      <c r="D126" s="107"/>
      <c r="E126" s="434"/>
      <c r="F126" s="435"/>
      <c r="G126" s="107"/>
      <c r="H126" s="107"/>
    </row>
    <row r="127" spans="3:8">
      <c r="C127" s="107">
        <v>122</v>
      </c>
      <c r="D127" s="107"/>
      <c r="E127" s="434"/>
      <c r="F127" s="435"/>
      <c r="G127" s="107"/>
      <c r="H127" s="107"/>
    </row>
    <row r="128" spans="3:8">
      <c r="C128" s="107">
        <v>123</v>
      </c>
      <c r="D128" s="107"/>
      <c r="E128" s="434"/>
      <c r="F128" s="435"/>
      <c r="G128" s="107"/>
      <c r="H128" s="107"/>
    </row>
    <row r="129" spans="3:8">
      <c r="C129" s="107">
        <v>124</v>
      </c>
      <c r="D129" s="107"/>
      <c r="E129" s="434"/>
      <c r="F129" s="435"/>
      <c r="G129" s="107"/>
      <c r="H129" s="107"/>
    </row>
    <row r="130" spans="3:8">
      <c r="C130" s="107">
        <v>125</v>
      </c>
      <c r="D130" s="107"/>
      <c r="E130" s="434"/>
      <c r="F130" s="435"/>
      <c r="G130" s="107"/>
      <c r="H130" s="107"/>
    </row>
    <row r="131" spans="3:8">
      <c r="C131" s="107">
        <v>126</v>
      </c>
      <c r="D131" s="107"/>
      <c r="E131" s="434"/>
      <c r="F131" s="435"/>
      <c r="G131" s="107"/>
      <c r="H131" s="107"/>
    </row>
    <row r="132" spans="3:8">
      <c r="C132" s="107">
        <v>127</v>
      </c>
      <c r="D132" s="107"/>
      <c r="E132" s="434"/>
      <c r="F132" s="435"/>
      <c r="G132" s="107"/>
      <c r="H132" s="107"/>
    </row>
    <row r="133" spans="3:8">
      <c r="C133" s="107">
        <v>128</v>
      </c>
      <c r="D133" s="107"/>
      <c r="E133" s="434"/>
      <c r="F133" s="435"/>
      <c r="G133" s="107"/>
      <c r="H133" s="107"/>
    </row>
    <row r="134" spans="3:8">
      <c r="C134" s="107">
        <v>129</v>
      </c>
      <c r="D134" s="107"/>
      <c r="E134" s="434"/>
      <c r="F134" s="435"/>
      <c r="G134" s="107"/>
      <c r="H134" s="107"/>
    </row>
    <row r="135" spans="3:8">
      <c r="C135" s="107">
        <v>130</v>
      </c>
      <c r="D135" s="107"/>
      <c r="E135" s="434"/>
      <c r="F135" s="435"/>
      <c r="G135" s="107"/>
      <c r="H135" s="107"/>
    </row>
    <row r="136" spans="3:8">
      <c r="C136" s="107">
        <v>131</v>
      </c>
      <c r="D136" s="107"/>
      <c r="E136" s="434"/>
      <c r="F136" s="435"/>
      <c r="G136" s="107"/>
      <c r="H136" s="107"/>
    </row>
    <row r="137" spans="3:8">
      <c r="C137" s="107">
        <v>132</v>
      </c>
      <c r="D137" s="107"/>
      <c r="E137" s="434"/>
      <c r="F137" s="435"/>
      <c r="G137" s="107"/>
      <c r="H137" s="107"/>
    </row>
    <row r="138" spans="3:8">
      <c r="C138" s="107">
        <v>133</v>
      </c>
      <c r="D138" s="107"/>
      <c r="E138" s="434"/>
      <c r="F138" s="435"/>
      <c r="G138" s="107"/>
      <c r="H138" s="107"/>
    </row>
    <row r="139" spans="3:8">
      <c r="C139" s="107">
        <v>134</v>
      </c>
      <c r="D139" s="107"/>
      <c r="E139" s="434"/>
      <c r="F139" s="435"/>
      <c r="G139" s="107"/>
      <c r="H139" s="107"/>
    </row>
    <row r="140" spans="3:8">
      <c r="C140" s="107">
        <v>135</v>
      </c>
      <c r="D140" s="107"/>
      <c r="E140" s="434"/>
      <c r="F140" s="435"/>
      <c r="G140" s="107"/>
      <c r="H140" s="107"/>
    </row>
    <row r="141" spans="3:8">
      <c r="C141" s="107">
        <v>136</v>
      </c>
      <c r="D141" s="107"/>
      <c r="E141" s="434"/>
      <c r="F141" s="435"/>
      <c r="G141" s="107"/>
      <c r="H141" s="107"/>
    </row>
    <row r="142" spans="3:8">
      <c r="C142" s="107">
        <v>137</v>
      </c>
      <c r="D142" s="107"/>
      <c r="E142" s="434"/>
      <c r="F142" s="435"/>
      <c r="G142" s="107"/>
      <c r="H142" s="107"/>
    </row>
    <row r="143" spans="3:8">
      <c r="C143" s="107">
        <v>138</v>
      </c>
      <c r="D143" s="107"/>
      <c r="E143" s="434"/>
      <c r="F143" s="435"/>
      <c r="G143" s="107"/>
      <c r="H143" s="107"/>
    </row>
    <row r="144" spans="3:8">
      <c r="C144" s="107">
        <v>139</v>
      </c>
      <c r="D144" s="107"/>
      <c r="E144" s="434"/>
      <c r="F144" s="435"/>
      <c r="G144" s="107"/>
      <c r="H144" s="107"/>
    </row>
    <row r="145" spans="3:8">
      <c r="C145" s="107">
        <v>140</v>
      </c>
      <c r="D145" s="107"/>
      <c r="E145" s="434"/>
      <c r="F145" s="435"/>
      <c r="G145" s="107"/>
      <c r="H145" s="107"/>
    </row>
    <row r="146" spans="3:8">
      <c r="C146" s="107">
        <v>141</v>
      </c>
      <c r="D146" s="107"/>
      <c r="E146" s="434"/>
      <c r="F146" s="435"/>
      <c r="G146" s="107"/>
      <c r="H146" s="107"/>
    </row>
    <row r="147" spans="3:8">
      <c r="C147" s="107">
        <v>142</v>
      </c>
      <c r="D147" s="107"/>
      <c r="E147" s="434"/>
      <c r="F147" s="435"/>
      <c r="G147" s="107"/>
      <c r="H147" s="107"/>
    </row>
    <row r="148" spans="3:8">
      <c r="C148" s="107">
        <v>143</v>
      </c>
      <c r="D148" s="107"/>
      <c r="E148" s="434"/>
      <c r="F148" s="435"/>
      <c r="G148" s="107"/>
      <c r="H148" s="107"/>
    </row>
    <row r="149" spans="3:8">
      <c r="C149" s="107">
        <v>144</v>
      </c>
      <c r="D149" s="107"/>
      <c r="E149" s="434"/>
      <c r="F149" s="435"/>
      <c r="G149" s="107"/>
      <c r="H149" s="107"/>
    </row>
    <row r="150" spans="3:8">
      <c r="C150" s="107">
        <v>145</v>
      </c>
      <c r="D150" s="107"/>
      <c r="E150" s="434"/>
      <c r="F150" s="435"/>
      <c r="G150" s="107"/>
      <c r="H150" s="107"/>
    </row>
    <row r="151" spans="3:8">
      <c r="C151" s="107">
        <v>146</v>
      </c>
      <c r="D151" s="107"/>
      <c r="E151" s="434"/>
      <c r="F151" s="435"/>
      <c r="G151" s="107"/>
      <c r="H151" s="107"/>
    </row>
    <row r="152" spans="3:8">
      <c r="C152" s="107">
        <v>147</v>
      </c>
      <c r="D152" s="107"/>
      <c r="E152" s="434"/>
      <c r="F152" s="435"/>
      <c r="G152" s="107"/>
      <c r="H152" s="107"/>
    </row>
    <row r="153" spans="3:8">
      <c r="C153" s="107">
        <v>148</v>
      </c>
      <c r="D153" s="107"/>
      <c r="E153" s="434"/>
      <c r="F153" s="435"/>
      <c r="G153" s="107"/>
      <c r="H153" s="107"/>
    </row>
    <row r="154" spans="3:8">
      <c r="C154" s="107">
        <v>149</v>
      </c>
      <c r="D154" s="107"/>
      <c r="E154" s="434"/>
      <c r="F154" s="435"/>
      <c r="G154" s="107"/>
      <c r="H154" s="107"/>
    </row>
    <row r="155" spans="3:8">
      <c r="C155" s="107">
        <v>150</v>
      </c>
      <c r="D155" s="107"/>
      <c r="E155" s="434"/>
      <c r="F155" s="435"/>
      <c r="G155" s="107"/>
      <c r="H155" s="107"/>
    </row>
    <row r="156" spans="3:8">
      <c r="C156" s="107">
        <v>151</v>
      </c>
      <c r="D156" s="107"/>
      <c r="E156" s="434"/>
      <c r="F156" s="435"/>
      <c r="G156" s="107"/>
      <c r="H156" s="107"/>
    </row>
    <row r="157" spans="3:8" ht="15" customHeight="1">
      <c r="C157" s="107">
        <v>152</v>
      </c>
      <c r="D157" s="107"/>
      <c r="E157" s="434"/>
      <c r="F157" s="435"/>
      <c r="G157" s="107"/>
      <c r="H157" s="107"/>
    </row>
    <row r="158" spans="3:8">
      <c r="C158" s="107">
        <v>153</v>
      </c>
      <c r="D158" s="107"/>
      <c r="E158" s="434"/>
      <c r="F158" s="435"/>
      <c r="G158" s="107"/>
      <c r="H158" s="107"/>
    </row>
    <row r="159" spans="3:8">
      <c r="C159" s="107">
        <v>154</v>
      </c>
      <c r="D159" s="107"/>
      <c r="E159" s="434"/>
      <c r="F159" s="435"/>
      <c r="G159" s="107"/>
      <c r="H159" s="107"/>
    </row>
    <row r="160" spans="3:8">
      <c r="C160" s="107">
        <v>155</v>
      </c>
      <c r="D160" s="107"/>
      <c r="E160" s="434"/>
      <c r="F160" s="435"/>
      <c r="G160" s="107"/>
      <c r="H160" s="107"/>
    </row>
    <row r="161" spans="3:8">
      <c r="C161" s="107">
        <v>156</v>
      </c>
      <c r="D161" s="107"/>
      <c r="E161" s="434"/>
      <c r="F161" s="435"/>
      <c r="G161" s="107"/>
      <c r="H161" s="107"/>
    </row>
    <row r="162" spans="3:8">
      <c r="C162" s="107">
        <v>157</v>
      </c>
      <c r="D162" s="107"/>
      <c r="E162" s="434"/>
      <c r="F162" s="435"/>
      <c r="G162" s="107"/>
      <c r="H162" s="107"/>
    </row>
    <row r="163" spans="3:8">
      <c r="C163" s="107">
        <v>158</v>
      </c>
      <c r="D163" s="107"/>
      <c r="E163" s="434"/>
      <c r="F163" s="435"/>
      <c r="G163" s="107"/>
      <c r="H163" s="107"/>
    </row>
    <row r="164" spans="3:8">
      <c r="C164" s="107">
        <v>159</v>
      </c>
      <c r="D164" s="107"/>
      <c r="E164" s="434"/>
      <c r="F164" s="435"/>
      <c r="G164" s="107"/>
      <c r="H164" s="107"/>
    </row>
    <row r="165" spans="3:8">
      <c r="C165" s="107">
        <v>160</v>
      </c>
      <c r="D165" s="107"/>
      <c r="E165" s="434"/>
      <c r="F165" s="435"/>
      <c r="G165" s="107"/>
      <c r="H165" s="107"/>
    </row>
    <row r="166" spans="3:8">
      <c r="C166" s="107">
        <v>161</v>
      </c>
      <c r="D166" s="107"/>
      <c r="E166" s="434"/>
      <c r="F166" s="435"/>
      <c r="G166" s="107"/>
      <c r="H166" s="107"/>
    </row>
    <row r="167" spans="3:8">
      <c r="C167" s="107">
        <v>162</v>
      </c>
      <c r="D167" s="107"/>
      <c r="E167" s="434"/>
      <c r="F167" s="435"/>
      <c r="G167" s="107"/>
      <c r="H167" s="107"/>
    </row>
    <row r="168" spans="3:8">
      <c r="C168" s="107">
        <v>163</v>
      </c>
      <c r="D168" s="107"/>
      <c r="E168" s="434"/>
      <c r="F168" s="435"/>
      <c r="G168" s="107"/>
      <c r="H168" s="107"/>
    </row>
    <row r="169" spans="3:8">
      <c r="C169" s="107">
        <v>164</v>
      </c>
      <c r="D169" s="107"/>
      <c r="E169" s="434"/>
      <c r="F169" s="435"/>
      <c r="G169" s="107"/>
      <c r="H169" s="107"/>
    </row>
    <row r="170" spans="3:8">
      <c r="C170" s="107">
        <v>165</v>
      </c>
      <c r="D170" s="107"/>
      <c r="E170" s="434"/>
      <c r="F170" s="435"/>
      <c r="G170" s="107"/>
      <c r="H170" s="107"/>
    </row>
    <row r="171" spans="3:8">
      <c r="C171" s="107">
        <v>166</v>
      </c>
      <c r="D171" s="107"/>
      <c r="E171" s="434"/>
      <c r="F171" s="435"/>
      <c r="G171" s="107"/>
      <c r="H171" s="107"/>
    </row>
    <row r="172" spans="3:8">
      <c r="C172" s="107">
        <v>167</v>
      </c>
      <c r="D172" s="107"/>
      <c r="E172" s="434"/>
      <c r="F172" s="435"/>
      <c r="G172" s="107"/>
      <c r="H172" s="107"/>
    </row>
    <row r="173" spans="3:8">
      <c r="C173" s="107">
        <v>168</v>
      </c>
      <c r="D173" s="107"/>
      <c r="E173" s="434"/>
      <c r="F173" s="435"/>
      <c r="G173" s="107"/>
      <c r="H173" s="107"/>
    </row>
    <row r="174" spans="3:8">
      <c r="C174" s="107">
        <v>169</v>
      </c>
      <c r="D174" s="107"/>
      <c r="E174" s="434"/>
      <c r="F174" s="435"/>
      <c r="G174" s="107"/>
      <c r="H174" s="107"/>
    </row>
    <row r="175" spans="3:8">
      <c r="C175" s="107">
        <v>170</v>
      </c>
      <c r="D175" s="107"/>
      <c r="E175" s="434"/>
      <c r="F175" s="435"/>
      <c r="G175" s="107"/>
      <c r="H175" s="107"/>
    </row>
    <row r="176" spans="3:8">
      <c r="C176" s="107">
        <v>171</v>
      </c>
      <c r="D176" s="107"/>
      <c r="E176" s="434"/>
      <c r="F176" s="435"/>
      <c r="G176" s="107"/>
      <c r="H176" s="107"/>
    </row>
    <row r="177" spans="3:8">
      <c r="C177" s="107">
        <v>172</v>
      </c>
      <c r="D177" s="107"/>
      <c r="E177" s="434"/>
      <c r="F177" s="435"/>
      <c r="G177" s="107"/>
      <c r="H177" s="107"/>
    </row>
  </sheetData>
  <mergeCells count="174">
    <mergeCell ref="E11:F11"/>
    <mergeCell ref="E12:F12"/>
    <mergeCell ref="E13:F13"/>
    <mergeCell ref="E8:F8"/>
    <mergeCell ref="E9:F9"/>
    <mergeCell ref="E10:F10"/>
    <mergeCell ref="C2:H3"/>
    <mergeCell ref="E5:F5"/>
    <mergeCell ref="E6:F6"/>
    <mergeCell ref="E7:F7"/>
    <mergeCell ref="E20:F20"/>
    <mergeCell ref="E21:F21"/>
    <mergeCell ref="E22:F22"/>
    <mergeCell ref="E17:F17"/>
    <mergeCell ref="E18:F18"/>
    <mergeCell ref="E19:F19"/>
    <mergeCell ref="E14:F14"/>
    <mergeCell ref="E15:F15"/>
    <mergeCell ref="E16:F16"/>
    <mergeCell ref="E29:F29"/>
    <mergeCell ref="E30:F30"/>
    <mergeCell ref="E31:F31"/>
    <mergeCell ref="E26:F26"/>
    <mergeCell ref="E27:F27"/>
    <mergeCell ref="E28:F28"/>
    <mergeCell ref="E23:F23"/>
    <mergeCell ref="E24:F24"/>
    <mergeCell ref="E25:F25"/>
    <mergeCell ref="E38:F38"/>
    <mergeCell ref="E39:F39"/>
    <mergeCell ref="E40:F40"/>
    <mergeCell ref="E35:F35"/>
    <mergeCell ref="E36:F36"/>
    <mergeCell ref="E37:F37"/>
    <mergeCell ref="E32:F32"/>
    <mergeCell ref="E33:F33"/>
    <mergeCell ref="E34:F34"/>
    <mergeCell ref="E47:F47"/>
    <mergeCell ref="E48:F48"/>
    <mergeCell ref="E49:F49"/>
    <mergeCell ref="E44:F44"/>
    <mergeCell ref="E45:F45"/>
    <mergeCell ref="E46:F46"/>
    <mergeCell ref="E41:F41"/>
    <mergeCell ref="E42:F42"/>
    <mergeCell ref="E43:F43"/>
    <mergeCell ref="E56:F56"/>
    <mergeCell ref="E57:F57"/>
    <mergeCell ref="E58:F58"/>
    <mergeCell ref="E53:F53"/>
    <mergeCell ref="E54:F54"/>
    <mergeCell ref="E55:F55"/>
    <mergeCell ref="E50:F50"/>
    <mergeCell ref="E51:F51"/>
    <mergeCell ref="E52:F52"/>
    <mergeCell ref="E65:F65"/>
    <mergeCell ref="E66:F66"/>
    <mergeCell ref="E67:F67"/>
    <mergeCell ref="E62:F62"/>
    <mergeCell ref="E63:F63"/>
    <mergeCell ref="E64:F64"/>
    <mergeCell ref="E59:F59"/>
    <mergeCell ref="E60:F60"/>
    <mergeCell ref="E61:F61"/>
    <mergeCell ref="E74:F74"/>
    <mergeCell ref="E75:F75"/>
    <mergeCell ref="E76:F76"/>
    <mergeCell ref="E71:F71"/>
    <mergeCell ref="E72:F72"/>
    <mergeCell ref="E73:F73"/>
    <mergeCell ref="E68:F68"/>
    <mergeCell ref="E69:F69"/>
    <mergeCell ref="E70:F70"/>
    <mergeCell ref="E83:F83"/>
    <mergeCell ref="E84:F84"/>
    <mergeCell ref="E85:F85"/>
    <mergeCell ref="E80:F80"/>
    <mergeCell ref="E81:F81"/>
    <mergeCell ref="E82:F82"/>
    <mergeCell ref="E77:F77"/>
    <mergeCell ref="E78:F78"/>
    <mergeCell ref="E79:F79"/>
    <mergeCell ref="E92:F92"/>
    <mergeCell ref="E93:F93"/>
    <mergeCell ref="E94:F94"/>
    <mergeCell ref="E89:F89"/>
    <mergeCell ref="E90:F90"/>
    <mergeCell ref="E91:F91"/>
    <mergeCell ref="E86:F86"/>
    <mergeCell ref="E87:F87"/>
    <mergeCell ref="E88:F88"/>
    <mergeCell ref="E101:F101"/>
    <mergeCell ref="E102:F102"/>
    <mergeCell ref="E103:F103"/>
    <mergeCell ref="E98:F98"/>
    <mergeCell ref="E99:F99"/>
    <mergeCell ref="E100:F100"/>
    <mergeCell ref="E95:F95"/>
    <mergeCell ref="E96:F96"/>
    <mergeCell ref="E97:F97"/>
    <mergeCell ref="E110:F110"/>
    <mergeCell ref="E111:F111"/>
    <mergeCell ref="E112:F112"/>
    <mergeCell ref="E107:F107"/>
    <mergeCell ref="E108:F108"/>
    <mergeCell ref="E109:F109"/>
    <mergeCell ref="E104:F104"/>
    <mergeCell ref="E105:F105"/>
    <mergeCell ref="E106:F106"/>
    <mergeCell ref="E119:F119"/>
    <mergeCell ref="E120:F120"/>
    <mergeCell ref="E121:F121"/>
    <mergeCell ref="E116:F116"/>
    <mergeCell ref="E117:F117"/>
    <mergeCell ref="E118:F118"/>
    <mergeCell ref="E113:F113"/>
    <mergeCell ref="E114:F114"/>
    <mergeCell ref="E115:F115"/>
    <mergeCell ref="E128:F128"/>
    <mergeCell ref="E129:F129"/>
    <mergeCell ref="E130:F130"/>
    <mergeCell ref="E125:F125"/>
    <mergeCell ref="E126:F126"/>
    <mergeCell ref="E127:F127"/>
    <mergeCell ref="E122:F122"/>
    <mergeCell ref="E123:F123"/>
    <mergeCell ref="E124:F124"/>
    <mergeCell ref="E137:F137"/>
    <mergeCell ref="E138:F138"/>
    <mergeCell ref="E139:F139"/>
    <mergeCell ref="E134:F134"/>
    <mergeCell ref="E135:F135"/>
    <mergeCell ref="E136:F136"/>
    <mergeCell ref="E131:F131"/>
    <mergeCell ref="E132:F132"/>
    <mergeCell ref="E133:F133"/>
    <mergeCell ref="E146:F146"/>
    <mergeCell ref="E147:F147"/>
    <mergeCell ref="E148:F148"/>
    <mergeCell ref="E143:F143"/>
    <mergeCell ref="E144:F144"/>
    <mergeCell ref="E145:F145"/>
    <mergeCell ref="E140:F140"/>
    <mergeCell ref="E141:F141"/>
    <mergeCell ref="E142:F142"/>
    <mergeCell ref="E155:F155"/>
    <mergeCell ref="E156:F156"/>
    <mergeCell ref="E157:F157"/>
    <mergeCell ref="E152:F152"/>
    <mergeCell ref="E153:F153"/>
    <mergeCell ref="E154:F154"/>
    <mergeCell ref="E149:F149"/>
    <mergeCell ref="E150:F150"/>
    <mergeCell ref="E151:F151"/>
    <mergeCell ref="E164:F164"/>
    <mergeCell ref="E165:F165"/>
    <mergeCell ref="E166:F166"/>
    <mergeCell ref="E161:F161"/>
    <mergeCell ref="E162:F162"/>
    <mergeCell ref="E163:F163"/>
    <mergeCell ref="E158:F158"/>
    <mergeCell ref="E159:F159"/>
    <mergeCell ref="E160:F160"/>
    <mergeCell ref="E176:F176"/>
    <mergeCell ref="E177:F177"/>
    <mergeCell ref="E173:F173"/>
    <mergeCell ref="E174:F174"/>
    <mergeCell ref="E175:F175"/>
    <mergeCell ref="E170:F170"/>
    <mergeCell ref="E171:F171"/>
    <mergeCell ref="E172:F172"/>
    <mergeCell ref="E167:F167"/>
    <mergeCell ref="E168:F168"/>
    <mergeCell ref="E169:F169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T177"/>
  <sheetViews>
    <sheetView topLeftCell="A2" zoomScale="130" zoomScaleNormal="130" workbookViewId="0">
      <pane ySplit="4" topLeftCell="A6" activePane="bottomLeft" state="frozen"/>
      <selection activeCell="A2" sqref="A2"/>
      <selection pane="bottomLeft" activeCell="C136" sqref="C136"/>
    </sheetView>
  </sheetViews>
  <sheetFormatPr baseColWidth="10" defaultColWidth="11.5" defaultRowHeight="15"/>
  <cols>
    <col min="1" max="1" width="2.5" style="168" customWidth="1"/>
    <col min="2" max="2" width="1.5" style="168" customWidth="1"/>
    <col min="3" max="3" width="4.83203125" style="2" bestFit="1" customWidth="1"/>
    <col min="4" max="4" width="20.5" style="2" customWidth="1"/>
    <col min="5" max="5" width="20" style="2" bestFit="1" customWidth="1"/>
    <col min="6" max="6" width="22.5" style="2" customWidth="1"/>
    <col min="7" max="7" width="0" style="2" hidden="1" customWidth="1"/>
    <col min="8" max="8" width="12.33203125" style="2" hidden="1" customWidth="1"/>
    <col min="9" max="9" width="16.33203125" style="2" customWidth="1"/>
    <col min="10" max="11" width="11.5" style="177"/>
    <col min="12" max="12" width="12.5" style="177" customWidth="1"/>
    <col min="13" max="15" width="11.5" style="2"/>
    <col min="16" max="20" width="11.5" style="168"/>
    <col min="21" max="16384" width="11.5" style="2"/>
  </cols>
  <sheetData>
    <row r="1" spans="3:15" s="168" customFormat="1" ht="16" thickBot="1">
      <c r="J1" s="183"/>
      <c r="K1" s="183"/>
      <c r="L1" s="183"/>
    </row>
    <row r="2" spans="3:15" ht="15" customHeight="1">
      <c r="C2" s="436" t="s">
        <v>472</v>
      </c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</row>
    <row r="3" spans="3:15" ht="15.75" customHeight="1" thickBot="1">
      <c r="C3" s="438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</row>
    <row r="4" spans="3:15" s="168" customFormat="1" ht="16" thickBot="1">
      <c r="J4" s="183"/>
      <c r="K4" s="183"/>
      <c r="L4" s="183"/>
    </row>
    <row r="5" spans="3:15" ht="31" thickBot="1">
      <c r="C5" s="80" t="s">
        <v>13</v>
      </c>
      <c r="D5" s="80" t="s">
        <v>0</v>
      </c>
      <c r="E5" s="440" t="s">
        <v>2</v>
      </c>
      <c r="F5" s="441"/>
      <c r="G5" s="80" t="s">
        <v>3</v>
      </c>
      <c r="H5" s="80" t="s">
        <v>4</v>
      </c>
      <c r="I5" s="80" t="s">
        <v>6</v>
      </c>
      <c r="J5" s="440" t="s">
        <v>5</v>
      </c>
      <c r="K5" s="443"/>
      <c r="L5" s="441"/>
      <c r="M5" s="80" t="s">
        <v>462</v>
      </c>
      <c r="N5" s="80" t="s">
        <v>11</v>
      </c>
      <c r="O5" s="80" t="s">
        <v>8</v>
      </c>
    </row>
    <row r="6" spans="3:15">
      <c r="C6" s="107">
        <v>1</v>
      </c>
      <c r="D6" s="107"/>
      <c r="E6" s="426"/>
      <c r="F6" s="427"/>
      <c r="G6" s="107"/>
      <c r="H6" s="107"/>
      <c r="I6" s="107"/>
      <c r="J6" s="426"/>
      <c r="K6" s="442"/>
      <c r="L6" s="427"/>
      <c r="M6" s="107"/>
      <c r="N6" s="107"/>
      <c r="O6" s="107"/>
    </row>
    <row r="7" spans="3:15" ht="15" customHeight="1">
      <c r="C7" s="107">
        <v>2</v>
      </c>
      <c r="D7" s="107"/>
      <c r="E7" s="426"/>
      <c r="F7" s="427"/>
      <c r="G7" s="107"/>
      <c r="H7" s="107"/>
      <c r="I7" s="107"/>
      <c r="J7" s="426"/>
      <c r="K7" s="442"/>
      <c r="L7" s="427"/>
      <c r="M7" s="107"/>
      <c r="N7" s="107"/>
      <c r="O7" s="107"/>
    </row>
    <row r="8" spans="3:15" ht="15" customHeight="1">
      <c r="C8" s="107">
        <v>3</v>
      </c>
      <c r="D8" s="107"/>
      <c r="E8" s="426"/>
      <c r="F8" s="427"/>
      <c r="G8" s="107"/>
      <c r="H8" s="107"/>
      <c r="I8" s="107"/>
      <c r="J8" s="426"/>
      <c r="K8" s="442"/>
      <c r="L8" s="427"/>
      <c r="M8" s="107"/>
      <c r="N8" s="107"/>
      <c r="O8" s="107"/>
    </row>
    <row r="9" spans="3:15">
      <c r="C9" s="107">
        <v>4</v>
      </c>
      <c r="D9" s="107"/>
      <c r="E9" s="426"/>
      <c r="F9" s="427"/>
      <c r="G9" s="107"/>
      <c r="H9" s="107"/>
      <c r="I9" s="107"/>
      <c r="J9" s="426"/>
      <c r="K9" s="442"/>
      <c r="L9" s="427"/>
      <c r="M9" s="107"/>
      <c r="N9" s="107"/>
      <c r="O9" s="107"/>
    </row>
    <row r="10" spans="3:15">
      <c r="C10" s="107">
        <v>5</v>
      </c>
      <c r="D10" s="107" t="s">
        <v>541</v>
      </c>
      <c r="E10" s="426" t="s">
        <v>542</v>
      </c>
      <c r="F10" s="427"/>
      <c r="G10" s="129">
        <v>45181</v>
      </c>
      <c r="H10" s="129">
        <v>45301</v>
      </c>
      <c r="I10" s="107" t="s">
        <v>549</v>
      </c>
      <c r="J10" s="444" t="s">
        <v>550</v>
      </c>
      <c r="K10" s="445"/>
      <c r="L10" s="445"/>
      <c r="M10" s="445"/>
      <c r="N10" s="445"/>
      <c r="O10" s="446"/>
    </row>
    <row r="11" spans="3:15">
      <c r="C11" s="107">
        <v>6</v>
      </c>
      <c r="D11" s="107" t="s">
        <v>459</v>
      </c>
      <c r="E11" s="426" t="s">
        <v>460</v>
      </c>
      <c r="F11" s="427"/>
      <c r="G11" s="129">
        <v>45258</v>
      </c>
      <c r="H11" s="129">
        <v>45308</v>
      </c>
      <c r="I11" s="107" t="s">
        <v>15</v>
      </c>
      <c r="J11" s="426" t="s">
        <v>461</v>
      </c>
      <c r="K11" s="442"/>
      <c r="L11" s="427"/>
      <c r="M11" s="107" t="s">
        <v>463</v>
      </c>
      <c r="N11" s="129">
        <v>45308</v>
      </c>
      <c r="O11" s="107"/>
    </row>
    <row r="12" spans="3:15" ht="30.75" customHeight="1">
      <c r="C12" s="107">
        <v>7</v>
      </c>
      <c r="D12" s="107" t="s">
        <v>468</v>
      </c>
      <c r="E12" s="426" t="s">
        <v>469</v>
      </c>
      <c r="F12" s="427"/>
      <c r="G12" s="129">
        <v>44868</v>
      </c>
      <c r="H12" s="129">
        <v>44942</v>
      </c>
      <c r="I12" s="107" t="s">
        <v>15</v>
      </c>
      <c r="J12" s="426" t="s">
        <v>470</v>
      </c>
      <c r="K12" s="442"/>
      <c r="L12" s="427"/>
      <c r="M12" s="107" t="s">
        <v>471</v>
      </c>
      <c r="N12" s="129">
        <v>45309</v>
      </c>
      <c r="O12" s="107"/>
    </row>
    <row r="13" spans="3:15">
      <c r="C13" s="107">
        <v>8</v>
      </c>
      <c r="D13" s="107" t="s">
        <v>482</v>
      </c>
      <c r="E13" s="426" t="s">
        <v>483</v>
      </c>
      <c r="F13" s="427"/>
      <c r="G13" s="129">
        <v>45247</v>
      </c>
      <c r="H13" s="129">
        <v>45280</v>
      </c>
      <c r="I13" s="107" t="s">
        <v>15</v>
      </c>
      <c r="J13" s="426" t="s">
        <v>491</v>
      </c>
      <c r="K13" s="442"/>
      <c r="L13" s="427"/>
      <c r="M13" s="107" t="s">
        <v>492</v>
      </c>
      <c r="N13" s="129">
        <v>45313</v>
      </c>
      <c r="O13" s="107"/>
    </row>
    <row r="14" spans="3:15">
      <c r="C14" s="107">
        <v>9</v>
      </c>
      <c r="D14" s="107" t="s">
        <v>497</v>
      </c>
      <c r="E14" s="426" t="s">
        <v>480</v>
      </c>
      <c r="F14" s="427"/>
      <c r="G14" s="129">
        <v>44949</v>
      </c>
      <c r="H14" s="129">
        <v>45282</v>
      </c>
      <c r="I14" s="107" t="s">
        <v>15</v>
      </c>
      <c r="J14" s="426" t="s">
        <v>461</v>
      </c>
      <c r="K14" s="442"/>
      <c r="L14" s="427"/>
      <c r="M14" s="107" t="s">
        <v>496</v>
      </c>
      <c r="N14" s="129">
        <v>45314</v>
      </c>
      <c r="O14" s="107"/>
    </row>
    <row r="15" spans="3:15">
      <c r="C15" s="107">
        <v>10</v>
      </c>
      <c r="D15" s="107" t="s">
        <v>509</v>
      </c>
      <c r="E15" s="426" t="s">
        <v>510</v>
      </c>
      <c r="F15" s="427"/>
      <c r="G15" s="129">
        <v>45068</v>
      </c>
      <c r="H15" s="129">
        <v>45155</v>
      </c>
      <c r="I15" s="107" t="s">
        <v>15</v>
      </c>
      <c r="J15" s="426" t="s">
        <v>511</v>
      </c>
      <c r="K15" s="442"/>
      <c r="L15" s="427"/>
      <c r="M15" s="107" t="s">
        <v>512</v>
      </c>
      <c r="N15" s="129">
        <v>45315</v>
      </c>
      <c r="O15" s="107"/>
    </row>
    <row r="16" spans="3:15">
      <c r="C16" s="107">
        <v>11</v>
      </c>
      <c r="D16" s="107" t="s">
        <v>513</v>
      </c>
      <c r="E16" s="426" t="s">
        <v>510</v>
      </c>
      <c r="F16" s="427"/>
      <c r="G16" s="129">
        <v>45068</v>
      </c>
      <c r="H16" s="129">
        <v>45155</v>
      </c>
      <c r="I16" s="107" t="s">
        <v>15</v>
      </c>
      <c r="J16" s="426" t="s">
        <v>511</v>
      </c>
      <c r="K16" s="442"/>
      <c r="L16" s="427"/>
      <c r="M16" s="107" t="s">
        <v>514</v>
      </c>
      <c r="N16" s="129">
        <v>45315</v>
      </c>
      <c r="O16" s="107"/>
    </row>
    <row r="17" spans="3:15">
      <c r="C17" s="107">
        <v>12</v>
      </c>
      <c r="D17" s="107" t="s">
        <v>515</v>
      </c>
      <c r="E17" s="426" t="s">
        <v>516</v>
      </c>
      <c r="F17" s="427"/>
      <c r="G17" s="129">
        <v>44834</v>
      </c>
      <c r="H17" s="129">
        <v>44852</v>
      </c>
      <c r="I17" s="107" t="s">
        <v>15</v>
      </c>
      <c r="J17" s="426" t="s">
        <v>511</v>
      </c>
      <c r="K17" s="442"/>
      <c r="L17" s="427"/>
      <c r="M17" s="107" t="s">
        <v>517</v>
      </c>
      <c r="N17" s="129">
        <v>45315</v>
      </c>
      <c r="O17" s="107"/>
    </row>
    <row r="18" spans="3:15" ht="30.75" customHeight="1">
      <c r="C18" s="107">
        <v>13</v>
      </c>
      <c r="D18" s="107" t="s">
        <v>545</v>
      </c>
      <c r="E18" s="426" t="s">
        <v>546</v>
      </c>
      <c r="F18" s="427"/>
      <c r="G18" s="129">
        <v>45303</v>
      </c>
      <c r="H18" s="129">
        <v>45316</v>
      </c>
      <c r="I18" s="107" t="s">
        <v>15</v>
      </c>
      <c r="J18" s="426" t="s">
        <v>547</v>
      </c>
      <c r="K18" s="442"/>
      <c r="L18" s="427"/>
      <c r="M18" s="107" t="s">
        <v>548</v>
      </c>
      <c r="N18" s="129">
        <v>45317</v>
      </c>
      <c r="O18" s="107"/>
    </row>
    <row r="19" spans="3:15">
      <c r="C19" s="107">
        <v>14</v>
      </c>
      <c r="D19" s="107" t="s">
        <v>562</v>
      </c>
      <c r="E19" s="426" t="s">
        <v>563</v>
      </c>
      <c r="F19" s="427"/>
      <c r="G19" s="129">
        <v>45181</v>
      </c>
      <c r="H19" s="129">
        <v>45245</v>
      </c>
      <c r="I19" s="107" t="s">
        <v>15</v>
      </c>
      <c r="J19" s="426" t="s">
        <v>511</v>
      </c>
      <c r="K19" s="442"/>
      <c r="L19" s="427"/>
      <c r="M19" s="107" t="s">
        <v>564</v>
      </c>
      <c r="N19" s="129">
        <v>45320</v>
      </c>
      <c r="O19" s="107"/>
    </row>
    <row r="20" spans="3:15">
      <c r="C20" s="107">
        <v>15</v>
      </c>
      <c r="D20" s="107" t="s">
        <v>579</v>
      </c>
      <c r="E20" s="426" t="s">
        <v>580</v>
      </c>
      <c r="F20" s="427"/>
      <c r="G20" s="129">
        <v>44631</v>
      </c>
      <c r="H20" s="129">
        <v>44756</v>
      </c>
      <c r="I20" s="107" t="s">
        <v>59</v>
      </c>
      <c r="J20" s="426" t="s">
        <v>581</v>
      </c>
      <c r="K20" s="442"/>
      <c r="L20" s="427"/>
      <c r="M20" s="107" t="s">
        <v>582</v>
      </c>
      <c r="N20" s="129">
        <v>45321</v>
      </c>
      <c r="O20" s="107"/>
    </row>
    <row r="21" spans="3:15" ht="28.5" customHeight="1">
      <c r="C21" s="107">
        <v>16</v>
      </c>
      <c r="D21" s="107" t="s">
        <v>594</v>
      </c>
      <c r="E21" s="426" t="s">
        <v>569</v>
      </c>
      <c r="F21" s="427"/>
      <c r="G21" s="129">
        <v>45310</v>
      </c>
      <c r="H21" s="129">
        <v>45316</v>
      </c>
      <c r="I21" s="107" t="s">
        <v>59</v>
      </c>
      <c r="J21" s="426" t="s">
        <v>595</v>
      </c>
      <c r="K21" s="442"/>
      <c r="L21" s="427"/>
      <c r="M21" s="107" t="s">
        <v>596</v>
      </c>
      <c r="N21" s="129">
        <v>45323</v>
      </c>
      <c r="O21" s="107"/>
    </row>
    <row r="22" spans="3:15">
      <c r="C22" s="107">
        <v>17</v>
      </c>
      <c r="D22" s="107" t="s">
        <v>613</v>
      </c>
      <c r="E22" s="426" t="s">
        <v>614</v>
      </c>
      <c r="F22" s="427"/>
      <c r="G22" s="129">
        <v>45282</v>
      </c>
      <c r="H22" s="129">
        <v>45324</v>
      </c>
      <c r="I22" s="107" t="s">
        <v>15</v>
      </c>
      <c r="J22" s="426" t="s">
        <v>491</v>
      </c>
      <c r="K22" s="442"/>
      <c r="L22" s="427"/>
      <c r="M22" s="107" t="s">
        <v>615</v>
      </c>
      <c r="N22" s="129">
        <v>45327</v>
      </c>
      <c r="O22" s="107"/>
    </row>
    <row r="23" spans="3:15" ht="30" customHeight="1">
      <c r="C23" s="107">
        <v>18</v>
      </c>
      <c r="D23" s="107" t="s">
        <v>620</v>
      </c>
      <c r="E23" s="426" t="s">
        <v>619</v>
      </c>
      <c r="F23" s="427"/>
      <c r="G23" s="129">
        <v>45310</v>
      </c>
      <c r="H23" s="129">
        <v>45324</v>
      </c>
      <c r="I23" s="107" t="s">
        <v>59</v>
      </c>
      <c r="J23" s="426" t="s">
        <v>621</v>
      </c>
      <c r="K23" s="442"/>
      <c r="L23" s="427"/>
      <c r="M23" s="107" t="s">
        <v>622</v>
      </c>
      <c r="N23" s="129">
        <v>45328</v>
      </c>
      <c r="O23" s="107"/>
    </row>
    <row r="24" spans="3:15">
      <c r="C24" s="107">
        <v>19</v>
      </c>
      <c r="D24" s="107" t="s">
        <v>666</v>
      </c>
      <c r="E24" s="426" t="s">
        <v>539</v>
      </c>
      <c r="F24" s="427"/>
      <c r="G24" s="129">
        <v>44481</v>
      </c>
      <c r="H24" s="129">
        <v>44504</v>
      </c>
      <c r="I24" s="107" t="s">
        <v>15</v>
      </c>
      <c r="J24" s="426" t="s">
        <v>511</v>
      </c>
      <c r="K24" s="442"/>
      <c r="L24" s="427"/>
      <c r="M24" s="107" t="s">
        <v>671</v>
      </c>
      <c r="N24" s="129">
        <v>45335</v>
      </c>
      <c r="O24" s="107"/>
    </row>
    <row r="25" spans="3:15">
      <c r="C25" s="107">
        <v>20</v>
      </c>
      <c r="D25" s="107" t="s">
        <v>659</v>
      </c>
      <c r="E25" s="426" t="s">
        <v>660</v>
      </c>
      <c r="F25" s="427"/>
      <c r="G25" s="129">
        <v>45252</v>
      </c>
      <c r="H25" s="129">
        <v>45330</v>
      </c>
      <c r="I25" s="107" t="s">
        <v>15</v>
      </c>
      <c r="J25" s="426" t="s">
        <v>491</v>
      </c>
      <c r="K25" s="442"/>
      <c r="L25" s="427"/>
      <c r="M25" s="107" t="s">
        <v>674</v>
      </c>
      <c r="N25" s="129">
        <v>45336</v>
      </c>
      <c r="O25" s="107"/>
    </row>
    <row r="26" spans="3:15" ht="15" customHeight="1">
      <c r="C26" s="107">
        <v>21</v>
      </c>
      <c r="D26" s="107" t="s">
        <v>693</v>
      </c>
      <c r="E26" s="426" t="s">
        <v>694</v>
      </c>
      <c r="F26" s="427"/>
      <c r="G26" s="129">
        <v>45308</v>
      </c>
      <c r="H26" s="129">
        <v>45335</v>
      </c>
      <c r="I26" s="107" t="s">
        <v>15</v>
      </c>
      <c r="J26" s="426" t="s">
        <v>491</v>
      </c>
      <c r="K26" s="442"/>
      <c r="L26" s="427"/>
      <c r="M26" s="107" t="s">
        <v>695</v>
      </c>
      <c r="N26" s="129">
        <v>45342</v>
      </c>
      <c r="O26" s="107"/>
    </row>
    <row r="27" spans="3:15" ht="30.75" customHeight="1">
      <c r="C27" s="107">
        <v>22</v>
      </c>
      <c r="D27" s="107" t="s">
        <v>697</v>
      </c>
      <c r="E27" s="426" t="s">
        <v>698</v>
      </c>
      <c r="F27" s="427"/>
      <c r="G27" s="129">
        <v>45303</v>
      </c>
      <c r="H27" s="129">
        <v>45335</v>
      </c>
      <c r="I27" s="107" t="s">
        <v>15</v>
      </c>
      <c r="J27" s="426" t="s">
        <v>491</v>
      </c>
      <c r="K27" s="442"/>
      <c r="L27" s="427"/>
      <c r="M27" s="107" t="s">
        <v>699</v>
      </c>
      <c r="N27" s="129">
        <v>45342</v>
      </c>
      <c r="O27" s="107"/>
    </row>
    <row r="28" spans="3:15">
      <c r="C28" s="107">
        <v>23</v>
      </c>
      <c r="D28" s="107" t="s">
        <v>657</v>
      </c>
      <c r="E28" s="426" t="s">
        <v>658</v>
      </c>
      <c r="F28" s="427"/>
      <c r="G28" s="129">
        <v>45303</v>
      </c>
      <c r="H28" s="129">
        <v>45330</v>
      </c>
      <c r="I28" s="107" t="s">
        <v>15</v>
      </c>
      <c r="J28" s="426" t="s">
        <v>491</v>
      </c>
      <c r="K28" s="442"/>
      <c r="L28" s="427"/>
      <c r="M28" s="107" t="s">
        <v>700</v>
      </c>
      <c r="N28" s="129">
        <v>45342</v>
      </c>
      <c r="O28" s="107"/>
    </row>
    <row r="29" spans="3:15">
      <c r="C29" s="107">
        <v>24</v>
      </c>
      <c r="D29" s="107" t="s">
        <v>705</v>
      </c>
      <c r="E29" s="426" t="s">
        <v>706</v>
      </c>
      <c r="F29" s="427"/>
      <c r="G29" s="129">
        <v>45280</v>
      </c>
      <c r="H29" s="129">
        <v>45342</v>
      </c>
      <c r="I29" s="107" t="s">
        <v>15</v>
      </c>
      <c r="J29" s="426" t="s">
        <v>491</v>
      </c>
      <c r="K29" s="442"/>
      <c r="L29" s="427"/>
      <c r="M29" s="107" t="s">
        <v>707</v>
      </c>
      <c r="N29" s="129">
        <v>45343</v>
      </c>
      <c r="O29" s="107"/>
    </row>
    <row r="30" spans="3:15">
      <c r="C30" s="107">
        <v>25</v>
      </c>
      <c r="D30" s="107" t="s">
        <v>640</v>
      </c>
      <c r="E30" s="426" t="s">
        <v>641</v>
      </c>
      <c r="F30" s="427"/>
      <c r="G30" s="129">
        <v>45324</v>
      </c>
      <c r="H30" s="129">
        <v>45330</v>
      </c>
      <c r="I30" s="107" t="s">
        <v>15</v>
      </c>
      <c r="J30" s="426" t="s">
        <v>511</v>
      </c>
      <c r="K30" s="442"/>
      <c r="L30" s="427"/>
      <c r="M30" s="107" t="s">
        <v>728</v>
      </c>
      <c r="N30" s="129">
        <v>45348</v>
      </c>
      <c r="O30" s="107"/>
    </row>
    <row r="31" spans="3:15">
      <c r="C31" s="107">
        <v>26</v>
      </c>
      <c r="D31" s="107" t="s">
        <v>589</v>
      </c>
      <c r="E31" s="426" t="s">
        <v>602</v>
      </c>
      <c r="F31" s="427"/>
      <c r="G31" s="129">
        <v>45645</v>
      </c>
      <c r="H31" s="129">
        <v>45322</v>
      </c>
      <c r="I31" s="107" t="s">
        <v>15</v>
      </c>
      <c r="J31" s="426" t="s">
        <v>511</v>
      </c>
      <c r="K31" s="442"/>
      <c r="L31" s="427"/>
      <c r="M31" s="107" t="s">
        <v>751</v>
      </c>
      <c r="N31" s="129">
        <v>45351</v>
      </c>
      <c r="O31" s="107"/>
    </row>
    <row r="32" spans="3:15">
      <c r="C32" s="107">
        <v>27</v>
      </c>
      <c r="D32" s="107" t="s">
        <v>757</v>
      </c>
      <c r="E32" s="426" t="s">
        <v>758</v>
      </c>
      <c r="F32" s="427"/>
      <c r="G32" s="129">
        <v>45167</v>
      </c>
      <c r="H32" s="129">
        <v>45245</v>
      </c>
      <c r="I32" s="107" t="s">
        <v>15</v>
      </c>
      <c r="J32" s="426" t="s">
        <v>511</v>
      </c>
      <c r="K32" s="442"/>
      <c r="L32" s="427"/>
      <c r="M32" s="107" t="s">
        <v>759</v>
      </c>
      <c r="N32" s="129">
        <v>45351</v>
      </c>
      <c r="O32" s="107"/>
    </row>
    <row r="33" spans="3:15">
      <c r="C33" s="107">
        <v>28</v>
      </c>
      <c r="D33" s="107" t="s">
        <v>742</v>
      </c>
      <c r="E33" s="434" t="s">
        <v>743</v>
      </c>
      <c r="F33" s="435"/>
      <c r="G33" s="129">
        <v>45328</v>
      </c>
      <c r="H33" s="129">
        <v>45348</v>
      </c>
      <c r="I33" s="107" t="s">
        <v>15</v>
      </c>
      <c r="J33" s="426" t="s">
        <v>491</v>
      </c>
      <c r="K33" s="442"/>
      <c r="L33" s="427"/>
      <c r="M33" s="107" t="s">
        <v>763</v>
      </c>
      <c r="N33" s="129">
        <v>45355</v>
      </c>
      <c r="O33" s="107"/>
    </row>
    <row r="34" spans="3:15">
      <c r="C34" s="107">
        <v>29</v>
      </c>
      <c r="D34" s="107" t="s">
        <v>765</v>
      </c>
      <c r="E34" s="434" t="s">
        <v>766</v>
      </c>
      <c r="F34" s="435"/>
      <c r="G34" s="129">
        <v>45336</v>
      </c>
      <c r="H34" s="129">
        <v>45352</v>
      </c>
      <c r="I34" s="107" t="s">
        <v>15</v>
      </c>
      <c r="J34" s="426" t="s">
        <v>491</v>
      </c>
      <c r="K34" s="442"/>
      <c r="L34" s="427"/>
      <c r="M34" s="107" t="s">
        <v>767</v>
      </c>
      <c r="N34" s="129">
        <v>45355</v>
      </c>
      <c r="O34" s="107"/>
    </row>
    <row r="35" spans="3:15">
      <c r="C35" s="107">
        <v>30</v>
      </c>
      <c r="D35" s="107" t="s">
        <v>746</v>
      </c>
      <c r="E35" s="434" t="s">
        <v>747</v>
      </c>
      <c r="F35" s="435"/>
      <c r="G35" s="129">
        <v>45296</v>
      </c>
      <c r="H35" s="129">
        <v>45350</v>
      </c>
      <c r="I35" s="107" t="s">
        <v>15</v>
      </c>
      <c r="J35" s="426" t="s">
        <v>491</v>
      </c>
      <c r="K35" s="442"/>
      <c r="L35" s="427"/>
      <c r="M35" s="107" t="s">
        <v>772</v>
      </c>
      <c r="N35" s="129">
        <v>45356</v>
      </c>
      <c r="O35" s="107"/>
    </row>
    <row r="36" spans="3:15">
      <c r="C36" s="107">
        <v>31</v>
      </c>
      <c r="D36" s="107" t="s">
        <v>774</v>
      </c>
      <c r="E36" s="434" t="s">
        <v>775</v>
      </c>
      <c r="F36" s="435"/>
      <c r="G36" s="129">
        <v>45342</v>
      </c>
      <c r="H36" s="129">
        <v>45348</v>
      </c>
      <c r="I36" s="107" t="s">
        <v>15</v>
      </c>
      <c r="J36" s="426" t="s">
        <v>491</v>
      </c>
      <c r="K36" s="442"/>
      <c r="L36" s="427"/>
      <c r="M36" s="107" t="s">
        <v>776</v>
      </c>
      <c r="N36" s="129">
        <v>45357</v>
      </c>
      <c r="O36" s="107"/>
    </row>
    <row r="37" spans="3:15">
      <c r="C37" s="107">
        <v>32</v>
      </c>
      <c r="D37" s="107" t="s">
        <v>648</v>
      </c>
      <c r="E37" s="434" t="s">
        <v>644</v>
      </c>
      <c r="F37" s="435"/>
      <c r="G37" s="129">
        <v>45272</v>
      </c>
      <c r="H37" s="129">
        <v>45300</v>
      </c>
      <c r="I37" s="107" t="s">
        <v>15</v>
      </c>
      <c r="J37" s="426" t="s">
        <v>511</v>
      </c>
      <c r="K37" s="442"/>
      <c r="L37" s="427"/>
      <c r="M37" s="107" t="s">
        <v>777</v>
      </c>
      <c r="N37" s="129">
        <v>45357</v>
      </c>
      <c r="O37" s="107"/>
    </row>
    <row r="38" spans="3:15">
      <c r="C38" s="107">
        <v>33</v>
      </c>
      <c r="D38" s="107" t="s">
        <v>779</v>
      </c>
      <c r="E38" s="434" t="s">
        <v>780</v>
      </c>
      <c r="F38" s="435"/>
      <c r="G38" s="129">
        <v>45166</v>
      </c>
      <c r="H38" s="129">
        <v>45245</v>
      </c>
      <c r="I38" s="107" t="s">
        <v>15</v>
      </c>
      <c r="J38" s="426" t="s">
        <v>511</v>
      </c>
      <c r="K38" s="442"/>
      <c r="L38" s="427"/>
      <c r="M38" s="107" t="s">
        <v>778</v>
      </c>
      <c r="N38" s="129">
        <v>45357</v>
      </c>
      <c r="O38" s="107"/>
    </row>
    <row r="39" spans="3:15">
      <c r="C39" s="107">
        <v>34</v>
      </c>
      <c r="D39" s="107" t="s">
        <v>744</v>
      </c>
      <c r="E39" s="434" t="s">
        <v>745</v>
      </c>
      <c r="F39" s="435"/>
      <c r="G39" s="129">
        <v>44988</v>
      </c>
      <c r="H39" s="129">
        <v>45350</v>
      </c>
      <c r="I39" s="107" t="s">
        <v>788</v>
      </c>
      <c r="J39" s="426" t="s">
        <v>789</v>
      </c>
      <c r="K39" s="442"/>
      <c r="L39" s="427"/>
      <c r="M39" s="107" t="s">
        <v>790</v>
      </c>
      <c r="N39" s="129">
        <v>45357</v>
      </c>
      <c r="O39" s="107"/>
    </row>
    <row r="40" spans="3:15">
      <c r="C40" s="107">
        <v>35</v>
      </c>
      <c r="D40" s="107" t="s">
        <v>798</v>
      </c>
      <c r="E40" s="434" t="s">
        <v>799</v>
      </c>
      <c r="F40" s="435"/>
      <c r="G40" s="129">
        <v>45351</v>
      </c>
      <c r="H40" s="129">
        <v>45358</v>
      </c>
      <c r="I40" s="107" t="s">
        <v>15</v>
      </c>
      <c r="J40" s="426" t="s">
        <v>491</v>
      </c>
      <c r="K40" s="442"/>
      <c r="L40" s="427"/>
      <c r="M40" s="107" t="s">
        <v>797</v>
      </c>
      <c r="N40" s="129">
        <v>45359</v>
      </c>
      <c r="O40" s="107"/>
    </row>
    <row r="41" spans="3:15">
      <c r="C41" s="107">
        <v>36</v>
      </c>
      <c r="D41" s="107" t="s">
        <v>811</v>
      </c>
      <c r="E41" s="434" t="s">
        <v>795</v>
      </c>
      <c r="F41" s="435"/>
      <c r="G41" s="129">
        <v>45335</v>
      </c>
      <c r="H41" s="129">
        <v>45352</v>
      </c>
      <c r="I41" s="107" t="s">
        <v>59</v>
      </c>
      <c r="J41" s="426" t="s">
        <v>595</v>
      </c>
      <c r="K41" s="442"/>
      <c r="L41" s="427"/>
      <c r="M41" s="107" t="s">
        <v>812</v>
      </c>
      <c r="N41" s="129">
        <v>45363</v>
      </c>
      <c r="O41" s="107"/>
    </row>
    <row r="42" spans="3:15" ht="30.75" customHeight="1">
      <c r="C42" s="107">
        <v>37</v>
      </c>
      <c r="D42" s="107" t="s">
        <v>815</v>
      </c>
      <c r="E42" s="434" t="s">
        <v>818</v>
      </c>
      <c r="F42" s="435"/>
      <c r="G42" s="129">
        <v>45218</v>
      </c>
      <c r="H42" s="129">
        <v>45352</v>
      </c>
      <c r="I42" s="107" t="s">
        <v>59</v>
      </c>
      <c r="J42" s="426" t="s">
        <v>819</v>
      </c>
      <c r="K42" s="442"/>
      <c r="L42" s="427"/>
      <c r="M42" s="107" t="s">
        <v>820</v>
      </c>
      <c r="N42" s="129">
        <v>45364</v>
      </c>
      <c r="O42" s="107"/>
    </row>
    <row r="43" spans="3:15">
      <c r="C43" s="107">
        <v>38</v>
      </c>
      <c r="D43" s="107" t="s">
        <v>823</v>
      </c>
      <c r="E43" s="434" t="s">
        <v>824</v>
      </c>
      <c r="F43" s="435"/>
      <c r="G43" s="129">
        <v>45345</v>
      </c>
      <c r="H43" s="129">
        <v>45356</v>
      </c>
      <c r="I43" s="107" t="s">
        <v>15</v>
      </c>
      <c r="J43" s="426" t="s">
        <v>826</v>
      </c>
      <c r="K43" s="442"/>
      <c r="L43" s="427"/>
      <c r="M43" s="107" t="s">
        <v>827</v>
      </c>
      <c r="N43" s="129">
        <v>45364</v>
      </c>
      <c r="O43" s="107"/>
    </row>
    <row r="44" spans="3:15">
      <c r="C44" s="107">
        <v>39</v>
      </c>
      <c r="D44" s="107" t="s">
        <v>840</v>
      </c>
      <c r="E44" s="426" t="s">
        <v>841</v>
      </c>
      <c r="F44" s="427"/>
      <c r="G44" s="129">
        <v>45350</v>
      </c>
      <c r="H44" s="129">
        <v>45364</v>
      </c>
      <c r="I44" s="107" t="s">
        <v>15</v>
      </c>
      <c r="J44" s="426" t="s">
        <v>491</v>
      </c>
      <c r="K44" s="442"/>
      <c r="L44" s="427"/>
      <c r="M44" s="107" t="s">
        <v>842</v>
      </c>
      <c r="N44" s="129">
        <v>45369</v>
      </c>
      <c r="O44" s="107"/>
    </row>
    <row r="45" spans="3:15">
      <c r="C45" s="107">
        <v>40</v>
      </c>
      <c r="D45" s="107" t="s">
        <v>718</v>
      </c>
      <c r="E45" s="434" t="s">
        <v>717</v>
      </c>
      <c r="F45" s="435"/>
      <c r="G45" s="129">
        <v>45169</v>
      </c>
      <c r="H45" s="129">
        <v>45342</v>
      </c>
      <c r="I45" s="107" t="s">
        <v>15</v>
      </c>
      <c r="J45" s="426" t="s">
        <v>511</v>
      </c>
      <c r="K45" s="442"/>
      <c r="L45" s="427"/>
      <c r="M45" s="107" t="s">
        <v>851</v>
      </c>
      <c r="N45" s="129">
        <v>45371</v>
      </c>
      <c r="O45" s="107"/>
    </row>
    <row r="46" spans="3:15" ht="15" customHeight="1">
      <c r="C46" s="107">
        <v>41</v>
      </c>
      <c r="D46" s="107" t="s">
        <v>838</v>
      </c>
      <c r="E46" s="434" t="s">
        <v>837</v>
      </c>
      <c r="F46" s="435"/>
      <c r="G46" s="129">
        <v>45357</v>
      </c>
      <c r="H46" s="129">
        <v>45362</v>
      </c>
      <c r="I46" s="107" t="s">
        <v>788</v>
      </c>
      <c r="J46" s="426" t="s">
        <v>859</v>
      </c>
      <c r="K46" s="442"/>
      <c r="L46" s="427"/>
      <c r="M46" s="107" t="s">
        <v>856</v>
      </c>
      <c r="N46" s="129">
        <v>45372</v>
      </c>
      <c r="O46" s="107"/>
    </row>
    <row r="47" spans="3:15" ht="15" customHeight="1">
      <c r="C47" s="107">
        <v>42</v>
      </c>
      <c r="D47" s="107" t="s">
        <v>839</v>
      </c>
      <c r="E47" s="434" t="s">
        <v>837</v>
      </c>
      <c r="F47" s="435"/>
      <c r="G47" s="129">
        <v>45357</v>
      </c>
      <c r="H47" s="129">
        <v>45362</v>
      </c>
      <c r="I47" s="107" t="s">
        <v>788</v>
      </c>
      <c r="J47" s="426" t="s">
        <v>859</v>
      </c>
      <c r="K47" s="442"/>
      <c r="L47" s="427"/>
      <c r="M47" s="107" t="s">
        <v>857</v>
      </c>
      <c r="N47" s="129">
        <v>45372</v>
      </c>
      <c r="O47" s="107"/>
    </row>
    <row r="48" spans="3:15" ht="15" customHeight="1">
      <c r="C48" s="107">
        <v>43</v>
      </c>
      <c r="D48" s="107" t="s">
        <v>839</v>
      </c>
      <c r="E48" s="434" t="s">
        <v>837</v>
      </c>
      <c r="F48" s="435"/>
      <c r="G48" s="129">
        <v>45357</v>
      </c>
      <c r="H48" s="129">
        <v>45362</v>
      </c>
      <c r="I48" s="107" t="s">
        <v>788</v>
      </c>
      <c r="J48" s="426" t="s">
        <v>859</v>
      </c>
      <c r="K48" s="442"/>
      <c r="L48" s="427"/>
      <c r="M48" s="107" t="s">
        <v>858</v>
      </c>
      <c r="N48" s="129">
        <v>45372</v>
      </c>
      <c r="O48" s="107"/>
    </row>
    <row r="49" spans="3:15">
      <c r="C49" s="107">
        <v>44</v>
      </c>
      <c r="D49" s="107" t="s">
        <v>873</v>
      </c>
      <c r="E49" s="434" t="s">
        <v>872</v>
      </c>
      <c r="F49" s="435"/>
      <c r="G49" s="129">
        <v>45371</v>
      </c>
      <c r="H49" s="129">
        <v>45372</v>
      </c>
      <c r="I49" s="107" t="s">
        <v>788</v>
      </c>
      <c r="J49" s="426" t="s">
        <v>874</v>
      </c>
      <c r="K49" s="442"/>
      <c r="L49" s="427"/>
      <c r="M49" s="107" t="s">
        <v>875</v>
      </c>
      <c r="N49" s="129">
        <v>45386</v>
      </c>
      <c r="O49" s="107"/>
    </row>
    <row r="50" spans="3:15">
      <c r="C50" s="107">
        <v>45</v>
      </c>
      <c r="D50" s="107" t="s">
        <v>879</v>
      </c>
      <c r="E50" s="434" t="s">
        <v>416</v>
      </c>
      <c r="F50" s="435"/>
      <c r="G50" s="129">
        <v>45156</v>
      </c>
      <c r="H50" s="129">
        <v>45243</v>
      </c>
      <c r="I50" s="107" t="s">
        <v>15</v>
      </c>
      <c r="J50" s="426" t="s">
        <v>511</v>
      </c>
      <c r="K50" s="442"/>
      <c r="L50" s="427"/>
      <c r="M50" s="107" t="s">
        <v>880</v>
      </c>
      <c r="N50" s="129">
        <v>45386</v>
      </c>
      <c r="O50" s="107"/>
    </row>
    <row r="51" spans="3:15">
      <c r="C51" s="107">
        <v>46</v>
      </c>
      <c r="D51" s="107" t="s">
        <v>319</v>
      </c>
      <c r="E51" s="434" t="s">
        <v>320</v>
      </c>
      <c r="F51" s="435"/>
      <c r="G51" s="129">
        <v>45316</v>
      </c>
      <c r="H51" s="129">
        <v>45020</v>
      </c>
      <c r="I51" s="107" t="s">
        <v>15</v>
      </c>
      <c r="J51" s="426" t="s">
        <v>511</v>
      </c>
      <c r="K51" s="442"/>
      <c r="L51" s="427"/>
      <c r="M51" s="107" t="s">
        <v>887</v>
      </c>
      <c r="N51" s="129">
        <v>45386</v>
      </c>
      <c r="O51" s="107"/>
    </row>
    <row r="52" spans="3:15">
      <c r="C52" s="107">
        <v>47</v>
      </c>
      <c r="D52" s="107" t="s">
        <v>895</v>
      </c>
      <c r="E52" s="434" t="s">
        <v>391</v>
      </c>
      <c r="F52" s="435"/>
      <c r="G52" s="129">
        <v>45215</v>
      </c>
      <c r="H52" s="129">
        <v>45243</v>
      </c>
      <c r="I52" s="107" t="s">
        <v>15</v>
      </c>
      <c r="J52" s="426" t="s">
        <v>511</v>
      </c>
      <c r="K52" s="442"/>
      <c r="L52" s="427"/>
      <c r="M52" s="107" t="s">
        <v>896</v>
      </c>
      <c r="N52" s="129">
        <v>45387</v>
      </c>
      <c r="O52" s="107"/>
    </row>
    <row r="53" spans="3:15">
      <c r="C53" s="107">
        <v>48</v>
      </c>
      <c r="D53" s="107" t="s">
        <v>898</v>
      </c>
      <c r="E53" s="434" t="s">
        <v>407</v>
      </c>
      <c r="F53" s="435"/>
      <c r="G53" s="129">
        <v>45090</v>
      </c>
      <c r="H53" s="129">
        <v>45211</v>
      </c>
      <c r="I53" s="107" t="s">
        <v>15</v>
      </c>
      <c r="J53" s="426" t="s">
        <v>511</v>
      </c>
      <c r="K53" s="442"/>
      <c r="L53" s="427"/>
      <c r="M53" s="107" t="s">
        <v>897</v>
      </c>
      <c r="N53" s="129">
        <v>45387</v>
      </c>
      <c r="O53" s="107"/>
    </row>
    <row r="54" spans="3:15">
      <c r="C54" s="107">
        <v>49</v>
      </c>
      <c r="D54" s="107" t="s">
        <v>901</v>
      </c>
      <c r="E54" s="434" t="s">
        <v>902</v>
      </c>
      <c r="F54" s="435"/>
      <c r="G54" s="129">
        <v>45308</v>
      </c>
      <c r="H54" s="129">
        <v>45385</v>
      </c>
      <c r="I54" s="107" t="s">
        <v>15</v>
      </c>
      <c r="J54" s="426" t="s">
        <v>511</v>
      </c>
      <c r="K54" s="442"/>
      <c r="L54" s="427"/>
      <c r="M54" s="107" t="s">
        <v>903</v>
      </c>
      <c r="N54" s="129">
        <v>45387</v>
      </c>
      <c r="O54" s="107"/>
    </row>
    <row r="55" spans="3:15">
      <c r="C55" s="107">
        <v>50</v>
      </c>
      <c r="D55" s="107" t="s">
        <v>907</v>
      </c>
      <c r="E55" s="434" t="s">
        <v>906</v>
      </c>
      <c r="F55" s="435"/>
      <c r="G55" s="129">
        <v>45385</v>
      </c>
      <c r="H55" s="129">
        <v>45386</v>
      </c>
      <c r="I55" s="107" t="s">
        <v>59</v>
      </c>
      <c r="J55" s="426" t="s">
        <v>908</v>
      </c>
      <c r="K55" s="442"/>
      <c r="L55" s="427"/>
      <c r="M55" s="107" t="s">
        <v>909</v>
      </c>
      <c r="N55" s="129">
        <v>45386</v>
      </c>
      <c r="O55" s="107"/>
    </row>
    <row r="56" spans="3:15" ht="30" customHeight="1">
      <c r="C56" s="107">
        <v>51</v>
      </c>
      <c r="D56" s="107" t="s">
        <v>915</v>
      </c>
      <c r="E56" s="434" t="s">
        <v>916</v>
      </c>
      <c r="F56" s="435"/>
      <c r="G56" s="129">
        <v>45324</v>
      </c>
      <c r="H56" s="129">
        <v>45383</v>
      </c>
      <c r="I56" s="107" t="s">
        <v>15</v>
      </c>
      <c r="J56" s="426" t="s">
        <v>952</v>
      </c>
      <c r="K56" s="442"/>
      <c r="L56" s="427"/>
      <c r="M56" s="107" t="s">
        <v>953</v>
      </c>
      <c r="N56" s="129">
        <v>45394</v>
      </c>
      <c r="O56" s="107"/>
    </row>
    <row r="57" spans="3:15">
      <c r="C57" s="107">
        <v>52</v>
      </c>
      <c r="D57" s="107" t="s">
        <v>960</v>
      </c>
      <c r="E57" s="434" t="s">
        <v>961</v>
      </c>
      <c r="F57" s="435"/>
      <c r="G57" s="129">
        <v>45385</v>
      </c>
      <c r="H57" s="129">
        <v>45391</v>
      </c>
      <c r="I57" s="107" t="s">
        <v>15</v>
      </c>
      <c r="J57" s="426" t="s">
        <v>962</v>
      </c>
      <c r="K57" s="442"/>
      <c r="L57" s="427"/>
      <c r="M57" s="107" t="s">
        <v>963</v>
      </c>
      <c r="N57" s="129">
        <v>45397</v>
      </c>
      <c r="O57" s="107"/>
    </row>
    <row r="58" spans="3:15">
      <c r="C58" s="107">
        <v>53</v>
      </c>
      <c r="D58" s="107" t="s">
        <v>748</v>
      </c>
      <c r="E58" s="434" t="s">
        <v>749</v>
      </c>
      <c r="F58" s="435"/>
      <c r="G58" s="129">
        <v>45308</v>
      </c>
      <c r="H58" s="129">
        <v>45350</v>
      </c>
      <c r="I58" s="107" t="s">
        <v>15</v>
      </c>
      <c r="J58" s="426" t="s">
        <v>966</v>
      </c>
      <c r="K58" s="442"/>
      <c r="L58" s="427"/>
      <c r="M58" s="107" t="s">
        <v>965</v>
      </c>
      <c r="N58" s="129">
        <v>45398</v>
      </c>
      <c r="O58" s="107"/>
    </row>
    <row r="59" spans="3:15">
      <c r="C59" s="107">
        <v>54</v>
      </c>
      <c r="D59" s="107" t="s">
        <v>984</v>
      </c>
      <c r="E59" s="434" t="s">
        <v>983</v>
      </c>
      <c r="F59" s="435"/>
      <c r="G59" s="129">
        <v>45092</v>
      </c>
      <c r="H59" s="129">
        <v>45397</v>
      </c>
      <c r="I59" s="107" t="s">
        <v>15</v>
      </c>
      <c r="J59" s="426" t="s">
        <v>962</v>
      </c>
      <c r="K59" s="442"/>
      <c r="L59" s="427"/>
      <c r="M59" s="107" t="s">
        <v>1038</v>
      </c>
      <c r="N59" s="129">
        <v>45400</v>
      </c>
      <c r="O59" s="107"/>
    </row>
    <row r="60" spans="3:15">
      <c r="C60" s="107">
        <v>55</v>
      </c>
      <c r="D60" s="107" t="s">
        <v>794</v>
      </c>
      <c r="E60" s="434" t="s">
        <v>795</v>
      </c>
      <c r="F60" s="435"/>
      <c r="G60" s="129">
        <v>45335</v>
      </c>
      <c r="H60" s="129">
        <v>45352</v>
      </c>
      <c r="I60" s="107" t="s">
        <v>15</v>
      </c>
      <c r="J60" s="426" t="s">
        <v>511</v>
      </c>
      <c r="K60" s="442"/>
      <c r="L60" s="427"/>
      <c r="M60" s="107" t="s">
        <v>991</v>
      </c>
      <c r="N60" s="129">
        <v>45400</v>
      </c>
      <c r="O60" s="107"/>
    </row>
    <row r="61" spans="3:15">
      <c r="C61" s="107">
        <v>56</v>
      </c>
      <c r="D61" s="107" t="s">
        <v>992</v>
      </c>
      <c r="E61" s="434" t="s">
        <v>633</v>
      </c>
      <c r="F61" s="435"/>
      <c r="G61" s="129">
        <v>45316</v>
      </c>
      <c r="H61" s="129">
        <v>45328</v>
      </c>
      <c r="I61" s="107" t="s">
        <v>15</v>
      </c>
      <c r="J61" s="426" t="s">
        <v>511</v>
      </c>
      <c r="K61" s="442"/>
      <c r="L61" s="427"/>
      <c r="M61" s="107" t="s">
        <v>993</v>
      </c>
      <c r="N61" s="129">
        <v>45400</v>
      </c>
      <c r="O61" s="107"/>
    </row>
    <row r="62" spans="3:15">
      <c r="C62" s="107">
        <v>57</v>
      </c>
      <c r="D62" s="107" t="s">
        <v>989</v>
      </c>
      <c r="E62" s="434" t="s">
        <v>995</v>
      </c>
      <c r="F62" s="435"/>
      <c r="G62" s="129">
        <v>45385</v>
      </c>
      <c r="H62" s="129">
        <v>45393</v>
      </c>
      <c r="I62" s="107" t="s">
        <v>558</v>
      </c>
      <c r="J62" s="426" t="s">
        <v>996</v>
      </c>
      <c r="K62" s="442"/>
      <c r="L62" s="427"/>
      <c r="M62" s="107" t="s">
        <v>997</v>
      </c>
      <c r="N62" s="129">
        <v>45401</v>
      </c>
      <c r="O62" s="107"/>
    </row>
    <row r="63" spans="3:15">
      <c r="C63" s="107">
        <v>58</v>
      </c>
      <c r="D63" s="107" t="s">
        <v>933</v>
      </c>
      <c r="E63" s="434" t="s">
        <v>1005</v>
      </c>
      <c r="F63" s="435"/>
      <c r="G63" s="129">
        <v>45366</v>
      </c>
      <c r="H63" s="129">
        <v>45387</v>
      </c>
      <c r="I63" s="107" t="s">
        <v>15</v>
      </c>
      <c r="J63" s="426" t="s">
        <v>962</v>
      </c>
      <c r="K63" s="442"/>
      <c r="L63" s="427"/>
      <c r="M63" s="107" t="s">
        <v>1001</v>
      </c>
      <c r="N63" s="129">
        <v>45404</v>
      </c>
      <c r="O63" s="107"/>
    </row>
    <row r="64" spans="3:15">
      <c r="C64" s="107">
        <v>59</v>
      </c>
      <c r="D64" s="107" t="s">
        <v>934</v>
      </c>
      <c r="E64" s="434" t="s">
        <v>935</v>
      </c>
      <c r="F64" s="435"/>
      <c r="G64" s="129">
        <v>45366</v>
      </c>
      <c r="H64" s="129">
        <v>45387</v>
      </c>
      <c r="I64" s="107" t="s">
        <v>15</v>
      </c>
      <c r="J64" s="426" t="s">
        <v>962</v>
      </c>
      <c r="K64" s="442"/>
      <c r="L64" s="427"/>
      <c r="M64" s="107" t="s">
        <v>1002</v>
      </c>
      <c r="N64" s="129">
        <v>45404</v>
      </c>
      <c r="O64" s="107"/>
    </row>
    <row r="65" spans="3:15">
      <c r="C65" s="107">
        <v>60</v>
      </c>
      <c r="D65" s="107" t="s">
        <v>936</v>
      </c>
      <c r="E65" s="434" t="s">
        <v>937</v>
      </c>
      <c r="F65" s="435"/>
      <c r="G65" s="129">
        <v>45366</v>
      </c>
      <c r="H65" s="129">
        <v>45387</v>
      </c>
      <c r="I65" s="107" t="s">
        <v>15</v>
      </c>
      <c r="J65" s="426" t="s">
        <v>962</v>
      </c>
      <c r="K65" s="442"/>
      <c r="L65" s="427"/>
      <c r="M65" s="107" t="s">
        <v>1003</v>
      </c>
      <c r="N65" s="129">
        <v>45404</v>
      </c>
      <c r="O65" s="107"/>
    </row>
    <row r="66" spans="3:15">
      <c r="C66" s="107">
        <v>61</v>
      </c>
      <c r="D66" s="107" t="s">
        <v>938</v>
      </c>
      <c r="E66" s="434" t="s">
        <v>939</v>
      </c>
      <c r="F66" s="435"/>
      <c r="G66" s="129">
        <v>45366</v>
      </c>
      <c r="H66" s="129">
        <v>45387</v>
      </c>
      <c r="I66" s="107" t="s">
        <v>15</v>
      </c>
      <c r="J66" s="426" t="s">
        <v>962</v>
      </c>
      <c r="K66" s="442"/>
      <c r="L66" s="427"/>
      <c r="M66" s="107" t="s">
        <v>1004</v>
      </c>
      <c r="N66" s="129">
        <v>45404</v>
      </c>
      <c r="O66" s="107"/>
    </row>
    <row r="67" spans="3:15">
      <c r="C67" s="107">
        <v>62</v>
      </c>
      <c r="D67" s="107" t="s">
        <v>973</v>
      </c>
      <c r="E67" s="434" t="s">
        <v>974</v>
      </c>
      <c r="F67" s="435"/>
      <c r="G67" s="129">
        <v>45345</v>
      </c>
      <c r="H67" s="129">
        <v>45391</v>
      </c>
      <c r="I67" s="107" t="s">
        <v>15</v>
      </c>
      <c r="J67" s="426" t="s">
        <v>1036</v>
      </c>
      <c r="K67" s="442"/>
      <c r="L67" s="427"/>
      <c r="M67" s="107" t="s">
        <v>1037</v>
      </c>
      <c r="N67" s="129">
        <v>45408</v>
      </c>
      <c r="O67" s="107"/>
    </row>
    <row r="68" spans="3:15">
      <c r="C68" s="107">
        <v>63</v>
      </c>
      <c r="D68" s="107" t="s">
        <v>731</v>
      </c>
      <c r="E68" s="434" t="s">
        <v>1046</v>
      </c>
      <c r="F68" s="435"/>
      <c r="G68" s="129">
        <v>45146</v>
      </c>
      <c r="H68" s="129">
        <v>45187</v>
      </c>
      <c r="I68" s="107" t="s">
        <v>15</v>
      </c>
      <c r="J68" s="426" t="s">
        <v>511</v>
      </c>
      <c r="K68" s="442"/>
      <c r="L68" s="427"/>
      <c r="M68" s="107" t="s">
        <v>1047</v>
      </c>
      <c r="N68" s="129">
        <v>45411</v>
      </c>
      <c r="O68" s="107"/>
    </row>
    <row r="69" spans="3:15" ht="15" customHeight="1">
      <c r="C69" s="107">
        <v>64</v>
      </c>
      <c r="D69" s="107" t="s">
        <v>1054</v>
      </c>
      <c r="E69" s="434" t="s">
        <v>957</v>
      </c>
      <c r="F69" s="435"/>
      <c r="G69" s="129">
        <v>45412</v>
      </c>
      <c r="H69" s="129">
        <v>44867</v>
      </c>
      <c r="I69" s="107" t="s">
        <v>15</v>
      </c>
      <c r="J69" s="426" t="s">
        <v>1056</v>
      </c>
      <c r="K69" s="442"/>
      <c r="L69" s="427"/>
      <c r="M69" s="107" t="s">
        <v>1055</v>
      </c>
      <c r="N69" s="129">
        <v>45412</v>
      </c>
      <c r="O69" s="107"/>
    </row>
    <row r="70" spans="3:15">
      <c r="C70" s="107">
        <v>65</v>
      </c>
      <c r="D70" s="107" t="s">
        <v>802</v>
      </c>
      <c r="E70" s="434" t="s">
        <v>803</v>
      </c>
      <c r="F70" s="435"/>
      <c r="G70" s="129">
        <v>45349</v>
      </c>
      <c r="H70" s="129">
        <v>45358</v>
      </c>
      <c r="I70" s="107" t="s">
        <v>15</v>
      </c>
      <c r="J70" s="426" t="s">
        <v>511</v>
      </c>
      <c r="K70" s="442"/>
      <c r="L70" s="427"/>
      <c r="M70" s="107" t="s">
        <v>1075</v>
      </c>
      <c r="N70" s="129">
        <v>45418</v>
      </c>
      <c r="O70" s="107"/>
    </row>
    <row r="71" spans="3:15">
      <c r="C71" s="107">
        <v>66</v>
      </c>
      <c r="D71" s="107" t="s">
        <v>1077</v>
      </c>
      <c r="E71" s="434" t="s">
        <v>818</v>
      </c>
      <c r="F71" s="435"/>
      <c r="G71" s="129">
        <v>45218</v>
      </c>
      <c r="H71" s="129">
        <v>45352</v>
      </c>
      <c r="I71" s="107" t="s">
        <v>15</v>
      </c>
      <c r="J71" s="426" t="s">
        <v>511</v>
      </c>
      <c r="K71" s="442"/>
      <c r="L71" s="427"/>
      <c r="M71" s="107" t="s">
        <v>1078</v>
      </c>
      <c r="N71" s="129">
        <v>45418</v>
      </c>
      <c r="O71" s="107"/>
    </row>
    <row r="72" spans="3:15">
      <c r="C72" s="107">
        <v>67</v>
      </c>
      <c r="D72" s="107" t="s">
        <v>1000</v>
      </c>
      <c r="E72" s="434" t="s">
        <v>999</v>
      </c>
      <c r="F72" s="435"/>
      <c r="G72" s="129">
        <v>45372</v>
      </c>
      <c r="H72" s="129">
        <v>45393</v>
      </c>
      <c r="I72" s="107" t="s">
        <v>788</v>
      </c>
      <c r="J72" s="426" t="s">
        <v>1086</v>
      </c>
      <c r="K72" s="442"/>
      <c r="L72" s="427"/>
      <c r="M72" s="107" t="s">
        <v>1087</v>
      </c>
      <c r="N72" s="129">
        <v>45418</v>
      </c>
      <c r="O72" s="107"/>
    </row>
    <row r="73" spans="3:15">
      <c r="C73" s="107">
        <v>68</v>
      </c>
      <c r="D73" s="107" t="s">
        <v>627</v>
      </c>
      <c r="E73" s="434" t="s">
        <v>628</v>
      </c>
      <c r="F73" s="435"/>
      <c r="G73" s="129">
        <v>45313</v>
      </c>
      <c r="H73" s="129">
        <v>45328</v>
      </c>
      <c r="I73" s="107" t="s">
        <v>59</v>
      </c>
      <c r="J73" s="426" t="s">
        <v>1088</v>
      </c>
      <c r="K73" s="442"/>
      <c r="L73" s="427"/>
      <c r="M73" s="107" t="s">
        <v>1089</v>
      </c>
      <c r="N73" s="129">
        <v>45419</v>
      </c>
      <c r="O73" s="107"/>
    </row>
    <row r="74" spans="3:15">
      <c r="C74" s="107">
        <v>69</v>
      </c>
      <c r="D74" s="107" t="s">
        <v>1091</v>
      </c>
      <c r="E74" s="434" t="s">
        <v>1092</v>
      </c>
      <c r="F74" s="435"/>
      <c r="G74" s="129">
        <v>45392</v>
      </c>
      <c r="H74" s="129">
        <v>45418</v>
      </c>
      <c r="I74" s="107" t="s">
        <v>15</v>
      </c>
      <c r="J74" s="426" t="s">
        <v>1093</v>
      </c>
      <c r="K74" s="442"/>
      <c r="L74" s="427"/>
      <c r="M74" s="107" t="s">
        <v>1094</v>
      </c>
      <c r="N74" s="129">
        <v>45419</v>
      </c>
      <c r="O74" s="107"/>
    </row>
    <row r="75" spans="3:15">
      <c r="C75" s="107">
        <v>70</v>
      </c>
      <c r="D75" s="107" t="s">
        <v>1108</v>
      </c>
      <c r="E75" s="434" t="s">
        <v>1109</v>
      </c>
      <c r="F75" s="435"/>
      <c r="G75" s="129">
        <v>45404</v>
      </c>
      <c r="H75" s="129">
        <v>45420</v>
      </c>
      <c r="I75" s="107" t="s">
        <v>15</v>
      </c>
      <c r="J75" s="426" t="s">
        <v>1110</v>
      </c>
      <c r="K75" s="442"/>
      <c r="L75" s="427"/>
      <c r="M75" s="107" t="s">
        <v>1111</v>
      </c>
      <c r="N75" s="129">
        <v>45421</v>
      </c>
      <c r="O75" s="107"/>
    </row>
    <row r="76" spans="3:15">
      <c r="C76" s="107">
        <v>71</v>
      </c>
      <c r="D76" s="107" t="s">
        <v>1112</v>
      </c>
      <c r="E76" s="434" t="s">
        <v>619</v>
      </c>
      <c r="F76" s="435"/>
      <c r="G76" s="129">
        <v>45310</v>
      </c>
      <c r="H76" s="129">
        <v>45324</v>
      </c>
      <c r="I76" s="107" t="s">
        <v>15</v>
      </c>
      <c r="J76" s="426" t="s">
        <v>511</v>
      </c>
      <c r="K76" s="442"/>
      <c r="L76" s="427"/>
      <c r="M76" s="107" t="s">
        <v>1113</v>
      </c>
      <c r="N76" s="129">
        <v>45422</v>
      </c>
      <c r="O76" s="107"/>
    </row>
    <row r="77" spans="3:15">
      <c r="C77" s="107">
        <v>72</v>
      </c>
      <c r="D77" s="107" t="s">
        <v>930</v>
      </c>
      <c r="E77" s="434" t="s">
        <v>921</v>
      </c>
      <c r="F77" s="435"/>
      <c r="G77" s="129">
        <v>45365</v>
      </c>
      <c r="H77" s="129">
        <v>45385</v>
      </c>
      <c r="I77" s="107" t="s">
        <v>15</v>
      </c>
      <c r="J77" s="426" t="s">
        <v>511</v>
      </c>
      <c r="K77" s="442"/>
      <c r="L77" s="427"/>
      <c r="M77" s="107" t="s">
        <v>1124</v>
      </c>
      <c r="N77" s="129">
        <v>45426</v>
      </c>
      <c r="O77" s="107"/>
    </row>
    <row r="78" spans="3:15">
      <c r="C78" s="107">
        <v>73</v>
      </c>
      <c r="D78" s="107" t="s">
        <v>804</v>
      </c>
      <c r="E78" s="434" t="s">
        <v>1123</v>
      </c>
      <c r="F78" s="435"/>
      <c r="G78" s="129">
        <v>45350</v>
      </c>
      <c r="H78" s="129">
        <v>45358</v>
      </c>
      <c r="I78" s="107" t="s">
        <v>15</v>
      </c>
      <c r="J78" s="426" t="s">
        <v>511</v>
      </c>
      <c r="K78" s="442"/>
      <c r="L78" s="427"/>
      <c r="M78" s="107" t="s">
        <v>1122</v>
      </c>
      <c r="N78" s="129">
        <v>45426</v>
      </c>
      <c r="O78" s="107"/>
    </row>
    <row r="79" spans="3:15">
      <c r="C79" s="107">
        <v>74</v>
      </c>
      <c r="D79" s="107" t="s">
        <v>1061</v>
      </c>
      <c r="E79" s="434" t="s">
        <v>1121</v>
      </c>
      <c r="F79" s="435"/>
      <c r="G79" s="129">
        <v>45393</v>
      </c>
      <c r="H79" s="129">
        <v>45405</v>
      </c>
      <c r="I79" s="107" t="s">
        <v>15</v>
      </c>
      <c r="J79" s="426" t="s">
        <v>511</v>
      </c>
      <c r="K79" s="442"/>
      <c r="L79" s="427"/>
      <c r="M79" s="107" t="s">
        <v>1120</v>
      </c>
      <c r="N79" s="129">
        <v>45426</v>
      </c>
      <c r="O79" s="107"/>
    </row>
    <row r="80" spans="3:15">
      <c r="C80" s="107">
        <v>75</v>
      </c>
      <c r="D80" s="107" t="s">
        <v>947</v>
      </c>
      <c r="E80" s="434" t="s">
        <v>894</v>
      </c>
      <c r="F80" s="435"/>
      <c r="G80" s="129">
        <v>45345</v>
      </c>
      <c r="H80" s="129">
        <v>45383</v>
      </c>
      <c r="I80" s="107" t="s">
        <v>15</v>
      </c>
      <c r="J80" s="426" t="s">
        <v>511</v>
      </c>
      <c r="K80" s="442"/>
      <c r="L80" s="427"/>
      <c r="M80" s="107" t="s">
        <v>1130</v>
      </c>
      <c r="N80" s="129">
        <v>45429</v>
      </c>
      <c r="O80" s="107"/>
    </row>
    <row r="81" spans="3:15">
      <c r="C81" s="107">
        <v>76</v>
      </c>
      <c r="D81" s="107" t="s">
        <v>332</v>
      </c>
      <c r="E81" s="434" t="s">
        <v>331</v>
      </c>
      <c r="F81" s="435"/>
      <c r="G81" s="107" t="s">
        <v>1131</v>
      </c>
      <c r="H81" s="129">
        <v>44964</v>
      </c>
      <c r="I81" s="107" t="s">
        <v>15</v>
      </c>
      <c r="J81" s="426" t="s">
        <v>511</v>
      </c>
      <c r="K81" s="442"/>
      <c r="L81" s="427"/>
      <c r="M81" s="107" t="s">
        <v>1132</v>
      </c>
      <c r="N81" s="129">
        <v>45429</v>
      </c>
      <c r="O81" s="107"/>
    </row>
    <row r="82" spans="3:15">
      <c r="C82" s="107">
        <v>77</v>
      </c>
      <c r="D82" s="107" t="s">
        <v>1050</v>
      </c>
      <c r="E82" s="434" t="s">
        <v>1137</v>
      </c>
      <c r="F82" s="435"/>
      <c r="G82" s="129">
        <v>45363</v>
      </c>
      <c r="H82" s="129">
        <v>45422</v>
      </c>
      <c r="I82" s="107" t="s">
        <v>15</v>
      </c>
      <c r="J82" s="426" t="s">
        <v>1110</v>
      </c>
      <c r="K82" s="442"/>
      <c r="L82" s="427"/>
      <c r="M82" s="107" t="s">
        <v>1135</v>
      </c>
      <c r="N82" s="129">
        <v>45429</v>
      </c>
      <c r="O82" s="107"/>
    </row>
    <row r="83" spans="3:15">
      <c r="C83" s="107">
        <v>78</v>
      </c>
      <c r="D83" s="107" t="s">
        <v>1134</v>
      </c>
      <c r="E83" s="434" t="s">
        <v>1133</v>
      </c>
      <c r="F83" s="435"/>
      <c r="G83" s="129">
        <v>45421</v>
      </c>
      <c r="H83" s="129">
        <v>45422</v>
      </c>
      <c r="I83" s="107" t="s">
        <v>15</v>
      </c>
      <c r="J83" s="426" t="s">
        <v>1110</v>
      </c>
      <c r="K83" s="442"/>
      <c r="L83" s="427"/>
      <c r="M83" s="107" t="s">
        <v>1136</v>
      </c>
      <c r="N83" s="129">
        <v>45429</v>
      </c>
      <c r="O83" s="107"/>
    </row>
    <row r="84" spans="3:15">
      <c r="C84" s="107">
        <v>79</v>
      </c>
      <c r="D84" s="107" t="s">
        <v>1142</v>
      </c>
      <c r="E84" s="434" t="s">
        <v>19</v>
      </c>
      <c r="F84" s="435"/>
      <c r="G84" s="129">
        <v>44980</v>
      </c>
      <c r="H84" s="129">
        <v>45020</v>
      </c>
      <c r="I84" s="107" t="s">
        <v>788</v>
      </c>
      <c r="J84" s="426" t="s">
        <v>1143</v>
      </c>
      <c r="K84" s="442"/>
      <c r="L84" s="427"/>
      <c r="M84" s="107" t="s">
        <v>1141</v>
      </c>
      <c r="N84" s="129">
        <v>45432</v>
      </c>
      <c r="O84" s="107"/>
    </row>
    <row r="85" spans="3:15" ht="16">
      <c r="C85" s="107">
        <v>80</v>
      </c>
      <c r="D85" s="1" t="s">
        <v>1147</v>
      </c>
      <c r="E85" s="434" t="s">
        <v>974</v>
      </c>
      <c r="F85" s="435"/>
      <c r="G85" s="129">
        <v>45408</v>
      </c>
      <c r="H85" s="129">
        <v>45391</v>
      </c>
      <c r="I85" s="107" t="s">
        <v>15</v>
      </c>
      <c r="J85" s="426" t="s">
        <v>1149</v>
      </c>
      <c r="K85" s="442"/>
      <c r="L85" s="427"/>
      <c r="M85" s="107" t="s">
        <v>1148</v>
      </c>
      <c r="N85" s="129">
        <v>45433</v>
      </c>
      <c r="O85" s="107"/>
    </row>
    <row r="86" spans="3:15">
      <c r="C86" s="107">
        <v>81</v>
      </c>
      <c r="D86" s="107" t="s">
        <v>1158</v>
      </c>
      <c r="E86" s="434" t="s">
        <v>389</v>
      </c>
      <c r="F86" s="435"/>
      <c r="G86" s="107"/>
      <c r="H86" s="107"/>
      <c r="I86" s="107" t="s">
        <v>15</v>
      </c>
      <c r="J86" s="426" t="s">
        <v>511</v>
      </c>
      <c r="K86" s="442"/>
      <c r="L86" s="427"/>
      <c r="M86" s="107" t="s">
        <v>1160</v>
      </c>
      <c r="N86" s="129">
        <v>45433</v>
      </c>
      <c r="O86" s="107"/>
    </row>
    <row r="87" spans="3:15">
      <c r="C87" s="107">
        <v>82</v>
      </c>
      <c r="D87" s="107" t="s">
        <v>1157</v>
      </c>
      <c r="E87" s="434" t="s">
        <v>382</v>
      </c>
      <c r="F87" s="435"/>
      <c r="G87" s="107"/>
      <c r="H87" s="107"/>
      <c r="I87" s="107" t="s">
        <v>15</v>
      </c>
      <c r="J87" s="426" t="s">
        <v>511</v>
      </c>
      <c r="K87" s="442"/>
      <c r="L87" s="427"/>
      <c r="M87" s="107" t="s">
        <v>1159</v>
      </c>
      <c r="N87" s="129">
        <v>45433</v>
      </c>
      <c r="O87" s="107"/>
    </row>
    <row r="88" spans="3:15">
      <c r="C88" s="107">
        <v>83</v>
      </c>
      <c r="D88" s="107" t="s">
        <v>1164</v>
      </c>
      <c r="E88" s="434" t="s">
        <v>1165</v>
      </c>
      <c r="F88" s="435"/>
      <c r="G88" s="107"/>
      <c r="H88" s="107"/>
      <c r="I88" s="107" t="s">
        <v>788</v>
      </c>
      <c r="J88" s="426" t="s">
        <v>511</v>
      </c>
      <c r="K88" s="442"/>
      <c r="L88" s="427"/>
      <c r="M88" s="107" t="s">
        <v>1166</v>
      </c>
      <c r="N88" s="129">
        <v>45433</v>
      </c>
      <c r="O88" s="107"/>
    </row>
    <row r="89" spans="3:15">
      <c r="C89" s="107">
        <v>84</v>
      </c>
      <c r="D89" s="107" t="s">
        <v>1169</v>
      </c>
      <c r="E89" s="434" t="s">
        <v>1168</v>
      </c>
      <c r="F89" s="435"/>
      <c r="G89" s="107"/>
      <c r="H89" s="107"/>
      <c r="I89" s="107" t="s">
        <v>15</v>
      </c>
      <c r="J89" s="426" t="s">
        <v>511</v>
      </c>
      <c r="K89" s="442"/>
      <c r="L89" s="427"/>
      <c r="M89" s="107" t="s">
        <v>1167</v>
      </c>
      <c r="N89" s="129">
        <v>45433</v>
      </c>
      <c r="O89" s="107"/>
    </row>
    <row r="90" spans="3:15">
      <c r="C90" s="107">
        <v>85</v>
      </c>
      <c r="D90" s="107" t="s">
        <v>720</v>
      </c>
      <c r="E90" s="434" t="s">
        <v>721</v>
      </c>
      <c r="F90" s="435"/>
      <c r="G90" s="107"/>
      <c r="H90" s="107"/>
      <c r="I90" s="107" t="s">
        <v>15</v>
      </c>
      <c r="J90" s="426" t="s">
        <v>511</v>
      </c>
      <c r="K90" s="442"/>
      <c r="L90" s="427"/>
      <c r="M90" s="107" t="s">
        <v>1170</v>
      </c>
      <c r="N90" s="129">
        <v>45434</v>
      </c>
      <c r="O90" s="107"/>
    </row>
    <row r="91" spans="3:15">
      <c r="C91" s="107">
        <v>86</v>
      </c>
      <c r="D91" s="107" t="s">
        <v>661</v>
      </c>
      <c r="E91" s="434" t="s">
        <v>662</v>
      </c>
      <c r="F91" s="435"/>
      <c r="G91" s="107"/>
      <c r="H91" s="107"/>
      <c r="I91" s="107" t="s">
        <v>15</v>
      </c>
      <c r="J91" s="426" t="s">
        <v>491</v>
      </c>
      <c r="K91" s="442"/>
      <c r="L91" s="427"/>
      <c r="M91" s="107" t="s">
        <v>1173</v>
      </c>
      <c r="N91" s="129">
        <v>45434</v>
      </c>
      <c r="O91" s="107"/>
    </row>
    <row r="92" spans="3:15">
      <c r="C92" s="107">
        <v>87</v>
      </c>
      <c r="D92" s="107" t="s">
        <v>1179</v>
      </c>
      <c r="E92" s="434" t="s">
        <v>1178</v>
      </c>
      <c r="F92" s="435"/>
      <c r="G92" s="107"/>
      <c r="H92" s="107"/>
      <c r="I92" s="107" t="s">
        <v>15</v>
      </c>
      <c r="J92" s="426" t="s">
        <v>511</v>
      </c>
      <c r="K92" s="442"/>
      <c r="L92" s="427"/>
      <c r="M92" s="107" t="s">
        <v>1177</v>
      </c>
      <c r="N92" s="129">
        <v>45435</v>
      </c>
      <c r="O92" s="107"/>
    </row>
    <row r="93" spans="3:15">
      <c r="C93" s="107">
        <v>88</v>
      </c>
      <c r="D93" s="107" t="s">
        <v>1180</v>
      </c>
      <c r="E93" s="426" t="s">
        <v>1181</v>
      </c>
      <c r="F93" s="427"/>
      <c r="G93" s="107"/>
      <c r="H93" s="107"/>
      <c r="I93" s="107" t="s">
        <v>15</v>
      </c>
      <c r="J93" s="426" t="s">
        <v>1056</v>
      </c>
      <c r="K93" s="442"/>
      <c r="L93" s="427"/>
      <c r="M93" s="107" t="s">
        <v>1182</v>
      </c>
      <c r="N93" s="129">
        <v>45435</v>
      </c>
      <c r="O93" s="107"/>
    </row>
    <row r="94" spans="3:15">
      <c r="C94" s="107">
        <v>89</v>
      </c>
      <c r="D94" s="107" t="s">
        <v>1184</v>
      </c>
      <c r="E94" s="434" t="s">
        <v>1183</v>
      </c>
      <c r="F94" s="435"/>
      <c r="G94" s="107"/>
      <c r="H94" s="107"/>
      <c r="I94" s="107" t="s">
        <v>15</v>
      </c>
      <c r="J94" s="426" t="s">
        <v>491</v>
      </c>
      <c r="K94" s="442"/>
      <c r="L94" s="427"/>
      <c r="M94" s="107" t="s">
        <v>1185</v>
      </c>
      <c r="N94" s="129">
        <v>45435</v>
      </c>
      <c r="O94" s="107"/>
    </row>
    <row r="95" spans="3:15">
      <c r="C95" s="107">
        <v>90</v>
      </c>
      <c r="D95" s="107" t="s">
        <v>29</v>
      </c>
      <c r="E95" s="434" t="s">
        <v>1192</v>
      </c>
      <c r="F95" s="435"/>
      <c r="G95" s="107"/>
      <c r="H95" s="107"/>
      <c r="I95" s="107" t="s">
        <v>1192</v>
      </c>
      <c r="J95" s="426" t="s">
        <v>29</v>
      </c>
      <c r="K95" s="442"/>
      <c r="L95" s="427"/>
      <c r="M95" s="107" t="s">
        <v>29</v>
      </c>
      <c r="N95" s="129" t="s">
        <v>29</v>
      </c>
      <c r="O95" s="107"/>
    </row>
    <row r="96" spans="3:15">
      <c r="C96" s="107">
        <v>91</v>
      </c>
      <c r="D96" s="107" t="s">
        <v>1174</v>
      </c>
      <c r="E96" s="434" t="s">
        <v>1126</v>
      </c>
      <c r="F96" s="435"/>
      <c r="G96" s="107"/>
      <c r="H96" s="107"/>
      <c r="I96" s="107" t="s">
        <v>59</v>
      </c>
      <c r="J96" s="426" t="s">
        <v>1194</v>
      </c>
      <c r="K96" s="442"/>
      <c r="L96" s="427"/>
      <c r="M96" s="107" t="s">
        <v>1193</v>
      </c>
      <c r="N96" s="129">
        <v>45439</v>
      </c>
      <c r="O96" s="107"/>
    </row>
    <row r="97" spans="3:15">
      <c r="C97" s="107">
        <v>92</v>
      </c>
      <c r="D97" s="107" t="s">
        <v>1197</v>
      </c>
      <c r="E97" s="426" t="s">
        <v>1198</v>
      </c>
      <c r="F97" s="427"/>
      <c r="G97" s="107"/>
      <c r="H97" s="107"/>
      <c r="I97" s="107" t="s">
        <v>15</v>
      </c>
      <c r="J97" s="426" t="s">
        <v>511</v>
      </c>
      <c r="K97" s="442"/>
      <c r="L97" s="427"/>
      <c r="M97" s="107" t="s">
        <v>1199</v>
      </c>
      <c r="N97" s="129">
        <v>45440</v>
      </c>
      <c r="O97" s="107"/>
    </row>
    <row r="98" spans="3:15">
      <c r="C98" s="107">
        <v>93</v>
      </c>
      <c r="D98" s="107" t="s">
        <v>1205</v>
      </c>
      <c r="E98" s="434" t="s">
        <v>1204</v>
      </c>
      <c r="F98" s="435"/>
      <c r="G98" s="107"/>
      <c r="H98" s="107"/>
      <c r="I98" s="107" t="s">
        <v>15</v>
      </c>
      <c r="J98" s="426" t="s">
        <v>1206</v>
      </c>
      <c r="K98" s="442"/>
      <c r="L98" s="427"/>
      <c r="M98" s="107" t="s">
        <v>1207</v>
      </c>
      <c r="N98" s="129">
        <v>45440</v>
      </c>
      <c r="O98" s="107"/>
    </row>
    <row r="99" spans="3:15">
      <c r="C99" s="107">
        <v>94</v>
      </c>
      <c r="D99" s="107" t="s">
        <v>1211</v>
      </c>
      <c r="E99" s="434" t="s">
        <v>1212</v>
      </c>
      <c r="F99" s="435"/>
      <c r="G99" s="107"/>
      <c r="H99" s="107"/>
      <c r="I99" s="107" t="s">
        <v>59</v>
      </c>
      <c r="J99" s="426" t="s">
        <v>1213</v>
      </c>
      <c r="K99" s="442"/>
      <c r="L99" s="427"/>
      <c r="M99" s="107" t="s">
        <v>1214</v>
      </c>
      <c r="N99" s="129">
        <v>45442</v>
      </c>
      <c r="O99" s="107"/>
    </row>
    <row r="100" spans="3:15">
      <c r="C100" s="107">
        <v>95</v>
      </c>
      <c r="D100" s="107" t="s">
        <v>532</v>
      </c>
      <c r="E100" s="434" t="s">
        <v>533</v>
      </c>
      <c r="F100" s="435"/>
      <c r="G100" s="107"/>
      <c r="H100" s="107"/>
      <c r="I100" s="107" t="s">
        <v>15</v>
      </c>
      <c r="J100" s="426" t="s">
        <v>511</v>
      </c>
      <c r="K100" s="442"/>
      <c r="L100" s="427"/>
      <c r="M100" s="107" t="s">
        <v>1222</v>
      </c>
      <c r="N100" s="129">
        <v>45443</v>
      </c>
      <c r="O100" s="107"/>
    </row>
    <row r="101" spans="3:15">
      <c r="C101" s="107">
        <v>96</v>
      </c>
      <c r="D101" s="107" t="s">
        <v>627</v>
      </c>
      <c r="E101" s="434" t="s">
        <v>628</v>
      </c>
      <c r="F101" s="435"/>
      <c r="G101" s="107"/>
      <c r="H101" s="107"/>
      <c r="I101" s="107" t="s">
        <v>15</v>
      </c>
      <c r="J101" s="426" t="s">
        <v>511</v>
      </c>
      <c r="K101" s="442"/>
      <c r="L101" s="427"/>
      <c r="M101" s="107" t="s">
        <v>1223</v>
      </c>
      <c r="N101" s="129">
        <v>45443</v>
      </c>
      <c r="O101" s="107"/>
    </row>
    <row r="102" spans="3:15">
      <c r="C102" s="107">
        <v>97</v>
      </c>
      <c r="D102" s="107"/>
      <c r="E102" s="434" t="s">
        <v>1226</v>
      </c>
      <c r="F102" s="435"/>
      <c r="G102" s="107"/>
      <c r="H102" s="107"/>
      <c r="I102" s="107" t="s">
        <v>15</v>
      </c>
      <c r="J102" s="426" t="s">
        <v>491</v>
      </c>
      <c r="K102" s="442"/>
      <c r="L102" s="427"/>
      <c r="M102" s="107" t="s">
        <v>1229</v>
      </c>
      <c r="N102" s="129">
        <v>45443</v>
      </c>
      <c r="O102" s="107"/>
    </row>
    <row r="103" spans="3:15">
      <c r="C103" s="107">
        <v>98</v>
      </c>
      <c r="D103" s="107" t="s">
        <v>1232</v>
      </c>
      <c r="E103" s="434" t="s">
        <v>1231</v>
      </c>
      <c r="F103" s="435"/>
      <c r="G103" s="107"/>
      <c r="H103" s="107"/>
      <c r="I103" s="107" t="s">
        <v>15</v>
      </c>
      <c r="J103" s="426" t="s">
        <v>511</v>
      </c>
      <c r="K103" s="442"/>
      <c r="L103" s="427"/>
      <c r="M103" s="107" t="s">
        <v>1227</v>
      </c>
      <c r="N103" s="129">
        <v>45443</v>
      </c>
      <c r="O103" s="107"/>
    </row>
    <row r="104" spans="3:15">
      <c r="C104" s="107">
        <v>99</v>
      </c>
      <c r="D104" s="107" t="s">
        <v>1233</v>
      </c>
      <c r="E104" s="434" t="s">
        <v>1230</v>
      </c>
      <c r="F104" s="435"/>
      <c r="G104" s="107"/>
      <c r="H104" s="107"/>
      <c r="I104" s="107" t="s">
        <v>15</v>
      </c>
      <c r="J104" s="426" t="s">
        <v>511</v>
      </c>
      <c r="K104" s="442"/>
      <c r="L104" s="427"/>
      <c r="M104" s="107" t="s">
        <v>1228</v>
      </c>
      <c r="N104" s="129">
        <v>45443</v>
      </c>
      <c r="O104" s="107"/>
    </row>
    <row r="105" spans="3:15">
      <c r="C105" s="107">
        <v>100</v>
      </c>
      <c r="D105" s="107" t="s">
        <v>1234</v>
      </c>
      <c r="E105" s="434" t="s">
        <v>1235</v>
      </c>
      <c r="F105" s="435"/>
      <c r="G105" s="107"/>
      <c r="H105" s="107"/>
      <c r="I105" s="107" t="s">
        <v>788</v>
      </c>
      <c r="J105" s="426" t="s">
        <v>511</v>
      </c>
      <c r="K105" s="442"/>
      <c r="L105" s="427"/>
      <c r="M105" s="107" t="s">
        <v>1236</v>
      </c>
      <c r="N105" s="129">
        <v>45443</v>
      </c>
      <c r="O105" s="107"/>
    </row>
    <row r="106" spans="3:15">
      <c r="C106" s="107">
        <v>101</v>
      </c>
      <c r="D106" s="107" t="s">
        <v>1243</v>
      </c>
      <c r="E106" s="434" t="s">
        <v>976</v>
      </c>
      <c r="F106" s="435"/>
      <c r="G106" s="107"/>
      <c r="H106" s="107"/>
      <c r="I106" s="107" t="s">
        <v>15</v>
      </c>
      <c r="J106" s="426" t="s">
        <v>511</v>
      </c>
      <c r="K106" s="442"/>
      <c r="L106" s="427"/>
      <c r="M106" s="107" t="s">
        <v>1238</v>
      </c>
      <c r="N106" s="129">
        <v>45448</v>
      </c>
      <c r="O106" s="107"/>
    </row>
    <row r="107" spans="3:15">
      <c r="C107" s="107">
        <v>102</v>
      </c>
      <c r="D107" s="107" t="s">
        <v>1082</v>
      </c>
      <c r="E107" s="434" t="s">
        <v>1083</v>
      </c>
      <c r="F107" s="435"/>
      <c r="G107" s="107"/>
      <c r="H107" s="107"/>
      <c r="I107" s="107" t="s">
        <v>788</v>
      </c>
      <c r="J107" s="426" t="s">
        <v>511</v>
      </c>
      <c r="K107" s="442"/>
      <c r="L107" s="427"/>
      <c r="M107" s="107" t="s">
        <v>1239</v>
      </c>
      <c r="N107" s="129">
        <v>45448</v>
      </c>
      <c r="O107" s="107"/>
    </row>
    <row r="108" spans="3:15">
      <c r="C108" s="107">
        <v>103</v>
      </c>
      <c r="D108" s="107" t="s">
        <v>1020</v>
      </c>
      <c r="E108" s="434" t="s">
        <v>1018</v>
      </c>
      <c r="F108" s="435"/>
      <c r="G108" s="107"/>
      <c r="H108" s="107"/>
      <c r="I108" s="107" t="s">
        <v>788</v>
      </c>
      <c r="J108" s="426" t="s">
        <v>511</v>
      </c>
      <c r="K108" s="442"/>
      <c r="L108" s="427"/>
      <c r="M108" s="107" t="s">
        <v>1240</v>
      </c>
      <c r="N108" s="129">
        <v>45448</v>
      </c>
      <c r="O108" s="107"/>
    </row>
    <row r="109" spans="3:15">
      <c r="C109" s="107">
        <v>104</v>
      </c>
      <c r="D109" s="107" t="s">
        <v>1244</v>
      </c>
      <c r="E109" s="434" t="s">
        <v>1245</v>
      </c>
      <c r="F109" s="435"/>
      <c r="G109" s="107"/>
      <c r="H109" s="107"/>
      <c r="I109" s="107" t="s">
        <v>59</v>
      </c>
      <c r="J109" s="426" t="s">
        <v>1213</v>
      </c>
      <c r="K109" s="442"/>
      <c r="L109" s="427"/>
      <c r="M109" s="107" t="s">
        <v>1253</v>
      </c>
      <c r="N109" s="129">
        <v>45450</v>
      </c>
      <c r="O109" s="107"/>
    </row>
    <row r="110" spans="3:15">
      <c r="C110" s="107">
        <v>105</v>
      </c>
      <c r="D110" s="107" t="s">
        <v>1258</v>
      </c>
      <c r="E110" s="434" t="s">
        <v>1259</v>
      </c>
      <c r="F110" s="435"/>
      <c r="G110" s="107"/>
      <c r="H110" s="107"/>
      <c r="I110" s="107" t="s">
        <v>15</v>
      </c>
      <c r="J110" s="426" t="s">
        <v>511</v>
      </c>
      <c r="K110" s="442"/>
      <c r="L110" s="427"/>
      <c r="M110" s="107" t="s">
        <v>1254</v>
      </c>
      <c r="N110" s="129">
        <v>45453</v>
      </c>
      <c r="O110" s="107"/>
    </row>
    <row r="111" spans="3:15">
      <c r="C111" s="107">
        <v>106</v>
      </c>
      <c r="D111" s="107" t="s">
        <v>1260</v>
      </c>
      <c r="E111" s="434" t="s">
        <v>1261</v>
      </c>
      <c r="F111" s="435"/>
      <c r="G111" s="107"/>
      <c r="H111" s="107"/>
      <c r="I111" s="107" t="s">
        <v>15</v>
      </c>
      <c r="J111" s="426" t="s">
        <v>511</v>
      </c>
      <c r="K111" s="442"/>
      <c r="L111" s="427"/>
      <c r="M111" s="107" t="s">
        <v>1255</v>
      </c>
      <c r="N111" s="129">
        <v>45453</v>
      </c>
      <c r="O111" s="107"/>
    </row>
    <row r="112" spans="3:15">
      <c r="C112" s="107">
        <v>107</v>
      </c>
      <c r="D112" s="107" t="s">
        <v>1262</v>
      </c>
      <c r="E112" s="434" t="s">
        <v>1263</v>
      </c>
      <c r="F112" s="435"/>
      <c r="G112" s="107"/>
      <c r="H112" s="107"/>
      <c r="I112" s="107" t="s">
        <v>15</v>
      </c>
      <c r="J112" s="426" t="s">
        <v>511</v>
      </c>
      <c r="K112" s="442"/>
      <c r="L112" s="427"/>
      <c r="M112" s="107" t="s">
        <v>1256</v>
      </c>
      <c r="N112" s="129">
        <v>45453</v>
      </c>
      <c r="O112" s="107"/>
    </row>
    <row r="113" spans="3:15">
      <c r="C113" s="107">
        <v>108</v>
      </c>
      <c r="D113" s="107" t="s">
        <v>1265</v>
      </c>
      <c r="E113" s="434" t="s">
        <v>1264</v>
      </c>
      <c r="F113" s="435"/>
      <c r="G113" s="107"/>
      <c r="H113" s="107"/>
      <c r="I113" s="107" t="s">
        <v>15</v>
      </c>
      <c r="J113" s="426" t="s">
        <v>511</v>
      </c>
      <c r="K113" s="442"/>
      <c r="L113" s="427"/>
      <c r="M113" s="107" t="s">
        <v>1257</v>
      </c>
      <c r="N113" s="129">
        <v>45453</v>
      </c>
      <c r="O113" s="107"/>
    </row>
    <row r="114" spans="3:15">
      <c r="C114" s="107">
        <v>109</v>
      </c>
      <c r="D114" s="107" t="s">
        <v>982</v>
      </c>
      <c r="E114" s="434" t="s">
        <v>981</v>
      </c>
      <c r="F114" s="435"/>
      <c r="G114" s="107"/>
      <c r="H114" s="107"/>
      <c r="I114" s="107" t="s">
        <v>15</v>
      </c>
      <c r="J114" s="426" t="s">
        <v>511</v>
      </c>
      <c r="K114" s="442"/>
      <c r="L114" s="427"/>
      <c r="M114" s="107" t="s">
        <v>1266</v>
      </c>
      <c r="N114" s="129">
        <v>45454</v>
      </c>
      <c r="O114" s="107"/>
    </row>
    <row r="115" spans="3:15">
      <c r="C115" s="107">
        <v>110</v>
      </c>
      <c r="D115" s="107" t="s">
        <v>1269</v>
      </c>
      <c r="E115" s="434" t="s">
        <v>1051</v>
      </c>
      <c r="F115" s="435"/>
      <c r="G115" s="107"/>
      <c r="H115" s="107"/>
      <c r="I115" s="107" t="s">
        <v>59</v>
      </c>
      <c r="J115" s="426" t="s">
        <v>1267</v>
      </c>
      <c r="K115" s="442"/>
      <c r="L115" s="427"/>
      <c r="M115" s="107" t="s">
        <v>1268</v>
      </c>
      <c r="N115" s="129">
        <v>45454</v>
      </c>
      <c r="O115" s="107"/>
    </row>
    <row r="116" spans="3:15" ht="32">
      <c r="C116" s="107">
        <v>111</v>
      </c>
      <c r="D116" s="1" t="s">
        <v>1276</v>
      </c>
      <c r="E116" s="434" t="s">
        <v>1275</v>
      </c>
      <c r="F116" s="435"/>
      <c r="G116" s="107"/>
      <c r="H116" s="107"/>
      <c r="I116" s="107" t="s">
        <v>15</v>
      </c>
      <c r="J116" s="426" t="s">
        <v>511</v>
      </c>
      <c r="K116" s="442"/>
      <c r="L116" s="427"/>
      <c r="M116" s="107" t="s">
        <v>1274</v>
      </c>
      <c r="N116" s="129">
        <v>45454</v>
      </c>
      <c r="O116" s="107"/>
    </row>
    <row r="117" spans="3:15">
      <c r="C117" s="107">
        <v>112</v>
      </c>
      <c r="D117" s="107" t="s">
        <v>1283</v>
      </c>
      <c r="E117" s="434" t="s">
        <v>974</v>
      </c>
      <c r="F117" s="435"/>
      <c r="G117" s="107"/>
      <c r="H117" s="107"/>
      <c r="I117" s="107" t="s">
        <v>788</v>
      </c>
      <c r="J117" s="426" t="s">
        <v>1282</v>
      </c>
      <c r="K117" s="442"/>
      <c r="L117" s="427"/>
      <c r="M117" s="107" t="s">
        <v>1281</v>
      </c>
      <c r="N117" s="129">
        <v>45460</v>
      </c>
      <c r="O117" s="107"/>
    </row>
    <row r="118" spans="3:15">
      <c r="C118" s="107">
        <v>113</v>
      </c>
      <c r="D118" s="107" t="s">
        <v>1284</v>
      </c>
      <c r="E118" s="434" t="s">
        <v>1285</v>
      </c>
      <c r="F118" s="435"/>
      <c r="G118" s="107"/>
      <c r="H118" s="107"/>
      <c r="I118" s="107" t="s">
        <v>15</v>
      </c>
      <c r="J118" s="426" t="s">
        <v>511</v>
      </c>
      <c r="K118" s="442"/>
      <c r="L118" s="427"/>
      <c r="M118" s="107" t="s">
        <v>1286</v>
      </c>
      <c r="N118" s="129">
        <v>45461</v>
      </c>
      <c r="O118" s="107"/>
    </row>
    <row r="119" spans="3:15">
      <c r="C119" s="107">
        <v>114</v>
      </c>
      <c r="D119" s="107" t="s">
        <v>1288</v>
      </c>
      <c r="E119" s="434" t="s">
        <v>1289</v>
      </c>
      <c r="F119" s="435"/>
      <c r="G119" s="107"/>
      <c r="H119" s="107"/>
      <c r="I119" s="107" t="s">
        <v>15</v>
      </c>
      <c r="J119" s="426" t="s">
        <v>511</v>
      </c>
      <c r="K119" s="442"/>
      <c r="L119" s="427"/>
      <c r="M119" s="107" t="s">
        <v>1287</v>
      </c>
      <c r="N119" s="129">
        <v>45461</v>
      </c>
      <c r="O119" s="107"/>
    </row>
    <row r="120" spans="3:15">
      <c r="C120" s="107">
        <v>115</v>
      </c>
      <c r="D120" s="107" t="s">
        <v>1062</v>
      </c>
      <c r="E120" s="434" t="s">
        <v>1101</v>
      </c>
      <c r="F120" s="435"/>
      <c r="G120" s="107"/>
      <c r="H120" s="107"/>
      <c r="I120" s="107" t="s">
        <v>15</v>
      </c>
      <c r="J120" s="426" t="s">
        <v>511</v>
      </c>
      <c r="K120" s="442"/>
      <c r="L120" s="427"/>
      <c r="M120" s="107" t="s">
        <v>1290</v>
      </c>
      <c r="N120" s="129">
        <v>45461</v>
      </c>
      <c r="O120" s="107"/>
    </row>
    <row r="121" spans="3:15">
      <c r="C121" s="107">
        <v>116</v>
      </c>
      <c r="D121" s="107" t="s">
        <v>1190</v>
      </c>
      <c r="E121" s="434" t="s">
        <v>1191</v>
      </c>
      <c r="F121" s="435"/>
      <c r="G121" s="107"/>
      <c r="H121" s="107"/>
      <c r="I121" s="107" t="s">
        <v>15</v>
      </c>
      <c r="J121" s="426" t="s">
        <v>511</v>
      </c>
      <c r="K121" s="442"/>
      <c r="L121" s="427"/>
      <c r="M121" s="107" t="s">
        <v>1291</v>
      </c>
      <c r="N121" s="129">
        <v>45461</v>
      </c>
      <c r="O121" s="107"/>
    </row>
    <row r="122" spans="3:15">
      <c r="C122" s="107">
        <v>117</v>
      </c>
      <c r="D122" s="107" t="s">
        <v>1273</v>
      </c>
      <c r="E122" s="434" t="s">
        <v>1294</v>
      </c>
      <c r="F122" s="435"/>
      <c r="G122" s="107"/>
      <c r="H122" s="107"/>
      <c r="I122" s="107" t="s">
        <v>15</v>
      </c>
      <c r="J122" s="426" t="s">
        <v>1056</v>
      </c>
      <c r="K122" s="442"/>
      <c r="L122" s="427"/>
      <c r="M122" s="107" t="s">
        <v>1295</v>
      </c>
      <c r="N122" s="129">
        <v>45482</v>
      </c>
      <c r="O122" s="107"/>
    </row>
    <row r="123" spans="3:15">
      <c r="C123" s="107">
        <v>118</v>
      </c>
      <c r="D123" s="107" t="s">
        <v>1297</v>
      </c>
      <c r="E123" s="434" t="s">
        <v>1298</v>
      </c>
      <c r="F123" s="435"/>
      <c r="G123" s="107"/>
      <c r="H123" s="107"/>
      <c r="I123" s="107" t="s">
        <v>788</v>
      </c>
      <c r="J123" s="426" t="s">
        <v>874</v>
      </c>
      <c r="K123" s="442"/>
      <c r="L123" s="427"/>
      <c r="M123" s="107" t="s">
        <v>1299</v>
      </c>
      <c r="N123" s="129">
        <v>45483</v>
      </c>
      <c r="O123" s="107"/>
    </row>
    <row r="124" spans="3:15">
      <c r="C124" s="107">
        <v>119</v>
      </c>
      <c r="D124" s="107" t="s">
        <v>1237</v>
      </c>
      <c r="E124" s="434" t="s">
        <v>1300</v>
      </c>
      <c r="F124" s="435"/>
      <c r="G124" s="107"/>
      <c r="H124" s="107"/>
      <c r="I124" s="107" t="s">
        <v>15</v>
      </c>
      <c r="J124" s="426" t="s">
        <v>1301</v>
      </c>
      <c r="K124" s="442"/>
      <c r="L124" s="427"/>
      <c r="M124" s="107" t="s">
        <v>1302</v>
      </c>
      <c r="N124" s="129">
        <v>45485</v>
      </c>
      <c r="O124" s="107"/>
    </row>
    <row r="125" spans="3:15">
      <c r="C125" s="107">
        <v>120</v>
      </c>
      <c r="D125" s="107" t="s">
        <v>1057</v>
      </c>
      <c r="E125" s="434" t="s">
        <v>1058</v>
      </c>
      <c r="F125" s="435"/>
      <c r="G125" s="107"/>
      <c r="H125" s="107"/>
      <c r="I125" s="107" t="s">
        <v>15</v>
      </c>
      <c r="J125" s="426" t="s">
        <v>511</v>
      </c>
      <c r="K125" s="442"/>
      <c r="L125" s="427"/>
      <c r="M125" s="107" t="s">
        <v>1303</v>
      </c>
      <c r="N125" s="129">
        <v>45485</v>
      </c>
      <c r="O125" s="107"/>
    </row>
    <row r="126" spans="3:15">
      <c r="C126" s="107">
        <v>121</v>
      </c>
      <c r="D126" s="107" t="s">
        <v>731</v>
      </c>
      <c r="E126" s="434" t="s">
        <v>1046</v>
      </c>
      <c r="F126" s="435"/>
      <c r="G126" s="107"/>
      <c r="H126" s="107"/>
      <c r="I126" s="107" t="s">
        <v>788</v>
      </c>
      <c r="J126" s="426" t="s">
        <v>1304</v>
      </c>
      <c r="K126" s="442"/>
      <c r="L126" s="427"/>
      <c r="M126" s="107" t="s">
        <v>1305</v>
      </c>
      <c r="N126" s="129">
        <v>45485</v>
      </c>
      <c r="O126" s="107"/>
    </row>
    <row r="127" spans="3:15">
      <c r="C127" s="107">
        <v>122</v>
      </c>
      <c r="D127" s="107" t="s">
        <v>1307</v>
      </c>
      <c r="E127" s="434" t="s">
        <v>1308</v>
      </c>
      <c r="F127" s="435"/>
      <c r="G127" s="107"/>
      <c r="H127" s="107"/>
      <c r="I127" s="107" t="s">
        <v>1306</v>
      </c>
      <c r="J127" s="426" t="s">
        <v>1309</v>
      </c>
      <c r="K127" s="442"/>
      <c r="L127" s="427"/>
      <c r="M127" s="107" t="s">
        <v>1310</v>
      </c>
      <c r="N127" s="129">
        <v>45488</v>
      </c>
      <c r="O127" s="107"/>
    </row>
    <row r="128" spans="3:15">
      <c r="C128" s="107">
        <v>123</v>
      </c>
      <c r="D128" s="107" t="s">
        <v>338</v>
      </c>
      <c r="E128" s="434" t="s">
        <v>339</v>
      </c>
      <c r="F128" s="435"/>
      <c r="G128" s="107"/>
      <c r="H128" s="107"/>
      <c r="I128" s="107" t="s">
        <v>15</v>
      </c>
      <c r="J128" s="426" t="s">
        <v>511</v>
      </c>
      <c r="K128" s="442"/>
      <c r="L128" s="427"/>
      <c r="M128" s="107" t="s">
        <v>1312</v>
      </c>
      <c r="N128" s="129">
        <v>45510</v>
      </c>
      <c r="O128" s="107"/>
    </row>
    <row r="129" spans="3:15">
      <c r="C129" s="107">
        <v>124</v>
      </c>
      <c r="D129" s="107"/>
      <c r="E129" s="434" t="s">
        <v>1051</v>
      </c>
      <c r="F129" s="435"/>
      <c r="G129" s="107"/>
      <c r="H129" s="107"/>
      <c r="I129" s="107" t="s">
        <v>15</v>
      </c>
      <c r="J129" s="426" t="s">
        <v>511</v>
      </c>
      <c r="K129" s="442"/>
      <c r="L129" s="427"/>
      <c r="M129" s="107">
        <v>10</v>
      </c>
      <c r="N129" s="129">
        <v>45510</v>
      </c>
      <c r="O129" s="107"/>
    </row>
    <row r="130" spans="3:15">
      <c r="C130" s="107">
        <v>125</v>
      </c>
      <c r="D130" s="107"/>
      <c r="E130" s="434" t="s">
        <v>1316</v>
      </c>
      <c r="F130" s="435"/>
      <c r="G130" s="107"/>
      <c r="H130" s="107"/>
      <c r="I130" s="107" t="s">
        <v>59</v>
      </c>
      <c r="J130" s="426" t="s">
        <v>1315</v>
      </c>
      <c r="K130" s="442"/>
      <c r="L130" s="427"/>
      <c r="M130" s="107" t="s">
        <v>1314</v>
      </c>
      <c r="N130" s="129">
        <v>45516</v>
      </c>
      <c r="O130" s="107"/>
    </row>
    <row r="131" spans="3:15">
      <c r="C131" s="107">
        <v>126</v>
      </c>
      <c r="D131" s="107" t="s">
        <v>1283</v>
      </c>
      <c r="E131" s="434" t="s">
        <v>974</v>
      </c>
      <c r="F131" s="435"/>
      <c r="G131" s="107"/>
      <c r="H131" s="107"/>
      <c r="I131" s="107" t="s">
        <v>788</v>
      </c>
      <c r="J131" s="426" t="s">
        <v>1317</v>
      </c>
      <c r="K131" s="442"/>
      <c r="L131" s="427"/>
      <c r="M131" s="107" t="s">
        <v>1318</v>
      </c>
      <c r="N131" s="129">
        <v>45519</v>
      </c>
      <c r="O131" s="107"/>
    </row>
    <row r="132" spans="3:15">
      <c r="C132" s="107">
        <v>127</v>
      </c>
      <c r="D132" s="107"/>
      <c r="E132" s="434" t="s">
        <v>1331</v>
      </c>
      <c r="F132" s="435"/>
      <c r="G132" s="107"/>
      <c r="H132" s="107"/>
      <c r="I132" s="107" t="s">
        <v>15</v>
      </c>
      <c r="J132" s="426" t="s">
        <v>1319</v>
      </c>
      <c r="K132" s="442"/>
      <c r="L132" s="427"/>
      <c r="M132" s="107" t="s">
        <v>1320</v>
      </c>
      <c r="N132" s="129">
        <v>45526</v>
      </c>
      <c r="O132" s="107"/>
    </row>
    <row r="133" spans="3:15">
      <c r="C133" s="107">
        <v>128</v>
      </c>
      <c r="D133" s="107" t="s">
        <v>1322</v>
      </c>
      <c r="E133" s="434" t="s">
        <v>1321</v>
      </c>
      <c r="F133" s="435"/>
      <c r="G133" s="107"/>
      <c r="H133" s="107"/>
      <c r="I133" s="107" t="s">
        <v>15</v>
      </c>
      <c r="J133" s="426" t="s">
        <v>1323</v>
      </c>
      <c r="K133" s="442"/>
      <c r="L133" s="427"/>
      <c r="M133" s="107" t="s">
        <v>1324</v>
      </c>
      <c r="N133" s="129">
        <v>45530</v>
      </c>
      <c r="O133" s="107"/>
    </row>
    <row r="134" spans="3:15">
      <c r="C134" s="107">
        <v>129</v>
      </c>
      <c r="D134" s="107" t="s">
        <v>1332</v>
      </c>
      <c r="E134" s="434" t="s">
        <v>1333</v>
      </c>
      <c r="F134" s="435"/>
      <c r="G134" s="107"/>
      <c r="H134" s="107"/>
      <c r="I134" s="107" t="s">
        <v>59</v>
      </c>
      <c r="J134" s="426" t="s">
        <v>1334</v>
      </c>
      <c r="K134" s="442"/>
      <c r="L134" s="427"/>
      <c r="M134" s="107" t="s">
        <v>1335</v>
      </c>
      <c r="N134" s="129">
        <v>45534</v>
      </c>
      <c r="O134" s="107"/>
    </row>
    <row r="135" spans="3:15">
      <c r="C135" s="321">
        <v>130</v>
      </c>
      <c r="D135" s="107"/>
      <c r="E135" s="434"/>
      <c r="F135" s="435"/>
      <c r="G135" s="107"/>
      <c r="H135" s="107"/>
      <c r="I135" s="107" t="s">
        <v>15</v>
      </c>
      <c r="J135" s="426" t="s">
        <v>511</v>
      </c>
      <c r="K135" s="442"/>
      <c r="L135" s="427"/>
      <c r="M135" s="107" t="s">
        <v>1342</v>
      </c>
      <c r="N135" s="129">
        <v>45537</v>
      </c>
      <c r="O135" s="107"/>
    </row>
    <row r="136" spans="3:15">
      <c r="C136" s="321">
        <v>131</v>
      </c>
      <c r="D136" s="107"/>
      <c r="E136" s="434"/>
      <c r="F136" s="435"/>
      <c r="G136" s="107"/>
      <c r="H136" s="107"/>
      <c r="I136" s="107" t="s">
        <v>15</v>
      </c>
      <c r="J136" s="426" t="s">
        <v>511</v>
      </c>
      <c r="K136" s="442"/>
      <c r="L136" s="427"/>
      <c r="M136" s="107">
        <v>1208</v>
      </c>
      <c r="N136" s="129">
        <v>45537</v>
      </c>
      <c r="O136" s="107"/>
    </row>
    <row r="137" spans="3:15">
      <c r="C137" s="107">
        <v>132</v>
      </c>
      <c r="D137" s="107"/>
      <c r="E137" s="434"/>
      <c r="F137" s="435"/>
      <c r="G137" s="107"/>
      <c r="H137" s="107"/>
      <c r="I137" s="107" t="s">
        <v>15</v>
      </c>
      <c r="J137" s="426" t="s">
        <v>511</v>
      </c>
      <c r="K137" s="442"/>
      <c r="L137" s="427"/>
      <c r="M137" s="107">
        <v>1209</v>
      </c>
      <c r="N137" s="129">
        <v>45537</v>
      </c>
      <c r="O137" s="107"/>
    </row>
    <row r="138" spans="3:15">
      <c r="C138" s="107">
        <v>133</v>
      </c>
      <c r="D138" s="107"/>
      <c r="E138" s="434"/>
      <c r="F138" s="435"/>
      <c r="G138" s="107"/>
      <c r="H138" s="107"/>
      <c r="I138" s="107" t="s">
        <v>15</v>
      </c>
      <c r="J138" s="426" t="s">
        <v>511</v>
      </c>
      <c r="K138" s="442"/>
      <c r="L138" s="427"/>
      <c r="M138" s="107">
        <v>1210</v>
      </c>
      <c r="N138" s="129">
        <v>45537</v>
      </c>
      <c r="O138" s="107"/>
    </row>
    <row r="139" spans="3:15">
      <c r="C139" s="107">
        <v>134</v>
      </c>
      <c r="D139" s="107"/>
      <c r="E139" s="434"/>
      <c r="F139" s="435"/>
      <c r="G139" s="107"/>
      <c r="H139" s="107"/>
      <c r="I139" s="107" t="s">
        <v>15</v>
      </c>
      <c r="J139" s="426" t="s">
        <v>511</v>
      </c>
      <c r="K139" s="442"/>
      <c r="L139" s="427"/>
      <c r="M139" s="107">
        <v>1211</v>
      </c>
      <c r="N139" s="129">
        <v>45537</v>
      </c>
      <c r="O139" s="107"/>
    </row>
    <row r="140" spans="3:15">
      <c r="C140" s="107">
        <v>135</v>
      </c>
      <c r="D140" s="107"/>
      <c r="E140" s="434"/>
      <c r="F140" s="435"/>
      <c r="G140" s="107"/>
      <c r="H140" s="107"/>
      <c r="I140" s="107" t="s">
        <v>15</v>
      </c>
      <c r="J140" s="426" t="s">
        <v>511</v>
      </c>
      <c r="K140" s="442"/>
      <c r="L140" s="427"/>
      <c r="M140" s="107">
        <v>1212</v>
      </c>
      <c r="N140" s="129">
        <v>45537</v>
      </c>
      <c r="O140" s="107"/>
    </row>
    <row r="141" spans="3:15">
      <c r="C141" s="107">
        <v>136</v>
      </c>
      <c r="D141" s="107"/>
      <c r="E141" s="434"/>
      <c r="F141" s="435"/>
      <c r="G141" s="107"/>
      <c r="H141" s="107"/>
      <c r="I141" s="107" t="s">
        <v>15</v>
      </c>
      <c r="J141" s="426" t="s">
        <v>511</v>
      </c>
      <c r="K141" s="442"/>
      <c r="L141" s="427"/>
      <c r="M141" s="107">
        <v>1213</v>
      </c>
      <c r="N141" s="129">
        <v>45537</v>
      </c>
      <c r="O141" s="107"/>
    </row>
    <row r="142" spans="3:15">
      <c r="C142" s="107">
        <v>137</v>
      </c>
      <c r="D142" s="107"/>
      <c r="E142" s="434"/>
      <c r="F142" s="435"/>
      <c r="G142" s="107"/>
      <c r="H142" s="107"/>
      <c r="I142" s="107" t="s">
        <v>15</v>
      </c>
      <c r="J142" s="426" t="s">
        <v>511</v>
      </c>
      <c r="K142" s="442"/>
      <c r="L142" s="427"/>
      <c r="M142" s="107">
        <v>1214</v>
      </c>
      <c r="N142" s="129">
        <v>45537</v>
      </c>
      <c r="O142" s="107"/>
    </row>
    <row r="143" spans="3:15">
      <c r="C143" s="107">
        <v>138</v>
      </c>
      <c r="D143" s="107"/>
      <c r="E143" s="434"/>
      <c r="F143" s="435"/>
      <c r="G143" s="107"/>
      <c r="H143" s="107"/>
      <c r="I143" s="107" t="s">
        <v>15</v>
      </c>
      <c r="J143" s="426" t="s">
        <v>511</v>
      </c>
      <c r="K143" s="442"/>
      <c r="L143" s="427"/>
      <c r="M143" s="107">
        <v>1215</v>
      </c>
      <c r="N143" s="129">
        <v>45537</v>
      </c>
      <c r="O143" s="107"/>
    </row>
    <row r="144" spans="3:15">
      <c r="C144" s="107">
        <v>139</v>
      </c>
      <c r="D144" s="107"/>
      <c r="E144" s="434"/>
      <c r="F144" s="435"/>
      <c r="G144" s="107"/>
      <c r="H144" s="107"/>
      <c r="I144" s="107" t="s">
        <v>15</v>
      </c>
      <c r="J144" s="426" t="s">
        <v>511</v>
      </c>
      <c r="K144" s="442"/>
      <c r="L144" s="427"/>
      <c r="M144" s="107">
        <v>1216</v>
      </c>
      <c r="N144" s="129">
        <v>45537</v>
      </c>
      <c r="O144" s="107"/>
    </row>
    <row r="145" spans="3:15">
      <c r="C145" s="107">
        <v>140</v>
      </c>
      <c r="D145" s="107"/>
      <c r="E145" s="434"/>
      <c r="F145" s="435"/>
      <c r="G145" s="107"/>
      <c r="H145" s="107"/>
      <c r="I145" s="107" t="s">
        <v>15</v>
      </c>
      <c r="J145" s="426" t="s">
        <v>511</v>
      </c>
      <c r="K145" s="442"/>
      <c r="L145" s="427"/>
      <c r="M145" s="107">
        <v>1217</v>
      </c>
      <c r="N145" s="129">
        <v>45537</v>
      </c>
      <c r="O145" s="107"/>
    </row>
    <row r="146" spans="3:15">
      <c r="C146" s="107">
        <v>141</v>
      </c>
      <c r="D146" s="107"/>
      <c r="E146" s="434"/>
      <c r="F146" s="435"/>
      <c r="G146" s="107"/>
      <c r="H146" s="107"/>
      <c r="I146" s="107" t="s">
        <v>15</v>
      </c>
      <c r="J146" s="426" t="s">
        <v>511</v>
      </c>
      <c r="K146" s="442"/>
      <c r="L146" s="427"/>
      <c r="M146" s="107">
        <v>1218</v>
      </c>
      <c r="N146" s="129">
        <v>45537</v>
      </c>
      <c r="O146" s="107"/>
    </row>
    <row r="147" spans="3:15">
      <c r="C147" s="107">
        <v>142</v>
      </c>
      <c r="D147" s="107"/>
      <c r="E147" s="434"/>
      <c r="F147" s="435"/>
      <c r="G147" s="107"/>
      <c r="H147" s="107"/>
      <c r="I147" s="107" t="s">
        <v>15</v>
      </c>
      <c r="J147" s="426" t="s">
        <v>511</v>
      </c>
      <c r="K147" s="442"/>
      <c r="L147" s="427"/>
      <c r="M147" s="107">
        <v>1219</v>
      </c>
      <c r="N147" s="129">
        <v>45537</v>
      </c>
      <c r="O147" s="107"/>
    </row>
    <row r="148" spans="3:15">
      <c r="C148" s="107">
        <v>143</v>
      </c>
      <c r="D148" s="107"/>
      <c r="E148" s="434"/>
      <c r="F148" s="435"/>
      <c r="G148" s="107"/>
      <c r="H148" s="107"/>
      <c r="I148" s="107" t="s">
        <v>15</v>
      </c>
      <c r="J148" s="426" t="s">
        <v>511</v>
      </c>
      <c r="K148" s="442"/>
      <c r="L148" s="427"/>
      <c r="M148" s="107">
        <v>1220</v>
      </c>
      <c r="N148" s="129">
        <v>45537</v>
      </c>
      <c r="O148" s="107"/>
    </row>
    <row r="149" spans="3:15">
      <c r="C149" s="107">
        <v>144</v>
      </c>
      <c r="D149" s="107"/>
      <c r="E149" s="434"/>
      <c r="F149" s="435"/>
      <c r="G149" s="107"/>
      <c r="H149" s="107"/>
      <c r="I149" s="107" t="s">
        <v>15</v>
      </c>
      <c r="J149" s="426" t="s">
        <v>511</v>
      </c>
      <c r="K149" s="442"/>
      <c r="L149" s="427"/>
      <c r="M149" s="107">
        <v>1221</v>
      </c>
      <c r="N149" s="129">
        <v>45537</v>
      </c>
      <c r="O149" s="107"/>
    </row>
    <row r="150" spans="3:15">
      <c r="C150" s="107">
        <v>145</v>
      </c>
      <c r="D150" s="107"/>
      <c r="E150" s="434"/>
      <c r="F150" s="435"/>
      <c r="G150" s="107"/>
      <c r="H150" s="107"/>
      <c r="I150" s="107" t="s">
        <v>15</v>
      </c>
      <c r="J150" s="426" t="s">
        <v>511</v>
      </c>
      <c r="K150" s="442"/>
      <c r="L150" s="427"/>
      <c r="M150" s="107">
        <v>1222</v>
      </c>
      <c r="N150" s="129">
        <v>45537</v>
      </c>
      <c r="O150" s="107"/>
    </row>
    <row r="151" spans="3:15">
      <c r="C151" s="107">
        <v>146</v>
      </c>
      <c r="D151" s="107"/>
      <c r="E151" s="434"/>
      <c r="F151" s="435"/>
      <c r="G151" s="107"/>
      <c r="H151" s="107"/>
      <c r="I151" s="107" t="s">
        <v>15</v>
      </c>
      <c r="J151" s="426" t="s">
        <v>511</v>
      </c>
      <c r="K151" s="442"/>
      <c r="L151" s="427"/>
      <c r="M151" s="107">
        <v>1223</v>
      </c>
      <c r="N151" s="129">
        <v>45537</v>
      </c>
      <c r="O151" s="107"/>
    </row>
    <row r="152" spans="3:15">
      <c r="C152" s="107">
        <v>147</v>
      </c>
      <c r="D152" s="107"/>
      <c r="E152" s="434"/>
      <c r="F152" s="435"/>
      <c r="G152" s="107"/>
      <c r="H152" s="107"/>
      <c r="I152" s="107" t="s">
        <v>15</v>
      </c>
      <c r="J152" s="426" t="s">
        <v>511</v>
      </c>
      <c r="K152" s="442"/>
      <c r="L152" s="427"/>
      <c r="M152" s="107">
        <v>1224</v>
      </c>
      <c r="N152" s="129">
        <v>45537</v>
      </c>
      <c r="O152" s="107"/>
    </row>
    <row r="153" spans="3:15">
      <c r="C153" s="107">
        <v>148</v>
      </c>
      <c r="D153" s="107"/>
      <c r="E153" s="434"/>
      <c r="F153" s="435"/>
      <c r="G153" s="107"/>
      <c r="H153" s="107"/>
      <c r="I153" s="107" t="s">
        <v>15</v>
      </c>
      <c r="J153" s="426" t="s">
        <v>511</v>
      </c>
      <c r="K153" s="442"/>
      <c r="L153" s="427"/>
      <c r="M153" s="107" t="s">
        <v>1343</v>
      </c>
      <c r="N153" s="129">
        <v>45537</v>
      </c>
      <c r="O153" s="107"/>
    </row>
    <row r="154" spans="3:15">
      <c r="C154" s="107">
        <v>149</v>
      </c>
      <c r="D154" s="107" t="s">
        <v>1347</v>
      </c>
      <c r="E154" s="434" t="s">
        <v>1348</v>
      </c>
      <c r="F154" s="435"/>
      <c r="G154" s="107"/>
      <c r="H154" s="107"/>
      <c r="I154" s="107" t="s">
        <v>788</v>
      </c>
      <c r="J154" s="426" t="s">
        <v>1345</v>
      </c>
      <c r="K154" s="442"/>
      <c r="L154" s="427"/>
      <c r="M154" s="107" t="s">
        <v>1346</v>
      </c>
      <c r="N154" s="129">
        <v>45540</v>
      </c>
      <c r="O154" s="107"/>
    </row>
    <row r="155" spans="3:15">
      <c r="C155" s="107">
        <v>150</v>
      </c>
      <c r="D155" s="107" t="s">
        <v>1349</v>
      </c>
      <c r="E155" s="434" t="s">
        <v>1350</v>
      </c>
      <c r="F155" s="435"/>
      <c r="G155" s="107"/>
      <c r="H155" s="107"/>
      <c r="I155" s="107" t="s">
        <v>15</v>
      </c>
      <c r="J155" s="426" t="s">
        <v>1351</v>
      </c>
      <c r="K155" s="442"/>
      <c r="L155" s="427"/>
      <c r="M155" s="107" t="s">
        <v>1352</v>
      </c>
      <c r="N155" s="129">
        <v>45555</v>
      </c>
      <c r="O155" s="107"/>
    </row>
    <row r="156" spans="3:15">
      <c r="C156" s="107">
        <v>151</v>
      </c>
      <c r="D156" s="107" t="s">
        <v>630</v>
      </c>
      <c r="E156" s="434" t="s">
        <v>631</v>
      </c>
      <c r="F156" s="435"/>
      <c r="G156" s="107"/>
      <c r="H156" s="107"/>
      <c r="I156" s="107" t="s">
        <v>15</v>
      </c>
      <c r="J156" s="426" t="s">
        <v>511</v>
      </c>
      <c r="K156" s="442"/>
      <c r="L156" s="427"/>
      <c r="M156" s="107" t="s">
        <v>1354</v>
      </c>
      <c r="N156" s="129">
        <v>45576</v>
      </c>
      <c r="O156" s="107"/>
    </row>
    <row r="157" spans="3:15" ht="15" customHeight="1">
      <c r="C157" s="107">
        <v>152</v>
      </c>
      <c r="D157" s="107" t="s">
        <v>881</v>
      </c>
      <c r="E157" s="434" t="s">
        <v>882</v>
      </c>
      <c r="F157" s="435"/>
      <c r="G157" s="107"/>
      <c r="H157" s="107"/>
      <c r="I157" s="107" t="s">
        <v>15</v>
      </c>
      <c r="J157" s="426" t="s">
        <v>511</v>
      </c>
      <c r="K157" s="442"/>
      <c r="L157" s="427"/>
      <c r="M157" s="107" t="s">
        <v>1355</v>
      </c>
      <c r="N157" s="129">
        <v>45576</v>
      </c>
      <c r="O157" s="107"/>
    </row>
    <row r="158" spans="3:15">
      <c r="C158" s="107">
        <v>153</v>
      </c>
      <c r="D158" s="107" t="s">
        <v>1356</v>
      </c>
      <c r="E158" s="434" t="s">
        <v>1218</v>
      </c>
      <c r="F158" s="435"/>
      <c r="G158" s="107"/>
      <c r="H158" s="107"/>
      <c r="I158" s="107" t="s">
        <v>15</v>
      </c>
      <c r="J158" s="426" t="s">
        <v>511</v>
      </c>
      <c r="K158" s="442"/>
      <c r="L158" s="427"/>
      <c r="M158" s="107" t="s">
        <v>1357</v>
      </c>
      <c r="N158" s="129">
        <v>45576</v>
      </c>
      <c r="O158" s="107"/>
    </row>
    <row r="159" spans="3:15">
      <c r="C159" s="107">
        <v>154</v>
      </c>
      <c r="D159" s="107" t="s">
        <v>351</v>
      </c>
      <c r="E159" s="434" t="s">
        <v>1359</v>
      </c>
      <c r="F159" s="435"/>
      <c r="G159" s="107"/>
      <c r="H159" s="107"/>
      <c r="I159" s="107" t="s">
        <v>15</v>
      </c>
      <c r="J159" s="426" t="s">
        <v>511</v>
      </c>
      <c r="K159" s="442"/>
      <c r="L159" s="427"/>
      <c r="M159" s="107" t="s">
        <v>1358</v>
      </c>
      <c r="N159" s="129">
        <v>45576</v>
      </c>
      <c r="O159" s="107"/>
    </row>
    <row r="160" spans="3:15">
      <c r="C160" s="107">
        <v>155</v>
      </c>
      <c r="D160" s="107" t="s">
        <v>164</v>
      </c>
      <c r="E160" s="434" t="s">
        <v>165</v>
      </c>
      <c r="F160" s="435"/>
      <c r="G160" s="107"/>
      <c r="H160" s="107"/>
      <c r="I160" s="107" t="s">
        <v>788</v>
      </c>
      <c r="J160" s="426" t="s">
        <v>1361</v>
      </c>
      <c r="K160" s="442"/>
      <c r="L160" s="427"/>
      <c r="M160" s="107" t="s">
        <v>1362</v>
      </c>
      <c r="N160" s="129">
        <v>45581</v>
      </c>
      <c r="O160" s="107"/>
    </row>
    <row r="161" spans="3:15">
      <c r="C161" s="107">
        <v>156</v>
      </c>
      <c r="D161" s="107" t="s">
        <v>1364</v>
      </c>
      <c r="E161" s="434" t="s">
        <v>1363</v>
      </c>
      <c r="F161" s="435"/>
      <c r="G161" s="107"/>
      <c r="H161" s="107"/>
      <c r="I161" s="107" t="s">
        <v>15</v>
      </c>
      <c r="J161" s="426" t="s">
        <v>1351</v>
      </c>
      <c r="K161" s="442"/>
      <c r="L161" s="427"/>
      <c r="M161" s="107"/>
      <c r="N161" s="129"/>
      <c r="O161" s="107"/>
    </row>
    <row r="162" spans="3:15">
      <c r="C162" s="107">
        <v>157</v>
      </c>
      <c r="D162" s="107" t="s">
        <v>1367</v>
      </c>
      <c r="E162" s="434"/>
      <c r="F162" s="435"/>
      <c r="G162" s="107"/>
      <c r="H162" s="107"/>
      <c r="I162" s="107"/>
      <c r="J162" s="426"/>
      <c r="K162" s="442"/>
      <c r="L162" s="427"/>
      <c r="M162" s="107"/>
      <c r="N162" s="129"/>
      <c r="O162" s="107"/>
    </row>
    <row r="163" spans="3:15">
      <c r="C163" s="107">
        <v>158</v>
      </c>
      <c r="D163" s="107" t="s">
        <v>1368</v>
      </c>
      <c r="E163" s="434" t="s">
        <v>1369</v>
      </c>
      <c r="F163" s="435"/>
      <c r="G163" s="107"/>
      <c r="H163" s="107"/>
      <c r="I163" s="107" t="s">
        <v>15</v>
      </c>
      <c r="J163" s="426"/>
      <c r="K163" s="442"/>
      <c r="L163" s="427"/>
      <c r="M163" s="107"/>
      <c r="N163" s="129"/>
      <c r="O163" s="107"/>
    </row>
    <row r="164" spans="3:15">
      <c r="C164" s="107">
        <v>159</v>
      </c>
      <c r="D164" s="107" t="s">
        <v>144</v>
      </c>
      <c r="E164" s="434" t="s">
        <v>1370</v>
      </c>
      <c r="F164" s="435"/>
      <c r="G164" s="107"/>
      <c r="H164" s="107"/>
      <c r="I164" s="107" t="s">
        <v>15</v>
      </c>
      <c r="J164" s="426" t="s">
        <v>1371</v>
      </c>
      <c r="K164" s="442"/>
      <c r="L164" s="427"/>
      <c r="M164" s="107" t="s">
        <v>1372</v>
      </c>
      <c r="N164" s="129">
        <v>45604</v>
      </c>
      <c r="O164" s="107"/>
    </row>
    <row r="165" spans="3:15">
      <c r="C165" s="107">
        <v>160</v>
      </c>
      <c r="D165" s="107" t="s">
        <v>1180</v>
      </c>
      <c r="E165" s="434" t="s">
        <v>1181</v>
      </c>
      <c r="F165" s="435"/>
      <c r="G165" s="107"/>
      <c r="H165" s="107"/>
      <c r="I165" s="107" t="s">
        <v>788</v>
      </c>
      <c r="J165" s="426" t="s">
        <v>1371</v>
      </c>
      <c r="K165" s="442"/>
      <c r="L165" s="427"/>
      <c r="M165" s="107" t="s">
        <v>1373</v>
      </c>
      <c r="N165" s="129">
        <v>45604</v>
      </c>
      <c r="O165" s="107"/>
    </row>
    <row r="166" spans="3:15">
      <c r="C166" s="107">
        <v>161</v>
      </c>
      <c r="D166" s="107" t="s">
        <v>1374</v>
      </c>
      <c r="E166" s="434" t="s">
        <v>1375</v>
      </c>
      <c r="F166" s="435"/>
      <c r="G166" s="107"/>
      <c r="H166" s="107"/>
      <c r="I166" s="107" t="s">
        <v>15</v>
      </c>
      <c r="J166" s="426" t="s">
        <v>1365</v>
      </c>
      <c r="K166" s="442"/>
      <c r="L166" s="427"/>
      <c r="M166" s="107" t="s">
        <v>1376</v>
      </c>
      <c r="N166" s="129">
        <v>45604</v>
      </c>
      <c r="O166" s="107"/>
    </row>
    <row r="167" spans="3:15">
      <c r="C167" s="107">
        <v>162</v>
      </c>
      <c r="D167" s="107" t="s">
        <v>866</v>
      </c>
      <c r="E167" s="434" t="s">
        <v>865</v>
      </c>
      <c r="F167" s="435"/>
      <c r="G167" s="107"/>
      <c r="H167" s="107"/>
      <c r="I167" s="107" t="s">
        <v>59</v>
      </c>
      <c r="J167" s="426" t="s">
        <v>1377</v>
      </c>
      <c r="K167" s="442"/>
      <c r="L167" s="427"/>
      <c r="M167" s="107" t="s">
        <v>1379</v>
      </c>
      <c r="N167" s="129">
        <v>45604</v>
      </c>
      <c r="O167" s="107"/>
    </row>
    <row r="168" spans="3:15">
      <c r="C168" s="107">
        <v>163</v>
      </c>
      <c r="D168" s="107" t="s">
        <v>823</v>
      </c>
      <c r="E168" s="434" t="s">
        <v>824</v>
      </c>
      <c r="F168" s="435"/>
      <c r="G168" s="107"/>
      <c r="H168" s="107"/>
      <c r="I168" s="107" t="s">
        <v>15</v>
      </c>
      <c r="J168" s="426" t="s">
        <v>511</v>
      </c>
      <c r="K168" s="442"/>
      <c r="L168" s="427"/>
      <c r="M168" s="107" t="s">
        <v>1378</v>
      </c>
      <c r="N168" s="129">
        <v>45604</v>
      </c>
      <c r="O168" s="107"/>
    </row>
    <row r="169" spans="3:15">
      <c r="C169" s="107">
        <v>164</v>
      </c>
      <c r="D169" s="107" t="s">
        <v>1381</v>
      </c>
      <c r="E169" s="434" t="s">
        <v>911</v>
      </c>
      <c r="F169" s="435"/>
      <c r="G169" s="107"/>
      <c r="H169" s="107"/>
      <c r="I169" s="107" t="s">
        <v>15</v>
      </c>
      <c r="J169" s="426" t="s">
        <v>511</v>
      </c>
      <c r="K169" s="442"/>
      <c r="L169" s="427"/>
      <c r="M169" s="107"/>
      <c r="N169" s="129"/>
      <c r="O169" s="107"/>
    </row>
    <row r="170" spans="3:15">
      <c r="C170" s="107">
        <v>165</v>
      </c>
      <c r="D170" s="107" t="s">
        <v>493</v>
      </c>
      <c r="E170" s="434" t="s">
        <v>481</v>
      </c>
      <c r="F170" s="435"/>
      <c r="G170" s="107"/>
      <c r="H170" s="107"/>
      <c r="I170" s="107" t="s">
        <v>15</v>
      </c>
      <c r="J170" s="426" t="s">
        <v>1383</v>
      </c>
      <c r="K170" s="442"/>
      <c r="L170" s="427"/>
      <c r="M170" s="107" t="s">
        <v>1384</v>
      </c>
      <c r="N170" s="129">
        <v>45643</v>
      </c>
      <c r="O170" s="107"/>
    </row>
    <row r="171" spans="3:15">
      <c r="C171" s="107">
        <v>166</v>
      </c>
      <c r="D171" s="107"/>
      <c r="E171" s="434"/>
      <c r="F171" s="435"/>
      <c r="G171" s="107"/>
      <c r="H171" s="107"/>
      <c r="I171" s="107"/>
      <c r="J171" s="426"/>
      <c r="K171" s="442"/>
      <c r="L171" s="427"/>
      <c r="M171" s="107"/>
      <c r="N171" s="129"/>
      <c r="O171" s="107"/>
    </row>
    <row r="172" spans="3:15">
      <c r="C172" s="107">
        <v>167</v>
      </c>
      <c r="D172" s="107"/>
      <c r="E172" s="434"/>
      <c r="F172" s="435"/>
      <c r="G172" s="107"/>
      <c r="H172" s="107"/>
      <c r="I172" s="107"/>
      <c r="J172" s="426"/>
      <c r="K172" s="442"/>
      <c r="L172" s="427"/>
      <c r="M172" s="107"/>
      <c r="N172" s="129"/>
      <c r="O172" s="107"/>
    </row>
    <row r="173" spans="3:15">
      <c r="C173" s="107">
        <v>168</v>
      </c>
      <c r="D173" s="107"/>
      <c r="E173" s="434"/>
      <c r="F173" s="435"/>
      <c r="G173" s="107"/>
      <c r="H173" s="107"/>
      <c r="I173" s="107"/>
      <c r="J173" s="426"/>
      <c r="K173" s="442"/>
      <c r="L173" s="427"/>
      <c r="M173" s="107"/>
      <c r="N173" s="129"/>
      <c r="O173" s="107"/>
    </row>
    <row r="174" spans="3:15">
      <c r="C174" s="107">
        <v>169</v>
      </c>
      <c r="D174" s="107"/>
      <c r="E174" s="434"/>
      <c r="F174" s="435"/>
      <c r="G174" s="107"/>
      <c r="H174" s="107"/>
      <c r="I174" s="107"/>
      <c r="J174" s="426"/>
      <c r="K174" s="442"/>
      <c r="L174" s="427"/>
      <c r="M174" s="107"/>
      <c r="N174" s="129"/>
      <c r="O174" s="107"/>
    </row>
    <row r="175" spans="3:15">
      <c r="C175" s="107">
        <v>170</v>
      </c>
      <c r="D175" s="107"/>
      <c r="E175" s="434"/>
      <c r="F175" s="435"/>
      <c r="G175" s="107"/>
      <c r="H175" s="107"/>
      <c r="I175" s="107"/>
      <c r="J175" s="426"/>
      <c r="K175" s="442"/>
      <c r="L175" s="427"/>
      <c r="M175" s="107"/>
      <c r="N175" s="129"/>
      <c r="O175" s="107"/>
    </row>
    <row r="176" spans="3:15">
      <c r="C176" s="107">
        <v>171</v>
      </c>
      <c r="D176" s="107"/>
      <c r="E176" s="434"/>
      <c r="F176" s="435"/>
      <c r="G176" s="107"/>
      <c r="H176" s="107"/>
      <c r="I176" s="107"/>
      <c r="J176" s="426"/>
      <c r="K176" s="442"/>
      <c r="L176" s="427"/>
      <c r="M176" s="107"/>
      <c r="N176" s="129"/>
      <c r="O176" s="107"/>
    </row>
    <row r="177" spans="3:15">
      <c r="C177" s="107">
        <v>172</v>
      </c>
      <c r="D177" s="107"/>
      <c r="E177" s="434"/>
      <c r="F177" s="435"/>
      <c r="G177" s="107"/>
      <c r="H177" s="107"/>
      <c r="I177" s="107"/>
      <c r="J177" s="426"/>
      <c r="K177" s="442"/>
      <c r="L177" s="427"/>
      <c r="M177" s="107"/>
      <c r="N177" s="129"/>
      <c r="O177" s="107"/>
    </row>
  </sheetData>
  <mergeCells count="347">
    <mergeCell ref="E158:F158"/>
    <mergeCell ref="J158:L158"/>
    <mergeCell ref="E153:F153"/>
    <mergeCell ref="J153:L153"/>
    <mergeCell ref="E154:F154"/>
    <mergeCell ref="J154:L154"/>
    <mergeCell ref="E155:F155"/>
    <mergeCell ref="J155:L155"/>
    <mergeCell ref="E156:F156"/>
    <mergeCell ref="J156:L156"/>
    <mergeCell ref="E157:F157"/>
    <mergeCell ref="J157:L157"/>
    <mergeCell ref="E148:F148"/>
    <mergeCell ref="J148:L148"/>
    <mergeCell ref="E149:F149"/>
    <mergeCell ref="J149:L149"/>
    <mergeCell ref="E150:F150"/>
    <mergeCell ref="J150:L150"/>
    <mergeCell ref="E151:F151"/>
    <mergeCell ref="J151:L151"/>
    <mergeCell ref="E152:F152"/>
    <mergeCell ref="J152:L152"/>
    <mergeCell ref="E143:F143"/>
    <mergeCell ref="J143:L143"/>
    <mergeCell ref="E144:F144"/>
    <mergeCell ref="J144:L144"/>
    <mergeCell ref="E145:F145"/>
    <mergeCell ref="J145:L145"/>
    <mergeCell ref="E146:F146"/>
    <mergeCell ref="J146:L146"/>
    <mergeCell ref="E147:F147"/>
    <mergeCell ref="J147:L147"/>
    <mergeCell ref="E138:F138"/>
    <mergeCell ref="J138:L138"/>
    <mergeCell ref="E139:F139"/>
    <mergeCell ref="J139:L139"/>
    <mergeCell ref="E140:F140"/>
    <mergeCell ref="J140:L140"/>
    <mergeCell ref="E141:F141"/>
    <mergeCell ref="J141:L141"/>
    <mergeCell ref="E142:F142"/>
    <mergeCell ref="J142:L142"/>
    <mergeCell ref="E133:F133"/>
    <mergeCell ref="J133:L133"/>
    <mergeCell ref="E134:F134"/>
    <mergeCell ref="J134:L134"/>
    <mergeCell ref="E135:F135"/>
    <mergeCell ref="J135:L135"/>
    <mergeCell ref="E136:F136"/>
    <mergeCell ref="J136:L136"/>
    <mergeCell ref="E137:F137"/>
    <mergeCell ref="J137:L137"/>
    <mergeCell ref="E128:F128"/>
    <mergeCell ref="J128:L128"/>
    <mergeCell ref="E129:F129"/>
    <mergeCell ref="J129:L129"/>
    <mergeCell ref="E130:F130"/>
    <mergeCell ref="J130:L130"/>
    <mergeCell ref="E131:F131"/>
    <mergeCell ref="J131:L131"/>
    <mergeCell ref="E132:F132"/>
    <mergeCell ref="J132:L132"/>
    <mergeCell ref="E123:F123"/>
    <mergeCell ref="J123:L123"/>
    <mergeCell ref="E124:F124"/>
    <mergeCell ref="J124:L124"/>
    <mergeCell ref="E125:F125"/>
    <mergeCell ref="J125:L125"/>
    <mergeCell ref="E126:F126"/>
    <mergeCell ref="J126:L126"/>
    <mergeCell ref="E127:F127"/>
    <mergeCell ref="J127:L127"/>
    <mergeCell ref="E118:F118"/>
    <mergeCell ref="J118:L118"/>
    <mergeCell ref="E119:F119"/>
    <mergeCell ref="J119:L119"/>
    <mergeCell ref="E120:F120"/>
    <mergeCell ref="J120:L120"/>
    <mergeCell ref="E121:F121"/>
    <mergeCell ref="J121:L121"/>
    <mergeCell ref="E122:F122"/>
    <mergeCell ref="J122:L122"/>
    <mergeCell ref="E113:F113"/>
    <mergeCell ref="J113:L113"/>
    <mergeCell ref="E114:F114"/>
    <mergeCell ref="J114:L114"/>
    <mergeCell ref="E115:F115"/>
    <mergeCell ref="J115:L115"/>
    <mergeCell ref="E116:F116"/>
    <mergeCell ref="J116:L116"/>
    <mergeCell ref="E117:F117"/>
    <mergeCell ref="J117:L117"/>
    <mergeCell ref="E108:F108"/>
    <mergeCell ref="J108:L108"/>
    <mergeCell ref="E109:F109"/>
    <mergeCell ref="J109:L109"/>
    <mergeCell ref="E110:F110"/>
    <mergeCell ref="J110:L110"/>
    <mergeCell ref="E111:F111"/>
    <mergeCell ref="J111:L111"/>
    <mergeCell ref="E112:F112"/>
    <mergeCell ref="J112:L112"/>
    <mergeCell ref="E103:F103"/>
    <mergeCell ref="J103:L103"/>
    <mergeCell ref="E104:F104"/>
    <mergeCell ref="J104:L104"/>
    <mergeCell ref="E105:F105"/>
    <mergeCell ref="J105:L105"/>
    <mergeCell ref="E106:F106"/>
    <mergeCell ref="J106:L106"/>
    <mergeCell ref="E107:F107"/>
    <mergeCell ref="J107:L107"/>
    <mergeCell ref="E98:F98"/>
    <mergeCell ref="J98:L98"/>
    <mergeCell ref="E99:F99"/>
    <mergeCell ref="J99:L99"/>
    <mergeCell ref="E100:F100"/>
    <mergeCell ref="J100:L100"/>
    <mergeCell ref="E101:F101"/>
    <mergeCell ref="J101:L101"/>
    <mergeCell ref="E102:F102"/>
    <mergeCell ref="J102:L102"/>
    <mergeCell ref="E93:F93"/>
    <mergeCell ref="J93:L93"/>
    <mergeCell ref="E94:F94"/>
    <mergeCell ref="J94:L94"/>
    <mergeCell ref="E95:F95"/>
    <mergeCell ref="J95:L95"/>
    <mergeCell ref="E96:F96"/>
    <mergeCell ref="J96:L96"/>
    <mergeCell ref="E97:F97"/>
    <mergeCell ref="J97:L97"/>
    <mergeCell ref="E88:F88"/>
    <mergeCell ref="J88:L88"/>
    <mergeCell ref="E89:F89"/>
    <mergeCell ref="J89:L89"/>
    <mergeCell ref="E90:F90"/>
    <mergeCell ref="J90:L90"/>
    <mergeCell ref="E91:F91"/>
    <mergeCell ref="J91:L91"/>
    <mergeCell ref="E92:F92"/>
    <mergeCell ref="J92:L92"/>
    <mergeCell ref="E83:F83"/>
    <mergeCell ref="E84:F84"/>
    <mergeCell ref="E85:F85"/>
    <mergeCell ref="E86:F86"/>
    <mergeCell ref="E87:F87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J19:L19"/>
    <mergeCell ref="J20:L20"/>
    <mergeCell ref="J12:L12"/>
    <mergeCell ref="J13:L13"/>
    <mergeCell ref="J16:L16"/>
    <mergeCell ref="J17:L17"/>
    <mergeCell ref="J18:L18"/>
    <mergeCell ref="E13:F13"/>
    <mergeCell ref="E14:F14"/>
    <mergeCell ref="E19:F19"/>
    <mergeCell ref="E20:F20"/>
    <mergeCell ref="E16:F16"/>
    <mergeCell ref="E17:F17"/>
    <mergeCell ref="E18:F18"/>
    <mergeCell ref="J11:L11"/>
    <mergeCell ref="C2:O3"/>
    <mergeCell ref="E15:F15"/>
    <mergeCell ref="E5:F5"/>
    <mergeCell ref="J5:L5"/>
    <mergeCell ref="J14:L14"/>
    <mergeCell ref="J15:L15"/>
    <mergeCell ref="E6:F6"/>
    <mergeCell ref="E7:F7"/>
    <mergeCell ref="E8:F8"/>
    <mergeCell ref="E9:F9"/>
    <mergeCell ref="E10:F10"/>
    <mergeCell ref="E11:F11"/>
    <mergeCell ref="E12:F12"/>
    <mergeCell ref="J6:L6"/>
    <mergeCell ref="J7:L7"/>
    <mergeCell ref="J8:L8"/>
    <mergeCell ref="J9:L9"/>
    <mergeCell ref="J10:O10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9:F49"/>
    <mergeCell ref="E50:F50"/>
    <mergeCell ref="E56:F56"/>
    <mergeCell ref="E57:F57"/>
    <mergeCell ref="E58:F58"/>
    <mergeCell ref="E48:F48"/>
    <mergeCell ref="J21:L21"/>
    <mergeCell ref="J22:L22"/>
    <mergeCell ref="J23:L23"/>
    <mergeCell ref="J24:L24"/>
    <mergeCell ref="J25:L25"/>
    <mergeCell ref="J26:L26"/>
    <mergeCell ref="J27:L27"/>
    <mergeCell ref="J31:L31"/>
    <mergeCell ref="J32:L32"/>
    <mergeCell ref="J28:L28"/>
    <mergeCell ref="J29:L29"/>
    <mergeCell ref="J30:L30"/>
    <mergeCell ref="E45:F45"/>
    <mergeCell ref="E36:F36"/>
    <mergeCell ref="E26:F26"/>
    <mergeCell ref="E27:F27"/>
    <mergeCell ref="E28:F28"/>
    <mergeCell ref="E29:F29"/>
    <mergeCell ref="E30:F30"/>
    <mergeCell ref="E21:F21"/>
    <mergeCell ref="E22:F22"/>
    <mergeCell ref="E39:F39"/>
    <mergeCell ref="E40:F40"/>
    <mergeCell ref="E23:F23"/>
    <mergeCell ref="E24:F24"/>
    <mergeCell ref="E25:F25"/>
    <mergeCell ref="E31:F31"/>
    <mergeCell ref="E32:F32"/>
    <mergeCell ref="E33:F33"/>
    <mergeCell ref="E34:F34"/>
    <mergeCell ref="E35:F35"/>
    <mergeCell ref="J45:L45"/>
    <mergeCell ref="J51:L51"/>
    <mergeCell ref="J52:L52"/>
    <mergeCell ref="J53:L53"/>
    <mergeCell ref="J54:L54"/>
    <mergeCell ref="J55:L55"/>
    <mergeCell ref="J46:L46"/>
    <mergeCell ref="J47:L47"/>
    <mergeCell ref="J48:L48"/>
    <mergeCell ref="J49:L49"/>
    <mergeCell ref="J50:L50"/>
    <mergeCell ref="J33:L33"/>
    <mergeCell ref="J34:L34"/>
    <mergeCell ref="J35:L35"/>
    <mergeCell ref="E41:F41"/>
    <mergeCell ref="E42:F42"/>
    <mergeCell ref="E43:F43"/>
    <mergeCell ref="E44:F44"/>
    <mergeCell ref="J63:L63"/>
    <mergeCell ref="J64:L64"/>
    <mergeCell ref="J41:L41"/>
    <mergeCell ref="J42:L42"/>
    <mergeCell ref="J43:L43"/>
    <mergeCell ref="J44:L44"/>
    <mergeCell ref="J36:L36"/>
    <mergeCell ref="J37:L37"/>
    <mergeCell ref="J38:L38"/>
    <mergeCell ref="J39:L39"/>
    <mergeCell ref="J40:L40"/>
    <mergeCell ref="E61:F61"/>
    <mergeCell ref="E62:F62"/>
    <mergeCell ref="E63:F63"/>
    <mergeCell ref="E64:F64"/>
    <mergeCell ref="E37:F37"/>
    <mergeCell ref="E38:F38"/>
    <mergeCell ref="J65:L65"/>
    <mergeCell ref="J56:L56"/>
    <mergeCell ref="J57:L57"/>
    <mergeCell ref="J58:L58"/>
    <mergeCell ref="J59:L59"/>
    <mergeCell ref="J60:L60"/>
    <mergeCell ref="J71:L71"/>
    <mergeCell ref="J72:L72"/>
    <mergeCell ref="J73:L73"/>
    <mergeCell ref="J61:L61"/>
    <mergeCell ref="J62:L62"/>
    <mergeCell ref="J74:L74"/>
    <mergeCell ref="J75:L75"/>
    <mergeCell ref="J66:L66"/>
    <mergeCell ref="J67:L67"/>
    <mergeCell ref="J68:L68"/>
    <mergeCell ref="J69:L69"/>
    <mergeCell ref="J70:L70"/>
    <mergeCell ref="J86:L86"/>
    <mergeCell ref="J87:L87"/>
    <mergeCell ref="J81:L81"/>
    <mergeCell ref="J82:L82"/>
    <mergeCell ref="J83:L83"/>
    <mergeCell ref="J84:L84"/>
    <mergeCell ref="J85:L85"/>
    <mergeCell ref="J76:L76"/>
    <mergeCell ref="J77:L77"/>
    <mergeCell ref="J78:L78"/>
    <mergeCell ref="J79:L79"/>
    <mergeCell ref="J80:L80"/>
    <mergeCell ref="E164:F164"/>
    <mergeCell ref="J164:L164"/>
    <mergeCell ref="E165:F165"/>
    <mergeCell ref="J165:L165"/>
    <mergeCell ref="E166:F166"/>
    <mergeCell ref="J166:L166"/>
    <mergeCell ref="E159:F159"/>
    <mergeCell ref="J159:L159"/>
    <mergeCell ref="E160:F160"/>
    <mergeCell ref="J160:L160"/>
    <mergeCell ref="E161:F161"/>
    <mergeCell ref="J161:L161"/>
    <mergeCell ref="E162:F162"/>
    <mergeCell ref="J162:L162"/>
    <mergeCell ref="E163:F163"/>
    <mergeCell ref="J163:L163"/>
    <mergeCell ref="E167:F167"/>
    <mergeCell ref="J167:L167"/>
    <mergeCell ref="E168:F168"/>
    <mergeCell ref="J168:L168"/>
    <mergeCell ref="E169:F169"/>
    <mergeCell ref="J169:L169"/>
    <mergeCell ref="E170:F170"/>
    <mergeCell ref="J170:L170"/>
    <mergeCell ref="E171:F171"/>
    <mergeCell ref="J171:L171"/>
    <mergeCell ref="E177:F177"/>
    <mergeCell ref="J177:L177"/>
    <mergeCell ref="E172:F172"/>
    <mergeCell ref="J172:L172"/>
    <mergeCell ref="E173:F173"/>
    <mergeCell ref="J173:L173"/>
    <mergeCell ref="E174:F174"/>
    <mergeCell ref="J174:L174"/>
    <mergeCell ref="E175:F175"/>
    <mergeCell ref="J175:L175"/>
    <mergeCell ref="E176:F176"/>
    <mergeCell ref="J176:L176"/>
  </mergeCells>
  <phoneticPr fontId="27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B1:S141"/>
  <sheetViews>
    <sheetView topLeftCell="I1" zoomScale="160" zoomScaleNormal="160" workbookViewId="0">
      <selection activeCell="K13" sqref="K13"/>
    </sheetView>
  </sheetViews>
  <sheetFormatPr baseColWidth="10" defaultRowHeight="15"/>
  <cols>
    <col min="1" max="1" width="4.1640625" customWidth="1"/>
    <col min="2" max="2" width="4.5" bestFit="1" customWidth="1"/>
    <col min="3" max="3" width="15.1640625" bestFit="1" customWidth="1"/>
    <col min="4" max="4" width="14.5" bestFit="1" customWidth="1"/>
    <col min="5" max="5" width="44" bestFit="1" customWidth="1"/>
    <col min="6" max="6" width="0" hidden="1" customWidth="1"/>
    <col min="7" max="7" width="13.5" hidden="1" customWidth="1"/>
    <col min="8" max="8" width="17.6640625" customWidth="1"/>
    <col min="9" max="9" width="6.83203125" customWidth="1"/>
    <col min="10" max="10" width="5" customWidth="1"/>
    <col min="11" max="11" width="18.5" customWidth="1"/>
    <col min="12" max="12" width="21.5" customWidth="1"/>
    <col min="13" max="13" width="41.83203125" bestFit="1" customWidth="1"/>
    <col min="14" max="14" width="20.5" hidden="1" customWidth="1"/>
    <col min="15" max="15" width="17.1640625" customWidth="1"/>
    <col min="16" max="16" width="6.1640625" customWidth="1"/>
    <col min="17" max="17" width="4" bestFit="1" customWidth="1"/>
    <col min="18" max="18" width="14" customWidth="1"/>
    <col min="19" max="19" width="27.6640625" customWidth="1"/>
  </cols>
  <sheetData>
    <row r="1" spans="2:19" ht="16" thickBot="1"/>
    <row r="2" spans="2:19" ht="20" thickBot="1">
      <c r="B2" s="231"/>
      <c r="C2" s="292" t="s">
        <v>1074</v>
      </c>
      <c r="D2" s="292"/>
      <c r="E2" s="292"/>
      <c r="G2" s="292"/>
      <c r="H2" s="292"/>
      <c r="J2" s="447" t="s">
        <v>729</v>
      </c>
      <c r="K2" s="448"/>
      <c r="L2" s="448"/>
      <c r="M2" s="448"/>
      <c r="N2" s="448"/>
      <c r="O2" s="449"/>
      <c r="Q2" s="452" t="s">
        <v>1311</v>
      </c>
      <c r="R2" s="453"/>
      <c r="S2" s="454"/>
    </row>
    <row r="3" spans="2:19" ht="11.25" customHeight="1" thickBot="1"/>
    <row r="4" spans="2:19" ht="33.75" customHeight="1" thickBot="1">
      <c r="B4" s="261" t="s">
        <v>12</v>
      </c>
      <c r="C4" s="257" t="s">
        <v>14</v>
      </c>
      <c r="D4" s="247" t="s">
        <v>36</v>
      </c>
      <c r="E4" s="247" t="s">
        <v>2</v>
      </c>
      <c r="F4" s="247" t="s">
        <v>37</v>
      </c>
      <c r="G4" s="247" t="s">
        <v>6</v>
      </c>
      <c r="H4" s="253" t="s">
        <v>60</v>
      </c>
      <c r="J4" s="261" t="s">
        <v>12</v>
      </c>
      <c r="K4" s="257" t="s">
        <v>14</v>
      </c>
      <c r="L4" s="247" t="s">
        <v>36</v>
      </c>
      <c r="M4" s="247" t="s">
        <v>2</v>
      </c>
      <c r="N4" s="247" t="s">
        <v>37</v>
      </c>
      <c r="O4" s="248" t="s">
        <v>750</v>
      </c>
      <c r="Q4" s="261" t="s">
        <v>12</v>
      </c>
      <c r="R4" s="257" t="s">
        <v>14</v>
      </c>
      <c r="S4" s="247" t="s">
        <v>2</v>
      </c>
    </row>
    <row r="5" spans="2:19">
      <c r="B5" s="267">
        <v>1</v>
      </c>
      <c r="C5" s="264"/>
      <c r="D5" s="252" t="s">
        <v>640</v>
      </c>
      <c r="E5" s="252" t="s">
        <v>641</v>
      </c>
      <c r="F5" s="252" t="s">
        <v>646</v>
      </c>
      <c r="G5" s="252" t="s">
        <v>59</v>
      </c>
      <c r="H5" s="254" t="s">
        <v>645</v>
      </c>
      <c r="J5" s="262">
        <v>1</v>
      </c>
      <c r="K5" s="258" t="s">
        <v>730</v>
      </c>
      <c r="L5" s="246" t="s">
        <v>731</v>
      </c>
      <c r="M5" s="246" t="s">
        <v>1046</v>
      </c>
      <c r="N5" s="246" t="s">
        <v>732</v>
      </c>
      <c r="O5" s="250" t="s">
        <v>61</v>
      </c>
      <c r="Q5">
        <v>1</v>
      </c>
      <c r="R5" t="s">
        <v>846</v>
      </c>
      <c r="S5" t="s">
        <v>845</v>
      </c>
    </row>
    <row r="6" spans="2:19">
      <c r="B6" s="263">
        <v>2</v>
      </c>
      <c r="C6" s="265" t="s">
        <v>670</v>
      </c>
      <c r="D6" s="191" t="s">
        <v>574</v>
      </c>
      <c r="E6" s="191" t="s">
        <v>573</v>
      </c>
      <c r="F6" s="191" t="s">
        <v>646</v>
      </c>
      <c r="G6" s="191" t="s">
        <v>59</v>
      </c>
      <c r="H6" s="255" t="s">
        <v>645</v>
      </c>
      <c r="J6" s="263">
        <v>2</v>
      </c>
      <c r="K6" s="259" t="s">
        <v>664</v>
      </c>
      <c r="L6" s="208" t="s">
        <v>640</v>
      </c>
      <c r="M6" s="208" t="s">
        <v>641</v>
      </c>
      <c r="N6" s="208" t="s">
        <v>732</v>
      </c>
      <c r="O6" s="251" t="s">
        <v>61</v>
      </c>
    </row>
    <row r="7" spans="2:19">
      <c r="B7" s="268">
        <v>3</v>
      </c>
      <c r="C7" s="266" t="s">
        <v>647</v>
      </c>
      <c r="D7" s="217" t="s">
        <v>627</v>
      </c>
      <c r="E7" s="217" t="s">
        <v>628</v>
      </c>
      <c r="F7" s="217" t="s">
        <v>646</v>
      </c>
      <c r="G7" s="217" t="s">
        <v>59</v>
      </c>
      <c r="H7" s="256" t="s">
        <v>645</v>
      </c>
      <c r="J7" s="263">
        <v>3</v>
      </c>
      <c r="K7" s="260" t="s">
        <v>607</v>
      </c>
      <c r="L7" s="5" t="s">
        <v>589</v>
      </c>
      <c r="M7" s="5" t="s">
        <v>602</v>
      </c>
      <c r="N7" s="5" t="s">
        <v>732</v>
      </c>
      <c r="O7" s="251" t="s">
        <v>61</v>
      </c>
    </row>
    <row r="8" spans="2:19">
      <c r="B8" s="268">
        <v>4</v>
      </c>
      <c r="C8" s="266" t="s">
        <v>1313</v>
      </c>
      <c r="D8" s="217" t="s">
        <v>632</v>
      </c>
      <c r="E8" s="217" t="s">
        <v>633</v>
      </c>
      <c r="F8" s="217" t="s">
        <v>646</v>
      </c>
      <c r="G8" s="217" t="s">
        <v>59</v>
      </c>
      <c r="H8" s="256" t="s">
        <v>645</v>
      </c>
      <c r="J8" s="263">
        <v>4</v>
      </c>
      <c r="K8" s="266" t="s">
        <v>762</v>
      </c>
      <c r="L8" s="217" t="s">
        <v>757</v>
      </c>
      <c r="M8" s="217" t="s">
        <v>758</v>
      </c>
      <c r="N8" s="5" t="s">
        <v>732</v>
      </c>
      <c r="O8" s="251" t="s">
        <v>61</v>
      </c>
    </row>
    <row r="9" spans="2:19">
      <c r="B9" s="263">
        <v>5</v>
      </c>
      <c r="C9" s="260" t="s">
        <v>643</v>
      </c>
      <c r="D9" s="5" t="s">
        <v>648</v>
      </c>
      <c r="E9" s="5" t="s">
        <v>649</v>
      </c>
      <c r="F9" s="5" t="s">
        <v>646</v>
      </c>
      <c r="G9" s="5" t="s">
        <v>59</v>
      </c>
      <c r="H9" s="251" t="s">
        <v>645</v>
      </c>
      <c r="J9" s="263">
        <v>5</v>
      </c>
      <c r="K9" s="260" t="s">
        <v>643</v>
      </c>
      <c r="L9" s="5" t="s">
        <v>648</v>
      </c>
      <c r="M9" s="5" t="s">
        <v>644</v>
      </c>
      <c r="N9" s="5" t="s">
        <v>732</v>
      </c>
      <c r="O9" s="251" t="s">
        <v>61</v>
      </c>
    </row>
    <row r="10" spans="2:19">
      <c r="B10" s="263">
        <v>6</v>
      </c>
      <c r="C10" s="318" t="s">
        <v>625</v>
      </c>
      <c r="D10" s="319" t="s">
        <v>666</v>
      </c>
      <c r="E10" s="319" t="s">
        <v>539</v>
      </c>
      <c r="F10" s="319" t="s">
        <v>667</v>
      </c>
      <c r="G10" s="319" t="s">
        <v>668</v>
      </c>
      <c r="H10" s="320" t="s">
        <v>669</v>
      </c>
      <c r="J10" s="263">
        <v>6</v>
      </c>
      <c r="K10" s="260" t="s">
        <v>781</v>
      </c>
      <c r="L10" s="5" t="s">
        <v>779</v>
      </c>
      <c r="M10" s="5" t="s">
        <v>780</v>
      </c>
      <c r="N10" s="5" t="s">
        <v>732</v>
      </c>
      <c r="O10" s="251" t="s">
        <v>61</v>
      </c>
    </row>
    <row r="11" spans="2:19">
      <c r="B11" s="263">
        <v>7</v>
      </c>
      <c r="C11" s="260" t="s">
        <v>716</v>
      </c>
      <c r="D11" s="5" t="s">
        <v>718</v>
      </c>
      <c r="E11" s="5" t="s">
        <v>717</v>
      </c>
      <c r="F11" s="5" t="s">
        <v>719</v>
      </c>
      <c r="G11" s="5" t="s">
        <v>668</v>
      </c>
      <c r="H11" s="251" t="s">
        <v>270</v>
      </c>
      <c r="J11" s="263">
        <v>7</v>
      </c>
      <c r="K11" s="260" t="s">
        <v>716</v>
      </c>
      <c r="L11" s="5" t="s">
        <v>718</v>
      </c>
      <c r="M11" s="5" t="s">
        <v>717</v>
      </c>
      <c r="N11" s="5" t="s">
        <v>732</v>
      </c>
      <c r="O11" s="251" t="s">
        <v>61</v>
      </c>
    </row>
    <row r="12" spans="2:19">
      <c r="B12" s="268">
        <v>8</v>
      </c>
      <c r="C12" s="266" t="s">
        <v>1156</v>
      </c>
      <c r="D12" s="217" t="s">
        <v>720</v>
      </c>
      <c r="E12" s="217" t="s">
        <v>721</v>
      </c>
      <c r="F12" s="217" t="s">
        <v>719</v>
      </c>
      <c r="G12" s="217" t="s">
        <v>59</v>
      </c>
      <c r="H12" s="256" t="s">
        <v>270</v>
      </c>
      <c r="J12" s="263">
        <v>8</v>
      </c>
      <c r="K12" s="260" t="s">
        <v>448</v>
      </c>
      <c r="L12" s="5" t="s">
        <v>879</v>
      </c>
      <c r="M12" s="5" t="s">
        <v>416</v>
      </c>
      <c r="N12" s="5" t="s">
        <v>732</v>
      </c>
      <c r="O12" s="251" t="s">
        <v>61</v>
      </c>
    </row>
    <row r="13" spans="2:19">
      <c r="B13" s="268">
        <v>9</v>
      </c>
      <c r="C13" s="266" t="s">
        <v>764</v>
      </c>
      <c r="D13" s="217" t="s">
        <v>748</v>
      </c>
      <c r="E13" s="217" t="s">
        <v>749</v>
      </c>
      <c r="F13" s="217" t="s">
        <v>719</v>
      </c>
      <c r="G13" s="217" t="s">
        <v>59</v>
      </c>
      <c r="H13" s="256" t="s">
        <v>270</v>
      </c>
      <c r="J13" s="263">
        <v>9</v>
      </c>
      <c r="K13" s="260" t="s">
        <v>318</v>
      </c>
      <c r="L13" s="5" t="s">
        <v>319</v>
      </c>
      <c r="M13" s="5" t="s">
        <v>320</v>
      </c>
      <c r="N13" s="5" t="s">
        <v>732</v>
      </c>
      <c r="O13" s="251" t="s">
        <v>61</v>
      </c>
    </row>
    <row r="14" spans="2:19">
      <c r="B14" s="263">
        <v>10</v>
      </c>
      <c r="C14" s="260" t="s">
        <v>807</v>
      </c>
      <c r="D14" s="5" t="s">
        <v>792</v>
      </c>
      <c r="E14" s="5" t="s">
        <v>808</v>
      </c>
      <c r="F14" s="5" t="s">
        <v>719</v>
      </c>
      <c r="G14" s="5" t="s">
        <v>59</v>
      </c>
      <c r="H14" s="251" t="s">
        <v>270</v>
      </c>
      <c r="J14" s="263">
        <v>10</v>
      </c>
      <c r="K14" s="260" t="s">
        <v>900</v>
      </c>
      <c r="L14" s="5" t="s">
        <v>898</v>
      </c>
      <c r="M14" s="5" t="s">
        <v>407</v>
      </c>
      <c r="N14" s="5" t="s">
        <v>732</v>
      </c>
      <c r="O14" s="251" t="s">
        <v>61</v>
      </c>
    </row>
    <row r="15" spans="2:19">
      <c r="B15" s="268">
        <v>11</v>
      </c>
      <c r="C15" s="266" t="s">
        <v>811</v>
      </c>
      <c r="D15" s="217" t="s">
        <v>794</v>
      </c>
      <c r="E15" s="217" t="s">
        <v>795</v>
      </c>
      <c r="F15" s="217" t="s">
        <v>719</v>
      </c>
      <c r="G15" s="217" t="s">
        <v>59</v>
      </c>
      <c r="H15" s="256" t="s">
        <v>270</v>
      </c>
      <c r="J15" s="263">
        <v>11</v>
      </c>
      <c r="K15" s="260" t="s">
        <v>414</v>
      </c>
      <c r="L15" s="5" t="s">
        <v>895</v>
      </c>
      <c r="M15" s="5" t="s">
        <v>391</v>
      </c>
      <c r="N15" s="5" t="s">
        <v>732</v>
      </c>
      <c r="O15" s="251" t="s">
        <v>61</v>
      </c>
    </row>
    <row r="16" spans="2:19">
      <c r="B16" s="263">
        <v>12</v>
      </c>
      <c r="C16" s="260" t="s">
        <v>814</v>
      </c>
      <c r="D16" s="5" t="s">
        <v>800</v>
      </c>
      <c r="E16" s="5" t="s">
        <v>801</v>
      </c>
      <c r="F16" s="5" t="s">
        <v>719</v>
      </c>
      <c r="G16" s="5" t="s">
        <v>59</v>
      </c>
      <c r="H16" s="251" t="s">
        <v>270</v>
      </c>
      <c r="J16" s="317">
        <v>12</v>
      </c>
      <c r="K16" s="318" t="s">
        <v>764</v>
      </c>
      <c r="L16" s="319" t="s">
        <v>748</v>
      </c>
      <c r="M16" s="319" t="s">
        <v>964</v>
      </c>
      <c r="N16" s="319" t="s">
        <v>732</v>
      </c>
      <c r="O16" s="320" t="s">
        <v>61</v>
      </c>
    </row>
    <row r="17" spans="2:16">
      <c r="B17" s="263">
        <v>13</v>
      </c>
      <c r="C17" s="260" t="s">
        <v>815</v>
      </c>
      <c r="D17" s="5" t="s">
        <v>816</v>
      </c>
      <c r="E17" s="5" t="s">
        <v>817</v>
      </c>
      <c r="F17" s="5" t="s">
        <v>719</v>
      </c>
      <c r="G17" s="5" t="s">
        <v>59</v>
      </c>
      <c r="H17" s="251" t="s">
        <v>270</v>
      </c>
      <c r="J17" s="263">
        <v>13</v>
      </c>
      <c r="K17" s="260" t="s">
        <v>811</v>
      </c>
      <c r="L17" s="5" t="s">
        <v>794</v>
      </c>
      <c r="M17" s="5" t="s">
        <v>795</v>
      </c>
      <c r="N17" s="5" t="s">
        <v>732</v>
      </c>
      <c r="O17" s="251" t="s">
        <v>61</v>
      </c>
    </row>
    <row r="18" spans="2:16">
      <c r="B18" s="268">
        <v>14</v>
      </c>
      <c r="C18" s="266" t="s">
        <v>929</v>
      </c>
      <c r="D18" s="217" t="s">
        <v>930</v>
      </c>
      <c r="E18" s="217" t="s">
        <v>921</v>
      </c>
      <c r="F18" s="217" t="s">
        <v>719</v>
      </c>
      <c r="G18" s="217" t="s">
        <v>59</v>
      </c>
      <c r="H18" s="256" t="s">
        <v>270</v>
      </c>
      <c r="J18" s="308">
        <v>14</v>
      </c>
      <c r="K18" s="309" t="s">
        <v>1313</v>
      </c>
      <c r="L18" s="310" t="s">
        <v>632</v>
      </c>
      <c r="M18" s="310" t="s">
        <v>633</v>
      </c>
      <c r="N18" s="310" t="s">
        <v>732</v>
      </c>
      <c r="O18" s="311" t="s">
        <v>61</v>
      </c>
    </row>
    <row r="19" spans="2:16">
      <c r="B19" s="268">
        <v>15</v>
      </c>
      <c r="C19" s="266" t="s">
        <v>931</v>
      </c>
      <c r="D19" s="217" t="s">
        <v>802</v>
      </c>
      <c r="E19" s="217" t="s">
        <v>803</v>
      </c>
      <c r="F19" s="217" t="s">
        <v>719</v>
      </c>
      <c r="G19" s="217" t="s">
        <v>59</v>
      </c>
      <c r="H19" s="256" t="s">
        <v>270</v>
      </c>
      <c r="J19" s="263">
        <v>15</v>
      </c>
      <c r="K19" s="260" t="s">
        <v>987</v>
      </c>
      <c r="L19" s="5" t="s">
        <v>1054</v>
      </c>
      <c r="M19" s="5" t="s">
        <v>957</v>
      </c>
      <c r="N19" s="5" t="s">
        <v>732</v>
      </c>
      <c r="O19" s="251" t="s">
        <v>61</v>
      </c>
    </row>
    <row r="20" spans="2:16">
      <c r="B20" s="268">
        <v>16</v>
      </c>
      <c r="C20" s="266" t="s">
        <v>948</v>
      </c>
      <c r="D20" s="217" t="s">
        <v>947</v>
      </c>
      <c r="E20" s="217" t="s">
        <v>894</v>
      </c>
      <c r="F20" s="217" t="s">
        <v>719</v>
      </c>
      <c r="G20" s="217" t="s">
        <v>59</v>
      </c>
      <c r="H20" s="256" t="s">
        <v>270</v>
      </c>
      <c r="J20" s="263">
        <v>16</v>
      </c>
      <c r="K20" s="260" t="s">
        <v>931</v>
      </c>
      <c r="L20" s="5" t="s">
        <v>802</v>
      </c>
      <c r="M20" s="5" t="s">
        <v>803</v>
      </c>
      <c r="N20" s="5" t="s">
        <v>732</v>
      </c>
      <c r="O20" s="251" t="s">
        <v>61</v>
      </c>
    </row>
    <row r="21" spans="2:16">
      <c r="B21" s="268">
        <v>17</v>
      </c>
      <c r="C21" s="266" t="s">
        <v>810</v>
      </c>
      <c r="D21" s="217" t="s">
        <v>804</v>
      </c>
      <c r="E21" s="217" t="s">
        <v>805</v>
      </c>
      <c r="F21" s="217" t="s">
        <v>719</v>
      </c>
      <c r="G21" s="217" t="s">
        <v>59</v>
      </c>
      <c r="H21" s="256" t="s">
        <v>270</v>
      </c>
      <c r="J21" s="263">
        <v>17</v>
      </c>
      <c r="K21" s="260" t="s">
        <v>815</v>
      </c>
      <c r="L21" s="5" t="s">
        <v>1079</v>
      </c>
      <c r="M21" s="5" t="s">
        <v>817</v>
      </c>
      <c r="N21" s="5" t="s">
        <v>732</v>
      </c>
      <c r="O21" s="251" t="s">
        <v>61</v>
      </c>
    </row>
    <row r="22" spans="2:16">
      <c r="B22" s="268">
        <v>18</v>
      </c>
      <c r="C22" s="266" t="s">
        <v>1011</v>
      </c>
      <c r="D22" s="217" t="s">
        <v>982</v>
      </c>
      <c r="E22" s="217" t="s">
        <v>981</v>
      </c>
      <c r="F22" s="217" t="s">
        <v>719</v>
      </c>
      <c r="G22" s="217" t="s">
        <v>59</v>
      </c>
      <c r="H22" s="256" t="s">
        <v>270</v>
      </c>
      <c r="J22" s="263">
        <v>18</v>
      </c>
      <c r="K22" s="260" t="s">
        <v>620</v>
      </c>
      <c r="L22" s="5" t="s">
        <v>623</v>
      </c>
      <c r="M22" s="5" t="s">
        <v>619</v>
      </c>
      <c r="N22" s="5" t="s">
        <v>732</v>
      </c>
      <c r="O22" s="251" t="s">
        <v>61</v>
      </c>
      <c r="P22" s="249"/>
    </row>
    <row r="23" spans="2:16">
      <c r="B23" s="268">
        <v>19</v>
      </c>
      <c r="C23" s="266" t="s">
        <v>1015</v>
      </c>
      <c r="D23" s="217" t="s">
        <v>532</v>
      </c>
      <c r="E23" s="217" t="s">
        <v>533</v>
      </c>
      <c r="F23" s="217" t="s">
        <v>719</v>
      </c>
      <c r="G23" s="217" t="s">
        <v>59</v>
      </c>
      <c r="H23" s="256" t="s">
        <v>270</v>
      </c>
      <c r="J23" s="263">
        <v>19</v>
      </c>
      <c r="K23" s="260" t="s">
        <v>932</v>
      </c>
      <c r="L23" s="5" t="s">
        <v>930</v>
      </c>
      <c r="M23" s="5" t="s">
        <v>921</v>
      </c>
      <c r="N23" s="5" t="s">
        <v>732</v>
      </c>
      <c r="O23" s="251" t="s">
        <v>61</v>
      </c>
    </row>
    <row r="24" spans="2:16">
      <c r="B24" s="268">
        <v>20</v>
      </c>
      <c r="C24" s="266" t="s">
        <v>1014</v>
      </c>
      <c r="D24" s="217" t="s">
        <v>590</v>
      </c>
      <c r="E24" s="217" t="s">
        <v>591</v>
      </c>
      <c r="F24" s="217" t="s">
        <v>719</v>
      </c>
      <c r="G24" s="217" t="s">
        <v>59</v>
      </c>
      <c r="H24" s="256" t="s">
        <v>270</v>
      </c>
      <c r="J24" s="263">
        <v>20</v>
      </c>
      <c r="K24" s="260" t="s">
        <v>810</v>
      </c>
      <c r="L24" s="5" t="s">
        <v>804</v>
      </c>
      <c r="M24" s="5" t="s">
        <v>805</v>
      </c>
      <c r="N24" s="5" t="s">
        <v>732</v>
      </c>
      <c r="O24" s="251" t="s">
        <v>61</v>
      </c>
    </row>
    <row r="25" spans="2:16">
      <c r="B25" s="268">
        <v>21</v>
      </c>
      <c r="C25" s="266" t="s">
        <v>1017</v>
      </c>
      <c r="D25" s="217" t="s">
        <v>1020</v>
      </c>
      <c r="E25" s="217" t="s">
        <v>1018</v>
      </c>
      <c r="F25" s="217" t="s">
        <v>719</v>
      </c>
      <c r="G25" s="217" t="s">
        <v>59</v>
      </c>
      <c r="H25" s="256" t="s">
        <v>270</v>
      </c>
      <c r="J25" s="263">
        <v>21</v>
      </c>
      <c r="K25" s="260" t="s">
        <v>1103</v>
      </c>
      <c r="L25" s="5" t="s">
        <v>1061</v>
      </c>
      <c r="M25" s="5" t="s">
        <v>1125</v>
      </c>
      <c r="N25" s="5" t="s">
        <v>732</v>
      </c>
      <c r="O25" s="251" t="s">
        <v>61</v>
      </c>
    </row>
    <row r="26" spans="2:16">
      <c r="B26" s="268">
        <v>22</v>
      </c>
      <c r="C26" s="266" t="s">
        <v>1023</v>
      </c>
      <c r="D26" s="217" t="s">
        <v>975</v>
      </c>
      <c r="E26" s="217" t="s">
        <v>976</v>
      </c>
      <c r="F26" s="217" t="s">
        <v>719</v>
      </c>
      <c r="G26" s="217" t="s">
        <v>59</v>
      </c>
      <c r="H26" s="256" t="s">
        <v>270</v>
      </c>
      <c r="J26" s="263">
        <v>22</v>
      </c>
      <c r="K26" s="260" t="s">
        <v>948</v>
      </c>
      <c r="L26" s="5" t="s">
        <v>947</v>
      </c>
      <c r="M26" s="5" t="s">
        <v>894</v>
      </c>
      <c r="N26" s="5" t="s">
        <v>732</v>
      </c>
      <c r="O26" s="251" t="s">
        <v>61</v>
      </c>
    </row>
    <row r="27" spans="2:16">
      <c r="B27" s="263">
        <v>23</v>
      </c>
      <c r="C27" s="260" t="s">
        <v>987</v>
      </c>
      <c r="D27" s="5" t="s">
        <v>1054</v>
      </c>
      <c r="E27" s="5" t="s">
        <v>957</v>
      </c>
      <c r="F27" s="5" t="s">
        <v>719</v>
      </c>
      <c r="G27" s="5" t="s">
        <v>59</v>
      </c>
      <c r="H27" s="251" t="s">
        <v>270</v>
      </c>
      <c r="J27" s="263">
        <v>23</v>
      </c>
      <c r="K27" s="260" t="s">
        <v>330</v>
      </c>
      <c r="L27" s="5" t="s">
        <v>332</v>
      </c>
      <c r="M27" s="5" t="s">
        <v>331</v>
      </c>
      <c r="N27" s="5" t="s">
        <v>732</v>
      </c>
      <c r="O27" s="251" t="s">
        <v>61</v>
      </c>
    </row>
    <row r="28" spans="2:16">
      <c r="B28" s="268">
        <v>24</v>
      </c>
      <c r="C28" s="266" t="s">
        <v>1098</v>
      </c>
      <c r="D28" s="217" t="s">
        <v>1057</v>
      </c>
      <c r="E28" s="217" t="s">
        <v>1058</v>
      </c>
      <c r="F28" s="217" t="s">
        <v>719</v>
      </c>
      <c r="G28" s="217" t="s">
        <v>59</v>
      </c>
      <c r="H28" s="256" t="s">
        <v>270</v>
      </c>
      <c r="J28" s="275">
        <v>24</v>
      </c>
      <c r="K28" s="276" t="s">
        <v>18</v>
      </c>
      <c r="L28" s="277" t="s">
        <v>1142</v>
      </c>
      <c r="M28" s="277" t="s">
        <v>19</v>
      </c>
      <c r="N28" s="277" t="s">
        <v>732</v>
      </c>
      <c r="O28" s="278" t="s">
        <v>1145</v>
      </c>
    </row>
    <row r="29" spans="2:16">
      <c r="B29" s="297">
        <v>25</v>
      </c>
      <c r="C29" s="298" t="s">
        <v>1099</v>
      </c>
      <c r="D29" s="207" t="s">
        <v>1063</v>
      </c>
      <c r="E29" s="207" t="s">
        <v>1064</v>
      </c>
      <c r="F29" s="207" t="s">
        <v>719</v>
      </c>
      <c r="G29" s="207" t="s">
        <v>59</v>
      </c>
      <c r="H29" s="299" t="s">
        <v>270</v>
      </c>
      <c r="J29" s="263">
        <v>25</v>
      </c>
      <c r="K29" s="260" t="s">
        <v>413</v>
      </c>
      <c r="L29" s="5" t="s">
        <v>1157</v>
      </c>
      <c r="M29" s="5" t="s">
        <v>382</v>
      </c>
      <c r="N29" s="5" t="s">
        <v>732</v>
      </c>
      <c r="O29" s="251" t="s">
        <v>61</v>
      </c>
    </row>
    <row r="30" spans="2:16">
      <c r="B30" s="268">
        <v>26</v>
      </c>
      <c r="C30" s="266" t="s">
        <v>1100</v>
      </c>
      <c r="D30" s="217" t="s">
        <v>1062</v>
      </c>
      <c r="E30" s="217" t="s">
        <v>1101</v>
      </c>
      <c r="F30" s="217" t="s">
        <v>719</v>
      </c>
      <c r="G30" s="217" t="s">
        <v>59</v>
      </c>
      <c r="H30" s="256" t="s">
        <v>270</v>
      </c>
      <c r="J30" s="263">
        <v>26</v>
      </c>
      <c r="K30" s="260" t="s">
        <v>415</v>
      </c>
      <c r="L30" s="5" t="s">
        <v>1158</v>
      </c>
      <c r="M30" s="5" t="s">
        <v>389</v>
      </c>
      <c r="N30" s="5" t="s">
        <v>732</v>
      </c>
      <c r="O30" s="251" t="s">
        <v>61</v>
      </c>
    </row>
    <row r="31" spans="2:16">
      <c r="B31" s="268">
        <v>27</v>
      </c>
      <c r="C31" s="266" t="s">
        <v>1103</v>
      </c>
      <c r="D31" s="217" t="s">
        <v>1061</v>
      </c>
      <c r="E31" s="217" t="s">
        <v>1105</v>
      </c>
      <c r="F31" s="217" t="s">
        <v>719</v>
      </c>
      <c r="G31" s="217" t="s">
        <v>59</v>
      </c>
      <c r="H31" s="256" t="s">
        <v>270</v>
      </c>
      <c r="J31" s="263">
        <v>27</v>
      </c>
      <c r="K31" s="266" t="s">
        <v>1156</v>
      </c>
      <c r="L31" s="217" t="s">
        <v>720</v>
      </c>
      <c r="M31" s="217" t="s">
        <v>721</v>
      </c>
      <c r="N31" s="5" t="s">
        <v>732</v>
      </c>
      <c r="O31" s="251" t="s">
        <v>61</v>
      </c>
    </row>
    <row r="32" spans="2:16">
      <c r="B32" s="268">
        <v>28</v>
      </c>
      <c r="C32" s="266" t="s">
        <v>1106</v>
      </c>
      <c r="D32" s="217" t="s">
        <v>1082</v>
      </c>
      <c r="E32" s="217" t="s">
        <v>1083</v>
      </c>
      <c r="F32" s="217" t="s">
        <v>719</v>
      </c>
      <c r="G32" s="217" t="s">
        <v>59</v>
      </c>
      <c r="H32" s="256" t="s">
        <v>270</v>
      </c>
      <c r="J32" s="263">
        <v>28</v>
      </c>
      <c r="K32" s="260" t="s">
        <v>647</v>
      </c>
      <c r="L32" s="5" t="s">
        <v>627</v>
      </c>
      <c r="M32" s="5" t="s">
        <v>628</v>
      </c>
      <c r="N32" s="5" t="s">
        <v>732</v>
      </c>
      <c r="O32" s="251" t="s">
        <v>61</v>
      </c>
    </row>
    <row r="33" spans="2:16">
      <c r="B33" s="268">
        <v>29</v>
      </c>
      <c r="C33" s="266" t="s">
        <v>1189</v>
      </c>
      <c r="D33" s="217" t="s">
        <v>1190</v>
      </c>
      <c r="E33" s="217" t="s">
        <v>1191</v>
      </c>
      <c r="F33" s="217" t="s">
        <v>719</v>
      </c>
      <c r="G33" s="217" t="s">
        <v>59</v>
      </c>
      <c r="H33" s="256" t="s">
        <v>270</v>
      </c>
      <c r="J33" s="263">
        <v>29</v>
      </c>
      <c r="K33" s="266" t="s">
        <v>1015</v>
      </c>
      <c r="L33" s="217" t="s">
        <v>532</v>
      </c>
      <c r="M33" s="217" t="s">
        <v>533</v>
      </c>
      <c r="N33" s="5" t="s">
        <v>719</v>
      </c>
      <c r="O33" s="293" t="s">
        <v>61</v>
      </c>
    </row>
    <row r="34" spans="2:16">
      <c r="B34" s="268">
        <v>30</v>
      </c>
      <c r="C34" s="266" t="s">
        <v>1269</v>
      </c>
      <c r="D34" s="217" t="s">
        <v>1050</v>
      </c>
      <c r="E34" s="217" t="s">
        <v>1051</v>
      </c>
      <c r="F34" s="217" t="s">
        <v>719</v>
      </c>
      <c r="G34" s="217" t="s">
        <v>59</v>
      </c>
      <c r="H34" s="256" t="s">
        <v>270</v>
      </c>
      <c r="J34" s="263">
        <v>30</v>
      </c>
      <c r="K34" s="260" t="s">
        <v>1017</v>
      </c>
      <c r="L34" s="294" t="s">
        <v>1020</v>
      </c>
      <c r="M34" s="450" t="s">
        <v>1018</v>
      </c>
      <c r="N34" s="451"/>
      <c r="O34" s="251" t="s">
        <v>61</v>
      </c>
    </row>
    <row r="35" spans="2:16">
      <c r="B35" s="217">
        <v>31</v>
      </c>
      <c r="C35" s="217" t="s">
        <v>1272</v>
      </c>
      <c r="D35" s="217" t="s">
        <v>1273</v>
      </c>
      <c r="E35" s="217" t="s">
        <v>1115</v>
      </c>
      <c r="F35" s="217" t="s">
        <v>719</v>
      </c>
      <c r="G35" s="217" t="s">
        <v>59</v>
      </c>
      <c r="H35" s="217" t="s">
        <v>270</v>
      </c>
      <c r="J35" s="5">
        <v>31</v>
      </c>
      <c r="K35" s="217" t="s">
        <v>1106</v>
      </c>
      <c r="L35" s="217" t="s">
        <v>1082</v>
      </c>
      <c r="M35" s="217" t="s">
        <v>1083</v>
      </c>
      <c r="N35" s="217" t="s">
        <v>732</v>
      </c>
      <c r="O35" s="217" t="s">
        <v>61</v>
      </c>
    </row>
    <row r="36" spans="2:16">
      <c r="B36" s="217">
        <v>32</v>
      </c>
      <c r="C36" s="217" t="s">
        <v>1326</v>
      </c>
      <c r="D36" s="217" t="s">
        <v>1328</v>
      </c>
      <c r="E36" s="217" t="s">
        <v>712</v>
      </c>
      <c r="F36" s="217" t="s">
        <v>719</v>
      </c>
      <c r="G36" s="217" t="s">
        <v>59</v>
      </c>
      <c r="H36" s="217" t="s">
        <v>270</v>
      </c>
      <c r="J36" s="5">
        <v>32</v>
      </c>
      <c r="K36" s="5" t="s">
        <v>1023</v>
      </c>
      <c r="L36" s="5" t="s">
        <v>975</v>
      </c>
      <c r="M36" s="5" t="s">
        <v>976</v>
      </c>
      <c r="N36" s="5" t="s">
        <v>732</v>
      </c>
      <c r="O36" s="5" t="s">
        <v>61</v>
      </c>
    </row>
    <row r="37" spans="2:16">
      <c r="B37" s="5">
        <v>33</v>
      </c>
      <c r="C37" s="5" t="s">
        <v>1329</v>
      </c>
      <c r="D37" s="5" t="s">
        <v>630</v>
      </c>
      <c r="E37" s="5" t="s">
        <v>631</v>
      </c>
      <c r="F37" s="5" t="s">
        <v>719</v>
      </c>
      <c r="G37" s="5" t="s">
        <v>59</v>
      </c>
      <c r="H37" s="5" t="s">
        <v>270</v>
      </c>
      <c r="J37" s="5">
        <v>33</v>
      </c>
      <c r="K37" s="5" t="s">
        <v>1011</v>
      </c>
      <c r="L37" s="5" t="s">
        <v>982</v>
      </c>
      <c r="M37" s="5" t="s">
        <v>981</v>
      </c>
      <c r="N37" s="5" t="s">
        <v>732</v>
      </c>
      <c r="O37" s="5" t="s">
        <v>61</v>
      </c>
    </row>
    <row r="38" spans="2:16">
      <c r="B38" s="5">
        <v>34</v>
      </c>
      <c r="C38" s="5" t="s">
        <v>1330</v>
      </c>
      <c r="D38" s="5" t="s">
        <v>1219</v>
      </c>
      <c r="E38" s="5" t="s">
        <v>1218</v>
      </c>
      <c r="F38" s="5" t="s">
        <v>719</v>
      </c>
      <c r="G38" s="5" t="s">
        <v>59</v>
      </c>
      <c r="H38" s="5" t="s">
        <v>270</v>
      </c>
      <c r="J38" s="5">
        <v>34</v>
      </c>
      <c r="K38" s="5" t="s">
        <v>1189</v>
      </c>
      <c r="L38" s="5" t="s">
        <v>1190</v>
      </c>
      <c r="M38" s="5" t="s">
        <v>1191</v>
      </c>
      <c r="N38" s="5" t="s">
        <v>732</v>
      </c>
      <c r="O38" s="5" t="s">
        <v>61</v>
      </c>
    </row>
    <row r="39" spans="2:16">
      <c r="B39" s="5">
        <v>35</v>
      </c>
      <c r="C39" s="5"/>
      <c r="D39" s="5"/>
      <c r="E39" s="5"/>
      <c r="F39" s="5" t="s">
        <v>719</v>
      </c>
      <c r="G39" s="5" t="s">
        <v>59</v>
      </c>
      <c r="H39" s="5" t="s">
        <v>270</v>
      </c>
      <c r="J39" s="5">
        <v>35</v>
      </c>
      <c r="K39" s="217" t="s">
        <v>1100</v>
      </c>
      <c r="L39" s="217" t="s">
        <v>1062</v>
      </c>
      <c r="M39" s="217" t="s">
        <v>1101</v>
      </c>
      <c r="N39" s="217" t="s">
        <v>719</v>
      </c>
      <c r="O39" s="217" t="s">
        <v>61</v>
      </c>
    </row>
    <row r="40" spans="2:16">
      <c r="B40" s="5">
        <v>36</v>
      </c>
      <c r="C40" s="5"/>
      <c r="D40" s="5"/>
      <c r="E40" s="5"/>
      <c r="F40" s="5" t="s">
        <v>719</v>
      </c>
      <c r="G40" s="5" t="s">
        <v>59</v>
      </c>
      <c r="H40" s="5" t="s">
        <v>270</v>
      </c>
      <c r="J40" s="5">
        <v>36</v>
      </c>
      <c r="K40" s="5" t="s">
        <v>1296</v>
      </c>
      <c r="L40" s="5" t="s">
        <v>1273</v>
      </c>
      <c r="M40" s="5" t="s">
        <v>1115</v>
      </c>
      <c r="N40" s="5" t="s">
        <v>719</v>
      </c>
      <c r="O40" s="5" t="s">
        <v>61</v>
      </c>
      <c r="P40" s="5"/>
    </row>
    <row r="41" spans="2:16">
      <c r="B41" s="5">
        <v>37</v>
      </c>
      <c r="C41" s="5"/>
      <c r="D41" s="5"/>
      <c r="E41" s="5"/>
      <c r="F41" s="5" t="s">
        <v>719</v>
      </c>
      <c r="G41" s="5" t="s">
        <v>59</v>
      </c>
      <c r="H41" s="5" t="s">
        <v>270</v>
      </c>
      <c r="J41" s="5">
        <v>37</v>
      </c>
      <c r="K41" s="5" t="s">
        <v>1098</v>
      </c>
      <c r="L41" s="5" t="s">
        <v>1057</v>
      </c>
      <c r="M41" s="5" t="s">
        <v>1058</v>
      </c>
      <c r="N41" s="5" t="s">
        <v>719</v>
      </c>
      <c r="O41" s="5" t="s">
        <v>1145</v>
      </c>
    </row>
    <row r="42" spans="2:16">
      <c r="B42" s="5">
        <v>38</v>
      </c>
      <c r="C42" s="5"/>
      <c r="D42" s="5"/>
      <c r="E42" s="5"/>
      <c r="F42" s="5" t="s">
        <v>719</v>
      </c>
      <c r="G42" s="5" t="s">
        <v>59</v>
      </c>
      <c r="H42" s="5" t="s">
        <v>270</v>
      </c>
      <c r="J42" s="5">
        <v>38</v>
      </c>
      <c r="K42" s="5" t="s">
        <v>337</v>
      </c>
      <c r="L42" s="5" t="s">
        <v>338</v>
      </c>
      <c r="M42" s="5" t="s">
        <v>339</v>
      </c>
      <c r="N42" s="5" t="s">
        <v>732</v>
      </c>
      <c r="O42" s="5" t="s">
        <v>61</v>
      </c>
    </row>
    <row r="43" spans="2:16">
      <c r="B43" s="5">
        <v>39</v>
      </c>
      <c r="C43" s="5"/>
      <c r="D43" s="5"/>
      <c r="E43" s="5"/>
      <c r="F43" s="5" t="s">
        <v>719</v>
      </c>
      <c r="G43" s="5" t="s">
        <v>59</v>
      </c>
      <c r="H43" s="5" t="s">
        <v>270</v>
      </c>
      <c r="J43" s="5">
        <v>39</v>
      </c>
      <c r="K43" s="5" t="s">
        <v>1269</v>
      </c>
      <c r="L43" s="5" t="s">
        <v>1050</v>
      </c>
      <c r="M43" s="5" t="s">
        <v>1051</v>
      </c>
      <c r="N43" s="5" t="s">
        <v>732</v>
      </c>
      <c r="O43" s="5" t="s">
        <v>61</v>
      </c>
    </row>
    <row r="44" spans="2:16">
      <c r="B44" s="5">
        <v>40</v>
      </c>
      <c r="C44" s="5"/>
      <c r="D44" s="5"/>
      <c r="E44" s="5"/>
      <c r="F44" s="5" t="s">
        <v>719</v>
      </c>
      <c r="G44" s="5" t="s">
        <v>59</v>
      </c>
      <c r="H44" s="5" t="s">
        <v>270</v>
      </c>
      <c r="J44" s="5">
        <v>40</v>
      </c>
      <c r="K44" s="5" t="s">
        <v>1326</v>
      </c>
      <c r="L44" s="5" t="s">
        <v>1328</v>
      </c>
      <c r="M44" s="5" t="s">
        <v>712</v>
      </c>
      <c r="N44" s="5" t="s">
        <v>719</v>
      </c>
      <c r="O44" s="5" t="s">
        <v>61</v>
      </c>
      <c r="P44" t="s">
        <v>270</v>
      </c>
    </row>
    <row r="45" spans="2:16">
      <c r="B45" s="5">
        <v>41</v>
      </c>
      <c r="C45" s="5"/>
      <c r="D45" s="5"/>
      <c r="E45" s="5"/>
      <c r="F45" s="5" t="s">
        <v>719</v>
      </c>
      <c r="G45" s="5" t="s">
        <v>59</v>
      </c>
      <c r="H45" s="5" t="s">
        <v>270</v>
      </c>
      <c r="J45" s="5">
        <v>41</v>
      </c>
      <c r="K45" s="5"/>
      <c r="L45" s="5"/>
      <c r="M45" s="5"/>
      <c r="N45" s="5" t="s">
        <v>732</v>
      </c>
      <c r="O45" s="5" t="s">
        <v>61</v>
      </c>
    </row>
    <row r="46" spans="2:16">
      <c r="B46" s="5">
        <v>42</v>
      </c>
      <c r="C46" s="5"/>
      <c r="D46" s="5"/>
      <c r="E46" s="5"/>
      <c r="F46" s="5" t="s">
        <v>719</v>
      </c>
      <c r="G46" s="5" t="s">
        <v>59</v>
      </c>
      <c r="H46" s="5" t="s">
        <v>270</v>
      </c>
      <c r="J46" s="5">
        <v>42</v>
      </c>
      <c r="K46" s="5"/>
      <c r="L46" s="5"/>
      <c r="M46" s="5"/>
      <c r="N46" s="5" t="s">
        <v>732</v>
      </c>
      <c r="O46" s="5" t="s">
        <v>61</v>
      </c>
    </row>
    <row r="47" spans="2:16">
      <c r="B47" s="5">
        <v>43</v>
      </c>
      <c r="C47" s="5"/>
      <c r="D47" s="5"/>
      <c r="E47" s="5"/>
      <c r="F47" s="5" t="s">
        <v>719</v>
      </c>
      <c r="G47" s="5" t="s">
        <v>59</v>
      </c>
      <c r="H47" s="5" t="s">
        <v>270</v>
      </c>
      <c r="J47" s="5">
        <v>43</v>
      </c>
      <c r="K47" s="5"/>
      <c r="L47" s="5"/>
      <c r="M47" s="5"/>
      <c r="N47" s="5" t="s">
        <v>732</v>
      </c>
      <c r="O47" s="5" t="s">
        <v>61</v>
      </c>
    </row>
    <row r="48" spans="2:16">
      <c r="B48" s="5">
        <v>44</v>
      </c>
      <c r="C48" s="5"/>
      <c r="D48" s="5"/>
      <c r="E48" s="5"/>
      <c r="F48" s="5" t="s">
        <v>719</v>
      </c>
      <c r="G48" s="5" t="s">
        <v>59</v>
      </c>
      <c r="H48" s="5" t="s">
        <v>270</v>
      </c>
      <c r="J48" s="5">
        <v>44</v>
      </c>
      <c r="K48" s="5"/>
      <c r="L48" s="5"/>
      <c r="M48" s="5"/>
      <c r="N48" s="5" t="s">
        <v>732</v>
      </c>
      <c r="O48" s="5" t="s">
        <v>61</v>
      </c>
    </row>
    <row r="49" spans="2:15">
      <c r="B49" s="5">
        <v>45</v>
      </c>
      <c r="C49" s="5"/>
      <c r="D49" s="5"/>
      <c r="E49" s="5"/>
      <c r="F49" s="5" t="s">
        <v>719</v>
      </c>
      <c r="G49" s="5" t="s">
        <v>59</v>
      </c>
      <c r="H49" s="5" t="s">
        <v>270</v>
      </c>
      <c r="J49" s="5">
        <v>45</v>
      </c>
      <c r="K49" s="5"/>
      <c r="L49" s="5"/>
      <c r="M49" s="5"/>
      <c r="N49" s="5" t="s">
        <v>732</v>
      </c>
      <c r="O49" s="5" t="s">
        <v>61</v>
      </c>
    </row>
    <row r="50" spans="2:15">
      <c r="B50" s="5">
        <v>46</v>
      </c>
      <c r="C50" s="5"/>
      <c r="D50" s="5"/>
      <c r="E50" s="5"/>
      <c r="F50" s="5" t="s">
        <v>719</v>
      </c>
      <c r="G50" s="5" t="s">
        <v>59</v>
      </c>
      <c r="H50" s="5" t="s">
        <v>270</v>
      </c>
      <c r="J50" s="5">
        <v>46</v>
      </c>
      <c r="K50" s="5"/>
      <c r="L50" s="5"/>
      <c r="M50" s="5"/>
      <c r="N50" s="5" t="s">
        <v>732</v>
      </c>
      <c r="O50" s="5" t="s">
        <v>61</v>
      </c>
    </row>
    <row r="51" spans="2:15">
      <c r="B51" s="5">
        <v>47</v>
      </c>
      <c r="C51" s="5"/>
      <c r="D51" s="5"/>
      <c r="E51" s="5"/>
      <c r="F51" s="5" t="s">
        <v>719</v>
      </c>
      <c r="G51" s="5" t="s">
        <v>59</v>
      </c>
      <c r="H51" s="5" t="s">
        <v>270</v>
      </c>
      <c r="J51" s="5">
        <v>47</v>
      </c>
      <c r="K51" s="5"/>
      <c r="L51" s="5"/>
      <c r="M51" s="5"/>
      <c r="N51" s="5" t="s">
        <v>732</v>
      </c>
      <c r="O51" s="5" t="s">
        <v>61</v>
      </c>
    </row>
    <row r="52" spans="2:15">
      <c r="B52" s="5">
        <v>48</v>
      </c>
      <c r="C52" s="5"/>
      <c r="D52" s="5"/>
      <c r="E52" s="5"/>
      <c r="F52" s="5" t="s">
        <v>719</v>
      </c>
      <c r="G52" s="5" t="s">
        <v>59</v>
      </c>
      <c r="H52" s="5" t="s">
        <v>270</v>
      </c>
      <c r="J52" s="5">
        <v>48</v>
      </c>
      <c r="K52" s="5"/>
      <c r="L52" s="5"/>
      <c r="M52" s="5"/>
      <c r="N52" s="5" t="s">
        <v>732</v>
      </c>
      <c r="O52" s="5" t="s">
        <v>61</v>
      </c>
    </row>
    <row r="53" spans="2:15">
      <c r="B53" s="5">
        <v>49</v>
      </c>
      <c r="C53" s="5"/>
      <c r="D53" s="5"/>
      <c r="E53" s="5"/>
      <c r="F53" s="5" t="s">
        <v>719</v>
      </c>
      <c r="G53" s="5" t="s">
        <v>59</v>
      </c>
      <c r="H53" s="5" t="s">
        <v>270</v>
      </c>
      <c r="J53" s="5">
        <v>49</v>
      </c>
      <c r="K53" s="5"/>
      <c r="L53" s="5"/>
      <c r="M53" s="5"/>
      <c r="N53" s="5" t="s">
        <v>732</v>
      </c>
      <c r="O53" s="5" t="s">
        <v>61</v>
      </c>
    </row>
    <row r="54" spans="2:15">
      <c r="B54" s="5">
        <v>50</v>
      </c>
      <c r="C54" s="5"/>
      <c r="D54" s="5"/>
      <c r="E54" s="5"/>
      <c r="F54" s="5" t="s">
        <v>719</v>
      </c>
      <c r="G54" s="5" t="s">
        <v>59</v>
      </c>
      <c r="H54" s="5" t="s">
        <v>270</v>
      </c>
      <c r="J54" s="5">
        <v>50</v>
      </c>
      <c r="K54" s="5"/>
      <c r="L54" s="5"/>
      <c r="M54" s="5"/>
      <c r="N54" s="5" t="s">
        <v>732</v>
      </c>
      <c r="O54" s="5" t="s">
        <v>61</v>
      </c>
    </row>
    <row r="55" spans="2:15">
      <c r="B55" s="5">
        <v>51</v>
      </c>
      <c r="C55" s="5"/>
      <c r="D55" s="5"/>
      <c r="E55" s="5"/>
      <c r="F55" s="5" t="s">
        <v>719</v>
      </c>
      <c r="G55" s="5" t="s">
        <v>59</v>
      </c>
      <c r="H55" s="5" t="s">
        <v>270</v>
      </c>
      <c r="J55" s="5">
        <v>51</v>
      </c>
      <c r="K55" s="5"/>
      <c r="L55" s="5"/>
      <c r="M55" s="5"/>
      <c r="N55" s="5" t="s">
        <v>732</v>
      </c>
      <c r="O55" s="5" t="s">
        <v>61</v>
      </c>
    </row>
    <row r="56" spans="2:15">
      <c r="B56" s="5">
        <v>52</v>
      </c>
      <c r="C56" s="5"/>
      <c r="D56" s="5"/>
      <c r="E56" s="5"/>
      <c r="F56" s="5" t="s">
        <v>719</v>
      </c>
      <c r="G56" s="5" t="s">
        <v>59</v>
      </c>
      <c r="H56" s="5" t="s">
        <v>270</v>
      </c>
      <c r="J56" s="5">
        <v>52</v>
      </c>
      <c r="K56" s="5"/>
      <c r="L56" s="5"/>
      <c r="M56" s="5"/>
      <c r="N56" s="5" t="s">
        <v>732</v>
      </c>
      <c r="O56" s="5" t="s">
        <v>61</v>
      </c>
    </row>
    <row r="57" spans="2:15">
      <c r="B57" s="5">
        <v>53</v>
      </c>
      <c r="C57" s="5"/>
      <c r="D57" s="5"/>
      <c r="E57" s="5"/>
      <c r="F57" s="5" t="s">
        <v>719</v>
      </c>
      <c r="G57" s="5" t="s">
        <v>59</v>
      </c>
      <c r="H57" s="5" t="s">
        <v>270</v>
      </c>
      <c r="J57" s="5">
        <v>53</v>
      </c>
      <c r="K57" s="5"/>
      <c r="L57" s="5"/>
      <c r="M57" s="5"/>
      <c r="N57" s="5" t="s">
        <v>732</v>
      </c>
      <c r="O57" s="5" t="s">
        <v>61</v>
      </c>
    </row>
    <row r="58" spans="2:15">
      <c r="B58" s="5">
        <v>54</v>
      </c>
      <c r="C58" s="5"/>
      <c r="D58" s="5"/>
      <c r="E58" s="5"/>
      <c r="F58" s="5" t="s">
        <v>719</v>
      </c>
      <c r="G58" s="5" t="s">
        <v>59</v>
      </c>
      <c r="H58" s="5" t="s">
        <v>270</v>
      </c>
      <c r="J58" s="5">
        <v>54</v>
      </c>
      <c r="K58" s="5"/>
      <c r="L58" s="5"/>
      <c r="M58" s="5"/>
      <c r="N58" s="5" t="s">
        <v>732</v>
      </c>
      <c r="O58" s="5" t="s">
        <v>61</v>
      </c>
    </row>
    <row r="59" spans="2:15">
      <c r="B59" s="5">
        <v>55</v>
      </c>
      <c r="C59" s="5"/>
      <c r="D59" s="5"/>
      <c r="E59" s="5"/>
      <c r="F59" s="5" t="s">
        <v>719</v>
      </c>
      <c r="G59" s="5" t="s">
        <v>59</v>
      </c>
      <c r="H59" s="5" t="s">
        <v>270</v>
      </c>
      <c r="J59" s="5">
        <v>55</v>
      </c>
      <c r="K59" s="5"/>
      <c r="L59" s="5"/>
      <c r="M59" s="5"/>
      <c r="N59" s="5" t="s">
        <v>732</v>
      </c>
      <c r="O59" s="5" t="s">
        <v>61</v>
      </c>
    </row>
    <row r="60" spans="2:15">
      <c r="B60" s="5">
        <v>56</v>
      </c>
      <c r="C60" s="5"/>
      <c r="D60" s="5"/>
      <c r="E60" s="5"/>
      <c r="F60" s="5" t="s">
        <v>719</v>
      </c>
      <c r="G60" s="5" t="s">
        <v>59</v>
      </c>
      <c r="H60" s="5" t="s">
        <v>270</v>
      </c>
      <c r="J60" s="5">
        <v>56</v>
      </c>
      <c r="K60" s="5"/>
      <c r="L60" s="5"/>
      <c r="M60" s="5"/>
      <c r="N60" s="5" t="s">
        <v>732</v>
      </c>
      <c r="O60" s="5" t="s">
        <v>61</v>
      </c>
    </row>
    <row r="61" spans="2:15">
      <c r="B61" s="5">
        <v>57</v>
      </c>
      <c r="C61" s="5"/>
      <c r="D61" s="5"/>
      <c r="E61" s="5"/>
      <c r="F61" s="5" t="s">
        <v>719</v>
      </c>
      <c r="G61" s="5" t="s">
        <v>59</v>
      </c>
      <c r="H61" s="5" t="s">
        <v>270</v>
      </c>
      <c r="J61" s="5">
        <v>57</v>
      </c>
      <c r="K61" s="5"/>
      <c r="L61" s="5"/>
      <c r="M61" s="5"/>
      <c r="N61" s="5" t="s">
        <v>732</v>
      </c>
      <c r="O61" s="5" t="s">
        <v>61</v>
      </c>
    </row>
    <row r="62" spans="2:15">
      <c r="B62" s="5">
        <v>58</v>
      </c>
      <c r="C62" s="5"/>
      <c r="D62" s="5"/>
      <c r="E62" s="5"/>
      <c r="F62" s="5" t="s">
        <v>719</v>
      </c>
      <c r="G62" s="5" t="s">
        <v>59</v>
      </c>
      <c r="H62" s="5" t="s">
        <v>270</v>
      </c>
      <c r="J62" s="5">
        <v>58</v>
      </c>
      <c r="K62" s="5"/>
      <c r="L62" s="5"/>
      <c r="M62" s="5"/>
      <c r="N62" s="5" t="s">
        <v>732</v>
      </c>
      <c r="O62" s="5" t="s">
        <v>61</v>
      </c>
    </row>
    <row r="63" spans="2:15">
      <c r="B63" s="5">
        <v>59</v>
      </c>
      <c r="C63" s="5"/>
      <c r="D63" s="5"/>
      <c r="E63" s="5"/>
      <c r="F63" s="5" t="s">
        <v>719</v>
      </c>
      <c r="G63" s="5" t="s">
        <v>59</v>
      </c>
      <c r="H63" s="5" t="s">
        <v>270</v>
      </c>
      <c r="J63" s="5">
        <v>59</v>
      </c>
      <c r="K63" s="5"/>
      <c r="L63" s="5"/>
      <c r="M63" s="5"/>
      <c r="N63" s="5" t="s">
        <v>732</v>
      </c>
      <c r="O63" s="5" t="s">
        <v>61</v>
      </c>
    </row>
    <row r="64" spans="2:15">
      <c r="B64" s="5">
        <v>60</v>
      </c>
      <c r="C64" s="5"/>
      <c r="D64" s="5"/>
      <c r="E64" s="5"/>
      <c r="F64" s="5" t="s">
        <v>719</v>
      </c>
      <c r="G64" s="5" t="s">
        <v>59</v>
      </c>
      <c r="H64" s="5" t="s">
        <v>270</v>
      </c>
      <c r="J64" s="5">
        <v>60</v>
      </c>
      <c r="K64" s="5"/>
      <c r="L64" s="5"/>
      <c r="M64" s="5"/>
      <c r="N64" s="5" t="s">
        <v>732</v>
      </c>
      <c r="O64" s="5" t="s">
        <v>61</v>
      </c>
    </row>
    <row r="65" spans="2:15">
      <c r="B65" s="5">
        <v>61</v>
      </c>
      <c r="C65" s="5"/>
      <c r="D65" s="5"/>
      <c r="E65" s="5"/>
      <c r="F65" s="5" t="s">
        <v>719</v>
      </c>
      <c r="G65" s="5" t="s">
        <v>59</v>
      </c>
      <c r="H65" s="5" t="s">
        <v>270</v>
      </c>
      <c r="J65" s="5">
        <v>61</v>
      </c>
      <c r="K65" s="5"/>
      <c r="L65" s="5"/>
      <c r="M65" s="5"/>
      <c r="N65" s="5" t="s">
        <v>732</v>
      </c>
      <c r="O65" s="5" t="s">
        <v>61</v>
      </c>
    </row>
    <row r="66" spans="2:15">
      <c r="B66" s="5">
        <v>62</v>
      </c>
      <c r="C66" s="5"/>
      <c r="D66" s="5"/>
      <c r="E66" s="5"/>
      <c r="F66" s="5" t="s">
        <v>719</v>
      </c>
      <c r="G66" s="5" t="s">
        <v>59</v>
      </c>
      <c r="H66" s="5" t="s">
        <v>270</v>
      </c>
      <c r="J66" s="5">
        <v>62</v>
      </c>
      <c r="K66" s="5"/>
      <c r="L66" s="5"/>
      <c r="M66" s="5"/>
      <c r="N66" s="5" t="s">
        <v>732</v>
      </c>
      <c r="O66" s="5" t="s">
        <v>61</v>
      </c>
    </row>
    <row r="67" spans="2:15">
      <c r="B67" s="5">
        <v>63</v>
      </c>
      <c r="C67" s="5"/>
      <c r="D67" s="5"/>
      <c r="E67" s="5"/>
      <c r="F67" s="5" t="s">
        <v>719</v>
      </c>
      <c r="G67" s="5" t="s">
        <v>59</v>
      </c>
      <c r="H67" s="5" t="s">
        <v>270</v>
      </c>
      <c r="J67" s="5">
        <v>63</v>
      </c>
      <c r="K67" s="5"/>
      <c r="L67" s="5"/>
      <c r="M67" s="5"/>
      <c r="N67" s="5" t="s">
        <v>732</v>
      </c>
      <c r="O67" s="5" t="s">
        <v>61</v>
      </c>
    </row>
    <row r="68" spans="2:15">
      <c r="B68" s="5">
        <v>64</v>
      </c>
      <c r="C68" s="5"/>
      <c r="D68" s="5"/>
      <c r="E68" s="5"/>
      <c r="F68" s="5" t="s">
        <v>719</v>
      </c>
      <c r="G68" s="5" t="s">
        <v>59</v>
      </c>
      <c r="H68" s="5" t="s">
        <v>270</v>
      </c>
      <c r="J68" s="5">
        <v>64</v>
      </c>
      <c r="K68" s="5"/>
      <c r="L68" s="5"/>
      <c r="M68" s="5"/>
      <c r="N68" s="5" t="s">
        <v>732</v>
      </c>
      <c r="O68" s="5" t="s">
        <v>61</v>
      </c>
    </row>
    <row r="69" spans="2:15">
      <c r="B69" s="5">
        <v>65</v>
      </c>
      <c r="C69" s="5"/>
      <c r="D69" s="5"/>
      <c r="E69" s="5"/>
      <c r="F69" s="5" t="s">
        <v>719</v>
      </c>
      <c r="G69" s="5" t="s">
        <v>59</v>
      </c>
      <c r="H69" s="5" t="s">
        <v>270</v>
      </c>
      <c r="J69" s="5">
        <v>65</v>
      </c>
      <c r="K69" s="5"/>
      <c r="L69" s="5"/>
      <c r="M69" s="5"/>
      <c r="N69" s="5" t="s">
        <v>732</v>
      </c>
      <c r="O69" s="5" t="s">
        <v>61</v>
      </c>
    </row>
    <row r="70" spans="2:15">
      <c r="B70" s="5">
        <v>66</v>
      </c>
      <c r="C70" s="5"/>
      <c r="D70" s="5"/>
      <c r="E70" s="5"/>
      <c r="F70" s="5" t="s">
        <v>719</v>
      </c>
      <c r="G70" s="5" t="s">
        <v>59</v>
      </c>
      <c r="H70" s="5" t="s">
        <v>270</v>
      </c>
      <c r="J70" s="5">
        <v>66</v>
      </c>
      <c r="K70" s="5"/>
      <c r="L70" s="5"/>
      <c r="M70" s="5"/>
      <c r="N70" s="5" t="s">
        <v>732</v>
      </c>
      <c r="O70" s="5" t="s">
        <v>61</v>
      </c>
    </row>
    <row r="71" spans="2:15">
      <c r="B71" s="5">
        <v>67</v>
      </c>
      <c r="C71" s="5"/>
      <c r="D71" s="5"/>
      <c r="E71" s="5"/>
      <c r="F71" s="5" t="s">
        <v>719</v>
      </c>
      <c r="G71" s="5" t="s">
        <v>59</v>
      </c>
      <c r="H71" s="5" t="s">
        <v>270</v>
      </c>
      <c r="J71" s="5">
        <v>67</v>
      </c>
      <c r="K71" s="5"/>
      <c r="L71" s="5"/>
      <c r="M71" s="5"/>
      <c r="N71" s="5" t="s">
        <v>732</v>
      </c>
      <c r="O71" s="5" t="s">
        <v>61</v>
      </c>
    </row>
    <row r="72" spans="2:15">
      <c r="B72" s="5">
        <v>68</v>
      </c>
      <c r="C72" s="5"/>
      <c r="D72" s="5"/>
      <c r="E72" s="5"/>
      <c r="F72" s="5" t="s">
        <v>719</v>
      </c>
      <c r="G72" s="5" t="s">
        <v>59</v>
      </c>
      <c r="H72" s="5" t="s">
        <v>270</v>
      </c>
      <c r="J72" s="5">
        <v>68</v>
      </c>
      <c r="K72" s="5"/>
      <c r="L72" s="5"/>
      <c r="M72" s="5"/>
      <c r="N72" s="5" t="s">
        <v>732</v>
      </c>
      <c r="O72" s="5" t="s">
        <v>61</v>
      </c>
    </row>
    <row r="73" spans="2:15">
      <c r="B73" s="5">
        <v>69</v>
      </c>
      <c r="C73" s="5"/>
      <c r="D73" s="5"/>
      <c r="E73" s="5"/>
      <c r="F73" s="5" t="s">
        <v>719</v>
      </c>
      <c r="G73" s="5" t="s">
        <v>59</v>
      </c>
      <c r="H73" s="5" t="s">
        <v>270</v>
      </c>
      <c r="J73" s="5">
        <v>69</v>
      </c>
      <c r="K73" s="5"/>
      <c r="L73" s="5"/>
      <c r="M73" s="5"/>
      <c r="N73" s="5" t="s">
        <v>732</v>
      </c>
      <c r="O73" s="5" t="s">
        <v>61</v>
      </c>
    </row>
    <row r="74" spans="2:15">
      <c r="B74" s="5">
        <v>70</v>
      </c>
      <c r="C74" s="5"/>
      <c r="D74" s="5"/>
      <c r="E74" s="5"/>
      <c r="F74" s="5" t="s">
        <v>719</v>
      </c>
      <c r="G74" s="5" t="s">
        <v>59</v>
      </c>
      <c r="H74" s="5" t="s">
        <v>270</v>
      </c>
      <c r="J74" s="5">
        <v>70</v>
      </c>
      <c r="K74" s="5"/>
      <c r="L74" s="5"/>
      <c r="M74" s="5"/>
      <c r="N74" s="5" t="s">
        <v>732</v>
      </c>
      <c r="O74" s="5" t="s">
        <v>61</v>
      </c>
    </row>
    <row r="75" spans="2:15">
      <c r="B75" s="5">
        <v>71</v>
      </c>
      <c r="C75" s="5"/>
      <c r="D75" s="5"/>
      <c r="E75" s="5"/>
      <c r="F75" s="5" t="s">
        <v>719</v>
      </c>
      <c r="G75" s="5" t="s">
        <v>59</v>
      </c>
      <c r="H75" s="5" t="s">
        <v>270</v>
      </c>
      <c r="J75" s="5">
        <v>71</v>
      </c>
      <c r="K75" s="5"/>
      <c r="L75" s="5"/>
      <c r="M75" s="5"/>
      <c r="N75" s="5" t="s">
        <v>732</v>
      </c>
      <c r="O75" s="5" t="s">
        <v>61</v>
      </c>
    </row>
    <row r="76" spans="2:15">
      <c r="B76" s="5">
        <v>72</v>
      </c>
      <c r="C76" s="5"/>
      <c r="D76" s="5"/>
      <c r="E76" s="5"/>
      <c r="F76" s="5" t="s">
        <v>719</v>
      </c>
      <c r="G76" s="5" t="s">
        <v>59</v>
      </c>
      <c r="H76" s="5" t="s">
        <v>270</v>
      </c>
      <c r="J76" s="5">
        <v>72</v>
      </c>
      <c r="K76" s="5"/>
      <c r="L76" s="5"/>
      <c r="M76" s="5"/>
      <c r="N76" s="5" t="s">
        <v>732</v>
      </c>
      <c r="O76" s="5" t="s">
        <v>61</v>
      </c>
    </row>
    <row r="77" spans="2:15">
      <c r="B77" s="5">
        <v>73</v>
      </c>
      <c r="C77" s="5"/>
      <c r="D77" s="5"/>
      <c r="E77" s="5"/>
      <c r="F77" s="5" t="s">
        <v>719</v>
      </c>
      <c r="G77" s="5" t="s">
        <v>59</v>
      </c>
      <c r="H77" s="5" t="s">
        <v>270</v>
      </c>
      <c r="J77" s="5">
        <v>73</v>
      </c>
      <c r="K77" s="5"/>
      <c r="L77" s="5"/>
      <c r="M77" s="5"/>
      <c r="N77" s="5" t="s">
        <v>732</v>
      </c>
      <c r="O77" s="5" t="s">
        <v>61</v>
      </c>
    </row>
    <row r="78" spans="2:15">
      <c r="B78" s="5">
        <v>74</v>
      </c>
      <c r="C78" s="5"/>
      <c r="D78" s="5"/>
      <c r="E78" s="5"/>
      <c r="F78" s="5" t="s">
        <v>719</v>
      </c>
      <c r="G78" s="5" t="s">
        <v>59</v>
      </c>
      <c r="H78" s="5" t="s">
        <v>270</v>
      </c>
      <c r="J78" s="5">
        <v>74</v>
      </c>
      <c r="K78" s="5"/>
      <c r="L78" s="5"/>
      <c r="M78" s="5"/>
      <c r="N78" s="5" t="s">
        <v>732</v>
      </c>
      <c r="O78" s="5" t="s">
        <v>61</v>
      </c>
    </row>
    <row r="79" spans="2:15">
      <c r="B79" s="5">
        <v>75</v>
      </c>
      <c r="C79" s="5"/>
      <c r="D79" s="5"/>
      <c r="E79" s="5"/>
      <c r="F79" s="5" t="s">
        <v>719</v>
      </c>
      <c r="G79" s="5" t="s">
        <v>59</v>
      </c>
      <c r="H79" s="5" t="s">
        <v>270</v>
      </c>
      <c r="J79" s="5">
        <v>75</v>
      </c>
      <c r="K79" s="5"/>
      <c r="L79" s="5"/>
      <c r="M79" s="5"/>
      <c r="N79" s="5" t="s">
        <v>732</v>
      </c>
      <c r="O79" s="5" t="s">
        <v>61</v>
      </c>
    </row>
    <row r="80" spans="2:15">
      <c r="B80" s="5">
        <v>76</v>
      </c>
      <c r="C80" s="5"/>
      <c r="D80" s="5"/>
      <c r="E80" s="5"/>
      <c r="F80" s="5" t="s">
        <v>719</v>
      </c>
      <c r="G80" s="5" t="s">
        <v>59</v>
      </c>
      <c r="H80" s="5" t="s">
        <v>270</v>
      </c>
      <c r="J80" s="5">
        <v>76</v>
      </c>
      <c r="K80" s="5"/>
      <c r="L80" s="5"/>
      <c r="M80" s="5"/>
      <c r="N80" s="5" t="s">
        <v>732</v>
      </c>
      <c r="O80" s="5" t="s">
        <v>61</v>
      </c>
    </row>
    <row r="81" spans="2:15">
      <c r="B81" s="5">
        <v>77</v>
      </c>
      <c r="C81" s="5"/>
      <c r="D81" s="5"/>
      <c r="E81" s="5"/>
      <c r="F81" s="5" t="s">
        <v>719</v>
      </c>
      <c r="G81" s="5" t="s">
        <v>59</v>
      </c>
      <c r="H81" s="5" t="s">
        <v>270</v>
      </c>
      <c r="J81" s="5">
        <v>77</v>
      </c>
      <c r="K81" s="5"/>
      <c r="L81" s="5"/>
      <c r="M81" s="5"/>
      <c r="N81" s="5" t="s">
        <v>732</v>
      </c>
      <c r="O81" s="5" t="s">
        <v>61</v>
      </c>
    </row>
    <row r="82" spans="2:15">
      <c r="B82" s="5">
        <v>78</v>
      </c>
      <c r="C82" s="5"/>
      <c r="D82" s="5"/>
      <c r="E82" s="5"/>
      <c r="F82" s="5" t="s">
        <v>719</v>
      </c>
      <c r="G82" s="5" t="s">
        <v>59</v>
      </c>
      <c r="H82" s="5" t="s">
        <v>270</v>
      </c>
      <c r="J82" s="5">
        <v>78</v>
      </c>
      <c r="K82" s="5"/>
      <c r="L82" s="5"/>
      <c r="M82" s="5"/>
      <c r="N82" s="5" t="s">
        <v>732</v>
      </c>
      <c r="O82" s="5" t="s">
        <v>61</v>
      </c>
    </row>
    <row r="83" spans="2:15">
      <c r="B83" s="5">
        <v>79</v>
      </c>
      <c r="C83" s="5"/>
      <c r="D83" s="5"/>
      <c r="E83" s="5"/>
      <c r="F83" s="5" t="s">
        <v>719</v>
      </c>
      <c r="G83" s="5" t="s">
        <v>59</v>
      </c>
      <c r="H83" s="5" t="s">
        <v>270</v>
      </c>
      <c r="J83" s="5">
        <v>79</v>
      </c>
      <c r="K83" s="5"/>
      <c r="L83" s="5"/>
      <c r="M83" s="5"/>
      <c r="N83" s="5" t="s">
        <v>732</v>
      </c>
      <c r="O83" s="5" t="s">
        <v>61</v>
      </c>
    </row>
    <row r="84" spans="2:15">
      <c r="B84" s="5">
        <v>80</v>
      </c>
      <c r="C84" s="5"/>
      <c r="D84" s="5"/>
      <c r="E84" s="5"/>
      <c r="F84" s="5" t="s">
        <v>719</v>
      </c>
      <c r="G84" s="5" t="s">
        <v>59</v>
      </c>
      <c r="H84" s="5" t="s">
        <v>270</v>
      </c>
      <c r="J84" s="5">
        <v>80</v>
      </c>
      <c r="K84" s="5"/>
      <c r="L84" s="5"/>
      <c r="M84" s="5"/>
      <c r="N84" s="5" t="s">
        <v>732</v>
      </c>
      <c r="O84" s="5" t="s">
        <v>61</v>
      </c>
    </row>
    <row r="85" spans="2:15">
      <c r="B85" s="5">
        <v>81</v>
      </c>
      <c r="C85" s="5"/>
      <c r="D85" s="5"/>
      <c r="E85" s="5"/>
      <c r="F85" s="5" t="s">
        <v>719</v>
      </c>
      <c r="G85" s="5" t="s">
        <v>59</v>
      </c>
      <c r="H85" s="5" t="s">
        <v>270</v>
      </c>
      <c r="J85" s="5">
        <v>81</v>
      </c>
      <c r="K85" s="5"/>
      <c r="L85" s="5"/>
      <c r="M85" s="5"/>
      <c r="N85" s="5" t="s">
        <v>732</v>
      </c>
      <c r="O85" s="5" t="s">
        <v>61</v>
      </c>
    </row>
    <row r="86" spans="2:15">
      <c r="B86" s="5">
        <v>82</v>
      </c>
      <c r="C86" s="5"/>
      <c r="D86" s="5"/>
      <c r="E86" s="5"/>
      <c r="F86" s="5" t="s">
        <v>719</v>
      </c>
      <c r="G86" s="5" t="s">
        <v>59</v>
      </c>
      <c r="H86" s="5" t="s">
        <v>270</v>
      </c>
      <c r="J86" s="5">
        <v>82</v>
      </c>
      <c r="K86" s="5"/>
      <c r="L86" s="5"/>
      <c r="M86" s="5"/>
      <c r="N86" s="5" t="s">
        <v>732</v>
      </c>
      <c r="O86" s="5" t="s">
        <v>61</v>
      </c>
    </row>
    <row r="87" spans="2:15">
      <c r="B87" s="5">
        <v>83</v>
      </c>
      <c r="C87" s="5"/>
      <c r="D87" s="5"/>
      <c r="E87" s="5"/>
      <c r="F87" s="5" t="s">
        <v>719</v>
      </c>
      <c r="G87" s="5" t="s">
        <v>59</v>
      </c>
      <c r="H87" s="5" t="s">
        <v>270</v>
      </c>
      <c r="J87" s="5">
        <v>83</v>
      </c>
      <c r="K87" s="5"/>
      <c r="L87" s="5"/>
      <c r="M87" s="5"/>
      <c r="N87" s="5" t="s">
        <v>732</v>
      </c>
      <c r="O87" s="5" t="s">
        <v>61</v>
      </c>
    </row>
    <row r="88" spans="2:15">
      <c r="B88" s="5">
        <v>84</v>
      </c>
      <c r="C88" s="5"/>
      <c r="D88" s="5"/>
      <c r="E88" s="5"/>
      <c r="F88" s="5" t="s">
        <v>719</v>
      </c>
      <c r="G88" s="5" t="s">
        <v>59</v>
      </c>
      <c r="H88" s="5" t="s">
        <v>270</v>
      </c>
      <c r="J88" s="5">
        <v>84</v>
      </c>
      <c r="K88" s="5"/>
      <c r="L88" s="5"/>
      <c r="M88" s="5"/>
      <c r="N88" s="5" t="s">
        <v>732</v>
      </c>
      <c r="O88" s="5" t="s">
        <v>61</v>
      </c>
    </row>
    <row r="89" spans="2:15">
      <c r="B89" s="5">
        <v>85</v>
      </c>
      <c r="C89" s="5"/>
      <c r="D89" s="5"/>
      <c r="E89" s="5"/>
      <c r="F89" s="5" t="s">
        <v>719</v>
      </c>
      <c r="G89" s="5" t="s">
        <v>59</v>
      </c>
      <c r="H89" s="5" t="s">
        <v>270</v>
      </c>
      <c r="J89" s="5">
        <v>85</v>
      </c>
      <c r="K89" s="5"/>
      <c r="L89" s="5"/>
      <c r="M89" s="5"/>
      <c r="N89" s="5" t="s">
        <v>732</v>
      </c>
      <c r="O89" s="5" t="s">
        <v>61</v>
      </c>
    </row>
    <row r="90" spans="2:15">
      <c r="B90" s="5">
        <v>86</v>
      </c>
      <c r="C90" s="5"/>
      <c r="D90" s="5"/>
      <c r="E90" s="5"/>
      <c r="F90" s="5" t="s">
        <v>719</v>
      </c>
      <c r="G90" s="5" t="s">
        <v>59</v>
      </c>
      <c r="H90" s="5" t="s">
        <v>270</v>
      </c>
      <c r="J90" s="5">
        <v>86</v>
      </c>
      <c r="K90" s="5"/>
      <c r="L90" s="5"/>
      <c r="M90" s="5"/>
      <c r="N90" s="5" t="s">
        <v>732</v>
      </c>
      <c r="O90" s="5" t="s">
        <v>61</v>
      </c>
    </row>
    <row r="91" spans="2:15">
      <c r="B91" s="5">
        <v>87</v>
      </c>
      <c r="C91" s="5"/>
      <c r="D91" s="5"/>
      <c r="E91" s="5"/>
      <c r="F91" s="5" t="s">
        <v>719</v>
      </c>
      <c r="G91" s="5" t="s">
        <v>59</v>
      </c>
      <c r="H91" s="5" t="s">
        <v>270</v>
      </c>
      <c r="J91" s="5">
        <v>87</v>
      </c>
      <c r="K91" s="5"/>
      <c r="L91" s="5"/>
      <c r="M91" s="5"/>
      <c r="N91" s="5" t="s">
        <v>732</v>
      </c>
      <c r="O91" s="5" t="s">
        <v>61</v>
      </c>
    </row>
    <row r="92" spans="2:15">
      <c r="B92" s="5">
        <v>88</v>
      </c>
      <c r="C92" s="5"/>
      <c r="D92" s="5"/>
      <c r="E92" s="5"/>
      <c r="F92" s="5" t="s">
        <v>719</v>
      </c>
      <c r="G92" s="5" t="s">
        <v>59</v>
      </c>
      <c r="H92" s="5" t="s">
        <v>270</v>
      </c>
      <c r="J92" s="5">
        <v>88</v>
      </c>
      <c r="K92" s="5"/>
      <c r="L92" s="5"/>
      <c r="M92" s="5"/>
      <c r="N92" s="5" t="s">
        <v>732</v>
      </c>
      <c r="O92" s="5" t="s">
        <v>61</v>
      </c>
    </row>
    <row r="93" spans="2:15">
      <c r="B93" s="5">
        <v>89</v>
      </c>
      <c r="C93" s="5"/>
      <c r="D93" s="5"/>
      <c r="E93" s="5"/>
      <c r="F93" s="5" t="s">
        <v>719</v>
      </c>
      <c r="G93" s="5" t="s">
        <v>59</v>
      </c>
      <c r="H93" s="5" t="s">
        <v>270</v>
      </c>
      <c r="J93" s="5">
        <v>89</v>
      </c>
      <c r="K93" s="5"/>
      <c r="L93" s="5"/>
      <c r="M93" s="5"/>
      <c r="N93" s="5" t="s">
        <v>732</v>
      </c>
      <c r="O93" s="5" t="s">
        <v>61</v>
      </c>
    </row>
    <row r="94" spans="2:15">
      <c r="B94" s="5">
        <v>90</v>
      </c>
      <c r="C94" s="5"/>
      <c r="D94" s="5"/>
      <c r="E94" s="5"/>
      <c r="F94" s="5" t="s">
        <v>719</v>
      </c>
      <c r="G94" s="5" t="s">
        <v>59</v>
      </c>
      <c r="H94" s="5" t="s">
        <v>270</v>
      </c>
      <c r="J94" s="5">
        <v>90</v>
      </c>
      <c r="K94" s="5"/>
      <c r="L94" s="5"/>
      <c r="M94" s="5"/>
      <c r="N94" s="5" t="s">
        <v>732</v>
      </c>
      <c r="O94" s="5" t="s">
        <v>61</v>
      </c>
    </row>
    <row r="95" spans="2:15">
      <c r="B95" s="5">
        <v>91</v>
      </c>
      <c r="C95" s="5"/>
      <c r="D95" s="5"/>
      <c r="E95" s="5"/>
      <c r="F95" s="5" t="s">
        <v>719</v>
      </c>
      <c r="G95" s="5" t="s">
        <v>59</v>
      </c>
      <c r="H95" s="5" t="s">
        <v>270</v>
      </c>
      <c r="J95" s="5">
        <v>91</v>
      </c>
      <c r="K95" s="5"/>
      <c r="L95" s="5"/>
      <c r="M95" s="5"/>
      <c r="N95" s="5" t="s">
        <v>732</v>
      </c>
      <c r="O95" s="5" t="s">
        <v>61</v>
      </c>
    </row>
    <row r="96" spans="2:15">
      <c r="B96" s="5">
        <v>92</v>
      </c>
      <c r="C96" s="5"/>
      <c r="D96" s="5"/>
      <c r="E96" s="5"/>
      <c r="F96" s="5" t="s">
        <v>719</v>
      </c>
      <c r="G96" s="5" t="s">
        <v>59</v>
      </c>
      <c r="H96" s="5" t="s">
        <v>270</v>
      </c>
      <c r="J96" s="5">
        <v>92</v>
      </c>
      <c r="K96" s="5"/>
      <c r="L96" s="5"/>
      <c r="M96" s="5"/>
      <c r="N96" s="5" t="s">
        <v>732</v>
      </c>
      <c r="O96" s="5" t="s">
        <v>61</v>
      </c>
    </row>
    <row r="97" spans="2:15">
      <c r="B97" s="5">
        <v>93</v>
      </c>
      <c r="C97" s="5"/>
      <c r="D97" s="5"/>
      <c r="E97" s="5"/>
      <c r="F97" s="5" t="s">
        <v>719</v>
      </c>
      <c r="G97" s="5" t="s">
        <v>59</v>
      </c>
      <c r="H97" s="5" t="s">
        <v>270</v>
      </c>
      <c r="J97" s="5">
        <v>93</v>
      </c>
      <c r="K97" s="5"/>
      <c r="L97" s="5"/>
      <c r="M97" s="5"/>
      <c r="N97" s="5" t="s">
        <v>732</v>
      </c>
      <c r="O97" s="5" t="s">
        <v>61</v>
      </c>
    </row>
    <row r="98" spans="2:15">
      <c r="B98" s="5">
        <v>94</v>
      </c>
      <c r="C98" s="5"/>
      <c r="D98" s="5"/>
      <c r="E98" s="5"/>
      <c r="F98" s="5" t="s">
        <v>719</v>
      </c>
      <c r="G98" s="5" t="s">
        <v>59</v>
      </c>
      <c r="H98" s="5" t="s">
        <v>270</v>
      </c>
      <c r="J98" s="5">
        <v>94</v>
      </c>
      <c r="K98" s="5"/>
      <c r="L98" s="5"/>
      <c r="M98" s="5"/>
      <c r="N98" s="5" t="s">
        <v>732</v>
      </c>
      <c r="O98" s="5" t="s">
        <v>61</v>
      </c>
    </row>
    <row r="99" spans="2:15">
      <c r="B99" s="5">
        <v>95</v>
      </c>
      <c r="C99" s="5"/>
      <c r="D99" s="5"/>
      <c r="E99" s="5"/>
      <c r="F99" s="5" t="s">
        <v>719</v>
      </c>
      <c r="G99" s="5" t="s">
        <v>59</v>
      </c>
      <c r="H99" s="5" t="s">
        <v>270</v>
      </c>
      <c r="J99" s="5">
        <v>95</v>
      </c>
      <c r="K99" s="5"/>
      <c r="L99" s="5"/>
      <c r="M99" s="5"/>
      <c r="N99" s="5" t="s">
        <v>732</v>
      </c>
      <c r="O99" s="5" t="s">
        <v>61</v>
      </c>
    </row>
    <row r="100" spans="2:15">
      <c r="B100" s="5">
        <v>96</v>
      </c>
      <c r="C100" s="5"/>
      <c r="D100" s="5"/>
      <c r="E100" s="5"/>
      <c r="F100" s="5" t="s">
        <v>719</v>
      </c>
      <c r="G100" s="5" t="s">
        <v>59</v>
      </c>
      <c r="H100" s="5" t="s">
        <v>270</v>
      </c>
      <c r="J100" s="5">
        <v>96</v>
      </c>
      <c r="K100" s="5"/>
      <c r="L100" s="5"/>
      <c r="M100" s="5"/>
      <c r="N100" s="5" t="s">
        <v>732</v>
      </c>
      <c r="O100" s="5" t="s">
        <v>61</v>
      </c>
    </row>
    <row r="101" spans="2:15">
      <c r="B101" s="5">
        <v>97</v>
      </c>
      <c r="C101" s="5"/>
      <c r="D101" s="5"/>
      <c r="E101" s="5"/>
      <c r="F101" s="5" t="s">
        <v>719</v>
      </c>
      <c r="G101" s="5" t="s">
        <v>59</v>
      </c>
      <c r="H101" s="5" t="s">
        <v>270</v>
      </c>
      <c r="J101" s="5">
        <v>97</v>
      </c>
      <c r="K101" s="5"/>
      <c r="L101" s="5"/>
      <c r="M101" s="5"/>
      <c r="N101" s="5" t="s">
        <v>732</v>
      </c>
      <c r="O101" s="5" t="s">
        <v>61</v>
      </c>
    </row>
    <row r="102" spans="2:15">
      <c r="B102" s="5">
        <v>98</v>
      </c>
      <c r="C102" s="5"/>
      <c r="D102" s="5"/>
      <c r="E102" s="5"/>
      <c r="F102" s="5" t="s">
        <v>719</v>
      </c>
      <c r="G102" s="5" t="s">
        <v>59</v>
      </c>
      <c r="H102" s="5" t="s">
        <v>270</v>
      </c>
      <c r="J102" s="5">
        <v>98</v>
      </c>
      <c r="K102" s="5"/>
      <c r="L102" s="5"/>
      <c r="M102" s="5"/>
      <c r="N102" s="5" t="s">
        <v>732</v>
      </c>
      <c r="O102" s="5" t="s">
        <v>61</v>
      </c>
    </row>
    <row r="103" spans="2:15">
      <c r="B103" s="5">
        <v>99</v>
      </c>
      <c r="C103" s="5"/>
      <c r="D103" s="5"/>
      <c r="E103" s="5"/>
      <c r="F103" s="5" t="s">
        <v>719</v>
      </c>
      <c r="G103" s="5" t="s">
        <v>59</v>
      </c>
      <c r="H103" s="5" t="s">
        <v>270</v>
      </c>
      <c r="J103" s="5">
        <v>99</v>
      </c>
      <c r="K103" s="5"/>
      <c r="L103" s="5"/>
      <c r="M103" s="5"/>
      <c r="N103" s="5" t="s">
        <v>732</v>
      </c>
      <c r="O103" s="5" t="s">
        <v>61</v>
      </c>
    </row>
    <row r="104" spans="2:15">
      <c r="B104" s="5">
        <v>100</v>
      </c>
      <c r="C104" s="5"/>
      <c r="D104" s="5"/>
      <c r="E104" s="5"/>
      <c r="F104" s="5" t="s">
        <v>719</v>
      </c>
      <c r="G104" s="5" t="s">
        <v>59</v>
      </c>
      <c r="H104" s="5" t="s">
        <v>270</v>
      </c>
      <c r="J104" s="5">
        <v>100</v>
      </c>
      <c r="K104" s="5"/>
      <c r="L104" s="5"/>
      <c r="M104" s="5"/>
      <c r="N104" s="5" t="s">
        <v>732</v>
      </c>
      <c r="O104" s="5" t="s">
        <v>61</v>
      </c>
    </row>
    <row r="105" spans="2:15">
      <c r="B105" s="5">
        <v>101</v>
      </c>
      <c r="C105" s="5"/>
      <c r="D105" s="5"/>
      <c r="E105" s="5"/>
      <c r="F105" s="5" t="s">
        <v>719</v>
      </c>
      <c r="G105" s="5" t="s">
        <v>59</v>
      </c>
      <c r="H105" s="5" t="s">
        <v>270</v>
      </c>
      <c r="J105" s="5">
        <v>101</v>
      </c>
      <c r="K105" s="5"/>
      <c r="L105" s="5"/>
      <c r="M105" s="5"/>
      <c r="N105" s="5" t="s">
        <v>732</v>
      </c>
      <c r="O105" s="5" t="s">
        <v>61</v>
      </c>
    </row>
    <row r="106" spans="2:15">
      <c r="B106" s="5">
        <v>102</v>
      </c>
      <c r="C106" s="5"/>
      <c r="D106" s="5"/>
      <c r="E106" s="5"/>
      <c r="F106" s="5" t="s">
        <v>719</v>
      </c>
      <c r="G106" s="5" t="s">
        <v>59</v>
      </c>
      <c r="H106" s="5" t="s">
        <v>270</v>
      </c>
      <c r="J106" s="5">
        <v>102</v>
      </c>
      <c r="K106" s="5"/>
      <c r="L106" s="5"/>
      <c r="M106" s="5"/>
      <c r="N106" s="5" t="s">
        <v>732</v>
      </c>
      <c r="O106" s="5" t="s">
        <v>61</v>
      </c>
    </row>
    <row r="107" spans="2:15">
      <c r="B107" s="5">
        <v>103</v>
      </c>
      <c r="C107" s="5"/>
      <c r="D107" s="5"/>
      <c r="E107" s="5"/>
      <c r="F107" s="5" t="s">
        <v>719</v>
      </c>
      <c r="G107" s="5" t="s">
        <v>59</v>
      </c>
      <c r="H107" s="5" t="s">
        <v>270</v>
      </c>
      <c r="J107" s="5">
        <v>103</v>
      </c>
      <c r="K107" s="5"/>
      <c r="L107" s="5"/>
      <c r="M107" s="5"/>
      <c r="N107" s="5" t="s">
        <v>732</v>
      </c>
      <c r="O107" s="5" t="s">
        <v>61</v>
      </c>
    </row>
    <row r="108" spans="2:15">
      <c r="B108" s="5">
        <v>104</v>
      </c>
      <c r="C108" s="5"/>
      <c r="D108" s="5"/>
      <c r="E108" s="5"/>
      <c r="F108" s="5" t="s">
        <v>719</v>
      </c>
      <c r="G108" s="5" t="s">
        <v>59</v>
      </c>
      <c r="H108" s="5" t="s">
        <v>270</v>
      </c>
      <c r="J108" s="5">
        <v>104</v>
      </c>
      <c r="K108" s="5"/>
      <c r="L108" s="5"/>
      <c r="M108" s="5"/>
      <c r="N108" s="5" t="s">
        <v>732</v>
      </c>
      <c r="O108" s="5" t="s">
        <v>61</v>
      </c>
    </row>
    <row r="109" spans="2:15">
      <c r="B109" s="5">
        <v>105</v>
      </c>
      <c r="C109" s="5"/>
      <c r="D109" s="5"/>
      <c r="E109" s="5"/>
      <c r="F109" s="5" t="s">
        <v>719</v>
      </c>
      <c r="G109" s="5" t="s">
        <v>59</v>
      </c>
      <c r="H109" s="5" t="s">
        <v>270</v>
      </c>
      <c r="J109" s="5">
        <v>105</v>
      </c>
      <c r="K109" s="5"/>
      <c r="L109" s="5"/>
      <c r="M109" s="5"/>
      <c r="N109" s="5" t="s">
        <v>732</v>
      </c>
      <c r="O109" s="5" t="s">
        <v>61</v>
      </c>
    </row>
    <row r="110" spans="2:15">
      <c r="B110" s="5">
        <v>106</v>
      </c>
      <c r="C110" s="5"/>
      <c r="D110" s="5"/>
      <c r="E110" s="5"/>
      <c r="F110" s="5" t="s">
        <v>719</v>
      </c>
      <c r="G110" s="5" t="s">
        <v>59</v>
      </c>
      <c r="H110" s="5" t="s">
        <v>270</v>
      </c>
      <c r="J110" s="5">
        <v>106</v>
      </c>
      <c r="K110" s="5"/>
      <c r="L110" s="5"/>
      <c r="M110" s="5"/>
      <c r="N110" s="5" t="s">
        <v>732</v>
      </c>
      <c r="O110" s="5" t="s">
        <v>61</v>
      </c>
    </row>
    <row r="111" spans="2:15">
      <c r="B111" s="5">
        <v>107</v>
      </c>
      <c r="C111" s="5"/>
      <c r="D111" s="5"/>
      <c r="E111" s="5"/>
      <c r="F111" s="5" t="s">
        <v>719</v>
      </c>
      <c r="G111" s="5" t="s">
        <v>59</v>
      </c>
      <c r="H111" s="5" t="s">
        <v>270</v>
      </c>
      <c r="J111" s="5">
        <v>107</v>
      </c>
      <c r="K111" s="5"/>
      <c r="L111" s="5"/>
      <c r="M111" s="5"/>
      <c r="N111" s="5" t="s">
        <v>732</v>
      </c>
      <c r="O111" s="5" t="s">
        <v>61</v>
      </c>
    </row>
    <row r="112" spans="2:15">
      <c r="B112" s="5">
        <v>108</v>
      </c>
      <c r="C112" s="5"/>
      <c r="D112" s="5"/>
      <c r="E112" s="5"/>
      <c r="F112" s="5" t="s">
        <v>719</v>
      </c>
      <c r="G112" s="5" t="s">
        <v>59</v>
      </c>
      <c r="H112" s="5" t="s">
        <v>270</v>
      </c>
      <c r="J112" s="5">
        <v>108</v>
      </c>
      <c r="K112" s="5"/>
      <c r="L112" s="5"/>
      <c r="M112" s="5"/>
      <c r="N112" s="5" t="s">
        <v>732</v>
      </c>
      <c r="O112" s="5" t="s">
        <v>61</v>
      </c>
    </row>
    <row r="113" spans="2:15">
      <c r="B113" s="5">
        <v>109</v>
      </c>
      <c r="C113" s="5"/>
      <c r="D113" s="5"/>
      <c r="E113" s="5"/>
      <c r="F113" s="5" t="s">
        <v>719</v>
      </c>
      <c r="G113" s="5" t="s">
        <v>59</v>
      </c>
      <c r="H113" s="5" t="s">
        <v>270</v>
      </c>
      <c r="J113" s="5">
        <v>109</v>
      </c>
      <c r="K113" s="5"/>
      <c r="L113" s="5"/>
      <c r="M113" s="5"/>
      <c r="N113" s="5" t="s">
        <v>732</v>
      </c>
      <c r="O113" s="5" t="s">
        <v>61</v>
      </c>
    </row>
    <row r="114" spans="2:15">
      <c r="B114" s="5">
        <v>110</v>
      </c>
      <c r="C114" s="5"/>
      <c r="D114" s="5"/>
      <c r="E114" s="5"/>
      <c r="F114" s="5" t="s">
        <v>719</v>
      </c>
      <c r="G114" s="5" t="s">
        <v>59</v>
      </c>
      <c r="H114" s="5" t="s">
        <v>270</v>
      </c>
      <c r="J114" s="5">
        <v>110</v>
      </c>
      <c r="K114" s="5"/>
      <c r="L114" s="5"/>
      <c r="M114" s="5"/>
      <c r="N114" s="5" t="s">
        <v>732</v>
      </c>
      <c r="O114" s="5" t="s">
        <v>61</v>
      </c>
    </row>
    <row r="115" spans="2:15">
      <c r="B115" s="5">
        <v>111</v>
      </c>
      <c r="C115" s="5"/>
      <c r="D115" s="5"/>
      <c r="E115" s="5"/>
      <c r="F115" s="5" t="s">
        <v>719</v>
      </c>
      <c r="G115" s="5" t="s">
        <v>59</v>
      </c>
      <c r="H115" s="5" t="s">
        <v>270</v>
      </c>
      <c r="J115" s="5">
        <v>111</v>
      </c>
      <c r="K115" s="5"/>
      <c r="L115" s="5"/>
      <c r="M115" s="5"/>
      <c r="N115" s="5" t="s">
        <v>732</v>
      </c>
      <c r="O115" s="5" t="s">
        <v>61</v>
      </c>
    </row>
    <row r="116" spans="2:15">
      <c r="B116" s="5">
        <v>112</v>
      </c>
      <c r="C116" s="5"/>
      <c r="D116" s="5"/>
      <c r="E116" s="5"/>
      <c r="F116" s="5" t="s">
        <v>719</v>
      </c>
      <c r="G116" s="5" t="s">
        <v>59</v>
      </c>
      <c r="H116" s="5" t="s">
        <v>270</v>
      </c>
      <c r="J116" s="5">
        <v>112</v>
      </c>
      <c r="K116" s="5"/>
      <c r="L116" s="5"/>
      <c r="M116" s="5"/>
      <c r="N116" s="5" t="s">
        <v>732</v>
      </c>
      <c r="O116" s="5" t="s">
        <v>61</v>
      </c>
    </row>
    <row r="117" spans="2:15">
      <c r="B117" s="5">
        <v>113</v>
      </c>
      <c r="C117" s="5"/>
      <c r="D117" s="5"/>
      <c r="E117" s="5"/>
      <c r="F117" s="5" t="s">
        <v>719</v>
      </c>
      <c r="G117" s="5" t="s">
        <v>59</v>
      </c>
      <c r="H117" s="5" t="s">
        <v>270</v>
      </c>
      <c r="J117" s="5">
        <v>113</v>
      </c>
      <c r="K117" s="5"/>
      <c r="L117" s="5"/>
      <c r="M117" s="5"/>
      <c r="N117" s="5" t="s">
        <v>732</v>
      </c>
      <c r="O117" s="5" t="s">
        <v>61</v>
      </c>
    </row>
    <row r="118" spans="2:15">
      <c r="B118" s="5">
        <v>114</v>
      </c>
      <c r="C118" s="5"/>
      <c r="D118" s="5"/>
      <c r="E118" s="5"/>
      <c r="F118" s="5" t="s">
        <v>719</v>
      </c>
      <c r="G118" s="5" t="s">
        <v>59</v>
      </c>
      <c r="H118" s="5" t="s">
        <v>270</v>
      </c>
      <c r="J118" s="5">
        <v>114</v>
      </c>
      <c r="K118" s="5"/>
      <c r="L118" s="5"/>
      <c r="M118" s="5"/>
      <c r="N118" s="5" t="s">
        <v>732</v>
      </c>
      <c r="O118" s="5" t="s">
        <v>61</v>
      </c>
    </row>
    <row r="119" spans="2:15">
      <c r="B119" s="5">
        <v>115</v>
      </c>
      <c r="C119" s="5"/>
      <c r="D119" s="5"/>
      <c r="E119" s="5"/>
      <c r="F119" s="5" t="s">
        <v>719</v>
      </c>
      <c r="G119" s="5" t="s">
        <v>59</v>
      </c>
      <c r="H119" s="5" t="s">
        <v>270</v>
      </c>
      <c r="J119" s="5">
        <v>115</v>
      </c>
      <c r="K119" s="5"/>
      <c r="L119" s="5"/>
      <c r="M119" s="5"/>
      <c r="N119" s="5" t="s">
        <v>732</v>
      </c>
      <c r="O119" s="5" t="s">
        <v>61</v>
      </c>
    </row>
    <row r="120" spans="2:15">
      <c r="B120" s="5">
        <v>116</v>
      </c>
      <c r="C120" s="5"/>
      <c r="D120" s="5"/>
      <c r="E120" s="5"/>
      <c r="F120" s="5" t="s">
        <v>719</v>
      </c>
      <c r="G120" s="5" t="s">
        <v>59</v>
      </c>
      <c r="H120" s="5" t="s">
        <v>270</v>
      </c>
      <c r="J120" s="5">
        <v>116</v>
      </c>
      <c r="K120" s="5"/>
      <c r="L120" s="5"/>
      <c r="M120" s="5"/>
      <c r="N120" s="5" t="s">
        <v>732</v>
      </c>
      <c r="O120" s="5" t="s">
        <v>61</v>
      </c>
    </row>
    <row r="121" spans="2:15">
      <c r="B121" s="5">
        <v>117</v>
      </c>
      <c r="C121" s="5"/>
      <c r="D121" s="5"/>
      <c r="E121" s="5"/>
      <c r="F121" s="5" t="s">
        <v>719</v>
      </c>
      <c r="G121" s="5" t="s">
        <v>59</v>
      </c>
      <c r="H121" s="5" t="s">
        <v>270</v>
      </c>
      <c r="J121" s="5">
        <v>117</v>
      </c>
      <c r="K121" s="5"/>
      <c r="L121" s="5"/>
      <c r="M121" s="5"/>
      <c r="N121" s="5" t="s">
        <v>732</v>
      </c>
      <c r="O121" s="5" t="s">
        <v>61</v>
      </c>
    </row>
    <row r="122" spans="2:15">
      <c r="B122" s="5">
        <v>118</v>
      </c>
      <c r="C122" s="5"/>
      <c r="D122" s="5"/>
      <c r="E122" s="5"/>
      <c r="F122" s="5" t="s">
        <v>719</v>
      </c>
      <c r="G122" s="5" t="s">
        <v>59</v>
      </c>
      <c r="H122" s="5" t="s">
        <v>270</v>
      </c>
      <c r="J122" s="5">
        <v>118</v>
      </c>
      <c r="K122" s="5"/>
      <c r="L122" s="5"/>
      <c r="M122" s="5"/>
      <c r="N122" s="5" t="s">
        <v>732</v>
      </c>
      <c r="O122" s="5" t="s">
        <v>61</v>
      </c>
    </row>
    <row r="123" spans="2:15">
      <c r="B123" s="5">
        <v>119</v>
      </c>
      <c r="C123" s="5"/>
      <c r="D123" s="5"/>
      <c r="E123" s="5"/>
      <c r="F123" s="5" t="s">
        <v>719</v>
      </c>
      <c r="G123" s="5" t="s">
        <v>59</v>
      </c>
      <c r="H123" s="5" t="s">
        <v>270</v>
      </c>
      <c r="J123" s="5">
        <v>119</v>
      </c>
      <c r="K123" s="5"/>
      <c r="L123" s="5"/>
      <c r="M123" s="5"/>
      <c r="N123" s="5" t="s">
        <v>732</v>
      </c>
      <c r="O123" s="5" t="s">
        <v>61</v>
      </c>
    </row>
    <row r="124" spans="2:15">
      <c r="B124" s="5">
        <v>120</v>
      </c>
      <c r="C124" s="5"/>
      <c r="D124" s="5"/>
      <c r="E124" s="5"/>
      <c r="F124" s="5" t="s">
        <v>719</v>
      </c>
      <c r="G124" s="5" t="s">
        <v>59</v>
      </c>
      <c r="H124" s="5" t="s">
        <v>270</v>
      </c>
      <c r="J124" s="5">
        <v>120</v>
      </c>
      <c r="K124" s="5"/>
      <c r="L124" s="5"/>
      <c r="M124" s="5"/>
      <c r="N124" s="5" t="s">
        <v>732</v>
      </c>
      <c r="O124" s="5" t="s">
        <v>61</v>
      </c>
    </row>
    <row r="125" spans="2:15">
      <c r="B125" s="5">
        <v>121</v>
      </c>
      <c r="C125" s="5"/>
      <c r="D125" s="5"/>
      <c r="E125" s="5"/>
      <c r="F125" s="5" t="s">
        <v>719</v>
      </c>
      <c r="G125" s="5" t="s">
        <v>59</v>
      </c>
      <c r="H125" s="5" t="s">
        <v>270</v>
      </c>
      <c r="J125" s="5">
        <v>121</v>
      </c>
      <c r="K125" s="5"/>
      <c r="L125" s="5"/>
      <c r="M125" s="5"/>
      <c r="N125" s="5" t="s">
        <v>732</v>
      </c>
      <c r="O125" s="5" t="s">
        <v>61</v>
      </c>
    </row>
    <row r="126" spans="2:15">
      <c r="B126" s="5">
        <v>122</v>
      </c>
      <c r="C126" s="5"/>
      <c r="D126" s="5"/>
      <c r="E126" s="5"/>
      <c r="F126" s="5" t="s">
        <v>719</v>
      </c>
      <c r="G126" s="5" t="s">
        <v>59</v>
      </c>
      <c r="H126" s="5" t="s">
        <v>270</v>
      </c>
      <c r="J126" s="5">
        <v>122</v>
      </c>
      <c r="K126" s="5"/>
      <c r="L126" s="5"/>
      <c r="M126" s="5"/>
      <c r="N126" s="5" t="s">
        <v>732</v>
      </c>
      <c r="O126" s="5" t="s">
        <v>61</v>
      </c>
    </row>
    <row r="127" spans="2:15">
      <c r="B127" s="5">
        <v>123</v>
      </c>
      <c r="C127" s="5"/>
      <c r="D127" s="5"/>
      <c r="E127" s="5"/>
      <c r="F127" s="5" t="s">
        <v>719</v>
      </c>
      <c r="G127" s="5" t="s">
        <v>59</v>
      </c>
      <c r="H127" s="5" t="s">
        <v>270</v>
      </c>
      <c r="J127" s="5">
        <v>123</v>
      </c>
      <c r="K127" s="5"/>
      <c r="L127" s="5"/>
      <c r="M127" s="5"/>
      <c r="N127" s="5" t="s">
        <v>732</v>
      </c>
      <c r="O127" s="5" t="s">
        <v>61</v>
      </c>
    </row>
    <row r="128" spans="2:15">
      <c r="B128" s="5">
        <v>124</v>
      </c>
      <c r="C128" s="5"/>
      <c r="D128" s="5"/>
      <c r="E128" s="5"/>
      <c r="F128" s="5" t="s">
        <v>719</v>
      </c>
      <c r="G128" s="5" t="s">
        <v>59</v>
      </c>
      <c r="H128" s="5" t="s">
        <v>270</v>
      </c>
      <c r="J128" s="5">
        <v>124</v>
      </c>
      <c r="K128" s="5"/>
      <c r="L128" s="5"/>
      <c r="M128" s="5"/>
      <c r="N128" s="5" t="s">
        <v>732</v>
      </c>
      <c r="O128" s="5" t="s">
        <v>61</v>
      </c>
    </row>
    <row r="129" spans="2:15">
      <c r="B129" s="5">
        <v>125</v>
      </c>
      <c r="C129" s="5"/>
      <c r="D129" s="5"/>
      <c r="E129" s="5"/>
      <c r="F129" s="5" t="s">
        <v>719</v>
      </c>
      <c r="G129" s="5" t="s">
        <v>59</v>
      </c>
      <c r="H129" s="5" t="s">
        <v>270</v>
      </c>
      <c r="J129" s="5">
        <v>125</v>
      </c>
      <c r="K129" s="5"/>
      <c r="L129" s="5"/>
      <c r="M129" s="5"/>
      <c r="N129" s="5" t="s">
        <v>732</v>
      </c>
      <c r="O129" s="5" t="s">
        <v>61</v>
      </c>
    </row>
    <row r="130" spans="2:15">
      <c r="B130" s="5">
        <v>126</v>
      </c>
      <c r="C130" s="5"/>
      <c r="D130" s="5"/>
      <c r="E130" s="5"/>
      <c r="F130" s="5" t="s">
        <v>719</v>
      </c>
      <c r="G130" s="5" t="s">
        <v>59</v>
      </c>
      <c r="H130" s="5" t="s">
        <v>270</v>
      </c>
      <c r="J130" s="5">
        <v>126</v>
      </c>
      <c r="K130" s="5"/>
      <c r="L130" s="5"/>
      <c r="M130" s="5"/>
      <c r="N130" s="5" t="s">
        <v>732</v>
      </c>
      <c r="O130" s="5" t="s">
        <v>61</v>
      </c>
    </row>
    <row r="131" spans="2:15">
      <c r="B131" s="5">
        <v>127</v>
      </c>
      <c r="C131" s="5"/>
      <c r="D131" s="5"/>
      <c r="E131" s="5"/>
      <c r="F131" s="5" t="s">
        <v>719</v>
      </c>
      <c r="G131" s="5" t="s">
        <v>59</v>
      </c>
      <c r="H131" s="5" t="s">
        <v>270</v>
      </c>
      <c r="J131" s="5">
        <v>127</v>
      </c>
      <c r="K131" s="5"/>
      <c r="L131" s="5"/>
      <c r="M131" s="5"/>
      <c r="N131" s="5" t="s">
        <v>732</v>
      </c>
      <c r="O131" s="5" t="s">
        <v>61</v>
      </c>
    </row>
    <row r="132" spans="2:15">
      <c r="B132" s="5">
        <v>128</v>
      </c>
      <c r="C132" s="5"/>
      <c r="D132" s="5"/>
      <c r="E132" s="5"/>
      <c r="F132" s="5" t="s">
        <v>719</v>
      </c>
      <c r="G132" s="5" t="s">
        <v>59</v>
      </c>
      <c r="H132" s="5" t="s">
        <v>270</v>
      </c>
      <c r="J132" s="5">
        <v>128</v>
      </c>
      <c r="K132" s="5"/>
      <c r="L132" s="5"/>
      <c r="M132" s="5"/>
      <c r="N132" s="5" t="s">
        <v>732</v>
      </c>
      <c r="O132" s="5" t="s">
        <v>61</v>
      </c>
    </row>
    <row r="133" spans="2:15">
      <c r="B133" s="5">
        <v>129</v>
      </c>
      <c r="C133" s="5"/>
      <c r="D133" s="5"/>
      <c r="E133" s="5"/>
      <c r="F133" s="5" t="s">
        <v>719</v>
      </c>
      <c r="G133" s="5" t="s">
        <v>59</v>
      </c>
      <c r="H133" s="5" t="s">
        <v>270</v>
      </c>
      <c r="J133" s="5">
        <v>129</v>
      </c>
      <c r="K133" s="5"/>
      <c r="L133" s="5"/>
      <c r="M133" s="5"/>
      <c r="N133" s="5" t="s">
        <v>732</v>
      </c>
      <c r="O133" s="5" t="s">
        <v>61</v>
      </c>
    </row>
    <row r="134" spans="2:15">
      <c r="B134" s="5">
        <v>130</v>
      </c>
      <c r="C134" s="5"/>
      <c r="D134" s="5"/>
      <c r="E134" s="5"/>
      <c r="F134" s="5" t="s">
        <v>719</v>
      </c>
      <c r="G134" s="5" t="s">
        <v>59</v>
      </c>
      <c r="H134" s="5" t="s">
        <v>270</v>
      </c>
      <c r="J134" s="5">
        <v>130</v>
      </c>
      <c r="K134" s="5"/>
      <c r="L134" s="5"/>
      <c r="M134" s="5"/>
      <c r="N134" s="5" t="s">
        <v>732</v>
      </c>
      <c r="O134" s="5" t="s">
        <v>61</v>
      </c>
    </row>
    <row r="135" spans="2:15">
      <c r="B135" s="5">
        <v>131</v>
      </c>
      <c r="C135" s="5"/>
      <c r="D135" s="5"/>
      <c r="E135" s="5"/>
      <c r="F135" s="5" t="s">
        <v>719</v>
      </c>
      <c r="G135" s="5" t="s">
        <v>59</v>
      </c>
      <c r="H135" s="5" t="s">
        <v>270</v>
      </c>
      <c r="J135" s="5">
        <v>131</v>
      </c>
      <c r="K135" s="5"/>
      <c r="L135" s="5"/>
      <c r="M135" s="5"/>
      <c r="N135" s="5" t="s">
        <v>732</v>
      </c>
      <c r="O135" s="5" t="s">
        <v>61</v>
      </c>
    </row>
    <row r="136" spans="2:15">
      <c r="B136" s="5">
        <v>132</v>
      </c>
      <c r="C136" s="5"/>
      <c r="D136" s="5"/>
      <c r="E136" s="5"/>
      <c r="F136" s="5" t="s">
        <v>719</v>
      </c>
      <c r="G136" s="5" t="s">
        <v>59</v>
      </c>
      <c r="H136" s="5" t="s">
        <v>270</v>
      </c>
    </row>
    <row r="137" spans="2:15">
      <c r="B137" s="5">
        <v>133</v>
      </c>
      <c r="C137" s="5"/>
      <c r="D137" s="5"/>
      <c r="E137" s="5"/>
      <c r="F137" s="5" t="s">
        <v>719</v>
      </c>
      <c r="G137" s="5" t="s">
        <v>59</v>
      </c>
      <c r="H137" s="5" t="s">
        <v>270</v>
      </c>
    </row>
    <row r="138" spans="2:15">
      <c r="B138" s="5">
        <v>134</v>
      </c>
      <c r="C138" s="5"/>
      <c r="D138" s="5"/>
      <c r="E138" s="5"/>
      <c r="F138" s="5" t="s">
        <v>719</v>
      </c>
      <c r="G138" s="5" t="s">
        <v>59</v>
      </c>
      <c r="H138" s="5" t="s">
        <v>270</v>
      </c>
    </row>
    <row r="139" spans="2:15">
      <c r="B139" s="5">
        <v>135</v>
      </c>
      <c r="C139" s="5"/>
      <c r="D139" s="5"/>
      <c r="E139" s="5"/>
      <c r="F139" s="5" t="s">
        <v>719</v>
      </c>
      <c r="G139" s="5" t="s">
        <v>59</v>
      </c>
      <c r="H139" s="5" t="s">
        <v>270</v>
      </c>
    </row>
    <row r="140" spans="2:15">
      <c r="B140" s="5">
        <v>136</v>
      </c>
      <c r="C140" s="5"/>
      <c r="D140" s="5"/>
      <c r="E140" s="5"/>
      <c r="F140" s="5" t="s">
        <v>719</v>
      </c>
      <c r="G140" s="5" t="s">
        <v>59</v>
      </c>
      <c r="H140" s="5" t="s">
        <v>270</v>
      </c>
    </row>
    <row r="141" spans="2:15">
      <c r="B141" s="5">
        <v>137</v>
      </c>
      <c r="C141" s="5"/>
      <c r="D141" s="5"/>
      <c r="E141" s="5"/>
      <c r="F141" s="5" t="s">
        <v>719</v>
      </c>
      <c r="G141" s="5" t="s">
        <v>59</v>
      </c>
      <c r="H141" s="5" t="s">
        <v>270</v>
      </c>
    </row>
  </sheetData>
  <mergeCells count="3">
    <mergeCell ref="J2:O2"/>
    <mergeCell ref="M34:N34"/>
    <mergeCell ref="Q2:S2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>
    <tabColor rgb="FFFF0000"/>
  </sheetPr>
  <dimension ref="A1:AJ144"/>
  <sheetViews>
    <sheetView zoomScale="89" zoomScaleNormal="89" workbookViewId="0">
      <pane ySplit="3" topLeftCell="A4" activePane="bottomLeft" state="frozen"/>
      <selection pane="bottomLeft" activeCell="D6" sqref="D6"/>
    </sheetView>
  </sheetViews>
  <sheetFormatPr baseColWidth="10" defaultColWidth="11.5" defaultRowHeight="15"/>
  <cols>
    <col min="1" max="1" width="5" style="31" customWidth="1"/>
    <col min="2" max="2" width="4.5" bestFit="1" customWidth="1"/>
    <col min="3" max="3" width="15.5" bestFit="1" customWidth="1"/>
    <col min="4" max="4" width="25" customWidth="1"/>
    <col min="5" max="5" width="26.5" hidden="1" customWidth="1"/>
    <col min="6" max="6" width="6.33203125" hidden="1" customWidth="1"/>
    <col min="7" max="7" width="15.1640625" hidden="1" customWidth="1"/>
    <col min="8" max="8" width="30.5" customWidth="1"/>
    <col min="9" max="10" width="11.5" style="31"/>
    <col min="11" max="11" width="4.1640625" hidden="1" customWidth="1"/>
    <col min="12" max="12" width="18" hidden="1" customWidth="1"/>
    <col min="13" max="13" width="18.5" hidden="1" customWidth="1"/>
    <col min="14" max="14" width="26" hidden="1" customWidth="1"/>
    <col min="15" max="15" width="26.5" hidden="1" customWidth="1"/>
    <col min="16" max="16" width="9.5" hidden="1" customWidth="1"/>
    <col min="17" max="17" width="14.6640625" hidden="1" customWidth="1"/>
    <col min="18" max="18" width="17.5" hidden="1" customWidth="1"/>
    <col min="19" max="19" width="16.5" hidden="1" customWidth="1"/>
    <col min="20" max="36" width="11.5" style="31"/>
  </cols>
  <sheetData>
    <row r="1" spans="1:36" s="31" customFormat="1" ht="21.75" customHeight="1" thickBot="1"/>
    <row r="2" spans="1:36" ht="25" thickBot="1">
      <c r="B2" s="364" t="s">
        <v>365</v>
      </c>
      <c r="C2" s="365"/>
      <c r="D2" s="365"/>
      <c r="E2" s="365"/>
      <c r="F2" s="365"/>
      <c r="G2" s="365"/>
      <c r="H2" s="366"/>
      <c r="K2" s="364" t="s">
        <v>498</v>
      </c>
      <c r="L2" s="365"/>
      <c r="M2" s="365"/>
      <c r="N2" s="365"/>
      <c r="O2" s="365"/>
      <c r="P2" s="365"/>
      <c r="Q2" s="365"/>
      <c r="R2" s="365"/>
      <c r="S2" s="366"/>
    </row>
    <row r="3" spans="1:36" s="7" customFormat="1" ht="31" thickBot="1">
      <c r="A3" s="33"/>
      <c r="B3" s="79" t="s">
        <v>12</v>
      </c>
      <c r="C3" s="80" t="s">
        <v>14</v>
      </c>
      <c r="D3" s="80" t="s">
        <v>23</v>
      </c>
      <c r="E3" s="80" t="s">
        <v>24</v>
      </c>
      <c r="F3" s="80" t="s">
        <v>20</v>
      </c>
      <c r="G3" s="80" t="s">
        <v>25</v>
      </c>
      <c r="H3" s="82" t="s">
        <v>27</v>
      </c>
      <c r="I3" s="33"/>
      <c r="J3" s="33"/>
      <c r="K3" s="85" t="s">
        <v>12</v>
      </c>
      <c r="L3" s="86" t="s">
        <v>22</v>
      </c>
      <c r="M3" s="87" t="s">
        <v>14</v>
      </c>
      <c r="N3" s="80" t="s">
        <v>23</v>
      </c>
      <c r="O3" s="80" t="s">
        <v>24</v>
      </c>
      <c r="P3" s="80" t="s">
        <v>20</v>
      </c>
      <c r="Q3" s="80" t="s">
        <v>25</v>
      </c>
      <c r="R3" s="81" t="s">
        <v>8</v>
      </c>
      <c r="S3" s="84" t="s">
        <v>499</v>
      </c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1:36" s="7" customFormat="1" ht="45">
      <c r="A4" s="33"/>
      <c r="B4" s="15">
        <v>1</v>
      </c>
      <c r="C4" s="300" t="s">
        <v>1152</v>
      </c>
      <c r="D4" s="20" t="s">
        <v>1151</v>
      </c>
      <c r="E4" s="20"/>
      <c r="F4" s="38"/>
      <c r="G4" s="21"/>
      <c r="H4" s="22" t="s">
        <v>1153</v>
      </c>
      <c r="I4" s="33"/>
      <c r="J4" s="33"/>
      <c r="K4" s="15">
        <v>1</v>
      </c>
      <c r="L4" s="18">
        <v>45225</v>
      </c>
      <c r="M4" s="19"/>
      <c r="N4" s="20"/>
      <c r="O4" s="20"/>
      <c r="P4" s="38"/>
      <c r="Q4" s="21"/>
      <c r="R4" s="21"/>
      <c r="S4" s="66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</row>
    <row r="5" spans="1:36" s="7" customFormat="1" ht="30">
      <c r="A5" s="33"/>
      <c r="B5" s="16">
        <v>2</v>
      </c>
      <c r="C5" s="34" t="s">
        <v>1251</v>
      </c>
      <c r="D5" s="14" t="s">
        <v>1064</v>
      </c>
      <c r="E5" s="14"/>
      <c r="F5" s="8"/>
      <c r="G5" s="9"/>
      <c r="H5" s="24" t="s">
        <v>1250</v>
      </c>
      <c r="I5" s="59"/>
      <c r="J5" s="33"/>
      <c r="K5" s="16">
        <v>2</v>
      </c>
      <c r="L5" s="23">
        <v>45230</v>
      </c>
      <c r="M5" s="13"/>
      <c r="N5" s="14"/>
      <c r="O5" s="14"/>
      <c r="P5" s="8"/>
      <c r="Q5" s="9"/>
      <c r="R5" s="9"/>
      <c r="S5" s="67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</row>
    <row r="6" spans="1:36" s="7" customFormat="1" ht="30">
      <c r="A6" s="33"/>
      <c r="B6" s="16">
        <v>3</v>
      </c>
      <c r="C6" s="13" t="s">
        <v>1065</v>
      </c>
      <c r="D6" s="14" t="s">
        <v>1071</v>
      </c>
      <c r="E6" s="14"/>
      <c r="F6" s="8"/>
      <c r="G6" s="9"/>
      <c r="H6" s="24" t="s">
        <v>1252</v>
      </c>
      <c r="I6" s="33"/>
      <c r="J6" s="33"/>
      <c r="K6" s="16">
        <v>3</v>
      </c>
      <c r="L6" s="23">
        <v>45216</v>
      </c>
      <c r="M6" s="13"/>
      <c r="N6" s="14"/>
      <c r="O6" s="54"/>
      <c r="P6" s="8"/>
      <c r="Q6" s="9"/>
      <c r="R6" s="9"/>
      <c r="S6" s="67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</row>
    <row r="7" spans="1:36" s="7" customFormat="1" ht="14">
      <c r="A7" s="33"/>
      <c r="B7" s="16">
        <v>4</v>
      </c>
      <c r="C7" s="13"/>
      <c r="D7" s="14"/>
      <c r="E7" s="125"/>
      <c r="F7" s="8"/>
      <c r="G7" s="9"/>
      <c r="H7" s="24"/>
      <c r="I7" s="33"/>
      <c r="J7" s="33"/>
      <c r="K7" s="16">
        <v>4</v>
      </c>
      <c r="L7" s="23">
        <v>45216</v>
      </c>
      <c r="M7" s="13"/>
      <c r="N7" s="14"/>
      <c r="O7" s="55"/>
      <c r="P7" s="8"/>
      <c r="Q7" s="9"/>
      <c r="R7" s="9"/>
      <c r="S7" s="67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</row>
    <row r="8" spans="1:36" s="7" customFormat="1" ht="14">
      <c r="A8" s="33"/>
      <c r="B8" s="16">
        <v>5</v>
      </c>
      <c r="C8" s="13"/>
      <c r="D8" s="14"/>
      <c r="E8" s="14"/>
      <c r="F8" s="8"/>
      <c r="G8" s="9"/>
      <c r="H8" s="24"/>
      <c r="I8" s="33"/>
      <c r="J8" s="33"/>
      <c r="K8" s="16">
        <v>5</v>
      </c>
      <c r="L8" s="23">
        <v>45196</v>
      </c>
      <c r="M8" s="13"/>
      <c r="N8" s="14"/>
      <c r="O8" s="54"/>
      <c r="P8" s="8"/>
      <c r="Q8" s="9"/>
      <c r="R8" s="9"/>
      <c r="S8" s="67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</row>
    <row r="9" spans="1:36" s="7" customFormat="1" ht="14">
      <c r="A9" s="33"/>
      <c r="B9" s="16">
        <v>6</v>
      </c>
      <c r="C9" s="13"/>
      <c r="D9" s="14"/>
      <c r="E9" s="125"/>
      <c r="F9" s="8"/>
      <c r="G9" s="9"/>
      <c r="H9" s="24"/>
      <c r="I9" s="33"/>
      <c r="J9" s="33"/>
      <c r="K9" s="16">
        <v>6</v>
      </c>
      <c r="L9" s="23">
        <v>45175</v>
      </c>
      <c r="M9" s="13"/>
      <c r="N9" s="14"/>
      <c r="O9" s="55"/>
      <c r="P9" s="8"/>
      <c r="Q9" s="9"/>
      <c r="R9" s="9"/>
      <c r="S9" s="67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</row>
    <row r="10" spans="1:36" s="7" customFormat="1" ht="14">
      <c r="A10" s="33"/>
      <c r="B10" s="16">
        <v>7</v>
      </c>
      <c r="C10" s="35"/>
      <c r="D10" s="14"/>
      <c r="E10" s="9"/>
      <c r="F10" s="14"/>
      <c r="G10" s="36"/>
      <c r="H10" s="24"/>
      <c r="I10" s="33"/>
      <c r="J10" s="33"/>
      <c r="K10" s="16">
        <v>7</v>
      </c>
      <c r="L10" s="34">
        <v>45232</v>
      </c>
      <c r="M10" s="35"/>
      <c r="N10" s="14"/>
      <c r="O10" s="9"/>
      <c r="P10" s="14"/>
      <c r="Q10" s="36"/>
      <c r="R10" s="14"/>
      <c r="S10" s="68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</row>
    <row r="11" spans="1:36" s="7" customFormat="1" ht="14">
      <c r="A11" s="33"/>
      <c r="B11" s="16">
        <v>8</v>
      </c>
      <c r="C11" s="13"/>
      <c r="D11" s="14"/>
      <c r="E11" s="14"/>
      <c r="F11" s="8"/>
      <c r="G11" s="9"/>
      <c r="H11" s="24"/>
      <c r="I11" s="33"/>
      <c r="J11" s="33"/>
      <c r="K11" s="43">
        <v>8</v>
      </c>
      <c r="L11" s="44">
        <v>45133</v>
      </c>
      <c r="M11" s="45"/>
      <c r="N11" s="37"/>
      <c r="O11" s="37"/>
      <c r="P11" s="46"/>
      <c r="Q11" s="47"/>
      <c r="R11" s="47"/>
      <c r="S11" s="69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</row>
    <row r="12" spans="1:36" s="7" customFormat="1" ht="14">
      <c r="A12" s="33"/>
      <c r="B12" s="16">
        <v>9</v>
      </c>
      <c r="C12" s="13"/>
      <c r="D12" s="14"/>
      <c r="E12" s="83"/>
      <c r="F12" s="8"/>
      <c r="G12" s="9"/>
      <c r="H12" s="24"/>
      <c r="I12" s="33"/>
      <c r="J12" s="33"/>
      <c r="K12" s="43">
        <v>9</v>
      </c>
      <c r="L12" s="44">
        <v>45166</v>
      </c>
      <c r="M12" s="45"/>
      <c r="N12" s="37"/>
      <c r="O12" s="56"/>
      <c r="P12" s="46"/>
      <c r="Q12" s="47"/>
      <c r="R12" s="47"/>
      <c r="S12" s="69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</row>
    <row r="13" spans="1:36" s="7" customFormat="1" ht="14">
      <c r="A13" s="33"/>
      <c r="B13" s="16">
        <v>10</v>
      </c>
      <c r="C13" s="105"/>
      <c r="D13" s="14"/>
      <c r="E13" s="83"/>
      <c r="F13" s="8"/>
      <c r="G13" s="9"/>
      <c r="H13" s="24"/>
      <c r="I13" s="33"/>
      <c r="J13" s="33"/>
      <c r="K13" s="43">
        <v>10</v>
      </c>
      <c r="L13" s="44">
        <v>45167</v>
      </c>
      <c r="M13" s="45"/>
      <c r="N13" s="37"/>
      <c r="O13" s="56"/>
      <c r="P13" s="46"/>
      <c r="Q13" s="47"/>
      <c r="R13" s="47"/>
      <c r="S13" s="69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spans="1:36" s="7" customFormat="1" ht="14">
      <c r="A14" s="33"/>
      <c r="B14" s="16">
        <v>11</v>
      </c>
      <c r="C14" s="13"/>
      <c r="D14" s="14"/>
      <c r="E14" s="14"/>
      <c r="F14" s="8"/>
      <c r="G14" s="9"/>
      <c r="H14" s="24"/>
      <c r="I14" s="33"/>
      <c r="J14" s="33"/>
      <c r="K14" s="16">
        <v>11</v>
      </c>
      <c r="L14" s="23"/>
      <c r="M14" s="13"/>
      <c r="N14" s="14"/>
      <c r="O14" s="14"/>
      <c r="P14" s="8"/>
      <c r="Q14" s="9"/>
      <c r="R14" s="9"/>
      <c r="S14" s="67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</row>
    <row r="15" spans="1:36" s="7" customFormat="1" ht="14">
      <c r="A15" s="33"/>
      <c r="B15" s="16">
        <v>12</v>
      </c>
      <c r="C15" s="105"/>
      <c r="D15" s="14"/>
      <c r="E15" s="9"/>
      <c r="F15" s="8"/>
      <c r="G15" s="8"/>
      <c r="H15" s="24"/>
      <c r="I15" s="33"/>
      <c r="J15" s="33"/>
      <c r="K15" s="16"/>
      <c r="L15" s="23"/>
      <c r="M15" s="13"/>
      <c r="N15" s="14"/>
      <c r="O15" s="9"/>
      <c r="P15" s="8"/>
      <c r="Q15" s="8"/>
      <c r="R15" s="8"/>
      <c r="S15" s="67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</row>
    <row r="16" spans="1:36" s="7" customFormat="1" ht="14">
      <c r="A16" s="33"/>
      <c r="B16" s="16">
        <v>13</v>
      </c>
      <c r="C16" s="13"/>
      <c r="D16" s="14"/>
      <c r="E16" s="9"/>
      <c r="F16" s="41"/>
      <c r="G16" s="42"/>
      <c r="H16" s="24"/>
      <c r="I16" s="33"/>
      <c r="J16" s="33"/>
      <c r="K16" s="16"/>
      <c r="L16" s="40"/>
      <c r="M16" s="13"/>
      <c r="N16" s="14"/>
      <c r="O16" s="9"/>
      <c r="P16" s="41"/>
      <c r="Q16" s="42"/>
      <c r="R16" s="42"/>
      <c r="S16" s="67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</row>
    <row r="17" spans="1:36" s="7" customFormat="1" ht="14">
      <c r="A17" s="33"/>
      <c r="B17" s="16">
        <v>14</v>
      </c>
      <c r="C17" s="13"/>
      <c r="D17" s="14"/>
      <c r="E17" s="14"/>
      <c r="F17" s="8"/>
      <c r="H17" s="24"/>
      <c r="I17" s="33"/>
      <c r="J17" s="33"/>
      <c r="K17" s="16"/>
      <c r="L17" s="40"/>
      <c r="M17" s="13"/>
      <c r="N17" s="14"/>
      <c r="O17" s="8"/>
      <c r="P17" s="8"/>
      <c r="R17" s="8"/>
      <c r="S17" s="70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</row>
    <row r="18" spans="1:36" s="7" customFormat="1" ht="14">
      <c r="A18" s="33"/>
      <c r="B18" s="16">
        <v>15</v>
      </c>
      <c r="C18" s="124"/>
      <c r="D18" s="14"/>
      <c r="E18" s="8"/>
      <c r="F18" s="8"/>
      <c r="G18" s="14"/>
      <c r="H18" s="24"/>
      <c r="I18" s="33"/>
      <c r="J18" s="33"/>
      <c r="K18" s="16"/>
      <c r="L18" s="40"/>
      <c r="M18" s="13"/>
      <c r="N18" s="14"/>
      <c r="O18" s="8"/>
      <c r="P18" s="8"/>
      <c r="Q18" s="14"/>
      <c r="R18" s="14"/>
      <c r="S18" s="71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 spans="1:36" s="7" customFormat="1" ht="14">
      <c r="A19" s="33"/>
      <c r="B19" s="16">
        <v>16</v>
      </c>
      <c r="C19" s="13"/>
      <c r="D19" s="14"/>
      <c r="E19" s="104"/>
      <c r="F19" s="8"/>
      <c r="G19" s="8"/>
      <c r="H19" s="24"/>
      <c r="I19" s="33"/>
      <c r="J19" s="33"/>
      <c r="K19" s="16"/>
      <c r="L19" s="23"/>
      <c r="M19" s="13"/>
      <c r="N19" s="14"/>
      <c r="O19" s="57"/>
      <c r="P19" s="8"/>
      <c r="Q19" s="8"/>
      <c r="R19" s="8"/>
      <c r="S19" s="67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spans="1:36" s="7" customFormat="1" ht="14">
      <c r="A20" s="33"/>
      <c r="B20" s="43">
        <v>17</v>
      </c>
      <c r="C20" s="45"/>
      <c r="D20" s="37"/>
      <c r="E20" s="47"/>
      <c r="F20" s="46"/>
      <c r="G20" s="46"/>
      <c r="H20" s="48"/>
      <c r="I20" s="33"/>
      <c r="J20" s="33"/>
      <c r="K20" s="16"/>
      <c r="L20" s="23"/>
      <c r="M20" s="13"/>
      <c r="N20" s="60"/>
      <c r="O20" s="9"/>
      <c r="P20" s="8"/>
      <c r="Q20" s="8"/>
      <c r="R20" s="8"/>
      <c r="S20" s="72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spans="1:36" s="7" customFormat="1" ht="14">
      <c r="A21" s="33"/>
      <c r="B21" s="16">
        <v>18</v>
      </c>
      <c r="C21" s="13"/>
      <c r="D21" s="54"/>
      <c r="E21" s="9"/>
      <c r="F21" s="8"/>
      <c r="G21" s="14"/>
      <c r="H21" s="24"/>
      <c r="I21" s="33"/>
      <c r="J21" s="33"/>
      <c r="K21" s="16"/>
      <c r="L21" s="23"/>
      <c r="M21" s="13"/>
      <c r="N21" s="60"/>
      <c r="O21" s="9"/>
      <c r="P21" s="8"/>
      <c r="Q21" s="8"/>
      <c r="R21" s="8"/>
      <c r="S21" s="72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spans="1:36" s="7" customFormat="1" ht="14">
      <c r="A22" s="33"/>
      <c r="B22" s="16">
        <v>19</v>
      </c>
      <c r="C22" s="13"/>
      <c r="D22" s="54"/>
      <c r="E22" s="9"/>
      <c r="F22" s="8"/>
      <c r="G22" s="14"/>
      <c r="H22" s="24"/>
      <c r="I22" s="33"/>
      <c r="J22" s="33"/>
      <c r="K22" s="16"/>
      <c r="L22" s="23"/>
      <c r="M22" s="13"/>
      <c r="N22" s="60"/>
      <c r="O22" s="9"/>
      <c r="P22" s="8"/>
      <c r="Q22" s="8"/>
      <c r="R22" s="8"/>
      <c r="S22" s="7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</row>
    <row r="23" spans="1:36" s="7" customFormat="1" ht="14">
      <c r="A23" s="33"/>
      <c r="B23" s="16">
        <v>20</v>
      </c>
      <c r="C23" s="13"/>
      <c r="D23" s="54"/>
      <c r="E23" s="9"/>
      <c r="F23" s="8"/>
      <c r="G23" s="14"/>
      <c r="H23" s="24"/>
      <c r="I23" s="33"/>
      <c r="J23" s="33"/>
      <c r="K23" s="16"/>
      <c r="L23" s="23"/>
      <c r="M23" s="13"/>
      <c r="N23" s="60"/>
      <c r="O23" s="9"/>
      <c r="P23" s="8"/>
      <c r="Q23" s="8"/>
      <c r="R23" s="8"/>
      <c r="S23" s="72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spans="1:36" s="7" customFormat="1" ht="14">
      <c r="A24" s="33"/>
      <c r="B24" s="16">
        <v>21</v>
      </c>
      <c r="C24" s="13"/>
      <c r="D24" s="54"/>
      <c r="E24" s="9"/>
      <c r="F24" s="8"/>
      <c r="G24" s="14"/>
      <c r="H24" s="24"/>
      <c r="I24" s="33"/>
      <c r="J24" s="33"/>
      <c r="K24" s="16"/>
      <c r="L24" s="23"/>
      <c r="M24" s="13"/>
      <c r="N24" s="60"/>
      <c r="O24" s="9"/>
      <c r="P24" s="8"/>
      <c r="Q24" s="8"/>
      <c r="R24" s="8"/>
      <c r="S24" s="72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spans="1:36" s="7" customFormat="1" ht="14">
      <c r="A25" s="33"/>
      <c r="B25" s="16">
        <v>22</v>
      </c>
      <c r="C25" s="13"/>
      <c r="D25" s="54"/>
      <c r="E25" s="9"/>
      <c r="F25" s="8"/>
      <c r="G25" s="8"/>
      <c r="H25" s="24"/>
      <c r="I25" s="33"/>
      <c r="J25" s="33"/>
      <c r="K25" s="16"/>
      <c r="L25" s="23"/>
      <c r="M25" s="13"/>
      <c r="N25" s="60"/>
      <c r="O25" s="9"/>
      <c r="P25" s="8"/>
      <c r="Q25" s="8"/>
      <c r="R25" s="8"/>
      <c r="S25" s="72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</row>
    <row r="26" spans="1:36" s="7" customFormat="1" ht="14">
      <c r="A26" s="33"/>
      <c r="B26" s="16">
        <v>23</v>
      </c>
      <c r="C26" s="13"/>
      <c r="D26" s="14"/>
      <c r="E26" s="9"/>
      <c r="F26" s="8"/>
      <c r="G26" s="8"/>
      <c r="H26" s="24"/>
      <c r="I26" s="33"/>
      <c r="J26" s="33"/>
      <c r="K26" s="16"/>
      <c r="L26" s="23"/>
      <c r="M26" s="13"/>
      <c r="N26" s="60"/>
      <c r="O26" s="58"/>
      <c r="P26" s="8"/>
      <c r="Q26" s="8"/>
      <c r="R26" s="8"/>
      <c r="S26" s="67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6" s="7" customFormat="1" ht="14">
      <c r="A27" s="33"/>
      <c r="B27" s="16">
        <v>24</v>
      </c>
      <c r="C27" s="13"/>
      <c r="D27" s="14"/>
      <c r="E27" s="9"/>
      <c r="F27" s="8"/>
      <c r="G27" s="14"/>
      <c r="H27" s="24"/>
      <c r="I27" s="33"/>
      <c r="J27" s="33"/>
      <c r="K27" s="16"/>
      <c r="L27" s="23"/>
      <c r="M27" s="13"/>
      <c r="N27" s="14"/>
      <c r="O27" s="9"/>
      <c r="P27" s="8"/>
      <c r="Q27" s="14"/>
      <c r="R27" s="14"/>
      <c r="S27" s="72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6" s="7" customFormat="1" ht="14">
      <c r="A28" s="33"/>
      <c r="B28" s="16">
        <v>25</v>
      </c>
      <c r="C28" s="131"/>
      <c r="D28" s="54"/>
      <c r="E28" s="93"/>
      <c r="F28" s="92"/>
      <c r="G28" s="54"/>
      <c r="H28" s="132"/>
      <c r="I28" s="33"/>
      <c r="J28" s="33"/>
      <c r="K28" s="16"/>
      <c r="L28" s="23"/>
      <c r="M28" s="13"/>
      <c r="N28" s="14"/>
      <c r="O28" s="9"/>
      <c r="P28" s="8"/>
      <c r="Q28" s="14"/>
      <c r="R28" s="14"/>
      <c r="S28" s="72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spans="1:36" s="7" customFormat="1" ht="14">
      <c r="A29" s="33"/>
      <c r="B29" s="16">
        <v>26</v>
      </c>
      <c r="C29" s="131"/>
      <c r="D29" s="54"/>
      <c r="E29" s="93"/>
      <c r="F29" s="92"/>
      <c r="G29" s="92"/>
      <c r="H29" s="132"/>
      <c r="I29" s="33"/>
      <c r="J29" s="33"/>
      <c r="K29" s="16"/>
      <c r="L29" s="23"/>
      <c r="M29" s="13"/>
      <c r="N29" s="14"/>
      <c r="O29" s="9"/>
      <c r="P29" s="8"/>
      <c r="Q29" s="8"/>
      <c r="R29" s="8"/>
      <c r="S29" s="67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</row>
    <row r="30" spans="1:36" s="7" customFormat="1" ht="27" customHeight="1">
      <c r="A30" s="33"/>
      <c r="B30" s="16">
        <v>27</v>
      </c>
      <c r="C30" s="131"/>
      <c r="D30" s="54"/>
      <c r="E30" s="93"/>
      <c r="F30" s="92"/>
      <c r="G30" s="92"/>
      <c r="H30" s="132"/>
      <c r="I30" s="33"/>
      <c r="J30" s="33"/>
      <c r="K30" s="16"/>
      <c r="L30" s="23"/>
      <c r="M30" s="13"/>
      <c r="N30" s="14"/>
      <c r="O30" s="9"/>
      <c r="P30" s="8"/>
      <c r="Q30" s="8"/>
      <c r="R30" s="8"/>
      <c r="S30" s="67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</row>
    <row r="31" spans="1:36" s="7" customFormat="1" ht="24.75" customHeight="1">
      <c r="A31" s="33"/>
      <c r="B31" s="16">
        <v>28</v>
      </c>
      <c r="C31" s="131"/>
      <c r="D31" s="54"/>
      <c r="E31" s="93"/>
      <c r="F31" s="92"/>
      <c r="G31" s="92"/>
      <c r="H31" s="132"/>
      <c r="I31" s="33"/>
      <c r="J31" s="33"/>
      <c r="K31" s="16"/>
      <c r="L31" s="23"/>
      <c r="M31" s="13"/>
      <c r="N31" s="14"/>
      <c r="O31" s="9"/>
      <c r="P31" s="8"/>
      <c r="Q31" s="8"/>
      <c r="R31" s="8"/>
      <c r="S31" s="67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</row>
    <row r="32" spans="1:36" s="7" customFormat="1" ht="14">
      <c r="A32" s="33"/>
      <c r="B32" s="16">
        <v>29</v>
      </c>
      <c r="C32" s="13"/>
      <c r="D32" s="14"/>
      <c r="E32" s="14"/>
      <c r="F32" s="8"/>
      <c r="G32" s="9"/>
      <c r="H32" s="24"/>
      <c r="I32" s="33"/>
      <c r="J32" s="33"/>
      <c r="K32" s="16"/>
      <c r="L32" s="23"/>
      <c r="M32" s="13"/>
      <c r="N32" s="14"/>
      <c r="O32" s="14"/>
      <c r="P32" s="8"/>
      <c r="Q32" s="9"/>
      <c r="R32" s="9"/>
      <c r="S32" s="67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</row>
    <row r="33" spans="1:36" s="7" customFormat="1" ht="27.75" customHeight="1">
      <c r="A33" s="33"/>
      <c r="B33" s="16">
        <v>30</v>
      </c>
      <c r="C33" s="13"/>
      <c r="D33" s="35"/>
      <c r="E33" s="78"/>
      <c r="F33" s="8"/>
      <c r="G33" s="9"/>
      <c r="H33" s="24"/>
      <c r="I33" s="33"/>
      <c r="J33" s="33"/>
      <c r="K33" s="16"/>
      <c r="L33" s="23"/>
      <c r="M33" s="13"/>
      <c r="N33" s="14"/>
      <c r="O33" s="14"/>
      <c r="P33" s="8"/>
      <c r="Q33" s="9"/>
      <c r="R33" s="9"/>
      <c r="S33" s="67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</row>
    <row r="34" spans="1:36" s="7" customFormat="1" ht="14">
      <c r="A34" s="33"/>
      <c r="B34" s="16">
        <v>31</v>
      </c>
      <c r="C34" s="13"/>
      <c r="D34" s="14"/>
      <c r="E34" s="14"/>
      <c r="F34" s="8"/>
      <c r="G34" s="9"/>
      <c r="H34" s="24"/>
      <c r="I34" s="33"/>
      <c r="J34" s="33"/>
      <c r="K34" s="16"/>
      <c r="L34" s="23"/>
      <c r="M34" s="13"/>
      <c r="N34" s="14"/>
      <c r="O34" s="14"/>
      <c r="P34" s="8"/>
      <c r="Q34" s="9"/>
      <c r="R34" s="9"/>
      <c r="S34" s="67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</row>
    <row r="35" spans="1:36" s="7" customFormat="1" ht="26.25" customHeight="1">
      <c r="A35" s="33"/>
      <c r="B35" s="16">
        <v>32</v>
      </c>
      <c r="C35" s="13"/>
      <c r="D35" s="14"/>
      <c r="E35" s="14"/>
      <c r="F35" s="8"/>
      <c r="G35" s="9"/>
      <c r="H35" s="24"/>
      <c r="I35" s="33"/>
      <c r="J35" s="33"/>
      <c r="K35" s="16"/>
      <c r="L35" s="23"/>
      <c r="M35" s="13"/>
      <c r="N35" s="14"/>
      <c r="O35" s="14"/>
      <c r="P35" s="8"/>
      <c r="Q35" s="9"/>
      <c r="R35" s="9"/>
      <c r="S35" s="67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</row>
    <row r="36" spans="1:36" s="7" customFormat="1" ht="26.25" customHeight="1">
      <c r="A36" s="33"/>
      <c r="B36" s="16">
        <v>33</v>
      </c>
      <c r="C36" s="13"/>
      <c r="D36" s="14"/>
      <c r="E36" s="14"/>
      <c r="F36" s="8"/>
      <c r="G36" s="9"/>
      <c r="H36" s="24"/>
      <c r="I36" s="33"/>
      <c r="J36" s="33"/>
      <c r="K36" s="16"/>
      <c r="L36" s="23"/>
      <c r="M36" s="13"/>
      <c r="N36" s="14"/>
      <c r="O36" s="14"/>
      <c r="P36" s="8"/>
      <c r="Q36" s="9"/>
      <c r="R36" s="9"/>
      <c r="S36" s="67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spans="1:36" s="7" customFormat="1" ht="26.25" customHeight="1">
      <c r="A37" s="33"/>
      <c r="B37" s="16">
        <v>34</v>
      </c>
      <c r="C37" s="13"/>
      <c r="D37" s="14"/>
      <c r="E37" s="14"/>
      <c r="F37" s="8"/>
      <c r="G37" s="9"/>
      <c r="H37" s="24"/>
      <c r="I37" s="33"/>
      <c r="J37" s="33"/>
      <c r="K37" s="16"/>
      <c r="L37" s="23"/>
      <c r="M37" s="13"/>
      <c r="N37" s="14"/>
      <c r="O37" s="14"/>
      <c r="P37" s="8"/>
      <c r="Q37" s="9"/>
      <c r="R37" s="9"/>
      <c r="S37" s="67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spans="1:36" s="7" customFormat="1" ht="26.25" customHeight="1">
      <c r="A38" s="33"/>
      <c r="B38" s="16">
        <v>35</v>
      </c>
      <c r="C38" s="13"/>
      <c r="D38" s="14"/>
      <c r="E38" s="14"/>
      <c r="F38" s="8"/>
      <c r="G38" s="9"/>
      <c r="H38" s="24"/>
      <c r="I38" s="33"/>
      <c r="J38" s="33"/>
      <c r="K38" s="16"/>
      <c r="L38" s="23"/>
      <c r="M38" s="13"/>
      <c r="N38" s="14"/>
      <c r="O38" s="14"/>
      <c r="P38" s="8"/>
      <c r="Q38" s="9"/>
      <c r="R38" s="9"/>
      <c r="S38" s="67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spans="1:36" s="7" customFormat="1" ht="26.25" customHeight="1">
      <c r="A39" s="33"/>
      <c r="B39" s="16">
        <v>36</v>
      </c>
      <c r="C39" s="13"/>
      <c r="D39" s="14"/>
      <c r="E39" s="14"/>
      <c r="F39" s="8"/>
      <c r="G39" s="9"/>
      <c r="H39" s="24"/>
      <c r="I39" s="33"/>
      <c r="J39" s="33"/>
      <c r="K39" s="16"/>
      <c r="L39" s="23"/>
      <c r="M39" s="13"/>
      <c r="N39" s="14"/>
      <c r="O39" s="14"/>
      <c r="P39" s="8"/>
      <c r="Q39" s="9"/>
      <c r="R39" s="9"/>
      <c r="S39" s="67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spans="1:36" s="7" customFormat="1" ht="26.25" customHeight="1">
      <c r="A40" s="33"/>
      <c r="B40" s="16">
        <v>37</v>
      </c>
      <c r="C40" s="13"/>
      <c r="D40" s="14"/>
      <c r="E40" s="14"/>
      <c r="F40" s="8"/>
      <c r="G40" s="9"/>
      <c r="H40" s="24"/>
      <c r="I40" s="33"/>
      <c r="J40" s="33"/>
      <c r="K40" s="16"/>
      <c r="L40" s="23"/>
      <c r="M40" s="13"/>
      <c r="N40" s="14"/>
      <c r="O40" s="14"/>
      <c r="P40" s="8"/>
      <c r="Q40" s="9"/>
      <c r="R40" s="9"/>
      <c r="S40" s="67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spans="1:36" s="7" customFormat="1" ht="26.25" customHeight="1">
      <c r="A41" s="33"/>
      <c r="B41" s="16">
        <v>38</v>
      </c>
      <c r="C41" s="13"/>
      <c r="D41" s="14"/>
      <c r="E41" s="14"/>
      <c r="F41" s="8"/>
      <c r="G41" s="9"/>
      <c r="H41" s="24"/>
      <c r="I41" s="33"/>
      <c r="J41" s="33"/>
      <c r="K41" s="16"/>
      <c r="L41" s="23"/>
      <c r="M41" s="13"/>
      <c r="N41" s="14"/>
      <c r="O41" s="14"/>
      <c r="P41" s="8"/>
      <c r="Q41" s="9"/>
      <c r="R41" s="9"/>
      <c r="S41" s="67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spans="1:36" s="7" customFormat="1" ht="26.25" customHeight="1">
      <c r="A42" s="33"/>
      <c r="B42" s="16">
        <v>39</v>
      </c>
      <c r="C42" s="13"/>
      <c r="D42" s="14"/>
      <c r="E42" s="14"/>
      <c r="F42" s="8"/>
      <c r="G42" s="9"/>
      <c r="H42" s="24"/>
      <c r="I42" s="33"/>
      <c r="J42" s="33"/>
      <c r="K42" s="16"/>
      <c r="L42" s="23"/>
      <c r="M42" s="13"/>
      <c r="N42" s="14"/>
      <c r="O42" s="14"/>
      <c r="P42" s="8"/>
      <c r="Q42" s="9"/>
      <c r="R42" s="9"/>
      <c r="S42" s="67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spans="1:36" s="7" customFormat="1" ht="26.25" customHeight="1">
      <c r="A43" s="33"/>
      <c r="B43" s="16">
        <v>40</v>
      </c>
      <c r="C43" s="13"/>
      <c r="D43" s="14"/>
      <c r="E43" s="14"/>
      <c r="F43" s="8"/>
      <c r="G43" s="9"/>
      <c r="H43" s="24"/>
      <c r="I43" s="33"/>
      <c r="J43" s="33"/>
      <c r="K43" s="16"/>
      <c r="L43" s="23"/>
      <c r="M43" s="13"/>
      <c r="N43" s="14"/>
      <c r="O43" s="14"/>
      <c r="P43" s="8"/>
      <c r="Q43" s="9"/>
      <c r="R43" s="9"/>
      <c r="S43" s="67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spans="1:36" s="7" customFormat="1" ht="26.25" customHeight="1">
      <c r="A44" s="33"/>
      <c r="B44" s="16">
        <v>41</v>
      </c>
      <c r="C44" s="13"/>
      <c r="D44" s="14"/>
      <c r="E44" s="14"/>
      <c r="F44" s="8"/>
      <c r="G44" s="9"/>
      <c r="H44" s="24"/>
      <c r="I44" s="33"/>
      <c r="J44" s="33"/>
      <c r="K44" s="16"/>
      <c r="L44" s="23"/>
      <c r="M44" s="13"/>
      <c r="N44" s="14"/>
      <c r="O44" s="14"/>
      <c r="P44" s="8"/>
      <c r="Q44" s="9"/>
      <c r="R44" s="9"/>
      <c r="S44" s="67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spans="1:36" s="7" customFormat="1" ht="26.25" customHeight="1">
      <c r="A45" s="33"/>
      <c r="B45" s="16">
        <v>42</v>
      </c>
      <c r="C45" s="13"/>
      <c r="D45" s="14"/>
      <c r="E45" s="14"/>
      <c r="F45" s="8"/>
      <c r="G45" s="9"/>
      <c r="H45" s="24"/>
      <c r="I45" s="33"/>
      <c r="J45" s="33"/>
      <c r="K45" s="16"/>
      <c r="L45" s="23"/>
      <c r="M45" s="13"/>
      <c r="N45" s="14"/>
      <c r="O45" s="14"/>
      <c r="P45" s="8"/>
      <c r="Q45" s="9"/>
      <c r="R45" s="9"/>
      <c r="S45" s="67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spans="1:36" s="7" customFormat="1" ht="14">
      <c r="A46" s="33"/>
      <c r="B46" s="16"/>
      <c r="C46" s="13"/>
      <c r="D46" s="14"/>
      <c r="E46" s="14"/>
      <c r="F46" s="8"/>
      <c r="G46" s="9"/>
      <c r="H46" s="24"/>
      <c r="I46" s="33"/>
      <c r="J46" s="33"/>
      <c r="K46" s="16"/>
      <c r="L46" s="23"/>
      <c r="M46" s="13"/>
      <c r="N46" s="14"/>
      <c r="O46" s="14"/>
      <c r="P46" s="8"/>
      <c r="Q46" s="9"/>
      <c r="R46" s="9"/>
      <c r="S46" s="67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spans="1:36" s="7" customFormat="1" thickBot="1">
      <c r="A47" s="33"/>
      <c r="B47" s="17"/>
      <c r="C47" s="52"/>
      <c r="D47" s="53"/>
      <c r="E47" s="28"/>
      <c r="F47" s="39"/>
      <c r="G47" s="29"/>
      <c r="H47" s="30"/>
      <c r="I47" s="33"/>
      <c r="J47" s="33"/>
      <c r="K47" s="17"/>
      <c r="L47" s="26"/>
      <c r="M47" s="27"/>
      <c r="N47" s="28"/>
      <c r="O47" s="28"/>
      <c r="P47" s="39"/>
      <c r="Q47" s="29"/>
      <c r="R47" s="29"/>
      <c r="S47" s="7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spans="1:36" s="2" customFormat="1" ht="22" thickBot="1">
      <c r="A48" s="32"/>
      <c r="B48" s="367" t="s">
        <v>30</v>
      </c>
      <c r="C48" s="368"/>
      <c r="D48" s="369"/>
      <c r="E48" s="370" t="s">
        <v>190</v>
      </c>
      <c r="F48" s="371"/>
      <c r="G48" s="371"/>
      <c r="H48" s="372"/>
      <c r="I48" s="32"/>
      <c r="J48" s="32"/>
      <c r="K48" s="367" t="s">
        <v>34</v>
      </c>
      <c r="L48" s="368"/>
      <c r="M48" s="368"/>
      <c r="N48" s="369"/>
      <c r="O48" s="455"/>
      <c r="P48" s="456"/>
      <c r="Q48" s="456"/>
      <c r="R48" s="456"/>
      <c r="S48" s="457"/>
      <c r="T48" s="77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 spans="2:19" s="31" customFormat="1"/>
    <row r="50" spans="2:19" s="31" customFormat="1"/>
    <row r="51" spans="2:19" s="31" customFormat="1" ht="16" thickBot="1"/>
    <row r="52" spans="2:19" ht="25" thickBot="1">
      <c r="B52" s="364" t="s">
        <v>396</v>
      </c>
      <c r="C52" s="365"/>
      <c r="D52" s="365"/>
      <c r="E52" s="365"/>
      <c r="F52" s="365"/>
      <c r="G52" s="365"/>
      <c r="H52" s="366"/>
      <c r="K52" s="458" t="s">
        <v>31</v>
      </c>
      <c r="L52" s="459"/>
      <c r="M52" s="459"/>
      <c r="N52" s="459"/>
      <c r="O52" s="459"/>
      <c r="P52" s="459"/>
      <c r="Q52" s="459"/>
      <c r="R52" s="459"/>
      <c r="S52" s="460"/>
    </row>
    <row r="53" spans="2:19" ht="31" thickBot="1">
      <c r="B53" s="79" t="s">
        <v>12</v>
      </c>
      <c r="C53" s="80" t="s">
        <v>14</v>
      </c>
      <c r="D53" s="80" t="s">
        <v>23</v>
      </c>
      <c r="E53" s="80" t="s">
        <v>24</v>
      </c>
      <c r="F53" s="80" t="s">
        <v>20</v>
      </c>
      <c r="G53" s="80" t="s">
        <v>25</v>
      </c>
      <c r="H53" s="82" t="s">
        <v>27</v>
      </c>
      <c r="I53" s="32"/>
      <c r="J53" s="32"/>
      <c r="K53" s="65" t="s">
        <v>12</v>
      </c>
      <c r="L53" s="61" t="s">
        <v>22</v>
      </c>
      <c r="M53" s="62" t="s">
        <v>14</v>
      </c>
      <c r="N53" s="63" t="s">
        <v>23</v>
      </c>
      <c r="O53" s="63" t="s">
        <v>24</v>
      </c>
      <c r="P53" s="63" t="s">
        <v>20</v>
      </c>
      <c r="Q53" s="63" t="s">
        <v>25</v>
      </c>
      <c r="R53" s="63" t="s">
        <v>33</v>
      </c>
      <c r="S53" s="64" t="s">
        <v>32</v>
      </c>
    </row>
    <row r="54" spans="2:19" ht="30">
      <c r="B54" s="15">
        <v>1</v>
      </c>
      <c r="C54" s="19" t="s">
        <v>397</v>
      </c>
      <c r="D54" s="20" t="s">
        <v>398</v>
      </c>
      <c r="E54" s="20" t="s">
        <v>399</v>
      </c>
      <c r="F54" s="38">
        <v>9</v>
      </c>
      <c r="G54" s="21" t="s">
        <v>29</v>
      </c>
      <c r="H54" s="24" t="s">
        <v>400</v>
      </c>
      <c r="I54" s="33"/>
      <c r="J54" s="33"/>
      <c r="K54" s="15"/>
      <c r="L54" s="18"/>
      <c r="M54" s="19"/>
      <c r="N54" s="20"/>
      <c r="O54" s="20"/>
      <c r="P54" s="38"/>
      <c r="Q54" s="21"/>
      <c r="R54" s="21"/>
      <c r="S54" s="19"/>
    </row>
    <row r="55" spans="2:19" ht="30">
      <c r="B55" s="16">
        <v>2</v>
      </c>
      <c r="C55" s="13" t="s">
        <v>423</v>
      </c>
      <c r="D55" s="14" t="s">
        <v>424</v>
      </c>
      <c r="E55" s="14" t="s">
        <v>426</v>
      </c>
      <c r="F55" s="8">
        <v>12</v>
      </c>
      <c r="G55" s="9" t="s">
        <v>29</v>
      </c>
      <c r="H55" s="24" t="s">
        <v>400</v>
      </c>
      <c r="I55" s="59"/>
      <c r="J55" s="33"/>
      <c r="K55" s="16"/>
      <c r="L55" s="23"/>
      <c r="M55" s="13"/>
      <c r="N55" s="14"/>
      <c r="O55" s="14"/>
      <c r="P55" s="8"/>
      <c r="Q55" s="9"/>
      <c r="R55" s="9"/>
      <c r="S55" s="13"/>
    </row>
    <row r="56" spans="2:19" ht="30">
      <c r="B56" s="16">
        <v>3</v>
      </c>
      <c r="C56" s="131" t="s">
        <v>427</v>
      </c>
      <c r="D56" s="54" t="s">
        <v>428</v>
      </c>
      <c r="E56" s="54" t="s">
        <v>425</v>
      </c>
      <c r="F56" s="92">
        <v>1</v>
      </c>
      <c r="G56" s="93" t="s">
        <v>29</v>
      </c>
      <c r="H56" s="134" t="s">
        <v>400</v>
      </c>
      <c r="I56" s="33"/>
      <c r="J56" s="33"/>
      <c r="K56" s="16"/>
      <c r="L56" s="23"/>
      <c r="M56" s="13"/>
      <c r="N56" s="14"/>
      <c r="O56" s="54"/>
      <c r="P56" s="8"/>
      <c r="Q56" s="9"/>
      <c r="R56" s="9"/>
      <c r="S56" s="13"/>
    </row>
    <row r="57" spans="2:19">
      <c r="B57" s="16">
        <v>4</v>
      </c>
      <c r="C57" s="131" t="s">
        <v>441</v>
      </c>
      <c r="D57" s="54" t="s">
        <v>442</v>
      </c>
      <c r="E57" s="55" t="s">
        <v>443</v>
      </c>
      <c r="F57" s="92">
        <v>5</v>
      </c>
      <c r="G57" s="93" t="s">
        <v>29</v>
      </c>
      <c r="H57" s="132" t="s">
        <v>444</v>
      </c>
      <c r="I57" s="33"/>
      <c r="J57" s="33"/>
      <c r="K57" s="16"/>
      <c r="L57" s="23"/>
      <c r="M57" s="13"/>
      <c r="N57" s="14"/>
      <c r="O57" s="55"/>
      <c r="P57" s="8"/>
      <c r="Q57" s="9"/>
      <c r="R57" s="9"/>
      <c r="S57" s="13"/>
    </row>
    <row r="58" spans="2:19">
      <c r="B58" s="16">
        <v>5</v>
      </c>
      <c r="C58" s="54" t="s">
        <v>464</v>
      </c>
      <c r="D58" s="54" t="s">
        <v>465</v>
      </c>
      <c r="E58" s="54" t="s">
        <v>466</v>
      </c>
      <c r="F58" s="92">
        <v>9</v>
      </c>
      <c r="G58" s="93" t="s">
        <v>29</v>
      </c>
      <c r="H58" s="132" t="s">
        <v>400</v>
      </c>
      <c r="I58" s="33"/>
      <c r="J58" s="33"/>
      <c r="K58" s="16"/>
      <c r="L58" s="23"/>
      <c r="M58" s="13"/>
      <c r="N58" s="14"/>
      <c r="O58" s="54"/>
      <c r="P58" s="8"/>
      <c r="Q58" s="9"/>
      <c r="R58" s="9"/>
      <c r="S58" s="13"/>
    </row>
    <row r="59" spans="2:19" ht="30">
      <c r="B59" s="16">
        <v>6</v>
      </c>
      <c r="C59" s="131" t="s">
        <v>475</v>
      </c>
      <c r="D59" s="135" t="s">
        <v>476</v>
      </c>
      <c r="E59" s="55" t="s">
        <v>477</v>
      </c>
      <c r="F59" s="92">
        <v>10</v>
      </c>
      <c r="G59" s="93" t="s">
        <v>29</v>
      </c>
      <c r="H59" s="132" t="s">
        <v>400</v>
      </c>
      <c r="I59" s="33"/>
      <c r="J59" s="33"/>
      <c r="K59" s="16"/>
      <c r="L59" s="23"/>
      <c r="M59" s="13"/>
      <c r="N59" s="14"/>
      <c r="O59" s="55"/>
      <c r="P59" s="8"/>
      <c r="Q59" s="9"/>
      <c r="R59" s="9"/>
      <c r="S59" s="13"/>
    </row>
    <row r="60" spans="2:19">
      <c r="B60" s="16">
        <v>7</v>
      </c>
      <c r="C60" s="35"/>
      <c r="D60" s="14"/>
      <c r="E60" s="9"/>
      <c r="F60" s="14"/>
      <c r="G60" s="36"/>
      <c r="H60" s="24"/>
      <c r="I60" s="33"/>
      <c r="J60" s="33"/>
      <c r="K60" s="16"/>
      <c r="L60" s="34"/>
      <c r="M60" s="35"/>
      <c r="N60" s="14"/>
      <c r="O60" s="9"/>
      <c r="P60" s="14"/>
      <c r="Q60" s="36"/>
      <c r="R60" s="14"/>
      <c r="S60" s="35"/>
    </row>
    <row r="61" spans="2:19">
      <c r="B61" s="16">
        <v>8</v>
      </c>
      <c r="C61" s="13"/>
      <c r="D61" s="14"/>
      <c r="E61" s="14"/>
      <c r="F61" s="8"/>
      <c r="G61" s="9"/>
      <c r="H61" s="24"/>
      <c r="I61" s="33"/>
      <c r="J61" s="33"/>
      <c r="K61" s="43"/>
      <c r="L61" s="44"/>
      <c r="M61" s="45"/>
      <c r="N61" s="37"/>
      <c r="O61" s="37"/>
      <c r="P61" s="46"/>
      <c r="Q61" s="47"/>
      <c r="R61" s="47"/>
      <c r="S61" s="45"/>
    </row>
    <row r="62" spans="2:19">
      <c r="B62" s="16">
        <v>9</v>
      </c>
      <c r="C62" s="13"/>
      <c r="D62" s="14"/>
      <c r="E62" s="83"/>
      <c r="F62" s="8"/>
      <c r="G62" s="9"/>
      <c r="H62" s="24"/>
      <c r="I62" s="33"/>
      <c r="J62" s="33"/>
      <c r="K62" s="43"/>
      <c r="L62" s="44"/>
      <c r="M62" s="45"/>
      <c r="N62" s="37"/>
      <c r="O62" s="56"/>
      <c r="P62" s="46"/>
      <c r="Q62" s="47"/>
      <c r="R62" s="47"/>
      <c r="S62" s="45"/>
    </row>
    <row r="63" spans="2:19" ht="27" customHeight="1">
      <c r="B63" s="16">
        <v>10</v>
      </c>
      <c r="C63" s="13"/>
      <c r="D63" s="14"/>
      <c r="E63" s="104"/>
      <c r="F63" s="8"/>
      <c r="G63" s="9"/>
      <c r="H63" s="24"/>
      <c r="I63" s="33"/>
      <c r="J63" s="33"/>
      <c r="K63" s="43"/>
      <c r="L63" s="44"/>
      <c r="M63" s="45"/>
      <c r="N63" s="37"/>
      <c r="O63" s="56"/>
      <c r="P63" s="46"/>
      <c r="Q63" s="47"/>
      <c r="R63" s="47"/>
      <c r="S63" s="45"/>
    </row>
    <row r="64" spans="2:19">
      <c r="B64" s="16">
        <v>11</v>
      </c>
      <c r="C64" s="13"/>
      <c r="D64" s="14"/>
      <c r="E64" s="14"/>
      <c r="F64" s="8"/>
      <c r="G64" s="9"/>
      <c r="H64" s="24"/>
      <c r="I64" s="33"/>
      <c r="J64" s="33"/>
      <c r="K64" s="16"/>
      <c r="L64" s="23"/>
      <c r="M64" s="13"/>
      <c r="N64" s="14"/>
      <c r="O64" s="14"/>
      <c r="P64" s="8"/>
      <c r="Q64" s="9"/>
      <c r="R64" s="9"/>
      <c r="S64" s="13"/>
    </row>
    <row r="65" spans="2:19" ht="40.5" customHeight="1">
      <c r="B65" s="16">
        <v>12</v>
      </c>
      <c r="C65" s="13"/>
      <c r="D65" s="14"/>
      <c r="E65" s="9"/>
      <c r="F65" s="8"/>
      <c r="G65" s="14"/>
      <c r="H65" s="24"/>
      <c r="I65" s="33"/>
      <c r="J65" s="33"/>
      <c r="K65" s="16"/>
      <c r="L65" s="23"/>
      <c r="M65" s="13"/>
      <c r="N65" s="14"/>
      <c r="O65" s="9"/>
      <c r="P65" s="8"/>
      <c r="Q65" s="8"/>
      <c r="R65" s="8"/>
      <c r="S65" s="13"/>
    </row>
    <row r="66" spans="2:19">
      <c r="B66" s="16">
        <v>13</v>
      </c>
      <c r="C66" s="13"/>
      <c r="D66" s="14"/>
      <c r="E66" s="9"/>
      <c r="F66" s="41"/>
      <c r="G66" s="49"/>
      <c r="H66" s="24"/>
      <c r="I66" s="33"/>
      <c r="J66" s="33"/>
      <c r="K66" s="16"/>
      <c r="L66" s="40"/>
      <c r="M66" s="13"/>
      <c r="N66" s="14"/>
      <c r="O66" s="9"/>
      <c r="P66" s="41"/>
      <c r="Q66" s="42"/>
      <c r="R66" s="42"/>
      <c r="S66" s="13"/>
    </row>
    <row r="67" spans="2:19">
      <c r="B67" s="16">
        <v>14</v>
      </c>
      <c r="C67" s="13"/>
      <c r="D67" s="14"/>
      <c r="E67" s="14"/>
      <c r="F67" s="8"/>
      <c r="G67" s="7"/>
      <c r="H67" s="24"/>
      <c r="I67" s="33"/>
      <c r="J67" s="33"/>
      <c r="K67" s="16"/>
      <c r="L67" s="40"/>
      <c r="M67" s="13"/>
      <c r="N67" s="14"/>
      <c r="O67" s="8"/>
      <c r="P67" s="8"/>
      <c r="Q67" s="7"/>
      <c r="R67" s="8"/>
      <c r="S67" s="49"/>
    </row>
    <row r="68" spans="2:19">
      <c r="B68" s="16">
        <v>15</v>
      </c>
      <c r="C68" s="13"/>
      <c r="D68" s="14"/>
      <c r="E68" s="8"/>
      <c r="F68" s="8"/>
      <c r="G68" s="14"/>
      <c r="H68" s="24"/>
      <c r="I68" s="33"/>
      <c r="J68" s="33"/>
      <c r="K68" s="16"/>
      <c r="L68" s="40"/>
      <c r="M68" s="13"/>
      <c r="N68" s="14"/>
      <c r="O68" s="8"/>
      <c r="P68" s="8"/>
      <c r="Q68" s="14"/>
      <c r="R68" s="14"/>
      <c r="S68" s="42"/>
    </row>
    <row r="69" spans="2:19">
      <c r="B69" s="16">
        <v>16</v>
      </c>
      <c r="C69" s="13"/>
      <c r="D69" s="14"/>
      <c r="E69" s="57"/>
      <c r="F69" s="8"/>
      <c r="G69" s="8"/>
      <c r="H69" s="24"/>
      <c r="I69" s="33"/>
      <c r="J69" s="33"/>
      <c r="K69" s="16"/>
      <c r="L69" s="23"/>
      <c r="M69" s="13"/>
      <c r="N69" s="14"/>
      <c r="O69" s="57"/>
      <c r="P69" s="8"/>
      <c r="Q69" s="8"/>
      <c r="R69" s="8"/>
      <c r="S69" s="13"/>
    </row>
    <row r="70" spans="2:19">
      <c r="B70" s="16">
        <v>17</v>
      </c>
      <c r="C70" s="13"/>
      <c r="D70" s="14"/>
      <c r="E70" s="9"/>
      <c r="F70" s="8"/>
      <c r="G70" s="8"/>
      <c r="H70" s="24"/>
      <c r="I70" s="33"/>
      <c r="J70" s="33"/>
      <c r="K70" s="16"/>
      <c r="L70" s="23"/>
      <c r="M70" s="13"/>
      <c r="N70" s="60"/>
      <c r="O70" s="9"/>
      <c r="P70" s="8"/>
      <c r="Q70" s="8"/>
      <c r="R70" s="8"/>
      <c r="S70" s="8"/>
    </row>
    <row r="71" spans="2:19">
      <c r="B71" s="16">
        <v>18</v>
      </c>
      <c r="C71" s="13"/>
      <c r="D71" s="14"/>
      <c r="E71" s="9"/>
      <c r="F71" s="8"/>
      <c r="G71" s="8"/>
      <c r="H71" s="24"/>
      <c r="I71" s="33"/>
      <c r="J71" s="33"/>
      <c r="K71" s="16"/>
      <c r="L71" s="23"/>
      <c r="M71" s="13"/>
      <c r="N71" s="60"/>
      <c r="O71" s="9"/>
      <c r="P71" s="8"/>
      <c r="Q71" s="8"/>
      <c r="R71" s="8"/>
      <c r="S71" s="8"/>
    </row>
    <row r="72" spans="2:19" ht="16" thickBot="1">
      <c r="B72" s="16">
        <v>19</v>
      </c>
      <c r="C72" s="13"/>
      <c r="D72" s="14"/>
      <c r="E72" s="9"/>
      <c r="F72" s="8"/>
      <c r="G72" s="8"/>
      <c r="H72" s="24"/>
      <c r="I72" s="33"/>
      <c r="J72" s="33"/>
      <c r="K72" s="16"/>
      <c r="L72" s="23"/>
      <c r="M72" s="13"/>
      <c r="N72" s="60"/>
      <c r="O72" s="9"/>
      <c r="P72" s="8"/>
      <c r="Q72" s="8"/>
      <c r="R72" s="8"/>
      <c r="S72" s="8"/>
    </row>
    <row r="73" spans="2:19" ht="16" hidden="1" thickBot="1">
      <c r="B73" s="16">
        <v>20</v>
      </c>
      <c r="C73" s="13"/>
      <c r="D73" s="14"/>
      <c r="E73" s="9"/>
      <c r="F73" s="8"/>
      <c r="G73" s="8"/>
      <c r="H73" s="24"/>
      <c r="I73" s="33"/>
      <c r="J73" s="33"/>
      <c r="K73" s="16"/>
      <c r="L73" s="23"/>
      <c r="M73" s="13"/>
      <c r="N73" s="60"/>
      <c r="O73" s="9"/>
      <c r="P73" s="8"/>
      <c r="Q73" s="8"/>
      <c r="R73" s="8"/>
      <c r="S73" s="8"/>
    </row>
    <row r="74" spans="2:19" ht="16" hidden="1" thickBot="1">
      <c r="B74" s="16">
        <v>21</v>
      </c>
      <c r="C74" s="13"/>
      <c r="D74" s="14"/>
      <c r="E74" s="9"/>
      <c r="F74" s="8"/>
      <c r="G74" s="8"/>
      <c r="H74" s="24"/>
      <c r="I74" s="33"/>
      <c r="J74" s="33"/>
      <c r="K74" s="16"/>
      <c r="L74" s="23"/>
      <c r="M74" s="13"/>
      <c r="N74" s="60"/>
      <c r="O74" s="9"/>
      <c r="P74" s="8"/>
      <c r="Q74" s="8"/>
      <c r="R74" s="8"/>
      <c r="S74" s="8"/>
    </row>
    <row r="75" spans="2:19" ht="16" hidden="1" thickBot="1">
      <c r="B75" s="16">
        <v>22</v>
      </c>
      <c r="C75" s="13"/>
      <c r="D75" s="14"/>
      <c r="E75" s="9"/>
      <c r="F75" s="8"/>
      <c r="G75" s="8"/>
      <c r="H75" s="24"/>
      <c r="I75" s="33"/>
      <c r="J75" s="33"/>
      <c r="K75" s="16"/>
      <c r="L75" s="23"/>
      <c r="M75" s="13"/>
      <c r="N75" s="60"/>
      <c r="O75" s="9"/>
      <c r="P75" s="8"/>
      <c r="Q75" s="8"/>
      <c r="R75" s="8"/>
      <c r="S75" s="8"/>
    </row>
    <row r="76" spans="2:19" ht="16" hidden="1" thickBot="1">
      <c r="B76" s="16">
        <v>23</v>
      </c>
      <c r="C76" s="13"/>
      <c r="D76" s="14"/>
      <c r="E76" s="9"/>
      <c r="F76" s="8"/>
      <c r="G76" s="8"/>
      <c r="H76" s="24"/>
      <c r="I76" s="33"/>
      <c r="J76" s="33"/>
      <c r="K76" s="16"/>
      <c r="L76" s="23"/>
      <c r="M76" s="13"/>
      <c r="N76" s="60"/>
      <c r="O76" s="9"/>
      <c r="P76" s="8"/>
      <c r="Q76" s="8"/>
      <c r="R76" s="8"/>
      <c r="S76" s="8"/>
    </row>
    <row r="77" spans="2:19" ht="16" hidden="1" thickBot="1">
      <c r="B77" s="16">
        <v>24</v>
      </c>
      <c r="C77" s="13"/>
      <c r="D77" s="14"/>
      <c r="E77" s="9"/>
      <c r="F77" s="8"/>
      <c r="G77" s="8"/>
      <c r="H77" s="24"/>
      <c r="I77" s="33"/>
      <c r="J77" s="33"/>
      <c r="K77" s="16"/>
      <c r="L77" s="23"/>
      <c r="M77" s="13"/>
      <c r="N77" s="60"/>
      <c r="O77" s="9"/>
      <c r="P77" s="8"/>
      <c r="Q77" s="8"/>
      <c r="R77" s="8"/>
      <c r="S77" s="8"/>
    </row>
    <row r="78" spans="2:19" ht="16" hidden="1" thickBot="1">
      <c r="B78" s="16">
        <v>25</v>
      </c>
      <c r="C78" s="13"/>
      <c r="D78" s="14"/>
      <c r="E78" s="9"/>
      <c r="F78" s="8"/>
      <c r="G78" s="8"/>
      <c r="H78" s="24"/>
      <c r="I78" s="33"/>
      <c r="J78" s="33"/>
      <c r="K78" s="16"/>
      <c r="L78" s="23"/>
      <c r="M78" s="13"/>
      <c r="N78" s="60"/>
      <c r="O78" s="9"/>
      <c r="P78" s="8"/>
      <c r="Q78" s="8"/>
      <c r="R78" s="8"/>
      <c r="S78" s="8"/>
    </row>
    <row r="79" spans="2:19" ht="16" hidden="1" thickBot="1">
      <c r="B79" s="16">
        <v>26</v>
      </c>
      <c r="C79" s="13"/>
      <c r="D79" s="14"/>
      <c r="E79" s="9"/>
      <c r="F79" s="8"/>
      <c r="G79" s="8"/>
      <c r="H79" s="24"/>
      <c r="I79" s="33"/>
      <c r="J79" s="33"/>
      <c r="K79" s="16"/>
      <c r="L79" s="23"/>
      <c r="M79" s="13"/>
      <c r="N79" s="60"/>
      <c r="O79" s="9"/>
      <c r="P79" s="8"/>
      <c r="Q79" s="8"/>
      <c r="R79" s="8"/>
      <c r="S79" s="8"/>
    </row>
    <row r="80" spans="2:19" ht="16" hidden="1" thickBot="1">
      <c r="B80" s="16">
        <v>27</v>
      </c>
      <c r="C80" s="13"/>
      <c r="D80" s="14"/>
      <c r="E80" s="9"/>
      <c r="F80" s="8"/>
      <c r="G80" s="8"/>
      <c r="H80" s="24"/>
      <c r="I80" s="33"/>
      <c r="J80" s="33"/>
      <c r="K80" s="16"/>
      <c r="L80" s="23"/>
      <c r="M80" s="13"/>
      <c r="N80" s="60"/>
      <c r="O80" s="9"/>
      <c r="P80" s="8"/>
      <c r="Q80" s="8"/>
      <c r="R80" s="8"/>
      <c r="S80" s="8"/>
    </row>
    <row r="81" spans="2:19" ht="16" hidden="1" thickBot="1">
      <c r="B81" s="16">
        <v>28</v>
      </c>
      <c r="C81" s="13"/>
      <c r="D81" s="14"/>
      <c r="E81" s="9"/>
      <c r="F81" s="8"/>
      <c r="G81" s="8"/>
      <c r="H81" s="24"/>
      <c r="I81" s="33"/>
      <c r="J81" s="33"/>
      <c r="K81" s="16"/>
      <c r="L81" s="23"/>
      <c r="M81" s="13"/>
      <c r="N81" s="60"/>
      <c r="O81" s="9"/>
      <c r="P81" s="8"/>
      <c r="Q81" s="8"/>
      <c r="R81" s="8"/>
      <c r="S81" s="8"/>
    </row>
    <row r="82" spans="2:19" ht="16" hidden="1" thickBot="1">
      <c r="B82" s="16">
        <v>29</v>
      </c>
      <c r="C82" s="13"/>
      <c r="D82" s="14"/>
      <c r="E82" s="9"/>
      <c r="F82" s="8"/>
      <c r="G82" s="8"/>
      <c r="H82" s="24"/>
      <c r="I82" s="33"/>
      <c r="J82" s="33"/>
      <c r="K82" s="16"/>
      <c r="L82" s="23"/>
      <c r="M82" s="13"/>
      <c r="N82" s="60"/>
      <c r="O82" s="9"/>
      <c r="P82" s="8"/>
      <c r="Q82" s="8"/>
      <c r="R82" s="8"/>
      <c r="S82" s="8"/>
    </row>
    <row r="83" spans="2:19" ht="16" hidden="1" thickBot="1">
      <c r="B83" s="16">
        <v>30</v>
      </c>
      <c r="C83" s="13"/>
      <c r="D83" s="14"/>
      <c r="E83" s="9"/>
      <c r="F83" s="8"/>
      <c r="G83" s="8"/>
      <c r="H83" s="24"/>
      <c r="I83" s="33"/>
      <c r="J83" s="33"/>
      <c r="K83" s="16"/>
      <c r="L83" s="23"/>
      <c r="M83" s="13"/>
      <c r="N83" s="60"/>
      <c r="O83" s="9"/>
      <c r="P83" s="8"/>
      <c r="Q83" s="8"/>
      <c r="R83" s="8"/>
      <c r="S83" s="8"/>
    </row>
    <row r="84" spans="2:19" ht="16" hidden="1" thickBot="1">
      <c r="B84" s="16">
        <v>31</v>
      </c>
      <c r="C84" s="13"/>
      <c r="D84" s="14"/>
      <c r="E84" s="9"/>
      <c r="F84" s="8"/>
      <c r="G84" s="8"/>
      <c r="H84" s="24"/>
      <c r="I84" s="33"/>
      <c r="J84" s="33"/>
      <c r="K84" s="16"/>
      <c r="L84" s="23"/>
      <c r="M84" s="13"/>
      <c r="N84" s="60"/>
      <c r="O84" s="9"/>
      <c r="P84" s="8"/>
      <c r="Q84" s="8"/>
      <c r="R84" s="8"/>
      <c r="S84" s="8"/>
    </row>
    <row r="85" spans="2:19" ht="16" hidden="1" thickBot="1">
      <c r="B85" s="16">
        <v>32</v>
      </c>
      <c r="C85" s="13"/>
      <c r="D85" s="14"/>
      <c r="E85" s="9"/>
      <c r="F85" s="8"/>
      <c r="G85" s="8"/>
      <c r="H85" s="24"/>
      <c r="I85" s="33"/>
      <c r="J85" s="33"/>
      <c r="K85" s="16"/>
      <c r="L85" s="23"/>
      <c r="M85" s="13"/>
      <c r="N85" s="60"/>
      <c r="O85" s="9"/>
      <c r="P85" s="8"/>
      <c r="Q85" s="8"/>
      <c r="R85" s="8"/>
      <c r="S85" s="8"/>
    </row>
    <row r="86" spans="2:19" ht="16" hidden="1" thickBot="1">
      <c r="B86" s="16">
        <v>33</v>
      </c>
      <c r="C86" s="13"/>
      <c r="D86" s="14"/>
      <c r="E86" s="9"/>
      <c r="F86" s="8"/>
      <c r="G86" s="8"/>
      <c r="H86" s="24"/>
      <c r="I86" s="33"/>
      <c r="J86" s="33"/>
      <c r="K86" s="16"/>
      <c r="L86" s="23"/>
      <c r="M86" s="13"/>
      <c r="N86" s="60"/>
      <c r="O86" s="9"/>
      <c r="P86" s="8"/>
      <c r="Q86" s="8"/>
      <c r="R86" s="8"/>
      <c r="S86" s="8"/>
    </row>
    <row r="87" spans="2:19" ht="16" hidden="1" thickBot="1">
      <c r="B87" s="16">
        <v>34</v>
      </c>
      <c r="C87" s="13"/>
      <c r="D87" s="14"/>
      <c r="E87" s="9"/>
      <c r="F87" s="8"/>
      <c r="G87" s="8"/>
      <c r="H87" s="24"/>
      <c r="I87" s="33"/>
      <c r="J87" s="33"/>
      <c r="K87" s="16"/>
      <c r="L87" s="23"/>
      <c r="M87" s="13"/>
      <c r="N87" s="60"/>
      <c r="O87" s="9"/>
      <c r="P87" s="8"/>
      <c r="Q87" s="8"/>
      <c r="R87" s="8"/>
      <c r="S87" s="8"/>
    </row>
    <row r="88" spans="2:19" ht="16" hidden="1" thickBot="1">
      <c r="B88" s="16">
        <v>35</v>
      </c>
      <c r="C88" s="13"/>
      <c r="D88" s="14"/>
      <c r="E88" s="9"/>
      <c r="F88" s="8"/>
      <c r="G88" s="8"/>
      <c r="H88" s="24"/>
      <c r="I88" s="33"/>
      <c r="J88" s="33"/>
      <c r="K88" s="16"/>
      <c r="L88" s="23"/>
      <c r="M88" s="13"/>
      <c r="N88" s="60"/>
      <c r="O88" s="9"/>
      <c r="P88" s="8"/>
      <c r="Q88" s="8"/>
      <c r="R88" s="8"/>
      <c r="S88" s="8"/>
    </row>
    <row r="89" spans="2:19" ht="16" hidden="1" thickBot="1">
      <c r="B89" s="16">
        <v>36</v>
      </c>
      <c r="C89" s="13"/>
      <c r="D89" s="14"/>
      <c r="E89" s="58"/>
      <c r="F89" s="8"/>
      <c r="G89" s="8"/>
      <c r="H89" s="24"/>
      <c r="I89" s="33"/>
      <c r="J89" s="33"/>
      <c r="K89" s="16"/>
      <c r="L89" s="23"/>
      <c r="M89" s="13"/>
      <c r="N89" s="60"/>
      <c r="O89" s="58"/>
      <c r="P89" s="8"/>
      <c r="Q89" s="8"/>
      <c r="R89" s="8"/>
      <c r="S89" s="13"/>
    </row>
    <row r="90" spans="2:19" ht="16" hidden="1" thickBot="1">
      <c r="B90" s="16">
        <v>37</v>
      </c>
      <c r="C90" s="13"/>
      <c r="D90" s="14"/>
      <c r="E90" s="9"/>
      <c r="F90" s="8"/>
      <c r="G90" s="8"/>
      <c r="H90" s="24"/>
      <c r="I90" s="33"/>
      <c r="J90" s="33"/>
      <c r="K90" s="16"/>
      <c r="L90" s="23"/>
      <c r="M90" s="13"/>
      <c r="N90" s="14"/>
      <c r="O90" s="9"/>
      <c r="P90" s="8"/>
      <c r="Q90" s="8"/>
      <c r="R90" s="8"/>
      <c r="S90" s="8"/>
    </row>
    <row r="91" spans="2:19" ht="16" hidden="1" thickBot="1">
      <c r="B91" s="16">
        <v>38</v>
      </c>
      <c r="C91" s="13"/>
      <c r="D91" s="14"/>
      <c r="E91" s="9"/>
      <c r="F91" s="8"/>
      <c r="G91" s="14"/>
      <c r="H91" s="24"/>
      <c r="I91" s="33"/>
      <c r="J91" s="33"/>
      <c r="K91" s="16"/>
      <c r="L91" s="23"/>
      <c r="M91" s="13"/>
      <c r="N91" s="14"/>
      <c r="O91" s="9"/>
      <c r="P91" s="8"/>
      <c r="Q91" s="14"/>
      <c r="R91" s="14"/>
      <c r="S91" s="8"/>
    </row>
    <row r="92" spans="2:19" ht="16" hidden="1" thickBot="1">
      <c r="B92" s="16">
        <v>39</v>
      </c>
      <c r="C92" s="13"/>
      <c r="D92" s="14"/>
      <c r="E92" s="9"/>
      <c r="F92" s="8"/>
      <c r="G92" s="14"/>
      <c r="H92" s="24"/>
      <c r="I92" s="33"/>
      <c r="J92" s="33"/>
      <c r="K92" s="16"/>
      <c r="L92" s="23"/>
      <c r="M92" s="13"/>
      <c r="N92" s="14"/>
      <c r="O92" s="9"/>
      <c r="P92" s="8"/>
      <c r="Q92" s="14"/>
      <c r="R92" s="14"/>
      <c r="S92" s="8"/>
    </row>
    <row r="93" spans="2:19" ht="16" hidden="1" thickBot="1">
      <c r="B93" s="16">
        <v>40</v>
      </c>
      <c r="C93" s="13"/>
      <c r="D93" s="14"/>
      <c r="E93" s="9"/>
      <c r="F93" s="8"/>
      <c r="G93" s="14"/>
      <c r="H93" s="24"/>
      <c r="I93" s="33"/>
      <c r="J93" s="33"/>
      <c r="K93" s="16"/>
      <c r="L93" s="23"/>
      <c r="M93" s="13"/>
      <c r="N93" s="14"/>
      <c r="O93" s="9"/>
      <c r="P93" s="8"/>
      <c r="Q93" s="14"/>
      <c r="R93" s="14"/>
      <c r="S93" s="8"/>
    </row>
    <row r="94" spans="2:19" ht="16" hidden="1" thickBot="1">
      <c r="B94" s="16">
        <v>41</v>
      </c>
      <c r="C94" s="13"/>
      <c r="D94" s="14"/>
      <c r="E94" s="9"/>
      <c r="F94" s="8"/>
      <c r="G94" s="14"/>
      <c r="H94" s="24"/>
      <c r="I94" s="33"/>
      <c r="J94" s="33"/>
      <c r="K94" s="16"/>
      <c r="L94" s="23"/>
      <c r="M94" s="13"/>
      <c r="N94" s="14"/>
      <c r="O94" s="9"/>
      <c r="P94" s="8"/>
      <c r="Q94" s="14"/>
      <c r="R94" s="14"/>
      <c r="S94" s="8"/>
    </row>
    <row r="95" spans="2:19" ht="16" hidden="1" thickBot="1">
      <c r="B95" s="16">
        <v>42</v>
      </c>
      <c r="C95" s="13"/>
      <c r="D95" s="14"/>
      <c r="E95" s="9"/>
      <c r="F95" s="8"/>
      <c r="G95" s="14"/>
      <c r="H95" s="24"/>
      <c r="I95" s="33"/>
      <c r="J95" s="33"/>
      <c r="K95" s="16"/>
      <c r="L95" s="23"/>
      <c r="M95" s="13"/>
      <c r="N95" s="14"/>
      <c r="O95" s="9"/>
      <c r="P95" s="8"/>
      <c r="Q95" s="14"/>
      <c r="R95" s="14"/>
      <c r="S95" s="8"/>
    </row>
    <row r="96" spans="2:19" ht="16" hidden="1" thickBot="1">
      <c r="B96" s="16">
        <v>43</v>
      </c>
      <c r="C96" s="13"/>
      <c r="D96" s="14"/>
      <c r="E96" s="9"/>
      <c r="F96" s="8"/>
      <c r="G96" s="14"/>
      <c r="H96" s="24"/>
      <c r="I96" s="33"/>
      <c r="J96" s="33"/>
      <c r="K96" s="16"/>
      <c r="L96" s="23"/>
      <c r="M96" s="13"/>
      <c r="N96" s="14"/>
      <c r="O96" s="9"/>
      <c r="P96" s="8"/>
      <c r="Q96" s="14"/>
      <c r="R96" s="14"/>
      <c r="S96" s="8"/>
    </row>
    <row r="97" spans="2:20" ht="16" hidden="1" thickBot="1">
      <c r="B97" s="16">
        <v>44</v>
      </c>
      <c r="C97" s="13"/>
      <c r="D97" s="14"/>
      <c r="E97" s="9"/>
      <c r="F97" s="8"/>
      <c r="G97" s="14"/>
      <c r="H97" s="24"/>
      <c r="I97" s="33"/>
      <c r="J97" s="33"/>
      <c r="K97" s="16"/>
      <c r="L97" s="23"/>
      <c r="M97" s="13"/>
      <c r="N97" s="14"/>
      <c r="O97" s="9"/>
      <c r="P97" s="8"/>
      <c r="Q97" s="14"/>
      <c r="R97" s="14"/>
      <c r="S97" s="8"/>
    </row>
    <row r="98" spans="2:20" ht="16" hidden="1" thickBot="1">
      <c r="B98" s="16">
        <v>45</v>
      </c>
      <c r="C98" s="13"/>
      <c r="D98" s="14"/>
      <c r="E98" s="9"/>
      <c r="F98" s="8"/>
      <c r="G98" s="14"/>
      <c r="H98" s="24"/>
      <c r="I98" s="33"/>
      <c r="J98" s="33"/>
      <c r="K98" s="16"/>
      <c r="L98" s="23"/>
      <c r="M98" s="13"/>
      <c r="N98" s="14"/>
      <c r="O98" s="9"/>
      <c r="P98" s="8"/>
      <c r="Q98" s="14"/>
      <c r="R98" s="14"/>
      <c r="S98" s="8"/>
    </row>
    <row r="99" spans="2:20" ht="16" hidden="1" thickBot="1">
      <c r="B99" s="16">
        <v>46</v>
      </c>
      <c r="C99" s="13"/>
      <c r="D99" s="14"/>
      <c r="E99" s="9"/>
      <c r="F99" s="8"/>
      <c r="G99" s="8"/>
      <c r="H99" s="24"/>
      <c r="I99" s="33"/>
      <c r="J99" s="33"/>
      <c r="K99" s="16"/>
      <c r="L99" s="23"/>
      <c r="M99" s="13"/>
      <c r="N99" s="14"/>
      <c r="O99" s="9"/>
      <c r="P99" s="8"/>
      <c r="Q99" s="8"/>
      <c r="R99" s="8"/>
      <c r="S99" s="13"/>
    </row>
    <row r="100" spans="2:20" ht="16" hidden="1" thickBot="1">
      <c r="B100" s="16">
        <v>47</v>
      </c>
      <c r="C100" s="13"/>
      <c r="D100" s="14"/>
      <c r="E100" s="9"/>
      <c r="F100" s="8"/>
      <c r="G100" s="8"/>
      <c r="H100" s="24"/>
      <c r="I100" s="33"/>
      <c r="J100" s="33"/>
      <c r="K100" s="16"/>
      <c r="L100" s="23"/>
      <c r="M100" s="13"/>
      <c r="N100" s="14"/>
      <c r="O100" s="9"/>
      <c r="P100" s="8"/>
      <c r="Q100" s="8"/>
      <c r="R100" s="8"/>
      <c r="S100" s="13"/>
    </row>
    <row r="101" spans="2:20" ht="16" hidden="1" thickBot="1">
      <c r="B101" s="16">
        <v>48</v>
      </c>
      <c r="C101" s="13"/>
      <c r="D101" s="14"/>
      <c r="E101" s="9"/>
      <c r="F101" s="8"/>
      <c r="G101" s="8"/>
      <c r="H101" s="24"/>
      <c r="I101" s="33"/>
      <c r="J101" s="33"/>
      <c r="K101" s="16"/>
      <c r="L101" s="23"/>
      <c r="M101" s="13"/>
      <c r="N101" s="14"/>
      <c r="O101" s="9"/>
      <c r="P101" s="8"/>
      <c r="Q101" s="8"/>
      <c r="R101" s="8"/>
      <c r="S101" s="13"/>
    </row>
    <row r="102" spans="2:20" ht="16" hidden="1" thickBot="1">
      <c r="B102" s="16">
        <v>49</v>
      </c>
      <c r="C102" s="13"/>
      <c r="D102" s="14"/>
      <c r="E102" s="14"/>
      <c r="F102" s="8"/>
      <c r="G102" s="9"/>
      <c r="H102" s="24"/>
      <c r="I102" s="33"/>
      <c r="J102" s="33"/>
      <c r="K102" s="16"/>
      <c r="L102" s="23"/>
      <c r="M102" s="13"/>
      <c r="N102" s="14"/>
      <c r="O102" s="14"/>
      <c r="P102" s="8"/>
      <c r="Q102" s="9"/>
      <c r="R102" s="9"/>
      <c r="S102" s="13"/>
    </row>
    <row r="103" spans="2:20" ht="16" hidden="1" thickBot="1">
      <c r="B103" s="16">
        <v>50</v>
      </c>
      <c r="C103" s="13"/>
      <c r="D103" s="14"/>
      <c r="E103" s="14"/>
      <c r="F103" s="8"/>
      <c r="G103" s="9"/>
      <c r="H103" s="24"/>
      <c r="I103" s="33"/>
      <c r="J103" s="33"/>
      <c r="K103" s="16"/>
      <c r="L103" s="23"/>
      <c r="M103" s="13"/>
      <c r="N103" s="14"/>
      <c r="O103" s="14"/>
      <c r="P103" s="8"/>
      <c r="Q103" s="9"/>
      <c r="R103" s="9"/>
      <c r="S103" s="13"/>
    </row>
    <row r="104" spans="2:20" ht="16" hidden="1" thickBot="1">
      <c r="B104" s="16">
        <v>51</v>
      </c>
      <c r="C104" s="52"/>
      <c r="D104" s="53"/>
      <c r="E104" s="28"/>
      <c r="F104" s="39"/>
      <c r="G104" s="29"/>
      <c r="H104" s="30"/>
      <c r="I104" s="33"/>
      <c r="J104" s="33"/>
      <c r="K104" s="50"/>
      <c r="L104" s="51"/>
      <c r="M104" s="52"/>
      <c r="N104" s="53"/>
      <c r="O104" s="28"/>
      <c r="P104" s="39"/>
      <c r="Q104" s="29"/>
      <c r="R104" s="29"/>
      <c r="S104" s="27"/>
    </row>
    <row r="105" spans="2:20" ht="22" thickBot="1">
      <c r="B105" s="367" t="s">
        <v>30</v>
      </c>
      <c r="C105" s="368"/>
      <c r="D105" s="369"/>
      <c r="E105" s="455"/>
      <c r="F105" s="456"/>
      <c r="G105" s="456"/>
      <c r="H105" s="457"/>
      <c r="I105" s="32"/>
      <c r="J105" s="32"/>
      <c r="K105" s="367" t="s">
        <v>34</v>
      </c>
      <c r="L105" s="368"/>
      <c r="M105" s="368"/>
      <c r="N105" s="369"/>
      <c r="O105" s="455"/>
      <c r="P105" s="456"/>
      <c r="Q105" s="456"/>
      <c r="R105" s="456"/>
      <c r="S105" s="457"/>
      <c r="T105" s="77"/>
    </row>
    <row r="106" spans="2:20" s="31" customFormat="1"/>
    <row r="107" spans="2:20" s="31" customFormat="1"/>
    <row r="108" spans="2:20" s="31" customFormat="1"/>
    <row r="109" spans="2:20" s="31" customFormat="1" ht="16" thickBot="1"/>
    <row r="110" spans="2:20" ht="25" thickBot="1">
      <c r="B110" s="458" t="s">
        <v>21</v>
      </c>
      <c r="C110" s="459"/>
      <c r="D110" s="459"/>
      <c r="E110" s="459"/>
      <c r="F110" s="459"/>
      <c r="G110" s="459"/>
      <c r="H110" s="460"/>
      <c r="K110" s="458" t="s">
        <v>31</v>
      </c>
      <c r="L110" s="459"/>
      <c r="M110" s="459"/>
      <c r="N110" s="459"/>
      <c r="O110" s="459"/>
      <c r="P110" s="459"/>
      <c r="Q110" s="459"/>
      <c r="R110" s="459"/>
      <c r="S110" s="460"/>
    </row>
    <row r="111" spans="2:20" ht="33" thickBot="1">
      <c r="B111" s="10" t="s">
        <v>12</v>
      </c>
      <c r="C111" s="11" t="s">
        <v>14</v>
      </c>
      <c r="D111" s="12" t="s">
        <v>23</v>
      </c>
      <c r="E111" s="12" t="s">
        <v>24</v>
      </c>
      <c r="F111" s="12" t="s">
        <v>20</v>
      </c>
      <c r="G111" s="12" t="s">
        <v>25</v>
      </c>
      <c r="H111" s="6" t="s">
        <v>27</v>
      </c>
      <c r="I111" s="32"/>
      <c r="J111" s="32"/>
      <c r="K111" s="65" t="s">
        <v>12</v>
      </c>
      <c r="L111" s="61" t="s">
        <v>22</v>
      </c>
      <c r="M111" s="62" t="s">
        <v>14</v>
      </c>
      <c r="N111" s="63" t="s">
        <v>23</v>
      </c>
      <c r="O111" s="63" t="s">
        <v>24</v>
      </c>
      <c r="P111" s="63" t="s">
        <v>20</v>
      </c>
      <c r="Q111" s="63" t="s">
        <v>25</v>
      </c>
      <c r="R111" s="63" t="s">
        <v>33</v>
      </c>
      <c r="S111" s="64" t="s">
        <v>32</v>
      </c>
    </row>
    <row r="112" spans="2:20">
      <c r="B112" s="15"/>
      <c r="C112" s="19"/>
      <c r="D112" s="20"/>
      <c r="E112" s="20"/>
      <c r="F112" s="38"/>
      <c r="G112" s="21"/>
      <c r="H112" s="22"/>
      <c r="I112" s="33"/>
      <c r="J112" s="33"/>
      <c r="K112" s="15"/>
      <c r="L112" s="18"/>
      <c r="M112" s="19"/>
      <c r="N112" s="20"/>
      <c r="O112" s="20"/>
      <c r="P112" s="38"/>
      <c r="Q112" s="21"/>
      <c r="R112" s="21"/>
      <c r="S112" s="19"/>
    </row>
    <row r="113" spans="2:19">
      <c r="B113" s="16"/>
      <c r="C113" s="13"/>
      <c r="D113" s="14"/>
      <c r="E113" s="14"/>
      <c r="F113" s="8"/>
      <c r="G113" s="9"/>
      <c r="H113" s="24"/>
      <c r="I113" s="59">
        <v>45243</v>
      </c>
      <c r="J113" s="33"/>
      <c r="K113" s="16"/>
      <c r="L113" s="23"/>
      <c r="M113" s="13"/>
      <c r="N113" s="14"/>
      <c r="O113" s="14"/>
      <c r="P113" s="8"/>
      <c r="Q113" s="9"/>
      <c r="R113" s="9"/>
      <c r="S113" s="13"/>
    </row>
    <row r="114" spans="2:19">
      <c r="B114" s="16"/>
      <c r="C114" s="13"/>
      <c r="D114" s="14"/>
      <c r="E114" s="54"/>
      <c r="F114" s="8"/>
      <c r="G114" s="9"/>
      <c r="H114" s="25"/>
      <c r="I114" s="33"/>
      <c r="J114" s="33"/>
      <c r="K114" s="16"/>
      <c r="L114" s="23"/>
      <c r="M114" s="13"/>
      <c r="N114" s="14"/>
      <c r="O114" s="54"/>
      <c r="P114" s="8"/>
      <c r="Q114" s="9"/>
      <c r="R114" s="9"/>
      <c r="S114" s="13"/>
    </row>
    <row r="115" spans="2:19">
      <c r="B115" s="16"/>
      <c r="C115" s="13"/>
      <c r="D115" s="14"/>
      <c r="E115" s="55"/>
      <c r="F115" s="8"/>
      <c r="G115" s="9"/>
      <c r="H115" s="24"/>
      <c r="I115" s="33"/>
      <c r="J115" s="33"/>
      <c r="K115" s="16"/>
      <c r="L115" s="23"/>
      <c r="M115" s="13"/>
      <c r="N115" s="14"/>
      <c r="O115" s="55"/>
      <c r="P115" s="8"/>
      <c r="Q115" s="9"/>
      <c r="R115" s="9"/>
      <c r="S115" s="13"/>
    </row>
    <row r="116" spans="2:19">
      <c r="B116" s="16"/>
      <c r="C116" s="13"/>
      <c r="D116" s="14"/>
      <c r="E116" s="54"/>
      <c r="F116" s="8"/>
      <c r="G116" s="9"/>
      <c r="H116" s="24"/>
      <c r="I116" s="33"/>
      <c r="J116" s="33"/>
      <c r="K116" s="16"/>
      <c r="L116" s="23"/>
      <c r="M116" s="13"/>
      <c r="N116" s="14"/>
      <c r="O116" s="54"/>
      <c r="P116" s="8"/>
      <c r="Q116" s="9"/>
      <c r="R116" s="9"/>
      <c r="S116" s="13"/>
    </row>
    <row r="117" spans="2:19">
      <c r="B117" s="16"/>
      <c r="C117" s="13"/>
      <c r="D117" s="14"/>
      <c r="E117" s="55"/>
      <c r="F117" s="8"/>
      <c r="G117" s="9"/>
      <c r="H117" s="24"/>
      <c r="I117" s="33"/>
      <c r="J117" s="33"/>
      <c r="K117" s="16"/>
      <c r="L117" s="23"/>
      <c r="M117" s="13"/>
      <c r="N117" s="14"/>
      <c r="O117" s="55"/>
      <c r="P117" s="8"/>
      <c r="Q117" s="9"/>
      <c r="R117" s="9"/>
      <c r="S117" s="13"/>
    </row>
    <row r="118" spans="2:19">
      <c r="B118" s="16"/>
      <c r="C118" s="35"/>
      <c r="D118" s="14"/>
      <c r="E118" s="9"/>
      <c r="F118" s="14"/>
      <c r="G118" s="36"/>
      <c r="H118" s="24"/>
      <c r="I118" s="33"/>
      <c r="J118" s="33"/>
      <c r="K118" s="16"/>
      <c r="L118" s="34"/>
      <c r="M118" s="35"/>
      <c r="N118" s="14"/>
      <c r="O118" s="9"/>
      <c r="P118" s="14"/>
      <c r="Q118" s="36"/>
      <c r="R118" s="14"/>
      <c r="S118" s="35"/>
    </row>
    <row r="119" spans="2:19">
      <c r="B119" s="43"/>
      <c r="C119" s="45"/>
      <c r="D119" s="37"/>
      <c r="E119" s="37"/>
      <c r="F119" s="46"/>
      <c r="G119" s="47"/>
      <c r="H119" s="48"/>
      <c r="I119" s="33"/>
      <c r="J119" s="33"/>
      <c r="K119" s="43"/>
      <c r="L119" s="44"/>
      <c r="M119" s="45"/>
      <c r="N119" s="37"/>
      <c r="O119" s="37"/>
      <c r="P119" s="46"/>
      <c r="Q119" s="47"/>
      <c r="R119" s="47"/>
      <c r="S119" s="45"/>
    </row>
    <row r="120" spans="2:19">
      <c r="B120" s="43"/>
      <c r="C120" s="45"/>
      <c r="D120" s="37"/>
      <c r="E120" s="56"/>
      <c r="F120" s="46"/>
      <c r="G120" s="47"/>
      <c r="H120" s="48"/>
      <c r="I120" s="33"/>
      <c r="J120" s="33"/>
      <c r="K120" s="43"/>
      <c r="L120" s="44"/>
      <c r="M120" s="45"/>
      <c r="N120" s="37"/>
      <c r="O120" s="56"/>
      <c r="P120" s="46"/>
      <c r="Q120" s="47"/>
      <c r="R120" s="47"/>
      <c r="S120" s="45"/>
    </row>
    <row r="121" spans="2:19">
      <c r="B121" s="43"/>
      <c r="C121" s="45"/>
      <c r="D121" s="37"/>
      <c r="E121" s="56"/>
      <c r="F121" s="46"/>
      <c r="G121" s="47"/>
      <c r="H121" s="48"/>
      <c r="I121" s="33"/>
      <c r="J121" s="33"/>
      <c r="K121" s="43"/>
      <c r="L121" s="44"/>
      <c r="M121" s="45"/>
      <c r="N121" s="37"/>
      <c r="O121" s="56"/>
      <c r="P121" s="46"/>
      <c r="Q121" s="47"/>
      <c r="R121" s="47"/>
      <c r="S121" s="45"/>
    </row>
    <row r="122" spans="2:19">
      <c r="B122" s="16"/>
      <c r="C122" s="13"/>
      <c r="D122" s="14"/>
      <c r="E122" s="14"/>
      <c r="F122" s="8"/>
      <c r="G122" s="9"/>
      <c r="H122" s="24"/>
      <c r="I122" s="33"/>
      <c r="J122" s="33"/>
      <c r="K122" s="16"/>
      <c r="L122" s="23"/>
      <c r="M122" s="13"/>
      <c r="N122" s="14"/>
      <c r="O122" s="14"/>
      <c r="P122" s="8"/>
      <c r="Q122" s="9"/>
      <c r="R122" s="9"/>
      <c r="S122" s="13"/>
    </row>
    <row r="123" spans="2:19">
      <c r="B123" s="16"/>
      <c r="C123" s="13"/>
      <c r="D123" s="14"/>
      <c r="E123" s="9"/>
      <c r="F123" s="8"/>
      <c r="G123" s="8"/>
      <c r="H123" s="24"/>
      <c r="I123" s="33"/>
      <c r="J123" s="33"/>
      <c r="K123" s="16"/>
      <c r="L123" s="23"/>
      <c r="M123" s="13"/>
      <c r="N123" s="14"/>
      <c r="O123" s="9"/>
      <c r="P123" s="8"/>
      <c r="Q123" s="8"/>
      <c r="R123" s="8"/>
      <c r="S123" s="13"/>
    </row>
    <row r="124" spans="2:19">
      <c r="B124" s="16"/>
      <c r="C124" s="13"/>
      <c r="D124" s="14"/>
      <c r="E124" s="9"/>
      <c r="F124" s="41"/>
      <c r="G124" s="42"/>
      <c r="H124" s="24"/>
      <c r="I124" s="33"/>
      <c r="J124" s="33"/>
      <c r="K124" s="16"/>
      <c r="L124" s="40"/>
      <c r="M124" s="13"/>
      <c r="N124" s="14"/>
      <c r="O124" s="9"/>
      <c r="P124" s="41"/>
      <c r="Q124" s="42"/>
      <c r="R124" s="42"/>
      <c r="S124" s="13"/>
    </row>
    <row r="125" spans="2:19">
      <c r="B125" s="16"/>
      <c r="C125" s="13"/>
      <c r="D125" s="14"/>
      <c r="E125" s="8"/>
      <c r="F125" s="8"/>
      <c r="G125" s="7"/>
      <c r="H125" s="24"/>
      <c r="I125" s="33"/>
      <c r="J125" s="33"/>
      <c r="K125" s="16"/>
      <c r="L125" s="40"/>
      <c r="M125" s="13"/>
      <c r="N125" s="14"/>
      <c r="O125" s="8"/>
      <c r="P125" s="8"/>
      <c r="Q125" s="7"/>
      <c r="R125" s="8"/>
      <c r="S125" s="49"/>
    </row>
    <row r="126" spans="2:19">
      <c r="B126" s="16"/>
      <c r="C126" s="13"/>
      <c r="D126" s="14"/>
      <c r="E126" s="8"/>
      <c r="F126" s="8"/>
      <c r="G126" s="14"/>
      <c r="H126" s="24"/>
      <c r="I126" s="33"/>
      <c r="J126" s="33"/>
      <c r="K126" s="16"/>
      <c r="L126" s="40"/>
      <c r="M126" s="13"/>
      <c r="N126" s="14"/>
      <c r="O126" s="8"/>
      <c r="P126" s="8"/>
      <c r="Q126" s="14"/>
      <c r="R126" s="14"/>
      <c r="S126" s="42"/>
    </row>
    <row r="127" spans="2:19">
      <c r="B127" s="16"/>
      <c r="C127" s="13"/>
      <c r="D127" s="14"/>
      <c r="E127" s="57"/>
      <c r="F127" s="8"/>
      <c r="G127" s="8"/>
      <c r="H127" s="24"/>
      <c r="I127" s="33"/>
      <c r="J127" s="33"/>
      <c r="K127" s="16"/>
      <c r="L127" s="23"/>
      <c r="M127" s="13"/>
      <c r="N127" s="14"/>
      <c r="O127" s="57"/>
      <c r="P127" s="8"/>
      <c r="Q127" s="8"/>
      <c r="R127" s="8"/>
      <c r="S127" s="13"/>
    </row>
    <row r="128" spans="2:19">
      <c r="B128" s="16"/>
      <c r="C128" s="13"/>
      <c r="D128" s="37"/>
      <c r="E128" s="9"/>
      <c r="F128" s="8"/>
      <c r="G128" s="8"/>
      <c r="H128" s="24"/>
      <c r="I128" s="33"/>
      <c r="J128" s="33"/>
      <c r="K128" s="16"/>
      <c r="L128" s="23"/>
      <c r="M128" s="13"/>
      <c r="N128" s="60"/>
      <c r="O128" s="9"/>
      <c r="P128" s="8"/>
      <c r="Q128" s="8"/>
      <c r="R128" s="8"/>
      <c r="S128" s="8"/>
    </row>
    <row r="129" spans="2:20">
      <c r="B129" s="16"/>
      <c r="C129" s="13"/>
      <c r="D129" s="37"/>
      <c r="E129" s="9"/>
      <c r="F129" s="8"/>
      <c r="G129" s="8"/>
      <c r="H129" s="24"/>
      <c r="I129" s="33"/>
      <c r="J129" s="33"/>
      <c r="K129" s="16"/>
      <c r="L129" s="23"/>
      <c r="M129" s="13"/>
      <c r="N129" s="60"/>
      <c r="O129" s="9"/>
      <c r="P129" s="8"/>
      <c r="Q129" s="8"/>
      <c r="R129" s="8"/>
      <c r="S129" s="8"/>
    </row>
    <row r="130" spans="2:20">
      <c r="B130" s="16"/>
      <c r="C130" s="13"/>
      <c r="D130" s="37"/>
      <c r="E130" s="9"/>
      <c r="F130" s="8"/>
      <c r="G130" s="8"/>
      <c r="H130" s="24"/>
      <c r="I130" s="33"/>
      <c r="J130" s="33"/>
      <c r="K130" s="16"/>
      <c r="L130" s="23"/>
      <c r="M130" s="13"/>
      <c r="N130" s="60"/>
      <c r="O130" s="9"/>
      <c r="P130" s="8"/>
      <c r="Q130" s="8"/>
      <c r="R130" s="8"/>
      <c r="S130" s="8"/>
    </row>
    <row r="131" spans="2:20">
      <c r="B131" s="16"/>
      <c r="C131" s="13"/>
      <c r="D131" s="37"/>
      <c r="E131" s="9"/>
      <c r="F131" s="8"/>
      <c r="G131" s="8"/>
      <c r="H131" s="24"/>
      <c r="I131" s="33"/>
      <c r="J131" s="33"/>
      <c r="K131" s="16"/>
      <c r="L131" s="23"/>
      <c r="M131" s="13"/>
      <c r="N131" s="60"/>
      <c r="O131" s="9"/>
      <c r="P131" s="8"/>
      <c r="Q131" s="8"/>
      <c r="R131" s="8"/>
      <c r="S131" s="8"/>
    </row>
    <row r="132" spans="2:20">
      <c r="B132" s="16"/>
      <c r="C132" s="13"/>
      <c r="D132" s="37"/>
      <c r="E132" s="9"/>
      <c r="F132" s="8"/>
      <c r="G132" s="8"/>
      <c r="H132" s="24"/>
      <c r="I132" s="33"/>
      <c r="J132" s="33"/>
      <c r="K132" s="16"/>
      <c r="L132" s="23"/>
      <c r="M132" s="13"/>
      <c r="N132" s="60"/>
      <c r="O132" s="9"/>
      <c r="P132" s="8"/>
      <c r="Q132" s="8"/>
      <c r="R132" s="8"/>
      <c r="S132" s="8"/>
    </row>
    <row r="133" spans="2:20">
      <c r="B133" s="16"/>
      <c r="C133" s="13"/>
      <c r="D133" s="37"/>
      <c r="E133" s="9"/>
      <c r="F133" s="8"/>
      <c r="G133" s="8"/>
      <c r="H133" s="24"/>
      <c r="I133" s="33"/>
      <c r="J133" s="33"/>
      <c r="K133" s="16"/>
      <c r="L133" s="23"/>
      <c r="M133" s="13"/>
      <c r="N133" s="60"/>
      <c r="O133" s="9"/>
      <c r="P133" s="8"/>
      <c r="Q133" s="8"/>
      <c r="R133" s="8"/>
      <c r="S133" s="8"/>
    </row>
    <row r="134" spans="2:20">
      <c r="B134" s="16"/>
      <c r="C134" s="13"/>
      <c r="D134" s="14"/>
      <c r="E134" s="58"/>
      <c r="F134" s="8"/>
      <c r="G134" s="8"/>
      <c r="H134" s="24"/>
      <c r="I134" s="33"/>
      <c r="J134" s="33"/>
      <c r="K134" s="16"/>
      <c r="L134" s="23"/>
      <c r="M134" s="13"/>
      <c r="N134" s="60"/>
      <c r="O134" s="58"/>
      <c r="P134" s="8"/>
      <c r="Q134" s="8"/>
      <c r="R134" s="8"/>
      <c r="S134" s="13"/>
    </row>
    <row r="135" spans="2:20">
      <c r="B135" s="16"/>
      <c r="C135" s="13"/>
      <c r="D135" s="14"/>
      <c r="E135" s="9"/>
      <c r="F135" s="8"/>
      <c r="G135" s="8"/>
      <c r="H135" s="24"/>
      <c r="I135" s="33"/>
      <c r="J135" s="33"/>
      <c r="K135" s="16"/>
      <c r="L135" s="23"/>
      <c r="M135" s="13"/>
      <c r="N135" s="14"/>
      <c r="O135" s="9"/>
      <c r="P135" s="8"/>
      <c r="Q135" s="8"/>
      <c r="R135" s="8"/>
      <c r="S135" s="8"/>
    </row>
    <row r="136" spans="2:20">
      <c r="B136" s="16"/>
      <c r="C136" s="13"/>
      <c r="D136" s="14"/>
      <c r="E136" s="9"/>
      <c r="F136" s="8"/>
      <c r="G136" s="14"/>
      <c r="H136" s="24"/>
      <c r="I136" s="33"/>
      <c r="J136" s="33"/>
      <c r="K136" s="16"/>
      <c r="L136" s="23"/>
      <c r="M136" s="13"/>
      <c r="N136" s="14"/>
      <c r="O136" s="9"/>
      <c r="P136" s="8"/>
      <c r="Q136" s="14"/>
      <c r="R136" s="14"/>
      <c r="S136" s="8"/>
    </row>
    <row r="137" spans="2:20">
      <c r="B137" s="16"/>
      <c r="C137" s="13"/>
      <c r="D137" s="14"/>
      <c r="E137" s="9"/>
      <c r="F137" s="8"/>
      <c r="G137" s="14"/>
      <c r="H137" s="24"/>
      <c r="I137" s="33"/>
      <c r="J137" s="33"/>
      <c r="K137" s="16"/>
      <c r="L137" s="23"/>
      <c r="M137" s="13"/>
      <c r="N137" s="14"/>
      <c r="O137" s="9"/>
      <c r="P137" s="8"/>
      <c r="Q137" s="14"/>
      <c r="R137" s="14"/>
      <c r="S137" s="8"/>
    </row>
    <row r="138" spans="2:20">
      <c r="B138" s="16"/>
      <c r="C138" s="13"/>
      <c r="D138" s="14"/>
      <c r="E138" s="9"/>
      <c r="F138" s="8"/>
      <c r="G138" s="8"/>
      <c r="H138" s="24"/>
      <c r="I138" s="33"/>
      <c r="J138" s="33"/>
      <c r="K138" s="16"/>
      <c r="L138" s="23"/>
      <c r="M138" s="13"/>
      <c r="N138" s="14"/>
      <c r="O138" s="9"/>
      <c r="P138" s="8"/>
      <c r="Q138" s="8"/>
      <c r="R138" s="8"/>
      <c r="S138" s="13"/>
    </row>
    <row r="139" spans="2:20">
      <c r="B139" s="16"/>
      <c r="C139" s="13"/>
      <c r="D139" s="14"/>
      <c r="E139" s="9"/>
      <c r="F139" s="8"/>
      <c r="G139" s="8"/>
      <c r="H139" s="24"/>
      <c r="I139" s="33"/>
      <c r="J139" s="33"/>
      <c r="K139" s="16"/>
      <c r="L139" s="23"/>
      <c r="M139" s="13"/>
      <c r="N139" s="14"/>
      <c r="O139" s="9"/>
      <c r="P139" s="8"/>
      <c r="Q139" s="8"/>
      <c r="R139" s="8"/>
      <c r="S139" s="13"/>
    </row>
    <row r="140" spans="2:20">
      <c r="B140" s="16"/>
      <c r="C140" s="13"/>
      <c r="D140" s="14"/>
      <c r="E140" s="9"/>
      <c r="F140" s="8"/>
      <c r="G140" s="8"/>
      <c r="H140" s="24"/>
      <c r="I140" s="33"/>
      <c r="J140" s="33"/>
      <c r="K140" s="16"/>
      <c r="L140" s="23"/>
      <c r="M140" s="13"/>
      <c r="N140" s="14"/>
      <c r="O140" s="9"/>
      <c r="P140" s="8"/>
      <c r="Q140" s="8"/>
      <c r="R140" s="8"/>
      <c r="S140" s="13"/>
    </row>
    <row r="141" spans="2:20">
      <c r="B141" s="16"/>
      <c r="C141" s="13"/>
      <c r="D141" s="14"/>
      <c r="E141" s="14"/>
      <c r="F141" s="8"/>
      <c r="G141" s="9"/>
      <c r="H141" s="24"/>
      <c r="I141" s="33"/>
      <c r="J141" s="33"/>
      <c r="K141" s="16"/>
      <c r="L141" s="23"/>
      <c r="M141" s="13"/>
      <c r="N141" s="14"/>
      <c r="O141" s="14"/>
      <c r="P141" s="8"/>
      <c r="Q141" s="9"/>
      <c r="R141" s="9"/>
      <c r="S141" s="13"/>
    </row>
    <row r="142" spans="2:20">
      <c r="B142" s="16">
        <v>31</v>
      </c>
      <c r="C142" s="13"/>
      <c r="D142" s="14"/>
      <c r="E142" s="14"/>
      <c r="F142" s="8"/>
      <c r="G142" s="9"/>
      <c r="H142" s="24"/>
      <c r="I142" s="33"/>
      <c r="J142" s="33"/>
      <c r="K142" s="16"/>
      <c r="L142" s="23"/>
      <c r="M142" s="13"/>
      <c r="N142" s="14"/>
      <c r="O142" s="14"/>
      <c r="P142" s="8"/>
      <c r="Q142" s="9"/>
      <c r="R142" s="9"/>
      <c r="S142" s="13"/>
    </row>
    <row r="143" spans="2:20" ht="16" thickBot="1">
      <c r="B143" s="50">
        <v>32</v>
      </c>
      <c r="C143" s="52"/>
      <c r="D143" s="53"/>
      <c r="E143" s="28"/>
      <c r="F143" s="39"/>
      <c r="G143" s="29"/>
      <c r="H143" s="30"/>
      <c r="I143" s="33"/>
      <c r="J143" s="33"/>
      <c r="K143" s="50"/>
      <c r="L143" s="51"/>
      <c r="M143" s="52"/>
      <c r="N143" s="53"/>
      <c r="O143" s="28"/>
      <c r="P143" s="39"/>
      <c r="Q143" s="29"/>
      <c r="R143" s="29"/>
      <c r="S143" s="27"/>
    </row>
    <row r="144" spans="2:20" ht="22" thickBot="1">
      <c r="B144" s="367" t="s">
        <v>30</v>
      </c>
      <c r="C144" s="368"/>
      <c r="D144" s="369"/>
      <c r="E144" s="455"/>
      <c r="F144" s="456"/>
      <c r="G144" s="456"/>
      <c r="H144" s="457"/>
      <c r="I144" s="32"/>
      <c r="J144" s="32"/>
      <c r="K144" s="367" t="s">
        <v>30</v>
      </c>
      <c r="L144" s="368"/>
      <c r="M144" s="368"/>
      <c r="N144" s="369"/>
      <c r="O144" s="74"/>
      <c r="P144" s="75"/>
      <c r="Q144" s="75"/>
      <c r="R144" s="75"/>
      <c r="S144" s="75"/>
      <c r="T144" s="76"/>
    </row>
  </sheetData>
  <mergeCells count="17">
    <mergeCell ref="B110:H110"/>
    <mergeCell ref="K110:S110"/>
    <mergeCell ref="B144:D144"/>
    <mergeCell ref="E144:H144"/>
    <mergeCell ref="K144:N144"/>
    <mergeCell ref="B52:H52"/>
    <mergeCell ref="K52:S52"/>
    <mergeCell ref="B105:D105"/>
    <mergeCell ref="E105:H105"/>
    <mergeCell ref="K105:N105"/>
    <mergeCell ref="O105:S105"/>
    <mergeCell ref="B2:H2"/>
    <mergeCell ref="K2:S2"/>
    <mergeCell ref="B48:D48"/>
    <mergeCell ref="E48:H48"/>
    <mergeCell ref="K48:N48"/>
    <mergeCell ref="O48:S48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/>
  <dimension ref="A1:Y144"/>
  <sheetViews>
    <sheetView zoomScale="89" zoomScaleNormal="89" workbookViewId="0">
      <pane ySplit="3" topLeftCell="A4" activePane="bottomLeft" state="frozen"/>
      <selection pane="bottomLeft" activeCell="E5" sqref="E5"/>
    </sheetView>
  </sheetViews>
  <sheetFormatPr baseColWidth="10" defaultColWidth="11.5" defaultRowHeight="15"/>
  <cols>
    <col min="1" max="1" width="5" style="31" customWidth="1"/>
    <col min="2" max="2" width="4.5" bestFit="1" customWidth="1"/>
    <col min="3" max="3" width="13.1640625" bestFit="1" customWidth="1"/>
    <col min="4" max="4" width="15.5" bestFit="1" customWidth="1"/>
    <col min="5" max="5" width="25" customWidth="1"/>
    <col min="6" max="6" width="26.5" customWidth="1"/>
    <col min="7" max="7" width="6.33203125" bestFit="1" customWidth="1"/>
    <col min="8" max="8" width="15.1640625" customWidth="1"/>
    <col min="9" max="9" width="30.5" customWidth="1"/>
    <col min="10" max="11" width="11.5" style="31"/>
    <col min="12" max="12" width="4.1640625" bestFit="1" customWidth="1"/>
    <col min="13" max="13" width="18" hidden="1" customWidth="1"/>
    <col min="14" max="14" width="18.5" bestFit="1" customWidth="1"/>
    <col min="15" max="15" width="26" customWidth="1"/>
    <col min="16" max="16" width="26.5" customWidth="1"/>
    <col min="17" max="17" width="9.5" bestFit="1" customWidth="1"/>
    <col min="18" max="18" width="14.6640625" customWidth="1"/>
    <col min="19" max="19" width="17.5" customWidth="1"/>
    <col min="20" max="20" width="16.5" customWidth="1"/>
    <col min="21" max="25" width="11.5" style="31"/>
  </cols>
  <sheetData>
    <row r="1" spans="1:25" s="31" customFormat="1" ht="21.75" customHeight="1" thickBot="1"/>
    <row r="2" spans="1:25" ht="25" thickBot="1">
      <c r="B2" s="364" t="s">
        <v>365</v>
      </c>
      <c r="C2" s="365"/>
      <c r="D2" s="365"/>
      <c r="E2" s="365"/>
      <c r="F2" s="365"/>
      <c r="G2" s="365"/>
      <c r="H2" s="365"/>
      <c r="I2" s="366"/>
      <c r="L2" s="364" t="s">
        <v>498</v>
      </c>
      <c r="M2" s="365"/>
      <c r="N2" s="365"/>
      <c r="O2" s="365"/>
      <c r="P2" s="365"/>
      <c r="Q2" s="365"/>
      <c r="R2" s="365"/>
      <c r="S2" s="365"/>
      <c r="T2" s="366"/>
    </row>
    <row r="3" spans="1:25" s="7" customFormat="1" ht="31" thickBot="1">
      <c r="A3" s="33"/>
      <c r="B3" s="79" t="s">
        <v>12</v>
      </c>
      <c r="C3" s="79" t="s">
        <v>500</v>
      </c>
      <c r="D3" s="80" t="s">
        <v>14</v>
      </c>
      <c r="E3" s="80" t="s">
        <v>23</v>
      </c>
      <c r="F3" s="80" t="s">
        <v>24</v>
      </c>
      <c r="G3" s="80" t="s">
        <v>20</v>
      </c>
      <c r="H3" s="80" t="s">
        <v>25</v>
      </c>
      <c r="I3" s="82" t="s">
        <v>27</v>
      </c>
      <c r="J3" s="33"/>
      <c r="K3" s="33"/>
      <c r="L3" s="85" t="s">
        <v>12</v>
      </c>
      <c r="M3" s="86" t="s">
        <v>22</v>
      </c>
      <c r="N3" s="87" t="s">
        <v>14</v>
      </c>
      <c r="O3" s="80" t="s">
        <v>23</v>
      </c>
      <c r="P3" s="80" t="s">
        <v>24</v>
      </c>
      <c r="Q3" s="80" t="s">
        <v>20</v>
      </c>
      <c r="R3" s="80" t="s">
        <v>25</v>
      </c>
      <c r="S3" s="81" t="s">
        <v>8</v>
      </c>
      <c r="T3" s="84" t="s">
        <v>499</v>
      </c>
      <c r="U3" s="33"/>
      <c r="V3" s="33"/>
      <c r="W3" s="33"/>
      <c r="X3" s="33"/>
      <c r="Y3" s="33"/>
    </row>
    <row r="4" spans="1:25" s="7" customFormat="1" ht="30">
      <c r="A4" s="33"/>
      <c r="B4" s="15">
        <v>1</v>
      </c>
      <c r="C4" s="126">
        <v>45313</v>
      </c>
      <c r="D4" s="19" t="s">
        <v>18</v>
      </c>
      <c r="E4" s="20" t="s">
        <v>19</v>
      </c>
      <c r="F4" s="20"/>
      <c r="G4" s="38"/>
      <c r="H4" s="21"/>
      <c r="I4" s="22"/>
      <c r="J4" s="33"/>
      <c r="K4" s="33"/>
      <c r="L4" s="15">
        <v>1</v>
      </c>
      <c r="M4" s="18">
        <v>45225</v>
      </c>
      <c r="N4" s="19"/>
      <c r="O4" s="20"/>
      <c r="P4" s="20"/>
      <c r="Q4" s="38"/>
      <c r="R4" s="21"/>
      <c r="S4" s="21"/>
      <c r="T4" s="66"/>
      <c r="U4" s="33"/>
      <c r="V4" s="33"/>
      <c r="W4" s="33"/>
      <c r="X4" s="33"/>
      <c r="Y4" s="33"/>
    </row>
    <row r="5" spans="1:25" s="7" customFormat="1">
      <c r="A5" s="33"/>
      <c r="B5" s="16">
        <v>2</v>
      </c>
      <c r="C5" s="105"/>
      <c r="D5" s="13" t="s">
        <v>540</v>
      </c>
      <c r="E5" s="14" t="s">
        <v>539</v>
      </c>
      <c r="F5" s="14"/>
      <c r="G5" s="8"/>
      <c r="H5" s="9"/>
      <c r="I5" s="24"/>
      <c r="J5" s="59"/>
      <c r="K5" s="33"/>
      <c r="L5" s="16">
        <v>2</v>
      </c>
      <c r="M5" s="23">
        <v>45230</v>
      </c>
      <c r="N5" s="13"/>
      <c r="O5" s="14"/>
      <c r="P5" s="14"/>
      <c r="Q5" s="8"/>
      <c r="R5" s="9"/>
      <c r="S5" s="9"/>
      <c r="T5" s="67"/>
      <c r="U5" s="33"/>
      <c r="V5" s="33"/>
      <c r="W5" s="33"/>
      <c r="X5" s="33"/>
      <c r="Y5" s="33"/>
    </row>
    <row r="6" spans="1:25" s="7" customFormat="1" ht="30">
      <c r="A6" s="33"/>
      <c r="B6" s="16">
        <v>3</v>
      </c>
      <c r="C6" s="105">
        <v>45320</v>
      </c>
      <c r="D6" s="13" t="s">
        <v>575</v>
      </c>
      <c r="E6" s="14" t="s">
        <v>576</v>
      </c>
      <c r="F6" s="14" t="s">
        <v>577</v>
      </c>
      <c r="G6" s="8">
        <v>1</v>
      </c>
      <c r="H6" s="9" t="s">
        <v>29</v>
      </c>
      <c r="I6" s="25" t="s">
        <v>578</v>
      </c>
      <c r="J6" s="33"/>
      <c r="K6" s="33"/>
      <c r="L6" s="16">
        <v>3</v>
      </c>
      <c r="M6" s="23">
        <v>45216</v>
      </c>
      <c r="N6" s="13"/>
      <c r="O6" s="14"/>
      <c r="P6" s="54"/>
      <c r="Q6" s="8"/>
      <c r="R6" s="9"/>
      <c r="S6" s="9"/>
      <c r="T6" s="67"/>
      <c r="U6" s="33"/>
      <c r="V6" s="33"/>
      <c r="W6" s="33"/>
      <c r="X6" s="33"/>
      <c r="Y6" s="33"/>
    </row>
    <row r="7" spans="1:25" s="7" customFormat="1" ht="14">
      <c r="A7" s="33"/>
      <c r="B7" s="16">
        <v>4</v>
      </c>
      <c r="C7" s="105"/>
      <c r="D7" s="13"/>
      <c r="E7" s="14"/>
      <c r="F7" s="125"/>
      <c r="G7" s="8"/>
      <c r="H7" s="9"/>
      <c r="I7" s="24"/>
      <c r="J7" s="33"/>
      <c r="K7" s="33"/>
      <c r="L7" s="16">
        <v>4</v>
      </c>
      <c r="M7" s="23">
        <v>45216</v>
      </c>
      <c r="N7" s="13"/>
      <c r="O7" s="14"/>
      <c r="P7" s="55"/>
      <c r="Q7" s="8"/>
      <c r="R7" s="9"/>
      <c r="S7" s="9"/>
      <c r="T7" s="67"/>
      <c r="U7" s="33"/>
      <c r="V7" s="33"/>
      <c r="W7" s="33"/>
      <c r="X7" s="33"/>
      <c r="Y7" s="33"/>
    </row>
    <row r="8" spans="1:25" s="7" customFormat="1" ht="14">
      <c r="A8" s="33"/>
      <c r="B8" s="16">
        <v>5</v>
      </c>
      <c r="C8" s="105"/>
      <c r="D8" s="13"/>
      <c r="E8" s="14"/>
      <c r="F8" s="14"/>
      <c r="G8" s="8"/>
      <c r="H8" s="9"/>
      <c r="I8" s="24"/>
      <c r="J8" s="33"/>
      <c r="K8" s="33"/>
      <c r="L8" s="16">
        <v>5</v>
      </c>
      <c r="M8" s="23">
        <v>45196</v>
      </c>
      <c r="N8" s="13"/>
      <c r="O8" s="14"/>
      <c r="P8" s="54"/>
      <c r="Q8" s="8"/>
      <c r="R8" s="9"/>
      <c r="S8" s="9"/>
      <c r="T8" s="67"/>
      <c r="U8" s="33"/>
      <c r="V8" s="33"/>
      <c r="W8" s="33"/>
      <c r="X8" s="33"/>
      <c r="Y8" s="33"/>
    </row>
    <row r="9" spans="1:25" s="7" customFormat="1" ht="14">
      <c r="A9" s="33"/>
      <c r="B9" s="16">
        <v>6</v>
      </c>
      <c r="C9" s="105"/>
      <c r="D9" s="13"/>
      <c r="E9" s="14"/>
      <c r="F9" s="125"/>
      <c r="G9" s="8"/>
      <c r="H9" s="9"/>
      <c r="I9" s="24"/>
      <c r="J9" s="33"/>
      <c r="K9" s="33"/>
      <c r="L9" s="16">
        <v>6</v>
      </c>
      <c r="M9" s="23">
        <v>45175</v>
      </c>
      <c r="N9" s="13"/>
      <c r="O9" s="14"/>
      <c r="P9" s="55"/>
      <c r="Q9" s="8"/>
      <c r="R9" s="9"/>
      <c r="S9" s="9"/>
      <c r="T9" s="67"/>
      <c r="U9" s="33"/>
      <c r="V9" s="33"/>
      <c r="W9" s="33"/>
      <c r="X9" s="33"/>
      <c r="Y9" s="33"/>
    </row>
    <row r="10" spans="1:25" s="7" customFormat="1" ht="14">
      <c r="A10" s="33"/>
      <c r="B10" s="16">
        <v>7</v>
      </c>
      <c r="C10" s="127"/>
      <c r="D10" s="35"/>
      <c r="E10" s="14"/>
      <c r="F10" s="9"/>
      <c r="G10" s="14"/>
      <c r="H10" s="36"/>
      <c r="I10" s="24"/>
      <c r="J10" s="33"/>
      <c r="K10" s="33"/>
      <c r="L10" s="16">
        <v>7</v>
      </c>
      <c r="M10" s="34">
        <v>45232</v>
      </c>
      <c r="N10" s="35"/>
      <c r="O10" s="14"/>
      <c r="P10" s="9"/>
      <c r="Q10" s="14"/>
      <c r="R10" s="36"/>
      <c r="S10" s="14"/>
      <c r="T10" s="68"/>
      <c r="U10" s="33"/>
      <c r="V10" s="33"/>
      <c r="W10" s="33"/>
      <c r="X10" s="33"/>
      <c r="Y10" s="33"/>
    </row>
    <row r="11" spans="1:25" s="7" customFormat="1" ht="14">
      <c r="A11" s="33"/>
      <c r="B11" s="16">
        <v>8</v>
      </c>
      <c r="C11" s="105"/>
      <c r="D11" s="13"/>
      <c r="E11" s="14"/>
      <c r="F11" s="14"/>
      <c r="G11" s="8"/>
      <c r="H11" s="9"/>
      <c r="I11" s="24"/>
      <c r="J11" s="33"/>
      <c r="K11" s="33"/>
      <c r="L11" s="43">
        <v>8</v>
      </c>
      <c r="M11" s="44">
        <v>45133</v>
      </c>
      <c r="N11" s="45"/>
      <c r="O11" s="37"/>
      <c r="P11" s="37"/>
      <c r="Q11" s="46"/>
      <c r="R11" s="47"/>
      <c r="S11" s="47"/>
      <c r="T11" s="69"/>
      <c r="U11" s="33"/>
      <c r="V11" s="33"/>
      <c r="W11" s="33"/>
      <c r="X11" s="33"/>
      <c r="Y11" s="33"/>
    </row>
    <row r="12" spans="1:25" s="7" customFormat="1" ht="14">
      <c r="A12" s="33"/>
      <c r="B12" s="16">
        <v>9</v>
      </c>
      <c r="C12" s="105"/>
      <c r="D12" s="13"/>
      <c r="E12" s="14"/>
      <c r="F12" s="83"/>
      <c r="G12" s="8"/>
      <c r="H12" s="9"/>
      <c r="I12" s="24"/>
      <c r="J12" s="33"/>
      <c r="K12" s="33"/>
      <c r="L12" s="43">
        <v>9</v>
      </c>
      <c r="M12" s="44">
        <v>45166</v>
      </c>
      <c r="N12" s="45"/>
      <c r="O12" s="37"/>
      <c r="P12" s="56"/>
      <c r="Q12" s="46"/>
      <c r="R12" s="47"/>
      <c r="S12" s="47"/>
      <c r="T12" s="69"/>
      <c r="U12" s="33"/>
      <c r="V12" s="33"/>
      <c r="W12" s="33"/>
      <c r="X12" s="33"/>
      <c r="Y12" s="33"/>
    </row>
    <row r="13" spans="1:25" s="7" customFormat="1" ht="14">
      <c r="A13" s="33"/>
      <c r="B13" s="16">
        <v>10</v>
      </c>
      <c r="C13" s="105"/>
      <c r="D13" s="105"/>
      <c r="E13" s="14"/>
      <c r="F13" s="83"/>
      <c r="G13" s="8"/>
      <c r="H13" s="9"/>
      <c r="I13" s="24"/>
      <c r="J13" s="33"/>
      <c r="K13" s="33"/>
      <c r="L13" s="43">
        <v>10</v>
      </c>
      <c r="M13" s="44">
        <v>45167</v>
      </c>
      <c r="N13" s="45"/>
      <c r="O13" s="37"/>
      <c r="P13" s="56"/>
      <c r="Q13" s="46"/>
      <c r="R13" s="47"/>
      <c r="S13" s="47"/>
      <c r="T13" s="69"/>
      <c r="U13" s="33"/>
      <c r="V13" s="33"/>
      <c r="W13" s="33"/>
      <c r="X13" s="33"/>
      <c r="Y13" s="33"/>
    </row>
    <row r="14" spans="1:25" s="7" customFormat="1" ht="14">
      <c r="A14" s="33"/>
      <c r="B14" s="16">
        <v>11</v>
      </c>
      <c r="C14" s="105"/>
      <c r="D14" s="13"/>
      <c r="E14" s="14"/>
      <c r="F14" s="14"/>
      <c r="G14" s="8"/>
      <c r="H14" s="9"/>
      <c r="I14" s="24"/>
      <c r="J14" s="33"/>
      <c r="K14" s="33"/>
      <c r="L14" s="16">
        <v>11</v>
      </c>
      <c r="M14" s="23"/>
      <c r="N14" s="13"/>
      <c r="O14" s="14"/>
      <c r="P14" s="14"/>
      <c r="Q14" s="8"/>
      <c r="R14" s="9"/>
      <c r="S14" s="9"/>
      <c r="T14" s="67"/>
      <c r="U14" s="33"/>
      <c r="V14" s="33"/>
      <c r="W14" s="33"/>
      <c r="X14" s="33"/>
      <c r="Y14" s="33"/>
    </row>
    <row r="15" spans="1:25" s="7" customFormat="1" ht="14">
      <c r="A15" s="33"/>
      <c r="B15" s="16">
        <v>12</v>
      </c>
      <c r="C15" s="105"/>
      <c r="D15" s="105"/>
      <c r="E15" s="14"/>
      <c r="F15" s="9"/>
      <c r="G15" s="8"/>
      <c r="H15" s="8"/>
      <c r="I15" s="24"/>
      <c r="J15" s="33"/>
      <c r="K15" s="33"/>
      <c r="L15" s="16"/>
      <c r="M15" s="23"/>
      <c r="N15" s="13"/>
      <c r="O15" s="14"/>
      <c r="P15" s="9"/>
      <c r="Q15" s="8"/>
      <c r="R15" s="8"/>
      <c r="S15" s="8"/>
      <c r="T15" s="67"/>
      <c r="U15" s="33"/>
      <c r="V15" s="33"/>
      <c r="W15" s="33"/>
      <c r="X15" s="33"/>
      <c r="Y15" s="33"/>
    </row>
    <row r="16" spans="1:25" s="7" customFormat="1" ht="14">
      <c r="A16" s="33"/>
      <c r="B16" s="16">
        <v>13</v>
      </c>
      <c r="C16" s="124"/>
      <c r="D16" s="13"/>
      <c r="E16" s="14"/>
      <c r="F16" s="9"/>
      <c r="G16" s="41"/>
      <c r="H16" s="42"/>
      <c r="I16" s="24"/>
      <c r="J16" s="33"/>
      <c r="K16" s="33"/>
      <c r="L16" s="16"/>
      <c r="M16" s="40"/>
      <c r="N16" s="13"/>
      <c r="O16" s="14"/>
      <c r="P16" s="9"/>
      <c r="Q16" s="41"/>
      <c r="R16" s="42"/>
      <c r="S16" s="42"/>
      <c r="T16" s="67"/>
      <c r="U16" s="33"/>
      <c r="V16" s="33"/>
      <c r="W16" s="33"/>
      <c r="X16" s="33"/>
      <c r="Y16" s="33"/>
    </row>
    <row r="17" spans="1:25" s="7" customFormat="1" ht="14">
      <c r="A17" s="33"/>
      <c r="B17" s="16">
        <v>14</v>
      </c>
      <c r="C17" s="124"/>
      <c r="D17" s="13"/>
      <c r="E17" s="14"/>
      <c r="F17" s="14"/>
      <c r="G17" s="8"/>
      <c r="I17" s="24"/>
      <c r="J17" s="33"/>
      <c r="K17" s="33"/>
      <c r="L17" s="16"/>
      <c r="M17" s="40"/>
      <c r="N17" s="13"/>
      <c r="O17" s="14"/>
      <c r="P17" s="8"/>
      <c r="Q17" s="8"/>
      <c r="S17" s="8"/>
      <c r="T17" s="70"/>
      <c r="U17" s="33"/>
      <c r="V17" s="33"/>
      <c r="W17" s="33"/>
      <c r="X17" s="33"/>
      <c r="Y17" s="33"/>
    </row>
    <row r="18" spans="1:25" s="7" customFormat="1" ht="14">
      <c r="A18" s="33"/>
      <c r="B18" s="16">
        <v>15</v>
      </c>
      <c r="C18" s="124"/>
      <c r="D18" s="124"/>
      <c r="E18" s="14"/>
      <c r="F18" s="8"/>
      <c r="G18" s="8"/>
      <c r="H18" s="14"/>
      <c r="I18" s="24"/>
      <c r="J18" s="33"/>
      <c r="K18" s="33"/>
      <c r="L18" s="16"/>
      <c r="M18" s="40"/>
      <c r="N18" s="13"/>
      <c r="O18" s="14"/>
      <c r="P18" s="8"/>
      <c r="Q18" s="8"/>
      <c r="R18" s="14"/>
      <c r="S18" s="14"/>
      <c r="T18" s="71"/>
      <c r="U18" s="33"/>
      <c r="V18" s="33"/>
      <c r="W18" s="33"/>
      <c r="X18" s="33"/>
      <c r="Y18" s="33"/>
    </row>
    <row r="19" spans="1:25" s="7" customFormat="1" ht="14">
      <c r="A19" s="33"/>
      <c r="B19" s="16">
        <v>16</v>
      </c>
      <c r="C19" s="105"/>
      <c r="D19" s="13"/>
      <c r="E19" s="14"/>
      <c r="F19" s="104"/>
      <c r="G19" s="8"/>
      <c r="H19" s="8"/>
      <c r="I19" s="24"/>
      <c r="J19" s="33"/>
      <c r="K19" s="33"/>
      <c r="L19" s="16"/>
      <c r="M19" s="23"/>
      <c r="N19" s="13"/>
      <c r="O19" s="14"/>
      <c r="P19" s="57"/>
      <c r="Q19" s="8"/>
      <c r="R19" s="8"/>
      <c r="S19" s="8"/>
      <c r="T19" s="67"/>
      <c r="U19" s="33"/>
      <c r="V19" s="33"/>
      <c r="W19" s="33"/>
      <c r="X19" s="33"/>
      <c r="Y19" s="33"/>
    </row>
    <row r="20" spans="1:25" s="7" customFormat="1" ht="14">
      <c r="A20" s="33"/>
      <c r="B20" s="43">
        <v>17</v>
      </c>
      <c r="C20" s="128"/>
      <c r="D20" s="45"/>
      <c r="E20" s="37"/>
      <c r="F20" s="47"/>
      <c r="G20" s="46"/>
      <c r="H20" s="46"/>
      <c r="I20" s="48"/>
      <c r="J20" s="33"/>
      <c r="K20" s="33"/>
      <c r="L20" s="16"/>
      <c r="M20" s="23"/>
      <c r="N20" s="13"/>
      <c r="O20" s="60"/>
      <c r="P20" s="9"/>
      <c r="Q20" s="8"/>
      <c r="R20" s="8"/>
      <c r="S20" s="8"/>
      <c r="T20" s="72"/>
      <c r="U20" s="33"/>
      <c r="V20" s="33"/>
      <c r="W20" s="33"/>
      <c r="X20" s="33"/>
      <c r="Y20" s="33"/>
    </row>
    <row r="21" spans="1:25" s="7" customFormat="1" ht="14">
      <c r="A21" s="33"/>
      <c r="B21" s="16">
        <v>18</v>
      </c>
      <c r="C21" s="105"/>
      <c r="D21" s="13"/>
      <c r="E21" s="54"/>
      <c r="F21" s="9"/>
      <c r="G21" s="8"/>
      <c r="H21" s="14"/>
      <c r="I21" s="24"/>
      <c r="J21" s="33"/>
      <c r="K21" s="33"/>
      <c r="L21" s="16"/>
      <c r="M21" s="23"/>
      <c r="N21" s="13"/>
      <c r="O21" s="60"/>
      <c r="P21" s="9"/>
      <c r="Q21" s="8"/>
      <c r="R21" s="8"/>
      <c r="S21" s="8"/>
      <c r="T21" s="72"/>
      <c r="U21" s="33"/>
      <c r="V21" s="33"/>
      <c r="W21" s="33"/>
      <c r="X21" s="33"/>
      <c r="Y21" s="33"/>
    </row>
    <row r="22" spans="1:25" s="7" customFormat="1" ht="14">
      <c r="A22" s="33"/>
      <c r="B22" s="16">
        <v>19</v>
      </c>
      <c r="C22" s="105"/>
      <c r="D22" s="13"/>
      <c r="E22" s="54"/>
      <c r="F22" s="9"/>
      <c r="G22" s="8"/>
      <c r="H22" s="14"/>
      <c r="I22" s="24"/>
      <c r="J22" s="33"/>
      <c r="K22" s="33"/>
      <c r="L22" s="16"/>
      <c r="M22" s="23"/>
      <c r="N22" s="13"/>
      <c r="O22" s="60"/>
      <c r="P22" s="9"/>
      <c r="Q22" s="8"/>
      <c r="R22" s="8"/>
      <c r="S22" s="8"/>
      <c r="T22" s="72"/>
      <c r="U22" s="33"/>
      <c r="V22" s="33"/>
      <c r="W22" s="33"/>
      <c r="X22" s="33"/>
      <c r="Y22" s="33"/>
    </row>
    <row r="23" spans="1:25" s="7" customFormat="1" ht="14">
      <c r="A23" s="33"/>
      <c r="B23" s="16">
        <v>20</v>
      </c>
      <c r="C23" s="105"/>
      <c r="D23" s="13"/>
      <c r="E23" s="54"/>
      <c r="F23" s="9"/>
      <c r="G23" s="8"/>
      <c r="H23" s="14"/>
      <c r="I23" s="24"/>
      <c r="J23" s="33"/>
      <c r="K23" s="33"/>
      <c r="L23" s="16"/>
      <c r="M23" s="23"/>
      <c r="N23" s="13"/>
      <c r="O23" s="60"/>
      <c r="P23" s="9"/>
      <c r="Q23" s="8"/>
      <c r="R23" s="8"/>
      <c r="S23" s="8"/>
      <c r="T23" s="72"/>
      <c r="U23" s="33"/>
      <c r="V23" s="33"/>
      <c r="W23" s="33"/>
      <c r="X23" s="33"/>
      <c r="Y23" s="33"/>
    </row>
    <row r="24" spans="1:25" s="7" customFormat="1" ht="14">
      <c r="A24" s="33"/>
      <c r="B24" s="16">
        <v>21</v>
      </c>
      <c r="C24" s="105"/>
      <c r="D24" s="13"/>
      <c r="E24" s="54"/>
      <c r="F24" s="9"/>
      <c r="G24" s="8"/>
      <c r="H24" s="14"/>
      <c r="I24" s="24"/>
      <c r="J24" s="33"/>
      <c r="K24" s="33"/>
      <c r="L24" s="16"/>
      <c r="M24" s="23"/>
      <c r="N24" s="13"/>
      <c r="O24" s="60"/>
      <c r="P24" s="9"/>
      <c r="Q24" s="8"/>
      <c r="R24" s="8"/>
      <c r="S24" s="8"/>
      <c r="T24" s="72"/>
      <c r="U24" s="33"/>
      <c r="V24" s="33"/>
      <c r="W24" s="33"/>
      <c r="X24" s="33"/>
      <c r="Y24" s="33"/>
    </row>
    <row r="25" spans="1:25" s="7" customFormat="1" ht="14">
      <c r="A25" s="33"/>
      <c r="B25" s="16">
        <v>22</v>
      </c>
      <c r="C25" s="105"/>
      <c r="D25" s="13"/>
      <c r="E25" s="54"/>
      <c r="F25" s="9"/>
      <c r="G25" s="8"/>
      <c r="H25" s="8"/>
      <c r="I25" s="24"/>
      <c r="J25" s="33"/>
      <c r="K25" s="33"/>
      <c r="L25" s="16"/>
      <c r="M25" s="23"/>
      <c r="N25" s="13"/>
      <c r="O25" s="60"/>
      <c r="P25" s="9"/>
      <c r="Q25" s="8"/>
      <c r="R25" s="8"/>
      <c r="S25" s="8"/>
      <c r="T25" s="72"/>
      <c r="U25" s="33"/>
      <c r="V25" s="33"/>
      <c r="W25" s="33"/>
      <c r="X25" s="33"/>
      <c r="Y25" s="33"/>
    </row>
    <row r="26" spans="1:25" s="7" customFormat="1" ht="14">
      <c r="A26" s="33"/>
      <c r="B26" s="16">
        <v>23</v>
      </c>
      <c r="C26" s="105"/>
      <c r="D26" s="13"/>
      <c r="E26" s="14"/>
      <c r="F26" s="9"/>
      <c r="G26" s="8"/>
      <c r="H26" s="8"/>
      <c r="I26" s="24"/>
      <c r="J26" s="33"/>
      <c r="K26" s="33"/>
      <c r="L26" s="16"/>
      <c r="M26" s="23"/>
      <c r="N26" s="13"/>
      <c r="O26" s="60"/>
      <c r="P26" s="58"/>
      <c r="Q26" s="8"/>
      <c r="R26" s="8"/>
      <c r="S26" s="8"/>
      <c r="T26" s="67"/>
      <c r="U26" s="33"/>
      <c r="V26" s="33"/>
      <c r="W26" s="33"/>
      <c r="X26" s="33"/>
      <c r="Y26" s="33"/>
    </row>
    <row r="27" spans="1:25" s="7" customFormat="1" ht="14">
      <c r="A27" s="33"/>
      <c r="B27" s="16">
        <v>24</v>
      </c>
      <c r="C27" s="105"/>
      <c r="D27" s="13"/>
      <c r="E27" s="14"/>
      <c r="F27" s="9"/>
      <c r="G27" s="8"/>
      <c r="H27" s="14"/>
      <c r="I27" s="24"/>
      <c r="J27" s="33"/>
      <c r="K27" s="33"/>
      <c r="L27" s="16"/>
      <c r="M27" s="23"/>
      <c r="N27" s="13"/>
      <c r="O27" s="14"/>
      <c r="P27" s="9"/>
      <c r="Q27" s="8"/>
      <c r="R27" s="14"/>
      <c r="S27" s="14"/>
      <c r="T27" s="72"/>
      <c r="U27" s="33"/>
      <c r="V27" s="33"/>
      <c r="W27" s="33"/>
      <c r="X27" s="33"/>
      <c r="Y27" s="33"/>
    </row>
    <row r="28" spans="1:25" s="7" customFormat="1" ht="14">
      <c r="A28" s="33"/>
      <c r="B28" s="16">
        <v>25</v>
      </c>
      <c r="C28" s="130"/>
      <c r="D28" s="131"/>
      <c r="E28" s="54"/>
      <c r="F28" s="93"/>
      <c r="G28" s="92"/>
      <c r="H28" s="54"/>
      <c r="I28" s="132"/>
      <c r="J28" s="33"/>
      <c r="K28" s="33"/>
      <c r="L28" s="16"/>
      <c r="M28" s="23"/>
      <c r="N28" s="13"/>
      <c r="O28" s="14"/>
      <c r="P28" s="9"/>
      <c r="Q28" s="8"/>
      <c r="R28" s="14"/>
      <c r="S28" s="14"/>
      <c r="T28" s="72"/>
      <c r="U28" s="33"/>
      <c r="V28" s="33"/>
      <c r="W28" s="33"/>
      <c r="X28" s="33"/>
      <c r="Y28" s="33"/>
    </row>
    <row r="29" spans="1:25" s="7" customFormat="1" ht="14">
      <c r="A29" s="33"/>
      <c r="B29" s="16">
        <v>26</v>
      </c>
      <c r="C29" s="130"/>
      <c r="D29" s="131"/>
      <c r="E29" s="54"/>
      <c r="F29" s="93"/>
      <c r="G29" s="92"/>
      <c r="H29" s="92"/>
      <c r="I29" s="132"/>
      <c r="J29" s="33"/>
      <c r="K29" s="33"/>
      <c r="L29" s="16"/>
      <c r="M29" s="23"/>
      <c r="N29" s="13"/>
      <c r="O29" s="14"/>
      <c r="P29" s="9"/>
      <c r="Q29" s="8"/>
      <c r="R29" s="8"/>
      <c r="S29" s="8"/>
      <c r="T29" s="67"/>
      <c r="U29" s="33"/>
      <c r="V29" s="33"/>
      <c r="W29" s="33"/>
      <c r="X29" s="33"/>
      <c r="Y29" s="33"/>
    </row>
    <row r="30" spans="1:25" s="7" customFormat="1" ht="27" customHeight="1">
      <c r="A30" s="33"/>
      <c r="B30" s="16">
        <v>27</v>
      </c>
      <c r="C30" s="130"/>
      <c r="D30" s="131"/>
      <c r="E30" s="54"/>
      <c r="F30" s="93"/>
      <c r="G30" s="92"/>
      <c r="H30" s="92"/>
      <c r="I30" s="132"/>
      <c r="J30" s="33"/>
      <c r="K30" s="33"/>
      <c r="L30" s="16"/>
      <c r="M30" s="23"/>
      <c r="N30" s="13"/>
      <c r="O30" s="14"/>
      <c r="P30" s="9"/>
      <c r="Q30" s="8"/>
      <c r="R30" s="8"/>
      <c r="S30" s="8"/>
      <c r="T30" s="67"/>
      <c r="U30" s="33"/>
      <c r="V30" s="33"/>
      <c r="W30" s="33"/>
      <c r="X30" s="33"/>
      <c r="Y30" s="33"/>
    </row>
    <row r="31" spans="1:25" s="7" customFormat="1" ht="24.75" customHeight="1">
      <c r="A31" s="33"/>
      <c r="B31" s="16">
        <v>28</v>
      </c>
      <c r="C31" s="130"/>
      <c r="D31" s="131"/>
      <c r="E31" s="54"/>
      <c r="F31" s="93"/>
      <c r="G31" s="92"/>
      <c r="H31" s="92"/>
      <c r="I31" s="132"/>
      <c r="J31" s="33"/>
      <c r="K31" s="33"/>
      <c r="L31" s="16"/>
      <c r="M31" s="23"/>
      <c r="N31" s="13"/>
      <c r="O31" s="14"/>
      <c r="P31" s="9"/>
      <c r="Q31" s="8"/>
      <c r="R31" s="8"/>
      <c r="S31" s="8"/>
      <c r="T31" s="67"/>
      <c r="U31" s="33"/>
      <c r="V31" s="33"/>
      <c r="W31" s="33"/>
      <c r="X31" s="33"/>
      <c r="Y31" s="33"/>
    </row>
    <row r="32" spans="1:25" s="7" customFormat="1" ht="14">
      <c r="A32" s="33"/>
      <c r="B32" s="16">
        <v>29</v>
      </c>
      <c r="C32" s="105"/>
      <c r="D32" s="13"/>
      <c r="E32" s="14"/>
      <c r="F32" s="14"/>
      <c r="G32" s="8"/>
      <c r="H32" s="9"/>
      <c r="I32" s="24"/>
      <c r="J32" s="33"/>
      <c r="K32" s="33"/>
      <c r="L32" s="16"/>
      <c r="M32" s="23"/>
      <c r="N32" s="13"/>
      <c r="O32" s="14"/>
      <c r="P32" s="14"/>
      <c r="Q32" s="8"/>
      <c r="R32" s="9"/>
      <c r="S32" s="9"/>
      <c r="T32" s="67"/>
      <c r="U32" s="33"/>
      <c r="V32" s="33"/>
      <c r="W32" s="33"/>
      <c r="X32" s="33"/>
      <c r="Y32" s="33"/>
    </row>
    <row r="33" spans="1:25" s="7" customFormat="1" ht="27.75" customHeight="1">
      <c r="A33" s="33"/>
      <c r="B33" s="16">
        <v>30</v>
      </c>
      <c r="C33" s="105"/>
      <c r="D33" s="13"/>
      <c r="E33" s="35"/>
      <c r="F33" s="78"/>
      <c r="G33" s="8"/>
      <c r="H33" s="9"/>
      <c r="I33" s="24"/>
      <c r="J33" s="33"/>
      <c r="K33" s="33"/>
      <c r="L33" s="16"/>
      <c r="M33" s="23"/>
      <c r="N33" s="13"/>
      <c r="O33" s="14"/>
      <c r="P33" s="14"/>
      <c r="Q33" s="8"/>
      <c r="R33" s="9"/>
      <c r="S33" s="9"/>
      <c r="T33" s="67"/>
      <c r="U33" s="33"/>
      <c r="V33" s="33"/>
      <c r="W33" s="33"/>
      <c r="X33" s="33"/>
      <c r="Y33" s="33"/>
    </row>
    <row r="34" spans="1:25" s="7" customFormat="1" ht="14">
      <c r="A34" s="33"/>
      <c r="B34" s="16">
        <v>31</v>
      </c>
      <c r="C34" s="105"/>
      <c r="D34" s="13"/>
      <c r="E34" s="14"/>
      <c r="F34" s="14"/>
      <c r="G34" s="8"/>
      <c r="H34" s="9"/>
      <c r="I34" s="24"/>
      <c r="J34" s="33"/>
      <c r="K34" s="33"/>
      <c r="L34" s="16"/>
      <c r="M34" s="23"/>
      <c r="N34" s="13"/>
      <c r="O34" s="14"/>
      <c r="P34" s="14"/>
      <c r="Q34" s="8"/>
      <c r="R34" s="9"/>
      <c r="S34" s="9"/>
      <c r="T34" s="67"/>
      <c r="U34" s="33"/>
      <c r="V34" s="33"/>
      <c r="W34" s="33"/>
      <c r="X34" s="33"/>
      <c r="Y34" s="33"/>
    </row>
    <row r="35" spans="1:25" s="7" customFormat="1" ht="26.25" customHeight="1">
      <c r="A35" s="33"/>
      <c r="B35" s="16">
        <v>32</v>
      </c>
      <c r="C35" s="105"/>
      <c r="D35" s="13"/>
      <c r="E35" s="14"/>
      <c r="F35" s="14"/>
      <c r="G35" s="8"/>
      <c r="H35" s="9"/>
      <c r="I35" s="24"/>
      <c r="J35" s="33"/>
      <c r="K35" s="33"/>
      <c r="L35" s="16"/>
      <c r="M35" s="23"/>
      <c r="N35" s="13"/>
      <c r="O35" s="14"/>
      <c r="P35" s="14"/>
      <c r="Q35" s="8"/>
      <c r="R35" s="9"/>
      <c r="S35" s="9"/>
      <c r="T35" s="67"/>
      <c r="U35" s="33"/>
      <c r="V35" s="33"/>
      <c r="W35" s="33"/>
      <c r="X35" s="33"/>
      <c r="Y35" s="33"/>
    </row>
    <row r="36" spans="1:25" s="7" customFormat="1" ht="26.25" customHeight="1">
      <c r="A36" s="33"/>
      <c r="B36" s="16">
        <v>33</v>
      </c>
      <c r="C36" s="105"/>
      <c r="D36" s="13"/>
      <c r="E36" s="14"/>
      <c r="F36" s="14"/>
      <c r="G36" s="8"/>
      <c r="H36" s="9"/>
      <c r="I36" s="24"/>
      <c r="J36" s="33"/>
      <c r="K36" s="33"/>
      <c r="L36" s="16"/>
      <c r="M36" s="23"/>
      <c r="N36" s="13"/>
      <c r="O36" s="14"/>
      <c r="P36" s="14"/>
      <c r="Q36" s="8"/>
      <c r="R36" s="9"/>
      <c r="S36" s="9"/>
      <c r="T36" s="67"/>
      <c r="U36" s="33"/>
      <c r="V36" s="33"/>
      <c r="W36" s="33"/>
      <c r="X36" s="33"/>
      <c r="Y36" s="33"/>
    </row>
    <row r="37" spans="1:25" s="7" customFormat="1" ht="26.25" customHeight="1">
      <c r="A37" s="33"/>
      <c r="B37" s="16">
        <v>34</v>
      </c>
      <c r="C37" s="105"/>
      <c r="D37" s="13"/>
      <c r="E37" s="14"/>
      <c r="F37" s="14"/>
      <c r="G37" s="8"/>
      <c r="H37" s="9"/>
      <c r="I37" s="24"/>
      <c r="J37" s="33"/>
      <c r="K37" s="33"/>
      <c r="L37" s="16"/>
      <c r="M37" s="23"/>
      <c r="N37" s="13"/>
      <c r="O37" s="14"/>
      <c r="P37" s="14"/>
      <c r="Q37" s="8"/>
      <c r="R37" s="9"/>
      <c r="S37" s="9"/>
      <c r="T37" s="67"/>
      <c r="U37" s="33"/>
      <c r="V37" s="33"/>
      <c r="W37" s="33"/>
      <c r="X37" s="33"/>
      <c r="Y37" s="33"/>
    </row>
    <row r="38" spans="1:25" s="7" customFormat="1" ht="26.25" customHeight="1">
      <c r="A38" s="33"/>
      <c r="B38" s="16">
        <v>35</v>
      </c>
      <c r="C38" s="105"/>
      <c r="D38" s="13"/>
      <c r="E38" s="14"/>
      <c r="F38" s="14"/>
      <c r="G38" s="8"/>
      <c r="H38" s="9"/>
      <c r="I38" s="24"/>
      <c r="J38" s="33"/>
      <c r="K38" s="33"/>
      <c r="L38" s="16"/>
      <c r="M38" s="23"/>
      <c r="N38" s="13"/>
      <c r="O38" s="14"/>
      <c r="P38" s="14"/>
      <c r="Q38" s="8"/>
      <c r="R38" s="9"/>
      <c r="S38" s="9"/>
      <c r="T38" s="67"/>
      <c r="U38" s="33"/>
      <c r="V38" s="33"/>
      <c r="W38" s="33"/>
      <c r="X38" s="33"/>
      <c r="Y38" s="33"/>
    </row>
    <row r="39" spans="1:25" s="7" customFormat="1" ht="26.25" customHeight="1">
      <c r="A39" s="33"/>
      <c r="B39" s="16">
        <v>36</v>
      </c>
      <c r="C39" s="105"/>
      <c r="D39" s="13"/>
      <c r="E39" s="14"/>
      <c r="F39" s="14"/>
      <c r="G39" s="8"/>
      <c r="H39" s="9"/>
      <c r="I39" s="24"/>
      <c r="J39" s="33"/>
      <c r="K39" s="33"/>
      <c r="L39" s="16"/>
      <c r="M39" s="23"/>
      <c r="N39" s="13"/>
      <c r="O39" s="14"/>
      <c r="P39" s="14"/>
      <c r="Q39" s="8"/>
      <c r="R39" s="9"/>
      <c r="S39" s="9"/>
      <c r="T39" s="67"/>
      <c r="U39" s="33"/>
      <c r="V39" s="33"/>
      <c r="W39" s="33"/>
      <c r="X39" s="33"/>
      <c r="Y39" s="33"/>
    </row>
    <row r="40" spans="1:25" s="7" customFormat="1" ht="26.25" customHeight="1">
      <c r="A40" s="33"/>
      <c r="B40" s="16">
        <v>37</v>
      </c>
      <c r="C40" s="105"/>
      <c r="D40" s="13"/>
      <c r="E40" s="14"/>
      <c r="F40" s="14"/>
      <c r="G40" s="8"/>
      <c r="H40" s="9"/>
      <c r="I40" s="24"/>
      <c r="J40" s="33"/>
      <c r="K40" s="33"/>
      <c r="L40" s="16"/>
      <c r="M40" s="23"/>
      <c r="N40" s="13"/>
      <c r="O40" s="14"/>
      <c r="P40" s="14"/>
      <c r="Q40" s="8"/>
      <c r="R40" s="9"/>
      <c r="S40" s="9"/>
      <c r="T40" s="67"/>
      <c r="U40" s="33"/>
      <c r="V40" s="33"/>
      <c r="W40" s="33"/>
      <c r="X40" s="33"/>
      <c r="Y40" s="33"/>
    </row>
    <row r="41" spans="1:25" s="7" customFormat="1" ht="26.25" customHeight="1">
      <c r="A41" s="33"/>
      <c r="B41" s="16">
        <v>38</v>
      </c>
      <c r="C41" s="105"/>
      <c r="D41" s="13"/>
      <c r="E41" s="14"/>
      <c r="F41" s="14"/>
      <c r="G41" s="8"/>
      <c r="H41" s="9"/>
      <c r="I41" s="24"/>
      <c r="J41" s="33"/>
      <c r="K41" s="33"/>
      <c r="L41" s="16"/>
      <c r="M41" s="23"/>
      <c r="N41" s="13"/>
      <c r="O41" s="14"/>
      <c r="P41" s="14"/>
      <c r="Q41" s="8"/>
      <c r="R41" s="9"/>
      <c r="S41" s="9"/>
      <c r="T41" s="67"/>
      <c r="U41" s="33"/>
      <c r="V41" s="33"/>
      <c r="W41" s="33"/>
      <c r="X41" s="33"/>
      <c r="Y41" s="33"/>
    </row>
    <row r="42" spans="1:25" s="7" customFormat="1" ht="26.25" customHeight="1">
      <c r="A42" s="33"/>
      <c r="B42" s="16">
        <v>39</v>
      </c>
      <c r="C42" s="105"/>
      <c r="D42" s="13"/>
      <c r="E42" s="14"/>
      <c r="F42" s="14"/>
      <c r="G42" s="8"/>
      <c r="H42" s="9"/>
      <c r="I42" s="24"/>
      <c r="J42" s="33"/>
      <c r="K42" s="33"/>
      <c r="L42" s="16"/>
      <c r="M42" s="23"/>
      <c r="N42" s="13"/>
      <c r="O42" s="14"/>
      <c r="P42" s="14"/>
      <c r="Q42" s="8"/>
      <c r="R42" s="9"/>
      <c r="S42" s="9"/>
      <c r="T42" s="67"/>
      <c r="U42" s="33"/>
      <c r="V42" s="33"/>
      <c r="W42" s="33"/>
      <c r="X42" s="33"/>
      <c r="Y42" s="33"/>
    </row>
    <row r="43" spans="1:25" s="7" customFormat="1" ht="26.25" customHeight="1">
      <c r="A43" s="33"/>
      <c r="B43" s="16">
        <v>40</v>
      </c>
      <c r="C43" s="105"/>
      <c r="D43" s="13"/>
      <c r="E43" s="14"/>
      <c r="F43" s="14"/>
      <c r="G43" s="8"/>
      <c r="H43" s="9"/>
      <c r="I43" s="24"/>
      <c r="J43" s="33"/>
      <c r="K43" s="33"/>
      <c r="L43" s="16"/>
      <c r="M43" s="23"/>
      <c r="N43" s="13"/>
      <c r="O43" s="14"/>
      <c r="P43" s="14"/>
      <c r="Q43" s="8"/>
      <c r="R43" s="9"/>
      <c r="S43" s="9"/>
      <c r="T43" s="67"/>
      <c r="U43" s="33"/>
      <c r="V43" s="33"/>
      <c r="W43" s="33"/>
      <c r="X43" s="33"/>
      <c r="Y43" s="33"/>
    </row>
    <row r="44" spans="1:25" s="7" customFormat="1" ht="26.25" customHeight="1">
      <c r="A44" s="33"/>
      <c r="B44" s="16">
        <v>41</v>
      </c>
      <c r="C44" s="105"/>
      <c r="D44" s="13"/>
      <c r="E44" s="14"/>
      <c r="F44" s="14"/>
      <c r="G44" s="8"/>
      <c r="H44" s="9"/>
      <c r="I44" s="24"/>
      <c r="J44" s="33"/>
      <c r="K44" s="33"/>
      <c r="L44" s="16"/>
      <c r="M44" s="23"/>
      <c r="N44" s="13"/>
      <c r="O44" s="14"/>
      <c r="P44" s="14"/>
      <c r="Q44" s="8"/>
      <c r="R44" s="9"/>
      <c r="S44" s="9"/>
      <c r="T44" s="67"/>
      <c r="U44" s="33"/>
      <c r="V44" s="33"/>
      <c r="W44" s="33"/>
      <c r="X44" s="33"/>
      <c r="Y44" s="33"/>
    </row>
    <row r="45" spans="1:25" s="7" customFormat="1" ht="26.25" customHeight="1">
      <c r="A45" s="33"/>
      <c r="B45" s="16">
        <v>42</v>
      </c>
      <c r="C45" s="105"/>
      <c r="D45" s="13"/>
      <c r="E45" s="14"/>
      <c r="F45" s="14"/>
      <c r="G45" s="8"/>
      <c r="H45" s="9"/>
      <c r="I45" s="24"/>
      <c r="J45" s="33"/>
      <c r="K45" s="33"/>
      <c r="L45" s="16"/>
      <c r="M45" s="23"/>
      <c r="N45" s="13"/>
      <c r="O45" s="14"/>
      <c r="P45" s="14"/>
      <c r="Q45" s="8"/>
      <c r="R45" s="9"/>
      <c r="S45" s="9"/>
      <c r="T45" s="67"/>
      <c r="U45" s="33"/>
      <c r="V45" s="33"/>
      <c r="W45" s="33"/>
      <c r="X45" s="33"/>
      <c r="Y45" s="33"/>
    </row>
    <row r="46" spans="1:25" s="7" customFormat="1" ht="14">
      <c r="A46" s="33"/>
      <c r="B46" s="16"/>
      <c r="C46" s="105"/>
      <c r="D46" s="13"/>
      <c r="E46" s="14"/>
      <c r="F46" s="14"/>
      <c r="G46" s="8"/>
      <c r="H46" s="9"/>
      <c r="I46" s="24"/>
      <c r="J46" s="33"/>
      <c r="K46" s="33"/>
      <c r="L46" s="16"/>
      <c r="M46" s="23"/>
      <c r="N46" s="13"/>
      <c r="O46" s="14"/>
      <c r="P46" s="14"/>
      <c r="Q46" s="8"/>
      <c r="R46" s="9"/>
      <c r="S46" s="9"/>
      <c r="T46" s="67"/>
      <c r="U46" s="33"/>
      <c r="V46" s="33"/>
      <c r="W46" s="33"/>
      <c r="X46" s="33"/>
      <c r="Y46" s="33"/>
    </row>
    <row r="47" spans="1:25" s="7" customFormat="1" thickBot="1">
      <c r="A47" s="33"/>
      <c r="B47" s="17"/>
      <c r="C47" s="106"/>
      <c r="D47" s="52"/>
      <c r="E47" s="53"/>
      <c r="F47" s="28"/>
      <c r="G47" s="39"/>
      <c r="H47" s="29"/>
      <c r="I47" s="30"/>
      <c r="J47" s="33"/>
      <c r="K47" s="33"/>
      <c r="L47" s="17"/>
      <c r="M47" s="26"/>
      <c r="N47" s="27"/>
      <c r="O47" s="28"/>
      <c r="P47" s="28"/>
      <c r="Q47" s="39"/>
      <c r="R47" s="29"/>
      <c r="S47" s="29"/>
      <c r="T47" s="73"/>
      <c r="U47" s="33"/>
      <c r="V47" s="33"/>
      <c r="W47" s="33"/>
      <c r="X47" s="33"/>
      <c r="Y47" s="33"/>
    </row>
    <row r="48" spans="1:25" s="2" customFormat="1" ht="22" thickBot="1">
      <c r="A48" s="32"/>
      <c r="B48" s="367" t="s">
        <v>30</v>
      </c>
      <c r="C48" s="368"/>
      <c r="D48" s="368"/>
      <c r="E48" s="369"/>
      <c r="F48" s="370" t="s">
        <v>190</v>
      </c>
      <c r="G48" s="371"/>
      <c r="H48" s="371"/>
      <c r="I48" s="372"/>
      <c r="J48" s="32"/>
      <c r="K48" s="32"/>
      <c r="L48" s="367" t="s">
        <v>34</v>
      </c>
      <c r="M48" s="368"/>
      <c r="N48" s="368"/>
      <c r="O48" s="369"/>
      <c r="P48" s="455"/>
      <c r="Q48" s="456"/>
      <c r="R48" s="456"/>
      <c r="S48" s="456"/>
      <c r="T48" s="457"/>
      <c r="U48" s="77"/>
      <c r="V48" s="32"/>
      <c r="W48" s="32"/>
      <c r="X48" s="32"/>
      <c r="Y48" s="32"/>
    </row>
    <row r="49" spans="2:20" s="31" customFormat="1"/>
    <row r="50" spans="2:20" s="31" customFormat="1"/>
    <row r="51" spans="2:20" s="31" customFormat="1" ht="16" thickBot="1"/>
    <row r="52" spans="2:20" ht="25" thickBot="1">
      <c r="B52" s="364" t="s">
        <v>396</v>
      </c>
      <c r="C52" s="365"/>
      <c r="D52" s="365"/>
      <c r="E52" s="365"/>
      <c r="F52" s="365"/>
      <c r="G52" s="365"/>
      <c r="H52" s="365"/>
      <c r="I52" s="366"/>
      <c r="L52" s="458" t="s">
        <v>31</v>
      </c>
      <c r="M52" s="459"/>
      <c r="N52" s="459"/>
      <c r="O52" s="459"/>
      <c r="P52" s="459"/>
      <c r="Q52" s="459"/>
      <c r="R52" s="459"/>
      <c r="S52" s="459"/>
      <c r="T52" s="460"/>
    </row>
    <row r="53" spans="2:20" ht="31" thickBot="1">
      <c r="B53" s="79" t="s">
        <v>12</v>
      </c>
      <c r="C53" s="79" t="s">
        <v>22</v>
      </c>
      <c r="D53" s="80" t="s">
        <v>14</v>
      </c>
      <c r="E53" s="80" t="s">
        <v>23</v>
      </c>
      <c r="F53" s="80" t="s">
        <v>24</v>
      </c>
      <c r="G53" s="80" t="s">
        <v>20</v>
      </c>
      <c r="H53" s="80" t="s">
        <v>25</v>
      </c>
      <c r="I53" s="82" t="s">
        <v>27</v>
      </c>
      <c r="J53" s="32"/>
      <c r="K53" s="32"/>
      <c r="L53" s="65" t="s">
        <v>12</v>
      </c>
      <c r="M53" s="61" t="s">
        <v>22</v>
      </c>
      <c r="N53" s="62" t="s">
        <v>14</v>
      </c>
      <c r="O53" s="63" t="s">
        <v>23</v>
      </c>
      <c r="P53" s="63" t="s">
        <v>24</v>
      </c>
      <c r="Q53" s="63" t="s">
        <v>20</v>
      </c>
      <c r="R53" s="63" t="s">
        <v>25</v>
      </c>
      <c r="S53" s="63" t="s">
        <v>33</v>
      </c>
      <c r="T53" s="64" t="s">
        <v>32</v>
      </c>
    </row>
    <row r="54" spans="2:20" ht="30">
      <c r="B54" s="15">
        <v>1</v>
      </c>
      <c r="C54" s="18" t="s">
        <v>29</v>
      </c>
      <c r="D54" s="19" t="s">
        <v>397</v>
      </c>
      <c r="E54" s="20" t="s">
        <v>398</v>
      </c>
      <c r="F54" s="20" t="s">
        <v>399</v>
      </c>
      <c r="G54" s="38">
        <v>9</v>
      </c>
      <c r="H54" s="21" t="s">
        <v>29</v>
      </c>
      <c r="I54" s="24" t="s">
        <v>400</v>
      </c>
      <c r="J54" s="33"/>
      <c r="K54" s="33"/>
      <c r="L54" s="15"/>
      <c r="M54" s="18"/>
      <c r="N54" s="19"/>
      <c r="O54" s="20"/>
      <c r="P54" s="20"/>
      <c r="Q54" s="38"/>
      <c r="R54" s="21"/>
      <c r="S54" s="21"/>
      <c r="T54" s="19"/>
    </row>
    <row r="55" spans="2:20" ht="30">
      <c r="B55" s="16">
        <v>2</v>
      </c>
      <c r="C55" s="23" t="s">
        <v>29</v>
      </c>
      <c r="D55" s="13" t="s">
        <v>423</v>
      </c>
      <c r="E55" s="14" t="s">
        <v>424</v>
      </c>
      <c r="F55" s="14" t="s">
        <v>426</v>
      </c>
      <c r="G55" s="8">
        <v>12</v>
      </c>
      <c r="H55" s="9" t="s">
        <v>29</v>
      </c>
      <c r="I55" s="24" t="s">
        <v>400</v>
      </c>
      <c r="J55" s="59"/>
      <c r="K55" s="33"/>
      <c r="L55" s="16"/>
      <c r="M55" s="23"/>
      <c r="N55" s="13"/>
      <c r="O55" s="14"/>
      <c r="P55" s="14"/>
      <c r="Q55" s="8"/>
      <c r="R55" s="9"/>
      <c r="S55" s="9"/>
      <c r="T55" s="13"/>
    </row>
    <row r="56" spans="2:20" ht="30">
      <c r="B56" s="16">
        <v>3</v>
      </c>
      <c r="C56" s="133" t="s">
        <v>29</v>
      </c>
      <c r="D56" s="131" t="s">
        <v>427</v>
      </c>
      <c r="E56" s="54" t="s">
        <v>428</v>
      </c>
      <c r="F56" s="54" t="s">
        <v>425</v>
      </c>
      <c r="G56" s="92">
        <v>1</v>
      </c>
      <c r="H56" s="93" t="s">
        <v>29</v>
      </c>
      <c r="I56" s="134" t="s">
        <v>400</v>
      </c>
      <c r="J56" s="33"/>
      <c r="K56" s="33"/>
      <c r="L56" s="16"/>
      <c r="M56" s="23"/>
      <c r="N56" s="13"/>
      <c r="O56" s="14"/>
      <c r="P56" s="54"/>
      <c r="Q56" s="8"/>
      <c r="R56" s="9"/>
      <c r="S56" s="9"/>
      <c r="T56" s="13"/>
    </row>
    <row r="57" spans="2:20">
      <c r="B57" s="16">
        <v>4</v>
      </c>
      <c r="C57" s="133">
        <v>44810</v>
      </c>
      <c r="D57" s="131" t="s">
        <v>441</v>
      </c>
      <c r="E57" s="54" t="s">
        <v>442</v>
      </c>
      <c r="F57" s="55" t="s">
        <v>443</v>
      </c>
      <c r="G57" s="92">
        <v>5</v>
      </c>
      <c r="H57" s="93" t="s">
        <v>29</v>
      </c>
      <c r="I57" s="132" t="s">
        <v>444</v>
      </c>
      <c r="J57" s="33"/>
      <c r="K57" s="33"/>
      <c r="L57" s="16"/>
      <c r="M57" s="23"/>
      <c r="N57" s="13"/>
      <c r="O57" s="14"/>
      <c r="P57" s="55"/>
      <c r="Q57" s="8"/>
      <c r="R57" s="9"/>
      <c r="S57" s="9"/>
      <c r="T57" s="13"/>
    </row>
    <row r="58" spans="2:20">
      <c r="B58" s="16">
        <v>5</v>
      </c>
      <c r="C58" s="133" t="s">
        <v>29</v>
      </c>
      <c r="D58" s="54" t="s">
        <v>464</v>
      </c>
      <c r="E58" s="54" t="s">
        <v>465</v>
      </c>
      <c r="F58" s="54" t="s">
        <v>466</v>
      </c>
      <c r="G58" s="92">
        <v>9</v>
      </c>
      <c r="H58" s="93" t="s">
        <v>29</v>
      </c>
      <c r="I58" s="132" t="s">
        <v>400</v>
      </c>
      <c r="J58" s="33"/>
      <c r="K58" s="33"/>
      <c r="L58" s="16"/>
      <c r="M58" s="23"/>
      <c r="N58" s="13"/>
      <c r="O58" s="14"/>
      <c r="P58" s="54"/>
      <c r="Q58" s="8"/>
      <c r="R58" s="9"/>
      <c r="S58" s="9"/>
      <c r="T58" s="13"/>
    </row>
    <row r="59" spans="2:20" ht="30">
      <c r="B59" s="16">
        <v>6</v>
      </c>
      <c r="C59" s="133" t="s">
        <v>29</v>
      </c>
      <c r="D59" s="131" t="s">
        <v>475</v>
      </c>
      <c r="E59" s="135" t="s">
        <v>476</v>
      </c>
      <c r="F59" s="55" t="s">
        <v>477</v>
      </c>
      <c r="G59" s="92">
        <v>10</v>
      </c>
      <c r="H59" s="93" t="s">
        <v>29</v>
      </c>
      <c r="I59" s="132" t="s">
        <v>400</v>
      </c>
      <c r="J59" s="33"/>
      <c r="K59" s="33"/>
      <c r="L59" s="16"/>
      <c r="M59" s="23"/>
      <c r="N59" s="13"/>
      <c r="O59" s="14"/>
      <c r="P59" s="55"/>
      <c r="Q59" s="8"/>
      <c r="R59" s="9"/>
      <c r="S59" s="9"/>
      <c r="T59" s="13"/>
    </row>
    <row r="60" spans="2:20">
      <c r="B60" s="16">
        <v>7</v>
      </c>
      <c r="C60" s="34"/>
      <c r="D60" s="35"/>
      <c r="E60" s="14"/>
      <c r="F60" s="9"/>
      <c r="G60" s="14"/>
      <c r="H60" s="36"/>
      <c r="I60" s="24"/>
      <c r="J60" s="33"/>
      <c r="K60" s="33"/>
      <c r="L60" s="16"/>
      <c r="M60" s="34"/>
      <c r="N60" s="35"/>
      <c r="O60" s="14"/>
      <c r="P60" s="9"/>
      <c r="Q60" s="14"/>
      <c r="R60" s="36"/>
      <c r="S60" s="14"/>
      <c r="T60" s="35"/>
    </row>
    <row r="61" spans="2:20">
      <c r="B61" s="16">
        <v>8</v>
      </c>
      <c r="C61" s="23"/>
      <c r="D61" s="13"/>
      <c r="E61" s="14"/>
      <c r="F61" s="14"/>
      <c r="G61" s="8"/>
      <c r="H61" s="9"/>
      <c r="I61" s="24"/>
      <c r="J61" s="33"/>
      <c r="K61" s="33"/>
      <c r="L61" s="43"/>
      <c r="M61" s="44"/>
      <c r="N61" s="45"/>
      <c r="O61" s="37"/>
      <c r="P61" s="37"/>
      <c r="Q61" s="46"/>
      <c r="R61" s="47"/>
      <c r="S61" s="47"/>
      <c r="T61" s="45"/>
    </row>
    <row r="62" spans="2:20">
      <c r="B62" s="16">
        <v>9</v>
      </c>
      <c r="C62" s="23"/>
      <c r="D62" s="13"/>
      <c r="E62" s="14"/>
      <c r="F62" s="83"/>
      <c r="G62" s="8"/>
      <c r="H62" s="9"/>
      <c r="I62" s="24"/>
      <c r="J62" s="33"/>
      <c r="K62" s="33"/>
      <c r="L62" s="43"/>
      <c r="M62" s="44"/>
      <c r="N62" s="45"/>
      <c r="O62" s="37"/>
      <c r="P62" s="56"/>
      <c r="Q62" s="46"/>
      <c r="R62" s="47"/>
      <c r="S62" s="47"/>
      <c r="T62" s="45"/>
    </row>
    <row r="63" spans="2:20" ht="27" customHeight="1">
      <c r="B63" s="16">
        <v>10</v>
      </c>
      <c r="C63" s="23"/>
      <c r="D63" s="13"/>
      <c r="E63" s="14"/>
      <c r="F63" s="104"/>
      <c r="G63" s="8"/>
      <c r="H63" s="9"/>
      <c r="I63" s="24"/>
      <c r="J63" s="33"/>
      <c r="K63" s="33"/>
      <c r="L63" s="43"/>
      <c r="M63" s="44"/>
      <c r="N63" s="45"/>
      <c r="O63" s="37"/>
      <c r="P63" s="56"/>
      <c r="Q63" s="46"/>
      <c r="R63" s="47"/>
      <c r="S63" s="47"/>
      <c r="T63" s="45"/>
    </row>
    <row r="64" spans="2:20">
      <c r="B64" s="16">
        <v>11</v>
      </c>
      <c r="C64" s="23"/>
      <c r="D64" s="13"/>
      <c r="E64" s="14"/>
      <c r="F64" s="14"/>
      <c r="G64" s="8"/>
      <c r="H64" s="9"/>
      <c r="I64" s="24"/>
      <c r="J64" s="33"/>
      <c r="K64" s="33"/>
      <c r="L64" s="16"/>
      <c r="M64" s="23"/>
      <c r="N64" s="13"/>
      <c r="O64" s="14"/>
      <c r="P64" s="14"/>
      <c r="Q64" s="8"/>
      <c r="R64" s="9"/>
      <c r="S64" s="9"/>
      <c r="T64" s="13"/>
    </row>
    <row r="65" spans="2:20" ht="40.5" customHeight="1">
      <c r="B65" s="16">
        <v>12</v>
      </c>
      <c r="C65" s="23"/>
      <c r="D65" s="13"/>
      <c r="E65" s="14"/>
      <c r="F65" s="9"/>
      <c r="G65" s="8"/>
      <c r="H65" s="14"/>
      <c r="I65" s="24"/>
      <c r="J65" s="33"/>
      <c r="K65" s="33"/>
      <c r="L65" s="16"/>
      <c r="M65" s="23"/>
      <c r="N65" s="13"/>
      <c r="O65" s="14"/>
      <c r="P65" s="9"/>
      <c r="Q65" s="8"/>
      <c r="R65" s="8"/>
      <c r="S65" s="8"/>
      <c r="T65" s="13"/>
    </row>
    <row r="66" spans="2:20">
      <c r="B66" s="16">
        <v>13</v>
      </c>
      <c r="C66" s="40"/>
      <c r="D66" s="13"/>
      <c r="E66" s="14"/>
      <c r="F66" s="9"/>
      <c r="G66" s="41"/>
      <c r="H66" s="49"/>
      <c r="I66" s="24"/>
      <c r="J66" s="33"/>
      <c r="K66" s="33"/>
      <c r="L66" s="16"/>
      <c r="M66" s="40"/>
      <c r="N66" s="13"/>
      <c r="O66" s="14"/>
      <c r="P66" s="9"/>
      <c r="Q66" s="41"/>
      <c r="R66" s="42"/>
      <c r="S66" s="42"/>
      <c r="T66" s="13"/>
    </row>
    <row r="67" spans="2:20">
      <c r="B67" s="16">
        <v>14</v>
      </c>
      <c r="C67" s="40"/>
      <c r="D67" s="13"/>
      <c r="E67" s="14"/>
      <c r="F67" s="14"/>
      <c r="G67" s="8"/>
      <c r="H67" s="7"/>
      <c r="I67" s="24"/>
      <c r="J67" s="33"/>
      <c r="K67" s="33"/>
      <c r="L67" s="16"/>
      <c r="M67" s="40"/>
      <c r="N67" s="13"/>
      <c r="O67" s="14"/>
      <c r="P67" s="8"/>
      <c r="Q67" s="8"/>
      <c r="R67" s="7"/>
      <c r="S67" s="8"/>
      <c r="T67" s="49"/>
    </row>
    <row r="68" spans="2:20">
      <c r="B68" s="16">
        <v>15</v>
      </c>
      <c r="C68" s="40"/>
      <c r="D68" s="13"/>
      <c r="E68" s="14"/>
      <c r="F68" s="8"/>
      <c r="G68" s="8"/>
      <c r="H68" s="14"/>
      <c r="I68" s="24"/>
      <c r="J68" s="33"/>
      <c r="K68" s="33"/>
      <c r="L68" s="16"/>
      <c r="M68" s="40"/>
      <c r="N68" s="13"/>
      <c r="O68" s="14"/>
      <c r="P68" s="8"/>
      <c r="Q68" s="8"/>
      <c r="R68" s="14"/>
      <c r="S68" s="14"/>
      <c r="T68" s="42"/>
    </row>
    <row r="69" spans="2:20">
      <c r="B69" s="16">
        <v>16</v>
      </c>
      <c r="C69" s="23"/>
      <c r="D69" s="13"/>
      <c r="E69" s="14"/>
      <c r="F69" s="57"/>
      <c r="G69" s="8"/>
      <c r="H69" s="8"/>
      <c r="I69" s="24"/>
      <c r="J69" s="33"/>
      <c r="K69" s="33"/>
      <c r="L69" s="16"/>
      <c r="M69" s="23"/>
      <c r="N69" s="13"/>
      <c r="O69" s="14"/>
      <c r="P69" s="57"/>
      <c r="Q69" s="8"/>
      <c r="R69" s="8"/>
      <c r="S69" s="8"/>
      <c r="T69" s="13"/>
    </row>
    <row r="70" spans="2:20">
      <c r="B70" s="16">
        <v>17</v>
      </c>
      <c r="C70" s="23"/>
      <c r="D70" s="13"/>
      <c r="E70" s="14"/>
      <c r="F70" s="9"/>
      <c r="G70" s="8"/>
      <c r="H70" s="8"/>
      <c r="I70" s="24"/>
      <c r="J70" s="33"/>
      <c r="K70" s="33"/>
      <c r="L70" s="16"/>
      <c r="M70" s="23"/>
      <c r="N70" s="13"/>
      <c r="O70" s="60"/>
      <c r="P70" s="9"/>
      <c r="Q70" s="8"/>
      <c r="R70" s="8"/>
      <c r="S70" s="8"/>
      <c r="T70" s="8"/>
    </row>
    <row r="71" spans="2:20">
      <c r="B71" s="16">
        <v>18</v>
      </c>
      <c r="C71" s="23"/>
      <c r="D71" s="13"/>
      <c r="E71" s="14"/>
      <c r="F71" s="9"/>
      <c r="G71" s="8"/>
      <c r="H71" s="8"/>
      <c r="I71" s="24"/>
      <c r="J71" s="33"/>
      <c r="K71" s="33"/>
      <c r="L71" s="16"/>
      <c r="M71" s="23"/>
      <c r="N71" s="13"/>
      <c r="O71" s="60"/>
      <c r="P71" s="9"/>
      <c r="Q71" s="8"/>
      <c r="R71" s="8"/>
      <c r="S71" s="8"/>
      <c r="T71" s="8"/>
    </row>
    <row r="72" spans="2:20" ht="16" thickBot="1">
      <c r="B72" s="16">
        <v>19</v>
      </c>
      <c r="C72" s="23"/>
      <c r="D72" s="13"/>
      <c r="E72" s="14"/>
      <c r="F72" s="9"/>
      <c r="G72" s="8"/>
      <c r="H72" s="8"/>
      <c r="I72" s="24"/>
      <c r="J72" s="33"/>
      <c r="K72" s="33"/>
      <c r="L72" s="16"/>
      <c r="M72" s="23"/>
      <c r="N72" s="13"/>
      <c r="O72" s="60"/>
      <c r="P72" s="9"/>
      <c r="Q72" s="8"/>
      <c r="R72" s="8"/>
      <c r="S72" s="8"/>
      <c r="T72" s="8"/>
    </row>
    <row r="73" spans="2:20" ht="16" hidden="1" thickBot="1">
      <c r="B73" s="16">
        <v>20</v>
      </c>
      <c r="C73" s="23"/>
      <c r="D73" s="13"/>
      <c r="E73" s="14"/>
      <c r="F73" s="9"/>
      <c r="G73" s="8"/>
      <c r="H73" s="8"/>
      <c r="I73" s="24"/>
      <c r="J73" s="33"/>
      <c r="K73" s="33"/>
      <c r="L73" s="16"/>
      <c r="M73" s="23"/>
      <c r="N73" s="13"/>
      <c r="O73" s="60"/>
      <c r="P73" s="9"/>
      <c r="Q73" s="8"/>
      <c r="R73" s="8"/>
      <c r="S73" s="8"/>
      <c r="T73" s="8"/>
    </row>
    <row r="74" spans="2:20" ht="16" hidden="1" thickBot="1">
      <c r="B74" s="16">
        <v>21</v>
      </c>
      <c r="C74" s="23"/>
      <c r="D74" s="13"/>
      <c r="E74" s="14"/>
      <c r="F74" s="9"/>
      <c r="G74" s="8"/>
      <c r="H74" s="8"/>
      <c r="I74" s="24"/>
      <c r="J74" s="33"/>
      <c r="K74" s="33"/>
      <c r="L74" s="16"/>
      <c r="M74" s="23"/>
      <c r="N74" s="13"/>
      <c r="O74" s="60"/>
      <c r="P74" s="9"/>
      <c r="Q74" s="8"/>
      <c r="R74" s="8"/>
      <c r="S74" s="8"/>
      <c r="T74" s="8"/>
    </row>
    <row r="75" spans="2:20" ht="16" hidden="1" thickBot="1">
      <c r="B75" s="16">
        <v>22</v>
      </c>
      <c r="C75" s="23"/>
      <c r="D75" s="13"/>
      <c r="E75" s="14"/>
      <c r="F75" s="9"/>
      <c r="G75" s="8"/>
      <c r="H75" s="8"/>
      <c r="I75" s="24"/>
      <c r="J75" s="33"/>
      <c r="K75" s="33"/>
      <c r="L75" s="16"/>
      <c r="M75" s="23"/>
      <c r="N75" s="13"/>
      <c r="O75" s="60"/>
      <c r="P75" s="9"/>
      <c r="Q75" s="8"/>
      <c r="R75" s="8"/>
      <c r="S75" s="8"/>
      <c r="T75" s="8"/>
    </row>
    <row r="76" spans="2:20" ht="16" hidden="1" thickBot="1">
      <c r="B76" s="16">
        <v>23</v>
      </c>
      <c r="C76" s="23"/>
      <c r="D76" s="13"/>
      <c r="E76" s="14"/>
      <c r="F76" s="9"/>
      <c r="G76" s="8"/>
      <c r="H76" s="8"/>
      <c r="I76" s="24"/>
      <c r="J76" s="33"/>
      <c r="K76" s="33"/>
      <c r="L76" s="16"/>
      <c r="M76" s="23"/>
      <c r="N76" s="13"/>
      <c r="O76" s="60"/>
      <c r="P76" s="9"/>
      <c r="Q76" s="8"/>
      <c r="R76" s="8"/>
      <c r="S76" s="8"/>
      <c r="T76" s="8"/>
    </row>
    <row r="77" spans="2:20" ht="16" hidden="1" thickBot="1">
      <c r="B77" s="16">
        <v>24</v>
      </c>
      <c r="C77" s="23"/>
      <c r="D77" s="13"/>
      <c r="E77" s="14"/>
      <c r="F77" s="9"/>
      <c r="G77" s="8"/>
      <c r="H77" s="8"/>
      <c r="I77" s="24"/>
      <c r="J77" s="33"/>
      <c r="K77" s="33"/>
      <c r="L77" s="16"/>
      <c r="M77" s="23"/>
      <c r="N77" s="13"/>
      <c r="O77" s="60"/>
      <c r="P77" s="9"/>
      <c r="Q77" s="8"/>
      <c r="R77" s="8"/>
      <c r="S77" s="8"/>
      <c r="T77" s="8"/>
    </row>
    <row r="78" spans="2:20" ht="16" hidden="1" thickBot="1">
      <c r="B78" s="16">
        <v>25</v>
      </c>
      <c r="C78" s="23"/>
      <c r="D78" s="13"/>
      <c r="E78" s="14"/>
      <c r="F78" s="9"/>
      <c r="G78" s="8"/>
      <c r="H78" s="8"/>
      <c r="I78" s="24"/>
      <c r="J78" s="33"/>
      <c r="K78" s="33"/>
      <c r="L78" s="16"/>
      <c r="M78" s="23"/>
      <c r="N78" s="13"/>
      <c r="O78" s="60"/>
      <c r="P78" s="9"/>
      <c r="Q78" s="8"/>
      <c r="R78" s="8"/>
      <c r="S78" s="8"/>
      <c r="T78" s="8"/>
    </row>
    <row r="79" spans="2:20" ht="16" hidden="1" thickBot="1">
      <c r="B79" s="16">
        <v>26</v>
      </c>
      <c r="C79" s="23"/>
      <c r="D79" s="13"/>
      <c r="E79" s="14"/>
      <c r="F79" s="9"/>
      <c r="G79" s="8"/>
      <c r="H79" s="8"/>
      <c r="I79" s="24"/>
      <c r="J79" s="33"/>
      <c r="K79" s="33"/>
      <c r="L79" s="16"/>
      <c r="M79" s="23"/>
      <c r="N79" s="13"/>
      <c r="O79" s="60"/>
      <c r="P79" s="9"/>
      <c r="Q79" s="8"/>
      <c r="R79" s="8"/>
      <c r="S79" s="8"/>
      <c r="T79" s="8"/>
    </row>
    <row r="80" spans="2:20" ht="16" hidden="1" thickBot="1">
      <c r="B80" s="16">
        <v>27</v>
      </c>
      <c r="C80" s="23"/>
      <c r="D80" s="13"/>
      <c r="E80" s="14"/>
      <c r="F80" s="9"/>
      <c r="G80" s="8"/>
      <c r="H80" s="8"/>
      <c r="I80" s="24"/>
      <c r="J80" s="33"/>
      <c r="K80" s="33"/>
      <c r="L80" s="16"/>
      <c r="M80" s="23"/>
      <c r="N80" s="13"/>
      <c r="O80" s="60"/>
      <c r="P80" s="9"/>
      <c r="Q80" s="8"/>
      <c r="R80" s="8"/>
      <c r="S80" s="8"/>
      <c r="T80" s="8"/>
    </row>
    <row r="81" spans="2:20" ht="16" hidden="1" thickBot="1">
      <c r="B81" s="16">
        <v>28</v>
      </c>
      <c r="C81" s="23"/>
      <c r="D81" s="13"/>
      <c r="E81" s="14"/>
      <c r="F81" s="9"/>
      <c r="G81" s="8"/>
      <c r="H81" s="8"/>
      <c r="I81" s="24"/>
      <c r="J81" s="33"/>
      <c r="K81" s="33"/>
      <c r="L81" s="16"/>
      <c r="M81" s="23"/>
      <c r="N81" s="13"/>
      <c r="O81" s="60"/>
      <c r="P81" s="9"/>
      <c r="Q81" s="8"/>
      <c r="R81" s="8"/>
      <c r="S81" s="8"/>
      <c r="T81" s="8"/>
    </row>
    <row r="82" spans="2:20" ht="16" hidden="1" thickBot="1">
      <c r="B82" s="16">
        <v>29</v>
      </c>
      <c r="C82" s="23"/>
      <c r="D82" s="13"/>
      <c r="E82" s="14"/>
      <c r="F82" s="9"/>
      <c r="G82" s="8"/>
      <c r="H82" s="8"/>
      <c r="I82" s="24"/>
      <c r="J82" s="33"/>
      <c r="K82" s="33"/>
      <c r="L82" s="16"/>
      <c r="M82" s="23"/>
      <c r="N82" s="13"/>
      <c r="O82" s="60"/>
      <c r="P82" s="9"/>
      <c r="Q82" s="8"/>
      <c r="R82" s="8"/>
      <c r="S82" s="8"/>
      <c r="T82" s="8"/>
    </row>
    <row r="83" spans="2:20" ht="16" hidden="1" thickBot="1">
      <c r="B83" s="16">
        <v>30</v>
      </c>
      <c r="C83" s="23"/>
      <c r="D83" s="13"/>
      <c r="E83" s="14"/>
      <c r="F83" s="9"/>
      <c r="G83" s="8"/>
      <c r="H83" s="8"/>
      <c r="I83" s="24"/>
      <c r="J83" s="33"/>
      <c r="K83" s="33"/>
      <c r="L83" s="16"/>
      <c r="M83" s="23"/>
      <c r="N83" s="13"/>
      <c r="O83" s="60"/>
      <c r="P83" s="9"/>
      <c r="Q83" s="8"/>
      <c r="R83" s="8"/>
      <c r="S83" s="8"/>
      <c r="T83" s="8"/>
    </row>
    <row r="84" spans="2:20" ht="16" hidden="1" thickBot="1">
      <c r="B84" s="16">
        <v>31</v>
      </c>
      <c r="C84" s="23"/>
      <c r="D84" s="13"/>
      <c r="E84" s="14"/>
      <c r="F84" s="9"/>
      <c r="G84" s="8"/>
      <c r="H84" s="8"/>
      <c r="I84" s="24"/>
      <c r="J84" s="33"/>
      <c r="K84" s="33"/>
      <c r="L84" s="16"/>
      <c r="M84" s="23"/>
      <c r="N84" s="13"/>
      <c r="O84" s="60"/>
      <c r="P84" s="9"/>
      <c r="Q84" s="8"/>
      <c r="R84" s="8"/>
      <c r="S84" s="8"/>
      <c r="T84" s="8"/>
    </row>
    <row r="85" spans="2:20" ht="16" hidden="1" thickBot="1">
      <c r="B85" s="16">
        <v>32</v>
      </c>
      <c r="C85" s="23"/>
      <c r="D85" s="13"/>
      <c r="E85" s="14"/>
      <c r="F85" s="9"/>
      <c r="G85" s="8"/>
      <c r="H85" s="8"/>
      <c r="I85" s="24"/>
      <c r="J85" s="33"/>
      <c r="K85" s="33"/>
      <c r="L85" s="16"/>
      <c r="M85" s="23"/>
      <c r="N85" s="13"/>
      <c r="O85" s="60"/>
      <c r="P85" s="9"/>
      <c r="Q85" s="8"/>
      <c r="R85" s="8"/>
      <c r="S85" s="8"/>
      <c r="T85" s="8"/>
    </row>
    <row r="86" spans="2:20" ht="16" hidden="1" thickBot="1">
      <c r="B86" s="16">
        <v>33</v>
      </c>
      <c r="C86" s="23"/>
      <c r="D86" s="13"/>
      <c r="E86" s="14"/>
      <c r="F86" s="9"/>
      <c r="G86" s="8"/>
      <c r="H86" s="8"/>
      <c r="I86" s="24"/>
      <c r="J86" s="33"/>
      <c r="K86" s="33"/>
      <c r="L86" s="16"/>
      <c r="M86" s="23"/>
      <c r="N86" s="13"/>
      <c r="O86" s="60"/>
      <c r="P86" s="9"/>
      <c r="Q86" s="8"/>
      <c r="R86" s="8"/>
      <c r="S86" s="8"/>
      <c r="T86" s="8"/>
    </row>
    <row r="87" spans="2:20" ht="16" hidden="1" thickBot="1">
      <c r="B87" s="16">
        <v>34</v>
      </c>
      <c r="C87" s="23"/>
      <c r="D87" s="13"/>
      <c r="E87" s="14"/>
      <c r="F87" s="9"/>
      <c r="G87" s="8"/>
      <c r="H87" s="8"/>
      <c r="I87" s="24"/>
      <c r="J87" s="33"/>
      <c r="K87" s="33"/>
      <c r="L87" s="16"/>
      <c r="M87" s="23"/>
      <c r="N87" s="13"/>
      <c r="O87" s="60"/>
      <c r="P87" s="9"/>
      <c r="Q87" s="8"/>
      <c r="R87" s="8"/>
      <c r="S87" s="8"/>
      <c r="T87" s="8"/>
    </row>
    <row r="88" spans="2:20" ht="16" hidden="1" thickBot="1">
      <c r="B88" s="16">
        <v>35</v>
      </c>
      <c r="C88" s="23"/>
      <c r="D88" s="13"/>
      <c r="E88" s="14"/>
      <c r="F88" s="9"/>
      <c r="G88" s="8"/>
      <c r="H88" s="8"/>
      <c r="I88" s="24"/>
      <c r="J88" s="33"/>
      <c r="K88" s="33"/>
      <c r="L88" s="16"/>
      <c r="M88" s="23"/>
      <c r="N88" s="13"/>
      <c r="O88" s="60"/>
      <c r="P88" s="9"/>
      <c r="Q88" s="8"/>
      <c r="R88" s="8"/>
      <c r="S88" s="8"/>
      <c r="T88" s="8"/>
    </row>
    <row r="89" spans="2:20" ht="16" hidden="1" thickBot="1">
      <c r="B89" s="16">
        <v>36</v>
      </c>
      <c r="C89" s="23"/>
      <c r="D89" s="13"/>
      <c r="E89" s="14"/>
      <c r="F89" s="58"/>
      <c r="G89" s="8"/>
      <c r="H89" s="8"/>
      <c r="I89" s="24"/>
      <c r="J89" s="33"/>
      <c r="K89" s="33"/>
      <c r="L89" s="16"/>
      <c r="M89" s="23"/>
      <c r="N89" s="13"/>
      <c r="O89" s="60"/>
      <c r="P89" s="58"/>
      <c r="Q89" s="8"/>
      <c r="R89" s="8"/>
      <c r="S89" s="8"/>
      <c r="T89" s="13"/>
    </row>
    <row r="90" spans="2:20" ht="16" hidden="1" thickBot="1">
      <c r="B90" s="16">
        <v>37</v>
      </c>
      <c r="C90" s="23"/>
      <c r="D90" s="13"/>
      <c r="E90" s="14"/>
      <c r="F90" s="9"/>
      <c r="G90" s="8"/>
      <c r="H90" s="8"/>
      <c r="I90" s="24"/>
      <c r="J90" s="33"/>
      <c r="K90" s="33"/>
      <c r="L90" s="16"/>
      <c r="M90" s="23"/>
      <c r="N90" s="13"/>
      <c r="O90" s="14"/>
      <c r="P90" s="9"/>
      <c r="Q90" s="8"/>
      <c r="R90" s="8"/>
      <c r="S90" s="8"/>
      <c r="T90" s="8"/>
    </row>
    <row r="91" spans="2:20" ht="16" hidden="1" thickBot="1">
      <c r="B91" s="16">
        <v>38</v>
      </c>
      <c r="C91" s="23"/>
      <c r="D91" s="13"/>
      <c r="E91" s="14"/>
      <c r="F91" s="9"/>
      <c r="G91" s="8"/>
      <c r="H91" s="14"/>
      <c r="I91" s="24"/>
      <c r="J91" s="33"/>
      <c r="K91" s="33"/>
      <c r="L91" s="16"/>
      <c r="M91" s="23"/>
      <c r="N91" s="13"/>
      <c r="O91" s="14"/>
      <c r="P91" s="9"/>
      <c r="Q91" s="8"/>
      <c r="R91" s="14"/>
      <c r="S91" s="14"/>
      <c r="T91" s="8"/>
    </row>
    <row r="92" spans="2:20" ht="16" hidden="1" thickBot="1">
      <c r="B92" s="16">
        <v>39</v>
      </c>
      <c r="C92" s="23"/>
      <c r="D92" s="13"/>
      <c r="E92" s="14"/>
      <c r="F92" s="9"/>
      <c r="G92" s="8"/>
      <c r="H92" s="14"/>
      <c r="I92" s="24"/>
      <c r="J92" s="33"/>
      <c r="K92" s="33"/>
      <c r="L92" s="16"/>
      <c r="M92" s="23"/>
      <c r="N92" s="13"/>
      <c r="O92" s="14"/>
      <c r="P92" s="9"/>
      <c r="Q92" s="8"/>
      <c r="R92" s="14"/>
      <c r="S92" s="14"/>
      <c r="T92" s="8"/>
    </row>
    <row r="93" spans="2:20" ht="16" hidden="1" thickBot="1">
      <c r="B93" s="16">
        <v>40</v>
      </c>
      <c r="C93" s="23"/>
      <c r="D93" s="13"/>
      <c r="E93" s="14"/>
      <c r="F93" s="9"/>
      <c r="G93" s="8"/>
      <c r="H93" s="14"/>
      <c r="I93" s="24"/>
      <c r="J93" s="33"/>
      <c r="K93" s="33"/>
      <c r="L93" s="16"/>
      <c r="M93" s="23"/>
      <c r="N93" s="13"/>
      <c r="O93" s="14"/>
      <c r="P93" s="9"/>
      <c r="Q93" s="8"/>
      <c r="R93" s="14"/>
      <c r="S93" s="14"/>
      <c r="T93" s="8"/>
    </row>
    <row r="94" spans="2:20" ht="16" hidden="1" thickBot="1">
      <c r="B94" s="16">
        <v>41</v>
      </c>
      <c r="C94" s="23"/>
      <c r="D94" s="13"/>
      <c r="E94" s="14"/>
      <c r="F94" s="9"/>
      <c r="G94" s="8"/>
      <c r="H94" s="14"/>
      <c r="I94" s="24"/>
      <c r="J94" s="33"/>
      <c r="K94" s="33"/>
      <c r="L94" s="16"/>
      <c r="M94" s="23"/>
      <c r="N94" s="13"/>
      <c r="O94" s="14"/>
      <c r="P94" s="9"/>
      <c r="Q94" s="8"/>
      <c r="R94" s="14"/>
      <c r="S94" s="14"/>
      <c r="T94" s="8"/>
    </row>
    <row r="95" spans="2:20" ht="16" hidden="1" thickBot="1">
      <c r="B95" s="16">
        <v>42</v>
      </c>
      <c r="C95" s="23"/>
      <c r="D95" s="13"/>
      <c r="E95" s="14"/>
      <c r="F95" s="9"/>
      <c r="G95" s="8"/>
      <c r="H95" s="14"/>
      <c r="I95" s="24"/>
      <c r="J95" s="33"/>
      <c r="K95" s="33"/>
      <c r="L95" s="16"/>
      <c r="M95" s="23"/>
      <c r="N95" s="13"/>
      <c r="O95" s="14"/>
      <c r="P95" s="9"/>
      <c r="Q95" s="8"/>
      <c r="R95" s="14"/>
      <c r="S95" s="14"/>
      <c r="T95" s="8"/>
    </row>
    <row r="96" spans="2:20" ht="16" hidden="1" thickBot="1">
      <c r="B96" s="16">
        <v>43</v>
      </c>
      <c r="C96" s="23"/>
      <c r="D96" s="13"/>
      <c r="E96" s="14"/>
      <c r="F96" s="9"/>
      <c r="G96" s="8"/>
      <c r="H96" s="14"/>
      <c r="I96" s="24"/>
      <c r="J96" s="33"/>
      <c r="K96" s="33"/>
      <c r="L96" s="16"/>
      <c r="M96" s="23"/>
      <c r="N96" s="13"/>
      <c r="O96" s="14"/>
      <c r="P96" s="9"/>
      <c r="Q96" s="8"/>
      <c r="R96" s="14"/>
      <c r="S96" s="14"/>
      <c r="T96" s="8"/>
    </row>
    <row r="97" spans="2:21" ht="16" hidden="1" thickBot="1">
      <c r="B97" s="16">
        <v>44</v>
      </c>
      <c r="C97" s="23"/>
      <c r="D97" s="13"/>
      <c r="E97" s="14"/>
      <c r="F97" s="9"/>
      <c r="G97" s="8"/>
      <c r="H97" s="14"/>
      <c r="I97" s="24"/>
      <c r="J97" s="33"/>
      <c r="K97" s="33"/>
      <c r="L97" s="16"/>
      <c r="M97" s="23"/>
      <c r="N97" s="13"/>
      <c r="O97" s="14"/>
      <c r="P97" s="9"/>
      <c r="Q97" s="8"/>
      <c r="R97" s="14"/>
      <c r="S97" s="14"/>
      <c r="T97" s="8"/>
    </row>
    <row r="98" spans="2:21" ht="16" hidden="1" thickBot="1">
      <c r="B98" s="16">
        <v>45</v>
      </c>
      <c r="C98" s="23"/>
      <c r="D98" s="13"/>
      <c r="E98" s="14"/>
      <c r="F98" s="9"/>
      <c r="G98" s="8"/>
      <c r="H98" s="14"/>
      <c r="I98" s="24"/>
      <c r="J98" s="33"/>
      <c r="K98" s="33"/>
      <c r="L98" s="16"/>
      <c r="M98" s="23"/>
      <c r="N98" s="13"/>
      <c r="O98" s="14"/>
      <c r="P98" s="9"/>
      <c r="Q98" s="8"/>
      <c r="R98" s="14"/>
      <c r="S98" s="14"/>
      <c r="T98" s="8"/>
    </row>
    <row r="99" spans="2:21" ht="16" hidden="1" thickBot="1">
      <c r="B99" s="16">
        <v>46</v>
      </c>
      <c r="C99" s="23"/>
      <c r="D99" s="13"/>
      <c r="E99" s="14"/>
      <c r="F99" s="9"/>
      <c r="G99" s="8"/>
      <c r="H99" s="8"/>
      <c r="I99" s="24"/>
      <c r="J99" s="33"/>
      <c r="K99" s="33"/>
      <c r="L99" s="16"/>
      <c r="M99" s="23"/>
      <c r="N99" s="13"/>
      <c r="O99" s="14"/>
      <c r="P99" s="9"/>
      <c r="Q99" s="8"/>
      <c r="R99" s="8"/>
      <c r="S99" s="8"/>
      <c r="T99" s="13"/>
    </row>
    <row r="100" spans="2:21" ht="16" hidden="1" thickBot="1">
      <c r="B100" s="16">
        <v>47</v>
      </c>
      <c r="C100" s="23"/>
      <c r="D100" s="13"/>
      <c r="E100" s="14"/>
      <c r="F100" s="9"/>
      <c r="G100" s="8"/>
      <c r="H100" s="8"/>
      <c r="I100" s="24"/>
      <c r="J100" s="33"/>
      <c r="K100" s="33"/>
      <c r="L100" s="16"/>
      <c r="M100" s="23"/>
      <c r="N100" s="13"/>
      <c r="O100" s="14"/>
      <c r="P100" s="9"/>
      <c r="Q100" s="8"/>
      <c r="R100" s="8"/>
      <c r="S100" s="8"/>
      <c r="T100" s="13"/>
    </row>
    <row r="101" spans="2:21" ht="16" hidden="1" thickBot="1">
      <c r="B101" s="16">
        <v>48</v>
      </c>
      <c r="C101" s="23"/>
      <c r="D101" s="13"/>
      <c r="E101" s="14"/>
      <c r="F101" s="9"/>
      <c r="G101" s="8"/>
      <c r="H101" s="8"/>
      <c r="I101" s="24"/>
      <c r="J101" s="33"/>
      <c r="K101" s="33"/>
      <c r="L101" s="16"/>
      <c r="M101" s="23"/>
      <c r="N101" s="13"/>
      <c r="O101" s="14"/>
      <c r="P101" s="9"/>
      <c r="Q101" s="8"/>
      <c r="R101" s="8"/>
      <c r="S101" s="8"/>
      <c r="T101" s="13"/>
    </row>
    <row r="102" spans="2:21" ht="16" hidden="1" thickBot="1">
      <c r="B102" s="16">
        <v>49</v>
      </c>
      <c r="C102" s="23"/>
      <c r="D102" s="13"/>
      <c r="E102" s="14"/>
      <c r="F102" s="14"/>
      <c r="G102" s="8"/>
      <c r="H102" s="9"/>
      <c r="I102" s="24"/>
      <c r="J102" s="33"/>
      <c r="K102" s="33"/>
      <c r="L102" s="16"/>
      <c r="M102" s="23"/>
      <c r="N102" s="13"/>
      <c r="O102" s="14"/>
      <c r="P102" s="14"/>
      <c r="Q102" s="8"/>
      <c r="R102" s="9"/>
      <c r="S102" s="9"/>
      <c r="T102" s="13"/>
    </row>
    <row r="103" spans="2:21" ht="16" hidden="1" thickBot="1">
      <c r="B103" s="16">
        <v>50</v>
      </c>
      <c r="C103" s="23"/>
      <c r="D103" s="13"/>
      <c r="E103" s="14"/>
      <c r="F103" s="14"/>
      <c r="G103" s="8"/>
      <c r="H103" s="9"/>
      <c r="I103" s="24"/>
      <c r="J103" s="33"/>
      <c r="K103" s="33"/>
      <c r="L103" s="16"/>
      <c r="M103" s="23"/>
      <c r="N103" s="13"/>
      <c r="O103" s="14"/>
      <c r="P103" s="14"/>
      <c r="Q103" s="8"/>
      <c r="R103" s="9"/>
      <c r="S103" s="9"/>
      <c r="T103" s="13"/>
    </row>
    <row r="104" spans="2:21" ht="16" hidden="1" thickBot="1">
      <c r="B104" s="16">
        <v>51</v>
      </c>
      <c r="C104" s="51"/>
      <c r="D104" s="52"/>
      <c r="E104" s="53"/>
      <c r="F104" s="28"/>
      <c r="G104" s="39"/>
      <c r="H104" s="29"/>
      <c r="I104" s="30"/>
      <c r="J104" s="33"/>
      <c r="K104" s="33"/>
      <c r="L104" s="50"/>
      <c r="M104" s="51"/>
      <c r="N104" s="52"/>
      <c r="O104" s="53"/>
      <c r="P104" s="28"/>
      <c r="Q104" s="39"/>
      <c r="R104" s="29"/>
      <c r="S104" s="29"/>
      <c r="T104" s="27"/>
    </row>
    <row r="105" spans="2:21" ht="22" thickBot="1">
      <c r="B105" s="367" t="s">
        <v>30</v>
      </c>
      <c r="C105" s="368"/>
      <c r="D105" s="368"/>
      <c r="E105" s="369"/>
      <c r="F105" s="455"/>
      <c r="G105" s="456"/>
      <c r="H105" s="456"/>
      <c r="I105" s="457"/>
      <c r="J105" s="32"/>
      <c r="K105" s="32"/>
      <c r="L105" s="367" t="s">
        <v>34</v>
      </c>
      <c r="M105" s="368"/>
      <c r="N105" s="368"/>
      <c r="O105" s="369"/>
      <c r="P105" s="455"/>
      <c r="Q105" s="456"/>
      <c r="R105" s="456"/>
      <c r="S105" s="456"/>
      <c r="T105" s="457"/>
      <c r="U105" s="77"/>
    </row>
    <row r="106" spans="2:21" s="31" customFormat="1"/>
    <row r="107" spans="2:21" s="31" customFormat="1"/>
    <row r="108" spans="2:21" s="31" customFormat="1"/>
    <row r="109" spans="2:21" s="31" customFormat="1" ht="16" thickBot="1"/>
    <row r="110" spans="2:21" ht="25" thickBot="1">
      <c r="B110" s="458" t="s">
        <v>21</v>
      </c>
      <c r="C110" s="459"/>
      <c r="D110" s="459"/>
      <c r="E110" s="459"/>
      <c r="F110" s="459"/>
      <c r="G110" s="459"/>
      <c r="H110" s="459"/>
      <c r="I110" s="460"/>
      <c r="L110" s="458" t="s">
        <v>31</v>
      </c>
      <c r="M110" s="459"/>
      <c r="N110" s="459"/>
      <c r="O110" s="459"/>
      <c r="P110" s="459"/>
      <c r="Q110" s="459"/>
      <c r="R110" s="459"/>
      <c r="S110" s="459"/>
      <c r="T110" s="460"/>
    </row>
    <row r="111" spans="2:21" ht="33" thickBot="1">
      <c r="B111" s="10" t="s">
        <v>12</v>
      </c>
      <c r="C111" s="10" t="s">
        <v>22</v>
      </c>
      <c r="D111" s="11" t="s">
        <v>14</v>
      </c>
      <c r="E111" s="12" t="s">
        <v>23</v>
      </c>
      <c r="F111" s="12" t="s">
        <v>24</v>
      </c>
      <c r="G111" s="12" t="s">
        <v>20</v>
      </c>
      <c r="H111" s="12" t="s">
        <v>25</v>
      </c>
      <c r="I111" s="6" t="s">
        <v>27</v>
      </c>
      <c r="J111" s="32"/>
      <c r="K111" s="32"/>
      <c r="L111" s="65" t="s">
        <v>12</v>
      </c>
      <c r="M111" s="61" t="s">
        <v>22</v>
      </c>
      <c r="N111" s="62" t="s">
        <v>14</v>
      </c>
      <c r="O111" s="63" t="s">
        <v>23</v>
      </c>
      <c r="P111" s="63" t="s">
        <v>24</v>
      </c>
      <c r="Q111" s="63" t="s">
        <v>20</v>
      </c>
      <c r="R111" s="63" t="s">
        <v>25</v>
      </c>
      <c r="S111" s="63" t="s">
        <v>33</v>
      </c>
      <c r="T111" s="64" t="s">
        <v>32</v>
      </c>
    </row>
    <row r="112" spans="2:21">
      <c r="B112" s="15"/>
      <c r="C112" s="18"/>
      <c r="D112" s="19"/>
      <c r="E112" s="20"/>
      <c r="F112" s="20"/>
      <c r="G112" s="38"/>
      <c r="H112" s="21"/>
      <c r="I112" s="22"/>
      <c r="J112" s="33"/>
      <c r="K112" s="33"/>
      <c r="L112" s="15"/>
      <c r="M112" s="18"/>
      <c r="N112" s="19"/>
      <c r="O112" s="20"/>
      <c r="P112" s="20"/>
      <c r="Q112" s="38"/>
      <c r="R112" s="21"/>
      <c r="S112" s="21"/>
      <c r="T112" s="19"/>
    </row>
    <row r="113" spans="2:20">
      <c r="B113" s="16"/>
      <c r="C113" s="23"/>
      <c r="D113" s="13"/>
      <c r="E113" s="14"/>
      <c r="F113" s="14"/>
      <c r="G113" s="8"/>
      <c r="H113" s="9"/>
      <c r="I113" s="24"/>
      <c r="J113" s="59">
        <v>45243</v>
      </c>
      <c r="K113" s="33"/>
      <c r="L113" s="16"/>
      <c r="M113" s="23"/>
      <c r="N113" s="13"/>
      <c r="O113" s="14"/>
      <c r="P113" s="14"/>
      <c r="Q113" s="8"/>
      <c r="R113" s="9"/>
      <c r="S113" s="9"/>
      <c r="T113" s="13"/>
    </row>
    <row r="114" spans="2:20">
      <c r="B114" s="16"/>
      <c r="C114" s="23"/>
      <c r="D114" s="13"/>
      <c r="E114" s="14"/>
      <c r="F114" s="54"/>
      <c r="G114" s="8"/>
      <c r="H114" s="9"/>
      <c r="I114" s="25"/>
      <c r="J114" s="33"/>
      <c r="K114" s="33"/>
      <c r="L114" s="16"/>
      <c r="M114" s="23"/>
      <c r="N114" s="13"/>
      <c r="O114" s="14"/>
      <c r="P114" s="54"/>
      <c r="Q114" s="8"/>
      <c r="R114" s="9"/>
      <c r="S114" s="9"/>
      <c r="T114" s="13"/>
    </row>
    <row r="115" spans="2:20">
      <c r="B115" s="16"/>
      <c r="C115" s="23"/>
      <c r="D115" s="13"/>
      <c r="E115" s="14"/>
      <c r="F115" s="55"/>
      <c r="G115" s="8"/>
      <c r="H115" s="9"/>
      <c r="I115" s="24"/>
      <c r="J115" s="33"/>
      <c r="K115" s="33"/>
      <c r="L115" s="16"/>
      <c r="M115" s="23"/>
      <c r="N115" s="13"/>
      <c r="O115" s="14"/>
      <c r="P115" s="55"/>
      <c r="Q115" s="8"/>
      <c r="R115" s="9"/>
      <c r="S115" s="9"/>
      <c r="T115" s="13"/>
    </row>
    <row r="116" spans="2:20">
      <c r="B116" s="16"/>
      <c r="C116" s="23"/>
      <c r="D116" s="13"/>
      <c r="E116" s="14"/>
      <c r="F116" s="54"/>
      <c r="G116" s="8"/>
      <c r="H116" s="9"/>
      <c r="I116" s="24"/>
      <c r="J116" s="33"/>
      <c r="K116" s="33"/>
      <c r="L116" s="16"/>
      <c r="M116" s="23"/>
      <c r="N116" s="13"/>
      <c r="O116" s="14"/>
      <c r="P116" s="54"/>
      <c r="Q116" s="8"/>
      <c r="R116" s="9"/>
      <c r="S116" s="9"/>
      <c r="T116" s="13"/>
    </row>
    <row r="117" spans="2:20">
      <c r="B117" s="16"/>
      <c r="C117" s="23"/>
      <c r="D117" s="13"/>
      <c r="E117" s="14"/>
      <c r="F117" s="55"/>
      <c r="G117" s="8"/>
      <c r="H117" s="9"/>
      <c r="I117" s="24"/>
      <c r="J117" s="33"/>
      <c r="K117" s="33"/>
      <c r="L117" s="16"/>
      <c r="M117" s="23"/>
      <c r="N117" s="13"/>
      <c r="O117" s="14"/>
      <c r="P117" s="55"/>
      <c r="Q117" s="8"/>
      <c r="R117" s="9"/>
      <c r="S117" s="9"/>
      <c r="T117" s="13"/>
    </row>
    <row r="118" spans="2:20">
      <c r="B118" s="16"/>
      <c r="C118" s="34"/>
      <c r="D118" s="35"/>
      <c r="E118" s="14"/>
      <c r="F118" s="9"/>
      <c r="G118" s="14"/>
      <c r="H118" s="36"/>
      <c r="I118" s="24"/>
      <c r="J118" s="33"/>
      <c r="K118" s="33"/>
      <c r="L118" s="16"/>
      <c r="M118" s="34"/>
      <c r="N118" s="35"/>
      <c r="O118" s="14"/>
      <c r="P118" s="9"/>
      <c r="Q118" s="14"/>
      <c r="R118" s="36"/>
      <c r="S118" s="14"/>
      <c r="T118" s="35"/>
    </row>
    <row r="119" spans="2:20">
      <c r="B119" s="43"/>
      <c r="C119" s="44"/>
      <c r="D119" s="45"/>
      <c r="E119" s="37"/>
      <c r="F119" s="37"/>
      <c r="G119" s="46"/>
      <c r="H119" s="47"/>
      <c r="I119" s="48"/>
      <c r="J119" s="33"/>
      <c r="K119" s="33"/>
      <c r="L119" s="43"/>
      <c r="M119" s="44"/>
      <c r="N119" s="45"/>
      <c r="O119" s="37"/>
      <c r="P119" s="37"/>
      <c r="Q119" s="46"/>
      <c r="R119" s="47"/>
      <c r="S119" s="47"/>
      <c r="T119" s="45"/>
    </row>
    <row r="120" spans="2:20">
      <c r="B120" s="43"/>
      <c r="C120" s="44"/>
      <c r="D120" s="45"/>
      <c r="E120" s="37"/>
      <c r="F120" s="56"/>
      <c r="G120" s="46"/>
      <c r="H120" s="47"/>
      <c r="I120" s="48"/>
      <c r="J120" s="33"/>
      <c r="K120" s="33"/>
      <c r="L120" s="43"/>
      <c r="M120" s="44"/>
      <c r="N120" s="45"/>
      <c r="O120" s="37"/>
      <c r="P120" s="56"/>
      <c r="Q120" s="46"/>
      <c r="R120" s="47"/>
      <c r="S120" s="47"/>
      <c r="T120" s="45"/>
    </row>
    <row r="121" spans="2:20">
      <c r="B121" s="43"/>
      <c r="C121" s="44"/>
      <c r="D121" s="45"/>
      <c r="E121" s="37"/>
      <c r="F121" s="56"/>
      <c r="G121" s="46"/>
      <c r="H121" s="47"/>
      <c r="I121" s="48"/>
      <c r="J121" s="33"/>
      <c r="K121" s="33"/>
      <c r="L121" s="43"/>
      <c r="M121" s="44"/>
      <c r="N121" s="45"/>
      <c r="O121" s="37"/>
      <c r="P121" s="56"/>
      <c r="Q121" s="46"/>
      <c r="R121" s="47"/>
      <c r="S121" s="47"/>
      <c r="T121" s="45"/>
    </row>
    <row r="122" spans="2:20">
      <c r="B122" s="16"/>
      <c r="C122" s="23"/>
      <c r="D122" s="13"/>
      <c r="E122" s="14"/>
      <c r="F122" s="14"/>
      <c r="G122" s="8"/>
      <c r="H122" s="9"/>
      <c r="I122" s="24"/>
      <c r="J122" s="33"/>
      <c r="K122" s="33"/>
      <c r="L122" s="16"/>
      <c r="M122" s="23"/>
      <c r="N122" s="13"/>
      <c r="O122" s="14"/>
      <c r="P122" s="14"/>
      <c r="Q122" s="8"/>
      <c r="R122" s="9"/>
      <c r="S122" s="9"/>
      <c r="T122" s="13"/>
    </row>
    <row r="123" spans="2:20">
      <c r="B123" s="16"/>
      <c r="C123" s="23"/>
      <c r="D123" s="13"/>
      <c r="E123" s="14"/>
      <c r="F123" s="9"/>
      <c r="G123" s="8"/>
      <c r="H123" s="8"/>
      <c r="I123" s="24"/>
      <c r="J123" s="33"/>
      <c r="K123" s="33"/>
      <c r="L123" s="16"/>
      <c r="M123" s="23"/>
      <c r="N123" s="13"/>
      <c r="O123" s="14"/>
      <c r="P123" s="9"/>
      <c r="Q123" s="8"/>
      <c r="R123" s="8"/>
      <c r="S123" s="8"/>
      <c r="T123" s="13"/>
    </row>
    <row r="124" spans="2:20">
      <c r="B124" s="16"/>
      <c r="C124" s="40"/>
      <c r="D124" s="13"/>
      <c r="E124" s="14"/>
      <c r="F124" s="9"/>
      <c r="G124" s="41"/>
      <c r="H124" s="42"/>
      <c r="I124" s="24"/>
      <c r="J124" s="33"/>
      <c r="K124" s="33"/>
      <c r="L124" s="16"/>
      <c r="M124" s="40"/>
      <c r="N124" s="13"/>
      <c r="O124" s="14"/>
      <c r="P124" s="9"/>
      <c r="Q124" s="41"/>
      <c r="R124" s="42"/>
      <c r="S124" s="42"/>
      <c r="T124" s="13"/>
    </row>
    <row r="125" spans="2:20">
      <c r="B125" s="16"/>
      <c r="C125" s="40"/>
      <c r="D125" s="13"/>
      <c r="E125" s="14"/>
      <c r="F125" s="8"/>
      <c r="G125" s="8"/>
      <c r="H125" s="7"/>
      <c r="I125" s="24"/>
      <c r="J125" s="33"/>
      <c r="K125" s="33"/>
      <c r="L125" s="16"/>
      <c r="M125" s="40"/>
      <c r="N125" s="13"/>
      <c r="O125" s="14"/>
      <c r="P125" s="8"/>
      <c r="Q125" s="8"/>
      <c r="R125" s="7"/>
      <c r="S125" s="8"/>
      <c r="T125" s="49"/>
    </row>
    <row r="126" spans="2:20">
      <c r="B126" s="16"/>
      <c r="C126" s="40"/>
      <c r="D126" s="13"/>
      <c r="E126" s="14"/>
      <c r="F126" s="8"/>
      <c r="G126" s="8"/>
      <c r="H126" s="14"/>
      <c r="I126" s="24"/>
      <c r="J126" s="33"/>
      <c r="K126" s="33"/>
      <c r="L126" s="16"/>
      <c r="M126" s="40"/>
      <c r="N126" s="13"/>
      <c r="O126" s="14"/>
      <c r="P126" s="8"/>
      <c r="Q126" s="8"/>
      <c r="R126" s="14"/>
      <c r="S126" s="14"/>
      <c r="T126" s="42"/>
    </row>
    <row r="127" spans="2:20">
      <c r="B127" s="16"/>
      <c r="C127" s="23"/>
      <c r="D127" s="13"/>
      <c r="E127" s="14"/>
      <c r="F127" s="57"/>
      <c r="G127" s="8"/>
      <c r="H127" s="8"/>
      <c r="I127" s="24"/>
      <c r="J127" s="33"/>
      <c r="K127" s="33"/>
      <c r="L127" s="16"/>
      <c r="M127" s="23"/>
      <c r="N127" s="13"/>
      <c r="O127" s="14"/>
      <c r="P127" s="57"/>
      <c r="Q127" s="8"/>
      <c r="R127" s="8"/>
      <c r="S127" s="8"/>
      <c r="T127" s="13"/>
    </row>
    <row r="128" spans="2:20">
      <c r="B128" s="16"/>
      <c r="C128" s="23"/>
      <c r="D128" s="13"/>
      <c r="E128" s="37"/>
      <c r="F128" s="9"/>
      <c r="G128" s="8"/>
      <c r="H128" s="8"/>
      <c r="I128" s="24"/>
      <c r="J128" s="33"/>
      <c r="K128" s="33"/>
      <c r="L128" s="16"/>
      <c r="M128" s="23"/>
      <c r="N128" s="13"/>
      <c r="O128" s="60"/>
      <c r="P128" s="9"/>
      <c r="Q128" s="8"/>
      <c r="R128" s="8"/>
      <c r="S128" s="8"/>
      <c r="T128" s="8"/>
    </row>
    <row r="129" spans="2:21">
      <c r="B129" s="16"/>
      <c r="C129" s="23"/>
      <c r="D129" s="13"/>
      <c r="E129" s="37"/>
      <c r="F129" s="9"/>
      <c r="G129" s="8"/>
      <c r="H129" s="8"/>
      <c r="I129" s="24"/>
      <c r="J129" s="33"/>
      <c r="K129" s="33"/>
      <c r="L129" s="16"/>
      <c r="M129" s="23"/>
      <c r="N129" s="13"/>
      <c r="O129" s="60"/>
      <c r="P129" s="9"/>
      <c r="Q129" s="8"/>
      <c r="R129" s="8"/>
      <c r="S129" s="8"/>
      <c r="T129" s="8"/>
    </row>
    <row r="130" spans="2:21">
      <c r="B130" s="16"/>
      <c r="C130" s="23"/>
      <c r="D130" s="13"/>
      <c r="E130" s="37"/>
      <c r="F130" s="9"/>
      <c r="G130" s="8"/>
      <c r="H130" s="8"/>
      <c r="I130" s="24"/>
      <c r="J130" s="33"/>
      <c r="K130" s="33"/>
      <c r="L130" s="16"/>
      <c r="M130" s="23"/>
      <c r="N130" s="13"/>
      <c r="O130" s="60"/>
      <c r="P130" s="9"/>
      <c r="Q130" s="8"/>
      <c r="R130" s="8"/>
      <c r="S130" s="8"/>
      <c r="T130" s="8"/>
    </row>
    <row r="131" spans="2:21">
      <c r="B131" s="16"/>
      <c r="C131" s="23"/>
      <c r="D131" s="13"/>
      <c r="E131" s="37"/>
      <c r="F131" s="9"/>
      <c r="G131" s="8"/>
      <c r="H131" s="8"/>
      <c r="I131" s="24"/>
      <c r="J131" s="33"/>
      <c r="K131" s="33"/>
      <c r="L131" s="16"/>
      <c r="M131" s="23"/>
      <c r="N131" s="13"/>
      <c r="O131" s="60"/>
      <c r="P131" s="9"/>
      <c r="Q131" s="8"/>
      <c r="R131" s="8"/>
      <c r="S131" s="8"/>
      <c r="T131" s="8"/>
    </row>
    <row r="132" spans="2:21">
      <c r="B132" s="16"/>
      <c r="C132" s="23"/>
      <c r="D132" s="13"/>
      <c r="E132" s="37"/>
      <c r="F132" s="9"/>
      <c r="G132" s="8"/>
      <c r="H132" s="8"/>
      <c r="I132" s="24"/>
      <c r="J132" s="33"/>
      <c r="K132" s="33"/>
      <c r="L132" s="16"/>
      <c r="M132" s="23"/>
      <c r="N132" s="13"/>
      <c r="O132" s="60"/>
      <c r="P132" s="9"/>
      <c r="Q132" s="8"/>
      <c r="R132" s="8"/>
      <c r="S132" s="8"/>
      <c r="T132" s="8"/>
    </row>
    <row r="133" spans="2:21">
      <c r="B133" s="16"/>
      <c r="C133" s="23"/>
      <c r="D133" s="13"/>
      <c r="E133" s="37"/>
      <c r="F133" s="9"/>
      <c r="G133" s="8"/>
      <c r="H133" s="8"/>
      <c r="I133" s="24"/>
      <c r="J133" s="33"/>
      <c r="K133" s="33"/>
      <c r="L133" s="16"/>
      <c r="M133" s="23"/>
      <c r="N133" s="13"/>
      <c r="O133" s="60"/>
      <c r="P133" s="9"/>
      <c r="Q133" s="8"/>
      <c r="R133" s="8"/>
      <c r="S133" s="8"/>
      <c r="T133" s="8"/>
    </row>
    <row r="134" spans="2:21">
      <c r="B134" s="16"/>
      <c r="C134" s="23"/>
      <c r="D134" s="13"/>
      <c r="E134" s="14"/>
      <c r="F134" s="58"/>
      <c r="G134" s="8"/>
      <c r="H134" s="8"/>
      <c r="I134" s="24"/>
      <c r="J134" s="33"/>
      <c r="K134" s="33"/>
      <c r="L134" s="16"/>
      <c r="M134" s="23"/>
      <c r="N134" s="13"/>
      <c r="O134" s="60"/>
      <c r="P134" s="58"/>
      <c r="Q134" s="8"/>
      <c r="R134" s="8"/>
      <c r="S134" s="8"/>
      <c r="T134" s="13"/>
    </row>
    <row r="135" spans="2:21">
      <c r="B135" s="16"/>
      <c r="C135" s="23"/>
      <c r="D135" s="13"/>
      <c r="E135" s="14"/>
      <c r="F135" s="9"/>
      <c r="G135" s="8"/>
      <c r="H135" s="8"/>
      <c r="I135" s="24"/>
      <c r="J135" s="33"/>
      <c r="K135" s="33"/>
      <c r="L135" s="16"/>
      <c r="M135" s="23"/>
      <c r="N135" s="13"/>
      <c r="O135" s="14"/>
      <c r="P135" s="9"/>
      <c r="Q135" s="8"/>
      <c r="R135" s="8"/>
      <c r="S135" s="8"/>
      <c r="T135" s="8"/>
    </row>
    <row r="136" spans="2:21">
      <c r="B136" s="16"/>
      <c r="C136" s="23"/>
      <c r="D136" s="13"/>
      <c r="E136" s="14"/>
      <c r="F136" s="9"/>
      <c r="G136" s="8"/>
      <c r="H136" s="14"/>
      <c r="I136" s="24"/>
      <c r="J136" s="33"/>
      <c r="K136" s="33"/>
      <c r="L136" s="16"/>
      <c r="M136" s="23"/>
      <c r="N136" s="13"/>
      <c r="O136" s="14"/>
      <c r="P136" s="9"/>
      <c r="Q136" s="8"/>
      <c r="R136" s="14"/>
      <c r="S136" s="14"/>
      <c r="T136" s="8"/>
    </row>
    <row r="137" spans="2:21">
      <c r="B137" s="16"/>
      <c r="C137" s="23"/>
      <c r="D137" s="13"/>
      <c r="E137" s="14"/>
      <c r="F137" s="9"/>
      <c r="G137" s="8"/>
      <c r="H137" s="14"/>
      <c r="I137" s="24"/>
      <c r="J137" s="33"/>
      <c r="K137" s="33"/>
      <c r="L137" s="16"/>
      <c r="M137" s="23"/>
      <c r="N137" s="13"/>
      <c r="O137" s="14"/>
      <c r="P137" s="9"/>
      <c r="Q137" s="8"/>
      <c r="R137" s="14"/>
      <c r="S137" s="14"/>
      <c r="T137" s="8"/>
    </row>
    <row r="138" spans="2:21">
      <c r="B138" s="16"/>
      <c r="C138" s="23"/>
      <c r="D138" s="13"/>
      <c r="E138" s="14"/>
      <c r="F138" s="9"/>
      <c r="G138" s="8"/>
      <c r="H138" s="8"/>
      <c r="I138" s="24"/>
      <c r="J138" s="33"/>
      <c r="K138" s="33"/>
      <c r="L138" s="16"/>
      <c r="M138" s="23"/>
      <c r="N138" s="13"/>
      <c r="O138" s="14"/>
      <c r="P138" s="9"/>
      <c r="Q138" s="8"/>
      <c r="R138" s="8"/>
      <c r="S138" s="8"/>
      <c r="T138" s="13"/>
    </row>
    <row r="139" spans="2:21">
      <c r="B139" s="16"/>
      <c r="C139" s="23"/>
      <c r="D139" s="13"/>
      <c r="E139" s="14"/>
      <c r="F139" s="9"/>
      <c r="G139" s="8"/>
      <c r="H139" s="8"/>
      <c r="I139" s="24"/>
      <c r="J139" s="33"/>
      <c r="K139" s="33"/>
      <c r="L139" s="16"/>
      <c r="M139" s="23"/>
      <c r="N139" s="13"/>
      <c r="O139" s="14"/>
      <c r="P139" s="9"/>
      <c r="Q139" s="8"/>
      <c r="R139" s="8"/>
      <c r="S139" s="8"/>
      <c r="T139" s="13"/>
    </row>
    <row r="140" spans="2:21">
      <c r="B140" s="16"/>
      <c r="C140" s="23"/>
      <c r="D140" s="13"/>
      <c r="E140" s="14"/>
      <c r="F140" s="9"/>
      <c r="G140" s="8"/>
      <c r="H140" s="8"/>
      <c r="I140" s="24"/>
      <c r="J140" s="33"/>
      <c r="K140" s="33"/>
      <c r="L140" s="16"/>
      <c r="M140" s="23"/>
      <c r="N140" s="13"/>
      <c r="O140" s="14"/>
      <c r="P140" s="9"/>
      <c r="Q140" s="8"/>
      <c r="R140" s="8"/>
      <c r="S140" s="8"/>
      <c r="T140" s="13"/>
    </row>
    <row r="141" spans="2:21">
      <c r="B141" s="16"/>
      <c r="C141" s="23"/>
      <c r="D141" s="13"/>
      <c r="E141" s="14"/>
      <c r="F141" s="14"/>
      <c r="G141" s="8"/>
      <c r="H141" s="9"/>
      <c r="I141" s="24"/>
      <c r="J141" s="33"/>
      <c r="K141" s="33"/>
      <c r="L141" s="16"/>
      <c r="M141" s="23"/>
      <c r="N141" s="13"/>
      <c r="O141" s="14"/>
      <c r="P141" s="14"/>
      <c r="Q141" s="8"/>
      <c r="R141" s="9"/>
      <c r="S141" s="9"/>
      <c r="T141" s="13"/>
    </row>
    <row r="142" spans="2:21">
      <c r="B142" s="16">
        <v>31</v>
      </c>
      <c r="C142" s="23"/>
      <c r="D142" s="13"/>
      <c r="E142" s="14"/>
      <c r="F142" s="14"/>
      <c r="G142" s="8"/>
      <c r="H142" s="9"/>
      <c r="I142" s="24"/>
      <c r="J142" s="33"/>
      <c r="K142" s="33"/>
      <c r="L142" s="16"/>
      <c r="M142" s="23"/>
      <c r="N142" s="13"/>
      <c r="O142" s="14"/>
      <c r="P142" s="14"/>
      <c r="Q142" s="8"/>
      <c r="R142" s="9"/>
      <c r="S142" s="9"/>
      <c r="T142" s="13"/>
    </row>
    <row r="143" spans="2:21" ht="16" thickBot="1">
      <c r="B143" s="50">
        <v>32</v>
      </c>
      <c r="C143" s="51"/>
      <c r="D143" s="52"/>
      <c r="E143" s="53"/>
      <c r="F143" s="28"/>
      <c r="G143" s="39"/>
      <c r="H143" s="29"/>
      <c r="I143" s="30"/>
      <c r="J143" s="33"/>
      <c r="K143" s="33"/>
      <c r="L143" s="50"/>
      <c r="M143" s="51"/>
      <c r="N143" s="52"/>
      <c r="O143" s="53"/>
      <c r="P143" s="28"/>
      <c r="Q143" s="39"/>
      <c r="R143" s="29"/>
      <c r="S143" s="29"/>
      <c r="T143" s="27"/>
    </row>
    <row r="144" spans="2:21" ht="22" thickBot="1">
      <c r="B144" s="367" t="s">
        <v>30</v>
      </c>
      <c r="C144" s="368"/>
      <c r="D144" s="368"/>
      <c r="E144" s="369"/>
      <c r="F144" s="455"/>
      <c r="G144" s="456"/>
      <c r="H144" s="456"/>
      <c r="I144" s="457"/>
      <c r="J144" s="32"/>
      <c r="K144" s="32"/>
      <c r="L144" s="367" t="s">
        <v>30</v>
      </c>
      <c r="M144" s="368"/>
      <c r="N144" s="368"/>
      <c r="O144" s="369"/>
      <c r="P144" s="74"/>
      <c r="Q144" s="75"/>
      <c r="R144" s="75"/>
      <c r="S144" s="75"/>
      <c r="T144" s="75"/>
      <c r="U144" s="76"/>
    </row>
  </sheetData>
  <mergeCells count="17">
    <mergeCell ref="B110:I110"/>
    <mergeCell ref="L110:T110"/>
    <mergeCell ref="B144:E144"/>
    <mergeCell ref="F144:I144"/>
    <mergeCell ref="L144:O144"/>
    <mergeCell ref="B52:I52"/>
    <mergeCell ref="L52:T52"/>
    <mergeCell ref="B105:E105"/>
    <mergeCell ref="F105:I105"/>
    <mergeCell ref="L105:O105"/>
    <mergeCell ref="P105:T105"/>
    <mergeCell ref="B2:I2"/>
    <mergeCell ref="L2:T2"/>
    <mergeCell ref="B48:E48"/>
    <mergeCell ref="F48:I48"/>
    <mergeCell ref="L48:O48"/>
    <mergeCell ref="P48:T48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DETALLE</vt:lpstr>
      <vt:lpstr>INFORME </vt:lpstr>
      <vt:lpstr>Hoja1</vt:lpstr>
      <vt:lpstr>INSP_</vt:lpstr>
      <vt:lpstr>LICENCIAS</vt:lpstr>
      <vt:lpstr>REPORTES</vt:lpstr>
      <vt:lpstr>JACKY</vt:lpstr>
      <vt:lpstr>PROV_</vt:lpstr>
      <vt:lpstr>INF. EXT</vt:lpstr>
      <vt:lpstr>OFICIOS</vt:lpstr>
      <vt:lpstr>ARCHIVO</vt:lpstr>
      <vt:lpstr>IMP_PEND</vt:lpstr>
      <vt:lpstr>INGRESADOS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Villagran</dc:creator>
  <cp:lastModifiedBy>Microsoft Office User</cp:lastModifiedBy>
  <dcterms:created xsi:type="dcterms:W3CDTF">2023-04-14T07:51:10Z</dcterms:created>
  <dcterms:modified xsi:type="dcterms:W3CDTF">2026-06-23T23:32:20Z</dcterms:modified>
</cp:coreProperties>
</file>