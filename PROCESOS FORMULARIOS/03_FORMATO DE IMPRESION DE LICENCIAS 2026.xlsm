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927" codeName="{52B413DB-416B-A148-0A32-6202AF4EA34E}"/>
  <workbookPr codeName="ThisWorkbook" defaultThemeVersion="166925"/>
  <mc:AlternateContent xmlns:mc="http://schemas.openxmlformats.org/markup-compatibility/2006">
    <mc:Choice Requires="x15">
      <x15ac:absPath xmlns:x15ac="http://schemas.microsoft.com/office/spreadsheetml/2010/11/ac" url="/Users/carreto/Documents/docsIVAN/MANUEL /"/>
    </mc:Choice>
  </mc:AlternateContent>
  <xr:revisionPtr revIDLastSave="0" documentId="13_ncr:1_{B02C1D31-22EF-CD47-AE46-0A130F011F3D}" xr6:coauthVersionLast="47" xr6:coauthVersionMax="47" xr10:uidLastSave="{00000000-0000-0000-0000-000000000000}"/>
  <bookViews>
    <workbookView xWindow="0" yWindow="600" windowWidth="44800" windowHeight="22800" activeTab="7" xr2:uid="{00000000-000D-0000-FFFF-FFFF00000000}"/>
  </bookViews>
  <sheets>
    <sheet name="DATA" sheetId="1" state="hidden" r:id="rId1"/>
    <sheet name="PROYECTOS" sheetId="2" state="hidden" r:id="rId2"/>
    <sheet name="USOS DE SUELO" sheetId="8" state="hidden" r:id="rId3"/>
    <sheet name="COBROS DCO" sheetId="11" state="hidden" r:id="rId4"/>
    <sheet name="Base de datos" sheetId="36" r:id="rId5"/>
    <sheet name="Para imprimir" sheetId="37" r:id="rId6"/>
    <sheet name="Licencias" sheetId="35" r:id="rId7"/>
    <sheet name="USO DE SUELO" sheetId="38" r:id="rId8"/>
  </sheets>
  <definedNames>
    <definedName name="_xlnm._FilterDatabase" localSheetId="4" hidden="1">'Base de datos'!$A$2:$BN$302</definedName>
    <definedName name="Aceras_de_mausoleo" localSheetId="4">#REF!</definedName>
    <definedName name="Aceras_de_mausoleo" localSheetId="5">#REF!</definedName>
    <definedName name="Aceras_de_mausoleo" localSheetId="7">#REF!</definedName>
    <definedName name="Aceras_de_mausoleo">'COBROS DCO'!$AD$158</definedName>
    <definedName name="Aceras_de_mausoleo_" localSheetId="4">#REF!</definedName>
    <definedName name="Aceras_de_mausoleo_" localSheetId="5">#REF!</definedName>
    <definedName name="Aceras_de_mausoleo_" localSheetId="7">#REF!</definedName>
    <definedName name="Aceras_de_mausoleo_">'COBROS DCO'!$AD$165</definedName>
    <definedName name="Actividad_Minera" localSheetId="4">#REF!</definedName>
    <definedName name="Actividad_Minera" localSheetId="5">#REF!</definedName>
    <definedName name="Actividad_Minera" localSheetId="7">#REF!</definedName>
    <definedName name="Actividad_Minera">'COBROS DCO'!$AD$185</definedName>
    <definedName name="Actividades_con_autoservicio" localSheetId="4">#REF!</definedName>
    <definedName name="Actividades_con_autoservicio" localSheetId="5">#REF!</definedName>
    <definedName name="Actividades_con_autoservicio" localSheetId="7">#REF!</definedName>
    <definedName name="Actividades_con_autoservicio">'USOS DE SUELO'!$F$97:$F$103</definedName>
    <definedName name="Actividades_de_manufactura_o_industria_mecanizada_o_automatizada" localSheetId="4">#REF!</definedName>
    <definedName name="Actividades_de_manufactura_o_industria_mecanizada_o_automatizada" localSheetId="5">#REF!</definedName>
    <definedName name="Actividades_de_manufactura_o_industria_mecanizada_o_automatizada" localSheetId="7">#REF!</definedName>
    <definedName name="Actividades_de_manufactura_o_industria_mecanizada_o_automatizada">'USOS DE SUELO'!$F$88:$F$96</definedName>
    <definedName name="Actividades_de_procesamiento_o_deposito_de_materiales" localSheetId="4">#REF!</definedName>
    <definedName name="Actividades_de_procesamiento_o_deposito_de_materiales" localSheetId="5">#REF!</definedName>
    <definedName name="Actividades_de_procesamiento_o_deposito_de_materiales" localSheetId="7">#REF!</definedName>
    <definedName name="Actividades_de_procesamiento_o_deposito_de_materiales">'USOS DE SUELO'!$F$30:$F$37</definedName>
    <definedName name="Actividades_de_produccion_y_distribucion_de_productos_o_servicios_publicos" localSheetId="4">#REF!</definedName>
    <definedName name="Actividades_de_produccion_y_distribucion_de_productos_o_servicios_publicos" localSheetId="5">#REF!</definedName>
    <definedName name="Actividades_de_produccion_y_distribucion_de_productos_o_servicios_publicos" localSheetId="7">#REF!</definedName>
    <definedName name="Actividades_de_produccion_y_distribucion_de_productos_o_servicios_publicos">'USOS DE SUELO'!$F$59:$F$66</definedName>
    <definedName name="Actividades_de_velacion_embalsamamiento_enterramiento_inhumacion_o_cremacion" localSheetId="4">#REF!</definedName>
    <definedName name="Actividades_de_velacion_embalsamamiento_enterramiento_inhumacion_o_cremacion" localSheetId="5">#REF!</definedName>
    <definedName name="Actividades_de_velacion_embalsamamiento_enterramiento_inhumacion_o_cremacion" localSheetId="7">#REF!</definedName>
    <definedName name="Actividades_de_velacion_embalsamamiento_enterramiento_inhumacion_o_cremacion">'USOS DE SUELO'!$F$111:$F$115</definedName>
    <definedName name="Actividades_dedicadas_a_enseñanza_que_generan_grado_academico" localSheetId="4">#REF!</definedName>
    <definedName name="Actividades_dedicadas_a_enseñanza_que_generan_grado_academico" localSheetId="5">#REF!</definedName>
    <definedName name="Actividades_dedicadas_a_enseñanza_que_generan_grado_academico" localSheetId="7">#REF!</definedName>
    <definedName name="Actividades_dedicadas_a_enseñanza_que_generan_grado_academico">'USOS DE SUELO'!$F$18:$F$25</definedName>
    <definedName name="Actividades_relacionadas_al_comercio_o_el_servicio_sexual" localSheetId="4">#REF!</definedName>
    <definedName name="Actividades_relacionadas_al_comercio_o_el_servicio_sexual" localSheetId="5">#REF!</definedName>
    <definedName name="Actividades_relacionadas_al_comercio_o_el_servicio_sexual" localSheetId="7">#REF!</definedName>
    <definedName name="Actividades_relacionadas_al_comercio_o_el_servicio_sexual">'USOS DE SUELO'!$F$122:$F$128</definedName>
    <definedName name="Actividades_relacionadas_al_encamamiento_y_Residencias_Institucionales" localSheetId="4">#REF!</definedName>
    <definedName name="Actividades_relacionadas_al_encamamiento_y_Residencias_Institucionales" localSheetId="5">#REF!</definedName>
    <definedName name="Actividades_relacionadas_al_encamamiento_y_Residencias_Institucionales" localSheetId="7">#REF!</definedName>
    <definedName name="Actividades_relacionadas_al_encamamiento_y_Residencias_Institucionales">'USOS DE SUELO'!$F$129:$F$141</definedName>
    <definedName name="Actividades_relacionadas_con_el_movimiento_masivo_de_pasajeros" localSheetId="4">#REF!</definedName>
    <definedName name="Actividades_relacionadas_con_el_movimiento_masivo_de_pasajeros" localSheetId="5">#REF!</definedName>
    <definedName name="Actividades_relacionadas_con_el_movimiento_masivo_de_pasajeros" localSheetId="7">#REF!</definedName>
    <definedName name="Actividades_relacionadas_con_el_movimiento_masivo_de_pasajeros">'USOS DE SUELO'!$F$45:$F$51</definedName>
    <definedName name="Adoquinamientos" localSheetId="4">#REF!</definedName>
    <definedName name="Adoquinamientos" localSheetId="5">#REF!</definedName>
    <definedName name="Adoquinamientos" localSheetId="7">#REF!</definedName>
    <definedName name="Adoquinamientos">'COBROS DCO'!$AD$187</definedName>
    <definedName name="Almacenamiento_logistica_embalaje_u_otras_actividades_directamente_relacionadas_con_el_transporte_pesado" localSheetId="4">#REF!</definedName>
    <definedName name="Almacenamiento_logistica_embalaje_u_otras_actividades_directamente_relacionadas_con_el_transporte_pesado" localSheetId="5">#REF!</definedName>
    <definedName name="Almacenamiento_logistica_embalaje_u_otras_actividades_directamente_relacionadas_con_el_transporte_pesado" localSheetId="7">#REF!</definedName>
    <definedName name="Almacenamiento_logistica_embalaje_u_otras_actividades_directamente_relacionadas_con_el_transporte_pesado">'USOS DE SUELO'!$F$3:$F$9</definedName>
    <definedName name="Almacenamiento_o_expendio_de_sustancias_toxicas_combustibles_o_peligrosas" localSheetId="4">#REF!</definedName>
    <definedName name="Almacenamiento_o_expendio_de_sustancias_toxicas_combustibles_o_peligrosas" localSheetId="5">#REF!</definedName>
    <definedName name="Almacenamiento_o_expendio_de_sustancias_toxicas_combustibles_o_peligrosas" localSheetId="7">#REF!</definedName>
    <definedName name="Almacenamiento_o_expendio_de_sustancias_toxicas_combustibles_o_peligrosas">'USOS DE SUELO'!$F$38:$F$44</definedName>
    <definedName name="Antenas_ubicadas_sobre_edificación_para_la_emisión_de_ondas_electromagnéticas_hacia_el_espacio_libre_de_telefonía_radio_televisión_y_datos" localSheetId="4">#REF!</definedName>
    <definedName name="Antenas_ubicadas_sobre_edificación_para_la_emisión_de_ondas_electromagnéticas_hacia_el_espacio_libre_de_telefonía_radio_televisión_y_datos" localSheetId="5">#REF!</definedName>
    <definedName name="Antenas_ubicadas_sobre_edificación_para_la_emisión_de_ondas_electromagnéticas_hacia_el_espacio_libre_de_telefonía_radio_televisión_y_datos" localSheetId="7">#REF!</definedName>
    <definedName name="Antenas_ubicadas_sobre_edificación_para_la_emisión_de_ondas_electromagnéticas_hacia_el_espacio_libre_de_telefonía_radio_televisión_y_datos">'COBROS DCO'!$AD$115</definedName>
    <definedName name="_xlnm.Print_Area" localSheetId="6">Licencias!$AD$2:$CJ$64</definedName>
    <definedName name="_xlnm.Print_Area" localSheetId="1">PROYECTOS!$A$1:$R$61</definedName>
    <definedName name="_xlnm.Print_Area" localSheetId="7">'USO DE SUELO'!$B$3:$AA$33</definedName>
    <definedName name="Asfaltos" localSheetId="4">#REF!</definedName>
    <definedName name="Asfaltos" localSheetId="5">#REF!</definedName>
    <definedName name="Asfaltos" localSheetId="7">#REF!</definedName>
    <definedName name="Asfaltos">'COBROS DCO'!$AD$191</definedName>
    <definedName name="ASISTENCIA_NO_LUCRATIVA" localSheetId="4">#REF!</definedName>
    <definedName name="ASISTENCIA_NO_LUCRATIVA" localSheetId="5">#REF!</definedName>
    <definedName name="ASISTENCIA_NO_LUCRATIVA" localSheetId="7">#REF!</definedName>
    <definedName name="ASISTENCIA_NO_LUCRATIVA">'COBROS DCO'!$G$3:$G$11</definedName>
    <definedName name="AUTORIZACION" localSheetId="4">#REF!</definedName>
    <definedName name="AUTORIZACION" localSheetId="6">#REF!</definedName>
    <definedName name="AUTORIZACION" localSheetId="5">#REF!</definedName>
    <definedName name="AUTORIZACION" localSheetId="7">#REF!</definedName>
    <definedName name="AUTORIZACION">#REF!</definedName>
    <definedName name="AUTORIZACIÓN" localSheetId="4">#REF!</definedName>
    <definedName name="AUTORIZACIÓN" localSheetId="5">#REF!</definedName>
    <definedName name="AUTORIZACIÓN" localSheetId="7">#REF!</definedName>
    <definedName name="AUTORIZACIÓN">'COBROS DCO'!$W$3:$W$4</definedName>
    <definedName name="Autorización_de_obra_provisional" localSheetId="4">#REF!</definedName>
    <definedName name="Autorización_de_obra_provisional" localSheetId="5">#REF!</definedName>
    <definedName name="Autorización_de_obra_provisional" localSheetId="7">#REF!</definedName>
    <definedName name="Autorización_de_obra_provisional">'COBROS DCO'!$AD$209</definedName>
    <definedName name="Bares_Cervecerías_Cantinas_Centros_o_clubes_nocturnos_entretenimiento_especial_autódromos_velódromos_campos_de_tiro_boliches_billares_lotería_casinos_ventas_de_licores_y_cualquier_otra_actividad_enfocada_al_entretenimiento_adulto" localSheetId="4">#REF!</definedName>
    <definedName name="Bares_Cervecerías_Cantinas_Centros_o_clubes_nocturnos_entretenimiento_especial_autódromos_velódromos_campos_de_tiro_boliches_billares_lotería_casinos_ventas_de_licores_y_cualquier_otra_actividad_enfocada_al_entretenimiento_adulto" localSheetId="5">#REF!</definedName>
    <definedName name="Bares_Cervecerías_Cantinas_Centros_o_clubes_nocturnos_entretenimiento_especial_autódromos_velódromos_campos_de_tiro_boliches_billares_lotería_casinos_ventas_de_licores_y_cualquier_otra_actividad_enfocada_al_entretenimiento_adulto" localSheetId="7">#REF!</definedName>
    <definedName name="Bares_Cervecerías_Cantinas_Centros_o_clubes_nocturnos_entretenimiento_especial_autódromos_velódromos_campos_de_tiro_boliches_billares_lotería_casinos_ventas_de_licores_y_cualquier_otra_actividad_enfocada_al_entretenimiento_adulto">'COBROS DCO'!$AD$92:$AD$99</definedName>
    <definedName name="Cambio_de_uso_de_suelo_de_no_residencial_a_residencial" localSheetId="4">#REF!</definedName>
    <definedName name="Cambio_de_uso_de_suelo_de_no_residencial_a_residencial" localSheetId="5">#REF!</definedName>
    <definedName name="Cambio_de_uso_de_suelo_de_no_residencial_a_residencial" localSheetId="7">#REF!</definedName>
    <definedName name="Cambio_de_uso_de_suelo_de_no_residencial_a_residencial">'COBROS DCO'!$AD$201</definedName>
    <definedName name="Cambio_de_uso_de_suelo_de_residencial_a_no_residencial" localSheetId="4">#REF!</definedName>
    <definedName name="Cambio_de_uso_de_suelo_de_residencial_a_no_residencial" localSheetId="5">#REF!</definedName>
    <definedName name="Cambio_de_uso_de_suelo_de_residencial_a_no_residencial" localSheetId="7">#REF!</definedName>
    <definedName name="Cambio_de_uso_de_suelo_de_residencial_a_no_residencial">'COBROS DCO'!$AD$200</definedName>
    <definedName name="cambio_de_uso_de_suelo_provisional" localSheetId="4">#REF!</definedName>
    <definedName name="cambio_de_uso_de_suelo_provisional" localSheetId="5">#REF!</definedName>
    <definedName name="cambio_de_uso_de_suelo_provisional" localSheetId="7">#REF!</definedName>
    <definedName name="cambio_de_uso_de_suelo_provisional">'COBROS DCO'!$AD$202</definedName>
    <definedName name="Capilla_en_mausoleo_valor_al_equivalente_de_los_nichos_a_ocupar" localSheetId="4">#REF!</definedName>
    <definedName name="Capilla_en_mausoleo_valor_al_equivalente_de_los_nichos_a_ocupar" localSheetId="5">#REF!</definedName>
    <definedName name="Capilla_en_mausoleo_valor_al_equivalente_de_los_nichos_a_ocupar" localSheetId="7">#REF!</definedName>
    <definedName name="Capilla_en_mausoleo_valor_al_equivalente_de_los_nichos_a_ocupar">'COBROS DCO'!$AD$155</definedName>
    <definedName name="Capilla_en_mausoleo_valor_al_equivalente_de_los_nichos_a_ocupar_" localSheetId="4">#REF!</definedName>
    <definedName name="Capilla_en_mausoleo_valor_al_equivalente_de_los_nichos_a_ocupar_" localSheetId="5">#REF!</definedName>
    <definedName name="Capilla_en_mausoleo_valor_al_equivalente_de_los_nichos_a_ocupar_" localSheetId="7">#REF!</definedName>
    <definedName name="Capilla_en_mausoleo_valor_al_equivalente_de_los_nichos_a_ocupar_">'COBROS DCO'!$AD$162</definedName>
    <definedName name="Capilla_sobre_lote" localSheetId="4">#REF!</definedName>
    <definedName name="Capilla_sobre_lote" localSheetId="5">#REF!</definedName>
    <definedName name="Capilla_sobre_lote" localSheetId="7">#REF!</definedName>
    <definedName name="Capilla_sobre_lote">'COBROS DCO'!$AD$156</definedName>
    <definedName name="Capilla_sobre_lote_" localSheetId="4">#REF!</definedName>
    <definedName name="Capilla_sobre_lote_" localSheetId="5">#REF!</definedName>
    <definedName name="Capilla_sobre_lote_" localSheetId="7">#REF!</definedName>
    <definedName name="Capilla_sobre_lote_">'COBROS DCO'!$AD$163</definedName>
    <definedName name="Casa_Cuna" localSheetId="4">#REF!</definedName>
    <definedName name="Casa_Cuna" localSheetId="5">#REF!</definedName>
    <definedName name="Casa_Cuna" localSheetId="7">#REF!</definedName>
    <definedName name="Casa_Cuna">'COBROS DCO'!$AD$53</definedName>
    <definedName name="Caseta_para_Torre_de_teléfonos_Agencias_telefónicas_y_o_estaciones_de_radio_estudios_de_televisión_y_cable_periódicos" localSheetId="4">#REF!</definedName>
    <definedName name="Caseta_para_Torre_de_teléfonos_Agencias_telefónicas_y_o_estaciones_de_radio_estudios_de_televisión_y_cable_periódicos" localSheetId="5">#REF!</definedName>
    <definedName name="Caseta_para_Torre_de_teléfonos_Agencias_telefónicas_y_o_estaciones_de_radio_estudios_de_televisión_y_cable_periódicos" localSheetId="7">#REF!</definedName>
    <definedName name="Caseta_para_Torre_de_teléfonos_Agencias_telefónicas_y_o_estaciones_de_radio_estudios_de_televisión_y_cable_periódicos">'COBROS DCO'!$AD$116:$AD$123</definedName>
    <definedName name="Celebracion_de_servicios_religiosos_y_realizacion_de_actividades_conexas" localSheetId="4">#REF!</definedName>
    <definedName name="Celebracion_de_servicios_religiosos_y_realizacion_de_actividades_conexas" localSheetId="5">#REF!</definedName>
    <definedName name="Celebracion_de_servicios_religiosos_y_realizacion_de_actividades_conexas" localSheetId="7">#REF!</definedName>
    <definedName name="Celebracion_de_servicios_religiosos_y_realizacion_de_actividades_conexas">'USOS DE SUELO'!$F$75:$F$80</definedName>
    <definedName name="CEMENTERIO_MUNICIPAL" localSheetId="4">#REF!</definedName>
    <definedName name="CEMENTERIO_MUNICIPAL" localSheetId="5">#REF!</definedName>
    <definedName name="CEMENTERIO_MUNICIPAL" localSheetId="7">#REF!</definedName>
    <definedName name="CEMENTERIO_MUNICIPAL">'COBROS DCO'!$R$3:$R$10</definedName>
    <definedName name="CEMENTERIOS_PRIVADOS" localSheetId="4">#REF!</definedName>
    <definedName name="CEMENTERIOS_PRIVADOS" localSheetId="5">#REF!</definedName>
    <definedName name="CEMENTERIOS_PRIVADOS" localSheetId="7">#REF!</definedName>
    <definedName name="CEMENTERIOS_PRIVADOS">'COBROS DCO'!$Q$3:$Q$9</definedName>
    <definedName name="Centro_de_Integración_Juvenil" localSheetId="4">#REF!</definedName>
    <definedName name="Centro_de_Integración_Juvenil" localSheetId="5">#REF!</definedName>
    <definedName name="Centro_de_Integración_Juvenil" localSheetId="7">#REF!</definedName>
    <definedName name="Centro_de_Integración_Juvenil">'COBROS DCO'!$AD$56</definedName>
    <definedName name="CERTIFICACION" localSheetId="4">#REF!</definedName>
    <definedName name="CERTIFICACION" localSheetId="6">#REF!</definedName>
    <definedName name="CERTIFICACION" localSheetId="5">#REF!</definedName>
    <definedName name="CERTIFICACION" localSheetId="7">#REF!</definedName>
    <definedName name="CERTIFICACION">#REF!</definedName>
    <definedName name="CERTIFICACIÓN" localSheetId="4">#REF!</definedName>
    <definedName name="CERTIFICACIÓN" localSheetId="5">#REF!</definedName>
    <definedName name="CERTIFICACIÓN" localSheetId="7">#REF!</definedName>
    <definedName name="CERTIFICACIÓN">'COBROS DCO'!$X$3:$X$5</definedName>
    <definedName name="Certificación_de_Licencia" localSheetId="4">#REF!</definedName>
    <definedName name="Certificación_de_Licencia" localSheetId="5">#REF!</definedName>
    <definedName name="Certificación_de_Licencia" localSheetId="7">#REF!</definedName>
    <definedName name="Certificación_de_Licencia">'COBROS DCO'!$AD$212</definedName>
    <definedName name="Certificaciones_de_Factibilidad" localSheetId="4">#REF!</definedName>
    <definedName name="Certificaciones_de_Factibilidad" localSheetId="5">#REF!</definedName>
    <definedName name="Certificaciones_de_Factibilidad" localSheetId="7">#REF!</definedName>
    <definedName name="Certificaciones_de_Factibilidad">'COBROS DCO'!$AD$211</definedName>
    <definedName name="Clínica_Hospitales_Sanatorios_centros_de_Salud_casa_cuna_guarderías_asistencia_veterinaria_y_hospitales_veterinarios" localSheetId="4">#REF!</definedName>
    <definedName name="Clínica_Hospitales_Sanatorios_centros_de_Salud_casa_cuna_guarderías_asistencia_veterinaria_y_hospitales_veterinarios" localSheetId="5">#REF!</definedName>
    <definedName name="Clínica_Hospitales_Sanatorios_centros_de_Salud_casa_cuna_guarderías_asistencia_veterinaria_y_hospitales_veterinarios" localSheetId="7">#REF!</definedName>
    <definedName name="Clínica_Hospitales_Sanatorios_centros_de_Salud_casa_cuna_guarderías_asistencia_veterinaria_y_hospitales_veterinarios">'COBROS DCO'!$AD$43:$AD$50</definedName>
    <definedName name="colegios_de_todo_tipo_universidades_escuelas_estudios_de_arte_institutos_técnicos_o_científicos_centros_de_capacitación_acuarios_museos_galerías_de_arte_bibliotecas_seminarios_instalaciones_religiosas_templos_iglesias" localSheetId="4">#REF!</definedName>
    <definedName name="colegios_de_todo_tipo_universidades_escuelas_estudios_de_arte_institutos_técnicos_o_científicos_centros_de_capacitación_acuarios_museos_galerías_de_arte_bibliotecas_seminarios_instalaciones_religiosas_templos_iglesias" localSheetId="5">#REF!</definedName>
    <definedName name="colegios_de_todo_tipo_universidades_escuelas_estudios_de_arte_institutos_técnicos_o_científicos_centros_de_capacitación_acuarios_museos_galerías_de_arte_bibliotecas_seminarios_instalaciones_religiosas_templos_iglesias" localSheetId="7">#REF!</definedName>
    <definedName name="colegios_de_todo_tipo_universidades_escuelas_estudios_de_arte_institutos_técnicos_o_científicos_centros_de_capacitación_acuarios_museos_galerías_de_arte_bibliotecas_seminarios_instalaciones_religiosas_templos_iglesias">'COBROS DCO'!$AD$61:$AD$68</definedName>
    <definedName name="COMERCIO" localSheetId="4">#REF!</definedName>
    <definedName name="COMERCIO" localSheetId="5">#REF!</definedName>
    <definedName name="COMERCIO" localSheetId="7">#REF!</definedName>
    <definedName name="COMERCIO">'COBROS DCO'!$E$3:$E$5</definedName>
    <definedName name="como_por_uso_de_agua_por_proyecto_" localSheetId="4">#REF!</definedName>
    <definedName name="como_por_uso_de_agua_por_proyecto_" localSheetId="5">#REF!</definedName>
    <definedName name="como_por_uso_de_agua_por_proyecto_" localSheetId="7">#REF!</definedName>
    <definedName name="como_por_uso_de_agua_por_proyecto_">'COBROS DCO'!$AD$167</definedName>
    <definedName name="COMUNICACION" localSheetId="4">#REF!</definedName>
    <definedName name="COMUNICACION" localSheetId="6">#REF!</definedName>
    <definedName name="COMUNICACION" localSheetId="5">#REF!</definedName>
    <definedName name="COMUNICACION" localSheetId="7">#REF!</definedName>
    <definedName name="COMUNICACION">#REF!</definedName>
    <definedName name="COMUNICACIÓN" localSheetId="4">#REF!</definedName>
    <definedName name="COMUNICACIÓN" localSheetId="5">#REF!</definedName>
    <definedName name="COMUNICACIÓN" localSheetId="7">#REF!</definedName>
    <definedName name="COMUNICACIÓN">'COBROS DCO'!$L$3:$L$6</definedName>
    <definedName name="Condicionado" localSheetId="4">#REF!</definedName>
    <definedName name="Condicionado" localSheetId="5">#REF!</definedName>
    <definedName name="Condicionado" localSheetId="7">#REF!</definedName>
    <definedName name="Condicionado">'USOS DE SUELO'!$C$3:$C$22</definedName>
    <definedName name="Consumo_de_bebidas_alcoholicas" localSheetId="4">#REF!</definedName>
    <definedName name="Consumo_de_bebidas_alcoholicas" localSheetId="5">#REF!</definedName>
    <definedName name="Consumo_de_bebidas_alcoholicas" localSheetId="7">#REF!</definedName>
    <definedName name="Consumo_de_bebidas_alcoholicas">'USOS DE SUELO'!$F$67:$F$74</definedName>
    <definedName name="Demoliciones" localSheetId="4">#REF!</definedName>
    <definedName name="Demoliciones" localSheetId="5">#REF!</definedName>
    <definedName name="Demoliciones" localSheetId="7">#REF!</definedName>
    <definedName name="Demoliciones">'COBROS DCO'!$AD$176</definedName>
    <definedName name="EDUCACIÓN_Y_CULTURA" localSheetId="4">#REF!</definedName>
    <definedName name="EDUCACIÓN_Y_CULTURA" localSheetId="5">#REF!</definedName>
    <definedName name="EDUCACIÓN_Y_CULTURA" localSheetId="7">#REF!</definedName>
    <definedName name="EDUCACIÓN_Y_CULTURA">'COBROS DCO'!$H$3:$H$4</definedName>
    <definedName name="ENTRETENIMIENTO_FAMILIAR" localSheetId="4">#REF!</definedName>
    <definedName name="ENTRETENIMIENTO_FAMILIAR" localSheetId="5">#REF!</definedName>
    <definedName name="ENTRETENIMIENTO_FAMILIAR" localSheetId="7">#REF!</definedName>
    <definedName name="ENTRETENIMIENTO_FAMILIAR">'COBROS DCO'!$I$3:$I$5</definedName>
    <definedName name="ENTRETENIMIENTO_PARA_MAYORES_DE_18_AÑOS" localSheetId="4">#REF!</definedName>
    <definedName name="ENTRETENIMIENTO_PARA_MAYORES_DE_18_AÑOS" localSheetId="5">#REF!</definedName>
    <definedName name="ENTRETENIMIENTO_PARA_MAYORES_DE_18_AÑOS" localSheetId="7">#REF!</definedName>
    <definedName name="ENTRETENIMIENTO_PARA_MAYORES_DE_18_AÑOS">'COBROS DCO'!$J$3:$J$4</definedName>
    <definedName name="ESPACIOS_ABIERTOS" localSheetId="4">#REF!</definedName>
    <definedName name="ESPACIOS_ABIERTOS" localSheetId="5">#REF!</definedName>
    <definedName name="ESPACIOS_ABIERTOS" localSheetId="7">#REF!</definedName>
    <definedName name="ESPACIOS_ABIERTOS">'COBROS DCO'!$P$3:$P$4</definedName>
    <definedName name="estacionamientos_cubiertos" localSheetId="4">#REF!</definedName>
    <definedName name="estacionamientos_cubiertos" localSheetId="5">#REF!</definedName>
    <definedName name="estacionamientos_cubiertos" localSheetId="7">#REF!</definedName>
    <definedName name="estacionamientos_cubiertos">'COBROS DCO'!$AD$103</definedName>
    <definedName name="estacionamientos_cubiertos_con_lamina" localSheetId="4">#REF!</definedName>
    <definedName name="estacionamientos_cubiertos_con_lamina" localSheetId="5">#REF!</definedName>
    <definedName name="estacionamientos_cubiertos_con_lamina" localSheetId="7">#REF!</definedName>
    <definedName name="estacionamientos_cubiertos_con_lamina">'COBROS DCO'!$AD$102</definedName>
    <definedName name="estacionamientos_descubiertos" localSheetId="4">#REF!</definedName>
    <definedName name="estacionamientos_descubiertos" localSheetId="5">#REF!</definedName>
    <definedName name="estacionamientos_descubiertos" localSheetId="7">#REF!</definedName>
    <definedName name="estacionamientos_descubiertos">'COBROS DCO'!$AD$101</definedName>
    <definedName name="estaciones_de_buses_y_terminales_edificio_de_aparcamientos" localSheetId="4">#REF!</definedName>
    <definedName name="estaciones_de_buses_y_terminales_edificio_de_aparcamientos" localSheetId="5">#REF!</definedName>
    <definedName name="estaciones_de_buses_y_terminales_edificio_de_aparcamientos" localSheetId="7">#REF!</definedName>
    <definedName name="estaciones_de_buses_y_terminales_edificio_de_aparcamientos">'COBROS DCO'!$AD$104:$AD$111</definedName>
    <definedName name="Estaciones_de_Servicio" localSheetId="4">#REF!</definedName>
    <definedName name="Estaciones_de_Servicio" localSheetId="5">#REF!</definedName>
    <definedName name="Estaciones_de_Servicio" localSheetId="7">#REF!</definedName>
    <definedName name="Estaciones_de_Servicio">'COBROS DCO'!$AD$180</definedName>
    <definedName name="Estructura_para_antenas_de_emisión_de_ondas_electromagnéticas_hacia_el_espacio_libre_de_telefonía_radio_televisión_y_datos" localSheetId="4">#REF!</definedName>
    <definedName name="Estructura_para_antenas_de_emisión_de_ondas_electromagnéticas_hacia_el_espacio_libre_de_telefonía_radio_televisión_y_datos" localSheetId="5">#REF!</definedName>
    <definedName name="Estructura_para_antenas_de_emisión_de_ondas_electromagnéticas_hacia_el_espacio_libre_de_telefonía_radio_televisión_y_datos" localSheetId="7">#REF!</definedName>
    <definedName name="Estructura_para_antenas_de_emisión_de_ondas_electromagnéticas_hacia_el_espacio_libre_de_telefonía_radio_televisión_y_datos">'COBROS DCO'!$AD$113:$AD$114</definedName>
    <definedName name="Excavaciones_y_o_Movimiento_de_Tierras" localSheetId="4">#REF!</definedName>
    <definedName name="Excavaciones_y_o_Movimiento_de_Tierras" localSheetId="5">#REF!</definedName>
    <definedName name="Excavaciones_y_o_Movimiento_de_Tierras" localSheetId="7">#REF!</definedName>
    <definedName name="Excavaciones_y_o_Movimiento_de_Tierras">'COBROS DCO'!$AD$177</definedName>
    <definedName name="Garita" localSheetId="4">#REF!</definedName>
    <definedName name="Garita" localSheetId="5">#REF!</definedName>
    <definedName name="Garita" localSheetId="7">#REF!</definedName>
    <definedName name="Garita">'COBROS DCO'!$AD$170</definedName>
    <definedName name="Guarderías" localSheetId="4">#REF!</definedName>
    <definedName name="Guarderías" localSheetId="5">#REF!</definedName>
    <definedName name="Guarderías" localSheetId="7">#REF!</definedName>
    <definedName name="Guarderías">'COBROS DCO'!$AD$54</definedName>
    <definedName name="Hogar_de_Ancianos" localSheetId="4">#REF!</definedName>
    <definedName name="Hogar_de_Ancianos" localSheetId="5">#REF!</definedName>
    <definedName name="Hogar_de_Ancianos" localSheetId="7">#REF!</definedName>
    <definedName name="Hogar_de_Ancianos">'COBROS DCO'!$AD$58</definedName>
    <definedName name="Hogar_de_Indigentes_o_albergues_temporales" localSheetId="4">#REF!</definedName>
    <definedName name="Hogar_de_Indigentes_o_albergues_temporales" localSheetId="5">#REF!</definedName>
    <definedName name="Hogar_de_Indigentes_o_albergues_temporales" localSheetId="7">#REF!</definedName>
    <definedName name="Hogar_de_Indigentes_o_albergues_temporales">'COBROS DCO'!$AD$57</definedName>
    <definedName name="INDUSTRIA_O_COMERCIO_LIGERO" localSheetId="4">#REF!</definedName>
    <definedName name="INDUSTRIA_O_COMERCIO_LIGERO" localSheetId="5">#REF!</definedName>
    <definedName name="INDUSTRIA_O_COMERCIO_LIGERO" localSheetId="7">#REF!</definedName>
    <definedName name="INDUSTRIA_O_COMERCIO_LIGERO">'COBROS DCO'!$M$3:$M$4</definedName>
    <definedName name="INDUSTRIA_O_COMERCIO_MEDIO" localSheetId="4">#REF!</definedName>
    <definedName name="INDUSTRIA_O_COMERCIO_MEDIO" localSheetId="5">#REF!</definedName>
    <definedName name="INDUSTRIA_O_COMERCIO_MEDIO" localSheetId="7">#REF!</definedName>
    <definedName name="INDUSTRIA_O_COMERCIO_MEDIO">'COBROS DCO'!$N$3:$N$4</definedName>
    <definedName name="INDUSTRIA_O_COMERCIO_PESADO" localSheetId="4">#REF!</definedName>
    <definedName name="INDUSTRIA_O_COMERCIO_PESADO" localSheetId="5">#REF!</definedName>
    <definedName name="INDUSTRIA_O_COMERCIO_PESADO" localSheetId="7">#REF!</definedName>
    <definedName name="INDUSTRIA_O_COMERCIO_PESADO">'COBROS DCO'!$O$3:$O$4</definedName>
    <definedName name="Instituciones_de_Gobierno" localSheetId="4">#REF!</definedName>
    <definedName name="Instituciones_de_Gobierno" localSheetId="5">#REF!</definedName>
    <definedName name="Instituciones_de_Gobierno" localSheetId="7">#REF!</definedName>
    <definedName name="Instituciones_de_Gobierno">'COBROS DCO'!$AD$59</definedName>
    <definedName name="Lavanderías_y_Tintorerías" localSheetId="4">#REF!</definedName>
    <definedName name="Lavanderías_y_Tintorerías" localSheetId="5">#REF!</definedName>
    <definedName name="Lavanderías_y_Tintorerías" localSheetId="7">#REF!</definedName>
    <definedName name="Lavanderías_y_Tintorerías">'COBROS DCO'!$AD$182</definedName>
    <definedName name="LICENCIAS_DE_PARCELAMIENTOS" localSheetId="4">#REF!</definedName>
    <definedName name="LICENCIAS_DE_PARCELAMIENTOS" localSheetId="5">#REF!</definedName>
    <definedName name="LICENCIAS_DE_PARCELAMIENTOS" localSheetId="7">#REF!</definedName>
    <definedName name="LICENCIAS_DE_PARCELAMIENTOS">'COBROS DCO'!$U$3:$U$4</definedName>
    <definedName name="Locales_Comerciales_Bodegas_carnicerías_Tiendas_abarroterías_panaderías_molinos_de_nixtamal_laboratorios_farmacias_y_droguerías_Centros_Comerciales_cines_Venta_de_Materiales_de_Construcción" localSheetId="4">#REF!</definedName>
    <definedName name="Locales_Comerciales_Bodegas_carnicerías_Tiendas_abarroterías_panaderías_molinos_de_nixtamal_laboratorios_farmacias_y_droguerías_Centros_Comerciales_cines_Venta_de_Materiales_de_Construcción" localSheetId="5">#REF!</definedName>
    <definedName name="Locales_Comerciales_Bodegas_carnicerías_Tiendas_abarroterías_panaderías_molinos_de_nixtamal_laboratorios_farmacias_y_droguerías_Centros_Comerciales_cines_Venta_de_Materiales_de_Construcción" localSheetId="7">#REF!</definedName>
    <definedName name="Locales_Comerciales_Bodegas_carnicerías_Tiendas_abarroterías_panaderías_molinos_de_nixtamal_laboratorios_farmacias_y_droguerías_Centros_Comerciales_cines_Venta_de_Materiales_de_Construcción">'COBROS DCO'!$AD$25:$AD$32</definedName>
    <definedName name="Manejo_de_residuos_biologicos_medicos_u_hospitalarios" localSheetId="4">#REF!</definedName>
    <definedName name="Manejo_de_residuos_biologicos_medicos_u_hospitalarios" localSheetId="5">#REF!</definedName>
    <definedName name="Manejo_de_residuos_biologicos_medicos_u_hospitalarios" localSheetId="7">#REF!</definedName>
    <definedName name="Manejo_de_residuos_biologicos_medicos_u_hospitalarios">'USOS DE SUELO'!$F$26:$F$29</definedName>
    <definedName name="Muro_perimetral_de_block_pómez" localSheetId="4">#REF!</definedName>
    <definedName name="Muro_perimetral_de_block_pómez" localSheetId="5">#REF!</definedName>
    <definedName name="Muro_perimetral_de_block_pómez" localSheetId="7">#REF!</definedName>
    <definedName name="Muro_perimetral_de_block_pómez">'COBROS DCO'!$AD$172</definedName>
    <definedName name="Muro_Perimetral_de_ladrillo" localSheetId="4">#REF!</definedName>
    <definedName name="Muro_Perimetral_de_ladrillo" localSheetId="5">#REF!</definedName>
    <definedName name="Muro_Perimetral_de_ladrillo" localSheetId="7">#REF!</definedName>
    <definedName name="Muro_Perimetral_de_ladrillo">'COBROS DCO'!$AD$171</definedName>
    <definedName name="Muro_perimetral_prefabricado" localSheetId="4">#REF!</definedName>
    <definedName name="Muro_perimetral_prefabricado" localSheetId="5">#REF!</definedName>
    <definedName name="Muro_perimetral_prefabricado" localSheetId="7">#REF!</definedName>
    <definedName name="Muro_perimetral_prefabricado">'COBROS DCO'!$AD$173</definedName>
    <definedName name="Nicho_tumba_cripta_y_osario" localSheetId="4">#REF!</definedName>
    <definedName name="Nicho_tumba_cripta_y_osario" localSheetId="5">#REF!</definedName>
    <definedName name="Nicho_tumba_cripta_y_osario" localSheetId="7">#REF!</definedName>
    <definedName name="Nicho_tumba_cripta_y_osario">'COBROS DCO'!$AD$154</definedName>
    <definedName name="nicho_tumba_cripta_y_osario_dentro_" localSheetId="4">#REF!</definedName>
    <definedName name="nicho_tumba_cripta_y_osario_dentro_" localSheetId="5">#REF!</definedName>
    <definedName name="nicho_tumba_cripta_y_osario_dentro_" localSheetId="7">#REF!</definedName>
    <definedName name="nicho_tumba_cripta_y_osario_dentro_">'COBROS DCO'!$AD$161</definedName>
    <definedName name="Oficinas_y_cualquier_actividad_Administrativa_gimnasios_piscinas_o_cualquier_otra_actividad_deportiva" localSheetId="4">#REF!</definedName>
    <definedName name="Oficinas_y_cualquier_actividad_Administrativa_gimnasios_piscinas_o_cualquier_otra_actividad_deportiva" localSheetId="5">#REF!</definedName>
    <definedName name="Oficinas_y_cualquier_actividad_Administrativa_gimnasios_piscinas_o_cualquier_otra_actividad_deportiva" localSheetId="7">#REF!</definedName>
    <definedName name="Oficinas_y_cualquier_actividad_Administrativa_gimnasios_piscinas_o_cualquier_otra_actividad_deportiva">'COBROS DCO'!$AD$16:$AD$23</definedName>
    <definedName name="Ordinario" localSheetId="4">#REF!</definedName>
    <definedName name="Ordinario" localSheetId="5">#REF!</definedName>
    <definedName name="Ordinario" localSheetId="7">#REF!</definedName>
    <definedName name="Ordinario">'USOS DE SUELO'!$C$150:$C$160</definedName>
    <definedName name="Orfanato" localSheetId="4">#REF!</definedName>
    <definedName name="Orfanato" localSheetId="5">#REF!</definedName>
    <definedName name="Orfanato" localSheetId="7">#REF!</definedName>
    <definedName name="Orfanato">'COBROS DCO'!$AD$55</definedName>
    <definedName name="Pasarelas" localSheetId="4">#REF!</definedName>
    <definedName name="Pasarelas" localSheetId="5">#REF!</definedName>
    <definedName name="Pasarelas" localSheetId="7">#REF!</definedName>
    <definedName name="Pasarelas">'COBROS DCO'!$AD$190</definedName>
    <definedName name="Pavimentos" localSheetId="4">#REF!</definedName>
    <definedName name="Pavimentos" localSheetId="5">#REF!</definedName>
    <definedName name="Pavimentos" localSheetId="7">#REF!</definedName>
    <definedName name="Pavimentos">'COBROS DCO'!$AD$188</definedName>
    <definedName name="Plantas_de_Tratamiento" localSheetId="4">#REF!</definedName>
    <definedName name="Plantas_de_Tratamiento" localSheetId="5">#REF!</definedName>
    <definedName name="Plantas_de_Tratamiento" localSheetId="7">#REF!</definedName>
    <definedName name="Plantas_de_Tratamiento">'COBROS DCO'!$AD$183</definedName>
    <definedName name="Plantas_Separadoras_de_Basura" localSheetId="4">#REF!</definedName>
    <definedName name="Plantas_Separadoras_de_Basura" localSheetId="5">#REF!</definedName>
    <definedName name="Plantas_Separadoras_de_Basura" localSheetId="7">#REF!</definedName>
    <definedName name="Plantas_Separadoras_de_Basura">'COBROS DCO'!$AD$184</definedName>
    <definedName name="Plazas_explanadas_jardines_y_parques" localSheetId="4">#REF!</definedName>
    <definedName name="Plazas_explanadas_jardines_y_parques" localSheetId="5">#REF!</definedName>
    <definedName name="Plazas_explanadas_jardines_y_parques" localSheetId="7">#REF!</definedName>
    <definedName name="Plazas_explanadas_jardines_y_parques">'COBROS DCO'!$AD$152</definedName>
    <definedName name="Por_concepto_de_evaluación_técnica_y_análisis_de_proyectos_urbanísticos_para_su_aprobación_ya_sea_residenciales_comerciales_propiedad_horizontal_cementerios_y_otros_similares" localSheetId="4">#REF!</definedName>
    <definedName name="Por_concepto_de_evaluación_técnica_y_análisis_de_proyectos_urbanísticos_para_su_aprobación_ya_sea_residenciales_comerciales_propiedad_horizontal_cementerios_y_otros_similares" localSheetId="5">#REF!</definedName>
    <definedName name="Por_concepto_de_evaluación_técnica_y_análisis_de_proyectos_urbanísticos_para_su_aprobación_ya_sea_residenciales_comerciales_propiedad_horizontal_cementerios_y_otros_similares" localSheetId="7">#REF!</definedName>
    <definedName name="Por_concepto_de_evaluación_técnica_y_análisis_de_proyectos_urbanísticos_para_su_aprobación_ya_sea_residenciales_comerciales_propiedad_horizontal_cementerios_y_otros_similares">'COBROS DCO'!$AD$204</definedName>
    <definedName name="Portón_para_entrada_a_Solar_o_puerta" localSheetId="4">#REF!</definedName>
    <definedName name="Portón_para_entrada_a_Solar_o_puerta" localSheetId="5">#REF!</definedName>
    <definedName name="Portón_para_entrada_a_Solar_o_puerta" localSheetId="7">#REF!</definedName>
    <definedName name="Portón_para_entrada_a_Solar_o_puerta">'COBROS DCO'!$AD$169</definedName>
    <definedName name="Practica_incentivable_F_1_Por_constituir_servidumbres_a_perpetuidad_bajo_convenios_de_mantenimiento_de_para_areas_de_servicio_publico" localSheetId="4">#REF!</definedName>
    <definedName name="Practica_incentivable_F_1_Por_constituir_servidumbres_a_perpetuidad_bajo_convenios_de_mantenimiento_de_para_areas_de_servicio_publico" localSheetId="5">#REF!</definedName>
    <definedName name="Practica_incentivable_F_1_Por_constituir_servidumbres_a_perpetuidad_bajo_convenios_de_mantenimiento_de_para_areas_de_servicio_publico" localSheetId="7">#REF!</definedName>
    <definedName name="Practica_incentivable_F_1_Por_constituir_servidumbres_a_perpetuidad_bajo_convenios_de_mantenimiento_de_para_areas_de_servicio_publico">DATA!$M$30:$M$31</definedName>
    <definedName name="Practica_incentivable_F_2_Por_donar_bienes_inmuebles_a_favor_del_municipio_de_Quetzaltenango" localSheetId="4">#REF!</definedName>
    <definedName name="Practica_incentivable_F_2_Por_donar_bienes_inmuebles_a_favor_del_municipio_de_Quetzaltenango" localSheetId="5">#REF!</definedName>
    <definedName name="Practica_incentivable_F_2_Por_donar_bienes_inmuebles_a_favor_del_municipio_de_Quetzaltenango" localSheetId="7">#REF!</definedName>
    <definedName name="Practica_incentivable_F_2_Por_donar_bienes_inmuebles_a_favor_del_municipio_de_Quetzaltenango">DATA!$M$33:$M$37</definedName>
    <definedName name="Practica_incentivable_F_3_Por_dejar_una_via_publica_en_bordes_con_zanjones_o_suelo_urbano_de_proteccion_URB_PRO" localSheetId="4">#REF!</definedName>
    <definedName name="Practica_incentivable_F_3_Por_dejar_una_via_publica_en_bordes_con_zanjones_o_suelo_urbano_de_proteccion_URB_PRO" localSheetId="5">#REF!</definedName>
    <definedName name="Practica_incentivable_F_3_Por_dejar_una_via_publica_en_bordes_con_zanjones_o_suelo_urbano_de_proteccion_URB_PRO" localSheetId="7">#REF!</definedName>
    <definedName name="Practica_incentivable_F_3_Por_dejar_una_via_publica_en_bordes_con_zanjones_o_suelo_urbano_de_proteccion_URB_PRO">DATA!$M$39:$M$40</definedName>
    <definedName name="Practica_incentivable_O_1_Por_unificar_predios_para_construir" localSheetId="4">#REF!</definedName>
    <definedName name="Practica_incentivable_O_1_Por_unificar_predios_para_construir" localSheetId="5">#REF!</definedName>
    <definedName name="Practica_incentivable_O_1_Por_unificar_predios_para_construir" localSheetId="7">#REF!</definedName>
    <definedName name="Practica_incentivable_O_1_Por_unificar_predios_para_construir">DATA!$M$43:$M$47</definedName>
    <definedName name="Practica_incentivable_O_2_Por_contribuir_al_sistema_de_drenaje_sostenible" localSheetId="4">#REF!</definedName>
    <definedName name="Practica_incentivable_O_2_Por_contribuir_al_sistema_de_drenaje_sostenible" localSheetId="5">#REF!</definedName>
    <definedName name="Practica_incentivable_O_2_Por_contribuir_al_sistema_de_drenaje_sostenible" localSheetId="7">#REF!</definedName>
    <definedName name="Practica_incentivable_O_2_Por_contribuir_al_sistema_de_drenaje_sostenible">DATA!$M$49:$M$50</definedName>
    <definedName name="Practica_incentivable_O_3_Por_diseño_construccion_y_la_operacion_de_construcciones_sostenibles" localSheetId="4">#REF!</definedName>
    <definedName name="Practica_incentivable_O_3_Por_diseño_construccion_y_la_operacion_de_construcciones_sostenibles" localSheetId="5">#REF!</definedName>
    <definedName name="Practica_incentivable_O_3_Por_diseño_construccion_y_la_operacion_de_construcciones_sostenibles" localSheetId="7">#REF!</definedName>
    <definedName name="Practica_incentivable_O_3_Por_diseño_construccion_y_la_operacion_de_construcciones_sostenibles">DATA!$M$52:$M$55</definedName>
    <definedName name="Practica_incentivable_O_4_Por_cumplir_con_las_normas_de_accesibilidad_para_discapacitados" localSheetId="4">#REF!</definedName>
    <definedName name="Practica_incentivable_O_4_Por_cumplir_con_las_normas_de_accesibilidad_para_discapacitados" localSheetId="5">#REF!</definedName>
    <definedName name="Practica_incentivable_O_4_Por_cumplir_con_las_normas_de_accesibilidad_para_discapacitados" localSheetId="7">#REF!</definedName>
    <definedName name="Practica_incentivable_O_4_Por_cumplir_con_las_normas_de_accesibilidad_para_discapacitados">DATA!$M$57:$M$58</definedName>
    <definedName name="Practica_incentivable_O_5_Por_ensanchar_mejorar_o_construir_aceras" localSheetId="4">#REF!</definedName>
    <definedName name="Practica_incentivable_O_5_Por_ensanchar_mejorar_o_construir_aceras" localSheetId="5">#REF!</definedName>
    <definedName name="Practica_incentivable_O_5_Por_ensanchar_mejorar_o_construir_aceras" localSheetId="7">#REF!</definedName>
    <definedName name="Practica_incentivable_O_5_Por_ensanchar_mejorar_o_construir_aceras">DATA!$M$60:$M$62</definedName>
    <definedName name="Practica_incentivable_O_6_Por_construir_viviendas_compactas_y_de_alta_intensidad_constructiva" localSheetId="4">#REF!</definedName>
    <definedName name="Practica_incentivable_O_6_Por_construir_viviendas_compactas_y_de_alta_intensidad_constructiva" localSheetId="5">#REF!</definedName>
    <definedName name="Practica_incentivable_O_6_Por_construir_viviendas_compactas_y_de_alta_intensidad_constructiva" localSheetId="7">#REF!</definedName>
    <definedName name="Practica_incentivable_O_6_Por_construir_viviendas_compactas_y_de_alta_intensidad_constructiva">DATA!$M$64:$M$66</definedName>
    <definedName name="Practica_incentivable_O_7_Por_actuacion_de_profesional_proyectista_y_o_constructor_certificado_POT_Xela" localSheetId="4">#REF!</definedName>
    <definedName name="Practica_incentivable_O_7_Por_actuacion_de_profesional_proyectista_y_o_constructor_certificado_POT_Xela" localSheetId="5">#REF!</definedName>
    <definedName name="Practica_incentivable_O_7_Por_actuacion_de_profesional_proyectista_y_o_constructor_certificado_POT_Xela" localSheetId="7">#REF!</definedName>
    <definedName name="Practica_incentivable_O_7_Por_actuacion_de_profesional_proyectista_y_o_constructor_certificado_POT_Xela">DATA!$M$68:$M$69</definedName>
    <definedName name="Practica_incentivable_U_1_Por_implementar_sistemas_de_drenaje_separativo_y_sistemas_de_absorcion_de_aguas_pluviales" localSheetId="4">#REF!</definedName>
    <definedName name="Practica_incentivable_U_1_Por_implementar_sistemas_de_drenaje_separativo_y_sistemas_de_absorcion_de_aguas_pluviales" localSheetId="5">#REF!</definedName>
    <definedName name="Practica_incentivable_U_1_Por_implementar_sistemas_de_drenaje_separativo_y_sistemas_de_absorcion_de_aguas_pluviales" localSheetId="7">#REF!</definedName>
    <definedName name="Practica_incentivable_U_1_Por_implementar_sistemas_de_drenaje_separativo_y_sistemas_de_absorcion_de_aguas_pluviales">DATA!$M$72:$M$73</definedName>
    <definedName name="Practica_incentivable_U_2_Por_establecer_servidumbres_a_perpetuidad_bajo_convenios_de_mantenimiento_de_para_areas_de_servicio_publico" localSheetId="4">#REF!</definedName>
    <definedName name="Practica_incentivable_U_2_Por_establecer_servidumbres_a_perpetuidad_bajo_convenios_de_mantenimiento_de_para_areas_de_servicio_publico" localSheetId="5">#REF!</definedName>
    <definedName name="Practica_incentivable_U_2_Por_establecer_servidumbres_a_perpetuidad_bajo_convenios_de_mantenimiento_de_para_areas_de_servicio_publico" localSheetId="7">#REF!</definedName>
    <definedName name="Practica_incentivable_U_2_Por_establecer_servidumbres_a_perpetuidad_bajo_convenios_de_mantenimiento_de_para_areas_de_servicio_publico">DATA!$M$75:$M$76</definedName>
    <definedName name="Practica_incentivable_U_3_Por_construir_banquetas_de_alta_calidad_mayores_a_1_75_m_con_0_75_m_De_area_verde" localSheetId="4">#REF!</definedName>
    <definedName name="Practica_incentivable_U_3_Por_construir_banquetas_de_alta_calidad_mayores_a_1_75_m_con_0_75_m_De_area_verde" localSheetId="5">#REF!</definedName>
    <definedName name="Practica_incentivable_U_3_Por_construir_banquetas_de_alta_calidad_mayores_a_1_75_m_con_0_75_m_De_area_verde" localSheetId="7">#REF!</definedName>
    <definedName name="Practica_incentivable_U_3_Por_construir_banquetas_de_alta_calidad_mayores_a_1_75_m_con_0_75_m_De_area_verde">DATA!$M$78:$M$79</definedName>
    <definedName name="Practica_incentivable_U_4_Por_construir_vias_mayores_a_13_50_m_con_banquetas_mayores_a_3_00_m" localSheetId="4">#REF!</definedName>
    <definedName name="Practica_incentivable_U_4_Por_construir_vias_mayores_a_13_50_m_con_banquetas_mayores_a_3_00_m" localSheetId="5">#REF!</definedName>
    <definedName name="Practica_incentivable_U_4_Por_construir_vias_mayores_a_13_50_m_con_banquetas_mayores_a_3_00_m" localSheetId="7">#REF!</definedName>
    <definedName name="Practica_incentivable_U_4_Por_construir_vias_mayores_a_13_50_m_con_banquetas_mayores_a_3_00_m">DATA!$M$81:$M$82</definedName>
    <definedName name="Practica_incentivable_U_5_Por_conectar_las_vias_con_el_sistema_vial_existente_o_proyectado" localSheetId="4">#REF!</definedName>
    <definedName name="Practica_incentivable_U_5_Por_conectar_las_vias_con_el_sistema_vial_existente_o_proyectado" localSheetId="5">#REF!</definedName>
    <definedName name="Practica_incentivable_U_5_Por_conectar_las_vias_con_el_sistema_vial_existente_o_proyectado" localSheetId="7">#REF!</definedName>
    <definedName name="Practica_incentivable_U_5_Por_conectar_las_vias_con_el_sistema_vial_existente_o_proyectado">DATA!$M$84:$M$85</definedName>
    <definedName name="Practica_incentivable_U_6_Por_crear_parqueo_para_visitas" localSheetId="4">#REF!</definedName>
    <definedName name="Practica_incentivable_U_6_Por_crear_parqueo_para_visitas" localSheetId="5">#REF!</definedName>
    <definedName name="Practica_incentivable_U_6_Por_crear_parqueo_para_visitas" localSheetId="7">#REF!</definedName>
    <definedName name="Practica_incentivable_U_6_Por_crear_parqueo_para_visitas">DATA!$M$87:$M$88</definedName>
    <definedName name="Practica_incentivable_U_7_Por_construir_areas_de_servicio_publico_en_otro_lugar_de_interes_municipal" localSheetId="4">#REF!</definedName>
    <definedName name="Practica_incentivable_U_7_Por_construir_areas_de_servicio_publico_en_otro_lugar_de_interes_municipal" localSheetId="5">#REF!</definedName>
    <definedName name="Practica_incentivable_U_7_Por_construir_areas_de_servicio_publico_en_otro_lugar_de_interes_municipal" localSheetId="7">#REF!</definedName>
    <definedName name="Practica_incentivable_U_7_Por_construir_areas_de_servicio_publico_en_otro_lugar_de_interes_municipal">DATA!$M$90:$M$94</definedName>
    <definedName name="Practica_incentivable_U_8_Por_actuacion_de_profesional_proyectista_y_o_constructor_certificado_POT_Xela" localSheetId="4">#REF!</definedName>
    <definedName name="Practica_incentivable_U_8_Por_actuacion_de_profesional_proyectista_y_o_constructor_certificado_POT_Xela" localSheetId="5">#REF!</definedName>
    <definedName name="Practica_incentivable_U_8_Por_actuacion_de_profesional_proyectista_y_o_constructor_certificado_POT_Xela" localSheetId="7">#REF!</definedName>
    <definedName name="Practica_incentivable_U_8_Por_actuacion_de_profesional_proyectista_y_o_constructor_certificado_POT_Xela">DATA!$M$96:$M$97</definedName>
    <definedName name="Practica_incentivable_US_1_Convertir_uso_no_residencial_a_residencial_o_mixto" localSheetId="4">#REF!</definedName>
    <definedName name="Practica_incentivable_US_1_Convertir_uso_no_residencial_a_residencial_o_mixto" localSheetId="5">#REF!</definedName>
    <definedName name="Practica_incentivable_US_1_Convertir_uso_no_residencial_a_residencial_o_mixto" localSheetId="7">#REF!</definedName>
    <definedName name="Practica_incentivable_US_1_Convertir_uso_no_residencial_a_residencial_o_mixto">DATA!$M$99:$M$102</definedName>
    <definedName name="Practica_incentivable_US_2_Por_eliminar_un_uso_de_suelo_no_residencial_condicionado_existente" localSheetId="4">#REF!</definedName>
    <definedName name="Practica_incentivable_US_2_Por_eliminar_un_uso_de_suelo_no_residencial_condicionado_existente" localSheetId="5">#REF!</definedName>
    <definedName name="Practica_incentivable_US_2_Por_eliminar_un_uso_de_suelo_no_residencial_condicionado_existente" localSheetId="7">#REF!</definedName>
    <definedName name="Practica_incentivable_US_2_Por_eliminar_un_uso_de_suelo_no_residencial_condicionado_existente">DATA!$M$104:$M$107</definedName>
    <definedName name="Practica_incentivable_US_3_Por_crear_suelo_mixto" localSheetId="4">#REF!</definedName>
    <definedName name="Practica_incentivable_US_3_Por_crear_suelo_mixto" localSheetId="5">#REF!</definedName>
    <definedName name="Practica_incentivable_US_3_Por_crear_suelo_mixto" localSheetId="7">#REF!</definedName>
    <definedName name="Practica_incentivable_US_3_Por_crear_suelo_mixto">DATA!$M$109:$M$112</definedName>
    <definedName name="Primer_Prorroga_de_licencia_de_obra_de_construcción" localSheetId="4">#REF!</definedName>
    <definedName name="Primer_Prorroga_de_licencia_de_obra_de_construcción" localSheetId="5">#REF!</definedName>
    <definedName name="Primer_Prorroga_de_licencia_de_obra_de_construcción" localSheetId="7">#REF!</definedName>
    <definedName name="Primer_Prorroga_de_licencia_de_obra_de_construcción">'COBROS DCO'!$AD$206</definedName>
    <definedName name="PRORROGA_DE_LICENCIA_DE_OBRA_DE_CONSTRUCCION" localSheetId="4">#REF!</definedName>
    <definedName name="PRORROGA_DE_LICENCIA_DE_OBRA_DE_CONSTRUCCION" localSheetId="6">#REF!</definedName>
    <definedName name="PRORROGA_DE_LICENCIA_DE_OBRA_DE_CONSTRUCCION" localSheetId="5">#REF!</definedName>
    <definedName name="PRORROGA_DE_LICENCIA_DE_OBRA_DE_CONSTRUCCION" localSheetId="7">#REF!</definedName>
    <definedName name="PRORROGA_DE_LICENCIA_DE_OBRA_DE_CONSTRUCCION">#REF!</definedName>
    <definedName name="PRORROGA_DE_LICENCIA_DE_OBRA_DE_CONSTRUCCIÓN" localSheetId="4">#REF!</definedName>
    <definedName name="PRORROGA_DE_LICENCIA_DE_OBRA_DE_CONSTRUCCIÓN" localSheetId="5">#REF!</definedName>
    <definedName name="PRORROGA_DE_LICENCIA_DE_OBRA_DE_CONSTRUCCIÓN" localSheetId="7">#REF!</definedName>
    <definedName name="PRORROGA_DE_LICENCIA_DE_OBRA_DE_CONSTRUCCIÓN">'COBROS DCO'!$V$3:$V$5</definedName>
    <definedName name="proyecto_de_creación_de_nuevos_cementerios" localSheetId="4">#REF!</definedName>
    <definedName name="proyecto_de_creación_de_nuevos_cementerios" localSheetId="5">#REF!</definedName>
    <definedName name="proyecto_de_creación_de_nuevos_cementerios" localSheetId="7">#REF!</definedName>
    <definedName name="proyecto_de_creación_de_nuevos_cementerios">'COBROS DCO'!$AD$186</definedName>
    <definedName name="Puentes" localSheetId="4">#REF!</definedName>
    <definedName name="Puentes" localSheetId="5">#REF!</definedName>
    <definedName name="Puentes" localSheetId="7">#REF!</definedName>
    <definedName name="Puentes">'COBROS DCO'!$AD$189</definedName>
    <definedName name="Rastros" localSheetId="4">#REF!</definedName>
    <definedName name="Rastros" localSheetId="5">#REF!</definedName>
    <definedName name="Rastros" localSheetId="7">#REF!</definedName>
    <definedName name="Rastros">'COBROS DCO'!$AD$181</definedName>
    <definedName name="Realizacion_de_juegos_pasivos_o_de_apuestas_debidamente_autorizados" localSheetId="4">#REF!</definedName>
    <definedName name="Realizacion_de_juegos_pasivos_o_de_apuestas_debidamente_autorizados" localSheetId="5">#REF!</definedName>
    <definedName name="Realizacion_de_juegos_pasivos_o_de_apuestas_debidamente_autorizados" localSheetId="7">#REF!</definedName>
    <definedName name="Realizacion_de_juegos_pasivos_o_de_apuestas_debidamente_autorizados">'USOS DE SUELO'!$F$116:$F$121</definedName>
    <definedName name="Recreación_Jardín_de_fiestas_infantiles_Recreación_Social_Centros_comunitarios_culturales_clubes_campestres_sociales_salones_para_banquetes_o_baile_casas_club_spa" localSheetId="4">#REF!</definedName>
    <definedName name="Recreación_Jardín_de_fiestas_infantiles_Recreación_Social_Centros_comunitarios_culturales_clubes_campestres_sociales_salones_para_banquetes_o_baile_casas_club_spa" localSheetId="5">#REF!</definedName>
    <definedName name="Recreación_Jardín_de_fiestas_infantiles_Recreación_Social_Centros_comunitarios_culturales_clubes_campestres_sociales_salones_para_banquetes_o_baile_casas_club_spa" localSheetId="7">#REF!</definedName>
    <definedName name="Recreación_Jardín_de_fiestas_infantiles_Recreación_Social_Centros_comunitarios_culturales_clubes_campestres_sociales_salones_para_banquetes_o_baile_casas_club_spa">'COBROS DCO'!$AD$70:$AD$79</definedName>
    <definedName name="Renovación_Uso_de_suelo_no_residencial_condicionado" localSheetId="4">#REF!</definedName>
    <definedName name="Renovación_Uso_de_suelo_no_residencial_condicionado" localSheetId="5">#REF!</definedName>
    <definedName name="Renovación_Uso_de_suelo_no_residencial_condicionado" localSheetId="7">#REF!</definedName>
    <definedName name="Renovación_Uso_de_suelo_no_residencial_condicionado">'COBROS DCO'!$AD$199</definedName>
    <definedName name="Renovación_uso_de_suelo_no_residencial_ordinario" localSheetId="4">#REF!</definedName>
    <definedName name="Renovación_uso_de_suelo_no_residencial_ordinario" localSheetId="5">#REF!</definedName>
    <definedName name="Renovación_uso_de_suelo_no_residencial_ordinario" localSheetId="7">#REF!</definedName>
    <definedName name="Renovación_uso_de_suelo_no_residencial_ordinario">'COBROS DCO'!$AD$197</definedName>
    <definedName name="Reparación_y_o_repello_de_mausoleo" localSheetId="4">#REF!</definedName>
    <definedName name="Reparación_y_o_repello_de_mausoleo" localSheetId="5">#REF!</definedName>
    <definedName name="Reparación_y_o_repello_de_mausoleo" localSheetId="7">#REF!</definedName>
    <definedName name="Reparación_y_o_repello_de_mausoleo">'COBROS DCO'!$AD$159</definedName>
    <definedName name="Reparación_y_o_repello_de_mausoleo_" localSheetId="4">#REF!</definedName>
    <definedName name="Reparación_y_o_repello_de_mausoleo_" localSheetId="5">#REF!</definedName>
    <definedName name="Reparación_y_o_repello_de_mausoleo_" localSheetId="7">#REF!</definedName>
    <definedName name="Reparación_y_o_repello_de_mausoleo_">'COBROS DCO'!$AD$166</definedName>
    <definedName name="Reparaciones_varias_remodelación_y_Otros_trabajos" localSheetId="4">#REF!</definedName>
    <definedName name="Reparaciones_varias_remodelación_y_Otros_trabajos" localSheetId="5">#REF!</definedName>
    <definedName name="Reparaciones_varias_remodelación_y_Otros_trabajos" localSheetId="7">#REF!</definedName>
    <definedName name="Reparaciones_varias_remodelación_y_Otros_trabajos">'COBROS DCO'!$AD$178</definedName>
    <definedName name="RESIDENCIAL" localSheetId="4">#REF!</definedName>
    <definedName name="RESIDENCIAL" localSheetId="5">#REF!</definedName>
    <definedName name="RESIDENCIAL" localSheetId="7">#REF!</definedName>
    <definedName name="RESIDENCIAL">'COBROS DCO'!$C$3:$C$7</definedName>
    <definedName name="RESIDENCIALES" localSheetId="4">#REF!</definedName>
    <definedName name="RESIDENCIALES" localSheetId="5">#REF!</definedName>
    <definedName name="RESIDENCIALES" localSheetId="7">#REF!</definedName>
    <definedName name="RESIDENCIALES">#REF!</definedName>
    <definedName name="Restauración_de_mausoleos" localSheetId="4">#REF!</definedName>
    <definedName name="Restauración_de_mausoleos" localSheetId="5">#REF!</definedName>
    <definedName name="Restauración_de_mausoleos" localSheetId="7">#REF!</definedName>
    <definedName name="Restauración_de_mausoleos">'COBROS DCO'!$AD$157</definedName>
    <definedName name="Restauración_de_mausoleos_en_" localSheetId="4">#REF!</definedName>
    <definedName name="Restauración_de_mausoleos_en_" localSheetId="5">#REF!</definedName>
    <definedName name="Restauración_de_mausoleos_en_" localSheetId="7">#REF!</definedName>
    <definedName name="Restauración_de_mausoleos_en_">'COBROS DCO'!$AD$164</definedName>
    <definedName name="restauraciones_dentro_de_centro_histórico_y_monumentos_aislados" localSheetId="4">#REF!</definedName>
    <definedName name="restauraciones_dentro_de_centro_histórico_y_monumentos_aislados" localSheetId="5">#REF!</definedName>
    <definedName name="restauraciones_dentro_de_centro_histórico_y_monumentos_aislados" localSheetId="7">#REF!</definedName>
    <definedName name="restauraciones_dentro_de_centro_histórico_y_monumentos_aislados">'COBROS DCO'!$AD$179</definedName>
    <definedName name="salones_para_banquetes_o_baile_centros_deportivos_gimnasios_Piscinas_públicas_Auditorios_Teatros_Salas_de_conciertos_Centros_de_Convenciones_boliches_billares" localSheetId="4">#REF!</definedName>
    <definedName name="salones_para_banquetes_o_baile_centros_deportivos_gimnasios_Piscinas_públicas_Auditorios_Teatros_Salas_de_conciertos_Centros_de_Convenciones_boliches_billares" localSheetId="5">#REF!</definedName>
    <definedName name="salones_para_banquetes_o_baile_centros_deportivos_gimnasios_Piscinas_públicas_Auditorios_Teatros_Salas_de_conciertos_Centros_de_Convenciones_boliches_billares" localSheetId="7">#REF!</definedName>
    <definedName name="salones_para_banquetes_o_baile_centros_deportivos_gimnasios_Piscinas_públicas_Auditorios_Teatros_Salas_de_conciertos_Centros_de_Convenciones_boliches_billares">'COBROS DCO'!$AD$81:$AD$90</definedName>
    <definedName name="SALUD" localSheetId="4">#REF!</definedName>
    <definedName name="SALUD" localSheetId="5">#REF!</definedName>
    <definedName name="SALUD" localSheetId="7">#REF!</definedName>
    <definedName name="SALUD">'COBROS DCO'!$F$3:$F$4</definedName>
    <definedName name="Segunda_Prorroga_de_Licencia_de_obra_de_construcción" localSheetId="4">#REF!</definedName>
    <definedName name="Segunda_Prorroga_de_Licencia_de_obra_de_construcción" localSheetId="5">#REF!</definedName>
    <definedName name="Segunda_Prorroga_de_Licencia_de_obra_de_construcción" localSheetId="7">#REF!</definedName>
    <definedName name="Segunda_Prorroga_de_Licencia_de_obra_de_construcción">'COBROS DCO'!$AD$207</definedName>
    <definedName name="SERVICIO" localSheetId="4">#REF!</definedName>
    <definedName name="SERVICIO" localSheetId="5">#REF!</definedName>
    <definedName name="SERVICIO" localSheetId="7">#REF!</definedName>
    <definedName name="SERVICIO">'COBROS DCO'!$D$3:$D$4</definedName>
    <definedName name="Servicios_de_alojamiento_por_fraccion_de_tiempo" localSheetId="4">#REF!</definedName>
    <definedName name="Servicios_de_alojamiento_por_fraccion_de_tiempo" localSheetId="5">#REF!</definedName>
    <definedName name="Servicios_de_alojamiento_por_fraccion_de_tiempo" localSheetId="7">#REF!</definedName>
    <definedName name="Servicios_de_alojamiento_por_fraccion_de_tiempo">'USOS DE SUELO'!$F$104:$F$110</definedName>
    <definedName name="Servicios_de_manejo_almacenaje_procesamiento_o_disposicion_de_desechos_solidos" localSheetId="4">#REF!</definedName>
    <definedName name="Servicios_de_manejo_almacenaje_procesamiento_o_disposicion_de_desechos_solidos" localSheetId="5">#REF!</definedName>
    <definedName name="Servicios_de_manejo_almacenaje_procesamiento_o_disposicion_de_desechos_solidos" localSheetId="7">#REF!</definedName>
    <definedName name="Servicios_de_manejo_almacenaje_procesamiento_o_disposicion_de_desechos_solidos">'USOS DE SUELO'!$F$52:$F$58</definedName>
    <definedName name="Servicios_de_publicidad_o_promocion" localSheetId="4">#REF!</definedName>
    <definedName name="Servicios_de_publicidad_o_promocion" localSheetId="5">#REF!</definedName>
    <definedName name="Servicios_de_publicidad_o_promocion" localSheetId="7">#REF!</definedName>
    <definedName name="Servicios_de_publicidad_o_promocion">'USOS DE SUELO'!$F$10:$F$17</definedName>
    <definedName name="Servicios_de_reparacion_mantenimiento_o_limpieza_de_vehiculos_y_otros_objetos_mayores" localSheetId="4">#REF!</definedName>
    <definedName name="Servicios_de_reparacion_mantenimiento_o_limpieza_de_vehiculos_y_otros_objetos_mayores" localSheetId="5">#REF!</definedName>
    <definedName name="Servicios_de_reparacion_mantenimiento_o_limpieza_de_vehiculos_y_otros_objetos_mayores" localSheetId="7">#REF!</definedName>
    <definedName name="Servicios_de_reparacion_mantenimiento_o_limpieza_de_vehiculos_y_otros_objetos_mayores">'USOS DE SUELO'!$F$81:$F$87</definedName>
    <definedName name="Sin_fines_de_lucro_ONGs" localSheetId="4">#REF!</definedName>
    <definedName name="Sin_fines_de_lucro_ONGs" localSheetId="5">#REF!</definedName>
    <definedName name="Sin_fines_de_lucro_ONGs" localSheetId="7">#REF!</definedName>
    <definedName name="Sin_fines_de_lucro_ONGs">'COBROS DCO'!$AD$52</definedName>
    <definedName name="Superficies_dedicadas_a_actividades_de_ocio_estanciales" localSheetId="4">#REF!</definedName>
    <definedName name="Superficies_dedicadas_a_actividades_de_ocio_estanciales" localSheetId="5">#REF!</definedName>
    <definedName name="Superficies_dedicadas_a_actividades_de_ocio_estanciales" localSheetId="7">#REF!</definedName>
    <definedName name="Superficies_dedicadas_a_actividades_de_ocio_estanciales">'USOS DE SUELO'!$F$281:$F$291</definedName>
    <definedName name="Superficies_dedicadas_a_actividades_de_recreacion_individuales_o_grupales" localSheetId="4">#REF!</definedName>
    <definedName name="Superficies_dedicadas_a_actividades_de_recreacion_individuales_o_grupales" localSheetId="5">#REF!</definedName>
    <definedName name="Superficies_dedicadas_a_actividades_de_recreacion_individuales_o_grupales" localSheetId="7">#REF!</definedName>
    <definedName name="Superficies_dedicadas_a_actividades_de_recreacion_individuales_o_grupales">'USOS DE SUELO'!$F$267:$F$277</definedName>
    <definedName name="Superficies_dedicadas_a_areas_de_eventos_y_reunion_de_personas" localSheetId="4">#REF!</definedName>
    <definedName name="Superficies_dedicadas_a_areas_de_eventos_y_reunion_de_personas" localSheetId="5">#REF!</definedName>
    <definedName name="Superficies_dedicadas_a_areas_de_eventos_y_reunion_de_personas" localSheetId="7">#REF!</definedName>
    <definedName name="Superficies_dedicadas_a_areas_de_eventos_y_reunion_de_personas">'USOS DE SUELO'!$F$214:$F$220</definedName>
    <definedName name="Superficies_dedicadas_a_campos_o_canchas_deportivas" localSheetId="4">#REF!</definedName>
    <definedName name="Superficies_dedicadas_a_campos_o_canchas_deportivas" localSheetId="5">#REF!</definedName>
    <definedName name="Superficies_dedicadas_a_campos_o_canchas_deportivas" localSheetId="7">#REF!</definedName>
    <definedName name="Superficies_dedicadas_a_campos_o_canchas_deportivas">'USOS DE SUELO'!$F$224:$F$233</definedName>
    <definedName name="Superficies_dedicadas_a_ensenanza_que_no_generan_grado_academico" localSheetId="4">#REF!</definedName>
    <definedName name="Superficies_dedicadas_a_ensenanza_que_no_generan_grado_academico" localSheetId="5">#REF!</definedName>
    <definedName name="Superficies_dedicadas_a_ensenanza_que_no_generan_grado_academico" localSheetId="7">#REF!</definedName>
    <definedName name="Superficies_dedicadas_a_ensenanza_que_no_generan_grado_academico">'USOS DE SUELO'!$F$201:$F$210</definedName>
    <definedName name="Superficies_dedicadas_a_Estacionamiento_de_vehiculos_livianos_como_uso_del_suelo_principal" localSheetId="4">#REF!</definedName>
    <definedName name="Superficies_dedicadas_a_Estacionamiento_de_vehiculos_livianos_como_uso_del_suelo_principal" localSheetId="5">#REF!</definedName>
    <definedName name="Superficies_dedicadas_a_Estacionamiento_de_vehiculos_livianos_como_uso_del_suelo_principal" localSheetId="7">#REF!</definedName>
    <definedName name="Superficies_dedicadas_a_Estacionamiento_de_vehiculos_livianos_como_uso_del_suelo_principal">'USOS DE SUELO'!$F$295:$F$299</definedName>
    <definedName name="Superficies_dedicadas_a_la_produccion_reparacion_o_almacenamiento_de_productos" localSheetId="4">#REF!</definedName>
    <definedName name="Superficies_dedicadas_a_la_produccion_reparacion_o_almacenamiento_de_productos" localSheetId="5">#REF!</definedName>
    <definedName name="Superficies_dedicadas_a_la_produccion_reparacion_o_almacenamiento_de_productos" localSheetId="7">#REF!</definedName>
    <definedName name="Superficies_dedicadas_a_la_produccion_reparacion_o_almacenamiento_de_productos">'USOS DE SUELO'!$F$237:$F$244</definedName>
    <definedName name="Superficies_dedicadas_a_la_venta_de_productos_o_a_la_prestacion_de_servicios" localSheetId="4">#REF!</definedName>
    <definedName name="Superficies_dedicadas_a_la_venta_de_productos_o_a_la_prestacion_de_servicios" localSheetId="5">#REF!</definedName>
    <definedName name="Superficies_dedicadas_a_la_venta_de_productos_o_a_la_prestacion_de_servicios" localSheetId="7">#REF!</definedName>
    <definedName name="Superficies_dedicadas_a_la_venta_de_productos_o_a_la_prestacion_de_servicios">'USOS DE SUELO'!$F$150:$F$175</definedName>
    <definedName name="Superficies_dedicadas_a_labores_de_oficina" localSheetId="4">#REF!</definedName>
    <definedName name="Superficies_dedicadas_a_labores_de_oficina" localSheetId="5">#REF!</definedName>
    <definedName name="Superficies_dedicadas_a_labores_de_oficina" localSheetId="7">#REF!</definedName>
    <definedName name="Superficies_dedicadas_a_labores_de_oficina">'USOS DE SUELO'!$F$190:$F$197</definedName>
    <definedName name="Superficies_dedicadas_al_alojamiento" localSheetId="4">#REF!</definedName>
    <definedName name="Superficies_dedicadas_al_alojamiento" localSheetId="5">#REF!</definedName>
    <definedName name="Superficies_dedicadas_al_alojamiento" localSheetId="7">#REF!</definedName>
    <definedName name="Superficies_dedicadas_al_alojamiento">'USOS DE SUELO'!$F$248:$F$263</definedName>
    <definedName name="Superficies_dedicadas_al_consumo_de_comidas_y_bebidas" localSheetId="4">#REF!</definedName>
    <definedName name="Superficies_dedicadas_al_consumo_de_comidas_y_bebidas" localSheetId="5">#REF!</definedName>
    <definedName name="Superficies_dedicadas_al_consumo_de_comidas_y_bebidas" localSheetId="7">#REF!</definedName>
    <definedName name="Superficies_dedicadas_al_consumo_de_comidas_y_bebidas">'USOS DE SUELO'!$F$179:$F$186</definedName>
    <definedName name="Techo_de_Concreto" localSheetId="4">#REF!</definedName>
    <definedName name="Techo_de_Concreto" localSheetId="5">#REF!</definedName>
    <definedName name="Techo_de_Concreto" localSheetId="7">#REF!</definedName>
    <definedName name="Techo_de_Concreto">'COBROS DCO'!$AD$175</definedName>
    <definedName name="Techo_de_Lámina" localSheetId="4">#REF!</definedName>
    <definedName name="Techo_de_Lámina" localSheetId="5">#REF!</definedName>
    <definedName name="Techo_de_Lámina" localSheetId="7">#REF!</definedName>
    <definedName name="Techo_de_Lámina">'COBROS DCO'!$AD$174</definedName>
    <definedName name="TICS_infraestructuras_cuyo_fin_sea_la_transmision_de_datos_o_informacion" localSheetId="4">#REF!</definedName>
    <definedName name="TICS_infraestructuras_cuyo_fin_sea_la_transmision_de_datos_o_informacion" localSheetId="5">#REF!</definedName>
    <definedName name="TICS_infraestructuras_cuyo_fin_sea_la_transmision_de_datos_o_informacion" localSheetId="7">#REF!</definedName>
    <definedName name="TICS_infraestructuras_cuyo_fin_sea_la_transmision_de_datos_o_informacion">'USOS DE SUELO'!$F$142:$F$146</definedName>
    <definedName name="tipo_interés_social" localSheetId="4">#REF!</definedName>
    <definedName name="tipo_interés_social" localSheetId="5">#REF!</definedName>
    <definedName name="tipo_interés_social" localSheetId="7">#REF!</definedName>
    <definedName name="tipo_interés_social">'COBROS DCO'!$AD$3</definedName>
    <definedName name="TODA_AQUELLA_CONTENIDA_EN_EL_LISTADO_TAXATIVO_DEL_MINISTERIO_DE_AMBIENTE_Y_RECURSOS_NATURALES_COMO_CATEGORÍA_A" localSheetId="4">#REF!</definedName>
    <definedName name="TODA_AQUELLA_CONTENIDA_EN_EL_LISTADO_TAXATIVO_DEL_MINISTERIO_DE_AMBIENTE_Y_RECURSOS_NATURALES_COMO_CATEGORÍA_A" localSheetId="5">#REF!</definedName>
    <definedName name="TODA_AQUELLA_CONTENIDA_EN_EL_LISTADO_TAXATIVO_DEL_MINISTERIO_DE_AMBIENTE_Y_RECURSOS_NATURALES_COMO_CATEGORÍA_A" localSheetId="7">#REF!</definedName>
    <definedName name="TODA_AQUELLA_CONTENIDA_EN_EL_LISTADO_TAXATIVO_DEL_MINISTERIO_DE_AMBIENTE_Y_RECURSOS_NATURALES_COMO_CATEGORÍA_A">'COBROS DCO'!$AD$143:$AD$150</definedName>
    <definedName name="TODA_AQUELLA_CONTENIDA_EN_EL_LISTADO_TAXATIVO_DEL_MINISTERIO_DE_AMBIENTE_Y_RECURSOS_NATURALES_COMO_CATEGORÍA_B" localSheetId="4">#REF!</definedName>
    <definedName name="TODA_AQUELLA_CONTENIDA_EN_EL_LISTADO_TAXATIVO_DEL_MINISTERIO_DE_AMBIENTE_Y_RECURSOS_NATURALES_COMO_CATEGORÍA_B" localSheetId="5">#REF!</definedName>
    <definedName name="TODA_AQUELLA_CONTENIDA_EN_EL_LISTADO_TAXATIVO_DEL_MINISTERIO_DE_AMBIENTE_Y_RECURSOS_NATURALES_COMO_CATEGORÍA_B" localSheetId="7">#REF!</definedName>
    <definedName name="TODA_AQUELLA_CONTENIDA_EN_EL_LISTADO_TAXATIVO_DEL_MINISTERIO_DE_AMBIENTE_Y_RECURSOS_NATURALES_COMO_CATEGORÍA_B">'COBROS DCO'!$AD$134:$AD$141</definedName>
    <definedName name="TODA_AQUELLA_CONTENIDA_EN_EL_LISTADO_TAXATIVO_DEL_MINISTERIO_DE_AMBIENTE_Y_RECURSOS_NATURALES_COMO_CATEGORÍA_C" localSheetId="4">#REF!</definedName>
    <definedName name="TODA_AQUELLA_CONTENIDA_EN_EL_LISTADO_TAXATIVO_DEL_MINISTERIO_DE_AMBIENTE_Y_RECURSOS_NATURALES_COMO_CATEGORÍA_C" localSheetId="5">#REF!</definedName>
    <definedName name="TODA_AQUELLA_CONTENIDA_EN_EL_LISTADO_TAXATIVO_DEL_MINISTERIO_DE_AMBIENTE_Y_RECURSOS_NATURALES_COMO_CATEGORÍA_C" localSheetId="7">#REF!</definedName>
    <definedName name="TODA_AQUELLA_CONTENIDA_EN_EL_LISTADO_TAXATIVO_DEL_MINISTERIO_DE_AMBIENTE_Y_RECURSOS_NATURALES_COMO_CATEGORÍA_C">'COBROS DCO'!$AD$125:$AD$132</definedName>
    <definedName name="TRANSPORTE" localSheetId="4">#REF!</definedName>
    <definedName name="TRANSPORTE" localSheetId="5">#REF!</definedName>
    <definedName name="TRANSPORTE" localSheetId="7">#REF!</definedName>
    <definedName name="TRANSPORTE">'COBROS DCO'!$K$3:$K$7</definedName>
    <definedName name="USO_DE_SUELO" localSheetId="4">#REF!</definedName>
    <definedName name="USO_DE_SUELO" localSheetId="5">#REF!</definedName>
    <definedName name="USO_DE_SUELO" localSheetId="7">#REF!</definedName>
    <definedName name="USO_DE_SUELO">'COBROS DCO'!$T$3:$T$12</definedName>
    <definedName name="Uso_de_suelo_no_residencial" localSheetId="4">#REF!</definedName>
    <definedName name="Uso_de_suelo_no_residencial" localSheetId="5">#REF!</definedName>
    <definedName name="Uso_de_suelo_no_residencial" localSheetId="7">#REF!</definedName>
    <definedName name="Uso_de_suelo_no_residencial">'COBROS DCO'!$AD$195</definedName>
    <definedName name="Uso_de_suelo_no_residencial_condicionado" localSheetId="4">#REF!</definedName>
    <definedName name="Uso_de_suelo_no_residencial_condicionado" localSheetId="5">#REF!</definedName>
    <definedName name="Uso_de_suelo_no_residencial_condicionado" localSheetId="7">#REF!</definedName>
    <definedName name="Uso_de_suelo_no_residencial_condicionado">'COBROS DCO'!$AD$198</definedName>
    <definedName name="Uso_de_suelo_no_residencial_ordinario" localSheetId="4">#REF!</definedName>
    <definedName name="Uso_de_suelo_no_residencial_ordinario" localSheetId="5">#REF!</definedName>
    <definedName name="Uso_de_suelo_no_residencial_ordinario" localSheetId="7">#REF!</definedName>
    <definedName name="Uso_de_suelo_no_residencial_ordinario">'COBROS DCO'!$AD$196</definedName>
    <definedName name="Uso_de_suelo_residencial" localSheetId="4">#REF!</definedName>
    <definedName name="Uso_de_suelo_residencial" localSheetId="5">#REF!</definedName>
    <definedName name="Uso_de_suelo_residencial" localSheetId="7">#REF!</definedName>
    <definedName name="Uso_de_suelo_residencial">'COBROS DCO'!$AD$194</definedName>
    <definedName name="VARIOS" localSheetId="4">#REF!</definedName>
    <definedName name="VARIOS" localSheetId="5">#REF!</definedName>
    <definedName name="VARIOS" localSheetId="7">#REF!</definedName>
    <definedName name="VARIOS">'COBROS DCO'!$S$3:$S$26</definedName>
    <definedName name="Venta_de_Vehículos_ferreterías_servicios_funerarios_Tiendas_de_servicios_Baños_públicos_salones_de_belleza_sastrerías_hoteles_y_moteles_restaurantes_y_cafeterías_con_consumo_limitado_de_licor" localSheetId="4">#REF!</definedName>
    <definedName name="Venta_de_Vehículos_ferreterías_servicios_funerarios_Tiendas_de_servicios_Baños_públicos_salones_de_belleza_sastrerías_hoteles_y_moteles_restaurantes_y_cafeterías_con_consumo_limitado_de_licor" localSheetId="5">#REF!</definedName>
    <definedName name="Venta_de_Vehículos_ferreterías_servicios_funerarios_Tiendas_de_servicios_Baños_públicos_salones_de_belleza_sastrerías_hoteles_y_moteles_restaurantes_y_cafeterías_con_consumo_limitado_de_licor" localSheetId="7">#REF!</definedName>
    <definedName name="Venta_de_Vehículos_ferreterías_servicios_funerarios_Tiendas_de_servicios_Baños_públicos_salones_de_belleza_sastrerías_hoteles_y_moteles_restaurantes_y_cafeterías_con_consumo_limitado_de_licor">'COBROS DCO'!$AD$34:$AD$41</definedName>
    <definedName name="Vivienda_tipo_A" localSheetId="4">#REF!</definedName>
    <definedName name="Vivienda_tipo_A" localSheetId="5">#REF!</definedName>
    <definedName name="Vivienda_tipo_A" localSheetId="7">#REF!</definedName>
    <definedName name="Vivienda_tipo_A">'COBROS DCO'!$AD$6:$AD$13</definedName>
    <definedName name="Vivienda_tipo_B" localSheetId="4">#REF!</definedName>
    <definedName name="Vivienda_tipo_B" localSheetId="5">#REF!</definedName>
    <definedName name="Vivienda_tipo_B" localSheetId="7">#REF!</definedName>
    <definedName name="Vivienda_tipo_B">'COBROS DCO'!$AD$5</definedName>
    <definedName name="Vivienda_tipo_C" localSheetId="4">#REF!</definedName>
    <definedName name="Vivienda_tipo_C" localSheetId="5">#REF!</definedName>
    <definedName name="Vivienda_tipo_C" localSheetId="7">#REF!</definedName>
    <definedName name="Vivienda_tipo_C">'COBROS DCO'!$AD$4</definedName>
    <definedName name="zoológicos" localSheetId="4">#REF!</definedName>
    <definedName name="zoológicos" localSheetId="5">#REF!</definedName>
    <definedName name="zoológicos" localSheetId="7">#REF!</definedName>
    <definedName name="zoológicos">'COBROS DCO'!$AD$192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A3" i="37" l="1"/>
  <c r="AU3" i="37"/>
  <c r="AT3" i="37"/>
  <c r="AT683" i="36"/>
  <c r="AU683" i="36"/>
  <c r="BA683" i="36"/>
  <c r="BA679" i="36"/>
  <c r="AT679" i="36"/>
  <c r="AU676" i="36"/>
  <c r="AT676" i="36"/>
  <c r="BA676" i="36"/>
  <c r="BA669" i="36"/>
  <c r="BA670" i="36"/>
  <c r="BA671" i="36"/>
  <c r="BA672" i="36"/>
  <c r="BA673" i="36"/>
  <c r="BA674" i="36"/>
  <c r="BA675" i="36"/>
  <c r="BA677" i="36"/>
  <c r="BA678" i="36"/>
  <c r="BA680" i="36"/>
  <c r="BA681" i="36"/>
  <c r="BA682" i="36"/>
  <c r="BA684" i="36"/>
  <c r="BA685" i="36"/>
  <c r="BA686" i="36"/>
  <c r="BA687" i="36"/>
  <c r="BA688" i="36"/>
  <c r="BA689" i="36"/>
  <c r="BA690" i="36"/>
  <c r="BA691" i="36"/>
  <c r="BA692" i="36"/>
  <c r="BA693" i="36"/>
  <c r="BA694" i="36"/>
  <c r="BA695" i="36"/>
  <c r="BA696" i="36"/>
  <c r="BA697" i="36"/>
  <c r="BA698" i="36"/>
  <c r="BA699" i="36"/>
  <c r="BA700" i="36"/>
  <c r="BA701" i="36"/>
  <c r="BA702" i="36"/>
  <c r="BA703" i="36"/>
  <c r="BA704" i="36"/>
  <c r="BA705" i="36"/>
  <c r="BA706" i="36"/>
  <c r="BA707" i="36"/>
  <c r="BA708" i="36"/>
  <c r="BA709" i="36"/>
  <c r="BA710" i="36"/>
  <c r="BA711" i="36"/>
  <c r="BA712" i="36"/>
  <c r="BA713" i="36"/>
  <c r="BA714" i="36"/>
  <c r="BA715" i="36"/>
  <c r="BA716" i="36"/>
  <c r="BA717" i="36"/>
  <c r="BA718" i="36"/>
  <c r="BA719" i="36"/>
  <c r="BA720" i="36"/>
  <c r="BA721" i="36"/>
  <c r="BA722" i="36"/>
  <c r="BA723" i="36"/>
  <c r="BA724" i="36"/>
  <c r="BA725" i="36"/>
  <c r="BA726" i="36"/>
  <c r="BA727" i="36"/>
  <c r="BA728" i="36"/>
  <c r="BA729" i="36"/>
  <c r="BA730" i="36"/>
  <c r="BA731" i="36"/>
  <c r="BA732" i="36"/>
  <c r="BA733" i="36"/>
  <c r="BA734" i="36"/>
  <c r="BA735" i="36"/>
  <c r="BA736" i="36"/>
  <c r="BA737" i="36"/>
  <c r="BA738" i="36"/>
  <c r="BA739" i="36"/>
  <c r="BA740" i="36"/>
  <c r="BA741" i="36"/>
  <c r="BA742" i="36"/>
  <c r="BA743" i="36"/>
  <c r="BA744" i="36"/>
  <c r="BA745" i="36"/>
  <c r="BA746" i="36"/>
  <c r="BA747" i="36"/>
  <c r="BA748" i="36"/>
  <c r="BA749" i="36"/>
  <c r="BA750" i="36"/>
  <c r="BA751" i="36"/>
  <c r="BA752" i="36"/>
  <c r="BA753" i="36"/>
  <c r="BA754" i="36"/>
  <c r="BA755" i="36"/>
  <c r="BA756" i="36"/>
  <c r="BA757" i="36"/>
  <c r="BA758" i="36"/>
  <c r="BA759" i="36"/>
  <c r="BA760" i="36"/>
  <c r="BA761" i="36"/>
  <c r="BA762" i="36"/>
  <c r="BA763" i="36"/>
  <c r="BA764" i="36"/>
  <c r="BA765" i="36"/>
  <c r="BA766" i="36"/>
  <c r="BA767" i="36"/>
  <c r="BA768" i="36"/>
  <c r="BA769" i="36"/>
  <c r="BA770" i="36"/>
  <c r="BA771" i="36"/>
  <c r="BA772" i="36"/>
  <c r="AU669" i="36"/>
  <c r="AU670" i="36"/>
  <c r="AU671" i="36"/>
  <c r="AU672" i="36"/>
  <c r="AU673" i="36"/>
  <c r="AU674" i="36"/>
  <c r="AU675" i="36"/>
  <c r="AU677" i="36"/>
  <c r="AU678" i="36"/>
  <c r="AU679" i="36"/>
  <c r="AU680" i="36"/>
  <c r="AU681" i="36"/>
  <c r="AU682" i="36"/>
  <c r="AU684" i="36"/>
  <c r="AU685" i="36"/>
  <c r="AU686" i="36"/>
  <c r="AU687" i="36"/>
  <c r="AU688" i="36"/>
  <c r="AU689" i="36"/>
  <c r="AU690" i="36"/>
  <c r="AU691" i="36"/>
  <c r="AU692" i="36"/>
  <c r="AU693" i="36"/>
  <c r="AU694" i="36"/>
  <c r="AU695" i="36"/>
  <c r="AU696" i="36"/>
  <c r="AU697" i="36"/>
  <c r="AU698" i="36"/>
  <c r="AU699" i="36"/>
  <c r="AU700" i="36"/>
  <c r="AU701" i="36"/>
  <c r="AU702" i="36"/>
  <c r="AU703" i="36"/>
  <c r="AU704" i="36"/>
  <c r="AU705" i="36"/>
  <c r="AU706" i="36"/>
  <c r="AU707" i="36"/>
  <c r="AU708" i="36"/>
  <c r="AU709" i="36"/>
  <c r="AU710" i="36"/>
  <c r="AU711" i="36"/>
  <c r="AU712" i="36"/>
  <c r="AU713" i="36"/>
  <c r="AU714" i="36"/>
  <c r="AU715" i="36"/>
  <c r="AU716" i="36"/>
  <c r="AU717" i="36"/>
  <c r="AU718" i="36"/>
  <c r="AU719" i="36"/>
  <c r="AT669" i="36"/>
  <c r="AT670" i="36"/>
  <c r="AT671" i="36"/>
  <c r="AT672" i="36"/>
  <c r="AT673" i="36"/>
  <c r="AT674" i="36"/>
  <c r="AT675" i="36"/>
  <c r="AT677" i="36"/>
  <c r="AT678" i="36"/>
  <c r="AT680" i="36"/>
  <c r="AT681" i="36"/>
  <c r="AT682" i="36"/>
  <c r="AT684" i="36"/>
  <c r="AT685" i="36"/>
  <c r="AT686" i="36"/>
  <c r="AT687" i="36"/>
  <c r="AT688" i="36"/>
  <c r="AT689" i="36"/>
  <c r="AT690" i="36"/>
  <c r="AT691" i="36"/>
  <c r="AT692" i="36"/>
  <c r="AT693" i="36"/>
  <c r="AT694" i="36"/>
  <c r="AT695" i="36"/>
  <c r="AT696" i="36"/>
  <c r="AT697" i="36"/>
  <c r="AT698" i="36"/>
  <c r="AT699" i="36"/>
  <c r="AT700" i="36"/>
  <c r="AT701" i="36"/>
  <c r="AT702" i="36"/>
  <c r="BA668" i="36"/>
  <c r="BA667" i="36"/>
  <c r="BA666" i="36"/>
  <c r="BA665" i="36"/>
  <c r="BA664" i="36"/>
  <c r="BA663" i="36"/>
  <c r="BA662" i="36"/>
  <c r="BA661" i="36"/>
  <c r="BA660" i="36"/>
  <c r="BA659" i="36"/>
  <c r="BA658" i="36"/>
  <c r="BA657" i="36"/>
  <c r="BA656" i="36"/>
  <c r="BA655" i="36"/>
  <c r="AU652" i="36"/>
  <c r="AU653" i="36"/>
  <c r="AU654" i="36"/>
  <c r="AU655" i="36"/>
  <c r="AU656" i="36"/>
  <c r="AU657" i="36"/>
  <c r="AU658" i="36"/>
  <c r="AU659" i="36"/>
  <c r="AU660" i="36"/>
  <c r="AU661" i="36"/>
  <c r="AU662" i="36"/>
  <c r="AU663" i="36"/>
  <c r="AU664" i="36"/>
  <c r="AU665" i="36"/>
  <c r="AU666" i="36"/>
  <c r="AU667" i="36"/>
  <c r="AU668" i="36"/>
  <c r="AU720" i="36"/>
  <c r="AU721" i="36"/>
  <c r="AU722" i="36"/>
  <c r="AU723" i="36"/>
  <c r="AU724" i="36"/>
  <c r="AU725" i="36"/>
  <c r="AU726" i="36"/>
  <c r="AU727" i="36"/>
  <c r="AU728" i="36"/>
  <c r="AU729" i="36"/>
  <c r="AU730" i="36"/>
  <c r="AU731" i="36"/>
  <c r="AU732" i="36"/>
  <c r="AU733" i="36"/>
  <c r="AU734" i="36"/>
  <c r="AU735" i="36"/>
  <c r="AU736" i="36"/>
  <c r="AU737" i="36"/>
  <c r="AU738" i="36"/>
  <c r="AU739" i="36"/>
  <c r="AU740" i="36"/>
  <c r="AU741" i="36"/>
  <c r="AU742" i="36"/>
  <c r="AU743" i="36"/>
  <c r="AU744" i="36"/>
  <c r="AU745" i="36"/>
  <c r="AU746" i="36"/>
  <c r="AU747" i="36"/>
  <c r="AU748" i="36"/>
  <c r="AU749" i="36"/>
  <c r="AU750" i="36"/>
  <c r="AU751" i="36"/>
  <c r="AU752" i="36"/>
  <c r="AU753" i="36"/>
  <c r="AU754" i="36"/>
  <c r="AU755" i="36"/>
  <c r="AU756" i="36"/>
  <c r="AU757" i="36"/>
  <c r="AU758" i="36"/>
  <c r="AU759" i="36"/>
  <c r="AU760" i="36"/>
  <c r="AU761" i="36"/>
  <c r="AU762" i="36"/>
  <c r="AU763" i="36"/>
  <c r="AU764" i="36"/>
  <c r="AU765" i="36"/>
  <c r="AU766" i="36"/>
  <c r="AU767" i="36"/>
  <c r="AU768" i="36"/>
  <c r="AU769" i="36"/>
  <c r="AU770" i="36"/>
  <c r="AU771" i="36"/>
  <c r="AU772" i="36"/>
  <c r="AU773" i="36"/>
  <c r="AU774" i="36"/>
  <c r="AU775" i="36"/>
  <c r="AU776" i="36"/>
  <c r="AU777" i="36"/>
  <c r="AU778" i="36"/>
  <c r="AU779" i="36"/>
  <c r="AU780" i="36"/>
  <c r="BA654" i="36"/>
  <c r="BA653" i="36"/>
  <c r="BA652" i="36"/>
  <c r="AU651" i="36"/>
  <c r="BA651" i="36"/>
  <c r="AU650" i="36"/>
  <c r="BA650" i="36"/>
  <c r="AU649" i="36"/>
  <c r="BA649" i="36"/>
  <c r="AU648" i="36"/>
  <c r="BA648" i="36"/>
  <c r="AU647" i="36"/>
  <c r="BA647" i="36"/>
  <c r="AU646" i="36"/>
  <c r="BA646" i="36"/>
  <c r="AU645" i="36"/>
  <c r="BA645" i="36"/>
  <c r="AU644" i="36"/>
  <c r="BA644" i="36"/>
  <c r="AU643" i="36"/>
  <c r="BA643" i="36"/>
  <c r="AU642" i="36"/>
  <c r="BA642" i="36"/>
  <c r="AU641" i="36"/>
  <c r="BA641" i="36"/>
  <c r="AU640" i="36"/>
  <c r="BA640" i="36"/>
  <c r="AU639" i="36"/>
  <c r="BA639" i="36"/>
  <c r="AU638" i="36"/>
  <c r="BA638" i="36"/>
  <c r="BA637" i="36"/>
  <c r="AU637" i="36"/>
  <c r="AU636" i="36"/>
  <c r="BA636" i="36"/>
  <c r="AU635" i="36"/>
  <c r="BA635" i="36"/>
  <c r="AU634" i="36"/>
  <c r="BA634" i="36"/>
  <c r="AU633" i="36"/>
  <c r="BA633" i="36"/>
  <c r="AU632" i="36"/>
  <c r="BA632" i="36"/>
  <c r="AU631" i="36"/>
  <c r="BA631" i="36"/>
  <c r="AU630" i="36"/>
  <c r="BA630" i="36"/>
  <c r="AU629" i="36"/>
  <c r="BA629" i="36"/>
  <c r="AU628" i="36"/>
  <c r="BA628" i="36"/>
  <c r="AU627" i="36"/>
  <c r="BA627" i="36"/>
  <c r="AU626" i="36"/>
  <c r="BA626" i="36"/>
  <c r="AU625" i="36"/>
  <c r="BA625" i="36"/>
  <c r="AU624" i="36"/>
  <c r="BA624" i="36"/>
  <c r="AU623" i="36"/>
  <c r="BA623" i="36"/>
  <c r="AU622" i="36"/>
  <c r="BA622" i="36"/>
  <c r="AU621" i="36"/>
  <c r="BA621" i="36"/>
  <c r="AU620" i="36"/>
  <c r="BA620" i="36"/>
  <c r="AU619" i="36"/>
  <c r="BA619" i="36"/>
  <c r="AU618" i="36"/>
  <c r="BA618" i="36"/>
  <c r="AU617" i="36"/>
  <c r="BA617" i="36"/>
  <c r="AU616" i="36"/>
  <c r="BA616" i="36"/>
  <c r="AU615" i="36"/>
  <c r="BA615" i="36"/>
  <c r="AU614" i="36"/>
  <c r="BA614" i="36"/>
  <c r="AU613" i="36"/>
  <c r="BA613" i="36"/>
  <c r="AU612" i="36"/>
  <c r="BA612" i="36"/>
  <c r="AU611" i="36"/>
  <c r="BA611" i="36"/>
  <c r="AU610" i="36"/>
  <c r="BA610" i="36"/>
  <c r="AU609" i="36"/>
  <c r="BA609" i="36"/>
  <c r="AU608" i="36"/>
  <c r="BA608" i="36"/>
  <c r="AU607" i="36"/>
  <c r="BA607" i="36"/>
  <c r="AU606" i="36"/>
  <c r="BA606" i="36"/>
  <c r="AU605" i="36"/>
  <c r="BA605" i="36"/>
  <c r="AU604" i="36"/>
  <c r="BA604" i="36"/>
  <c r="AU603" i="36"/>
  <c r="BA603" i="36"/>
  <c r="AU602" i="36"/>
  <c r="BA602" i="36"/>
  <c r="AU601" i="36"/>
  <c r="BA601" i="36"/>
  <c r="AU600" i="36"/>
  <c r="BA600" i="36"/>
  <c r="AU599" i="36"/>
  <c r="BA599" i="36"/>
  <c r="AU598" i="36"/>
  <c r="BA598" i="36"/>
  <c r="AU597" i="36"/>
  <c r="BA597" i="36"/>
  <c r="AU596" i="36"/>
  <c r="BA596" i="36"/>
  <c r="AU595" i="36"/>
  <c r="BA595" i="36"/>
  <c r="AU594" i="36"/>
  <c r="BA594" i="36"/>
  <c r="AU593" i="36"/>
  <c r="BA593" i="36"/>
  <c r="AU592" i="36"/>
  <c r="BA592" i="36"/>
  <c r="AU591" i="36"/>
  <c r="BA591" i="36"/>
  <c r="AU590" i="36"/>
  <c r="BA590" i="36"/>
  <c r="AU589" i="36"/>
  <c r="BA589" i="36"/>
  <c r="AU588" i="36"/>
  <c r="BA588" i="36"/>
  <c r="AU587" i="36"/>
  <c r="BA587" i="36"/>
  <c r="AU586" i="36"/>
  <c r="BA586" i="36"/>
  <c r="AU585" i="36"/>
  <c r="BA585" i="36"/>
  <c r="AU584" i="36"/>
  <c r="BA584" i="36"/>
  <c r="AU583" i="36"/>
  <c r="BA583" i="36"/>
  <c r="AU582" i="36"/>
  <c r="BA582" i="36"/>
  <c r="AU581" i="36"/>
  <c r="BA581" i="36"/>
  <c r="AU580" i="36"/>
  <c r="BA580" i="36"/>
  <c r="AU579" i="36"/>
  <c r="BA579" i="36"/>
  <c r="AU578" i="36"/>
  <c r="BA578" i="36"/>
  <c r="AU577" i="36"/>
  <c r="BA577" i="36"/>
  <c r="AU576" i="36"/>
  <c r="BA576" i="36"/>
  <c r="AU575" i="36"/>
  <c r="BA575" i="36"/>
  <c r="AU574" i="36"/>
  <c r="BA574" i="36"/>
  <c r="AU573" i="36"/>
  <c r="BA573" i="36"/>
  <c r="AU572" i="36"/>
  <c r="BA572" i="36"/>
  <c r="AU571" i="36"/>
  <c r="BA571" i="36"/>
  <c r="AU570" i="36"/>
  <c r="BA570" i="36"/>
  <c r="AU569" i="36"/>
  <c r="BA569" i="36"/>
  <c r="AU568" i="36"/>
  <c r="BA568" i="36"/>
  <c r="AT567" i="36"/>
  <c r="AT568" i="36"/>
  <c r="AT569" i="36"/>
  <c r="AT570" i="36"/>
  <c r="AT571" i="36"/>
  <c r="AT572" i="36"/>
  <c r="AT573" i="36"/>
  <c r="AT574" i="36"/>
  <c r="AT575" i="36"/>
  <c r="AT576" i="36"/>
  <c r="AT577" i="36"/>
  <c r="AT578" i="36"/>
  <c r="AT579" i="36"/>
  <c r="AT580" i="36"/>
  <c r="AT581" i="36"/>
  <c r="AT582" i="36"/>
  <c r="AT583" i="36"/>
  <c r="AT584" i="36"/>
  <c r="AT585" i="36"/>
  <c r="AT586" i="36"/>
  <c r="AT587" i="36"/>
  <c r="AT588" i="36"/>
  <c r="AT589" i="36"/>
  <c r="AT590" i="36"/>
  <c r="AT591" i="36"/>
  <c r="AT592" i="36"/>
  <c r="AT593" i="36"/>
  <c r="AT594" i="36"/>
  <c r="AT595" i="36"/>
  <c r="AT596" i="36"/>
  <c r="AT597" i="36"/>
  <c r="AT598" i="36"/>
  <c r="AT599" i="36"/>
  <c r="AT600" i="36"/>
  <c r="AT601" i="36"/>
  <c r="AT602" i="36"/>
  <c r="AT603" i="36"/>
  <c r="AT604" i="36"/>
  <c r="AT605" i="36"/>
  <c r="AT606" i="36"/>
  <c r="AT607" i="36"/>
  <c r="AT608" i="36"/>
  <c r="AT609" i="36"/>
  <c r="AT610" i="36"/>
  <c r="AT611" i="36"/>
  <c r="AT612" i="36"/>
  <c r="AT613" i="36"/>
  <c r="AT614" i="36"/>
  <c r="AT615" i="36"/>
  <c r="AT616" i="36"/>
  <c r="AT617" i="36"/>
  <c r="AT618" i="36"/>
  <c r="AT619" i="36"/>
  <c r="AT620" i="36"/>
  <c r="AT621" i="36"/>
  <c r="AT622" i="36"/>
  <c r="AT623" i="36"/>
  <c r="AT624" i="36"/>
  <c r="AT625" i="36"/>
  <c r="AT626" i="36"/>
  <c r="AT627" i="36"/>
  <c r="AT628" i="36"/>
  <c r="AT629" i="36"/>
  <c r="AT630" i="36"/>
  <c r="AT631" i="36"/>
  <c r="AT632" i="36"/>
  <c r="AT633" i="36"/>
  <c r="AT634" i="36"/>
  <c r="AT635" i="36"/>
  <c r="AT636" i="36"/>
  <c r="AT637" i="36"/>
  <c r="AT638" i="36"/>
  <c r="AT639" i="36"/>
  <c r="AT640" i="36"/>
  <c r="AT641" i="36"/>
  <c r="AT642" i="36"/>
  <c r="AT643" i="36"/>
  <c r="AT644" i="36"/>
  <c r="AT645" i="36"/>
  <c r="AT646" i="36"/>
  <c r="AT647" i="36"/>
  <c r="AT648" i="36"/>
  <c r="AT649" i="36"/>
  <c r="AT650" i="36"/>
  <c r="AT651" i="36"/>
  <c r="AT652" i="36"/>
  <c r="AT653" i="36"/>
  <c r="AT654" i="36"/>
  <c r="AT655" i="36"/>
  <c r="AT656" i="36"/>
  <c r="AT657" i="36"/>
  <c r="AT658" i="36"/>
  <c r="AT659" i="36"/>
  <c r="AT660" i="36"/>
  <c r="AT661" i="36"/>
  <c r="AT662" i="36"/>
  <c r="AT663" i="36"/>
  <c r="AT664" i="36"/>
  <c r="AT665" i="36"/>
  <c r="AT666" i="36"/>
  <c r="AT667" i="36"/>
  <c r="AT668" i="36"/>
  <c r="AT703" i="36"/>
  <c r="AT704" i="36"/>
  <c r="AT705" i="36"/>
  <c r="AT706" i="36"/>
  <c r="AT707" i="36"/>
  <c r="AT708" i="36"/>
  <c r="AT709" i="36"/>
  <c r="AT710" i="36"/>
  <c r="AT711" i="36"/>
  <c r="AT712" i="36"/>
  <c r="AT713" i="36"/>
  <c r="AT714" i="36"/>
  <c r="AT715" i="36"/>
  <c r="AT716" i="36"/>
  <c r="AT717" i="36"/>
  <c r="AT718" i="36"/>
  <c r="AT719" i="36"/>
  <c r="AT720" i="36"/>
  <c r="AT721" i="36"/>
  <c r="AT722" i="36"/>
  <c r="AT723" i="36"/>
  <c r="AT724" i="36"/>
  <c r="AT725" i="36"/>
  <c r="AT726" i="36"/>
  <c r="AT727" i="36"/>
  <c r="AT728" i="36"/>
  <c r="AT729" i="36"/>
  <c r="AT730" i="36"/>
  <c r="AT731" i="36"/>
  <c r="AT732" i="36"/>
  <c r="AT733" i="36"/>
  <c r="AT734" i="36"/>
  <c r="AT735" i="36"/>
  <c r="AT736" i="36"/>
  <c r="AT737" i="36"/>
  <c r="AT738" i="36"/>
  <c r="AT739" i="36"/>
  <c r="AT740" i="36"/>
  <c r="AT741" i="36"/>
  <c r="AT742" i="36"/>
  <c r="AT743" i="36"/>
  <c r="AT744" i="36"/>
  <c r="AT745" i="36"/>
  <c r="AT746" i="36"/>
  <c r="AT747" i="36"/>
  <c r="AT748" i="36"/>
  <c r="AT749" i="36"/>
  <c r="AU567" i="36"/>
  <c r="BA567" i="36"/>
  <c r="AU566" i="36"/>
  <c r="AT566" i="36"/>
  <c r="BA566" i="36"/>
  <c r="BH565" i="36"/>
  <c r="AU565" i="36"/>
  <c r="AT565" i="36"/>
  <c r="BA565" i="36"/>
  <c r="AU564" i="36"/>
  <c r="AT564" i="36"/>
  <c r="BA564" i="36"/>
  <c r="AU563" i="36"/>
  <c r="AT563" i="36"/>
  <c r="BA563" i="36"/>
  <c r="AU562" i="36"/>
  <c r="AT562" i="36"/>
  <c r="BA562" i="36"/>
  <c r="AU561" i="36"/>
  <c r="AT561" i="36"/>
  <c r="BA561" i="36"/>
  <c r="AU560" i="36"/>
  <c r="AT560" i="36"/>
  <c r="BA560" i="36"/>
  <c r="AU559" i="36"/>
  <c r="AT559" i="36"/>
  <c r="BA559" i="36"/>
  <c r="AU558" i="36"/>
  <c r="AT558" i="36"/>
  <c r="BA558" i="36"/>
  <c r="AU557" i="36"/>
  <c r="AT557" i="36"/>
  <c r="BA557" i="36"/>
  <c r="AU556" i="36"/>
  <c r="AT556" i="36"/>
  <c r="BA556" i="36"/>
  <c r="AU555" i="36"/>
  <c r="AT555" i="36"/>
  <c r="BA555" i="36"/>
  <c r="AU554" i="36"/>
  <c r="AT554" i="36"/>
  <c r="BA554" i="36"/>
  <c r="AU553" i="36"/>
  <c r="AT553" i="36"/>
  <c r="BA553" i="36"/>
  <c r="AU552" i="36"/>
  <c r="AT552" i="36"/>
  <c r="BA552" i="36"/>
  <c r="AU551" i="36"/>
  <c r="AT551" i="36"/>
  <c r="BA551" i="36"/>
  <c r="AU550" i="36"/>
  <c r="AT550" i="36"/>
  <c r="BA550" i="36"/>
  <c r="AU549" i="36"/>
  <c r="AT549" i="36"/>
  <c r="BA549" i="36"/>
  <c r="AU548" i="36"/>
  <c r="AT548" i="36"/>
  <c r="BA548" i="36"/>
  <c r="BR21" i="35"/>
  <c r="BE39" i="35"/>
  <c r="AU547" i="36"/>
  <c r="AT547" i="36"/>
  <c r="BA547" i="36"/>
  <c r="AU546" i="36"/>
  <c r="AT546" i="36"/>
  <c r="BA546" i="36"/>
  <c r="AU545" i="36"/>
  <c r="AT545" i="36"/>
  <c r="BA545" i="36"/>
  <c r="AU544" i="36"/>
  <c r="AT544" i="36"/>
  <c r="BA544" i="36"/>
  <c r="AU543" i="36"/>
  <c r="AT543" i="36"/>
  <c r="BA543" i="36"/>
  <c r="AU542" i="36"/>
  <c r="AT542" i="36"/>
  <c r="BA542" i="36"/>
  <c r="AU541" i="36"/>
  <c r="AT541" i="36"/>
  <c r="BA541" i="36"/>
  <c r="AU540" i="36"/>
  <c r="AT540" i="36"/>
  <c r="BA540" i="36"/>
  <c r="AU539" i="36"/>
  <c r="AT539" i="36"/>
  <c r="BA539" i="36"/>
  <c r="AU538" i="36"/>
  <c r="AT538" i="36"/>
  <c r="BA538" i="36"/>
  <c r="AU537" i="36"/>
  <c r="AT537" i="36"/>
  <c r="BA537" i="36"/>
  <c r="AU536" i="36"/>
  <c r="AT536" i="36"/>
  <c r="BA536" i="36"/>
  <c r="AU535" i="36"/>
  <c r="AT535" i="36"/>
  <c r="BA535" i="36"/>
  <c r="AU534" i="36"/>
  <c r="AT534" i="36"/>
  <c r="BA534" i="36"/>
  <c r="AT533" i="36"/>
  <c r="BA533" i="36"/>
  <c r="AU533" i="36"/>
  <c r="AU532" i="36"/>
  <c r="AT532" i="36"/>
  <c r="BA532" i="36"/>
  <c r="AU531" i="36"/>
  <c r="AT531" i="36"/>
  <c r="BA531" i="36"/>
  <c r="AU530" i="36"/>
  <c r="AT530" i="36"/>
  <c r="BA530" i="36"/>
  <c r="AU529" i="36"/>
  <c r="AT529" i="36"/>
  <c r="BA529" i="36"/>
  <c r="AU528" i="36"/>
  <c r="AT528" i="36"/>
  <c r="BA528" i="36"/>
  <c r="AU527" i="36"/>
  <c r="AT527" i="36"/>
  <c r="BA527" i="36"/>
  <c r="AU526" i="36"/>
  <c r="AT526" i="36"/>
  <c r="BA526" i="36"/>
  <c r="AU525" i="36"/>
  <c r="AT525" i="36"/>
  <c r="BA525" i="36"/>
  <c r="AU524" i="36"/>
  <c r="AT524" i="36"/>
  <c r="BA524" i="36"/>
  <c r="AU523" i="36"/>
  <c r="AT523" i="36"/>
  <c r="BA523" i="36"/>
  <c r="AU522" i="36"/>
  <c r="AT522" i="36"/>
  <c r="BA522" i="36"/>
  <c r="AU521" i="36"/>
  <c r="AT521" i="36"/>
  <c r="BA521" i="36"/>
  <c r="AU520" i="36"/>
  <c r="AT520" i="36"/>
  <c r="BA520" i="36"/>
  <c r="AU519" i="36"/>
  <c r="AT519" i="36"/>
  <c r="BA519" i="36"/>
  <c r="AU518" i="36"/>
  <c r="AT518" i="36"/>
  <c r="BA518" i="36"/>
  <c r="AU517" i="36"/>
  <c r="AT517" i="36"/>
  <c r="BA517" i="36"/>
  <c r="AU516" i="36"/>
  <c r="AT516" i="36"/>
  <c r="BA516" i="36"/>
  <c r="AU515" i="36"/>
  <c r="AT515" i="36"/>
  <c r="BA515" i="36"/>
  <c r="AU514" i="36"/>
  <c r="AT514" i="36"/>
  <c r="BA514" i="36"/>
  <c r="AU513" i="36"/>
  <c r="AT513" i="36"/>
  <c r="BA513" i="36"/>
  <c r="AU512" i="36"/>
  <c r="AT512" i="36"/>
  <c r="BA512" i="36"/>
  <c r="AU511" i="36"/>
  <c r="AT511" i="36"/>
  <c r="BA511" i="36"/>
  <c r="AU510" i="36"/>
  <c r="AT510" i="36"/>
  <c r="BA510" i="36"/>
  <c r="AU509" i="36"/>
  <c r="AT509" i="36"/>
  <c r="BA509" i="36"/>
  <c r="AU508" i="36"/>
  <c r="AT508" i="36"/>
  <c r="BA508" i="36"/>
  <c r="AU507" i="36"/>
  <c r="AT507" i="36"/>
  <c r="BA507" i="36"/>
  <c r="AU506" i="36"/>
  <c r="AT506" i="36"/>
  <c r="BA506" i="36"/>
  <c r="AU505" i="36"/>
  <c r="AT505" i="36"/>
  <c r="BA505" i="36"/>
  <c r="AU504" i="36"/>
  <c r="AT504" i="36"/>
  <c r="BA504" i="36"/>
  <c r="AU503" i="36"/>
  <c r="AT503" i="36"/>
  <c r="BA503" i="36"/>
  <c r="AQ14" i="35"/>
  <c r="AT430" i="36"/>
  <c r="AU430" i="36"/>
  <c r="BA430" i="36"/>
  <c r="BA429" i="36"/>
  <c r="AU429" i="36"/>
  <c r="AT429" i="36"/>
  <c r="BA417" i="36"/>
  <c r="AT401" i="36"/>
  <c r="AU401" i="36"/>
  <c r="BA401" i="36"/>
  <c r="AT402" i="36"/>
  <c r="AU402" i="36"/>
  <c r="BA402" i="36"/>
  <c r="AT403" i="36"/>
  <c r="AU403" i="36"/>
  <c r="BA403" i="36"/>
  <c r="AT404" i="36"/>
  <c r="AU404" i="36"/>
  <c r="BA404" i="36"/>
  <c r="AT405" i="36"/>
  <c r="AU405" i="36"/>
  <c r="BA405" i="36"/>
  <c r="AT406" i="36"/>
  <c r="AU406" i="36"/>
  <c r="BA406" i="36"/>
  <c r="AT407" i="36"/>
  <c r="AU407" i="36"/>
  <c r="BA407" i="36"/>
  <c r="AT408" i="36"/>
  <c r="AU408" i="36"/>
  <c r="BA408" i="36"/>
  <c r="AT409" i="36"/>
  <c r="AU409" i="36"/>
  <c r="BA409" i="36"/>
  <c r="AT410" i="36"/>
  <c r="AU410" i="36"/>
  <c r="BA410" i="36"/>
  <c r="AT411" i="36"/>
  <c r="AU411" i="36"/>
  <c r="BA411" i="36"/>
  <c r="AT412" i="36"/>
  <c r="AU412" i="36"/>
  <c r="BA412" i="36"/>
  <c r="AT413" i="36"/>
  <c r="AU413" i="36"/>
  <c r="BA413" i="36"/>
  <c r="AT414" i="36"/>
  <c r="AU414" i="36"/>
  <c r="BA414" i="36"/>
  <c r="AT415" i="36"/>
  <c r="AU415" i="36"/>
  <c r="BA415" i="36"/>
  <c r="AT416" i="36"/>
  <c r="AU416" i="36"/>
  <c r="BA416" i="36"/>
  <c r="AT417" i="36"/>
  <c r="AU417" i="36"/>
  <c r="AT418" i="36"/>
  <c r="AU418" i="36"/>
  <c r="BA418" i="36"/>
  <c r="AT419" i="36"/>
  <c r="AU419" i="36"/>
  <c r="BA419" i="36"/>
  <c r="AT420" i="36"/>
  <c r="AU420" i="36"/>
  <c r="BA420" i="36"/>
  <c r="AT421" i="36"/>
  <c r="AU421" i="36"/>
  <c r="BA421" i="36"/>
  <c r="AT422" i="36"/>
  <c r="AU422" i="36"/>
  <c r="BA422" i="36"/>
  <c r="AT423" i="36"/>
  <c r="AU423" i="36"/>
  <c r="BA423" i="36"/>
  <c r="AT424" i="36"/>
  <c r="AU424" i="36"/>
  <c r="BA424" i="36"/>
  <c r="AT425" i="36"/>
  <c r="AU425" i="36"/>
  <c r="BA425" i="36"/>
  <c r="AT426" i="36"/>
  <c r="AU426" i="36"/>
  <c r="BA426" i="36"/>
  <c r="AT427" i="36"/>
  <c r="AU427" i="36"/>
  <c r="BA427" i="36"/>
  <c r="AT428" i="36"/>
  <c r="AU428" i="36"/>
  <c r="BA428" i="36"/>
  <c r="AT431" i="36"/>
  <c r="AU431" i="36"/>
  <c r="BA431" i="36"/>
  <c r="AT432" i="36"/>
  <c r="AU432" i="36"/>
  <c r="BA432" i="36"/>
  <c r="AT433" i="36"/>
  <c r="AU433" i="36"/>
  <c r="BA433" i="36"/>
  <c r="AT434" i="36"/>
  <c r="AU434" i="36"/>
  <c r="BA434" i="36"/>
  <c r="AT435" i="36"/>
  <c r="AU435" i="36"/>
  <c r="BA435" i="36"/>
  <c r="AT436" i="36"/>
  <c r="AU436" i="36"/>
  <c r="BA436" i="36"/>
  <c r="AT437" i="36"/>
  <c r="AU437" i="36"/>
  <c r="BA437" i="36"/>
  <c r="AT438" i="36"/>
  <c r="AU438" i="36"/>
  <c r="BA438" i="36"/>
  <c r="AT439" i="36"/>
  <c r="AU439" i="36"/>
  <c r="BA439" i="36"/>
  <c r="AT440" i="36"/>
  <c r="AU440" i="36"/>
  <c r="BA440" i="36"/>
  <c r="AT441" i="36"/>
  <c r="AU441" i="36"/>
  <c r="BA441" i="36"/>
  <c r="AT442" i="36"/>
  <c r="AU442" i="36"/>
  <c r="BA442" i="36"/>
  <c r="AT443" i="36"/>
  <c r="AU443" i="36"/>
  <c r="BA443" i="36"/>
  <c r="AT444" i="36"/>
  <c r="AU444" i="36"/>
  <c r="BA444" i="36"/>
  <c r="AT445" i="36"/>
  <c r="AU445" i="36"/>
  <c r="BA445" i="36"/>
  <c r="AT446" i="36"/>
  <c r="AU446" i="36"/>
  <c r="BA446" i="36"/>
  <c r="AT447" i="36"/>
  <c r="AU447" i="36"/>
  <c r="BA447" i="36"/>
  <c r="AT448" i="36"/>
  <c r="AU448" i="36"/>
  <c r="BA448" i="36"/>
  <c r="AT449" i="36"/>
  <c r="AU449" i="36"/>
  <c r="BA449" i="36"/>
  <c r="AT450" i="36"/>
  <c r="AU450" i="36"/>
  <c r="BA450" i="36"/>
  <c r="AT451" i="36"/>
  <c r="AU451" i="36"/>
  <c r="BA451" i="36"/>
  <c r="AT452" i="36"/>
  <c r="AU452" i="36"/>
  <c r="BA452" i="36"/>
  <c r="AT453" i="36"/>
  <c r="AU453" i="36"/>
  <c r="BA453" i="36"/>
  <c r="AT454" i="36"/>
  <c r="AU454" i="36"/>
  <c r="BA454" i="36"/>
  <c r="AT455" i="36"/>
  <c r="AU455" i="36"/>
  <c r="BA455" i="36"/>
  <c r="AT456" i="36"/>
  <c r="AU456" i="36"/>
  <c r="BA456" i="36"/>
  <c r="AT457" i="36"/>
  <c r="AU457" i="36"/>
  <c r="BA457" i="36"/>
  <c r="AT458" i="36"/>
  <c r="AU458" i="36"/>
  <c r="BA458" i="36"/>
  <c r="AT459" i="36"/>
  <c r="AU459" i="36"/>
  <c r="BA459" i="36"/>
  <c r="AT460" i="36"/>
  <c r="AU460" i="36"/>
  <c r="BA460" i="36"/>
  <c r="AT461" i="36"/>
  <c r="AU461" i="36"/>
  <c r="BA461" i="36"/>
  <c r="AT462" i="36"/>
  <c r="AU462" i="36"/>
  <c r="BA462" i="36"/>
  <c r="AT463" i="36"/>
  <c r="AU463" i="36"/>
  <c r="BA463" i="36"/>
  <c r="AT464" i="36"/>
  <c r="AU464" i="36"/>
  <c r="BA464" i="36"/>
  <c r="AT465" i="36"/>
  <c r="AU465" i="36"/>
  <c r="BA465" i="36"/>
  <c r="AT466" i="36"/>
  <c r="AU466" i="36"/>
  <c r="BA466" i="36"/>
  <c r="AT467" i="36"/>
  <c r="AU467" i="36"/>
  <c r="BA467" i="36"/>
  <c r="AT468" i="36"/>
  <c r="AU468" i="36"/>
  <c r="BA468" i="36"/>
  <c r="AT469" i="36"/>
  <c r="AU469" i="36"/>
  <c r="BA469" i="36"/>
  <c r="AT470" i="36"/>
  <c r="AU470" i="36"/>
  <c r="BA470" i="36"/>
  <c r="AT471" i="36"/>
  <c r="AU471" i="36"/>
  <c r="BA471" i="36"/>
  <c r="AT472" i="36"/>
  <c r="AU472" i="36"/>
  <c r="BA472" i="36"/>
  <c r="AT473" i="36"/>
  <c r="AU473" i="36"/>
  <c r="BA473" i="36"/>
  <c r="AT474" i="36"/>
  <c r="AU474" i="36"/>
  <c r="BA474" i="36"/>
  <c r="AT475" i="36"/>
  <c r="AU475" i="36"/>
  <c r="BA475" i="36"/>
  <c r="AT476" i="36"/>
  <c r="AU476" i="36"/>
  <c r="BA476" i="36"/>
  <c r="AT477" i="36"/>
  <c r="AU477" i="36"/>
  <c r="BA477" i="36"/>
  <c r="AT478" i="36"/>
  <c r="AU478" i="36"/>
  <c r="BA478" i="36"/>
  <c r="AT479" i="36"/>
  <c r="AU479" i="36"/>
  <c r="BA479" i="36"/>
  <c r="AT480" i="36"/>
  <c r="AU480" i="36"/>
  <c r="BA480" i="36"/>
  <c r="AT481" i="36"/>
  <c r="AU481" i="36"/>
  <c r="BA481" i="36"/>
  <c r="AT482" i="36"/>
  <c r="AU482" i="36"/>
  <c r="BA482" i="36"/>
  <c r="AT483" i="36"/>
  <c r="AU483" i="36"/>
  <c r="BA483" i="36"/>
  <c r="AT484" i="36"/>
  <c r="AU484" i="36"/>
  <c r="BA484" i="36"/>
  <c r="AT485" i="36"/>
  <c r="AU485" i="36"/>
  <c r="BA485" i="36"/>
  <c r="AT486" i="36"/>
  <c r="AU486" i="36"/>
  <c r="BA486" i="36"/>
  <c r="AT487" i="36"/>
  <c r="AU487" i="36"/>
  <c r="BA487" i="36"/>
  <c r="AT488" i="36"/>
  <c r="AU488" i="36"/>
  <c r="BA488" i="36"/>
  <c r="AT489" i="36"/>
  <c r="AU489" i="36"/>
  <c r="BA489" i="36"/>
  <c r="AT490" i="36"/>
  <c r="AU490" i="36"/>
  <c r="BA490" i="36"/>
  <c r="AT491" i="36"/>
  <c r="AU491" i="36"/>
  <c r="BA491" i="36"/>
  <c r="AT492" i="36"/>
  <c r="AU492" i="36"/>
  <c r="BA492" i="36"/>
  <c r="AT493" i="36"/>
  <c r="AU493" i="36"/>
  <c r="BA493" i="36"/>
  <c r="AT494" i="36"/>
  <c r="AU494" i="36"/>
  <c r="BA494" i="36"/>
  <c r="AT495" i="36"/>
  <c r="AU495" i="36"/>
  <c r="BA495" i="36"/>
  <c r="AT496" i="36"/>
  <c r="AU496" i="36"/>
  <c r="BA496" i="36"/>
  <c r="AT497" i="36"/>
  <c r="AU497" i="36"/>
  <c r="BA497" i="36"/>
  <c r="AT498" i="36"/>
  <c r="AU498" i="36"/>
  <c r="BA498" i="36"/>
  <c r="AT499" i="36"/>
  <c r="AU499" i="36"/>
  <c r="BA499" i="36"/>
  <c r="AT500" i="36"/>
  <c r="AU500" i="36"/>
  <c r="BA500" i="36"/>
  <c r="AT501" i="36"/>
  <c r="AU501" i="36"/>
  <c r="BA501" i="36"/>
  <c r="AT502" i="36"/>
  <c r="AU502" i="36"/>
  <c r="BA502" i="36"/>
  <c r="BA394" i="36"/>
  <c r="AU394" i="36"/>
  <c r="AT394" i="36"/>
  <c r="N25" i="38" l="1"/>
  <c r="BF51" i="35" l="1"/>
  <c r="BA367" i="36" l="1"/>
  <c r="BA368" i="36"/>
  <c r="BA369" i="36"/>
  <c r="BA370" i="36"/>
  <c r="BA371" i="36"/>
  <c r="BA373" i="36"/>
  <c r="BA374" i="36"/>
  <c r="BA375" i="36"/>
  <c r="BA376" i="36"/>
  <c r="BA377" i="36"/>
  <c r="BA378" i="36"/>
  <c r="BA379" i="36"/>
  <c r="BA380" i="36"/>
  <c r="BA381" i="36"/>
  <c r="BA382" i="36"/>
  <c r="BA383" i="36"/>
  <c r="BA384" i="36"/>
  <c r="BA385" i="36"/>
  <c r="BA386" i="36"/>
  <c r="BA387" i="36"/>
  <c r="BA388" i="36"/>
  <c r="BA389" i="36"/>
  <c r="BA390" i="36"/>
  <c r="BA391" i="36"/>
  <c r="BA392" i="36"/>
  <c r="BA393" i="36"/>
  <c r="BA395" i="36"/>
  <c r="BA397" i="36"/>
  <c r="BA398" i="36"/>
  <c r="BA399" i="36"/>
  <c r="BA400" i="36"/>
  <c r="BA353" i="36"/>
  <c r="BA354" i="36"/>
  <c r="BA355" i="36"/>
  <c r="BA356" i="36"/>
  <c r="BA357" i="36"/>
  <c r="BA358" i="36"/>
  <c r="BA359" i="36"/>
  <c r="BA360" i="36"/>
  <c r="BA361" i="36"/>
  <c r="BA362" i="36"/>
  <c r="BA363" i="36"/>
  <c r="BA364" i="36"/>
  <c r="BA365" i="36"/>
  <c r="BA366" i="36"/>
  <c r="AU352" i="36"/>
  <c r="AT352" i="36"/>
  <c r="BA352" i="36"/>
  <c r="BA351" i="36" l="1"/>
  <c r="BA350" i="36"/>
  <c r="BA349" i="36"/>
  <c r="BA348" i="36"/>
  <c r="BA347" i="36"/>
  <c r="BA346" i="36"/>
  <c r="BA345" i="36"/>
  <c r="BA344" i="36"/>
  <c r="BA343" i="36"/>
  <c r="AT380" i="36"/>
  <c r="AU380" i="36"/>
  <c r="AT381" i="36"/>
  <c r="AU381" i="36"/>
  <c r="AT382" i="36"/>
  <c r="AU382" i="36"/>
  <c r="AT383" i="36"/>
  <c r="AU383" i="36"/>
  <c r="AT384" i="36"/>
  <c r="AU384" i="36"/>
  <c r="AT385" i="36"/>
  <c r="AU385" i="36"/>
  <c r="AT386" i="36"/>
  <c r="AU386" i="36"/>
  <c r="AT387" i="36"/>
  <c r="AU387" i="36"/>
  <c r="AT388" i="36"/>
  <c r="AU388" i="36"/>
  <c r="AT389" i="36"/>
  <c r="AU389" i="36"/>
  <c r="AT390" i="36"/>
  <c r="AU390" i="36"/>
  <c r="AT391" i="36"/>
  <c r="AU391" i="36"/>
  <c r="AT392" i="36"/>
  <c r="AU392" i="36"/>
  <c r="AT393" i="36"/>
  <c r="AU393" i="36"/>
  <c r="AT395" i="36"/>
  <c r="AU395" i="36"/>
  <c r="AT397" i="36"/>
  <c r="AU397" i="36"/>
  <c r="AT398" i="36"/>
  <c r="AU398" i="36"/>
  <c r="AT399" i="36"/>
  <c r="AU399" i="36"/>
  <c r="AT400" i="36"/>
  <c r="AU400" i="36"/>
  <c r="AT353" i="36"/>
  <c r="AU353" i="36"/>
  <c r="AT354" i="36"/>
  <c r="AU354" i="36"/>
  <c r="AT355" i="36"/>
  <c r="AU355" i="36"/>
  <c r="AT356" i="36"/>
  <c r="AU356" i="36"/>
  <c r="AT357" i="36"/>
  <c r="AU357" i="36"/>
  <c r="AT358" i="36"/>
  <c r="AU358" i="36"/>
  <c r="AT359" i="36"/>
  <c r="AU359" i="36"/>
  <c r="AT360" i="36"/>
  <c r="AU360" i="36"/>
  <c r="AT361" i="36"/>
  <c r="AU361" i="36"/>
  <c r="AT362" i="36"/>
  <c r="AU362" i="36"/>
  <c r="AT363" i="36"/>
  <c r="AU363" i="36"/>
  <c r="AT364" i="36"/>
  <c r="AU364" i="36"/>
  <c r="AT365" i="36"/>
  <c r="AU365" i="36"/>
  <c r="AT366" i="36"/>
  <c r="AU366" i="36"/>
  <c r="AT367" i="36"/>
  <c r="AU367" i="36"/>
  <c r="AT368" i="36"/>
  <c r="AU368" i="36"/>
  <c r="AT369" i="36"/>
  <c r="AU369" i="36"/>
  <c r="AT370" i="36"/>
  <c r="AU370" i="36"/>
  <c r="AT371" i="36"/>
  <c r="AU371" i="36"/>
  <c r="AT373" i="36"/>
  <c r="AU373" i="36"/>
  <c r="AT374" i="36"/>
  <c r="AU374" i="36"/>
  <c r="AT375" i="36"/>
  <c r="AU375" i="36"/>
  <c r="AT376" i="36"/>
  <c r="AU376" i="36"/>
  <c r="AT377" i="36"/>
  <c r="AU377" i="36"/>
  <c r="AT378" i="36"/>
  <c r="AU378" i="36"/>
  <c r="AT379" i="36"/>
  <c r="AU379" i="36"/>
  <c r="BA342" i="36"/>
  <c r="BA341" i="36"/>
  <c r="BA340" i="36"/>
  <c r="BA339" i="36"/>
  <c r="BA338" i="36"/>
  <c r="BA337" i="36"/>
  <c r="AU337" i="36"/>
  <c r="AT337" i="36"/>
  <c r="BA335" i="36"/>
  <c r="AU335" i="36"/>
  <c r="AT335" i="36"/>
  <c r="BA334" i="36"/>
  <c r="AU334" i="36"/>
  <c r="AT334" i="36"/>
  <c r="BA333" i="36"/>
  <c r="AU333" i="36"/>
  <c r="AT333" i="36"/>
  <c r="BA332" i="36"/>
  <c r="AU332" i="36"/>
  <c r="AT332" i="36"/>
  <c r="BA331" i="36"/>
  <c r="AU331" i="36"/>
  <c r="AT331" i="36"/>
  <c r="BA330" i="36" l="1"/>
  <c r="BA329" i="36"/>
  <c r="BA328" i="36"/>
  <c r="BA327" i="36"/>
  <c r="BA326" i="36" l="1"/>
  <c r="BA325" i="36"/>
  <c r="BA324" i="36"/>
  <c r="BA323" i="36"/>
  <c r="BA322" i="36" l="1"/>
  <c r="BA321" i="36"/>
  <c r="BA320" i="36"/>
  <c r="BA319" i="36"/>
  <c r="BA318" i="36" l="1"/>
  <c r="BA317" i="36"/>
  <c r="BA316" i="36"/>
  <c r="BA315" i="36"/>
  <c r="BA314" i="36"/>
  <c r="BA313" i="36"/>
  <c r="BA312" i="36" l="1"/>
  <c r="BA311" i="36"/>
  <c r="BA310" i="36" l="1"/>
  <c r="BA309" i="36"/>
  <c r="BA308" i="36"/>
  <c r="BA307" i="36"/>
  <c r="BA306" i="36"/>
  <c r="BA305" i="36"/>
  <c r="BA304" i="36"/>
  <c r="BA303" i="36" l="1"/>
  <c r="BA302" i="36" l="1"/>
  <c r="BA301" i="36"/>
  <c r="BA300" i="36"/>
  <c r="BA299" i="36"/>
  <c r="AT303" i="36" l="1"/>
  <c r="AU303" i="36"/>
  <c r="AT304" i="36"/>
  <c r="AU304" i="36"/>
  <c r="AT305" i="36"/>
  <c r="AU305" i="36"/>
  <c r="AT306" i="36"/>
  <c r="AU306" i="36"/>
  <c r="AT307" i="36"/>
  <c r="AU307" i="36"/>
  <c r="AT308" i="36"/>
  <c r="AU308" i="36"/>
  <c r="AT309" i="36"/>
  <c r="AU309" i="36"/>
  <c r="AT310" i="36"/>
  <c r="AU310" i="36"/>
  <c r="AT311" i="36"/>
  <c r="AU311" i="36"/>
  <c r="AT312" i="36"/>
  <c r="AU312" i="36"/>
  <c r="AT313" i="36"/>
  <c r="AU313" i="36"/>
  <c r="AT314" i="36"/>
  <c r="AU314" i="36"/>
  <c r="AT315" i="36"/>
  <c r="AU315" i="36"/>
  <c r="AT316" i="36"/>
  <c r="AU316" i="36"/>
  <c r="AT317" i="36"/>
  <c r="AU317" i="36"/>
  <c r="AT318" i="36"/>
  <c r="AU318" i="36"/>
  <c r="AT319" i="36"/>
  <c r="AU319" i="36"/>
  <c r="AT320" i="36"/>
  <c r="AU320" i="36"/>
  <c r="AT321" i="36"/>
  <c r="AU321" i="36"/>
  <c r="AT322" i="36"/>
  <c r="AU322" i="36"/>
  <c r="AT323" i="36"/>
  <c r="AU323" i="36"/>
  <c r="AT324" i="36"/>
  <c r="AU324" i="36"/>
  <c r="AT325" i="36"/>
  <c r="AU325" i="36"/>
  <c r="AT326" i="36"/>
  <c r="AU326" i="36"/>
  <c r="AT327" i="36"/>
  <c r="AU327" i="36"/>
  <c r="AT328" i="36"/>
  <c r="AU328" i="36"/>
  <c r="AT329" i="36"/>
  <c r="AU329" i="36"/>
  <c r="AT330" i="36"/>
  <c r="AU330" i="36"/>
  <c r="AT338" i="36"/>
  <c r="AU338" i="36"/>
  <c r="AT339" i="36"/>
  <c r="AU339" i="36"/>
  <c r="AT340" i="36"/>
  <c r="AU340" i="36"/>
  <c r="AT341" i="36"/>
  <c r="AU341" i="36"/>
  <c r="AT342" i="36"/>
  <c r="AU342" i="36"/>
  <c r="AT343" i="36"/>
  <c r="AU343" i="36"/>
  <c r="AT344" i="36"/>
  <c r="AU344" i="36"/>
  <c r="AT345" i="36"/>
  <c r="AU345" i="36"/>
  <c r="AT346" i="36"/>
  <c r="AU346" i="36"/>
  <c r="AT347" i="36"/>
  <c r="AU347" i="36"/>
  <c r="AT348" i="36"/>
  <c r="AU348" i="36"/>
  <c r="AT349" i="36"/>
  <c r="AU349" i="36"/>
  <c r="AT350" i="36"/>
  <c r="AU350" i="36"/>
  <c r="AT351" i="36"/>
  <c r="AU351" i="36"/>
  <c r="BA298" i="36"/>
  <c r="BA297" i="36" l="1"/>
  <c r="BA296" i="36"/>
  <c r="BA295" i="36"/>
  <c r="AU295" i="36"/>
  <c r="AT295" i="36"/>
  <c r="BA294" i="36"/>
  <c r="BA293" i="36"/>
  <c r="BA292" i="36"/>
  <c r="BA291" i="36"/>
  <c r="BA290" i="36"/>
  <c r="BA289" i="36" l="1"/>
  <c r="BA288" i="36"/>
  <c r="BA287" i="36" l="1"/>
  <c r="BA286" i="36" l="1"/>
  <c r="BA285" i="36"/>
  <c r="BA284" i="36"/>
  <c r="BA283" i="36"/>
  <c r="BA282" i="36"/>
  <c r="BA281" i="36"/>
  <c r="BA280" i="36" l="1"/>
  <c r="BA279" i="36"/>
  <c r="BA278" i="36"/>
  <c r="BA277" i="36"/>
  <c r="BA276" i="36" l="1"/>
  <c r="BA275" i="36"/>
  <c r="BA274" i="36"/>
  <c r="BA273" i="36"/>
  <c r="BA272" i="36"/>
  <c r="BA271" i="36"/>
  <c r="BA270" i="36"/>
  <c r="BA269" i="36"/>
  <c r="BA268" i="36"/>
  <c r="BA267" i="36" l="1"/>
  <c r="BA266" i="36" l="1"/>
  <c r="BA265" i="36" l="1"/>
  <c r="BA264" i="36"/>
  <c r="BA263" i="36" l="1"/>
  <c r="BA262" i="36"/>
  <c r="BA261" i="36"/>
  <c r="K23" i="38"/>
  <c r="BA260" i="36" l="1"/>
  <c r="BA259" i="36"/>
  <c r="BA258" i="36" l="1"/>
  <c r="BA257" i="36" l="1"/>
  <c r="BA256" i="36"/>
  <c r="BA255" i="36" l="1"/>
  <c r="BA254" i="36"/>
  <c r="BA253" i="36"/>
  <c r="AP20" i="35"/>
  <c r="BA252" i="36"/>
  <c r="BA251" i="36" l="1"/>
  <c r="BA250" i="36" l="1"/>
  <c r="BA249" i="36"/>
  <c r="BA248" i="36" l="1"/>
  <c r="BA247" i="36"/>
  <c r="BA246" i="36"/>
  <c r="BA245" i="36"/>
  <c r="BA244" i="36" l="1"/>
  <c r="BA243" i="36"/>
  <c r="BA242" i="36"/>
  <c r="BA241" i="36"/>
  <c r="BA240" i="36"/>
  <c r="BA239" i="36"/>
  <c r="BA238" i="36" l="1"/>
  <c r="BA237" i="36" l="1"/>
  <c r="BA236" i="36"/>
  <c r="BA235" i="36"/>
  <c r="BA234" i="36"/>
  <c r="BA233" i="36"/>
  <c r="BA232" i="36"/>
  <c r="BA231" i="36"/>
  <c r="BA230" i="36"/>
  <c r="BA229" i="36" l="1"/>
  <c r="BA228" i="36"/>
  <c r="BA227" i="36"/>
  <c r="BA226" i="36" l="1"/>
  <c r="BA225" i="36"/>
  <c r="BA224" i="36"/>
  <c r="BA223" i="36"/>
  <c r="BA222" i="36" l="1"/>
  <c r="BA221" i="36"/>
  <c r="AT290" i="36"/>
  <c r="AU290" i="36"/>
  <c r="AT291" i="36"/>
  <c r="AU291" i="36"/>
  <c r="AT292" i="36"/>
  <c r="AU292" i="36"/>
  <c r="AT293" i="36"/>
  <c r="AU293" i="36"/>
  <c r="AT294" i="36"/>
  <c r="AU294" i="36"/>
  <c r="AT296" i="36"/>
  <c r="AU296" i="36"/>
  <c r="AT297" i="36"/>
  <c r="AU297" i="36"/>
  <c r="AT298" i="36"/>
  <c r="AU298" i="36"/>
  <c r="AT299" i="36"/>
  <c r="AU299" i="36"/>
  <c r="AT300" i="36"/>
  <c r="AU300" i="36"/>
  <c r="AT301" i="36"/>
  <c r="AU301" i="36"/>
  <c r="AT302" i="36"/>
  <c r="AU302" i="36"/>
  <c r="AT276" i="36"/>
  <c r="AU276" i="36"/>
  <c r="AT277" i="36"/>
  <c r="AU277" i="36"/>
  <c r="AT278" i="36"/>
  <c r="AU278" i="36"/>
  <c r="AT279" i="36"/>
  <c r="AU279" i="36"/>
  <c r="AT280" i="36"/>
  <c r="AU280" i="36"/>
  <c r="AT281" i="36"/>
  <c r="AU281" i="36"/>
  <c r="AT282" i="36"/>
  <c r="AU282" i="36"/>
  <c r="AT283" i="36"/>
  <c r="AU283" i="36"/>
  <c r="AT284" i="36"/>
  <c r="AU284" i="36"/>
  <c r="AT285" i="36"/>
  <c r="AU285" i="36"/>
  <c r="AT286" i="36"/>
  <c r="AU286" i="36"/>
  <c r="AT287" i="36"/>
  <c r="AU287" i="36"/>
  <c r="AT288" i="36"/>
  <c r="AU288" i="36"/>
  <c r="AT289" i="36"/>
  <c r="AU289" i="36"/>
  <c r="AT259" i="36"/>
  <c r="AU259" i="36"/>
  <c r="AT260" i="36"/>
  <c r="AU260" i="36"/>
  <c r="AT261" i="36"/>
  <c r="AU261" i="36"/>
  <c r="AT262" i="36"/>
  <c r="AU262" i="36"/>
  <c r="AT263" i="36"/>
  <c r="AU263" i="36"/>
  <c r="AT264" i="36"/>
  <c r="AU264" i="36"/>
  <c r="AT265" i="36"/>
  <c r="AU265" i="36"/>
  <c r="AT266" i="36"/>
  <c r="AU266" i="36"/>
  <c r="AT267" i="36"/>
  <c r="AU267" i="36"/>
  <c r="AT268" i="36"/>
  <c r="AU268" i="36"/>
  <c r="AT269" i="36"/>
  <c r="AU269" i="36"/>
  <c r="AT270" i="36"/>
  <c r="AU270" i="36"/>
  <c r="AT271" i="36"/>
  <c r="AU271" i="36"/>
  <c r="AT272" i="36"/>
  <c r="AU272" i="36"/>
  <c r="AT273" i="36"/>
  <c r="AU273" i="36"/>
  <c r="AT274" i="36"/>
  <c r="AU274" i="36"/>
  <c r="AT275" i="36"/>
  <c r="AU275" i="36"/>
  <c r="AT241" i="36"/>
  <c r="AU241" i="36"/>
  <c r="AT242" i="36"/>
  <c r="AU242" i="36"/>
  <c r="AT243" i="36"/>
  <c r="AU243" i="36"/>
  <c r="AT244" i="36"/>
  <c r="AU244" i="36"/>
  <c r="AT245" i="36"/>
  <c r="AU245" i="36"/>
  <c r="AT246" i="36"/>
  <c r="AU246" i="36"/>
  <c r="AT247" i="36"/>
  <c r="AU247" i="36"/>
  <c r="AT248" i="36"/>
  <c r="AU248" i="36"/>
  <c r="AT249" i="36"/>
  <c r="AU249" i="36"/>
  <c r="AT250" i="36"/>
  <c r="AU250" i="36"/>
  <c r="AT251" i="36"/>
  <c r="AU251" i="36"/>
  <c r="AT252" i="36"/>
  <c r="AU252" i="36"/>
  <c r="AT253" i="36"/>
  <c r="AU253" i="36"/>
  <c r="AT254" i="36"/>
  <c r="AU254" i="36"/>
  <c r="AT255" i="36"/>
  <c r="AU255" i="36"/>
  <c r="AT256" i="36"/>
  <c r="AU256" i="36"/>
  <c r="AT257" i="36"/>
  <c r="AU257" i="36"/>
  <c r="AT258" i="36"/>
  <c r="AU258" i="36"/>
  <c r="AT227" i="36"/>
  <c r="AU227" i="36"/>
  <c r="AT228" i="36"/>
  <c r="AU228" i="36"/>
  <c r="AT229" i="36"/>
  <c r="AU229" i="36"/>
  <c r="AT230" i="36"/>
  <c r="AU230" i="36"/>
  <c r="AT231" i="36"/>
  <c r="AU231" i="36"/>
  <c r="AT232" i="36"/>
  <c r="AU232" i="36"/>
  <c r="AT233" i="36"/>
  <c r="AU233" i="36"/>
  <c r="AT234" i="36"/>
  <c r="AU234" i="36"/>
  <c r="AT235" i="36"/>
  <c r="AU235" i="36"/>
  <c r="AT236" i="36"/>
  <c r="AU236" i="36"/>
  <c r="AT237" i="36"/>
  <c r="AU237" i="36"/>
  <c r="AT238" i="36"/>
  <c r="AU238" i="36"/>
  <c r="AT239" i="36"/>
  <c r="AU239" i="36"/>
  <c r="AT240" i="36"/>
  <c r="AU240" i="36"/>
  <c r="AT222" i="36"/>
  <c r="AU222" i="36"/>
  <c r="AT223" i="36"/>
  <c r="AU223" i="36"/>
  <c r="AT224" i="36"/>
  <c r="AU224" i="36"/>
  <c r="AT225" i="36"/>
  <c r="AU225" i="36"/>
  <c r="AT226" i="36"/>
  <c r="AU226" i="36"/>
  <c r="BA220" i="36"/>
  <c r="BA219" i="36"/>
  <c r="BA218" i="36"/>
  <c r="BA217" i="36"/>
  <c r="BA216" i="36"/>
  <c r="BA215" i="36"/>
  <c r="BA214" i="36"/>
  <c r="BA213" i="36"/>
  <c r="BA212" i="36" l="1"/>
  <c r="BA211" i="36" l="1"/>
  <c r="BA210" i="36"/>
  <c r="M18" i="38"/>
  <c r="U23" i="38"/>
  <c r="V25" i="38"/>
  <c r="BA209" i="36"/>
  <c r="BA208" i="36" l="1"/>
  <c r="BA207" i="36"/>
  <c r="BA206" i="36"/>
  <c r="BA205" i="36"/>
  <c r="BA204" i="36"/>
  <c r="BA203" i="36" l="1"/>
  <c r="BA202" i="36"/>
  <c r="BA201" i="36"/>
  <c r="BA200" i="36" l="1"/>
  <c r="BA199" i="36"/>
  <c r="BA198" i="36"/>
  <c r="BA197" i="36"/>
  <c r="BA196" i="36"/>
  <c r="BA195" i="36"/>
  <c r="BA194" i="36"/>
  <c r="BA193" i="36"/>
  <c r="BA192" i="36"/>
  <c r="BA191" i="36" l="1"/>
  <c r="BA190" i="36"/>
  <c r="BA189" i="36" l="1"/>
  <c r="BA188" i="36"/>
  <c r="BA187" i="36"/>
  <c r="BA186" i="36" l="1"/>
  <c r="BA185" i="36"/>
  <c r="BA184" i="36" l="1"/>
  <c r="BA183" i="36"/>
  <c r="BA182" i="36" l="1"/>
  <c r="BA181" i="36"/>
  <c r="BA180" i="36"/>
  <c r="BA179" i="36" l="1"/>
  <c r="BA178" i="36"/>
  <c r="BA177" i="36" l="1"/>
  <c r="BA176" i="36" l="1"/>
  <c r="BA175" i="36" l="1"/>
  <c r="BA174" i="36" l="1"/>
  <c r="BA173" i="36"/>
  <c r="BA172" i="36" l="1"/>
  <c r="BA171" i="36" l="1"/>
  <c r="AT212" i="36"/>
  <c r="AU212" i="36"/>
  <c r="AT213" i="36"/>
  <c r="AU213" i="36"/>
  <c r="AT214" i="36"/>
  <c r="AU214" i="36"/>
  <c r="AT215" i="36"/>
  <c r="AU215" i="36"/>
  <c r="AT216" i="36"/>
  <c r="AU216" i="36"/>
  <c r="AT217" i="36"/>
  <c r="AU217" i="36"/>
  <c r="AT218" i="36"/>
  <c r="AU218" i="36"/>
  <c r="AT219" i="36"/>
  <c r="AU219" i="36"/>
  <c r="AT220" i="36"/>
  <c r="AU220" i="36"/>
  <c r="AT221" i="36"/>
  <c r="AU221" i="36"/>
  <c r="AT196" i="36"/>
  <c r="AU196" i="36"/>
  <c r="AT197" i="36"/>
  <c r="AU197" i="36"/>
  <c r="AT198" i="36"/>
  <c r="AU198" i="36"/>
  <c r="AT199" i="36"/>
  <c r="AU199" i="36"/>
  <c r="AT200" i="36"/>
  <c r="AU200" i="36"/>
  <c r="AT201" i="36"/>
  <c r="AU201" i="36"/>
  <c r="AT202" i="36"/>
  <c r="AU202" i="36"/>
  <c r="AT203" i="36"/>
  <c r="AU203" i="36"/>
  <c r="AT204" i="36"/>
  <c r="AU204" i="36"/>
  <c r="AT205" i="36"/>
  <c r="AU205" i="36"/>
  <c r="AT206" i="36"/>
  <c r="AU206" i="36"/>
  <c r="AT207" i="36"/>
  <c r="AU207" i="36"/>
  <c r="AT208" i="36"/>
  <c r="AU208" i="36"/>
  <c r="AT209" i="36"/>
  <c r="AU209" i="36"/>
  <c r="AT210" i="36"/>
  <c r="AU210" i="36"/>
  <c r="AT211" i="36"/>
  <c r="AU211" i="36"/>
  <c r="AT184" i="36"/>
  <c r="AU184" i="36"/>
  <c r="AT185" i="36"/>
  <c r="AU185" i="36"/>
  <c r="AT186" i="36"/>
  <c r="AU186" i="36"/>
  <c r="AT187" i="36"/>
  <c r="AU187" i="36"/>
  <c r="AT188" i="36"/>
  <c r="AU188" i="36"/>
  <c r="AT189" i="36"/>
  <c r="AU189" i="36"/>
  <c r="AT190" i="36"/>
  <c r="AU190" i="36"/>
  <c r="AT191" i="36"/>
  <c r="AU191" i="36"/>
  <c r="AT192" i="36"/>
  <c r="AU192" i="36"/>
  <c r="AT193" i="36"/>
  <c r="AU193" i="36"/>
  <c r="AT194" i="36"/>
  <c r="AU194" i="36"/>
  <c r="AT195" i="36"/>
  <c r="AU195" i="36"/>
  <c r="AT174" i="36"/>
  <c r="AU174" i="36"/>
  <c r="AT175" i="36"/>
  <c r="AU175" i="36"/>
  <c r="AT176" i="36"/>
  <c r="AU176" i="36"/>
  <c r="AT177" i="36"/>
  <c r="AU177" i="36"/>
  <c r="AT178" i="36"/>
  <c r="AU178" i="36"/>
  <c r="AT179" i="36"/>
  <c r="AU179" i="36"/>
  <c r="AT180" i="36"/>
  <c r="AU180" i="36"/>
  <c r="AT181" i="36"/>
  <c r="AU181" i="36"/>
  <c r="AT182" i="36"/>
  <c r="AU182" i="36"/>
  <c r="AT183" i="36"/>
  <c r="AU183" i="36"/>
  <c r="AT170" i="36"/>
  <c r="BA170" i="36"/>
  <c r="BA169" i="36"/>
  <c r="BA168" i="36" l="1"/>
  <c r="BA167" i="36"/>
  <c r="BA166" i="36" l="1"/>
  <c r="BA165" i="36"/>
  <c r="BA164" i="36"/>
  <c r="BA163" i="36"/>
  <c r="BA162" i="36"/>
  <c r="BA161" i="36"/>
  <c r="BA160" i="36" l="1"/>
  <c r="BA159" i="36"/>
  <c r="BA158" i="36"/>
  <c r="BA157" i="36"/>
  <c r="BA156" i="36"/>
  <c r="BA155" i="36"/>
  <c r="BA154" i="36" l="1"/>
  <c r="BA153" i="36"/>
  <c r="BA152" i="36"/>
  <c r="BA151" i="36"/>
  <c r="BA150" i="36"/>
  <c r="BA149" i="36"/>
  <c r="BA144" i="36"/>
  <c r="BA143" i="36"/>
  <c r="AU143" i="36"/>
  <c r="AT143" i="36"/>
  <c r="BA142" i="36"/>
  <c r="BA141" i="36"/>
  <c r="BA140" i="36"/>
  <c r="BA139" i="36"/>
  <c r="BA138" i="36"/>
  <c r="BA137" i="36"/>
  <c r="BA136" i="36"/>
  <c r="BA135" i="36"/>
  <c r="BA134" i="36"/>
  <c r="BA133" i="36" l="1"/>
  <c r="BA132" i="36"/>
  <c r="BA131" i="36" l="1"/>
  <c r="BA130" i="36"/>
  <c r="AT142" i="36" l="1"/>
  <c r="AU142" i="36"/>
  <c r="AT144" i="36"/>
  <c r="AU144" i="36"/>
  <c r="AT149" i="36"/>
  <c r="AU149" i="36"/>
  <c r="AT150" i="36"/>
  <c r="AU150" i="36"/>
  <c r="AT151" i="36"/>
  <c r="AU151" i="36"/>
  <c r="AT152" i="36"/>
  <c r="AU152" i="36"/>
  <c r="AT153" i="36"/>
  <c r="AU153" i="36"/>
  <c r="AT154" i="36"/>
  <c r="AU154" i="36"/>
  <c r="AT155" i="36"/>
  <c r="AU155" i="36"/>
  <c r="AT156" i="36"/>
  <c r="AU156" i="36"/>
  <c r="AT157" i="36"/>
  <c r="AU157" i="36"/>
  <c r="AT158" i="36"/>
  <c r="AU158" i="36"/>
  <c r="AT159" i="36"/>
  <c r="AU159" i="36"/>
  <c r="AT160" i="36"/>
  <c r="AU160" i="36"/>
  <c r="AT161" i="36"/>
  <c r="AU161" i="36"/>
  <c r="AT162" i="36"/>
  <c r="AU162" i="36"/>
  <c r="AT163" i="36"/>
  <c r="AU163" i="36"/>
  <c r="AT164" i="36"/>
  <c r="AU164" i="36"/>
  <c r="AT165" i="36"/>
  <c r="AU165" i="36"/>
  <c r="AT166" i="36"/>
  <c r="AU166" i="36"/>
  <c r="AT167" i="36"/>
  <c r="AU167" i="36"/>
  <c r="AT168" i="36"/>
  <c r="AU168" i="36"/>
  <c r="AT169" i="36"/>
  <c r="AU169" i="36"/>
  <c r="AU170" i="36"/>
  <c r="AT171" i="36"/>
  <c r="AU171" i="36"/>
  <c r="AT172" i="36"/>
  <c r="AU172" i="36"/>
  <c r="AT173" i="36"/>
  <c r="AU173" i="36"/>
  <c r="BA129" i="36"/>
  <c r="BA128" i="36"/>
  <c r="BA127" i="36" l="1"/>
  <c r="BA126" i="36"/>
  <c r="BA125" i="36" l="1"/>
  <c r="BA124" i="36"/>
  <c r="BA123" i="36"/>
  <c r="BA122" i="36"/>
  <c r="BA121" i="36"/>
  <c r="BA120" i="36"/>
  <c r="BA119" i="36"/>
  <c r="BA118" i="36"/>
  <c r="BA117" i="36"/>
  <c r="BA116" i="36"/>
  <c r="BA115" i="36" l="1"/>
  <c r="BA114" i="36"/>
  <c r="BA113" i="36"/>
  <c r="BA112" i="36"/>
  <c r="BA111" i="36" l="1"/>
  <c r="BA110" i="36"/>
  <c r="BA109" i="36" l="1"/>
  <c r="BA108" i="36"/>
  <c r="BA107" i="36"/>
  <c r="BA106" i="36"/>
  <c r="AT105" i="36"/>
  <c r="AT106" i="36"/>
  <c r="AT107" i="36"/>
  <c r="AT108" i="36"/>
  <c r="AT109" i="36"/>
  <c r="AT110" i="36"/>
  <c r="AT111" i="36"/>
  <c r="AT112" i="36"/>
  <c r="AT113" i="36"/>
  <c r="AT114" i="36"/>
  <c r="AT115" i="36"/>
  <c r="AT116" i="36"/>
  <c r="AT117" i="36"/>
  <c r="AT118" i="36"/>
  <c r="AT119" i="36"/>
  <c r="AT120" i="36"/>
  <c r="AT121" i="36"/>
  <c r="AT122" i="36"/>
  <c r="AT123" i="36"/>
  <c r="AT124" i="36"/>
  <c r="AT125" i="36"/>
  <c r="AT126" i="36"/>
  <c r="AT127" i="36"/>
  <c r="AT128" i="36"/>
  <c r="AT129" i="36"/>
  <c r="AT130" i="36"/>
  <c r="AT131" i="36"/>
  <c r="AT132" i="36"/>
  <c r="AT133" i="36"/>
  <c r="AT134" i="36"/>
  <c r="AT135" i="36"/>
  <c r="AT136" i="36"/>
  <c r="AT137" i="36"/>
  <c r="AT138" i="36"/>
  <c r="AT139" i="36"/>
  <c r="AT140" i="36"/>
  <c r="AT141" i="36"/>
  <c r="BA105" i="36"/>
  <c r="AT104" i="36" l="1"/>
  <c r="BA104" i="36"/>
  <c r="AT103" i="36"/>
  <c r="BA103" i="36"/>
  <c r="AT102" i="36"/>
  <c r="BA102" i="36"/>
  <c r="AT101" i="36"/>
  <c r="BA101" i="36"/>
  <c r="AT100" i="36"/>
  <c r="BA100" i="36"/>
  <c r="AT99" i="36"/>
  <c r="BA99" i="36"/>
  <c r="AU98" i="36"/>
  <c r="AU99" i="36"/>
  <c r="AU100" i="36"/>
  <c r="AU101" i="36"/>
  <c r="AU102" i="36"/>
  <c r="AU103" i="36"/>
  <c r="AU104" i="36"/>
  <c r="AU105" i="36"/>
  <c r="AU106" i="36"/>
  <c r="AU107" i="36"/>
  <c r="AU108" i="36"/>
  <c r="AU109" i="36"/>
  <c r="AU110" i="36"/>
  <c r="AU111" i="36"/>
  <c r="AU112" i="36"/>
  <c r="AU113" i="36"/>
  <c r="AU114" i="36"/>
  <c r="AU115" i="36"/>
  <c r="AU116" i="36"/>
  <c r="AU117" i="36"/>
  <c r="AU118" i="36"/>
  <c r="AU119" i="36"/>
  <c r="AU120" i="36"/>
  <c r="AU121" i="36"/>
  <c r="AU122" i="36"/>
  <c r="AU123" i="36"/>
  <c r="AU124" i="36"/>
  <c r="AU125" i="36"/>
  <c r="AU126" i="36"/>
  <c r="AU127" i="36"/>
  <c r="AU128" i="36"/>
  <c r="AU129" i="36"/>
  <c r="AU130" i="36"/>
  <c r="AU131" i="36"/>
  <c r="AU132" i="36"/>
  <c r="AU133" i="36"/>
  <c r="AU134" i="36"/>
  <c r="AU135" i="36"/>
  <c r="AU136" i="36"/>
  <c r="AU137" i="36"/>
  <c r="AU138" i="36"/>
  <c r="AU139" i="36"/>
  <c r="AU140" i="36"/>
  <c r="AU141" i="36"/>
  <c r="AT98" i="36"/>
  <c r="BA98" i="36"/>
  <c r="AU97" i="36"/>
  <c r="AT97" i="36"/>
  <c r="BA97" i="36"/>
  <c r="AU96" i="36"/>
  <c r="AT96" i="36"/>
  <c r="BA96" i="36"/>
  <c r="AU95" i="36"/>
  <c r="AT95" i="36"/>
  <c r="BA95" i="36"/>
  <c r="AU94" i="36"/>
  <c r="AT94" i="36"/>
  <c r="BA94" i="36"/>
  <c r="AU93" i="36"/>
  <c r="AT93" i="36"/>
  <c r="BA93" i="36"/>
  <c r="AU92" i="36" l="1"/>
  <c r="AT92" i="36"/>
  <c r="BA92" i="36"/>
  <c r="AU91" i="36"/>
  <c r="AT91" i="36"/>
  <c r="BA91" i="36"/>
  <c r="AU90" i="36"/>
  <c r="AT90" i="36"/>
  <c r="BA90" i="36"/>
  <c r="AU89" i="36"/>
  <c r="AT89" i="36"/>
  <c r="BA89" i="36"/>
  <c r="AU88" i="36" l="1"/>
  <c r="AT88" i="36"/>
  <c r="BA88" i="36"/>
  <c r="AU87" i="36"/>
  <c r="AT87" i="36"/>
  <c r="BA87" i="36"/>
  <c r="AU86" i="36"/>
  <c r="AT86" i="36"/>
  <c r="BA86" i="36"/>
  <c r="AU85" i="36"/>
  <c r="AT85" i="36"/>
  <c r="BA85" i="36"/>
  <c r="AU84" i="36" l="1"/>
  <c r="AT84" i="36"/>
  <c r="BA84" i="36"/>
  <c r="AU83" i="36"/>
  <c r="AT83" i="36"/>
  <c r="BA83" i="36"/>
  <c r="AU82" i="36"/>
  <c r="AT82" i="36"/>
  <c r="BA82" i="36"/>
  <c r="BM100" i="36"/>
  <c r="BM104" i="36"/>
  <c r="BM81" i="36"/>
  <c r="BM82" i="36"/>
  <c r="BM83" i="36"/>
  <c r="BM84" i="36"/>
  <c r="BM85" i="36"/>
  <c r="AU81" i="36"/>
  <c r="AT81" i="36"/>
  <c r="BA81" i="36"/>
  <c r="BM80" i="36"/>
  <c r="AU80" i="36"/>
  <c r="AT80" i="36"/>
  <c r="BA80" i="36"/>
  <c r="AY79" i="36"/>
  <c r="AY80" i="36"/>
  <c r="AY81" i="36"/>
  <c r="AY82" i="36"/>
  <c r="AY83" i="36"/>
  <c r="AY84" i="36"/>
  <c r="AU79" i="36"/>
  <c r="AT79" i="36"/>
  <c r="BA79" i="36"/>
  <c r="AY78" i="36"/>
  <c r="AU78" i="36"/>
  <c r="AT78" i="36"/>
  <c r="BA78" i="36"/>
  <c r="BA77" i="36" l="1"/>
  <c r="BA76" i="36" l="1"/>
  <c r="BA75" i="36"/>
  <c r="BA74" i="36"/>
  <c r="BA73" i="36"/>
  <c r="BA72" i="36"/>
  <c r="BA71" i="36"/>
  <c r="BA70" i="36"/>
  <c r="BA69" i="36" l="1"/>
  <c r="AU68" i="36" l="1"/>
  <c r="AT68" i="36"/>
  <c r="BA68" i="36"/>
  <c r="AU67" i="36"/>
  <c r="AT67" i="36"/>
  <c r="BA67" i="36"/>
  <c r="BA66" i="36"/>
  <c r="BA65" i="36" l="1"/>
  <c r="BA64" i="36"/>
  <c r="BA63" i="36"/>
  <c r="BA62" i="36"/>
  <c r="BA61" i="36"/>
  <c r="BA60" i="36"/>
  <c r="BA59" i="36"/>
  <c r="BA58" i="36" l="1"/>
  <c r="BA57" i="36"/>
  <c r="BA56" i="36" l="1"/>
  <c r="BA55" i="36" l="1"/>
  <c r="BA54" i="36" l="1"/>
  <c r="BA53" i="36" l="1"/>
  <c r="BA52" i="36" l="1"/>
  <c r="BA51" i="36"/>
  <c r="BA50" i="36" l="1"/>
  <c r="BA49" i="36"/>
  <c r="BA48" i="36"/>
  <c r="BA47" i="36"/>
  <c r="BA46" i="36" l="1"/>
  <c r="BA45" i="36"/>
  <c r="BA44" i="36" l="1"/>
  <c r="BA43" i="36" l="1"/>
  <c r="BA42" i="36"/>
  <c r="AU42" i="36"/>
  <c r="AT42" i="36"/>
  <c r="BA41" i="36"/>
  <c r="CA31" i="35" l="1"/>
  <c r="BA40" i="36"/>
  <c r="BA39" i="36"/>
  <c r="BA38" i="36"/>
  <c r="BA37" i="36"/>
  <c r="BA36" i="36"/>
  <c r="BA35" i="36"/>
  <c r="BA34" i="36"/>
  <c r="BA33" i="36"/>
  <c r="BA32" i="36"/>
  <c r="BA31" i="36"/>
  <c r="BA30" i="36"/>
  <c r="BA29" i="36"/>
  <c r="BA28" i="36"/>
  <c r="BA27" i="36"/>
  <c r="BA26" i="36"/>
  <c r="BA25" i="36"/>
  <c r="BA24" i="36"/>
  <c r="BA23" i="36"/>
  <c r="BA22" i="36"/>
  <c r="BA21" i="36"/>
  <c r="AT21" i="36"/>
  <c r="AU21" i="36"/>
  <c r="AT22" i="36"/>
  <c r="AU22" i="36"/>
  <c r="AT23" i="36"/>
  <c r="AU23" i="36"/>
  <c r="AT24" i="36"/>
  <c r="AU24" i="36"/>
  <c r="AT25" i="36"/>
  <c r="AU25" i="36"/>
  <c r="AT26" i="36"/>
  <c r="AU26" i="36"/>
  <c r="AT27" i="36"/>
  <c r="AU27" i="36"/>
  <c r="AT28" i="36"/>
  <c r="AU28" i="36"/>
  <c r="AT29" i="36"/>
  <c r="AU29" i="36"/>
  <c r="AT30" i="36"/>
  <c r="AU30" i="36"/>
  <c r="AT31" i="36"/>
  <c r="AU31" i="36"/>
  <c r="AT32" i="36"/>
  <c r="AU32" i="36"/>
  <c r="AT33" i="36"/>
  <c r="AU33" i="36"/>
  <c r="AT34" i="36"/>
  <c r="AU34" i="36"/>
  <c r="AT35" i="36"/>
  <c r="AU35" i="36"/>
  <c r="AT36" i="36"/>
  <c r="AU36" i="36"/>
  <c r="AT37" i="36"/>
  <c r="AU37" i="36"/>
  <c r="AT38" i="36"/>
  <c r="AU38" i="36"/>
  <c r="AT39" i="36"/>
  <c r="AU39" i="36"/>
  <c r="AT40" i="36"/>
  <c r="AU40" i="36"/>
  <c r="AT41" i="36"/>
  <c r="AU41" i="36"/>
  <c r="AT43" i="36"/>
  <c r="AU43" i="36"/>
  <c r="AT44" i="36"/>
  <c r="AU44" i="36"/>
  <c r="AT45" i="36"/>
  <c r="AU45" i="36"/>
  <c r="AT46" i="36"/>
  <c r="AU46" i="36"/>
  <c r="AT47" i="36"/>
  <c r="AU47" i="36"/>
  <c r="AT48" i="36"/>
  <c r="AU48" i="36"/>
  <c r="AT49" i="36"/>
  <c r="AU49" i="36"/>
  <c r="AT50" i="36"/>
  <c r="AU50" i="36"/>
  <c r="AT51" i="36"/>
  <c r="AU51" i="36"/>
  <c r="AT52" i="36"/>
  <c r="AU52" i="36"/>
  <c r="AT53" i="36"/>
  <c r="AU53" i="36"/>
  <c r="AT54" i="36"/>
  <c r="AU54" i="36"/>
  <c r="AT55" i="36"/>
  <c r="AU55" i="36"/>
  <c r="AT56" i="36"/>
  <c r="AU56" i="36"/>
  <c r="AT57" i="36"/>
  <c r="AU57" i="36"/>
  <c r="AT58" i="36"/>
  <c r="AU58" i="36"/>
  <c r="AT59" i="36"/>
  <c r="AU59" i="36"/>
  <c r="AT60" i="36"/>
  <c r="AU60" i="36"/>
  <c r="AT61" i="36"/>
  <c r="AU61" i="36"/>
  <c r="AT62" i="36"/>
  <c r="AU62" i="36"/>
  <c r="AT63" i="36"/>
  <c r="AU63" i="36"/>
  <c r="AT64" i="36"/>
  <c r="AU64" i="36"/>
  <c r="AT65" i="36"/>
  <c r="AU65" i="36"/>
  <c r="AT66" i="36"/>
  <c r="AU66" i="36"/>
  <c r="AT69" i="36"/>
  <c r="AU69" i="36"/>
  <c r="AT70" i="36"/>
  <c r="AU70" i="36"/>
  <c r="AT71" i="36"/>
  <c r="AU71" i="36"/>
  <c r="AT72" i="36"/>
  <c r="AU72" i="36"/>
  <c r="AT73" i="36"/>
  <c r="AU73" i="36"/>
  <c r="AT74" i="36"/>
  <c r="AU74" i="36"/>
  <c r="AT75" i="36"/>
  <c r="AU75" i="36"/>
  <c r="AT76" i="36"/>
  <c r="AU76" i="36"/>
  <c r="AT77" i="36"/>
  <c r="AU77" i="36"/>
  <c r="AU20" i="36"/>
  <c r="AT20" i="36"/>
  <c r="BA20" i="36"/>
  <c r="AU19" i="36"/>
  <c r="AT19" i="36"/>
  <c r="BA19" i="36"/>
  <c r="AL54" i="35"/>
  <c r="F25" i="38" s="1"/>
  <c r="W17" i="38"/>
  <c r="L17" i="38"/>
  <c r="U15" i="38"/>
  <c r="H15" i="38"/>
  <c r="W3" i="38"/>
  <c r="I14" i="38"/>
  <c r="BS57" i="35"/>
  <c r="BM55" i="35"/>
  <c r="AP55" i="35"/>
  <c r="BT54" i="35"/>
  <c r="AH51" i="35"/>
  <c r="BN50" i="35"/>
  <c r="BW49" i="35"/>
  <c r="BF49" i="35"/>
  <c r="AR48" i="35"/>
  <c r="BA43" i="35"/>
  <c r="BU40" i="35"/>
  <c r="AL40" i="35"/>
  <c r="AO39" i="35"/>
  <c r="BP35" i="35"/>
  <c r="BA35" i="35"/>
  <c r="CG31" i="35"/>
  <c r="BH31" i="35"/>
  <c r="AM31" i="35"/>
  <c r="BO30" i="35"/>
  <c r="AQ30" i="35"/>
  <c r="BX29" i="35"/>
  <c r="BF29" i="35"/>
  <c r="AP29" i="35"/>
  <c r="CG28" i="35"/>
  <c r="BL28" i="35"/>
  <c r="AN28" i="35"/>
  <c r="AF27" i="35"/>
  <c r="AT26" i="35"/>
  <c r="AO25" i="35"/>
  <c r="G13" i="38" s="1"/>
  <c r="BU22" i="35"/>
  <c r="AU22" i="35"/>
  <c r="BZ21" i="35"/>
  <c r="BM21" i="35"/>
  <c r="AP21" i="35"/>
  <c r="BZ20" i="35"/>
  <c r="BQ20" i="35"/>
  <c r="BM20" i="35"/>
  <c r="BY18" i="35"/>
  <c r="W11" i="38" s="1"/>
  <c r="BD18" i="35"/>
  <c r="N11" i="38" s="1"/>
  <c r="AO18" i="35"/>
  <c r="G11" i="38" s="1"/>
  <c r="BU17" i="35"/>
  <c r="U10" i="38" s="1"/>
  <c r="BA17" i="35"/>
  <c r="M10" i="38" s="1"/>
  <c r="AK17" i="35"/>
  <c r="F10" i="38" s="1"/>
  <c r="AQ16" i="35"/>
  <c r="H9" i="38" s="1"/>
  <c r="AQ15" i="35"/>
  <c r="H8" i="38" s="1"/>
  <c r="H7" i="38"/>
  <c r="D22" i="38" s="1"/>
  <c r="BU8" i="35"/>
  <c r="W4" i="38" s="1"/>
  <c r="M20" i="38" s="1"/>
  <c r="BV5" i="35"/>
  <c r="AU18" i="36"/>
  <c r="AT18" i="36"/>
  <c r="BA18" i="36"/>
  <c r="AU17" i="36"/>
  <c r="AT17" i="36"/>
  <c r="BA17" i="36"/>
  <c r="AU16" i="36"/>
  <c r="AT16" i="36"/>
  <c r="BA16" i="36"/>
  <c r="AU15" i="36"/>
  <c r="AT15" i="36"/>
  <c r="BA15" i="36"/>
  <c r="BA3" i="36"/>
  <c r="BA4" i="36"/>
  <c r="BA5" i="36"/>
  <c r="BA6" i="36"/>
  <c r="BA7" i="36"/>
  <c r="BA8" i="36"/>
  <c r="BA9" i="36"/>
  <c r="BA10" i="36"/>
  <c r="BA11" i="36"/>
  <c r="BA12" i="36"/>
  <c r="BA13" i="36"/>
  <c r="BA14" i="36"/>
  <c r="AU3" i="36"/>
  <c r="AU4" i="36"/>
  <c r="AU5" i="36"/>
  <c r="AU6" i="36"/>
  <c r="AU7" i="36"/>
  <c r="AU8" i="36"/>
  <c r="AU9" i="36"/>
  <c r="AU10" i="36"/>
  <c r="AU11" i="36"/>
  <c r="AU12" i="36"/>
  <c r="AU13" i="36"/>
  <c r="AU14" i="36"/>
  <c r="AT3" i="36"/>
  <c r="AT4" i="36"/>
  <c r="AT5" i="36"/>
  <c r="AT6" i="36"/>
  <c r="AT7" i="36"/>
  <c r="AT8" i="36"/>
  <c r="AT9" i="36"/>
  <c r="AT10" i="36"/>
  <c r="AT11" i="36"/>
  <c r="AT12" i="36"/>
  <c r="AT13" i="36"/>
  <c r="AT14" i="36"/>
  <c r="AD212" i="11"/>
  <c r="AD211" i="11"/>
  <c r="AD210" i="11"/>
  <c r="AD209" i="11"/>
  <c r="AD208" i="11"/>
  <c r="AD207" i="11"/>
  <c r="AD206" i="11"/>
  <c r="AD205" i="11"/>
  <c r="AD204" i="11"/>
  <c r="AD203" i="11"/>
  <c r="AD202" i="11"/>
  <c r="AD201" i="11"/>
  <c r="AD200" i="11"/>
  <c r="AD199" i="11"/>
  <c r="AD198" i="11"/>
  <c r="AD197" i="11"/>
  <c r="AD196" i="11"/>
  <c r="AD195" i="11"/>
  <c r="AD194" i="11"/>
  <c r="AD193" i="11"/>
  <c r="AD192" i="11"/>
  <c r="AD191" i="11"/>
  <c r="AD190" i="11"/>
  <c r="AD189" i="11"/>
  <c r="AD188" i="11"/>
  <c r="AD187" i="11"/>
  <c r="AD186" i="11"/>
  <c r="AD185" i="11"/>
  <c r="AD184" i="11"/>
  <c r="AD183" i="11"/>
  <c r="AD182" i="11"/>
  <c r="AD181" i="11"/>
  <c r="AD180" i="11"/>
  <c r="AD179" i="11"/>
  <c r="AD178" i="11"/>
  <c r="AD177" i="11"/>
  <c r="AD176" i="11"/>
  <c r="AD175" i="11"/>
  <c r="AD174" i="11"/>
  <c r="AD173" i="11"/>
  <c r="AD172" i="11"/>
  <c r="AD171" i="11"/>
  <c r="AD170" i="11"/>
  <c r="AD169" i="11"/>
  <c r="AD168" i="11"/>
  <c r="AD167" i="11"/>
  <c r="AD166" i="11"/>
  <c r="AD165" i="11"/>
  <c r="AD164" i="11"/>
  <c r="AD163" i="11"/>
  <c r="AD162" i="11"/>
  <c r="AD161" i="11"/>
  <c r="AD159" i="11"/>
  <c r="AD158" i="11"/>
  <c r="AD157" i="11"/>
  <c r="AD156" i="11"/>
  <c r="AD155" i="11"/>
  <c r="AD154" i="11"/>
  <c r="AD153" i="11"/>
  <c r="AD152" i="11"/>
  <c r="AD151" i="11"/>
  <c r="AD150" i="11"/>
  <c r="AD149" i="11"/>
  <c r="AD148" i="11"/>
  <c r="AD147" i="11"/>
  <c r="AD146" i="11"/>
  <c r="AD145" i="11"/>
  <c r="AD144" i="11"/>
  <c r="AD143" i="11"/>
  <c r="AD142" i="11"/>
  <c r="AD141" i="11"/>
  <c r="AD140" i="11"/>
  <c r="AD139" i="11"/>
  <c r="AD138" i="11"/>
  <c r="AD137" i="11"/>
  <c r="AD136" i="11"/>
  <c r="AD135" i="11"/>
  <c r="AD134" i="11"/>
  <c r="AD133" i="11"/>
  <c r="AD132" i="11"/>
  <c r="AD131" i="11"/>
  <c r="AD130" i="11"/>
  <c r="AD129" i="11"/>
  <c r="AD128" i="11"/>
  <c r="AD127" i="11"/>
  <c r="AD126" i="11"/>
  <c r="AD125" i="11"/>
  <c r="AD124" i="11"/>
  <c r="AD123" i="11"/>
  <c r="AD122" i="11"/>
  <c r="AD121" i="11"/>
  <c r="AD120" i="11"/>
  <c r="AD119" i="11"/>
  <c r="AD118" i="11"/>
  <c r="AD117" i="11"/>
  <c r="AD116" i="11"/>
  <c r="AD115" i="11"/>
  <c r="AD114" i="11"/>
  <c r="AD113" i="11"/>
  <c r="AD112" i="11"/>
  <c r="AD111" i="11"/>
  <c r="AD110" i="11"/>
  <c r="AD109" i="11"/>
  <c r="AD108" i="11"/>
  <c r="AD107" i="11"/>
  <c r="AD106" i="11"/>
  <c r="AD105" i="11"/>
  <c r="AD104" i="11"/>
  <c r="AD103" i="11"/>
  <c r="AD102" i="11"/>
  <c r="AD101" i="11"/>
  <c r="AD100" i="11"/>
  <c r="AD99" i="11"/>
  <c r="AD98" i="11"/>
  <c r="AD97" i="11"/>
  <c r="AD96" i="11"/>
  <c r="AD95" i="11"/>
  <c r="AD94" i="11"/>
  <c r="AD93" i="11"/>
  <c r="AD92" i="11"/>
  <c r="AD91" i="11"/>
  <c r="AD90" i="11"/>
  <c r="AD89" i="11"/>
  <c r="AD88" i="11"/>
  <c r="AD87" i="11"/>
  <c r="AD86" i="11"/>
  <c r="AD85" i="11"/>
  <c r="AD84" i="11"/>
  <c r="AD83" i="11"/>
  <c r="AD82" i="11"/>
  <c r="AD81" i="11"/>
  <c r="AD79" i="11"/>
  <c r="AD78" i="11"/>
  <c r="AD77" i="11"/>
  <c r="AD76" i="11"/>
  <c r="AD75" i="11"/>
  <c r="AD74" i="11"/>
  <c r="AD73" i="11"/>
  <c r="AD72" i="11"/>
  <c r="AD71" i="11"/>
  <c r="AD70" i="11"/>
  <c r="AD69" i="11"/>
  <c r="AD68" i="11"/>
  <c r="AD67" i="11"/>
  <c r="AD66" i="11"/>
  <c r="AD65" i="11"/>
  <c r="AD64" i="11"/>
  <c r="AD63" i="11"/>
  <c r="AD62" i="11"/>
  <c r="AD61" i="11"/>
  <c r="AD60" i="11"/>
  <c r="AD59" i="11"/>
  <c r="AD58" i="11"/>
  <c r="AD57" i="11"/>
  <c r="AD56" i="11"/>
  <c r="AD55" i="11"/>
  <c r="AD54" i="11"/>
  <c r="AD53" i="11"/>
  <c r="AD52" i="11"/>
  <c r="AD51" i="11"/>
  <c r="AD50" i="11"/>
  <c r="AD49" i="11"/>
  <c r="AD48" i="11"/>
  <c r="AD47" i="11"/>
  <c r="AD46" i="11"/>
  <c r="AD45" i="11"/>
  <c r="AD44" i="11"/>
  <c r="AD43" i="11"/>
  <c r="AD41" i="11"/>
  <c r="AD40" i="11"/>
  <c r="AD39" i="11"/>
  <c r="AD38" i="11"/>
  <c r="AD37" i="11"/>
  <c r="AD36" i="11"/>
  <c r="AD35" i="11"/>
  <c r="AD34" i="11"/>
  <c r="AD32" i="11"/>
  <c r="AD31" i="11"/>
  <c r="AD30" i="11"/>
  <c r="AD29" i="11"/>
  <c r="AD28" i="11"/>
  <c r="AD27" i="11"/>
  <c r="AD26" i="11"/>
  <c r="AD25" i="11"/>
  <c r="AD24" i="11"/>
  <c r="AD23" i="11"/>
  <c r="AD22" i="11"/>
  <c r="AD21" i="11"/>
  <c r="AD20" i="11"/>
  <c r="AD19" i="11"/>
  <c r="AD18" i="11"/>
  <c r="AD17" i="11"/>
  <c r="AD16" i="11"/>
  <c r="AD15" i="11"/>
  <c r="AD14" i="11"/>
  <c r="AD13" i="11"/>
  <c r="AD12" i="11"/>
  <c r="AD11" i="11"/>
  <c r="AD10" i="11"/>
  <c r="AD9" i="11"/>
  <c r="AD8" i="11"/>
  <c r="AD7" i="11"/>
  <c r="AD6" i="11"/>
  <c r="AD5" i="11"/>
  <c r="AD4" i="11"/>
  <c r="AD3" i="11"/>
  <c r="K54" i="2"/>
  <c r="I54" i="2"/>
  <c r="Q44" i="2"/>
  <c r="Q43" i="2"/>
  <c r="Q42" i="2"/>
  <c r="Q40" i="2"/>
  <c r="Q39" i="2"/>
  <c r="Q38" i="2"/>
  <c r="Q37" i="2"/>
  <c r="Q36" i="2"/>
  <c r="Q35" i="2"/>
  <c r="J60" i="2" s="1"/>
  <c r="Q34" i="2"/>
  <c r="Q32" i="2"/>
  <c r="P31" i="2"/>
  <c r="M31" i="2"/>
  <c r="Q31" i="2" s="1"/>
  <c r="Q30" i="2"/>
  <c r="Q45" i="2" s="1"/>
  <c r="Q46" i="2" s="1"/>
  <c r="N57" i="2" s="1"/>
  <c r="AG18" i="2"/>
  <c r="G18" i="2"/>
  <c r="B18" i="2"/>
  <c r="H60" i="2" s="1"/>
  <c r="I60" i="2" s="1"/>
  <c r="AG17" i="2"/>
  <c r="G17" i="2"/>
  <c r="B17" i="2"/>
  <c r="H54" i="2" s="1"/>
  <c r="N54" i="2" s="1"/>
  <c r="AG16" i="2"/>
  <c r="AG15" i="2"/>
  <c r="AG14" i="2"/>
  <c r="K13" i="2"/>
  <c r="S13" i="2"/>
  <c r="K12" i="2"/>
  <c r="S12" i="2"/>
  <c r="S14" i="2"/>
  <c r="P12" i="2" s="1"/>
  <c r="AG13" i="2"/>
  <c r="AG12" i="2"/>
  <c r="AG11" i="2"/>
  <c r="AG10" i="2"/>
  <c r="AG9" i="2"/>
  <c r="S9" i="2"/>
  <c r="AG8" i="2"/>
  <c r="S8" i="2"/>
  <c r="AG7" i="2"/>
  <c r="S7" i="2"/>
  <c r="K7" i="2"/>
  <c r="P8" i="2" s="1"/>
  <c r="AG6" i="2"/>
  <c r="S6" i="2"/>
  <c r="AG5" i="2"/>
  <c r="S5" i="2"/>
  <c r="P4" i="2" s="1"/>
  <c r="AH4" i="2"/>
  <c r="K60" i="2" l="1"/>
  <c r="N60" i="2" s="1"/>
  <c r="L54" i="2"/>
  <c r="H57"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Maria Porres</author>
    <author>Microsoft Office User</author>
    <author>Jose Estrada</author>
  </authors>
  <commentList>
    <comment ref="A45" authorId="0" shapeId="0" xr:uid="{00000000-0006-0000-0400-000001000000}">
      <text>
        <r>
          <rPr>
            <b/>
            <sz val="9"/>
            <color indexed="81"/>
            <rFont val="Tahoma"/>
            <family val="2"/>
          </rPr>
          <t>Maria Porres:</t>
        </r>
        <r>
          <rPr>
            <sz val="9"/>
            <color indexed="81"/>
            <rFont val="Tahoma"/>
            <family val="2"/>
          </rPr>
          <t xml:space="preserve">
IMPRESIONES NOVIEMBRE</t>
        </r>
      </text>
    </comment>
    <comment ref="A112" authorId="0" shapeId="0" xr:uid="{00000000-0006-0000-0400-000002000000}">
      <text>
        <r>
          <rPr>
            <b/>
            <sz val="9"/>
            <color indexed="81"/>
            <rFont val="Tahoma"/>
            <family val="2"/>
          </rPr>
          <t>Maria Porres:</t>
        </r>
        <r>
          <rPr>
            <sz val="9"/>
            <color indexed="81"/>
            <rFont val="Tahoma"/>
            <family val="2"/>
          </rPr>
          <t xml:space="preserve">
ENERO 2023</t>
        </r>
      </text>
    </comment>
    <comment ref="A132" authorId="0" shapeId="0" xr:uid="{00000000-0006-0000-0400-000003000000}">
      <text>
        <r>
          <rPr>
            <b/>
            <sz val="9"/>
            <color indexed="81"/>
            <rFont val="Tahoma"/>
            <family val="2"/>
          </rPr>
          <t>Maria Porres:</t>
        </r>
        <r>
          <rPr>
            <sz val="9"/>
            <color indexed="81"/>
            <rFont val="Tahoma"/>
            <family val="2"/>
          </rPr>
          <t xml:space="preserve">
FEBRERO 2023</t>
        </r>
      </text>
    </comment>
    <comment ref="A134" authorId="0" shapeId="0" xr:uid="{00000000-0006-0000-0400-000004000000}">
      <text>
        <r>
          <rPr>
            <b/>
            <sz val="9"/>
            <color indexed="81"/>
            <rFont val="Tahoma"/>
            <family val="2"/>
          </rPr>
          <t>Maria Porres:</t>
        </r>
        <r>
          <rPr>
            <sz val="9"/>
            <color indexed="81"/>
            <rFont val="Tahoma"/>
            <family val="2"/>
          </rPr>
          <t xml:space="preserve">
MAYO 2023</t>
        </r>
      </text>
    </comment>
    <comment ref="A155" authorId="0" shapeId="0" xr:uid="{00000000-0006-0000-0400-000005000000}">
      <text>
        <r>
          <rPr>
            <b/>
            <sz val="9"/>
            <color indexed="81"/>
            <rFont val="Tahoma"/>
            <family val="2"/>
          </rPr>
          <t>Maria Porres:</t>
        </r>
        <r>
          <rPr>
            <sz val="9"/>
            <color indexed="81"/>
            <rFont val="Tahoma"/>
            <family val="2"/>
          </rPr>
          <t xml:space="preserve">
FEBRERO 2024</t>
        </r>
      </text>
    </comment>
    <comment ref="A168" authorId="0" shapeId="0" xr:uid="{00000000-0006-0000-0400-000006000000}">
      <text>
        <r>
          <rPr>
            <b/>
            <sz val="9"/>
            <color indexed="81"/>
            <rFont val="Tahoma"/>
            <family val="2"/>
          </rPr>
          <t>Maria Porres:</t>
        </r>
        <r>
          <rPr>
            <sz val="9"/>
            <color indexed="81"/>
            <rFont val="Tahoma"/>
            <family val="2"/>
          </rPr>
          <t xml:space="preserve">
MAYO 2024</t>
        </r>
      </text>
    </comment>
    <comment ref="A173" authorId="0" shapeId="0" xr:uid="{00000000-0006-0000-0400-000007000000}">
      <text>
        <r>
          <rPr>
            <b/>
            <sz val="9"/>
            <color indexed="81"/>
            <rFont val="Tahoma"/>
            <family val="2"/>
          </rPr>
          <t>Maria Porres:</t>
        </r>
        <r>
          <rPr>
            <sz val="9"/>
            <color indexed="81"/>
            <rFont val="Tahoma"/>
            <family val="2"/>
          </rPr>
          <t xml:space="preserve">
JUNIO 2024</t>
        </r>
      </text>
    </comment>
    <comment ref="A212" authorId="0" shapeId="0" xr:uid="{00000000-0006-0000-0400-000008000000}">
      <text>
        <r>
          <rPr>
            <b/>
            <sz val="9"/>
            <color indexed="81"/>
            <rFont val="Tahoma"/>
            <family val="2"/>
          </rPr>
          <t xml:space="preserve">Maria Porres:
</t>
        </r>
        <r>
          <rPr>
            <sz val="9"/>
            <color indexed="81"/>
            <rFont val="Tahoma"/>
            <family val="2"/>
          </rPr>
          <t>SEPTIEMBRE 2024</t>
        </r>
      </text>
    </comment>
    <comment ref="A223" authorId="0" shapeId="0" xr:uid="{00000000-0006-0000-0400-000009000000}">
      <text>
        <r>
          <rPr>
            <b/>
            <sz val="9"/>
            <color indexed="81"/>
            <rFont val="Tahoma"/>
            <family val="2"/>
          </rPr>
          <t>Maria Porres:</t>
        </r>
        <r>
          <rPr>
            <sz val="9"/>
            <color indexed="81"/>
            <rFont val="Tahoma"/>
            <family val="2"/>
          </rPr>
          <t xml:space="preserve">
Noviembre 2024</t>
        </r>
      </text>
    </comment>
    <comment ref="A267" authorId="0" shapeId="0" xr:uid="{00000000-0006-0000-0400-00000A000000}">
      <text>
        <r>
          <rPr>
            <b/>
            <sz val="9"/>
            <color indexed="81"/>
            <rFont val="Tahoma"/>
            <family val="2"/>
          </rPr>
          <t>Maria Porres:</t>
        </r>
        <r>
          <rPr>
            <sz val="9"/>
            <color indexed="81"/>
            <rFont val="Tahoma"/>
            <family val="2"/>
          </rPr>
          <t xml:space="preserve">
Diciembre 2024</t>
        </r>
      </text>
    </comment>
    <comment ref="A281" authorId="0" shapeId="0" xr:uid="{00000000-0006-0000-0400-00000B000000}">
      <text>
        <r>
          <rPr>
            <b/>
            <sz val="9"/>
            <color rgb="FF000000"/>
            <rFont val="Tahoma"/>
            <family val="2"/>
          </rPr>
          <t>Maria Porres:</t>
        </r>
        <r>
          <rPr>
            <sz val="9"/>
            <color rgb="FF000000"/>
            <rFont val="Tahoma"/>
            <family val="2"/>
          </rPr>
          <t xml:space="preserve">
</t>
        </r>
        <r>
          <rPr>
            <sz val="9"/>
            <color rgb="FF000000"/>
            <rFont val="Tahoma"/>
            <family val="2"/>
          </rPr>
          <t xml:space="preserve">AÑO 2025
</t>
        </r>
        <r>
          <rPr>
            <sz val="9"/>
            <color rgb="FF000000"/>
            <rFont val="Tahoma"/>
            <family val="2"/>
          </rPr>
          <t>ENERO FEBRERO</t>
        </r>
      </text>
    </comment>
    <comment ref="A305" authorId="1" shapeId="0" xr:uid="{B3A72B06-74A9-B84B-9C33-E6942BC09051}">
      <text>
        <r>
          <rPr>
            <b/>
            <sz val="10"/>
            <color rgb="FF000000"/>
            <rFont val="Tahoma"/>
            <family val="2"/>
          </rPr>
          <t>Microsoft Office User:</t>
        </r>
        <r>
          <rPr>
            <sz val="10"/>
            <color rgb="FF000000"/>
            <rFont val="Tahoma"/>
            <family val="2"/>
          </rPr>
          <t xml:space="preserve">
</t>
        </r>
        <r>
          <rPr>
            <sz val="10"/>
            <color rgb="FF000000"/>
            <rFont val="Tahoma"/>
            <family val="2"/>
          </rPr>
          <t>JULIO 2025</t>
        </r>
      </text>
    </comment>
    <comment ref="A329" authorId="1" shapeId="0" xr:uid="{B5C0B394-A5CC-2540-B5FD-D72C17C9E2AF}">
      <text>
        <r>
          <rPr>
            <sz val="10"/>
            <color rgb="FF000000"/>
            <rFont val="Tahoma"/>
            <family val="2"/>
          </rPr>
          <t>LICENCIAS HUGO RESAGADAS</t>
        </r>
      </text>
    </comment>
    <comment ref="A342" authorId="1" shapeId="0" xr:uid="{0062CBBB-4D4F-7645-9BD5-DF8E5B1ECDD6}">
      <text>
        <r>
          <rPr>
            <b/>
            <sz val="10"/>
            <color rgb="FF000000"/>
            <rFont val="Tahoma"/>
            <family val="2"/>
          </rPr>
          <t>Microsoft Office User:</t>
        </r>
        <r>
          <rPr>
            <sz val="10"/>
            <color rgb="FF000000"/>
            <rFont val="Tahoma"/>
            <family val="2"/>
          </rPr>
          <t xml:space="preserve">
</t>
        </r>
        <r>
          <rPr>
            <sz val="10"/>
            <color rgb="FF000000"/>
            <rFont val="Tahoma"/>
            <family val="2"/>
          </rPr>
          <t>AGOSTO 2025</t>
        </r>
      </text>
    </comment>
    <comment ref="A394" authorId="1" shapeId="0" xr:uid="{E8C6A2FC-C102-4344-B49D-6A4014FCB913}">
      <text>
        <r>
          <rPr>
            <b/>
            <sz val="10"/>
            <color rgb="FF000000"/>
            <rFont val="Tahoma"/>
            <family val="2"/>
          </rPr>
          <t>Microsoft Office User:</t>
        </r>
        <r>
          <rPr>
            <sz val="10"/>
            <color rgb="FF000000"/>
            <rFont val="Tahoma"/>
            <family val="2"/>
          </rPr>
          <t xml:space="preserve">
</t>
        </r>
        <r>
          <rPr>
            <sz val="10"/>
            <color rgb="FF000000"/>
            <rFont val="Tahoma"/>
            <family val="2"/>
          </rPr>
          <t>SEPTIEMBRE 2025</t>
        </r>
      </text>
    </comment>
    <comment ref="A403" authorId="1" shapeId="0" xr:uid="{D4608AE2-E794-C142-89DA-E14ABBB8633A}">
      <text>
        <r>
          <rPr>
            <b/>
            <sz val="10"/>
            <color rgb="FF000000"/>
            <rFont val="Tahoma"/>
            <family val="2"/>
          </rPr>
          <t>Microsoft Office User:</t>
        </r>
        <r>
          <rPr>
            <sz val="10"/>
            <color rgb="FF000000"/>
            <rFont val="Tahoma"/>
            <family val="2"/>
          </rPr>
          <t xml:space="preserve">
</t>
        </r>
        <r>
          <rPr>
            <sz val="10"/>
            <color rgb="FF000000"/>
            <rFont val="Tahoma"/>
            <family val="2"/>
          </rPr>
          <t>OCTUBRE 2025</t>
        </r>
      </text>
    </comment>
    <comment ref="A416" authorId="1" shapeId="0" xr:uid="{106AA201-CA8F-5246-9761-8D9F23BF6B1C}">
      <text>
        <r>
          <rPr>
            <b/>
            <sz val="10"/>
            <color rgb="FF000000"/>
            <rFont val="Tahoma"/>
            <family val="2"/>
          </rPr>
          <t>Microsoft Office User:</t>
        </r>
        <r>
          <rPr>
            <sz val="10"/>
            <color rgb="FF000000"/>
            <rFont val="Tahoma"/>
            <family val="2"/>
          </rPr>
          <t xml:space="preserve">
</t>
        </r>
        <r>
          <rPr>
            <sz val="10"/>
            <color rgb="FF000000"/>
            <rFont val="Tahoma"/>
            <family val="2"/>
          </rPr>
          <t>DICIEMBRE 2025</t>
        </r>
      </text>
    </comment>
    <comment ref="A418" authorId="1" shapeId="0" xr:uid="{8BD75DF9-7094-564E-BB2F-6643FE9BA9AE}">
      <text>
        <r>
          <rPr>
            <b/>
            <sz val="10"/>
            <color rgb="FF000000"/>
            <rFont val="Tahoma"/>
            <family val="2"/>
          </rPr>
          <t>Microsoft Office User:</t>
        </r>
        <r>
          <rPr>
            <sz val="10"/>
            <color rgb="FF000000"/>
            <rFont val="Tahoma"/>
            <family val="2"/>
          </rPr>
          <t xml:space="preserve">
</t>
        </r>
        <r>
          <rPr>
            <sz val="10"/>
            <color rgb="FF000000"/>
            <rFont val="Tahoma"/>
            <family val="2"/>
          </rPr>
          <t>MAYO 2026</t>
        </r>
      </text>
    </comment>
    <comment ref="A652" authorId="2" shapeId="0" xr:uid="{D2B8B16F-AA65-5E49-9939-AC7EE9877465}">
      <text>
        <r>
          <rPr>
            <b/>
            <sz val="10"/>
            <color rgb="FF000000"/>
            <rFont val="Tahoma"/>
            <family val="2"/>
          </rPr>
          <t>Jose Estrada:</t>
        </r>
        <r>
          <rPr>
            <sz val="10"/>
            <color rgb="FF000000"/>
            <rFont val="Tahoma"/>
            <family val="2"/>
          </rPr>
          <t xml:space="preserve">
</t>
        </r>
        <r>
          <rPr>
            <sz val="10"/>
            <color rgb="FF000000"/>
            <rFont val="Tahoma"/>
            <family val="2"/>
          </rPr>
          <t xml:space="preserve">DATOS INCOMPLETOS POR CORTE DE ENERGIA ELECTRICA PERO LICENCIA DE OBRA Y USO DE SUELO IMPRESA
</t>
        </r>
      </text>
    </comment>
    <comment ref="A653" authorId="2" shapeId="0" xr:uid="{1FCCDEC3-5ABB-9B4F-9D8F-9DB277C34683}">
      <text>
        <r>
          <rPr>
            <b/>
            <sz val="10"/>
            <color rgb="FF000000"/>
            <rFont val="Tahoma"/>
            <family val="2"/>
          </rPr>
          <t>Jose Estrada:</t>
        </r>
        <r>
          <rPr>
            <sz val="10"/>
            <color rgb="FF000000"/>
            <rFont val="Tahoma"/>
            <family val="2"/>
          </rPr>
          <t xml:space="preserve">
</t>
        </r>
        <r>
          <rPr>
            <sz val="10"/>
            <color rgb="FF000000"/>
            <rFont val="Tahoma"/>
            <family val="2"/>
          </rPr>
          <t>DATOS INCOMPLETOS DEBIDO A CORTE DE ENERGIA ELECTRICA PERO LICENCIA DE OBRA Y USO DE SUELO IMPRESA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Maria Porres</author>
  </authors>
  <commentList>
    <comment ref="BM20" authorId="0" shapeId="0" xr:uid="{00000000-0006-0000-0600-000001000000}">
      <text>
        <r>
          <rPr>
            <b/>
            <sz val="9"/>
            <color rgb="FF000000"/>
            <rFont val="Tahoma"/>
            <family val="2"/>
          </rPr>
          <t>Maria Porres:</t>
        </r>
        <r>
          <rPr>
            <sz val="9"/>
            <color rgb="FF000000"/>
            <rFont val="Tahoma"/>
            <family val="2"/>
          </rPr>
          <t xml:space="preserve">
</t>
        </r>
        <r>
          <rPr>
            <sz val="9"/>
            <color rgb="FF000000"/>
            <rFont val="Tahoma"/>
            <family val="2"/>
          </rPr>
          <t>ING.</t>
        </r>
      </text>
    </comment>
    <comment ref="BM21" authorId="0" shapeId="0" xr:uid="{00000000-0006-0000-0600-000003000000}">
      <text>
        <r>
          <rPr>
            <b/>
            <sz val="9"/>
            <color rgb="FF000000"/>
            <rFont val="Tahoma"/>
            <family val="2"/>
          </rPr>
          <t>Maria Porres:</t>
        </r>
        <r>
          <rPr>
            <sz val="9"/>
            <color rgb="FF000000"/>
            <rFont val="Tahoma"/>
            <family val="2"/>
          </rPr>
          <t xml:space="preserve">
</t>
        </r>
        <r>
          <rPr>
            <sz val="9"/>
            <color rgb="FF000000"/>
            <rFont val="Tahoma"/>
            <family val="2"/>
          </rPr>
          <t>ING.</t>
        </r>
      </text>
    </comment>
    <comment ref="BR21" authorId="0" shapeId="0" xr:uid="{00000000-0006-0000-0600-000004000000}">
      <text>
        <r>
          <rPr>
            <b/>
            <sz val="9"/>
            <color rgb="FF000000"/>
            <rFont val="Tahoma"/>
            <family val="2"/>
          </rPr>
          <t>Maria Porres:</t>
        </r>
        <r>
          <rPr>
            <sz val="9"/>
            <color rgb="FF000000"/>
            <rFont val="Tahoma"/>
            <family val="2"/>
          </rPr>
          <t xml:space="preserve">
</t>
        </r>
        <r>
          <rPr>
            <sz val="9"/>
            <color rgb="FF000000"/>
            <rFont val="Tahoma"/>
            <family val="2"/>
          </rPr>
          <t>ARQ.</t>
        </r>
      </text>
    </comment>
    <comment ref="BH37" authorId="0" shapeId="0" xr:uid="{00000000-0006-0000-0600-000008000000}">
      <text>
        <r>
          <rPr>
            <b/>
            <sz val="9"/>
            <color rgb="FF000000"/>
            <rFont val="Tahoma"/>
            <family val="2"/>
          </rPr>
          <t>Maria Porres:</t>
        </r>
        <r>
          <rPr>
            <sz val="9"/>
            <color rgb="FF000000"/>
            <rFont val="Tahoma"/>
            <family val="2"/>
          </rPr>
          <t xml:space="preserve">
</t>
        </r>
        <r>
          <rPr>
            <sz val="9"/>
            <color rgb="FF000000"/>
            <rFont val="Tahoma"/>
            <family val="2"/>
          </rPr>
          <t>ENERGIA ELECTRICA</t>
        </r>
      </text>
    </comment>
    <comment ref="BP37" authorId="0" shapeId="0" xr:uid="{00000000-0006-0000-0600-000009000000}">
      <text>
        <r>
          <rPr>
            <b/>
            <sz val="9"/>
            <color rgb="FF000000"/>
            <rFont val="Tahoma"/>
            <family val="2"/>
          </rPr>
          <t>Maria Porres:</t>
        </r>
        <r>
          <rPr>
            <sz val="9"/>
            <color rgb="FF000000"/>
            <rFont val="Tahoma"/>
            <family val="2"/>
          </rPr>
          <t xml:space="preserve">
</t>
        </r>
        <r>
          <rPr>
            <sz val="9"/>
            <color rgb="FF000000"/>
            <rFont val="Tahoma"/>
            <family val="2"/>
          </rPr>
          <t>AGUA POTABLE</t>
        </r>
      </text>
    </comment>
    <comment ref="CD37" authorId="0" shapeId="0" xr:uid="{00000000-0006-0000-0600-00000A000000}">
      <text>
        <r>
          <rPr>
            <b/>
            <sz val="9"/>
            <color rgb="FF000000"/>
            <rFont val="Tahoma"/>
            <family val="2"/>
          </rPr>
          <t>Maria Porres:</t>
        </r>
        <r>
          <rPr>
            <sz val="9"/>
            <color rgb="FF000000"/>
            <rFont val="Tahoma"/>
            <family val="2"/>
          </rPr>
          <t xml:space="preserve">
</t>
        </r>
        <r>
          <rPr>
            <sz val="9"/>
            <color rgb="FF000000"/>
            <rFont val="Tahoma"/>
            <family val="2"/>
          </rPr>
          <t>DRENAJE</t>
        </r>
      </text>
    </comment>
  </commentList>
</comments>
</file>

<file path=xl/sharedStrings.xml><?xml version="1.0" encoding="utf-8"?>
<sst xmlns="http://schemas.openxmlformats.org/spreadsheetml/2006/main" count="24626" uniqueCount="5203">
  <si>
    <t>A_Practicas_incentivables_de_fraccionamiento</t>
  </si>
  <si>
    <t>Practica_incentivable_F_1_Por_constituir_servidumbres_a_perpetuidad_bajo_convenios_de_mantenimiento_de_para_areas_de_servicio_publico</t>
  </si>
  <si>
    <t>Practica_incentivable_F_2_Por_donar_bienes_inmuebles_a_favor_del_municipio_de_Quetzaltenango</t>
  </si>
  <si>
    <t>Practica_incentivable_F_3_Por_dejar_una_via_publica_en_bordes_con_zanjones_o_suelo_urbano_de_proteccion_URB_PRO</t>
  </si>
  <si>
    <t>B_Practicas_incentivables_de_Obra</t>
  </si>
  <si>
    <t>Practica_incentivable_O_1_Por_unificar_predios_para_construir</t>
  </si>
  <si>
    <t>Practica_incentivable_O_2_Por_contribuir_al_sistema_de_drenaje_sostenible</t>
  </si>
  <si>
    <t>Practica_incentivable_O_3_Por_diseño_construccion_y_la_operacion_de_construcciones_sostenibles</t>
  </si>
  <si>
    <t>Practica_incentivable_O_4_Por_cumplir_con_las_normas_de_accesibilidad_para_discapacitados</t>
  </si>
  <si>
    <t>Practica_incentivable_O_5_Por_ensanchar_mejorar_o_construir_aceras</t>
  </si>
  <si>
    <t>Practica_incentivable_O_6_Por_construir_viviendas_compactas_y_de_alta_intensidad_constructiva</t>
  </si>
  <si>
    <t>Practica_incentivable_O_7_Por_actuacion_de_profesional_proyectista_y_o_constructor_certificado_POT_Xela</t>
  </si>
  <si>
    <t>C_Practicas_incentivables_de_Urbanizacion_para_vivienda</t>
  </si>
  <si>
    <t>Practica_incentivable_U_1_Por_implementar_sistemas_de_drenaje_separativo_y_sistemas_de_absorcion_de_aguas_pluviales</t>
  </si>
  <si>
    <t>Practica_incentivable_U_2_Por_establecer_servidumbres_a_perpetuidad_bajo_convenios_de_mantenimiento_de_para_areas_de_servicio_publico</t>
  </si>
  <si>
    <t>Practica_incentivable_U_5_Por_conectar_las_vias_con_el_sistema_vial_existente_o_proyectado</t>
  </si>
  <si>
    <t>Practica_incentivable_U_6_Por_crear_parqueo_para_visitas</t>
  </si>
  <si>
    <t>Practica_incentivable_U_7_Por_construir_areas_de_servicio_publico_en_otro_lugar_de_interes_municipal</t>
  </si>
  <si>
    <t>Practica_incentivable_U_8_Por_actuacion_de_profesional_proyectista_y_o_constructor_certificado_POT_Xela</t>
  </si>
  <si>
    <t>D_Practicas_incentivables_de_Uso_de_Suelo</t>
  </si>
  <si>
    <t>Practica_incentivable_US_1_Convertir_uso_no_residencial_a_residencial_o_mixto</t>
  </si>
  <si>
    <t>Practica_incentivable_US_2_Por_eliminar_un_uso_de_suelo_no_residencial_condicionado_existente</t>
  </si>
  <si>
    <t>Practica_incentivable_US_3_Por_crear_suelo_mixto</t>
  </si>
  <si>
    <t>A Practicas incentivables de fraccionamiento</t>
  </si>
  <si>
    <t>1 Practica incentivable F-1 Por constituir servidumbres a perpetuidad bajo convenios de mantenimiento de para areas de servicio publico</t>
  </si>
  <si>
    <t>20 PQ luego de la inscripcion en el segundo registro de la propiedad</t>
  </si>
  <si>
    <t>2 Practica incentivable F-2 Por donar bienes inmuebles a favor del municipio de Quetzaltenango</t>
  </si>
  <si>
    <t>3 Practica incentivable F-3 Por dejar una via publica en bordes con zanjones o suelo urbano de proteccion URB-PRO</t>
  </si>
  <si>
    <t>B Practicas incentivables de Obra</t>
  </si>
  <si>
    <t>1 Practica incentivable O-1 Por unificar predios para construir</t>
  </si>
  <si>
    <t>60 PQ URB-Q1 URB-Q2 y URB-Q3</t>
  </si>
  <si>
    <t>30 PQ URB-Q4 y URB-Q5</t>
  </si>
  <si>
    <t>20 PQ URB-Q6 y URB-Q7</t>
  </si>
  <si>
    <t>40 RUR-CP</t>
  </si>
  <si>
    <t>2 Practica incentivable O-2 Por contribuir al sistema de drenaje sostenible</t>
  </si>
  <si>
    <t>3 Practica incentivable O-3 Por diseño construccion y la operacion de construcciones sostenibles</t>
  </si>
  <si>
    <t>40 PQ certificacion LEED o alguna certificacion otorgada por el CCSG</t>
  </si>
  <si>
    <t>40 PQ Generacion de energia electrica de manera limpia y sustentable cuya eficiencia se medira si el consumo es de hasta 35 KW/h por mes como maximo</t>
  </si>
  <si>
    <t>30 PQ Reducir el consumo de agua potable</t>
  </si>
  <si>
    <t>4 Practica incentivable O-4 Por cumplir con las normas de accesibilidad para discapacitados</t>
  </si>
  <si>
    <t>20 PQ “Manual Tecnico de Accesibilidad para Personas con Discapacidad al Espacio Fisico y Medios de Transporte en Guatemala”</t>
  </si>
  <si>
    <t>5 Practica incentivable O-5 Por ensanchar mejorar o construir aceras</t>
  </si>
  <si>
    <t>6 Practica incentivable O-6 Por construir viviendas compactas y de alta intensidad constructiva</t>
  </si>
  <si>
    <t>40 PQ URB-Q4 y URB-Q5</t>
  </si>
  <si>
    <t>7 Practica incentivable O-7 Por actuacion de profesional proyectista y/o constructor certificado POT Xela</t>
  </si>
  <si>
    <t>50 PQ Certificación vigente</t>
  </si>
  <si>
    <t>C Practicas incentivables de Urbanizacion para vivienda</t>
  </si>
  <si>
    <t>1 Practica incentivable U-1 Por implementar sistemas de drenaje separativo y sistemas de absorcion de aguas pluviales</t>
  </si>
  <si>
    <t>2 Practica incentivable U-2 Por establecer servidumbres a perpetuidad bajo convenios de mantenimiento de para areas de servicio publico</t>
  </si>
  <si>
    <t>5 Practica incentivable U-5 Por conectar las vias con el sistema vial existente o proyectado</t>
  </si>
  <si>
    <t>6 Practica incentivable U-6 Por crear parqueo para visitas</t>
  </si>
  <si>
    <t>7 Practica incentivable U-7 Por construir areas de servicio publico en otro lugar de interes municipal</t>
  </si>
  <si>
    <t>8 Practica incentivable U-8 Por actuacion de profesional proyectista y/o constructor certificado POT Xela</t>
  </si>
  <si>
    <t>D Practicas incentivables de Uso de Suelo</t>
  </si>
  <si>
    <t>1 Practica incentivable US-1 Convertir uso no residencial a residencial o mixto</t>
  </si>
  <si>
    <t>20 PQ URB-Q1 URB-Q2 y URB-Q3</t>
  </si>
  <si>
    <t>40 PQ URB-Q6 y URB-Q7</t>
  </si>
  <si>
    <t>2 Practica incentivable US-2 Por eliminar un uso de suelo no residencial condicionado existente</t>
  </si>
  <si>
    <t>3 Practica incentivable US-3 Por crear suelo mixto</t>
  </si>
  <si>
    <t>50 PQ URB-Q1 URB-Q2 y URB-Q3</t>
  </si>
  <si>
    <t>00 PQ no cumple</t>
  </si>
  <si>
    <t>20 PQ dictamen favorable de la Direccion Municipal de Drenajes y Alcantarillados</t>
  </si>
  <si>
    <t>20 PQ inscripcion de las areas de servicio publico en el segundo registro de la propiedad</t>
  </si>
  <si>
    <t>20 PQ ancho igual o mayor a uno punto setenta y cinco metros con cero punto setenta y cinco metros de area verde</t>
  </si>
  <si>
    <t>60 PQ  calles principales que conecten con el sistema vial existente o proyectado</t>
  </si>
  <si>
    <t>10 PQ URB-Q1 URB-Q2 y URB-Q3</t>
  </si>
  <si>
    <t>20 PQ URB-Q4 y URB-Q5</t>
  </si>
  <si>
    <t>60 PQ RUR-CP</t>
  </si>
  <si>
    <t>SI Cualquier sistema de drenaje sostenible (captacion retencion e infiltracion del agua de lluvia)</t>
  </si>
  <si>
    <t>NO cumple</t>
  </si>
  <si>
    <t>10 PQ Certificación vigente</t>
  </si>
  <si>
    <t>Practica_incentivable_U_4_Por_construir_vias_mayores_a_13_50_m_con_banquetas_mayores_a_3_00_m</t>
  </si>
  <si>
    <t>Practica_incentivable_U_3_Por_construir_banquetas_de_alta_calidad_mayores_a_1_75_m_con_0_75_m_De_area_verde</t>
  </si>
  <si>
    <t>01 PQ por cada 1% (URB-Q1)</t>
  </si>
  <si>
    <t>02 PQ por cada 1% (URB-Q2 y URB-Q3)</t>
  </si>
  <si>
    <t>05 PQ por cada 1% (URB-Q4 URB-Q5 URB-Q6 y URB-Q7)</t>
  </si>
  <si>
    <t xml:space="preserve">07 PQ por cada 1% RUR-CP </t>
  </si>
  <si>
    <t>ÁREA DE PREDIO</t>
  </si>
  <si>
    <t>ÁREA DONADA</t>
  </si>
  <si>
    <t>SUMA PRELIMINAR PUNTOS EQUIVALENTES</t>
  </si>
  <si>
    <t>PUNTOS EQUIVALENTES TOTALES</t>
  </si>
  <si>
    <t>SELECCIÓN</t>
  </si>
  <si>
    <t>PQ</t>
  </si>
  <si>
    <t>40 PQ ensanche y construya un ancho igual o mayor 3.00 ~ m</t>
  </si>
  <si>
    <t>20 PQ mejore o construya un ancho igual o mayor a 1.50 ~ m</t>
  </si>
  <si>
    <t>30 PQ cuando se done para espacio vial un ancho minimo de 9.00 m y una longitud igual o mayor a lo largo de los bordes con zanjones o URB-PRO</t>
  </si>
  <si>
    <t>Proyecto</t>
  </si>
  <si>
    <t>Frente del predio</t>
  </si>
  <si>
    <t>Propietario</t>
  </si>
  <si>
    <t>Superficie del predio</t>
  </si>
  <si>
    <t>Dirección</t>
  </si>
  <si>
    <t>Código</t>
  </si>
  <si>
    <t>-</t>
  </si>
  <si>
    <t>Área construida existente</t>
  </si>
  <si>
    <t>Indice de edificabilidad</t>
  </si>
  <si>
    <t>Finca</t>
  </si>
  <si>
    <t>Área residencial</t>
  </si>
  <si>
    <t>Folio</t>
  </si>
  <si>
    <t>Área no residencial ordinario</t>
  </si>
  <si>
    <t>Bloque inferior</t>
  </si>
  <si>
    <t>Libro</t>
  </si>
  <si>
    <t>Área no residencial condicionado</t>
  </si>
  <si>
    <t>Bloque superior</t>
  </si>
  <si>
    <t>Total área de construción bloque inferior</t>
  </si>
  <si>
    <t>Total área de construción bloque superior</t>
  </si>
  <si>
    <t>Área total</t>
  </si>
  <si>
    <t>Altura total</t>
  </si>
  <si>
    <t>SI</t>
  </si>
  <si>
    <t>NO</t>
  </si>
  <si>
    <t>Uso de suelo residencial</t>
  </si>
  <si>
    <t>Cumple con parametro de uso de suelo mixto</t>
  </si>
  <si>
    <t>Uso de suelo no residencial</t>
  </si>
  <si>
    <t>Cumple con máximo de usos de suelo no residenciales</t>
  </si>
  <si>
    <t>Procedimiento con resolución del Departamento de Ordenamiento Territorial (Art. 29 inciso i)</t>
  </si>
  <si>
    <t>SECTOR</t>
  </si>
  <si>
    <t>Parámetros de fraccionamientos</t>
  </si>
  <si>
    <t>Superficie mínima de predio</t>
  </si>
  <si>
    <t>Frente mínimo de predio</t>
  </si>
  <si>
    <t>Parámetros de obra</t>
  </si>
  <si>
    <t>índice de edificabilidad</t>
  </si>
  <si>
    <t>Base</t>
  </si>
  <si>
    <t>Ampliado</t>
  </si>
  <si>
    <t>Porcentaje de permeabilidad</t>
  </si>
  <si>
    <t>Altura</t>
  </si>
  <si>
    <t>Separación a colindancia</t>
  </si>
  <si>
    <t>Lado mínimo de patio y pozos de luz</t>
  </si>
  <si>
    <t>Parámetros de uso del suelo</t>
  </si>
  <si>
    <t xml:space="preserve">Parámetro de uso del suelo mixto </t>
  </si>
  <si>
    <t>Máximo de usos del suelo no residenciales ordinarios</t>
  </si>
  <si>
    <t>02-URBANO Q2 (URB-Q2)</t>
  </si>
  <si>
    <t>Dona a favor del municipio (no obligatorio)</t>
  </si>
  <si>
    <t>Uso de suelo primario</t>
  </si>
  <si>
    <t>RESIDENCIAL</t>
  </si>
  <si>
    <t>NO RESIDENCIAL</t>
  </si>
  <si>
    <t>E V A L U A C I Ó N    D E    P R Á C T I C A S    I N C E N T I V A B L E S</t>
  </si>
  <si>
    <t>D A T O S     G E N E R A L E S     D E L     P R O Y E C T O</t>
  </si>
  <si>
    <t>E V A L U A C I Ó N    D E L    O T O R G A M I E N T O    D E     I N C E N T I V O S</t>
  </si>
  <si>
    <t>De edificabilidad</t>
  </si>
  <si>
    <t>De reduccion del costo de licencia de construccion</t>
  </si>
  <si>
    <t>De reduccion del porcentaje de permeabilidad</t>
  </si>
  <si>
    <t>TIPO DE INCENTIVOS</t>
  </si>
  <si>
    <t>SOLICITADO</t>
  </si>
  <si>
    <t>Permeabilidad habilitada para uso público sin restricción (no obligatorio)</t>
  </si>
  <si>
    <t>Previamente impermeabilizado Art. 152 POT</t>
  </si>
  <si>
    <t>Desmembrado anterior al 04/08/2017 Art. 152 POT</t>
  </si>
  <si>
    <t>FACTOR</t>
  </si>
  <si>
    <t>EDIFICABILIDAD BASE</t>
  </si>
  <si>
    <t>EDIFICABILIDAD SOLICITADA</t>
  </si>
  <si>
    <t>EDIFICABILIDAD AMPLIADA OTORGADA</t>
  </si>
  <si>
    <t>A.- De edificabilidad</t>
  </si>
  <si>
    <t>B.- De reduccion del costo de licencia de construccion</t>
  </si>
  <si>
    <t>C.- De reduccion del porcentaje de permeabilidad</t>
  </si>
  <si>
    <t>D.- De reduccion del area de aporte urbanistico en urbanizacion para vivienda</t>
  </si>
  <si>
    <t>E.- De reduccion del porcentaje del area verde en urbanizacion para vivienda</t>
  </si>
  <si>
    <t>S O L I C I T U D    D E    I N C E N T I V O S</t>
  </si>
  <si>
    <t>Es aquel incentivo que otorga una edificabilidad por encima del índice de edificabilidad base y hasta un máximo del índice de edificabilidad ampliado según los parámetros normativos del reglamento del Plan de Ordenamiento Territorial del Municipio de Quetzaltenango acorde a la clasificación de suelo que corresponda. El otorgamiento de incentivo de edificabilidad únicamente aplicará a proyectos que estén solicitando una licencia de obra de construcción.</t>
  </si>
  <si>
    <t>Es aquel incentivo que reduce el costo de la licencia de construcción que se está solicitando para el proyecto en cuestión. El otorgamiento de incentivo de reducción de costo de licencia de construcción se podrán aplicar en proyectos de obra de construcción únicamente.</t>
  </si>
  <si>
    <t>Es aquel incentivo que reduce el porcentaje de permeabilidad acorde al sector que corresponda y únicamente para el proyecto en cuestión. El otorgamiento de incentivo de reducción porcentaje de permeabilidad no aplica para solicitudes de licencias de obra de urbanización.</t>
  </si>
  <si>
    <t>Es aquel incentivo que reduce el área de aporte urbanístico calculada para el proyecto de urbanización en cuestión. El otorgamiento de incentivo para la reducción de área de aporte urbanístico se podrán aplicar únicamente en proyectos de obra de urbanización para vivienda.</t>
  </si>
  <si>
    <t>Es aquel incentivo que reduce hasta el cincuenta por ciento (50%) el porcentaje de área verde calculada para el proyecto en cuestión. El otorgamiento de incentivo para la reducción del porcentaje de área verde se podrá aplicar únicamente en proyectos de obra de urbanización para vivienda.</t>
  </si>
  <si>
    <t>En aquellos casos que, por razones de limitaciones de alturas contenidas en la ley o en otras reglamentaciones municipales, o impuestas administrativamente como efecto de la aplicación de las mismas, tengan como resultado práctico la limitación de la edificabilidad, únicamente podrán otorgarse incentivos de edificabilidad hasta ese punto, independientemente que se tenga derecho a más edificabilidad ampliada. La porción no otorgable podrá ser concedida en concepto de incentivo de reducción de costo de licencia de construcción.</t>
  </si>
  <si>
    <r>
      <t>El interesado</t>
    </r>
    <r>
      <rPr>
        <u/>
        <sz val="12"/>
        <color theme="1"/>
        <rFont val="Proxima Nova Alt Condensed Ligh"/>
      </rPr>
      <t xml:space="preserve"> podrá elegir únicamente entre el incentivo de edificabilidad o el incentivo de reducción del costo de licencia de construcción</t>
    </r>
    <r>
      <rPr>
        <sz val="12"/>
        <color theme="1"/>
        <rFont val="Proxima Nova Alt Condensed Ligh"/>
      </rPr>
      <t>, el incentivo de reducción del porcentaje de permeabilidad podrá aplicarse en combinación con cualquiera de los otros dos tipos de incentivos.</t>
    </r>
  </si>
  <si>
    <r>
      <t xml:space="preserve">El interesado deberá solicitar al Departamento de Control de Obras el otorgamiento de incentivos conjuntamente con su solicitud de licencia de construcción, indicando las prácticas incentivables que pretende implementar y el o los tipos de incentivos a los que quiere acceder. </t>
    </r>
    <r>
      <rPr>
        <b/>
        <sz val="12"/>
        <color theme="1"/>
        <rFont val="Proxima Nova Alt Condensed Ligh"/>
      </rPr>
      <t>Los planos y la documentación adjuntada por el interesado deberá reflejar las prácticas incentivables que se pretenden implementar</t>
    </r>
    <r>
      <rPr>
        <sz val="12"/>
        <color theme="1"/>
        <rFont val="Proxima Nova Alt Condensed Ligh"/>
      </rPr>
      <t>.</t>
    </r>
  </si>
  <si>
    <t>IMPLEMENTA</t>
  </si>
  <si>
    <t>Superficie del proyecto (predio o predios)</t>
  </si>
  <si>
    <r>
      <t xml:space="preserve">El Departamento de Control de Obras </t>
    </r>
    <r>
      <rPr>
        <u/>
        <sz val="12"/>
        <color theme="1"/>
        <rFont val="Proxima Nova Alt Condensed Ligh"/>
      </rPr>
      <t>verificará el cumplimiento de las prácticas incentivables propuestas en la documentación presentada y calculará los puntos equivalentes totales a los que el interesado tiene derecho</t>
    </r>
    <r>
      <rPr>
        <sz val="12"/>
        <color theme="1"/>
        <rFont val="Proxima Nova Alt Condensed Ligh"/>
      </rPr>
      <t xml:space="preserve">. En caso se hayan solicitado incentivos de edificabilidad, el Departamento de Control de Obras determinará, además, si los puntos equivalentes totales cubren la edificabilidad ampliada contenida en el proyecto y si la altura del proyecto es aprobable. </t>
    </r>
  </si>
  <si>
    <t>PRACTICAS INCENTIVABLES:</t>
  </si>
  <si>
    <r>
      <t xml:space="preserve">Si la práctica incentivable solicitada por el interesado conlleva su inscripción en el Segundo Registro de la Propiedad, esta </t>
    </r>
    <r>
      <rPr>
        <u/>
        <sz val="12"/>
        <color theme="1"/>
        <rFont val="Proxima Nova Alt Condensed Ligh"/>
      </rPr>
      <t xml:space="preserve">deberá acreditarse </t>
    </r>
    <r>
      <rPr>
        <sz val="12"/>
        <color theme="1"/>
        <rFont val="Proxima Nova Alt Condensed Ligh"/>
      </rPr>
      <t>previo a continuar con el trámite, salvo lo dispuesto en el Reglamento de Incentivos.</t>
    </r>
  </si>
  <si>
    <t>Aporte Urbanistico requerido (habilitación de suelo para uso público)</t>
  </si>
  <si>
    <t>Permeabilidad requerida (habilitación de área verde)</t>
  </si>
  <si>
    <t>En caso de incentivos de edificabilidad donde el proyecto no sea aprobable por la edificabilidad porque no se realiza ninguna práctica incentivable, porque las que se realizan no son suficientes, porque no se cumple con una o más de las prácticas incentivables indicadas en la solicitud del interesado, o por razones de limitaciones de alturas y edificabilidad contenidas en otras normas jurídicas aplicables, el mismo tendrá la opción de replantear su proyecto para cumplirlas, de reducir la edificabilidad o la altura del proyecto, o de incluir nuevas prácticas incentivables en el mismo. Un proyecto replanteado deberá ser presentado al Departamento de Control de Obras para su nuevo análisis, en un tiempo no mayor a seis meses despues de ser notificado, de lo contrario el expediente sera archivado de oficio, previa inspección.</t>
  </si>
  <si>
    <t xml:space="preserve">El Departamento de Control de Obras verificará el cumplimiento de las prácticas incentivables propuestas en la documentación presentada y calculará los puntos equivalentes totales a los que el interesado tiene derecho. En caso se hayan solicitado incentivos de edificabilidad, el Departamento de Control de Obras determinará, además, si los puntos equivalentes totales cubren la edificabilidad ampliada contenida en el proyecto y si la altura del proyecto es aprobable. 																																	</t>
  </si>
  <si>
    <t>PORCENTAJE DE REDUCCIÓN DEL COSTO DE LICENCIA DE OBRA</t>
  </si>
  <si>
    <t>REDUCE EL PORCENTAJE DE PERMEABILIDAD A 10%</t>
  </si>
  <si>
    <t>3 Practica incentivable U-3 Por construir banquetas de alta calidad mayores a 1.75 m con 0.75 m De area verde</t>
  </si>
  <si>
    <t>4 Practica incentivable U-4 Por construir vias mayores a 13.50 m con banquetas mayores a 3.00 m</t>
  </si>
  <si>
    <t>30 PQ  40% del area total de calles ancho igual o mayor a 13.50 m entre paramentos con banquetas de 3.00 m 50% sea de area verde</t>
  </si>
  <si>
    <t>10 PQ  1 plaza de parqueo por cada 800.00 m2 o menos de la superficie total del proyecto</t>
  </si>
  <si>
    <t>Mercado_de_mayoreo</t>
  </si>
  <si>
    <t>Bodegas_mayores_de_2000_m2</t>
  </si>
  <si>
    <t>Terminales_de_productos</t>
  </si>
  <si>
    <t>Centros_de_acopio_materiales_para_reciclaje</t>
  </si>
  <si>
    <t>Otros_de_similar_naturaleza</t>
  </si>
  <si>
    <t>Este_concepto_incluye_todos_aquellos_sitios_donde_ordinariamente_se_dan_actividades_de_entrada_espera_estacionamiento_entrada_y_salida_de_vehiculos_pesados_de_carga_con_fines_variados_incluyendo_deposito_almacenamiento_acopio_abordaje_aligeramiento_carga_trasiego_cabotaje_logistica_descarga_reexpedicion_embalaje_suministro_dotacion_abastecimiento.</t>
  </si>
  <si>
    <t>Radiodifusoras</t>
  </si>
  <si>
    <t>Empresas_televisoras</t>
  </si>
  <si>
    <t>Empresas_de_cable</t>
  </si>
  <si>
    <t>Empresas_de_internet</t>
  </si>
  <si>
    <t>Empresas_periodisticas</t>
  </si>
  <si>
    <t>Este_concepto_incluye_toda_aquella_utilizacion_ordinaria_de_parte_o_de_la_totalidad_de_un_inmueble_para_prestar_servicios_de_publicidad_promocion_proselitismo_propaganda_transmision_informacion_indicacion_o_divulgacion_de_o_sobre_productos_bienes_o_servicios_distintos_a_los_prestados_en_el_inmueble.</t>
  </si>
  <si>
    <t>Universidades</t>
  </si>
  <si>
    <t>Centros_de_capacitacion</t>
  </si>
  <si>
    <t>Seminarios</t>
  </si>
  <si>
    <t>Establecimientos_Educativos_de_todos_los_niveles</t>
  </si>
  <si>
    <t>institutos_tecnicos_o_cientificos</t>
  </si>
  <si>
    <t>Este_concepto_incluye_todos_aquellos_sitios_dedicados_usual_y_regularmente_a_la_enseñanza_generalmente_en_espacios_donde_los_estudiantes_se_encuentran_sentados_en_salones_de_clases_o_de_entrenamiento_vocacional._Esta_categoria_incluye_los_espacios_dedicados_a_aulas_laboratorios_talleres_salones_de_musica_bibliotecas_salones_de_seminarios_y_auditorios_siempre_que_los_usuarios_regulares_sean_los_estudiantes_mismos_y_no_el_publico_en_general._Se_excluyen_de_este_concepto_las_areas_administrativas_y_de_practica_de_deportes_que_deberan_ser_clasificadas_en_uso_del_suelo_correspondiente.</t>
  </si>
  <si>
    <t>Empresas_afines</t>
  </si>
  <si>
    <t>Este_concepto_incluye_todos_aquellos_sitios_donde_ordinariamente_se_dan_actividades_de_manejo_almacenamiento_procesamiento_o_ubicacion_final_de_residuos_o_porciones_de_cuerpos_humanos_o_animales_y_todos_aquellos_objetos_que_estuvieron_en_algun_momento_en_contacto_con_ellos_como_jeringas_gasas_material_de_laboratorio_entre_otros_de_similar_naturaleza.</t>
  </si>
  <si>
    <t>Ventas_de_Cemento_Ventas_de_Cal</t>
  </si>
  <si>
    <t>ventas_de_materiales_de_construccion</t>
  </si>
  <si>
    <t>Ferreterias_grandes</t>
  </si>
  <si>
    <t>aserraderos</t>
  </si>
  <si>
    <t>Fabricas_de_materiales_de_construccion</t>
  </si>
  <si>
    <t>Este_concepto_incluye_todos_aquellos_sitios_donde_ordinariamente_se_dan_actividades_de_manejo_almacenamiento_procesamiento_deposito_o_ubicacion_de_materiales_en_grandes_cantidades_como_actividad_economica_predominante_en_el_predio_como_por_ejemplo_depositos_de_materiales_de_construccion_fabricas_de_blocks_aserraderos_etcetera._Esta_clasificacion_es_independiente_del_origen_de_los_materiales_y_del_estado_de_los_materiales._Se_excluyen_de_este_concepto_los_desechos_solidos_que_seran_clasificados_como_‘servicios_de_manejo_almacenaje_procesamiento_o_disposicion_de_desechos_solidos’.</t>
  </si>
  <si>
    <t>Gasolineras</t>
  </si>
  <si>
    <t>Ventas_o_expedio_de_gases</t>
  </si>
  <si>
    <t>Distrubuidoras_de_sustancias</t>
  </si>
  <si>
    <t>De_similar_naturaleza_a_lo_descrito_en_el_uso</t>
  </si>
  <si>
    <t>Este_concepto_incluye_todos_aquellos_sitios_donde_ordinariamente_se_dan_actividades_de_procesamiento_manejo_almacenamiento_deposito_trasiego_comercio_expendio_o_ubicacion_final_de_sustancias_peligrosas_en_concentraciones_que_impliquen_riesgo_para_los_ocupantes_de_cualquier_inmueble_vecino_incluyendo_las_siguientes_sustancias:_explosivas_inflamables_corrosivas_toxicas_comburentes_nocivas_irritantes_o_radioactivas.</t>
  </si>
  <si>
    <t>Empresas_de_Transporte_terrestre</t>
  </si>
  <si>
    <t>Aeropuertos_Aerodromos</t>
  </si>
  <si>
    <t>Centrales_de_transferencia_de_buses</t>
  </si>
  <si>
    <t>Empresas_de_encomiendas</t>
  </si>
  <si>
    <t>Este_concepto_incluye_todos_aquellos_sitios_donde_ordinariamente_se_dan_actividades_peatonales_de_llegada_concentracion_espera_transferencia_y_partida_como_por_ejemplo_aeropuertos_estaciones_de_ferrocarril_centrales_de_transferencia_de_buses_urbanos_y_extraurbanos_e_intercambiadores_intermodales_dentro_de_un_predio._Este_concepto_incluye_ademas_las_actividades_de_envio_y_recepcion_de_mercaderia_objetos_paquetes_y_encomiendas_a_traves_de_unidades_de_transporte_de_pasajeros.</t>
  </si>
  <si>
    <t>Plantas_de_tratamiento_de_residuos_organicos_aboneras</t>
  </si>
  <si>
    <t>Plantas_de_separacion</t>
  </si>
  <si>
    <t>Plantas_de_tratamiento_de_desechos_hospitalarios</t>
  </si>
  <si>
    <t>Plantas_de_tratamiento_de_residuos_solidos</t>
  </si>
  <si>
    <t>Este_concepto_incluye_todos_aquellos_sitios_donde_ordinariamente_se_dan_actividades_de_manejo_almacenamiento_procesamiento_o_ubicacion_final_de_desechos_solidos__independientemente_de_la_tecnologia_que_se_utilice_para_el_efecto_y_la_escala_de_la_operacion._</t>
  </si>
  <si>
    <t>pozos_de_agua_y_obras_accesorias</t>
  </si>
  <si>
    <t>Plantas_de_tratamiento_de_aguas_residuales</t>
  </si>
  <si>
    <t>hidroelectricas</t>
  </si>
  <si>
    <t>Subestaciones_electricas</t>
  </si>
  <si>
    <t>Tanques_de_agua</t>
  </si>
  <si>
    <t>Este_concepto_incluye_todos_aquellos_sitios_donde_ordinariamente_se_dan_actividades__de__explotacion__extraccion__produccion__procesamiento_tratamiento_almacenamiento_deposito_o_distribucion_de_productos_o_servicios____publicos____a____gran____escala____como____agua____electricidad_telecomunicaciones_y_alcantarillado.</t>
  </si>
  <si>
    <t>Depositos_de_expedio_de_licor</t>
  </si>
  <si>
    <t>Bar__Discoteca_Discotecas</t>
  </si>
  <si>
    <t>Cafe_Bar</t>
  </si>
  <si>
    <t>Restaurantes_donde_se_venda_licor_licoreria</t>
  </si>
  <si>
    <t>Cantinas_Cevicherias_Tiendas_de_coveniencia_en_gasolineras_Boutique_de_licor</t>
  </si>
  <si>
    <t>Este_concepto_incluye_a_todo_uso_del_suelo_donde_ordinariamente_se_consumen_bebidas_alcoholicas_yo_cervezas_independientemente_si_se_expenden_en_el_mismo._Tambien_incluye_aquellos_usos_de_suelo_donde_unicamente_se_venden_o_expenden_bebidas_alcoholicas_pero_donde_los_compradores_ordinariamente_consumen_las_mismas_en_las_inmediaciones_del_establecimiento.</t>
  </si>
  <si>
    <t>Templos_Religiosos_Iglesias_Casas_de_oracion_Afines</t>
  </si>
  <si>
    <t>Instalaciones_religiosas</t>
  </si>
  <si>
    <t>Lugares_de_ensayo_de_musica_religiosos</t>
  </si>
  <si>
    <t>Este_concepto_incluye_todos_aquellos_sitios_donde_ordinariamente_se_dan_actividades_de_celebracion_de_ceremonias_alabanzas_o_servicios_religiosos_independientemente_de_la_religion_confesion_credo_o_secta_que_se_trate.</t>
  </si>
  <si>
    <t>Refaccionarias_Aceiteras_yo_centros_de_cambio_de_aceite_Centros_de_Reparacion_de_Frenos_Servicentros_de_Llantas__Talleres_Mecanicos_Talleres_de_Enderezado_y_Pintura_Talleres_de_reparacion_y_reencauche_de_llantas_Talleres_de_reparacion_de_Radiadores_tiendas_de_servicio.</t>
  </si>
  <si>
    <t>CAR_WASH_Lavados_de_vehiculos</t>
  </si>
  <si>
    <t>Talleres_de_reparacion_de_todo_tipo</t>
  </si>
  <si>
    <t>Talleres_de_tornos</t>
  </si>
  <si>
    <t>Este_concepto_incluye_todos_aquellos_sitios_donde_ordinariamente_se_dan_actividades_de_reparacion_mantenimiento_o_limpieza_de_objetos_de_un_tamaño_tal_que_regularmente_no_pueden_ser_cargados_por_una_persona_normal_como_maquinaria_pesada_vehiculos_automotores_electrodomesticos_fijos_etcetera.</t>
  </si>
  <si>
    <t>Rastro</t>
  </si>
  <si>
    <t>Molinos_industriales</t>
  </si>
  <si>
    <t>Tenerias__Maquiladoras_Industrias_Textiles__Ensambladoras_Fabrica_de_Carrocerias__</t>
  </si>
  <si>
    <t>Mediana_Industria</t>
  </si>
  <si>
    <t>fabricas_de_todo_tipo_fabricas_de_tortillas_cervecerias_y_similares_envasadoras_y_embotelladoras</t>
  </si>
  <si>
    <t>fabrica_de_camas_y_similares_fabricas_de_muebles.</t>
  </si>
  <si>
    <t>Este_concepto_incluye_a_todas_aquellas_actividades_donde_ordinariamente_se_producen_manufacturan_transforman_o_ensamblan_productos_en_las_cuales_predomina_la_utilizacion_de_maquinas_instrumentos_herramientas_o_utensilios_por_sobre_el_trabajo_manual_independientemente_si_hay_operadores_de_las_mismas_o_no.</t>
  </si>
  <si>
    <t>Restaurantes_y_ventas_de_alimentos_con_autoservicio</t>
  </si>
  <si>
    <t>Agencias_financieras_con_autoservicio</t>
  </si>
  <si>
    <t>Farmacia_con_autoservicio</t>
  </si>
  <si>
    <t>Abarroterias_con_autoservicio</t>
  </si>
  <si>
    <t>Este_concepto_incluye_todos_aquellos_sitios_donde_ordinariamente_se_disponen_los_servicios_al_alcance_del_usuario_quien_se_moviliza_por_medio_de_un_vehiculo_a_traves_de_una_ventanilla_altoparlante_capsulas_de_envio_de_documentos_o_medios_analogos._Se_incluyen_en_este_concepto_autobancos_restaurantes_lavanderias_farmacias_y_otros_de_similar_naturaleza_con_ventanilla_de_autoservicio.</t>
  </si>
  <si>
    <t>Motel_1_estrella</t>
  </si>
  <si>
    <t>Motel_2_estrellas</t>
  </si>
  <si>
    <t>Motel_3_estrellas</t>
  </si>
  <si>
    <t>Autohoteles</t>
  </si>
  <si>
    <t>Este_concepto_incluye_todos_aquellos_sitios_donde_ordinariamente_se_dan_actividades_de_morada_transitoria_de_pobladores_y_donde_es_posible_la_utilizacion_subsiguiente_de_la_misma_habitacion_por_huespedes_distintos_a_lo_largo_de_un_mismo_dia_o_de_acuerdo_con_el_Reglamento_para_Establecimientos_de_Hospedaje_Acuerdo_Gubernativo_No._1144_83_prevean_como_tarifa_la_fraccion_de_tiempo._Adicionalmente_se_incluyen_en_este_concepto_todos_aquellos_establecimientos_de_alojamiento_cuyas_habitaciones_se_destinen_habitual_y_ordinariamente_para_llevar_a_cabo_relaciones_sexuales_moteles.</t>
  </si>
  <si>
    <t>Funerarias_Cementerios</t>
  </si>
  <si>
    <t>Este_concepto_incluye_todos_aquellos_sitios_donde_ordinariamente_se_dan_actividades_relacionadas_con_el_manejo_analisis_almacenamiento_preservacion_conservacion_sepelio_velacion_vigilia_enterramiento_inhumacion_cremacion_o_ubicacion_final_de_restos_humanos_incluyendo_los_servicios_prestados_a_los_deudos.</t>
  </si>
  <si>
    <t>Casino</t>
  </si>
  <si>
    <t>Video_loterias_loterias_Bingos</t>
  </si>
  <si>
    <t>Centros_de_juegos_de_azar_centros_de_apuestas</t>
  </si>
  <si>
    <t>Este_concepto_incluye_todos_aquellos_sitios_donde_ordinariamente_se_dan_actividades_de_diversion_entretenimiento_o_distraccion_a_traves_de_algun_juego_pasivo_o_la_utilizacion_de_maquinas_u_otros_mecanismos_de_azar_siempre_y_cuando_existan_apuestas_o_aportes_economicos_de_algun_tipo_de_por_medio_con_el_objeto_de_ganar_o_gastar_dinero_ya_sea_que_haya_consentimiento_o_no_por_las_partes_involucradas_en_la_actividad_y_no_importando_que_existan_cobros_horarios_o_controles_para_el_ingreso_al_inmueble_o_que_existan_autorizaciones_por_otras_dependencias_del_Estado_para_el_efecto.</t>
  </si>
  <si>
    <t>Centros_Nocturnos_tipo_Barra_Show</t>
  </si>
  <si>
    <t>Bar_Prostibulos</t>
  </si>
  <si>
    <t>Centros_o_clubes_nocturnos_centros_de_entretenimiento_especial.</t>
  </si>
  <si>
    <t>cualquier_otra_actividad_enfocada_al_entretenimiento_adulto.</t>
  </si>
  <si>
    <t>Este_concepto_incluye_todos_aquellos_sitios_donde_ordinariamente_se_dan_actividades_de_comercio_de_productos_o_de_prestacion_de_servicios_relacionados_directa_o_indirectamente_con_el_sexo_el_erotismo_o_la_sensualidad_heterosexual_transexual_bisexual_u_homosexual_exista_o_no_contacto_fisico_carnal_o_sexual_sea_considerado_prostitucion_o_no_haya_o_no_un_pago_por_el_producto_o_el_servicio_adquirido_ya_sea_que_haya_consentimiento_o_no_por_las_partes_involucradas_en_la_actividad_sea_el_lugar_un_Establecimiento_Abierto_al_Publico_o_no_y_no_importando_que_existan_cobros_horarios_o_controles_para_el_ingreso_al_inmueble_y_que_existan_autorizaciones_por_otras_dependencias_del_Estado_para_el_efecto.</t>
  </si>
  <si>
    <t>Hospitales</t>
  </si>
  <si>
    <t>Sanatorios</t>
  </si>
  <si>
    <t>Centros_de_Recuperacion_y_Afines</t>
  </si>
  <si>
    <t>Centros_Psiquiatricos</t>
  </si>
  <si>
    <t>Orfanatos</t>
  </si>
  <si>
    <t>Casas_Cuna</t>
  </si>
  <si>
    <t>Centro_de_Integracion_Juvenil</t>
  </si>
  <si>
    <t>Hogar_de_Ancianos</t>
  </si>
  <si>
    <t>Hogar_de_Indigentes_o_albergues.</t>
  </si>
  <si>
    <t>Albergues_de_animales</t>
  </si>
  <si>
    <t>Superficies_dedicadas_usual_y_regularmente_a_la_morada_transitoria_o_institucional_de_pobladores_donde_se_incluyen_necesariamente_las_areas_para_dormir_sin_la_necesidad_que_estas_cuenten_con_areas_de_aseo_de_cocina_de_consumo_de_alimentos_y_de_estar._Esta_categoria_incluye_las_habitaciones_albergues_residencias_de_ancianos_estancias_institucionales_de_cualquier_clasificacion_sanatorios_y_hospitales._Se_excluyen_de_este_concepto_todas_las_areas_complementarias_a_las_habitaciones_como_restaurantes_bares_salones_de_clases_clinicas_salones_de_convenciones_y_areas_administrativas_independientemente_que_estas_sean_accesibles_unicamente_por_los_moradores_o_abiertas_al_publico_general_las_cuales_deberan_ser_clasificadas_en_el_uso_del_suelo_correspondiente.</t>
  </si>
  <si>
    <t>Torres_de_telecomunicacion</t>
  </si>
  <si>
    <t>Monopolos</t>
  </si>
  <si>
    <t>Antenas_de_transmision_yo_de_microondas</t>
  </si>
  <si>
    <t>Superficies_dedicadas_para_la_instalacion_de_infraestructura_cuyo_fin_sea_la_transmision_de_datos_o_informacion_dentro_del_mismo_se_incluyen_torres_de_telecomunicacion_radio_television_y_datos_monopolos_antenas_de_transmision_yo_de_microondas.</t>
  </si>
  <si>
    <t>Almacenamiento_logistica_embalaje_u_otras_actividades_directamente_relacionadas_con_el_transporte_pesado</t>
  </si>
  <si>
    <t>Servicios_de_publicidad_o_promocion</t>
  </si>
  <si>
    <t>Actividades_dedicadas_a_enseñanza_que_generan_grado_academico</t>
  </si>
  <si>
    <t>Manejo_de_residuos_biologicos_medicos_u_hospitalarios</t>
  </si>
  <si>
    <t>Actividades_de_procesamiento_o_deposito_de_materiales</t>
  </si>
  <si>
    <t>Almacenamiento_o_expendio_de_sustancias_toxicas_combustibles_o_peligrosas</t>
  </si>
  <si>
    <t>Actividades_relacionadas_con_el_movimiento_masivo_de_pasajeros</t>
  </si>
  <si>
    <t>Servicios_de_manejo_almacenaje_procesamiento_o_disposicion_de_desechos_solidos</t>
  </si>
  <si>
    <t>Actividades_de_produccion_y_distribucion_de_productos_o_servicios_publicos</t>
  </si>
  <si>
    <t>Consumo_de_bebidas_alcoholicas</t>
  </si>
  <si>
    <t>Celebracion_de_servicios_religiosos_y_realizacion_de_actividades_conexas</t>
  </si>
  <si>
    <t>Servicios_de_reparacion_mantenimiento_o_limpieza_de_vehiculos_y_otros_objetos_mayores</t>
  </si>
  <si>
    <t>Actividades_de_manufactura_o_industria_mecanizada_o_automatizada</t>
  </si>
  <si>
    <t>Actividades_con_autoservicio</t>
  </si>
  <si>
    <t>Servicios_de_alojamiento_por_fraccion_de_tiempo</t>
  </si>
  <si>
    <t>Actividades_de_velacion_embalsamamiento_enterramiento_inhumacion_o_cremacion</t>
  </si>
  <si>
    <t>Realizacion_de_juegos_pasivos_o_de_apuestas_debidamente_autorizados</t>
  </si>
  <si>
    <t>Actividades_relacionadas_al_comercio_o_el_servicio_sexual</t>
  </si>
  <si>
    <t>Actividades_relacionadas_al_encamamiento_y_Residencias_Institucionales</t>
  </si>
  <si>
    <t>TICS_infraestructuras_cuyo_fin_sea_la_transmision_de_datos_o_informacion</t>
  </si>
  <si>
    <t>Viveros</t>
  </si>
  <si>
    <t>Comedores</t>
  </si>
  <si>
    <t>Boliche</t>
  </si>
  <si>
    <t>Gimnasios</t>
  </si>
  <si>
    <t>Gotcha</t>
  </si>
  <si>
    <t>Museos</t>
  </si>
  <si>
    <t>Acuarios</t>
  </si>
  <si>
    <t>Bibliotecas</t>
  </si>
  <si>
    <t>Centros_de_impresiones</t>
  </si>
  <si>
    <t>Salones_de_Belleza</t>
  </si>
  <si>
    <t>Superficies_dedicadas_al_consumo_de_comidas_y_bebidas</t>
  </si>
  <si>
    <t>Restaurantes_sin_licor_y_sin_autoservicio</t>
  </si>
  <si>
    <t>Superficies_dedicadas_a_labores_de_oficina</t>
  </si>
  <si>
    <t>Oficinas_y_cualquier_actividad_administrativa</t>
  </si>
  <si>
    <t>Agencias_de_publicidad</t>
  </si>
  <si>
    <t>Escuelas_de_Automovilismo</t>
  </si>
  <si>
    <t>Escuelas_de_arte</t>
  </si>
  <si>
    <t>Escuelas_especializadas</t>
  </si>
  <si>
    <t>Superficies_dedicadas_a_campos_o_canchas_deportivas</t>
  </si>
  <si>
    <t>Canchas_polideportivas</t>
  </si>
  <si>
    <t>Pistas_de_atletismo</t>
  </si>
  <si>
    <t>Piscinas_de_todo_tipo</t>
  </si>
  <si>
    <t>Centros_deportivos</t>
  </si>
  <si>
    <t>Pistas_de_Patinaje</t>
  </si>
  <si>
    <t>Bodegas_menores_2000_m2</t>
  </si>
  <si>
    <t>Industria_menor</t>
  </si>
  <si>
    <t>Superficies_dedicadas_al_alojamiento</t>
  </si>
  <si>
    <t>Hotel_estrella</t>
  </si>
  <si>
    <t>Hotel_estrellas</t>
  </si>
  <si>
    <t>Hotel_3_estrellas</t>
  </si>
  <si>
    <t>Hotel_4_estrellas</t>
  </si>
  <si>
    <t>Hotel_5_estrellas</t>
  </si>
  <si>
    <t>Pensiones_A</t>
  </si>
  <si>
    <t>Pensiones_B</t>
  </si>
  <si>
    <t>Pensiones_C</t>
  </si>
  <si>
    <t>Hospedajes_A</t>
  </si>
  <si>
    <t>Hospedajes_B</t>
  </si>
  <si>
    <t>Residencias_estudiantiles</t>
  </si>
  <si>
    <t>Salones_de_Billar</t>
  </si>
  <si>
    <t>Escuela_de_Artes_Marciales</t>
  </si>
  <si>
    <t>Parques_de_deportes_extremos</t>
  </si>
  <si>
    <t>Campos_de_tiro_</t>
  </si>
  <si>
    <t>Superficies_dedicadas_a_actividades_de_ocio_estanciales</t>
  </si>
  <si>
    <t>Centros_Culturales</t>
  </si>
  <si>
    <t>Salas_de_Masaje_o_de_Aseo_Personal</t>
  </si>
  <si>
    <t>Sitios_de_Parqueos_Privados</t>
  </si>
  <si>
    <t>Agencias_o_ventas_de_motocicletas</t>
  </si>
  <si>
    <t>Casas_de_Huespedes</t>
  </si>
  <si>
    <t>Articulos_artesanales</t>
  </si>
  <si>
    <t>Verdulerias</t>
  </si>
  <si>
    <t>Laboratorios_clinicos</t>
  </si>
  <si>
    <t>Agencias_de_Aerolineas</t>
  </si>
  <si>
    <t>Cafeterias</t>
  </si>
  <si>
    <t>Agencias_de_telefonia</t>
  </si>
  <si>
    <t>Guarderias</t>
  </si>
  <si>
    <t>Jardin_de_fiestas_infantiles</t>
  </si>
  <si>
    <t>Superficies_dedicadas_a_Estacionamiento_de_vehiculos_livianos_como_uso_del_suelo_principal</t>
  </si>
  <si>
    <t>Superficies_dedicadas_a_la_venta_de_productos_o_a_la_prestacion_de_servicios</t>
  </si>
  <si>
    <t>Superficies_dedicadas_a_areas_de_eventos_y_reunion_de_personas</t>
  </si>
  <si>
    <t>Salas_de_Proyeccion_Cinematografica</t>
  </si>
  <si>
    <t>Autodromos</t>
  </si>
  <si>
    <t>Velodromo</t>
  </si>
  <si>
    <t>Hipodromos</t>
  </si>
  <si>
    <t>Depositos_de_huevos</t>
  </si>
  <si>
    <t>Depositos_de_granos</t>
  </si>
  <si>
    <t>Superficies_dedicadas_a_actividades_de_recreacion_individuales_o_grupales</t>
  </si>
  <si>
    <t>Galerias_y_salas_exposicion</t>
  </si>
  <si>
    <t>Salas_de_Juegos_Electronicos</t>
  </si>
  <si>
    <t>Escuelas_de_Musica___estudios_de_musica</t>
  </si>
  <si>
    <t>Teatros_Auditorios</t>
  </si>
  <si>
    <t>Salon_de_eventos___centro_de_convenciones__salones_para_banquetes</t>
  </si>
  <si>
    <t>Carnicerias_Ventas_de_embutidos</t>
  </si>
  <si>
    <t>Agencias_de_Viajes_Agencias_de_Turismo</t>
  </si>
  <si>
    <t>Clubs_Country-Clubs_Club_campestre__Club_social</t>
  </si>
  <si>
    <t>Superficies_dedicadas_a_la_produccion_reparacion_o_almacenamiento_de_productos</t>
  </si>
  <si>
    <t>Depositos_de_Azucar_Depositos_de_Articulos_Varios</t>
  </si>
  <si>
    <t>Hospedajes_religiosos_casas_de_Retiros_Espirituales</t>
  </si>
  <si>
    <t>Escuela_de_danza_salas_de_baile</t>
  </si>
  <si>
    <t>Spa_Saunas</t>
  </si>
  <si>
    <t>Ferreterias_Ventas_de_Pinturas_y_Solventes_pequenas</t>
  </si>
  <si>
    <t>Superficies_dedicadas_a_ensenanza_que_no_generan_grado_academico</t>
  </si>
  <si>
    <t>Escuelas_de_Idiomas_Escuela_de_Idioma_Espanol</t>
  </si>
  <si>
    <t>Superficies_dedicadas_usual_y_regularmente_al_comercio_de_bienes_y_a_la_prestacion_de_servicios_en_lugares_a_los_que_el_publico_en_general_tiene_acceso_independientemente_que_existan_cobros_horarios_o_controles_para_el_ingreso_al_inmueble_En_esta_categoria_se_incluyen_todas_las_areas_de_los_comercios_donde_se_atiende_al_publico_usualmente_de_pie_como_almacenes_comerciales_tiendas_abarroterias_mercados_y_supermercados;_y_todas_las_areas_donde_se_prestan_servicios_al_publico_directamente_en_el_lugar_como_las_peluquerias_salones_de_belleza_clinicas_medicas_opticas_areas_de_servicio_al_cliente_mostradores_de_atencion_al_publico_y_agencias_de_viajes_Son_parte_integrante_de_estas_superficies_todas_las_areas_de_espera_de_reunion_u_otras_donde_se_atiende_al_publico_sentado_si_estan_directamente_asociadas_a_la_actividad_de_venta_de_productos_o_de_la_prestacion_de_servicios_Se_excluye_de_esta_categoria_a_todos_los_servicios_asociados_a_labores_de_oficina_o_a_actividades_corporativas_donde_el_publico_usualmente_no_tiene_acceso_y_todas_las_otras_superficies_que_pudieran_ser_clasificadas_dentro_de_otros_usos_del_suelo</t>
  </si>
  <si>
    <t>Bancos_sin_autoservicio_Agencias_Financieras_Agencias_Bancarias_Oficinas_de_Prestamos_y_Empeno_Oficinas_de_Cambio_de_Moneda_Agencias_Aseguradoras</t>
  </si>
  <si>
    <t>Clinicas_Veterinarias_y_Hospitales_Veterinarios_Clinicas_Oftalmologicas_Clinicas_DentalesClinicas_Medicas</t>
  </si>
  <si>
    <t>Librerias_fotocopiadoras_imprentas</t>
  </si>
  <si>
    <t>Tiendas_de_Barrio_Tortillerias_artesanales</t>
  </si>
  <si>
    <t>Ventas_de_pinturas_Ventas_de_pintura_automotriz</t>
  </si>
  <si>
    <t>Superficies_dedicadas_usual_y_regularmente_al_consumo_inmediato_de_comidas_y_bebidas_al_publico_y_que_es_expendida_por_el_mismo_establecimiento_En_esta_categoria_se_incluyen_las_areas_de_mesas_y_barras_de_comedores_restaurantes_cafeterias_pastelerias_etcetera_Son_parte_integrante_de_estas_superficies_todas_las_areas_de_circulacion_entre_las_mesas_mismas_Se_excluyen_aquellas_areas_de_consumo_de_comidas_y_bebidas_que_no_esten_abiertas_al_publico_de_esta_categoria_estan_excluidos_los_establecimientos_que_vendan_licor</t>
  </si>
  <si>
    <t>Restaurantes_de_comida_rapida</t>
  </si>
  <si>
    <t>Pastelerias_Heladerias_Taquerias_Antojitos_Tipicos_Pupuserias_franquicia_de_comida_nacionales_e_internacionales_Chocolaterias</t>
  </si>
  <si>
    <t>Superficies_dedicadas_usual_y_regularmente_a_actividades_corporativas_administrativas_directivas_y_de_reunion_comunmente_asociadas_a_actividades_de_oficina_y_para_personal_que_usualmente_se_encuentra_sentado_Esta_categoria_incluye_el_area_de_escritorios_de_cubiculos_de_salas_de_junta_de_areas_secretariales_y_de_oficinas_cerradas_Son_parte_integrante_de_estas_superficies_todas_las_areas_de_espera_de_reunion_u_otras_donde_convergen_empleados_si_estan_directamente_asociadas_a_la_actividad_de_oficina_Se_incluyen_en_esta_categoria_las_oficinas_dedicadas_a_servicios_corporativos_o_profesionales_donde_la_atencion_al_publico_sucede_pero_es_secundaria_como_servicios_juridicos_financieros_contables_de_publicidad_de_arquitectura_etcetera_entre_otros_de_similar_naturaleza</t>
  </si>
  <si>
    <t>Oficinas_para_organizaciones_no_gubernamentales_o_sin_fines_de_lucro</t>
  </si>
  <si>
    <t>Superficies_dedicadas_usual_y_regularmente_a_los_asistentes_a_espectaculos_certamenes_presentaciones_proyecciones_servicios_religiosos_y_actividades_similares_donde_la_concurrencia_se_encuentra_usualmente_sentada_en_filas_para_presenciar_el_acontecimiento_Esta_categoria_incluye_las_areas_dedicadas_a_graderios_butacas_reclinatorios_y_filas_de_sillas_de_estadios_gimnasios_capillas_aulas_magnas_salones_de_convenciones_auditorios_cines_teatros_salas_de_opera_y_otros_ambientes_similares_Son_parte_integrante_de_estas_superficies_los_pasillos_y_las_areas_de_circulacion_para_poder_acceder_a_cada_una_de_los_asientos_o_estar_de_pie_Se_incluyen_en_este_concepto_las_areas_donde_se_desarrolla_el_acontecimiento_mismo_es_decir_las_areas_de_escena_podios_catedras_pantallas_arenas_campos_altares_fosos_de_orquesta_y_otros_sitios_similares_Este_concepto_incluye_todos_aquellos_sitios_donde_ordinariamente_se_dan_actividades_de_convergencia_de_grupos_de_personas_para_participar_en_un_mismo_acontecimiento_independientemente_del_fin_del_mismo_o_si_existen_cobros_horarios_o_controles_para_el_ingreso_al_inmueble_se_excluyen_de_esta_clasificacion_los_usos_exclusivos_religiosos</t>
  </si>
  <si>
    <t>Salones_Sociales_salas_de_conciertos_salones_de_eventos</t>
  </si>
  <si>
    <t>Superficies_dedicadas_usual_y_regularmente_a_la_practica_del_deporte_independientemente_de_si_estas_estan_cubiertas_o_no_como_canchas_campos_pistas_piscinas_picaderos_y_pabellones_siempre_y_cuando_sean_utilizados_directamente_para_la_realizacion_del_deporte_correspondiente_por_lo_que_no_se_incluyen_las_areas_de_entrenamiento_calentamiento_y_vestidores_Se_excluyen_de_este_concepto_las_areas_de_espectadores_de_gimnasios_y_de_deportes_pasivos_que_deberan_ser_clasificadas_en_el_uso_del_suelo_correspondiente</t>
  </si>
  <si>
    <t>Superficies_dedicadas_usual_y_regularmente_a_la_produccion_manufactura_transformacion_ensamblaje_reparacion_almacenamiento_o_distribucion_de_productos_sea_esta_artesanal_o_mecanizada_o_al_almacenamiento_o_trasiego_de_objetos_de_cualquier_tipo_como_actividad_principal_dentro_del_inmueble_Esta_categoria_incluye_las_areas_dedicadas_a_industrias_talleres_plantas_de_produccion_fabricas_bodegas_almacenadoras_y_almacenes_de_deposito_a_donde_usualmente_los_clientes_y_el_publico_no_tienen_acceso_Se_excluyen_de_este_concepto_las_actividades_administrativas_de_oficina_de_venta_al_publico_y_de_prestacion_directa_de_servicios_que_se_realicen_en_el_mismo_sitio_las_cuales_deberan_ser_clasificadas_en_el_uso_del_suelo_correspondiente</t>
  </si>
  <si>
    <t>Superficies_dedicadas_usual_y_regularmente_a_la_morada_transitoria_de_pobladores_donde_se_incluyen_necesariamente_las_areas_para_dormir_sin_la_necesidad_que_estas_cuenten_con_areas_de_aseo_de_cocina_de_consumo_de_alimentos_y_de_estar_Esta_categoria_incluye_las_habitaciones_de_hoteles_pensiones_residencias_estudiantiles_casas_de_huespedes_y_residencias_religiosas_Se_excluyen_de_este_concepto_todas_las_areas_complementarias_a_las_habitaciones_como_restaurantes_bares_salones_de_clases_clinicas_salones_de_convenciones_y_areas_administrativas_independientemente_que_estas_sean_accesibles_unicamente_por_los_moradores_o_abiertas_al_publico_general_las_cuales_deberan_ser_clasificadas_en_el_uso_del_suelo_correspondiente_se_excluyen_de_esta_clasificacion_los_moteles_auto-hoteles_albergues_y_estancias_institucionales</t>
  </si>
  <si>
    <t>Superficies_dedicadas_usual_y_regularmente_para_actividades_de_diversion_entretenimiento_pasatiempo_o_ejercitacion_activas_y_donde_todos_los_asistentes_participan_en_las_mismas_sea_de_manera_individual_o_grupal_Esta_categoria_incluye_las_areas_de_actividad_practica_o_entrenamiento_de_gimnasios_pistas_de_boliche_salas_de_baile_escuelas_de_danza_escuelas_de_artes_marciales_Se_excluyen_de_esta_categoria_todas_las_areas_clasificadas_como_‘superficies_dedicadas_a_campos_o_canchas_deportivas’_y_las_areas_administrativas_o_de_consumo_de_comidas_y_bebidas_las_cuales_deberan_ser_clasificadas_en_el_uso_del_suelo_correspondiente</t>
  </si>
  <si>
    <t>Superficies_dedicadas_usual_y_regularmente_para_actividades_pasivas_de_ocio_que_tengan_fin_de_diversion_entretenimiento_pasatiempo_o_cultura_y_donde_generalmente_se_combinan_personas_de_pie_y_sentadas_Esta_categoria_incluye_los_espacios_dedicados_a_galerias_museos_bibliotecas_salas_de_exposicion_y_salas_de_juegos_de_mesa_Adicionalmente_y_por_definicion_para_la_correcta_aplicacion_del_presente_Plan_esta_categoria_incluye_todas_aquellas_superficies_dedicadas_al_uso_del_suelo_accesorio_de_circulacion_peatonal_que_supere_el_limite_establecido_para_ser_considerado_como_tal_segun_lo_establecido_en_el_presente_Plan</t>
  </si>
  <si>
    <t>Agencias_de_Venta_de_Automotores_Nuevos_y_Usados_Agencias_de_Alquileres_de_Vehiculos</t>
  </si>
  <si>
    <t>Salas_de_internet</t>
  </si>
  <si>
    <t>Salas_de_Estetica_Boutiques_zapaterias_Lavanderias__Tintorerias_Venta_de_Ropa_Nueva_y_Usada_JoyeriasRelojerias_farmacia</t>
  </si>
  <si>
    <t>Estudios_Fotograficos_y_de_Revelado_Floristerias_Ventas_de_productos_Agricolas_y_Veterinarios</t>
  </si>
  <si>
    <t>Abarroterias</t>
  </si>
  <si>
    <t>Meta_mercados_Supermercados_Despensas_Centros_Comerciales_y_Mercados</t>
  </si>
  <si>
    <t>Banos_publicos</t>
  </si>
  <si>
    <t>Sastrerias</t>
  </si>
  <si>
    <t>Puntos_de_venta_de_productos_y_servicios_de_telecomunicaciones</t>
  </si>
  <si>
    <t>Area_de_venta_de_depositos_bodegas_y_similares_</t>
  </si>
  <si>
    <t>Panaderias</t>
  </si>
  <si>
    <t>Oficinas_de_Profesionales_Bufetes</t>
  </si>
  <si>
    <t>Cooperativas_diversas_administrativas</t>
  </si>
  <si>
    <t>Superficies_dedicadas_usual_y_regularmente_a_la_instruccion_el_estudio_la_cultura_y_el_saber_generalmente_en_espacios_donde_los_estudiantes_se_encuentran_sentados_en_salones_de_clases_o_de_entrenamiento_vocacional_Esta_categoria_incluye_los_espacios_dedicados_a_aulas_laboratorios_talleres_bibliotecas_salones_de_seminarios_y_auditorios_Se_excluyen_de_este_concepto_las_areas_administrativas_labores_de_oficina_y_de_practica_de_deportes_que_deberan_ser_clasificadas_en_el_uso_del_suelo_correspondiente_en_esta_categoria_se_encontraran_unicamente_los_centros_donde_se_brinde_educacion_que_no_generen_un_grado_academico_reconocido_por_el_Ministerio_de_Educacion_incluyendo_escuelas_de_musica</t>
  </si>
  <si>
    <t>Salones_de_juegos_de_mesa_no_azar</t>
  </si>
  <si>
    <t>Herrerias_carpinterias</t>
  </si>
  <si>
    <t>Hospedajes_C</t>
  </si>
  <si>
    <t>Este_concepto_como_uso_principal_y_no_como_uso_accesorio_de_otros_usos_principal_incluye_todos_aquellos_sitios_o_areas_de_edificaciones_en_donde_ordinariamente_se_estacionan_se_almacenan_o_depositan_vehiculos_livianos_como_una_actividad_economica_en_si_misma_ya_se_trate_de_estacionamientos_de_pago_predios_para_la_venta_o_arrendamiento_de_vehiculos_o_para_otra_actividad_No_se_incluyen_dentro_de_esta_categoria_los_sitios_o_las_areas_de_edificaciones_correspondientes_a_la_dotacion_plazas_de_aparcamiento_para_vehiculos_de_los_habitantes_ocupantes_usuarios_o_visitantes_de_otros_usos_del_suelo_principales</t>
  </si>
  <si>
    <t>Condicionado</t>
  </si>
  <si>
    <t>Ordinario</t>
  </si>
  <si>
    <t>SERVICIO</t>
  </si>
  <si>
    <t>COMERCIO</t>
  </si>
  <si>
    <t>SALUD</t>
  </si>
  <si>
    <t>ASISTENCIA_NO_LUCRATIVA</t>
  </si>
  <si>
    <t>EDUCACIÓN_Y_CULTURA</t>
  </si>
  <si>
    <t>ENTRETENIMIENTO_FAMILIAR</t>
  </si>
  <si>
    <t>ENTRETENIMIENTO_PARA_MAYORES_DE_18_AÑOS</t>
  </si>
  <si>
    <t>TRANSPORTE</t>
  </si>
  <si>
    <t>COMUNICACIÓN</t>
  </si>
  <si>
    <t>_INDUSTRIA_O_COMERCIO_LIGERO</t>
  </si>
  <si>
    <t>INDUSTRIA_O_COMERCIO_MEDIO</t>
  </si>
  <si>
    <t>INDUSTRIA_O_COMERCIO_PESADO</t>
  </si>
  <si>
    <t>ESPACIOS_ABIERTOS</t>
  </si>
  <si>
    <t>CEMENTERIOS_PRIVADOS</t>
  </si>
  <si>
    <t>CEMENTERIO_MUNICIPAL</t>
  </si>
  <si>
    <t>VARIOS</t>
  </si>
  <si>
    <t>USO_DE_SUELO</t>
  </si>
  <si>
    <t>LICENCIAS_DE_PARCELAMIENTOS</t>
  </si>
  <si>
    <t>PRORROGA_DE_LICENCIA_DE_OBRA_DE_CONSTRUCCIÓN</t>
  </si>
  <si>
    <t>AUTORIZACIÓN</t>
  </si>
  <si>
    <t>CERTIFICACIÓN</t>
  </si>
  <si>
    <t>tipo_interés_social</t>
  </si>
  <si>
    <t>Oficinas_y_cualquier_actividad_Administrativa_gimnasios_piscinas_o_cualquier_otra_actividad_deportiva</t>
  </si>
  <si>
    <t>Locales_Comerciales_Bodegas_carnicerías_Tiendas_abarroterías_panaderías_molinos_de_nixtamal_laboratorios_farmacias_y_droguerías_Centros_Comerciales_cines_Venta_de_Materiales_de_Construcción</t>
  </si>
  <si>
    <t>Clínica_Hospitales_Sanatorios_centros_de_Salud_casa_cuna_guarderías_asistencia_veterinaria_y_hospitales_veterinarios</t>
  </si>
  <si>
    <t>Sin_fines_de_lucro_ONGs</t>
  </si>
  <si>
    <t>colegios_de_todo_tipo_universidades_escuelas_estudios_de_arte_institutos_técnicos_o_científicos_centros_de_capacitación_acuarios_museos_galerías_de_arte_bibliotecas_seminarios_instalaciones_religiosas_templos_iglesias</t>
  </si>
  <si>
    <t>Recreación_Jardín_de_fiestas_infantiles_Recreación_Social_Centros_comunitarios_culturales_clubes_campestres_sociales_salones_para_banquetes_o_baile_casas_club_spa</t>
  </si>
  <si>
    <t>Bares_Cervecerías_Cantinas_Centros_o_clubes_nocturnos_entretenimiento_especial_autódromos_velódromos_campos_de_tiro_boliches_billares_lotería_casinos_ventas_de_licores_y_cualquier_otra_actividad_enfocada_al_entretenimiento_adulto</t>
  </si>
  <si>
    <t>estacionamientos_descubiertos</t>
  </si>
  <si>
    <t>Estructura_para_antenas_de_emisión_de_ondas_electromagnéticas_hacia_el_espacio_libre_de_telefonía_radio_televisión_y_datos</t>
  </si>
  <si>
    <t>TODA_AQUELLA_CONTENIDA_EN_EL_LISTADO_TAXATIVO_DEL_MINISTERIO_DE_AMBIENTE_Y_RECURSOS_NATURALES_COMO_CATEGORÍA_C</t>
  </si>
  <si>
    <t>TODA_AQUELLA_CONTENIDA_EN_EL_LISTADO_TAXATIVO_DEL_MINISTERIO_DE_AMBIENTE_Y_RECURSOS_NATURALES_COMO_CATEGORÍA_B</t>
  </si>
  <si>
    <t>TODA_AQUELLA_CONTENIDA_EN_EL_LISTADO_TAXATIVO_DEL_MINISTERIO_DE_AMBIENTE_Y_RECURSOS_NATURALES_COMO_CATEGORÍA_A</t>
  </si>
  <si>
    <t>Plazas_explanadas_jardines_y_parques</t>
  </si>
  <si>
    <t>Nicho_tumba_cripta_y_osario</t>
  </si>
  <si>
    <t>nicho_tumba_cripta_y_osario_dentro_</t>
  </si>
  <si>
    <t>Portón_para_entrada_a_Solar_o_puerta</t>
  </si>
  <si>
    <t>Uso_de_suelo_residencial</t>
  </si>
  <si>
    <t>Por_concepto_de_evaluación_técnica_y_análisis_de_proyectos_urbanísticos_para_su_aprobación_ya_sea_residenciales_comerciales_propiedad_horizontal_cementerios_y_otros_similares</t>
  </si>
  <si>
    <t>Primer_Prorroga_de_licencia_de_obra_de_construcción</t>
  </si>
  <si>
    <t>Autorización_de_obra_provisional</t>
  </si>
  <si>
    <t>Certificaciones_de_Factibilidad</t>
  </si>
  <si>
    <t>01.11.01</t>
  </si>
  <si>
    <t>Desde 20 m² hasta 40 m²</t>
  </si>
  <si>
    <t>m²</t>
  </si>
  <si>
    <t>Vivienda_tipo_C</t>
  </si>
  <si>
    <t>Venta_de_Vehículos_ferreterías_servicios_funerarios_Tiendas_de_servicios_Baños_públicos_salones_de_belleza_sastrerías_hoteles_y_moteles_restaurantes_y_cafeterías_con_consumo_limitado_de_licor</t>
  </si>
  <si>
    <t>Casa_Cuna</t>
  </si>
  <si>
    <t>salones_para_banquetes_o_baile_centros_deportivos_gimnasios_Piscinas_públicas_Auditorios_Teatros_Salas_de_conciertos_Centros_de_Convenciones_boliches_billares</t>
  </si>
  <si>
    <t>estacionamientos_cubiertos_con_lamina</t>
  </si>
  <si>
    <t>Antenas_ubicadas_sobre_edificación_para_la_emisión_de_ondas_electromagnéticas_hacia_el_espacio_libre_de_telefonía_radio_televisión_y_datos</t>
  </si>
  <si>
    <t>Capilla_en_mausoleo_valor_al_equivalente_de_los_nichos_a_ocupar</t>
  </si>
  <si>
    <t>Capilla_en_mausoleo_valor_al_equivalente_de_los_nichos_a_ocupar_</t>
  </si>
  <si>
    <t>Garita</t>
  </si>
  <si>
    <t>Uso_de_suelo_no_residencial</t>
  </si>
  <si>
    <t>Segunda_Prorroga_de_Licencia_de_obra_de_construcción</t>
  </si>
  <si>
    <t>Certificación_de_Licencia</t>
  </si>
  <si>
    <t>01.12.01</t>
  </si>
  <si>
    <t>1 piso, hasta 99 m²  cubierta de lamina metálica</t>
  </si>
  <si>
    <t>Vivienda_tipo_B</t>
  </si>
  <si>
    <t>Guarderías</t>
  </si>
  <si>
    <t>estacionamientos_cubiertos</t>
  </si>
  <si>
    <t>Caseta_para_Torre_de_teléfonos_Agencias_telefónicas_y_o_estaciones_de_radio_estudios_de_televisión_y_cable_periódicos</t>
  </si>
  <si>
    <t>Capilla_sobre_lote</t>
  </si>
  <si>
    <t>Capilla_sobre_lote_</t>
  </si>
  <si>
    <t>Muro_Perimetral_de_ladrillo</t>
  </si>
  <si>
    <t>Uso_de_suelo_no_residencial_ordinario</t>
  </si>
  <si>
    <t>01.13.01</t>
  </si>
  <si>
    <t xml:space="preserve">1 piso, hasta 150 m²  cubierta de concreto o cualquier otro material </t>
  </si>
  <si>
    <t>Vivienda_tipo_A</t>
  </si>
  <si>
    <t>Orfanato</t>
  </si>
  <si>
    <t>estaciones_de_buses_y_terminales_edificio_de_aparcamientos</t>
  </si>
  <si>
    <t>Restauración_de_mausoleos</t>
  </si>
  <si>
    <t>Restauración_de_mausoleos_en_</t>
  </si>
  <si>
    <t>Muro_perimetral_de_block_pómez</t>
  </si>
  <si>
    <t>Renovación_uso_de_suelo_no_residencial_ordinario</t>
  </si>
  <si>
    <t>01.14.01</t>
  </si>
  <si>
    <t>hasta 2 pisos, cualquier magnitud</t>
  </si>
  <si>
    <t>Centro_de_Integración_Juvenil</t>
  </si>
  <si>
    <t>Aceras_de_mausoleo</t>
  </si>
  <si>
    <t>Aceras_de_mausoleo_</t>
  </si>
  <si>
    <t>Muro_perimetral_prefabricado</t>
  </si>
  <si>
    <t>Uso_de_suelo_no_residencial_condicionado</t>
  </si>
  <si>
    <t>01.15.01</t>
  </si>
  <si>
    <t>hasta 4 pisos, cualquier magnitud</t>
  </si>
  <si>
    <t>Hogar_de_Indigentes_o_albergues_temporales</t>
  </si>
  <si>
    <t>Reparación_y_o_repello_de_mausoleo</t>
  </si>
  <si>
    <t>Reparación_y_o_repello_de_mausoleo_</t>
  </si>
  <si>
    <t>Techo_de_Lámina</t>
  </si>
  <si>
    <t>Renovación_Uso_de_suelo_no_residencial_condicionado</t>
  </si>
  <si>
    <t>01.16.01</t>
  </si>
  <si>
    <t>hasta 6 pisos, cualquier magnitud</t>
  </si>
  <si>
    <t>como_por_uso_de_agua_por_proyecto_</t>
  </si>
  <si>
    <t>Techo_de_Concreto</t>
  </si>
  <si>
    <t>Cambio_de_uso_de_suelo_de_residencial_a_no_residencial</t>
  </si>
  <si>
    <t>01.17.01</t>
  </si>
  <si>
    <t>hasta 8 pisos, cualquier magnitud</t>
  </si>
  <si>
    <t>residente</t>
  </si>
  <si>
    <t>Instituciones_de_Gobierno</t>
  </si>
  <si>
    <t>Demoliciones</t>
  </si>
  <si>
    <t>Cambio_de_uso_de_suelo_de_no_residencial_a_residencial</t>
  </si>
  <si>
    <t>01.18.01</t>
  </si>
  <si>
    <t>hasta 10 pisos, cualquier magnitud</t>
  </si>
  <si>
    <t>Excavaciones_y_o_Movimiento_de_Tierras</t>
  </si>
  <si>
    <t>cambio_de_uso_de_suelo_provisional</t>
  </si>
  <si>
    <t>01.19.01</t>
  </si>
  <si>
    <t>hasta 12 pisos, cualquier magnitud</t>
  </si>
  <si>
    <t>INDUSTRIA_O_COMERCIO_LIGERO</t>
  </si>
  <si>
    <t>Reparaciones_varias_remodelación_y_Otros_trabajos</t>
  </si>
  <si>
    <t>01.10.01</t>
  </si>
  <si>
    <t>hasta 14 pisos, cualquier magnitud</t>
  </si>
  <si>
    <t>restauraciones_dentro_de_centro_histórico_y_monumentos_aislados</t>
  </si>
  <si>
    <t>15 pisos o mas, cualquier magnitud</t>
  </si>
  <si>
    <t>Estaciones_de_Servicio</t>
  </si>
  <si>
    <t>Rastros</t>
  </si>
  <si>
    <t>Lavanderías_y_Tintorerías</t>
  </si>
  <si>
    <t>02.12.01</t>
  </si>
  <si>
    <t>Plantas_de_Tratamiento</t>
  </si>
  <si>
    <t>02.12.02</t>
  </si>
  <si>
    <t>Plantas_Separadoras_de_Basura</t>
  </si>
  <si>
    <t>02.12.03</t>
  </si>
  <si>
    <t>Actividad_Minera</t>
  </si>
  <si>
    <t>02.12.04</t>
  </si>
  <si>
    <t>proyecto_de_creación_de_nuevos_cementerios</t>
  </si>
  <si>
    <t>02.12.05</t>
  </si>
  <si>
    <t>Adoquinamientos</t>
  </si>
  <si>
    <t>02.12.06</t>
  </si>
  <si>
    <t>Pavimentos</t>
  </si>
  <si>
    <t>02.12.07</t>
  </si>
  <si>
    <t>Puentes</t>
  </si>
  <si>
    <t>02.12.08</t>
  </si>
  <si>
    <t>Pasarelas</t>
  </si>
  <si>
    <t>Asfaltos</t>
  </si>
  <si>
    <t>03.13.01</t>
  </si>
  <si>
    <t>zoológicos</t>
  </si>
  <si>
    <t>03.13.02</t>
  </si>
  <si>
    <t>03.13.03</t>
  </si>
  <si>
    <t>03.13.04</t>
  </si>
  <si>
    <t>03.13.05</t>
  </si>
  <si>
    <t>03.13.06</t>
  </si>
  <si>
    <t>03.13.07</t>
  </si>
  <si>
    <t>03.13.08</t>
  </si>
  <si>
    <t>04.14.01</t>
  </si>
  <si>
    <t>04.14.02</t>
  </si>
  <si>
    <t>04.14.03</t>
  </si>
  <si>
    <t>04.14.04</t>
  </si>
  <si>
    <t>04.14.05</t>
  </si>
  <si>
    <t>04.14.06</t>
  </si>
  <si>
    <t>04.14.07</t>
  </si>
  <si>
    <t>04.14.08</t>
  </si>
  <si>
    <t>05.15.01</t>
  </si>
  <si>
    <t>Cualquier magnitud</t>
  </si>
  <si>
    <t>Sin Costo</t>
  </si>
  <si>
    <t>05.16.01</t>
  </si>
  <si>
    <t>05.17.01</t>
  </si>
  <si>
    <t>05.18.01</t>
  </si>
  <si>
    <t>05.19.01</t>
  </si>
  <si>
    <t>05.20.01</t>
  </si>
  <si>
    <t>05.21.01</t>
  </si>
  <si>
    <t>05.22.01</t>
  </si>
  <si>
    <t>06.23.01</t>
  </si>
  <si>
    <t>06.23.02</t>
  </si>
  <si>
    <t>06.23.03</t>
  </si>
  <si>
    <t>06.23.04</t>
  </si>
  <si>
    <t>06.23.05</t>
  </si>
  <si>
    <t>06.23.06</t>
  </si>
  <si>
    <t>06.23.07</t>
  </si>
  <si>
    <t>06.23.08</t>
  </si>
  <si>
    <t>07.24.01</t>
  </si>
  <si>
    <t>1 piso, cualquier magnitud(aplica a canchas no Techadas)</t>
  </si>
  <si>
    <t>07.24.02</t>
  </si>
  <si>
    <t>1 piso, cualquier magnitud(aplica a canchas Techadas)</t>
  </si>
  <si>
    <t>07.24.03</t>
  </si>
  <si>
    <t>07.24.04</t>
  </si>
  <si>
    <t>07.24.05</t>
  </si>
  <si>
    <t>07.24.06</t>
  </si>
  <si>
    <t>07.24.07</t>
  </si>
  <si>
    <t>07.24.08</t>
  </si>
  <si>
    <t>07.24.09</t>
  </si>
  <si>
    <t>07.24.10</t>
  </si>
  <si>
    <t>08.25.01</t>
  </si>
  <si>
    <t>08.25.02</t>
  </si>
  <si>
    <t>08.25.03</t>
  </si>
  <si>
    <t>08.25.04</t>
  </si>
  <si>
    <t>08.25.05</t>
  </si>
  <si>
    <t>08.25.06</t>
  </si>
  <si>
    <t>08.25.07</t>
  </si>
  <si>
    <t>08.25.08</t>
  </si>
  <si>
    <t>09.26.01</t>
  </si>
  <si>
    <t>cualquier magnitud</t>
  </si>
  <si>
    <t>09.27.01</t>
  </si>
  <si>
    <t>09.28.01</t>
  </si>
  <si>
    <t>1 piso, cualquier magnitud.</t>
  </si>
  <si>
    <t>09.29.01</t>
  </si>
  <si>
    <t>09.29.02</t>
  </si>
  <si>
    <t>09.29.03</t>
  </si>
  <si>
    <t>09.29.04</t>
  </si>
  <si>
    <t>09.29.05</t>
  </si>
  <si>
    <t>09.29.06</t>
  </si>
  <si>
    <t>09.29.07</t>
  </si>
  <si>
    <t>09.29.08</t>
  </si>
  <si>
    <t>10.30.01</t>
  </si>
  <si>
    <t>De 0 a 30.99 ml. de altura</t>
  </si>
  <si>
    <t>Unidad</t>
  </si>
  <si>
    <t>10.30.02</t>
  </si>
  <si>
    <t xml:space="preserve">De 31.00 ml.   en adelante </t>
  </si>
  <si>
    <t>10.31.01</t>
  </si>
  <si>
    <t>10.32.01</t>
  </si>
  <si>
    <t>10.32.02</t>
  </si>
  <si>
    <t>10.32.03</t>
  </si>
  <si>
    <t>10.32.04</t>
  </si>
  <si>
    <t>10.32.05</t>
  </si>
  <si>
    <t>10.32.06</t>
  </si>
  <si>
    <t>10.32.07</t>
  </si>
  <si>
    <t>10.32.08</t>
  </si>
  <si>
    <t>11.33.01</t>
  </si>
  <si>
    <t>11.33.02</t>
  </si>
  <si>
    <t>11.33.03</t>
  </si>
  <si>
    <t>11.33.04</t>
  </si>
  <si>
    <t>11.33.05</t>
  </si>
  <si>
    <t>11.33.06</t>
  </si>
  <si>
    <t>11.33.07</t>
  </si>
  <si>
    <t>11.33.08</t>
  </si>
  <si>
    <t>12.34.01</t>
  </si>
  <si>
    <t>12.34.02</t>
  </si>
  <si>
    <t>12.34.03</t>
  </si>
  <si>
    <t>12.34.04</t>
  </si>
  <si>
    <t>12.34.05</t>
  </si>
  <si>
    <t>12.34.06</t>
  </si>
  <si>
    <t>12.34.07</t>
  </si>
  <si>
    <t>12.34.08</t>
  </si>
  <si>
    <t>13.35.01</t>
  </si>
  <si>
    <t>13.35.02</t>
  </si>
  <si>
    <t>13.35.03</t>
  </si>
  <si>
    <t>13.35.04</t>
  </si>
  <si>
    <t>13.35.05</t>
  </si>
  <si>
    <t>13.35.06</t>
  </si>
  <si>
    <t>13.35.07</t>
  </si>
  <si>
    <t>13.35.08</t>
  </si>
  <si>
    <t>14.36.01</t>
  </si>
  <si>
    <t>15.37.01</t>
  </si>
  <si>
    <t>unidad</t>
  </si>
  <si>
    <t>15.38.01</t>
  </si>
  <si>
    <t>15.39.01</t>
  </si>
  <si>
    <t>15.40.01</t>
  </si>
  <si>
    <t>15.41.01</t>
  </si>
  <si>
    <t>15.42.01</t>
  </si>
  <si>
    <t>16.43.01</t>
  </si>
  <si>
    <t>según lo permita oficina de centro histórico</t>
  </si>
  <si>
    <t>16.44.01</t>
  </si>
  <si>
    <t>16.45.01</t>
  </si>
  <si>
    <t>16.46.01</t>
  </si>
  <si>
    <t>16.47.01</t>
  </si>
  <si>
    <t>16.48.01</t>
  </si>
  <si>
    <t>16.49.01</t>
  </si>
  <si>
    <t>17.50.01</t>
  </si>
  <si>
    <t>17.51.01</t>
  </si>
  <si>
    <t>17.52.01</t>
  </si>
  <si>
    <t>17.53.01</t>
  </si>
  <si>
    <t>17.54.01</t>
  </si>
  <si>
    <t>17.55.01</t>
  </si>
  <si>
    <t>17.56.01</t>
  </si>
  <si>
    <t>17.57.01</t>
  </si>
  <si>
    <t>17.58.01</t>
  </si>
  <si>
    <t>m3</t>
  </si>
  <si>
    <t>17.59.01</t>
  </si>
  <si>
    <t>17.60.01</t>
  </si>
  <si>
    <t>17.61.01</t>
  </si>
  <si>
    <t>17.62.01</t>
  </si>
  <si>
    <t>17.63.01</t>
  </si>
  <si>
    <t>17.64.01</t>
  </si>
  <si>
    <t>17.65.01</t>
  </si>
  <si>
    <t>17.66.01</t>
  </si>
  <si>
    <t>17.67.01</t>
  </si>
  <si>
    <t>17.68.01</t>
  </si>
  <si>
    <t>17.69.01</t>
  </si>
  <si>
    <t>17.70.01</t>
  </si>
  <si>
    <t>17.71.01</t>
  </si>
  <si>
    <t>17.72.01</t>
  </si>
  <si>
    <t>17.73.01</t>
  </si>
  <si>
    <t>18.74.01</t>
  </si>
  <si>
    <t>no aplica</t>
  </si>
  <si>
    <t>indefinido</t>
  </si>
  <si>
    <t>18.75.01</t>
  </si>
  <si>
    <t>18.76.01</t>
  </si>
  <si>
    <t>18.77.01</t>
  </si>
  <si>
    <t>18.78.01</t>
  </si>
  <si>
    <t>18.79.01</t>
  </si>
  <si>
    <t>Plazo igual al originalmente establecido</t>
  </si>
  <si>
    <t>18.80.01</t>
  </si>
  <si>
    <t>18.81.01</t>
  </si>
  <si>
    <t>18.82.01</t>
  </si>
  <si>
    <t xml:space="preserve">12 meses calendario </t>
  </si>
  <si>
    <t>19.83.01</t>
  </si>
  <si>
    <t>20.84.01</t>
  </si>
  <si>
    <t>Aplica para todo tipo de licencia de obra de construcción  otorgada por departamento</t>
  </si>
  <si>
    <t xml:space="preserve">El pago tendrá un valor del 50% del pago realizado en la  licencia de obra de construcción otorgada  y  el 50% del tiempo de vigencia otorgado en la misma. </t>
  </si>
  <si>
    <t>20.85.02</t>
  </si>
  <si>
    <t>Aplica para todo tipo de prorroga de licencia de obra de construcción  otorgada por departamento.</t>
  </si>
  <si>
    <t xml:space="preserve">El pago tendrá un valor del ²5% del pago realizado en la  licencia de obra de construcción otorgada  y  el ²5% del tiempo de vigencia otorgado en la misma. </t>
  </si>
  <si>
    <t>21.86.01</t>
  </si>
  <si>
    <t>Hasta 12 meses</t>
  </si>
  <si>
    <t>22.87.01</t>
  </si>
  <si>
    <t>UNIDAD</t>
  </si>
  <si>
    <t xml:space="preserve">seis meses </t>
  </si>
  <si>
    <t>22.88.02</t>
  </si>
  <si>
    <t xml:space="preserve">un mes calendario </t>
  </si>
  <si>
    <t>cuatro años</t>
  </si>
  <si>
    <t>tres años</t>
  </si>
  <si>
    <t>COSTO DE OBRA</t>
  </si>
  <si>
    <t>Queda obligado a cumplir con el ArtÍculo 78 del POT</t>
  </si>
  <si>
    <t>NUMERO DE LICENCIA</t>
  </si>
  <si>
    <t>LICENCIA</t>
  </si>
  <si>
    <t>EXPEDIENTE</t>
  </si>
  <si>
    <t>PROPIETARIO</t>
  </si>
  <si>
    <t>DIRECCION DEL INMUEBLE</t>
  </si>
  <si>
    <t>DIRECCION PARA NOTIFICAR</t>
  </si>
  <si>
    <t>FINCA</t>
  </si>
  <si>
    <t>FOLIO</t>
  </si>
  <si>
    <t>LIBRO</t>
  </si>
  <si>
    <t>CODIGO MUNICIPAL</t>
  </si>
  <si>
    <t>AREA DEL PREDIO</t>
  </si>
  <si>
    <t>MATRICULA MUNICIPAL</t>
  </si>
  <si>
    <t>PLANIFICADOR</t>
  </si>
  <si>
    <t>ING</t>
  </si>
  <si>
    <t>ARQ</t>
  </si>
  <si>
    <t>COLEGIADO</t>
  </si>
  <si>
    <t>EJECUTOR</t>
  </si>
  <si>
    <t>DATOS DEL PREDIO</t>
  </si>
  <si>
    <t>GESTOR</t>
  </si>
  <si>
    <t>DPI</t>
  </si>
  <si>
    <t>PROFESIONALES RESPONSABLES</t>
  </si>
  <si>
    <t>INFORMACION TECNICA</t>
  </si>
  <si>
    <t>DESTINO DE LA OBRA</t>
  </si>
  <si>
    <t>CARACTERISTICAS 1</t>
  </si>
  <si>
    <t>CARACTERISTICAS 2</t>
  </si>
  <si>
    <t>MURO</t>
  </si>
  <si>
    <t>UNIDADES FUNCIONALES</t>
  </si>
  <si>
    <t>MODULO DE GRADAS</t>
  </si>
  <si>
    <t>AREA A CONSTRUIR</t>
  </si>
  <si>
    <t>NIVELES</t>
  </si>
  <si>
    <t>SOTANO</t>
  </si>
  <si>
    <t>AREA RESIDENCIAL</t>
  </si>
  <si>
    <t>AREA NO RESIDENCIAL</t>
  </si>
  <si>
    <t>AREA PERMEABLE</t>
  </si>
  <si>
    <t>APORTE URBANISTICO</t>
  </si>
  <si>
    <t>INFORMACION ADMINISTRATIVA</t>
  </si>
  <si>
    <t>SUELO</t>
  </si>
  <si>
    <t>SUELO ESPECIAL</t>
  </si>
  <si>
    <t>EEMQ</t>
  </si>
  <si>
    <t>EMAX</t>
  </si>
  <si>
    <t>DRENAJES</t>
  </si>
  <si>
    <t>DICTAMEN</t>
  </si>
  <si>
    <t>DE</t>
  </si>
  <si>
    <t>ALINEACION</t>
  </si>
  <si>
    <t>CESION DE AREA</t>
  </si>
  <si>
    <t>PAGO DE LICENCIA</t>
  </si>
  <si>
    <t>RECIBO</t>
  </si>
  <si>
    <t>PAGO DE ALINEACION</t>
  </si>
  <si>
    <t>TIPO DE LICENCIA</t>
  </si>
  <si>
    <t>FECHA DE PAGO</t>
  </si>
  <si>
    <t>VENCE</t>
  </si>
  <si>
    <t>DATOS DE LICENCIA</t>
  </si>
  <si>
    <t>NUMERO DE SUPERVISIONES</t>
  </si>
  <si>
    <t>RESOLUCION DEL MARN</t>
  </si>
  <si>
    <t>USO RESIDENCIAL</t>
  </si>
  <si>
    <t>USO ORDINARIO</t>
  </si>
  <si>
    <t>USO CONDICIONADO</t>
  </si>
  <si>
    <t>CLASIFICACION DE USO</t>
  </si>
  <si>
    <t>PAGO USO DE SUELO</t>
  </si>
  <si>
    <t>LICENCIA DE USO DE SUELO</t>
  </si>
  <si>
    <t>L20-085-MP020</t>
  </si>
  <si>
    <t>RPA9-290818</t>
  </si>
  <si>
    <t>CHARLY GABRIEL AJANEL VICENTE</t>
  </si>
  <si>
    <t>4 AVENIDA 2A-16 CASA 4 ZONA 9 LUCES DE LA FLORESTA</t>
  </si>
  <si>
    <t>L20-279-MP090</t>
  </si>
  <si>
    <t>RPNB1-050720</t>
  </si>
  <si>
    <t>MARVIN ADOLFO BAUTISTA CITA</t>
  </si>
  <si>
    <t>28 AVENIDA 9-46 ZONA 1</t>
  </si>
  <si>
    <t>L20-084-MP094</t>
  </si>
  <si>
    <t>RPC9-240818</t>
  </si>
  <si>
    <t>EDWIN ADOLFO CACERES ARA</t>
  </si>
  <si>
    <t>4 AVENIDA 2A-16 CASA 6 ZONA 9 LUCES DE LA FLORESTA</t>
  </si>
  <si>
    <t>L20-089-MP093</t>
  </si>
  <si>
    <t>RPNAR-061119</t>
  </si>
  <si>
    <t>JOSE ARTURO ACABAL MARIN</t>
  </si>
  <si>
    <t>CANTON XECARACOJ SECTOR 4</t>
  </si>
  <si>
    <t>L20-169-WV001</t>
  </si>
  <si>
    <t>RPNA5-121119</t>
  </si>
  <si>
    <t>AIDA YOLANDA COYOY GARCIA</t>
  </si>
  <si>
    <t>9 AVENIDA 9-79C INTERIOR ZONA 5</t>
  </si>
  <si>
    <t>L20-261-MP023</t>
  </si>
  <si>
    <t>RPNM11-020120</t>
  </si>
  <si>
    <t>LUCAS MORALES LOPEZ</t>
  </si>
  <si>
    <t>1 AVENIDA C 1-89 ZONA 11</t>
  </si>
  <si>
    <t>L19-688-MP101</t>
  </si>
  <si>
    <t>RPV1-060319</t>
  </si>
  <si>
    <t>ORLANDO VINICIO VICENTE SOCH</t>
  </si>
  <si>
    <t>4 CALLE 29-59D INTERIOR ZONA 1</t>
  </si>
  <si>
    <t>L20-268-MP017</t>
  </si>
  <si>
    <t>VUG7-030619</t>
  </si>
  <si>
    <t>CAMILO GUINAC MORALES</t>
  </si>
  <si>
    <t>0 AVENIDA 8-63 ZONA 7</t>
  </si>
  <si>
    <t>L19-701-MP077</t>
  </si>
  <si>
    <t>RPG7-120619</t>
  </si>
  <si>
    <t>L20-236-P127</t>
  </si>
  <si>
    <t>F11-03-0617</t>
  </si>
  <si>
    <t>FONSAGRADA S.A.</t>
  </si>
  <si>
    <t>13 CALLE 2A-20 LOTE 12 ZONA 11, ALTOS DE VISTA BELLA</t>
  </si>
  <si>
    <t>L20-235-P129</t>
  </si>
  <si>
    <t>F11-01-0617</t>
  </si>
  <si>
    <t>13 CALLE 2A-20 LOTE 13 ZONA 11, ALTOS DE VISTA BELLA</t>
  </si>
  <si>
    <t>L20-281-MP027</t>
  </si>
  <si>
    <t>VUNF9-140820</t>
  </si>
  <si>
    <t>FAWO, SOCIEDAD ANONIMA</t>
  </si>
  <si>
    <t>3 CALLE 10-61 LOTE 30 ZONA 9 ALTOS DEL VALLE II</t>
  </si>
  <si>
    <t>L19-419-WV033</t>
  </si>
  <si>
    <t>RPL8-080319</t>
  </si>
  <si>
    <t>PAULINA LOPEZ MORALES Y CDÑO</t>
  </si>
  <si>
    <t>15 CALLE 0-17A ADICIONAL ZONA 8</t>
  </si>
  <si>
    <t>L20-405-WV051</t>
  </si>
  <si>
    <t>RPNG9-070120</t>
  </si>
  <si>
    <t>ADALBERTO GARCIA MONTERROSO</t>
  </si>
  <si>
    <t>9 CALLE 12-43C INTERIOR ZONA 9</t>
  </si>
  <si>
    <t>L20-228-WV038</t>
  </si>
  <si>
    <t>RPNT6-030120</t>
  </si>
  <si>
    <t>ELIAS TUM CASTRO</t>
  </si>
  <si>
    <t>14 CALLE C14-194C INTERIOR ZONA 6</t>
  </si>
  <si>
    <t>L18-967-MP098</t>
  </si>
  <si>
    <t>RPH6-100618</t>
  </si>
  <si>
    <t>MARIA FLORINDA HERNANDEZ LOPEZ</t>
  </si>
  <si>
    <t>1 AVENIDA 6-27 INTERIOR, ZONA 6</t>
  </si>
  <si>
    <t>----------</t>
  </si>
  <si>
    <t>VIVIENDA UNIFAMILIAR</t>
  </si>
  <si>
    <t>PAREDES DE BLOCK, TECHO DE LOSA DE CONCRETO,</t>
  </si>
  <si>
    <t>PISO DE CONCRETO E INSTALACIONES OCULTAS. ----------</t>
  </si>
  <si>
    <t>PAREDES DE BLOCK, TECHO DE LAMINA,</t>
  </si>
  <si>
    <t>NO APLICA</t>
  </si>
  <si>
    <t>URBANO Q5</t>
  </si>
  <si>
    <t>CORRECTA A LINEA DE EDIFICACION ESTABLECIDA</t>
  </si>
  <si>
    <t>CONSTRUCCION</t>
  </si>
  <si>
    <t>-----</t>
  </si>
  <si>
    <t>L20-082-MP022</t>
  </si>
  <si>
    <t>RPV9-210818</t>
  </si>
  <si>
    <t>SUCELI ANGELINA VICENTE ORDOÑEZ</t>
  </si>
  <si>
    <t>4 AVENIDA 2A-16 CASA 9, ZONA 9 LUCES DE LA FLORESTA</t>
  </si>
  <si>
    <t>118E</t>
  </si>
  <si>
    <t>PISO DE CERAMICO E INSTALACIONES OCULTAS. ----------</t>
  </si>
  <si>
    <t>URBANO Q3</t>
  </si>
  <si>
    <t>CORRECTA COSTADO SUR</t>
  </si>
  <si>
    <t>LUS20-105-MP004</t>
  </si>
  <si>
    <t>SE ENCUENTRA EN EL EXPEDIENTE ORIGINAL DEL PARCELAMIENTO</t>
  </si>
  <si>
    <t>Los pagos de la presente autorizacion, se realizaron por medio de RECIBO, FORMA 8-B ESPECIAL.</t>
  </si>
  <si>
    <t>L20-388-MP049</t>
  </si>
  <si>
    <t>RPNJ7-070620</t>
  </si>
  <si>
    <t>LUIS DAVID JUANTA GOMEZ</t>
  </si>
  <si>
    <t>18 AVENIDA 0-73, ZONA 7</t>
  </si>
  <si>
    <t>122E</t>
  </si>
  <si>
    <t>PISO DE GRANITO E INSTALACIONES OCULTAS. ----------</t>
  </si>
  <si>
    <t>X</t>
  </si>
  <si>
    <t>URBANO Q4</t>
  </si>
  <si>
    <t>CORRECTA COSTADO ORIENTE</t>
  </si>
  <si>
    <t>PLAN REGULADOR</t>
  </si>
  <si>
    <t>L20-091-MP019</t>
  </si>
  <si>
    <t>RPNP10-081119</t>
  </si>
  <si>
    <t>AURA DORA PEREZ GARCIA DE PEREZ</t>
  </si>
  <si>
    <t>0 CALLE 7-21B INTERIOR, ZONA 10</t>
  </si>
  <si>
    <t>208E</t>
  </si>
  <si>
    <t>CONSTRUCCION EN INTERIOR</t>
  </si>
  <si>
    <t>LUS20-101-WV002</t>
  </si>
  <si>
    <t>OBRA YA EJECUTADA, SE REPORTO AL MARN</t>
  </si>
  <si>
    <t>L20-313-WV040</t>
  </si>
  <si>
    <t>RPNS9-060320</t>
  </si>
  <si>
    <t>GILDA ANALI SOTO FELICIANO</t>
  </si>
  <si>
    <t>10 CALLE 7-81, ZONA 9</t>
  </si>
  <si>
    <t>12 AVENIDA 3-41, ZONA 1</t>
  </si>
  <si>
    <t>171E</t>
  </si>
  <si>
    <t>JORGE LUIS POPA MORALES</t>
  </si>
  <si>
    <t>PISO LADRILLO DE CEMENTO E INSTALACIONES OCULTAS. ----------</t>
  </si>
  <si>
    <t>L20-328-MP034</t>
  </si>
  <si>
    <t>VUNC6-020720</t>
  </si>
  <si>
    <t>MERLY MAGALY CARRILLO DE LEON</t>
  </si>
  <si>
    <t>6 AVENIDA 14-60, ZONA 6</t>
  </si>
  <si>
    <t>12 CALLE 6-23, ZONA 1</t>
  </si>
  <si>
    <t>274E</t>
  </si>
  <si>
    <t>OSCAR MOISES CHAVEZ RACANCOJ</t>
  </si>
  <si>
    <t>1699-2018/DCN/DDQZ/FACS/MSGG/cacb</t>
  </si>
  <si>
    <t>VIVIENDA BIFAMILIAR</t>
  </si>
  <si>
    <t>URBANO Q7</t>
  </si>
  <si>
    <t>LUS20-275-MP033</t>
  </si>
  <si>
    <t>LUS20-262-MP030</t>
  </si>
  <si>
    <t>148-2020/DCN/DDQZ/FACS/GRQQ/uidlf</t>
  </si>
  <si>
    <t>L20-210-MP011</t>
  </si>
  <si>
    <t>VUNC5-040520</t>
  </si>
  <si>
    <t>CLAUDIA CAROLINA CAJAS MORALES</t>
  </si>
  <si>
    <t>14 AVENIDA 8-06, LOTE 26 MZ J, ZONA 5 XELAGARDEN</t>
  </si>
  <si>
    <t>63E</t>
  </si>
  <si>
    <t>FRANCISCO DANIEL HERNANDEZ RODRIGUEZ</t>
  </si>
  <si>
    <t>LUIS ALBERTO CAMACHO HUITZ</t>
  </si>
  <si>
    <t>2661 49219 0901</t>
  </si>
  <si>
    <t>LUS20-203-MP017</t>
  </si>
  <si>
    <t>L20-211-MP010</t>
  </si>
  <si>
    <t>VUNC5-030520</t>
  </si>
  <si>
    <t>8 CALLE 12-14, LOTE 24 MZ J, ZONA 5 XELAGARDEN</t>
  </si>
  <si>
    <t>64E</t>
  </si>
  <si>
    <t>CORRECTA COSTADO ORIENTE Y SUR</t>
  </si>
  <si>
    <t>LUS20-204-MP016</t>
  </si>
  <si>
    <t>L20-272-MP023</t>
  </si>
  <si>
    <t>VUNM3-030720</t>
  </si>
  <si>
    <t>NARCISO MACARIO GOMEZ</t>
  </si>
  <si>
    <t>8 CALLE B 25C-15, LOTE #8, ZONA 3 LA GRACIA</t>
  </si>
  <si>
    <t>2 CALLE 17-33, ZONA 3</t>
  </si>
  <si>
    <t>188E</t>
  </si>
  <si>
    <t>CARLOS ENRIQUE BARRIOS ESTRADA</t>
  </si>
  <si>
    <t>FRANCISCO ISRAEL PEREZ HERNANDEZ</t>
  </si>
  <si>
    <t>CARLOS ENRIQUE GÜINAC IXTABALAN</t>
  </si>
  <si>
    <t>1903 03654 0923</t>
  </si>
  <si>
    <t>LOCAL COMERCIAL+BODEGA Y VIVIENDA UNIFAMILIAR</t>
  </si>
  <si>
    <t>URBANO Q2</t>
  </si>
  <si>
    <t>LUS20-319-MP023</t>
  </si>
  <si>
    <t>823-2020/DCN/DDQZ/MSGG/GRQQ/cacb</t>
  </si>
  <si>
    <t>NO RESIDENCIAL ORDINARIO Y RESIDENCIAL</t>
  </si>
  <si>
    <t>L20-191-MP006</t>
  </si>
  <si>
    <t>VUNY7-011119</t>
  </si>
  <si>
    <t>CARLOS RENE YAX MUÑOZ</t>
  </si>
  <si>
    <t>29 AVENIDA 8A-25, ZONA 7</t>
  </si>
  <si>
    <t>CERO AVENIDA 8A-30, ZONA 3</t>
  </si>
  <si>
    <t>JOSE ALBERTO GRAMAJO HERRERA</t>
  </si>
  <si>
    <t>1583 20107 0801</t>
  </si>
  <si>
    <t>BODEGA DE MATERIALES DE CONSTRUCCION</t>
  </si>
  <si>
    <t xml:space="preserve">PAREDES DE BLOCK Y LAMINA TROQUELADA, TECHO DE ESTRUCTURA METALICA </t>
  </si>
  <si>
    <t>Y LAMINA, PISO DE CONCRETO E INSTALACIONES OCULTAS. ----------</t>
  </si>
  <si>
    <t>LUS20-185-MP012</t>
  </si>
  <si>
    <t>1739-2019/DCN/DDQZ/FACS/MSGG/cacb</t>
  </si>
  <si>
    <t>NO RESIDENCIAL CONDICIONADO</t>
  </si>
  <si>
    <t>L20-315-MP029</t>
  </si>
  <si>
    <t>RPNP5-040620</t>
  </si>
  <si>
    <t>JOSEFINA BEATRIZ PASCUAL GOMEZ Y CDÑA</t>
  </si>
  <si>
    <t>DIAGONAL 3 18-23, ZONA 5</t>
  </si>
  <si>
    <t>4 CALLE 1-81, ZONA 1, LA ESPERANZA</t>
  </si>
  <si>
    <t>252E</t>
  </si>
  <si>
    <t>HERBERTH JOSEAGUSTO ROSAL ESCOBAR</t>
  </si>
  <si>
    <t>LUS20-264-MP028</t>
  </si>
  <si>
    <t>L21-178-MP054</t>
  </si>
  <si>
    <t>VUNG2-011220</t>
  </si>
  <si>
    <t>JAIME IVAN GODINEZ VELASQUEZ</t>
  </si>
  <si>
    <t>9 CALLE 1-37 INTERIOR, ZONA 2</t>
  </si>
  <si>
    <t>WORGEN WESTERHEYDE MORALES</t>
  </si>
  <si>
    <t>URBANO Q6</t>
  </si>
  <si>
    <t>LUS21-150-MP054</t>
  </si>
  <si>
    <t>783-2020/DCN/DDQZ/MSGG/GRQQ/uidlf</t>
  </si>
  <si>
    <t>L20-246-MP015</t>
  </si>
  <si>
    <t>VUNL7-010620</t>
  </si>
  <si>
    <t>CARLOS MANUEL ANGEL LOPEZ GOMEZ</t>
  </si>
  <si>
    <t>24 AVENIDA A 8-63, ZONA 7</t>
  </si>
  <si>
    <t>187E</t>
  </si>
  <si>
    <t>MARIA FERNANDA OCHOA CAAL</t>
  </si>
  <si>
    <t>LUS20-294-MP020</t>
  </si>
  <si>
    <t>392-2020/DCN/DDQZ/FACS/GRQQ/grq</t>
  </si>
  <si>
    <t>L20-258-MP016</t>
  </si>
  <si>
    <t>VUNR6-030720</t>
  </si>
  <si>
    <t>LUCAS LUCIANO RALAC IGNACIO</t>
  </si>
  <si>
    <t>10 CALLE 0-70, ZONA 6</t>
  </si>
  <si>
    <t>7 CALLE 0-263, ZONA 6</t>
  </si>
  <si>
    <t>CARLOS JOSELUIS ANDRADE BRIONES</t>
  </si>
  <si>
    <t>LUIS MARIO RIVERA MERIDA</t>
  </si>
  <si>
    <t>1972 77659 1201</t>
  </si>
  <si>
    <t>VIVIENDA UNIFAMILIAR + LOCAL COMERCIAL (1)</t>
  </si>
  <si>
    <t>CORRECTA COSTADO NORTE</t>
  </si>
  <si>
    <t>LUS20-306-MP021</t>
  </si>
  <si>
    <t>323-2020/DCN/DDQZ/MSGG/GRQQ/cacb</t>
  </si>
  <si>
    <t>RESIDENCIAL Y NO RESIDENCIAL ORDINARIO</t>
  </si>
  <si>
    <t>L20-273-MP025</t>
  </si>
  <si>
    <t>VUNM3-040720</t>
  </si>
  <si>
    <t>8 CALLE B 25C-11, LOTE #55, ZONA 3 LA GRACIA</t>
  </si>
  <si>
    <t>MODULO DE GRADAS DE ACCESO</t>
  </si>
  <si>
    <t>LUS20-320-MP024</t>
  </si>
  <si>
    <t xml:space="preserve">NO RESIDENCIAL ORDINARIO  </t>
  </si>
  <si>
    <t>RPNC10-180620</t>
  </si>
  <si>
    <t>L20-340-MP031</t>
  </si>
  <si>
    <t>MARIO AROLDO COYOY COYOY</t>
  </si>
  <si>
    <t>CALLEJON 9A 0-53, ZONA 10</t>
  </si>
  <si>
    <t>7 CALLE 0-80, ZONA 9</t>
  </si>
  <si>
    <t>177E</t>
  </si>
  <si>
    <t>DEMOLICION</t>
  </si>
  <si>
    <t xml:space="preserve">DEMOLICION DE VIVIENDA UNIFAMILIAR DE UN NIVEL, CONSISTENTE EN UN </t>
  </si>
  <si>
    <t>AREA DE 85.18MTS2 DE CONSTRUCCION DE CARÁCTER ANTIGUO. ----------</t>
  </si>
  <si>
    <t>L20-341-MP030</t>
  </si>
  <si>
    <t>RPNC10-110620</t>
  </si>
  <si>
    <t>LOURDES JANETH BARRIOS OCHOA</t>
  </si>
  <si>
    <t>DEMOLICION EN INTERIOR DEL PREDIO</t>
  </si>
  <si>
    <t>LUS20-333-MP030</t>
  </si>
  <si>
    <t>L20-380-MP040</t>
  </si>
  <si>
    <t>VUNG5-020820</t>
  </si>
  <si>
    <t>FERNANDO RENE GOMEZ LOPEZ Y CONDUEÑA</t>
  </si>
  <si>
    <t>18 CALLE D3-58, ZONA 5</t>
  </si>
  <si>
    <t>AVENIDA LAS AMERICAS 5-41, ZONA 10</t>
  </si>
  <si>
    <t>116E</t>
  </si>
  <si>
    <t>RUDY RENE FIGUEROA REYES</t>
  </si>
  <si>
    <t>LUS20-367-MP039</t>
  </si>
  <si>
    <t>55-2020/DCN/DDQZ/FACS/GRQQ/grq</t>
  </si>
  <si>
    <t>L20-372-MP041</t>
  </si>
  <si>
    <t>VUNM10-021020</t>
  </si>
  <si>
    <t>ELDER AVIDAN MARTINEZ CIFUENTES</t>
  </si>
  <si>
    <t>6 CALLE 6-90E INTERIOR, ZONA 10</t>
  </si>
  <si>
    <t>6 CALLE 5-123, ZONA 10</t>
  </si>
  <si>
    <t>251E</t>
  </si>
  <si>
    <t>DOUGLAS EDUARDO FUENTES BAUTISTA</t>
  </si>
  <si>
    <t>PAREDES DE BLOCK, TECHO DE LAMINA, PISO DE</t>
  </si>
  <si>
    <t>CEMENTO RUSTICO E INSTALACIONES SEMIOCULTAS. ----------</t>
  </si>
  <si>
    <t>CONSTRUCCION EN INTERIOR DEL PREDIO</t>
  </si>
  <si>
    <t>LUS20-360-MP040</t>
  </si>
  <si>
    <t>325-2020/DCN/MSGG/grqq</t>
  </si>
  <si>
    <t>L20-345-MP036</t>
  </si>
  <si>
    <t>VUNC1-031119</t>
  </si>
  <si>
    <t>EDGAR COSME CAYAX SOCH</t>
  </si>
  <si>
    <t>11 CALLE CB-09, ZONA 1</t>
  </si>
  <si>
    <t>211E</t>
  </si>
  <si>
    <t>GUSTAVO ADOLFO QUEME MALDONADO</t>
  </si>
  <si>
    <t>CORRECTA COSTADO PONIENTE</t>
  </si>
  <si>
    <t>LUS20-336-MP035</t>
  </si>
  <si>
    <t>1531-2019/DCN/DDQZ/FACS/MSGG</t>
  </si>
  <si>
    <t>L20-375-MP033</t>
  </si>
  <si>
    <t>RPNB6-070720</t>
  </si>
  <si>
    <t>ANGELICA LILIANA COYOY TUMAX DE BARRIOS</t>
  </si>
  <si>
    <t>9 CALLE 0-89, ZONA 6</t>
  </si>
  <si>
    <t>5 AVENIDA 5-04, ZONA 6</t>
  </si>
  <si>
    <t>CHRISTHIAN ENMANUEL XICARA COTOM</t>
  </si>
  <si>
    <t>LUS20-364-MP032</t>
  </si>
  <si>
    <t>L20-348-MP035</t>
  </si>
  <si>
    <t>VUNP6-010820</t>
  </si>
  <si>
    <t>SANTOS CRISTINA PUAC MENDEZ</t>
  </si>
  <si>
    <t>1 CALLE 0-105, ZONA 6</t>
  </si>
  <si>
    <t>195E</t>
  </si>
  <si>
    <t>MARLON HAROLDO RAMIREZ HIDALGO</t>
  </si>
  <si>
    <t>ESTABLECIDA SEGÚN PROVIDENCIA DOT-192-2020-AE</t>
  </si>
  <si>
    <t>LUS20-338-MP034</t>
  </si>
  <si>
    <t>1584-2018/DCN/DDQZ/FACS/MSGG/cacb</t>
  </si>
  <si>
    <t>L20-351-MP039</t>
  </si>
  <si>
    <t>VUNL5-010920</t>
  </si>
  <si>
    <t>LUIS FERNANDO LOPEZ DE LEON</t>
  </si>
  <si>
    <t>16 CALLE 3-33 LOTE 43 MZ Ñ, ZONA 5 XELAGARDEN</t>
  </si>
  <si>
    <t>4 AVENIDA  ZONA 2 LA ESPERANZA, COND. BURGOS CASA C1</t>
  </si>
  <si>
    <t>13E</t>
  </si>
  <si>
    <t>LUIS FERNANDO LOPEZ VELASQUEZ</t>
  </si>
  <si>
    <t>ESPECIAL Q5</t>
  </si>
  <si>
    <t>LUS20-340-MP038</t>
  </si>
  <si>
    <t>ESTABLECIDA SEGÚN PROVIDENCIA DOT-193-2020-AE</t>
  </si>
  <si>
    <t xml:space="preserve">LA PRESENTE LICENCIA DE OBRA CORRESPONDE A LA FINCA MATRIZ IDENTIFICADA CON EL CODIGO DE INMUEBLE 142854, NOMENCLATURA CERO AVENIDA 8A-30 ZONA 7, FINCA 8601; FOLIO 73; LIBRO 353, REGISTRADA A NOMBRE DE CARLOS RENE YAX MUÑOZ. </t>
  </si>
  <si>
    <t>L19-157-MP004</t>
  </si>
  <si>
    <t>VUD3-011018</t>
  </si>
  <si>
    <t>DISTRIBUIDORA GAMA S.A.</t>
  </si>
  <si>
    <t>20 AVENIDA 2-22 ZONA 3</t>
  </si>
  <si>
    <t>1 CALLE 5-87 ZONA 9</t>
  </si>
  <si>
    <t>96E</t>
  </si>
  <si>
    <t>VICTOR HORACIO MIJANGOS MARTINEZ</t>
  </si>
  <si>
    <t>JUAN CARLOS HERNANDEZ SAENZ</t>
  </si>
  <si>
    <t>1804 04253 0901</t>
  </si>
  <si>
    <t>VIVIENDA BIFAMILIAR + AREAS DE USOS MULTIPLES</t>
  </si>
  <si>
    <t>PISO CERAMICO E INSTALACIONES OCULTAS. ----------</t>
  </si>
  <si>
    <t>EXISTENTE</t>
  </si>
  <si>
    <t>URBANO Q1</t>
  </si>
  <si>
    <t>LUS19-122-MP005</t>
  </si>
  <si>
    <t>1029-2017/DCN/DDQZ/FACS/MSGG</t>
  </si>
  <si>
    <t>L18-940-MP086</t>
  </si>
  <si>
    <t>RPD3-261018</t>
  </si>
  <si>
    <t>AMPLIACION SOTANO 1 Y 2</t>
  </si>
  <si>
    <t>PISO DE CEMENTO E INSTALACIONES OCULTAS. ----------</t>
  </si>
  <si>
    <t>CORRECTA A LINEA DE EDIFICACION DEL PRIMER SOTANO</t>
  </si>
  <si>
    <t>LUS19-123-MP049</t>
  </si>
  <si>
    <t>L19-520-MP083</t>
  </si>
  <si>
    <t>RPM6-020119</t>
  </si>
  <si>
    <t>SELVIN AURELIO MÉNDEZ HERNÁNDEZ Y CDÑA</t>
  </si>
  <si>
    <t>11 CALLE 5-237 ZONA 6</t>
  </si>
  <si>
    <t>264E</t>
  </si>
  <si>
    <t>CRRECTA COSTADO NORTE</t>
  </si>
  <si>
    <t>LUS19-404-MP067</t>
  </si>
  <si>
    <t>391-2019/DCN/DDQZ/FACS/MSGG/cacb</t>
  </si>
  <si>
    <t>L19-586-MP085</t>
  </si>
  <si>
    <t>VUP7-020619</t>
  </si>
  <si>
    <t>OLGA MARINA PINTO DIAZ DE LOPEZ</t>
  </si>
  <si>
    <t>3 CALLE 24-84 ZONA 7</t>
  </si>
  <si>
    <t>26 AVENIDA 1-20 ZONA 7</t>
  </si>
  <si>
    <t>JORGE MARIO TOBAR SANDOVAL</t>
  </si>
  <si>
    <t>AMPLIACION VIVIENDA UNIFAMILIAR + LOCAL COMERCIAL (1)</t>
  </si>
  <si>
    <t>CORRECTA COSTADO PONIENTE Y SUR</t>
  </si>
  <si>
    <t>LUS19-466-MP069</t>
  </si>
  <si>
    <t>72-2019/DCN/DDQZ/FACS/MSGG/cacb</t>
  </si>
  <si>
    <t>L19-969-MP104</t>
  </si>
  <si>
    <t>RPC7-090519</t>
  </si>
  <si>
    <t>GUADALUPE VALENTINA ALVARADO DE CIFUENTES</t>
  </si>
  <si>
    <t>16 AVENIDA 10-06 ZONA 1</t>
  </si>
  <si>
    <t>304E</t>
  </si>
  <si>
    <t>LUS20-427-MP092</t>
  </si>
  <si>
    <t>L18-958-P216</t>
  </si>
  <si>
    <t>RP-69-0917</t>
  </si>
  <si>
    <t>MARLENE KAREN ARREAGA GRAMAJO DE MARTINEZ</t>
  </si>
  <si>
    <t>12 CALLE 5-95 ZONA 6</t>
  </si>
  <si>
    <t>CALLEJON 24 10-41A ZONA 7</t>
  </si>
  <si>
    <t>MURO PERIMETRAL</t>
  </si>
  <si>
    <t>CONSTRUCCION DE DOS SECCIONES DE MURO PERMETRAL</t>
  </si>
  <si>
    <t>DE BLOCK DE 24.00ML X 3.50M/A INCLUYENDO CIMIENTO CORRIDO. ----------</t>
  </si>
  <si>
    <t>L21-143-MP002</t>
  </si>
  <si>
    <t>RPNL10-221020</t>
  </si>
  <si>
    <t>MARIA DELFINA LOPEZ LOPEZ Y CDÑO</t>
  </si>
  <si>
    <t>14 CALLE 0-70 ZONA 10</t>
  </si>
  <si>
    <t>CANTON CHUICAVIOC SECTOR 4, QUETZALTENANGO</t>
  </si>
  <si>
    <t>90E</t>
  </si>
  <si>
    <t>WALTER ALEJANDRO GONZALEZ CALDERON</t>
  </si>
  <si>
    <t>CORRECTA ALINEACION COSTADO SUR</t>
  </si>
  <si>
    <t>LUS21-133-MP002</t>
  </si>
  <si>
    <t>L21-212-MP005</t>
  </si>
  <si>
    <t>RPNA3-091120</t>
  </si>
  <si>
    <t>JULIO RENE AGUILAR MORALES</t>
  </si>
  <si>
    <t>8 CALLE 25A-38 ZONA 3</t>
  </si>
  <si>
    <t>ANGEL GERMAN DE JESUS CHANQUIN VELASQUEZ</t>
  </si>
  <si>
    <t>AMPLIACION VIVIENDA BIFAMILIAR</t>
  </si>
  <si>
    <t>LUS21-184-MP005</t>
  </si>
  <si>
    <t>0550-2020/DCN/DDQZ/FACS/GRQQ/uidlf</t>
  </si>
  <si>
    <t>L21-007-MP052</t>
  </si>
  <si>
    <t>VUNS1-010620</t>
  </si>
  <si>
    <t>MARIA MAGDALENA SAY SOC Y CONDUEÑO</t>
  </si>
  <si>
    <t>CALLE RODOLFO ROBLES 29-65D, INTERIOR ZONA 1</t>
  </si>
  <si>
    <t>113E</t>
  </si>
  <si>
    <t>JORGE EDUARDO COTI DELGADO</t>
  </si>
  <si>
    <t>VIVIENDA MULTIFAMILIAR</t>
  </si>
  <si>
    <t>ALINEACION INTERIOR</t>
  </si>
  <si>
    <t>LUS21-007-MP050</t>
  </si>
  <si>
    <t>2584-2019/DCN/DDQZ/FACS/GRQQ/uidlf</t>
  </si>
  <si>
    <t>L21-014-MP038</t>
  </si>
  <si>
    <t>VUNG8-010920</t>
  </si>
  <si>
    <t>FULVIA JEANNETTE GOMEZ CASTILLO</t>
  </si>
  <si>
    <t>DIAGONAL 5 40-02 LOTE #29 ZONA 8 DEL VALLE</t>
  </si>
  <si>
    <t>RONY MAURICIO ESCALANTE DE LEON</t>
  </si>
  <si>
    <t>WILSON TERESO AJANEL SACOR</t>
  </si>
  <si>
    <t>2850 87266 0901</t>
  </si>
  <si>
    <t>LUS21-013-MP037</t>
  </si>
  <si>
    <t>LA RESOLUCION SE ENCUENTRA DENTRO DEL EXPEDIENTE DEL CONDOMINIO</t>
  </si>
  <si>
    <t>L21-072-MP085</t>
  </si>
  <si>
    <t>RPNC5-051020</t>
  </si>
  <si>
    <t>ENRIQUE ANTONIO CHACLAN SOLIS</t>
  </si>
  <si>
    <t>DIAGONAL 15 7-95 I INTERIOR ZONA 5</t>
  </si>
  <si>
    <t>1 CALLE, CALLEJON 24 1-61 ZONA 1</t>
  </si>
  <si>
    <t>WALTER DANIEL SAC TAMAT</t>
  </si>
  <si>
    <t>CORRECTA A ALINEACION ESTABLECIDA</t>
  </si>
  <si>
    <t>LUS21-068-MP085</t>
  </si>
  <si>
    <t>L20-449-MP087</t>
  </si>
  <si>
    <t>VUNV6-010920</t>
  </si>
  <si>
    <t>EDGAR ARNOLDO VILLATORO TARACENA</t>
  </si>
  <si>
    <t>6 AVENIDA 15-33 LOTE 41 ZONA 6 LOS CELAJES</t>
  </si>
  <si>
    <t>103E</t>
  </si>
  <si>
    <t>CESAR ADOLFO COBAQUIL QUEME</t>
  </si>
  <si>
    <t>LUS20-425-MP087</t>
  </si>
  <si>
    <t>L21-005-MP047</t>
  </si>
  <si>
    <t>VUND8-021020</t>
  </si>
  <si>
    <t>KAREN RUBI DE LEON ALVARADO</t>
  </si>
  <si>
    <t>35 AVENIDA C 9B-39 LOTE 26 MZ. B ZONA 8 LA CAÑADA</t>
  </si>
  <si>
    <t>3 AVENIDA 0-48 ZONA 7</t>
  </si>
  <si>
    <t>GABRIEL ANTONIO REYES DE LA ROCA</t>
  </si>
  <si>
    <t>ROCIO MARILU DE LEON ALVARADO</t>
  </si>
  <si>
    <t>LUS21-005-MP046</t>
  </si>
  <si>
    <t>L21-009-MP088</t>
  </si>
  <si>
    <t>VUNJ8-030920</t>
  </si>
  <si>
    <t>MIRIAM CAROLINA JEREZ</t>
  </si>
  <si>
    <t>2 CALLE 34-102 L.82 ZONA 8 COL. LA DEMOCRACIA</t>
  </si>
  <si>
    <t>DIAGONAL 3 34-50 ZONA 8 COL EL BOMBERO CASA #6</t>
  </si>
  <si>
    <t>38BN</t>
  </si>
  <si>
    <t>PAVEL MAURICIO CIFUENTES RECINOS</t>
  </si>
  <si>
    <t>CORRECTA COSTADO NORTE Y PONIENTE</t>
  </si>
  <si>
    <t>LUS21-008-MP088</t>
  </si>
  <si>
    <t>L20-435-MP086</t>
  </si>
  <si>
    <t>VUNL1-031020</t>
  </si>
  <si>
    <t>MARCO ANTONIO LÓPEZ RAMOS</t>
  </si>
  <si>
    <t>9 CALLE C20-25 ZONA 1</t>
  </si>
  <si>
    <t>247E</t>
  </si>
  <si>
    <t>MARÍA FERNANDA OCHOA CAAL</t>
  </si>
  <si>
    <t>1449-2020/DCN/DDQZ/MSGG/UIDLF/uidlf</t>
  </si>
  <si>
    <t>L21-108-MP003</t>
  </si>
  <si>
    <t>VUNE1-010920</t>
  </si>
  <si>
    <t>ROSA CONSUELO ESCOBAR VASQUEZ</t>
  </si>
  <si>
    <t>DIAGONAL 11 C20-04 ZONA 1</t>
  </si>
  <si>
    <t>LUIS ARTEMIO GRAMAJO MIRALBES</t>
  </si>
  <si>
    <t>LOCAL COMERCIAL (1) + VIVIENDA UNIFAMILIAR</t>
  </si>
  <si>
    <t>ESTABLECIDA SEGÚN DEPTO. ORDENAMIENTO TERRITORIAL</t>
  </si>
  <si>
    <t>LUS20-413-MP086</t>
  </si>
  <si>
    <t>0277-2020/DCN/DDQZ/FACS/GRQQ/cacb</t>
  </si>
  <si>
    <t>L21-128-MP050</t>
  </si>
  <si>
    <t>RPNV10-240920</t>
  </si>
  <si>
    <t>JOSÉ LUIS VILLATORO CHACAJ</t>
  </si>
  <si>
    <t>4 CALLE 5-71 ZONA 10</t>
  </si>
  <si>
    <t>303E</t>
  </si>
  <si>
    <t>LUS21-103-MP003</t>
  </si>
  <si>
    <t>LUS21-121-MP048</t>
  </si>
  <si>
    <t>L20-456-MP089</t>
  </si>
  <si>
    <t>VUNIR-020920</t>
  </si>
  <si>
    <t>IGLESIA DE DIOS</t>
  </si>
  <si>
    <t>CANTON CANDELARIA, QUETZALTENANGO</t>
  </si>
  <si>
    <t>DIAGONAL 1 D2-60 ZONA 1</t>
  </si>
  <si>
    <t>70E</t>
  </si>
  <si>
    <t>EDGAR ANTONIO AZ GOMEZ</t>
  </si>
  <si>
    <t>INSTALACIONES IGLESIA DE DIOS DISTRITO No. 6</t>
  </si>
  <si>
    <t>SUELO RURAL AGRICOLA</t>
  </si>
  <si>
    <t>LUS20-435-MP089</t>
  </si>
  <si>
    <t>482-2020/DCN/DDQZ/FACS/msgg</t>
  </si>
  <si>
    <t>L21-107-MP001</t>
  </si>
  <si>
    <t>RPND1-060520</t>
  </si>
  <si>
    <t>RENE OSWALDO DE LEON RECINOS</t>
  </si>
  <si>
    <t>CALLEJON 20A D11-67 ZONA 1</t>
  </si>
  <si>
    <t>ESTEFANNY SHAKIRA VASQUEZ LOPEZ</t>
  </si>
  <si>
    <t>3131 34588 0901</t>
  </si>
  <si>
    <t xml:space="preserve">CORRECTA A LA ESTABLECIDA </t>
  </si>
  <si>
    <t>LUS21-102-MP001</t>
  </si>
  <si>
    <t>L21-144-MP004</t>
  </si>
  <si>
    <t>VUNO1-010920</t>
  </si>
  <si>
    <t>LEA NILDA OCHOA ARREAGA</t>
  </si>
  <si>
    <t>5 CALLE A 27-12 ZONA 1</t>
  </si>
  <si>
    <t>CORRECTA A PRIMER NIVEL</t>
  </si>
  <si>
    <t>LUS21-134-MP004</t>
  </si>
  <si>
    <t>744-2020/DCN/DDQZ/MSGG/grq</t>
  </si>
  <si>
    <t>L21-006-MP091</t>
  </si>
  <si>
    <t>VUNR2-011020</t>
  </si>
  <si>
    <t>KAREN ELIZABETH RACANCOJ TIN</t>
  </si>
  <si>
    <t>12 CALLE 0-41 ZONA 2</t>
  </si>
  <si>
    <t>8 CALLE 7-35 ZONA 5</t>
  </si>
  <si>
    <t>MARIO ROMEO ALVARADO HERNANDEZ</t>
  </si>
  <si>
    <t>LUS21-006-MP093</t>
  </si>
  <si>
    <t>1018-2020/DCN/GRQQ/grqq</t>
  </si>
  <si>
    <t>L19-968-MP103</t>
  </si>
  <si>
    <t>RPC7-100519</t>
  </si>
  <si>
    <t>CALLEJON 24 10-41B ZONA 7</t>
  </si>
  <si>
    <t>LUS20-426-MP091</t>
  </si>
  <si>
    <t>L19-436-MP102</t>
  </si>
  <si>
    <t>RPA10-391018</t>
  </si>
  <si>
    <t>NORMA GRISELDA AGUILON OCAN</t>
  </si>
  <si>
    <t>CALLEJON 6 0-42 INTERIOR ZONA 10</t>
  </si>
  <si>
    <t>LUS20-414-MP053</t>
  </si>
  <si>
    <t>L20-189-WV028</t>
  </si>
  <si>
    <t>VUNCR-050120</t>
  </si>
  <si>
    <t>COMPLEJOS COLONIALES, S.A.</t>
  </si>
  <si>
    <t>LOTE 128 MZ I CONDOMINIO XELA GARDENS FASE 3</t>
  </si>
  <si>
    <t>22 AVENIDA 3-87 ZONA 3 ED. EUROPA OF. 302</t>
  </si>
  <si>
    <t>286E</t>
  </si>
  <si>
    <t>JOSUE ALEXANDER SECAY OVALLE</t>
  </si>
  <si>
    <t>NELSON EDUARDO CHILE BAJXAC</t>
  </si>
  <si>
    <t>PAREDES DE CONCRETO, TECHO DE LOSA DE CONCRETO,</t>
  </si>
  <si>
    <t>PISO TIPO BRASILIA E INSTALACIONES OCULTAS. ----------</t>
  </si>
  <si>
    <t>LUS20-175-WV024</t>
  </si>
  <si>
    <t>L20-362-WV045</t>
  </si>
  <si>
    <t>VUNCR-340220</t>
  </si>
  <si>
    <t>LOTE 172 MZ L CONDOMINIO XELA GARDENS FASE 3</t>
  </si>
  <si>
    <t>LUS20-351-WV046</t>
  </si>
  <si>
    <t>L20-183-WV029</t>
  </si>
  <si>
    <t>VUNCR-060120</t>
  </si>
  <si>
    <t>LOTE 129 MZ I CONDOMINIO XELA GARDENS FASE 3</t>
  </si>
  <si>
    <t>LUS20-169-WV025</t>
  </si>
  <si>
    <t>L20-177-WV032</t>
  </si>
  <si>
    <t>VUNCR-090120</t>
  </si>
  <si>
    <t>LOTE 132 MZ I CONDOMINIO XELA GARDENS FASE 3</t>
  </si>
  <si>
    <t>LUS20-163-WV028</t>
  </si>
  <si>
    <t>L20-185-WV033</t>
  </si>
  <si>
    <t>VUNCR-100120</t>
  </si>
  <si>
    <t>LOTE 133 MZ I CONDOMINIO XELA GARDENS FASE 3</t>
  </si>
  <si>
    <t>LUS20-171-WV029</t>
  </si>
  <si>
    <t>L21-676-MP085</t>
  </si>
  <si>
    <t>VUNR3-030421</t>
  </si>
  <si>
    <t>ANGEL EUGENIO RAMON MACARIO</t>
  </si>
  <si>
    <t>8 CALLE B 25C-36, LOTE #11 ZONA 3 LA GRACIA</t>
  </si>
  <si>
    <t>ALDEA JUSTO RUFINO BARRIOS, OLINTEPEQUE QUETZALTENANGO</t>
  </si>
  <si>
    <t>ALVARO ALBERTO PILLONI ALESSIO</t>
  </si>
  <si>
    <t>SOTANO + LOCAL COMERCIAL Y BODEGA</t>
  </si>
  <si>
    <t>LUS21-610-MP081</t>
  </si>
  <si>
    <t>321-2021/DCN/DDQZ/FACS/grq</t>
  </si>
  <si>
    <t>NO RESIDENCIAL ORDINARIO</t>
  </si>
  <si>
    <t>L21-674-MP084</t>
  </si>
  <si>
    <t>VUNR3-020421</t>
  </si>
  <si>
    <t>8 CALLE B 25C-40, LOTE #10 ZONA 3 LA GRACIA</t>
  </si>
  <si>
    <t>LUS21-608-MP080</t>
  </si>
  <si>
    <t>L21-675-MP088</t>
  </si>
  <si>
    <t>VUNM3-030421</t>
  </si>
  <si>
    <t>CIRIACA MARLENY MACARIO CALVAC</t>
  </si>
  <si>
    <t>8 CALLE B 25C-24, LOTE #14 ZONA 3 LA GRACIA</t>
  </si>
  <si>
    <t>LUS21-609-MP088</t>
  </si>
  <si>
    <t>L21-678-MP087</t>
  </si>
  <si>
    <t>VUNM3-020421</t>
  </si>
  <si>
    <t>8 CALLE B 25C-28, LOTE #13 ZONA 3 LA GRACIA</t>
  </si>
  <si>
    <t>LUS21-612-MP083</t>
  </si>
  <si>
    <t>L21-677-MP089</t>
  </si>
  <si>
    <t>VUNM3-040421</t>
  </si>
  <si>
    <t>8 CALLE B 25C-20, LOTE #15 ZONA 3 LA GRACIA</t>
  </si>
  <si>
    <t>LUS21-611-MP085</t>
  </si>
  <si>
    <t>L21-671-MP083</t>
  </si>
  <si>
    <t>VUNR3-010421</t>
  </si>
  <si>
    <t>26 AVENIDA 8B-08, LOTE #9 ZONA 3 LA GRACIA</t>
  </si>
  <si>
    <t>LUS21-605-MP079</t>
  </si>
  <si>
    <t xml:space="preserve">RAZON: Los pagos de la presente autorizacion, se realizaron por medio de RECIBO, FORMA 8-B ESPECIAL. Para los proyectos de bajo impacto se analizará la factibilidad de servicios luego de finalizado el proceso de Licencia de Obra. </t>
  </si>
  <si>
    <t>L21-672-MP086</t>
  </si>
  <si>
    <t>VUNM3-010421</t>
  </si>
  <si>
    <t>8 CALLE B 25C-32, LOTE #12 ZONA 3 LA GRACIA</t>
  </si>
  <si>
    <t>LUS21-606-MP082</t>
  </si>
  <si>
    <t>Al vencer la licencia debe renovarse la misma según el uso de suelo. RAZON: Los pagos de la presente autorizacion, se realizaron por medio de FORMA 7-B INGRESOS VARIOS.</t>
  </si>
  <si>
    <t xml:space="preserve">RAZON: Los pagos de la presente autorizacion, se realizaron por medio de FORMA 7-B INGRESOS VARIOS. Para los proyectos de bajo impacto se analizará la factibilidad de servicios luego de finalizado el proceso de Licencia de Obra. </t>
  </si>
  <si>
    <t>L19-687-MP100</t>
  </si>
  <si>
    <t>RPH10-110619</t>
  </si>
  <si>
    <t>AUGUSTO ALFREDO HERNANDEZ MEJIA</t>
  </si>
  <si>
    <t>1 CALLE 5-72A ZONA 10</t>
  </si>
  <si>
    <t>6 CALLE 5-86 ZONA 10</t>
  </si>
  <si>
    <t>172E</t>
  </si>
  <si>
    <t>PISO DE LADRILLO DE CEMENTO E INSTALACIONES OCULTAS. ----------</t>
  </si>
  <si>
    <t>EDIFICACION EN INTERIOR DEL PREDIO</t>
  </si>
  <si>
    <t>LUS20-157-MP011</t>
  </si>
  <si>
    <t>RPNE8-281220</t>
  </si>
  <si>
    <t>L21-663-MP080</t>
  </si>
  <si>
    <t>ALBA ALICIA ELIAS ESCOBAR</t>
  </si>
  <si>
    <t>3 CALLE 43-134 ZONA 8 LAS RAMBLAS II</t>
  </si>
  <si>
    <t>MELLWYNN RAÚL CIFUENTES RUBIO</t>
  </si>
  <si>
    <t>1746 72535 0904</t>
  </si>
  <si>
    <t>LUS21-597-MP086</t>
  </si>
  <si>
    <t>L20-491-MP097</t>
  </si>
  <si>
    <t>RPNR1-091020</t>
  </si>
  <si>
    <t>MARTA ELIZABETH ROSALES CASIMIRO Y CDÑOS</t>
  </si>
  <si>
    <t>25 AVENIDA D11B-70 ZONA 1</t>
  </si>
  <si>
    <t>117E</t>
  </si>
  <si>
    <t>L21-060-MP108</t>
  </si>
  <si>
    <t>RPNF8-250920</t>
  </si>
  <si>
    <t>JORGE ALBERTO FIGUEROA MUÑOZ</t>
  </si>
  <si>
    <t>35 AVENIDA C 9B-28 ZONA 8 LA CAÑADA</t>
  </si>
  <si>
    <t>50E</t>
  </si>
  <si>
    <t>L21-147-MP050</t>
  </si>
  <si>
    <t>VUNP8-010121</t>
  </si>
  <si>
    <t>FREDY GREGORIO PEREZ Y PEREZ</t>
  </si>
  <si>
    <t>1 AVENIDA 4-38 ZONA 8</t>
  </si>
  <si>
    <t>ARMANDO EFRAIN LOPEZ GRAMAJO</t>
  </si>
  <si>
    <t>LUS21-137-MP050</t>
  </si>
  <si>
    <t>1564-2020/DCN/DDQZ/UIdLF/grq</t>
  </si>
  <si>
    <t>L21-150-MP046</t>
  </si>
  <si>
    <t>VUNS5-031120</t>
  </si>
  <si>
    <t>EDGAR PAZ SUY HERNANDEZ</t>
  </si>
  <si>
    <t>1 CALLE 4-37 LOTE 30 MZ F ZONA 5 LOMA LINDA</t>
  </si>
  <si>
    <t>4 CALLE 19-73 ZONA 1</t>
  </si>
  <si>
    <t>23E</t>
  </si>
  <si>
    <t>EDGAR NICOLAS GONZALEZ LUCAS</t>
  </si>
  <si>
    <t>LUS21-140-MP046</t>
  </si>
  <si>
    <t>L21-148-MP049</t>
  </si>
  <si>
    <t>VUNG12-051220</t>
  </si>
  <si>
    <t>CESAR NICOLAS GARCIA HERNANDEZ</t>
  </si>
  <si>
    <t>10 CALLE 4-50, LOTE 257 ZONA 12 PRADOS DEL ENCINAL</t>
  </si>
  <si>
    <t>CALLE CIRILO FLORES 4-70 ZONA 4</t>
  </si>
  <si>
    <t>SAMUEL EDUARDO ALVAREZ CUTZAL</t>
  </si>
  <si>
    <t>JAIME LEONEL ALVAREZ CUTZAL</t>
  </si>
  <si>
    <t>2350 08958 0901</t>
  </si>
  <si>
    <t>LUS21-138-MP049</t>
  </si>
  <si>
    <t>L21-149-MP048</t>
  </si>
  <si>
    <t>VUNG12-041220</t>
  </si>
  <si>
    <t>10 CALLE 4-54, LOTE 256 ZONA 12 PRADOS DEL ENCINAL</t>
  </si>
  <si>
    <t>LUS21-139-MP048</t>
  </si>
  <si>
    <t>L21-058-MP115</t>
  </si>
  <si>
    <t>RPNB5-091020</t>
  </si>
  <si>
    <t>LILIAN PAOLA BARILLAS</t>
  </si>
  <si>
    <t>DIAGONAL 15 17-40B INTERIOR ZONA 5</t>
  </si>
  <si>
    <t>CORRECTA COSTADOS NORTE Y PONIENTE</t>
  </si>
  <si>
    <t>L20-488-MP095</t>
  </si>
  <si>
    <t>RPNGR-161020</t>
  </si>
  <si>
    <t>MARIA DEL ROSARIO COYOY PEREZ DE GUZMAN</t>
  </si>
  <si>
    <t>CANTON LLANOS DEL PINAL</t>
  </si>
  <si>
    <t>249E</t>
  </si>
  <si>
    <t>SUELO RURAL CENTRO POBLADO</t>
  </si>
  <si>
    <t>L21-644-MP150</t>
  </si>
  <si>
    <t>RPNLR-230321</t>
  </si>
  <si>
    <t>DERMIR ADONIAS LOPEZ CHOJOLAN Y CONDUEÑA</t>
  </si>
  <si>
    <t>CANTON PUERTA DEL LLANO</t>
  </si>
  <si>
    <t>253E</t>
  </si>
  <si>
    <t>LUS21-598-MP150</t>
  </si>
  <si>
    <t>L21-202-MP055</t>
  </si>
  <si>
    <t>VUNL9-021220</t>
  </si>
  <si>
    <t>DELFINO LOPEZ CHILEL</t>
  </si>
  <si>
    <t>7 AVENIDA D4-95 ZONA 9</t>
  </si>
  <si>
    <t>24 AVENIDA 12-19 ZONA 3</t>
  </si>
  <si>
    <t>JOSE BENJAMIN MERIDA ROBLES</t>
  </si>
  <si>
    <t>DANIEL IBATE SOTOY</t>
  </si>
  <si>
    <t>2271 11877 0701</t>
  </si>
  <si>
    <t>LUS21-175-MP055</t>
  </si>
  <si>
    <t>1377-2020/DCN/DDQZ/MSGG/GRQQ/uidlf</t>
  </si>
  <si>
    <t>L21-272-MP045</t>
  </si>
  <si>
    <t>VUNI9-400221</t>
  </si>
  <si>
    <t>INDUSTRIALIZADORA DE VIVIENDAS S.A.</t>
  </si>
  <si>
    <t>3 CALLE 9-65 LOTE 40 ZONA 9</t>
  </si>
  <si>
    <t>5 AVENIDA 6-53A ZONA 9</t>
  </si>
  <si>
    <t>227E</t>
  </si>
  <si>
    <t>CARLOS JOSE SOTO CHINCHILLA</t>
  </si>
  <si>
    <t>LUS21-244-MP045</t>
  </si>
  <si>
    <t>L21-258-MP044</t>
  </si>
  <si>
    <t>VUNI9-390221</t>
  </si>
  <si>
    <t>3 CALLE 9-65 LOTE 39 ZONA 9</t>
  </si>
  <si>
    <t>LUS21-230-MP044</t>
  </si>
  <si>
    <t>L21-559-MP121</t>
  </si>
  <si>
    <t>RPNC5-120121</t>
  </si>
  <si>
    <t>ARACELY ESMERALDA HERRERA  HERNANDEZ DE CUBULE</t>
  </si>
  <si>
    <t>3 AVENIDA 4-55 LOTE N7 ZONA 5 LOMA LINDA</t>
  </si>
  <si>
    <t>280E</t>
  </si>
  <si>
    <t>LUS21-503-MP107</t>
  </si>
  <si>
    <t>L21-573-MP124</t>
  </si>
  <si>
    <t>RPNH8-060321</t>
  </si>
  <si>
    <t>JUAN CARLOS HERNANDEZ</t>
  </si>
  <si>
    <t>8 CALLE A 1-95 ZONA 8</t>
  </si>
  <si>
    <t>212E</t>
  </si>
  <si>
    <t>L21-429-MP098</t>
  </si>
  <si>
    <t>VUNB8-010521</t>
  </si>
  <si>
    <t>ANTONIO BATEN MACARIO</t>
  </si>
  <si>
    <t>9 CALLE 0-73 ZONA 8</t>
  </si>
  <si>
    <t>269E</t>
  </si>
  <si>
    <t>WILLYAN RAFAEL QUEME REYES</t>
  </si>
  <si>
    <t>LOCAL COMERCIAL + BODEGA</t>
  </si>
  <si>
    <t>LUS21-380-MP087</t>
  </si>
  <si>
    <t>1656-2020/DCN/DDQZ/UIDLF/grq</t>
  </si>
  <si>
    <t>L21-601-MP119</t>
  </si>
  <si>
    <t>RPNO10-261220</t>
  </si>
  <si>
    <t>HILDA PATRICIA OROZCO SANTOS Y CONDUEÑOS</t>
  </si>
  <si>
    <t>6 CALLE 5-57 ZONA 10</t>
  </si>
  <si>
    <t>ENRIQUE ISAIAS FUENTES SIGUENZA</t>
  </si>
  <si>
    <t>PISO CEMENTO E INSTALACIONES SEMI OCULTAS. ----------</t>
  </si>
  <si>
    <t>LUS21-540-MP105</t>
  </si>
  <si>
    <t>L21-665-MP125</t>
  </si>
  <si>
    <t>RPNA9-120521</t>
  </si>
  <si>
    <t>MARLON RENE ARGUETA ESCOBAR</t>
  </si>
  <si>
    <t>16 CALLE 3-108 ZONA 9</t>
  </si>
  <si>
    <t>1 CALLE CALLEJON 24 1-30 ZONA 1</t>
  </si>
  <si>
    <t>201E</t>
  </si>
  <si>
    <t>LUS21-599-MP109</t>
  </si>
  <si>
    <t>140-2021/DCN/DDQZ/FACS/msgg</t>
  </si>
  <si>
    <t>INDEFINIDO</t>
  </si>
  <si>
    <t>L21-544-MP109</t>
  </si>
  <si>
    <t>VUNPR-010521</t>
  </si>
  <si>
    <t>PROYECTOS INMOBILIARIOS MONTESCO, S.A.</t>
  </si>
  <si>
    <t>LOTE 23 PLANES DEL PINAL TIERRA COLORADA BAJA</t>
  </si>
  <si>
    <t>CANTON LLANO DEL PINAL SECTOR 1</t>
  </si>
  <si>
    <t>279E</t>
  </si>
  <si>
    <t>EVELYN YVONNE VALDEZ DEL CID</t>
  </si>
  <si>
    <t>YESICA MARIBEL CÚ MEJIA</t>
  </si>
  <si>
    <t>2057 50451 1003</t>
  </si>
  <si>
    <t>LUS21-491-MP097</t>
  </si>
  <si>
    <t>0596-2015/DIGARN/FACB/rjop</t>
  </si>
  <si>
    <t>L21-558-MP116</t>
  </si>
  <si>
    <t>VUNT10-010621</t>
  </si>
  <si>
    <t>ELSA MERCEDES TIU DE PEREZ</t>
  </si>
  <si>
    <t>DIAGONAL 15 2-136G INTERIOR ZONA 10</t>
  </si>
  <si>
    <t>270E</t>
  </si>
  <si>
    <t>ANA ISABEL GUERRA SUM</t>
  </si>
  <si>
    <t>1809 45270 0901</t>
  </si>
  <si>
    <t>LUS21-502-MP103</t>
  </si>
  <si>
    <t>2403-2020/DCN/UIDF/grqq</t>
  </si>
  <si>
    <t>L21-557-MP118</t>
  </si>
  <si>
    <t>DMNR1-040621</t>
  </si>
  <si>
    <t>EVA JUDITH RAMOS AXT</t>
  </si>
  <si>
    <t>DIAGONAL 2, 1-37 INTERIOR ZONA 1</t>
  </si>
  <si>
    <t>WALTER DE JESUS POROJ BOJ</t>
  </si>
  <si>
    <t>DEMOLICION VIVIENDA UNIFAMILIAR</t>
  </si>
  <si>
    <t>DEMOLICION DE PAREDES DE BLOCK, TECHO DE LOSA DE CONCRETO,</t>
  </si>
  <si>
    <t>L21-637-MP127</t>
  </si>
  <si>
    <t>VUNR1-010621</t>
  </si>
  <si>
    <t>2544 09504 0901</t>
  </si>
  <si>
    <t>LUS21-576-MP111</t>
  </si>
  <si>
    <t>653-2021/DCN/DDQZ/FACS/grq</t>
  </si>
  <si>
    <t>L21-444-MP106</t>
  </si>
  <si>
    <t>VUNS9-010321</t>
  </si>
  <si>
    <t>ANCELMO JULIO SOTO ROMERO</t>
  </si>
  <si>
    <t>DIAGONAL 4 9-45 ZONA 9</t>
  </si>
  <si>
    <t>9 CALLE INTERIOR 8-28 ZOAN 9</t>
  </si>
  <si>
    <t>MARCO VINICIO PEREZ MEJIA</t>
  </si>
  <si>
    <t>LOCAL COMERCIAL</t>
  </si>
  <si>
    <t>ESTABLECIDA COSTADOS NORTE Y ORIENTE</t>
  </si>
  <si>
    <t>LUS21-394-MP095</t>
  </si>
  <si>
    <t>238-2021/DCN/DDQZ/FACS/GRQQ/uidlf</t>
  </si>
  <si>
    <t>L21-580-MP059</t>
  </si>
  <si>
    <t>RPNP10-040221</t>
  </si>
  <si>
    <t>ISAIAS POZ PEREZ</t>
  </si>
  <si>
    <t>7 CALLE 1-40 ZONA 10</t>
  </si>
  <si>
    <t>JOSUE JEOVANY LEIVA MENDEZ</t>
  </si>
  <si>
    <t>2885 53691 0901</t>
  </si>
  <si>
    <t>L21-643-MP117</t>
  </si>
  <si>
    <t>RPNL7-130621</t>
  </si>
  <si>
    <t>FULGENCIO GERARDO LOPEZ VELASQUEZ Y CDÑA</t>
  </si>
  <si>
    <t>9 CALLE 0-75, APTO. #40 ZONA 7 ARBOLEDA</t>
  </si>
  <si>
    <t>21 AVENIDA 7-76 ZONA 3</t>
  </si>
  <si>
    <t>71E</t>
  </si>
  <si>
    <t>KARLA GUADALUPE RONQUILLO ARMAS</t>
  </si>
  <si>
    <t>CESILI PAHOLA MACARIA LOPEZ TZIC</t>
  </si>
  <si>
    <t>3089 90587 0805</t>
  </si>
  <si>
    <t>LUS21-580-MP104</t>
  </si>
  <si>
    <t>0029-2021/DCN/DDQZ/MSGG/GRQQ/cacb</t>
  </si>
  <si>
    <t>L21-434-MP101</t>
  </si>
  <si>
    <t>VUNT9-010521</t>
  </si>
  <si>
    <t>ELDER NOE TUM DELGADO</t>
  </si>
  <si>
    <t>DIAGONAL 4 9-71J INTERIOR ZONA 9</t>
  </si>
  <si>
    <t>ANTONIO RAMON GONZALEZ PEREZ</t>
  </si>
  <si>
    <t>2054-2021/DCN/FACS/cacb</t>
  </si>
  <si>
    <t>LUS21-385-MP090</t>
  </si>
  <si>
    <t>L21-547-MP102</t>
  </si>
  <si>
    <t>RPNV11-070521</t>
  </si>
  <si>
    <t>JUAN VASQUEZ GUZMAN</t>
  </si>
  <si>
    <t>10 CALLE 3A-07 ZONA 11 VISTA BELLA</t>
  </si>
  <si>
    <t>8 CALLE 29-26 ZONA 7</t>
  </si>
  <si>
    <t>311E</t>
  </si>
  <si>
    <t>EDUARDO BENJAMIN SON PEREZ</t>
  </si>
  <si>
    <t>JESSICA LORENA RODAS ARREDONDO</t>
  </si>
  <si>
    <t>2271 16690 0917</t>
  </si>
  <si>
    <t>CORRECTA COSTADO NORTE Y ORIENTE</t>
  </si>
  <si>
    <t>LUS21-494-MP091</t>
  </si>
  <si>
    <t>L21-563-MP123</t>
  </si>
  <si>
    <t>VUNI3-010621</t>
  </si>
  <si>
    <t>DMNI3-030621</t>
  </si>
  <si>
    <t>RUDY FRACCEDIS IXCARAGUA COTOM Y CDÑA</t>
  </si>
  <si>
    <t>6 CALLE 12-04 ZONA 3</t>
  </si>
  <si>
    <t>13 AVENIDA 2-25 ZONA 3</t>
  </si>
  <si>
    <t>233E</t>
  </si>
  <si>
    <t>CESAR EDUARDO CHOJOLAN QUIXTAN</t>
  </si>
  <si>
    <t>DEMOLICION DE PAREDES DE ADOBE, TECHO DE LAMINA Y MACHIMBRE,</t>
  </si>
  <si>
    <t>PISO CEMENTO E INSTALACIONES OCULTAS. ----------</t>
  </si>
  <si>
    <t>L21-576-MP122</t>
  </si>
  <si>
    <t>OFICINAS (3)</t>
  </si>
  <si>
    <t>LUS21-563-MP108</t>
  </si>
  <si>
    <t>650-2021/DCN/DDQZ/FACS/grq</t>
  </si>
  <si>
    <t>L21-581-MP107</t>
  </si>
  <si>
    <t>RPNB5-190621</t>
  </si>
  <si>
    <t>ANNA LAURA BARRIOS MARTINEZ</t>
  </si>
  <si>
    <t>17 CALLE 7-143 ZONA 5</t>
  </si>
  <si>
    <t>MANUEL DE JESUS SON CUÁ</t>
  </si>
  <si>
    <t>AMPLIACION VIVIENDA UNIFAMILIAR</t>
  </si>
  <si>
    <t>LUS21-523-MP096</t>
  </si>
  <si>
    <t>L21-380-MP080</t>
  </si>
  <si>
    <t>RPNF5-140521</t>
  </si>
  <si>
    <t>WILSON MARVIN FUENTES HERNANDEZ</t>
  </si>
  <si>
    <t>16 CALLE D1-50 ZONA 5</t>
  </si>
  <si>
    <t>SERGIO HERNAN GUTIERREZ PUAC</t>
  </si>
  <si>
    <t>LUS21-334-MP076</t>
  </si>
  <si>
    <t>L21-517-MP113</t>
  </si>
  <si>
    <t>VUNR9-020521</t>
  </si>
  <si>
    <t>LIDIA ROXANA ORDOÑEZ MARTINEZ DE REYES</t>
  </si>
  <si>
    <t>9 CALLE 6-18 ZONA 9</t>
  </si>
  <si>
    <t xml:space="preserve">3 AVENIDA 4-96 LOTE 32 MZ. O ZONA 5 LOMA LINDA </t>
  </si>
  <si>
    <t>8 AVENIDA 8-48 ZONA 9</t>
  </si>
  <si>
    <t>JOSE CARLOS VILLATORO OCHOA</t>
  </si>
  <si>
    <t>LEANDRO JOSUE QUIROA CIFUENTES</t>
  </si>
  <si>
    <t>1596 89104 0901</t>
  </si>
  <si>
    <t>VIVIENDA MULTIFAMILIAR (5 APARTAMENTOS)</t>
  </si>
  <si>
    <t>LUS21-464-MP101</t>
  </si>
  <si>
    <t>0164-2021/DCN/DDQZ/FACS/GRQQ/cacb</t>
  </si>
  <si>
    <t>L21-509-MP114</t>
  </si>
  <si>
    <t>VUNS12-010621</t>
  </si>
  <si>
    <t>JOSE FRANCISCO SAC QUIJIVIX</t>
  </si>
  <si>
    <t>8 AVENIDA 5-18 ZONA 12 PRADOS DEL ENCINAL</t>
  </si>
  <si>
    <t>8 CALLE 19A-26 ZONA 1</t>
  </si>
  <si>
    <t>JIMMY ANWAR COTI GONZALEZ</t>
  </si>
  <si>
    <t>JOSE LUIS SANTOS LOPEZ</t>
  </si>
  <si>
    <t>2270 20391 0901</t>
  </si>
  <si>
    <t>LUS21-456-MP102</t>
  </si>
  <si>
    <t>L21-419-MP069</t>
  </si>
  <si>
    <t>RPNP10-030221</t>
  </si>
  <si>
    <t>JIMMY MAXIMILIANO PISQUIY CHAJ</t>
  </si>
  <si>
    <t>6 CALLE 5-73 INTERIOR ZONA 10</t>
  </si>
  <si>
    <t>240E</t>
  </si>
  <si>
    <t>LUS21-370-MP066</t>
  </si>
  <si>
    <t>L21-424-MP063</t>
  </si>
  <si>
    <t>RPNL8-010121</t>
  </si>
  <si>
    <t>MARIA FLORINDA LOPEZ LOPEZ</t>
  </si>
  <si>
    <t>CERO CALLE 37-162, LOTE 8 ZONA 8</t>
  </si>
  <si>
    <t>6E</t>
  </si>
  <si>
    <t>ALEXIS GARCIA ESCALANTE</t>
  </si>
  <si>
    <t>LUS21-375-MP061</t>
  </si>
  <si>
    <t>L22-002-MP162</t>
  </si>
  <si>
    <t>DMNB7-011121</t>
  </si>
  <si>
    <t>ANGELICA PRISILA BARRIOS SANTIZO</t>
  </si>
  <si>
    <t>26 AVENIDA 3-41 ZONA 7</t>
  </si>
  <si>
    <t>4 CALLE 26-25 ZONA 7</t>
  </si>
  <si>
    <t>ERICK CARLOS ROLANDO RIVAS AVENDAÑO</t>
  </si>
  <si>
    <t>DEMOLICION DE PAREDES DE ADOBE, TECHO DE LAMINA</t>
  </si>
  <si>
    <t>Y MADERA, PISO CEMENTO. ----------</t>
  </si>
  <si>
    <t>L22-040-MP146</t>
  </si>
  <si>
    <t>VUNCR-821121</t>
  </si>
  <si>
    <t>LOTE 40 MZ D CONDOMINIO XELA GARDENS FASE 3</t>
  </si>
  <si>
    <t>SIEGLY DENNIF MONTERROSO LOPEZ</t>
  </si>
  <si>
    <t>1855 76826 0901</t>
  </si>
  <si>
    <t>LUS22-036-MP130</t>
  </si>
  <si>
    <t>FECHA DE VENCIMIENTO</t>
  </si>
  <si>
    <t>L22-193-MP158</t>
  </si>
  <si>
    <t>VUNI12-221021</t>
  </si>
  <si>
    <t>IMPULSADORA DE VIVIENDAS QUETZALTECAS S.A.</t>
  </si>
  <si>
    <t>4 AVENIDA 10B-03 LOTE 33 ZONA 12</t>
  </si>
  <si>
    <t>318E</t>
  </si>
  <si>
    <t>MARLEN ALEJANDRA GALINDO GALINDO</t>
  </si>
  <si>
    <t>2227 13461 0901</t>
  </si>
  <si>
    <t>PISO CERAMICO NACIONAL E INSTALACIONES OCULTAS. ----------</t>
  </si>
  <si>
    <t>LUS22-165-MP141</t>
  </si>
  <si>
    <t>1003-2017/DCN/DDQZ/FACS/GRQQ/cacb</t>
  </si>
  <si>
    <t>L21-970-MP174</t>
  </si>
  <si>
    <t>RPNNR-740921</t>
  </si>
  <si>
    <t>ROMEO NIMATUJ</t>
  </si>
  <si>
    <t>RURAL CENTRO POBLADO</t>
  </si>
  <si>
    <t>LUS21-868-MP154</t>
  </si>
  <si>
    <t>L21-969-MP173</t>
  </si>
  <si>
    <t>RPNX5-471021</t>
  </si>
  <si>
    <t>ZOILA CAROLINA E. PINTO CARDENAS DE XICARA</t>
  </si>
  <si>
    <t>2 CALLE A 4-05 LOTE 11 MZ K ZONA 5 LOMA LINDA</t>
  </si>
  <si>
    <t>L22-041-MP147</t>
  </si>
  <si>
    <t>VUNCR-831121</t>
  </si>
  <si>
    <t>LOTE 41 MZ D CONDOMINIO XELA GARDENS FASE 3</t>
  </si>
  <si>
    <t>LUS22-037-MP131</t>
  </si>
  <si>
    <t>L21-554-MP154</t>
  </si>
  <si>
    <t>RPNH1-290521</t>
  </si>
  <si>
    <t>ZENY ALEJANDRA SANCHEZ GALVEZ DE HERRERA</t>
  </si>
  <si>
    <t>27 AVENIDA D11-70D INTERIOR ZONA 1</t>
  </si>
  <si>
    <t>LUS21-500-MP138</t>
  </si>
  <si>
    <t>L21-683-MP126</t>
  </si>
  <si>
    <t>RPNV1-220521</t>
  </si>
  <si>
    <t>ELI BARTOLOME VILLATORO PAZ</t>
  </si>
  <si>
    <t>CALLEJON 9 11-92A INTERIOR ZONA 1</t>
  </si>
  <si>
    <t>LUS21-617-MP110</t>
  </si>
  <si>
    <t>L21-826-MP140</t>
  </si>
  <si>
    <t>RPNH1-541021</t>
  </si>
  <si>
    <t>SANTOS NERY DAVID HERNANDEZ BARRENO</t>
  </si>
  <si>
    <t>10 CALLE A D12-94 ZONA 1</t>
  </si>
  <si>
    <t>282E</t>
  </si>
  <si>
    <t>DANNY ADAN VICENTE CHOJOLAN</t>
  </si>
  <si>
    <t>MONICA MARIELA CHOXOM SACALXOT</t>
  </si>
  <si>
    <t>1583 57086 0901</t>
  </si>
  <si>
    <t>LUS21-746-MP124</t>
  </si>
  <si>
    <t>2 CALLE, CALLEJON 17 2-36 ZONA 1</t>
  </si>
  <si>
    <t>L21-734-MP066</t>
  </si>
  <si>
    <t>VUNA3-020321</t>
  </si>
  <si>
    <t>AGROPECUARIA LAGA S.A.</t>
  </si>
  <si>
    <t>DIAGONAL 3 31-56, APTO. #23 ZONA 3 HELVETIA</t>
  </si>
  <si>
    <t>DIAGONAL 3 31-56 ZONA 3</t>
  </si>
  <si>
    <t>235E</t>
  </si>
  <si>
    <t>JUAN LUIS SERRANO VASQUEZ</t>
  </si>
  <si>
    <t>LUS21-664-MP064</t>
  </si>
  <si>
    <t>2787-2016/DIGARN/JMGM/rjop</t>
  </si>
  <si>
    <t>L21-760-MP129</t>
  </si>
  <si>
    <t>VUNP12-020921</t>
  </si>
  <si>
    <t>CARLOS ENRIQUE PEREZ RACANCOJ</t>
  </si>
  <si>
    <t>11 CALLE B 4-61 LOTE 6 MZ O ZONA 12 LOS PINOS</t>
  </si>
  <si>
    <t>CALLE A 0-52 ZONA 1</t>
  </si>
  <si>
    <t>LUS21-685-MP113</t>
  </si>
  <si>
    <t>L21-763-MP131</t>
  </si>
  <si>
    <t>VUNP12-030921</t>
  </si>
  <si>
    <t>11 CALLE B 4-67 LOTE 5 MZ O ZONA 12 LOS PINOS</t>
  </si>
  <si>
    <t>LUS21-688-MP115</t>
  </si>
  <si>
    <t>L21-762-MP130</t>
  </si>
  <si>
    <t>VUNP12-040921</t>
  </si>
  <si>
    <t>10 CALLE A 5-83 LOTE 6 MZ F ZONA 12 LOS PINOS</t>
  </si>
  <si>
    <t>LUS21-687-MP114</t>
  </si>
  <si>
    <t>L21-813-MP138</t>
  </si>
  <si>
    <t>VUNP6-021021</t>
  </si>
  <si>
    <t>CIDENIA LOIRTA PEREZ Y PEREZ Y CDÑA</t>
  </si>
  <si>
    <t>9 CALLE 5-34 ZONA 6</t>
  </si>
  <si>
    <t>VIRGINIA FERNANDA RODRIGUEZ RODAS</t>
  </si>
  <si>
    <t>3343 05470 1301</t>
  </si>
  <si>
    <t>LUS21-735-MP121</t>
  </si>
  <si>
    <t>5250-2021/DCN/FACS/grqq</t>
  </si>
  <si>
    <t>L21-776-MP144</t>
  </si>
  <si>
    <t>VUNR10-031021</t>
  </si>
  <si>
    <t>OSMAR REYES MALDONADO</t>
  </si>
  <si>
    <t>13 CALLE 0-50 LOTE 8 ZONA 10 PASEO EL PEDREGAL</t>
  </si>
  <si>
    <t>CALLE C 25-65 ZONA 1</t>
  </si>
  <si>
    <t>92E</t>
  </si>
  <si>
    <t>LUS21-702-MP128</t>
  </si>
  <si>
    <t>0345-2021/DCN/DDQZ/FACS/GRQQ/cacb</t>
  </si>
  <si>
    <t>L21-823-MP155</t>
  </si>
  <si>
    <t>VUNM4-011020</t>
  </si>
  <si>
    <t>OSCAR ANIBAL MEJIA RACANCOJ Y CONDUEÑA</t>
  </si>
  <si>
    <t>5A. CALLE 0-10 ZONA 4 VISTA HERMOSA</t>
  </si>
  <si>
    <t>8 CALLE 7-11 ZONA 1</t>
  </si>
  <si>
    <t>22E</t>
  </si>
  <si>
    <t>LOCALES COMERCIALES (4)</t>
  </si>
  <si>
    <t>ESTABLECIDA POR EL DEPTO. DE ORDENAMIENTO TERRITORIAL</t>
  </si>
  <si>
    <t>LUS21-743-MP139</t>
  </si>
  <si>
    <t>106-2020/DCN/DDQZ/FACS/GRQQ/uidlf</t>
  </si>
  <si>
    <t>L21-771-MP143</t>
  </si>
  <si>
    <t>VUNM5-081021</t>
  </si>
  <si>
    <t>MIRIAM VERONICA MALDONADO REYES</t>
  </si>
  <si>
    <t>11 AVENIDA 1-81, LOTE 41 MZ G ZONA 5 XELAGARDEN</t>
  </si>
  <si>
    <t>14 CALLE 29-39 ZONA 7 LOS TRIGALES</t>
  </si>
  <si>
    <t>12E</t>
  </si>
  <si>
    <t>LUS21-697-MP127</t>
  </si>
  <si>
    <t>L21-721-MP135</t>
  </si>
  <si>
    <t>VUNM11-010921</t>
  </si>
  <si>
    <t>SANTOS AGUSTINA MEJIA LOPEZ</t>
  </si>
  <si>
    <t>9 CALLE 3-02 ZONA 11 VISTA BELLA</t>
  </si>
  <si>
    <t>289E</t>
  </si>
  <si>
    <t>JUAN CARLOS ALVARADO MIRANDA</t>
  </si>
  <si>
    <t>CORRECTA COSTADOS ORIENTE Y SUR</t>
  </si>
  <si>
    <t>LUS21-651-MP119</t>
  </si>
  <si>
    <t>L21-759-MP132</t>
  </si>
  <si>
    <t>VUNC7-040921</t>
  </si>
  <si>
    <t>CARMEN PATRICIA PEREZ RODRIGUEZ DE CALDERON</t>
  </si>
  <si>
    <t>24 AVENIDA 3-22 ZONA 7</t>
  </si>
  <si>
    <t>LUS21-684-MP116</t>
  </si>
  <si>
    <t>927-2021/DCN/DDQZ/FACS/GRQQ/cacb</t>
  </si>
  <si>
    <t>L21-808-MP142</t>
  </si>
  <si>
    <t>VUNVR-031021</t>
  </si>
  <si>
    <t>NOE ALEXANDER VICENTE LOPEZ Y CONDUEÑA</t>
  </si>
  <si>
    <t>ALDEA SAN JOSE CHIQUILAJA 14 CALLE 5-241, VILLAS DE JAZMIN</t>
  </si>
  <si>
    <t>313E</t>
  </si>
  <si>
    <t>GILBERTO ESTUARDO FUENTES MARTINEZ</t>
  </si>
  <si>
    <t>LUS21-730-MP126</t>
  </si>
  <si>
    <t>L22-768-MP027</t>
  </si>
  <si>
    <t>VUNV5-010622</t>
  </si>
  <si>
    <t>CARLOS ISIDRO VILLATORO ANTONIO</t>
  </si>
  <si>
    <t>18 CALLE 2-84 INTERIOR ZONA 5</t>
  </si>
  <si>
    <t>DIAGONAL 12 10-14 ZONA 1</t>
  </si>
  <si>
    <t>EMILIO MOISES YAX TUL</t>
  </si>
  <si>
    <t>EDVIN LEONEL COJULUM GUZMAN</t>
  </si>
  <si>
    <t>1702 34789 0901</t>
  </si>
  <si>
    <t>LUS22-694-MP028</t>
  </si>
  <si>
    <t>84-2020/DCN/DDQZ/FACS/GRQQ/uidlf</t>
  </si>
  <si>
    <t>L21-238-MP026</t>
  </si>
  <si>
    <t>VUNI9-210221</t>
  </si>
  <si>
    <t>3 CALLE 9-65 LOTE 21 ZONA 9</t>
  </si>
  <si>
    <t>LUS21-210-MP026</t>
  </si>
  <si>
    <t>L21-927-MP171</t>
  </si>
  <si>
    <t>RPNA7-231021</t>
  </si>
  <si>
    <t>DENNIS STEVE ANLEU LOPEZ</t>
  </si>
  <si>
    <t>9 CALLE A 1-04 ZONA 7</t>
  </si>
  <si>
    <t>LUS21-834-MP152</t>
  </si>
  <si>
    <t>L21-918-MP164</t>
  </si>
  <si>
    <t>RPNL10-190321</t>
  </si>
  <si>
    <t>MAYNOR ROCKY LOPEZ MENCHU</t>
  </si>
  <si>
    <t>5 AVENIDA 5-81 ZONA 10</t>
  </si>
  <si>
    <t>126E</t>
  </si>
  <si>
    <t>VIVIENDA UNIFAMILIAR + LOCALES COMERCIALES (2)</t>
  </si>
  <si>
    <t>LUS21-827-MP147</t>
  </si>
  <si>
    <t>789-2021/DCN/DDQZ/FACS/msgg</t>
  </si>
  <si>
    <t>L22-003-MP163</t>
  </si>
  <si>
    <t>VUNB7-011121</t>
  </si>
  <si>
    <t>LUS22-002-MP145</t>
  </si>
  <si>
    <t>6342-2021/DCN/FACS/msgg</t>
  </si>
  <si>
    <t>L21-922-MP073</t>
  </si>
  <si>
    <t>VUND9-020321</t>
  </si>
  <si>
    <t>DESARROLLOS LAS LUCES DE OCCIDENTE S.A.</t>
  </si>
  <si>
    <t>4 AVENIDA 2A-16 CASA 37 ZONA 9 LUCES DE LA FLORESTA</t>
  </si>
  <si>
    <t>13 AVENIDA 5-16 ZONA 1</t>
  </si>
  <si>
    <t>LUIS ANTONIO JUAREZ REYES</t>
  </si>
  <si>
    <t xml:space="preserve">ANDRE DAVID GUILLEN DE LEON </t>
  </si>
  <si>
    <t>1708 92909 0901</t>
  </si>
  <si>
    <t>LUS21-830-MP070</t>
  </si>
  <si>
    <t>408-2013/DIGARN/UCA/ODGR/DACL</t>
  </si>
  <si>
    <t>L21-555-MP169</t>
  </si>
  <si>
    <t>RPNL5-230421</t>
  </si>
  <si>
    <t>JORGE GUILLERMO LOPEZ JACOBS</t>
  </si>
  <si>
    <t>10 AVENIDA 12-26 BUENA VISTA ZONA 5</t>
  </si>
  <si>
    <t>CORRECTA COSTADO SUR Y ORIENTE</t>
  </si>
  <si>
    <t>L21-876-MP161</t>
  </si>
  <si>
    <t>VUNR11-020921</t>
  </si>
  <si>
    <t>MARIO ALBERTO RODAS REYES</t>
  </si>
  <si>
    <t>8 CALLE 3-40 ZONA 11 VISTA BELLA</t>
  </si>
  <si>
    <t>4 AVENIDA 8-14 ZONA 10</t>
  </si>
  <si>
    <t>293E</t>
  </si>
  <si>
    <t>LUS21-797-MP144</t>
  </si>
  <si>
    <t>5251-2021/DCN/FACS/grqq</t>
  </si>
  <si>
    <t>L21-223-MP011</t>
  </si>
  <si>
    <t>VUNI9-060221</t>
  </si>
  <si>
    <t>3 CALLE 9-65 LOTE 6 ZONA 9 LA ESTANCIA</t>
  </si>
  <si>
    <t>LUS21-195-MP011</t>
  </si>
  <si>
    <t>L22-078-MP004</t>
  </si>
  <si>
    <t>VUNS7-011121</t>
  </si>
  <si>
    <t>ALEXIS EVERALDO SILIEZAR GONZALEZ</t>
  </si>
  <si>
    <t>26 AVENIDA 6-59 ZONA 7</t>
  </si>
  <si>
    <t>2 CALLE, CALLEJON 17 2-27 ZONA 1</t>
  </si>
  <si>
    <t>290E</t>
  </si>
  <si>
    <t>ALBERTO RICARDO COJULUM CHAN</t>
  </si>
  <si>
    <t>PISO CEMENTO CONCRETO E INSTALACIONES OCULTAS. ----------</t>
  </si>
  <si>
    <t>LUS22-066-MP004</t>
  </si>
  <si>
    <t>389-2021/DCN/DDQZ/FACS/GRQQ/uidlf</t>
  </si>
  <si>
    <t>L22-023-MP001</t>
  </si>
  <si>
    <t>VUNG1-021121</t>
  </si>
  <si>
    <t>VIRGINIA E. CASTILLO AGUILAR DE GRANADOS</t>
  </si>
  <si>
    <t>10 CALLE C C19-15 ZONA 1</t>
  </si>
  <si>
    <t>10 CALLE C19-15 ZONA 1</t>
  </si>
  <si>
    <t>LUS22-022-MP001</t>
  </si>
  <si>
    <t>5820-2021/DCN/FACS/grqq</t>
  </si>
  <si>
    <t>L21-921-MP074</t>
  </si>
  <si>
    <t>VUND9-010321</t>
  </si>
  <si>
    <t>4 AVENIDA 2A-16 CASA 36 ZONA 9 LUCES DE LA FLORESTA</t>
  </si>
  <si>
    <t>LUS21-829-MP071</t>
  </si>
  <si>
    <t>L21-747-MP141</t>
  </si>
  <si>
    <t>VUNG10-031021</t>
  </si>
  <si>
    <t>ROSA BARRENO HERNANDEZ DE GONZALEZ</t>
  </si>
  <si>
    <t>13 CALLE 0-95 ZONA 10</t>
  </si>
  <si>
    <t>13 CALLE 0-80 ZONA 10</t>
  </si>
  <si>
    <t>ERICK ANTONIO SANTIZO MATUL</t>
  </si>
  <si>
    <t>2601 50541 0921</t>
  </si>
  <si>
    <t>LUS21-674-MP125</t>
  </si>
  <si>
    <t>1311-2021/DCN/DDQZ/FACS/msgg</t>
  </si>
  <si>
    <t>L22-009-MP156</t>
  </si>
  <si>
    <t>VUNM10-041121</t>
  </si>
  <si>
    <t>LUISA MORALES GONZALES</t>
  </si>
  <si>
    <t>5 AVENIDA 4-33, INTERIOR ZONA 10</t>
  </si>
  <si>
    <t>26 AVENIDA D11-56 ZONA 1</t>
  </si>
  <si>
    <t>L21-077-MP002</t>
  </si>
  <si>
    <t>VUNO5-051121</t>
  </si>
  <si>
    <t>ARNOLDO GILBERTO OROXOM RODRIGUEZ</t>
  </si>
  <si>
    <t>7 AVENIDA D3-50, LOTE 20 MZ C ZONA 5 ALTOS DE FLORENCIA</t>
  </si>
  <si>
    <t>68E</t>
  </si>
  <si>
    <t>LUS22-065-MP002</t>
  </si>
  <si>
    <t>L22-084-MP003</t>
  </si>
  <si>
    <t>VUNA3-051221</t>
  </si>
  <si>
    <t>CARLOS ROBERTO ALVARADO GALVEZ</t>
  </si>
  <si>
    <t>23 AVENIDA 10-35 ZONA 3</t>
  </si>
  <si>
    <t>23 AVENIDA 10-01 ZONA 3</t>
  </si>
  <si>
    <t>BODEGA DE PRODUCCION</t>
  </si>
  <si>
    <t>PAREDES DE BLOCK Y LAMINA, TECHO DE LAMINA TROQUELADA,</t>
  </si>
  <si>
    <t>LUS22-073-MP003</t>
  </si>
  <si>
    <t>1667-2021/DCN/DDQZ/FACS/cacb</t>
  </si>
  <si>
    <t>L21-549-MP168</t>
  </si>
  <si>
    <t>WENER MAMERTO FUENTES OROZCO</t>
  </si>
  <si>
    <t>2 CALLE 34-45 ZONA 8</t>
  </si>
  <si>
    <t>L21-924-MP166</t>
  </si>
  <si>
    <t>RPNS10-080121</t>
  </si>
  <si>
    <t>LILIAN ARACELY SUM RACANCOJ</t>
  </si>
  <si>
    <t>13 CALLE 0-65D INTERIOR ZONA 10</t>
  </si>
  <si>
    <t>315E</t>
  </si>
  <si>
    <t>LUS21-831-MP149</t>
  </si>
  <si>
    <t>L21-932-MP167</t>
  </si>
  <si>
    <t>RPNAR-210121</t>
  </si>
  <si>
    <t>OTTO JOEL BATRES MALDONADO</t>
  </si>
  <si>
    <t>CANTON LLANOS DEL PINAL LOTE 63, SANTA MARIA DEL PINAL</t>
  </si>
  <si>
    <t>34E</t>
  </si>
  <si>
    <t>L22-102-MP136</t>
  </si>
  <si>
    <t>RPNF8-200421</t>
  </si>
  <si>
    <t>RPNC5-360921</t>
  </si>
  <si>
    <t>LAURA OFELIA CIFUENTES GARCIA</t>
  </si>
  <si>
    <t>2 CALLE A 4-22 ZONA 5 LOMA LINDA</t>
  </si>
  <si>
    <t>218E</t>
  </si>
  <si>
    <t>L21-939-MP170</t>
  </si>
  <si>
    <t>RPNER-240221</t>
  </si>
  <si>
    <t>SANDRA INES ARCHILA MAZARIEGOS</t>
  </si>
  <si>
    <t xml:space="preserve">TIERRA COLORADA BAJA </t>
  </si>
  <si>
    <t>83E</t>
  </si>
  <si>
    <t>LUS21-844-MP151</t>
  </si>
  <si>
    <t>L21-919-MP165</t>
  </si>
  <si>
    <t>RPNR12-020121</t>
  </si>
  <si>
    <t>ALVARO LEONARDO RECINOS CHAVEZ</t>
  </si>
  <si>
    <t>11 AVENIDA 11-46 SECTOR 4B ZONA 12 NUEVA CIUDAD DE LOS ALTOS</t>
  </si>
  <si>
    <t>69E</t>
  </si>
  <si>
    <t>LUS21-828-MP148</t>
  </si>
  <si>
    <t>L21-986-MP177</t>
  </si>
  <si>
    <t>RPNM7-080321</t>
  </si>
  <si>
    <t>FIDEL NICOLAS MACHIC IXCOLIN Y CDÑA</t>
  </si>
  <si>
    <t>28 AVENIDA A 1-40 LOTE 16 MZ H ZONA 7</t>
  </si>
  <si>
    <t>LUS21-882-MP156</t>
  </si>
  <si>
    <t>L22-407-MP010</t>
  </si>
  <si>
    <t>VUNM10-031021</t>
  </si>
  <si>
    <t>MARIO EDUARDO MENDOZA</t>
  </si>
  <si>
    <t>5 AVENIDA 1-43 ZONA 10</t>
  </si>
  <si>
    <t>CALLE RODOLFO ROBLES 24-30 ZONA 3</t>
  </si>
  <si>
    <t>1948 42347 0901</t>
  </si>
  <si>
    <t>LUS22-361-MP011</t>
  </si>
  <si>
    <t>L22-330-MP009</t>
  </si>
  <si>
    <t>VUNP6-010222</t>
  </si>
  <si>
    <t>SANTOS LUCRECIO PEREZ SIGUANTAY</t>
  </si>
  <si>
    <t>3 AVENIDA 14B-67 ZONA 6</t>
  </si>
  <si>
    <t>ALDEA CALEL, SAN CARLOS SIJA, QUETZALTENANGO</t>
  </si>
  <si>
    <t xml:space="preserve">ANGEL RODOLFO PUAC MORALES </t>
  </si>
  <si>
    <t>JEREMIAS PEREZ SIGUANTAY</t>
  </si>
  <si>
    <t>3862 41228 0904</t>
  </si>
  <si>
    <t>JPU-0048-2022</t>
  </si>
  <si>
    <t>DIRECCION DE DRENAJES Y ALCANTARILLADOS</t>
  </si>
  <si>
    <t>LUS22-288-MP009</t>
  </si>
  <si>
    <t>143-2022/DCN/DDQZ/FACS/grq</t>
  </si>
  <si>
    <t>L22-356-MP007</t>
  </si>
  <si>
    <t>VUND10-010422</t>
  </si>
  <si>
    <t>MARIO ENRIQUE DE LEON QUIROA</t>
  </si>
  <si>
    <t>3 AVENIDA 9-28 ZONA 10</t>
  </si>
  <si>
    <t>12 AVENIDA 0-40 ZONA 1</t>
  </si>
  <si>
    <t>41E</t>
  </si>
  <si>
    <t>JORGE ALBERTO LOPEZ MAZARIEGOS</t>
  </si>
  <si>
    <t>KENDY DEL ROSARIO LOPEZ GARCIA</t>
  </si>
  <si>
    <t>1711 17034 0901</t>
  </si>
  <si>
    <t>LUS22-311-MP008</t>
  </si>
  <si>
    <t>L21-973-MP175</t>
  </si>
  <si>
    <t>RPNR7-201021</t>
  </si>
  <si>
    <t>MARIBEL LETICIA OROZCO Y OROZCO</t>
  </si>
  <si>
    <t>12 AVENIDA 0-70 ZONA 8</t>
  </si>
  <si>
    <t>77E</t>
  </si>
  <si>
    <t>LUS21-870-MP155</t>
  </si>
  <si>
    <t>L22-043-MP149</t>
  </si>
  <si>
    <t>VUNCR-851121</t>
  </si>
  <si>
    <t>LOTE 43 MZ D CONDOMINIO XELA GARDENS FASE 3</t>
  </si>
  <si>
    <t>LUS22-039-MP133</t>
  </si>
  <si>
    <t>L22-042-MP148</t>
  </si>
  <si>
    <t>VUNCR-841121</t>
  </si>
  <si>
    <t>LOTE 42 MZ D CONDOMINIO XELA GARDENS FASE 3</t>
  </si>
  <si>
    <t>LUS22-138-MP132</t>
  </si>
  <si>
    <t>L22-039-MP145</t>
  </si>
  <si>
    <t>VUNCR-811121</t>
  </si>
  <si>
    <t>LOTE 39 MZ D CONDOMINIO XELA GARDENS FASE 3</t>
  </si>
  <si>
    <t>LUS22-035-MP129</t>
  </si>
  <si>
    <t>L22-047-MP153</t>
  </si>
  <si>
    <t>VUNCR-891121</t>
  </si>
  <si>
    <t>LOTE 47 MZ D CONDOMINIO XELA GARDENS FASE 3</t>
  </si>
  <si>
    <t>LUS22-043-MP137</t>
  </si>
  <si>
    <t>L22-046-MP152</t>
  </si>
  <si>
    <t>VUNCR-881121</t>
  </si>
  <si>
    <t>LOTE 46 MZ D CONDOMINIO XELA GARDENS FASE 3</t>
  </si>
  <si>
    <t>LUS22-042-MP136</t>
  </si>
  <si>
    <t>L22-045-MP151</t>
  </si>
  <si>
    <t>VUNCR-871121</t>
  </si>
  <si>
    <t>LOTE 45 MZ D CONDOMINIO XELA GARDENS FASE 3</t>
  </si>
  <si>
    <t>LUS22-041-MP135</t>
  </si>
  <si>
    <t>L22-146-MP137</t>
  </si>
  <si>
    <t>VUNJ3-020921</t>
  </si>
  <si>
    <t>ONELGAR VICTORIANO JUAREZ LOPEZ</t>
  </si>
  <si>
    <t>9 CALLE 25C-17, LOTE #26 ZONA 3 LA GRACIA</t>
  </si>
  <si>
    <t>4 AVENIDA 1-10 ZONA 5 LOMA LINDA</t>
  </si>
  <si>
    <t>BODEGA COMERCIAL</t>
  </si>
  <si>
    <t xml:space="preserve">CORRECTA COSTADO NORTE  </t>
  </si>
  <si>
    <t>LUS22-128-MP120</t>
  </si>
  <si>
    <t>2024 PUESTO IMPRESIÓN DE LICENCIAS</t>
  </si>
  <si>
    <t>L19-684-JM154</t>
  </si>
  <si>
    <t>RPNA5-041019</t>
  </si>
  <si>
    <t>ELVIRA FLORIDALMA AMBROCIO MACARIO</t>
  </si>
  <si>
    <t>CALLEJON 17 1A-09 ZONA 5</t>
  </si>
  <si>
    <t>GIOVANNI FRANCISCO PEREZ LEIVA</t>
  </si>
  <si>
    <t>LUS20-134-JM118</t>
  </si>
  <si>
    <t xml:space="preserve">Para los proyectos de bajo impacto se analizará la factibilidad de servicios luego de finalizado el proceso de Licencia de Obra. </t>
  </si>
  <si>
    <t>L20-311-SP104</t>
  </si>
  <si>
    <t>VUNL8-050919</t>
  </si>
  <si>
    <t>CARMEN ARACELY LEMUS HERNANDEZ</t>
  </si>
  <si>
    <t>41 AVENIDA 1C-19 ZONA 8</t>
  </si>
  <si>
    <t>JUAN ADRIAN SILVA TELLO</t>
  </si>
  <si>
    <t>GARITA + MURO PERIMETRAL</t>
  </si>
  <si>
    <t>CORRECTA A LINEA DE EDIFICACION EXISTENTE</t>
  </si>
  <si>
    <t>L20-324-SP092</t>
  </si>
  <si>
    <t>RPNS3-030820</t>
  </si>
  <si>
    <t>GABRIELA FABIOLA SOTO MONZON</t>
  </si>
  <si>
    <t>7 CALLE 14A-52 ZONA 3</t>
  </si>
  <si>
    <t>LUIS CARLOS ROLDAN SOSA</t>
  </si>
  <si>
    <t>L22-085-NR012</t>
  </si>
  <si>
    <t>VUNY1-010122</t>
  </si>
  <si>
    <t>LILIAN NOEMI YAX SAJQUIM Y CONDUEÑO</t>
  </si>
  <si>
    <t>22 AVENIDA 1-10 ZONA 1</t>
  </si>
  <si>
    <t>10 CALLE 12-86 ADICIONAL ZONA 3</t>
  </si>
  <si>
    <t>32E</t>
  </si>
  <si>
    <t>JOSÉ ARTURO CASTILLO GUILLEN</t>
  </si>
  <si>
    <t>LUS22-073-NR012</t>
  </si>
  <si>
    <t>1125-2021/DCN/DDQZ/FACS/GRQQ/uidlf</t>
  </si>
  <si>
    <t>L22-147-SP220</t>
  </si>
  <si>
    <t>RPNP8-601221</t>
  </si>
  <si>
    <t>MARCELINO PEREZ HERNANDEZ</t>
  </si>
  <si>
    <t>34 AVENIDA D2-78 ZONA 8</t>
  </si>
  <si>
    <t>WILLIAM ALBERTO AGUILAR LEIVA</t>
  </si>
  <si>
    <t>LUS22-129-SP194</t>
  </si>
  <si>
    <t>L23-129-MP022</t>
  </si>
  <si>
    <t>VUNP6-021222</t>
  </si>
  <si>
    <t>BAYRON PEREZ AJCUC</t>
  </si>
  <si>
    <t>9 CALLE 5-44A ZONA 6</t>
  </si>
  <si>
    <t>9 CALLE 5-40 ZONA 6</t>
  </si>
  <si>
    <t>LUS23-113-MP020</t>
  </si>
  <si>
    <t>1354-2022/CN/DDQZ/FACS/grq</t>
  </si>
  <si>
    <t>L23-228-MP019</t>
  </si>
  <si>
    <t>RPNC7-221122</t>
  </si>
  <si>
    <t>HUGO ROLANDO CIFUENTES WALTER</t>
  </si>
  <si>
    <t>23 AVENIDA 5-229 ZONA 7</t>
  </si>
  <si>
    <t>MARIA ISABEL LEMUS BARRIOS</t>
  </si>
  <si>
    <t>KENNEDY ALBENDIZ REYES CIFUENTES</t>
  </si>
  <si>
    <t>2794 54953 0901</t>
  </si>
  <si>
    <t>CORRECTA COSTADO ESTE</t>
  </si>
  <si>
    <t>LUS23-206-MP017</t>
  </si>
  <si>
    <t>L23-173-MP037</t>
  </si>
  <si>
    <t>VUNVR-020822</t>
  </si>
  <si>
    <t>LIDDA NARDDA VILLATORO CIFUENTES</t>
  </si>
  <si>
    <t>LOTE 57 MZ.L FASE I XELAGARDENS CHICHIGUITAN</t>
  </si>
  <si>
    <t>6 CALLE D12-63 ZONA 1</t>
  </si>
  <si>
    <t>PRORROGA VIVIENDA UNIFAMILIAR</t>
  </si>
  <si>
    <t>CORRECTA COSTADO OESTE</t>
  </si>
  <si>
    <t>PRORROGA DE LICENCIA</t>
  </si>
  <si>
    <t>L23-166-MP060</t>
  </si>
  <si>
    <t>VUNH5-021122</t>
  </si>
  <si>
    <t>BRYAN JOHAO HERNANDEZ MALDONADO</t>
  </si>
  <si>
    <t>6 AVENIDA 1-125, LOTE 65 MZ B ZONA 5</t>
  </si>
  <si>
    <t>2 CALLE 4-34 ZONA 1</t>
  </si>
  <si>
    <t>JESSICA GIOVANNA SANTIAGO ZAPATA</t>
  </si>
  <si>
    <t>L22-834-MP041</t>
  </si>
  <si>
    <t>RPNM5-540922</t>
  </si>
  <si>
    <t>ROSEMARY MEJIA</t>
  </si>
  <si>
    <t>1 AVENIDA A 14-31E INTERIOR ZONA 5</t>
  </si>
  <si>
    <t>DANIEL ISAAC RIOS ALVARADO</t>
  </si>
  <si>
    <t>3355 51149 0901</t>
  </si>
  <si>
    <t>LUS22-752-MP040</t>
  </si>
  <si>
    <t>L19-495-MP066</t>
  </si>
  <si>
    <t>VUF9-020619</t>
  </si>
  <si>
    <t>FEVAMA, S.A.</t>
  </si>
  <si>
    <t>7 AVENIDA 2-91 LOTE #1 ZONA 9 COND. LOMAS DE LA FLORESTA</t>
  </si>
  <si>
    <t>FERNANDO XAVIER TORALLA CALDERON</t>
  </si>
  <si>
    <t>LUS19-389-MP052</t>
  </si>
  <si>
    <t>L19-496-MP067</t>
  </si>
  <si>
    <t>VUF9-010619</t>
  </si>
  <si>
    <t>7 AVENIDA 2-91 LOTE #16 ZONA 9 COND. LOMAS DE LA FLORESTA</t>
  </si>
  <si>
    <t>LUS19-390-MP053</t>
  </si>
  <si>
    <t>L19-434-SP131</t>
  </si>
  <si>
    <t>VUD7-040719</t>
  </si>
  <si>
    <t>ERWIN BAUDILIO DIAZ MAZARIEGOS</t>
  </si>
  <si>
    <t>9 CALLE 0-77 APTO. 18 ZONA 7</t>
  </si>
  <si>
    <t>MANUEL STUARDO RODRIGUEZ ARGUETA</t>
  </si>
  <si>
    <t>LUS19-331-SP131</t>
  </si>
  <si>
    <t>L19-642-SP204</t>
  </si>
  <si>
    <t>VUNPR-010819</t>
  </si>
  <si>
    <t>YONNY ESTUARDO PEREZ MONZON</t>
  </si>
  <si>
    <t>CANTON XECARACOJ SECTOR 1</t>
  </si>
  <si>
    <t>RUR-NUR</t>
  </si>
  <si>
    <t>LUS19-520-SP204</t>
  </si>
  <si>
    <t>--------------------</t>
  </si>
  <si>
    <t>L19-524-JM116</t>
  </si>
  <si>
    <t>VUNG8-010819</t>
  </si>
  <si>
    <t>OCTAVIO GUZMAN AMBROCIO</t>
  </si>
  <si>
    <t>CERO CALLE D1-152B INTERIOR ZONA 8</t>
  </si>
  <si>
    <t>CALLEJON 5A ZONA 6</t>
  </si>
  <si>
    <t>115E</t>
  </si>
  <si>
    <t>LUS19-413-JM084</t>
  </si>
  <si>
    <t>342-2019/DCN/DDQZ/FACS/MSGG/cacb</t>
  </si>
  <si>
    <t>L20-010-SP002</t>
  </si>
  <si>
    <t>VUNV9-011219</t>
  </si>
  <si>
    <t>KENNEDY DARIO VILLATORO PALACIOS Y CDÑA</t>
  </si>
  <si>
    <t>8 AVENIDA 10-20 ZONA 9</t>
  </si>
  <si>
    <t>LUS20-015-SP002</t>
  </si>
  <si>
    <t>1639-2019/DCN/DDQZ/FACS/MSGG</t>
  </si>
  <si>
    <t>L19-449-EC056</t>
  </si>
  <si>
    <t>VUL10-011217</t>
  </si>
  <si>
    <t>ESTER MARCIALA LOPEZ FLORES</t>
  </si>
  <si>
    <t>6 CALLE 2-11 ZONA 10</t>
  </si>
  <si>
    <t>9 CALLE 12-11 ZONA 9</t>
  </si>
  <si>
    <t>LUS19-346-EC045</t>
  </si>
  <si>
    <t>1031-2017/DCN/DDQZ/FACS/MSGG/cacb</t>
  </si>
  <si>
    <t>128E</t>
  </si>
  <si>
    <t>L19-318-JM056</t>
  </si>
  <si>
    <t>VUM10-030219</t>
  </si>
  <si>
    <t>RAUL ANTONIO MORALES BATHEN Y CDÑOS</t>
  </si>
  <si>
    <t>2 CALLE 3-53 LOTE 4 MZ E ZONA 10</t>
  </si>
  <si>
    <t>267E</t>
  </si>
  <si>
    <t>LUS19-254-JM033</t>
  </si>
  <si>
    <t>L19-607-EC077</t>
  </si>
  <si>
    <t>RPNV10-030919</t>
  </si>
  <si>
    <t>GABINO RENE VASQUEZ RAMOS</t>
  </si>
  <si>
    <t>3 CALLE 3-12 LOTE 28 MZ. H ZONA 10</t>
  </si>
  <si>
    <t>8 CALLE 0-60 ZONA 6</t>
  </si>
  <si>
    <t>RUR-CP</t>
  </si>
  <si>
    <t>LUS19-483-EC060</t>
  </si>
  <si>
    <t>L19-450-EC048</t>
  </si>
  <si>
    <t>RPJ4-020519</t>
  </si>
  <si>
    <t>SERGIO ALEXANDER JUAREZ CUPIL</t>
  </si>
  <si>
    <t>4 AVENIDA 0-55 ZONA 4</t>
  </si>
  <si>
    <t>62E</t>
  </si>
  <si>
    <t>LUS19-347-EC038</t>
  </si>
  <si>
    <t>1318-2018/DCN/DDQZ/MSGG/cacb</t>
  </si>
  <si>
    <t>L19-359-MP054</t>
  </si>
  <si>
    <t>VULR-020419</t>
  </si>
  <si>
    <t>ROSENDO DAVID LOPEZ LOPEZ</t>
  </si>
  <si>
    <t>CANTON LLANO DEL PINAL SECTOR 3</t>
  </si>
  <si>
    <t>EXONERADO</t>
  </si>
  <si>
    <t>LUS19-278-MP042</t>
  </si>
  <si>
    <t>L19-222-EC043</t>
  </si>
  <si>
    <t>VUC5-020419</t>
  </si>
  <si>
    <t>HERMINIO CITALAN CAHUEX</t>
  </si>
  <si>
    <t>5 AVENIDA 2-41 LOTE 184 ZONA 5 LA COLINA</t>
  </si>
  <si>
    <t>LUS19-174-EC034</t>
  </si>
  <si>
    <t>126-2019/DCN/DDQZ/FACS/GRQQ/grq</t>
  </si>
  <si>
    <t>L19-160-JM002</t>
  </si>
  <si>
    <t>VUF11-021118</t>
  </si>
  <si>
    <t>13 CALLE 2A-20, LOTE 25 ZONA 11</t>
  </si>
  <si>
    <t>184E</t>
  </si>
  <si>
    <t>LUS19-126-JM002</t>
  </si>
  <si>
    <t>L19-158-JM001</t>
  </si>
  <si>
    <t>VUF11-011118</t>
  </si>
  <si>
    <t>13 CALLE 2A-20, LOTE 6 ZONA 11</t>
  </si>
  <si>
    <t>LUS19-124-JM001</t>
  </si>
  <si>
    <t>L19-149-SP043</t>
  </si>
  <si>
    <t>VUA12-010319</t>
  </si>
  <si>
    <t>CARLOS ROBERTO AGUILAR LEIVA</t>
  </si>
  <si>
    <t>5 CALLE 1-09, LOTE 418 ZONA 12 PRADOS DEL ENCINAL</t>
  </si>
  <si>
    <t>LUS19-149-SP043</t>
  </si>
  <si>
    <t>1874-2018/DCN/DDQZ/FACS/MSGG/cacb</t>
  </si>
  <si>
    <t>L19-452-JM074</t>
  </si>
  <si>
    <t>VUP12-020419</t>
  </si>
  <si>
    <t>3 AVENIDA 5-29, LOTE 354 ZONA 12 PRADOS DEL ENCINAL</t>
  </si>
  <si>
    <t>CALLEJON 11 "A" 0-52 ZONA 1</t>
  </si>
  <si>
    <t>LUS19-349-JM051</t>
  </si>
  <si>
    <t>L19-349-MP051</t>
  </si>
  <si>
    <t>VUGR-010319</t>
  </si>
  <si>
    <t>JUAN GARCIA VICENTE</t>
  </si>
  <si>
    <t>CANTON CHICHIGUITAN SECTOR 2</t>
  </si>
  <si>
    <t>RUR-AGR-SL</t>
  </si>
  <si>
    <t>LUS19-267-MP039</t>
  </si>
  <si>
    <t>L19-453-MP047</t>
  </si>
  <si>
    <t>VUO12-020519</t>
  </si>
  <si>
    <t>OLGA VIOLETA OROXOM RODRIGUEZ</t>
  </si>
  <si>
    <t>12 CALLE 5-74 ZONA 12 LOS PINOS</t>
  </si>
  <si>
    <t>CALLE "A" 0-52 ZONA 1</t>
  </si>
  <si>
    <t>LUS19-350-MP037</t>
  </si>
  <si>
    <t>L19-406-JM102</t>
  </si>
  <si>
    <t>VUCR-120619</t>
  </si>
  <si>
    <t>LOTE 12 MZ C CONDOMINIO XELA GARDENS FASE 3</t>
  </si>
  <si>
    <t>LUS19-305-JM072</t>
  </si>
  <si>
    <t>L19-376-EC062</t>
  </si>
  <si>
    <t>VUG10-030619</t>
  </si>
  <si>
    <t>JOSE MANUEL GUZMAN MANZANO</t>
  </si>
  <si>
    <t>CALLEJON 9A 0-75 ZONA 10</t>
  </si>
  <si>
    <t>230E</t>
  </si>
  <si>
    <t>LUS19-287-EC049</t>
  </si>
  <si>
    <t>889-2019/DCN/DDQZ/FACS/MSGG/cacb</t>
  </si>
  <si>
    <t>L19-459-MP074</t>
  </si>
  <si>
    <t>VUNL6-010719</t>
  </si>
  <si>
    <t>JUANA REYES TZUNUM BATZ DE LOPEZ</t>
  </si>
  <si>
    <t>5 AVENIDA 10-30 ZONA 6</t>
  </si>
  <si>
    <t>VIVIENDA BIFAMILIAR + LOCAL COMERCIAL (1)</t>
  </si>
  <si>
    <t>LUS19-355-MP058</t>
  </si>
  <si>
    <t>1181-2019/DCN/DDQZ/FACS/MSGG</t>
  </si>
  <si>
    <t>INDEFINIDO Y 09/09/2021</t>
  </si>
  <si>
    <t>L19-656-EC094</t>
  </si>
  <si>
    <t>VUNH7-011119</t>
  </si>
  <si>
    <t>MAXIMO SILVESTRE HERNANDEZ LOPEZ</t>
  </si>
  <si>
    <t>9 CALLE 2-39, LOTE 39 ZONA 7</t>
  </si>
  <si>
    <t>9 CALLE A 2-35 ZONA 7</t>
  </si>
  <si>
    <t>LUS19-529-EC069</t>
  </si>
  <si>
    <t>1524-2019/DCN/DDQZ/MSGG/grq</t>
  </si>
  <si>
    <t>L19-032-MP003</t>
  </si>
  <si>
    <t>VUG7-031118</t>
  </si>
  <si>
    <t>ARDANY AREDY GOMEZ LOPEZ</t>
  </si>
  <si>
    <t>3 CALLE 1-91 LOTE 124 ZONA 7 JARDINES DE XELAJU</t>
  </si>
  <si>
    <t>2 CALLE 1-63 ZONA 7 JARDINES DE XELAJU</t>
  </si>
  <si>
    <t>1485-2018/DCN/DDQZ/FACS/MSGG/cacb</t>
  </si>
  <si>
    <t>L20-033-EC106</t>
  </si>
  <si>
    <t>VUNV8-031019</t>
  </si>
  <si>
    <t>FE MARILU ESCOBAR ROSAL DE VASQUEZ Y CDÑO</t>
  </si>
  <si>
    <t>45 AVENIDA 2B-51 ZONA 8</t>
  </si>
  <si>
    <t>3 CALLE 4-53 ZONA 3 SAN JUAN OSTUNCALCO, QUETGO.</t>
  </si>
  <si>
    <t xml:space="preserve">VIVIENDA BIFAMILIAR </t>
  </si>
  <si>
    <t>LUS20-028-EC083</t>
  </si>
  <si>
    <t>LUS19-026-MP004</t>
  </si>
  <si>
    <t>L19-124-WV029</t>
  </si>
  <si>
    <t>VUF8-010119</t>
  </si>
  <si>
    <t>CRISTOBAL FUENTES LOPEZ</t>
  </si>
  <si>
    <t>DIAGONAL 2 33-16B, INTERIOR ZONA 8</t>
  </si>
  <si>
    <t>ALDEA BUENA VISTA, SAN JUAN OSTUNCALCO</t>
  </si>
  <si>
    <t>LOCAL COMERCIAL Y VIVIENDA UNIFAMILIAR</t>
  </si>
  <si>
    <t>LUS19-094-WV013</t>
  </si>
  <si>
    <t>897-2018/DCN/DDQZ/FACS/GRQQ/cacb</t>
  </si>
  <si>
    <t>L19-375-MP052</t>
  </si>
  <si>
    <t>RPM8-140619</t>
  </si>
  <si>
    <t>SUCELY JUDITH CASTILLO OCHOA DE MORFIN</t>
  </si>
  <si>
    <t>11 CALLE C 0-171 ZONA 8</t>
  </si>
  <si>
    <t>2 CALLE 2-21 ZONA 7 JARDINES DE XELAJU</t>
  </si>
  <si>
    <t>LUS19-309-MP040</t>
  </si>
  <si>
    <t>L19-487-SP147</t>
  </si>
  <si>
    <t>VUND8-010819</t>
  </si>
  <si>
    <t>EMILIA DE LEON BARRIOS</t>
  </si>
  <si>
    <t>0 AVENIDA 0-73B INTERIOR ZONA 8</t>
  </si>
  <si>
    <t>57E</t>
  </si>
  <si>
    <t>LUS19-381-SP147</t>
  </si>
  <si>
    <t>1023-2019/DCN/DDQZ/FACS/GRQQ/cacb</t>
  </si>
  <si>
    <t>L20-001-SP210</t>
  </si>
  <si>
    <t>VUNM7-011119</t>
  </si>
  <si>
    <t>SHELLIN JULISSA MARROQUIN LOPEZ</t>
  </si>
  <si>
    <t>13 CALLE "A" 28-70 L.20 MZ. E ZONA 7 TRIGALES</t>
  </si>
  <si>
    <t>1241-2019/DCN/DDQZ/FACS/GRQQ/grq</t>
  </si>
  <si>
    <t>LUS20-001-SP210</t>
  </si>
  <si>
    <t>L20-023-EC104</t>
  </si>
  <si>
    <t>RPND9-011019</t>
  </si>
  <si>
    <t>JULIO ROLANDO DIAZ LOPEZ</t>
  </si>
  <si>
    <t>6 AVENIDA D4-65 ZONA 9</t>
  </si>
  <si>
    <t>CALLE "A" 21-39 ZONA 3</t>
  </si>
  <si>
    <t>LUS20-035-EC003</t>
  </si>
  <si>
    <t>1315-2018/DCN/DDQZ/FACS/MSGG/cacb</t>
  </si>
  <si>
    <t>L19-460-MP076</t>
  </si>
  <si>
    <t>VUNL6-020719</t>
  </si>
  <si>
    <t>PABLO MARTIN LOPEZ TZUNUM</t>
  </si>
  <si>
    <t>5 AVENIDA 10-34 ZONA 6</t>
  </si>
  <si>
    <t>LUS19-356-MP060</t>
  </si>
  <si>
    <t>1180-2019/DCN/DDQZ/FACS/MSGG</t>
  </si>
  <si>
    <t>L19-653-EC097</t>
  </si>
  <si>
    <t>VUNG8-041019</t>
  </si>
  <si>
    <t>HERMINIO GRAMAJO XICARA Y CDÑA</t>
  </si>
  <si>
    <t xml:space="preserve">11 CALLE 36-60 ZONA 8 </t>
  </si>
  <si>
    <t>LUS19-526-EC072</t>
  </si>
  <si>
    <t>1887-2019/DCN/DDQZ/MSGG/UldLF/cacb</t>
  </si>
  <si>
    <t>L22-554-JM112</t>
  </si>
  <si>
    <t>RPNR5-410722</t>
  </si>
  <si>
    <t>JAZMIN LUCIA RODAS CARRERA</t>
  </si>
  <si>
    <t>4 CALLE 4-29 LOTE M-13 ZONA 5</t>
  </si>
  <si>
    <t>9 AVENIDA 10-32 ZONA 1</t>
  </si>
  <si>
    <t>283E</t>
  </si>
  <si>
    <t>LUS22-492-JM112</t>
  </si>
  <si>
    <t>L22-880-NR121</t>
  </si>
  <si>
    <t>RPNHR-921021</t>
  </si>
  <si>
    <t xml:space="preserve">LUIS JAVIER HERNANDEZ AGUILAR </t>
  </si>
  <si>
    <t>CANTON TIERRA COLORADA BAJA</t>
  </si>
  <si>
    <t>284E</t>
  </si>
  <si>
    <t>LUS22-795-NR110</t>
  </si>
  <si>
    <t>L22-488-MP013</t>
  </si>
  <si>
    <t>VUNC8-021021</t>
  </si>
  <si>
    <t>ELEAZAR ISAIAS COTI GONON</t>
  </si>
  <si>
    <t>36 AVENIDA D3-136 ZONA 8</t>
  </si>
  <si>
    <t>9 CALLE 0-80 ZONA 8</t>
  </si>
  <si>
    <t>ESTABLECIDA SEGÚN ORDENAMIENTO TERRITORIAL</t>
  </si>
  <si>
    <t>LUS22-428-MP014</t>
  </si>
  <si>
    <t>1136-2021/DCN/DDQZ/FACS/grq</t>
  </si>
  <si>
    <t>Al vencer la licencia debe renovarse la misma según el uso de suelo. Razon: Los pagos de la presente autorizacion, se realizaron por medio de FORMA 7-B INGRESOS VARIOS.</t>
  </si>
  <si>
    <t>L20-490-JM048</t>
  </si>
  <si>
    <t>VUM10-120219</t>
  </si>
  <si>
    <t>2 CALLE 3-17 LOTE 13 MZ E ZONA 10</t>
  </si>
  <si>
    <t>LUS20-463-JM025</t>
  </si>
  <si>
    <t>REVISAR EL TAMAÑO DEL FORMILARIO ANTES DE CADA IMPRESIÓN, VARIAN EN ALTURAS</t>
  </si>
  <si>
    <t>L21-466-SP231</t>
  </si>
  <si>
    <t>RPNV6-200321</t>
  </si>
  <si>
    <t>EUSEBIO ARTURO VICENTE PAXTOR</t>
  </si>
  <si>
    <t>CERO AVENIDA B 2-02, LOTE 204 ZONA 6 TRANSVALLE</t>
  </si>
  <si>
    <t>7 CALLE 0-240 ZONA 6</t>
  </si>
  <si>
    <t>215E</t>
  </si>
  <si>
    <t>LUS21-416-SP205</t>
  </si>
  <si>
    <t>L22-174-SP013</t>
  </si>
  <si>
    <t>VUNG5-010222</t>
  </si>
  <si>
    <t>ROSA CARMELINA CAMPOSECO GUILLEN DE GOMEZ</t>
  </si>
  <si>
    <t>2 CALLE 4-09 ZONA 5</t>
  </si>
  <si>
    <t>ROMEO VINICIO LORENZO CUPIL</t>
  </si>
  <si>
    <t>RUBEN ALEJANDRO MORALES GOMEZ</t>
  </si>
  <si>
    <t>2315 19079 0901</t>
  </si>
  <si>
    <t>LUS22-148-SP012</t>
  </si>
  <si>
    <t>159-2022/DCN/DDQZ/FACS/GRQQ/cacb</t>
  </si>
  <si>
    <t>L22-148-SP002</t>
  </si>
  <si>
    <t>RPNA12-241221</t>
  </si>
  <si>
    <t>LUIS ADOLFO AJTUM SONTAY</t>
  </si>
  <si>
    <t>7A. CALLE 4-09 LOTE 195 MZ 1 SEC. 2 ZONA 12</t>
  </si>
  <si>
    <t>CORRECTA COSTADO NORTE Y SUR</t>
  </si>
  <si>
    <t>LUS22-130-SP002</t>
  </si>
  <si>
    <t>L21-994-SP240</t>
  </si>
  <si>
    <t>RPNH5-211120</t>
  </si>
  <si>
    <t>AXEL RUBY HIDALGO HIDALGO</t>
  </si>
  <si>
    <t>7 AVENIDA D3-50 LOTE 27 MZ A ZONA 5</t>
  </si>
  <si>
    <t>5 AVENIDA 8-20 ZONA 2</t>
  </si>
  <si>
    <t>LUS21-886-SP214</t>
  </si>
  <si>
    <t>L21-655-SP153</t>
  </si>
  <si>
    <t>VUNI9-011020</t>
  </si>
  <si>
    <t>3 CALLE 9-65 ZONA 9</t>
  </si>
  <si>
    <t>220E</t>
  </si>
  <si>
    <t>PAREDES DE BLOCK, MAS DOS PORTONES DE 13.06MTS2. ----------</t>
  </si>
  <si>
    <t>L21-679-SP155</t>
  </si>
  <si>
    <t>VUNE8-030821</t>
  </si>
  <si>
    <t>SILVIA NOEMI ESCOBAR COTTON</t>
  </si>
  <si>
    <t>2 AVENIDA 6-24 ZONA 8</t>
  </si>
  <si>
    <t>1 CALLE INTERIOR 1-208 ZONA 11</t>
  </si>
  <si>
    <t>ANA VERONICA GARCIA HERRERA DE RIVERA</t>
  </si>
  <si>
    <t>2498 05995 1401</t>
  </si>
  <si>
    <t>LUS21-613-SP141</t>
  </si>
  <si>
    <t>300-2021/DCN/DDQZ/FACS/msgg</t>
  </si>
  <si>
    <t>L21-832-SP178</t>
  </si>
  <si>
    <t>VUNS12-120821</t>
  </si>
  <si>
    <t>MIGUEL FERNANDO SANCHEZ YXCARAGUA</t>
  </si>
  <si>
    <t>8 CALLE 0-92 LOTE 15 ZONA 12</t>
  </si>
  <si>
    <t>261E</t>
  </si>
  <si>
    <t>JOSE MIGUEL SANCHEZ JUAREZ</t>
  </si>
  <si>
    <t>LUS21-753-SP158</t>
  </si>
  <si>
    <t>L21-834-SP180</t>
  </si>
  <si>
    <t>VUNS12-140821</t>
  </si>
  <si>
    <t>8 CALLE 0-92 LOTE 17 ZONA 12</t>
  </si>
  <si>
    <t>LUS21-755-SP160</t>
  </si>
  <si>
    <t>L21-844-SP176</t>
  </si>
  <si>
    <t>VUNS12-100821</t>
  </si>
  <si>
    <t>8 CALLE 0-92 LOTE 10 ZONA 12</t>
  </si>
  <si>
    <t>LUS21-765-SP156</t>
  </si>
  <si>
    <t>L21-926-SP005</t>
  </si>
  <si>
    <t>RPNM3-190721</t>
  </si>
  <si>
    <t>SANTOS JULIAN MEJIA VASQUEZ</t>
  </si>
  <si>
    <t>22 AVENIDA 10-04 ZONA 3</t>
  </si>
  <si>
    <t>SAN JOSE CHICALQUIX, SAN CARLOS SIJA, QUETZALTENANGO</t>
  </si>
  <si>
    <t>CORRECTA COSTADO SUR Y PONIENTE</t>
  </si>
  <si>
    <t>LUS21-833-SP004</t>
  </si>
  <si>
    <t>L21-933-SP007</t>
  </si>
  <si>
    <t>RPNLR-231120</t>
  </si>
  <si>
    <t>MARIA ROSARIO MONZON QUIJIVIX DE LOPEZ</t>
  </si>
  <si>
    <t>CANTON XECARACOJ</t>
  </si>
  <si>
    <t>LUS21-838-SP005</t>
  </si>
  <si>
    <t>L21-877-SP209</t>
  </si>
  <si>
    <t>VUNT5-021021</t>
  </si>
  <si>
    <t>MAGDA CAROLINA TUCH PEREZ</t>
  </si>
  <si>
    <t>7 AVENIDA D3-50 LOTE 29 MZ C ZONA 5</t>
  </si>
  <si>
    <t>LUS21-798-SP184</t>
  </si>
  <si>
    <t>L22-142-SP005</t>
  </si>
  <si>
    <t>VUNH2-011221</t>
  </si>
  <si>
    <t>AMBROCIO HERNANDEZ</t>
  </si>
  <si>
    <t>1 AVENIDA 10-22 ZONA 2</t>
  </si>
  <si>
    <t>223E</t>
  </si>
  <si>
    <t>EDIN GEOVANY ELIAS COP</t>
  </si>
  <si>
    <t>APARTAMENTOS (3)</t>
  </si>
  <si>
    <t>LUS22-124-SP004</t>
  </si>
  <si>
    <t>1625-2021/DCN/DDQZ/FACS/MSGG/cacb</t>
  </si>
  <si>
    <t>L21-949-SP227</t>
  </si>
  <si>
    <t>RPNO10-331120</t>
  </si>
  <si>
    <t>JOSE ANGEL OROZCO CHAN</t>
  </si>
  <si>
    <t>7 AVENIDA C2-141 ZONA 10</t>
  </si>
  <si>
    <t>VIVIENDA UNIFAMILIR</t>
  </si>
  <si>
    <t>LUS21-852-SP201</t>
  </si>
  <si>
    <t>L21-871-SP211</t>
  </si>
  <si>
    <t>VUNDR-011121</t>
  </si>
  <si>
    <t>MARIA SOTERA LOPEZ TZO DE CHICHE</t>
  </si>
  <si>
    <t>37E</t>
  </si>
  <si>
    <t>LUS21-793-SP185</t>
  </si>
  <si>
    <t>Se exonera en base al PUNTO DECIMO CUARTO DEL ACTA 89-2018 de Sesion Extraordinaria celebrada por el Honorable Consejo Municipal de Quetzaltenango el 23/03/2018.</t>
  </si>
  <si>
    <t>L21-504-SP225</t>
  </si>
  <si>
    <t>RPNB10-140521</t>
  </si>
  <si>
    <t>WALTER ABIGAIL MALDONADO LOPEZ Y CONDUEÑA</t>
  </si>
  <si>
    <t>6 CALLE A 5-48E ZONA 10</t>
  </si>
  <si>
    <t>ALDEA BARRACA GRANDE, SAN CARLOS SIJA</t>
  </si>
  <si>
    <t>216E</t>
  </si>
  <si>
    <t>LUS21-451-SP199</t>
  </si>
  <si>
    <t>L22-083-SP008</t>
  </si>
  <si>
    <t>VUND5-071221</t>
  </si>
  <si>
    <t>DALIA LISSETTE LEAL RAMIREZ DE DIAZ</t>
  </si>
  <si>
    <t>6 AVENIDA 1-13 ZONA 5</t>
  </si>
  <si>
    <t>LUS22-071-SP006</t>
  </si>
  <si>
    <t>L21-885-SP198</t>
  </si>
  <si>
    <t>RPNV5-461121</t>
  </si>
  <si>
    <t>OBED ELIUD VALDEZ CHAVEZ</t>
  </si>
  <si>
    <t>CERO AVENIDA C12-13 INTERIOR ZONA 5</t>
  </si>
  <si>
    <t>5 CALLE 14-11 ZONA 1</t>
  </si>
  <si>
    <t>JOSE VINICIO FUENTES LUX</t>
  </si>
  <si>
    <t>APARTAMENTOS (2)</t>
  </si>
  <si>
    <t>LUS21-805-SP176</t>
  </si>
  <si>
    <t>L22-066-SP217</t>
  </si>
  <si>
    <t>RPNO10-451121</t>
  </si>
  <si>
    <t>MARIA ADELA OROZCO CITALAN</t>
  </si>
  <si>
    <t>14 CALLE 0-35 ZONA 10</t>
  </si>
  <si>
    <t>268E</t>
  </si>
  <si>
    <t>LUS22-057-SP191</t>
  </si>
  <si>
    <t>L22-062-SP212</t>
  </si>
  <si>
    <t>RPNS6-441121</t>
  </si>
  <si>
    <t>MELIZA YAMILETT SAENZ QUIÑONEZ</t>
  </si>
  <si>
    <t>10 CALLE A 0-96 ZONA 6</t>
  </si>
  <si>
    <t>JULIO ELDER DE LEON Y DE LEON</t>
  </si>
  <si>
    <t>2289 36268 1003</t>
  </si>
  <si>
    <t>LUS22-055-SP186</t>
  </si>
  <si>
    <t>L21-946-SP229</t>
  </si>
  <si>
    <t>RPNG1-480721</t>
  </si>
  <si>
    <t>RUBEN ESTEBAN GONZALEZ CHAJ</t>
  </si>
  <si>
    <t>CALLEJON 14B D11-48 ZONA 1</t>
  </si>
  <si>
    <t>9E</t>
  </si>
  <si>
    <t>LUS21-849-SP203</t>
  </si>
  <si>
    <t>L22-297-SP049</t>
  </si>
  <si>
    <t>VUNP8-020322</t>
  </si>
  <si>
    <t>LUIS ARMANDO PASTOR HERNANDEZ</t>
  </si>
  <si>
    <t>34 AVENIDA D2-32 ZONA 8</t>
  </si>
  <si>
    <t>LUIS ESTUARDO PASTOR AJCA</t>
  </si>
  <si>
    <t>VILMA ARACELY AJCA GARCIA DE PASTOR</t>
  </si>
  <si>
    <t>1943 68645 0901</t>
  </si>
  <si>
    <t>PAREDES DE BLOCK. ----------</t>
  </si>
  <si>
    <t>L22-270-SP047</t>
  </si>
  <si>
    <t>VUNS7-010322</t>
  </si>
  <si>
    <t>CAREN IRENE HERNANDEZ LOPEZ DE SAQUIC</t>
  </si>
  <si>
    <t>8 CALLE 24-89 ZONA 7</t>
  </si>
  <si>
    <t>310E</t>
  </si>
  <si>
    <t>LOCALES COMERCIALES (2)</t>
  </si>
  <si>
    <t>LUS22-229-SP043</t>
  </si>
  <si>
    <t>348-2022/DCN/DDQZ/FACS/msgg</t>
  </si>
  <si>
    <t>L22-307-SP057</t>
  </si>
  <si>
    <t>RPNH5-561221</t>
  </si>
  <si>
    <t>YAQUELIN ROCIO HERNANDEZ PEREZ</t>
  </si>
  <si>
    <t>18 CALLE 3-147 ZONA 5</t>
  </si>
  <si>
    <t>LUS22-264-SP055</t>
  </si>
  <si>
    <t>L22-322-SP027</t>
  </si>
  <si>
    <t>VUNR1-041221</t>
  </si>
  <si>
    <t>MARTHA ELIZABETH ALVARADO XICARA DE RACANCOJ</t>
  </si>
  <si>
    <t>DIAGONAL 11 20A-57C ZONA 1</t>
  </si>
  <si>
    <t>LUS22-278-SP025</t>
  </si>
  <si>
    <t>1627-2021/DCN/DDQZ/FACS/msgg</t>
  </si>
  <si>
    <t>L22-283-SP046</t>
  </si>
  <si>
    <t>VUNA5-010322</t>
  </si>
  <si>
    <t>OLGA YOLANDA AJANEL LOPEZ</t>
  </si>
  <si>
    <t>2 AVENIDA 4-27 ZONA 5</t>
  </si>
  <si>
    <t>109E</t>
  </si>
  <si>
    <t>LUS22-242-SP042</t>
  </si>
  <si>
    <t>175-2022/DCN/DDQZ/FACS/grq</t>
  </si>
  <si>
    <t>L22-389-SP017</t>
  </si>
  <si>
    <t>VUNCR-180222</t>
  </si>
  <si>
    <t>LOTE 312 MZ O FASE 3 XELAGARDENS CHICHIGUITAN</t>
  </si>
  <si>
    <t>287E</t>
  </si>
  <si>
    <t>LUS22-344-SP016</t>
  </si>
  <si>
    <t>L21-913-SP167</t>
  </si>
  <si>
    <t>RPNC3-210921</t>
  </si>
  <si>
    <t>ENRIQUE COTI BARRENO Y CDÑA</t>
  </si>
  <si>
    <t>33 AVENIDA A D3-172 ZONA 3</t>
  </si>
  <si>
    <t>L21-896-SP205</t>
  </si>
  <si>
    <t>RPND2-071121</t>
  </si>
  <si>
    <t>JORGE LUIS DURINI SUM</t>
  </si>
  <si>
    <t>11 CALLE 2-28 ZONA 2</t>
  </si>
  <si>
    <t>2 AVENIDA 11-08 ZONA 2</t>
  </si>
  <si>
    <t>114E</t>
  </si>
  <si>
    <t xml:space="preserve">LUIS DIEGO COCHOY SAC </t>
  </si>
  <si>
    <t>CORRECTA COSTADO SUR-PONIENTE</t>
  </si>
  <si>
    <t>LUS21-812-SP181</t>
  </si>
  <si>
    <t>1254-2021/DCN/DDQZ/FACS/GRQQ/cacb</t>
  </si>
  <si>
    <t>INDEFINIDO Y 20/12/2025</t>
  </si>
  <si>
    <t>L22-074-SP222</t>
  </si>
  <si>
    <t>VUNQ10-010921</t>
  </si>
  <si>
    <t>HEIDY JAKELYN QUIJIVIX MALDONADO</t>
  </si>
  <si>
    <t>5 AVENIDA 6-18 ZONA 10</t>
  </si>
  <si>
    <t>1 CALLE 39B-49 ZONA 8</t>
  </si>
  <si>
    <t>CESAR RODOLFO LUCAS LOPEZ</t>
  </si>
  <si>
    <t>LUS22-063-SP196</t>
  </si>
  <si>
    <t>262-2020/DCN/DDQZ/FACS/GRQQ/cacb</t>
  </si>
  <si>
    <t>INDEFINIDO Y 01/02/2026</t>
  </si>
  <si>
    <t>L21-470-SP006</t>
  </si>
  <si>
    <t>RPNC9-240420</t>
  </si>
  <si>
    <t>CARLOS ANTONIO GOMEZ PEREIRA</t>
  </si>
  <si>
    <t>6 AVENIDA 6-71 ZONA 9</t>
  </si>
  <si>
    <t>L21-830-SP188</t>
  </si>
  <si>
    <t>VUNS12-200821</t>
  </si>
  <si>
    <t>MARIA CECILIA CHINCHILLA MAZARIEGOS DE SOTO</t>
  </si>
  <si>
    <t>6 AVENIDA 6-16 ZONA 12</t>
  </si>
  <si>
    <t>192E</t>
  </si>
  <si>
    <t>LUS21-751-SP168</t>
  </si>
  <si>
    <t>L22-311-SP028</t>
  </si>
  <si>
    <t>RPNE8-140322</t>
  </si>
  <si>
    <t>CARLOS ROBERTO ESCOBAR SANJUAN</t>
  </si>
  <si>
    <t>2 CALLE B 37-30 ZONA 8</t>
  </si>
  <si>
    <t>VIVIAN MARGOTH NATARENO PELAEZ</t>
  </si>
  <si>
    <t>1712 04336 0901</t>
  </si>
  <si>
    <t>AMPLIACION VIVIENDA UNIFAMILIAR + LOCAL COMERCIAL</t>
  </si>
  <si>
    <t>L21-093-SP014</t>
  </si>
  <si>
    <t>VUNX7-041120</t>
  </si>
  <si>
    <t>ROLANDO OSIEL XILOJ REYES</t>
  </si>
  <si>
    <t>9 CALLE 0-19 ZONA 7</t>
  </si>
  <si>
    <t>BODEGA</t>
  </si>
  <si>
    <t>PISO CERAMICO E INSTALACIONES SEMI-OCULTAS. ----------</t>
  </si>
  <si>
    <t>LUS21-087-SP012</t>
  </si>
  <si>
    <t>1389-2020/DCN/DDQZ/MSGG/GRQQ/cacb</t>
  </si>
  <si>
    <t>L22-595-NR120</t>
  </si>
  <si>
    <t>RPNL10-210422</t>
  </si>
  <si>
    <t>WALFRIN EDUARDO LOPEZ CAHUEX</t>
  </si>
  <si>
    <t>14 CALLE 0-91 ZONA 10</t>
  </si>
  <si>
    <t>AMARILIA VENTURA OROZCO CAHUEX</t>
  </si>
  <si>
    <t>2728 62797 0901</t>
  </si>
  <si>
    <t>LUS22-527-NR109</t>
  </si>
  <si>
    <t>L21-495-MP176</t>
  </si>
  <si>
    <t>RPNB9-071020</t>
  </si>
  <si>
    <t>ADELAIDA BARILLAS REYNOSO</t>
  </si>
  <si>
    <t>CALLEJON 14 D4-154 ZONA 9</t>
  </si>
  <si>
    <t>USM2-030422</t>
  </si>
  <si>
    <t>VALERIA SOFIA MALDONADO MORA</t>
  </si>
  <si>
    <t>0 AVENIDA 1-58 ZONA 2</t>
  </si>
  <si>
    <t>CARLOS ALFONZO OVALLE VILLATORO</t>
  </si>
  <si>
    <t>LUS22-283-MP007</t>
  </si>
  <si>
    <t>276-2022/DCN/DDQZ/FACS/GRQQ/cacb</t>
  </si>
  <si>
    <t>INDEFINIDO Y 12/05/2026</t>
  </si>
  <si>
    <t>L22-044-MP150</t>
  </si>
  <si>
    <t>VUNCR-861121</t>
  </si>
  <si>
    <t>LOTE 44 MZ D CONDOMINIO XELA GARDENS FASE 3</t>
  </si>
  <si>
    <t>LUS22-040-MP134</t>
  </si>
  <si>
    <t>L22-170-MP005</t>
  </si>
  <si>
    <t>RPNMR-690921</t>
  </si>
  <si>
    <t>MINISTERIO DE AGRICULTURA</t>
  </si>
  <si>
    <t>8 CALLE 6-167 ZONA 10</t>
  </si>
  <si>
    <t>BODEGA Y MURO PERIMETRAL</t>
  </si>
  <si>
    <t>PISO TORTA DE CEMENTO E INSTALACIONES SEMI-OCULTAS. ----------</t>
  </si>
  <si>
    <t xml:space="preserve">ESPECIAL  </t>
  </si>
  <si>
    <t>LUS22-144-MP005</t>
  </si>
  <si>
    <t>210-2019/DCN/DDQZ/FACS/GRQQ/cacb</t>
  </si>
  <si>
    <t>RUDY OSWALDO ARANGO ARREAGA</t>
  </si>
  <si>
    <t>2493 17265 0901</t>
  </si>
  <si>
    <t>IVAN ALEJANDRO COTI DIAZ</t>
  </si>
  <si>
    <t>MUROS DE BLOCK Y PREFABRICADAS, TECHO DE LOSA Y LAMINA ALUZINC,</t>
  </si>
  <si>
    <t>L22-188-MP159</t>
  </si>
  <si>
    <t>VUNI12-231021</t>
  </si>
  <si>
    <t>4 AVENIDA 10B-03 LOTE 39 ZONA 12</t>
  </si>
  <si>
    <t>LUS22-160-MP142</t>
  </si>
  <si>
    <t>L22-189-MP160</t>
  </si>
  <si>
    <t>VUNI12-241021</t>
  </si>
  <si>
    <t>4 AVENIDA 10B-03 LOTE 48 ZONA 12</t>
  </si>
  <si>
    <t>LUS22-161-MP143</t>
  </si>
  <si>
    <t>L22-597-LG095</t>
  </si>
  <si>
    <t>RPNRR-580721</t>
  </si>
  <si>
    <t>IRMA ELIZABETH DE PAZ SACOR DE RACANCOJ</t>
  </si>
  <si>
    <t>CANTON LLANO DEL PINAL</t>
  </si>
  <si>
    <t xml:space="preserve">CANTON LLANO DEL PINAL  </t>
  </si>
  <si>
    <t>RURAL AGRICOLA</t>
  </si>
  <si>
    <t>LUS22-529-LG084</t>
  </si>
  <si>
    <t>L22-640-LG170</t>
  </si>
  <si>
    <t>RPNR9-230722</t>
  </si>
  <si>
    <t>ANA LESLY ROQUEL OTZOY Y CONDUEÑO</t>
  </si>
  <si>
    <t>7 AVENIDA 3-40F INTERIOR ZONA 9</t>
  </si>
  <si>
    <t>246E</t>
  </si>
  <si>
    <t>LUS22-572-LG152</t>
  </si>
  <si>
    <t>L21-890-LG204</t>
  </si>
  <si>
    <t>RPNV8-471021</t>
  </si>
  <si>
    <t>FELIX VICENTE VICENTE</t>
  </si>
  <si>
    <t>9 CALLE 0-63G INTERIOR ZONA 8</t>
  </si>
  <si>
    <t>DIAGONAL 4 4-17 ZONA 9</t>
  </si>
  <si>
    <t>186E</t>
  </si>
  <si>
    <t>L23-079-LG012</t>
  </si>
  <si>
    <t>VUNA10-010622</t>
  </si>
  <si>
    <t>ASOC. DE LA IGLESIA PENTECOSTAL UNIDA DE G.</t>
  </si>
  <si>
    <t>14 CALLE 0-95A ZONA 10</t>
  </si>
  <si>
    <t>12 CALLE 8-43 ZONA 1</t>
  </si>
  <si>
    <t>IGLESIA EVANGELICA</t>
  </si>
  <si>
    <t>LUS23-070-LG010</t>
  </si>
  <si>
    <t>694-2022/DCN/DDQZ/FACS/msgg</t>
  </si>
  <si>
    <t>L23-084-LG008</t>
  </si>
  <si>
    <t>VUNV11-011222</t>
  </si>
  <si>
    <t>CATARINA ELIZABETH VICENTE MENCHU</t>
  </si>
  <si>
    <t>5 CALLE 2A-71 LOTE 40 MZ R ZONA 11</t>
  </si>
  <si>
    <t>16E</t>
  </si>
  <si>
    <t>SELMA ANALICIA PINEDA CARTAGENA</t>
  </si>
  <si>
    <t>LUS23-073-LG006</t>
  </si>
  <si>
    <t>846-2022/DCN/DDQZ/FACS/GRQQ/cacb</t>
  </si>
  <si>
    <t>L23-109-LG010</t>
  </si>
  <si>
    <t>VUNL11-021222</t>
  </si>
  <si>
    <t>HEBER MISAEL LEPE BAMACA</t>
  </si>
  <si>
    <t>3 CALLE A 2A-59, LOTE #36 MZ O ZONA 11 VALLE DE LAS ROSAS</t>
  </si>
  <si>
    <t>JUAN FRANCISCO GONON AJANEL</t>
  </si>
  <si>
    <t>LUS23-095-LG008</t>
  </si>
  <si>
    <t>1555-2022/DCN/DDQZ/FACS/MSGG/cacb</t>
  </si>
  <si>
    <t>L21-1027-LG206</t>
  </si>
  <si>
    <t>RPNC6-231020</t>
  </si>
  <si>
    <t>LETICIA AZUCENA CIFUENTES LOPEZ</t>
  </si>
  <si>
    <t>LOTE 52 VILLAS DE JAZMIN CHIQUILAJA</t>
  </si>
  <si>
    <t>LUS21-913-LG184</t>
  </si>
  <si>
    <t>L21-1026-LG205</t>
  </si>
  <si>
    <t>RPNS6-241020</t>
  </si>
  <si>
    <t>HENRY SAUL SANTIAGO CIFUENTES</t>
  </si>
  <si>
    <t>LOTE 46 VILLAS DE JAZMIN CHIQUILAJA</t>
  </si>
  <si>
    <t>LUS21-912-LG183</t>
  </si>
  <si>
    <t>L23-159-MP055</t>
  </si>
  <si>
    <t>VUNCR-661022</t>
  </si>
  <si>
    <t>LOTE 86 MZ F FASE 3 XELAGARDENS CHICHIGUITAN</t>
  </si>
  <si>
    <t>LUS23-141-MP054</t>
  </si>
  <si>
    <t>L23-111-LG015</t>
  </si>
  <si>
    <t>VUNG10-051222</t>
  </si>
  <si>
    <t>MARIA CONCEPCION MENDOZA AGUILAR DE GARCIA</t>
  </si>
  <si>
    <t>8 CALLE 0-87G INTERIOR ZONA 10</t>
  </si>
  <si>
    <t>L22-337-LG051</t>
  </si>
  <si>
    <t>RPNC5-110322</t>
  </si>
  <si>
    <t>ALEJANDRA MARISOL CALDERON CALDERON</t>
  </si>
  <si>
    <t>1 AVENIDA A 16-23 LOTE 27 ZONA 5 VILLA CECILIA</t>
  </si>
  <si>
    <t>20 AVENIDA 2-23 ZONA 3</t>
  </si>
  <si>
    <t>GADY YAMILI AGUSTIN TIRADO DE CANCINOS</t>
  </si>
  <si>
    <t>1778 66365 0901</t>
  </si>
  <si>
    <t>URBANO PROTECCION</t>
  </si>
  <si>
    <t>LUS22-296-LG045</t>
  </si>
  <si>
    <t>L22-878-LG169</t>
  </si>
  <si>
    <t>RPNL8-350722</t>
  </si>
  <si>
    <t>OSBELI OSTAQUIO LOPEZ ECHEVERRIA</t>
  </si>
  <si>
    <t>0 AVENIDA 11B-59 LOTE 28 ZONA 8</t>
  </si>
  <si>
    <t>308E</t>
  </si>
  <si>
    <t>LUS22-793-LG151</t>
  </si>
  <si>
    <t>L22-872-LG168</t>
  </si>
  <si>
    <t>RPNC6-020222</t>
  </si>
  <si>
    <t>LUIS ROBERTO GARCIA SANDOVAL</t>
  </si>
  <si>
    <t>LOTE 24 VILLA JAZMIN CHICHIGUITAN</t>
  </si>
  <si>
    <t>309E</t>
  </si>
  <si>
    <t>LUS22-787-LG150</t>
  </si>
  <si>
    <t>L22-873-LG138</t>
  </si>
  <si>
    <t>RPNZ10-420922</t>
  </si>
  <si>
    <t>PABLO CRISTOBAL ZAPALUTA BATZ</t>
  </si>
  <si>
    <t>2 AVENIDA 9-34 ZONA 10</t>
  </si>
  <si>
    <t>30E</t>
  </si>
  <si>
    <t>DIEGO ANDRES MORALES MEYER</t>
  </si>
  <si>
    <t>3344 00600 1301</t>
  </si>
  <si>
    <t>LUS22-788-LG123</t>
  </si>
  <si>
    <t>L22-619-LG167</t>
  </si>
  <si>
    <t>RPNG8-330522</t>
  </si>
  <si>
    <t>ANA PATRICIA GOMEZ MUÑOZ</t>
  </si>
  <si>
    <t xml:space="preserve">2 CALLE B 43C-10 ZONA 8 </t>
  </si>
  <si>
    <t>LUS22-550-LG149</t>
  </si>
  <si>
    <t>L23-041-LG164</t>
  </si>
  <si>
    <t>RPNM7-180822</t>
  </si>
  <si>
    <t>0 AVENIDA 8-87B INTERIOR ZONA 7</t>
  </si>
  <si>
    <t>10 CALLE 4-02 ZONA 6</t>
  </si>
  <si>
    <t>AURA LUCY MEJIA Y MEJIA DE MEJIA Y CONDUEÑO</t>
  </si>
  <si>
    <t>JORGE DANIEL CELIS SIGNOR</t>
  </si>
  <si>
    <t>OFICINAS (2) Y APARTAMENTO</t>
  </si>
  <si>
    <t>LUS23-034-LG146</t>
  </si>
  <si>
    <t>1008-2022/DCN/DDQZ/UIDLF/GRQQ/cacb</t>
  </si>
  <si>
    <t>L22-845-MP014</t>
  </si>
  <si>
    <t>RPNP3-060522</t>
  </si>
  <si>
    <t>ALBERTINA SAC COYOY DE PAC</t>
  </si>
  <si>
    <t>8A CALLE 13-11 ZONA 3</t>
  </si>
  <si>
    <t>LUS22-764-MP015</t>
  </si>
  <si>
    <t>L22-841-MP047</t>
  </si>
  <si>
    <t>RPND3-140722</t>
  </si>
  <si>
    <t>MILENA GRIZZEL DIAZ MARTINEZ</t>
  </si>
  <si>
    <t>4 CALLE A 24A-70 ZONA 3</t>
  </si>
  <si>
    <t>4 CALLE A 24-50 ZONA 3</t>
  </si>
  <si>
    <t>198E</t>
  </si>
  <si>
    <t>EDYSON RODERICO TELLO ORDOÑEZ</t>
  </si>
  <si>
    <t>LUS22-761-MP046</t>
  </si>
  <si>
    <t>L23-106-MP026</t>
  </si>
  <si>
    <t>VUNP8-041122</t>
  </si>
  <si>
    <t>PINOS DE BONSAI, SOCIEDAD ANONIMA</t>
  </si>
  <si>
    <t>41 AVENIDA 1-114 ZONA 8</t>
  </si>
  <si>
    <t>PEDRO PABLO RIVERA JEREZ</t>
  </si>
  <si>
    <t>PARQUEO + GUARDIANIA</t>
  </si>
  <si>
    <t>LUS23-092-MP024</t>
  </si>
  <si>
    <t>1518-2022/DCN/DDQZ/FACS/msgg</t>
  </si>
  <si>
    <t>L23-188-MP005</t>
  </si>
  <si>
    <t>VUNER-061122</t>
  </si>
  <si>
    <t>EL PINAL DE OCCIDENTE S.A.</t>
  </si>
  <si>
    <t>LOTE 10 PLANES DEL PINAL TIERRA COLORADA BAJA</t>
  </si>
  <si>
    <t>LUS23-165-MP004</t>
  </si>
  <si>
    <t>L23-221-MP029</t>
  </si>
  <si>
    <t>VUNP10-010323</t>
  </si>
  <si>
    <t>CESAR PEREZ ACABAL</t>
  </si>
  <si>
    <t>6 AVENIDA A 1-39 ZONA 10</t>
  </si>
  <si>
    <t>17E</t>
  </si>
  <si>
    <t>ALBA KARINA COTI SALANIC</t>
  </si>
  <si>
    <t>LUS23-201-MP027</t>
  </si>
  <si>
    <t>302-2023/DCN/DDQZ/FACS/msgg</t>
  </si>
  <si>
    <t>L23-091-MP007</t>
  </si>
  <si>
    <t>VUNF11-021022</t>
  </si>
  <si>
    <t>13 CALLE 2A-20 LOTE 38 ZONA 11</t>
  </si>
  <si>
    <t>LUS23-080-MP006</t>
  </si>
  <si>
    <t>L23-090-MP006</t>
  </si>
  <si>
    <t>VUNF11-011022</t>
  </si>
  <si>
    <t>13 CALLE 2A-20 LOTE 35 ZONA 11</t>
  </si>
  <si>
    <t>LUS23-079-MP005</t>
  </si>
  <si>
    <t>L23-096-MP010</t>
  </si>
  <si>
    <t>VUNG4-011122</t>
  </si>
  <si>
    <t>MARISLINA OFILIA GRAMAJO Y GRAMAJO</t>
  </si>
  <si>
    <t>DIAGONAL 2 6-60A INTERIOR ZONA 4</t>
  </si>
  <si>
    <t>104E</t>
  </si>
  <si>
    <t>DAVID ESTUARDO ENRIQUEZ ADOLFO</t>
  </si>
  <si>
    <t>LUS23-084-MP009</t>
  </si>
  <si>
    <t>1543-2022/DCN/DDQZ/FACS/MSGG/cacb</t>
  </si>
  <si>
    <t>L21-920-JM066</t>
  </si>
  <si>
    <t>RPNC3-120321</t>
  </si>
  <si>
    <t>RUBEN CHAJCHAL ELIAS</t>
  </si>
  <si>
    <t>14 CALLE 12-87B ZONA 3</t>
  </si>
  <si>
    <t>L21-584-JM027</t>
  </si>
  <si>
    <t>RPNG12-051220</t>
  </si>
  <si>
    <t>AMERICO ESTUARDO GRESSI CASTILLO</t>
  </si>
  <si>
    <t>LOTE 7 MZ B, NUEVA CIUDAD DE LOS ALTOS</t>
  </si>
  <si>
    <t>22 AVENIDA 3-21 ZONA 3</t>
  </si>
  <si>
    <t>39E</t>
  </si>
  <si>
    <t>MARIO RAUL PACAY GARCIA</t>
  </si>
  <si>
    <t>EDWIN ISAIAS PACAY GARCIA</t>
  </si>
  <si>
    <t>1822 96601 1601</t>
  </si>
  <si>
    <t>LUS21-526-JM027</t>
  </si>
  <si>
    <t>627-2018/DCN/DDQZ/FACS/MSGG/cacb</t>
  </si>
  <si>
    <t>L23-070-JC002</t>
  </si>
  <si>
    <t>VUND3-111022</t>
  </si>
  <si>
    <t>DESARROLLOS URBANOS RIO, S.A.</t>
  </si>
  <si>
    <t>14 CALLE 28-40 LOTE 25 ZONA 3</t>
  </si>
  <si>
    <t>5 AVENIDA 0-35 ZONA 9</t>
  </si>
  <si>
    <t>119E</t>
  </si>
  <si>
    <t>CONSTANTINO VILLAGRAN DOMINGUEZ</t>
  </si>
  <si>
    <t>LUS23-061-JC001</t>
  </si>
  <si>
    <t>L23-065-MP057</t>
  </si>
  <si>
    <t>RPNG10-510922</t>
  </si>
  <si>
    <t>MARIA SONIA GABRIELA GARCIA CUC</t>
  </si>
  <si>
    <t>6 CALLE 5-69F INTERIOR ZONA 10</t>
  </si>
  <si>
    <t>197E</t>
  </si>
  <si>
    <t>LUS23-058-MP055</t>
  </si>
  <si>
    <t>L23-064-MP013</t>
  </si>
  <si>
    <t>VUNC5-111222</t>
  </si>
  <si>
    <t>JOSE ARTURO CASTILLO GUILLEN</t>
  </si>
  <si>
    <t>LOTE 33 MZ J XELAGARDEN II ZONA 5</t>
  </si>
  <si>
    <t>14 AVENIDA 4-54 ZONA 1 PLAZA POLANCO OF. F-2</t>
  </si>
  <si>
    <t>EDDIE ARIAN MALDONADO PEREZ</t>
  </si>
  <si>
    <t>2226 16865 0901</t>
  </si>
  <si>
    <t>LUS23-057-MP011</t>
  </si>
  <si>
    <t>L23-062-MP008</t>
  </si>
  <si>
    <t>VUNH3-011122</t>
  </si>
  <si>
    <t>ALEJANDRINA MAGDALENA HERNANDEZ LOPEZ</t>
  </si>
  <si>
    <t>CALLEJON 33 D3-18B ZONA 3</t>
  </si>
  <si>
    <t>199E</t>
  </si>
  <si>
    <t>LUS23-055-MP007</t>
  </si>
  <si>
    <t>1465-2022/DCN/DDQZ/FACS/grq</t>
  </si>
  <si>
    <t>L23-057-MP009</t>
  </si>
  <si>
    <t>VUNS8-041122</t>
  </si>
  <si>
    <t>MIGUEL SALVADOR NOLASCO</t>
  </si>
  <si>
    <t>35 AVENIDA E 9C-13 LOTE 5 MZ. I ZONA 8</t>
  </si>
  <si>
    <t>28 AVENIDA D14-47 ZONA 1</t>
  </si>
  <si>
    <t>ARIEL JONATAN CHAN MEJIA</t>
  </si>
  <si>
    <t>2536 30460 0401</t>
  </si>
  <si>
    <t>LUS23-048-MP008</t>
  </si>
  <si>
    <t>673-2021/DCN/DDQZ/FACS/GRQQ/cacb</t>
  </si>
  <si>
    <t>L23-094-MP012</t>
  </si>
  <si>
    <t>VUNO8-011122</t>
  </si>
  <si>
    <t>ROBERTO FELICIANO OXLAJ CHAJ</t>
  </si>
  <si>
    <t>27 AVENIDA 0-75G INTERIOR ZONA 8</t>
  </si>
  <si>
    <t>CAMBIO DE TECHO</t>
  </si>
  <si>
    <t>CAMBIO DE TECHO DE LAMINA A LOSA DE CONCRETO</t>
  </si>
  <si>
    <t>DE 48.16MTS2. ----------</t>
  </si>
  <si>
    <t>ALINEACION ESTABLECIDA, CAMBIO DE TECHO</t>
  </si>
  <si>
    <t>L22-411-MP061</t>
  </si>
  <si>
    <t>RPNG3-070422</t>
  </si>
  <si>
    <t>INGRID MAGNOLIA VELASQUEZ CASTILLO DE GODINEZ</t>
  </si>
  <si>
    <t>31 AVENIDA B 11-20 ZONA 3</t>
  </si>
  <si>
    <t>ESPECIAL Q6</t>
  </si>
  <si>
    <t>L22-019-MP045</t>
  </si>
  <si>
    <t>RPNT11-410922</t>
  </si>
  <si>
    <t>JOSE ORLANDO TZOC PONCIO Y CONDUEÑA</t>
  </si>
  <si>
    <t>1 AVENIDA 1-37 ZONA 11</t>
  </si>
  <si>
    <t>LUS22-014-MP044</t>
  </si>
  <si>
    <t>L23-039-MP048</t>
  </si>
  <si>
    <t>VUNSR-011022</t>
  </si>
  <si>
    <t>CESAR ORLANDO SOTO ALVARADO</t>
  </si>
  <si>
    <t>LOTE 22 MZ J FASE 2 XELAGARDENS CHICHIGUITAN</t>
  </si>
  <si>
    <t>LUS23-032-MP047</t>
  </si>
  <si>
    <t>L23-093-MP018</t>
  </si>
  <si>
    <t>VUNL12-011222</t>
  </si>
  <si>
    <t>SANDRA FABIOLA LOPEZ DE LEON</t>
  </si>
  <si>
    <t>16 AVENIDA 6-58 SECTOR 2 ZONA 12</t>
  </si>
  <si>
    <t>40E</t>
  </si>
  <si>
    <t>PAREDES DE BLOCK, TECHO DE LOSA DE CONCRETO Y LAMINA,</t>
  </si>
  <si>
    <t>LUS23-082-MP016</t>
  </si>
  <si>
    <t>L23-068-MP020</t>
  </si>
  <si>
    <t>VUNV1-011222</t>
  </si>
  <si>
    <t>MAYRA ELIZABETH CAJCHUM PONCIO DE VELASQUEZ</t>
  </si>
  <si>
    <t>CALLEJON D8B CD8-60 ZONA 1</t>
  </si>
  <si>
    <t>AVENIDA LAS AMERICAS 7B-14 ZONA 9</t>
  </si>
  <si>
    <t>MYNOR LAURENCE COCHOJIL GARCIA</t>
  </si>
  <si>
    <t>LUS23-059-MP018</t>
  </si>
  <si>
    <t>1604-2022/DCN/DDQZ/FACS/msgg</t>
  </si>
  <si>
    <t>L23-073-MP014</t>
  </si>
  <si>
    <t>VUNC5-121222</t>
  </si>
  <si>
    <t>MARVIN GEOVANNY CASTILLO MONZON</t>
  </si>
  <si>
    <t>4 AVENIDA 16-38 LOTE 58 MZ M ZONA 5</t>
  </si>
  <si>
    <t>35 AVENIDA 1-69 ZONA 8</t>
  </si>
  <si>
    <t>LUS23-064-MP012</t>
  </si>
  <si>
    <t>1388-2022/DCN/DDQZ/FACS/GRQQ/cacb</t>
  </si>
  <si>
    <t>L21-1025-MP184</t>
  </si>
  <si>
    <t>RPNS6-090121</t>
  </si>
  <si>
    <t>MARCO ANTONIO SON APARICIO</t>
  </si>
  <si>
    <t>14 CALLE 5-191 ALDEA SAN JOSE CHIQUILAJA</t>
  </si>
  <si>
    <t>LUS21-911-MP161</t>
  </si>
  <si>
    <t>L22-876-MP049</t>
  </si>
  <si>
    <t>RPNB8-430922</t>
  </si>
  <si>
    <t>CARMEN YANET BARRERA LOPEZ</t>
  </si>
  <si>
    <t>DIAGONAL 2 34-30B INTERIOR ZONA 8</t>
  </si>
  <si>
    <t>DIAGONAL 1 9-33A ZONA 3</t>
  </si>
  <si>
    <t>GABRIELA IRENE CABRERA YAX</t>
  </si>
  <si>
    <t>2198 04540 0901</t>
  </si>
  <si>
    <t>CORRECTA COSTADO ESTE, DIRECCION INTERIOR</t>
  </si>
  <si>
    <t>LUS22-791-MP048</t>
  </si>
  <si>
    <t>1307-2020/DCN/DDQZ/MSGG/GRQQ/uidlf</t>
  </si>
  <si>
    <t>L23-063-MP015</t>
  </si>
  <si>
    <t>VUNM8-021222</t>
  </si>
  <si>
    <t>ERIKA MARLENE HUITZ RECINOS DE MONTERROSO</t>
  </si>
  <si>
    <t>9 CALLE F 35D-28, LOTE 16 MZ F ZONA 8</t>
  </si>
  <si>
    <t>CHRISTIAN DANIEL ARANGO LACAYO</t>
  </si>
  <si>
    <t>MAGDA AZUCENA BATZ SANCHEZ</t>
  </si>
  <si>
    <t>2404 27343 0901</t>
  </si>
  <si>
    <t>LUS23-056-MP013</t>
  </si>
  <si>
    <t>L23-160-MP054</t>
  </si>
  <si>
    <t>VUNCR-651022</t>
  </si>
  <si>
    <t>LOTE 85 MZ F FASE 3 XELAGARDENS CHICHIGUITAN</t>
  </si>
  <si>
    <t>LUS23-142-MP053</t>
  </si>
  <si>
    <t>L23-161-MP053</t>
  </si>
  <si>
    <t>VUNCR-641022</t>
  </si>
  <si>
    <t>LOTE 84 MZ F FASE 3 XELAGARDENS CHICHIGUITAN</t>
  </si>
  <si>
    <t>LUS23-143-MP052</t>
  </si>
  <si>
    <t>L23-190-MP016</t>
  </si>
  <si>
    <t>VUNV7-020922</t>
  </si>
  <si>
    <t>ANA MARIA VASQUEZ ALVAREZ</t>
  </si>
  <si>
    <t>26 AVENIDA 8A-51A ZONA 7</t>
  </si>
  <si>
    <t>JAKELIN ARACELI HERNADEZ PEREZ</t>
  </si>
  <si>
    <t>1792 50310 0901</t>
  </si>
  <si>
    <t>LUS23-167-MP014</t>
  </si>
  <si>
    <t>1149-2022/DCN/DDQZ/FACS/GRQQ/cacb</t>
  </si>
  <si>
    <t>L22-013-SP216</t>
  </si>
  <si>
    <t>VUNL8-021021</t>
  </si>
  <si>
    <t>JUAN CRUZ LOPEZ CUA</t>
  </si>
  <si>
    <t>DIAGONAL 5 40-02 LOTE #94 ZONA 8</t>
  </si>
  <si>
    <t>7 CALLE 0-80 ZONA 9</t>
  </si>
  <si>
    <t>LUS22-012-SP190</t>
  </si>
  <si>
    <t>L21-836-SP182</t>
  </si>
  <si>
    <t>VUNS12-160821</t>
  </si>
  <si>
    <t>8 CALLE 0-92 LOTE 19 ZONA 12</t>
  </si>
  <si>
    <t>LUS21-757-SP162</t>
  </si>
  <si>
    <t>L21-928-SP213</t>
  </si>
  <si>
    <t>RPND8-511121</t>
  </si>
  <si>
    <t>MARIO HERBER JOEL DE LEON GONZALEZ</t>
  </si>
  <si>
    <t>36 AVENIDA A-02 ZONA 8</t>
  </si>
  <si>
    <t>314E</t>
  </si>
  <si>
    <t>CORRECTA A LINEA DE PRIMER NIVEL</t>
  </si>
  <si>
    <t>L21-888-SP208</t>
  </si>
  <si>
    <t>RPNL7-221121</t>
  </si>
  <si>
    <t>CARLOS MANUEL ANGEL LOPEZ GOMEZ Y CDÑO</t>
  </si>
  <si>
    <t>LUS21-808-SP183</t>
  </si>
  <si>
    <t>L22-021-SP001</t>
  </si>
  <si>
    <t>VUNC3-071221</t>
  </si>
  <si>
    <t>PEDRO CHANAX MATUL</t>
  </si>
  <si>
    <t>8 CALLE 25A-109 ZONA 3</t>
  </si>
  <si>
    <t>236E</t>
  </si>
  <si>
    <t>LUS22-020-SP001</t>
  </si>
  <si>
    <t>L22-476-NR066</t>
  </si>
  <si>
    <t>RPNS2-080522</t>
  </si>
  <si>
    <t>JOSE SOC SANCHEZ</t>
  </si>
  <si>
    <t>1 AVENIDA 11-46 ZONA 2</t>
  </si>
  <si>
    <t>FRANCISCO ARNOLDO SAC ESCOBAR</t>
  </si>
  <si>
    <t>MURO PERIMETRAL + PORTON</t>
  </si>
  <si>
    <t>DOS SECCIONES DE MURO PERIMETRAL DE BLOCK</t>
  </si>
  <si>
    <t>DE 6.40ML x 4.15M/A. ----------</t>
  </si>
  <si>
    <t>L21-1015-NR204</t>
  </si>
  <si>
    <t>RPNG11-380321</t>
  </si>
  <si>
    <t>DAYSI AZUCENA GOMEZ ESCOBAR</t>
  </si>
  <si>
    <t>1 CALLE 1-212 LOTE 6 MZ 3 ZONA 11</t>
  </si>
  <si>
    <t>254E</t>
  </si>
  <si>
    <t>LUS21-906-NR193</t>
  </si>
  <si>
    <t>14/15</t>
  </si>
  <si>
    <t>L22-863-MP056</t>
  </si>
  <si>
    <t>DMNI1-061122</t>
  </si>
  <si>
    <t>INMOBILIARIA LOS ALMENDROS, S.A.</t>
  </si>
  <si>
    <t>CALLE R. R. 24-23 ZONA 1</t>
  </si>
  <si>
    <t>PAREDES DE BLOCK Y ADOBE, TECHO DE LOSA DE CONCRETO CON</t>
  </si>
  <si>
    <t>ENTREPISO DE MADERA, PISO DE GRANITO E INSTALACIONES OCULTAS. ----------</t>
  </si>
  <si>
    <t>20/18</t>
  </si>
  <si>
    <t>20/16.5</t>
  </si>
  <si>
    <t>18.25/15.75</t>
  </si>
  <si>
    <t>L21-974-JM173</t>
  </si>
  <si>
    <t>RPNE5-410921</t>
  </si>
  <si>
    <t>ZINTYA PAOLA RUANO LEMUS</t>
  </si>
  <si>
    <t>3 AVENIDA 2-13 LOTE E-13 ZONA 5</t>
  </si>
  <si>
    <t>LUS21-871-JM173</t>
  </si>
  <si>
    <t>L23-299-MP027</t>
  </si>
  <si>
    <t>RPNA6-110323</t>
  </si>
  <si>
    <t>JAIME MAGDALENO ACABAL TEM</t>
  </si>
  <si>
    <t>6 CALLE 0-112G INTERIOR ZONA 6</t>
  </si>
  <si>
    <t>PISO DE CEMENTO E INSTALACIONES SEMIOCULTAS. ----------</t>
  </si>
  <si>
    <t>CORRECTA COSTADO ORIENTE, INTERIOR</t>
  </si>
  <si>
    <t>LUS23-272-MP025</t>
  </si>
  <si>
    <t>L22-127-NR161</t>
  </si>
  <si>
    <t>VUND9-051121</t>
  </si>
  <si>
    <t>4 AVENIDA 2A-16 CASA 13 ZONA 9 LUCES DE LA FLORESTA</t>
  </si>
  <si>
    <t>LUS22-109-NR153</t>
  </si>
  <si>
    <t>L21-556-SP233</t>
  </si>
  <si>
    <t>RPNA1-270621</t>
  </si>
  <si>
    <t>JOSE JOAQUIN AGUIRRE OVALLE</t>
  </si>
  <si>
    <t>14 AVENIDA 6-84 ZONA 12</t>
  </si>
  <si>
    <t>LUS21-501-SP207</t>
  </si>
  <si>
    <t>L21-964-EC098</t>
  </si>
  <si>
    <t>RPNP1-020120</t>
  </si>
  <si>
    <t>YANIS AHILIN POL VASQUEZ</t>
  </si>
  <si>
    <t>CALLEJON 10A D12-48D INTERIOR ZONA 1</t>
  </si>
  <si>
    <t>L20-088-HI022</t>
  </si>
  <si>
    <t>RPD9-160818</t>
  </si>
  <si>
    <t>4 AVENIDA 2A-16 CASA 5 ZONA 9 LUCES DE LA FLORESTA</t>
  </si>
  <si>
    <t>LUS20-108-HI001</t>
  </si>
  <si>
    <t>L20-092-HI022</t>
  </si>
  <si>
    <t>RPD9-170818</t>
  </si>
  <si>
    <t>4 AVENIDA 2A-16 CASA 7 ZONA 9 LUCES DE LA FLORESTA</t>
  </si>
  <si>
    <t>LUS20-109-HI002</t>
  </si>
  <si>
    <t>L19-550-SP181</t>
  </si>
  <si>
    <t>VUNL7-020819A</t>
  </si>
  <si>
    <t>5 CALLE B 20-82 ZONA 7</t>
  </si>
  <si>
    <t>10E</t>
  </si>
  <si>
    <t>LUS19-436-SP181</t>
  </si>
  <si>
    <t>1337-2029/DCN/DDQZ/FACS/GRQQ/cacb</t>
  </si>
  <si>
    <t>L19-663-EC086</t>
  </si>
  <si>
    <t>RPNV6-031019</t>
  </si>
  <si>
    <t>CRECENCIA VICENTE TORRES</t>
  </si>
  <si>
    <t>11 CALLE 0-59 ZONA 6</t>
  </si>
  <si>
    <t>LUS20-032-EC006</t>
  </si>
  <si>
    <t>1254-2019/DCN/DDQZ/FACS/MSGG</t>
  </si>
  <si>
    <t>L19-592-EC083</t>
  </si>
  <si>
    <t>VUNC6-011019</t>
  </si>
  <si>
    <t>ALLAN JOSUE CIFUENTES RECANCOJ</t>
  </si>
  <si>
    <t>6 CALLE 0-250 B ZONA 6</t>
  </si>
  <si>
    <t>PARAJE TIERRA BLANCA, TOTONICAPAN, TOTONICAPAN</t>
  </si>
  <si>
    <t>LUS19-470-EC062</t>
  </si>
  <si>
    <t>1430-2019/DCN/DDQZ/FACS/GRQQ/grq</t>
  </si>
  <si>
    <t>L19-547-JM129</t>
  </si>
  <si>
    <t>VUNC8-020819</t>
  </si>
  <si>
    <t>DANY EDUARDO CARDONA LOPEZ Y CDÑA</t>
  </si>
  <si>
    <t>9 CALLE A 35B-03E INTERIOR ZONA 8</t>
  </si>
  <si>
    <t>LUS19-433-JM096</t>
  </si>
  <si>
    <t>1193-2019/DCN/DDQZ/FACS/MSGG/cacb</t>
  </si>
  <si>
    <t>L19-159-MP033</t>
  </si>
  <si>
    <t>VUS7-020419</t>
  </si>
  <si>
    <t>AURA CELINA CABRERA ESTRADA DE SANDOVAL</t>
  </si>
  <si>
    <t>LUS19-159-MP024</t>
  </si>
  <si>
    <t>328-2019/DCN/DDQZ/FACS/GRQQ/grq</t>
  </si>
  <si>
    <t>3A. CALLE 1-49 ZONA 7 JARDINES DE XELAJU</t>
  </si>
  <si>
    <t>L19-481-MP072</t>
  </si>
  <si>
    <t>VUV6-010519</t>
  </si>
  <si>
    <t>RIGOBERTO VASQUEZ GONZALEZ</t>
  </si>
  <si>
    <t>0 AVENIDA 1-183 INTERIOR ZONA 6</t>
  </si>
  <si>
    <t>4 CALLE A 29-05 ZONA 1</t>
  </si>
  <si>
    <t>LUS19-376-MP056</t>
  </si>
  <si>
    <t>0235-2019/DCN/DDQZ/FACS/MSGG/cacb</t>
  </si>
  <si>
    <t>L19-677-SP162</t>
  </si>
  <si>
    <t>VUNM10-120819</t>
  </si>
  <si>
    <t>2 CALLE 1-19 LOTE 12 MZ B ZONA 10</t>
  </si>
  <si>
    <t>277E</t>
  </si>
  <si>
    <t>LUS19-542-SP162</t>
  </si>
  <si>
    <t>L19-675-SP160</t>
  </si>
  <si>
    <t>VUNM10-100819</t>
  </si>
  <si>
    <t>2 CALLE 1-27 LOTE 10 MZ B ZONA 10</t>
  </si>
  <si>
    <t>LUS19-540-SP160</t>
  </si>
  <si>
    <t>L19-678-SP163</t>
  </si>
  <si>
    <t>VUNM10-130819</t>
  </si>
  <si>
    <t>2 CALLE 1-11 LOTE 14 MZ B ZONA 10</t>
  </si>
  <si>
    <t>LUS19-543-SP163</t>
  </si>
  <si>
    <t>L19-679-SP164</t>
  </si>
  <si>
    <t>VUNM10-140819</t>
  </si>
  <si>
    <t>2 CALLE 1-07 LOTE 15 MZ B ZONA 10</t>
  </si>
  <si>
    <t>LUS19-544-SP164</t>
  </si>
  <si>
    <t>L19-680-SP165</t>
  </si>
  <si>
    <t>VUNM10-150819</t>
  </si>
  <si>
    <t>2 CALLE 1-15 LOTE 13 MZ B ZONA 10</t>
  </si>
  <si>
    <t>LUS19-545-SP165</t>
  </si>
  <si>
    <t>L20-353-MP012</t>
  </si>
  <si>
    <t>VUNI9-011019</t>
  </si>
  <si>
    <t>INSTITUTO CATOLICO DE CAPACITACION</t>
  </si>
  <si>
    <t>CALLE C 42-15 ZONA 9</t>
  </si>
  <si>
    <t>JOSE MANUEL GUTIERREZ VALDIZAN</t>
  </si>
  <si>
    <t>BENITO GUERRERO GARCIA</t>
  </si>
  <si>
    <t>2283 82920 1801</t>
  </si>
  <si>
    <t>MURO PERIMETRAL PREFABRICADO</t>
  </si>
  <si>
    <t>2 PORTONES DE 7.50ML x 2.40M/A Y 10 SECCIONES DE MURO</t>
  </si>
  <si>
    <t>PERIMETRAL PREFABRICADO DE 382.80ML x 3.00M/A. ----------</t>
  </si>
  <si>
    <t>L20-352-MP013</t>
  </si>
  <si>
    <t>VUNI9-021019</t>
  </si>
  <si>
    <t>IGLESIA CATOLICA DE GUATEMALA ARQ DE QUETGO.</t>
  </si>
  <si>
    <t>8 AVENIDA 0-90 ZONA 9</t>
  </si>
  <si>
    <t>1 PORTON DE 4.60ML x 2.40M/A Y 23 SECCIONES DE MURO</t>
  </si>
  <si>
    <t>PERIMETRAL PREFABRICADO DE 310.19ML x 3.00M/A. ----------</t>
  </si>
  <si>
    <t>L17-959-P217</t>
  </si>
  <si>
    <t>RP-70-0917</t>
  </si>
  <si>
    <t>12 CALLE 5-97 ZONA 6</t>
  </si>
  <si>
    <t>L20-1301-JM091</t>
  </si>
  <si>
    <t>RPNM8-261120</t>
  </si>
  <si>
    <t>DIANY GILVANA MENDEZ CIFUENTES Y CDÑA</t>
  </si>
  <si>
    <t>DIAGONAL 1 0-22C, INTERIOR ZONA 8</t>
  </si>
  <si>
    <t>20E</t>
  </si>
  <si>
    <t>LUS20-1301-JM079</t>
  </si>
  <si>
    <t>L21-1314-SP171</t>
  </si>
  <si>
    <t>RPNA7-121020</t>
  </si>
  <si>
    <t>SANTIAGO ALONSO AJTUN ORDOÑEZ</t>
  </si>
  <si>
    <t>23 AVENIDA 3-65 ZONA 7</t>
  </si>
  <si>
    <t>2504 56885 0901</t>
  </si>
  <si>
    <t>LUS21-1312-SP171</t>
  </si>
  <si>
    <t>L19-641-HI008</t>
  </si>
  <si>
    <t>VUNR10-021119</t>
  </si>
  <si>
    <t>ELSA RAMIREZ LOPEZ</t>
  </si>
  <si>
    <t>6 AVENIDA A 1-36 ZONA 10</t>
  </si>
  <si>
    <t>MUNICIPIO DE CABRICAN, DEPARTAMENTO DE QUETZALTENANGO</t>
  </si>
  <si>
    <t>81E</t>
  </si>
  <si>
    <t>LUS19-519-HI008</t>
  </si>
  <si>
    <t>1184-2018/DCN/DDQZ/FACS/MSGG/cacb</t>
  </si>
  <si>
    <t>L18-068-HI023</t>
  </si>
  <si>
    <t>VUR7-010218</t>
  </si>
  <si>
    <t>FOLFIDO ALBERONY REYES MAZARIEGOS</t>
  </si>
  <si>
    <t>4 CALLE 29-46, INTERIOR ZONA 7</t>
  </si>
  <si>
    <t>LUS18-079-HI016</t>
  </si>
  <si>
    <t>1185-2017/DCN/DDQZ/OAVV/GRQ/cacr</t>
  </si>
  <si>
    <t>L18-782-HI070</t>
  </si>
  <si>
    <t>VUE10-011217</t>
  </si>
  <si>
    <t>INGRID NINETH ESCOBAR GONZALEZ</t>
  </si>
  <si>
    <t>DIAGONAL 15 5-81 ZONA 10</t>
  </si>
  <si>
    <t>2 AVENIDA 0-87 ZONA 9</t>
  </si>
  <si>
    <t>CRISTIAN VIRGILIO MARTINEZ MOLINA</t>
  </si>
  <si>
    <t>LUS18-783-HI023</t>
  </si>
  <si>
    <t>L18-106-HI026</t>
  </si>
  <si>
    <t>VUM7-020218</t>
  </si>
  <si>
    <t>GLORIA ARGENTINA MORALES ESCOBAR</t>
  </si>
  <si>
    <t>10 CALLE 25-10 LOTE 37 MZ I ZONA 7 TRIGALES</t>
  </si>
  <si>
    <t>25 AVENIDA 11-40 ZONA 7</t>
  </si>
  <si>
    <t>LUS18-107-HI019</t>
  </si>
  <si>
    <t>1012-2017/DCN/DDQZ/FACS/GRQQ/cacb</t>
  </si>
  <si>
    <t>INDEFINIDO Y 20/03/2022</t>
  </si>
  <si>
    <t>L18-165-HI029</t>
  </si>
  <si>
    <t>VUC8-020218</t>
  </si>
  <si>
    <t>ALEJANDRA VICTORIA CARRILLO MUÑOZ</t>
  </si>
  <si>
    <t>CERO AVENIDA 11-49A, INTERIOR ZONA 8</t>
  </si>
  <si>
    <t>2 AVENIDA 11-27 ZONA 7 CONDOMINIO LOS EUCALIPTOS</t>
  </si>
  <si>
    <t>MONICA MARIA ALVARADO PEREZ</t>
  </si>
  <si>
    <t>VILMA YANIRA MUÑOZ QUEZADA</t>
  </si>
  <si>
    <t>1796 59146 1002</t>
  </si>
  <si>
    <t>LUS18-172-HI020</t>
  </si>
  <si>
    <t>L18-216-HI030</t>
  </si>
  <si>
    <t>VUP10-010118</t>
  </si>
  <si>
    <t>MARCELO ALFONSO PEREZ CANASTUJ</t>
  </si>
  <si>
    <t>8 CALLE 1-02 ZONA 10</t>
  </si>
  <si>
    <t>4 AVENIDA 12-00 ZONA 1</t>
  </si>
  <si>
    <t>PABLO DANIEL HERRERA REYES</t>
  </si>
  <si>
    <t>LUS18-217-HI021</t>
  </si>
  <si>
    <t>L18-519-HI032</t>
  </si>
  <si>
    <t>VUM5-030718</t>
  </si>
  <si>
    <t>JACQUELINE NIDIA MUÑOZ PEREZ</t>
  </si>
  <si>
    <t>17 CALLE D14-80 INTERIOR ZONA 5</t>
  </si>
  <si>
    <t>PISO TORTA DE CEMENTO E INSTALACIONES SEMI OCULTAS. ----------</t>
  </si>
  <si>
    <t>LUS18-520-HI022</t>
  </si>
  <si>
    <t>L18-596-HI034</t>
  </si>
  <si>
    <t>RPS10-270718</t>
  </si>
  <si>
    <t>MARIA DE LA CRUZ SABAJ GOMEZ Y CDUEÑO</t>
  </si>
  <si>
    <t>1 CALLE 9-66 INTERIOR ZONA 10</t>
  </si>
  <si>
    <t>L18-509-HI031</t>
  </si>
  <si>
    <t>VUP8-040718</t>
  </si>
  <si>
    <t>SANTOS JUANA PEREZ Y PEREZ DE PEREZ</t>
  </si>
  <si>
    <t>35 AVENIDA 10-67 ZONA 8</t>
  </si>
  <si>
    <t>CALLEJON 17A 15-73 ZONA 5</t>
  </si>
  <si>
    <t>121E</t>
  </si>
  <si>
    <t>EMILIO MOISES YAX TZUL</t>
  </si>
  <si>
    <t>LUIS CARLOS FLORES RODAS</t>
  </si>
  <si>
    <t>LUS18-510-HI021</t>
  </si>
  <si>
    <t>667-2018/DCN/DDQZ/FACS/MSGG/cacb</t>
  </si>
  <si>
    <t>L18-727-HI034</t>
  </si>
  <si>
    <t>RPM6-150818</t>
  </si>
  <si>
    <t>NOE ELIAS NEFTALI MEJIA JUANTA Y CDUEÑA</t>
  </si>
  <si>
    <t>5 AVENIDA 12-68 ZONA 6</t>
  </si>
  <si>
    <t>L18-722-JM078</t>
  </si>
  <si>
    <t>VUQ3-030918</t>
  </si>
  <si>
    <t>FRANCISCO JOSE QUIJIVIX RODAS</t>
  </si>
  <si>
    <t>9 CALLE A D2-58 ZONA 3</t>
  </si>
  <si>
    <t>32 AVENIDA D2-46 ZONA 3</t>
  </si>
  <si>
    <t>LUS18-723-JM030</t>
  </si>
  <si>
    <t>783-2018/DCN/DDQZ/FACS/MSGG/cacb</t>
  </si>
  <si>
    <t>L18-061-HI025</t>
  </si>
  <si>
    <t>VUI9-010218</t>
  </si>
  <si>
    <t>ALVARO CRISTIAN HERRERA SCHEEL</t>
  </si>
  <si>
    <t>1708 91909 0901</t>
  </si>
  <si>
    <t>CAPILLA Y MODULOS HABITACIONALES</t>
  </si>
  <si>
    <t>PAREDES DE LADRILLO VISTO, TECHO DE LAMINA,</t>
  </si>
  <si>
    <t>PISO CERAMICO Y DE GRANITO, E INSTALACIONES OCULTAS. ----------</t>
  </si>
  <si>
    <t>LUS18-003-HI017</t>
  </si>
  <si>
    <t>1130-2017/DCN/DDQZ/FACS/GRQQ</t>
  </si>
  <si>
    <t>L18-060-HI024</t>
  </si>
  <si>
    <t>VUI9-020218</t>
  </si>
  <si>
    <t xml:space="preserve">CAPILLA  </t>
  </si>
  <si>
    <t>LUS18-002-HI016</t>
  </si>
  <si>
    <t>L22-464-JC007</t>
  </si>
  <si>
    <t>RPNB3-090522</t>
  </si>
  <si>
    <t>JUANA TEREZA BATZ TZOC</t>
  </si>
  <si>
    <t>21 AVENIDA 1-16 ZONA 3</t>
  </si>
  <si>
    <t>ROBIN GIOVANNI GRAMAJO MORALES</t>
  </si>
  <si>
    <t>LUS22-408-JC002</t>
  </si>
  <si>
    <t>1626-2020/DCN/DDQZ/UIDLF/GRQQ/grq</t>
  </si>
  <si>
    <t>INDEFINIDO Y 27/05/2016</t>
  </si>
  <si>
    <t>AMPLIACION VIVIENDA MULTIFAMILIAR + LOCAL COMERCIAL</t>
  </si>
  <si>
    <t>L18-540-WV051</t>
  </si>
  <si>
    <t>VUD5-030718</t>
  </si>
  <si>
    <t>DEXTRA, S. A.</t>
  </si>
  <si>
    <t>10 AVENIDA 1-60, LOTE 30 MZ D ZONA 5 XELAGARDEN</t>
  </si>
  <si>
    <t>AVENIDA LAS AMERICAS 7-62 ZONA 3 EDF. TORRE PRADERA OF. 607</t>
  </si>
  <si>
    <t>MARIO JOSE GARCIA HENRY</t>
  </si>
  <si>
    <t>HILMAR HUGO LEONEL COJULUM CABRERA</t>
  </si>
  <si>
    <t>1702 34800 0901</t>
  </si>
  <si>
    <t>LUS18-541-WV029</t>
  </si>
  <si>
    <t>L19-703-WV022</t>
  </si>
  <si>
    <t>RPP10-020119</t>
  </si>
  <si>
    <t>HENRY EZEQUIEL POS PEREZ</t>
  </si>
  <si>
    <t>8 CALLLE C8-10B INTERIOR ZONA 10</t>
  </si>
  <si>
    <t>L20-498-WV018</t>
  </si>
  <si>
    <t>RPNC11-010120</t>
  </si>
  <si>
    <t>DULCE MARIA DE LOS ANGELES JUAREZ S. DE CUC</t>
  </si>
  <si>
    <t>2 AVENIDA B 5A-46 ZONA 11</t>
  </si>
  <si>
    <t>LUS22-753-WV016</t>
  </si>
  <si>
    <t>L20-496-MP098</t>
  </si>
  <si>
    <t>RPM5-181018</t>
  </si>
  <si>
    <t>MARIA MERCEDES GIRON DE LEON DE MATUL</t>
  </si>
  <si>
    <t>17 AVENIDA CC180-101 ZONA 5</t>
  </si>
  <si>
    <t>228E</t>
  </si>
  <si>
    <t>L19-978-EC021</t>
  </si>
  <si>
    <t>RPB9-270818</t>
  </si>
  <si>
    <t>JOSE HAROLDO BARRIOS ARRIOLA</t>
  </si>
  <si>
    <t>4 AVENIDA 2A-16 CASA 43 ZONA 9 LUCES DE LA FLORESTA</t>
  </si>
  <si>
    <t>LUS20-007-EC073</t>
  </si>
  <si>
    <t>L19-977-EC020</t>
  </si>
  <si>
    <t>RPB9-260818</t>
  </si>
  <si>
    <t>4 AVENIDA 2A-16 CASA 42 ZONA 9 LUCES DE LA FLORESTA</t>
  </si>
  <si>
    <t>LUS20-009-EC074</t>
  </si>
  <si>
    <t>L19-979-HI020</t>
  </si>
  <si>
    <t>RPO9-230818</t>
  </si>
  <si>
    <t>BEATRIZ EUGENIA OROZCO FUENTES</t>
  </si>
  <si>
    <t>4 AVENIDA 2A-16 CASA 45 ZONA 9 LUCES DE LA FLORESTA</t>
  </si>
  <si>
    <t>LUS20-008-HI008</t>
  </si>
  <si>
    <t>L19-980-HI021</t>
  </si>
  <si>
    <t>RPO9-220818</t>
  </si>
  <si>
    <t>4 AVENIDA 2A-16 CASA 46 ZONA 9 LUCES DE LA FLORESTA</t>
  </si>
  <si>
    <t>LUS20-014-HI007</t>
  </si>
  <si>
    <t>L18-974-SP192</t>
  </si>
  <si>
    <t>RPYR-141018</t>
  </si>
  <si>
    <t>ISAAC ALEJANDRO YAX LOPEZ</t>
  </si>
  <si>
    <t>0 AVENIDA 2-138 ZONA 11</t>
  </si>
  <si>
    <t>VIVIENDA UNIFAMILIAR + BODEGA</t>
  </si>
  <si>
    <t>LUS22-568-SP192</t>
  </si>
  <si>
    <t>INDEFINIDO Y 01/09/2026</t>
  </si>
  <si>
    <t>Los pagos de la presente autorizacion, se realizaron por medio de FORMA 7-B INGRESOS VARIOS.</t>
  </si>
  <si>
    <t>L18-168-SP050</t>
  </si>
  <si>
    <t>VUC8-030318</t>
  </si>
  <si>
    <t>OBISPO PIOQUINTO CHAJ VASQUEZ</t>
  </si>
  <si>
    <t>10 CALLE C36-02 ZONA 8 LA CIPRESADA</t>
  </si>
  <si>
    <t>CONDOMINIO PASEO LA ARBOLEDA A2-17, OLINTEPEQUE</t>
  </si>
  <si>
    <t>181E</t>
  </si>
  <si>
    <t>YEIMI MARIA MENCHU MORALES</t>
  </si>
  <si>
    <t>BORIS ALBERTO VASQUEZ DUQUE</t>
  </si>
  <si>
    <t>2535 38602 0901</t>
  </si>
  <si>
    <t>LUS18-170-SP050</t>
  </si>
  <si>
    <t>064-2018/DCN/DDQZ/FACS/GRQQ/cacb</t>
  </si>
  <si>
    <t>L20-286-SP109</t>
  </si>
  <si>
    <t>RPNB8-120920</t>
  </si>
  <si>
    <t>GUSTAVO ADOLFO BARRIOS</t>
  </si>
  <si>
    <t>11 CALLE D1-47 ZONA 8</t>
  </si>
  <si>
    <t>ALDEA SIGUILA, SAN MATEO, QUETGO.</t>
  </si>
  <si>
    <t>FREDY BENJAMIN GOMEZ LEPE</t>
  </si>
  <si>
    <t>PISO TORTA DE CONCRETO E INSTALACIONES OCULTAS. ----------</t>
  </si>
  <si>
    <t>L20-286-SP108</t>
  </si>
  <si>
    <t>RPNG8-130920</t>
  </si>
  <si>
    <t>MARIO FERNANDO GARCIA BARRIOS</t>
  </si>
  <si>
    <t>11 CALLE D1-41 ZONA 8</t>
  </si>
  <si>
    <t>2 CALLE 5-20 ZONA 1, SAN MATEO, QUETGO.</t>
  </si>
  <si>
    <t>182E</t>
  </si>
  <si>
    <t>L19-307-KM090</t>
  </si>
  <si>
    <t>RPT12-020319</t>
  </si>
  <si>
    <t>TALLERES AUTOTEC, SOCIEDAD ANONIMA</t>
  </si>
  <si>
    <t>12 AVENIDA 11-39 SECTOR 4B ZONA 12 N.C. ALTOS</t>
  </si>
  <si>
    <t>AVENIDA LAS AMERICAS, CONDADO SANTA MARIA, OFIBODEGA 17</t>
  </si>
  <si>
    <t>L20-214-JM054</t>
  </si>
  <si>
    <t>RPNG9-120120</t>
  </si>
  <si>
    <t>ENGELBER DONALDO GARCIA DE LEON</t>
  </si>
  <si>
    <t>9 CALLE 12-43 B INTERIOR ZONA 9</t>
  </si>
  <si>
    <t>7 AVENIDA 7-29 ZONA 2</t>
  </si>
  <si>
    <t>CORRECTA, NO OBSTANTE EDIFICACION EN INTERIOR</t>
  </si>
  <si>
    <t>LUS20-208-JM045</t>
  </si>
  <si>
    <t>L20-479-MP099</t>
  </si>
  <si>
    <t>RPP1-040118</t>
  </si>
  <si>
    <t>NURIA ZULEIKA PEREZ CARDONA Y CONDUEÑO</t>
  </si>
  <si>
    <t>14 CALLE D11-44A INTERIOR ZONA 1</t>
  </si>
  <si>
    <t>243E</t>
  </si>
  <si>
    <t>L20-497-JM036</t>
  </si>
  <si>
    <t>RPNL10-060320</t>
  </si>
  <si>
    <t>BEATRIZ ADRIANA LOPEZ MENCHU</t>
  </si>
  <si>
    <t>6 AVENIDA A 6-17 ZONA 10</t>
  </si>
  <si>
    <t>L17-375-C093</t>
  </si>
  <si>
    <t>C3-09-0617</t>
  </si>
  <si>
    <t>RAYMUNDA SOCORRO CUCUM TIZOL</t>
  </si>
  <si>
    <t>31 AVENIDA D3-05 ZONA 3</t>
  </si>
  <si>
    <t>LUIS ENRIQUE VELASQUEZ CALDERON</t>
  </si>
  <si>
    <t>L17-902-M273</t>
  </si>
  <si>
    <t>T1-08-1216</t>
  </si>
  <si>
    <t>MANOLO TRAPAGA SOSA</t>
  </si>
  <si>
    <t>18 AVENIDA 10-37 ZONA 1</t>
  </si>
  <si>
    <t>8 AVENIDA 4-31 ZONA 1</t>
  </si>
  <si>
    <t>WIELAND JOSE ESCOBAR WOLF</t>
  </si>
  <si>
    <t>APERTURA DE PORTON</t>
  </si>
  <si>
    <t>DEMOLICION DE SECCION DE MURO DE ADOBE PARA</t>
  </si>
  <si>
    <t>APERTURA DE PORTON DE 2.90ML x 2.50M/A. ----------</t>
  </si>
  <si>
    <t>L19-310-WV053</t>
  </si>
  <si>
    <t>RPC5-080519</t>
  </si>
  <si>
    <t>CARMEN TEODORA COYOY GARCIA</t>
  </si>
  <si>
    <t>9 AVENIDA 5A-60 ZONA 5</t>
  </si>
  <si>
    <t xml:space="preserve">AMPLIACION VIVIENDA MULTIFAMILIAR  </t>
  </si>
  <si>
    <t>LUS19-246-WV032</t>
  </si>
  <si>
    <t>1346-2018/DCN/DDQZ/FACS/GRQQ/cacb</t>
  </si>
  <si>
    <t>L18-185-SP057</t>
  </si>
  <si>
    <t>VUO12-020418</t>
  </si>
  <si>
    <t>WILLIAM ARNOLDO OSORIO MARTINEZ</t>
  </si>
  <si>
    <t>8 CALLE 5-13 ZONA 12</t>
  </si>
  <si>
    <t>8 CALLE 5-30, LOTE #513, MZ C ZONA 12 PRADOS DEL ENCINAL</t>
  </si>
  <si>
    <t>SULMA LISBETH GRIJALVA LLARENA DE GONZALEZ</t>
  </si>
  <si>
    <t>2301 19743 0901</t>
  </si>
  <si>
    <t>LUS18-186-057SP</t>
  </si>
  <si>
    <t>L18-975-MP099</t>
  </si>
  <si>
    <t>RPR1-280718</t>
  </si>
  <si>
    <t>AMILCAR LEONARDO RACANCOJ ALONZO</t>
  </si>
  <si>
    <t>19 AVENIDA C10-62B INTERIOR ZONA 1</t>
  </si>
  <si>
    <t>L18-976-SP193</t>
  </si>
  <si>
    <t>RPC1-090518</t>
  </si>
  <si>
    <t>FRISLI WOSVELI AUGUSTO BARRENO IXCOT</t>
  </si>
  <si>
    <t>DIAGONAL 16 13-84 INTERIOR ZONA 1</t>
  </si>
  <si>
    <t>LUS23-005-SP193</t>
  </si>
  <si>
    <t>L16-569-W174</t>
  </si>
  <si>
    <t>S6-04-0816</t>
  </si>
  <si>
    <t>JULIO CESAR SANTIAGO ALVARADO</t>
  </si>
  <si>
    <t>3 AVENIDA 14B-47, LOTE #28 MZ A ZONA 6 P.S MARIA</t>
  </si>
  <si>
    <t>DANIEL ISAI VARGAS ALVAREZ</t>
  </si>
  <si>
    <t>ISMAR ESTUARDO CHAJ MENDEZ</t>
  </si>
  <si>
    <t>L18-066-WV007</t>
  </si>
  <si>
    <t>A4-03-0717</t>
  </si>
  <si>
    <t>RUTH NOHEMI ALVAREZ CHAVEZ Y CDUEÑA</t>
  </si>
  <si>
    <t>DIAGONAL 2 0-83 ZONA 4</t>
  </si>
  <si>
    <t xml:space="preserve">MURO PERIMETRAL DE PAREDES DE BLOCK, MAS </t>
  </si>
  <si>
    <t>UN PORTON DE 3.00ML x 1.88M/A. ----------</t>
  </si>
  <si>
    <t>L19-981-EC022</t>
  </si>
  <si>
    <t>RPC9-280818</t>
  </si>
  <si>
    <t>WERNER JOSE CUESSI CASTRO CONDE</t>
  </si>
  <si>
    <t>4 AVENIDA 2A-16 CASA 44 ZONA 9 LUCES DE LA FLORESTA</t>
  </si>
  <si>
    <t>LUS20-006-EC075</t>
  </si>
  <si>
    <t>L22-760-MP063</t>
  </si>
  <si>
    <t>RPNG5-620722</t>
  </si>
  <si>
    <t>FRANCISCO ALEJANDRO GARCIA VILLATORO</t>
  </si>
  <si>
    <t>10 AVENIDA A 15-37 LOTE 26 MZ. F ZONA 5 VISTALVALLE</t>
  </si>
  <si>
    <t>LUS22-685-MP058</t>
  </si>
  <si>
    <t>L22-843-MP051</t>
  </si>
  <si>
    <t>VUNR1-021022</t>
  </si>
  <si>
    <t>ALBA JEANNETTE RODAS ARRIOLA</t>
  </si>
  <si>
    <t>6 CALLE 28-08 ZONA 1 EL PARAISO</t>
  </si>
  <si>
    <t>LUS22-762-MP050</t>
  </si>
  <si>
    <t>754-2022/DCN/DDQZ/FACS/msgg</t>
  </si>
  <si>
    <t>L19-705-JM022</t>
  </si>
  <si>
    <t>RPL7-221218</t>
  </si>
  <si>
    <t>AGUSTIN JULIO LOPEZ CHAN</t>
  </si>
  <si>
    <t>24 AVENIDA 7-40, INTERIOR ZONA 7</t>
  </si>
  <si>
    <t>L19-706-JM023</t>
  </si>
  <si>
    <t>RPL7-231218</t>
  </si>
  <si>
    <t>L20-43-JM-094</t>
  </si>
  <si>
    <t>RPNI9-211220</t>
  </si>
  <si>
    <t>MARIA ELENA IXQUIACCHE VELASQUEZ</t>
  </si>
  <si>
    <t>DIAGONAL 4 6-80A INTERIOR ZONA 9</t>
  </si>
  <si>
    <t>LUS20-417-JM082</t>
  </si>
  <si>
    <t>1665-2018/DCN/DDQZ/FACS/MSGG/cacb</t>
  </si>
  <si>
    <t>USB3-060922</t>
  </si>
  <si>
    <t>ELSA PAOLA BARRIOS HERRERA Y CONDUEÑOS</t>
  </si>
  <si>
    <t>23 AVENIDA 5-47 ZONA 3</t>
  </si>
  <si>
    <t>219E</t>
  </si>
  <si>
    <t>ERICK FERNANDO DE LEON GARCIA</t>
  </si>
  <si>
    <t>CAR WASH</t>
  </si>
  <si>
    <t>LUS22-467-NR065</t>
  </si>
  <si>
    <t>386-2022/DCN/DDQZ/FACS/msgg</t>
  </si>
  <si>
    <t>L22-642-MP022</t>
  </si>
  <si>
    <t>VUND5-030722</t>
  </si>
  <si>
    <t>JONI CRISTIAN DE LEON DE LEON</t>
  </si>
  <si>
    <t>7 AVENIDA 1-39, LOTE 19 MZ C ZONA 5 XELAGARDEN</t>
  </si>
  <si>
    <t>LUS22-574-MP023</t>
  </si>
  <si>
    <t>L22-759-LG140</t>
  </si>
  <si>
    <t>VUNA1-010722</t>
  </si>
  <si>
    <t>SHARON NAHOMI ARANA BARRIOS</t>
  </si>
  <si>
    <t>6 CALLE 27-40 ZONA 1</t>
  </si>
  <si>
    <t>10 CALLE 14A-31 ZONA 3</t>
  </si>
  <si>
    <t>BRYAN FERNANDO LOPEZ ESTRADA</t>
  </si>
  <si>
    <t>2293 19602 0901</t>
  </si>
  <si>
    <t>LUS22-684-LG125</t>
  </si>
  <si>
    <t>3062-2022/DCN/FACS/cacb</t>
  </si>
  <si>
    <t>L22-734-SP106</t>
  </si>
  <si>
    <t>RPNG6-351021</t>
  </si>
  <si>
    <t>JOSE EMILIO GONZALEZ CHAJ</t>
  </si>
  <si>
    <t>2 AVENIDA 14E-12 ZONA 6</t>
  </si>
  <si>
    <t xml:space="preserve">EDIN GEOVANY ELIAS COP </t>
  </si>
  <si>
    <t>LUS22-661-SP104</t>
  </si>
  <si>
    <t>992-2022/DCN/DDQZ/FACS/GRQQ/cacb</t>
  </si>
  <si>
    <t>L22-556-JM084</t>
  </si>
  <si>
    <t>VUNER-010322</t>
  </si>
  <si>
    <t>LOTE 42 PLANES DEL PINAL TIERRA COLORADA BAJA</t>
  </si>
  <si>
    <t>LUS22-494-JM084</t>
  </si>
  <si>
    <t>L22-778-MP026</t>
  </si>
  <si>
    <t>DMNG8-020822</t>
  </si>
  <si>
    <t>DONAY RAUL GARCIA GRAMAJO</t>
  </si>
  <si>
    <t>DIAGONAL 3 35-76 ZONA 8</t>
  </si>
  <si>
    <t>1 AVENIDA 14F-11, LOTE 12 ZONA 6</t>
  </si>
  <si>
    <t>SERGIO MIGUEL GARCIA QUIJIVIX</t>
  </si>
  <si>
    <t>EULER ABIMAEL DIAZ GARCIA</t>
  </si>
  <si>
    <t>3519 35711 0904</t>
  </si>
  <si>
    <t>DEMOLICION DE PAREDES DE BLOCK, TECHO DE LAMINA,</t>
  </si>
  <si>
    <t>L22-769-NR024</t>
  </si>
  <si>
    <t>VUNA9-010321</t>
  </si>
  <si>
    <t>MIRNA JANETH CASTILLO ORTIZ DE ALVAREZ</t>
  </si>
  <si>
    <t>6 CALLE C 7-13 ZONA 9</t>
  </si>
  <si>
    <t>YESICA YESSAMIN GARCIA YAT</t>
  </si>
  <si>
    <t>2800 85133 0901</t>
  </si>
  <si>
    <t>LUS22-695-NR020</t>
  </si>
  <si>
    <t>967-2020/DCN/MSGG/grqq</t>
  </si>
  <si>
    <t>L22-763-JM167</t>
  </si>
  <si>
    <t>VUNM12-020922</t>
  </si>
  <si>
    <t>12 CALLE A 5-32, LOTE #29 MZ P ZONA 12 LOS PINOS</t>
  </si>
  <si>
    <t>LUS22-688-JM167</t>
  </si>
  <si>
    <t>L22-737-JM156</t>
  </si>
  <si>
    <t>VUNT4-010722</t>
  </si>
  <si>
    <t>OLGA VIOLETA TUCUX TAY</t>
  </si>
  <si>
    <t>AVENIDA EL CENIZAL 3-73 ZONA 4</t>
  </si>
  <si>
    <t>LUS22-664-JM156</t>
  </si>
  <si>
    <t>1028-2022/DCN/DDQZ/FACS/GRQQ/cacb</t>
  </si>
  <si>
    <t>USD3-030222</t>
  </si>
  <si>
    <t>ROSALBA CONCEPCION DE LEON CALDERON</t>
  </si>
  <si>
    <t>22 AVENIDA 7-11 ZONA 3</t>
  </si>
  <si>
    <t>LUS22-239-SP044</t>
  </si>
  <si>
    <t>1772-2021/DCN/DDQZ/UIDLF/GRQQ/grq</t>
  </si>
  <si>
    <t>L22-652-LG120</t>
  </si>
  <si>
    <t>RPNIR-240322</t>
  </si>
  <si>
    <t>HERLINDA NARCISA AJANEL PELICO DE IXCOY</t>
  </si>
  <si>
    <t xml:space="preserve">ALDEA SAN JOSE CHIQUILAJA  </t>
  </si>
  <si>
    <t>52E</t>
  </si>
  <si>
    <t>LUS22-584-LG107</t>
  </si>
  <si>
    <t>L22-677-LG018</t>
  </si>
  <si>
    <t>DMNJ1-050722</t>
  </si>
  <si>
    <t>GLADYS NINNETH QUIJIVIX CAYAX DE JUCUP</t>
  </si>
  <si>
    <t>DIAGONAL 12 D11-40 ZONA 1</t>
  </si>
  <si>
    <t>DIAGONAL 12 D8-30 ZONA 1</t>
  </si>
  <si>
    <t>JOSE LUIS QUIJIVIX CAYAX</t>
  </si>
  <si>
    <t xml:space="preserve">DEMOLICION  </t>
  </si>
  <si>
    <t>PAREDES DE ADOBE, TECHO DE LAMINA,</t>
  </si>
  <si>
    <t>L22-835-JM180</t>
  </si>
  <si>
    <t>VUNL8-030722</t>
  </si>
  <si>
    <t>SANTOS FELICIANO LARIOS PEREZ</t>
  </si>
  <si>
    <t>DIAGONAL 2 34-68 ZONA 8</t>
  </si>
  <si>
    <t>30 AVENIDA A C31-19 ZONA 3</t>
  </si>
  <si>
    <t>339E</t>
  </si>
  <si>
    <t>LUS22-754-JM180</t>
  </si>
  <si>
    <t>914-2022/DCN/DDQZ/FACS/grq</t>
  </si>
  <si>
    <r>
      <t xml:space="preserve">Alineacion establecida según la Providencia del Departamento de Ordenamiento Territorial </t>
    </r>
    <r>
      <rPr>
        <sz val="12"/>
        <color rgb="FFFF0000"/>
        <rFont val="Century Gothic"/>
        <family val="1"/>
      </rPr>
      <t>DOT-294-2022-AE de fecha 03/11/2022.</t>
    </r>
  </si>
  <si>
    <t>L22-858-SP138</t>
  </si>
  <si>
    <t>VUNM9-011022</t>
  </si>
  <si>
    <t>JUAN MANUEL MORALES DE LEON Y CONDUEÑA</t>
  </si>
  <si>
    <t>2 CALLE 5-112 INTERIOR 20A ZONA 9</t>
  </si>
  <si>
    <t>7 AVENIDA 2-91 LOTE #4 ZONA 9 COND. LOMAS DE LA FLORESTA</t>
  </si>
  <si>
    <t>LUIS BERNARDO BALCARCEL LOPEZ</t>
  </si>
  <si>
    <t>LUS22-776-SP130</t>
  </si>
  <si>
    <t>L22-869-SP149</t>
  </si>
  <si>
    <t>RPNV2-060522</t>
  </si>
  <si>
    <t>CESAR RONEL VILLAGRAN ULIN</t>
  </si>
  <si>
    <t>8 AVENIDA 0-161 ZONA 2</t>
  </si>
  <si>
    <t>LUS22-783-SP139</t>
  </si>
  <si>
    <t>L22-804-LG135</t>
  </si>
  <si>
    <t>VUNG10-040822</t>
  </si>
  <si>
    <t>DISMAR ADDERLY GUERRA PEREZ</t>
  </si>
  <si>
    <t>4 AVENIDA C0-90C INTERIOR ZONA 10</t>
  </si>
  <si>
    <t>272E</t>
  </si>
  <si>
    <t>LUS22-725-LG120</t>
  </si>
  <si>
    <t>942-2022/DCN/DDQZ/UIDLF/grq</t>
  </si>
  <si>
    <t>L22-765-JC037</t>
  </si>
  <si>
    <t>RPNP6-360922</t>
  </si>
  <si>
    <t>ROSARIO GARCIA MORALES DE PEREZ</t>
  </si>
  <si>
    <t>5 AVENIDA 5-49D INTERIOR ZONA 6</t>
  </si>
  <si>
    <t>364E</t>
  </si>
  <si>
    <t>LUS22-690-JC032</t>
  </si>
  <si>
    <t>L22-786-SP176</t>
  </si>
  <si>
    <t>RPNT8-470822</t>
  </si>
  <si>
    <t>MARIA TOL MACARIO DE TOJ</t>
  </si>
  <si>
    <t>3 CALLE D1-38 INTERIOR ZONA 8</t>
  </si>
  <si>
    <t>LUS22-709-SP163</t>
  </si>
  <si>
    <t>L22-866-SP175</t>
  </si>
  <si>
    <t>RPNC5-720922</t>
  </si>
  <si>
    <t>FREDY GONZALO CHUVAC LOPEZ</t>
  </si>
  <si>
    <t>CERO AVENIDA 13-106 LOTE 37 ZONA 5</t>
  </si>
  <si>
    <t>LUS22-781-SP162</t>
  </si>
  <si>
    <t>L22-766-SP103</t>
  </si>
  <si>
    <t>RPNM6-330822</t>
  </si>
  <si>
    <t>AXEL RUBEN MAYORGA RUIZ</t>
  </si>
  <si>
    <t>11 CALLE 0-14 ZONA 6</t>
  </si>
  <si>
    <t>353E</t>
  </si>
  <si>
    <t>LUS22-691-SP101</t>
  </si>
  <si>
    <t>L22-440-SP170</t>
  </si>
  <si>
    <t>RPNL6-110522</t>
  </si>
  <si>
    <t>JAIME ENRIQUE LOPEZ ALVARADO</t>
  </si>
  <si>
    <t>CALLEJON 5A 5-72 D INTERIOR ZONA 6</t>
  </si>
  <si>
    <t>329E</t>
  </si>
  <si>
    <t>LUS22-393-SP157</t>
  </si>
  <si>
    <t>L20-270-EC074</t>
  </si>
  <si>
    <t>VUNR3-010720</t>
  </si>
  <si>
    <t>JUAN RAMON MACARIO</t>
  </si>
  <si>
    <t>8 CALLE 25B-41 ZONA 3</t>
  </si>
  <si>
    <t>AVENIDA LAS AMERICAS 8-71 ZONA 1</t>
  </si>
  <si>
    <t>244E</t>
  </si>
  <si>
    <t>L23-484-SP060</t>
  </si>
  <si>
    <t>RPNM8-240523</t>
  </si>
  <si>
    <t>RENATO ALBERTO MATUL PAXTOR</t>
  </si>
  <si>
    <t>10 CALLE D1-114D INTERIOR ZONA 8</t>
  </si>
  <si>
    <t>DAVID DE JESÚS FIGUEROA LÓPEZ</t>
  </si>
  <si>
    <t>LUS23-422-SP060</t>
  </si>
  <si>
    <t>479-2023/DCN/DDQZ/UIDLF/GRQQ/cacb</t>
  </si>
  <si>
    <t>L22-245-SP033</t>
  </si>
  <si>
    <t>VUNO3-010322</t>
  </si>
  <si>
    <t>GLADYS ARACELY BARRENO LOPEZ DE ORTIZ</t>
  </si>
  <si>
    <t>31 AVENIDA 9-47 ZONA 3</t>
  </si>
  <si>
    <t>5 CALLE 0-64 ZONA 7 COL. SAN ANTONIO</t>
  </si>
  <si>
    <t>HILLBERTH CLODOALDO LOBOS MACHIC</t>
  </si>
  <si>
    <t>MURO PERIMETRAL DE BLOCK DE 25.84MTS2,</t>
  </si>
  <si>
    <t>MAS PORTON DE 7.35MTS2. ----------</t>
  </si>
  <si>
    <t>L22-794-LG149</t>
  </si>
  <si>
    <t>RPNRR-870921</t>
  </si>
  <si>
    <t>FEDY JEANETTE JEREZ CLARA</t>
  </si>
  <si>
    <t>1 AVENIDA 2-35 LOTE 23 MZ. E ZONA 10</t>
  </si>
  <si>
    <t>LUS22-715-LG133</t>
  </si>
  <si>
    <t>L22-901-JM198</t>
  </si>
  <si>
    <t>RPNV4-071021</t>
  </si>
  <si>
    <t>LUIS FRANCISCO VASQUEZ DE LEON</t>
  </si>
  <si>
    <t xml:space="preserve">DIAGONAL 2 0-71E INTERIOR ZONA 4 </t>
  </si>
  <si>
    <t>L22-529-LG078</t>
  </si>
  <si>
    <t>RPNS1-410821</t>
  </si>
  <si>
    <t>PABLO DAVID SANCHEZ GALVEZ</t>
  </si>
  <si>
    <t>27 AVENIDA D11-274D INTERIOR ZONA 1</t>
  </si>
  <si>
    <t>LUS22-466-LG068</t>
  </si>
  <si>
    <t>L22-049-NR212</t>
  </si>
  <si>
    <t>RPNL5-531121</t>
  </si>
  <si>
    <t>CINDY ZUCELI CITALAN LOPEZ DE DE LEON</t>
  </si>
  <si>
    <t>CALLEJON C 0-22C INTERIOR ZONA 5</t>
  </si>
  <si>
    <t>CALLE CIRILO FLORES CALLEJON C 0-22 ZONA 5</t>
  </si>
  <si>
    <t>LUS22-045-NR201</t>
  </si>
  <si>
    <t>L22-014-LG166</t>
  </si>
  <si>
    <t>VUNDR-020321</t>
  </si>
  <si>
    <t>ESWIN HUMBERTO DE LEON ROGEL Y CONDUEÑOS</t>
  </si>
  <si>
    <t>CALLEJON 1A 2-15 ZONA 11</t>
  </si>
  <si>
    <t>LUS22-013-LG166</t>
  </si>
  <si>
    <t>L22-1308-JM010</t>
  </si>
  <si>
    <t>RPNR3-010122</t>
  </si>
  <si>
    <t>FRANCK WALTER AARON RIOS MONTERROSO</t>
  </si>
  <si>
    <t>27 AVENIDA D3-66B ZONA 3</t>
  </si>
  <si>
    <t>L22-611-MP025</t>
  </si>
  <si>
    <t>RPNB5-571121</t>
  </si>
  <si>
    <t>JESSI DIANE BALDWIN</t>
  </si>
  <si>
    <t>5 AVENIDA 1-115 LOTE I-19 ZONA 5</t>
  </si>
  <si>
    <t>LUS22-543-MP027</t>
  </si>
  <si>
    <t>L22-580-NR096</t>
  </si>
  <si>
    <t>RPNZ11-010122</t>
  </si>
  <si>
    <t>CALLEJON A 1-98C INTERIOR ZONA 11</t>
  </si>
  <si>
    <t>ANGELA ARACELY ZAMORA VELASQUEZ DE CHACOJ</t>
  </si>
  <si>
    <t>LUS22-514-NR086</t>
  </si>
  <si>
    <t>L22-093-SP207</t>
  </si>
  <si>
    <t>RPNG1-561121</t>
  </si>
  <si>
    <t>GUSTAVO ANTONIO GARCIA PEREZ</t>
  </si>
  <si>
    <t>CALLEJON 14 D12-14B, INTERIOR ZONA 1</t>
  </si>
  <si>
    <t>196E</t>
  </si>
  <si>
    <t>CRISTIAN JOSE MANUEL PEREZ ORDOÑEZ</t>
  </si>
  <si>
    <t>2616 25160 0901</t>
  </si>
  <si>
    <t>LUS22-080-SP182</t>
  </si>
  <si>
    <t>L22-092-SP219</t>
  </si>
  <si>
    <t>RPNC8-591221</t>
  </si>
  <si>
    <t>FERNANDO JESUS CANASTUJ IXCAQUIC</t>
  </si>
  <si>
    <t>41 AVENIDA 1-95 ZONA 8</t>
  </si>
  <si>
    <t>LUS22-079-SP193</t>
  </si>
  <si>
    <t>L22-917-JM003</t>
  </si>
  <si>
    <t>RPNH1-721121</t>
  </si>
  <si>
    <t>IRMA PATRICIA HERNANDEZ IXQUIAC</t>
  </si>
  <si>
    <t>28 AVENIDA 9-20 ZONA 1</t>
  </si>
  <si>
    <t>176E</t>
  </si>
  <si>
    <t>L22-763-JM013</t>
  </si>
  <si>
    <t>RPNL1-751221</t>
  </si>
  <si>
    <t>ANIBAL EDUARDO LOARCA DE LEON</t>
  </si>
  <si>
    <t>0 CALLE 12-101C INTERIOR ZONA 9</t>
  </si>
  <si>
    <t>97E</t>
  </si>
  <si>
    <t>LUS22-689-JM013</t>
  </si>
  <si>
    <t>L22-918-JM119</t>
  </si>
  <si>
    <t>RPNA5-270221</t>
  </si>
  <si>
    <t>MARIA TERESA ALVARADO IXQUIACCHE</t>
  </si>
  <si>
    <t>DIAGONAL 15 7-89 ZONA 5</t>
  </si>
  <si>
    <t>VIVIENDA BIFAMILIAR + LOCALES COMERCIALES (2)</t>
  </si>
  <si>
    <t>INDEFINIDO Y 28/02/2026</t>
  </si>
  <si>
    <t>LUS22-825-JM119</t>
  </si>
  <si>
    <t>L22-919-AQ133</t>
  </si>
  <si>
    <t>RPNL8-020122</t>
  </si>
  <si>
    <t>VIVIAN LISBETH LOPEZ BARRIOS DE PEREZ</t>
  </si>
  <si>
    <t>2 CALLE 36-75 ZONA 8</t>
  </si>
  <si>
    <t>L22-781-JM179</t>
  </si>
  <si>
    <t>RPNP5-480821</t>
  </si>
  <si>
    <t>CARLOS ELISEO PUAC MANTANIC</t>
  </si>
  <si>
    <t>3 AVENIDA 4-64 LOTE 35 MZ O ZONA 5</t>
  </si>
  <si>
    <t>LUS22-704-JM179</t>
  </si>
  <si>
    <t>L22-216-SP025</t>
  </si>
  <si>
    <t>VUNL9-041121</t>
  </si>
  <si>
    <t>YEISY ULIZES LOPEZ LOPEZ</t>
  </si>
  <si>
    <t>AVENIDA LAS AMERICAS 5-62, INTERIOR ZONA 9</t>
  </si>
  <si>
    <t>4 CALLE D1-96 ZONA 8</t>
  </si>
  <si>
    <t>44E</t>
  </si>
  <si>
    <t>DRELMITA AMARILYS LOPEZ Y LOPEZ</t>
  </si>
  <si>
    <t>2534 49952 0905</t>
  </si>
  <si>
    <t>LUS22-183-SP023</t>
  </si>
  <si>
    <t>1502-2021/DCN/DDQZ/FACS/msgg</t>
  </si>
  <si>
    <t>L22-221-SP034</t>
  </si>
  <si>
    <t>VUNO5-061221</t>
  </si>
  <si>
    <t>1 AVENIDA A 14-38K INTERIOR ZONA 5</t>
  </si>
  <si>
    <t>CRISTIAN DAVID CASTILLO LOPEZ</t>
  </si>
  <si>
    <t>3351 34718 0901</t>
  </si>
  <si>
    <t>LUS22-187-SP031</t>
  </si>
  <si>
    <t>121-2021/DCN/DDQZ/FACS/grq</t>
  </si>
  <si>
    <t>L22-219-SP007</t>
  </si>
  <si>
    <t>VUNC10-010222</t>
  </si>
  <si>
    <t>0 CALLE 7-53G INTERIOR ZONA 10</t>
  </si>
  <si>
    <t>GERBIN EDUARDO COX VELASQUEZ</t>
  </si>
  <si>
    <t>2 CALLE 37-13 ZONA 8</t>
  </si>
  <si>
    <t>LUS22-185-SP006</t>
  </si>
  <si>
    <t>1724-2021/DCN/DDQZ/URDLF/grq</t>
  </si>
  <si>
    <t>L22-248-SP014</t>
  </si>
  <si>
    <t>RPNP10-020222</t>
  </si>
  <si>
    <t>JOSUE MARTINEZ PEREZ MIRANDA</t>
  </si>
  <si>
    <t>7 AVENIDA 0-137 ZONA 10</t>
  </si>
  <si>
    <t>4 CALLE 4-39 INTERIOR ZONA 10</t>
  </si>
  <si>
    <t>ASTRID ANALISSE DE LEON ROJAS</t>
  </si>
  <si>
    <t>LUS22-213-SP013</t>
  </si>
  <si>
    <t>L24-942-CB038</t>
  </si>
  <si>
    <t>RPNC3-270924</t>
  </si>
  <si>
    <t>CARLOS DANILO CITALAN OROXOM</t>
  </si>
  <si>
    <t>7 CALLE 13-52 ZONA 3</t>
  </si>
  <si>
    <t>RPNZ8-700126</t>
  </si>
  <si>
    <t>15 CALLE 0-69 APTO #10 LOS PINOS ZONA 8</t>
  </si>
  <si>
    <t>LUS26-170-2026</t>
  </si>
  <si>
    <t>L26-95-WS021</t>
  </si>
  <si>
    <t xml:space="preserve">ZEA VILLATORO, ERIKSON RUBELSY  </t>
  </si>
  <si>
    <t>L22-186-JJ037</t>
  </si>
  <si>
    <t>RPNS10-100122</t>
  </si>
  <si>
    <t>DAVID CANUTO SAQUIC TEPE</t>
  </si>
  <si>
    <t>9 AVENIDA D15-36B ZONA 10</t>
  </si>
  <si>
    <t>256E</t>
  </si>
  <si>
    <t>L22-706-JM20</t>
  </si>
  <si>
    <t>RPNT11-120122</t>
  </si>
  <si>
    <t>MARIA EMILIA TZARAX CHUN</t>
  </si>
  <si>
    <t xml:space="preserve">6 CALLE 4-11 LOTE 44 FASE 1 ZONA 11 </t>
  </si>
  <si>
    <t>189E</t>
  </si>
  <si>
    <t>LUS22-632-JM21</t>
  </si>
  <si>
    <t>L22-528-NR083</t>
  </si>
  <si>
    <t>RPNG5-501121</t>
  </si>
  <si>
    <t xml:space="preserve">SAMUEL NEHEMIAS GOMEZ MARTINEZ </t>
  </si>
  <si>
    <t>17 CALLE B2 2-154 ZONA 5</t>
  </si>
  <si>
    <t xml:space="preserve">17 CALLE B2 2-154 ZONA 5 </t>
  </si>
  <si>
    <t>--------</t>
  </si>
  <si>
    <t>-------</t>
  </si>
  <si>
    <t>LUS22-465-NR092</t>
  </si>
  <si>
    <t>L22-596-NR098</t>
  </si>
  <si>
    <t>RPNMR-940221</t>
  </si>
  <si>
    <t>MARIA GABRIELA MORALES CITALAN</t>
  </si>
  <si>
    <t>CANTON CHICAVIOC</t>
  </si>
  <si>
    <t xml:space="preserve">CANTON CHICAVIOC SECCION 1 </t>
  </si>
  <si>
    <t xml:space="preserve">VIVIENDA UNIFAMILIAR </t>
  </si>
  <si>
    <t>LUS22-528-NR088</t>
  </si>
  <si>
    <t>L22-218-LG076</t>
  </si>
  <si>
    <t>RPNS12-050222</t>
  </si>
  <si>
    <t xml:space="preserve">BRYAN EMMANUEL SANCHEZ RUANO </t>
  </si>
  <si>
    <t xml:space="preserve">11 AVENIDA 10-149 SECTOR 4B ZONA 12 </t>
  </si>
  <si>
    <t>LUS22-184-LG063</t>
  </si>
  <si>
    <t>L22-563-LG089</t>
  </si>
  <si>
    <t>RPNG8-641121</t>
  </si>
  <si>
    <t xml:space="preserve">HERMINIO GRAMAJO XICARA </t>
  </si>
  <si>
    <t xml:space="preserve">11 CALLE 36-70 ZONA 8 </t>
  </si>
  <si>
    <t>273E</t>
  </si>
  <si>
    <t>LUS22-500-LG078</t>
  </si>
  <si>
    <t>L22-547-SP097</t>
  </si>
  <si>
    <t>RPNFR-080222</t>
  </si>
  <si>
    <t xml:space="preserve">MARIA LUCIA FLORES HERRERA </t>
  </si>
  <si>
    <t xml:space="preserve">CANTON XECARACOJ </t>
  </si>
  <si>
    <t>CANTON XECARACOJ SECTOR 2</t>
  </si>
  <si>
    <t>222E</t>
  </si>
  <si>
    <t xml:space="preserve">CORRECTA A LINEA DE EDIFICACION ESTABLECIDA </t>
  </si>
  <si>
    <t>LUS22-485-SP094</t>
  </si>
  <si>
    <t>L22-702-JM24</t>
  </si>
  <si>
    <t>RPNP11-080122</t>
  </si>
  <si>
    <t xml:space="preserve">RAMIRO ALFONZO PINZON ARMAS </t>
  </si>
  <si>
    <t xml:space="preserve">6 CALLE 4-11 LOTE 29 FASE 1 ZONA 11 </t>
  </si>
  <si>
    <t xml:space="preserve">URBANO Q5 </t>
  </si>
  <si>
    <t>LUS22-628-JM25</t>
  </si>
  <si>
    <t>L22-683-NR107</t>
  </si>
  <si>
    <t>RPNP12-211021</t>
  </si>
  <si>
    <t>MILDRED NINETT PARDO RODAS DE RIVERA</t>
  </si>
  <si>
    <t xml:space="preserve">14 CALLE 11-08 SECTOR 4B ZONA 12 </t>
  </si>
  <si>
    <t xml:space="preserve">URBANO Q7 </t>
  </si>
  <si>
    <t>LUS22-611-NR097</t>
  </si>
  <si>
    <t>L22-703-JM23</t>
  </si>
  <si>
    <t>RPND11-090122</t>
  </si>
  <si>
    <t xml:space="preserve">MIRNA ELIZABETH DE LEON BOSH </t>
  </si>
  <si>
    <t xml:space="preserve">6 CALLE 4-11 LOTE 30 FASE 1 ZONA 11 </t>
  </si>
  <si>
    <t>LUS22-629-JM24</t>
  </si>
  <si>
    <t>L22-1008-MP016</t>
  </si>
  <si>
    <t>RPNA3-100121</t>
  </si>
  <si>
    <t xml:space="preserve">JESUS INOCENTE ALVARADO MEJIA </t>
  </si>
  <si>
    <t xml:space="preserve">15 AVENIDA 3-06F INTERIOR ZONA 3 </t>
  </si>
  <si>
    <t>LUS22-898-MP017</t>
  </si>
  <si>
    <t>L23-126-MP126</t>
  </si>
  <si>
    <t>RPNC8-180221</t>
  </si>
  <si>
    <t xml:space="preserve">DINORA ESTELA HIDALGO HIDALGO </t>
  </si>
  <si>
    <t>3 CALLE 43-120 ZONA 8</t>
  </si>
  <si>
    <t xml:space="preserve">3 CALLE 43-120 ZONA 8 </t>
  </si>
  <si>
    <t xml:space="preserve">URBANO Q4 </t>
  </si>
  <si>
    <t xml:space="preserve">CORRECTA A LINEA DE EDIFICIACION ESTABLECIDA </t>
  </si>
  <si>
    <t>LUS23-107-MP107</t>
  </si>
  <si>
    <t>L22-622-NR217</t>
  </si>
  <si>
    <t>RPNDR-380622</t>
  </si>
  <si>
    <t>DESARROLLOS DE SUROCCIDENTE S.A.</t>
  </si>
  <si>
    <t>LOTE A5 SECTOR 1 CIUDAD VERDE CHICHIGUITAN</t>
  </si>
  <si>
    <t>351E</t>
  </si>
  <si>
    <t>LUS22-503-NR205</t>
  </si>
  <si>
    <t>L24-913-JC001</t>
  </si>
  <si>
    <t>RPNG1-030122</t>
  </si>
  <si>
    <t>MIGUEL ANGEL GONZALES SANTOS</t>
  </si>
  <si>
    <t xml:space="preserve">9 AVENIDA 14-150 ZONA 1 </t>
  </si>
  <si>
    <t>174E</t>
  </si>
  <si>
    <t>------------------------</t>
  </si>
  <si>
    <t>L22-566-LG092</t>
  </si>
  <si>
    <t>RPNG8-030122</t>
  </si>
  <si>
    <t xml:space="preserve">11 CALLE 36-66 ZONA 8 </t>
  </si>
  <si>
    <t>LUS22-502-LG081</t>
  </si>
  <si>
    <t>L22-633-NR104</t>
  </si>
  <si>
    <t>RPNM11-040122</t>
  </si>
  <si>
    <t xml:space="preserve">MYNOR GIOVANNI MALDONADO CORNEJO </t>
  </si>
  <si>
    <t xml:space="preserve">6 CALLE 4-11 LOTE 9 FASE 1 ZONA 11 </t>
  </si>
  <si>
    <t>LUS22-564-NR094</t>
  </si>
  <si>
    <t>L22-635-NR103</t>
  </si>
  <si>
    <t>RPNA11-050122</t>
  </si>
  <si>
    <t xml:space="preserve">LUIS FERNANDO ALVARADO MERIDA </t>
  </si>
  <si>
    <t>6 CALLE 4-11 LOTE 10 FASE 1 ZONA 11</t>
  </si>
  <si>
    <t xml:space="preserve">6 CALLE 4-11 LOTE 10 FASE 1 ZONA 11 </t>
  </si>
  <si>
    <t>LUS22-566-NR093</t>
  </si>
  <si>
    <t>L22-225-NR020</t>
  </si>
  <si>
    <t>RPNJ10-501121</t>
  </si>
  <si>
    <t xml:space="preserve">EDGAR GABRIEL JUCUP TOC </t>
  </si>
  <si>
    <t xml:space="preserve">13 CALLE 0-73F INTERIOR ZONA 10 </t>
  </si>
  <si>
    <t>LUS22-191-NR019</t>
  </si>
  <si>
    <t>L22-264-NR042</t>
  </si>
  <si>
    <t>RPNR12-040222</t>
  </si>
  <si>
    <t>GIOVANNA KARINA RUANO RUIZ DE GRAMAJO</t>
  </si>
  <si>
    <t>8 CALLE 9B-16 MZ E LOTE 13 SECTOR 1 ZONA 12</t>
  </si>
  <si>
    <t xml:space="preserve">8 CALLE 9B-16 MZ E LOTE 13 SECTOR 1 ZONA 12 </t>
  </si>
  <si>
    <t>LUS22-224-NR038</t>
  </si>
  <si>
    <t>L22-634-NR105</t>
  </si>
  <si>
    <t>RPNC11-020122</t>
  </si>
  <si>
    <t xml:space="preserve">DULCE ROSARIO CASTILLO SALAZAR </t>
  </si>
  <si>
    <t>6 CALLE 4-11 LOTE 4 FASE 1 ZONA 11</t>
  </si>
  <si>
    <t>89E</t>
  </si>
  <si>
    <t xml:space="preserve">VIIVENDA UNIFAMILIAR </t>
  </si>
  <si>
    <t>LUS22-565-NR095</t>
  </si>
  <si>
    <t>L22-895-AQ033</t>
  </si>
  <si>
    <t>RPNSR-160222</t>
  </si>
  <si>
    <t xml:space="preserve">WILLIAM NOE SUCHI ACABAL </t>
  </si>
  <si>
    <t>LUS22-806-AQ028</t>
  </si>
  <si>
    <t>L22-704-JM21</t>
  </si>
  <si>
    <t>RPNS11-100122</t>
  </si>
  <si>
    <t>FRANCISCO SAQUICH GARCIA</t>
  </si>
  <si>
    <t>6 CALLE 4-11 LOTE 35 FASE 1 ZONA 11</t>
  </si>
  <si>
    <t xml:space="preserve">6 CALLE 4-11 LOTE 35 FASE 1 ZONA 11 </t>
  </si>
  <si>
    <t>LUS22-630=JM20</t>
  </si>
  <si>
    <t>L22-247-JM56</t>
  </si>
  <si>
    <t>RPNCR-100222</t>
  </si>
  <si>
    <t>ALICIA GUADALUPE COTI SAQUICH Y CONDUEÑA</t>
  </si>
  <si>
    <t>LOTE D12 NUEVA JERUSALEM CHICHIGUITAN</t>
  </si>
  <si>
    <t xml:space="preserve">LOTE D12 NUEVA JERUSALEM CHICHIGUITAN </t>
  </si>
  <si>
    <t>110E</t>
  </si>
  <si>
    <t>LUS22-212-JM56</t>
  </si>
  <si>
    <t>L22-240-NR034</t>
  </si>
  <si>
    <t>RPNF3-331121</t>
  </si>
  <si>
    <t>WAYNER JOSE MARIA FERNANDEZ GRAMAJO</t>
  </si>
  <si>
    <t>10 CALLE 24-39 ZONA 3</t>
  </si>
  <si>
    <t xml:space="preserve">10 CALLE 24-39 ZONA 3 </t>
  </si>
  <si>
    <t xml:space="preserve">URBANO Q2 </t>
  </si>
  <si>
    <t>LUS22-205-NR030</t>
  </si>
  <si>
    <t>000153-2021/DCN/MSGG/grqq</t>
  </si>
  <si>
    <t>L22-258-LG119</t>
  </si>
  <si>
    <t>RPNG10-190122</t>
  </si>
  <si>
    <t xml:space="preserve">IMELDA GUZMAN GUERRA </t>
  </si>
  <si>
    <t xml:space="preserve">7 AVENIDA 10B-137 ZONA 10 </t>
  </si>
  <si>
    <t xml:space="preserve">VIVIENDA MULTIFAMILIAR </t>
  </si>
  <si>
    <t>LUS22-222-LG106</t>
  </si>
  <si>
    <t>L22-631-NR101</t>
  </si>
  <si>
    <t>RPNO11-030122</t>
  </si>
  <si>
    <t xml:space="preserve">LIDIA ESPERANZA JENOVEVA ORDOÑEZ HERNANDEZ </t>
  </si>
  <si>
    <t xml:space="preserve">6 CALLE 4-11 LOTE 8 FASE 1 ZONA 11 </t>
  </si>
  <si>
    <t>LUS22-562-NR091</t>
  </si>
  <si>
    <t>L22-459-NR077</t>
  </si>
  <si>
    <t>RPNVR-950821</t>
  </si>
  <si>
    <t xml:space="preserve">GLORIA CORINA TOC QUIXTAN DE VASQUEZ </t>
  </si>
  <si>
    <t xml:space="preserve">CANTON LLANO DEL PINAL </t>
  </si>
  <si>
    <t xml:space="preserve">MURO PERIMETRAL + GARITA </t>
  </si>
  <si>
    <t>L22-277-JM83</t>
  </si>
  <si>
    <t>RPNM3-311221</t>
  </si>
  <si>
    <t xml:space="preserve">CARMEN JULISSA ALFARO LETONA DE MORALES </t>
  </si>
  <si>
    <t>9A. CALLE 21-61 ZONA 3</t>
  </si>
  <si>
    <t xml:space="preserve">9A. CALLE 21-61 ZONA 3 </t>
  </si>
  <si>
    <t>AMPLIACION PRIMER, SEGUNDO Y TERCER NIVEL VIVIENDA BIFAMILIAR (2) Y LOCALES COMERCIALES (3)</t>
  </si>
  <si>
    <t xml:space="preserve">CORRECTA A LINEA DE PRIMER NIVEL </t>
  </si>
  <si>
    <t>LUS22-235-JM83</t>
  </si>
  <si>
    <t>L22-632-NR102</t>
  </si>
  <si>
    <t>RPNPM-060122</t>
  </si>
  <si>
    <t xml:space="preserve">KAREN YULISA PINEDA GARCIA </t>
  </si>
  <si>
    <t xml:space="preserve">6 CALLE 4-11 LOTE 49 FASE 1 ZONA 11 </t>
  </si>
  <si>
    <t>LUS22-563-NR092</t>
  </si>
  <si>
    <t>L22-289-AP044</t>
  </si>
  <si>
    <t>RPNMR-180322</t>
  </si>
  <si>
    <t xml:space="preserve">EDILZAR GABRIEL MACHA BAUTISTA </t>
  </si>
  <si>
    <t xml:space="preserve">DIAGONAL 11 012-45A ZONA 1 </t>
  </si>
  <si>
    <t>330E</t>
  </si>
  <si>
    <t xml:space="preserve">CARLOS GIOVANNI LOARCA MARTINEZ </t>
  </si>
  <si>
    <t>LUS22-248-SP040</t>
  </si>
  <si>
    <t>L22-426-MP042</t>
  </si>
  <si>
    <t>RPNS10-220422</t>
  </si>
  <si>
    <t xml:space="preserve">JOSE ANSELMO SACALXOT PEREZ </t>
  </si>
  <si>
    <t>13 CALLE C13-62H INTERIOR ZONA 10</t>
  </si>
  <si>
    <t xml:space="preserve">13 CALLE C13-62H INTERIOR ZONA 10 </t>
  </si>
  <si>
    <t xml:space="preserve">CORRECTA COSTADO ORIENTE </t>
  </si>
  <si>
    <t>LUS22-380-MP041</t>
  </si>
  <si>
    <t>L22-335-NR224</t>
  </si>
  <si>
    <t>RPNA11-690621</t>
  </si>
  <si>
    <t xml:space="preserve">ELUBIA TRINIDAD URIZAR RAMOS DE ARCHILA </t>
  </si>
  <si>
    <t xml:space="preserve">1 AVENIDA 1-212 LOTE 8 MZ. 2 ZONA 11 </t>
  </si>
  <si>
    <t xml:space="preserve">CORRECTA A LINEA DE EDIFICACION EXISTENTE </t>
  </si>
  <si>
    <t>LUS22-282-SP056</t>
  </si>
  <si>
    <t>UST11-020222</t>
  </si>
  <si>
    <t>HEYDI MARIA TISTOJ AJCA</t>
  </si>
  <si>
    <t xml:space="preserve">CERO CALLE 0-21 ZONA 11 </t>
  </si>
  <si>
    <t>---------</t>
  </si>
  <si>
    <t xml:space="preserve">2 LOCALES COMERCIALES </t>
  </si>
  <si>
    <t>645-2022/DCN/DDQZ/UIDLF/GRQQ/grq</t>
  </si>
  <si>
    <t>L22--891-SP173</t>
  </si>
  <si>
    <t>RPNH9-110322</t>
  </si>
  <si>
    <t xml:space="preserve">ELSA HERNANDEZ MENCHU </t>
  </si>
  <si>
    <t>DIAGONAL 1 2-10F INTERIOR ZONA 9</t>
  </si>
  <si>
    <t xml:space="preserve">7 AVENIDA 3-84 ZONA 9 </t>
  </si>
  <si>
    <t>202E</t>
  </si>
  <si>
    <t xml:space="preserve">URBANO Q3 </t>
  </si>
  <si>
    <t>LUS22-803-SP160</t>
  </si>
  <si>
    <t>L22-424-LG159</t>
  </si>
  <si>
    <t>RPNA11-210422</t>
  </si>
  <si>
    <t xml:space="preserve">CESAR FERNANDO ALVARADO </t>
  </si>
  <si>
    <t xml:space="preserve">2 AVENIDA B 5A-38 LOTE 20 MZ V ZONA 11 </t>
  </si>
  <si>
    <t>L22-745-MP031</t>
  </si>
  <si>
    <t>RPNC9-120422</t>
  </si>
  <si>
    <t xml:space="preserve">MIGUEL ANGEL CARILLO PEREZ </t>
  </si>
  <si>
    <t xml:space="preserve">4 AVENIDA B D4-54D INTERIOR ZONA 9 </t>
  </si>
  <si>
    <t>42E</t>
  </si>
  <si>
    <t xml:space="preserve">CONSTRUCCION EN INTERIOR DEL PREDIO </t>
  </si>
  <si>
    <t>LUS22-378-LG143</t>
  </si>
  <si>
    <t>LUS22-672-MP032</t>
  </si>
  <si>
    <t>L22-324-LG142</t>
  </si>
  <si>
    <t>RPNAR-250322</t>
  </si>
  <si>
    <t>MARVIN AUGUSTO AMBROCIO GUTIERREZ</t>
  </si>
  <si>
    <t xml:space="preserve">CANTON LLANO DEL PINAL LOTE NO. 65 </t>
  </si>
  <si>
    <t xml:space="preserve">1-34 CALLEJON SAN JOSE ZONA 1 LA ESPERANZA </t>
  </si>
  <si>
    <t>------------</t>
  </si>
  <si>
    <t xml:space="preserve">CONSTRUCCION EN INTERIOR DE INMUEBLE </t>
  </si>
  <si>
    <t>LUS22-280-LG127</t>
  </si>
  <si>
    <t>L22-309-JJ45</t>
  </si>
  <si>
    <t>RPNG8-150422</t>
  </si>
  <si>
    <t xml:space="preserve">MARCO ANTONIO GOMEZ ESCALANTE </t>
  </si>
  <si>
    <t xml:space="preserve">3 CALLE 43-50 ZONA 8 </t>
  </si>
  <si>
    <t xml:space="preserve">3RA CALLE 8-73 ZONA 1 SAN FRANCISCO LA UNION </t>
  </si>
  <si>
    <t>LUS22-265-JJ33</t>
  </si>
  <si>
    <t>L22-418-JM43</t>
  </si>
  <si>
    <t>RPNL12-060122</t>
  </si>
  <si>
    <t xml:space="preserve">YURI FILEMON RIVERA DE LEON </t>
  </si>
  <si>
    <t>11 AVENIDA 10A-179 SECTOR 4B ZONA 12</t>
  </si>
  <si>
    <t xml:space="preserve">11 AVENIDA 10A-179 SECTOR 4B ZONA 12 </t>
  </si>
  <si>
    <t>LUS22-372-JM43</t>
  </si>
  <si>
    <t>L22-331-SP178</t>
  </si>
  <si>
    <t>RPNCR-120122</t>
  </si>
  <si>
    <t>YOVARISIS OTONIEL AVILLELMAN CRUZ CIFUENTES</t>
  </si>
  <si>
    <t xml:space="preserve">LOTE 513 NUEVA JERUSALEM CHICHIGUITAN </t>
  </si>
  <si>
    <t>60E</t>
  </si>
  <si>
    <t>LUS22-289-SP164</t>
  </si>
  <si>
    <t>L22-336-SP180</t>
  </si>
  <si>
    <t>RPNVR-140322</t>
  </si>
  <si>
    <t xml:space="preserve">BERTA FLORIDALMA ROJAS VELASQUE DE VENTURA </t>
  </si>
  <si>
    <t xml:space="preserve">CANTON TIERRA COLORADA BAJA SECTOR 3 </t>
  </si>
  <si>
    <t>------</t>
  </si>
  <si>
    <t>LUS22-295-SP165</t>
  </si>
  <si>
    <t>0161-2022/DCN/DDQZ/FACS/GRQQ/cacb</t>
  </si>
  <si>
    <t xml:space="preserve">NO RESIDENCIAL ORDINARIO </t>
  </si>
  <si>
    <t>L22-712-NR099</t>
  </si>
  <si>
    <t>RPNC3-050422</t>
  </si>
  <si>
    <t xml:space="preserve">FILOMENA OROXOM VENTURA DE CITALAN </t>
  </si>
  <si>
    <t xml:space="preserve">20 AV. 1-07 ZONA 3 </t>
  </si>
  <si>
    <t>RUDY MARCONY CASTILLO GOMEZ</t>
  </si>
  <si>
    <t xml:space="preserve">CORRECTA A LINEA DE EDIFICAVION EXISTENTE </t>
  </si>
  <si>
    <t>LUS22-638-NR089</t>
  </si>
  <si>
    <t>0284-2022/DCN/DDQZ/FACS/GRQQ/cacb</t>
  </si>
  <si>
    <t>L22-662-LG086</t>
  </si>
  <si>
    <t>RPND11-350722</t>
  </si>
  <si>
    <t>5 CALLE 1-255 APTO. 3 ZONA 11</t>
  </si>
  <si>
    <t>306E</t>
  </si>
  <si>
    <t>BYRON MANUEL TUCUX BATZ</t>
  </si>
  <si>
    <t xml:space="preserve">DESARROLLOS HABITACIONALES DEL SUR OCCIDENTE </t>
  </si>
  <si>
    <t>LUS22-593-LG075</t>
  </si>
  <si>
    <t>L22-664-LG088</t>
  </si>
  <si>
    <t>RPND11-370722</t>
  </si>
  <si>
    <t>5 CALLE 1-255 APTO. 8 ZONA 11</t>
  </si>
  <si>
    <t>LUS22-595-LG077</t>
  </si>
  <si>
    <t>EN EL EXPEDIENTE ORIGINAL DEL PARCELAMIENTO</t>
  </si>
  <si>
    <t>L22-461-MP009</t>
  </si>
  <si>
    <t>RPNH1-150522</t>
  </si>
  <si>
    <t xml:space="preserve">CESAR JOSUE HERNANDEZ ESCOBAR </t>
  </si>
  <si>
    <t>10A. CALLE D11-82 INTERIOR ZONA 1</t>
  </si>
  <si>
    <t>INTERIOR</t>
  </si>
  <si>
    <t>LUS22-406-MP010</t>
  </si>
  <si>
    <t>1178-2021/DCN/DDQZ/FACS/msgg</t>
  </si>
  <si>
    <t>L22-531-NR053</t>
  </si>
  <si>
    <t>RPNJ8-190522</t>
  </si>
  <si>
    <t>9 CALLE B 35A-16 ZONA 8</t>
  </si>
  <si>
    <t>CORRECTA A LINEA DE EDJFJCACION EXISTENTE</t>
  </si>
  <si>
    <t>LUS22-469-NR046</t>
  </si>
  <si>
    <t>L22-446-SP061</t>
  </si>
  <si>
    <t>RPNC7-080422</t>
  </si>
  <si>
    <t xml:space="preserve">CALLEJON 27 2-37 ZONA 7 </t>
  </si>
  <si>
    <t>LUS22-396-SP061</t>
  </si>
  <si>
    <t>L22-477-NR073</t>
  </si>
  <si>
    <t>RPNA7-100522</t>
  </si>
  <si>
    <t>ANA MARIA AGUSTIN</t>
  </si>
  <si>
    <t>27 AV. A 7-70 ZONA 7</t>
  </si>
  <si>
    <t>GUILLERMO GEOVANI ALONZO LOPEZ</t>
  </si>
  <si>
    <t>L22-466-SP113</t>
  </si>
  <si>
    <t>RPNM5-240522</t>
  </si>
  <si>
    <t>MIGUEL DE JESUS MISELEM VELASQUEZ</t>
  </si>
  <si>
    <t>10 AVENIDA A 16-14 LOTE J27 ZONA 5</t>
  </si>
  <si>
    <t>100E</t>
  </si>
  <si>
    <t>LUS22-409-SP111</t>
  </si>
  <si>
    <t>L22-482-NR215</t>
  </si>
  <si>
    <t>RPNM10-240522</t>
  </si>
  <si>
    <t>LIDIA GLORIA MARIN PEREZ</t>
  </si>
  <si>
    <t>9 AVENIDA D15-26E INTERIOR ZONA 10</t>
  </si>
  <si>
    <t>297E</t>
  </si>
  <si>
    <t>L22-479-SP133</t>
  </si>
  <si>
    <t>RPNV5-250522</t>
  </si>
  <si>
    <t>JUAN PABLO VILLAGRAN CIFUENTES</t>
  </si>
  <si>
    <t>15 CALLE B 10C-40 LOTE 132 MZ G ZONA 5</t>
  </si>
  <si>
    <t>127E</t>
  </si>
  <si>
    <t>LUS22-419-SP125</t>
  </si>
  <si>
    <t>RPNT5-300522</t>
  </si>
  <si>
    <t>15 CALLE D1-64 ZONA 5</t>
  </si>
  <si>
    <t xml:space="preserve">15 CALLE D1-64 ZONA 5 </t>
  </si>
  <si>
    <t>CORRECTA ALINEACION A LA ESTABLECIDA</t>
  </si>
  <si>
    <t>L22-481-SP174</t>
  </si>
  <si>
    <t>RPNP8-230422</t>
  </si>
  <si>
    <t>ANA LETICIA PINEDA CISNEROS</t>
  </si>
  <si>
    <t>1 CALLE D 42-09 ZONA 8</t>
  </si>
  <si>
    <t>LUS22-421-SP161</t>
  </si>
  <si>
    <t>L22-438-SP067</t>
  </si>
  <si>
    <t>RPNG1-170522</t>
  </si>
  <si>
    <t>JOSE OSCAR GONZALEZ JUCUP</t>
  </si>
  <si>
    <t>9 CALLE D11-27 ZONA 1</t>
  </si>
  <si>
    <t>66E</t>
  </si>
  <si>
    <t>ALAN JOSUE LUCAS LOPEZ</t>
  </si>
  <si>
    <t>LUS22-391-SP067</t>
  </si>
  <si>
    <t>L22-485-JM91</t>
  </si>
  <si>
    <t>RPNC2-010222</t>
  </si>
  <si>
    <t>11 CALLE 2-12 ZONA 2</t>
  </si>
  <si>
    <t>WILFRIDO OMAR GARCIA COYOY</t>
  </si>
  <si>
    <t xml:space="preserve">VIVIENDA BIFAMILIAR + DOS LOCALES COMERCIALES </t>
  </si>
  <si>
    <t>LUS22-425-JM91</t>
  </si>
  <si>
    <t>68-2022/DCN/DDQZ/FACS/qrq</t>
  </si>
  <si>
    <t>L22-455-AQ126</t>
  </si>
  <si>
    <t>RPNM6-010819</t>
  </si>
  <si>
    <t>DIAGONAL 2 3-95A ZONA 6</t>
  </si>
  <si>
    <t xml:space="preserve">DIAGONAL 2 3-95A ZONA 6 </t>
  </si>
  <si>
    <t>296E</t>
  </si>
  <si>
    <t>CONSTRCCION EN INTERIOR DEL PREDIO</t>
  </si>
  <si>
    <t>LUS22-401-AQ126</t>
  </si>
  <si>
    <t>GABRIELA NATHALY MONTERROSO CANASTUJ Y CONDUEÑO</t>
  </si>
  <si>
    <t>EDGAR LIBNY RAMOS CINTO Y CONDUEÑA</t>
  </si>
  <si>
    <t xml:space="preserve">11 CALLE 19-97 ZONA 1 </t>
  </si>
  <si>
    <t>10MA. CALLE 14A-31 ZONA 3</t>
  </si>
  <si>
    <t xml:space="preserve">AMPLIACION LOCAL COMERCIAL + 3 APARTAMENTOS </t>
  </si>
  <si>
    <t>DES. HABITACIONALES DEL SUR OCCIDENTE, S.A.</t>
  </si>
  <si>
    <t xml:space="preserve">BASILIA JIMENEZ PABLO Y CONDUEÑO </t>
  </si>
  <si>
    <t>MATILDA ABAC AJIATAZ DE CUTZ</t>
  </si>
  <si>
    <t xml:space="preserve">5 CALLE 14-11 ZONA 1 OFICINA 204 2DO NIVEL </t>
  </si>
  <si>
    <t xml:space="preserve">ESVIN LEONEL REYES GOMEZ </t>
  </si>
  <si>
    <t>VIVIENDA UNIFAMILIAR + MURO PERIMETRAL</t>
  </si>
  <si>
    <t>L22-492-JM100</t>
  </si>
  <si>
    <t>LUS22-432-JM100</t>
  </si>
  <si>
    <t>22/22</t>
  </si>
  <si>
    <t>12!10</t>
  </si>
  <si>
    <t>15/15</t>
  </si>
  <si>
    <t/>
  </si>
  <si>
    <t>13 AV. 2-72 ZONA 3</t>
  </si>
  <si>
    <t>MIRIAM BEATRIZ CUC TECUM DE SOC</t>
  </si>
  <si>
    <t xml:space="preserve"> </t>
  </si>
  <si>
    <t xml:space="preserve">                                                                                                                                            </t>
  </si>
  <si>
    <t>L22-499-JJ32</t>
  </si>
  <si>
    <t>RPNT5-030122</t>
  </si>
  <si>
    <t>ESTELA FLORINDA TZUL SAY</t>
  </si>
  <si>
    <t>20 AVENIDA D15-30 ZONA 5</t>
  </si>
  <si>
    <t xml:space="preserve">20 AVENIDA D15-30 ZONA 5 </t>
  </si>
  <si>
    <t xml:space="preserve">AMPLIACION DE VIVIENDA MULTIFAMILIAR </t>
  </si>
  <si>
    <t>LUS22-438-JJ24</t>
  </si>
  <si>
    <t>L22-541-SP186</t>
  </si>
  <si>
    <t>RPNC8-280522</t>
  </si>
  <si>
    <t xml:space="preserve">JUANA JACINTA CHAVEZ Y CHAVEZ </t>
  </si>
  <si>
    <t>13 CALLE 0-92 ZONA 8</t>
  </si>
  <si>
    <t xml:space="preserve">CERO AVENIDA INTERIOR ZONA 8 </t>
  </si>
  <si>
    <t>LUS22-479-SP171</t>
  </si>
  <si>
    <t>L22-543-SP172</t>
  </si>
  <si>
    <t>RPNM3-120522</t>
  </si>
  <si>
    <t xml:space="preserve">22 AV. 10-04 ZONA 3 </t>
  </si>
  <si>
    <t xml:space="preserve">22 AVENIDA 10-04 ZONA 3 </t>
  </si>
  <si>
    <t xml:space="preserve">AMPLIACION DE VIVIENDA BIFAMILIAR </t>
  </si>
  <si>
    <t>LUS22-481-SP159</t>
  </si>
  <si>
    <t>L22-544-JM93</t>
  </si>
  <si>
    <t>VUNS9-010222</t>
  </si>
  <si>
    <t>AGUSTINA SOTO ROMERO Y CONDUEÑA</t>
  </si>
  <si>
    <t xml:space="preserve">DIAGONAL 4 7-51 ZONA 9 </t>
  </si>
  <si>
    <t xml:space="preserve">SECTOR 2 1A CUCHILLA ZONA 9 </t>
  </si>
  <si>
    <t xml:space="preserve">RENE ALEJANDRO CORTEZ IXCOLIN </t>
  </si>
  <si>
    <t xml:space="preserve">DOS LOCALES COMERCIALES Y PARQUEO </t>
  </si>
  <si>
    <t>LUS22-482-JM93</t>
  </si>
  <si>
    <t>L22-504-SP110</t>
  </si>
  <si>
    <t>RPNR5-260522</t>
  </si>
  <si>
    <t>TANIA GABRIELA RODAS GARCIA</t>
  </si>
  <si>
    <t>15 CALLE B 10C-52 LOTE 134 MZ G ZONA 5</t>
  </si>
  <si>
    <t xml:space="preserve">15 CALLE B 10C-52 LOTE 1343 MZ G ZONA 5 </t>
  </si>
  <si>
    <t>LUS22-443-SP108</t>
  </si>
  <si>
    <t xml:space="preserve">                                                                                                                                                                                                                                                                                                                                                                                                                </t>
  </si>
  <si>
    <t>RPNA9-290921</t>
  </si>
  <si>
    <t>PATRICIA ALEJANDRA ALEJANDRO RELAC</t>
  </si>
  <si>
    <t xml:space="preserve">6 AVENIDA 6-86 ZONA 9 </t>
  </si>
  <si>
    <t>LUS22-456-MP056</t>
  </si>
  <si>
    <t>L22-519-MP058</t>
  </si>
  <si>
    <t>L22-520-SP042</t>
  </si>
  <si>
    <t>RPNC9-060322</t>
  </si>
  <si>
    <t xml:space="preserve">MARTINA CIFUENTES GOMEZ </t>
  </si>
  <si>
    <t xml:space="preserve">8 AVENIDA 7A-83 ZONA 9 </t>
  </si>
  <si>
    <t>108E</t>
  </si>
  <si>
    <t>MARXEL ANTONIO MENDEZ RODRIGUEZ</t>
  </si>
  <si>
    <t>SALON</t>
  </si>
  <si>
    <t>LUS22-457-SP038</t>
  </si>
  <si>
    <t>1761-2021/DCN/DDQZ/UIDLF/GRQQ/grq</t>
  </si>
  <si>
    <t xml:space="preserve">NO RESIDENCIAL PRDINARIO </t>
  </si>
  <si>
    <t>L22-503-SP131</t>
  </si>
  <si>
    <t>RPNB5-270522</t>
  </si>
  <si>
    <t>JACKELINE VANESSA BELTRAN RODRIGUEZ</t>
  </si>
  <si>
    <t>15 CALLE C 10A-42 LOTE 11 MZ G ZONA 5</t>
  </si>
  <si>
    <t xml:space="preserve">15 CALLE C 10A-42 LOTE 11 MZ G ZONA 5 </t>
  </si>
  <si>
    <t>LUS22-442-SP124</t>
  </si>
  <si>
    <t>L22-525-MP015</t>
  </si>
  <si>
    <t>VUNC5-070422</t>
  </si>
  <si>
    <t>BENSAITEN AGUSTIN CHUC GARCIA</t>
  </si>
  <si>
    <t xml:space="preserve">8 AVENIDA 1-10 LOTE 6 MZ C ZONA 5 </t>
  </si>
  <si>
    <t xml:space="preserve">3 CALLE 15-72 ZONA 2 TOTONICAPAN </t>
  </si>
  <si>
    <t>L22-571-JM115</t>
  </si>
  <si>
    <t>RPND6-240722</t>
  </si>
  <si>
    <t>CINDY LUCERO DE LEON ARAGON</t>
  </si>
  <si>
    <t>CERO AVENIDA 6-27E INTERIOR ZONA 6</t>
  </si>
  <si>
    <t>LUS22-506-JM115</t>
  </si>
  <si>
    <t xml:space="preserve">  </t>
  </si>
  <si>
    <t>L22-585-JM103</t>
  </si>
  <si>
    <t>VUNT12-010522</t>
  </si>
  <si>
    <t xml:space="preserve">1A. AVENIDA 5-32 LOTE 427 ZONA 12 </t>
  </si>
  <si>
    <t xml:space="preserve">BENITO HIPOLITO TERRAZA CEDILLO </t>
  </si>
  <si>
    <t xml:space="preserve">20 AVENIDA 2-23 ZONA 3 </t>
  </si>
  <si>
    <t xml:space="preserve">KARLA GUADALUPE RONQUILLO ARMAS </t>
  </si>
  <si>
    <t>LUS22-518-JM103</t>
  </si>
  <si>
    <t>L22-648-LG074</t>
  </si>
  <si>
    <t>VUNR2-020322</t>
  </si>
  <si>
    <t xml:space="preserve">VICTOR MARIO REYES TZUL </t>
  </si>
  <si>
    <t>7 AV. 7-57 ZONA 2</t>
  </si>
  <si>
    <t>8 CALLE 6-72 ZONA 2</t>
  </si>
  <si>
    <t xml:space="preserve">CESAR JONATHAN MACARIO VENTURA </t>
  </si>
  <si>
    <t>CESAR JONATHAN MACARIO VENTURA</t>
  </si>
  <si>
    <t xml:space="preserve">LOCALES (2) + VIVIENDA UNIFAMILIAR </t>
  </si>
  <si>
    <t>LUS22-580-LG064</t>
  </si>
  <si>
    <t>1541-2021/DCN/DDQZ/FACS/msgg</t>
  </si>
  <si>
    <t>L22-570-JM108</t>
  </si>
  <si>
    <t>RPNB6-220622</t>
  </si>
  <si>
    <t>VALERY REGINA BATZ CAYAX</t>
  </si>
  <si>
    <t>CERO AVENIDA 6-13F INTERIOR ZONA 6</t>
  </si>
  <si>
    <t xml:space="preserve">CERO AVENIDA 6-13F INTERIOR ZONA 6 </t>
  </si>
  <si>
    <t xml:space="preserve">VIVIENDA UNIFAMILAIR </t>
  </si>
  <si>
    <t>L22-650-NR092</t>
  </si>
  <si>
    <t>RPNA12-090722</t>
  </si>
  <si>
    <t>RENE GUILLERMO AMEZQUITA BARRIOS</t>
  </si>
  <si>
    <t>8 AVENIDA 9-46 SECTOR 1 ZONA 12</t>
  </si>
  <si>
    <t xml:space="preserve">21 AV. 10A-28 ZONA 3 </t>
  </si>
  <si>
    <t>LUS22-582-NR082</t>
  </si>
  <si>
    <t>L22-600-AQ147</t>
  </si>
  <si>
    <t>RPNMR-130222</t>
  </si>
  <si>
    <t>MARIA OFELIA GARCIA SON DE MAZARIEGOS</t>
  </si>
  <si>
    <t xml:space="preserve">CANTON XEPACHE </t>
  </si>
  <si>
    <t xml:space="preserve">XONACAM DEL CANTON LLANO DEL PINAL </t>
  </si>
  <si>
    <t>LUS22-532-AQ147</t>
  </si>
  <si>
    <t>L22-565-NR038</t>
  </si>
  <si>
    <t>VUNP9-041221</t>
  </si>
  <si>
    <t xml:space="preserve">MILDRED NINETT PARDO RODAS </t>
  </si>
  <si>
    <t>8 CALLE B 3-65 ZONA 9</t>
  </si>
  <si>
    <t>AVENIDA LAS AMERICAS CB-245E ZONA 1</t>
  </si>
  <si>
    <t>JUAN ALFREDO MOLINA PEREZ</t>
  </si>
  <si>
    <t xml:space="preserve">JUAN ALFREDO MOLINA PEREZ </t>
  </si>
  <si>
    <t>EDIFICIO PARA OFICINAS Y APARTAMENTOS</t>
  </si>
  <si>
    <t>LUS22-501-NR033</t>
  </si>
  <si>
    <t>362-2021/DCN/DDQZ/FACS/grq</t>
  </si>
  <si>
    <t>L22-578-KM003</t>
  </si>
  <si>
    <t>RPNP11-230722</t>
  </si>
  <si>
    <t>BRANDON JACINTO ISAAC PEREZ BERNAL</t>
  </si>
  <si>
    <t>1 AV. 1-212 L.12 MZ. 4 LOMAS DE SAN JOSE ZONA 11</t>
  </si>
  <si>
    <t>248E</t>
  </si>
  <si>
    <t>LUS22-511-KM003</t>
  </si>
  <si>
    <t>L22-584-JM118</t>
  </si>
  <si>
    <t>VUNA6-010222</t>
  </si>
  <si>
    <t xml:space="preserve">SANTOS ALVAREZ GARCIA </t>
  </si>
  <si>
    <t>5 AVENIDA  5-40 ZONA 6</t>
  </si>
  <si>
    <t xml:space="preserve">5a AV 5-40 ZONA 6 </t>
  </si>
  <si>
    <t>224E</t>
  </si>
  <si>
    <t xml:space="preserve">PABLO OFELIO PUAC MORALES </t>
  </si>
  <si>
    <t>LUS22-517-JM118</t>
  </si>
  <si>
    <t>1693-2021/DCN/DDQZ/UIDLF/grq</t>
  </si>
  <si>
    <t>L22-506-NR100</t>
  </si>
  <si>
    <t>RPNM11-170222</t>
  </si>
  <si>
    <t xml:space="preserve">CESAR AUGUSTO MORALES YAX </t>
  </si>
  <si>
    <t xml:space="preserve">1 AVENIDA 1-137A ZONA 11 </t>
  </si>
  <si>
    <t xml:space="preserve">8 CALLE 21-10 ZONA 3 </t>
  </si>
  <si>
    <t xml:space="preserve">MURO PERIMETRAL + VIVIENDA UNIFAMILIAR </t>
  </si>
  <si>
    <t>LUS22-445-NR090</t>
  </si>
  <si>
    <t>0104-2022/DCN/DDQZ/FACS/GRQQ/cacb</t>
  </si>
  <si>
    <t>L23-486-NR029</t>
  </si>
  <si>
    <t>VUNM11-010222</t>
  </si>
  <si>
    <t xml:space="preserve">BODEGA DE 1 NIVEL </t>
  </si>
  <si>
    <t>DOT-117-2023-LG-US</t>
  </si>
  <si>
    <t xml:space="preserve">DEPTO. ORDENAMIENTO TERRITORIAL </t>
  </si>
  <si>
    <t>LUS23-424-NR029</t>
  </si>
  <si>
    <t xml:space="preserve">BENSAITEN AGUSTIN CHUC GARCIA </t>
  </si>
  <si>
    <t>LUS22-462-MP016</t>
  </si>
  <si>
    <t>L22-212-LG038</t>
  </si>
  <si>
    <t>RPNA1-110222</t>
  </si>
  <si>
    <t xml:space="preserve">AMILCAR EMILIANO AJCA HERNANDEZ </t>
  </si>
  <si>
    <t xml:space="preserve">AVENIDA EL CENIZAL 3-08 ZONA 1 </t>
  </si>
  <si>
    <t>299E</t>
  </si>
  <si>
    <t xml:space="preserve">HELEN MARISOL HERNANDEZ MONZON </t>
  </si>
  <si>
    <t xml:space="preserve">CAMBIO DE TECHO </t>
  </si>
  <si>
    <t>LUS22-537-MP025</t>
  </si>
  <si>
    <t>USA1-010921</t>
  </si>
  <si>
    <t>LOCALES COMERCIALES (3)</t>
  </si>
  <si>
    <t>158-2021/DCN/DDQZ/FACS/msgg</t>
  </si>
  <si>
    <t>L22-623-NR216</t>
  </si>
  <si>
    <t>RPNDR-390622</t>
  </si>
  <si>
    <t>LOTE A1 SECTOR 1 CIUDAD VERDE CHICHIGUITAN</t>
  </si>
  <si>
    <t xml:space="preserve">13 AVENIDA 5-16 ZONA 1 </t>
  </si>
  <si>
    <t>LUS22-554-NR204</t>
  </si>
  <si>
    <t>L22-620-NR219</t>
  </si>
  <si>
    <t>RPNDR-360622</t>
  </si>
  <si>
    <t>LOTE A6 SECTOR 1 CIUDAD VERDE CHICHIGUITAN</t>
  </si>
  <si>
    <t>LUS22-551-NR207</t>
  </si>
  <si>
    <t>L22-583-LG075</t>
  </si>
  <si>
    <t>DMNL3-050622</t>
  </si>
  <si>
    <t xml:space="preserve">GLADYS ARACELY LOPEZ AMBROSIO </t>
  </si>
  <si>
    <t xml:space="preserve">4 CALLE 13-80 ZONA 3 </t>
  </si>
  <si>
    <t xml:space="preserve">8 CALLE 19-44 ZONA 3 </t>
  </si>
  <si>
    <t xml:space="preserve">MARIA CELESTE QUIÑONEZ ROMERO </t>
  </si>
  <si>
    <t xml:space="preserve">DEMOLICION </t>
  </si>
  <si>
    <t>L22-573-KM100</t>
  </si>
  <si>
    <t>RPNL11-250722</t>
  </si>
  <si>
    <t xml:space="preserve">VISENIA MARBELY LOPEZ GARCIA </t>
  </si>
  <si>
    <t xml:space="preserve">1 AVENIDA 1-212 LOTE 3 MZ. 1 LOMAS SJ ZONA 11 </t>
  </si>
  <si>
    <t>CORRECTA ALINEACION AL COSTADO ESTABLECIDO</t>
  </si>
  <si>
    <t>L22-575-KM100</t>
  </si>
  <si>
    <t>RPNA11-270722</t>
  </si>
  <si>
    <t xml:space="preserve">ALICIA EUGENIA AJQUI VELASQUEZ </t>
  </si>
  <si>
    <t>1 AVENIDA 1-212 LOTE 9 MZ. 2 LOMAS SJ ZONA 11</t>
  </si>
  <si>
    <t xml:space="preserve">1 AVENIDA 1-212 LOTE 9 MZ. 2 LOMAS SJ ZONA 11 </t>
  </si>
  <si>
    <t xml:space="preserve">CORRECTA ALINEACION AL COSTADO ESTABLECIDO </t>
  </si>
  <si>
    <t>LUS22-509-KM084</t>
  </si>
  <si>
    <t>L23-907-JM117</t>
  </si>
  <si>
    <t>RPNS10-300722</t>
  </si>
  <si>
    <t>JOSE LUIS SACALXOT PAC</t>
  </si>
  <si>
    <t xml:space="preserve">1 CALLE 0-17 ZONA 10 </t>
  </si>
  <si>
    <t xml:space="preserve">1 CALLE 0-17 ZONA 1O </t>
  </si>
  <si>
    <t>207E</t>
  </si>
  <si>
    <t xml:space="preserve">CORRECTA ALINEACION AL LADO NOR-OESTE </t>
  </si>
  <si>
    <t>LUS23-817-JM117</t>
  </si>
  <si>
    <t>874-2022/DCN/DDQZ/FACS/GRQQ/cacb</t>
  </si>
  <si>
    <t>VIVIENDA UNIFAMILIAR+LOCAL COMERCIAL</t>
  </si>
  <si>
    <t>L22-572-JM114</t>
  </si>
  <si>
    <t>RPND6-250722</t>
  </si>
  <si>
    <t>CERO AVENIDA 6-27D INTERIOR ZONA 6</t>
  </si>
  <si>
    <t xml:space="preserve">JACKELINE ROSMERY DE LEON ARAGON DE MALDONADO </t>
  </si>
  <si>
    <t xml:space="preserve">CERO AVENIDA 6-27D INTERIOR ZONA 6 </t>
  </si>
  <si>
    <t>LUS22-507-JM114</t>
  </si>
  <si>
    <t>L22-613-JC036</t>
  </si>
  <si>
    <t>RPNHR-450722</t>
  </si>
  <si>
    <t>BERNABE UVALDO HERNANDEZ LOPEZ</t>
  </si>
  <si>
    <t>CANTON XETUJ</t>
  </si>
  <si>
    <t xml:space="preserve">CANTON XETUJ </t>
  </si>
  <si>
    <t>300E</t>
  </si>
  <si>
    <t>RURAL-CENTRO POBLADO</t>
  </si>
  <si>
    <t>LUS22-545-JC031</t>
  </si>
  <si>
    <t>L22-550-NR091</t>
  </si>
  <si>
    <t>VUNS7-020722</t>
  </si>
  <si>
    <t xml:space="preserve">JOSE ROLANDO SANTOS CALDERON </t>
  </si>
  <si>
    <t xml:space="preserve">5 CALLE "B" 22-75 ZONA 7 </t>
  </si>
  <si>
    <t xml:space="preserve">6TA. AV. A 6-41 ZONA 9 </t>
  </si>
  <si>
    <t xml:space="preserve">NERY IVAN PEREZ MORALES </t>
  </si>
  <si>
    <t>LUS22-488-NR081</t>
  </si>
  <si>
    <t>1071-2022/DCN/DDQZ/FACS/cacb</t>
  </si>
  <si>
    <t>L22-578-KM005</t>
  </si>
  <si>
    <t>RPNM11-260722</t>
  </si>
  <si>
    <t xml:space="preserve">LEONOR MARTIN ALVARADO </t>
  </si>
  <si>
    <t>1 AV. 1-212 L.5 MZ.2 LOMAS SAN JOSE ZONA 11</t>
  </si>
  <si>
    <t xml:space="preserve">1 AV. 1-212 L.5 MZ.2 LOMAS SAN JOSE ZONA 11 </t>
  </si>
  <si>
    <t>L22-596-JM106</t>
  </si>
  <si>
    <t>MVNT12-010522</t>
  </si>
  <si>
    <t xml:space="preserve">MOVIMIENTO DE TIERRA </t>
  </si>
  <si>
    <t>MOVIMIENTO DE TIERRA DE 90M3. -----------</t>
  </si>
  <si>
    <t>MOVIMIENTOS DE TIERRA</t>
  </si>
  <si>
    <t>L22-621-NR218</t>
  </si>
  <si>
    <t>RPNDR-370622</t>
  </si>
  <si>
    <t>LOTE A2 SECTOR 1 CIUDAD VERDE CHICHIGUITAN</t>
  </si>
  <si>
    <t>LUS22-552-NR206</t>
  </si>
  <si>
    <t>L22-625-NR221</t>
  </si>
  <si>
    <t>RPNDR-400622</t>
  </si>
  <si>
    <t>LOTE A3 SECTOR 1 CIUDAD VERDE CHICHIGUITAN</t>
  </si>
  <si>
    <t>LUS22-556-NR209</t>
  </si>
  <si>
    <t xml:space="preserve">INDEFINIDO </t>
  </si>
  <si>
    <t>L22-623-NR220</t>
  </si>
  <si>
    <t>RPNDR-410622</t>
  </si>
  <si>
    <t>LOTE A4 SECTOR 1 CIUDAD VERDE CHICHIGUITAN</t>
  </si>
  <si>
    <t xml:space="preserve">LOTE A4 SECTOR 1 CIUDAD VERDE CHICHIGUITAN </t>
  </si>
  <si>
    <t>LUS22-555-NR-208</t>
  </si>
  <si>
    <t>L22-890-JM137</t>
  </si>
  <si>
    <t>RPNG4-060722</t>
  </si>
  <si>
    <t xml:space="preserve">ELVIRA MARISOL GOMEZ CIFUENTES </t>
  </si>
  <si>
    <t>DIAGONAL 2 0-504 ZONA 4</t>
  </si>
  <si>
    <t xml:space="preserve">DIAGONAL 2 0-504 ZONA 4 </t>
  </si>
  <si>
    <t xml:space="preserve">URBANO PROTECCION NATURAL </t>
  </si>
  <si>
    <t>LUS22-802-JM137</t>
  </si>
  <si>
    <t>L22-884-LG0087</t>
  </si>
  <si>
    <t>RPND11-360722</t>
  </si>
  <si>
    <t xml:space="preserve">5 CALLE 1-255 APTO. 1 ZONA 11 </t>
  </si>
  <si>
    <t>LUS22-798-LG076</t>
  </si>
  <si>
    <t>L22-663-LG085</t>
  </si>
  <si>
    <t>RPND11-380722</t>
  </si>
  <si>
    <t xml:space="preserve">5 CALLE 1-255 APTO. 4 ZONA 11 </t>
  </si>
  <si>
    <t>CONSTRUCCION EN INYERIOR DEL PREDIO</t>
  </si>
  <si>
    <t>LUS22-594-LG074</t>
  </si>
  <si>
    <t>L22-651-AQ041</t>
  </si>
  <si>
    <t>RPNF9-270622</t>
  </si>
  <si>
    <t xml:space="preserve">WALTER ERAZMO FLORES ORELLANA </t>
  </si>
  <si>
    <t xml:space="preserve">7 AVENIDA 11-60 DIRECCION FISCAL ZONA 5 </t>
  </si>
  <si>
    <t>VIVIENDA UNIFAMILIAR Y LOCAL COMERCIAL (1)</t>
  </si>
  <si>
    <t>LUS22-583-AQ036</t>
  </si>
  <si>
    <t>910-2022/DCN/DDQZ/FACS/grq</t>
  </si>
  <si>
    <t>L22-672-MP023</t>
  </si>
  <si>
    <t>ANTN-A7-040522</t>
  </si>
  <si>
    <t>FLOR DE MARIA ALVARADO SOLORZANO</t>
  </si>
  <si>
    <t xml:space="preserve">27 AV. 14-41 138B ZONA 7 </t>
  </si>
  <si>
    <t>27 AV. 14-41 138B  ZONA 7</t>
  </si>
  <si>
    <t>MEYSI GABRIELA QUIJIVIX MORALES</t>
  </si>
  <si>
    <t>LUS22-603-MP024</t>
  </si>
  <si>
    <t>L22-638-SP183</t>
  </si>
  <si>
    <t>RPNJ10-290622</t>
  </si>
  <si>
    <t>HUGO LEONEL JUAREZ IBARRA</t>
  </si>
  <si>
    <t>6 AVENIDA A 1-24 ZONA 10</t>
  </si>
  <si>
    <t xml:space="preserve">6 AVENIDA A 1-24 ZONA 10 </t>
  </si>
  <si>
    <t>LUS22-570-SP168</t>
  </si>
  <si>
    <t>L22-912-NR213</t>
  </si>
  <si>
    <t>RPNZR-470522</t>
  </si>
  <si>
    <t>CHRISTIAN ARNOLDO ZEPEDA RAMIREZ</t>
  </si>
  <si>
    <t>85E</t>
  </si>
  <si>
    <t>L22-654-LG081</t>
  </si>
  <si>
    <t>VUNC4-010222</t>
  </si>
  <si>
    <t xml:space="preserve">IRMA YOLANDA CAYAX GARCIA </t>
  </si>
  <si>
    <t xml:space="preserve">DIAGONAL 2 6-65 ZONA 4 </t>
  </si>
  <si>
    <t xml:space="preserve">8a CALLE 24A-24 ZONA 7 </t>
  </si>
  <si>
    <t xml:space="preserve">SELVYN BENEDICTO NIMATUJ AGUILAR </t>
  </si>
  <si>
    <t>LUS22-585-LG070</t>
  </si>
  <si>
    <t>45-2022/DCN/DDQZ/FACS/grq</t>
  </si>
  <si>
    <t>L22-644-LG097</t>
  </si>
  <si>
    <t>VUNF9-011221</t>
  </si>
  <si>
    <t xml:space="preserve">LEONARDO FUENTES LOAYES </t>
  </si>
  <si>
    <t xml:space="preserve">1 CALLE 3-27A ZONA 6 </t>
  </si>
  <si>
    <t xml:space="preserve">1ra CALLE 3-27A ZONA 6 </t>
  </si>
  <si>
    <t xml:space="preserve">ELISEO ENRIQUE CHAVEZ MENDEZ </t>
  </si>
  <si>
    <t>LUS22-576-LG086</t>
  </si>
  <si>
    <t>1550-2021/DCN/DDQZ/FACAS/msgg</t>
  </si>
  <si>
    <t>L22-643-LG117</t>
  </si>
  <si>
    <t>VUNJ4-020722</t>
  </si>
  <si>
    <t>KARLA AMARILIS ARREAGA RIVEREA DE JUAREZ</t>
  </si>
  <si>
    <t>CALLEJON A 0-82 ZONA 4</t>
  </si>
  <si>
    <t xml:space="preserve">CALLE CIRILIO FLORES CA-48 ZONA 4 </t>
  </si>
  <si>
    <t>328E</t>
  </si>
  <si>
    <t xml:space="preserve">OSMAN FABRICIO ALONZO CEDILLO </t>
  </si>
  <si>
    <t>LUS22-575-LG105</t>
  </si>
  <si>
    <t>004214-2022/DCN/FACS/msgg</t>
  </si>
  <si>
    <t>L22-618-LG079</t>
  </si>
  <si>
    <t>MVNTR-010722</t>
  </si>
  <si>
    <t xml:space="preserve">GERSON ELIU TIRADO CARDENAS </t>
  </si>
  <si>
    <t xml:space="preserve">CANTON CHICHIGUITAN </t>
  </si>
  <si>
    <t xml:space="preserve">GUSTAVO STUARDO REYES MORALES </t>
  </si>
  <si>
    <t>TRAZO, MOVIMIENTO DE TIERRA Y ESTSBILIZACION DE TALUDES</t>
  </si>
  <si>
    <t>L22-636-SP116</t>
  </si>
  <si>
    <t>RPNM3-040920</t>
  </si>
  <si>
    <t>EFRAIN MACARIO GOMEZ</t>
  </si>
  <si>
    <t>2 CALLE 16-73 ZONA 3</t>
  </si>
  <si>
    <t>17 AVENIDA 1-41 ZONA 3</t>
  </si>
  <si>
    <t xml:space="preserve">LOCAL COMERCIAL + VIVIENDA UNIFAMILIAR </t>
  </si>
  <si>
    <t>LUS22-567-SP116</t>
  </si>
  <si>
    <t xml:space="preserve">RESIDENCIAL </t>
  </si>
  <si>
    <t>L22-682-JM125</t>
  </si>
  <si>
    <t>RPNMR-430722</t>
  </si>
  <si>
    <t>YOSSELIN MARIELA MEJIA GONZALEZ</t>
  </si>
  <si>
    <t xml:space="preserve">ALDEA SAN JOSE CHIQUILAJA </t>
  </si>
  <si>
    <t>LUS22-610-JM125</t>
  </si>
  <si>
    <t>L22-709-NR112</t>
  </si>
  <si>
    <t>RPNG5-460822</t>
  </si>
  <si>
    <t xml:space="preserve">CAROLINA GONZALES TZUL </t>
  </si>
  <si>
    <t>17 CALLE D14-101 ZONA 5</t>
  </si>
  <si>
    <t xml:space="preserve">17 CALLE D14-101 ZONA 5 </t>
  </si>
  <si>
    <t>106E</t>
  </si>
  <si>
    <t xml:space="preserve">VIVIENDA UNIFAMILIAR + LOCAL COMERCIAL </t>
  </si>
  <si>
    <t>LUS22-635-NR103</t>
  </si>
  <si>
    <t>L22-871-SP101</t>
  </si>
  <si>
    <t>RPNM5-520822</t>
  </si>
  <si>
    <t>LESBIA ROXANA NOHEMI MEJIA MORALES Y CONDUEÑO</t>
  </si>
  <si>
    <t>3 CALLE 4-26 LOTE 7 MZ. M ZONA 5</t>
  </si>
  <si>
    <t xml:space="preserve">9na. CALLE 0-02 ZONA 7 </t>
  </si>
  <si>
    <t>EDWIN RAUL CITALAN GARCIA</t>
  </si>
  <si>
    <t xml:space="preserve">EDWIN RAUL CITALAN GARCIA </t>
  </si>
  <si>
    <t>LUS22-785-SP099</t>
  </si>
  <si>
    <t>L22-710-AQ118</t>
  </si>
  <si>
    <t>RPNC8-390822</t>
  </si>
  <si>
    <t xml:space="preserve">NELSON JAVIER COYOY VELASQUEZ </t>
  </si>
  <si>
    <t xml:space="preserve">CERO CALLE 27-641 INTERIOR ZONA 8 </t>
  </si>
  <si>
    <t xml:space="preserve">CERO CALLE 27-641 INTERIOR ZONA 8  </t>
  </si>
  <si>
    <t>LUS22-636-AQ110</t>
  </si>
  <si>
    <t>L22-678-JM139</t>
  </si>
  <si>
    <t>RPNCR-480822</t>
  </si>
  <si>
    <t xml:space="preserve">SARA CASTILLO LOPEZ </t>
  </si>
  <si>
    <t>CANTON CHICHIGUITAN</t>
  </si>
  <si>
    <t>342E</t>
  </si>
  <si>
    <t xml:space="preserve">CORRECTA ALINEACION A LA ESTABLECIDA </t>
  </si>
  <si>
    <t>LUS22-607-JM139</t>
  </si>
  <si>
    <t xml:space="preserve">RURAL AGRICOLA SIN LIMITACIONES </t>
  </si>
  <si>
    <t>L22-698-MP029</t>
  </si>
  <si>
    <t>VUND7-020722</t>
  </si>
  <si>
    <t xml:space="preserve">ANGELA DEMECIO JUAREZ </t>
  </si>
  <si>
    <t xml:space="preserve">8 CALLE A 24-78 ZONA 7 </t>
  </si>
  <si>
    <t xml:space="preserve">8 CALLE 24-78 ZONA 7 </t>
  </si>
  <si>
    <t xml:space="preserve">VERA LUCIA CIFUENTES DIAZ </t>
  </si>
  <si>
    <t xml:space="preserve">CORRECTA COSTADO SUR </t>
  </si>
  <si>
    <t>LUS22-624-MP030</t>
  </si>
  <si>
    <t>1720-2021/DCN/DDQZ/UIDLF/grq</t>
  </si>
  <si>
    <t>L22-699-JM152</t>
  </si>
  <si>
    <t>VUNP5-040822</t>
  </si>
  <si>
    <t xml:space="preserve">GYLMAR AMARILDO PEREZ XILOJ </t>
  </si>
  <si>
    <t xml:space="preserve">17 CALLE A 18-31 ZONA 5 </t>
  </si>
  <si>
    <t>CORRECTA HACIA EL COSTADO ORIENTE</t>
  </si>
  <si>
    <t>LUS22-625-JM152</t>
  </si>
  <si>
    <t>1124-2022/DCN/DDQZ/FACS/msgg</t>
  </si>
  <si>
    <t>L22-669-JM141</t>
  </si>
  <si>
    <t>VUNM7-020722</t>
  </si>
  <si>
    <t xml:space="preserve">IRMA YOLANDA DE LEON CARDENAS DE MOLINA </t>
  </si>
  <si>
    <t xml:space="preserve">9 CALLE 24-38 APTO. 57 ZONA 7 </t>
  </si>
  <si>
    <t>ELMER FERNANDO PAXTOR GONON</t>
  </si>
  <si>
    <t xml:space="preserve">ELMER FERNANDO PAXTOR GONON </t>
  </si>
  <si>
    <t>LUS22-600-JM141</t>
  </si>
  <si>
    <t>CONTENIDA EN EL EXPEDIENTE ORIGINAL DEL CONDOMINIO</t>
  </si>
  <si>
    <t>L22-673-LG094</t>
  </si>
  <si>
    <t>RPNA5-330622</t>
  </si>
  <si>
    <t xml:space="preserve">SILVIA MARIBEL RAMOS AMBROSIO DE ALVAREZ </t>
  </si>
  <si>
    <t xml:space="preserve">CALLEJON 19 D3-50 ZONA 5 </t>
  </si>
  <si>
    <t>CALLEJON 19 D3-50 ZONA 5</t>
  </si>
  <si>
    <t>L22-614-NR093</t>
  </si>
  <si>
    <t>VUNMR-020722</t>
  </si>
  <si>
    <t xml:space="preserve">HEBER JOSUE MENCHU JUAREZ </t>
  </si>
  <si>
    <t xml:space="preserve">LOTE 59 MZ. B CONDOMINIO XELA GARDENS FASE 3 </t>
  </si>
  <si>
    <t>288E</t>
  </si>
  <si>
    <t>LUS22-546-NR083</t>
  </si>
  <si>
    <t>L25-1000-JJ176</t>
  </si>
  <si>
    <t>RPNC10-7421125</t>
  </si>
  <si>
    <t xml:space="preserve">3 AVENIDA 1-50 LOTE 35 ZONA 10 </t>
  </si>
  <si>
    <t xml:space="preserve">RAUL ORLANDO CATU SALAZAR </t>
  </si>
  <si>
    <t xml:space="preserve">EDDI MANUEL MOMOTIC CITALAN </t>
  </si>
  <si>
    <t>LUS25-1103-JJ176</t>
  </si>
  <si>
    <t>L25-593-JJ079</t>
  </si>
  <si>
    <t>RPNT10-3550625</t>
  </si>
  <si>
    <t xml:space="preserve">BLANCA DELMI YARELINNE TUMACAJ DE PAZ </t>
  </si>
  <si>
    <t>3 AVENIDA 1-28 LOTE 30 MZ B ZONA 10</t>
  </si>
  <si>
    <t xml:space="preserve">3 AVENIDA 1-28 LOTE 3O MZ B ZONA 10 </t>
  </si>
  <si>
    <t xml:space="preserve">CARLOS FERNANDO HUITZ TZORIN </t>
  </si>
  <si>
    <t>LUS25-591-JJ079</t>
  </si>
  <si>
    <t>L25-727-KM027</t>
  </si>
  <si>
    <t>RPNL12-4730825</t>
  </si>
  <si>
    <t xml:space="preserve">HECTOR EDUARDO LOPEZ DOMINGUEZ </t>
  </si>
  <si>
    <t>5 AVENIDA B 10A-06 LOTE 6 MZ. B ZONA 12</t>
  </si>
  <si>
    <t xml:space="preserve">5 AVENIDA B 10A-06 LOTE 6 MZ. B ZONA 12 </t>
  </si>
  <si>
    <t xml:space="preserve">HUGO DANIEL RACANCOJ CAMACHO </t>
  </si>
  <si>
    <t>LUS25-749-KM022</t>
  </si>
  <si>
    <t>EN PARCELAMIENTO</t>
  </si>
  <si>
    <t>L24-055-AQ100</t>
  </si>
  <si>
    <t>RPNG12-101123</t>
  </si>
  <si>
    <t xml:space="preserve">MOISES GARCIA ESCALANTE </t>
  </si>
  <si>
    <t xml:space="preserve">12 CALLE A 5-56. LOTE 23 MZ P ZONA 12 </t>
  </si>
  <si>
    <t>LUS24-061-AQ093</t>
  </si>
  <si>
    <t>SE ENCUENTRA EN PARCELAMIENTO</t>
  </si>
  <si>
    <t>L24-355-SP044</t>
  </si>
  <si>
    <t>VUNP12-010424</t>
  </si>
  <si>
    <t xml:space="preserve">CESAR JEOVANI PEREZ LOPEZ </t>
  </si>
  <si>
    <t>12 CALLE A 5-40, LOTE #20 MZ P ZONA 12</t>
  </si>
  <si>
    <t xml:space="preserve">11 CALLE 0-95 ZONA 6 </t>
  </si>
  <si>
    <t>MIGUEL ANGEL OCAÑA CHOXOM</t>
  </si>
  <si>
    <t>LUS24-351-SP044</t>
  </si>
  <si>
    <t>L24-417-MP033</t>
  </si>
  <si>
    <t>RPNR12-070424</t>
  </si>
  <si>
    <t xml:space="preserve">SELVIN EDUARDO RAMIREZ HIDALGO </t>
  </si>
  <si>
    <t xml:space="preserve">10 CALLE A 5-46, LOTE 13, MZ F ZONA 12 </t>
  </si>
  <si>
    <t>LUS24-397-MP030</t>
  </si>
  <si>
    <t>L24-979-JC091</t>
  </si>
  <si>
    <t>VUNM12-011124</t>
  </si>
  <si>
    <t xml:space="preserve">BERTA JOSEFINA MERIDA PIEDRASANTA </t>
  </si>
  <si>
    <t xml:space="preserve">10 CALLE B 4-80, LOTE 13 MZ G ZONA 12 </t>
  </si>
  <si>
    <t xml:space="preserve">DIAGONAL #9 61A ZONA 1 </t>
  </si>
  <si>
    <t xml:space="preserve">PABLO BENJAMIN BARRENO MERIDA </t>
  </si>
  <si>
    <t>LUS24-857-JC085</t>
  </si>
  <si>
    <t>L25-46-WS002</t>
  </si>
  <si>
    <t>RPNA12-241224</t>
  </si>
  <si>
    <t xml:space="preserve">LUIS GUILLERMO ANTONIO ANGEL </t>
  </si>
  <si>
    <t>11 CALLE B 5-14 ZONA 12</t>
  </si>
  <si>
    <t xml:space="preserve">11 CALLE B 5-14 ZONA 12 </t>
  </si>
  <si>
    <t>HELBERT ROLANDO DE LEON SAMAYOA</t>
  </si>
  <si>
    <t xml:space="preserve">HELBERT ROLANDO DE LEON SAMAYOA </t>
  </si>
  <si>
    <t xml:space="preserve">CORRECTA ALINEACION DE LADO SUR </t>
  </si>
  <si>
    <t>LUS25-43-WS002</t>
  </si>
  <si>
    <t>L23-619-MP098</t>
  </si>
  <si>
    <t>RPNL12-080923</t>
  </si>
  <si>
    <t xml:space="preserve">ALICIA ANA JUAREZ LOPEZ DE LOPEZ </t>
  </si>
  <si>
    <t xml:space="preserve">10 CALLE A 5-17 ZONA 12 </t>
  </si>
  <si>
    <t xml:space="preserve">27 AVENIDA a D3-17 ZONA 3 </t>
  </si>
  <si>
    <t>ELMA NICTE OROXOM LOPEZ</t>
  </si>
  <si>
    <t xml:space="preserve">ELMA NICTE OROXOM LOPEZ </t>
  </si>
  <si>
    <t>LUS23-538-MP083</t>
  </si>
  <si>
    <t>1270-2023/DCN/DDQZ/FACS/msgg</t>
  </si>
  <si>
    <t>L23-539-JJ68</t>
  </si>
  <si>
    <t>VUNR12-021023</t>
  </si>
  <si>
    <t>FREDY VINICIO DE LEON VASCONCELOS</t>
  </si>
  <si>
    <t>10 CALLE B 5-55, LOTE #9 MZ H ZONA 12</t>
  </si>
  <si>
    <t xml:space="preserve">10 CALLE B 5-55, LOTE #9 MZ H ZONA 12 </t>
  </si>
  <si>
    <t>ERICK IVAN QUIJIVIX RACANCOJ</t>
  </si>
  <si>
    <t>LUS23-467-JJ54</t>
  </si>
  <si>
    <t>1608-2023/DCN/DDQZ/FACS/msgg</t>
  </si>
  <si>
    <t>L25-566-CB062</t>
  </si>
  <si>
    <t>RPNS3-3020625</t>
  </si>
  <si>
    <t xml:space="preserve">ISRAELITO OVIDIO SANCHEZ QUEJNAY </t>
  </si>
  <si>
    <t xml:space="preserve">20 AV. D1-05 ZONA 3 </t>
  </si>
  <si>
    <t>FREDY MAURICIO ROJAS MAZARIEGOS</t>
  </si>
  <si>
    <t xml:space="preserve">FREDY MAURICIO ROJAS MAZARIEGOS </t>
  </si>
  <si>
    <t>CORRECTA COSTADO SUR Y OESTE</t>
  </si>
  <si>
    <t>LUS25-555-CB057</t>
  </si>
  <si>
    <t>L25-349-JC031</t>
  </si>
  <si>
    <t>RPNC3-2230525</t>
  </si>
  <si>
    <t>COOPEASRURAL R.L.</t>
  </si>
  <si>
    <t>14 AVENIDA 3-04 ZONA 3</t>
  </si>
  <si>
    <t xml:space="preserve">14 AVENIDA 3-04 ZONA 3 </t>
  </si>
  <si>
    <t>405E</t>
  </si>
  <si>
    <t>DULCE PAOLA DE LEON GONZALEZ</t>
  </si>
  <si>
    <t>REMODRLACION PARA AGENCIA COOPEASRURAL R.L.</t>
  </si>
  <si>
    <t>REMODELACION EN PAREDES, PISOS Y TECHO</t>
  </si>
  <si>
    <t>L24-1078-JJ160</t>
  </si>
  <si>
    <t>VUNX10-011124</t>
  </si>
  <si>
    <t xml:space="preserve">CLAUDIA JEANETH XILOJ GIRON </t>
  </si>
  <si>
    <t>6 CALLE C 6A-13 ZONA 10</t>
  </si>
  <si>
    <t xml:space="preserve">7ma. CALLE 0-20 ZONA 9 </t>
  </si>
  <si>
    <t xml:space="preserve">FRANCISCO JOSE MENDEZ JERONIMO </t>
  </si>
  <si>
    <t>LUS24-947-JJ160</t>
  </si>
  <si>
    <t>0296-2024/DCN/DDQZ/FACS/grgg</t>
  </si>
  <si>
    <t>L24-246-JC031</t>
  </si>
  <si>
    <t>VUNB3-010424</t>
  </si>
  <si>
    <t>SOCIEDAD ANONIMA BENSO</t>
  </si>
  <si>
    <t>4 CALLE 14-90 ZONA 3</t>
  </si>
  <si>
    <t>DAVID EDUARDO MENDEZ LOPEZ</t>
  </si>
  <si>
    <t>FARMACIA MEYKOS SAN NICOLAS</t>
  </si>
  <si>
    <t>LUS24-238-JC026</t>
  </si>
  <si>
    <t>1761-2023/DCN/DDQZ/UIDLF/MSGG/cacb</t>
  </si>
  <si>
    <t>L25-263-CB051</t>
  </si>
  <si>
    <t>VUND1-1320425</t>
  </si>
  <si>
    <t>ANIBAL DIAZ VICENTE</t>
  </si>
  <si>
    <t>DIAGONAL 14 2-04 ZONA 1</t>
  </si>
  <si>
    <t>LUS25-224-CB044</t>
  </si>
  <si>
    <t xml:space="preserve">URBANO Q1 </t>
  </si>
  <si>
    <t>LUS25-309-JC029</t>
  </si>
  <si>
    <t>1588-2024/DCN/DDQZ/FACS/grq</t>
  </si>
  <si>
    <t>L22-691-KM111</t>
  </si>
  <si>
    <t>RPNI4-070722</t>
  </si>
  <si>
    <t>DOMINGO ITZEP LOPEZ</t>
  </si>
  <si>
    <t>33/33</t>
  </si>
  <si>
    <r>
      <t>30</t>
    </r>
    <r>
      <rPr>
        <sz val="8"/>
        <rFont val="Century Gothic"/>
        <family val="2"/>
      </rPr>
      <t>/</t>
    </r>
    <r>
      <rPr>
        <b/>
        <sz val="8"/>
        <rFont val="Century Gothic"/>
        <family val="1"/>
      </rPr>
      <t>30</t>
    </r>
  </si>
  <si>
    <t>17.25/17.25</t>
  </si>
  <si>
    <t>16.5/16.5</t>
  </si>
  <si>
    <t>20/15</t>
  </si>
  <si>
    <t>28/22</t>
  </si>
  <si>
    <t>CALLEJON B D2-48B ZONA 4</t>
  </si>
  <si>
    <t xml:space="preserve">CALLEJON B D2-48B ZONA 4 </t>
  </si>
  <si>
    <t>LUS22-679-KM097</t>
  </si>
  <si>
    <t>L22-688-JM143</t>
  </si>
  <si>
    <t>RPNA10-400822</t>
  </si>
  <si>
    <t>KEYLA ABIGAIL CASTRO ORTIZ</t>
  </si>
  <si>
    <t>6 AVENIDA A 6C-75C INTERIOR ZONA 10</t>
  </si>
  <si>
    <t xml:space="preserve">6 AVENIDA 6C-75C INTERIOR ZONA 10 </t>
  </si>
  <si>
    <t>343E</t>
  </si>
  <si>
    <t>48/48</t>
  </si>
  <si>
    <r>
      <rPr>
        <b/>
        <sz val="12"/>
        <color theme="8" tint="-0.249977111117893"/>
        <rFont val="Century Gothic"/>
        <family val="1"/>
      </rPr>
      <t>42</t>
    </r>
    <r>
      <rPr>
        <sz val="12"/>
        <color theme="8" tint="-0.249977111117893"/>
        <rFont val="Century Gothic"/>
        <family val="2"/>
      </rPr>
      <t>/42</t>
    </r>
  </si>
  <si>
    <t>LUS23-616-JM143</t>
  </si>
  <si>
    <t xml:space="preserve">RAZÓN: Los pagos de la presente autorizacion, se realizaron por medio de FORMA 7-B INGRESOS VARIOS ELECTRONICO. </t>
  </si>
  <si>
    <t>RAZÓN: Los pagos de la presente autorizacion, se realizaron por medio de FORMA 7-B INGRESOS VARIOS ELECTRONICO.</t>
  </si>
  <si>
    <r>
      <t xml:space="preserve">Al vencer la licencia debe renovarse la misma según el uso de suelo. RAZÓN: </t>
    </r>
    <r>
      <rPr>
        <sz val="10"/>
        <color theme="4" tint="-0.249977111117893"/>
        <rFont val="Century Gothic"/>
        <family val="1"/>
      </rPr>
      <t>Los pagos de la presente autorizacion, se realizaron por medio de FORMA 7-B INGRESOS VARIOS.</t>
    </r>
  </si>
  <si>
    <t>48/63</t>
  </si>
  <si>
    <t>L22-695-SP182</t>
  </si>
  <si>
    <t>RPNS7-170822</t>
  </si>
  <si>
    <t xml:space="preserve">INGRID JEANNETH TZOC SOMOZA </t>
  </si>
  <si>
    <t xml:space="preserve">6 CALLE 26-17D INTERIOR ZONA 7 </t>
  </si>
  <si>
    <t>368E</t>
  </si>
  <si>
    <t>LUS22-621-SP167</t>
  </si>
  <si>
    <t>L22-681-JM135</t>
  </si>
  <si>
    <t>VUNG11-010522</t>
  </si>
  <si>
    <t>CATARINA HILARIO DE GONZALEZ</t>
  </si>
  <si>
    <t xml:space="preserve">10 CALLE 5-43 ZONA 11 </t>
  </si>
  <si>
    <t>LUS22-609-JM135</t>
  </si>
  <si>
    <t>L22-697-SP104</t>
  </si>
  <si>
    <t>VUNC6-060922</t>
  </si>
  <si>
    <t xml:space="preserve">JUAN JOSE CUY CHAJCHIC Y CONDUEÑA </t>
  </si>
  <si>
    <t xml:space="preserve">6 AVENIDA 15-33 LOTE 22 ZONA 6 </t>
  </si>
  <si>
    <t xml:space="preserve">4ta. CALLE 1-43 ZONA 7 </t>
  </si>
  <si>
    <t>LUS22-623-SP102</t>
  </si>
  <si>
    <t xml:space="preserve">Para los proyectos de bajo impacto se analizará la factibilidad de servicios luego de finalizado el proceso de Licencia de Obra. RAZON: Los pagos de la presente autorizacion, se realizaron por medio de FORMA 7-B INGRESOS VARIOS.  </t>
  </si>
  <si>
    <t>L22-753-AQ120</t>
  </si>
  <si>
    <t>RPNL8-410722</t>
  </si>
  <si>
    <t>FELIZA CARMELINA RIXQUIACCHE SALANIC DE LOPEZ</t>
  </si>
  <si>
    <t>DIAGONAL 2 0-108 ZONA 8</t>
  </si>
  <si>
    <t xml:space="preserve">DIAGONAL 2 0-108 ZONA 8 </t>
  </si>
  <si>
    <t>LUS22-678-AQ120</t>
  </si>
  <si>
    <t>L22-750-AQ117</t>
  </si>
  <si>
    <t>RPNN8-420822</t>
  </si>
  <si>
    <t xml:space="preserve">WANDA BRIGITTE NUFIO GALDAMEZ Y CONDUEÑO </t>
  </si>
  <si>
    <t xml:space="preserve">35 AVENIDA B 10A-24 LOTE 10C ZONA 8 </t>
  </si>
  <si>
    <t>LUS22-675-AQ109</t>
  </si>
  <si>
    <t>L22-775-SP177</t>
  </si>
  <si>
    <t>RPNC9-310822</t>
  </si>
  <si>
    <t xml:space="preserve">ONORIO ENEMIAS CASIMIRO CHAJ </t>
  </si>
  <si>
    <t xml:space="preserve">3 CALLE 10-68 ZONA 9 </t>
  </si>
  <si>
    <t>LUS22-700-SP177</t>
  </si>
  <si>
    <t>L23-796-JM160</t>
  </si>
  <si>
    <t>RPNT1-340822</t>
  </si>
  <si>
    <t xml:space="preserve">CLAUDIA BARBARA MARCELA TEPE MEJIA </t>
  </si>
  <si>
    <t xml:space="preserve">28 AVENIDA 1-50D INTERIOR ZONA 1 </t>
  </si>
  <si>
    <t>28 AVENIDA 1-50D INTERIOR ZONA 1</t>
  </si>
  <si>
    <t>LUS23-717-JM160</t>
  </si>
  <si>
    <t>L22-801-SP181</t>
  </si>
  <si>
    <t>RPNJ2-110822</t>
  </si>
  <si>
    <t>BYRON MANOLO JORGE AJIATAZ</t>
  </si>
  <si>
    <t>9 CALLE 2-80 ZONA 2</t>
  </si>
  <si>
    <t xml:space="preserve">9 CALLE 2-80 ZONA 2 </t>
  </si>
  <si>
    <t>366E</t>
  </si>
  <si>
    <t>LUS22-722-SP166</t>
  </si>
  <si>
    <t>L22-774-JM166</t>
  </si>
  <si>
    <t>RPNJ1-370722</t>
  </si>
  <si>
    <t>BERTA JIGUAN RAMIREZ</t>
  </si>
  <si>
    <t xml:space="preserve">5 CALLE A 27-59 ZONA 1 </t>
  </si>
  <si>
    <t>LUS22-698-JM166</t>
  </si>
  <si>
    <t>L22-770-JM158</t>
  </si>
  <si>
    <t>VUNL1-020822</t>
  </si>
  <si>
    <t xml:space="preserve">LUZ EMILIA MENDEZ MONTEROS DE LOPEZ </t>
  </si>
  <si>
    <t xml:space="preserve">5 CALLE 28-10 ZONA 1 </t>
  </si>
  <si>
    <t>CALLEJON 3 1-24 ZONA 6</t>
  </si>
  <si>
    <t>LUS22-696-JM158</t>
  </si>
  <si>
    <t>L22-694-SP184</t>
  </si>
  <si>
    <t>RPNV9-220522</t>
  </si>
  <si>
    <t>EDINHIO LISARDO VASQUEZ MENDOZA</t>
  </si>
  <si>
    <t>7 AVENIDA A 1A-68 INTERIOR ZONA 9</t>
  </si>
  <si>
    <t xml:space="preserve">7 AVENIDA A 1A-68 INTERIOR ZONA 9 </t>
  </si>
  <si>
    <t>226E</t>
  </si>
  <si>
    <t>LUS22-620-SP169</t>
  </si>
  <si>
    <t>L22-916-JM149</t>
  </si>
  <si>
    <t>RPND5-560822</t>
  </si>
  <si>
    <t xml:space="preserve">PAOLA MERCEDES DE LEON </t>
  </si>
  <si>
    <t xml:space="preserve">15 CALLE 10A-02 LOTE 18 MZ. K ZONA 5 </t>
  </si>
  <si>
    <t>33E</t>
  </si>
  <si>
    <t>LUS22-824-JM149</t>
  </si>
  <si>
    <t>L22-736-MP032</t>
  </si>
  <si>
    <t>VUNA6-020722</t>
  </si>
  <si>
    <t>BRENDA JOHANNA ALVARADO BAMACA</t>
  </si>
  <si>
    <t xml:space="preserve">CALLEJON 2 0-142 ZONA 6 </t>
  </si>
  <si>
    <t>LUS22-663-MP033</t>
  </si>
  <si>
    <t>904-2022/DCN/DDQZ/FACS/grq</t>
  </si>
  <si>
    <t>L22-772-SP114</t>
  </si>
  <si>
    <t>DMNP9-010922</t>
  </si>
  <si>
    <t xml:space="preserve">JOSE ANIBAL PUAC SAQUIC </t>
  </si>
  <si>
    <t xml:space="preserve">11 AVENIDA 2-20 ZONA 9 </t>
  </si>
  <si>
    <t>INSTALACIONES OCULTAS, ----------</t>
  </si>
  <si>
    <t>L22-776-LG139</t>
  </si>
  <si>
    <t>VUNM8-020822</t>
  </si>
  <si>
    <t xml:space="preserve">VICTOR MANUEL MAZARIEGOS OCHOA </t>
  </si>
  <si>
    <t xml:space="preserve">14 CALLE 0-59 LOTE 15 RES. EL SOL ZONA 8 </t>
  </si>
  <si>
    <t xml:space="preserve">CESAR ROMEO MARROQUIN PEREZ </t>
  </si>
  <si>
    <t>LUS22-701-LG124</t>
  </si>
  <si>
    <t>0922-2022/DCN/DDQZ/UIDLF/GRQQ/cacb</t>
  </si>
  <si>
    <t>π</t>
  </si>
  <si>
    <t>L22-785-JM175</t>
  </si>
  <si>
    <t>VUNG11-020922</t>
  </si>
  <si>
    <t xml:space="preserve">LEYDY TERESA GONZALEZ GRAMAJO Y CONDUEÑO </t>
  </si>
  <si>
    <t xml:space="preserve">11 CALLE 2A-87 VISTA BELLA ZONA 11 </t>
  </si>
  <si>
    <t xml:space="preserve">9 CALLE A 0-97 ZONA 7 </t>
  </si>
  <si>
    <t>346E</t>
  </si>
  <si>
    <t xml:space="preserve">LUCIA GRICELDA CIFUENTES RODAS </t>
  </si>
  <si>
    <t xml:space="preserve"> VIVIENDA UNIFAMILIAR </t>
  </si>
  <si>
    <t>LUS22-708-JM175</t>
  </si>
  <si>
    <t>1125-2022/DCN/DDQZ/FACS/msgg</t>
  </si>
  <si>
    <t xml:space="preserve">                                                                                                                                      </t>
  </si>
  <si>
    <t>L22-739-JM162</t>
  </si>
  <si>
    <t>RPNT1-320822</t>
  </si>
  <si>
    <t xml:space="preserve">HENRY TOC COTOM </t>
  </si>
  <si>
    <t xml:space="preserve">7 CALLE 24-19 ZONA 1 </t>
  </si>
  <si>
    <t>206E</t>
  </si>
  <si>
    <t>LUS22-665-JM162</t>
  </si>
  <si>
    <t>L22-809-JM179</t>
  </si>
  <si>
    <t>RPNG12-131022</t>
  </si>
  <si>
    <t xml:space="preserve">ESVIN OSBELY GONZALEZ GIRON </t>
  </si>
  <si>
    <t xml:space="preserve">5 CALLE 4-48 LOTE 107 MZ. F ZONA 12 </t>
  </si>
  <si>
    <t>LUS22-730-JM179</t>
  </si>
  <si>
    <t>L22-743-LG127</t>
  </si>
  <si>
    <t>DMNN1-020322</t>
  </si>
  <si>
    <t xml:space="preserve">JAIME ARTURO NORIEGA PEREZ </t>
  </si>
  <si>
    <t>5 CALLE 28-62 ZONA 1</t>
  </si>
  <si>
    <t xml:space="preserve">DEMOLICION EN INTERIOR DEL PREDIO </t>
  </si>
  <si>
    <t>L22-795-MP039</t>
  </si>
  <si>
    <t>RPNP9-280922</t>
  </si>
  <si>
    <t>MAGDALENA EMPERATRIZ LOPEZ COTOM DE PASTOR</t>
  </si>
  <si>
    <t xml:space="preserve">CALLEJON 5B 4-135 ZONA 9 </t>
  </si>
  <si>
    <t xml:space="preserve">7ma CALLE 12-27 ZONA 1 </t>
  </si>
  <si>
    <t xml:space="preserve">WALTER CLEYVERSONY MORALES CABALLEROS </t>
  </si>
  <si>
    <t>WALTER CLEYVERSONY MORALES CABALLEROS</t>
  </si>
  <si>
    <t>LUS22-716-MP038</t>
  </si>
  <si>
    <t>L22-793-SP116</t>
  </si>
  <si>
    <t>RPNR5-601022</t>
  </si>
  <si>
    <t xml:space="preserve">KELLY ROXANA KUNZE PIEDRASANTA </t>
  </si>
  <si>
    <t>3 AVENIDA 4-09 LOTE 19 MZ N ZONA 5</t>
  </si>
  <si>
    <t xml:space="preserve">9na. CALLE 2-30 ZONA 2 </t>
  </si>
  <si>
    <t>LUS22-715-SP113</t>
  </si>
  <si>
    <t>L22-752-SP188</t>
  </si>
  <si>
    <t>RPNO10-430822</t>
  </si>
  <si>
    <t xml:space="preserve">MARIA ADELA OROZCO CITALAN </t>
  </si>
  <si>
    <t xml:space="preserve">14 CALLE 0-35 ZONA 10 </t>
  </si>
  <si>
    <t>LUS22-677-SP173</t>
  </si>
  <si>
    <t>L22-800-SP115</t>
  </si>
  <si>
    <t>VUNR8-010922</t>
  </si>
  <si>
    <t xml:space="preserve">MIRIAM ELIZABETH RANERO RECINOS </t>
  </si>
  <si>
    <t xml:space="preserve">15 CALLE 0-99 LOTE 13 ZONA 8 </t>
  </si>
  <si>
    <t>48E</t>
  </si>
  <si>
    <t>LUS22-721-SP112</t>
  </si>
  <si>
    <t>0880-2022/DCN/DDQZ/FACS/GRQQ/cacb</t>
  </si>
  <si>
    <t>L22-798-AQ092</t>
  </si>
  <si>
    <t>RPNV9-340822</t>
  </si>
  <si>
    <t xml:space="preserve">PASTOR GUILLERMO VASQUEZ </t>
  </si>
  <si>
    <t xml:space="preserve">3 CALLE 7A-36E INTERIOR ZONA 9 </t>
  </si>
  <si>
    <t>L22-761-AQ093</t>
  </si>
  <si>
    <t>RPNL9-300822</t>
  </si>
  <si>
    <t xml:space="preserve">MARTINA LOPEZ DE LOS SANTOS Y CONDUEÑO </t>
  </si>
  <si>
    <t xml:space="preserve">DIAGONAL 4 C6A-51. INTERIOR ZONA 9 </t>
  </si>
  <si>
    <t>LUS22-686-AQ084</t>
  </si>
  <si>
    <t>L22-735-SP105</t>
  </si>
  <si>
    <t>VUNC6-090822</t>
  </si>
  <si>
    <t xml:space="preserve">PEDRO GABRIEL CHAN </t>
  </si>
  <si>
    <t xml:space="preserve">17 CALLE 5-81 ZONA 6 </t>
  </si>
  <si>
    <t>DAVID DE JESUS FIGUEROA LOPEZ</t>
  </si>
  <si>
    <t xml:space="preserve">DAVID DE JESUS FIGUEROA LOPEZ </t>
  </si>
  <si>
    <t>LUS22-662-SP103</t>
  </si>
  <si>
    <t>1097-2022/DCN/DDQZ/FACS/MSGG/cacb</t>
  </si>
  <si>
    <t>L22-817-AQ050</t>
  </si>
  <si>
    <t>RPNTR-540922</t>
  </si>
  <si>
    <t xml:space="preserve">MIGUEL ANGEL TZOC COX </t>
  </si>
  <si>
    <t xml:space="preserve">CANTON XECARACOJ SECTOR 1 </t>
  </si>
  <si>
    <t>LUS22-737-AQ042</t>
  </si>
  <si>
    <t>L22-779-MP034</t>
  </si>
  <si>
    <t>VUNV5-030822</t>
  </si>
  <si>
    <t xml:space="preserve">SERGIO ESTUARDO VIDAL PRADO </t>
  </si>
  <si>
    <t xml:space="preserve">LOTE 27 MZ K XELAGARDEN II ZONA 5 </t>
  </si>
  <si>
    <t xml:space="preserve">7a CALLE "C" 0-56 ZONA 4 </t>
  </si>
  <si>
    <t xml:space="preserve">1RA PRORROGA DE LICENCIA </t>
  </si>
  <si>
    <t>L22-792-NR214</t>
  </si>
  <si>
    <t>RPNI9-150522</t>
  </si>
  <si>
    <t xml:space="preserve">ENRIQUE GABRIEL IXCOY XILOJ </t>
  </si>
  <si>
    <t xml:space="preserve">9 CALLE 3-65 LOTE 36 ZONA 9 </t>
  </si>
  <si>
    <t>321E</t>
  </si>
  <si>
    <t>LUS22-713-NR202</t>
  </si>
  <si>
    <t>L22-748-AQ107</t>
  </si>
  <si>
    <t>RPNB8-440922</t>
  </si>
  <si>
    <t xml:space="preserve">JUANA ELIZABETH XURUC LOPEZ </t>
  </si>
  <si>
    <t xml:space="preserve">2 CALLE B 37-15 ZONA 9 </t>
  </si>
  <si>
    <t>LUS22-673-AQ100</t>
  </si>
  <si>
    <t>VUNG10-030322</t>
  </si>
  <si>
    <t xml:space="preserve">ARTEMIO GUOX VICENTE </t>
  </si>
  <si>
    <t>6 AVENIDA A 5-106 ZONA 10</t>
  </si>
  <si>
    <t xml:space="preserve">6a AVENIDA 6-20 ZONA 10 </t>
  </si>
  <si>
    <t xml:space="preserve">CARLOS JOSELUIS ANDRADE BRIONES </t>
  </si>
  <si>
    <t>!3.62</t>
  </si>
  <si>
    <t>CORRECTA SEGÚN DOT-206-2022-AE</t>
  </si>
  <si>
    <t>LUS22-672-JM154</t>
  </si>
  <si>
    <t>1439-2019/DCN/DDQZ/FACS/GRQQ/cacb</t>
  </si>
  <si>
    <t>L22-747-JM154</t>
  </si>
  <si>
    <t>L22-784-MP040</t>
  </si>
  <si>
    <t>VUNO5-020922</t>
  </si>
  <si>
    <t xml:space="preserve">ROCIO BEATRIZ ORDOÑEZ CANASTUJ Y CONDUEÑA </t>
  </si>
  <si>
    <t>8 AVENIDA D1-10 ZONA 5</t>
  </si>
  <si>
    <t xml:space="preserve">8 AVENIDA D1-10 ZONA 5 </t>
  </si>
  <si>
    <t xml:space="preserve">ALEXIS GARCIA ESCALANTE </t>
  </si>
  <si>
    <t>LUS22-707-MP039</t>
  </si>
  <si>
    <t>1191-2022/DCN/DDQZ/FACS/grq</t>
  </si>
  <si>
    <t>L22-811-JM09</t>
  </si>
  <si>
    <t>VUNL5-010122</t>
  </si>
  <si>
    <t xml:space="preserve">AURA ELIZABETH LOPEZ ROBLES </t>
  </si>
  <si>
    <t xml:space="preserve">DIAGONAL 15 9-95B INTERIOR ZONA 6 </t>
  </si>
  <si>
    <t>7a CALLE 0-29 ZONA 7</t>
  </si>
  <si>
    <t>332E</t>
  </si>
  <si>
    <t xml:space="preserve">LLEYSON YONATAN HERNANDEZ GONZALEZ </t>
  </si>
  <si>
    <t xml:space="preserve">CORRECTA HACIA EL COSTADO NORTE </t>
  </si>
  <si>
    <t>28/09(2023</t>
  </si>
  <si>
    <t>LUS22-732-JM09</t>
  </si>
  <si>
    <t>1691-2021/DCN/DDQZ/UIDLF/grq</t>
  </si>
  <si>
    <t>L22-805-JM177</t>
  </si>
  <si>
    <t>DMNP2-030922</t>
  </si>
  <si>
    <t xml:space="preserve">ERICK EMILIO PUM MARTINEZ Y CONDUEÑA </t>
  </si>
  <si>
    <t xml:space="preserve">7 AVENIDA 5-36 ZONA 2 </t>
  </si>
  <si>
    <t xml:space="preserve">GUSTAVO ADOLFO QUEME MALDONADO </t>
  </si>
  <si>
    <t xml:space="preserve">PAREDES DE BLOCK Y ADOBE, TECHO DE LOSA Y LAMINA, </t>
  </si>
  <si>
    <t>L22-749-MP062</t>
  </si>
  <si>
    <t>RPNM5-630822</t>
  </si>
  <si>
    <t xml:space="preserve">MONICA CELITA MAHELIY MIRANDA LOPEZ </t>
  </si>
  <si>
    <t xml:space="preserve">16 CALLE 9-67 LOTE 17 MZ. J ZONA 5 </t>
  </si>
  <si>
    <t>LUS22-674-MP057</t>
  </si>
  <si>
    <t xml:space="preserve">LA RESOLUCION SE ENCUENTRA DENTRO DEL EXPEDIENTE DEL PARCELAMIENTO </t>
  </si>
  <si>
    <t>L22-810-MP043</t>
  </si>
  <si>
    <t>VUNM11-050922</t>
  </si>
  <si>
    <t xml:space="preserve">JULIO JOSE MORAN SOLOGAISTOA </t>
  </si>
  <si>
    <t>6 CALLE 4-11 LOTE 1 FASE 1 ZONA 11</t>
  </si>
  <si>
    <t xml:space="preserve">6 CALLE 4-11 LOTE 1 FASE 1 ZONA 11 </t>
  </si>
  <si>
    <t xml:space="preserve">JUAN DIEGO ALEJANDRO DE LEON MORAN </t>
  </si>
  <si>
    <t>LUS22-731-MP042</t>
  </si>
  <si>
    <t>L22-782-AQ106</t>
  </si>
  <si>
    <t>RPNE10-460822</t>
  </si>
  <si>
    <t xml:space="preserve">WILLIAM ALEXIS ESTRADA GARCIA </t>
  </si>
  <si>
    <t xml:space="preserve">8 AVENIDA 0-23 ZONA 10 </t>
  </si>
  <si>
    <t>LUS22-821-AQ099</t>
  </si>
  <si>
    <t>L22-756-MP035</t>
  </si>
  <si>
    <t>VUND5-040922</t>
  </si>
  <si>
    <t xml:space="preserve">VIVIAN LUCRECIA DE LEON SANDOVAL </t>
  </si>
  <si>
    <t>LOTE 50 MZ M XELAGARDEN II ZONA 5</t>
  </si>
  <si>
    <t xml:space="preserve">LOTE 50 MZ M XELAGARDEN II ZONA 5 </t>
  </si>
  <si>
    <t xml:space="preserve">RUDY PERCY JACOBS DE LEON </t>
  </si>
  <si>
    <t>LUS22-689-MP035</t>
  </si>
  <si>
    <t>11/10.5</t>
  </si>
  <si>
    <t>L22-740-LG126</t>
  </si>
  <si>
    <t>VUNG9-020822</t>
  </si>
  <si>
    <t xml:space="preserve">RAUL ERNESTO GAYTAN ROSALES </t>
  </si>
  <si>
    <t xml:space="preserve">5 AVENIDA A 6B-191 ZONA 9 </t>
  </si>
  <si>
    <t xml:space="preserve">20 AVENIDA CALLE 28 "A"-17 ZONA 7 </t>
  </si>
  <si>
    <t xml:space="preserve">SERGIO CELESTINO PISQUIY SOCH </t>
  </si>
  <si>
    <t>LUS22-666-LG112</t>
  </si>
  <si>
    <t>1054-2022/DCN/DDQZ/FACS/GRQQ/cacb</t>
  </si>
  <si>
    <t>L22-751-LG137</t>
  </si>
  <si>
    <t>VUNH1-010722</t>
  </si>
  <si>
    <t xml:space="preserve">SILVIA JUDITH HERNANDEZ LOPEZ </t>
  </si>
  <si>
    <t xml:space="preserve">7 CALLE 27-69 LOTE 4 MZ P ZONA 1 </t>
  </si>
  <si>
    <t xml:space="preserve">0 CALLE 0-50 ZONA 9 </t>
  </si>
  <si>
    <t xml:space="preserve">JUAN MARIANO DOMINGUEZ MAZARIEGOS </t>
  </si>
  <si>
    <t>LUS22-676-LG122</t>
  </si>
  <si>
    <t>562-2022/DCN/DDQZ/FACS/grq</t>
  </si>
  <si>
    <t>L22-803-SP189</t>
  </si>
  <si>
    <t>RPNVR-490322</t>
  </si>
  <si>
    <t xml:space="preserve">ROSA ELVIRA UTUC VELASQUEZ </t>
  </si>
  <si>
    <t>LUS22-724-SP174</t>
  </si>
  <si>
    <t>L22-812-SP127</t>
  </si>
  <si>
    <t>VUNB6-031022</t>
  </si>
  <si>
    <t>HAROLDO SAMUEL BARRIOS RAMIREZ</t>
  </si>
  <si>
    <t xml:space="preserve">9 CALLE 0-60, INTERIOR ZONA 6 </t>
  </si>
  <si>
    <t>9 CALLE 0-60, INTERIOR ZONA 6</t>
  </si>
  <si>
    <t xml:space="preserve">DAVID ESTUARDO BARRIOS GOMEZ </t>
  </si>
  <si>
    <t>LUS22-733-SP122</t>
  </si>
  <si>
    <t>1722-2022/DCN/DDQZ/UIDLF/grq</t>
  </si>
  <si>
    <t>L22-799-SP190</t>
  </si>
  <si>
    <t>RPNH6-320722</t>
  </si>
  <si>
    <t xml:space="preserve">JUANA HERNANDEZ BARRENO </t>
  </si>
  <si>
    <t xml:space="preserve">CERO AVENIDA 13-27 M INTERIOR ZONA 6 </t>
  </si>
  <si>
    <t xml:space="preserve">CORRECTA NO OBSTANTE ES INTERIOR </t>
  </si>
  <si>
    <t>LUS22-720-SP175</t>
  </si>
  <si>
    <t>L22-746-AQ131</t>
  </si>
  <si>
    <t>RPNR11-430722</t>
  </si>
  <si>
    <t xml:space="preserve">ROLANDO EUSEBIO REYES RODAS </t>
  </si>
  <si>
    <t xml:space="preserve">10 CALLE 2A-114, VISTA BELLA ZONA 11 </t>
  </si>
  <si>
    <t>LUS22-671-AQ131</t>
  </si>
  <si>
    <t>L22-827-JM189</t>
  </si>
  <si>
    <t>VUNC4-020922</t>
  </si>
  <si>
    <t xml:space="preserve">CARLOS HEDIBERTO CASTILLO CASTILLO </t>
  </si>
  <si>
    <t xml:space="preserve">8 CALLE 3-32 ZONA 4 </t>
  </si>
  <si>
    <t xml:space="preserve">8a. CALLE 0-58 ZONA 4 </t>
  </si>
  <si>
    <t>19E</t>
  </si>
  <si>
    <t xml:space="preserve">HECTOR ANTONIO CIFUENTES ABADIA </t>
  </si>
  <si>
    <t xml:space="preserve">AMPLIACION VIVIENDA MULTIFAMILIAR (DOS APARTAMENTOS) </t>
  </si>
  <si>
    <t>LUS22-746-JM189</t>
  </si>
  <si>
    <t>1314-2018/DCN/DDQZ/FACS/MSGG/cacb</t>
  </si>
  <si>
    <t>L22-911-AQ091</t>
  </si>
  <si>
    <t>RPND9-351022</t>
  </si>
  <si>
    <t xml:space="preserve">EMILIO DE LEON SIGUENZA </t>
  </si>
  <si>
    <t xml:space="preserve">3 CALLE 7-39K INTERIOR ZONA 9 </t>
  </si>
  <si>
    <t>L22-908-AQ072</t>
  </si>
  <si>
    <t>RPNR11-511122</t>
  </si>
  <si>
    <t xml:space="preserve">FREDY WILSON REYES MAZARIEGOS </t>
  </si>
  <si>
    <t xml:space="preserve">9 CALLE 2A-166 ZONA 11 </t>
  </si>
  <si>
    <t>LUS22-818-AQ066</t>
  </si>
  <si>
    <t xml:space="preserve">MARIA DE LOS ANGELES IXQUIAC IXQUIAC </t>
  </si>
  <si>
    <t xml:space="preserve">4 AVENIDA 1-99 ZONA 10 </t>
  </si>
  <si>
    <t xml:space="preserve">4ta. AVENIDA "A" 5-56 ZONA 10 </t>
  </si>
  <si>
    <t>L22-840-NR222</t>
  </si>
  <si>
    <t>RPNRR-320522</t>
  </si>
  <si>
    <t xml:space="preserve">JOSEFINA DEL ROSARIO SOBERANIS MALDONADO DE REYNA </t>
  </si>
  <si>
    <t>LUS22-760-NR210</t>
  </si>
  <si>
    <t>L22-849-MP046</t>
  </si>
  <si>
    <t>RPNC7-240922</t>
  </si>
  <si>
    <t xml:space="preserve">SHERYL MALENA CIFUENTES SANTIZO </t>
  </si>
  <si>
    <t xml:space="preserve">10 CALLE A 1-31, LOTE #27 ZONA 7 </t>
  </si>
  <si>
    <t>LUS22-768-MP045</t>
  </si>
  <si>
    <t>L22-1304-AQ152</t>
  </si>
  <si>
    <t>RPNLR-590822</t>
  </si>
  <si>
    <t xml:space="preserve">JUANA ESTELINA BATZ FLORES DE LOPEZ </t>
  </si>
  <si>
    <t>LUS22-1304-AQ152</t>
  </si>
  <si>
    <t>L22-741-MP070</t>
  </si>
  <si>
    <t>RPNM5-640822</t>
  </si>
  <si>
    <t xml:space="preserve">JOSE ANGEL MORAN VALDEZ Y CONDUEÑO </t>
  </si>
  <si>
    <t>15 CALLE B 10A-37 LOTE H-16 MZ. H ZONA 5</t>
  </si>
  <si>
    <t xml:space="preserve">15 CALLE B 10A-37 LOTE H-16 MZ. H ZONA 5 </t>
  </si>
  <si>
    <t>L22-842-MP071</t>
  </si>
  <si>
    <t>RPNV5-730722</t>
  </si>
  <si>
    <t xml:space="preserve">TELMA MARINA VASQUEZ </t>
  </si>
  <si>
    <t xml:space="preserve">16 CALLE B 14-63C INTERIOR ZONA 5 </t>
  </si>
  <si>
    <t xml:space="preserve">15 CALLE B 14-63C INTERIOR ZONA 5 </t>
  </si>
  <si>
    <t xml:space="preserve">ALINEACION INTERIOR </t>
  </si>
  <si>
    <t>L22-848-MP072</t>
  </si>
  <si>
    <t>RPNM8-480922</t>
  </si>
  <si>
    <t xml:space="preserve">JARRY GERSON MATIAS LOPEZ </t>
  </si>
  <si>
    <t xml:space="preserve">3 CALLE 43-92 ZONA 8 </t>
  </si>
  <si>
    <t>LUS22-767-MP063</t>
  </si>
  <si>
    <t>L22-838-AQ094</t>
  </si>
  <si>
    <t>RPNP6-380922</t>
  </si>
  <si>
    <t xml:space="preserve">FRANCISCO RULAMAN PEREZ Y PEREZ </t>
  </si>
  <si>
    <t xml:space="preserve">11 CALLE 5-195 ZONA 6 </t>
  </si>
  <si>
    <t>276E</t>
  </si>
  <si>
    <t>LUS22-758-AQ085</t>
  </si>
  <si>
    <t>L22-867-SP123</t>
  </si>
  <si>
    <t>VUNI10-021022</t>
  </si>
  <si>
    <t>LUS22-782-SP119</t>
  </si>
  <si>
    <t>945-2022/DCN/DDQZ/UIDLF/GRQQ/grq</t>
  </si>
  <si>
    <t>L22-905-JM161</t>
  </si>
  <si>
    <t>RPNM1-330822</t>
  </si>
  <si>
    <t xml:space="preserve">GRACIELA FLORIDALMA OROZCO O. DE MALDONADO </t>
  </si>
  <si>
    <t xml:space="preserve">CALLEJON 10C D11-42 ZONA 1 </t>
  </si>
  <si>
    <t>LUS22-815-JM161</t>
  </si>
  <si>
    <t>L22-914-JM157</t>
  </si>
  <si>
    <t>RPNX10-440822</t>
  </si>
  <si>
    <t xml:space="preserve">SANTIAGO XICARA GOMEZ Y CONDUEÑA </t>
  </si>
  <si>
    <t xml:space="preserve">5 CALLE C5-98 ZONA 10 </t>
  </si>
  <si>
    <t>LUS22-822-JM157</t>
  </si>
  <si>
    <t>L22-902-JM187</t>
  </si>
  <si>
    <t>RPNG5-700922</t>
  </si>
  <si>
    <t xml:space="preserve">ANA MARINA GONZALEZ LEIVA </t>
  </si>
  <si>
    <t xml:space="preserve">20 AVENIDA D15-41 ZONA 5 </t>
  </si>
  <si>
    <t>79E</t>
  </si>
  <si>
    <t>LUS22-812-JM187</t>
  </si>
  <si>
    <t>L22-855-SP136</t>
  </si>
  <si>
    <t>VUNP9-020922</t>
  </si>
  <si>
    <t>LUS22-773-SP128</t>
  </si>
  <si>
    <t>1148-2022/DCN/DDQ/FACS/MSGG</t>
  </si>
  <si>
    <t>L22-887-NR027</t>
  </si>
  <si>
    <t>RPNHR-641022</t>
  </si>
  <si>
    <t xml:space="preserve">LEYVI YOJANA JUAREZ LOPEZ DE HERNANDEZ </t>
  </si>
  <si>
    <t xml:space="preserve">CANTON LLANO DEL PINAL LOTE 61 </t>
  </si>
  <si>
    <t>LUS22-800-NR027</t>
  </si>
  <si>
    <t>L22-910-MP068</t>
  </si>
  <si>
    <t>RPNP6-430522</t>
  </si>
  <si>
    <t xml:space="preserve">TERESA PEREZ PEREZ DE PEREZ Y CONDUEÑO </t>
  </si>
  <si>
    <t xml:space="preserve">2 AVENIDA 10-11 ZONA 6 </t>
  </si>
  <si>
    <t>LUS22-819-MP061</t>
  </si>
  <si>
    <t>L22-860-LG153</t>
  </si>
  <si>
    <t>VUNR5-081022</t>
  </si>
  <si>
    <t xml:space="preserve">HELIDA MARIBEL RAMIREZ RAMOS </t>
  </si>
  <si>
    <t xml:space="preserve">10 AVENIDA 15-28 LOTE F10 ZONA 5 </t>
  </si>
  <si>
    <t xml:space="preserve">DANIEL ALBERTO ROJAS Y ROJAS </t>
  </si>
  <si>
    <t>LUS22-777-LG137</t>
  </si>
  <si>
    <t>L22-861-JM190</t>
  </si>
  <si>
    <t>VUNL5-031122</t>
  </si>
  <si>
    <t xml:space="preserve">KENNY JUVINY LOPEZ LOPEZ </t>
  </si>
  <si>
    <t xml:space="preserve">8 CALLE 11-09, LOTE 63 MZ G ZONA 5 </t>
  </si>
  <si>
    <t xml:space="preserve">ROSEMERY MARISOL MORALES GODINEZ </t>
  </si>
  <si>
    <t>LUS22-778-JM190</t>
  </si>
  <si>
    <t>L22-847-JM169</t>
  </si>
  <si>
    <t>RPNE8-420921</t>
  </si>
  <si>
    <t xml:space="preserve">LUISANA YAJAIRA ESTRADA OVALLE </t>
  </si>
  <si>
    <t xml:space="preserve">24 CALLE 6-30 ZONA 8 </t>
  </si>
  <si>
    <t>LUS22-766-JM169</t>
  </si>
  <si>
    <t>L23-450-MP079</t>
  </si>
  <si>
    <t>VUND7-010423</t>
  </si>
  <si>
    <t xml:space="preserve">HELLEN ELIZABETH RIVERA FAJARDO DE DE LA CRUZ </t>
  </si>
  <si>
    <t xml:space="preserve">1 AVENIDA 0-40 COLONIA SAN RAFAEL ZONA 7 </t>
  </si>
  <si>
    <t>51E</t>
  </si>
  <si>
    <t xml:space="preserve">STELLITA IVONNE SCHAEFFER PINEDA </t>
  </si>
  <si>
    <t xml:space="preserve">TRES SECCIONES DE MURO PERIMETRAL PREFABRICADO DE </t>
  </si>
  <si>
    <t>14.00ML x 2.50M/A INCLUYENDO CIMIENTO Y UN PORTON DE 4.27ML x 2.00M/A ----------</t>
  </si>
  <si>
    <t>L22-868-SP122</t>
  </si>
  <si>
    <t>DMNI10-010122</t>
  </si>
  <si>
    <t xml:space="preserve">PISO E INSTALACIONES OCULTAS </t>
  </si>
  <si>
    <t>L22-889-NR207</t>
  </si>
  <si>
    <t>RPNA9-341021</t>
  </si>
  <si>
    <t xml:space="preserve">MAGDA MARGORY ALVARADO QUIROA </t>
  </si>
  <si>
    <t xml:space="preserve">9 CALLE 4-21C. INTERIOR ZONA 9 </t>
  </si>
  <si>
    <t>VUNG8-111022</t>
  </si>
  <si>
    <t xml:space="preserve">TEREZA MARINA GARCIA HERNANDEZ </t>
  </si>
  <si>
    <t xml:space="preserve">CERO AVENIDA 11B-59 LOTE 5 ZONA 8 </t>
  </si>
  <si>
    <t xml:space="preserve">8a CALLE 0-126 ZONA 7 </t>
  </si>
  <si>
    <t xml:space="preserve">DAMIAN PEDRO LOPEZ MORALES </t>
  </si>
  <si>
    <t>L23-022-SP145</t>
  </si>
  <si>
    <t>LUS23-017-SP135</t>
  </si>
  <si>
    <t>L23-002-SP146</t>
  </si>
  <si>
    <t>VUNQ5-011122</t>
  </si>
  <si>
    <t xml:space="preserve">ORLANDO RAMIRO QUEME VELASQUEZ </t>
  </si>
  <si>
    <t xml:space="preserve">11 CALLE 7-16, LOTE 35 MZ K ZONA 5 </t>
  </si>
  <si>
    <t xml:space="preserve">0 CALLE 1-26 INTERIOR ZONA 7 </t>
  </si>
  <si>
    <t xml:space="preserve">ROBERTO ENRIQUE DAVILA CORDERO </t>
  </si>
  <si>
    <t>LUS23-001-SP136</t>
  </si>
  <si>
    <t>L23-003-NE116</t>
  </si>
  <si>
    <t>MVNS12-021222</t>
  </si>
  <si>
    <t xml:space="preserve">ESTER BETZABE LIMA DE SERRANO </t>
  </si>
  <si>
    <t xml:space="preserve">12 AVENIDA 6-19 LOTE 1A SECTOR 2 ZONA 12 </t>
  </si>
  <si>
    <t xml:space="preserve">9na AVENIDA 9 2-06 ZONA 7 </t>
  </si>
  <si>
    <t xml:space="preserve">SINDY CRISTAL COJULUN TOSCANO </t>
  </si>
  <si>
    <t xml:space="preserve">CORTE + RELLENO DE PLATAFORMAS DE PREDIO </t>
  </si>
  <si>
    <t>L23-014-JM153</t>
  </si>
  <si>
    <t>VUNLR-041021</t>
  </si>
  <si>
    <t>GERMAN ROMEO LOPEZ PACAJOJ</t>
  </si>
  <si>
    <t xml:space="preserve">7a AVENIDA 10-85 ZONA 5 </t>
  </si>
  <si>
    <t>CORRECTA SEGÚN OFICIO DOT-577-2021-AJ</t>
  </si>
  <si>
    <t>LUS23-011-JM153</t>
  </si>
  <si>
    <t>004539-2021/DCN/FACS/msgg</t>
  </si>
  <si>
    <t>L23-013-SP155</t>
  </si>
  <si>
    <t>VUNA11-011122</t>
  </si>
  <si>
    <t xml:space="preserve">JORGE AGUILAR GARCIA </t>
  </si>
  <si>
    <t xml:space="preserve">6 CALLE 4-19 LOTE 46B FASE IV ZONA 11 </t>
  </si>
  <si>
    <t xml:space="preserve">5ta. CALLE 2a-38 LOTE 9 MANZANA S ZONA 11 </t>
  </si>
  <si>
    <t xml:space="preserve">ERICK RODOLFO ESCOBAR MACARIO </t>
  </si>
  <si>
    <t>LUS23-010-SP145</t>
  </si>
  <si>
    <t>L23-009-SP156</t>
  </si>
  <si>
    <t>VUNS5-061122</t>
  </si>
  <si>
    <t>5 AVENIDA 9-12 LOTE 20 MZ O XELAGARDEN ZONA 5</t>
  </si>
  <si>
    <t xml:space="preserve">6 AVENIDA 6-22 ZONA 5 </t>
  </si>
  <si>
    <t xml:space="preserve">EDGAR ROLANDO SAPON MEJIA </t>
  </si>
  <si>
    <t>LUS23-008-SP146</t>
  </si>
  <si>
    <t>L23-413-MP066</t>
  </si>
  <si>
    <t>RPNVR-630822</t>
  </si>
  <si>
    <t xml:space="preserve">ROGELIO VELASQUEZ SACALXOT </t>
  </si>
  <si>
    <t xml:space="preserve">CANTON XECARACOJ SECTOR 4 </t>
  </si>
  <si>
    <t>L23-008-LG156</t>
  </si>
  <si>
    <t>VUNF5-021122</t>
  </si>
  <si>
    <t>CLEOTOCINDA GLADIS GUILLEN SUAREZ DE FUNES</t>
  </si>
  <si>
    <t xml:space="preserve">8 AVENIDA 1-26, LOTE 14 MZ C ZONA 5 </t>
  </si>
  <si>
    <t>8 AVENIDA 1-26, LOTE 14 MZ C ZONA 5</t>
  </si>
  <si>
    <t xml:space="preserve">JORGE ALBERTO FUNES GUILLEN </t>
  </si>
  <si>
    <t>LUS23-007-LG140</t>
  </si>
  <si>
    <t>L23-025-MP003</t>
  </si>
  <si>
    <t>VUNG8-070822</t>
  </si>
  <si>
    <t xml:space="preserve">DONAY RAUL GARCIA GRAMAJO </t>
  </si>
  <si>
    <t xml:space="preserve">DIAGONAL 3 35-76 ZONA 8 </t>
  </si>
  <si>
    <t xml:space="preserve">LOCAL COMERCIAL (2) Y BODEGA </t>
  </si>
  <si>
    <t>ESTABLECIDA SEGÚN DICTAMEN DOT-160-2022-MG</t>
  </si>
  <si>
    <t>LUS23-019-MP002</t>
  </si>
  <si>
    <t>558-2021/DCN/FACS/grqq</t>
  </si>
  <si>
    <t>L24-105-JJ98</t>
  </si>
  <si>
    <t>RPNZ3-151123</t>
  </si>
  <si>
    <t>JOSE EDDY ARMANDO ZET ESCOBAR</t>
  </si>
  <si>
    <t xml:space="preserve">24 AVENIDA 11-75 ZONA 3 </t>
  </si>
  <si>
    <t xml:space="preserve">CORRECTA COSTADO SUR Y ORIENTE </t>
  </si>
  <si>
    <t>LUS24-080-JJ83</t>
  </si>
  <si>
    <t>L23-007-LG155</t>
  </si>
  <si>
    <t>VUNF5-011122</t>
  </si>
  <si>
    <t xml:space="preserve">8 AVENIDA 1-22, LOTE 12 MZ C ZONA 5 </t>
  </si>
  <si>
    <t>LUS23-006-LG139</t>
  </si>
  <si>
    <t>L23-012-SP150</t>
  </si>
  <si>
    <t>VUNA5-021022</t>
  </si>
  <si>
    <t xml:space="preserve">EDSON FERNANDO ALVISUREZ CHAVEZ </t>
  </si>
  <si>
    <t xml:space="preserve">4 AVENIDA 16-27 LOTE 39 MZ M ZONA 5 </t>
  </si>
  <si>
    <t>JOSE ALFREDO BOJ COTI</t>
  </si>
  <si>
    <t xml:space="preserve">JOSE ALFREDO BOJ COTI </t>
  </si>
  <si>
    <t>LUS23-009-SP140</t>
  </si>
  <si>
    <t>L23-021-JM006</t>
  </si>
  <si>
    <t>VUNE9-011122</t>
  </si>
  <si>
    <t xml:space="preserve">CARLOS EDUARDO ESTACUY LOPEZ </t>
  </si>
  <si>
    <t xml:space="preserve">6 AVENIDA 6-18 ZONA 9 </t>
  </si>
  <si>
    <t>347E</t>
  </si>
  <si>
    <t xml:space="preserve">JOSE OSWALDO SOTO ESTRADA </t>
  </si>
  <si>
    <t>LUS23-016-JM006</t>
  </si>
  <si>
    <t>1473-2022/DCN/DDQZ/FACS/grq</t>
  </si>
  <si>
    <t>L23-522-MP088</t>
  </si>
  <si>
    <t>RPNL8-110223</t>
  </si>
  <si>
    <t xml:space="preserve">JOHNY ALBERTO LOPEZ LOARCA </t>
  </si>
  <si>
    <t xml:space="preserve">4 CALLE D1-73 ZONA 8 </t>
  </si>
  <si>
    <t xml:space="preserve">CORRECTA A PRIMER NIVEL </t>
  </si>
  <si>
    <t>LUS23-451-MP074</t>
  </si>
  <si>
    <t>L23-015-LG158</t>
  </si>
  <si>
    <t>VUNM11-061122</t>
  </si>
  <si>
    <t xml:space="preserve">6 CALLE 4-15 LOTE 32 FASE 2 ZONA 11 </t>
  </si>
  <si>
    <t>LUS23-012-LG142</t>
  </si>
  <si>
    <t>L23-100-LG161</t>
  </si>
  <si>
    <t>RPNM1-531222</t>
  </si>
  <si>
    <t>ERIKA PAMELA MERIDA HERRARTE</t>
  </si>
  <si>
    <t xml:space="preserve">30 AVENIDA 5-46 LOTE 3 MZ E ZONA 1 </t>
  </si>
  <si>
    <t xml:space="preserve">JUAN JOSE LOZANO RODAS </t>
  </si>
  <si>
    <t>L23-011-SP139</t>
  </si>
  <si>
    <t>DMNC7-041022</t>
  </si>
  <si>
    <t xml:space="preserve">MARIA DE LOS ANGELES CIFUENTES Y CIFUENTES </t>
  </si>
  <si>
    <t xml:space="preserve">29 AVENIDA 6-93 ZONA 7 </t>
  </si>
  <si>
    <t>L23-067-AQ132</t>
  </si>
  <si>
    <t>RPNB11-010123</t>
  </si>
  <si>
    <t>WALFRE SERGIO BARRIOS</t>
  </si>
  <si>
    <t xml:space="preserve">5 CALLE A 2C-06 LOTE 2 MANZANA T ZONA 11 </t>
  </si>
  <si>
    <t>L23-915-MP011</t>
  </si>
  <si>
    <t>RPNO12-020123</t>
  </si>
  <si>
    <t xml:space="preserve">WILLIAM ARNOLDO OSORIO MARTINEZ </t>
  </si>
  <si>
    <t xml:space="preserve">9 CALLE 4-13 LOTE 250 MZ. K ZONA 12 </t>
  </si>
  <si>
    <t>LUS23-372-MP010</t>
  </si>
  <si>
    <t>L23-417-MP021</t>
  </si>
  <si>
    <t>RPNC11-481122</t>
  </si>
  <si>
    <t xml:space="preserve">BRENDA LETICIA CAYAX TORRES </t>
  </si>
  <si>
    <t xml:space="preserve">CALLEJON 3 0-48 ZONA 11 </t>
  </si>
  <si>
    <t>LUS23-374-MP019</t>
  </si>
  <si>
    <t>L23-004-NR118</t>
  </si>
  <si>
    <t>VUNS12-021222</t>
  </si>
  <si>
    <t>LUS23-002-NR107</t>
  </si>
  <si>
    <t>L23-005-LG151</t>
  </si>
  <si>
    <t>VUNA3-030822</t>
  </si>
  <si>
    <t xml:space="preserve">EDGAR RENE ALVAREZ HERNANDEZ Y CONDUEÑO </t>
  </si>
  <si>
    <t xml:space="preserve">31 AVENIDA 13-51 ZONA 3 </t>
  </si>
  <si>
    <t>3E</t>
  </si>
  <si>
    <t xml:space="preserve">ELLEISON DAVID LOPEZ TIZOL </t>
  </si>
  <si>
    <t>LUS23-003-LG135</t>
  </si>
  <si>
    <t>820-2022/DCN/DDQZ/FACS/grq</t>
  </si>
  <si>
    <t>L23-020-LG001</t>
  </si>
  <si>
    <t>VUNR9-021222</t>
  </si>
  <si>
    <t xml:space="preserve">JUAN MANUEL RODRIGUEZ MALDONADO </t>
  </si>
  <si>
    <t xml:space="preserve">9 CALLE 3-61 LOTE 13 ZONA 9 </t>
  </si>
  <si>
    <t>319E</t>
  </si>
  <si>
    <t xml:space="preserve">CARLOS ENRIQUE RALON CAJAS </t>
  </si>
  <si>
    <t>LUS23-015-LG001</t>
  </si>
  <si>
    <t>L23-024-MP001</t>
  </si>
  <si>
    <t>RPNC10-521222</t>
  </si>
  <si>
    <t xml:space="preserve">GERBERTH VINICIO CASTILLO CANO </t>
  </si>
  <si>
    <t>13 CALLE 6-235 ZONA 10</t>
  </si>
  <si>
    <t xml:space="preserve">13 CALLE 6-235 ZONA 10 </t>
  </si>
  <si>
    <t>105E</t>
  </si>
  <si>
    <t>L23-023-SP154</t>
  </si>
  <si>
    <t>VUNR7-011222</t>
  </si>
  <si>
    <t xml:space="preserve">ANDREA ELOISA ROJAS PEREZ </t>
  </si>
  <si>
    <t xml:space="preserve">2 AVENIDA 11-12 LOTE 7 LOT. EL PRADO ZONA 7 </t>
  </si>
  <si>
    <t xml:space="preserve">GERSON FABRICIO ROJAS PEREZ </t>
  </si>
  <si>
    <t>LUS23-018-SP144</t>
  </si>
  <si>
    <t>L23-018-SP147</t>
  </si>
  <si>
    <t>VUNB8-011122</t>
  </si>
  <si>
    <t xml:space="preserve">LUIS MANUEL BENITEZ DE LEON Y CONDUEÑA </t>
  </si>
  <si>
    <t xml:space="preserve">33 AVENIDA 13-60 ZONA 8 </t>
  </si>
  <si>
    <t xml:space="preserve">JULIO JONAHEL AMEZQUITA FUNES </t>
  </si>
  <si>
    <t>LUS23-013-SP137</t>
  </si>
  <si>
    <t>962-2022/DCN/DDQZ/UIDLF/grq</t>
  </si>
  <si>
    <t>L23-542-MP095</t>
  </si>
  <si>
    <t>RPND4-120922</t>
  </si>
  <si>
    <t xml:space="preserve">FEDERICO ALFONSO DIAZ HERRERA </t>
  </si>
  <si>
    <t xml:space="preserve">AVENIDA EL CENIZAL 3-80 ZONA 1 </t>
  </si>
  <si>
    <t>LUS23-470-MP081</t>
  </si>
  <si>
    <t>L23-059-SP017</t>
  </si>
  <si>
    <t>VUNC7-030522</t>
  </si>
  <si>
    <t xml:space="preserve">PRICILA ISABEL CLEMENTE ROJAS </t>
  </si>
  <si>
    <t xml:space="preserve">9 CALLE A 0-29, LOTE #29 ZONA 7 </t>
  </si>
  <si>
    <t xml:space="preserve">MARIA FERNANDA OCHOA CAAL </t>
  </si>
  <si>
    <t>LUS23-050-SP017</t>
  </si>
  <si>
    <t>L23-391-MP071</t>
  </si>
  <si>
    <t>RPNM6-050123</t>
  </si>
  <si>
    <t xml:space="preserve">REINA MORALES VICENTE </t>
  </si>
  <si>
    <t xml:space="preserve">6 AVENIDA 15-27 ZONA 6 </t>
  </si>
  <si>
    <t>180E</t>
  </si>
  <si>
    <t>LUS23-352-MP060</t>
  </si>
  <si>
    <t>L23-027-JM001</t>
  </si>
  <si>
    <t>VUNL9-010822</t>
  </si>
  <si>
    <t xml:space="preserve">ROXANA VALEZKA MAZARIEGOS DE LOPEZ </t>
  </si>
  <si>
    <t xml:space="preserve">12 AVENIDA 0-585 ZONA 9 </t>
  </si>
  <si>
    <t>LUS23-021-JM001</t>
  </si>
  <si>
    <t>1136-2022/DCN/DDQZ/FACS/MSGG/cacb</t>
  </si>
  <si>
    <t>L23-699-AQ128</t>
  </si>
  <si>
    <t>RPNP10-480922</t>
  </si>
  <si>
    <t xml:space="preserve">PABLO GENARO </t>
  </si>
  <si>
    <t xml:space="preserve">9 AVENIDA D15-51D INTERIOR ZONA 10 </t>
  </si>
  <si>
    <t>LUS23-607-AQ128</t>
  </si>
  <si>
    <t>L23-635-JJ102</t>
  </si>
  <si>
    <t>RPNX10-050123</t>
  </si>
  <si>
    <t xml:space="preserve">JOCIAS EMANUEL XICARA CHACLAN </t>
  </si>
  <si>
    <t xml:space="preserve">CALLEJON 2 1-103 D INTERIOR ZONA 10 </t>
  </si>
  <si>
    <t>259E</t>
  </si>
  <si>
    <t>LUS23-553-JJ87</t>
  </si>
  <si>
    <t>L23-0054-JM002</t>
  </si>
  <si>
    <t>RPNT2-020222</t>
  </si>
  <si>
    <t xml:space="preserve">SERGIO TUY RALAC </t>
  </si>
  <si>
    <t xml:space="preserve">1 AVENIDA 11-19 ZONA 2 </t>
  </si>
  <si>
    <t xml:space="preserve">CORRECTA ALINEACION AL COSTADO SUR-OESTE </t>
  </si>
  <si>
    <t>LUS23-046-JM002</t>
  </si>
  <si>
    <t>0064-2022/DCN/DDQZ/FACS/cacb</t>
  </si>
  <si>
    <t>L23-25-MP002</t>
  </si>
  <si>
    <t>VUNC6-011122</t>
  </si>
  <si>
    <t xml:space="preserve">ROSA DEL CARMEN CASTILLO VILLAGRAN </t>
  </si>
  <si>
    <t xml:space="preserve">6 AVENIDA 15-33 LOTE 13 ZONA 6 </t>
  </si>
  <si>
    <t xml:space="preserve">ELIDE DEL CARMEN LEIVA JUAREZ </t>
  </si>
  <si>
    <t>LUS23-19-MP001</t>
  </si>
  <si>
    <t>2406-2012/DIGARN/UCA/ODGR/CAML</t>
  </si>
  <si>
    <t>L23-504-NR032</t>
  </si>
  <si>
    <t>RPNG1-040123</t>
  </si>
  <si>
    <t xml:space="preserve">BARBARA ROCIO GIRON ANDRADE </t>
  </si>
  <si>
    <t xml:space="preserve">CALLEJON 24 1-05 ZONA 1 </t>
  </si>
  <si>
    <t>LUS23-439-NR032</t>
  </si>
  <si>
    <t>L23-080-LG003</t>
  </si>
  <si>
    <t>RPNA1-290922</t>
  </si>
  <si>
    <t xml:space="preserve">CANDIDO ABAC VICENTE Y CONDUEÑA </t>
  </si>
  <si>
    <t xml:space="preserve">30 AVENIDA 5-50 LOTE 5 PARAISO ZONA 1 </t>
  </si>
  <si>
    <t xml:space="preserve">AURA SKARLETH MAURICIO RODRIGUEZ </t>
  </si>
  <si>
    <t>AMPLIACION DE VIVIENDA UNIFAMILIAR Y LOCAL</t>
  </si>
  <si>
    <t>L23-085-SP133</t>
  </si>
  <si>
    <t>RPNO10-050122</t>
  </si>
  <si>
    <t>L23-086-SP131</t>
  </si>
  <si>
    <t>RPNC10-060122</t>
  </si>
  <si>
    <t>L23-525-NR033</t>
  </si>
  <si>
    <t>RPNZ6-010123</t>
  </si>
  <si>
    <t xml:space="preserve">SEENDYE PAMELA FIGUEROA VENTURA </t>
  </si>
  <si>
    <t xml:space="preserve">LOTE 23 VILLAS DE JAZMIN CHIQUILAJA </t>
  </si>
  <si>
    <t>LUS23-453-NR033</t>
  </si>
  <si>
    <t>L23-088-SP132</t>
  </si>
  <si>
    <t>RPNC10-040122</t>
  </si>
  <si>
    <t xml:space="preserve">RUBI ARLETTE COYOY ORDOÑEZ </t>
  </si>
  <si>
    <t xml:space="preserve">CALLEJON 9B 0-68 ZONA 10 </t>
  </si>
  <si>
    <t>295E</t>
  </si>
  <si>
    <t>LUS23-077-SP132</t>
  </si>
  <si>
    <t>L23-423-MP077</t>
  </si>
  <si>
    <t>RPNA1-581122</t>
  </si>
  <si>
    <t xml:space="preserve">ROLANDO CRUZ AJPACAJA HERNANDEZ </t>
  </si>
  <si>
    <t xml:space="preserve">28 AVENIDA 9-143B INTERIOR ZONA 1 </t>
  </si>
  <si>
    <t>LUS23-380-MP066</t>
  </si>
  <si>
    <t>L22-416-KM141</t>
  </si>
  <si>
    <t>RPNR11-340321</t>
  </si>
  <si>
    <t xml:space="preserve">EVANGELINA MUÑOZ OLIVA DE RUIZ </t>
  </si>
  <si>
    <t xml:space="preserve">1 AVENIDA 1-212 LOTE 7 MANZANA 3 ZONA 11 </t>
  </si>
  <si>
    <t>LUS22-370-KM141</t>
  </si>
  <si>
    <t>L23-1256-KM011</t>
  </si>
  <si>
    <t>RPNG5-611022</t>
  </si>
  <si>
    <t>EDNA ELIZABETH DAMIAN GIRON DE GONZALEZ</t>
  </si>
  <si>
    <t xml:space="preserve">4 AVENIDA 4-24 LOTE 29 MANZANA N ZONA 5 </t>
  </si>
  <si>
    <t>LUS23-1232-KM008</t>
  </si>
  <si>
    <t>L23-119-JM018</t>
  </si>
  <si>
    <t>RPNC1-050123</t>
  </si>
  <si>
    <t xml:space="preserve">AROLDO RULAMAN LOARCAR BARRIOS </t>
  </si>
  <si>
    <t xml:space="preserve">29 AVENIDA D15-80N INTERIOR ZONA 1 </t>
  </si>
  <si>
    <t xml:space="preserve">AMPLIACION VIVIENDA BIFAMILIAR </t>
  </si>
  <si>
    <t>LUS23-104-JM018</t>
  </si>
  <si>
    <t>L23-030-JC001</t>
  </si>
  <si>
    <t>RPNG8-010123</t>
  </si>
  <si>
    <t xml:space="preserve">MOISES GONZALEZ MACARIO </t>
  </si>
  <si>
    <t xml:space="preserve">0 AVENIDA 14A-61 ZONA 8 </t>
  </si>
  <si>
    <t xml:space="preserve">AMPLIACION LOCALES </t>
  </si>
  <si>
    <t>L23-384-NR001</t>
  </si>
  <si>
    <t>RPNR1-601022</t>
  </si>
  <si>
    <t xml:space="preserve">ERICK GILBERTO RACANCOJ MORALES </t>
  </si>
  <si>
    <t xml:space="preserve">28 AVENIDA D11-94 ZONA 1 </t>
  </si>
  <si>
    <t>271E</t>
  </si>
  <si>
    <t>LUS23-345-NR001</t>
  </si>
  <si>
    <t>L23-502-SP081</t>
  </si>
  <si>
    <t>RPNA6-030123</t>
  </si>
  <si>
    <t xml:space="preserve">MANUEL ENRIQUE ALVAREZ ALVARADO </t>
  </si>
  <si>
    <t xml:space="preserve">2 AVENIDA 5-40 ZONA 6 </t>
  </si>
  <si>
    <t>L23-028-MP131</t>
  </si>
  <si>
    <t>RPNP6-481021</t>
  </si>
  <si>
    <t xml:space="preserve">DANY UZZIEL PEREIRA OSORIO </t>
  </si>
  <si>
    <t xml:space="preserve">6 CALLE 4-87 ZONA 6 </t>
  </si>
  <si>
    <t>260E</t>
  </si>
  <si>
    <t xml:space="preserve">LUS23-022-MP112 </t>
  </si>
  <si>
    <t>L23-665-JM185</t>
  </si>
  <si>
    <t>RPNL4-110822</t>
  </si>
  <si>
    <t xml:space="preserve">EDGAR AROLDO LOPEZ MORALES </t>
  </si>
  <si>
    <t xml:space="preserve">CALLEJON A 0-37 ZONA 4 </t>
  </si>
  <si>
    <t xml:space="preserve">AMPLIACION VIVIENDA UNIFAMILIAR 2DO NIVEL </t>
  </si>
  <si>
    <t>L23-437-SP073</t>
  </si>
  <si>
    <t>RPNS5-791022</t>
  </si>
  <si>
    <t xml:space="preserve">HIGINIO SOBERANIS HERRERA </t>
  </si>
  <si>
    <t>DIAGONAL 15 18-14B APARTAMENTO 6 ZONA 5</t>
  </si>
  <si>
    <t xml:space="preserve">DIAGONAL 15 18-14B APARTAMENTO 6 ZONA 5 </t>
  </si>
  <si>
    <t>LUS23-394-SP073</t>
  </si>
  <si>
    <t>L23-346-AQ019</t>
  </si>
  <si>
    <t>RPNP6-461122</t>
  </si>
  <si>
    <t xml:space="preserve">EDY ADOLFO PEREZ PEREZ </t>
  </si>
  <si>
    <t xml:space="preserve">2 AVENIDA 10-07 ZONA 6 </t>
  </si>
  <si>
    <t>LUS23-314-AQ015</t>
  </si>
  <si>
    <t>L23-383-JM16</t>
  </si>
  <si>
    <t>RPNA3-010123</t>
  </si>
  <si>
    <t xml:space="preserve">GERSON DAVID ALVAREZ PEREZ </t>
  </si>
  <si>
    <t xml:space="preserve">31 AVENIDA 13-46C INTERIOR ZONA 3 </t>
  </si>
  <si>
    <t>LUS23-344-JM16</t>
  </si>
  <si>
    <t>L23-48-SP074</t>
  </si>
  <si>
    <t>RPNRR-010123</t>
  </si>
  <si>
    <t xml:space="preserve">MARIA ROMELIA VELASQUEZ MARIN DE RAMOS </t>
  </si>
  <si>
    <t xml:space="preserve">CANTON XECARACOJ SECTOR 5 </t>
  </si>
  <si>
    <t>LUS23-40-SP074</t>
  </si>
  <si>
    <t>L23-124-LG009</t>
  </si>
  <si>
    <t>RPNS5-801222</t>
  </si>
  <si>
    <t>CARLOS EDUARDO SAY CUXULIC</t>
  </si>
  <si>
    <t>1 AVENIDA 1-189 LOTE 3 MZ C ZONA 5</t>
  </si>
  <si>
    <t>JOSE BEMJAMIN MERIDA ROBLES</t>
  </si>
  <si>
    <t>PAREDES DE BLOCK Y ADOBE, TECHO DE LOSA Y LAMINA,</t>
  </si>
  <si>
    <t>LUS23-108-LG007</t>
  </si>
  <si>
    <t>INDEFNIDO</t>
  </si>
  <si>
    <t>L23-209-NR014</t>
  </si>
  <si>
    <t>VUNI12-131222</t>
  </si>
  <si>
    <t>CORRECTA LINEA DE EDIFICACION EXISTENTE</t>
  </si>
  <si>
    <t>LUS23-189-NR014</t>
  </si>
  <si>
    <t>502-2017/DCN/DDQZ/FACS/GRQ</t>
  </si>
  <si>
    <t>4 AVENIDA 10B-03 LOTE 27 ZONA 12</t>
  </si>
  <si>
    <t>RPNR8-360722</t>
  </si>
  <si>
    <t>LIDIA MARIELA VEGA VILLATORO DE REQUENA</t>
  </si>
  <si>
    <t>3 CALLE 43B-03 ZONA 8</t>
  </si>
  <si>
    <t>LUS23-105-MP095</t>
  </si>
  <si>
    <t>L23-121-MP105</t>
  </si>
  <si>
    <t>USD1-041222</t>
  </si>
  <si>
    <t xml:space="preserve">LUIS ALFONSO DE LEON MALDONADO </t>
  </si>
  <si>
    <t xml:space="preserve">4 CALLE 21A-44 ZONA 1 </t>
  </si>
  <si>
    <t>107E</t>
  </si>
  <si>
    <t xml:space="preserve">EDGAR OTONIEL GARCIA ROBLES </t>
  </si>
  <si>
    <t xml:space="preserve">BODEGA DE LICORES </t>
  </si>
  <si>
    <t>LUS23-154</t>
  </si>
  <si>
    <t>2387-2019/DCN/DDQZ/FACS/GRQQ/cacb</t>
  </si>
  <si>
    <t>L23-071-JM13</t>
  </si>
  <si>
    <t>RPNC5-030123</t>
  </si>
  <si>
    <t>ZULMA M. CHAVEZ PEREZ DE COLLINS Y CONDUEÑO</t>
  </si>
  <si>
    <t xml:space="preserve">15 CALLE B 10A-49 ZONA 5 </t>
  </si>
  <si>
    <t>LUS23-062-JM13</t>
  </si>
  <si>
    <t>RPNM6-160322</t>
  </si>
  <si>
    <t>L22-010-SP179</t>
  </si>
  <si>
    <t xml:space="preserve">LUIS ALFONSO MARTINEZ GARCIA </t>
  </si>
  <si>
    <t>12 CALLE 5-101 ZONA 6</t>
  </si>
  <si>
    <t xml:space="preserve">12 CALLE 5-101 ZONA 6 </t>
  </si>
  <si>
    <t>L23-915-NR034</t>
  </si>
  <si>
    <t>RPNG10-030123</t>
  </si>
  <si>
    <t xml:space="preserve">JACQUELINE CAROLINA REYES ALVARADO DE GARCIA </t>
  </si>
  <si>
    <t xml:space="preserve">6 CALLE A 5-48D INTERIOR ZONA 10 </t>
  </si>
  <si>
    <t>305E</t>
  </si>
  <si>
    <t>-----------</t>
  </si>
  <si>
    <t>LUS23-823-NR034</t>
  </si>
  <si>
    <t>L23-266-JJ013</t>
  </si>
  <si>
    <t>RPNH1-240323</t>
  </si>
  <si>
    <t xml:space="preserve">LIDIA ELIZABETH HERNANDEZ LOARCA </t>
  </si>
  <si>
    <t>CALLE 25-98, LOTE 38 ZONA 1</t>
  </si>
  <si>
    <t xml:space="preserve">ERIK JACOB ALVARADO ORTIZ </t>
  </si>
  <si>
    <t xml:space="preserve">NO APLICA </t>
  </si>
  <si>
    <t xml:space="preserve">CORRECTO COSTADO SUR </t>
  </si>
  <si>
    <t>LUS23-239-JJ010</t>
  </si>
  <si>
    <t>L23-243-SP037</t>
  </si>
  <si>
    <t>RPNF8-150223</t>
  </si>
  <si>
    <t xml:space="preserve">LUCIANA ELIZABETH FRANCISCO LORENZO Y CONDUEÑO </t>
  </si>
  <si>
    <t>5 CALLE 41-110 ZONA 8</t>
  </si>
  <si>
    <t xml:space="preserve">LENYS GAMALIEL COTÓM LEIVA </t>
  </si>
  <si>
    <t>LUS23-218-SP037</t>
  </si>
  <si>
    <t>L23-269-SP048</t>
  </si>
  <si>
    <t>RPNXR-140423</t>
  </si>
  <si>
    <t xml:space="preserve">RONY MANOLO XICARA MAZARIEGOS </t>
  </si>
  <si>
    <t xml:space="preserve">CANTON TIERRA COLORADA BAJA </t>
  </si>
  <si>
    <t>NANCY PAOLA AJANEL COYOY</t>
  </si>
  <si>
    <t>LUS23-242-SP048</t>
  </si>
  <si>
    <t>VUNG5-010223</t>
  </si>
  <si>
    <t>L23-261-JM76</t>
  </si>
  <si>
    <t xml:space="preserve">JOSUE MANUEL GONZALES MENDEZ </t>
  </si>
  <si>
    <t>16 CALLE 10A-40 LOTE 10 MZ. G</t>
  </si>
  <si>
    <t>356E</t>
  </si>
  <si>
    <t xml:space="preserve">CONSTRUCCION </t>
  </si>
  <si>
    <t>LUS23-235-JM76</t>
  </si>
  <si>
    <t>USS1-020323</t>
  </si>
  <si>
    <t xml:space="preserve">MARIO RENE FLORES ACEITUNO </t>
  </si>
  <si>
    <t>ANA MARIA N. SUASNAVAR BOLAÑOS Y CONDUEÑOS</t>
  </si>
  <si>
    <t xml:space="preserve">MINI CANCHA SINTETICA </t>
  </si>
  <si>
    <t>LUS23-219-MP030</t>
  </si>
  <si>
    <t>1670-2022/DCN/DDQZ/FACS/MSGG</t>
  </si>
  <si>
    <t>CALLE D15-15 ZONA 1</t>
  </si>
  <si>
    <t>L23-260-JM82</t>
  </si>
  <si>
    <t>RPNG1-190423</t>
  </si>
  <si>
    <t>JUAN HIGINIO GOMEZ VICENTE Y CONDUEÑA</t>
  </si>
  <si>
    <t>5 CALLE 28-75A ZONA 1</t>
  </si>
  <si>
    <t xml:space="preserve">WORGEN WESTERHEYDE MORALES </t>
  </si>
  <si>
    <t xml:space="preserve">CORRECTA HACIA EL COSTADO PONIENTE </t>
  </si>
  <si>
    <t>LUS23-233-JM82</t>
  </si>
  <si>
    <t>L23-177-LG027</t>
  </si>
  <si>
    <t>DMNV3-010223</t>
  </si>
  <si>
    <t xml:space="preserve">LAURA MAGDALENA VASQUEZ ESTACUY </t>
  </si>
  <si>
    <t>DIAGONAL 4 0-43 ZONA 3</t>
  </si>
  <si>
    <t xml:space="preserve">JUAN CARLOS SANDOVAL </t>
  </si>
  <si>
    <t xml:space="preserve">HERBERT YAX VASQUEZ </t>
  </si>
  <si>
    <t>L23-185-LG026</t>
  </si>
  <si>
    <t>RPND7-080323</t>
  </si>
  <si>
    <t>9 CALLE 0-77, APTO. #13 ZONA 7</t>
  </si>
  <si>
    <t xml:space="preserve">EDWIN BAUDILIO DIAZ MAZARIEGOS </t>
  </si>
  <si>
    <t xml:space="preserve">MANUEL STUARDO RODRIGUEZ ARGUETA </t>
  </si>
  <si>
    <t>LUS23-160-LG024</t>
  </si>
  <si>
    <t>L23-323-JM33</t>
  </si>
  <si>
    <t>RPNC6-070223</t>
  </si>
  <si>
    <t>ANTONIO GABRIEL CACATZUN SANCHEZ</t>
  </si>
  <si>
    <t>6 AVENIDA 15-33 LOTE 11 ZONA 6</t>
  </si>
  <si>
    <t>LUS23-294-JM33</t>
  </si>
  <si>
    <t>L23-258-RL001</t>
  </si>
  <si>
    <t>RPNL1-120223</t>
  </si>
  <si>
    <t xml:space="preserve">WOTZBELI EUGENIO LIMATUJ IXCARAGUA </t>
  </si>
  <si>
    <t>25 AVENIDA 3-64, LOTE 6 ZONA 1</t>
  </si>
  <si>
    <t>EDERSON GIOVANI COTI HUITZ</t>
  </si>
  <si>
    <t>LUS23-231-RL001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</si>
</sst>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_(&quot;¤&quot;* #,##0.00_);_(&quot;¤&quot;* \(#,##0.00\);_(&quot;¤&quot;* &quot;-&quot;??_);_(@_)"/>
    <numFmt numFmtId="165" formatCode="0.0000"/>
    <numFmt numFmtId="166" formatCode="0.0000%"/>
    <numFmt numFmtId="167" formatCode="_-[$Q-100A]* #,##0.00_-;\-[$Q-100A]* #,##0.00_-;_-[$Q-100A]* &quot;-&quot;??_-;_-@_-"/>
    <numFmt numFmtId="168" formatCode="&quot;Q&quot;#,##0.00"/>
    <numFmt numFmtId="169" formatCode="dd/mm/yyyy;@"/>
  </numFmts>
  <fonts count="64">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b/>
      <sz val="12"/>
      <color theme="1"/>
      <name val="Proxima Nova Regular"/>
    </font>
    <font>
      <sz val="12"/>
      <color theme="1"/>
      <name val="Proxima Nova Regular"/>
    </font>
    <font>
      <b/>
      <sz val="12"/>
      <color theme="1"/>
      <name val="Proxima Nova Alt Condensed Ligh"/>
    </font>
    <font>
      <sz val="12"/>
      <color theme="1"/>
      <name val="Proxima Nova Alt Condensed Ligh"/>
    </font>
    <font>
      <sz val="8"/>
      <name val="Calibri"/>
      <family val="2"/>
      <scheme val="minor"/>
    </font>
    <font>
      <b/>
      <sz val="14"/>
      <color theme="1"/>
      <name val="Proxima Nova Regular"/>
    </font>
    <font>
      <sz val="9"/>
      <color theme="1"/>
      <name val="Proxima Nova Extra Condensed Li"/>
    </font>
    <font>
      <sz val="9"/>
      <color theme="0"/>
      <name val="Proxima Nova Extra Condensed Li"/>
    </font>
    <font>
      <b/>
      <sz val="12"/>
      <name val="Arial Narrow"/>
      <family val="2"/>
    </font>
    <font>
      <sz val="12"/>
      <name val="Arial Narrow"/>
      <family val="2"/>
    </font>
    <font>
      <b/>
      <sz val="12"/>
      <name val="Proxima Nova Alt Condensed Ligh"/>
    </font>
    <font>
      <sz val="12"/>
      <name val="Proxima Nova Alt Condensed Ligh"/>
    </font>
    <font>
      <b/>
      <sz val="12"/>
      <color theme="1"/>
      <name val="Proxima Nova Extra Condensed Li"/>
    </font>
    <font>
      <sz val="12"/>
      <color theme="1"/>
      <name val="Proxima Nova Extra Condensed Li"/>
    </font>
    <font>
      <u/>
      <sz val="12"/>
      <color theme="1"/>
      <name val="Proxima Nova Alt Condensed Ligh"/>
    </font>
    <font>
      <sz val="12"/>
      <color theme="0"/>
      <name val="Proxima Nova Alt Condensed Ligh"/>
    </font>
    <font>
      <sz val="11"/>
      <color theme="1"/>
      <name val="Proxima Nova Extra Condensed Li"/>
    </font>
    <font>
      <b/>
      <sz val="11"/>
      <color theme="0"/>
      <name val="Proxima Nova Extra Condensed Li"/>
    </font>
    <font>
      <b/>
      <sz val="11"/>
      <name val="Proxima Nova Extra Condensed Li"/>
    </font>
    <font>
      <b/>
      <sz val="11"/>
      <color theme="1"/>
      <name val="Proxima Nova Extra Condensed Li"/>
    </font>
    <font>
      <sz val="11"/>
      <name val="Proxima Nova Extra Condensed Li"/>
    </font>
    <font>
      <b/>
      <sz val="9"/>
      <color indexed="81"/>
      <name val="Tahoma"/>
      <family val="2"/>
    </font>
    <font>
      <sz val="12"/>
      <color theme="4" tint="-0.249977111117893"/>
      <name val="Century Gothic"/>
      <family val="2"/>
    </font>
    <font>
      <b/>
      <sz val="11"/>
      <color theme="4" tint="-0.249977111117893"/>
      <name val="Century Gothic"/>
      <family val="2"/>
    </font>
    <font>
      <sz val="9"/>
      <color indexed="81"/>
      <name val="Tahoma"/>
      <family val="2"/>
    </font>
    <font>
      <sz val="12"/>
      <color theme="8" tint="-0.249977111117893"/>
      <name val="Century Gothic"/>
      <family val="2"/>
    </font>
    <font>
      <sz val="8"/>
      <name val="Century Gothic"/>
      <family val="2"/>
    </font>
    <font>
      <sz val="11"/>
      <color theme="4" tint="-0.249977111117893"/>
      <name val="Century Gothic"/>
      <family val="2"/>
    </font>
    <font>
      <b/>
      <sz val="9"/>
      <color rgb="FF000000"/>
      <name val="Tahoma"/>
      <family val="2"/>
    </font>
    <font>
      <sz val="9"/>
      <color rgb="FF000000"/>
      <name val="Tahoma"/>
      <family val="2"/>
    </font>
    <font>
      <sz val="12"/>
      <name val="Century Gothic"/>
      <family val="2"/>
    </font>
    <font>
      <b/>
      <sz val="10"/>
      <color theme="4" tint="-0.249977111117893"/>
      <name val="Century Gothic"/>
      <family val="2"/>
    </font>
    <font>
      <b/>
      <sz val="12"/>
      <color theme="4" tint="-0.249977111117893"/>
      <name val="Century Gothic"/>
      <family val="2"/>
    </font>
    <font>
      <b/>
      <sz val="7"/>
      <color theme="4" tint="-0.249977111117893"/>
      <name val="Century Gothic"/>
      <family val="2"/>
    </font>
    <font>
      <b/>
      <sz val="8"/>
      <color theme="4" tint="-0.249977111117893"/>
      <name val="Century Gothic"/>
      <family val="2"/>
    </font>
    <font>
      <sz val="10"/>
      <color rgb="FF000000"/>
      <name val="Tahoma"/>
      <family val="2"/>
    </font>
    <font>
      <b/>
      <sz val="10"/>
      <color rgb="FF000000"/>
      <name val="Tahoma"/>
      <family val="2"/>
    </font>
    <font>
      <b/>
      <u/>
      <sz val="12"/>
      <color theme="4" tint="-0.249977111117893"/>
      <name val="Century Gothic"/>
      <family val="2"/>
    </font>
    <font>
      <b/>
      <sz val="10"/>
      <color theme="4" tint="-0.249977111117893"/>
      <name val="Century Gothic"/>
      <family val="1"/>
    </font>
    <font>
      <sz val="10"/>
      <color theme="4" tint="-0.249977111117893"/>
      <name val="Century Gothic"/>
      <family val="1"/>
    </font>
    <font>
      <sz val="12"/>
      <color rgb="FFFF0000"/>
      <name val="Century Gothic"/>
      <family val="1"/>
    </font>
    <font>
      <b/>
      <sz val="12"/>
      <color theme="8" tint="-0.249977111117893"/>
      <name val="Century Gothic"/>
      <family val="1"/>
    </font>
    <font>
      <sz val="12"/>
      <color theme="8" tint="-0.249977111117893"/>
      <name val="Century Gothic"/>
      <family val="1"/>
    </font>
    <font>
      <b/>
      <sz val="8"/>
      <name val="Century Gothic"/>
      <family val="1"/>
    </font>
    <font>
      <sz val="8"/>
      <name val="Century Gothic"/>
      <family val="1"/>
    </font>
    <font>
      <sz val="12"/>
      <color rgb="FF006100"/>
      <name val="Calibri"/>
      <family val="2"/>
      <scheme val="minor"/>
    </font>
    <font>
      <sz val="12"/>
      <color rgb="FF9C5700"/>
      <name val="Calibri"/>
      <family val="2"/>
      <scheme val="minor"/>
    </font>
    <font>
      <sz val="11"/>
      <color theme="0"/>
      <name val="Calibri"/>
      <family val="2"/>
      <scheme val="minor"/>
    </font>
    <font>
      <sz val="20"/>
      <color theme="0"/>
      <name val="Calibri"/>
      <family val="2"/>
      <scheme val="minor"/>
    </font>
    <font>
      <sz val="10"/>
      <color theme="0"/>
      <name val="Segoe UI"/>
      <family val="2"/>
    </font>
    <font>
      <sz val="11"/>
      <color rgb="FFFFFFFF"/>
      <name val="Calibri"/>
      <family val="2"/>
      <scheme val="minor"/>
    </font>
  </fonts>
  <fills count="21">
    <fill>
      <patternFill patternType="none"/>
    </fill>
    <fill>
      <patternFill patternType="gray125"/>
    </fill>
    <fill>
      <patternFill patternType="solid">
        <fgColor theme="4" tint="0.59999389629810485"/>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rgb="FFFFFF00"/>
        <bgColor indexed="64"/>
      </patternFill>
    </fill>
    <fill>
      <patternFill patternType="solid">
        <fgColor rgb="FF92D050"/>
        <bgColor indexed="64"/>
      </patternFill>
    </fill>
    <fill>
      <patternFill patternType="solid">
        <fgColor rgb="FFC6EFCE"/>
      </patternFill>
    </fill>
    <fill>
      <patternFill patternType="solid">
        <fgColor rgb="FFFFEB9C"/>
      </patternFill>
    </fill>
    <fill>
      <patternFill patternType="solid">
        <fgColor theme="1"/>
        <bgColor indexed="64"/>
      </patternFill>
    </fill>
    <fill>
      <patternFill patternType="solid">
        <fgColor rgb="FF000000"/>
        <bgColor rgb="FF000000"/>
      </patternFill>
    </fill>
    <fill>
      <patternFill patternType="solid">
        <fgColor rgb="FF00B050"/>
        <bgColor indexed="64"/>
      </patternFill>
    </fill>
    <fill>
      <patternFill patternType="solid">
        <fgColor rgb="FF00B050"/>
        <bgColor rgb="FF000000"/>
      </patternFill>
    </fill>
    <fill>
      <patternFill patternType="solid">
        <fgColor rgb="FFC00000"/>
        <bgColor indexed="64"/>
      </patternFill>
    </fill>
    <fill>
      <patternFill patternType="solid">
        <fgColor theme="4"/>
        <bgColor indexed="64"/>
      </patternFill>
    </fill>
  </fills>
  <borders count="6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theme="4" tint="-0.24994659260841701"/>
      </left>
      <right style="medium">
        <color theme="4" tint="-0.24994659260841701"/>
      </right>
      <top style="medium">
        <color theme="4" tint="-0.24994659260841701"/>
      </top>
      <bottom style="medium">
        <color theme="4" tint="-0.24994659260841701"/>
      </bottom>
      <diagonal/>
    </border>
    <border>
      <left style="medium">
        <color theme="4" tint="-0.24994659260841701"/>
      </left>
      <right/>
      <top style="medium">
        <color theme="4" tint="-0.24994659260841701"/>
      </top>
      <bottom style="medium">
        <color theme="4" tint="-0.24994659260841701"/>
      </bottom>
      <diagonal/>
    </border>
    <border>
      <left/>
      <right/>
      <top style="medium">
        <color theme="4" tint="-0.24994659260841701"/>
      </top>
      <bottom style="medium">
        <color theme="4" tint="-0.24994659260841701"/>
      </bottom>
      <diagonal/>
    </border>
    <border>
      <left/>
      <right style="medium">
        <color theme="4" tint="-0.24994659260841701"/>
      </right>
      <top style="medium">
        <color theme="4" tint="-0.24994659260841701"/>
      </top>
      <bottom style="medium">
        <color theme="4" tint="-0.24994659260841701"/>
      </bottom>
      <diagonal/>
    </border>
    <border>
      <left style="thin">
        <color theme="4" tint="-0.24994659260841701"/>
      </left>
      <right/>
      <top style="thin">
        <color theme="4" tint="-0.24994659260841701"/>
      </top>
      <bottom style="thin">
        <color theme="4" tint="-0.24994659260841701"/>
      </bottom>
      <diagonal/>
    </border>
    <border>
      <left/>
      <right/>
      <top style="thin">
        <color theme="4" tint="-0.24994659260841701"/>
      </top>
      <bottom style="thin">
        <color theme="4" tint="-0.24994659260841701"/>
      </bottom>
      <diagonal/>
    </border>
    <border>
      <left/>
      <right style="thin">
        <color theme="4" tint="-0.24994659260841701"/>
      </right>
      <top style="thin">
        <color theme="4" tint="-0.24994659260841701"/>
      </top>
      <bottom style="thin">
        <color theme="4" tint="-0.24994659260841701"/>
      </bottom>
      <diagonal/>
    </border>
    <border>
      <left/>
      <right/>
      <top style="thin">
        <color theme="4" tint="-0.24994659260841701"/>
      </top>
      <bottom style="medium">
        <color theme="4" tint="-0.24994659260841701"/>
      </bottom>
      <diagonal/>
    </border>
    <border>
      <left style="thin">
        <color theme="4" tint="-0.249977111117893"/>
      </left>
      <right style="thin">
        <color theme="4" tint="-0.249977111117893"/>
      </right>
      <top style="thin">
        <color theme="4" tint="-0.249977111117893"/>
      </top>
      <bottom style="thin">
        <color theme="4" tint="-0.249977111117893"/>
      </bottom>
      <diagonal/>
    </border>
    <border>
      <left style="thin">
        <color theme="4" tint="-0.249977111117893"/>
      </left>
      <right/>
      <top style="thin">
        <color theme="4" tint="-0.249977111117893"/>
      </top>
      <bottom style="thin">
        <color theme="4" tint="-0.249977111117893"/>
      </bottom>
      <diagonal/>
    </border>
    <border>
      <left/>
      <right style="thin">
        <color theme="4" tint="-0.249977111117893"/>
      </right>
      <top style="thin">
        <color theme="4" tint="-0.249977111117893"/>
      </top>
      <bottom style="thin">
        <color theme="4" tint="-0.249977111117893"/>
      </bottom>
      <diagonal/>
    </border>
    <border>
      <left/>
      <right/>
      <top style="thin">
        <color theme="4" tint="-0.249977111117893"/>
      </top>
      <bottom/>
      <diagonal/>
    </border>
    <border>
      <left/>
      <right/>
      <top style="thin">
        <color theme="4" tint="-0.249977111117893"/>
      </top>
      <bottom style="thin">
        <color theme="4" tint="-0.249977111117893"/>
      </bottom>
      <diagonal/>
    </border>
    <border>
      <left/>
      <right/>
      <top/>
      <bottom style="thin">
        <color theme="4" tint="-0.249977111117893"/>
      </bottom>
      <diagonal/>
    </border>
    <border>
      <left style="medium">
        <color theme="4" tint="-0.249977111117893"/>
      </left>
      <right/>
      <top/>
      <bottom style="thin">
        <color theme="4" tint="-0.249977111117893"/>
      </bottom>
      <diagonal/>
    </border>
    <border>
      <left/>
      <right style="thin">
        <color theme="4" tint="-0.249977111117893"/>
      </right>
      <top/>
      <bottom style="thin">
        <color theme="4" tint="-0.249977111117893"/>
      </bottom>
      <diagonal/>
    </border>
    <border>
      <left style="thin">
        <color theme="4" tint="-0.249977111117893"/>
      </left>
      <right/>
      <top style="medium">
        <color theme="4" tint="-0.249977111117893"/>
      </top>
      <bottom/>
      <diagonal/>
    </border>
    <border>
      <left/>
      <right/>
      <top style="medium">
        <color theme="4" tint="-0.249977111117893"/>
      </top>
      <bottom/>
      <diagonal/>
    </border>
    <border>
      <left style="thin">
        <color theme="4" tint="-0.249977111117893"/>
      </left>
      <right style="thin">
        <color theme="4" tint="-0.249977111117893"/>
      </right>
      <top style="medium">
        <color theme="4" tint="-0.249977111117893"/>
      </top>
      <bottom style="thin">
        <color theme="4" tint="-0.249977111117893"/>
      </bottom>
      <diagonal/>
    </border>
    <border>
      <left style="thin">
        <color theme="4" tint="-0.249977111117893"/>
      </left>
      <right/>
      <top style="medium">
        <color theme="4" tint="-0.249977111117893"/>
      </top>
      <bottom style="thin">
        <color theme="4" tint="-0.249977111117893"/>
      </bottom>
      <diagonal/>
    </border>
    <border>
      <left/>
      <right/>
      <top style="medium">
        <color theme="4" tint="-0.249977111117893"/>
      </top>
      <bottom style="thin">
        <color theme="4" tint="-0.249977111117893"/>
      </bottom>
      <diagonal/>
    </border>
    <border>
      <left/>
      <right style="thin">
        <color theme="4" tint="-0.249977111117893"/>
      </right>
      <top style="medium">
        <color theme="4" tint="-0.249977111117893"/>
      </top>
      <bottom style="thin">
        <color theme="4" tint="-0.249977111117893"/>
      </bottom>
      <diagonal/>
    </border>
    <border>
      <left style="thin">
        <color auto="1"/>
      </left>
      <right/>
      <top/>
      <bottom style="thin">
        <color auto="1"/>
      </bottom>
      <diagonal/>
    </border>
    <border>
      <left/>
      <right style="thin">
        <color auto="1"/>
      </right>
      <top/>
      <bottom style="thin">
        <color auto="1"/>
      </bottom>
      <diagonal/>
    </border>
    <border>
      <left style="thin">
        <color theme="4" tint="-0.249977111117893"/>
      </left>
      <right/>
      <top style="thin">
        <color theme="4" tint="-0.249977111117893"/>
      </top>
      <bottom style="medium">
        <color theme="4" tint="-0.249977111117893"/>
      </bottom>
      <diagonal/>
    </border>
    <border>
      <left/>
      <right/>
      <top style="thin">
        <color theme="4" tint="-0.249977111117893"/>
      </top>
      <bottom style="medium">
        <color theme="4" tint="-0.249977111117893"/>
      </bottom>
      <diagonal/>
    </border>
    <border>
      <left/>
      <right style="thin">
        <color theme="4" tint="-0.249977111117893"/>
      </right>
      <top style="thin">
        <color theme="4" tint="-0.249977111117893"/>
      </top>
      <bottom style="medium">
        <color theme="4" tint="-0.249977111117893"/>
      </bottom>
      <diagonal/>
    </border>
    <border>
      <left style="thin">
        <color auto="1"/>
      </left>
      <right/>
      <top style="thin">
        <color auto="1"/>
      </top>
      <bottom/>
      <diagonal/>
    </border>
    <border>
      <left/>
      <right style="thin">
        <color auto="1"/>
      </right>
      <top style="thin">
        <color auto="1"/>
      </top>
      <bottom/>
      <diagonal/>
    </border>
    <border>
      <left style="thick">
        <color theme="4" tint="-0.24994659260841701"/>
      </left>
      <right/>
      <top style="thick">
        <color theme="4" tint="-0.24994659260841701"/>
      </top>
      <bottom style="thick">
        <color theme="4" tint="-0.24994659260841701"/>
      </bottom>
      <diagonal/>
    </border>
    <border>
      <left/>
      <right/>
      <top style="thick">
        <color theme="4" tint="-0.24994659260841701"/>
      </top>
      <bottom style="thick">
        <color theme="4" tint="-0.24994659260841701"/>
      </bottom>
      <diagonal/>
    </border>
    <border>
      <left/>
      <right style="thick">
        <color theme="4" tint="-0.24994659260841701"/>
      </right>
      <top style="thick">
        <color theme="4" tint="-0.24994659260841701"/>
      </top>
      <bottom style="thick">
        <color theme="4" tint="-0.24994659260841701"/>
      </bottom>
      <diagonal/>
    </border>
    <border>
      <left style="medium">
        <color theme="4" tint="-0.249977111117893"/>
      </left>
      <right style="thin">
        <color theme="4" tint="-0.249977111117893"/>
      </right>
      <top style="medium">
        <color theme="4" tint="-0.249977111117893"/>
      </top>
      <bottom style="thin">
        <color theme="4" tint="-0.249977111117893"/>
      </bottom>
      <diagonal/>
    </border>
    <border>
      <left style="medium">
        <color theme="4" tint="-0.249977111117893"/>
      </left>
      <right style="thin">
        <color theme="4" tint="-0.249977111117893"/>
      </right>
      <top style="thin">
        <color theme="4" tint="-0.249977111117893"/>
      </top>
      <bottom style="thin">
        <color theme="4" tint="-0.249977111117893"/>
      </bottom>
      <diagonal/>
    </border>
    <border>
      <left style="thin">
        <color theme="4" tint="-0.249977111117893"/>
      </left>
      <right style="medium">
        <color theme="4" tint="-0.249977111117893"/>
      </right>
      <top style="thin">
        <color theme="4" tint="-0.249977111117893"/>
      </top>
      <bottom style="thin">
        <color theme="4" tint="-0.249977111117893"/>
      </bottom>
      <diagonal/>
    </border>
    <border>
      <left style="medium">
        <color theme="4" tint="-0.249977111117893"/>
      </left>
      <right style="thin">
        <color theme="4" tint="-0.249977111117893"/>
      </right>
      <top style="thin">
        <color theme="4" tint="-0.249977111117893"/>
      </top>
      <bottom style="medium">
        <color theme="4" tint="-0.249977111117893"/>
      </bottom>
      <diagonal/>
    </border>
    <border>
      <left style="thin">
        <color theme="4" tint="-0.249977111117893"/>
      </left>
      <right style="thin">
        <color theme="4" tint="-0.249977111117893"/>
      </right>
      <top style="thin">
        <color theme="4" tint="-0.249977111117893"/>
      </top>
      <bottom style="medium">
        <color theme="4" tint="-0.249977111117893"/>
      </bottom>
      <diagonal/>
    </border>
    <border>
      <left style="thin">
        <color theme="4" tint="-0.249977111117893"/>
      </left>
      <right style="medium">
        <color theme="4" tint="-0.249977111117893"/>
      </right>
      <top style="thin">
        <color theme="4" tint="-0.249977111117893"/>
      </top>
      <bottom style="medium">
        <color theme="4" tint="-0.249977111117893"/>
      </bottom>
      <diagonal/>
    </border>
    <border>
      <left style="medium">
        <color theme="4" tint="-0.249977111117893"/>
      </left>
      <right/>
      <top style="medium">
        <color theme="4" tint="-0.249977111117893"/>
      </top>
      <bottom style="thin">
        <color theme="4" tint="-0.249977111117893"/>
      </bottom>
      <diagonal/>
    </border>
    <border>
      <left/>
      <right style="medium">
        <color theme="4" tint="-0.249977111117893"/>
      </right>
      <top style="medium">
        <color theme="4" tint="-0.249977111117893"/>
      </top>
      <bottom style="thin">
        <color theme="4" tint="-0.249977111117893"/>
      </bottom>
      <diagonal/>
    </border>
    <border>
      <left style="medium">
        <color theme="4" tint="-0.249977111117893"/>
      </left>
      <right/>
      <top style="thin">
        <color theme="4" tint="-0.249977111117893"/>
      </top>
      <bottom style="thin">
        <color theme="4" tint="-0.249977111117893"/>
      </bottom>
      <diagonal/>
    </border>
    <border>
      <left/>
      <right style="medium">
        <color theme="4" tint="-0.249977111117893"/>
      </right>
      <top style="thin">
        <color theme="4" tint="-0.249977111117893"/>
      </top>
      <bottom style="medium">
        <color theme="4" tint="-0.249977111117893"/>
      </bottom>
      <diagonal/>
    </border>
    <border>
      <left/>
      <right style="medium">
        <color theme="4" tint="-0.249977111117893"/>
      </right>
      <top style="thin">
        <color theme="4" tint="-0.249977111117893"/>
      </top>
      <bottom style="thin">
        <color theme="4" tint="-0.249977111117893"/>
      </bottom>
      <diagonal/>
    </border>
    <border>
      <left style="medium">
        <color theme="4" tint="-0.249977111117893"/>
      </left>
      <right/>
      <top style="medium">
        <color theme="4" tint="-0.249977111117893"/>
      </top>
      <bottom style="medium">
        <color theme="4" tint="-0.249977111117893"/>
      </bottom>
      <diagonal/>
    </border>
    <border>
      <left/>
      <right/>
      <top style="medium">
        <color theme="4" tint="-0.249977111117893"/>
      </top>
      <bottom style="medium">
        <color theme="4" tint="-0.249977111117893"/>
      </bottom>
      <diagonal/>
    </border>
    <border>
      <left/>
      <right style="medium">
        <color theme="4" tint="-0.249977111117893"/>
      </right>
      <top style="medium">
        <color theme="4" tint="-0.249977111117893"/>
      </top>
      <bottom style="medium">
        <color theme="4" tint="-0.249977111117893"/>
      </bottom>
      <diagonal/>
    </border>
    <border>
      <left/>
      <right/>
      <top/>
      <bottom style="medium">
        <color theme="4" tint="-0.249977111117893"/>
      </bottom>
      <diagonal/>
    </border>
    <border>
      <left style="medium">
        <color theme="4" tint="-0.249977111117893"/>
      </left>
      <right/>
      <top style="thin">
        <color theme="4" tint="-0.249977111117893"/>
      </top>
      <bottom style="medium">
        <color theme="4" tint="-0.249977111117893"/>
      </bottom>
      <diagonal/>
    </border>
    <border>
      <left/>
      <right style="medium">
        <color theme="4" tint="-0.249977111117893"/>
      </right>
      <top style="medium">
        <color theme="4" tint="-0.249977111117893"/>
      </top>
      <bottom/>
      <diagonal/>
    </border>
    <border>
      <left style="thin">
        <color theme="4" tint="-0.249977111117893"/>
      </left>
      <right/>
      <top/>
      <bottom style="medium">
        <color theme="4" tint="-0.249977111117893"/>
      </bottom>
      <diagonal/>
    </border>
    <border>
      <left/>
      <right style="medium">
        <color theme="4" tint="-0.249977111117893"/>
      </right>
      <top/>
      <bottom style="medium">
        <color theme="4" tint="-0.249977111117893"/>
      </bottom>
      <diagonal/>
    </border>
    <border>
      <left/>
      <right style="thin">
        <color theme="4" tint="-0.249977111117893"/>
      </right>
      <top style="medium">
        <color theme="4" tint="-0.249977111117893"/>
      </top>
      <bottom/>
      <diagonal/>
    </border>
    <border>
      <left/>
      <right style="thin">
        <color theme="4" tint="-0.249977111117893"/>
      </right>
      <top/>
      <bottom style="medium">
        <color theme="4" tint="-0.249977111117893"/>
      </bottom>
      <diagonal/>
    </border>
    <border>
      <left/>
      <right/>
      <top style="thick">
        <color theme="4" tint="-0.24994659260841701"/>
      </top>
      <bottom/>
      <diagonal/>
    </border>
    <border>
      <left style="medium">
        <color theme="4" tint="-0.24994659260841701"/>
      </left>
      <right style="medium">
        <color theme="4" tint="-0.24994659260841701"/>
      </right>
      <top style="medium">
        <color theme="4" tint="-0.24994659260841701"/>
      </top>
      <bottom style="thin">
        <color theme="4" tint="-0.24994659260841701"/>
      </bottom>
      <diagonal/>
    </border>
    <border>
      <left style="medium">
        <color theme="4" tint="-0.24994659260841701"/>
      </left>
      <right style="medium">
        <color theme="4" tint="-0.24994659260841701"/>
      </right>
      <top/>
      <bottom style="thin">
        <color theme="4" tint="-0.249977111117893"/>
      </bottom>
      <diagonal/>
    </border>
    <border>
      <left style="medium">
        <color theme="4" tint="-0.24994659260841701"/>
      </left>
      <right style="medium">
        <color theme="4" tint="-0.24994659260841701"/>
      </right>
      <top style="thin">
        <color theme="4" tint="-0.249977111117893"/>
      </top>
      <bottom style="thin">
        <color theme="4" tint="-0.249977111117893"/>
      </bottom>
      <diagonal/>
    </border>
    <border>
      <left style="medium">
        <color theme="4" tint="-0.24994659260841701"/>
      </left>
      <right style="medium">
        <color theme="4" tint="-0.24994659260841701"/>
      </right>
      <top style="thin">
        <color theme="4" tint="-0.249977111117893"/>
      </top>
      <bottom style="medium">
        <color theme="4" tint="-0.24994659260841701"/>
      </bottom>
      <diagonal/>
    </border>
    <border>
      <left style="medium">
        <color theme="4" tint="-0.249977111117893"/>
      </left>
      <right/>
      <top style="medium">
        <color theme="4" tint="-0.249977111117893"/>
      </top>
      <bottom/>
      <diagonal/>
    </border>
    <border>
      <left/>
      <right/>
      <top style="medium">
        <color rgb="FF002060"/>
      </top>
      <bottom/>
      <diagonal/>
    </border>
    <border>
      <left style="thin">
        <color auto="1"/>
      </left>
      <right/>
      <top/>
      <bottom/>
      <diagonal/>
    </border>
    <border>
      <left style="thin">
        <color rgb="FF98989D"/>
      </left>
      <right style="thin">
        <color rgb="FF98989D"/>
      </right>
      <top style="thin">
        <color rgb="FF98989D"/>
      </top>
      <bottom style="thin">
        <color rgb="FF98989D"/>
      </bottom>
      <diagonal/>
    </border>
    <border>
      <left/>
      <right style="thin">
        <color rgb="FF98989D"/>
      </right>
      <top style="thin">
        <color rgb="FF98989D"/>
      </top>
      <bottom style="thin">
        <color rgb="FF98989D"/>
      </bottom>
      <diagonal/>
    </border>
  </borders>
  <cellStyleXfs count="5">
    <xf numFmtId="0" fontId="0" fillId="0" borderId="0"/>
    <xf numFmtId="9" fontId="12" fillId="0" borderId="0" applyFont="0" applyFill="0" applyBorder="0" applyAlignment="0" applyProtection="0"/>
    <xf numFmtId="164" fontId="12" fillId="0" borderId="0" applyFont="0" applyFill="0" applyBorder="0" applyAlignment="0" applyProtection="0"/>
    <xf numFmtId="0" fontId="58" fillId="13" borderId="0" applyNumberFormat="0" applyBorder="0" applyAlignment="0" applyProtection="0"/>
    <xf numFmtId="0" fontId="59" fillId="14" borderId="0" applyNumberFormat="0" applyBorder="0" applyAlignment="0" applyProtection="0"/>
  </cellStyleXfs>
  <cellXfs count="335">
    <xf numFmtId="0" fontId="0" fillId="0" borderId="0" xfId="0"/>
    <xf numFmtId="0" fontId="15" fillId="0" borderId="0" xfId="0" applyFont="1" applyAlignment="1">
      <alignment horizontal="left" vertical="center"/>
    </xf>
    <xf numFmtId="0" fontId="15" fillId="0" borderId="0" xfId="0" applyFont="1"/>
    <xf numFmtId="0" fontId="16" fillId="0" borderId="0" xfId="0" applyFont="1" applyAlignment="1">
      <alignment horizontal="left" vertical="center" indent="1"/>
    </xf>
    <xf numFmtId="0" fontId="16" fillId="0" borderId="0" xfId="0" applyFont="1"/>
    <xf numFmtId="0" fontId="16" fillId="0" borderId="0" xfId="0" applyFont="1" applyAlignment="1">
      <alignment horizontal="center" vertical="center"/>
    </xf>
    <xf numFmtId="2" fontId="15" fillId="0" borderId="0" xfId="0" applyNumberFormat="1" applyFont="1" applyAlignment="1">
      <alignment horizontal="center" vertical="center"/>
    </xf>
    <xf numFmtId="2" fontId="16" fillId="0" borderId="0" xfId="0" applyNumberFormat="1" applyFont="1" applyAlignment="1">
      <alignment horizontal="center" vertical="center"/>
    </xf>
    <xf numFmtId="0" fontId="16" fillId="0" borderId="0" xfId="0" applyFont="1" applyAlignment="1">
      <alignment vertical="center"/>
    </xf>
    <xf numFmtId="2" fontId="16" fillId="0" borderId="0" xfId="0" applyNumberFormat="1" applyFont="1" applyAlignment="1">
      <alignment vertical="center"/>
    </xf>
    <xf numFmtId="2" fontId="15" fillId="0" borderId="0" xfId="0" applyNumberFormat="1" applyFont="1" applyAlignment="1">
      <alignment vertical="center"/>
    </xf>
    <xf numFmtId="2" fontId="16" fillId="0" borderId="10" xfId="0" applyNumberFormat="1" applyFont="1" applyBorder="1" applyAlignment="1">
      <alignment horizontal="center" vertical="center"/>
    </xf>
    <xf numFmtId="2" fontId="15" fillId="2" borderId="11" xfId="0" applyNumberFormat="1" applyFont="1" applyFill="1" applyBorder="1" applyAlignment="1">
      <alignment horizontal="center" vertical="center"/>
    </xf>
    <xf numFmtId="0" fontId="19" fillId="0" borderId="0" xfId="0" applyFont="1" applyAlignment="1">
      <alignment vertical="center"/>
    </xf>
    <xf numFmtId="0" fontId="20" fillId="0" borderId="0" xfId="0" applyFont="1" applyAlignment="1">
      <alignment vertical="center" wrapText="1"/>
    </xf>
    <xf numFmtId="0" fontId="16" fillId="0" borderId="13" xfId="0" applyFont="1" applyBorder="1" applyAlignment="1">
      <alignment horizontal="center" vertical="center"/>
    </xf>
    <xf numFmtId="0" fontId="16" fillId="0" borderId="14" xfId="0" applyFont="1" applyBorder="1" applyAlignment="1">
      <alignment horizontal="center" vertical="center"/>
    </xf>
    <xf numFmtId="2" fontId="15" fillId="0" borderId="14" xfId="0" applyNumberFormat="1" applyFont="1" applyBorder="1" applyAlignment="1">
      <alignment vertical="center"/>
    </xf>
    <xf numFmtId="0" fontId="16" fillId="0" borderId="17" xfId="0" applyFont="1" applyBorder="1" applyAlignment="1">
      <alignment vertical="center"/>
    </xf>
    <xf numFmtId="0" fontId="16" fillId="0" borderId="17" xfId="0" applyFont="1" applyBorder="1" applyAlignment="1">
      <alignment horizontal="center" vertical="center"/>
    </xf>
    <xf numFmtId="49" fontId="21" fillId="0" borderId="0" xfId="0" applyNumberFormat="1" applyFont="1" applyAlignment="1">
      <alignment vertical="center" wrapText="1"/>
    </xf>
    <xf numFmtId="4" fontId="23" fillId="0" borderId="1" xfId="0" applyNumberFormat="1" applyFont="1" applyBorder="1" applyAlignment="1">
      <alignment horizontal="center" vertical="center"/>
    </xf>
    <xf numFmtId="12" fontId="23" fillId="0" borderId="1" xfId="0" applyNumberFormat="1" applyFont="1" applyBorder="1" applyAlignment="1">
      <alignment horizontal="center" vertical="center"/>
    </xf>
    <xf numFmtId="9" fontId="23" fillId="0" borderId="1" xfId="1" applyFont="1" applyBorder="1" applyAlignment="1">
      <alignment horizontal="center" vertical="center"/>
    </xf>
    <xf numFmtId="0" fontId="26" fillId="0" borderId="0" xfId="0" applyFont="1" applyAlignment="1">
      <alignment vertical="center"/>
    </xf>
    <xf numFmtId="0" fontId="22" fillId="0" borderId="0" xfId="0" applyFont="1" applyAlignment="1">
      <alignment horizontal="center" vertical="center"/>
    </xf>
    <xf numFmtId="0" fontId="16" fillId="0" borderId="9" xfId="0" applyFont="1" applyBorder="1" applyAlignment="1">
      <alignment horizontal="left" vertical="center" indent="1"/>
    </xf>
    <xf numFmtId="0" fontId="16" fillId="0" borderId="10" xfId="0" applyFont="1" applyBorder="1" applyAlignment="1">
      <alignment horizontal="left" vertical="center" indent="1"/>
    </xf>
    <xf numFmtId="0" fontId="16" fillId="0" borderId="37" xfId="0" applyFont="1" applyBorder="1" applyAlignment="1">
      <alignment vertical="center"/>
    </xf>
    <xf numFmtId="0" fontId="16" fillId="0" borderId="38" xfId="0" applyFont="1" applyBorder="1" applyAlignment="1">
      <alignment vertical="center"/>
    </xf>
    <xf numFmtId="0" fontId="16" fillId="0" borderId="40" xfId="0" applyFont="1" applyBorder="1" applyAlignment="1">
      <alignment vertical="center"/>
    </xf>
    <xf numFmtId="0" fontId="16" fillId="0" borderId="0" xfId="0" applyFont="1" applyAlignment="1">
      <alignment horizontal="left" vertical="center"/>
    </xf>
    <xf numFmtId="0" fontId="15" fillId="3" borderId="13" xfId="0" applyFont="1" applyFill="1" applyBorder="1" applyAlignment="1">
      <alignment vertical="center"/>
    </xf>
    <xf numFmtId="0" fontId="15" fillId="3" borderId="41" xfId="0" applyFont="1" applyFill="1" applyBorder="1" applyAlignment="1">
      <alignment vertical="center"/>
    </xf>
    <xf numFmtId="2" fontId="16" fillId="3" borderId="39" xfId="0" applyNumberFormat="1" applyFont="1" applyFill="1" applyBorder="1" applyAlignment="1">
      <alignment vertical="center"/>
    </xf>
    <xf numFmtId="2" fontId="16" fillId="3" borderId="42" xfId="0" applyNumberFormat="1" applyFont="1" applyFill="1" applyBorder="1" applyAlignment="1">
      <alignment vertical="center"/>
    </xf>
    <xf numFmtId="0" fontId="20" fillId="3" borderId="10" xfId="0" applyFont="1" applyFill="1" applyBorder="1" applyAlignment="1">
      <alignment vertical="center" wrapText="1"/>
    </xf>
    <xf numFmtId="0" fontId="16" fillId="0" borderId="41" xfId="0" applyFont="1" applyBorder="1" applyAlignment="1">
      <alignment horizontal="center" vertical="center"/>
    </xf>
    <xf numFmtId="2" fontId="16" fillId="3" borderId="14" xfId="0" applyNumberFormat="1" applyFont="1" applyFill="1" applyBorder="1" applyAlignment="1">
      <alignment vertical="center"/>
    </xf>
    <xf numFmtId="2" fontId="15" fillId="3" borderId="29" xfId="0" applyNumberFormat="1" applyFont="1" applyFill="1" applyBorder="1" applyAlignment="1">
      <alignment vertical="center"/>
    </xf>
    <xf numFmtId="165" fontId="16" fillId="0" borderId="14" xfId="0" applyNumberFormat="1" applyFont="1" applyBorder="1" applyAlignment="1">
      <alignment horizontal="center" vertical="center"/>
    </xf>
    <xf numFmtId="0" fontId="15" fillId="0" borderId="0" xfId="0" applyFont="1" applyAlignment="1">
      <alignment horizontal="center" vertical="center"/>
    </xf>
    <xf numFmtId="0" fontId="15" fillId="0" borderId="0" xfId="0" applyFont="1" applyAlignment="1">
      <alignment horizontal="left" vertical="center" wrapText="1"/>
    </xf>
    <xf numFmtId="0" fontId="16" fillId="0" borderId="23" xfId="0" applyFont="1" applyBorder="1" applyAlignment="1">
      <alignment horizontal="center" vertical="center"/>
    </xf>
    <xf numFmtId="0" fontId="15" fillId="0" borderId="58" xfId="0" applyFont="1" applyBorder="1" applyAlignment="1">
      <alignment vertical="center" wrapText="1"/>
    </xf>
    <xf numFmtId="0" fontId="16" fillId="0" borderId="58" xfId="0" applyFont="1" applyBorder="1" applyAlignment="1">
      <alignment vertical="center"/>
    </xf>
    <xf numFmtId="0" fontId="16" fillId="5" borderId="13" xfId="0" applyFont="1" applyFill="1" applyBorder="1" applyAlignment="1">
      <alignment horizontal="center" vertical="center"/>
    </xf>
    <xf numFmtId="0" fontId="16" fillId="6" borderId="13" xfId="0" applyFont="1" applyFill="1" applyBorder="1" applyAlignment="1">
      <alignment horizontal="center" vertical="center"/>
    </xf>
    <xf numFmtId="2" fontId="16" fillId="3" borderId="10" xfId="0" applyNumberFormat="1" applyFont="1" applyFill="1" applyBorder="1" applyAlignment="1">
      <alignment horizontal="center" vertical="center"/>
    </xf>
    <xf numFmtId="2" fontId="18" fillId="0" borderId="5" xfId="0" applyNumberFormat="1" applyFont="1" applyBorder="1" applyAlignment="1">
      <alignment horizontal="center" vertical="center"/>
    </xf>
    <xf numFmtId="0" fontId="26" fillId="0" borderId="0" xfId="0" applyFont="1" applyAlignment="1">
      <alignment horizontal="center" vertical="center"/>
    </xf>
    <xf numFmtId="2" fontId="26" fillId="0" borderId="0" xfId="0" applyNumberFormat="1" applyFont="1" applyAlignment="1">
      <alignment horizontal="center" vertical="center" wrapText="1"/>
    </xf>
    <xf numFmtId="2" fontId="26" fillId="0" borderId="0" xfId="0" applyNumberFormat="1" applyFont="1" applyAlignment="1">
      <alignment horizontal="center" vertical="center"/>
    </xf>
    <xf numFmtId="0" fontId="16" fillId="0" borderId="0" xfId="0" applyFont="1" applyAlignment="1">
      <alignment horizontal="justify" vertical="center" wrapText="1"/>
    </xf>
    <xf numFmtId="0" fontId="15" fillId="0" borderId="0" xfId="0" applyFont="1" applyAlignment="1">
      <alignment vertical="center"/>
    </xf>
    <xf numFmtId="2" fontId="16" fillId="3" borderId="24" xfId="0" applyNumberFormat="1" applyFont="1" applyFill="1" applyBorder="1" applyAlignment="1">
      <alignment vertical="center"/>
    </xf>
    <xf numFmtId="0" fontId="26" fillId="0" borderId="59" xfId="0" applyFont="1" applyBorder="1" applyAlignment="1">
      <alignment horizontal="center" vertical="center"/>
    </xf>
    <xf numFmtId="0" fontId="15" fillId="0" borderId="60" xfId="0" applyFont="1" applyBorder="1" applyAlignment="1">
      <alignment horizontal="left" vertical="center"/>
    </xf>
    <xf numFmtId="0" fontId="16" fillId="3" borderId="61" xfId="0" applyFont="1" applyFill="1" applyBorder="1" applyAlignment="1">
      <alignment horizontal="center" vertical="center"/>
    </xf>
    <xf numFmtId="0" fontId="15" fillId="0" borderId="61" xfId="0" applyFont="1" applyBorder="1" applyAlignment="1">
      <alignment horizontal="center" vertical="center"/>
    </xf>
    <xf numFmtId="0" fontId="16" fillId="3" borderId="62" xfId="0" applyFont="1" applyFill="1" applyBorder="1" applyAlignment="1">
      <alignment horizontal="center" vertical="center"/>
    </xf>
    <xf numFmtId="2" fontId="16" fillId="0" borderId="47" xfId="0" applyNumberFormat="1" applyFont="1" applyBorder="1" applyAlignment="1">
      <alignment horizontal="center" vertical="center"/>
    </xf>
    <xf numFmtId="0" fontId="28" fillId="0" borderId="17" xfId="0" applyFont="1" applyBorder="1" applyAlignment="1">
      <alignment horizontal="center" vertical="center"/>
    </xf>
    <xf numFmtId="0" fontId="25" fillId="0" borderId="0" xfId="0" applyFont="1"/>
    <xf numFmtId="0" fontId="26" fillId="0" borderId="0" xfId="0" applyFont="1"/>
    <xf numFmtId="0" fontId="29" fillId="0" borderId="0" xfId="0" applyFont="1"/>
    <xf numFmtId="0" fontId="29" fillId="0" borderId="0" xfId="0" applyFont="1" applyAlignment="1">
      <alignment vertical="center"/>
    </xf>
    <xf numFmtId="0" fontId="30" fillId="0" borderId="0" xfId="0" applyFont="1" applyAlignment="1">
      <alignment horizontal="left" vertical="center"/>
    </xf>
    <xf numFmtId="0" fontId="30" fillId="0" borderId="0" xfId="0" applyFont="1" applyAlignment="1">
      <alignment horizontal="left" vertical="center" wrapText="1"/>
    </xf>
    <xf numFmtId="0" fontId="29" fillId="0" borderId="0" xfId="0" applyFont="1" applyAlignment="1">
      <alignment horizontal="left"/>
    </xf>
    <xf numFmtId="167" fontId="29" fillId="0" borderId="0" xfId="2" applyNumberFormat="1" applyFont="1" applyAlignment="1"/>
    <xf numFmtId="167" fontId="29" fillId="0" borderId="0" xfId="2" applyNumberFormat="1" applyFont="1"/>
    <xf numFmtId="2" fontId="29" fillId="0" borderId="0" xfId="0" applyNumberFormat="1" applyFont="1"/>
    <xf numFmtId="2" fontId="29" fillId="0" borderId="0" xfId="0" applyNumberFormat="1" applyFont="1" applyAlignment="1">
      <alignment horizontal="right"/>
    </xf>
    <xf numFmtId="0" fontId="31" fillId="0" borderId="1" xfId="0" applyFont="1" applyBorder="1" applyAlignment="1">
      <alignment vertical="center"/>
    </xf>
    <xf numFmtId="0" fontId="32" fillId="0" borderId="1" xfId="0" applyFont="1" applyBorder="1" applyAlignment="1">
      <alignment vertical="center"/>
    </xf>
    <xf numFmtId="0" fontId="33" fillId="7" borderId="1" xfId="0" applyFont="1" applyFill="1" applyBorder="1" applyAlignment="1">
      <alignment horizontal="left" vertical="center"/>
    </xf>
    <xf numFmtId="0" fontId="33" fillId="7" borderId="1" xfId="0" applyFont="1" applyFill="1" applyBorder="1" applyAlignment="1">
      <alignment vertical="center"/>
    </xf>
    <xf numFmtId="0" fontId="29" fillId="7" borderId="1" xfId="0" applyFont="1" applyFill="1" applyBorder="1"/>
    <xf numFmtId="0" fontId="29" fillId="0" borderId="1" xfId="0" applyFont="1" applyBorder="1"/>
    <xf numFmtId="0" fontId="29" fillId="0" borderId="1" xfId="0" applyFont="1" applyBorder="1" applyAlignment="1">
      <alignment horizontal="left"/>
    </xf>
    <xf numFmtId="0" fontId="33" fillId="0" borderId="0" xfId="0" applyFont="1" applyAlignment="1">
      <alignment horizontal="left" vertical="center"/>
    </xf>
    <xf numFmtId="0" fontId="33" fillId="0" borderId="1" xfId="0" applyFont="1" applyBorder="1" applyAlignment="1">
      <alignment horizontal="left" vertical="center"/>
    </xf>
    <xf numFmtId="0" fontId="29" fillId="7" borderId="1" xfId="0" applyFont="1" applyFill="1" applyBorder="1" applyAlignment="1">
      <alignment horizontal="left"/>
    </xf>
    <xf numFmtId="0" fontId="31" fillId="0" borderId="1" xfId="0" applyFont="1" applyBorder="1" applyAlignment="1">
      <alignment horizontal="left" vertical="center" textRotation="90"/>
    </xf>
    <xf numFmtId="0" fontId="33" fillId="0" borderId="1" xfId="0" applyFont="1" applyBorder="1" applyAlignment="1">
      <alignment vertical="center"/>
    </xf>
    <xf numFmtId="0" fontId="32" fillId="0" borderId="1" xfId="0" applyFont="1" applyBorder="1"/>
    <xf numFmtId="0" fontId="33" fillId="0" borderId="0" xfId="0" applyFont="1" applyAlignment="1">
      <alignment horizontal="left" vertical="center" wrapText="1"/>
    </xf>
    <xf numFmtId="0" fontId="33" fillId="0" borderId="0" xfId="0" applyFont="1" applyAlignment="1">
      <alignment vertical="center"/>
    </xf>
    <xf numFmtId="0" fontId="31" fillId="0" borderId="0" xfId="0" applyFont="1" applyAlignment="1">
      <alignment horizontal="left" vertical="center" textRotation="90"/>
    </xf>
    <xf numFmtId="0" fontId="30" fillId="0" borderId="0" xfId="0" applyFont="1" applyAlignment="1">
      <alignment horizontal="left" vertical="center" textRotation="90"/>
    </xf>
    <xf numFmtId="0" fontId="31" fillId="0" borderId="0" xfId="0" applyFont="1" applyAlignment="1">
      <alignment horizontal="left" vertical="center" textRotation="90" wrapText="1"/>
    </xf>
    <xf numFmtId="0" fontId="30" fillId="0" borderId="0" xfId="0" applyFont="1" applyAlignment="1">
      <alignment horizontal="left" vertical="center" textRotation="90" wrapText="1"/>
    </xf>
    <xf numFmtId="0" fontId="35" fillId="0" borderId="0" xfId="0" applyFont="1" applyAlignment="1" applyProtection="1">
      <alignment vertical="center" wrapText="1"/>
      <protection locked="0"/>
    </xf>
    <xf numFmtId="0" fontId="36" fillId="0" borderId="0" xfId="0" applyFont="1" applyProtection="1">
      <protection locked="0"/>
    </xf>
    <xf numFmtId="0" fontId="11" fillId="0" borderId="0" xfId="0" applyFont="1"/>
    <xf numFmtId="0" fontId="11" fillId="0" borderId="1" xfId="0" applyFont="1" applyBorder="1"/>
    <xf numFmtId="0" fontId="10" fillId="0" borderId="0" xfId="0" applyFont="1"/>
    <xf numFmtId="0" fontId="10" fillId="0" borderId="0" xfId="0" quotePrefix="1" applyFont="1"/>
    <xf numFmtId="14" fontId="11" fillId="0" borderId="0" xfId="0" applyNumberFormat="1" applyFont="1"/>
    <xf numFmtId="0" fontId="9" fillId="0" borderId="0" xfId="0" applyFont="1"/>
    <xf numFmtId="0" fontId="9" fillId="0" borderId="0" xfId="0" quotePrefix="1" applyFont="1"/>
    <xf numFmtId="0" fontId="35" fillId="0" borderId="0" xfId="0" applyFont="1" applyAlignment="1" applyProtection="1">
      <alignment vertical="center" wrapText="1"/>
      <protection locked="0" hidden="1"/>
    </xf>
    <xf numFmtId="0" fontId="8" fillId="0" borderId="0" xfId="0" applyFont="1"/>
    <xf numFmtId="0" fontId="35" fillId="0" borderId="0" xfId="0" applyFont="1" applyAlignment="1" applyProtection="1">
      <alignment horizontal="center" vertical="center" wrapText="1"/>
      <protection locked="0" hidden="1"/>
    </xf>
    <xf numFmtId="0" fontId="35" fillId="8" borderId="0" xfId="0" applyFont="1" applyFill="1" applyAlignment="1" applyProtection="1">
      <alignment vertical="center" wrapText="1"/>
      <protection locked="0" hidden="1"/>
    </xf>
    <xf numFmtId="0" fontId="35" fillId="0" borderId="64" xfId="0" applyFont="1" applyBorder="1" applyAlignment="1" applyProtection="1">
      <alignment horizontal="center" vertical="center" wrapText="1"/>
      <protection locked="0" hidden="1"/>
    </xf>
    <xf numFmtId="0" fontId="35" fillId="0" borderId="64" xfId="0" applyFont="1" applyBorder="1" applyAlignment="1" applyProtection="1">
      <alignment vertical="center" wrapText="1"/>
      <protection locked="0" hidden="1"/>
    </xf>
    <xf numFmtId="0" fontId="35" fillId="11" borderId="0" xfId="0" applyFont="1" applyFill="1" applyAlignment="1" applyProtection="1">
      <alignment vertical="center"/>
      <protection locked="0" hidden="1"/>
    </xf>
    <xf numFmtId="0" fontId="35" fillId="0" borderId="0" xfId="0" applyFont="1" applyAlignment="1" applyProtection="1">
      <alignment vertical="center"/>
      <protection locked="0" hidden="1"/>
    </xf>
    <xf numFmtId="0" fontId="35" fillId="8" borderId="0" xfId="0" applyFont="1" applyFill="1" applyAlignment="1" applyProtection="1">
      <alignment vertical="center" wrapText="1"/>
      <protection locked="0"/>
    </xf>
    <xf numFmtId="0" fontId="36" fillId="8" borderId="0" xfId="0" applyFont="1" applyFill="1" applyProtection="1">
      <protection locked="0"/>
    </xf>
    <xf numFmtId="0" fontId="7" fillId="0" borderId="0" xfId="0" applyFont="1"/>
    <xf numFmtId="167" fontId="11" fillId="0" borderId="0" xfId="0" applyNumberFormat="1" applyFont="1"/>
    <xf numFmtId="0" fontId="6" fillId="0" borderId="1" xfId="0" applyFont="1" applyBorder="1"/>
    <xf numFmtId="0" fontId="5" fillId="0" borderId="0" xfId="0" quotePrefix="1" applyFont="1"/>
    <xf numFmtId="0" fontId="4" fillId="0" borderId="0" xfId="0" applyFont="1"/>
    <xf numFmtId="0" fontId="3" fillId="0" borderId="0" xfId="0" applyFont="1"/>
    <xf numFmtId="0" fontId="2" fillId="0" borderId="0" xfId="0" applyFont="1"/>
    <xf numFmtId="0" fontId="38" fillId="0" borderId="0" xfId="0" applyFont="1" applyAlignment="1">
      <alignment wrapText="1"/>
    </xf>
    <xf numFmtId="0" fontId="38" fillId="8" borderId="0" xfId="0" applyFont="1" applyFill="1" applyAlignment="1">
      <alignment wrapText="1"/>
    </xf>
    <xf numFmtId="0" fontId="38" fillId="0" borderId="0" xfId="0" applyFont="1"/>
    <xf numFmtId="0" fontId="38" fillId="11" borderId="0" xfId="0" applyFont="1" applyFill="1" applyAlignment="1">
      <alignment vertical="top"/>
    </xf>
    <xf numFmtId="0" fontId="38" fillId="11" borderId="0" xfId="0" applyFont="1" applyFill="1" applyAlignment="1">
      <alignment wrapText="1"/>
    </xf>
    <xf numFmtId="0" fontId="1" fillId="0" borderId="0" xfId="0" applyFont="1"/>
    <xf numFmtId="0" fontId="1" fillId="0" borderId="0" xfId="0" quotePrefix="1" applyFont="1"/>
    <xf numFmtId="0" fontId="43" fillId="8" borderId="0" xfId="0" applyFont="1" applyFill="1" applyAlignment="1" applyProtection="1">
      <alignment horizontal="right" vertical="center" wrapText="1"/>
      <protection locked="0" hidden="1"/>
    </xf>
    <xf numFmtId="0" fontId="39" fillId="11" borderId="0" xfId="0" applyFont="1" applyFill="1" applyAlignment="1" applyProtection="1">
      <alignment horizontal="right" vertical="center" wrapText="1"/>
      <protection locked="0" hidden="1"/>
    </xf>
    <xf numFmtId="0" fontId="43" fillId="0" borderId="0" xfId="0" applyFont="1" applyAlignment="1" applyProtection="1">
      <alignment horizontal="right" vertical="center" wrapText="1"/>
      <protection locked="0" hidden="1"/>
    </xf>
    <xf numFmtId="0" fontId="39" fillId="8" borderId="0" xfId="0" applyFont="1" applyFill="1" applyAlignment="1" applyProtection="1">
      <alignment horizontal="right" vertical="center" wrapText="1"/>
      <protection locked="0" hidden="1"/>
    </xf>
    <xf numFmtId="16" fontId="39" fillId="11" borderId="0" xfId="0" applyNumberFormat="1" applyFont="1" applyFill="1" applyAlignment="1" applyProtection="1">
      <alignment horizontal="right" vertical="center" wrapText="1"/>
      <protection locked="0" hidden="1"/>
    </xf>
    <xf numFmtId="0" fontId="36" fillId="0" borderId="0" xfId="0" applyFont="1" applyAlignment="1" applyProtection="1">
      <alignment horizontal="right"/>
      <protection locked="0"/>
    </xf>
    <xf numFmtId="0" fontId="36" fillId="0" borderId="0" xfId="0" applyFont="1" applyAlignment="1" applyProtection="1">
      <alignment horizontal="center"/>
      <protection locked="0"/>
    </xf>
    <xf numFmtId="0" fontId="36" fillId="0" borderId="0" xfId="0" applyFont="1"/>
    <xf numFmtId="0" fontId="40" fillId="0" borderId="0" xfId="0" applyFont="1" applyProtection="1">
      <protection locked="0"/>
    </xf>
    <xf numFmtId="0" fontId="40" fillId="0" borderId="0" xfId="0" applyFont="1"/>
    <xf numFmtId="0" fontId="45" fillId="0" borderId="0" xfId="0" applyFont="1" applyAlignment="1" applyProtection="1">
      <alignment vertical="center" wrapText="1"/>
      <protection locked="0" hidden="1"/>
    </xf>
    <xf numFmtId="0" fontId="45" fillId="0" borderId="0" xfId="0" applyFont="1" applyAlignment="1" applyProtection="1">
      <alignment vertical="center" wrapText="1"/>
      <protection locked="0"/>
    </xf>
    <xf numFmtId="0" fontId="36" fillId="0" borderId="0" xfId="0" applyFont="1" applyAlignment="1">
      <alignment horizontal="right" vertical="top"/>
    </xf>
    <xf numFmtId="0" fontId="36" fillId="0" borderId="0" xfId="0" applyFont="1" applyAlignment="1" applyProtection="1">
      <alignment horizontal="right" vertical="top"/>
      <protection locked="0"/>
    </xf>
    <xf numFmtId="0" fontId="36" fillId="0" borderId="0" xfId="0" applyFont="1" applyAlignment="1" applyProtection="1">
      <alignment vertical="center"/>
      <protection locked="0"/>
    </xf>
    <xf numFmtId="0" fontId="44" fillId="0" borderId="0" xfId="0" applyFont="1" applyProtection="1">
      <protection locked="0"/>
    </xf>
    <xf numFmtId="0" fontId="45" fillId="0" borderId="0" xfId="0" applyFont="1" applyAlignment="1">
      <alignment wrapText="1"/>
    </xf>
    <xf numFmtId="0" fontId="45" fillId="0" borderId="0" xfId="0" applyFont="1" applyAlignment="1">
      <alignment horizontal="center" wrapText="1"/>
    </xf>
    <xf numFmtId="0" fontId="50" fillId="0" borderId="0" xfId="0" applyFont="1" applyAlignment="1">
      <alignment wrapText="1"/>
    </xf>
    <xf numFmtId="0" fontId="47" fillId="0" borderId="0" xfId="0" applyFont="1" applyAlignment="1" applyProtection="1">
      <alignment vertical="top" wrapText="1"/>
      <protection locked="0"/>
    </xf>
    <xf numFmtId="0" fontId="35" fillId="0" borderId="0" xfId="0" applyFont="1" applyAlignment="1">
      <alignment wrapText="1"/>
    </xf>
    <xf numFmtId="0" fontId="38" fillId="12" borderId="0" xfId="0" applyFont="1" applyFill="1" applyAlignment="1">
      <alignment wrapText="1"/>
    </xf>
    <xf numFmtId="0" fontId="35" fillId="0" borderId="0" xfId="0" applyFont="1" applyAlignment="1" applyProtection="1">
      <alignment horizontal="left" vertical="center"/>
      <protection locked="0" hidden="1"/>
    </xf>
    <xf numFmtId="16" fontId="57" fillId="11" borderId="0" xfId="0" quotePrefix="1" applyNumberFormat="1" applyFont="1" applyFill="1" applyAlignment="1" applyProtection="1">
      <alignment horizontal="right" vertical="center" wrapText="1"/>
      <protection locked="0" hidden="1"/>
    </xf>
    <xf numFmtId="0" fontId="55" fillId="11" borderId="0" xfId="0" applyFont="1" applyFill="1" applyAlignment="1">
      <alignment wrapText="1"/>
    </xf>
    <xf numFmtId="0" fontId="36" fillId="0" borderId="0" xfId="0" quotePrefix="1" applyFont="1" applyProtection="1">
      <protection locked="0"/>
    </xf>
    <xf numFmtId="0" fontId="60" fillId="15" borderId="66" xfId="0" applyFont="1" applyFill="1" applyBorder="1"/>
    <xf numFmtId="0" fontId="59" fillId="14" borderId="66" xfId="4" applyBorder="1"/>
    <xf numFmtId="169" fontId="59" fillId="14" borderId="66" xfId="4" applyNumberFormat="1" applyBorder="1"/>
    <xf numFmtId="167" fontId="59" fillId="14" borderId="66" xfId="4" applyNumberFormat="1" applyBorder="1"/>
    <xf numFmtId="0" fontId="58" fillId="13" borderId="66" xfId="3" applyBorder="1"/>
    <xf numFmtId="169" fontId="60" fillId="15" borderId="66" xfId="0" applyNumberFormat="1" applyFont="1" applyFill="1" applyBorder="1"/>
    <xf numFmtId="167" fontId="60" fillId="15" borderId="66" xfId="0" applyNumberFormat="1" applyFont="1" applyFill="1" applyBorder="1"/>
    <xf numFmtId="0" fontId="60" fillId="15" borderId="66" xfId="0" quotePrefix="1" applyFont="1" applyFill="1" applyBorder="1"/>
    <xf numFmtId="2" fontId="60" fillId="15" borderId="66" xfId="0" applyNumberFormat="1" applyFont="1" applyFill="1" applyBorder="1"/>
    <xf numFmtId="169" fontId="60" fillId="15" borderId="66" xfId="0" quotePrefix="1" applyNumberFormat="1" applyFont="1" applyFill="1" applyBorder="1"/>
    <xf numFmtId="1" fontId="60" fillId="15" borderId="66" xfId="0" quotePrefix="1" applyNumberFormat="1" applyFont="1" applyFill="1" applyBorder="1"/>
    <xf numFmtId="0" fontId="62" fillId="15" borderId="66" xfId="0" applyFont="1" applyFill="1" applyBorder="1"/>
    <xf numFmtId="0" fontId="63" fillId="16" borderId="66" xfId="0" applyFont="1" applyFill="1" applyBorder="1"/>
    <xf numFmtId="0" fontId="60" fillId="17" borderId="66" xfId="0" applyFont="1" applyFill="1" applyBorder="1"/>
    <xf numFmtId="0" fontId="63" fillId="18" borderId="66" xfId="0" applyFont="1" applyFill="1" applyBorder="1"/>
    <xf numFmtId="0" fontId="60" fillId="17" borderId="66" xfId="0" quotePrefix="1" applyFont="1" applyFill="1" applyBorder="1"/>
    <xf numFmtId="169" fontId="60" fillId="17" borderId="66" xfId="0" applyNumberFormat="1" applyFont="1" applyFill="1" applyBorder="1"/>
    <xf numFmtId="167" fontId="60" fillId="17" borderId="66" xfId="0" applyNumberFormat="1" applyFont="1" applyFill="1" applyBorder="1"/>
    <xf numFmtId="0" fontId="60" fillId="18" borderId="66" xfId="0" applyFont="1" applyFill="1" applyBorder="1"/>
    <xf numFmtId="169" fontId="58" fillId="13" borderId="66" xfId="3" applyNumberFormat="1" applyBorder="1"/>
    <xf numFmtId="0" fontId="60" fillId="19" borderId="66" xfId="0" applyFont="1" applyFill="1" applyBorder="1"/>
    <xf numFmtId="169" fontId="60" fillId="19" borderId="66" xfId="0" applyNumberFormat="1" applyFont="1" applyFill="1" applyBorder="1"/>
    <xf numFmtId="167" fontId="60" fillId="19" borderId="66" xfId="0" applyNumberFormat="1" applyFont="1" applyFill="1" applyBorder="1"/>
    <xf numFmtId="4" fontId="60" fillId="15" borderId="66" xfId="0" applyNumberFormat="1" applyFont="1" applyFill="1" applyBorder="1"/>
    <xf numFmtId="4" fontId="60" fillId="17" borderId="66" xfId="0" applyNumberFormat="1" applyFont="1" applyFill="1" applyBorder="1"/>
    <xf numFmtId="0" fontId="60" fillId="20" borderId="66" xfId="0" applyFont="1" applyFill="1" applyBorder="1"/>
    <xf numFmtId="4" fontId="60" fillId="20" borderId="66" xfId="0" applyNumberFormat="1" applyFont="1" applyFill="1" applyBorder="1"/>
    <xf numFmtId="169" fontId="60" fillId="20" borderId="66" xfId="0" applyNumberFormat="1" applyFont="1" applyFill="1" applyBorder="1"/>
    <xf numFmtId="167" fontId="60" fillId="20" borderId="66" xfId="0" applyNumberFormat="1" applyFont="1" applyFill="1" applyBorder="1"/>
    <xf numFmtId="0" fontId="63" fillId="16" borderId="67" xfId="0" applyFont="1" applyFill="1" applyBorder="1"/>
    <xf numFmtId="0" fontId="45" fillId="0" borderId="0" xfId="0" applyFont="1" applyAlignment="1" applyProtection="1">
      <alignment horizontal="right" wrapText="1"/>
      <protection locked="0"/>
    </xf>
    <xf numFmtId="0" fontId="38" fillId="0" borderId="0" xfId="0" applyFont="1" applyAlignment="1">
      <alignment horizontal="left"/>
    </xf>
    <xf numFmtId="0" fontId="44" fillId="0" borderId="0" xfId="0" applyFont="1" applyAlignment="1" applyProtection="1">
      <alignment horizontal="center" vertical="top" wrapText="1"/>
      <protection locked="0"/>
    </xf>
    <xf numFmtId="43" fontId="45" fillId="0" borderId="0" xfId="0" applyNumberFormat="1" applyFont="1" applyAlignment="1" applyProtection="1">
      <alignment horizontal="left" wrapText="1"/>
      <protection locked="0"/>
    </xf>
    <xf numFmtId="0" fontId="45" fillId="0" borderId="0" xfId="0" applyFont="1" applyAlignment="1" applyProtection="1">
      <alignment horizontal="center" wrapText="1"/>
      <protection locked="0"/>
    </xf>
    <xf numFmtId="0" fontId="47" fillId="0" borderId="0" xfId="0" applyFont="1" applyAlignment="1" applyProtection="1">
      <alignment horizontal="left" indent="2"/>
      <protection locked="0"/>
    </xf>
    <xf numFmtId="14" fontId="44" fillId="0" borderId="0" xfId="0" applyNumberFormat="1" applyFont="1" applyAlignment="1" applyProtection="1">
      <alignment horizontal="right" wrapText="1"/>
      <protection locked="0"/>
    </xf>
    <xf numFmtId="0" fontId="44" fillId="0" borderId="0" xfId="0" applyFont="1" applyAlignment="1" applyProtection="1">
      <alignment horizontal="right" wrapText="1"/>
      <protection locked="0"/>
    </xf>
    <xf numFmtId="0" fontId="44" fillId="0" borderId="0" xfId="0" applyFont="1" applyAlignment="1" applyProtection="1">
      <alignment horizontal="center" wrapText="1"/>
      <protection locked="0"/>
    </xf>
    <xf numFmtId="14" fontId="51" fillId="0" borderId="0" xfId="0" applyNumberFormat="1" applyFont="1" applyAlignment="1" applyProtection="1">
      <alignment horizontal="right" wrapText="1"/>
      <protection locked="0"/>
    </xf>
    <xf numFmtId="4" fontId="45" fillId="0" borderId="0" xfId="0" applyNumberFormat="1" applyFont="1" applyAlignment="1" applyProtection="1">
      <alignment horizontal="center" wrapText="1"/>
      <protection locked="0"/>
    </xf>
    <xf numFmtId="2" fontId="45" fillId="0" borderId="0" xfId="0" applyNumberFormat="1" applyFont="1" applyAlignment="1" applyProtection="1">
      <alignment horizontal="center" wrapText="1"/>
      <protection locked="0"/>
    </xf>
    <xf numFmtId="0" fontId="46" fillId="0" borderId="0" xfId="0" applyFont="1" applyAlignment="1">
      <alignment horizontal="right" wrapText="1"/>
    </xf>
    <xf numFmtId="0" fontId="38" fillId="0" borderId="0" xfId="0" applyFont="1" applyAlignment="1">
      <alignment wrapText="1"/>
    </xf>
    <xf numFmtId="0" fontId="36" fillId="0" borderId="0" xfId="0" applyFont="1" applyAlignment="1" applyProtection="1">
      <alignment horizontal="left"/>
      <protection locked="0"/>
    </xf>
    <xf numFmtId="0" fontId="36" fillId="0" borderId="0" xfId="0" applyFont="1" applyAlignment="1" applyProtection="1">
      <alignment horizontal="center" wrapText="1"/>
      <protection locked="0"/>
    </xf>
    <xf numFmtId="4" fontId="45" fillId="0" borderId="0" xfId="0" applyNumberFormat="1" applyFont="1" applyAlignment="1" applyProtection="1">
      <alignment horizontal="center"/>
      <protection locked="0"/>
    </xf>
    <xf numFmtId="0" fontId="45" fillId="0" borderId="0" xfId="0" applyFont="1" applyAlignment="1" applyProtection="1">
      <alignment horizontal="center"/>
      <protection locked="0"/>
    </xf>
    <xf numFmtId="2" fontId="18" fillId="0" borderId="6" xfId="0" applyNumberFormat="1" applyFont="1" applyBorder="1" applyAlignment="1">
      <alignment horizontal="left" vertical="center" indent="1"/>
    </xf>
    <xf numFmtId="2" fontId="18" fillId="0" borderId="7" xfId="0" applyNumberFormat="1" applyFont="1" applyBorder="1" applyAlignment="1">
      <alignment horizontal="left" vertical="center" indent="1"/>
    </xf>
    <xf numFmtId="2" fontId="18" fillId="0" borderId="8" xfId="0" applyNumberFormat="1" applyFont="1" applyBorder="1" applyAlignment="1">
      <alignment horizontal="left" vertical="center" indent="1"/>
    </xf>
    <xf numFmtId="2" fontId="16" fillId="0" borderId="12" xfId="0" applyNumberFormat="1" applyFont="1" applyBorder="1" applyAlignment="1">
      <alignment horizontal="left" vertical="center" indent="1"/>
    </xf>
    <xf numFmtId="0" fontId="13" fillId="0" borderId="34" xfId="0" applyFont="1" applyBorder="1" applyAlignment="1">
      <alignment horizontal="center" vertical="center"/>
    </xf>
    <xf numFmtId="0" fontId="13" fillId="0" borderId="35" xfId="0" applyFont="1" applyBorder="1" applyAlignment="1">
      <alignment horizontal="center" vertical="center"/>
    </xf>
    <xf numFmtId="0" fontId="13" fillId="0" borderId="36" xfId="0" applyFont="1" applyBorder="1" applyAlignment="1">
      <alignment horizontal="center" vertical="center"/>
    </xf>
    <xf numFmtId="0" fontId="16" fillId="0" borderId="45" xfId="0" applyFont="1" applyBorder="1" applyAlignment="1">
      <alignment horizontal="left" vertical="center"/>
    </xf>
    <xf numFmtId="0" fontId="16" fillId="0" borderId="17" xfId="0" applyFont="1" applyBorder="1" applyAlignment="1">
      <alignment horizontal="left" vertical="center"/>
    </xf>
    <xf numFmtId="0" fontId="16" fillId="0" borderId="15" xfId="0" applyFont="1" applyBorder="1" applyAlignment="1">
      <alignment horizontal="left" vertical="center"/>
    </xf>
    <xf numFmtId="0" fontId="16" fillId="0" borderId="43" xfId="0" applyFont="1" applyBorder="1" applyAlignment="1">
      <alignment horizontal="left" vertical="center"/>
    </xf>
    <xf numFmtId="0" fontId="16" fillId="0" borderId="25" xfId="0" applyFont="1" applyBorder="1" applyAlignment="1">
      <alignment horizontal="left" vertical="center"/>
    </xf>
    <xf numFmtId="0" fontId="16" fillId="0" borderId="26" xfId="0" applyFont="1" applyBorder="1" applyAlignment="1">
      <alignment horizontal="left" vertical="center"/>
    </xf>
    <xf numFmtId="0" fontId="16" fillId="0" borderId="29" xfId="0" applyFont="1" applyBorder="1" applyAlignment="1">
      <alignment horizontal="left" vertical="center" indent="1"/>
    </xf>
    <xf numFmtId="0" fontId="16" fillId="0" borderId="30" xfId="0" applyFont="1" applyBorder="1" applyAlignment="1">
      <alignment horizontal="left" vertical="center" indent="1"/>
    </xf>
    <xf numFmtId="0" fontId="16" fillId="0" borderId="31" xfId="0" applyFont="1" applyBorder="1" applyAlignment="1">
      <alignment horizontal="left" vertical="center" indent="1"/>
    </xf>
    <xf numFmtId="0" fontId="16" fillId="0" borderId="14" xfId="0" applyFont="1" applyBorder="1" applyAlignment="1">
      <alignment horizontal="left" vertical="center" indent="1"/>
    </xf>
    <xf numFmtId="0" fontId="16" fillId="0" borderId="17" xfId="0" applyFont="1" applyBorder="1" applyAlignment="1">
      <alignment horizontal="left" vertical="center" indent="1"/>
    </xf>
    <xf numFmtId="0" fontId="16" fillId="0" borderId="15" xfId="0" applyFont="1" applyBorder="1" applyAlignment="1">
      <alignment horizontal="left" vertical="center" indent="1"/>
    </xf>
    <xf numFmtId="0" fontId="16" fillId="0" borderId="52" xfId="0" applyFont="1" applyBorder="1" applyAlignment="1">
      <alignment horizontal="left" vertical="center"/>
    </xf>
    <xf numFmtId="0" fontId="16" fillId="0" borderId="30" xfId="0" applyFont="1" applyBorder="1" applyAlignment="1">
      <alignment horizontal="left" vertical="center"/>
    </xf>
    <xf numFmtId="0" fontId="16" fillId="0" borderId="31" xfId="0" applyFont="1" applyBorder="1" applyAlignment="1">
      <alignment horizontal="left" vertical="center"/>
    </xf>
    <xf numFmtId="0" fontId="16" fillId="0" borderId="45" xfId="0" applyFont="1" applyBorder="1" applyAlignment="1">
      <alignment horizontal="left" vertical="center" indent="1"/>
    </xf>
    <xf numFmtId="0" fontId="16" fillId="0" borderId="14" xfId="0" applyFont="1" applyBorder="1" applyAlignment="1">
      <alignment horizontal="left" vertical="center"/>
    </xf>
    <xf numFmtId="0" fontId="15" fillId="3" borderId="14" xfId="0" applyFont="1" applyFill="1" applyBorder="1" applyAlignment="1">
      <alignment horizontal="left" vertical="center"/>
    </xf>
    <xf numFmtId="0" fontId="15" fillId="3" borderId="17" xfId="0" applyFont="1" applyFill="1" applyBorder="1" applyAlignment="1">
      <alignment horizontal="left" vertical="center"/>
    </xf>
    <xf numFmtId="0" fontId="15" fillId="3" borderId="47" xfId="0" applyFont="1" applyFill="1" applyBorder="1" applyAlignment="1">
      <alignment horizontal="left" vertical="center"/>
    </xf>
    <xf numFmtId="0" fontId="15" fillId="3" borderId="24" xfId="0" applyFont="1" applyFill="1" applyBorder="1" applyAlignment="1">
      <alignment horizontal="left" vertical="center"/>
    </xf>
    <xf numFmtId="0" fontId="15" fillId="3" borderId="25" xfId="0" applyFont="1" applyFill="1" applyBorder="1" applyAlignment="1">
      <alignment horizontal="left" vertical="center"/>
    </xf>
    <xf numFmtId="0" fontId="15" fillId="3" borderId="44" xfId="0" applyFont="1" applyFill="1" applyBorder="1" applyAlignment="1">
      <alignment horizontal="left" vertical="center"/>
    </xf>
    <xf numFmtId="0" fontId="16" fillId="3" borderId="30" xfId="0" applyFont="1" applyFill="1" applyBorder="1" applyAlignment="1">
      <alignment horizontal="center" vertical="center"/>
    </xf>
    <xf numFmtId="0" fontId="16" fillId="3" borderId="46" xfId="0" applyFont="1" applyFill="1" applyBorder="1" applyAlignment="1">
      <alignment horizontal="center" vertical="center"/>
    </xf>
    <xf numFmtId="2" fontId="15" fillId="4" borderId="48" xfId="0" applyNumberFormat="1" applyFont="1" applyFill="1" applyBorder="1" applyAlignment="1">
      <alignment horizontal="center" vertical="center"/>
    </xf>
    <xf numFmtId="2" fontId="15" fillId="4" borderId="50" xfId="0" applyNumberFormat="1" applyFont="1" applyFill="1" applyBorder="1" applyAlignment="1">
      <alignment horizontal="center" vertical="center"/>
    </xf>
    <xf numFmtId="0" fontId="16" fillId="0" borderId="45" xfId="0" applyFont="1" applyBorder="1" applyAlignment="1">
      <alignment horizontal="left" vertical="center" indent="2"/>
    </xf>
    <xf numFmtId="0" fontId="16" fillId="0" borderId="17" xfId="0" applyFont="1" applyBorder="1" applyAlignment="1">
      <alignment horizontal="left" vertical="center" indent="2"/>
    </xf>
    <xf numFmtId="0" fontId="16" fillId="0" borderId="15" xfId="0" applyFont="1" applyBorder="1" applyAlignment="1">
      <alignment horizontal="left" vertical="center" indent="2"/>
    </xf>
    <xf numFmtId="0" fontId="16" fillId="0" borderId="19" xfId="0" applyFont="1" applyBorder="1" applyAlignment="1">
      <alignment horizontal="left" vertical="center" indent="2"/>
    </xf>
    <xf numFmtId="0" fontId="16" fillId="0" borderId="18" xfId="0" applyFont="1" applyBorder="1" applyAlignment="1">
      <alignment horizontal="left" vertical="center" indent="2"/>
    </xf>
    <xf numFmtId="0" fontId="16" fillId="0" borderId="20" xfId="0" applyFont="1" applyBorder="1" applyAlignment="1">
      <alignment horizontal="left" vertical="center" indent="2"/>
    </xf>
    <xf numFmtId="0" fontId="16" fillId="3" borderId="14" xfId="0" applyFont="1" applyFill="1" applyBorder="1" applyAlignment="1">
      <alignment horizontal="center" vertical="center"/>
    </xf>
    <xf numFmtId="0" fontId="16" fillId="3" borderId="47" xfId="0" applyFont="1" applyFill="1" applyBorder="1" applyAlignment="1">
      <alignment horizontal="center" vertical="center"/>
    </xf>
    <xf numFmtId="0" fontId="16" fillId="3" borderId="24" xfId="0" applyFont="1" applyFill="1" applyBorder="1" applyAlignment="1">
      <alignment horizontal="center" vertical="center"/>
    </xf>
    <xf numFmtId="0" fontId="16" fillId="3" borderId="44" xfId="0" applyFont="1" applyFill="1" applyBorder="1" applyAlignment="1">
      <alignment horizontal="center" vertical="center"/>
    </xf>
    <xf numFmtId="2" fontId="25" fillId="4" borderId="48" xfId="0" applyNumberFormat="1" applyFont="1" applyFill="1" applyBorder="1" applyAlignment="1">
      <alignment horizontal="center" vertical="center"/>
    </xf>
    <xf numFmtId="2" fontId="25" fillId="4" borderId="50" xfId="0" applyNumberFormat="1" applyFont="1" applyFill="1" applyBorder="1" applyAlignment="1">
      <alignment horizontal="center" vertical="center"/>
    </xf>
    <xf numFmtId="0" fontId="16" fillId="0" borderId="63" xfId="0" applyFont="1" applyBorder="1" applyAlignment="1">
      <alignment horizontal="left" vertical="center"/>
    </xf>
    <xf numFmtId="0" fontId="16" fillId="0" borderId="22" xfId="0" applyFont="1" applyBorder="1" applyAlignment="1">
      <alignment horizontal="left" vertical="center"/>
    </xf>
    <xf numFmtId="0" fontId="16" fillId="0" borderId="53" xfId="0" applyFont="1" applyBorder="1" applyAlignment="1">
      <alignment horizontal="left" vertical="center"/>
    </xf>
    <xf numFmtId="49" fontId="24" fillId="0" borderId="1" xfId="0" applyNumberFormat="1" applyFont="1" applyBorder="1" applyAlignment="1">
      <alignment horizontal="left" vertical="center" wrapText="1"/>
    </xf>
    <xf numFmtId="49" fontId="23" fillId="0" borderId="1" xfId="0" applyNumberFormat="1" applyFont="1" applyBorder="1" applyAlignment="1">
      <alignment horizontal="left" vertical="center" wrapText="1"/>
    </xf>
    <xf numFmtId="0" fontId="23" fillId="0" borderId="1" xfId="0" applyFont="1" applyBorder="1" applyAlignment="1">
      <alignment horizontal="left" vertical="center" wrapText="1"/>
    </xf>
    <xf numFmtId="49" fontId="24" fillId="0" borderId="2" xfId="0" applyNumberFormat="1" applyFont="1" applyBorder="1" applyAlignment="1">
      <alignment horizontal="left" vertical="center" wrapText="1"/>
    </xf>
    <xf numFmtId="49" fontId="24" fillId="0" borderId="3" xfId="0" applyNumberFormat="1" applyFont="1" applyBorder="1" applyAlignment="1">
      <alignment horizontal="left" vertical="center" wrapText="1"/>
    </xf>
    <xf numFmtId="49" fontId="24" fillId="0" borderId="4" xfId="0" applyNumberFormat="1" applyFont="1" applyBorder="1" applyAlignment="1">
      <alignment horizontal="left" vertical="center" wrapText="1"/>
    </xf>
    <xf numFmtId="49" fontId="24" fillId="0" borderId="2" xfId="0" applyNumberFormat="1" applyFont="1" applyBorder="1" applyAlignment="1">
      <alignment horizontal="left" vertical="center"/>
    </xf>
    <xf numFmtId="49" fontId="24" fillId="0" borderId="3" xfId="0" applyNumberFormat="1" applyFont="1" applyBorder="1" applyAlignment="1">
      <alignment horizontal="left" vertical="center"/>
    </xf>
    <xf numFmtId="49" fontId="24" fillId="0" borderId="4" xfId="0" applyNumberFormat="1" applyFont="1" applyBorder="1" applyAlignment="1">
      <alignment horizontal="left" vertical="center"/>
    </xf>
    <xf numFmtId="49" fontId="23" fillId="0" borderId="32" xfId="0" applyNumberFormat="1" applyFont="1" applyBorder="1" applyAlignment="1">
      <alignment horizontal="left" vertical="center" wrapText="1"/>
    </xf>
    <xf numFmtId="49" fontId="23" fillId="0" borderId="33" xfId="0" applyNumberFormat="1" applyFont="1" applyBorder="1" applyAlignment="1">
      <alignment horizontal="left" vertical="center" wrapText="1"/>
    </xf>
    <xf numFmtId="49" fontId="23" fillId="0" borderId="27" xfId="0" applyNumberFormat="1" applyFont="1" applyBorder="1" applyAlignment="1">
      <alignment horizontal="left" vertical="center" wrapText="1"/>
    </xf>
    <xf numFmtId="49" fontId="23" fillId="0" borderId="28" xfId="0" applyNumberFormat="1" applyFont="1" applyBorder="1" applyAlignment="1">
      <alignment horizontal="left" vertical="center" wrapText="1"/>
    </xf>
    <xf numFmtId="49" fontId="24" fillId="0" borderId="1" xfId="0" applyNumberFormat="1" applyFont="1" applyBorder="1" applyAlignment="1">
      <alignment horizontal="left" vertical="center"/>
    </xf>
    <xf numFmtId="0" fontId="16" fillId="0" borderId="13" xfId="0" applyFont="1" applyBorder="1" applyAlignment="1">
      <alignment horizontal="left" vertical="center"/>
    </xf>
    <xf numFmtId="0" fontId="16" fillId="0" borderId="0" xfId="0" applyFont="1" applyAlignment="1">
      <alignment horizontal="center" vertical="center"/>
    </xf>
    <xf numFmtId="0" fontId="16" fillId="0" borderId="0" xfId="0" applyFont="1" applyAlignment="1">
      <alignment horizontal="center" vertical="center" wrapText="1"/>
    </xf>
    <xf numFmtId="0" fontId="16" fillId="0" borderId="13" xfId="0" applyFont="1" applyBorder="1" applyAlignment="1">
      <alignment horizontal="justify" vertical="center" wrapText="1"/>
    </xf>
    <xf numFmtId="0" fontId="16" fillId="3" borderId="13" xfId="0" applyFont="1" applyFill="1" applyBorder="1" applyAlignment="1">
      <alignment horizontal="left" vertical="center" indent="1"/>
    </xf>
    <xf numFmtId="2" fontId="16" fillId="6" borderId="13" xfId="0" applyNumberFormat="1" applyFont="1" applyFill="1" applyBorder="1" applyAlignment="1">
      <alignment horizontal="left" vertical="center" wrapText="1"/>
    </xf>
    <xf numFmtId="0" fontId="16" fillId="0" borderId="13" xfId="0" applyFont="1" applyBorder="1" applyAlignment="1">
      <alignment horizontal="left" vertical="center" wrapText="1"/>
    </xf>
    <xf numFmtId="0" fontId="16" fillId="0" borderId="16" xfId="0" applyFont="1" applyBorder="1" applyAlignment="1">
      <alignment horizontal="left" vertical="center"/>
    </xf>
    <xf numFmtId="0" fontId="16" fillId="0" borderId="58" xfId="0" applyFont="1" applyBorder="1" applyAlignment="1">
      <alignment horizontal="center" vertical="center"/>
    </xf>
    <xf numFmtId="0" fontId="16" fillId="0" borderId="24" xfId="0" applyFont="1" applyBorder="1" applyAlignment="1">
      <alignment horizontal="left" vertical="center"/>
    </xf>
    <xf numFmtId="0" fontId="15" fillId="0" borderId="21" xfId="0" applyFont="1" applyBorder="1" applyAlignment="1">
      <alignment horizontal="left" vertical="center" wrapText="1"/>
    </xf>
    <xf numFmtId="0" fontId="15" fillId="0" borderId="22" xfId="0" applyFont="1" applyBorder="1" applyAlignment="1">
      <alignment horizontal="left" vertical="center" wrapText="1"/>
    </xf>
    <xf numFmtId="0" fontId="15" fillId="0" borderId="56" xfId="0" applyFont="1" applyBorder="1" applyAlignment="1">
      <alignment horizontal="left" vertical="center" wrapText="1"/>
    </xf>
    <xf numFmtId="0" fontId="15" fillId="0" borderId="54" xfId="0" applyFont="1" applyBorder="1" applyAlignment="1">
      <alignment horizontal="left" vertical="center" wrapText="1"/>
    </xf>
    <xf numFmtId="0" fontId="15" fillId="0" borderId="51" xfId="0" applyFont="1" applyBorder="1" applyAlignment="1">
      <alignment horizontal="left" vertical="center" wrapText="1"/>
    </xf>
    <xf numFmtId="0" fontId="15" fillId="0" borderId="57" xfId="0" applyFont="1" applyBorder="1" applyAlignment="1">
      <alignment horizontal="left" vertical="center" wrapText="1"/>
    </xf>
    <xf numFmtId="0" fontId="15" fillId="0" borderId="21" xfId="0" applyFont="1" applyBorder="1" applyAlignment="1">
      <alignment horizontal="center" vertical="center"/>
    </xf>
    <xf numFmtId="0" fontId="15" fillId="0" borderId="53" xfId="0" applyFont="1" applyBorder="1" applyAlignment="1">
      <alignment horizontal="center" vertical="center"/>
    </xf>
    <xf numFmtId="0" fontId="15" fillId="0" borderId="54" xfId="0" applyFont="1" applyBorder="1" applyAlignment="1">
      <alignment horizontal="center" vertical="center"/>
    </xf>
    <xf numFmtId="0" fontId="15" fillId="0" borderId="55" xfId="0" applyFont="1" applyBorder="1" applyAlignment="1">
      <alignment horizontal="center" vertical="center"/>
    </xf>
    <xf numFmtId="0" fontId="16" fillId="0" borderId="29" xfId="0" applyFont="1" applyBorder="1" applyAlignment="1">
      <alignment horizontal="left" vertical="center"/>
    </xf>
    <xf numFmtId="4" fontId="16" fillId="3" borderId="29" xfId="0" applyNumberFormat="1" applyFont="1" applyFill="1" applyBorder="1" applyAlignment="1">
      <alignment horizontal="center" vertical="center"/>
    </xf>
    <xf numFmtId="4" fontId="16" fillId="3" borderId="31" xfId="0" applyNumberFormat="1" applyFont="1" applyFill="1" applyBorder="1" applyAlignment="1">
      <alignment horizontal="center" vertical="center"/>
    </xf>
    <xf numFmtId="4" fontId="16" fillId="3" borderId="24" xfId="0" applyNumberFormat="1" applyFont="1" applyFill="1" applyBorder="1" applyAlignment="1">
      <alignment horizontal="center" vertical="center"/>
    </xf>
    <xf numFmtId="4" fontId="16" fillId="3" borderId="26" xfId="0" applyNumberFormat="1" applyFont="1" applyFill="1" applyBorder="1" applyAlignment="1">
      <alignment horizontal="center" vertical="center"/>
    </xf>
    <xf numFmtId="2" fontId="16" fillId="3" borderId="25" xfId="0" applyNumberFormat="1" applyFont="1" applyFill="1" applyBorder="1" applyAlignment="1">
      <alignment horizontal="center" vertical="center"/>
    </xf>
    <xf numFmtId="2" fontId="16" fillId="3" borderId="44" xfId="0" applyNumberFormat="1" applyFont="1" applyFill="1" applyBorder="1" applyAlignment="1">
      <alignment horizontal="center" vertical="center"/>
    </xf>
    <xf numFmtId="0" fontId="16" fillId="0" borderId="52" xfId="0" applyFont="1" applyBorder="1" applyAlignment="1">
      <alignment horizontal="left" vertical="center" indent="1"/>
    </xf>
    <xf numFmtId="166" fontId="15" fillId="0" borderId="48" xfId="1" applyNumberFormat="1" applyFont="1" applyBorder="1" applyAlignment="1">
      <alignment horizontal="center" vertical="center"/>
    </xf>
    <xf numFmtId="166" fontId="15" fillId="0" borderId="49" xfId="1" applyNumberFormat="1" applyFont="1" applyBorder="1" applyAlignment="1">
      <alignment horizontal="center" vertical="center"/>
    </xf>
    <xf numFmtId="166" fontId="15" fillId="0" borderId="50" xfId="1" applyNumberFormat="1" applyFont="1" applyBorder="1" applyAlignment="1">
      <alignment horizontal="center" vertical="center"/>
    </xf>
    <xf numFmtId="2" fontId="15" fillId="0" borderId="48" xfId="0" applyNumberFormat="1" applyFont="1" applyBorder="1" applyAlignment="1">
      <alignment horizontal="center" vertical="center"/>
    </xf>
    <xf numFmtId="2" fontId="15" fillId="0" borderId="49" xfId="0" applyNumberFormat="1" applyFont="1" applyBorder="1" applyAlignment="1">
      <alignment horizontal="center" vertical="center"/>
    </xf>
    <xf numFmtId="2" fontId="15" fillId="0" borderId="50" xfId="0" applyNumberFormat="1" applyFont="1" applyBorder="1" applyAlignment="1">
      <alignment horizontal="center" vertical="center"/>
    </xf>
    <xf numFmtId="2" fontId="14" fillId="0" borderId="13" xfId="0" applyNumberFormat="1" applyFont="1" applyBorder="1" applyAlignment="1">
      <alignment horizontal="center" vertical="center"/>
    </xf>
    <xf numFmtId="2" fontId="14" fillId="0" borderId="14" xfId="0" applyNumberFormat="1" applyFont="1" applyBorder="1" applyAlignment="1">
      <alignment horizontal="center" vertical="center"/>
    </xf>
    <xf numFmtId="2" fontId="16" fillId="0" borderId="13" xfId="0" applyNumberFormat="1" applyFont="1" applyBorder="1" applyAlignment="1">
      <alignment horizontal="center" vertical="center"/>
    </xf>
    <xf numFmtId="0" fontId="61" fillId="15" borderId="66" xfId="0" applyFont="1" applyFill="1" applyBorder="1" applyAlignment="1">
      <alignment horizontal="center"/>
    </xf>
    <xf numFmtId="0" fontId="60" fillId="15" borderId="66" xfId="0" applyFont="1" applyFill="1" applyBorder="1" applyAlignment="1">
      <alignment horizontal="center" wrapText="1"/>
    </xf>
    <xf numFmtId="0" fontId="60" fillId="15" borderId="66" xfId="0" applyFont="1" applyFill="1" applyBorder="1" applyAlignment="1">
      <alignment horizontal="center"/>
    </xf>
    <xf numFmtId="0" fontId="11" fillId="10" borderId="65" xfId="0" applyFont="1" applyFill="1" applyBorder="1" applyAlignment="1">
      <alignment horizontal="center"/>
    </xf>
    <xf numFmtId="0" fontId="11" fillId="10" borderId="0" xfId="0" applyFont="1" applyFill="1" applyAlignment="1">
      <alignment horizontal="center"/>
    </xf>
    <xf numFmtId="0" fontId="11" fillId="9" borderId="1" xfId="0" applyFont="1" applyFill="1" applyBorder="1" applyAlignment="1">
      <alignment horizontal="center"/>
    </xf>
    <xf numFmtId="0" fontId="11" fillId="9" borderId="2" xfId="0" applyFont="1" applyFill="1" applyBorder="1" applyAlignment="1">
      <alignment horizontal="center"/>
    </xf>
    <xf numFmtId="0" fontId="11" fillId="9" borderId="3" xfId="0" applyFont="1" applyFill="1" applyBorder="1" applyAlignment="1">
      <alignment horizontal="center"/>
    </xf>
    <xf numFmtId="0" fontId="11" fillId="9" borderId="4" xfId="0" applyFont="1" applyFill="1" applyBorder="1" applyAlignment="1">
      <alignment horizontal="center"/>
    </xf>
    <xf numFmtId="0" fontId="39" fillId="11" borderId="0" xfId="0" applyFont="1" applyFill="1" applyAlignment="1" applyProtection="1">
      <alignment horizontal="center" vertical="center" wrapText="1"/>
      <protection locked="0" hidden="1"/>
    </xf>
    <xf numFmtId="2" fontId="36" fillId="0" borderId="0" xfId="0" applyNumberFormat="1" applyFont="1" applyAlignment="1">
      <alignment horizontal="center"/>
    </xf>
    <xf numFmtId="0" fontId="36" fillId="0" borderId="0" xfId="0" applyFont="1" applyAlignment="1">
      <alignment horizontal="center"/>
    </xf>
    <xf numFmtId="0" fontId="36" fillId="0" borderId="0" xfId="0" applyFont="1" applyAlignment="1" applyProtection="1">
      <alignment horizontal="center"/>
      <protection locked="0"/>
    </xf>
    <xf numFmtId="168" fontId="47" fillId="0" borderId="0" xfId="2" applyNumberFormat="1" applyFont="1" applyBorder="1" applyAlignment="1" applyProtection="1">
      <alignment horizontal="center"/>
    </xf>
    <xf numFmtId="0" fontId="47" fillId="0" borderId="0" xfId="0" applyFont="1" applyAlignment="1" applyProtection="1">
      <alignment horizontal="right"/>
      <protection locked="0"/>
    </xf>
    <xf numFmtId="0" fontId="36" fillId="0" borderId="0" xfId="0" applyFont="1" applyAlignment="1">
      <alignment horizontal="right" vertical="top"/>
    </xf>
    <xf numFmtId="0" fontId="36" fillId="0" borderId="0" xfId="0" quotePrefix="1" applyFont="1" applyAlignment="1">
      <alignment horizontal="center" wrapText="1"/>
    </xf>
    <xf numFmtId="0" fontId="36" fillId="0" borderId="0" xfId="0" applyFont="1" applyAlignment="1">
      <alignment horizontal="center" wrapText="1"/>
    </xf>
    <xf numFmtId="0" fontId="36" fillId="0" borderId="0" xfId="0" quotePrefix="1" applyFont="1" applyAlignment="1">
      <alignment horizontal="center"/>
    </xf>
    <xf numFmtId="4" fontId="36" fillId="0" borderId="0" xfId="0" applyNumberFormat="1" applyFont="1" applyAlignment="1">
      <alignment horizontal="center"/>
    </xf>
    <xf numFmtId="0" fontId="46" fillId="0" borderId="0" xfId="0" applyFont="1" applyAlignment="1">
      <alignment horizontal="center" vertical="top" wrapText="1"/>
    </xf>
    <xf numFmtId="2" fontId="36" fillId="0" borderId="0" xfId="0" quotePrefix="1" applyNumberFormat="1" applyFont="1" applyAlignment="1">
      <alignment horizontal="center"/>
    </xf>
    <xf numFmtId="0" fontId="44" fillId="0" borderId="0" xfId="0" applyFont="1" applyAlignment="1">
      <alignment horizontal="center"/>
    </xf>
    <xf numFmtId="43" fontId="36" fillId="0" borderId="0" xfId="0" applyNumberFormat="1" applyFont="1" applyAlignment="1">
      <alignment horizontal="center"/>
    </xf>
    <xf numFmtId="0" fontId="44" fillId="0" borderId="0" xfId="0" applyFont="1" applyAlignment="1" applyProtection="1">
      <alignment horizontal="center" vertical="center"/>
      <protection locked="0"/>
    </xf>
    <xf numFmtId="0" fontId="36" fillId="0" borderId="0" xfId="0" quotePrefix="1" applyFont="1" applyAlignment="1">
      <alignment horizontal="left"/>
    </xf>
    <xf numFmtId="0" fontId="36" fillId="0" borderId="0" xfId="0" applyFont="1" applyAlignment="1">
      <alignment horizontal="left"/>
    </xf>
    <xf numFmtId="14" fontId="36" fillId="0" borderId="0" xfId="0" applyNumberFormat="1" applyFont="1" applyAlignment="1">
      <alignment horizontal="center"/>
    </xf>
    <xf numFmtId="4" fontId="44" fillId="0" borderId="0" xfId="0" applyNumberFormat="1" applyFont="1" applyAlignment="1">
      <alignment horizontal="left" wrapText="1"/>
    </xf>
    <xf numFmtId="0" fontId="36" fillId="0" borderId="0" xfId="0" applyFont="1" applyAlignment="1">
      <alignment horizontal="left" indent="4"/>
    </xf>
    <xf numFmtId="0" fontId="35" fillId="0" borderId="0" xfId="0" applyFont="1" applyAlignment="1" applyProtection="1">
      <alignment horizontal="center" vertical="center" wrapText="1"/>
      <protection locked="0" hidden="1"/>
    </xf>
    <xf numFmtId="0" fontId="36" fillId="0" borderId="0" xfId="0" applyFont="1" applyAlignment="1">
      <alignment horizontal="left" indent="3"/>
    </xf>
    <xf numFmtId="0" fontId="44" fillId="0" borderId="0" xfId="0" quotePrefix="1" applyFont="1" applyAlignment="1">
      <alignment horizontal="right"/>
    </xf>
    <xf numFmtId="0" fontId="44" fillId="0" borderId="0" xfId="0" applyFont="1" applyAlignment="1">
      <alignment horizontal="right"/>
    </xf>
    <xf numFmtId="0" fontId="44" fillId="0" borderId="0" xfId="0" quotePrefix="1" applyFont="1" applyAlignment="1">
      <alignment horizontal="center"/>
    </xf>
  </cellXfs>
  <cellStyles count="5">
    <cellStyle name="Bueno" xfId="3" builtinId="26"/>
    <cellStyle name="Moneda" xfId="2" builtinId="4"/>
    <cellStyle name="Neutral" xfId="4" builtinId="28"/>
    <cellStyle name="Normal" xfId="0" builtinId="0"/>
    <cellStyle name="Porcentaje" xfId="1" builtinId="5"/>
  </cellStyles>
  <dxfs count="0"/>
  <tableStyles count="0" defaultTableStyle="TableStyleMedium2" defaultPivotStyle="PivotStyleLight16"/>
  <colors>
    <mruColors>
      <color rgb="FF98989D"/>
      <color rgb="FFD883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89</xdr:col>
      <xdr:colOff>547158</xdr:colOff>
      <xdr:row>0</xdr:row>
      <xdr:rowOff>114301</xdr:rowOff>
    </xdr:from>
    <xdr:to>
      <xdr:col>97</xdr:col>
      <xdr:colOff>754253</xdr:colOff>
      <xdr:row>56</xdr:row>
      <xdr:rowOff>79697</xdr:rowOff>
    </xdr:to>
    <xdr:pic>
      <xdr:nvPicPr>
        <xdr:cNvPr id="2" name="Imagen 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duotone>
            <a:schemeClr val="accent2">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8336491" y="114301"/>
          <a:ext cx="6811095" cy="113117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B2:T112"/>
  <sheetViews>
    <sheetView zoomScaleNormal="100" workbookViewId="0">
      <selection activeCell="B33" sqref="B33"/>
    </sheetView>
  </sheetViews>
  <sheetFormatPr baseColWidth="10" defaultColWidth="10.83203125" defaultRowHeight="16"/>
  <cols>
    <col min="1" max="12" width="10.83203125" style="4"/>
    <col min="13" max="13" width="10.83203125" style="64"/>
    <col min="14" max="16384" width="10.83203125" style="4"/>
  </cols>
  <sheetData>
    <row r="2" spans="2:20" s="2" customFormat="1">
      <c r="B2" s="1" t="s">
        <v>0</v>
      </c>
      <c r="M2" s="63"/>
      <c r="O2" s="5">
        <v>1</v>
      </c>
      <c r="P2" s="8" t="s">
        <v>149</v>
      </c>
      <c r="Q2" s="8" t="s">
        <v>155</v>
      </c>
      <c r="R2" s="8"/>
      <c r="S2" s="8"/>
      <c r="T2" s="8"/>
    </row>
    <row r="3" spans="2:20">
      <c r="B3" s="3" t="s">
        <v>1</v>
      </c>
      <c r="O3" s="5">
        <v>2</v>
      </c>
      <c r="P3" s="8" t="s">
        <v>150</v>
      </c>
      <c r="Q3" s="8" t="s">
        <v>156</v>
      </c>
      <c r="R3" s="8"/>
      <c r="S3" s="8"/>
      <c r="T3" s="8"/>
    </row>
    <row r="4" spans="2:20">
      <c r="B4" s="3" t="s">
        <v>2</v>
      </c>
      <c r="O4" s="5">
        <v>3</v>
      </c>
      <c r="P4" s="31" t="s">
        <v>151</v>
      </c>
      <c r="Q4" s="31" t="s">
        <v>157</v>
      </c>
      <c r="R4" s="31"/>
      <c r="S4" s="31"/>
      <c r="T4" s="31"/>
    </row>
    <row r="5" spans="2:20">
      <c r="B5" s="3" t="s">
        <v>3</v>
      </c>
      <c r="O5" s="5">
        <v>4</v>
      </c>
      <c r="P5" s="31" t="s">
        <v>152</v>
      </c>
      <c r="Q5" s="31" t="s">
        <v>158</v>
      </c>
      <c r="R5" s="31"/>
      <c r="S5" s="31"/>
      <c r="T5" s="31"/>
    </row>
    <row r="6" spans="2:20" s="2" customFormat="1">
      <c r="B6" s="1" t="s">
        <v>4</v>
      </c>
      <c r="M6" s="63"/>
      <c r="O6" s="5">
        <v>5</v>
      </c>
      <c r="P6" s="31" t="s">
        <v>153</v>
      </c>
      <c r="Q6" s="31" t="s">
        <v>159</v>
      </c>
      <c r="R6" s="31"/>
      <c r="S6" s="31"/>
      <c r="T6" s="31"/>
    </row>
    <row r="7" spans="2:20">
      <c r="B7" s="3" t="s">
        <v>5</v>
      </c>
      <c r="O7" s="8"/>
      <c r="P7" s="8"/>
      <c r="Q7" s="8"/>
      <c r="R7" s="8"/>
      <c r="S7" s="8"/>
      <c r="T7" s="8"/>
    </row>
    <row r="8" spans="2:20">
      <c r="B8" s="3" t="s">
        <v>6</v>
      </c>
    </row>
    <row r="9" spans="2:20">
      <c r="B9" s="3" t="s">
        <v>7</v>
      </c>
      <c r="O9" s="8"/>
      <c r="P9" s="8"/>
      <c r="Q9" s="8"/>
      <c r="R9" s="8"/>
      <c r="S9" s="8"/>
      <c r="T9" s="8"/>
    </row>
    <row r="10" spans="2:20">
      <c r="B10" s="3" t="s">
        <v>8</v>
      </c>
    </row>
    <row r="11" spans="2:20">
      <c r="B11" s="3" t="s">
        <v>9</v>
      </c>
    </row>
    <row r="12" spans="2:20">
      <c r="B12" s="3" t="s">
        <v>10</v>
      </c>
    </row>
    <row r="13" spans="2:20">
      <c r="B13" s="3" t="s">
        <v>11</v>
      </c>
    </row>
    <row r="14" spans="2:20" s="2" customFormat="1">
      <c r="B14" s="1" t="s">
        <v>12</v>
      </c>
      <c r="M14" s="63"/>
    </row>
    <row r="15" spans="2:20">
      <c r="B15" s="3" t="s">
        <v>13</v>
      </c>
    </row>
    <row r="16" spans="2:20">
      <c r="B16" s="3" t="s">
        <v>14</v>
      </c>
    </row>
    <row r="17" spans="2:13">
      <c r="B17" s="3" t="s">
        <v>72</v>
      </c>
    </row>
    <row r="18" spans="2:13">
      <c r="B18" s="3" t="s">
        <v>71</v>
      </c>
    </row>
    <row r="19" spans="2:13">
      <c r="B19" s="3" t="s">
        <v>15</v>
      </c>
    </row>
    <row r="20" spans="2:13">
      <c r="B20" s="3" t="s">
        <v>16</v>
      </c>
    </row>
    <row r="21" spans="2:13">
      <c r="B21" s="3" t="s">
        <v>17</v>
      </c>
    </row>
    <row r="22" spans="2:13">
      <c r="B22" s="3" t="s">
        <v>18</v>
      </c>
    </row>
    <row r="23" spans="2:13" s="2" customFormat="1">
      <c r="B23" s="1" t="s">
        <v>19</v>
      </c>
      <c r="M23" s="63"/>
    </row>
    <row r="24" spans="2:13">
      <c r="B24" s="3" t="s">
        <v>20</v>
      </c>
    </row>
    <row r="25" spans="2:13">
      <c r="B25" s="3" t="s">
        <v>21</v>
      </c>
    </row>
    <row r="26" spans="2:13">
      <c r="B26" s="3" t="s">
        <v>22</v>
      </c>
    </row>
    <row r="29" spans="2:13">
      <c r="B29" s="1" t="s">
        <v>23</v>
      </c>
    </row>
    <row r="30" spans="2:13">
      <c r="B30" s="3" t="s">
        <v>24</v>
      </c>
      <c r="M30" s="64" t="s">
        <v>60</v>
      </c>
    </row>
    <row r="31" spans="2:13">
      <c r="B31" s="3"/>
      <c r="M31" s="64" t="s">
        <v>25</v>
      </c>
    </row>
    <row r="32" spans="2:13">
      <c r="B32" s="3"/>
    </row>
    <row r="33" spans="2:13">
      <c r="B33" s="3" t="s">
        <v>26</v>
      </c>
      <c r="M33" s="64" t="s">
        <v>60</v>
      </c>
    </row>
    <row r="34" spans="2:13">
      <c r="B34" s="3"/>
      <c r="M34" s="64" t="s">
        <v>73</v>
      </c>
    </row>
    <row r="35" spans="2:13">
      <c r="B35" s="3"/>
      <c r="M35" s="64" t="s">
        <v>74</v>
      </c>
    </row>
    <row r="36" spans="2:13">
      <c r="B36" s="3"/>
      <c r="M36" s="64" t="s">
        <v>75</v>
      </c>
    </row>
    <row r="37" spans="2:13">
      <c r="B37" s="3"/>
      <c r="M37" s="64" t="s">
        <v>76</v>
      </c>
    </row>
    <row r="38" spans="2:13">
      <c r="B38" s="3"/>
    </row>
    <row r="39" spans="2:13">
      <c r="B39" s="3" t="s">
        <v>27</v>
      </c>
      <c r="M39" s="64" t="s">
        <v>60</v>
      </c>
    </row>
    <row r="40" spans="2:13">
      <c r="B40" s="3"/>
      <c r="M40" s="64" t="s">
        <v>85</v>
      </c>
    </row>
    <row r="41" spans="2:13">
      <c r="B41" s="3"/>
    </row>
    <row r="42" spans="2:13">
      <c r="B42" s="1" t="s">
        <v>28</v>
      </c>
    </row>
    <row r="43" spans="2:13">
      <c r="B43" s="3" t="s">
        <v>29</v>
      </c>
      <c r="M43" s="64" t="s">
        <v>60</v>
      </c>
    </row>
    <row r="44" spans="2:13">
      <c r="B44" s="3"/>
      <c r="M44" s="64" t="s">
        <v>30</v>
      </c>
    </row>
    <row r="45" spans="2:13">
      <c r="B45" s="3"/>
      <c r="M45" s="64" t="s">
        <v>31</v>
      </c>
    </row>
    <row r="46" spans="2:13">
      <c r="B46" s="3"/>
      <c r="M46" s="64" t="s">
        <v>32</v>
      </c>
    </row>
    <row r="47" spans="2:13">
      <c r="B47" s="3"/>
      <c r="M47" s="64" t="s">
        <v>33</v>
      </c>
    </row>
    <row r="48" spans="2:13">
      <c r="B48" s="3"/>
    </row>
    <row r="49" spans="2:13">
      <c r="B49" s="3" t="s">
        <v>34</v>
      </c>
      <c r="M49" s="64" t="s">
        <v>69</v>
      </c>
    </row>
    <row r="50" spans="2:13">
      <c r="B50" s="3"/>
      <c r="M50" s="64" t="s">
        <v>68</v>
      </c>
    </row>
    <row r="51" spans="2:13">
      <c r="B51" s="3"/>
    </row>
    <row r="52" spans="2:13">
      <c r="B52" s="3" t="s">
        <v>35</v>
      </c>
      <c r="M52" s="64" t="s">
        <v>60</v>
      </c>
    </row>
    <row r="53" spans="2:13">
      <c r="B53" s="3"/>
      <c r="M53" s="64" t="s">
        <v>36</v>
      </c>
    </row>
    <row r="54" spans="2:13">
      <c r="B54" s="3"/>
      <c r="M54" s="64" t="s">
        <v>37</v>
      </c>
    </row>
    <row r="55" spans="2:13">
      <c r="B55" s="3"/>
      <c r="M55" s="64" t="s">
        <v>38</v>
      </c>
    </row>
    <row r="56" spans="2:13">
      <c r="B56" s="3"/>
    </row>
    <row r="57" spans="2:13">
      <c r="B57" s="3" t="s">
        <v>39</v>
      </c>
      <c r="M57" s="64" t="s">
        <v>60</v>
      </c>
    </row>
    <row r="58" spans="2:13">
      <c r="B58" s="3"/>
      <c r="M58" s="64" t="s">
        <v>40</v>
      </c>
    </row>
    <row r="59" spans="2:13">
      <c r="B59" s="3"/>
    </row>
    <row r="60" spans="2:13">
      <c r="B60" s="3" t="s">
        <v>41</v>
      </c>
      <c r="M60" s="64" t="s">
        <v>60</v>
      </c>
    </row>
    <row r="61" spans="2:13">
      <c r="B61" s="3"/>
      <c r="M61" s="64" t="s">
        <v>83</v>
      </c>
    </row>
    <row r="62" spans="2:13">
      <c r="B62" s="3"/>
      <c r="M62" s="64" t="s">
        <v>84</v>
      </c>
    </row>
    <row r="63" spans="2:13">
      <c r="B63" s="3"/>
    </row>
    <row r="64" spans="2:13">
      <c r="B64" s="3" t="s">
        <v>42</v>
      </c>
      <c r="M64" s="64" t="s">
        <v>60</v>
      </c>
    </row>
    <row r="65" spans="2:13">
      <c r="B65" s="3"/>
      <c r="M65" s="64" t="s">
        <v>30</v>
      </c>
    </row>
    <row r="66" spans="2:13">
      <c r="B66" s="3"/>
      <c r="M66" s="64" t="s">
        <v>43</v>
      </c>
    </row>
    <row r="67" spans="2:13">
      <c r="B67" s="3"/>
    </row>
    <row r="68" spans="2:13">
      <c r="B68" s="3" t="s">
        <v>44</v>
      </c>
      <c r="M68" s="64" t="s">
        <v>60</v>
      </c>
    </row>
    <row r="69" spans="2:13">
      <c r="M69" s="64" t="s">
        <v>45</v>
      </c>
    </row>
    <row r="70" spans="2:13">
      <c r="B70" s="3"/>
    </row>
    <row r="71" spans="2:13">
      <c r="B71" s="1" t="s">
        <v>46</v>
      </c>
    </row>
    <row r="72" spans="2:13">
      <c r="B72" s="3" t="s">
        <v>47</v>
      </c>
      <c r="M72" s="64" t="s">
        <v>60</v>
      </c>
    </row>
    <row r="73" spans="2:13">
      <c r="B73" s="3"/>
      <c r="M73" s="64" t="s">
        <v>61</v>
      </c>
    </row>
    <row r="74" spans="2:13">
      <c r="B74" s="3"/>
    </row>
    <row r="75" spans="2:13">
      <c r="B75" s="3" t="s">
        <v>48</v>
      </c>
      <c r="M75" s="64" t="s">
        <v>60</v>
      </c>
    </row>
    <row r="76" spans="2:13">
      <c r="B76" s="3"/>
      <c r="M76" s="64" t="s">
        <v>62</v>
      </c>
    </row>
    <row r="77" spans="2:13">
      <c r="B77" s="3"/>
    </row>
    <row r="78" spans="2:13">
      <c r="B78" s="3" t="s">
        <v>174</v>
      </c>
      <c r="M78" s="64" t="s">
        <v>60</v>
      </c>
    </row>
    <row r="79" spans="2:13">
      <c r="B79" s="3"/>
      <c r="M79" s="64" t="s">
        <v>63</v>
      </c>
    </row>
    <row r="80" spans="2:13">
      <c r="B80" s="3"/>
    </row>
    <row r="81" spans="2:13">
      <c r="B81" s="3" t="s">
        <v>175</v>
      </c>
      <c r="M81" s="64" t="s">
        <v>60</v>
      </c>
    </row>
    <row r="82" spans="2:13">
      <c r="B82" s="3"/>
      <c r="M82" s="64" t="s">
        <v>176</v>
      </c>
    </row>
    <row r="83" spans="2:13">
      <c r="B83" s="3"/>
    </row>
    <row r="84" spans="2:13">
      <c r="B84" s="3" t="s">
        <v>49</v>
      </c>
      <c r="M84" s="64" t="s">
        <v>60</v>
      </c>
    </row>
    <row r="85" spans="2:13">
      <c r="B85" s="3"/>
      <c r="M85" s="64" t="s">
        <v>64</v>
      </c>
    </row>
    <row r="86" spans="2:13">
      <c r="B86" s="3"/>
    </row>
    <row r="87" spans="2:13">
      <c r="B87" s="3" t="s">
        <v>50</v>
      </c>
      <c r="M87" s="64" t="s">
        <v>60</v>
      </c>
    </row>
    <row r="88" spans="2:13">
      <c r="B88" s="3"/>
      <c r="M88" s="64" t="s">
        <v>177</v>
      </c>
    </row>
    <row r="89" spans="2:13">
      <c r="B89" s="3"/>
    </row>
    <row r="90" spans="2:13">
      <c r="B90" s="3" t="s">
        <v>51</v>
      </c>
      <c r="M90" s="64" t="s">
        <v>60</v>
      </c>
    </row>
    <row r="91" spans="2:13">
      <c r="B91" s="3"/>
      <c r="M91" s="64" t="s">
        <v>65</v>
      </c>
    </row>
    <row r="92" spans="2:13">
      <c r="B92" s="3"/>
      <c r="M92" s="64" t="s">
        <v>66</v>
      </c>
    </row>
    <row r="93" spans="2:13">
      <c r="B93" s="3"/>
      <c r="M93" s="64" t="s">
        <v>56</v>
      </c>
    </row>
    <row r="94" spans="2:13">
      <c r="B94" s="3"/>
      <c r="M94" s="64" t="s">
        <v>67</v>
      </c>
    </row>
    <row r="95" spans="2:13">
      <c r="B95" s="3"/>
    </row>
    <row r="96" spans="2:13">
      <c r="B96" s="3" t="s">
        <v>52</v>
      </c>
      <c r="M96" s="64" t="s">
        <v>60</v>
      </c>
    </row>
    <row r="97" spans="2:13">
      <c r="B97" s="3"/>
      <c r="M97" s="64" t="s">
        <v>70</v>
      </c>
    </row>
    <row r="98" spans="2:13">
      <c r="B98" s="1" t="s">
        <v>53</v>
      </c>
    </row>
    <row r="99" spans="2:13">
      <c r="B99" s="3" t="s">
        <v>54</v>
      </c>
      <c r="M99" s="64" t="s">
        <v>60</v>
      </c>
    </row>
    <row r="100" spans="2:13">
      <c r="B100" s="3"/>
      <c r="M100" s="64" t="s">
        <v>55</v>
      </c>
    </row>
    <row r="101" spans="2:13">
      <c r="B101" s="3"/>
      <c r="M101" s="64" t="s">
        <v>31</v>
      </c>
    </row>
    <row r="102" spans="2:13">
      <c r="B102" s="3"/>
      <c r="M102" s="64" t="s">
        <v>56</v>
      </c>
    </row>
    <row r="103" spans="2:13">
      <c r="B103" s="3"/>
    </row>
    <row r="104" spans="2:13">
      <c r="B104" s="3" t="s">
        <v>57</v>
      </c>
      <c r="M104" s="64" t="s">
        <v>60</v>
      </c>
    </row>
    <row r="105" spans="2:13">
      <c r="B105" s="3"/>
      <c r="M105" s="64" t="s">
        <v>55</v>
      </c>
    </row>
    <row r="106" spans="2:13">
      <c r="B106" s="3"/>
      <c r="M106" s="64" t="s">
        <v>31</v>
      </c>
    </row>
    <row r="107" spans="2:13">
      <c r="B107" s="3"/>
      <c r="M107" s="64" t="s">
        <v>56</v>
      </c>
    </row>
    <row r="108" spans="2:13">
      <c r="B108" s="3"/>
    </row>
    <row r="109" spans="2:13">
      <c r="B109" s="3" t="s">
        <v>58</v>
      </c>
      <c r="M109" s="64" t="s">
        <v>60</v>
      </c>
    </row>
    <row r="110" spans="2:13">
      <c r="B110" s="3"/>
      <c r="M110" s="64" t="s">
        <v>59</v>
      </c>
    </row>
    <row r="111" spans="2:13">
      <c r="B111" s="3"/>
      <c r="M111" s="64" t="s">
        <v>31</v>
      </c>
    </row>
    <row r="112" spans="2:13">
      <c r="M112" s="64" t="s">
        <v>32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pageSetUpPr fitToPage="1"/>
  </sheetPr>
  <dimension ref="B1:AI60"/>
  <sheetViews>
    <sheetView zoomScale="117" zoomScaleNormal="100" workbookViewId="0">
      <selection activeCell="C6" sqref="C4:G6"/>
    </sheetView>
  </sheetViews>
  <sheetFormatPr baseColWidth="10" defaultColWidth="10.83203125" defaultRowHeight="16"/>
  <cols>
    <col min="1" max="1" width="3.6640625" style="8" customWidth="1"/>
    <col min="2" max="12" width="11.83203125" style="8" customWidth="1"/>
    <col min="13" max="14" width="11.83203125" style="7" customWidth="1"/>
    <col min="15" max="15" width="25" style="13" customWidth="1"/>
    <col min="16" max="16" width="5.6640625" style="7" bestFit="1" customWidth="1"/>
    <col min="17" max="17" width="9.1640625" style="9" bestFit="1" customWidth="1"/>
    <col min="18" max="18" width="3.6640625" style="8" customWidth="1"/>
    <col min="19" max="19" width="10.83203125" style="5"/>
    <col min="20" max="16384" width="10.83203125" style="8"/>
  </cols>
  <sheetData>
    <row r="1" spans="2:35" ht="17" thickBot="1"/>
    <row r="2" spans="2:35" ht="18" thickTop="1" thickBot="1">
      <c r="B2" s="204" t="s">
        <v>135</v>
      </c>
      <c r="C2" s="205"/>
      <c r="D2" s="205"/>
      <c r="E2" s="205"/>
      <c r="F2" s="205"/>
      <c r="G2" s="205"/>
      <c r="H2" s="205"/>
      <c r="I2" s="205"/>
      <c r="J2" s="205"/>
      <c r="K2" s="205"/>
      <c r="L2" s="205"/>
      <c r="M2" s="205"/>
      <c r="N2" s="205"/>
      <c r="O2" s="205"/>
      <c r="P2" s="205"/>
      <c r="Q2" s="206"/>
    </row>
    <row r="3" spans="2:35" ht="18" thickTop="1" thickBot="1"/>
    <row r="4" spans="2:35" ht="17" customHeight="1" thickBot="1">
      <c r="B4" s="28" t="s">
        <v>86</v>
      </c>
      <c r="C4" s="227"/>
      <c r="D4" s="228"/>
      <c r="E4" s="228"/>
      <c r="F4" s="228"/>
      <c r="G4" s="229"/>
      <c r="H4" s="210" t="s">
        <v>87</v>
      </c>
      <c r="I4" s="211"/>
      <c r="J4" s="212"/>
      <c r="K4" s="55">
        <v>24.428999999999998</v>
      </c>
      <c r="L4" s="246" t="s">
        <v>169</v>
      </c>
      <c r="M4" s="247"/>
      <c r="N4" s="247"/>
      <c r="O4" s="248"/>
      <c r="P4" s="244" t="e">
        <f>IF(GESTEP(K6,S5),(K6*S6*AG9*S7),"0")</f>
        <v>#REF!</v>
      </c>
      <c r="Q4" s="245"/>
      <c r="Y4" s="20"/>
      <c r="Z4" s="20"/>
      <c r="AA4" s="250" t="s">
        <v>114</v>
      </c>
      <c r="AB4" s="250"/>
      <c r="AC4" s="251" t="s">
        <v>129</v>
      </c>
      <c r="AD4" s="251"/>
      <c r="AE4" s="251"/>
      <c r="AF4" s="251"/>
      <c r="AG4" s="251"/>
      <c r="AH4" s="8" t="str">
        <f>MID(AC4,12,1)</f>
        <v>2</v>
      </c>
      <c r="AI4" s="8" t="s">
        <v>107</v>
      </c>
    </row>
    <row r="5" spans="2:35">
      <c r="B5" s="29" t="s">
        <v>88</v>
      </c>
      <c r="C5" s="224"/>
      <c r="D5" s="225"/>
      <c r="E5" s="225"/>
      <c r="F5" s="225"/>
      <c r="G5" s="226"/>
      <c r="H5" s="207" t="s">
        <v>89</v>
      </c>
      <c r="I5" s="208"/>
      <c r="J5" s="209"/>
      <c r="K5" s="38">
        <v>1049</v>
      </c>
      <c r="L5" s="237" t="s">
        <v>144</v>
      </c>
      <c r="M5" s="238"/>
      <c r="N5" s="238"/>
      <c r="O5" s="239"/>
      <c r="P5" s="242" t="s">
        <v>107</v>
      </c>
      <c r="Q5" s="243"/>
      <c r="S5" s="5" t="str">
        <f>IF(P5="SI","150","1")</f>
        <v>150</v>
      </c>
      <c r="Y5" s="20"/>
      <c r="Z5" s="20"/>
      <c r="AA5" s="250" t="s">
        <v>115</v>
      </c>
      <c r="AB5" s="250"/>
      <c r="AC5" s="249" t="s">
        <v>116</v>
      </c>
      <c r="AD5" s="249"/>
      <c r="AE5" s="249"/>
      <c r="AF5" s="249"/>
      <c r="AG5" s="21" t="e">
        <f>IF($AC$4="","",(LOOKUP($AC$4,#REF!,#REF!)))</f>
        <v>#REF!</v>
      </c>
      <c r="AI5" s="8" t="s">
        <v>108</v>
      </c>
    </row>
    <row r="6" spans="2:35">
      <c r="B6" s="29" t="s">
        <v>90</v>
      </c>
      <c r="C6" s="224"/>
      <c r="D6" s="225"/>
      <c r="E6" s="225"/>
      <c r="F6" s="225"/>
      <c r="G6" s="226"/>
      <c r="H6" s="207" t="s">
        <v>164</v>
      </c>
      <c r="I6" s="208"/>
      <c r="J6" s="209"/>
      <c r="K6" s="38">
        <v>1049</v>
      </c>
      <c r="L6" s="234" t="s">
        <v>142</v>
      </c>
      <c r="M6" s="235"/>
      <c r="N6" s="235"/>
      <c r="O6" s="236"/>
      <c r="P6" s="240" t="s">
        <v>108</v>
      </c>
      <c r="Q6" s="241"/>
      <c r="S6" s="5" t="str">
        <f>IF(P6="SI","0.75","1")</f>
        <v>1</v>
      </c>
      <c r="Y6" s="20"/>
      <c r="Z6" s="20"/>
      <c r="AA6" s="250"/>
      <c r="AB6" s="250"/>
      <c r="AC6" s="249" t="s">
        <v>117</v>
      </c>
      <c r="AD6" s="249"/>
      <c r="AE6" s="249"/>
      <c r="AF6" s="249"/>
      <c r="AG6" s="21" t="e">
        <f>IF($AC$4="","",(LOOKUP($AC$4,#REF!,#REF!)))</f>
        <v>#REF!</v>
      </c>
    </row>
    <row r="7" spans="2:35" ht="17" thickBot="1">
      <c r="B7" s="29" t="s">
        <v>91</v>
      </c>
      <c r="C7" s="32" t="s">
        <v>92</v>
      </c>
      <c r="D7" s="223" t="s">
        <v>93</v>
      </c>
      <c r="E7" s="208"/>
      <c r="F7" s="209"/>
      <c r="G7" s="34">
        <v>0</v>
      </c>
      <c r="H7" s="207" t="s">
        <v>94</v>
      </c>
      <c r="I7" s="208"/>
      <c r="J7" s="209"/>
      <c r="K7" s="17">
        <f>ROUNDUP((K10/K6),1)</f>
        <v>5.8</v>
      </c>
      <c r="L7" s="234" t="s">
        <v>143</v>
      </c>
      <c r="M7" s="235"/>
      <c r="N7" s="235"/>
      <c r="O7" s="236"/>
      <c r="P7" s="230" t="s">
        <v>107</v>
      </c>
      <c r="Q7" s="231"/>
      <c r="S7" s="5" t="str">
        <f>IF(P7="SI","0.00","1")</f>
        <v>0.00</v>
      </c>
      <c r="Y7" s="20"/>
      <c r="Z7" s="20"/>
      <c r="AA7" s="250" t="s">
        <v>118</v>
      </c>
      <c r="AB7" s="250"/>
      <c r="AC7" s="249" t="s">
        <v>119</v>
      </c>
      <c r="AD7" s="249"/>
      <c r="AE7" s="249" t="s">
        <v>120</v>
      </c>
      <c r="AF7" s="249"/>
      <c r="AG7" s="21" t="e">
        <f>IF($AC$4="","",(LOOKUP($AC$4,#REF!,#REF!)))</f>
        <v>#REF!</v>
      </c>
      <c r="AI7" s="8" t="s">
        <v>132</v>
      </c>
    </row>
    <row r="8" spans="2:35" ht="17" thickBot="1">
      <c r="B8" s="29" t="s">
        <v>95</v>
      </c>
      <c r="C8" s="32" t="s">
        <v>92</v>
      </c>
      <c r="D8" s="216" t="s">
        <v>96</v>
      </c>
      <c r="E8" s="217"/>
      <c r="F8" s="218"/>
      <c r="G8" s="34">
        <v>0</v>
      </c>
      <c r="H8" s="222" t="s">
        <v>103</v>
      </c>
      <c r="I8" s="217"/>
      <c r="J8" s="218"/>
      <c r="K8" s="38">
        <v>0</v>
      </c>
      <c r="L8" s="207" t="s">
        <v>168</v>
      </c>
      <c r="M8" s="208"/>
      <c r="N8" s="208"/>
      <c r="O8" s="208"/>
      <c r="P8" s="232">
        <f>ROUND((((100000*2.6/-(0.000085*POWER((K7*3-1),5)+13))+25000)/100000)*K6*S9*S8,2)</f>
        <v>309.77999999999997</v>
      </c>
      <c r="Q8" s="233"/>
      <c r="S8" s="5" t="str">
        <f>IF(P9="RESIDENCIAL","1","1.3")</f>
        <v>1.3</v>
      </c>
      <c r="V8" s="5"/>
      <c r="Y8" s="20"/>
      <c r="Z8" s="20"/>
      <c r="AA8" s="250"/>
      <c r="AB8" s="250"/>
      <c r="AC8" s="249"/>
      <c r="AD8" s="249"/>
      <c r="AE8" s="249" t="s">
        <v>121</v>
      </c>
      <c r="AF8" s="249"/>
      <c r="AG8" s="21" t="e">
        <f>IF($AC$4="","",(LOOKUP($AC$4,#REF!,#REF!)))</f>
        <v>#REF!</v>
      </c>
      <c r="AI8" s="8" t="s">
        <v>133</v>
      </c>
    </row>
    <row r="9" spans="2:35">
      <c r="B9" s="29" t="s">
        <v>97</v>
      </c>
      <c r="C9" s="32" t="s">
        <v>92</v>
      </c>
      <c r="D9" s="216" t="s">
        <v>98</v>
      </c>
      <c r="E9" s="217"/>
      <c r="F9" s="218"/>
      <c r="G9" s="34">
        <v>0</v>
      </c>
      <c r="H9" s="222" t="s">
        <v>104</v>
      </c>
      <c r="I9" s="217"/>
      <c r="J9" s="218"/>
      <c r="K9" s="38">
        <v>0</v>
      </c>
      <c r="L9" s="222" t="s">
        <v>131</v>
      </c>
      <c r="M9" s="217"/>
      <c r="N9" s="217"/>
      <c r="O9" s="218"/>
      <c r="P9" s="288" t="s">
        <v>133</v>
      </c>
      <c r="Q9" s="289"/>
      <c r="S9" s="5" t="str">
        <f>IF(P10="SI","0.75","1")</f>
        <v>1</v>
      </c>
      <c r="Y9" s="20"/>
      <c r="Z9" s="20"/>
      <c r="AA9" s="250"/>
      <c r="AB9" s="250"/>
      <c r="AC9" s="249" t="s">
        <v>122</v>
      </c>
      <c r="AD9" s="249"/>
      <c r="AE9" s="249"/>
      <c r="AF9" s="249"/>
      <c r="AG9" s="23" t="e">
        <f>IF($AC$4="","",(LOOKUP($AC$4,#REF!,#REF!)))</f>
        <v>#REF!</v>
      </c>
    </row>
    <row r="10" spans="2:35" ht="17" thickBot="1">
      <c r="B10" s="30" t="s">
        <v>100</v>
      </c>
      <c r="C10" s="33" t="s">
        <v>92</v>
      </c>
      <c r="D10" s="213" t="s">
        <v>101</v>
      </c>
      <c r="E10" s="214"/>
      <c r="F10" s="215"/>
      <c r="G10" s="35">
        <v>0</v>
      </c>
      <c r="H10" s="219" t="s">
        <v>105</v>
      </c>
      <c r="I10" s="220"/>
      <c r="J10" s="221"/>
      <c r="K10" s="39">
        <v>6076.37</v>
      </c>
      <c r="L10" s="290" t="s">
        <v>130</v>
      </c>
      <c r="M10" s="214"/>
      <c r="N10" s="214"/>
      <c r="O10" s="215"/>
      <c r="P10" s="230" t="s">
        <v>108</v>
      </c>
      <c r="Q10" s="231"/>
      <c r="Y10" s="20"/>
      <c r="Z10" s="20"/>
      <c r="AA10" s="250"/>
      <c r="AB10" s="250"/>
      <c r="AC10" s="249" t="s">
        <v>99</v>
      </c>
      <c r="AD10" s="249"/>
      <c r="AE10" s="262" t="s">
        <v>123</v>
      </c>
      <c r="AF10" s="262"/>
      <c r="AG10" s="21" t="e">
        <f>IF($AC$4="","",(LOOKUP($AC$4,#REF!,#REF!)))</f>
        <v>#REF!</v>
      </c>
    </row>
    <row r="11" spans="2:35" ht="17" thickBot="1">
      <c r="H11" s="9"/>
      <c r="O11" s="24"/>
      <c r="Y11" s="20"/>
      <c r="Z11" s="20"/>
      <c r="AA11" s="250"/>
      <c r="AB11" s="250"/>
      <c r="AC11" s="249"/>
      <c r="AD11" s="249"/>
      <c r="AE11" s="262" t="s">
        <v>124</v>
      </c>
      <c r="AF11" s="262"/>
      <c r="AG11" s="21" t="e">
        <f>IF($AC$4="","",(LOOKUP($AC$4,#REF!,#REF!)))</f>
        <v>#REF!</v>
      </c>
    </row>
    <row r="12" spans="2:35" ht="17" customHeight="1">
      <c r="B12" s="210" t="s">
        <v>109</v>
      </c>
      <c r="C12" s="211"/>
      <c r="D12" s="212"/>
      <c r="E12" s="286">
        <v>0</v>
      </c>
      <c r="F12" s="287"/>
      <c r="G12" s="272" t="s">
        <v>110</v>
      </c>
      <c r="H12" s="211"/>
      <c r="I12" s="211"/>
      <c r="J12" s="212"/>
      <c r="K12" s="43" t="e">
        <f>IF(GESTEP(E12,(K10*AG17)),"SI","NO")</f>
        <v>#REF!</v>
      </c>
      <c r="L12" s="273" t="s">
        <v>113</v>
      </c>
      <c r="M12" s="274"/>
      <c r="N12" s="274"/>
      <c r="O12" s="275"/>
      <c r="P12" s="279" t="e">
        <f>IF(GESTEP(S14,1),"NO","SI")</f>
        <v>#REF!</v>
      </c>
      <c r="Q12" s="280"/>
      <c r="S12" s="25" t="e">
        <f>IF(K12="SI","1","0")</f>
        <v>#REF!</v>
      </c>
      <c r="Y12" s="20"/>
      <c r="Z12" s="20"/>
      <c r="AA12" s="250"/>
      <c r="AB12" s="250"/>
      <c r="AC12" s="249"/>
      <c r="AD12" s="249"/>
      <c r="AE12" s="262" t="s">
        <v>125</v>
      </c>
      <c r="AF12" s="262"/>
      <c r="AG12" s="22" t="e">
        <f>IF($AC$4="","",(LOOKUP($AC$4,#REF!,#REF!)))</f>
        <v>#REF!</v>
      </c>
    </row>
    <row r="13" spans="2:35" ht="17" thickBot="1">
      <c r="B13" s="219" t="s">
        <v>111</v>
      </c>
      <c r="C13" s="220"/>
      <c r="D13" s="221"/>
      <c r="E13" s="284">
        <v>6076.37</v>
      </c>
      <c r="F13" s="285"/>
      <c r="G13" s="283" t="s">
        <v>112</v>
      </c>
      <c r="H13" s="220"/>
      <c r="I13" s="220"/>
      <c r="J13" s="221"/>
      <c r="K13" s="37" t="e">
        <f>IF(GESTEP(E13,AG18),"NO","SI")</f>
        <v>#REF!</v>
      </c>
      <c r="L13" s="276"/>
      <c r="M13" s="277"/>
      <c r="N13" s="277"/>
      <c r="O13" s="278"/>
      <c r="P13" s="281"/>
      <c r="Q13" s="282"/>
      <c r="S13" s="25" t="e">
        <f>IF(K13="SI","1","0")</f>
        <v>#REF!</v>
      </c>
      <c r="Y13" s="20"/>
      <c r="Z13" s="20"/>
      <c r="AA13" s="250"/>
      <c r="AB13" s="250"/>
      <c r="AC13" s="249" t="s">
        <v>102</v>
      </c>
      <c r="AD13" s="249"/>
      <c r="AE13" s="262" t="s">
        <v>123</v>
      </c>
      <c r="AF13" s="262"/>
      <c r="AG13" s="21" t="e">
        <f>IF($AC$4="","",(LOOKUP($AC$4,#REF!,#REF!)))</f>
        <v>#REF!</v>
      </c>
    </row>
    <row r="14" spans="2:35" ht="17" thickBot="1">
      <c r="B14" s="31"/>
      <c r="C14" s="31"/>
      <c r="D14" s="31"/>
      <c r="G14" s="31"/>
      <c r="H14" s="31"/>
      <c r="I14" s="31"/>
      <c r="J14" s="31"/>
      <c r="L14" s="42"/>
      <c r="M14" s="42"/>
      <c r="N14" s="42"/>
      <c r="O14" s="42"/>
      <c r="P14" s="41"/>
      <c r="Q14" s="41"/>
      <c r="S14" s="25" t="e">
        <f>S13+S12</f>
        <v>#REF!</v>
      </c>
      <c r="Y14" s="20"/>
      <c r="Z14" s="20"/>
      <c r="AA14" s="250"/>
      <c r="AB14" s="250"/>
      <c r="AC14" s="249"/>
      <c r="AD14" s="249"/>
      <c r="AE14" s="262" t="s">
        <v>124</v>
      </c>
      <c r="AF14" s="262"/>
      <c r="AG14" s="21" t="e">
        <f>IF($AC$4="","",(LOOKUP($AC$4,#REF!,#REF!)))</f>
        <v>#REF!</v>
      </c>
    </row>
    <row r="15" spans="2:35" ht="18" thickTop="1" thickBot="1">
      <c r="B15" s="204" t="s">
        <v>154</v>
      </c>
      <c r="C15" s="205"/>
      <c r="D15" s="205"/>
      <c r="E15" s="205"/>
      <c r="F15" s="205"/>
      <c r="G15" s="205"/>
      <c r="H15" s="205"/>
      <c r="I15" s="205"/>
      <c r="J15" s="205"/>
      <c r="K15" s="205"/>
      <c r="L15" s="205"/>
      <c r="M15" s="205"/>
      <c r="N15" s="205"/>
      <c r="O15" s="205"/>
      <c r="P15" s="205"/>
      <c r="Q15" s="206"/>
      <c r="Y15" s="20"/>
      <c r="Z15" s="20"/>
      <c r="AA15" s="250"/>
      <c r="AB15" s="250"/>
      <c r="AC15" s="249"/>
      <c r="AD15" s="249"/>
      <c r="AE15" s="255" t="s">
        <v>125</v>
      </c>
      <c r="AF15" s="257"/>
      <c r="AG15" s="22" t="e">
        <f>IF($AC$4="","",(LOOKUP($AC$4,#REF!,#REF!)))</f>
        <v>#REF!</v>
      </c>
    </row>
    <row r="16" spans="2:35" ht="17" thickTop="1">
      <c r="B16" s="31"/>
      <c r="C16" s="271" t="s">
        <v>140</v>
      </c>
      <c r="D16" s="271"/>
      <c r="E16" s="271"/>
      <c r="F16" s="271"/>
      <c r="G16" s="271"/>
      <c r="H16" s="45"/>
      <c r="I16" s="45"/>
      <c r="J16" s="45"/>
      <c r="K16" s="45"/>
      <c r="L16" s="44"/>
      <c r="M16" s="44"/>
      <c r="N16" s="42"/>
      <c r="O16" s="42"/>
      <c r="P16" s="41"/>
      <c r="Q16" s="41"/>
      <c r="Y16" s="20"/>
      <c r="Z16" s="20"/>
      <c r="AA16" s="250"/>
      <c r="AB16" s="250"/>
      <c r="AC16" s="255" t="s">
        <v>106</v>
      </c>
      <c r="AD16" s="256"/>
      <c r="AE16" s="256"/>
      <c r="AF16" s="257"/>
      <c r="AG16" s="21" t="e">
        <f>IF($AC$4="","",(LOOKUP($AC$4,#REF!,#REF!)))</f>
        <v>#REF!</v>
      </c>
    </row>
    <row r="17" spans="2:34" ht="50" customHeight="1">
      <c r="B17" s="47" t="str">
        <f>MID(C17,1,1)</f>
        <v>B</v>
      </c>
      <c r="C17" s="267" t="s">
        <v>150</v>
      </c>
      <c r="D17" s="267"/>
      <c r="E17" s="267"/>
      <c r="F17" s="267"/>
      <c r="G17" s="268" t="str">
        <f>IF(C17="","",(LOOKUP(C17,DATA!P2:P6,DATA!Q2:Q6)))</f>
        <v>Es aquel incentivo que reduce el costo de la licencia de construcción que se está solicitando para el proyecto en cuestión. El otorgamiento de incentivo de reducción de costo de licencia de construcción se podrán aplicar en proyectos de obra de construcción únicamente.</v>
      </c>
      <c r="H17" s="268"/>
      <c r="I17" s="268"/>
      <c r="J17" s="268"/>
      <c r="K17" s="268"/>
      <c r="L17" s="268"/>
      <c r="M17" s="268"/>
      <c r="N17" s="268"/>
      <c r="O17" s="268"/>
      <c r="P17" s="268"/>
      <c r="Q17" s="268"/>
      <c r="Y17" s="20"/>
      <c r="Z17" s="20"/>
      <c r="AA17" s="258" t="s">
        <v>126</v>
      </c>
      <c r="AB17" s="259"/>
      <c r="AC17" s="255" t="s">
        <v>127</v>
      </c>
      <c r="AD17" s="256"/>
      <c r="AE17" s="256"/>
      <c r="AF17" s="257"/>
      <c r="AG17" s="23" t="e">
        <f>IF($AC$4="","",(LOOKUP($AC$4,#REF!,#REF!)))</f>
        <v>#REF!</v>
      </c>
      <c r="AH17" s="8">
        <v>1.3</v>
      </c>
    </row>
    <row r="18" spans="2:34" ht="50" customHeight="1">
      <c r="B18" s="47" t="str">
        <f>MID(C18,1,1)</f>
        <v>C</v>
      </c>
      <c r="C18" s="267" t="s">
        <v>151</v>
      </c>
      <c r="D18" s="267"/>
      <c r="E18" s="267"/>
      <c r="F18" s="267"/>
      <c r="G18" s="268" t="str">
        <f>IF(C18="","",(LOOKUP(C18,DATA!P3:P7,DATA!Q3:Q7)))</f>
        <v>Es aquel incentivo que reduce el porcentaje de permeabilidad acorde al sector que corresponda y únicamente para el proyecto en cuestión. El otorgamiento de incentivo de reducción porcentaje de permeabilidad no aplica para solicitudes de licencias de obra de urbanización.</v>
      </c>
      <c r="H18" s="268"/>
      <c r="I18" s="268"/>
      <c r="J18" s="268"/>
      <c r="K18" s="268"/>
      <c r="L18" s="268"/>
      <c r="M18" s="268"/>
      <c r="N18" s="268"/>
      <c r="O18" s="268"/>
      <c r="P18" s="268"/>
      <c r="Q18" s="268"/>
      <c r="Y18" s="20"/>
      <c r="Z18" s="20"/>
      <c r="AA18" s="260"/>
      <c r="AB18" s="261"/>
      <c r="AC18" s="252" t="s">
        <v>128</v>
      </c>
      <c r="AD18" s="253"/>
      <c r="AE18" s="253"/>
      <c r="AF18" s="254"/>
      <c r="AG18" s="21" t="e">
        <f>IF($AC$4="","",(LOOKUP($AC$4,#REF!,#REF!)))</f>
        <v>#REF!</v>
      </c>
    </row>
    <row r="19" spans="2:34">
      <c r="B19" s="31"/>
      <c r="C19" s="31"/>
      <c r="D19" s="31"/>
      <c r="G19" s="31"/>
      <c r="H19" s="31"/>
      <c r="I19" s="31"/>
      <c r="J19" s="31"/>
      <c r="L19" s="42"/>
      <c r="M19" s="42"/>
      <c r="N19" s="42"/>
      <c r="O19" s="42"/>
      <c r="P19" s="41"/>
      <c r="Q19" s="41"/>
    </row>
    <row r="20" spans="2:34" ht="35" customHeight="1">
      <c r="B20" s="266" t="s">
        <v>161</v>
      </c>
      <c r="C20" s="266"/>
      <c r="D20" s="266"/>
      <c r="E20" s="266"/>
      <c r="F20" s="266"/>
      <c r="G20" s="266"/>
      <c r="H20" s="266"/>
      <c r="I20" s="266"/>
      <c r="J20" s="266"/>
      <c r="K20" s="266"/>
      <c r="L20" s="266"/>
      <c r="M20" s="266"/>
      <c r="N20" s="266"/>
      <c r="O20" s="266"/>
      <c r="P20" s="266"/>
      <c r="Q20" s="266"/>
    </row>
    <row r="21" spans="2:34" ht="50" customHeight="1">
      <c r="B21" s="266" t="s">
        <v>160</v>
      </c>
      <c r="C21" s="266"/>
      <c r="D21" s="266"/>
      <c r="E21" s="266"/>
      <c r="F21" s="266"/>
      <c r="G21" s="266"/>
      <c r="H21" s="266"/>
      <c r="I21" s="266"/>
      <c r="J21" s="266"/>
      <c r="K21" s="266"/>
      <c r="L21" s="266"/>
      <c r="M21" s="266"/>
      <c r="N21" s="266"/>
      <c r="O21" s="266"/>
      <c r="P21" s="266"/>
      <c r="Q21" s="266"/>
    </row>
    <row r="22" spans="2:34" ht="34" customHeight="1">
      <c r="B22" s="269" t="s">
        <v>162</v>
      </c>
      <c r="C22" s="269"/>
      <c r="D22" s="269"/>
      <c r="E22" s="269"/>
      <c r="F22" s="269"/>
      <c r="G22" s="269"/>
      <c r="H22" s="269"/>
      <c r="I22" s="269"/>
      <c r="J22" s="269"/>
      <c r="K22" s="269"/>
      <c r="L22" s="269"/>
      <c r="M22" s="269"/>
      <c r="N22" s="269"/>
      <c r="O22" s="269"/>
      <c r="P22" s="269"/>
      <c r="Q22" s="269"/>
    </row>
    <row r="23" spans="2:34" ht="17" thickBot="1">
      <c r="B23" s="270"/>
      <c r="C23" s="270"/>
      <c r="D23" s="270"/>
      <c r="E23" s="270"/>
      <c r="F23" s="270"/>
      <c r="G23" s="270"/>
      <c r="H23" s="270"/>
      <c r="I23" s="270"/>
      <c r="J23" s="270"/>
      <c r="K23" s="270"/>
      <c r="L23" s="270"/>
      <c r="M23" s="270"/>
      <c r="N23" s="270"/>
      <c r="O23" s="270"/>
      <c r="P23" s="270"/>
      <c r="Q23" s="270"/>
    </row>
    <row r="24" spans="2:34" ht="18" thickTop="1" thickBot="1">
      <c r="B24" s="204" t="s">
        <v>134</v>
      </c>
      <c r="C24" s="205"/>
      <c r="D24" s="205"/>
      <c r="E24" s="205"/>
      <c r="F24" s="205"/>
      <c r="G24" s="205"/>
      <c r="H24" s="205"/>
      <c r="I24" s="205"/>
      <c r="J24" s="205"/>
      <c r="K24" s="205"/>
      <c r="L24" s="205"/>
      <c r="M24" s="205"/>
      <c r="N24" s="205"/>
      <c r="O24" s="205"/>
      <c r="P24" s="205"/>
      <c r="Q24" s="206"/>
    </row>
    <row r="25" spans="2:34" ht="50" customHeight="1" thickTop="1">
      <c r="B25" s="266" t="s">
        <v>165</v>
      </c>
      <c r="C25" s="266"/>
      <c r="D25" s="266"/>
      <c r="E25" s="266"/>
      <c r="F25" s="266"/>
      <c r="G25" s="266"/>
      <c r="H25" s="266"/>
      <c r="I25" s="266"/>
      <c r="J25" s="266"/>
      <c r="K25" s="266"/>
      <c r="L25" s="266"/>
      <c r="M25" s="266"/>
      <c r="N25" s="266"/>
      <c r="O25" s="266"/>
      <c r="P25" s="266"/>
      <c r="Q25" s="266"/>
    </row>
    <row r="26" spans="2:34">
      <c r="B26" s="266" t="s">
        <v>167</v>
      </c>
      <c r="C26" s="266"/>
      <c r="D26" s="266"/>
      <c r="E26" s="266"/>
      <c r="F26" s="266"/>
      <c r="G26" s="266"/>
      <c r="H26" s="266"/>
      <c r="I26" s="266"/>
      <c r="J26" s="266"/>
      <c r="K26" s="266"/>
      <c r="L26" s="266"/>
      <c r="M26" s="266"/>
      <c r="N26" s="266"/>
      <c r="O26" s="266"/>
      <c r="P26" s="266"/>
      <c r="Q26" s="266"/>
    </row>
    <row r="27" spans="2:34" ht="17" thickBot="1">
      <c r="B27" s="53"/>
      <c r="C27" s="53"/>
      <c r="D27" s="53"/>
      <c r="E27" s="53"/>
      <c r="F27" s="53"/>
      <c r="G27" s="53"/>
      <c r="H27" s="53"/>
      <c r="I27" s="53"/>
      <c r="J27" s="53"/>
      <c r="K27" s="53"/>
      <c r="L27" s="53"/>
      <c r="M27" s="53"/>
      <c r="N27" s="53"/>
      <c r="O27" s="53"/>
      <c r="P27" s="53"/>
      <c r="Q27" s="53"/>
    </row>
    <row r="28" spans="2:34" ht="34">
      <c r="B28" s="54" t="s">
        <v>166</v>
      </c>
      <c r="L28" s="56" t="s">
        <v>163</v>
      </c>
      <c r="M28" s="51" t="s">
        <v>77</v>
      </c>
      <c r="N28" s="51" t="s">
        <v>78</v>
      </c>
      <c r="O28" s="50" t="s">
        <v>81</v>
      </c>
      <c r="P28" s="52"/>
      <c r="Q28" s="52" t="s">
        <v>82</v>
      </c>
    </row>
    <row r="29" spans="2:34">
      <c r="B29" s="1" t="s">
        <v>0</v>
      </c>
      <c r="C29" s="1"/>
      <c r="D29" s="1"/>
      <c r="E29" s="1"/>
      <c r="F29" s="1"/>
      <c r="G29" s="1"/>
      <c r="H29" s="1"/>
      <c r="I29" s="1"/>
      <c r="J29" s="1"/>
      <c r="K29" s="1"/>
      <c r="L29" s="57"/>
      <c r="N29" s="6"/>
    </row>
    <row r="30" spans="2:34">
      <c r="B30" s="26" t="s">
        <v>1</v>
      </c>
      <c r="C30" s="27"/>
      <c r="D30" s="27"/>
      <c r="E30" s="27"/>
      <c r="F30" s="27"/>
      <c r="G30" s="27"/>
      <c r="H30" s="27"/>
      <c r="I30" s="27"/>
      <c r="J30" s="27"/>
      <c r="K30" s="27"/>
      <c r="L30" s="58" t="s">
        <v>108</v>
      </c>
      <c r="M30" s="11"/>
      <c r="N30" s="11"/>
      <c r="O30" s="36" t="s">
        <v>60</v>
      </c>
      <c r="P30" s="11"/>
      <c r="Q30" s="12" t="str">
        <f>IF(L30="SI",(MID(O30,1,2)),"0.00")</f>
        <v>0.00</v>
      </c>
    </row>
    <row r="31" spans="2:34">
      <c r="B31" s="26" t="s">
        <v>2</v>
      </c>
      <c r="C31" s="27"/>
      <c r="D31" s="27"/>
      <c r="E31" s="27"/>
      <c r="F31" s="27"/>
      <c r="G31" s="27"/>
      <c r="H31" s="27"/>
      <c r="I31" s="27"/>
      <c r="J31" s="27"/>
      <c r="K31" s="27"/>
      <c r="L31" s="58" t="s">
        <v>108</v>
      </c>
      <c r="M31" s="48">
        <f>K5</f>
        <v>1049</v>
      </c>
      <c r="N31" s="48">
        <v>0</v>
      </c>
      <c r="O31" s="36" t="s">
        <v>60</v>
      </c>
      <c r="P31" s="11" t="str">
        <f>IF(L31="SI",(MID(O31,1,2)),"0.00")</f>
        <v>0.00</v>
      </c>
      <c r="Q31" s="12">
        <f>((N31/M31)*100)*P31</f>
        <v>0</v>
      </c>
    </row>
    <row r="32" spans="2:34">
      <c r="B32" s="26" t="s">
        <v>3</v>
      </c>
      <c r="C32" s="27"/>
      <c r="D32" s="27"/>
      <c r="E32" s="27"/>
      <c r="F32" s="27"/>
      <c r="G32" s="27"/>
      <c r="H32" s="27"/>
      <c r="I32" s="27"/>
      <c r="J32" s="27"/>
      <c r="K32" s="27"/>
      <c r="L32" s="58" t="s">
        <v>108</v>
      </c>
      <c r="M32" s="11"/>
      <c r="N32" s="11"/>
      <c r="O32" s="36" t="s">
        <v>60</v>
      </c>
      <c r="P32" s="11"/>
      <c r="Q32" s="12" t="str">
        <f>IF(L32="SI",(MID(O32,1,2)),"0.00")</f>
        <v>0.00</v>
      </c>
    </row>
    <row r="33" spans="2:17">
      <c r="B33" s="1" t="s">
        <v>4</v>
      </c>
      <c r="C33" s="1"/>
      <c r="D33" s="1"/>
      <c r="E33" s="1"/>
      <c r="F33" s="1"/>
      <c r="G33" s="1"/>
      <c r="H33" s="1"/>
      <c r="I33" s="1"/>
      <c r="J33" s="1"/>
      <c r="K33" s="1"/>
      <c r="L33" s="59"/>
      <c r="N33" s="6"/>
      <c r="O33" s="14"/>
      <c r="Q33" s="10"/>
    </row>
    <row r="34" spans="2:17">
      <c r="B34" s="26" t="s">
        <v>5</v>
      </c>
      <c r="C34" s="27"/>
      <c r="D34" s="27"/>
      <c r="E34" s="27"/>
      <c r="F34" s="27"/>
      <c r="G34" s="27"/>
      <c r="H34" s="27"/>
      <c r="I34" s="27"/>
      <c r="J34" s="27"/>
      <c r="K34" s="27"/>
      <c r="L34" s="58" t="s">
        <v>108</v>
      </c>
      <c r="M34" s="11"/>
      <c r="N34" s="11"/>
      <c r="O34" s="36" t="s">
        <v>60</v>
      </c>
      <c r="P34" s="11"/>
      <c r="Q34" s="12" t="str">
        <f t="shared" ref="Q34:Q40" si="0">IF(L34="SI",(MID(O34,1,2)),"0.00")</f>
        <v>0.00</v>
      </c>
    </row>
    <row r="35" spans="2:17">
      <c r="B35" s="26" t="s">
        <v>6</v>
      </c>
      <c r="C35" s="27"/>
      <c r="D35" s="27"/>
      <c r="E35" s="27"/>
      <c r="F35" s="27"/>
      <c r="G35" s="27"/>
      <c r="H35" s="27"/>
      <c r="I35" s="27"/>
      <c r="J35" s="27"/>
      <c r="K35" s="27"/>
      <c r="L35" s="58" t="s">
        <v>107</v>
      </c>
      <c r="M35" s="11"/>
      <c r="N35" s="11"/>
      <c r="O35" s="36" t="s">
        <v>69</v>
      </c>
      <c r="P35" s="11"/>
      <c r="Q35" s="12" t="str">
        <f t="shared" si="0"/>
        <v>NO</v>
      </c>
    </row>
    <row r="36" spans="2:17">
      <c r="B36" s="26" t="s">
        <v>7</v>
      </c>
      <c r="C36" s="27"/>
      <c r="D36" s="27"/>
      <c r="E36" s="27"/>
      <c r="F36" s="27"/>
      <c r="G36" s="27"/>
      <c r="H36" s="27"/>
      <c r="I36" s="27"/>
      <c r="J36" s="27"/>
      <c r="K36" s="27"/>
      <c r="L36" s="58" t="s">
        <v>108</v>
      </c>
      <c r="M36" s="11"/>
      <c r="N36" s="11"/>
      <c r="O36" s="36" t="s">
        <v>60</v>
      </c>
      <c r="P36" s="11"/>
      <c r="Q36" s="12" t="str">
        <f t="shared" si="0"/>
        <v>0.00</v>
      </c>
    </row>
    <row r="37" spans="2:17">
      <c r="B37" s="26" t="s">
        <v>8</v>
      </c>
      <c r="C37" s="27"/>
      <c r="D37" s="27"/>
      <c r="E37" s="27"/>
      <c r="F37" s="27"/>
      <c r="G37" s="27"/>
      <c r="H37" s="27"/>
      <c r="I37" s="27"/>
      <c r="J37" s="27"/>
      <c r="K37" s="27"/>
      <c r="L37" s="58" t="s">
        <v>108</v>
      </c>
      <c r="M37" s="11"/>
      <c r="N37" s="11"/>
      <c r="O37" s="36" t="s">
        <v>60</v>
      </c>
      <c r="P37" s="11"/>
      <c r="Q37" s="12" t="str">
        <f t="shared" si="0"/>
        <v>0.00</v>
      </c>
    </row>
    <row r="38" spans="2:17" ht="26">
      <c r="B38" s="26" t="s">
        <v>9</v>
      </c>
      <c r="C38" s="27"/>
      <c r="D38" s="27"/>
      <c r="E38" s="27"/>
      <c r="F38" s="27"/>
      <c r="G38" s="27"/>
      <c r="H38" s="27"/>
      <c r="I38" s="27"/>
      <c r="J38" s="27"/>
      <c r="K38" s="27"/>
      <c r="L38" s="58" t="s">
        <v>107</v>
      </c>
      <c r="M38" s="11"/>
      <c r="N38" s="11"/>
      <c r="O38" s="36" t="s">
        <v>84</v>
      </c>
      <c r="P38" s="11"/>
      <c r="Q38" s="12" t="str">
        <f t="shared" si="0"/>
        <v>20</v>
      </c>
    </row>
    <row r="39" spans="2:17">
      <c r="B39" s="26" t="s">
        <v>10</v>
      </c>
      <c r="C39" s="27"/>
      <c r="D39" s="27"/>
      <c r="E39" s="27"/>
      <c r="F39" s="27"/>
      <c r="G39" s="27"/>
      <c r="H39" s="27"/>
      <c r="I39" s="27"/>
      <c r="J39" s="27"/>
      <c r="K39" s="27"/>
      <c r="L39" s="58" t="s">
        <v>108</v>
      </c>
      <c r="M39" s="11"/>
      <c r="N39" s="11"/>
      <c r="O39" s="36" t="s">
        <v>60</v>
      </c>
      <c r="P39" s="11"/>
      <c r="Q39" s="12" t="str">
        <f t="shared" si="0"/>
        <v>0.00</v>
      </c>
    </row>
    <row r="40" spans="2:17" s="5" customFormat="1" ht="18" customHeight="1">
      <c r="B40" s="26" t="s">
        <v>11</v>
      </c>
      <c r="C40" s="27"/>
      <c r="D40" s="27"/>
      <c r="E40" s="27"/>
      <c r="F40" s="27"/>
      <c r="G40" s="27"/>
      <c r="H40" s="27"/>
      <c r="I40" s="27"/>
      <c r="J40" s="27"/>
      <c r="K40" s="27"/>
      <c r="L40" s="58" t="s">
        <v>107</v>
      </c>
      <c r="M40" s="11"/>
      <c r="N40" s="11"/>
      <c r="O40" s="36" t="s">
        <v>45</v>
      </c>
      <c r="P40" s="11"/>
      <c r="Q40" s="12" t="str">
        <f t="shared" si="0"/>
        <v>50</v>
      </c>
    </row>
    <row r="41" spans="2:17" ht="18" customHeight="1">
      <c r="B41" s="1" t="s">
        <v>19</v>
      </c>
      <c r="C41" s="1"/>
      <c r="D41" s="1"/>
      <c r="E41" s="1"/>
      <c r="F41" s="1"/>
      <c r="G41" s="1"/>
      <c r="H41" s="1"/>
      <c r="I41" s="1"/>
      <c r="J41" s="1"/>
      <c r="K41" s="1"/>
      <c r="L41" s="59"/>
      <c r="N41" s="6"/>
      <c r="O41" s="14"/>
      <c r="Q41" s="10"/>
    </row>
    <row r="42" spans="2:17">
      <c r="B42" s="26" t="s">
        <v>20</v>
      </c>
      <c r="C42" s="27"/>
      <c r="D42" s="27"/>
      <c r="E42" s="27"/>
      <c r="F42" s="27"/>
      <c r="G42" s="27"/>
      <c r="H42" s="27"/>
      <c r="I42" s="27"/>
      <c r="J42" s="27"/>
      <c r="K42" s="27"/>
      <c r="L42" s="58" t="s">
        <v>108</v>
      </c>
      <c r="M42" s="11"/>
      <c r="N42" s="11"/>
      <c r="O42" s="36" t="s">
        <v>60</v>
      </c>
      <c r="P42" s="11"/>
      <c r="Q42" s="12" t="str">
        <f>IF(L42="SI",(MID(O42,1,2)),"0.00")</f>
        <v>0.00</v>
      </c>
    </row>
    <row r="43" spans="2:17">
      <c r="B43" s="26" t="s">
        <v>21</v>
      </c>
      <c r="C43" s="27"/>
      <c r="D43" s="27"/>
      <c r="E43" s="27"/>
      <c r="F43" s="27"/>
      <c r="G43" s="27"/>
      <c r="H43" s="27"/>
      <c r="I43" s="27"/>
      <c r="J43" s="27"/>
      <c r="K43" s="27"/>
      <c r="L43" s="58" t="s">
        <v>108</v>
      </c>
      <c r="M43" s="11"/>
      <c r="N43" s="11"/>
      <c r="O43" s="36" t="s">
        <v>60</v>
      </c>
      <c r="P43" s="11"/>
      <c r="Q43" s="12" t="str">
        <f>IF(L43="SI",(MID(O43,1,2)),"0.00")</f>
        <v>0.00</v>
      </c>
    </row>
    <row r="44" spans="2:17" ht="17" thickBot="1">
      <c r="B44" s="26" t="s">
        <v>22</v>
      </c>
      <c r="C44" s="27"/>
      <c r="D44" s="27"/>
      <c r="E44" s="27"/>
      <c r="F44" s="27"/>
      <c r="G44" s="27"/>
      <c r="H44" s="27"/>
      <c r="I44" s="27"/>
      <c r="J44" s="27"/>
      <c r="K44" s="27"/>
      <c r="L44" s="60" t="s">
        <v>108</v>
      </c>
      <c r="M44" s="11"/>
      <c r="N44" s="11"/>
      <c r="O44" s="36" t="s">
        <v>60</v>
      </c>
      <c r="P44" s="11"/>
      <c r="Q44" s="12" t="str">
        <f>IF(L44="SI",(MID(O44,1,2)),"0.00")</f>
        <v>0.00</v>
      </c>
    </row>
    <row r="45" spans="2:17" ht="17" thickBot="1">
      <c r="M45" s="203" t="s">
        <v>79</v>
      </c>
      <c r="N45" s="203"/>
      <c r="O45" s="203"/>
      <c r="P45" s="203"/>
      <c r="Q45" s="7">
        <f>Q30+Q31+Q32+Q34+Q36+Q37+Q38+Q39+Q40+Q42+Q43+Q44</f>
        <v>70</v>
      </c>
    </row>
    <row r="46" spans="2:17" ht="19" thickBot="1">
      <c r="M46" s="200" t="s">
        <v>80</v>
      </c>
      <c r="N46" s="201"/>
      <c r="O46" s="201"/>
      <c r="P46" s="202"/>
      <c r="Q46" s="49">
        <f>IF(Q45&gt;100,"100.00",Q45)</f>
        <v>70</v>
      </c>
    </row>
    <row r="47" spans="2:17" ht="17" thickBot="1"/>
    <row r="48" spans="2:17" ht="18" thickTop="1" thickBot="1">
      <c r="B48" s="204" t="s">
        <v>136</v>
      </c>
      <c r="C48" s="205"/>
      <c r="D48" s="205"/>
      <c r="E48" s="205"/>
      <c r="F48" s="205"/>
      <c r="G48" s="205"/>
      <c r="H48" s="205"/>
      <c r="I48" s="205"/>
      <c r="J48" s="205"/>
      <c r="K48" s="205"/>
      <c r="L48" s="205"/>
      <c r="M48" s="205"/>
      <c r="N48" s="205"/>
      <c r="O48" s="205"/>
      <c r="P48" s="205"/>
      <c r="Q48" s="206"/>
    </row>
    <row r="49" spans="2:17" ht="17" thickTop="1"/>
    <row r="50" spans="2:17" ht="70" customHeight="1">
      <c r="B50" s="266" t="s">
        <v>170</v>
      </c>
      <c r="C50" s="266"/>
      <c r="D50" s="266"/>
      <c r="E50" s="266"/>
      <c r="F50" s="266"/>
      <c r="G50" s="266"/>
      <c r="H50" s="266"/>
      <c r="I50" s="266"/>
      <c r="J50" s="266"/>
      <c r="K50" s="266"/>
      <c r="L50" s="266"/>
      <c r="M50" s="266"/>
      <c r="N50" s="266"/>
      <c r="O50" s="266"/>
      <c r="P50" s="266"/>
      <c r="Q50" s="266"/>
    </row>
    <row r="51" spans="2:17" ht="44" customHeight="1">
      <c r="B51" s="266" t="s">
        <v>171</v>
      </c>
      <c r="C51" s="266"/>
      <c r="D51" s="266"/>
      <c r="E51" s="266"/>
      <c r="F51" s="266"/>
      <c r="G51" s="266"/>
      <c r="H51" s="266"/>
      <c r="I51" s="266"/>
      <c r="J51" s="266"/>
      <c r="K51" s="266"/>
      <c r="L51" s="266"/>
      <c r="M51" s="266"/>
      <c r="N51" s="266"/>
      <c r="O51" s="266"/>
      <c r="P51" s="266"/>
      <c r="Q51" s="266"/>
    </row>
    <row r="53" spans="2:17" ht="17" thickBot="1">
      <c r="B53" s="5"/>
      <c r="C53" s="264" t="s">
        <v>140</v>
      </c>
      <c r="D53" s="264"/>
      <c r="E53" s="264"/>
      <c r="F53" s="264"/>
      <c r="G53" s="264"/>
      <c r="H53" s="5" t="s">
        <v>141</v>
      </c>
      <c r="I53" s="265" t="s">
        <v>146</v>
      </c>
      <c r="J53" s="265"/>
      <c r="K53" s="5" t="s">
        <v>145</v>
      </c>
      <c r="L53" s="265" t="s">
        <v>147</v>
      </c>
      <c r="M53" s="265"/>
      <c r="N53" s="264" t="s">
        <v>148</v>
      </c>
      <c r="O53" s="264"/>
      <c r="P53" s="264"/>
      <c r="Q53" s="264"/>
    </row>
    <row r="54" spans="2:17" ht="17" thickBot="1">
      <c r="B54" s="15">
        <v>1</v>
      </c>
      <c r="C54" s="263" t="s">
        <v>137</v>
      </c>
      <c r="D54" s="263"/>
      <c r="E54" s="263"/>
      <c r="F54" s="263"/>
      <c r="G54" s="263"/>
      <c r="H54" s="46" t="str">
        <f>IF(B17="A","SI","NO")</f>
        <v>NO</v>
      </c>
      <c r="I54" s="299" t="e">
        <f>IF($AC$4="","",(LOOKUP($AC$4,#REF!,#REF!)))</f>
        <v>#REF!</v>
      </c>
      <c r="J54" s="299"/>
      <c r="K54" s="40" t="e">
        <f>IF($AC$4="","",(LOOKUP($AC$4,#REF!,#REF!)))</f>
        <v>#REF!</v>
      </c>
      <c r="L54" s="297">
        <f>K7</f>
        <v>5.8</v>
      </c>
      <c r="M54" s="298"/>
      <c r="N54" s="294" t="str">
        <f>IF(H54="SI",(I54+(K54*Q46)),"NO OTORGADA")</f>
        <v>NO OTORGADA</v>
      </c>
      <c r="O54" s="295"/>
      <c r="P54" s="295"/>
      <c r="Q54" s="296"/>
    </row>
    <row r="55" spans="2:17">
      <c r="K55" s="5"/>
    </row>
    <row r="56" spans="2:17" ht="17" thickBot="1">
      <c r="I56" s="5"/>
      <c r="J56" s="5"/>
      <c r="K56" s="5"/>
      <c r="N56" s="264" t="s">
        <v>172</v>
      </c>
      <c r="O56" s="264"/>
      <c r="P56" s="264"/>
      <c r="Q56" s="264"/>
    </row>
    <row r="57" spans="2:17" ht="17" thickBot="1">
      <c r="B57" s="16">
        <v>2</v>
      </c>
      <c r="C57" s="208" t="s">
        <v>138</v>
      </c>
      <c r="D57" s="208"/>
      <c r="E57" s="208"/>
      <c r="F57" s="208"/>
      <c r="G57" s="208"/>
      <c r="H57" s="46" t="str">
        <f>IF(B17="B","SI","NO")</f>
        <v>SI</v>
      </c>
      <c r="I57" s="19"/>
      <c r="J57" s="19"/>
      <c r="K57" s="19"/>
      <c r="L57" s="18"/>
      <c r="M57" s="61"/>
      <c r="N57" s="291" t="str">
        <f>_xlfn.IFS(Q46&lt;=24,"0%",Q46&lt;=50,"25%",Q46&lt;=75,"50%",Q46&lt;=100,"75%")</f>
        <v>50%</v>
      </c>
      <c r="O57" s="292"/>
      <c r="P57" s="292"/>
      <c r="Q57" s="293"/>
    </row>
    <row r="59" spans="2:17" ht="17" thickBot="1">
      <c r="N59" s="264" t="s">
        <v>173</v>
      </c>
      <c r="O59" s="264"/>
      <c r="P59" s="264"/>
      <c r="Q59" s="264"/>
    </row>
    <row r="60" spans="2:17" ht="17" thickBot="1">
      <c r="B60" s="16">
        <v>3</v>
      </c>
      <c r="C60" s="208" t="s">
        <v>139</v>
      </c>
      <c r="D60" s="208"/>
      <c r="E60" s="208"/>
      <c r="F60" s="208"/>
      <c r="G60" s="208"/>
      <c r="H60" s="46" t="str">
        <f>IF(B18="C","SI","NO")</f>
        <v>SI</v>
      </c>
      <c r="I60" s="62" t="str">
        <f>IF(H60="SI","1","0.00")</f>
        <v>1</v>
      </c>
      <c r="J60" s="62" t="str">
        <f>IF(Q35="SI","1","0.00")</f>
        <v>0.00</v>
      </c>
      <c r="K60" s="62">
        <f>I60+J60</f>
        <v>1</v>
      </c>
      <c r="L60" s="18"/>
      <c r="M60" s="61"/>
      <c r="N60" s="291" t="str">
        <f>IF(GESTEP(K60,2),"OTORGADO","NO OTORGADO")</f>
        <v>NO OTORGADO</v>
      </c>
      <c r="O60" s="292"/>
      <c r="P60" s="292"/>
      <c r="Q60" s="293"/>
    </row>
  </sheetData>
  <mergeCells count="91">
    <mergeCell ref="N59:Q59"/>
    <mergeCell ref="N60:Q60"/>
    <mergeCell ref="C60:G60"/>
    <mergeCell ref="B51:Q51"/>
    <mergeCell ref="N53:Q53"/>
    <mergeCell ref="N54:Q54"/>
    <mergeCell ref="C57:G57"/>
    <mergeCell ref="N56:Q56"/>
    <mergeCell ref="N57:Q57"/>
    <mergeCell ref="I53:J53"/>
    <mergeCell ref="L54:M54"/>
    <mergeCell ref="I54:J54"/>
    <mergeCell ref="P10:Q10"/>
    <mergeCell ref="P9:Q9"/>
    <mergeCell ref="L10:O10"/>
    <mergeCell ref="L9:O9"/>
    <mergeCell ref="L8:O8"/>
    <mergeCell ref="B15:Q15"/>
    <mergeCell ref="C16:G16"/>
    <mergeCell ref="G12:J12"/>
    <mergeCell ref="L12:O13"/>
    <mergeCell ref="P12:Q13"/>
    <mergeCell ref="B13:D13"/>
    <mergeCell ref="B12:D12"/>
    <mergeCell ref="G13:J13"/>
    <mergeCell ref="E13:F13"/>
    <mergeCell ref="E12:F12"/>
    <mergeCell ref="B25:Q25"/>
    <mergeCell ref="B26:Q26"/>
    <mergeCell ref="C17:F17"/>
    <mergeCell ref="C18:F18"/>
    <mergeCell ref="G18:Q18"/>
    <mergeCell ref="G17:Q17"/>
    <mergeCell ref="B20:Q20"/>
    <mergeCell ref="B24:Q24"/>
    <mergeCell ref="B22:Q22"/>
    <mergeCell ref="B21:Q21"/>
    <mergeCell ref="B23:Q23"/>
    <mergeCell ref="B48:Q48"/>
    <mergeCell ref="C54:G54"/>
    <mergeCell ref="C53:G53"/>
    <mergeCell ref="L53:M53"/>
    <mergeCell ref="B50:Q50"/>
    <mergeCell ref="AC18:AF18"/>
    <mergeCell ref="AC17:AF17"/>
    <mergeCell ref="AA17:AB18"/>
    <mergeCell ref="AC16:AF16"/>
    <mergeCell ref="AE15:AF15"/>
    <mergeCell ref="AA7:AB16"/>
    <mergeCell ref="AE13:AF13"/>
    <mergeCell ref="AE14:AF14"/>
    <mergeCell ref="AC7:AD8"/>
    <mergeCell ref="AE7:AF7"/>
    <mergeCell ref="AE8:AF8"/>
    <mergeCell ref="AC9:AF9"/>
    <mergeCell ref="AC10:AD12"/>
    <mergeCell ref="AE10:AF10"/>
    <mergeCell ref="AE11:AF11"/>
    <mergeCell ref="AE12:AF12"/>
    <mergeCell ref="AC13:AD15"/>
    <mergeCell ref="AA4:AB4"/>
    <mergeCell ref="AC4:AG4"/>
    <mergeCell ref="AA5:AB6"/>
    <mergeCell ref="AC5:AF5"/>
    <mergeCell ref="AC6:AF6"/>
    <mergeCell ref="C4:G4"/>
    <mergeCell ref="P7:Q7"/>
    <mergeCell ref="P8:Q8"/>
    <mergeCell ref="L6:O6"/>
    <mergeCell ref="L5:O5"/>
    <mergeCell ref="P6:Q6"/>
    <mergeCell ref="P5:Q5"/>
    <mergeCell ref="P4:Q4"/>
    <mergeCell ref="L4:O4"/>
    <mergeCell ref="L7:O7"/>
    <mergeCell ref="M46:P46"/>
    <mergeCell ref="M45:P45"/>
    <mergeCell ref="B2:Q2"/>
    <mergeCell ref="H6:J6"/>
    <mergeCell ref="H5:J5"/>
    <mergeCell ref="H4:J4"/>
    <mergeCell ref="D10:F10"/>
    <mergeCell ref="D9:F9"/>
    <mergeCell ref="H10:J10"/>
    <mergeCell ref="H9:J9"/>
    <mergeCell ref="H8:J8"/>
    <mergeCell ref="H7:J7"/>
    <mergeCell ref="D8:F8"/>
    <mergeCell ref="D7:F7"/>
    <mergeCell ref="C6:G6"/>
    <mergeCell ref="C5:G5"/>
  </mergeCells>
  <phoneticPr fontId="17" type="noConversion"/>
  <dataValidations count="16">
    <dataValidation type="list" allowBlank="1" showInputMessage="1" showErrorMessage="1" sqref="O30 O33 O41" xr:uid="{00000000-0002-0000-0100-000000000000}">
      <formula1>INDIRECT($B$30)</formula1>
    </dataValidation>
    <dataValidation type="list" allowBlank="1" showInputMessage="1" showErrorMessage="1" sqref="O31" xr:uid="{00000000-0002-0000-0100-000001000000}">
      <formula1>INDIRECT($B$31)</formula1>
    </dataValidation>
    <dataValidation type="list" allowBlank="1" showInputMessage="1" showErrorMessage="1" sqref="O32" xr:uid="{00000000-0002-0000-0100-000002000000}">
      <formula1>INDIRECT($B$32)</formula1>
    </dataValidation>
    <dataValidation type="list" allowBlank="1" showInputMessage="1" showErrorMessage="1" sqref="O34" xr:uid="{00000000-0002-0000-0100-000003000000}">
      <formula1>INDIRECT($B$34)</formula1>
    </dataValidation>
    <dataValidation type="list" allowBlank="1" showInputMessage="1" showErrorMessage="1" sqref="O35" xr:uid="{00000000-0002-0000-0100-000004000000}">
      <formula1>INDIRECT($B$35)</formula1>
    </dataValidation>
    <dataValidation type="list" allowBlank="1" showInputMessage="1" showErrorMessage="1" sqref="O36" xr:uid="{00000000-0002-0000-0100-000005000000}">
      <formula1>INDIRECT($B$36)</formula1>
    </dataValidation>
    <dataValidation type="list" allowBlank="1" showInputMessage="1" showErrorMessage="1" sqref="O37" xr:uid="{00000000-0002-0000-0100-000006000000}">
      <formula1>INDIRECT($B$37)</formula1>
    </dataValidation>
    <dataValidation type="list" allowBlank="1" showInputMessage="1" showErrorMessage="1" sqref="O38" xr:uid="{00000000-0002-0000-0100-000007000000}">
      <formula1>INDIRECT($B$38)</formula1>
    </dataValidation>
    <dataValidation type="list" allowBlank="1" showInputMessage="1" showErrorMessage="1" sqref="O39" xr:uid="{00000000-0002-0000-0100-000008000000}">
      <formula1>INDIRECT($B$39)</formula1>
    </dataValidation>
    <dataValidation type="list" allowBlank="1" showInputMessage="1" showErrorMessage="1" sqref="O40" xr:uid="{00000000-0002-0000-0100-000009000000}">
      <formula1>INDIRECT($B$40)</formula1>
    </dataValidation>
    <dataValidation type="list" allowBlank="1" showInputMessage="1" showErrorMessage="1" sqref="O42" xr:uid="{00000000-0002-0000-0100-00000A000000}">
      <formula1>INDIRECT($B$42)</formula1>
    </dataValidation>
    <dataValidation type="list" allowBlank="1" showInputMessage="1" showErrorMessage="1" sqref="O43" xr:uid="{00000000-0002-0000-0100-00000B000000}">
      <formula1>INDIRECT($B$43)</formula1>
    </dataValidation>
    <dataValidation type="list" allowBlank="1" showInputMessage="1" showErrorMessage="1" sqref="O44" xr:uid="{00000000-0002-0000-0100-00000C000000}">
      <formula1>INDIRECT($B$44)</formula1>
    </dataValidation>
    <dataValidation type="list" allowBlank="1" showInputMessage="1" showErrorMessage="1" sqref="P10 P5:Q7 L30:L32 L34:L40 L42:L44" xr:uid="{00000000-0002-0000-0100-00000D000000}">
      <formula1>$AI$4:$AI$5</formula1>
    </dataValidation>
    <dataValidation type="list" allowBlank="1" showInputMessage="1" showErrorMessage="1" sqref="P9" xr:uid="{00000000-0002-0000-0100-00000E000000}">
      <formula1>$AI$7:$AI$8</formula1>
    </dataValidation>
    <dataValidation type="list" allowBlank="1" showInputMessage="1" showErrorMessage="1" sqref="AC4:AG4" xr:uid="{00000000-0002-0000-0100-00000F000000}">
      <formula1>#REF!</formula1>
    </dataValidation>
  </dataValidations>
  <printOptions horizontalCentered="1" verticalCentered="1"/>
  <pageMargins left="0.25" right="0.25" top="0.75" bottom="0.75" header="0.3" footer="0.3"/>
  <pageSetup scale="47" fitToHeight="0" orientation="portrait" horizontalDpi="0" verticalDpi="0" r:id="rId1"/>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10000000}">
          <x14:formula1>
            <xm:f>DATA!$P$2:$P$3</xm:f>
          </x14:formula1>
          <xm:sqref>C17</xm:sqref>
        </x14:dataValidation>
        <x14:dataValidation type="list" allowBlank="1" showInputMessage="1" showErrorMessage="1" xr:uid="{00000000-0002-0000-0100-000011000000}">
          <x14:formula1>
            <xm:f>DATA!$P$4</xm:f>
          </x14:formula1>
          <xm:sqref>C18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4"/>
  <dimension ref="C2:F299"/>
  <sheetViews>
    <sheetView workbookViewId="0">
      <selection activeCell="AA204" sqref="AA204"/>
    </sheetView>
  </sheetViews>
  <sheetFormatPr baseColWidth="10" defaultColWidth="10.83203125" defaultRowHeight="16"/>
  <cols>
    <col min="1" max="1" width="10.83203125" style="4"/>
    <col min="2" max="2" width="5.5" style="4" customWidth="1"/>
    <col min="3" max="3" width="88.1640625" style="4" bestFit="1" customWidth="1"/>
    <col min="4" max="4" width="2.1640625" style="4" customWidth="1"/>
    <col min="5" max="5" width="54.1640625" style="4" customWidth="1"/>
    <col min="6" max="6" width="32.83203125" style="4" customWidth="1"/>
    <col min="7" max="16384" width="10.83203125" style="4"/>
  </cols>
  <sheetData>
    <row r="2" spans="3:6">
      <c r="C2" s="2" t="s">
        <v>421</v>
      </c>
    </row>
    <row r="3" spans="3:6">
      <c r="C3" s="4" t="s">
        <v>283</v>
      </c>
      <c r="E3" s="4" t="s">
        <v>283</v>
      </c>
      <c r="F3" s="4" t="s">
        <v>178</v>
      </c>
    </row>
    <row r="4" spans="3:6">
      <c r="C4" s="4" t="s">
        <v>284</v>
      </c>
      <c r="F4" s="4" t="s">
        <v>179</v>
      </c>
    </row>
    <row r="5" spans="3:6">
      <c r="C5" s="4" t="s">
        <v>285</v>
      </c>
      <c r="F5" s="4" t="s">
        <v>180</v>
      </c>
    </row>
    <row r="6" spans="3:6">
      <c r="C6" s="4" t="s">
        <v>286</v>
      </c>
      <c r="F6" s="4" t="s">
        <v>181</v>
      </c>
    </row>
    <row r="7" spans="3:6">
      <c r="C7" s="4" t="s">
        <v>287</v>
      </c>
      <c r="F7" s="4" t="s">
        <v>182</v>
      </c>
    </row>
    <row r="8" spans="3:6">
      <c r="C8" s="4" t="s">
        <v>288</v>
      </c>
      <c r="F8" s="4" t="s">
        <v>183</v>
      </c>
    </row>
    <row r="9" spans="3:6">
      <c r="C9" s="4" t="s">
        <v>289</v>
      </c>
    </row>
    <row r="10" spans="3:6">
      <c r="C10" s="4" t="s">
        <v>290</v>
      </c>
      <c r="E10" s="4" t="s">
        <v>284</v>
      </c>
      <c r="F10" s="4" t="s">
        <v>184</v>
      </c>
    </row>
    <row r="11" spans="3:6">
      <c r="C11" s="4" t="s">
        <v>291</v>
      </c>
      <c r="F11" s="4" t="s">
        <v>185</v>
      </c>
    </row>
    <row r="12" spans="3:6">
      <c r="C12" s="4" t="s">
        <v>292</v>
      </c>
      <c r="F12" s="4" t="s">
        <v>186</v>
      </c>
    </row>
    <row r="13" spans="3:6">
      <c r="C13" s="4" t="s">
        <v>293</v>
      </c>
      <c r="F13" s="4" t="s">
        <v>187</v>
      </c>
    </row>
    <row r="14" spans="3:6">
      <c r="C14" s="4" t="s">
        <v>294</v>
      </c>
      <c r="F14" s="4" t="s">
        <v>188</v>
      </c>
    </row>
    <row r="15" spans="3:6">
      <c r="C15" s="4" t="s">
        <v>295</v>
      </c>
      <c r="F15" s="4" t="s">
        <v>182</v>
      </c>
    </row>
    <row r="16" spans="3:6">
      <c r="C16" s="4" t="s">
        <v>296</v>
      </c>
      <c r="F16" s="4" t="s">
        <v>189</v>
      </c>
    </row>
    <row r="17" spans="3:6">
      <c r="C17" s="4" t="s">
        <v>297</v>
      </c>
    </row>
    <row r="18" spans="3:6">
      <c r="C18" s="4" t="s">
        <v>298</v>
      </c>
      <c r="E18" s="4" t="s">
        <v>285</v>
      </c>
      <c r="F18" s="4" t="s">
        <v>190</v>
      </c>
    </row>
    <row r="19" spans="3:6">
      <c r="C19" s="4" t="s">
        <v>299</v>
      </c>
      <c r="F19" s="4" t="s">
        <v>191</v>
      </c>
    </row>
    <row r="20" spans="3:6">
      <c r="C20" s="4" t="s">
        <v>300</v>
      </c>
      <c r="F20" s="4" t="s">
        <v>192</v>
      </c>
    </row>
    <row r="21" spans="3:6">
      <c r="C21" s="4" t="s">
        <v>301</v>
      </c>
      <c r="F21" s="4" t="s">
        <v>193</v>
      </c>
    </row>
    <row r="22" spans="3:6">
      <c r="C22" s="4" t="s">
        <v>302</v>
      </c>
      <c r="F22" s="4" t="s">
        <v>194</v>
      </c>
    </row>
    <row r="23" spans="3:6">
      <c r="F23" s="4" t="s">
        <v>182</v>
      </c>
    </row>
    <row r="24" spans="3:6">
      <c r="F24" s="4" t="s">
        <v>195</v>
      </c>
    </row>
    <row r="26" spans="3:6">
      <c r="E26" s="4" t="s">
        <v>286</v>
      </c>
      <c r="F26" s="4" t="s">
        <v>196</v>
      </c>
    </row>
    <row r="27" spans="3:6">
      <c r="F27" s="4" t="s">
        <v>182</v>
      </c>
    </row>
    <row r="28" spans="3:6">
      <c r="F28" s="4" t="s">
        <v>197</v>
      </c>
    </row>
    <row r="30" spans="3:6">
      <c r="E30" s="4" t="s">
        <v>287</v>
      </c>
      <c r="F30" s="4" t="s">
        <v>198</v>
      </c>
    </row>
    <row r="31" spans="3:6">
      <c r="C31" s="2" t="s">
        <v>421</v>
      </c>
      <c r="F31" s="4" t="s">
        <v>199</v>
      </c>
    </row>
    <row r="32" spans="3:6">
      <c r="C32" s="2" t="s">
        <v>422</v>
      </c>
      <c r="F32" s="4" t="s">
        <v>200</v>
      </c>
    </row>
    <row r="33" spans="5:6">
      <c r="F33" s="4" t="s">
        <v>201</v>
      </c>
    </row>
    <row r="34" spans="5:6">
      <c r="F34" s="4" t="s">
        <v>202</v>
      </c>
    </row>
    <row r="35" spans="5:6">
      <c r="F35" s="4" t="s">
        <v>182</v>
      </c>
    </row>
    <row r="36" spans="5:6">
      <c r="F36" s="4" t="s">
        <v>203</v>
      </c>
    </row>
    <row r="38" spans="5:6">
      <c r="E38" s="4" t="s">
        <v>288</v>
      </c>
      <c r="F38" s="4" t="s">
        <v>204</v>
      </c>
    </row>
    <row r="39" spans="5:6">
      <c r="F39" s="4" t="s">
        <v>205</v>
      </c>
    </row>
    <row r="40" spans="5:6">
      <c r="F40" s="4" t="s">
        <v>206</v>
      </c>
    </row>
    <row r="41" spans="5:6">
      <c r="F41" s="4" t="s">
        <v>207</v>
      </c>
    </row>
    <row r="42" spans="5:6">
      <c r="F42" s="4" t="s">
        <v>182</v>
      </c>
    </row>
    <row r="43" spans="5:6">
      <c r="F43" s="4" t="s">
        <v>208</v>
      </c>
    </row>
    <row r="45" spans="5:6">
      <c r="E45" s="4" t="s">
        <v>289</v>
      </c>
      <c r="F45" s="4" t="s">
        <v>209</v>
      </c>
    </row>
    <row r="46" spans="5:6">
      <c r="F46" s="4" t="s">
        <v>210</v>
      </c>
    </row>
    <row r="47" spans="5:6">
      <c r="F47" s="4" t="s">
        <v>211</v>
      </c>
    </row>
    <row r="48" spans="5:6">
      <c r="F48" s="4" t="s">
        <v>212</v>
      </c>
    </row>
    <row r="49" spans="5:6">
      <c r="F49" s="4" t="s">
        <v>182</v>
      </c>
    </row>
    <row r="50" spans="5:6">
      <c r="F50" s="4" t="s">
        <v>213</v>
      </c>
    </row>
    <row r="52" spans="5:6">
      <c r="E52" s="4" t="s">
        <v>290</v>
      </c>
      <c r="F52" s="4" t="s">
        <v>214</v>
      </c>
    </row>
    <row r="53" spans="5:6">
      <c r="F53" s="4" t="s">
        <v>215</v>
      </c>
    </row>
    <row r="54" spans="5:6">
      <c r="F54" s="4" t="s">
        <v>216</v>
      </c>
    </row>
    <row r="55" spans="5:6">
      <c r="F55" s="4" t="s">
        <v>217</v>
      </c>
    </row>
    <row r="56" spans="5:6">
      <c r="F56" s="4" t="s">
        <v>182</v>
      </c>
    </row>
    <row r="57" spans="5:6">
      <c r="F57" s="4" t="s">
        <v>218</v>
      </c>
    </row>
    <row r="59" spans="5:6">
      <c r="E59" s="4" t="s">
        <v>291</v>
      </c>
      <c r="F59" s="4" t="s">
        <v>219</v>
      </c>
    </row>
    <row r="60" spans="5:6">
      <c r="F60" s="4" t="s">
        <v>220</v>
      </c>
    </row>
    <row r="61" spans="5:6">
      <c r="F61" s="4" t="s">
        <v>221</v>
      </c>
    </row>
    <row r="62" spans="5:6">
      <c r="F62" s="4" t="s">
        <v>222</v>
      </c>
    </row>
    <row r="63" spans="5:6">
      <c r="F63" s="4" t="s">
        <v>223</v>
      </c>
    </row>
    <row r="64" spans="5:6">
      <c r="F64" s="4" t="s">
        <v>182</v>
      </c>
    </row>
    <row r="65" spans="5:6">
      <c r="F65" s="4" t="s">
        <v>224</v>
      </c>
    </row>
    <row r="67" spans="5:6">
      <c r="E67" s="4" t="s">
        <v>292</v>
      </c>
      <c r="F67" s="4" t="s">
        <v>225</v>
      </c>
    </row>
    <row r="68" spans="5:6">
      <c r="F68" s="4" t="s">
        <v>226</v>
      </c>
    </row>
    <row r="69" spans="5:6">
      <c r="F69" s="4" t="s">
        <v>227</v>
      </c>
    </row>
    <row r="70" spans="5:6">
      <c r="F70" s="4" t="s">
        <v>228</v>
      </c>
    </row>
    <row r="71" spans="5:6">
      <c r="F71" s="4" t="s">
        <v>229</v>
      </c>
    </row>
    <row r="72" spans="5:6">
      <c r="F72" s="4" t="s">
        <v>182</v>
      </c>
    </row>
    <row r="73" spans="5:6">
      <c r="F73" s="4" t="s">
        <v>230</v>
      </c>
    </row>
    <row r="75" spans="5:6">
      <c r="E75" s="4" t="s">
        <v>293</v>
      </c>
      <c r="F75" s="4" t="s">
        <v>231</v>
      </c>
    </row>
    <row r="76" spans="5:6">
      <c r="F76" s="4" t="s">
        <v>232</v>
      </c>
    </row>
    <row r="77" spans="5:6">
      <c r="F77" s="4" t="s">
        <v>233</v>
      </c>
    </row>
    <row r="78" spans="5:6">
      <c r="F78" s="4" t="s">
        <v>182</v>
      </c>
    </row>
    <row r="79" spans="5:6">
      <c r="F79" s="4" t="s">
        <v>234</v>
      </c>
    </row>
    <row r="81" spans="5:6">
      <c r="E81" s="4" t="s">
        <v>294</v>
      </c>
      <c r="F81" s="4" t="s">
        <v>235</v>
      </c>
    </row>
    <row r="82" spans="5:6">
      <c r="F82" s="4" t="s">
        <v>236</v>
      </c>
    </row>
    <row r="83" spans="5:6">
      <c r="F83" s="4" t="s">
        <v>237</v>
      </c>
    </row>
    <row r="84" spans="5:6">
      <c r="F84" s="4" t="s">
        <v>238</v>
      </c>
    </row>
    <row r="85" spans="5:6">
      <c r="F85" s="4" t="s">
        <v>182</v>
      </c>
    </row>
    <row r="86" spans="5:6">
      <c r="F86" s="4" t="s">
        <v>239</v>
      </c>
    </row>
    <row r="88" spans="5:6">
      <c r="E88" s="4" t="s">
        <v>295</v>
      </c>
      <c r="F88" s="4" t="s">
        <v>240</v>
      </c>
    </row>
    <row r="89" spans="5:6">
      <c r="F89" s="4" t="s">
        <v>241</v>
      </c>
    </row>
    <row r="90" spans="5:6">
      <c r="F90" s="4" t="s">
        <v>242</v>
      </c>
    </row>
    <row r="91" spans="5:6">
      <c r="F91" s="4" t="s">
        <v>243</v>
      </c>
    </row>
    <row r="92" spans="5:6">
      <c r="F92" s="4" t="s">
        <v>244</v>
      </c>
    </row>
    <row r="93" spans="5:6">
      <c r="F93" s="4" t="s">
        <v>245</v>
      </c>
    </row>
    <row r="94" spans="5:6">
      <c r="F94" s="4" t="s">
        <v>182</v>
      </c>
    </row>
    <row r="95" spans="5:6">
      <c r="F95" s="4" t="s">
        <v>246</v>
      </c>
    </row>
    <row r="97" spans="5:6">
      <c r="E97" s="4" t="s">
        <v>296</v>
      </c>
      <c r="F97" s="4" t="s">
        <v>247</v>
      </c>
    </row>
    <row r="98" spans="5:6">
      <c r="F98" s="4" t="s">
        <v>248</v>
      </c>
    </row>
    <row r="99" spans="5:6">
      <c r="F99" s="4" t="s">
        <v>249</v>
      </c>
    </row>
    <row r="100" spans="5:6">
      <c r="F100" s="4" t="s">
        <v>250</v>
      </c>
    </row>
    <row r="101" spans="5:6">
      <c r="F101" s="4" t="s">
        <v>182</v>
      </c>
    </row>
    <row r="102" spans="5:6">
      <c r="F102" s="4" t="s">
        <v>251</v>
      </c>
    </row>
    <row r="104" spans="5:6">
      <c r="E104" s="4" t="s">
        <v>297</v>
      </c>
      <c r="F104" s="4" t="s">
        <v>252</v>
      </c>
    </row>
    <row r="105" spans="5:6">
      <c r="F105" s="4" t="s">
        <v>253</v>
      </c>
    </row>
    <row r="106" spans="5:6">
      <c r="F106" s="4" t="s">
        <v>254</v>
      </c>
    </row>
    <row r="107" spans="5:6">
      <c r="F107" s="4" t="s">
        <v>255</v>
      </c>
    </row>
    <row r="108" spans="5:6">
      <c r="F108" s="4" t="s">
        <v>182</v>
      </c>
    </row>
    <row r="109" spans="5:6">
      <c r="F109" s="4" t="s">
        <v>256</v>
      </c>
    </row>
    <row r="111" spans="5:6">
      <c r="E111" s="4" t="s">
        <v>298</v>
      </c>
      <c r="F111" s="4" t="s">
        <v>257</v>
      </c>
    </row>
    <row r="112" spans="5:6">
      <c r="F112" s="4" t="s">
        <v>196</v>
      </c>
    </row>
    <row r="113" spans="5:6">
      <c r="F113" s="4" t="s">
        <v>182</v>
      </c>
    </row>
    <row r="114" spans="5:6">
      <c r="F114" s="4" t="s">
        <v>258</v>
      </c>
    </row>
    <row r="116" spans="5:6">
      <c r="E116" s="4" t="s">
        <v>299</v>
      </c>
      <c r="F116" s="4" t="s">
        <v>259</v>
      </c>
    </row>
    <row r="117" spans="5:6">
      <c r="F117" s="4" t="s">
        <v>260</v>
      </c>
    </row>
    <row r="118" spans="5:6">
      <c r="F118" s="4" t="s">
        <v>261</v>
      </c>
    </row>
    <row r="119" spans="5:6">
      <c r="F119" s="4" t="s">
        <v>182</v>
      </c>
    </row>
    <row r="120" spans="5:6">
      <c r="F120" s="4" t="s">
        <v>262</v>
      </c>
    </row>
    <row r="122" spans="5:6">
      <c r="E122" s="4" t="s">
        <v>300</v>
      </c>
      <c r="F122" s="4" t="s">
        <v>263</v>
      </c>
    </row>
    <row r="123" spans="5:6">
      <c r="F123" s="4" t="s">
        <v>264</v>
      </c>
    </row>
    <row r="124" spans="5:6">
      <c r="F124" s="4" t="s">
        <v>265</v>
      </c>
    </row>
    <row r="125" spans="5:6">
      <c r="F125" s="4" t="s">
        <v>266</v>
      </c>
    </row>
    <row r="126" spans="5:6">
      <c r="F126" s="4" t="s">
        <v>182</v>
      </c>
    </row>
    <row r="127" spans="5:6">
      <c r="F127" s="4" t="s">
        <v>267</v>
      </c>
    </row>
    <row r="129" spans="5:6">
      <c r="E129" s="4" t="s">
        <v>301</v>
      </c>
      <c r="F129" s="4" t="s">
        <v>268</v>
      </c>
    </row>
    <row r="130" spans="5:6">
      <c r="F130" s="4" t="s">
        <v>269</v>
      </c>
    </row>
    <row r="131" spans="5:6">
      <c r="F131" s="4" t="s">
        <v>270</v>
      </c>
    </row>
    <row r="132" spans="5:6">
      <c r="F132" s="4" t="s">
        <v>271</v>
      </c>
    </row>
    <row r="133" spans="5:6">
      <c r="F133" s="4" t="s">
        <v>272</v>
      </c>
    </row>
    <row r="134" spans="5:6">
      <c r="F134" s="4" t="s">
        <v>273</v>
      </c>
    </row>
    <row r="135" spans="5:6">
      <c r="F135" s="4" t="s">
        <v>274</v>
      </c>
    </row>
    <row r="136" spans="5:6">
      <c r="F136" s="4" t="s">
        <v>275</v>
      </c>
    </row>
    <row r="137" spans="5:6">
      <c r="F137" s="4" t="s">
        <v>276</v>
      </c>
    </row>
    <row r="138" spans="5:6">
      <c r="F138" s="4" t="s">
        <v>277</v>
      </c>
    </row>
    <row r="139" spans="5:6">
      <c r="F139" s="4" t="s">
        <v>182</v>
      </c>
    </row>
    <row r="140" spans="5:6">
      <c r="F140" s="4" t="s">
        <v>278</v>
      </c>
    </row>
    <row r="142" spans="5:6">
      <c r="E142" s="4" t="s">
        <v>302</v>
      </c>
      <c r="F142" s="4" t="s">
        <v>279</v>
      </c>
    </row>
    <row r="143" spans="5:6">
      <c r="F143" s="4" t="s">
        <v>280</v>
      </c>
    </row>
    <row r="144" spans="5:6">
      <c r="F144" s="4" t="s">
        <v>281</v>
      </c>
    </row>
    <row r="145" spans="3:6">
      <c r="F145" s="4" t="s">
        <v>282</v>
      </c>
    </row>
    <row r="149" spans="3:6">
      <c r="C149" s="2" t="s">
        <v>422</v>
      </c>
    </row>
    <row r="150" spans="3:6">
      <c r="C150" s="4" t="s">
        <v>360</v>
      </c>
      <c r="E150" s="4" t="s">
        <v>360</v>
      </c>
      <c r="F150" s="4" t="s">
        <v>382</v>
      </c>
    </row>
    <row r="151" spans="3:6">
      <c r="C151" s="4" t="s">
        <v>313</v>
      </c>
      <c r="F151" s="4" t="s">
        <v>351</v>
      </c>
    </row>
    <row r="152" spans="3:6">
      <c r="C152" s="4" t="s">
        <v>315</v>
      </c>
      <c r="F152" s="4" t="s">
        <v>303</v>
      </c>
    </row>
    <row r="153" spans="3:6">
      <c r="C153" s="4" t="s">
        <v>383</v>
      </c>
      <c r="F153" s="4" t="s">
        <v>352</v>
      </c>
    </row>
    <row r="154" spans="3:6">
      <c r="C154" s="4" t="s">
        <v>361</v>
      </c>
      <c r="F154" s="4" t="s">
        <v>353</v>
      </c>
    </row>
    <row r="155" spans="3:6">
      <c r="C155" s="4" t="s">
        <v>321</v>
      </c>
      <c r="F155" s="4" t="s">
        <v>386</v>
      </c>
    </row>
    <row r="156" spans="3:6">
      <c r="C156" s="4" t="s">
        <v>377</v>
      </c>
      <c r="F156" s="4" t="s">
        <v>387</v>
      </c>
    </row>
    <row r="157" spans="3:6">
      <c r="C157" s="4" t="s">
        <v>329</v>
      </c>
      <c r="F157" s="4" t="s">
        <v>374</v>
      </c>
    </row>
    <row r="158" spans="3:6">
      <c r="C158" s="4" t="s">
        <v>368</v>
      </c>
      <c r="F158" s="4" t="s">
        <v>388</v>
      </c>
    </row>
    <row r="159" spans="3:6">
      <c r="C159" s="4" t="s">
        <v>345</v>
      </c>
      <c r="F159" s="4" t="s">
        <v>311</v>
      </c>
    </row>
    <row r="160" spans="3:6">
      <c r="C160" s="4" t="s">
        <v>359</v>
      </c>
      <c r="F160" s="4" t="s">
        <v>404</v>
      </c>
    </row>
    <row r="161" spans="6:6">
      <c r="F161" s="4" t="s">
        <v>405</v>
      </c>
    </row>
    <row r="162" spans="6:6">
      <c r="F162" s="4" t="s">
        <v>312</v>
      </c>
    </row>
    <row r="163" spans="6:6">
      <c r="F163" s="4" t="s">
        <v>389</v>
      </c>
    </row>
    <row r="164" spans="6:6">
      <c r="F164" s="4" t="s">
        <v>406</v>
      </c>
    </row>
    <row r="165" spans="6:6">
      <c r="F165" s="4" t="s">
        <v>407</v>
      </c>
    </row>
    <row r="166" spans="6:6">
      <c r="F166" s="4" t="s">
        <v>390</v>
      </c>
    </row>
    <row r="167" spans="6:6">
      <c r="F167" s="4" t="s">
        <v>408</v>
      </c>
    </row>
    <row r="168" spans="6:6">
      <c r="F168" s="4" t="s">
        <v>409</v>
      </c>
    </row>
    <row r="169" spans="6:6">
      <c r="F169" s="4" t="s">
        <v>410</v>
      </c>
    </row>
    <row r="170" spans="6:6">
      <c r="F170" s="4" t="s">
        <v>411</v>
      </c>
    </row>
    <row r="171" spans="6:6">
      <c r="F171" s="4" t="s">
        <v>354</v>
      </c>
    </row>
    <row r="172" spans="6:6">
      <c r="F172" s="4" t="s">
        <v>375</v>
      </c>
    </row>
    <row r="173" spans="6:6">
      <c r="F173" s="4" t="s">
        <v>412</v>
      </c>
    </row>
    <row r="174" spans="6:6">
      <c r="F174" s="4" t="s">
        <v>182</v>
      </c>
    </row>
    <row r="175" spans="6:6">
      <c r="F175" s="4" t="s">
        <v>385</v>
      </c>
    </row>
    <row r="179" spans="5:6">
      <c r="E179" s="4" t="s">
        <v>313</v>
      </c>
      <c r="F179" s="4" t="s">
        <v>413</v>
      </c>
    </row>
    <row r="180" spans="5:6">
      <c r="F180" s="4" t="s">
        <v>304</v>
      </c>
    </row>
    <row r="181" spans="5:6">
      <c r="F181" s="4" t="s">
        <v>355</v>
      </c>
    </row>
    <row r="182" spans="5:6">
      <c r="F182" s="4" t="s">
        <v>392</v>
      </c>
    </row>
    <row r="183" spans="5:6">
      <c r="F183" s="4" t="s">
        <v>393</v>
      </c>
    </row>
    <row r="184" spans="5:6">
      <c r="F184" s="4" t="s">
        <v>314</v>
      </c>
    </row>
    <row r="185" spans="5:6">
      <c r="F185" s="4" t="s">
        <v>182</v>
      </c>
    </row>
    <row r="186" spans="5:6">
      <c r="F186" s="4" t="s">
        <v>391</v>
      </c>
    </row>
    <row r="190" spans="5:6">
      <c r="E190" s="4" t="s">
        <v>315</v>
      </c>
      <c r="F190" s="4" t="s">
        <v>414</v>
      </c>
    </row>
    <row r="191" spans="5:6">
      <c r="F191" s="4" t="s">
        <v>415</v>
      </c>
    </row>
    <row r="192" spans="5:6">
      <c r="F192" s="4" t="s">
        <v>316</v>
      </c>
    </row>
    <row r="193" spans="5:6">
      <c r="F193" s="4" t="s">
        <v>317</v>
      </c>
    </row>
    <row r="194" spans="5:6">
      <c r="F194" s="4" t="s">
        <v>395</v>
      </c>
    </row>
    <row r="195" spans="5:6">
      <c r="F195" s="4" t="s">
        <v>356</v>
      </c>
    </row>
    <row r="196" spans="5:6">
      <c r="F196" s="4" t="s">
        <v>182</v>
      </c>
    </row>
    <row r="197" spans="5:6">
      <c r="F197" s="4" t="s">
        <v>394</v>
      </c>
    </row>
    <row r="201" spans="5:6">
      <c r="E201" s="4" t="s">
        <v>383</v>
      </c>
      <c r="F201" s="4" t="s">
        <v>384</v>
      </c>
    </row>
    <row r="202" spans="5:6">
      <c r="F202" s="4" t="s">
        <v>318</v>
      </c>
    </row>
    <row r="203" spans="5:6">
      <c r="F203" s="4" t="s">
        <v>319</v>
      </c>
    </row>
    <row r="204" spans="5:6">
      <c r="F204" s="4" t="s">
        <v>357</v>
      </c>
    </row>
    <row r="205" spans="5:6">
      <c r="F205" s="4" t="s">
        <v>320</v>
      </c>
    </row>
    <row r="206" spans="5:6">
      <c r="F206" s="4" t="s">
        <v>318</v>
      </c>
    </row>
    <row r="207" spans="5:6">
      <c r="F207" s="4" t="s">
        <v>182</v>
      </c>
    </row>
    <row r="208" spans="5:6">
      <c r="F208" s="4" t="s">
        <v>371</v>
      </c>
    </row>
    <row r="209" spans="5:6">
      <c r="F209" s="4" t="s">
        <v>182</v>
      </c>
    </row>
    <row r="210" spans="5:6">
      <c r="F210" s="4" t="s">
        <v>416</v>
      </c>
    </row>
    <row r="214" spans="5:6">
      <c r="E214" s="4" t="s">
        <v>361</v>
      </c>
      <c r="F214" s="4" t="s">
        <v>362</v>
      </c>
    </row>
    <row r="215" spans="5:6">
      <c r="F215" s="4" t="s">
        <v>372</v>
      </c>
    </row>
    <row r="216" spans="5:6">
      <c r="F216" s="4" t="s">
        <v>397</v>
      </c>
    </row>
    <row r="217" spans="5:6">
      <c r="F217" s="4" t="s">
        <v>376</v>
      </c>
    </row>
    <row r="218" spans="5:6">
      <c r="F218" s="4" t="s">
        <v>373</v>
      </c>
    </row>
    <row r="219" spans="5:6">
      <c r="F219" s="4" t="s">
        <v>182</v>
      </c>
    </row>
    <row r="220" spans="5:6">
      <c r="F220" s="4" t="s">
        <v>396</v>
      </c>
    </row>
    <row r="224" spans="5:6">
      <c r="E224" s="4" t="s">
        <v>321</v>
      </c>
      <c r="F224" s="4" t="s">
        <v>322</v>
      </c>
    </row>
    <row r="225" spans="5:6">
      <c r="F225" s="4" t="s">
        <v>363</v>
      </c>
    </row>
    <row r="226" spans="5:6">
      <c r="F226" s="4" t="s">
        <v>323</v>
      </c>
    </row>
    <row r="227" spans="5:6">
      <c r="F227" s="4" t="s">
        <v>364</v>
      </c>
    </row>
    <row r="228" spans="5:6">
      <c r="F228" s="4" t="s">
        <v>324</v>
      </c>
    </row>
    <row r="229" spans="5:6">
      <c r="F229" s="4" t="s">
        <v>325</v>
      </c>
    </row>
    <row r="230" spans="5:6">
      <c r="F230" s="4" t="s">
        <v>326</v>
      </c>
    </row>
    <row r="231" spans="5:6">
      <c r="F231" s="4" t="s">
        <v>365</v>
      </c>
    </row>
    <row r="232" spans="5:6">
      <c r="F232" s="4" t="s">
        <v>182</v>
      </c>
    </row>
    <row r="233" spans="5:6">
      <c r="F233" s="4" t="s">
        <v>398</v>
      </c>
    </row>
    <row r="237" spans="5:6">
      <c r="E237" s="4" t="s">
        <v>377</v>
      </c>
      <c r="F237" s="4" t="s">
        <v>327</v>
      </c>
    </row>
    <row r="238" spans="5:6">
      <c r="F238" s="4" t="s">
        <v>378</v>
      </c>
    </row>
    <row r="239" spans="5:6">
      <c r="F239" s="4" t="s">
        <v>366</v>
      </c>
    </row>
    <row r="240" spans="5:6">
      <c r="F240" s="4" t="s">
        <v>328</v>
      </c>
    </row>
    <row r="241" spans="5:6">
      <c r="F241" s="4" t="s">
        <v>367</v>
      </c>
    </row>
    <row r="242" spans="5:6">
      <c r="F242" s="4" t="s">
        <v>418</v>
      </c>
    </row>
    <row r="243" spans="5:6">
      <c r="F243" s="4" t="s">
        <v>182</v>
      </c>
    </row>
    <row r="244" spans="5:6">
      <c r="F244" s="4" t="s">
        <v>399</v>
      </c>
    </row>
    <row r="248" spans="5:6">
      <c r="E248" s="4" t="s">
        <v>329</v>
      </c>
      <c r="F248" s="4" t="s">
        <v>330</v>
      </c>
    </row>
    <row r="249" spans="5:6">
      <c r="F249" s="4" t="s">
        <v>331</v>
      </c>
    </row>
    <row r="250" spans="5:6">
      <c r="F250" s="4" t="s">
        <v>332</v>
      </c>
    </row>
    <row r="251" spans="5:6">
      <c r="F251" s="4" t="s">
        <v>333</v>
      </c>
    </row>
    <row r="252" spans="5:6">
      <c r="F252" s="4" t="s">
        <v>334</v>
      </c>
    </row>
    <row r="253" spans="5:6">
      <c r="F253" s="4" t="s">
        <v>335</v>
      </c>
    </row>
    <row r="254" spans="5:6">
      <c r="F254" s="4" t="s">
        <v>336</v>
      </c>
    </row>
    <row r="255" spans="5:6">
      <c r="F255" s="4" t="s">
        <v>337</v>
      </c>
    </row>
    <row r="256" spans="5:6">
      <c r="F256" s="4" t="s">
        <v>338</v>
      </c>
    </row>
    <row r="257" spans="5:6">
      <c r="F257" s="4" t="s">
        <v>339</v>
      </c>
    </row>
    <row r="258" spans="5:6">
      <c r="F258" s="4" t="s">
        <v>419</v>
      </c>
    </row>
    <row r="259" spans="5:6">
      <c r="F259" s="4" t="s">
        <v>350</v>
      </c>
    </row>
    <row r="260" spans="5:6">
      <c r="F260" s="4" t="s">
        <v>379</v>
      </c>
    </row>
    <row r="261" spans="5:6">
      <c r="F261" s="4" t="s">
        <v>340</v>
      </c>
    </row>
    <row r="262" spans="5:6">
      <c r="F262" s="4" t="s">
        <v>182</v>
      </c>
    </row>
    <row r="263" spans="5:6">
      <c r="F263" s="4" t="s">
        <v>400</v>
      </c>
    </row>
    <row r="267" spans="5:6">
      <c r="E267" s="4" t="s">
        <v>368</v>
      </c>
      <c r="F267" s="4" t="s">
        <v>341</v>
      </c>
    </row>
    <row r="268" spans="5:6">
      <c r="F268" s="4" t="s">
        <v>305</v>
      </c>
    </row>
    <row r="269" spans="5:6">
      <c r="F269" s="4" t="s">
        <v>342</v>
      </c>
    </row>
    <row r="270" spans="5:6">
      <c r="F270" s="4" t="s">
        <v>343</v>
      </c>
    </row>
    <row r="271" spans="5:6">
      <c r="F271" s="4" t="s">
        <v>380</v>
      </c>
    </row>
    <row r="272" spans="5:6">
      <c r="F272" s="4" t="s">
        <v>344</v>
      </c>
    </row>
    <row r="273" spans="5:6">
      <c r="F273" s="4" t="s">
        <v>306</v>
      </c>
    </row>
    <row r="274" spans="5:6">
      <c r="F274" s="4" t="s">
        <v>358</v>
      </c>
    </row>
    <row r="275" spans="5:6">
      <c r="F275" s="4" t="s">
        <v>307</v>
      </c>
    </row>
    <row r="276" spans="5:6">
      <c r="F276" s="4" t="s">
        <v>182</v>
      </c>
    </row>
    <row r="277" spans="5:6">
      <c r="F277" s="4" t="s">
        <v>401</v>
      </c>
    </row>
    <row r="281" spans="5:6">
      <c r="E281" s="4" t="s">
        <v>345</v>
      </c>
      <c r="F281" s="4" t="s">
        <v>346</v>
      </c>
    </row>
    <row r="282" spans="5:6">
      <c r="F282" s="4" t="s">
        <v>347</v>
      </c>
    </row>
    <row r="283" spans="5:6">
      <c r="F283" s="4" t="s">
        <v>381</v>
      </c>
    </row>
    <row r="284" spans="5:6">
      <c r="F284" s="4" t="s">
        <v>308</v>
      </c>
    </row>
    <row r="285" spans="5:6">
      <c r="F285" s="4" t="s">
        <v>369</v>
      </c>
    </row>
    <row r="286" spans="5:6">
      <c r="F286" s="4" t="s">
        <v>309</v>
      </c>
    </row>
    <row r="287" spans="5:6">
      <c r="F287" s="4" t="s">
        <v>417</v>
      </c>
    </row>
    <row r="288" spans="5:6">
      <c r="F288" s="4" t="s">
        <v>370</v>
      </c>
    </row>
    <row r="289" spans="5:6">
      <c r="F289" s="4" t="s">
        <v>310</v>
      </c>
    </row>
    <row r="290" spans="5:6">
      <c r="F290" s="4" t="s">
        <v>182</v>
      </c>
    </row>
    <row r="291" spans="5:6">
      <c r="F291" s="4" t="s">
        <v>402</v>
      </c>
    </row>
    <row r="295" spans="5:6">
      <c r="E295" s="4" t="s">
        <v>359</v>
      </c>
      <c r="F295" s="4" t="s">
        <v>348</v>
      </c>
    </row>
    <row r="296" spans="5:6">
      <c r="F296" s="4" t="s">
        <v>403</v>
      </c>
    </row>
    <row r="297" spans="5:6">
      <c r="F297" s="4" t="s">
        <v>349</v>
      </c>
    </row>
    <row r="298" spans="5:6">
      <c r="F298" s="4" t="s">
        <v>182</v>
      </c>
    </row>
    <row r="299" spans="5:6">
      <c r="F299" s="4" t="s">
        <v>420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5"/>
  <dimension ref="A1:AI240"/>
  <sheetViews>
    <sheetView topLeftCell="V180" zoomScale="125" workbookViewId="0">
      <selection activeCell="B33" sqref="B33"/>
    </sheetView>
  </sheetViews>
  <sheetFormatPr baseColWidth="10" defaultColWidth="10.83203125" defaultRowHeight="14"/>
  <cols>
    <col min="1" max="1" width="49.83203125" style="65" customWidth="1"/>
    <col min="2" max="2" width="3.5" style="65" customWidth="1"/>
    <col min="3" max="5" width="9.5" style="65" customWidth="1"/>
    <col min="6" max="7" width="9.5" style="69" customWidth="1"/>
    <col min="8" max="24" width="9.5" style="65" customWidth="1"/>
    <col min="25" max="25" width="5.1640625" style="65" customWidth="1"/>
    <col min="26" max="26" width="10.83203125" style="65"/>
    <col min="27" max="27" width="38" style="69" customWidth="1"/>
    <col min="28" max="28" width="8.5" style="69" customWidth="1"/>
    <col min="29" max="29" width="30.1640625" style="69" customWidth="1"/>
    <col min="30" max="30" width="34.1640625" style="69" customWidth="1"/>
    <col min="31" max="31" width="10.83203125" style="65"/>
    <col min="32" max="32" width="12" style="70" bestFit="1" customWidth="1"/>
    <col min="33" max="33" width="11.1640625" style="71" bestFit="1" customWidth="1"/>
    <col min="34" max="34" width="11" style="72" bestFit="1" customWidth="1"/>
    <col min="35" max="35" width="11" style="73" bestFit="1" customWidth="1"/>
    <col min="36" max="16384" width="10.83203125" style="65"/>
  </cols>
  <sheetData>
    <row r="1" spans="1:35" ht="15">
      <c r="D1" s="66"/>
      <c r="E1" s="66"/>
      <c r="F1" s="67"/>
      <c r="G1" s="67"/>
      <c r="H1" s="66"/>
      <c r="I1" s="66"/>
      <c r="J1" s="66"/>
      <c r="K1" s="66"/>
      <c r="L1" s="66"/>
      <c r="M1" s="66"/>
      <c r="N1" s="66"/>
      <c r="O1" s="66"/>
      <c r="P1" s="66"/>
      <c r="Q1" s="66"/>
      <c r="R1" s="66"/>
      <c r="S1" s="66"/>
      <c r="T1" s="66"/>
      <c r="U1" s="66"/>
      <c r="V1" s="66"/>
      <c r="W1" s="66"/>
      <c r="X1" s="66"/>
      <c r="AA1" s="67"/>
      <c r="AB1" s="68"/>
      <c r="AC1" s="68"/>
    </row>
    <row r="2" spans="1:35" ht="15">
      <c r="A2" s="74" t="s">
        <v>132</v>
      </c>
      <c r="C2" s="74" t="s">
        <v>132</v>
      </c>
      <c r="D2" s="74" t="s">
        <v>423</v>
      </c>
      <c r="E2" s="74" t="s">
        <v>424</v>
      </c>
      <c r="F2" s="74" t="s">
        <v>425</v>
      </c>
      <c r="G2" s="74" t="s">
        <v>426</v>
      </c>
      <c r="H2" s="74" t="s">
        <v>427</v>
      </c>
      <c r="I2" s="74" t="s">
        <v>428</v>
      </c>
      <c r="J2" s="74" t="s">
        <v>429</v>
      </c>
      <c r="K2" s="74" t="s">
        <v>430</v>
      </c>
      <c r="L2" s="74" t="s">
        <v>431</v>
      </c>
      <c r="M2" s="74" t="s">
        <v>432</v>
      </c>
      <c r="N2" s="74" t="s">
        <v>433</v>
      </c>
      <c r="O2" s="74" t="s">
        <v>434</v>
      </c>
      <c r="P2" s="74" t="s">
        <v>435</v>
      </c>
      <c r="Q2" s="74" t="s">
        <v>436</v>
      </c>
      <c r="R2" s="74" t="s">
        <v>437</v>
      </c>
      <c r="S2" s="74" t="s">
        <v>438</v>
      </c>
      <c r="T2" s="74" t="s">
        <v>439</v>
      </c>
      <c r="U2" s="74" t="s">
        <v>440</v>
      </c>
      <c r="V2" s="74" t="s">
        <v>441</v>
      </c>
      <c r="W2" s="75" t="s">
        <v>442</v>
      </c>
      <c r="X2" s="75" t="s">
        <v>443</v>
      </c>
      <c r="AB2" s="68"/>
      <c r="AC2" s="68"/>
    </row>
    <row r="3" spans="1:35" ht="15">
      <c r="A3" s="74" t="s">
        <v>423</v>
      </c>
      <c r="C3" s="76" t="s">
        <v>444</v>
      </c>
      <c r="D3" s="76" t="s">
        <v>445</v>
      </c>
      <c r="E3" s="76" t="s">
        <v>446</v>
      </c>
      <c r="F3" s="76" t="s">
        <v>447</v>
      </c>
      <c r="G3" s="76" t="s">
        <v>448</v>
      </c>
      <c r="H3" s="76" t="s">
        <v>449</v>
      </c>
      <c r="I3" s="76" t="s">
        <v>450</v>
      </c>
      <c r="J3" s="76" t="s">
        <v>451</v>
      </c>
      <c r="K3" s="76" t="s">
        <v>452</v>
      </c>
      <c r="L3" s="77" t="s">
        <v>453</v>
      </c>
      <c r="M3" s="77" t="s">
        <v>454</v>
      </c>
      <c r="N3" s="77" t="s">
        <v>455</v>
      </c>
      <c r="O3" s="78" t="s">
        <v>456</v>
      </c>
      <c r="P3" s="76" t="s">
        <v>457</v>
      </c>
      <c r="Q3" s="76" t="s">
        <v>458</v>
      </c>
      <c r="R3" s="76" t="s">
        <v>459</v>
      </c>
      <c r="S3" s="76" t="s">
        <v>460</v>
      </c>
      <c r="T3" s="76" t="s">
        <v>461</v>
      </c>
      <c r="U3" s="76" t="s">
        <v>462</v>
      </c>
      <c r="V3" s="76" t="s">
        <v>463</v>
      </c>
      <c r="W3" s="76" t="s">
        <v>464</v>
      </c>
      <c r="X3" s="76" t="s">
        <v>465</v>
      </c>
      <c r="AA3" s="76" t="s">
        <v>444</v>
      </c>
      <c r="AB3" s="69" t="s">
        <v>466</v>
      </c>
      <c r="AC3" s="69" t="s">
        <v>467</v>
      </c>
      <c r="AD3" s="69" t="str">
        <f>CONCATENATE(AB3," ",AC3)</f>
        <v>01.11.01 Desde 20 m² hasta 40 m²</v>
      </c>
      <c r="AE3" s="65" t="s">
        <v>468</v>
      </c>
      <c r="AF3" s="70">
        <v>1000</v>
      </c>
      <c r="AG3" s="71">
        <v>4.2</v>
      </c>
      <c r="AH3" s="72">
        <v>6</v>
      </c>
      <c r="AI3" s="73">
        <v>6</v>
      </c>
    </row>
    <row r="4" spans="1:35" ht="15">
      <c r="A4" s="74" t="s">
        <v>424</v>
      </c>
      <c r="C4" s="76" t="s">
        <v>469</v>
      </c>
      <c r="D4" s="78"/>
      <c r="E4" s="76" t="s">
        <v>470</v>
      </c>
      <c r="F4" s="78"/>
      <c r="G4" s="76" t="s">
        <v>471</v>
      </c>
      <c r="H4" s="78"/>
      <c r="I4" s="76" t="s">
        <v>472</v>
      </c>
      <c r="J4" s="78"/>
      <c r="K4" s="76" t="s">
        <v>473</v>
      </c>
      <c r="L4" s="76" t="s">
        <v>474</v>
      </c>
      <c r="M4" s="78"/>
      <c r="N4" s="78"/>
      <c r="O4" s="78"/>
      <c r="P4" s="78"/>
      <c r="Q4" s="76" t="s">
        <v>475</v>
      </c>
      <c r="R4" s="76" t="s">
        <v>476</v>
      </c>
      <c r="S4" s="76" t="s">
        <v>477</v>
      </c>
      <c r="T4" s="76" t="s">
        <v>478</v>
      </c>
      <c r="U4" s="78"/>
      <c r="V4" s="76" t="s">
        <v>479</v>
      </c>
      <c r="W4" s="78"/>
      <c r="X4" s="76" t="s">
        <v>480</v>
      </c>
      <c r="AA4" s="76" t="s">
        <v>469</v>
      </c>
      <c r="AB4" s="69" t="s">
        <v>481</v>
      </c>
      <c r="AC4" s="69" t="s">
        <v>482</v>
      </c>
      <c r="AD4" s="69" t="str">
        <f t="shared" ref="AD4:AD69" si="0">CONCATENATE(AB4," ",AC4)</f>
        <v>01.12.01 1 piso, hasta 99 m²  cubierta de lamina metálica</v>
      </c>
      <c r="AE4" s="65" t="s">
        <v>468</v>
      </c>
      <c r="AF4" s="70">
        <v>1500</v>
      </c>
      <c r="AG4" s="71">
        <v>6.7200000000000006</v>
      </c>
      <c r="AH4" s="72">
        <v>8</v>
      </c>
      <c r="AI4" s="73">
        <v>8</v>
      </c>
    </row>
    <row r="5" spans="1:35" ht="15">
      <c r="A5" s="74" t="s">
        <v>425</v>
      </c>
      <c r="C5" s="76" t="s">
        <v>483</v>
      </c>
      <c r="D5" s="79"/>
      <c r="E5" s="78"/>
      <c r="F5" s="80"/>
      <c r="G5" s="76" t="s">
        <v>484</v>
      </c>
      <c r="H5" s="79"/>
      <c r="I5" s="78"/>
      <c r="J5" s="79"/>
      <c r="K5" s="76" t="s">
        <v>485</v>
      </c>
      <c r="L5" s="77" t="s">
        <v>486</v>
      </c>
      <c r="M5" s="79"/>
      <c r="N5" s="79"/>
      <c r="O5" s="79"/>
      <c r="P5" s="79"/>
      <c r="Q5" s="76" t="s">
        <v>487</v>
      </c>
      <c r="R5" s="76" t="s">
        <v>488</v>
      </c>
      <c r="S5" s="76" t="s">
        <v>489</v>
      </c>
      <c r="T5" s="76" t="s">
        <v>490</v>
      </c>
      <c r="U5" s="79"/>
      <c r="V5" s="78"/>
      <c r="W5" s="79"/>
      <c r="X5" s="78"/>
      <c r="AA5" s="76" t="s">
        <v>483</v>
      </c>
      <c r="AB5" s="69" t="s">
        <v>491</v>
      </c>
      <c r="AC5" s="69" t="s">
        <v>492</v>
      </c>
      <c r="AD5" s="69" t="str">
        <f t="shared" si="0"/>
        <v xml:space="preserve">01.13.01 1 piso, hasta 150 m²  cubierta de concreto o cualquier otro material </v>
      </c>
      <c r="AE5" s="65" t="s">
        <v>468</v>
      </c>
      <c r="AF5" s="70">
        <v>2000</v>
      </c>
      <c r="AG5" s="71">
        <v>10.080000000000002</v>
      </c>
      <c r="AH5" s="72">
        <v>10</v>
      </c>
      <c r="AI5" s="73">
        <v>15</v>
      </c>
    </row>
    <row r="6" spans="1:35" ht="15">
      <c r="A6" s="74" t="s">
        <v>426</v>
      </c>
      <c r="C6" s="76" t="s">
        <v>493</v>
      </c>
      <c r="D6" s="79"/>
      <c r="E6" s="79"/>
      <c r="F6" s="80"/>
      <c r="G6" s="76" t="s">
        <v>494</v>
      </c>
      <c r="H6" s="79"/>
      <c r="I6" s="79"/>
      <c r="J6" s="79"/>
      <c r="K6" s="76" t="s">
        <v>495</v>
      </c>
      <c r="L6" s="78"/>
      <c r="M6" s="79"/>
      <c r="N6" s="79"/>
      <c r="O6" s="79"/>
      <c r="P6" s="79"/>
      <c r="Q6" s="76" t="s">
        <v>496</v>
      </c>
      <c r="R6" s="76" t="s">
        <v>497</v>
      </c>
      <c r="S6" s="76" t="s">
        <v>498</v>
      </c>
      <c r="T6" s="76" t="s">
        <v>499</v>
      </c>
      <c r="U6" s="79"/>
      <c r="V6" s="79"/>
      <c r="W6" s="79"/>
      <c r="X6" s="79"/>
      <c r="AA6" s="76" t="s">
        <v>493</v>
      </c>
      <c r="AB6" s="69" t="s">
        <v>500</v>
      </c>
      <c r="AC6" s="69" t="s">
        <v>501</v>
      </c>
      <c r="AD6" s="69" t="str">
        <f t="shared" si="0"/>
        <v>01.14.01 hasta 2 pisos, cualquier magnitud</v>
      </c>
      <c r="AE6" s="65" t="s">
        <v>468</v>
      </c>
      <c r="AF6" s="70">
        <v>2500</v>
      </c>
      <c r="AG6" s="71">
        <v>12.600000000000001</v>
      </c>
      <c r="AH6" s="72">
        <v>12</v>
      </c>
      <c r="AI6" s="73">
        <v>24</v>
      </c>
    </row>
    <row r="7" spans="1:35" ht="15">
      <c r="A7" s="74" t="s">
        <v>427</v>
      </c>
      <c r="C7" s="76"/>
      <c r="D7" s="79"/>
      <c r="E7" s="79"/>
      <c r="F7" s="80"/>
      <c r="G7" s="76" t="s">
        <v>502</v>
      </c>
      <c r="H7" s="79"/>
      <c r="I7" s="79"/>
      <c r="J7" s="79"/>
      <c r="K7" s="78"/>
      <c r="L7" s="79"/>
      <c r="M7" s="79"/>
      <c r="N7" s="79"/>
      <c r="O7" s="79"/>
      <c r="P7" s="79"/>
      <c r="Q7" s="76" t="s">
        <v>503</v>
      </c>
      <c r="R7" s="76" t="s">
        <v>504</v>
      </c>
      <c r="S7" s="76" t="s">
        <v>505</v>
      </c>
      <c r="T7" s="76" t="s">
        <v>506</v>
      </c>
      <c r="U7" s="79"/>
      <c r="V7" s="79"/>
      <c r="W7" s="79"/>
      <c r="X7" s="79"/>
      <c r="AA7" s="81"/>
      <c r="AB7" s="69" t="s">
        <v>507</v>
      </c>
      <c r="AC7" s="69" t="s">
        <v>508</v>
      </c>
      <c r="AD7" s="69" t="str">
        <f t="shared" si="0"/>
        <v>01.15.01 hasta 4 pisos, cualquier magnitud</v>
      </c>
      <c r="AE7" s="65" t="s">
        <v>468</v>
      </c>
      <c r="AF7" s="70">
        <v>3000</v>
      </c>
      <c r="AG7" s="71">
        <v>15.12</v>
      </c>
      <c r="AH7" s="72">
        <v>14</v>
      </c>
      <c r="AI7" s="73">
        <v>50</v>
      </c>
    </row>
    <row r="8" spans="1:35" ht="15">
      <c r="A8" s="74" t="s">
        <v>428</v>
      </c>
      <c r="C8" s="82"/>
      <c r="D8" s="79"/>
      <c r="E8" s="79"/>
      <c r="F8" s="80"/>
      <c r="G8" s="76" t="s">
        <v>509</v>
      </c>
      <c r="H8" s="79"/>
      <c r="I8" s="79"/>
      <c r="J8" s="79"/>
      <c r="K8" s="79"/>
      <c r="L8" s="79"/>
      <c r="M8" s="79"/>
      <c r="N8" s="79"/>
      <c r="O8" s="79"/>
      <c r="P8" s="79"/>
      <c r="Q8" s="76" t="s">
        <v>510</v>
      </c>
      <c r="R8" s="76" t="s">
        <v>511</v>
      </c>
      <c r="S8" s="76" t="s">
        <v>512</v>
      </c>
      <c r="T8" s="76" t="s">
        <v>513</v>
      </c>
      <c r="U8" s="79"/>
      <c r="V8" s="79"/>
      <c r="W8" s="79"/>
      <c r="X8" s="79"/>
      <c r="AA8" s="81"/>
      <c r="AB8" s="69" t="s">
        <v>514</v>
      </c>
      <c r="AC8" s="69" t="s">
        <v>515</v>
      </c>
      <c r="AD8" s="69" t="str">
        <f t="shared" si="0"/>
        <v>01.16.01 hasta 6 pisos, cualquier magnitud</v>
      </c>
      <c r="AE8" s="65" t="s">
        <v>468</v>
      </c>
      <c r="AF8" s="70">
        <v>3500</v>
      </c>
      <c r="AG8" s="71">
        <v>17.64</v>
      </c>
      <c r="AH8" s="72">
        <v>16</v>
      </c>
      <c r="AI8" s="73">
        <v>128</v>
      </c>
    </row>
    <row r="9" spans="1:35" ht="15">
      <c r="A9" s="74" t="s">
        <v>429</v>
      </c>
      <c r="C9" s="82"/>
      <c r="D9" s="79"/>
      <c r="E9" s="79"/>
      <c r="F9" s="80"/>
      <c r="G9" s="76" t="s">
        <v>275</v>
      </c>
      <c r="H9" s="79"/>
      <c r="I9" s="79"/>
      <c r="J9" s="79"/>
      <c r="K9" s="79"/>
      <c r="L9" s="79"/>
      <c r="M9" s="79"/>
      <c r="N9" s="79"/>
      <c r="O9" s="79"/>
      <c r="P9" s="79"/>
      <c r="Q9" s="76"/>
      <c r="R9" s="76" t="s">
        <v>516</v>
      </c>
      <c r="S9" s="76" t="s">
        <v>517</v>
      </c>
      <c r="T9" s="76" t="s">
        <v>518</v>
      </c>
      <c r="U9" s="79"/>
      <c r="V9" s="79"/>
      <c r="W9" s="79"/>
      <c r="X9" s="79"/>
      <c r="AA9" s="81"/>
      <c r="AB9" s="69" t="s">
        <v>519</v>
      </c>
      <c r="AC9" s="69" t="s">
        <v>520</v>
      </c>
      <c r="AD9" s="69" t="str">
        <f t="shared" si="0"/>
        <v>01.17.01 hasta 8 pisos, cualquier magnitud</v>
      </c>
      <c r="AE9" s="65" t="s">
        <v>468</v>
      </c>
      <c r="AF9" s="70">
        <v>4000</v>
      </c>
      <c r="AG9" s="71">
        <v>20.160000000000004</v>
      </c>
      <c r="AH9" s="72">
        <v>18</v>
      </c>
      <c r="AI9" s="73" t="s">
        <v>521</v>
      </c>
    </row>
    <row r="10" spans="1:35" ht="15">
      <c r="A10" s="74" t="s">
        <v>430</v>
      </c>
      <c r="C10" s="82"/>
      <c r="D10" s="79"/>
      <c r="E10" s="79"/>
      <c r="F10" s="80"/>
      <c r="G10" s="76" t="s">
        <v>522</v>
      </c>
      <c r="H10" s="79"/>
      <c r="I10" s="79"/>
      <c r="J10" s="79"/>
      <c r="K10" s="79"/>
      <c r="L10" s="79"/>
      <c r="M10" s="79"/>
      <c r="N10" s="79"/>
      <c r="O10" s="79"/>
      <c r="P10" s="79"/>
      <c r="Q10" s="78"/>
      <c r="R10" s="78"/>
      <c r="S10" s="76" t="s">
        <v>523</v>
      </c>
      <c r="T10" s="76" t="s">
        <v>524</v>
      </c>
      <c r="U10" s="79"/>
      <c r="V10" s="79"/>
      <c r="W10" s="79"/>
      <c r="X10" s="79"/>
      <c r="AA10" s="81"/>
      <c r="AB10" s="69" t="s">
        <v>525</v>
      </c>
      <c r="AC10" s="69" t="s">
        <v>526</v>
      </c>
      <c r="AD10" s="69" t="str">
        <f t="shared" si="0"/>
        <v>01.18.01 hasta 10 pisos, cualquier magnitud</v>
      </c>
      <c r="AE10" s="65" t="s">
        <v>468</v>
      </c>
      <c r="AF10" s="70">
        <v>4500</v>
      </c>
      <c r="AG10" s="71">
        <v>22.680000000000003</v>
      </c>
      <c r="AH10" s="72">
        <v>20</v>
      </c>
      <c r="AI10" s="73" t="s">
        <v>521</v>
      </c>
    </row>
    <row r="11" spans="1:35" ht="15">
      <c r="A11" s="74" t="s">
        <v>431</v>
      </c>
      <c r="C11" s="82"/>
      <c r="D11" s="79"/>
      <c r="E11" s="79"/>
      <c r="F11" s="80"/>
      <c r="G11" s="83"/>
      <c r="H11" s="79"/>
      <c r="I11" s="79"/>
      <c r="J11" s="79"/>
      <c r="K11" s="79"/>
      <c r="L11" s="79"/>
      <c r="M11" s="79"/>
      <c r="N11" s="79"/>
      <c r="O11" s="79"/>
      <c r="P11" s="79"/>
      <c r="Q11" s="79"/>
      <c r="R11" s="79"/>
      <c r="S11" s="76" t="s">
        <v>527</v>
      </c>
      <c r="T11" s="76" t="s">
        <v>528</v>
      </c>
      <c r="U11" s="79"/>
      <c r="V11" s="79"/>
      <c r="W11" s="79"/>
      <c r="X11" s="79"/>
      <c r="AA11" s="81"/>
      <c r="AB11" s="69" t="s">
        <v>529</v>
      </c>
      <c r="AC11" s="69" t="s">
        <v>530</v>
      </c>
      <c r="AD11" s="69" t="str">
        <f t="shared" si="0"/>
        <v>01.19.01 hasta 12 pisos, cualquier magnitud</v>
      </c>
      <c r="AE11" s="65" t="s">
        <v>468</v>
      </c>
      <c r="AF11" s="70">
        <v>5000</v>
      </c>
      <c r="AG11" s="71">
        <v>25.200000000000003</v>
      </c>
      <c r="AH11" s="72">
        <v>22</v>
      </c>
      <c r="AI11" s="73" t="s">
        <v>521</v>
      </c>
    </row>
    <row r="12" spans="1:35" ht="15">
      <c r="A12" s="74" t="s">
        <v>531</v>
      </c>
      <c r="C12" s="82"/>
      <c r="D12" s="79"/>
      <c r="E12" s="79"/>
      <c r="F12" s="80"/>
      <c r="G12" s="80"/>
      <c r="H12" s="79"/>
      <c r="I12" s="79"/>
      <c r="J12" s="79"/>
      <c r="K12" s="79"/>
      <c r="L12" s="79"/>
      <c r="M12" s="79"/>
      <c r="N12" s="79"/>
      <c r="O12" s="79"/>
      <c r="P12" s="79"/>
      <c r="Q12" s="79"/>
      <c r="R12" s="79"/>
      <c r="S12" s="76" t="s">
        <v>532</v>
      </c>
      <c r="T12" s="76"/>
      <c r="U12" s="79"/>
      <c r="V12" s="79"/>
      <c r="W12" s="79"/>
      <c r="X12" s="79"/>
      <c r="AA12" s="81"/>
      <c r="AB12" s="69" t="s">
        <v>533</v>
      </c>
      <c r="AC12" s="69" t="s">
        <v>534</v>
      </c>
      <c r="AD12" s="69" t="str">
        <f t="shared" si="0"/>
        <v>01.10.01 hasta 14 pisos, cualquier magnitud</v>
      </c>
      <c r="AE12" s="65" t="s">
        <v>468</v>
      </c>
      <c r="AF12" s="70">
        <v>5500</v>
      </c>
      <c r="AG12" s="71">
        <v>27.72</v>
      </c>
      <c r="AH12" s="72">
        <v>24</v>
      </c>
      <c r="AI12" s="73" t="s">
        <v>521</v>
      </c>
    </row>
    <row r="13" spans="1:35" ht="15">
      <c r="A13" s="74" t="s">
        <v>433</v>
      </c>
      <c r="C13" s="82"/>
      <c r="D13" s="79"/>
      <c r="E13" s="79"/>
      <c r="F13" s="80"/>
      <c r="G13" s="80"/>
      <c r="H13" s="79"/>
      <c r="I13" s="79"/>
      <c r="J13" s="79"/>
      <c r="K13" s="79"/>
      <c r="L13" s="79"/>
      <c r="M13" s="79"/>
      <c r="N13" s="79"/>
      <c r="O13" s="79"/>
      <c r="P13" s="79"/>
      <c r="Q13" s="84"/>
      <c r="R13" s="79"/>
      <c r="S13" s="76" t="s">
        <v>535</v>
      </c>
      <c r="T13" s="82"/>
      <c r="U13" s="79"/>
      <c r="V13" s="79"/>
      <c r="W13" s="79"/>
      <c r="X13" s="79"/>
      <c r="AA13" s="81"/>
      <c r="AB13" s="69" t="s">
        <v>466</v>
      </c>
      <c r="AC13" s="69" t="s">
        <v>536</v>
      </c>
      <c r="AD13" s="69" t="str">
        <f t="shared" si="0"/>
        <v>01.11.01 15 pisos o mas, cualquier magnitud</v>
      </c>
      <c r="AE13" s="65" t="s">
        <v>468</v>
      </c>
      <c r="AF13" s="70">
        <v>6000</v>
      </c>
      <c r="AG13" s="71">
        <v>30.24</v>
      </c>
      <c r="AH13" s="72">
        <v>26</v>
      </c>
      <c r="AI13" s="73" t="s">
        <v>521</v>
      </c>
    </row>
    <row r="14" spans="1:35" ht="15">
      <c r="A14" s="74" t="s">
        <v>434</v>
      </c>
      <c r="C14" s="79"/>
      <c r="D14" s="79"/>
      <c r="E14" s="79"/>
      <c r="F14" s="80"/>
      <c r="G14" s="80"/>
      <c r="H14" s="79"/>
      <c r="I14" s="79"/>
      <c r="J14" s="79"/>
      <c r="K14" s="79"/>
      <c r="L14" s="79"/>
      <c r="M14" s="85"/>
      <c r="N14" s="79"/>
      <c r="O14" s="79"/>
      <c r="P14" s="79"/>
      <c r="Q14" s="79"/>
      <c r="R14" s="79"/>
      <c r="S14" s="76" t="s">
        <v>537</v>
      </c>
      <c r="T14" s="82"/>
      <c r="U14" s="79"/>
      <c r="V14" s="79"/>
      <c r="W14" s="79"/>
      <c r="X14" s="79"/>
      <c r="AA14" s="81"/>
      <c r="AB14" s="81"/>
      <c r="AC14" s="81"/>
      <c r="AD14" s="69" t="str">
        <f t="shared" si="0"/>
        <v xml:space="preserve"> </v>
      </c>
    </row>
    <row r="15" spans="1:35" ht="15">
      <c r="A15" s="74" t="s">
        <v>435</v>
      </c>
      <c r="C15" s="79"/>
      <c r="D15" s="79"/>
      <c r="E15" s="79"/>
      <c r="F15" s="80"/>
      <c r="G15" s="80"/>
      <c r="H15" s="79"/>
      <c r="I15" s="79"/>
      <c r="J15" s="79"/>
      <c r="K15" s="79"/>
      <c r="L15" s="79"/>
      <c r="M15" s="85"/>
      <c r="N15" s="79"/>
      <c r="O15" s="79"/>
      <c r="P15" s="79"/>
      <c r="Q15" s="79"/>
      <c r="R15" s="79"/>
      <c r="S15" s="76" t="s">
        <v>538</v>
      </c>
      <c r="T15" s="82"/>
      <c r="U15" s="79"/>
      <c r="V15" s="79"/>
      <c r="W15" s="79"/>
      <c r="X15" s="79"/>
      <c r="AA15" s="81"/>
      <c r="AB15" s="81"/>
      <c r="AC15" s="81"/>
      <c r="AD15" s="69" t="str">
        <f t="shared" si="0"/>
        <v xml:space="preserve"> </v>
      </c>
    </row>
    <row r="16" spans="1:35" ht="15">
      <c r="A16" s="74" t="s">
        <v>436</v>
      </c>
      <c r="C16" s="79"/>
      <c r="D16" s="79"/>
      <c r="E16" s="79"/>
      <c r="F16" s="82"/>
      <c r="G16" s="82"/>
      <c r="H16" s="79"/>
      <c r="I16" s="79"/>
      <c r="J16" s="79"/>
      <c r="K16" s="79"/>
      <c r="L16" s="79"/>
      <c r="M16" s="82"/>
      <c r="N16" s="79"/>
      <c r="O16" s="79"/>
      <c r="P16" s="79"/>
      <c r="Q16" s="79"/>
      <c r="R16" s="79"/>
      <c r="S16" s="76" t="s">
        <v>539</v>
      </c>
      <c r="T16" s="82"/>
      <c r="U16" s="79"/>
      <c r="V16" s="79"/>
      <c r="W16" s="79"/>
      <c r="X16" s="79"/>
      <c r="AA16" s="76" t="s">
        <v>445</v>
      </c>
      <c r="AB16" s="69" t="s">
        <v>540</v>
      </c>
      <c r="AC16" s="69" t="s">
        <v>501</v>
      </c>
      <c r="AD16" s="69" t="str">
        <f t="shared" si="0"/>
        <v>02.12.01 hasta 2 pisos, cualquier magnitud</v>
      </c>
      <c r="AE16" s="65" t="s">
        <v>468</v>
      </c>
      <c r="AF16" s="70">
        <v>2500</v>
      </c>
      <c r="AG16" s="71">
        <v>17.5</v>
      </c>
      <c r="AH16" s="72">
        <v>12</v>
      </c>
      <c r="AI16" s="73">
        <v>24</v>
      </c>
    </row>
    <row r="17" spans="1:35" ht="15">
      <c r="A17" s="74" t="s">
        <v>437</v>
      </c>
      <c r="C17" s="79"/>
      <c r="D17" s="79"/>
      <c r="E17" s="79"/>
      <c r="F17" s="82"/>
      <c r="G17" s="82"/>
      <c r="H17" s="79"/>
      <c r="I17" s="79"/>
      <c r="J17" s="79"/>
      <c r="K17" s="79"/>
      <c r="L17" s="79"/>
      <c r="M17" s="85"/>
      <c r="N17" s="79"/>
      <c r="O17" s="79"/>
      <c r="P17" s="79"/>
      <c r="Q17" s="79"/>
      <c r="R17" s="79"/>
      <c r="S17" s="76" t="s">
        <v>541</v>
      </c>
      <c r="T17" s="82"/>
      <c r="U17" s="79"/>
      <c r="V17" s="79"/>
      <c r="W17" s="79"/>
      <c r="X17" s="79"/>
      <c r="AA17" s="81"/>
      <c r="AB17" s="69" t="s">
        <v>542</v>
      </c>
      <c r="AC17" s="69" t="s">
        <v>508</v>
      </c>
      <c r="AD17" s="69" t="str">
        <f t="shared" si="0"/>
        <v>02.12.02 hasta 4 pisos, cualquier magnitud</v>
      </c>
      <c r="AE17" s="65" t="s">
        <v>468</v>
      </c>
      <c r="AF17" s="70">
        <v>3000</v>
      </c>
      <c r="AG17" s="71">
        <v>21.000000000000004</v>
      </c>
      <c r="AH17" s="72">
        <v>14</v>
      </c>
      <c r="AI17" s="73">
        <v>50</v>
      </c>
    </row>
    <row r="18" spans="1:35" ht="15">
      <c r="A18" s="74" t="s">
        <v>438</v>
      </c>
      <c r="C18" s="79"/>
      <c r="D18" s="79"/>
      <c r="E18" s="79"/>
      <c r="F18" s="80"/>
      <c r="G18" s="80"/>
      <c r="H18" s="79"/>
      <c r="I18" s="79"/>
      <c r="J18" s="79"/>
      <c r="K18" s="79"/>
      <c r="L18" s="79"/>
      <c r="M18" s="85"/>
      <c r="N18" s="79"/>
      <c r="O18" s="79"/>
      <c r="P18" s="79"/>
      <c r="Q18" s="79"/>
      <c r="R18" s="79"/>
      <c r="S18" s="76" t="s">
        <v>543</v>
      </c>
      <c r="T18" s="82"/>
      <c r="U18" s="79"/>
      <c r="V18" s="79"/>
      <c r="W18" s="79"/>
      <c r="X18" s="79"/>
      <c r="AA18" s="81"/>
      <c r="AB18" s="69" t="s">
        <v>544</v>
      </c>
      <c r="AC18" s="69" t="s">
        <v>515</v>
      </c>
      <c r="AD18" s="69" t="str">
        <f t="shared" si="0"/>
        <v>02.12.03 hasta 6 pisos, cualquier magnitud</v>
      </c>
      <c r="AE18" s="65" t="s">
        <v>468</v>
      </c>
      <c r="AF18" s="70">
        <v>3500</v>
      </c>
      <c r="AG18" s="71">
        <v>24.500000000000004</v>
      </c>
      <c r="AH18" s="72">
        <v>16</v>
      </c>
      <c r="AI18" s="73">
        <v>128</v>
      </c>
    </row>
    <row r="19" spans="1:35" ht="15">
      <c r="A19" s="74" t="s">
        <v>439</v>
      </c>
      <c r="C19" s="79"/>
      <c r="D19" s="79"/>
      <c r="E19" s="79"/>
      <c r="F19" s="82"/>
      <c r="G19" s="82"/>
      <c r="H19" s="79"/>
      <c r="I19" s="79"/>
      <c r="J19" s="79"/>
      <c r="K19" s="79"/>
      <c r="L19" s="79"/>
      <c r="M19" s="85"/>
      <c r="N19" s="79"/>
      <c r="O19" s="79"/>
      <c r="P19" s="79"/>
      <c r="Q19" s="79"/>
      <c r="R19" s="79"/>
      <c r="S19" s="76" t="s">
        <v>545</v>
      </c>
      <c r="T19" s="82"/>
      <c r="U19" s="79"/>
      <c r="V19" s="79"/>
      <c r="W19" s="79"/>
      <c r="X19" s="79"/>
      <c r="AA19" s="81"/>
      <c r="AB19" s="69" t="s">
        <v>546</v>
      </c>
      <c r="AC19" s="69" t="s">
        <v>520</v>
      </c>
      <c r="AD19" s="69" t="str">
        <f t="shared" si="0"/>
        <v>02.12.04 hasta 8 pisos, cualquier magnitud</v>
      </c>
      <c r="AE19" s="65" t="s">
        <v>468</v>
      </c>
      <c r="AF19" s="70">
        <v>4000</v>
      </c>
      <c r="AG19" s="71">
        <v>28.000000000000004</v>
      </c>
      <c r="AH19" s="72">
        <v>18</v>
      </c>
      <c r="AI19" s="73" t="s">
        <v>521</v>
      </c>
    </row>
    <row r="20" spans="1:35" ht="15">
      <c r="A20" s="74" t="s">
        <v>440</v>
      </c>
      <c r="C20" s="79"/>
      <c r="D20" s="79"/>
      <c r="E20" s="79"/>
      <c r="F20" s="82"/>
      <c r="G20" s="82"/>
      <c r="H20" s="79"/>
      <c r="I20" s="79"/>
      <c r="J20" s="79"/>
      <c r="K20" s="79"/>
      <c r="L20" s="79"/>
      <c r="M20" s="85"/>
      <c r="N20" s="79"/>
      <c r="O20" s="79"/>
      <c r="P20" s="79"/>
      <c r="Q20" s="79"/>
      <c r="R20" s="79"/>
      <c r="S20" s="76" t="s">
        <v>547</v>
      </c>
      <c r="T20" s="82"/>
      <c r="U20" s="79"/>
      <c r="V20" s="79"/>
      <c r="W20" s="79"/>
      <c r="X20" s="79"/>
      <c r="AA20" s="81"/>
      <c r="AB20" s="69" t="s">
        <v>548</v>
      </c>
      <c r="AC20" s="69" t="s">
        <v>526</v>
      </c>
      <c r="AD20" s="69" t="str">
        <f t="shared" si="0"/>
        <v>02.12.05 hasta 10 pisos, cualquier magnitud</v>
      </c>
      <c r="AE20" s="65" t="s">
        <v>468</v>
      </c>
      <c r="AF20" s="70">
        <v>4500</v>
      </c>
      <c r="AG20" s="71">
        <v>31.500000000000004</v>
      </c>
      <c r="AH20" s="72">
        <v>20</v>
      </c>
      <c r="AI20" s="73" t="s">
        <v>521</v>
      </c>
    </row>
    <row r="21" spans="1:35" ht="15">
      <c r="A21" s="74" t="s">
        <v>441</v>
      </c>
      <c r="C21" s="79"/>
      <c r="D21" s="79"/>
      <c r="E21" s="79"/>
      <c r="F21" s="82"/>
      <c r="G21" s="82"/>
      <c r="H21" s="79"/>
      <c r="I21" s="79"/>
      <c r="J21" s="79"/>
      <c r="K21" s="79"/>
      <c r="L21" s="79"/>
      <c r="M21" s="85"/>
      <c r="N21" s="79"/>
      <c r="O21" s="79"/>
      <c r="P21" s="79"/>
      <c r="Q21" s="79"/>
      <c r="R21" s="79"/>
      <c r="S21" s="76" t="s">
        <v>549</v>
      </c>
      <c r="T21" s="82"/>
      <c r="U21" s="79"/>
      <c r="V21" s="79"/>
      <c r="W21" s="79"/>
      <c r="X21" s="79"/>
      <c r="AA21" s="81"/>
      <c r="AB21" s="69" t="s">
        <v>550</v>
      </c>
      <c r="AC21" s="69" t="s">
        <v>530</v>
      </c>
      <c r="AD21" s="69" t="str">
        <f t="shared" si="0"/>
        <v>02.12.06 hasta 12 pisos, cualquier magnitud</v>
      </c>
      <c r="AE21" s="65" t="s">
        <v>468</v>
      </c>
      <c r="AF21" s="70">
        <v>5000</v>
      </c>
      <c r="AG21" s="71">
        <v>35</v>
      </c>
      <c r="AH21" s="72">
        <v>22</v>
      </c>
      <c r="AI21" s="73" t="s">
        <v>521</v>
      </c>
    </row>
    <row r="22" spans="1:35" ht="15">
      <c r="A22" s="86" t="s">
        <v>442</v>
      </c>
      <c r="C22" s="79"/>
      <c r="D22" s="79"/>
      <c r="E22" s="79"/>
      <c r="F22" s="82"/>
      <c r="G22" s="82"/>
      <c r="H22" s="79"/>
      <c r="I22" s="79"/>
      <c r="J22" s="79"/>
      <c r="K22" s="79"/>
      <c r="L22" s="79"/>
      <c r="M22" s="85"/>
      <c r="N22" s="79"/>
      <c r="O22" s="79"/>
      <c r="P22" s="79"/>
      <c r="Q22" s="79"/>
      <c r="R22" s="79"/>
      <c r="S22" s="76" t="s">
        <v>551</v>
      </c>
      <c r="T22" s="82"/>
      <c r="U22" s="79"/>
      <c r="V22" s="79"/>
      <c r="W22" s="79"/>
      <c r="X22" s="79"/>
      <c r="AA22" s="81"/>
      <c r="AB22" s="69" t="s">
        <v>552</v>
      </c>
      <c r="AC22" s="69" t="s">
        <v>534</v>
      </c>
      <c r="AD22" s="69" t="str">
        <f t="shared" si="0"/>
        <v>02.12.07 hasta 14 pisos, cualquier magnitud</v>
      </c>
      <c r="AE22" s="65" t="s">
        <v>468</v>
      </c>
      <c r="AF22" s="70">
        <v>5500</v>
      </c>
      <c r="AG22" s="71">
        <v>38.500000000000007</v>
      </c>
      <c r="AH22" s="72">
        <v>24</v>
      </c>
      <c r="AI22" s="73" t="s">
        <v>521</v>
      </c>
    </row>
    <row r="23" spans="1:35" ht="15">
      <c r="A23" s="86" t="s">
        <v>443</v>
      </c>
      <c r="C23" s="79"/>
      <c r="D23" s="79"/>
      <c r="E23" s="79"/>
      <c r="F23" s="82"/>
      <c r="G23" s="82"/>
      <c r="H23" s="79"/>
      <c r="I23" s="79"/>
      <c r="J23" s="79"/>
      <c r="K23" s="79"/>
      <c r="L23" s="79"/>
      <c r="M23" s="85"/>
      <c r="N23" s="79"/>
      <c r="O23" s="79"/>
      <c r="P23" s="79"/>
      <c r="Q23" s="79"/>
      <c r="R23" s="79"/>
      <c r="S23" s="76" t="s">
        <v>553</v>
      </c>
      <c r="T23" s="82"/>
      <c r="U23" s="79"/>
      <c r="V23" s="79"/>
      <c r="W23" s="79"/>
      <c r="X23" s="79"/>
      <c r="AA23" s="81"/>
      <c r="AB23" s="69" t="s">
        <v>554</v>
      </c>
      <c r="AC23" s="69" t="s">
        <v>536</v>
      </c>
      <c r="AD23" s="69" t="str">
        <f t="shared" si="0"/>
        <v>02.12.08 15 pisos o mas, cualquier magnitud</v>
      </c>
      <c r="AE23" s="65" t="s">
        <v>468</v>
      </c>
      <c r="AF23" s="70">
        <v>6000</v>
      </c>
      <c r="AG23" s="71">
        <v>42.000000000000007</v>
      </c>
      <c r="AH23" s="72">
        <v>26</v>
      </c>
      <c r="AI23" s="73" t="s">
        <v>521</v>
      </c>
    </row>
    <row r="24" spans="1:35">
      <c r="C24" s="79"/>
      <c r="D24" s="79"/>
      <c r="E24" s="79"/>
      <c r="F24" s="82"/>
      <c r="G24" s="82"/>
      <c r="H24" s="79"/>
      <c r="I24" s="79"/>
      <c r="J24" s="79"/>
      <c r="K24" s="79"/>
      <c r="L24" s="79"/>
      <c r="M24" s="85"/>
      <c r="N24" s="79"/>
      <c r="O24" s="79"/>
      <c r="P24" s="79"/>
      <c r="Q24" s="79"/>
      <c r="R24" s="79"/>
      <c r="S24" s="76" t="s">
        <v>555</v>
      </c>
      <c r="T24" s="82"/>
      <c r="U24" s="79"/>
      <c r="V24" s="79"/>
      <c r="W24" s="79"/>
      <c r="X24" s="79"/>
      <c r="AA24" s="81"/>
      <c r="AB24" s="87"/>
      <c r="AC24" s="87"/>
      <c r="AD24" s="69" t="str">
        <f t="shared" si="0"/>
        <v xml:space="preserve"> </v>
      </c>
    </row>
    <row r="25" spans="1:35">
      <c r="C25" s="79"/>
      <c r="D25" s="79"/>
      <c r="E25" s="79"/>
      <c r="F25" s="82"/>
      <c r="G25" s="82"/>
      <c r="H25" s="79"/>
      <c r="I25" s="79"/>
      <c r="J25" s="79"/>
      <c r="K25" s="79"/>
      <c r="L25" s="79"/>
      <c r="M25" s="82"/>
      <c r="N25" s="79"/>
      <c r="O25" s="79"/>
      <c r="P25" s="79"/>
      <c r="Q25" s="79"/>
      <c r="R25" s="79"/>
      <c r="S25" s="76" t="s">
        <v>556</v>
      </c>
      <c r="T25" s="82"/>
      <c r="U25" s="79"/>
      <c r="V25" s="79"/>
      <c r="W25" s="79"/>
      <c r="X25" s="79"/>
      <c r="AA25" s="76" t="s">
        <v>446</v>
      </c>
      <c r="AB25" s="69" t="s">
        <v>557</v>
      </c>
      <c r="AC25" s="69" t="s">
        <v>501</v>
      </c>
      <c r="AD25" s="69" t="str">
        <f t="shared" si="0"/>
        <v>03.13.01 hasta 2 pisos, cualquier magnitud</v>
      </c>
      <c r="AE25" s="65" t="s">
        <v>468</v>
      </c>
      <c r="AF25" s="70">
        <v>2500</v>
      </c>
      <c r="AG25" s="71">
        <v>21.000000000000004</v>
      </c>
      <c r="AH25" s="72">
        <v>12</v>
      </c>
      <c r="AI25" s="73">
        <v>24</v>
      </c>
    </row>
    <row r="26" spans="1:35">
      <c r="C26" s="79"/>
      <c r="D26" s="79"/>
      <c r="E26" s="79"/>
      <c r="F26" s="82"/>
      <c r="G26" s="82"/>
      <c r="H26" s="79"/>
      <c r="I26" s="79"/>
      <c r="J26" s="79"/>
      <c r="K26" s="79"/>
      <c r="L26" s="79"/>
      <c r="M26" s="79"/>
      <c r="N26" s="79"/>
      <c r="O26" s="79"/>
      <c r="P26" s="79"/>
      <c r="Q26" s="79"/>
      <c r="R26" s="79"/>
      <c r="S26" s="76" t="s">
        <v>558</v>
      </c>
      <c r="T26" s="82"/>
      <c r="U26" s="79"/>
      <c r="V26" s="79"/>
      <c r="W26" s="79"/>
      <c r="X26" s="79"/>
      <c r="AB26" s="69" t="s">
        <v>559</v>
      </c>
      <c r="AC26" s="69" t="s">
        <v>508</v>
      </c>
      <c r="AD26" s="69" t="str">
        <f t="shared" si="0"/>
        <v>03.13.02 hasta 4 pisos, cualquier magnitud</v>
      </c>
      <c r="AE26" s="65" t="s">
        <v>468</v>
      </c>
      <c r="AF26" s="70">
        <v>3000</v>
      </c>
      <c r="AG26" s="71">
        <v>25.200000000000003</v>
      </c>
      <c r="AH26" s="72">
        <v>14</v>
      </c>
      <c r="AI26" s="73">
        <v>50</v>
      </c>
    </row>
    <row r="27" spans="1:35">
      <c r="M27" s="88"/>
      <c r="Q27" s="89"/>
      <c r="AB27" s="69" t="s">
        <v>560</v>
      </c>
      <c r="AC27" s="69" t="s">
        <v>515</v>
      </c>
      <c r="AD27" s="69" t="str">
        <f t="shared" si="0"/>
        <v>03.13.03 hasta 6 pisos, cualquier magnitud</v>
      </c>
      <c r="AE27" s="65" t="s">
        <v>468</v>
      </c>
      <c r="AF27" s="70">
        <v>3500</v>
      </c>
      <c r="AG27" s="71">
        <v>29.400000000000002</v>
      </c>
      <c r="AH27" s="72">
        <v>16</v>
      </c>
      <c r="AI27" s="73">
        <v>128</v>
      </c>
    </row>
    <row r="28" spans="1:35">
      <c r="F28" s="81"/>
      <c r="G28" s="81"/>
      <c r="M28" s="88"/>
      <c r="AA28" s="81"/>
      <c r="AB28" s="69" t="s">
        <v>561</v>
      </c>
      <c r="AC28" s="69" t="s">
        <v>520</v>
      </c>
      <c r="AD28" s="69" t="str">
        <f t="shared" si="0"/>
        <v>03.13.04 hasta 8 pisos, cualquier magnitud</v>
      </c>
      <c r="AE28" s="65" t="s">
        <v>468</v>
      </c>
      <c r="AF28" s="70">
        <v>4000</v>
      </c>
      <c r="AG28" s="71">
        <v>33.6</v>
      </c>
      <c r="AH28" s="72">
        <v>18</v>
      </c>
      <c r="AI28" s="73" t="s">
        <v>521</v>
      </c>
    </row>
    <row r="29" spans="1:35">
      <c r="F29" s="81"/>
      <c r="G29" s="81"/>
      <c r="M29" s="88"/>
      <c r="AA29" s="81"/>
      <c r="AB29" s="69" t="s">
        <v>562</v>
      </c>
      <c r="AC29" s="69" t="s">
        <v>526</v>
      </c>
      <c r="AD29" s="69" t="str">
        <f t="shared" si="0"/>
        <v>03.13.05 hasta 10 pisos, cualquier magnitud</v>
      </c>
      <c r="AE29" s="65" t="s">
        <v>468</v>
      </c>
      <c r="AF29" s="70">
        <v>4500</v>
      </c>
      <c r="AG29" s="71">
        <v>37.800000000000004</v>
      </c>
      <c r="AH29" s="72">
        <v>20</v>
      </c>
      <c r="AI29" s="73" t="s">
        <v>521</v>
      </c>
    </row>
    <row r="30" spans="1:35">
      <c r="F30" s="81"/>
      <c r="G30" s="81"/>
      <c r="M30" s="88"/>
      <c r="AA30" s="81"/>
      <c r="AB30" s="69" t="s">
        <v>563</v>
      </c>
      <c r="AC30" s="69" t="s">
        <v>530</v>
      </c>
      <c r="AD30" s="69" t="str">
        <f t="shared" si="0"/>
        <v>03.13.06 hasta 12 pisos, cualquier magnitud</v>
      </c>
      <c r="AE30" s="65" t="s">
        <v>468</v>
      </c>
      <c r="AF30" s="70">
        <v>5000</v>
      </c>
      <c r="AG30" s="71">
        <v>42.000000000000007</v>
      </c>
      <c r="AH30" s="72">
        <v>22</v>
      </c>
      <c r="AI30" s="73" t="s">
        <v>521</v>
      </c>
    </row>
    <row r="31" spans="1:35">
      <c r="F31" s="81"/>
      <c r="G31" s="81"/>
      <c r="M31" s="88"/>
      <c r="AA31" s="81"/>
      <c r="AB31" s="69" t="s">
        <v>564</v>
      </c>
      <c r="AC31" s="69" t="s">
        <v>534</v>
      </c>
      <c r="AD31" s="69" t="str">
        <f t="shared" si="0"/>
        <v>03.13.07 hasta 14 pisos, cualquier magnitud</v>
      </c>
      <c r="AE31" s="65" t="s">
        <v>468</v>
      </c>
      <c r="AF31" s="70">
        <v>5500</v>
      </c>
      <c r="AG31" s="71">
        <v>46.2</v>
      </c>
      <c r="AH31" s="72">
        <v>24</v>
      </c>
      <c r="AI31" s="73" t="s">
        <v>521</v>
      </c>
    </row>
    <row r="32" spans="1:35">
      <c r="F32" s="81"/>
      <c r="G32" s="81"/>
      <c r="M32" s="88"/>
      <c r="AA32" s="81"/>
      <c r="AB32" s="69" t="s">
        <v>565</v>
      </c>
      <c r="AC32" s="69" t="s">
        <v>536</v>
      </c>
      <c r="AD32" s="69" t="str">
        <f t="shared" si="0"/>
        <v>03.13.08 15 pisos o mas, cualquier magnitud</v>
      </c>
      <c r="AE32" s="65" t="s">
        <v>468</v>
      </c>
      <c r="AF32" s="70">
        <v>6000</v>
      </c>
      <c r="AG32" s="71">
        <v>50.400000000000006</v>
      </c>
      <c r="AH32" s="72">
        <v>26</v>
      </c>
      <c r="AI32" s="73" t="s">
        <v>521</v>
      </c>
    </row>
    <row r="33" spans="6:35">
      <c r="F33" s="81"/>
      <c r="G33" s="81"/>
      <c r="M33" s="88"/>
      <c r="AA33" s="81"/>
    </row>
    <row r="34" spans="6:35">
      <c r="F34" s="81"/>
      <c r="G34" s="81"/>
      <c r="M34" s="88"/>
      <c r="AA34" s="76" t="s">
        <v>470</v>
      </c>
      <c r="AB34" s="69" t="s">
        <v>557</v>
      </c>
      <c r="AC34" s="69" t="s">
        <v>501</v>
      </c>
      <c r="AD34" s="69" t="str">
        <f t="shared" si="0"/>
        <v>03.13.01 hasta 2 pisos, cualquier magnitud</v>
      </c>
      <c r="AE34" s="65" t="s">
        <v>468</v>
      </c>
      <c r="AF34" s="70">
        <v>2500</v>
      </c>
      <c r="AG34" s="71">
        <v>21.000000000000004</v>
      </c>
      <c r="AH34" s="72">
        <v>12</v>
      </c>
      <c r="AI34" s="73">
        <v>24</v>
      </c>
    </row>
    <row r="35" spans="6:35">
      <c r="F35" s="81"/>
      <c r="G35" s="81"/>
      <c r="M35" s="88"/>
      <c r="AA35" s="81"/>
      <c r="AB35" s="69" t="s">
        <v>559</v>
      </c>
      <c r="AC35" s="69" t="s">
        <v>508</v>
      </c>
      <c r="AD35" s="69" t="str">
        <f t="shared" si="0"/>
        <v>03.13.02 hasta 4 pisos, cualquier magnitud</v>
      </c>
      <c r="AE35" s="65" t="s">
        <v>468</v>
      </c>
      <c r="AF35" s="70">
        <v>3000</v>
      </c>
      <c r="AG35" s="71">
        <v>25.200000000000003</v>
      </c>
      <c r="AH35" s="72">
        <v>14</v>
      </c>
      <c r="AI35" s="73">
        <v>50</v>
      </c>
    </row>
    <row r="36" spans="6:35">
      <c r="F36" s="81"/>
      <c r="G36" s="81"/>
      <c r="M36" s="88"/>
      <c r="AA36" s="81"/>
      <c r="AB36" s="69" t="s">
        <v>560</v>
      </c>
      <c r="AC36" s="69" t="s">
        <v>515</v>
      </c>
      <c r="AD36" s="69" t="str">
        <f t="shared" si="0"/>
        <v>03.13.03 hasta 6 pisos, cualquier magnitud</v>
      </c>
      <c r="AE36" s="65" t="s">
        <v>468</v>
      </c>
      <c r="AF36" s="70">
        <v>3500</v>
      </c>
      <c r="AG36" s="71">
        <v>29.400000000000002</v>
      </c>
      <c r="AH36" s="72">
        <v>16</v>
      </c>
      <c r="AI36" s="73">
        <v>128</v>
      </c>
    </row>
    <row r="37" spans="6:35">
      <c r="F37" s="81"/>
      <c r="G37" s="81"/>
      <c r="M37" s="88"/>
      <c r="AA37" s="81"/>
      <c r="AB37" s="69" t="s">
        <v>561</v>
      </c>
      <c r="AC37" s="69" t="s">
        <v>520</v>
      </c>
      <c r="AD37" s="69" t="str">
        <f t="shared" si="0"/>
        <v>03.13.04 hasta 8 pisos, cualquier magnitud</v>
      </c>
      <c r="AE37" s="65" t="s">
        <v>468</v>
      </c>
      <c r="AF37" s="70">
        <v>4000</v>
      </c>
      <c r="AG37" s="71">
        <v>33.6</v>
      </c>
      <c r="AH37" s="72">
        <v>18</v>
      </c>
      <c r="AI37" s="73" t="s">
        <v>521</v>
      </c>
    </row>
    <row r="38" spans="6:35">
      <c r="F38" s="81"/>
      <c r="G38" s="81"/>
      <c r="M38" s="88"/>
      <c r="AA38" s="81"/>
      <c r="AB38" s="69" t="s">
        <v>562</v>
      </c>
      <c r="AC38" s="69" t="s">
        <v>526</v>
      </c>
      <c r="AD38" s="69" t="str">
        <f t="shared" si="0"/>
        <v>03.13.05 hasta 10 pisos, cualquier magnitud</v>
      </c>
      <c r="AE38" s="65" t="s">
        <v>468</v>
      </c>
      <c r="AF38" s="70">
        <v>4500</v>
      </c>
      <c r="AG38" s="71">
        <v>37.800000000000004</v>
      </c>
      <c r="AH38" s="72">
        <v>20</v>
      </c>
      <c r="AI38" s="73" t="s">
        <v>521</v>
      </c>
    </row>
    <row r="39" spans="6:35">
      <c r="F39" s="81"/>
      <c r="G39" s="81"/>
      <c r="M39" s="88"/>
      <c r="AA39" s="81"/>
      <c r="AB39" s="69" t="s">
        <v>563</v>
      </c>
      <c r="AC39" s="69" t="s">
        <v>530</v>
      </c>
      <c r="AD39" s="69" t="str">
        <f t="shared" si="0"/>
        <v>03.13.06 hasta 12 pisos, cualquier magnitud</v>
      </c>
      <c r="AE39" s="65" t="s">
        <v>468</v>
      </c>
      <c r="AF39" s="70">
        <v>5000</v>
      </c>
      <c r="AG39" s="71">
        <v>42.000000000000007</v>
      </c>
      <c r="AH39" s="72">
        <v>22</v>
      </c>
      <c r="AI39" s="73" t="s">
        <v>521</v>
      </c>
    </row>
    <row r="40" spans="6:35">
      <c r="F40" s="81"/>
      <c r="G40" s="81"/>
      <c r="M40" s="88"/>
      <c r="AA40" s="81"/>
      <c r="AB40" s="69" t="s">
        <v>564</v>
      </c>
      <c r="AC40" s="69" t="s">
        <v>534</v>
      </c>
      <c r="AD40" s="69" t="str">
        <f t="shared" si="0"/>
        <v>03.13.07 hasta 14 pisos, cualquier magnitud</v>
      </c>
      <c r="AE40" s="65" t="s">
        <v>468</v>
      </c>
      <c r="AF40" s="70">
        <v>5500</v>
      </c>
      <c r="AG40" s="71">
        <v>46.2</v>
      </c>
      <c r="AH40" s="72">
        <v>24</v>
      </c>
      <c r="AI40" s="73" t="s">
        <v>521</v>
      </c>
    </row>
    <row r="41" spans="6:35">
      <c r="F41" s="81"/>
      <c r="G41" s="81"/>
      <c r="M41" s="88"/>
      <c r="AA41" s="81"/>
      <c r="AB41" s="69" t="s">
        <v>565</v>
      </c>
      <c r="AC41" s="69" t="s">
        <v>536</v>
      </c>
      <c r="AD41" s="69" t="str">
        <f t="shared" si="0"/>
        <v>03.13.08 15 pisos o mas, cualquier magnitud</v>
      </c>
      <c r="AE41" s="65" t="s">
        <v>468</v>
      </c>
      <c r="AF41" s="70">
        <v>6000</v>
      </c>
      <c r="AG41" s="71">
        <v>50.400000000000006</v>
      </c>
      <c r="AH41" s="72">
        <v>26</v>
      </c>
      <c r="AI41" s="73" t="s">
        <v>521</v>
      </c>
    </row>
    <row r="42" spans="6:35">
      <c r="F42" s="81"/>
      <c r="G42" s="81"/>
      <c r="M42" s="88"/>
      <c r="AA42" s="81"/>
      <c r="AB42" s="87"/>
      <c r="AC42" s="87"/>
    </row>
    <row r="43" spans="6:35">
      <c r="F43" s="81"/>
      <c r="G43" s="81"/>
      <c r="M43" s="81"/>
      <c r="AA43" s="76" t="s">
        <v>447</v>
      </c>
      <c r="AB43" s="69" t="s">
        <v>566</v>
      </c>
      <c r="AC43" s="69" t="s">
        <v>501</v>
      </c>
      <c r="AD43" s="69" t="str">
        <f t="shared" si="0"/>
        <v>04.14.01 hasta 2 pisos, cualquier magnitud</v>
      </c>
      <c r="AE43" s="65" t="s">
        <v>468</v>
      </c>
      <c r="AF43" s="70">
        <v>2500</v>
      </c>
      <c r="AG43" s="71">
        <v>17.5</v>
      </c>
      <c r="AH43" s="72">
        <v>12</v>
      </c>
      <c r="AI43" s="73">
        <v>24</v>
      </c>
    </row>
    <row r="44" spans="6:35">
      <c r="F44" s="81"/>
      <c r="G44" s="81"/>
      <c r="AA44" s="81"/>
      <c r="AB44" s="69" t="s">
        <v>567</v>
      </c>
      <c r="AC44" s="69" t="s">
        <v>508</v>
      </c>
      <c r="AD44" s="69" t="str">
        <f t="shared" si="0"/>
        <v>04.14.02 hasta 4 pisos, cualquier magnitud</v>
      </c>
      <c r="AE44" s="65" t="s">
        <v>468</v>
      </c>
      <c r="AF44" s="70">
        <v>3000</v>
      </c>
      <c r="AG44" s="71">
        <v>21.000000000000004</v>
      </c>
      <c r="AH44" s="72">
        <v>14</v>
      </c>
      <c r="AI44" s="73">
        <v>50</v>
      </c>
    </row>
    <row r="45" spans="6:35">
      <c r="M45" s="88"/>
      <c r="AA45" s="81"/>
      <c r="AB45" s="69" t="s">
        <v>568</v>
      </c>
      <c r="AC45" s="69" t="s">
        <v>515</v>
      </c>
      <c r="AD45" s="69" t="str">
        <f t="shared" si="0"/>
        <v>04.14.03 hasta 6 pisos, cualquier magnitud</v>
      </c>
      <c r="AE45" s="65" t="s">
        <v>468</v>
      </c>
      <c r="AF45" s="70">
        <v>3500</v>
      </c>
      <c r="AG45" s="71">
        <v>24.500000000000004</v>
      </c>
      <c r="AH45" s="72">
        <v>16</v>
      </c>
      <c r="AI45" s="73">
        <v>128</v>
      </c>
    </row>
    <row r="46" spans="6:35">
      <c r="F46" s="81"/>
      <c r="G46" s="81"/>
      <c r="M46" s="88"/>
      <c r="AA46" s="81"/>
      <c r="AB46" s="69" t="s">
        <v>569</v>
      </c>
      <c r="AC46" s="69" t="s">
        <v>520</v>
      </c>
      <c r="AD46" s="69" t="str">
        <f t="shared" si="0"/>
        <v>04.14.04 hasta 8 pisos, cualquier magnitud</v>
      </c>
      <c r="AE46" s="65" t="s">
        <v>468</v>
      </c>
      <c r="AF46" s="70">
        <v>4000</v>
      </c>
      <c r="AG46" s="71">
        <v>28.000000000000004</v>
      </c>
      <c r="AH46" s="72">
        <v>18</v>
      </c>
      <c r="AI46" s="73" t="s">
        <v>521</v>
      </c>
    </row>
    <row r="47" spans="6:35">
      <c r="F47" s="81"/>
      <c r="G47" s="81"/>
      <c r="M47" s="88"/>
      <c r="AA47" s="81"/>
      <c r="AB47" s="69" t="s">
        <v>570</v>
      </c>
      <c r="AC47" s="69" t="s">
        <v>526</v>
      </c>
      <c r="AD47" s="69" t="str">
        <f t="shared" si="0"/>
        <v>04.14.05 hasta 10 pisos, cualquier magnitud</v>
      </c>
      <c r="AE47" s="65" t="s">
        <v>468</v>
      </c>
      <c r="AF47" s="70">
        <v>4500</v>
      </c>
      <c r="AG47" s="71">
        <v>31.500000000000004</v>
      </c>
      <c r="AH47" s="72">
        <v>20</v>
      </c>
      <c r="AI47" s="73" t="s">
        <v>521</v>
      </c>
    </row>
    <row r="48" spans="6:35">
      <c r="F48" s="81"/>
      <c r="G48" s="81"/>
      <c r="M48" s="88"/>
      <c r="AA48" s="81"/>
      <c r="AB48" s="69" t="s">
        <v>571</v>
      </c>
      <c r="AC48" s="69" t="s">
        <v>530</v>
      </c>
      <c r="AD48" s="69" t="str">
        <f t="shared" si="0"/>
        <v>04.14.06 hasta 12 pisos, cualquier magnitud</v>
      </c>
      <c r="AE48" s="65" t="s">
        <v>468</v>
      </c>
      <c r="AF48" s="70">
        <v>5000</v>
      </c>
      <c r="AG48" s="71">
        <v>35</v>
      </c>
      <c r="AH48" s="72">
        <v>22</v>
      </c>
      <c r="AI48" s="73" t="s">
        <v>521</v>
      </c>
    </row>
    <row r="49" spans="6:35">
      <c r="F49" s="81"/>
      <c r="G49" s="81"/>
      <c r="M49" s="88"/>
      <c r="AA49" s="81"/>
      <c r="AB49" s="69" t="s">
        <v>572</v>
      </c>
      <c r="AC49" s="69" t="s">
        <v>534</v>
      </c>
      <c r="AD49" s="69" t="str">
        <f t="shared" si="0"/>
        <v>04.14.07 hasta 14 pisos, cualquier magnitud</v>
      </c>
      <c r="AE49" s="65" t="s">
        <v>468</v>
      </c>
      <c r="AF49" s="70">
        <v>5500</v>
      </c>
      <c r="AG49" s="71">
        <v>38.500000000000007</v>
      </c>
      <c r="AH49" s="72">
        <v>24</v>
      </c>
      <c r="AI49" s="73" t="s">
        <v>521</v>
      </c>
    </row>
    <row r="50" spans="6:35">
      <c r="F50" s="81"/>
      <c r="G50" s="81"/>
      <c r="M50" s="88"/>
      <c r="AA50" s="81"/>
      <c r="AB50" s="69" t="s">
        <v>573</v>
      </c>
      <c r="AC50" s="69" t="s">
        <v>536</v>
      </c>
      <c r="AD50" s="69" t="str">
        <f t="shared" si="0"/>
        <v>04.14.08 15 pisos o mas, cualquier magnitud</v>
      </c>
      <c r="AE50" s="65" t="s">
        <v>468</v>
      </c>
      <c r="AF50" s="70">
        <v>6000</v>
      </c>
      <c r="AG50" s="71">
        <v>42.000000000000007</v>
      </c>
      <c r="AH50" s="72">
        <v>26</v>
      </c>
      <c r="AI50" s="73" t="s">
        <v>521</v>
      </c>
    </row>
    <row r="51" spans="6:35">
      <c r="F51" s="81"/>
      <c r="G51" s="81"/>
      <c r="M51" s="88"/>
      <c r="AA51" s="81"/>
      <c r="AB51" s="87"/>
      <c r="AC51" s="87"/>
      <c r="AD51" s="69" t="str">
        <f t="shared" si="0"/>
        <v xml:space="preserve"> </v>
      </c>
    </row>
    <row r="52" spans="6:35">
      <c r="F52" s="81"/>
      <c r="G52" s="81"/>
      <c r="M52" s="81"/>
      <c r="AA52" s="76" t="s">
        <v>448</v>
      </c>
      <c r="AB52" s="69" t="s">
        <v>574</v>
      </c>
      <c r="AC52" s="69" t="s">
        <v>575</v>
      </c>
      <c r="AD52" s="69" t="str">
        <f t="shared" si="0"/>
        <v>05.15.01 Cualquier magnitud</v>
      </c>
      <c r="AE52" s="65" t="s">
        <v>468</v>
      </c>
      <c r="AF52" s="70" t="s">
        <v>576</v>
      </c>
      <c r="AG52" s="71">
        <v>0</v>
      </c>
      <c r="AH52" s="72">
        <v>12</v>
      </c>
      <c r="AI52" s="73">
        <v>24</v>
      </c>
    </row>
    <row r="53" spans="6:35">
      <c r="F53" s="81"/>
      <c r="G53" s="81"/>
      <c r="AA53" s="76" t="s">
        <v>471</v>
      </c>
      <c r="AB53" s="69" t="s">
        <v>577</v>
      </c>
      <c r="AC53" s="69" t="s">
        <v>575</v>
      </c>
      <c r="AD53" s="69" t="str">
        <f t="shared" si="0"/>
        <v>05.16.01 Cualquier magnitud</v>
      </c>
      <c r="AE53" s="65" t="s">
        <v>468</v>
      </c>
      <c r="AF53" s="70" t="s">
        <v>576</v>
      </c>
      <c r="AG53" s="71">
        <v>0</v>
      </c>
      <c r="AH53" s="72">
        <v>14</v>
      </c>
      <c r="AI53" s="73">
        <v>50</v>
      </c>
    </row>
    <row r="54" spans="6:35">
      <c r="AA54" s="76" t="s">
        <v>484</v>
      </c>
      <c r="AB54" s="69" t="s">
        <v>578</v>
      </c>
      <c r="AC54" s="69" t="s">
        <v>575</v>
      </c>
      <c r="AD54" s="69" t="str">
        <f t="shared" si="0"/>
        <v>05.17.01 Cualquier magnitud</v>
      </c>
      <c r="AE54" s="65" t="s">
        <v>468</v>
      </c>
      <c r="AF54" s="70" t="s">
        <v>576</v>
      </c>
      <c r="AG54" s="71">
        <v>0</v>
      </c>
      <c r="AH54" s="72">
        <v>16</v>
      </c>
      <c r="AI54" s="73">
        <v>128</v>
      </c>
    </row>
    <row r="55" spans="6:35">
      <c r="AA55" s="76" t="s">
        <v>494</v>
      </c>
      <c r="AB55" s="69" t="s">
        <v>579</v>
      </c>
      <c r="AC55" s="69" t="s">
        <v>575</v>
      </c>
      <c r="AD55" s="69" t="str">
        <f t="shared" si="0"/>
        <v>05.18.01 Cualquier magnitud</v>
      </c>
      <c r="AE55" s="65" t="s">
        <v>468</v>
      </c>
      <c r="AF55" s="70" t="s">
        <v>576</v>
      </c>
      <c r="AG55" s="71">
        <v>0</v>
      </c>
      <c r="AH55" s="72">
        <v>18</v>
      </c>
      <c r="AI55" s="73" t="s">
        <v>521</v>
      </c>
    </row>
    <row r="56" spans="6:35">
      <c r="AA56" s="76" t="s">
        <v>502</v>
      </c>
      <c r="AB56" s="69" t="s">
        <v>580</v>
      </c>
      <c r="AC56" s="69" t="s">
        <v>575</v>
      </c>
      <c r="AD56" s="69" t="str">
        <f t="shared" si="0"/>
        <v>05.19.01 Cualquier magnitud</v>
      </c>
      <c r="AE56" s="65" t="s">
        <v>468</v>
      </c>
      <c r="AF56" s="70" t="s">
        <v>576</v>
      </c>
      <c r="AG56" s="71">
        <v>0</v>
      </c>
      <c r="AH56" s="72">
        <v>20</v>
      </c>
      <c r="AI56" s="73" t="s">
        <v>521</v>
      </c>
    </row>
    <row r="57" spans="6:35">
      <c r="AA57" s="76" t="s">
        <v>509</v>
      </c>
      <c r="AB57" s="69" t="s">
        <v>581</v>
      </c>
      <c r="AC57" s="69" t="s">
        <v>575</v>
      </c>
      <c r="AD57" s="69" t="str">
        <f>CONCATENATE(AB57," ",AC57)</f>
        <v>05.20.01 Cualquier magnitud</v>
      </c>
      <c r="AE57" s="65" t="s">
        <v>468</v>
      </c>
      <c r="AF57" s="70" t="s">
        <v>576</v>
      </c>
      <c r="AG57" s="71">
        <v>0</v>
      </c>
      <c r="AH57" s="72">
        <v>22</v>
      </c>
      <c r="AI57" s="73" t="s">
        <v>521</v>
      </c>
    </row>
    <row r="58" spans="6:35">
      <c r="AA58" s="76" t="s">
        <v>275</v>
      </c>
      <c r="AB58" s="69" t="s">
        <v>582</v>
      </c>
      <c r="AC58" s="69" t="s">
        <v>575</v>
      </c>
      <c r="AD58" s="69" t="str">
        <f t="shared" si="0"/>
        <v>05.21.01 Cualquier magnitud</v>
      </c>
      <c r="AE58" s="65" t="s">
        <v>468</v>
      </c>
      <c r="AF58" s="70" t="s">
        <v>576</v>
      </c>
      <c r="AG58" s="71">
        <v>0</v>
      </c>
      <c r="AH58" s="72">
        <v>24</v>
      </c>
      <c r="AI58" s="73" t="s">
        <v>521</v>
      </c>
    </row>
    <row r="59" spans="6:35">
      <c r="AA59" s="76" t="s">
        <v>522</v>
      </c>
      <c r="AB59" s="69" t="s">
        <v>583</v>
      </c>
      <c r="AC59" s="69" t="s">
        <v>575</v>
      </c>
      <c r="AD59" s="69" t="str">
        <f t="shared" si="0"/>
        <v>05.22.01 Cualquier magnitud</v>
      </c>
      <c r="AE59" s="65" t="s">
        <v>468</v>
      </c>
      <c r="AF59" s="70" t="s">
        <v>576</v>
      </c>
      <c r="AG59" s="71">
        <v>0</v>
      </c>
      <c r="AH59" s="72">
        <v>26</v>
      </c>
      <c r="AI59" s="73" t="s">
        <v>521</v>
      </c>
    </row>
    <row r="60" spans="6:35">
      <c r="AA60" s="81"/>
      <c r="AB60" s="87"/>
      <c r="AC60" s="87"/>
      <c r="AD60" s="69" t="str">
        <f t="shared" si="0"/>
        <v xml:space="preserve"> </v>
      </c>
    </row>
    <row r="61" spans="6:35">
      <c r="M61" s="81"/>
      <c r="Q61" s="89"/>
      <c r="AA61" s="76" t="s">
        <v>449</v>
      </c>
      <c r="AB61" s="69" t="s">
        <v>584</v>
      </c>
      <c r="AC61" s="69" t="s">
        <v>501</v>
      </c>
      <c r="AD61" s="69" t="str">
        <f t="shared" si="0"/>
        <v>06.23.01 hasta 2 pisos, cualquier magnitud</v>
      </c>
      <c r="AE61" s="65" t="s">
        <v>468</v>
      </c>
      <c r="AF61" s="70">
        <v>2500</v>
      </c>
      <c r="AG61" s="71">
        <v>14.000000000000002</v>
      </c>
      <c r="AH61" s="72">
        <v>12</v>
      </c>
      <c r="AI61" s="73">
        <v>24</v>
      </c>
    </row>
    <row r="62" spans="6:35">
      <c r="F62" s="81"/>
      <c r="G62" s="81"/>
      <c r="AA62" s="81"/>
      <c r="AB62" s="69" t="s">
        <v>585</v>
      </c>
      <c r="AC62" s="69" t="s">
        <v>508</v>
      </c>
      <c r="AD62" s="69" t="str">
        <f t="shared" si="0"/>
        <v>06.23.02 hasta 4 pisos, cualquier magnitud</v>
      </c>
      <c r="AE62" s="65" t="s">
        <v>468</v>
      </c>
      <c r="AF62" s="70">
        <v>3000</v>
      </c>
      <c r="AG62" s="71">
        <v>16.8</v>
      </c>
      <c r="AH62" s="72">
        <v>14</v>
      </c>
      <c r="AI62" s="73">
        <v>50</v>
      </c>
    </row>
    <row r="63" spans="6:35">
      <c r="AA63" s="81"/>
      <c r="AB63" s="69" t="s">
        <v>586</v>
      </c>
      <c r="AC63" s="69" t="s">
        <v>515</v>
      </c>
      <c r="AD63" s="69" t="str">
        <f t="shared" si="0"/>
        <v>06.23.03 hasta 6 pisos, cualquier magnitud</v>
      </c>
      <c r="AE63" s="65" t="s">
        <v>468</v>
      </c>
      <c r="AF63" s="70">
        <v>3500</v>
      </c>
      <c r="AG63" s="71">
        <v>19.600000000000001</v>
      </c>
      <c r="AH63" s="72">
        <v>16</v>
      </c>
      <c r="AI63" s="73">
        <v>128</v>
      </c>
    </row>
    <row r="64" spans="6:35">
      <c r="F64" s="81"/>
      <c r="G64" s="81"/>
      <c r="AA64" s="81"/>
      <c r="AB64" s="69" t="s">
        <v>587</v>
      </c>
      <c r="AC64" s="69" t="s">
        <v>520</v>
      </c>
      <c r="AD64" s="69" t="str">
        <f t="shared" si="0"/>
        <v>06.23.04 hasta 8 pisos, cualquier magnitud</v>
      </c>
      <c r="AE64" s="65" t="s">
        <v>468</v>
      </c>
      <c r="AF64" s="70">
        <v>4000</v>
      </c>
      <c r="AG64" s="71">
        <v>22.400000000000002</v>
      </c>
      <c r="AH64" s="72">
        <v>18</v>
      </c>
      <c r="AI64" s="73" t="s">
        <v>521</v>
      </c>
    </row>
    <row r="65" spans="6:35">
      <c r="F65" s="81"/>
      <c r="G65" s="81"/>
      <c r="AA65" s="81"/>
      <c r="AB65" s="69" t="s">
        <v>588</v>
      </c>
      <c r="AC65" s="69" t="s">
        <v>526</v>
      </c>
      <c r="AD65" s="69" t="str">
        <f t="shared" si="0"/>
        <v>06.23.05 hasta 10 pisos, cualquier magnitud</v>
      </c>
      <c r="AE65" s="65" t="s">
        <v>468</v>
      </c>
      <c r="AF65" s="70">
        <v>4500</v>
      </c>
      <c r="AG65" s="71">
        <v>25.200000000000003</v>
      </c>
      <c r="AH65" s="72">
        <v>20</v>
      </c>
      <c r="AI65" s="73" t="s">
        <v>521</v>
      </c>
    </row>
    <row r="66" spans="6:35">
      <c r="F66" s="81"/>
      <c r="G66" s="81"/>
      <c r="AA66" s="81"/>
      <c r="AB66" s="69" t="s">
        <v>589</v>
      </c>
      <c r="AC66" s="69" t="s">
        <v>530</v>
      </c>
      <c r="AD66" s="69" t="str">
        <f t="shared" si="0"/>
        <v>06.23.06 hasta 12 pisos, cualquier magnitud</v>
      </c>
      <c r="AE66" s="65" t="s">
        <v>468</v>
      </c>
      <c r="AF66" s="70">
        <v>5000</v>
      </c>
      <c r="AG66" s="71">
        <v>28.000000000000004</v>
      </c>
      <c r="AH66" s="72">
        <v>22</v>
      </c>
      <c r="AI66" s="73" t="s">
        <v>521</v>
      </c>
    </row>
    <row r="67" spans="6:35">
      <c r="F67" s="81"/>
      <c r="G67" s="81"/>
      <c r="AA67" s="81"/>
      <c r="AB67" s="69" t="s">
        <v>590</v>
      </c>
      <c r="AC67" s="69" t="s">
        <v>534</v>
      </c>
      <c r="AD67" s="69" t="str">
        <f t="shared" si="0"/>
        <v>06.23.07 hasta 14 pisos, cualquier magnitud</v>
      </c>
      <c r="AE67" s="65" t="s">
        <v>468</v>
      </c>
      <c r="AF67" s="70">
        <v>5500</v>
      </c>
      <c r="AG67" s="71">
        <v>30.800000000000004</v>
      </c>
      <c r="AH67" s="72">
        <v>24</v>
      </c>
      <c r="AI67" s="73" t="s">
        <v>521</v>
      </c>
    </row>
    <row r="68" spans="6:35">
      <c r="F68" s="81"/>
      <c r="G68" s="81"/>
      <c r="AA68" s="81"/>
      <c r="AB68" s="69" t="s">
        <v>591</v>
      </c>
      <c r="AC68" s="69" t="s">
        <v>536</v>
      </c>
      <c r="AD68" s="69" t="str">
        <f t="shared" si="0"/>
        <v>06.23.08 15 pisos o mas, cualquier magnitud</v>
      </c>
      <c r="AE68" s="65" t="s">
        <v>468</v>
      </c>
      <c r="AF68" s="70">
        <v>6000</v>
      </c>
      <c r="AG68" s="71">
        <v>33.6</v>
      </c>
      <c r="AH68" s="72">
        <v>26</v>
      </c>
      <c r="AI68" s="73" t="s">
        <v>521</v>
      </c>
    </row>
    <row r="69" spans="6:35">
      <c r="F69" s="81"/>
      <c r="G69" s="81"/>
      <c r="AA69" s="81"/>
      <c r="AB69" s="87"/>
      <c r="AC69" s="87"/>
      <c r="AD69" s="69" t="str">
        <f t="shared" si="0"/>
        <v xml:space="preserve"> </v>
      </c>
    </row>
    <row r="70" spans="6:35">
      <c r="F70" s="81"/>
      <c r="G70" s="81"/>
      <c r="AA70" s="76" t="s">
        <v>450</v>
      </c>
      <c r="AB70" s="69" t="s">
        <v>592</v>
      </c>
      <c r="AC70" s="69" t="s">
        <v>593</v>
      </c>
      <c r="AD70" s="69" t="str">
        <f t="shared" ref="AD70:AD79" si="1">CONCATENATE(AB70," ",AC70)</f>
        <v>07.24.01 1 piso, cualquier magnitud(aplica a canchas no Techadas)</v>
      </c>
      <c r="AE70" s="65" t="s">
        <v>468</v>
      </c>
      <c r="AF70" s="71">
        <v>1500</v>
      </c>
      <c r="AG70" s="71">
        <v>8.4</v>
      </c>
      <c r="AH70" s="72">
        <v>12</v>
      </c>
      <c r="AI70" s="73">
        <v>24</v>
      </c>
    </row>
    <row r="71" spans="6:35">
      <c r="F71" s="81"/>
      <c r="G71" s="81"/>
      <c r="Q71" s="90"/>
      <c r="AB71" s="69" t="s">
        <v>594</v>
      </c>
      <c r="AC71" s="69" t="s">
        <v>595</v>
      </c>
      <c r="AD71" s="69" t="str">
        <f t="shared" si="1"/>
        <v>07.24.02 1 piso, cualquier magnitud(aplica a canchas Techadas)</v>
      </c>
      <c r="AE71" s="65" t="s">
        <v>468</v>
      </c>
      <c r="AF71" s="71">
        <v>2500</v>
      </c>
      <c r="AG71" s="71">
        <v>14.000000000000002</v>
      </c>
      <c r="AH71" s="72">
        <v>12</v>
      </c>
      <c r="AI71" s="73">
        <v>24</v>
      </c>
    </row>
    <row r="72" spans="6:35">
      <c r="F72" s="81"/>
      <c r="G72" s="81"/>
      <c r="AA72" s="81"/>
      <c r="AB72" s="69" t="s">
        <v>596</v>
      </c>
      <c r="AC72" s="69" t="s">
        <v>501</v>
      </c>
      <c r="AD72" s="69" t="str">
        <f t="shared" si="1"/>
        <v>07.24.03 hasta 2 pisos, cualquier magnitud</v>
      </c>
      <c r="AE72" s="65" t="s">
        <v>468</v>
      </c>
      <c r="AF72" s="71">
        <v>2500</v>
      </c>
      <c r="AG72" s="71">
        <v>14.000000000000002</v>
      </c>
      <c r="AH72" s="72">
        <v>12</v>
      </c>
      <c r="AI72" s="73">
        <v>24</v>
      </c>
    </row>
    <row r="73" spans="6:35">
      <c r="F73" s="81"/>
      <c r="G73" s="81"/>
      <c r="Q73" s="89"/>
      <c r="AA73" s="81"/>
      <c r="AB73" s="69" t="s">
        <v>597</v>
      </c>
      <c r="AC73" s="69" t="s">
        <v>508</v>
      </c>
      <c r="AD73" s="69" t="str">
        <f t="shared" si="1"/>
        <v>07.24.04 hasta 4 pisos, cualquier magnitud</v>
      </c>
      <c r="AE73" s="65" t="s">
        <v>468</v>
      </c>
      <c r="AF73" s="71">
        <v>3000</v>
      </c>
      <c r="AG73" s="71">
        <v>16.8</v>
      </c>
      <c r="AH73" s="72">
        <v>14</v>
      </c>
      <c r="AI73" s="73">
        <v>50</v>
      </c>
    </row>
    <row r="74" spans="6:35">
      <c r="F74" s="81"/>
      <c r="G74" s="81"/>
      <c r="AA74" s="81"/>
      <c r="AB74" s="69" t="s">
        <v>598</v>
      </c>
      <c r="AC74" s="69" t="s">
        <v>515</v>
      </c>
      <c r="AD74" s="69" t="str">
        <f t="shared" si="1"/>
        <v>07.24.05 hasta 6 pisos, cualquier magnitud</v>
      </c>
      <c r="AE74" s="65" t="s">
        <v>468</v>
      </c>
      <c r="AF74" s="71">
        <v>3500</v>
      </c>
      <c r="AG74" s="71">
        <v>19.600000000000001</v>
      </c>
      <c r="AH74" s="72">
        <v>16</v>
      </c>
      <c r="AI74" s="73">
        <v>128</v>
      </c>
    </row>
    <row r="75" spans="6:35">
      <c r="F75" s="81"/>
      <c r="G75" s="81"/>
      <c r="AA75" s="81"/>
      <c r="AB75" s="69" t="s">
        <v>599</v>
      </c>
      <c r="AC75" s="69" t="s">
        <v>520</v>
      </c>
      <c r="AD75" s="69" t="str">
        <f t="shared" si="1"/>
        <v>07.24.06 hasta 8 pisos, cualquier magnitud</v>
      </c>
      <c r="AE75" s="65" t="s">
        <v>468</v>
      </c>
      <c r="AF75" s="71">
        <v>4000</v>
      </c>
      <c r="AG75" s="71">
        <v>22.400000000000002</v>
      </c>
      <c r="AH75" s="72">
        <v>18</v>
      </c>
      <c r="AI75" s="73" t="s">
        <v>521</v>
      </c>
    </row>
    <row r="76" spans="6:35">
      <c r="F76" s="81"/>
      <c r="G76" s="81"/>
      <c r="AA76" s="81"/>
      <c r="AB76" s="69" t="s">
        <v>600</v>
      </c>
      <c r="AC76" s="69" t="s">
        <v>526</v>
      </c>
      <c r="AD76" s="69" t="str">
        <f t="shared" si="1"/>
        <v>07.24.07 hasta 10 pisos, cualquier magnitud</v>
      </c>
      <c r="AE76" s="65" t="s">
        <v>468</v>
      </c>
      <c r="AF76" s="71">
        <v>4500</v>
      </c>
      <c r="AG76" s="71">
        <v>25.200000000000003</v>
      </c>
      <c r="AH76" s="72">
        <v>20</v>
      </c>
      <c r="AI76" s="73" t="s">
        <v>521</v>
      </c>
    </row>
    <row r="77" spans="6:35">
      <c r="F77" s="81"/>
      <c r="G77" s="81"/>
      <c r="AA77" s="81"/>
      <c r="AB77" s="69" t="s">
        <v>601</v>
      </c>
      <c r="AC77" s="69" t="s">
        <v>530</v>
      </c>
      <c r="AD77" s="69" t="str">
        <f t="shared" si="1"/>
        <v>07.24.08 hasta 12 pisos, cualquier magnitud</v>
      </c>
      <c r="AE77" s="65" t="s">
        <v>468</v>
      </c>
      <c r="AF77" s="71">
        <v>5000</v>
      </c>
      <c r="AG77" s="71">
        <v>28.000000000000004</v>
      </c>
      <c r="AH77" s="72">
        <v>22</v>
      </c>
      <c r="AI77" s="73" t="s">
        <v>521</v>
      </c>
    </row>
    <row r="78" spans="6:35">
      <c r="F78" s="81"/>
      <c r="G78" s="81"/>
      <c r="AA78" s="81"/>
      <c r="AB78" s="69" t="s">
        <v>602</v>
      </c>
      <c r="AC78" s="69" t="s">
        <v>534</v>
      </c>
      <c r="AD78" s="69" t="str">
        <f t="shared" si="1"/>
        <v>07.24.09 hasta 14 pisos, cualquier magnitud</v>
      </c>
      <c r="AE78" s="65" t="s">
        <v>468</v>
      </c>
      <c r="AF78" s="71">
        <v>5500</v>
      </c>
      <c r="AG78" s="71">
        <v>30.800000000000004</v>
      </c>
      <c r="AH78" s="72">
        <v>24</v>
      </c>
      <c r="AI78" s="73" t="s">
        <v>521</v>
      </c>
    </row>
    <row r="79" spans="6:35">
      <c r="F79" s="81"/>
      <c r="G79" s="81"/>
      <c r="AA79" s="81"/>
      <c r="AB79" s="69" t="s">
        <v>603</v>
      </c>
      <c r="AC79" s="69" t="s">
        <v>536</v>
      </c>
      <c r="AD79" s="69" t="str">
        <f t="shared" si="1"/>
        <v>07.24.10 15 pisos o mas, cualquier magnitud</v>
      </c>
      <c r="AE79" s="65" t="s">
        <v>468</v>
      </c>
      <c r="AF79" s="71">
        <v>6000</v>
      </c>
      <c r="AG79" s="71">
        <v>33.6</v>
      </c>
      <c r="AH79" s="72">
        <v>26</v>
      </c>
      <c r="AI79" s="73" t="s">
        <v>521</v>
      </c>
    </row>
    <row r="80" spans="6:35">
      <c r="F80" s="81"/>
      <c r="G80" s="81"/>
      <c r="AA80" s="81"/>
    </row>
    <row r="81" spans="6:35">
      <c r="F81" s="81"/>
      <c r="G81" s="81"/>
      <c r="AA81" s="76" t="s">
        <v>472</v>
      </c>
      <c r="AB81" s="69" t="s">
        <v>592</v>
      </c>
      <c r="AC81" s="69" t="s">
        <v>593</v>
      </c>
      <c r="AD81" s="69" t="str">
        <f t="shared" ref="AD81:AD144" si="2">CONCATENATE(AB81," ",AC81)</f>
        <v>07.24.01 1 piso, cualquier magnitud(aplica a canchas no Techadas)</v>
      </c>
      <c r="AE81" s="65" t="s">
        <v>468</v>
      </c>
      <c r="AF81" s="70">
        <v>1500</v>
      </c>
      <c r="AG81" s="71">
        <v>8.4</v>
      </c>
      <c r="AH81" s="72">
        <v>12</v>
      </c>
      <c r="AI81" s="73">
        <v>24</v>
      </c>
    </row>
    <row r="82" spans="6:35">
      <c r="F82" s="81"/>
      <c r="G82" s="81"/>
      <c r="AA82" s="81"/>
      <c r="AB82" s="69" t="s">
        <v>594</v>
      </c>
      <c r="AC82" s="69" t="s">
        <v>595</v>
      </c>
      <c r="AD82" s="69" t="str">
        <f t="shared" si="2"/>
        <v>07.24.02 1 piso, cualquier magnitud(aplica a canchas Techadas)</v>
      </c>
      <c r="AE82" s="65" t="s">
        <v>468</v>
      </c>
      <c r="AF82" s="70">
        <v>2500</v>
      </c>
      <c r="AG82" s="71">
        <v>14.000000000000002</v>
      </c>
      <c r="AH82" s="72">
        <v>12</v>
      </c>
      <c r="AI82" s="73">
        <v>24</v>
      </c>
    </row>
    <row r="83" spans="6:35">
      <c r="F83" s="81"/>
      <c r="G83" s="81"/>
      <c r="AA83" s="81"/>
      <c r="AB83" s="69" t="s">
        <v>596</v>
      </c>
      <c r="AC83" s="69" t="s">
        <v>501</v>
      </c>
      <c r="AD83" s="69" t="str">
        <f t="shared" si="2"/>
        <v>07.24.03 hasta 2 pisos, cualquier magnitud</v>
      </c>
      <c r="AE83" s="65" t="s">
        <v>468</v>
      </c>
      <c r="AF83" s="70">
        <v>2500</v>
      </c>
      <c r="AG83" s="71">
        <v>14.000000000000002</v>
      </c>
      <c r="AH83" s="72">
        <v>12</v>
      </c>
      <c r="AI83" s="73">
        <v>24</v>
      </c>
    </row>
    <row r="84" spans="6:35">
      <c r="F84" s="81"/>
      <c r="G84" s="81"/>
      <c r="AA84" s="81"/>
      <c r="AB84" s="69" t="s">
        <v>597</v>
      </c>
      <c r="AC84" s="69" t="s">
        <v>508</v>
      </c>
      <c r="AD84" s="69" t="str">
        <f t="shared" si="2"/>
        <v>07.24.04 hasta 4 pisos, cualquier magnitud</v>
      </c>
      <c r="AE84" s="65" t="s">
        <v>468</v>
      </c>
      <c r="AF84" s="70">
        <v>3000</v>
      </c>
      <c r="AG84" s="71">
        <v>16.8</v>
      </c>
      <c r="AH84" s="72">
        <v>14</v>
      </c>
      <c r="AI84" s="73">
        <v>50</v>
      </c>
    </row>
    <row r="85" spans="6:35">
      <c r="F85" s="81"/>
      <c r="G85" s="81"/>
      <c r="AA85" s="81"/>
      <c r="AB85" s="69" t="s">
        <v>598</v>
      </c>
      <c r="AC85" s="69" t="s">
        <v>515</v>
      </c>
      <c r="AD85" s="69" t="str">
        <f t="shared" si="2"/>
        <v>07.24.05 hasta 6 pisos, cualquier magnitud</v>
      </c>
      <c r="AE85" s="65" t="s">
        <v>468</v>
      </c>
      <c r="AF85" s="70">
        <v>3500</v>
      </c>
      <c r="AG85" s="71">
        <v>19.600000000000001</v>
      </c>
      <c r="AH85" s="72">
        <v>16</v>
      </c>
      <c r="AI85" s="73">
        <v>128</v>
      </c>
    </row>
    <row r="86" spans="6:35">
      <c r="F86" s="81"/>
      <c r="G86" s="81"/>
      <c r="AA86" s="81"/>
      <c r="AB86" s="69" t="s">
        <v>599</v>
      </c>
      <c r="AC86" s="69" t="s">
        <v>520</v>
      </c>
      <c r="AD86" s="69" t="str">
        <f t="shared" si="2"/>
        <v>07.24.06 hasta 8 pisos, cualquier magnitud</v>
      </c>
      <c r="AE86" s="65" t="s">
        <v>468</v>
      </c>
      <c r="AF86" s="70">
        <v>4000</v>
      </c>
      <c r="AG86" s="71">
        <v>22.400000000000002</v>
      </c>
      <c r="AH86" s="72">
        <v>18</v>
      </c>
      <c r="AI86" s="73" t="s">
        <v>521</v>
      </c>
    </row>
    <row r="87" spans="6:35">
      <c r="F87" s="81"/>
      <c r="G87" s="81"/>
      <c r="AA87" s="81"/>
      <c r="AB87" s="69" t="s">
        <v>600</v>
      </c>
      <c r="AC87" s="69" t="s">
        <v>526</v>
      </c>
      <c r="AD87" s="69" t="str">
        <f t="shared" si="2"/>
        <v>07.24.07 hasta 10 pisos, cualquier magnitud</v>
      </c>
      <c r="AE87" s="65" t="s">
        <v>468</v>
      </c>
      <c r="AF87" s="70">
        <v>4500</v>
      </c>
      <c r="AG87" s="71">
        <v>25.200000000000003</v>
      </c>
      <c r="AH87" s="72">
        <v>20</v>
      </c>
      <c r="AI87" s="73" t="s">
        <v>521</v>
      </c>
    </row>
    <row r="88" spans="6:35">
      <c r="F88" s="81"/>
      <c r="G88" s="81"/>
      <c r="AA88" s="81"/>
      <c r="AB88" s="69" t="s">
        <v>601</v>
      </c>
      <c r="AC88" s="69" t="s">
        <v>530</v>
      </c>
      <c r="AD88" s="69" t="str">
        <f t="shared" si="2"/>
        <v>07.24.08 hasta 12 pisos, cualquier magnitud</v>
      </c>
      <c r="AE88" s="65" t="s">
        <v>468</v>
      </c>
      <c r="AF88" s="70">
        <v>5000</v>
      </c>
      <c r="AG88" s="71">
        <v>28.000000000000004</v>
      </c>
      <c r="AH88" s="72">
        <v>22</v>
      </c>
      <c r="AI88" s="73" t="s">
        <v>521</v>
      </c>
    </row>
    <row r="89" spans="6:35">
      <c r="F89" s="81"/>
      <c r="G89" s="81"/>
      <c r="AA89" s="81"/>
      <c r="AB89" s="69" t="s">
        <v>602</v>
      </c>
      <c r="AC89" s="69" t="s">
        <v>534</v>
      </c>
      <c r="AD89" s="69" t="str">
        <f t="shared" si="2"/>
        <v>07.24.09 hasta 14 pisos, cualquier magnitud</v>
      </c>
      <c r="AE89" s="65" t="s">
        <v>468</v>
      </c>
      <c r="AF89" s="70">
        <v>5500</v>
      </c>
      <c r="AG89" s="71">
        <v>30.800000000000004</v>
      </c>
      <c r="AH89" s="72">
        <v>24</v>
      </c>
      <c r="AI89" s="73" t="s">
        <v>521</v>
      </c>
    </row>
    <row r="90" spans="6:35">
      <c r="F90" s="81"/>
      <c r="G90" s="81"/>
      <c r="AA90" s="81"/>
      <c r="AB90" s="69" t="s">
        <v>603</v>
      </c>
      <c r="AC90" s="69" t="s">
        <v>536</v>
      </c>
      <c r="AD90" s="69" t="str">
        <f t="shared" si="2"/>
        <v>07.24.10 15 pisos o mas, cualquier magnitud</v>
      </c>
      <c r="AE90" s="65" t="s">
        <v>468</v>
      </c>
      <c r="AF90" s="70">
        <v>6000</v>
      </c>
      <c r="AG90" s="71">
        <v>33.6</v>
      </c>
      <c r="AH90" s="72">
        <v>26</v>
      </c>
      <c r="AI90" s="73" t="s">
        <v>521</v>
      </c>
    </row>
    <row r="91" spans="6:35">
      <c r="F91" s="81"/>
      <c r="G91" s="81"/>
      <c r="AA91" s="81"/>
      <c r="AB91" s="87"/>
      <c r="AC91" s="87"/>
      <c r="AD91" s="69" t="str">
        <f t="shared" si="2"/>
        <v xml:space="preserve"> </v>
      </c>
    </row>
    <row r="92" spans="6:35">
      <c r="F92" s="81"/>
      <c r="G92" s="81"/>
      <c r="AA92" s="76" t="s">
        <v>451</v>
      </c>
      <c r="AB92" s="69" t="s">
        <v>604</v>
      </c>
      <c r="AC92" s="69" t="s">
        <v>501</v>
      </c>
      <c r="AD92" s="69" t="str">
        <f t="shared" si="2"/>
        <v>08.25.01 hasta 2 pisos, cualquier magnitud</v>
      </c>
      <c r="AE92" s="65" t="s">
        <v>468</v>
      </c>
      <c r="AF92" s="70">
        <v>2500</v>
      </c>
      <c r="AG92" s="71">
        <v>35</v>
      </c>
      <c r="AH92" s="72">
        <v>12</v>
      </c>
      <c r="AI92" s="73">
        <v>24</v>
      </c>
    </row>
    <row r="93" spans="6:35">
      <c r="F93" s="81"/>
      <c r="G93" s="81"/>
      <c r="AA93" s="81"/>
      <c r="AB93" s="69" t="s">
        <v>605</v>
      </c>
      <c r="AC93" s="69" t="s">
        <v>508</v>
      </c>
      <c r="AD93" s="69" t="str">
        <f t="shared" si="2"/>
        <v>08.25.02 hasta 4 pisos, cualquier magnitud</v>
      </c>
      <c r="AE93" s="65" t="s">
        <v>468</v>
      </c>
      <c r="AF93" s="70">
        <v>3000</v>
      </c>
      <c r="AG93" s="71">
        <v>42.000000000000007</v>
      </c>
      <c r="AH93" s="72">
        <v>14</v>
      </c>
      <c r="AI93" s="73">
        <v>50</v>
      </c>
    </row>
    <row r="94" spans="6:35">
      <c r="F94" s="81"/>
      <c r="G94" s="81"/>
      <c r="AA94" s="81"/>
      <c r="AB94" s="69" t="s">
        <v>606</v>
      </c>
      <c r="AC94" s="69" t="s">
        <v>515</v>
      </c>
      <c r="AD94" s="69" t="str">
        <f t="shared" si="2"/>
        <v>08.25.03 hasta 6 pisos, cualquier magnitud</v>
      </c>
      <c r="AE94" s="65" t="s">
        <v>468</v>
      </c>
      <c r="AF94" s="70">
        <v>3500</v>
      </c>
      <c r="AG94" s="71">
        <v>49.000000000000007</v>
      </c>
      <c r="AH94" s="72">
        <v>16</v>
      </c>
      <c r="AI94" s="73">
        <v>128</v>
      </c>
    </row>
    <row r="95" spans="6:35">
      <c r="F95" s="81"/>
      <c r="G95" s="81"/>
      <c r="AA95" s="81"/>
      <c r="AB95" s="69" t="s">
        <v>607</v>
      </c>
      <c r="AC95" s="69" t="s">
        <v>520</v>
      </c>
      <c r="AD95" s="69" t="str">
        <f t="shared" si="2"/>
        <v>08.25.04 hasta 8 pisos, cualquier magnitud</v>
      </c>
      <c r="AE95" s="65" t="s">
        <v>468</v>
      </c>
      <c r="AF95" s="70">
        <v>4000</v>
      </c>
      <c r="AG95" s="71">
        <v>56.000000000000007</v>
      </c>
      <c r="AH95" s="72">
        <v>18</v>
      </c>
      <c r="AI95" s="73" t="s">
        <v>521</v>
      </c>
    </row>
    <row r="96" spans="6:35">
      <c r="F96" s="81"/>
      <c r="G96" s="81"/>
      <c r="AA96" s="81"/>
      <c r="AB96" s="69" t="s">
        <v>608</v>
      </c>
      <c r="AC96" s="69" t="s">
        <v>526</v>
      </c>
      <c r="AD96" s="69" t="str">
        <f t="shared" si="2"/>
        <v>08.25.05 hasta 10 pisos, cualquier magnitud</v>
      </c>
      <c r="AE96" s="65" t="s">
        <v>468</v>
      </c>
      <c r="AF96" s="70">
        <v>4500</v>
      </c>
      <c r="AG96" s="71">
        <v>63.000000000000007</v>
      </c>
      <c r="AH96" s="72">
        <v>20</v>
      </c>
      <c r="AI96" s="73" t="s">
        <v>521</v>
      </c>
    </row>
    <row r="97" spans="6:35">
      <c r="F97" s="81"/>
      <c r="G97" s="81"/>
      <c r="AA97" s="81"/>
      <c r="AB97" s="69" t="s">
        <v>609</v>
      </c>
      <c r="AC97" s="69" t="s">
        <v>530</v>
      </c>
      <c r="AD97" s="69" t="str">
        <f t="shared" si="2"/>
        <v>08.25.06 hasta 12 pisos, cualquier magnitud</v>
      </c>
      <c r="AE97" s="65" t="s">
        <v>468</v>
      </c>
      <c r="AF97" s="70">
        <v>5000</v>
      </c>
      <c r="AG97" s="71">
        <v>70</v>
      </c>
      <c r="AH97" s="72">
        <v>22</v>
      </c>
      <c r="AI97" s="73" t="s">
        <v>521</v>
      </c>
    </row>
    <row r="98" spans="6:35">
      <c r="F98" s="81"/>
      <c r="G98" s="81"/>
      <c r="AA98" s="81"/>
      <c r="AB98" s="69" t="s">
        <v>610</v>
      </c>
      <c r="AC98" s="69" t="s">
        <v>534</v>
      </c>
      <c r="AD98" s="69" t="str">
        <f t="shared" si="2"/>
        <v>08.25.07 hasta 14 pisos, cualquier magnitud</v>
      </c>
      <c r="AE98" s="65" t="s">
        <v>468</v>
      </c>
      <c r="AF98" s="70">
        <v>5500</v>
      </c>
      <c r="AG98" s="71">
        <v>77.000000000000014</v>
      </c>
      <c r="AH98" s="72">
        <v>24</v>
      </c>
      <c r="AI98" s="73" t="s">
        <v>521</v>
      </c>
    </row>
    <row r="99" spans="6:35">
      <c r="F99" s="81"/>
      <c r="G99" s="81"/>
      <c r="AA99" s="81"/>
      <c r="AB99" s="69" t="s">
        <v>611</v>
      </c>
      <c r="AC99" s="69" t="s">
        <v>536</v>
      </c>
      <c r="AD99" s="69" t="str">
        <f t="shared" si="2"/>
        <v>08.25.08 15 pisos o mas, cualquier magnitud</v>
      </c>
      <c r="AE99" s="65" t="s">
        <v>468</v>
      </c>
      <c r="AF99" s="70">
        <v>6000</v>
      </c>
      <c r="AG99" s="71">
        <v>84.000000000000014</v>
      </c>
      <c r="AH99" s="72">
        <v>26</v>
      </c>
      <c r="AI99" s="73" t="s">
        <v>521</v>
      </c>
    </row>
    <row r="100" spans="6:35">
      <c r="F100" s="81"/>
      <c r="G100" s="81"/>
      <c r="AA100" s="81"/>
      <c r="AB100" s="87"/>
      <c r="AC100" s="87"/>
      <c r="AD100" s="69" t="str">
        <f t="shared" si="2"/>
        <v xml:space="preserve"> </v>
      </c>
    </row>
    <row r="101" spans="6:35">
      <c r="F101" s="81"/>
      <c r="G101" s="81"/>
      <c r="AA101" s="76" t="s">
        <v>452</v>
      </c>
      <c r="AB101" s="69" t="s">
        <v>612</v>
      </c>
      <c r="AC101" s="69" t="s">
        <v>613</v>
      </c>
      <c r="AD101" s="69" t="str">
        <f t="shared" si="2"/>
        <v>09.26.01 cualquier magnitud</v>
      </c>
      <c r="AE101" s="65" t="s">
        <v>468</v>
      </c>
      <c r="AF101" s="70">
        <v>250</v>
      </c>
      <c r="AG101" s="71">
        <v>1.7500000000000002</v>
      </c>
      <c r="AH101" s="72">
        <v>6</v>
      </c>
      <c r="AI101" s="73">
        <v>24</v>
      </c>
    </row>
    <row r="102" spans="6:35">
      <c r="F102" s="81"/>
      <c r="G102" s="81"/>
      <c r="AA102" s="76" t="s">
        <v>473</v>
      </c>
      <c r="AB102" s="69" t="s">
        <v>614</v>
      </c>
      <c r="AC102" s="69" t="s">
        <v>613</v>
      </c>
      <c r="AD102" s="69" t="str">
        <f t="shared" si="2"/>
        <v>09.27.01 cualquier magnitud</v>
      </c>
      <c r="AE102" s="65" t="s">
        <v>468</v>
      </c>
      <c r="AF102" s="70">
        <v>650</v>
      </c>
      <c r="AG102" s="71">
        <v>4.5500000000000007</v>
      </c>
      <c r="AH102" s="72">
        <v>6</v>
      </c>
      <c r="AI102" s="73">
        <v>24</v>
      </c>
    </row>
    <row r="103" spans="6:35">
      <c r="F103" s="81"/>
      <c r="G103" s="81"/>
      <c r="AA103" s="76" t="s">
        <v>485</v>
      </c>
      <c r="AB103" s="69" t="s">
        <v>615</v>
      </c>
      <c r="AC103" s="69" t="s">
        <v>616</v>
      </c>
      <c r="AD103" s="69" t="str">
        <f t="shared" si="2"/>
        <v>09.28.01 1 piso, cualquier magnitud.</v>
      </c>
      <c r="AE103" s="65" t="s">
        <v>468</v>
      </c>
      <c r="AF103" s="70">
        <v>1200</v>
      </c>
      <c r="AG103" s="71">
        <v>8.4</v>
      </c>
      <c r="AH103" s="72">
        <v>12</v>
      </c>
      <c r="AI103" s="73">
        <v>24</v>
      </c>
    </row>
    <row r="104" spans="6:35">
      <c r="F104" s="81"/>
      <c r="G104" s="81"/>
      <c r="AA104" s="76" t="s">
        <v>495</v>
      </c>
      <c r="AB104" s="69" t="s">
        <v>617</v>
      </c>
      <c r="AC104" s="69" t="s">
        <v>501</v>
      </c>
      <c r="AD104" s="69" t="str">
        <f t="shared" si="2"/>
        <v>09.29.01 hasta 2 pisos, cualquier magnitud</v>
      </c>
      <c r="AE104" s="65" t="s">
        <v>468</v>
      </c>
      <c r="AF104" s="70">
        <v>1500</v>
      </c>
      <c r="AG104" s="71">
        <v>10.500000000000002</v>
      </c>
      <c r="AH104" s="72">
        <v>12</v>
      </c>
      <c r="AI104" s="73">
        <v>24</v>
      </c>
    </row>
    <row r="105" spans="6:35">
      <c r="F105" s="81"/>
      <c r="G105" s="81"/>
      <c r="AA105" s="81"/>
      <c r="AB105" s="69" t="s">
        <v>618</v>
      </c>
      <c r="AC105" s="69" t="s">
        <v>508</v>
      </c>
      <c r="AD105" s="69" t="str">
        <f t="shared" si="2"/>
        <v>09.29.02 hasta 4 pisos, cualquier magnitud</v>
      </c>
      <c r="AE105" s="65" t="s">
        <v>468</v>
      </c>
      <c r="AF105" s="70">
        <v>2000</v>
      </c>
      <c r="AG105" s="71">
        <v>14.000000000000002</v>
      </c>
      <c r="AH105" s="72">
        <v>14</v>
      </c>
      <c r="AI105" s="73">
        <v>50</v>
      </c>
    </row>
    <row r="106" spans="6:35">
      <c r="F106" s="81"/>
      <c r="G106" s="81"/>
      <c r="AA106" s="81"/>
      <c r="AB106" s="69" t="s">
        <v>619</v>
      </c>
      <c r="AC106" s="69" t="s">
        <v>515</v>
      </c>
      <c r="AD106" s="69" t="str">
        <f t="shared" si="2"/>
        <v>09.29.03 hasta 6 pisos, cualquier magnitud</v>
      </c>
      <c r="AE106" s="65" t="s">
        <v>468</v>
      </c>
      <c r="AF106" s="70">
        <v>2500</v>
      </c>
      <c r="AG106" s="71">
        <v>17.5</v>
      </c>
      <c r="AH106" s="72">
        <v>16</v>
      </c>
      <c r="AI106" s="73">
        <v>128</v>
      </c>
    </row>
    <row r="107" spans="6:35">
      <c r="F107" s="81"/>
      <c r="G107" s="81"/>
      <c r="AA107" s="81"/>
      <c r="AB107" s="69" t="s">
        <v>620</v>
      </c>
      <c r="AC107" s="69" t="s">
        <v>520</v>
      </c>
      <c r="AD107" s="69" t="str">
        <f t="shared" si="2"/>
        <v>09.29.04 hasta 8 pisos, cualquier magnitud</v>
      </c>
      <c r="AE107" s="65" t="s">
        <v>468</v>
      </c>
      <c r="AF107" s="70">
        <v>3000</v>
      </c>
      <c r="AG107" s="71">
        <v>21.000000000000004</v>
      </c>
      <c r="AH107" s="72">
        <v>18</v>
      </c>
      <c r="AI107" s="73" t="s">
        <v>521</v>
      </c>
    </row>
    <row r="108" spans="6:35">
      <c r="F108" s="81"/>
      <c r="G108" s="81"/>
      <c r="AA108" s="81"/>
      <c r="AB108" s="69" t="s">
        <v>621</v>
      </c>
      <c r="AC108" s="69" t="s">
        <v>526</v>
      </c>
      <c r="AD108" s="69" t="str">
        <f t="shared" si="2"/>
        <v>09.29.05 hasta 10 pisos, cualquier magnitud</v>
      </c>
      <c r="AE108" s="65" t="s">
        <v>468</v>
      </c>
      <c r="AF108" s="70">
        <v>3500</v>
      </c>
      <c r="AG108" s="71">
        <v>24.500000000000004</v>
      </c>
      <c r="AH108" s="72">
        <v>20</v>
      </c>
      <c r="AI108" s="73" t="s">
        <v>521</v>
      </c>
    </row>
    <row r="109" spans="6:35">
      <c r="F109" s="81"/>
      <c r="G109" s="81"/>
      <c r="AA109" s="81"/>
      <c r="AB109" s="69" t="s">
        <v>622</v>
      </c>
      <c r="AC109" s="69" t="s">
        <v>530</v>
      </c>
      <c r="AD109" s="69" t="str">
        <f t="shared" si="2"/>
        <v>09.29.06 hasta 12 pisos, cualquier magnitud</v>
      </c>
      <c r="AE109" s="65" t="s">
        <v>468</v>
      </c>
      <c r="AF109" s="70">
        <v>4000</v>
      </c>
      <c r="AG109" s="71">
        <v>28.000000000000004</v>
      </c>
      <c r="AH109" s="72">
        <v>22</v>
      </c>
      <c r="AI109" s="73" t="s">
        <v>521</v>
      </c>
    </row>
    <row r="110" spans="6:35">
      <c r="F110" s="81"/>
      <c r="G110" s="81"/>
      <c r="AA110" s="81"/>
      <c r="AB110" s="69" t="s">
        <v>623</v>
      </c>
      <c r="AC110" s="69" t="s">
        <v>534</v>
      </c>
      <c r="AD110" s="69" t="str">
        <f t="shared" si="2"/>
        <v>09.29.07 hasta 14 pisos, cualquier magnitud</v>
      </c>
      <c r="AE110" s="65" t="s">
        <v>468</v>
      </c>
      <c r="AF110" s="70">
        <v>4500</v>
      </c>
      <c r="AG110" s="71">
        <v>31.500000000000004</v>
      </c>
      <c r="AH110" s="72">
        <v>24</v>
      </c>
      <c r="AI110" s="73" t="s">
        <v>521</v>
      </c>
    </row>
    <row r="111" spans="6:35">
      <c r="F111" s="81"/>
      <c r="G111" s="81"/>
      <c r="AA111" s="81"/>
      <c r="AB111" s="69" t="s">
        <v>624</v>
      </c>
      <c r="AC111" s="69" t="s">
        <v>536</v>
      </c>
      <c r="AD111" s="69" t="str">
        <f t="shared" si="2"/>
        <v>09.29.08 15 pisos o mas, cualquier magnitud</v>
      </c>
      <c r="AE111" s="65" t="s">
        <v>468</v>
      </c>
      <c r="AF111" s="70">
        <v>5000</v>
      </c>
      <c r="AG111" s="71">
        <v>35</v>
      </c>
      <c r="AH111" s="72">
        <v>26</v>
      </c>
      <c r="AI111" s="73" t="s">
        <v>521</v>
      </c>
    </row>
    <row r="112" spans="6:35">
      <c r="F112" s="81"/>
      <c r="G112" s="81"/>
      <c r="AA112" s="81"/>
      <c r="AB112" s="87"/>
      <c r="AC112" s="87"/>
      <c r="AD112" s="69" t="str">
        <f t="shared" si="2"/>
        <v xml:space="preserve"> </v>
      </c>
    </row>
    <row r="113" spans="6:35">
      <c r="F113" s="81"/>
      <c r="G113" s="81"/>
      <c r="AA113" s="77" t="s">
        <v>453</v>
      </c>
      <c r="AB113" s="69" t="s">
        <v>625</v>
      </c>
      <c r="AC113" s="69" t="s">
        <v>626</v>
      </c>
      <c r="AD113" s="69" t="str">
        <f t="shared" si="2"/>
        <v>10.30.01 De 0 a 30.99 ml. de altura</v>
      </c>
      <c r="AE113" s="65" t="s">
        <v>627</v>
      </c>
      <c r="AF113" s="70">
        <v>450000</v>
      </c>
      <c r="AG113" s="71">
        <v>25200.000000000004</v>
      </c>
      <c r="AH113" s="72">
        <v>4</v>
      </c>
      <c r="AI113" s="73">
        <v>4</v>
      </c>
    </row>
    <row r="114" spans="6:35">
      <c r="F114" s="81"/>
      <c r="G114" s="81"/>
      <c r="AB114" s="69" t="s">
        <v>628</v>
      </c>
      <c r="AC114" s="69" t="s">
        <v>629</v>
      </c>
      <c r="AD114" s="69" t="str">
        <f t="shared" si="2"/>
        <v xml:space="preserve">10.30.02 De 31.00 ml.   en adelante </v>
      </c>
      <c r="AE114" s="65" t="s">
        <v>627</v>
      </c>
      <c r="AF114" s="70">
        <v>550000</v>
      </c>
      <c r="AG114" s="71">
        <v>33880</v>
      </c>
      <c r="AH114" s="72">
        <v>4</v>
      </c>
      <c r="AI114" s="73">
        <v>4</v>
      </c>
    </row>
    <row r="115" spans="6:35">
      <c r="AA115" s="76" t="s">
        <v>474</v>
      </c>
      <c r="AB115" s="69" t="s">
        <v>630</v>
      </c>
      <c r="AC115" s="69" t="s">
        <v>613</v>
      </c>
      <c r="AD115" s="69" t="str">
        <f t="shared" si="2"/>
        <v>10.31.01 cualquier magnitud</v>
      </c>
      <c r="AE115" s="65" t="s">
        <v>627</v>
      </c>
      <c r="AF115" s="70">
        <v>350000</v>
      </c>
      <c r="AG115" s="71">
        <v>17300</v>
      </c>
      <c r="AH115" s="72">
        <v>2</v>
      </c>
      <c r="AI115" s="73">
        <v>2</v>
      </c>
    </row>
    <row r="116" spans="6:35">
      <c r="AA116" s="77" t="s">
        <v>486</v>
      </c>
      <c r="AB116" s="69" t="s">
        <v>631</v>
      </c>
      <c r="AC116" s="69" t="s">
        <v>501</v>
      </c>
      <c r="AD116" s="69" t="str">
        <f t="shared" si="2"/>
        <v>10.32.01 hasta 2 pisos, cualquier magnitud</v>
      </c>
      <c r="AE116" s="65" t="s">
        <v>468</v>
      </c>
      <c r="AF116" s="70">
        <v>2500</v>
      </c>
      <c r="AG116" s="71">
        <v>24.500000000000007</v>
      </c>
      <c r="AH116" s="72">
        <v>12</v>
      </c>
      <c r="AI116" s="73">
        <v>24</v>
      </c>
    </row>
    <row r="117" spans="6:35">
      <c r="AA117" s="81"/>
      <c r="AB117" s="69" t="s">
        <v>632</v>
      </c>
      <c r="AC117" s="69" t="s">
        <v>508</v>
      </c>
      <c r="AD117" s="69" t="str">
        <f t="shared" si="2"/>
        <v>10.32.02 hasta 4 pisos, cualquier magnitud</v>
      </c>
      <c r="AE117" s="65" t="s">
        <v>468</v>
      </c>
      <c r="AF117" s="70">
        <v>3000</v>
      </c>
      <c r="AG117" s="71">
        <v>29.400000000000006</v>
      </c>
      <c r="AH117" s="72">
        <v>14</v>
      </c>
      <c r="AI117" s="73">
        <v>50</v>
      </c>
    </row>
    <row r="118" spans="6:35">
      <c r="AA118" s="81"/>
      <c r="AB118" s="69" t="s">
        <v>633</v>
      </c>
      <c r="AC118" s="69" t="s">
        <v>515</v>
      </c>
      <c r="AD118" s="69" t="str">
        <f t="shared" si="2"/>
        <v>10.32.03 hasta 6 pisos, cualquier magnitud</v>
      </c>
      <c r="AE118" s="65" t="s">
        <v>468</v>
      </c>
      <c r="AF118" s="70">
        <v>3500</v>
      </c>
      <c r="AG118" s="71">
        <v>34.300000000000004</v>
      </c>
      <c r="AH118" s="72">
        <v>16</v>
      </c>
      <c r="AI118" s="73">
        <v>128</v>
      </c>
    </row>
    <row r="119" spans="6:35">
      <c r="AA119" s="81"/>
      <c r="AB119" s="69" t="s">
        <v>634</v>
      </c>
      <c r="AC119" s="69" t="s">
        <v>520</v>
      </c>
      <c r="AD119" s="69" t="str">
        <f t="shared" si="2"/>
        <v>10.32.04 hasta 8 pisos, cualquier magnitud</v>
      </c>
      <c r="AE119" s="65" t="s">
        <v>468</v>
      </c>
      <c r="AF119" s="70">
        <v>4000</v>
      </c>
      <c r="AG119" s="71">
        <v>39.200000000000003</v>
      </c>
      <c r="AH119" s="72">
        <v>18</v>
      </c>
      <c r="AI119" s="73" t="s">
        <v>521</v>
      </c>
    </row>
    <row r="120" spans="6:35">
      <c r="AA120" s="81"/>
      <c r="AB120" s="69" t="s">
        <v>635</v>
      </c>
      <c r="AC120" s="69" t="s">
        <v>526</v>
      </c>
      <c r="AD120" s="69" t="str">
        <f t="shared" si="2"/>
        <v>10.32.05 hasta 10 pisos, cualquier magnitud</v>
      </c>
      <c r="AE120" s="65" t="s">
        <v>468</v>
      </c>
      <c r="AF120" s="70">
        <v>4500</v>
      </c>
      <c r="AG120" s="71">
        <v>44.100000000000016</v>
      </c>
      <c r="AH120" s="72">
        <v>20</v>
      </c>
      <c r="AI120" s="73" t="s">
        <v>521</v>
      </c>
    </row>
    <row r="121" spans="6:35">
      <c r="AA121" s="81"/>
      <c r="AB121" s="69" t="s">
        <v>636</v>
      </c>
      <c r="AC121" s="69" t="s">
        <v>530</v>
      </c>
      <c r="AD121" s="69" t="str">
        <f t="shared" si="2"/>
        <v>10.32.06 hasta 12 pisos, cualquier magnitud</v>
      </c>
      <c r="AE121" s="65" t="s">
        <v>468</v>
      </c>
      <c r="AF121" s="70">
        <v>5000</v>
      </c>
      <c r="AG121" s="71">
        <v>49.000000000000014</v>
      </c>
      <c r="AH121" s="72">
        <v>22</v>
      </c>
      <c r="AI121" s="73" t="s">
        <v>521</v>
      </c>
    </row>
    <row r="122" spans="6:35">
      <c r="AA122" s="81"/>
      <c r="AB122" s="69" t="s">
        <v>637</v>
      </c>
      <c r="AC122" s="69" t="s">
        <v>534</v>
      </c>
      <c r="AD122" s="69" t="str">
        <f t="shared" si="2"/>
        <v>10.32.07 hasta 14 pisos, cualquier magnitud</v>
      </c>
      <c r="AE122" s="65" t="s">
        <v>468</v>
      </c>
      <c r="AF122" s="70">
        <v>5500</v>
      </c>
      <c r="AG122" s="71">
        <v>53.900000000000013</v>
      </c>
      <c r="AH122" s="72">
        <v>24</v>
      </c>
      <c r="AI122" s="73" t="s">
        <v>521</v>
      </c>
    </row>
    <row r="123" spans="6:35">
      <c r="AA123" s="81"/>
      <c r="AB123" s="69" t="s">
        <v>638</v>
      </c>
      <c r="AC123" s="69" t="s">
        <v>536</v>
      </c>
      <c r="AD123" s="69" t="str">
        <f t="shared" si="2"/>
        <v>10.32.08 15 pisos o mas, cualquier magnitud</v>
      </c>
      <c r="AE123" s="65" t="s">
        <v>468</v>
      </c>
      <c r="AF123" s="70">
        <v>6000</v>
      </c>
      <c r="AG123" s="71">
        <v>58.800000000000011</v>
      </c>
      <c r="AH123" s="72">
        <v>26</v>
      </c>
      <c r="AI123" s="73" t="s">
        <v>521</v>
      </c>
    </row>
    <row r="124" spans="6:35">
      <c r="AA124" s="81"/>
      <c r="AB124" s="87"/>
      <c r="AC124" s="87"/>
      <c r="AD124" s="69" t="str">
        <f t="shared" si="2"/>
        <v xml:space="preserve"> </v>
      </c>
    </row>
    <row r="125" spans="6:35">
      <c r="AA125" s="77" t="s">
        <v>454</v>
      </c>
      <c r="AB125" s="69" t="s">
        <v>639</v>
      </c>
      <c r="AC125" s="69" t="s">
        <v>501</v>
      </c>
      <c r="AD125" s="69" t="str">
        <f t="shared" si="2"/>
        <v>11.33.01 hasta 2 pisos, cualquier magnitud</v>
      </c>
      <c r="AE125" s="65" t="s">
        <v>468</v>
      </c>
      <c r="AF125" s="70">
        <v>2500</v>
      </c>
      <c r="AG125" s="71">
        <v>17.5</v>
      </c>
      <c r="AH125" s="72">
        <v>12</v>
      </c>
      <c r="AI125" s="73">
        <v>24</v>
      </c>
    </row>
    <row r="126" spans="6:35">
      <c r="AA126" s="81"/>
      <c r="AB126" s="69" t="s">
        <v>640</v>
      </c>
      <c r="AC126" s="69" t="s">
        <v>508</v>
      </c>
      <c r="AD126" s="69" t="str">
        <f t="shared" si="2"/>
        <v>11.33.02 hasta 4 pisos, cualquier magnitud</v>
      </c>
      <c r="AE126" s="65" t="s">
        <v>468</v>
      </c>
      <c r="AF126" s="70">
        <v>3000</v>
      </c>
      <c r="AG126" s="71">
        <v>21.000000000000004</v>
      </c>
      <c r="AH126" s="72">
        <v>14</v>
      </c>
      <c r="AI126" s="73">
        <v>50</v>
      </c>
    </row>
    <row r="127" spans="6:35">
      <c r="AA127" s="81"/>
      <c r="AB127" s="69" t="s">
        <v>641</v>
      </c>
      <c r="AC127" s="69" t="s">
        <v>515</v>
      </c>
      <c r="AD127" s="69" t="str">
        <f t="shared" si="2"/>
        <v>11.33.03 hasta 6 pisos, cualquier magnitud</v>
      </c>
      <c r="AE127" s="65" t="s">
        <v>468</v>
      </c>
      <c r="AF127" s="70">
        <v>3500</v>
      </c>
      <c r="AG127" s="71">
        <v>24.500000000000004</v>
      </c>
      <c r="AH127" s="72">
        <v>16</v>
      </c>
      <c r="AI127" s="73">
        <v>128</v>
      </c>
    </row>
    <row r="128" spans="6:35">
      <c r="AA128" s="81"/>
      <c r="AB128" s="69" t="s">
        <v>642</v>
      </c>
      <c r="AC128" s="69" t="s">
        <v>520</v>
      </c>
      <c r="AD128" s="69" t="str">
        <f t="shared" si="2"/>
        <v>11.33.04 hasta 8 pisos, cualquier magnitud</v>
      </c>
      <c r="AE128" s="65" t="s">
        <v>468</v>
      </c>
      <c r="AF128" s="70">
        <v>4000</v>
      </c>
      <c r="AG128" s="71">
        <v>28.000000000000004</v>
      </c>
      <c r="AH128" s="72">
        <v>18</v>
      </c>
      <c r="AI128" s="73" t="s">
        <v>521</v>
      </c>
    </row>
    <row r="129" spans="27:35">
      <c r="AA129" s="81"/>
      <c r="AB129" s="69" t="s">
        <v>643</v>
      </c>
      <c r="AC129" s="69" t="s">
        <v>526</v>
      </c>
      <c r="AD129" s="69" t="str">
        <f t="shared" si="2"/>
        <v>11.33.05 hasta 10 pisos, cualquier magnitud</v>
      </c>
      <c r="AE129" s="65" t="s">
        <v>468</v>
      </c>
      <c r="AF129" s="70">
        <v>4500</v>
      </c>
      <c r="AG129" s="71">
        <v>31.500000000000004</v>
      </c>
      <c r="AH129" s="72">
        <v>20</v>
      </c>
      <c r="AI129" s="73" t="s">
        <v>521</v>
      </c>
    </row>
    <row r="130" spans="27:35">
      <c r="AA130" s="81"/>
      <c r="AB130" s="69" t="s">
        <v>644</v>
      </c>
      <c r="AC130" s="69" t="s">
        <v>530</v>
      </c>
      <c r="AD130" s="69" t="str">
        <f t="shared" si="2"/>
        <v>11.33.06 hasta 12 pisos, cualquier magnitud</v>
      </c>
      <c r="AE130" s="65" t="s">
        <v>468</v>
      </c>
      <c r="AF130" s="70">
        <v>5000</v>
      </c>
      <c r="AG130" s="71">
        <v>35</v>
      </c>
      <c r="AH130" s="72">
        <v>22</v>
      </c>
      <c r="AI130" s="73" t="s">
        <v>521</v>
      </c>
    </row>
    <row r="131" spans="27:35">
      <c r="AA131" s="81"/>
      <c r="AB131" s="69" t="s">
        <v>645</v>
      </c>
      <c r="AC131" s="69" t="s">
        <v>534</v>
      </c>
      <c r="AD131" s="69" t="str">
        <f t="shared" si="2"/>
        <v>11.33.07 hasta 14 pisos, cualquier magnitud</v>
      </c>
      <c r="AE131" s="65" t="s">
        <v>468</v>
      </c>
      <c r="AF131" s="70">
        <v>5500</v>
      </c>
      <c r="AG131" s="71">
        <v>38.500000000000007</v>
      </c>
      <c r="AH131" s="72">
        <v>24</v>
      </c>
      <c r="AI131" s="73" t="s">
        <v>521</v>
      </c>
    </row>
    <row r="132" spans="27:35">
      <c r="AA132" s="81"/>
      <c r="AB132" s="69" t="s">
        <v>646</v>
      </c>
      <c r="AC132" s="69" t="s">
        <v>536</v>
      </c>
      <c r="AD132" s="69" t="str">
        <f t="shared" si="2"/>
        <v>11.33.08 15 pisos o mas, cualquier magnitud</v>
      </c>
      <c r="AE132" s="65" t="s">
        <v>468</v>
      </c>
      <c r="AF132" s="70">
        <v>6000</v>
      </c>
      <c r="AG132" s="71">
        <v>42.000000000000007</v>
      </c>
      <c r="AH132" s="72">
        <v>26</v>
      </c>
      <c r="AI132" s="73" t="s">
        <v>521</v>
      </c>
    </row>
    <row r="133" spans="27:35">
      <c r="AA133" s="81"/>
      <c r="AD133" s="69" t="str">
        <f t="shared" si="2"/>
        <v xml:space="preserve"> </v>
      </c>
    </row>
    <row r="134" spans="27:35">
      <c r="AA134" s="77" t="s">
        <v>455</v>
      </c>
      <c r="AB134" s="69" t="s">
        <v>647</v>
      </c>
      <c r="AC134" s="69" t="s">
        <v>501</v>
      </c>
      <c r="AD134" s="69" t="str">
        <f t="shared" si="2"/>
        <v>12.34.01 hasta 2 pisos, cualquier magnitud</v>
      </c>
      <c r="AE134" s="65" t="s">
        <v>468</v>
      </c>
      <c r="AF134" s="70">
        <v>2500</v>
      </c>
      <c r="AG134" s="71">
        <v>21.000000000000004</v>
      </c>
      <c r="AH134" s="72">
        <v>12</v>
      </c>
      <c r="AI134" s="73">
        <v>24</v>
      </c>
    </row>
    <row r="135" spans="27:35">
      <c r="AA135" s="81"/>
      <c r="AB135" s="69" t="s">
        <v>648</v>
      </c>
      <c r="AC135" s="69" t="s">
        <v>508</v>
      </c>
      <c r="AD135" s="69" t="str">
        <f t="shared" si="2"/>
        <v>12.34.02 hasta 4 pisos, cualquier magnitud</v>
      </c>
      <c r="AE135" s="65" t="s">
        <v>468</v>
      </c>
      <c r="AF135" s="70">
        <v>3000</v>
      </c>
      <c r="AG135" s="71">
        <v>25.200000000000003</v>
      </c>
      <c r="AH135" s="72">
        <v>14</v>
      </c>
      <c r="AI135" s="73">
        <v>50</v>
      </c>
    </row>
    <row r="136" spans="27:35">
      <c r="AA136" s="81"/>
      <c r="AB136" s="69" t="s">
        <v>649</v>
      </c>
      <c r="AC136" s="69" t="s">
        <v>515</v>
      </c>
      <c r="AD136" s="69" t="str">
        <f t="shared" si="2"/>
        <v>12.34.03 hasta 6 pisos, cualquier magnitud</v>
      </c>
      <c r="AE136" s="65" t="s">
        <v>468</v>
      </c>
      <c r="AF136" s="70">
        <v>3500</v>
      </c>
      <c r="AG136" s="71">
        <v>29.400000000000002</v>
      </c>
      <c r="AH136" s="72">
        <v>16</v>
      </c>
      <c r="AI136" s="73">
        <v>128</v>
      </c>
    </row>
    <row r="137" spans="27:35">
      <c r="AA137" s="81"/>
      <c r="AB137" s="69" t="s">
        <v>650</v>
      </c>
      <c r="AC137" s="69" t="s">
        <v>520</v>
      </c>
      <c r="AD137" s="69" t="str">
        <f t="shared" si="2"/>
        <v>12.34.04 hasta 8 pisos, cualquier magnitud</v>
      </c>
      <c r="AE137" s="65" t="s">
        <v>468</v>
      </c>
      <c r="AF137" s="70">
        <v>4000</v>
      </c>
      <c r="AG137" s="71">
        <v>33.6</v>
      </c>
      <c r="AH137" s="72">
        <v>18</v>
      </c>
      <c r="AI137" s="73" t="s">
        <v>521</v>
      </c>
    </row>
    <row r="138" spans="27:35">
      <c r="AA138" s="81"/>
      <c r="AB138" s="69" t="s">
        <v>651</v>
      </c>
      <c r="AC138" s="69" t="s">
        <v>526</v>
      </c>
      <c r="AD138" s="69" t="str">
        <f t="shared" si="2"/>
        <v>12.34.05 hasta 10 pisos, cualquier magnitud</v>
      </c>
      <c r="AE138" s="65" t="s">
        <v>468</v>
      </c>
      <c r="AF138" s="70">
        <v>4500</v>
      </c>
      <c r="AG138" s="71">
        <v>37.800000000000004</v>
      </c>
      <c r="AH138" s="72">
        <v>20</v>
      </c>
      <c r="AI138" s="73" t="s">
        <v>521</v>
      </c>
    </row>
    <row r="139" spans="27:35">
      <c r="AA139" s="81"/>
      <c r="AB139" s="69" t="s">
        <v>652</v>
      </c>
      <c r="AC139" s="69" t="s">
        <v>530</v>
      </c>
      <c r="AD139" s="69" t="str">
        <f t="shared" si="2"/>
        <v>12.34.06 hasta 12 pisos, cualquier magnitud</v>
      </c>
      <c r="AE139" s="65" t="s">
        <v>468</v>
      </c>
      <c r="AF139" s="70">
        <v>5000</v>
      </c>
      <c r="AG139" s="71">
        <v>42.000000000000007</v>
      </c>
      <c r="AH139" s="72">
        <v>22</v>
      </c>
      <c r="AI139" s="73" t="s">
        <v>521</v>
      </c>
    </row>
    <row r="140" spans="27:35">
      <c r="AA140" s="81"/>
      <c r="AB140" s="69" t="s">
        <v>653</v>
      </c>
      <c r="AC140" s="69" t="s">
        <v>534</v>
      </c>
      <c r="AD140" s="69" t="str">
        <f t="shared" si="2"/>
        <v>12.34.07 hasta 14 pisos, cualquier magnitud</v>
      </c>
      <c r="AE140" s="65" t="s">
        <v>468</v>
      </c>
      <c r="AF140" s="70">
        <v>5500</v>
      </c>
      <c r="AG140" s="71">
        <v>46.2</v>
      </c>
      <c r="AH140" s="72">
        <v>24</v>
      </c>
      <c r="AI140" s="73" t="s">
        <v>521</v>
      </c>
    </row>
    <row r="141" spans="27:35">
      <c r="AA141" s="81"/>
      <c r="AB141" s="69" t="s">
        <v>654</v>
      </c>
      <c r="AC141" s="69" t="s">
        <v>536</v>
      </c>
      <c r="AD141" s="69" t="str">
        <f t="shared" si="2"/>
        <v>12.34.08 15 pisos o mas, cualquier magnitud</v>
      </c>
      <c r="AE141" s="65" t="s">
        <v>468</v>
      </c>
      <c r="AF141" s="70">
        <v>6000</v>
      </c>
      <c r="AG141" s="71">
        <v>50.400000000000006</v>
      </c>
      <c r="AH141" s="72">
        <v>26</v>
      </c>
      <c r="AI141" s="73" t="s">
        <v>521</v>
      </c>
    </row>
    <row r="142" spans="27:35">
      <c r="AA142" s="81"/>
      <c r="AC142" s="87"/>
      <c r="AD142" s="69" t="str">
        <f t="shared" si="2"/>
        <v xml:space="preserve"> </v>
      </c>
    </row>
    <row r="143" spans="27:35">
      <c r="AA143" s="78" t="s">
        <v>456</v>
      </c>
      <c r="AB143" s="69" t="s">
        <v>655</v>
      </c>
      <c r="AC143" s="69" t="s">
        <v>501</v>
      </c>
      <c r="AD143" s="69" t="str">
        <f t="shared" si="2"/>
        <v>13.35.01 hasta 2 pisos, cualquier magnitud</v>
      </c>
      <c r="AE143" s="65" t="s">
        <v>468</v>
      </c>
      <c r="AF143" s="70">
        <v>2500</v>
      </c>
      <c r="AG143" s="71">
        <v>24.500000000000007</v>
      </c>
      <c r="AH143" s="72">
        <v>12</v>
      </c>
      <c r="AI143" s="73">
        <v>24</v>
      </c>
    </row>
    <row r="144" spans="27:35">
      <c r="AA144" s="81"/>
      <c r="AB144" s="69" t="s">
        <v>656</v>
      </c>
      <c r="AC144" s="69" t="s">
        <v>508</v>
      </c>
      <c r="AD144" s="69" t="str">
        <f t="shared" si="2"/>
        <v>13.35.02 hasta 4 pisos, cualquier magnitud</v>
      </c>
      <c r="AE144" s="65" t="s">
        <v>468</v>
      </c>
      <c r="AF144" s="70">
        <v>3000</v>
      </c>
      <c r="AG144" s="71">
        <v>29.400000000000006</v>
      </c>
      <c r="AH144" s="72">
        <v>14</v>
      </c>
      <c r="AI144" s="73">
        <v>50</v>
      </c>
    </row>
    <row r="145" spans="27:35">
      <c r="AA145" s="81"/>
      <c r="AB145" s="69" t="s">
        <v>657</v>
      </c>
      <c r="AC145" s="69" t="s">
        <v>515</v>
      </c>
      <c r="AD145" s="69" t="str">
        <f t="shared" ref="AD145:AD208" si="3">CONCATENATE(AB145," ",AC145)</f>
        <v>13.35.03 hasta 6 pisos, cualquier magnitud</v>
      </c>
      <c r="AE145" s="65" t="s">
        <v>468</v>
      </c>
      <c r="AF145" s="70">
        <v>3500</v>
      </c>
      <c r="AG145" s="71">
        <v>34.300000000000004</v>
      </c>
      <c r="AH145" s="72">
        <v>16</v>
      </c>
      <c r="AI145" s="73">
        <v>128</v>
      </c>
    </row>
    <row r="146" spans="27:35">
      <c r="AA146" s="81"/>
      <c r="AB146" s="69" t="s">
        <v>658</v>
      </c>
      <c r="AC146" s="69" t="s">
        <v>520</v>
      </c>
      <c r="AD146" s="69" t="str">
        <f t="shared" si="3"/>
        <v>13.35.04 hasta 8 pisos, cualquier magnitud</v>
      </c>
      <c r="AE146" s="65" t="s">
        <v>468</v>
      </c>
      <c r="AF146" s="70">
        <v>4000</v>
      </c>
      <c r="AG146" s="71">
        <v>39.200000000000003</v>
      </c>
      <c r="AH146" s="72">
        <v>18</v>
      </c>
      <c r="AI146" s="73" t="s">
        <v>521</v>
      </c>
    </row>
    <row r="147" spans="27:35">
      <c r="AA147" s="81"/>
      <c r="AB147" s="69" t="s">
        <v>659</v>
      </c>
      <c r="AC147" s="69" t="s">
        <v>526</v>
      </c>
      <c r="AD147" s="69" t="str">
        <f t="shared" si="3"/>
        <v>13.35.05 hasta 10 pisos, cualquier magnitud</v>
      </c>
      <c r="AE147" s="65" t="s">
        <v>468</v>
      </c>
      <c r="AF147" s="70">
        <v>4500</v>
      </c>
      <c r="AG147" s="71">
        <v>44.100000000000016</v>
      </c>
      <c r="AH147" s="72">
        <v>20</v>
      </c>
      <c r="AI147" s="73" t="s">
        <v>521</v>
      </c>
    </row>
    <row r="148" spans="27:35">
      <c r="AA148" s="81"/>
      <c r="AB148" s="69" t="s">
        <v>660</v>
      </c>
      <c r="AC148" s="69" t="s">
        <v>530</v>
      </c>
      <c r="AD148" s="69" t="str">
        <f t="shared" si="3"/>
        <v>13.35.06 hasta 12 pisos, cualquier magnitud</v>
      </c>
      <c r="AE148" s="65" t="s">
        <v>468</v>
      </c>
      <c r="AF148" s="70">
        <v>5000</v>
      </c>
      <c r="AG148" s="71">
        <v>49.000000000000014</v>
      </c>
      <c r="AH148" s="72">
        <v>22</v>
      </c>
      <c r="AI148" s="73" t="s">
        <v>521</v>
      </c>
    </row>
    <row r="149" spans="27:35">
      <c r="AA149" s="81"/>
      <c r="AB149" s="69" t="s">
        <v>661</v>
      </c>
      <c r="AC149" s="69" t="s">
        <v>534</v>
      </c>
      <c r="AD149" s="69" t="str">
        <f t="shared" si="3"/>
        <v>13.35.07 hasta 14 pisos, cualquier magnitud</v>
      </c>
      <c r="AE149" s="65" t="s">
        <v>468</v>
      </c>
      <c r="AF149" s="70">
        <v>5500</v>
      </c>
      <c r="AG149" s="71">
        <v>53.900000000000013</v>
      </c>
      <c r="AH149" s="72">
        <v>24</v>
      </c>
      <c r="AI149" s="73" t="s">
        <v>521</v>
      </c>
    </row>
    <row r="150" spans="27:35">
      <c r="AA150" s="81"/>
      <c r="AB150" s="69" t="s">
        <v>662</v>
      </c>
      <c r="AC150" s="69" t="s">
        <v>536</v>
      </c>
      <c r="AD150" s="69" t="str">
        <f t="shared" si="3"/>
        <v>13.35.08 15 pisos o mas, cualquier magnitud</v>
      </c>
      <c r="AE150" s="65" t="s">
        <v>468</v>
      </c>
      <c r="AF150" s="70">
        <v>6000</v>
      </c>
      <c r="AG150" s="71">
        <v>58.800000000000011</v>
      </c>
      <c r="AH150" s="72">
        <v>26</v>
      </c>
      <c r="AI150" s="73" t="s">
        <v>521</v>
      </c>
    </row>
    <row r="151" spans="27:35">
      <c r="AA151" s="81"/>
      <c r="AC151" s="87"/>
      <c r="AD151" s="69" t="str">
        <f t="shared" si="3"/>
        <v xml:space="preserve"> </v>
      </c>
    </row>
    <row r="152" spans="27:35">
      <c r="AA152" s="76" t="s">
        <v>457</v>
      </c>
      <c r="AB152" s="69" t="s">
        <v>663</v>
      </c>
      <c r="AC152" s="69" t="s">
        <v>575</v>
      </c>
      <c r="AD152" s="69" t="str">
        <f t="shared" si="3"/>
        <v>14.36.01 Cualquier magnitud</v>
      </c>
      <c r="AE152" s="65" t="s">
        <v>468</v>
      </c>
      <c r="AF152" s="70">
        <v>200</v>
      </c>
      <c r="AG152" s="71">
        <v>9</v>
      </c>
      <c r="AH152" s="72">
        <v>12</v>
      </c>
      <c r="AI152" s="73">
        <v>12</v>
      </c>
    </row>
    <row r="153" spans="27:35">
      <c r="AA153" s="89"/>
      <c r="AC153" s="91"/>
      <c r="AD153" s="69" t="str">
        <f t="shared" si="3"/>
        <v xml:space="preserve"> </v>
      </c>
    </row>
    <row r="154" spans="27:35">
      <c r="AA154" s="76" t="s">
        <v>458</v>
      </c>
      <c r="AB154" s="69" t="s">
        <v>664</v>
      </c>
      <c r="AC154" s="69" t="s">
        <v>575</v>
      </c>
      <c r="AD154" s="69" t="str">
        <f t="shared" si="3"/>
        <v>15.37.01 Cualquier magnitud</v>
      </c>
      <c r="AE154" s="65" t="s">
        <v>665</v>
      </c>
      <c r="AF154" s="70">
        <v>2500</v>
      </c>
      <c r="AG154" s="71">
        <v>75.600000000000009</v>
      </c>
      <c r="AH154" s="72">
        <v>3</v>
      </c>
      <c r="AI154" s="73">
        <v>3</v>
      </c>
    </row>
    <row r="155" spans="27:35">
      <c r="AA155" s="76" t="s">
        <v>475</v>
      </c>
      <c r="AB155" s="69" t="s">
        <v>666</v>
      </c>
      <c r="AC155" s="69" t="s">
        <v>575</v>
      </c>
      <c r="AD155" s="69" t="str">
        <f t="shared" si="3"/>
        <v>15.38.01 Cualquier magnitud</v>
      </c>
      <c r="AE155" s="65" t="s">
        <v>665</v>
      </c>
      <c r="AF155" s="70">
        <v>2500</v>
      </c>
      <c r="AG155" s="71">
        <v>75.600000000000009</v>
      </c>
      <c r="AH155" s="72">
        <v>3</v>
      </c>
      <c r="AI155" s="73">
        <v>3</v>
      </c>
    </row>
    <row r="156" spans="27:35">
      <c r="AA156" s="76" t="s">
        <v>487</v>
      </c>
      <c r="AB156" s="69" t="s">
        <v>667</v>
      </c>
      <c r="AC156" s="69" t="s">
        <v>575</v>
      </c>
      <c r="AD156" s="69" t="str">
        <f t="shared" si="3"/>
        <v>15.39.01 Cualquier magnitud</v>
      </c>
      <c r="AE156" s="65" t="s">
        <v>665</v>
      </c>
      <c r="AF156" s="70">
        <v>2500</v>
      </c>
      <c r="AG156" s="71">
        <v>75.600000000000009</v>
      </c>
      <c r="AH156" s="72">
        <v>3</v>
      </c>
      <c r="AI156" s="73">
        <v>3</v>
      </c>
    </row>
    <row r="157" spans="27:35">
      <c r="AA157" s="76" t="s">
        <v>496</v>
      </c>
      <c r="AB157" s="69" t="s">
        <v>668</v>
      </c>
      <c r="AC157" s="69" t="s">
        <v>575</v>
      </c>
      <c r="AD157" s="69" t="str">
        <f>CONCATENATE(AB157," ",AC157)</f>
        <v>15.40.01 Cualquier magnitud</v>
      </c>
      <c r="AE157" s="65" t="s">
        <v>468</v>
      </c>
      <c r="AF157" s="70">
        <v>4000</v>
      </c>
      <c r="AG157" s="71">
        <v>33.6</v>
      </c>
      <c r="AH157" s="72">
        <v>3</v>
      </c>
      <c r="AI157" s="73">
        <v>3</v>
      </c>
    </row>
    <row r="158" spans="27:35">
      <c r="AA158" s="76" t="s">
        <v>503</v>
      </c>
      <c r="AB158" s="69" t="s">
        <v>669</v>
      </c>
      <c r="AC158" s="69" t="s">
        <v>575</v>
      </c>
      <c r="AD158" s="69" t="str">
        <f t="shared" si="3"/>
        <v>15.41.01 Cualquier magnitud</v>
      </c>
      <c r="AE158" s="65" t="s">
        <v>665</v>
      </c>
      <c r="AF158" s="70">
        <v>2500</v>
      </c>
      <c r="AG158" s="71">
        <v>75.600000000000009</v>
      </c>
      <c r="AH158" s="72">
        <v>3</v>
      </c>
      <c r="AI158" s="73">
        <v>3</v>
      </c>
    </row>
    <row r="159" spans="27:35">
      <c r="AA159" s="76" t="s">
        <v>510</v>
      </c>
      <c r="AB159" s="69" t="s">
        <v>670</v>
      </c>
      <c r="AC159" s="69" t="s">
        <v>575</v>
      </c>
      <c r="AD159" s="69" t="str">
        <f t="shared" si="3"/>
        <v>15.42.01 Cualquier magnitud</v>
      </c>
      <c r="AE159" s="65" t="s">
        <v>468</v>
      </c>
      <c r="AF159" s="70">
        <v>2500</v>
      </c>
      <c r="AG159" s="71">
        <v>75.600000000000009</v>
      </c>
      <c r="AH159" s="72">
        <v>3</v>
      </c>
      <c r="AI159" s="73">
        <v>3</v>
      </c>
    </row>
    <row r="160" spans="27:35">
      <c r="AA160" s="81"/>
    </row>
    <row r="161" spans="27:35">
      <c r="AA161" s="76" t="s">
        <v>459</v>
      </c>
      <c r="AB161" s="69" t="s">
        <v>671</v>
      </c>
      <c r="AC161" s="69" t="s">
        <v>672</v>
      </c>
      <c r="AD161" s="69" t="str">
        <f t="shared" si="3"/>
        <v>16.43.01 según lo permita oficina de centro histórico</v>
      </c>
      <c r="AE161" s="65" t="s">
        <v>665</v>
      </c>
      <c r="AF161" s="70">
        <v>2500</v>
      </c>
      <c r="AG161" s="71">
        <v>75.600000000000009</v>
      </c>
      <c r="AH161" s="72">
        <v>3</v>
      </c>
      <c r="AI161" s="73">
        <v>3</v>
      </c>
    </row>
    <row r="162" spans="27:35">
      <c r="AA162" s="76" t="s">
        <v>476</v>
      </c>
      <c r="AB162" s="69" t="s">
        <v>673</v>
      </c>
      <c r="AC162" s="69" t="s">
        <v>672</v>
      </c>
      <c r="AD162" s="69" t="str">
        <f t="shared" si="3"/>
        <v>16.44.01 según lo permita oficina de centro histórico</v>
      </c>
      <c r="AE162" s="65" t="s">
        <v>665</v>
      </c>
      <c r="AF162" s="70">
        <v>2500</v>
      </c>
      <c r="AG162" s="71">
        <v>75.600000000000009</v>
      </c>
      <c r="AH162" s="72">
        <v>3</v>
      </c>
      <c r="AI162" s="73">
        <v>3</v>
      </c>
    </row>
    <row r="163" spans="27:35">
      <c r="AA163" s="76" t="s">
        <v>488</v>
      </c>
      <c r="AB163" s="69" t="s">
        <v>674</v>
      </c>
      <c r="AC163" s="69" t="s">
        <v>672</v>
      </c>
      <c r="AD163" s="69" t="str">
        <f t="shared" si="3"/>
        <v>16.45.01 según lo permita oficina de centro histórico</v>
      </c>
      <c r="AE163" s="65" t="s">
        <v>468</v>
      </c>
      <c r="AF163" s="70">
        <v>2500</v>
      </c>
      <c r="AG163" s="71">
        <v>75.600000000000009</v>
      </c>
      <c r="AH163" s="72">
        <v>3</v>
      </c>
      <c r="AI163" s="73">
        <v>3</v>
      </c>
    </row>
    <row r="164" spans="27:35">
      <c r="AA164" s="76" t="s">
        <v>497</v>
      </c>
      <c r="AB164" s="69" t="s">
        <v>675</v>
      </c>
      <c r="AC164" s="69" t="s">
        <v>672</v>
      </c>
      <c r="AD164" s="69" t="str">
        <f t="shared" si="3"/>
        <v>16.46.01 según lo permita oficina de centro histórico</v>
      </c>
      <c r="AE164" s="65" t="s">
        <v>468</v>
      </c>
      <c r="AF164" s="70">
        <v>4000</v>
      </c>
      <c r="AG164" s="71">
        <v>33.6</v>
      </c>
      <c r="AH164" s="72">
        <v>3</v>
      </c>
      <c r="AI164" s="73">
        <v>3</v>
      </c>
    </row>
    <row r="165" spans="27:35">
      <c r="AA165" s="76" t="s">
        <v>504</v>
      </c>
      <c r="AB165" s="69" t="s">
        <v>676</v>
      </c>
      <c r="AC165" s="69" t="s">
        <v>672</v>
      </c>
      <c r="AD165" s="69" t="str">
        <f t="shared" si="3"/>
        <v>16.47.01 según lo permita oficina de centro histórico</v>
      </c>
      <c r="AE165" s="65" t="s">
        <v>665</v>
      </c>
      <c r="AF165" s="70">
        <v>2500</v>
      </c>
      <c r="AG165" s="71">
        <v>75.600000000000009</v>
      </c>
      <c r="AH165" s="72">
        <v>3</v>
      </c>
      <c r="AI165" s="73">
        <v>3</v>
      </c>
    </row>
    <row r="166" spans="27:35">
      <c r="AA166" s="76" t="s">
        <v>511</v>
      </c>
      <c r="AB166" s="69" t="s">
        <v>677</v>
      </c>
      <c r="AC166" s="69" t="s">
        <v>672</v>
      </c>
      <c r="AD166" s="69" t="str">
        <f t="shared" si="3"/>
        <v>16.48.01 según lo permita oficina de centro histórico</v>
      </c>
      <c r="AE166" s="65" t="s">
        <v>468</v>
      </c>
      <c r="AF166" s="70">
        <v>2500</v>
      </c>
      <c r="AG166" s="71">
        <v>75.600000000000009</v>
      </c>
      <c r="AH166" s="72">
        <v>3</v>
      </c>
      <c r="AI166" s="73">
        <v>3</v>
      </c>
    </row>
    <row r="167" spans="27:35">
      <c r="AA167" s="76" t="s">
        <v>516</v>
      </c>
      <c r="AB167" s="69" t="s">
        <v>678</v>
      </c>
      <c r="AC167" s="69" t="s">
        <v>672</v>
      </c>
      <c r="AD167" s="69" t="str">
        <f t="shared" si="3"/>
        <v>16.49.01 según lo permita oficina de centro histórico</v>
      </c>
      <c r="AE167" s="65" t="s">
        <v>665</v>
      </c>
      <c r="AF167" s="70">
        <v>400</v>
      </c>
      <c r="AG167" s="71">
        <v>100</v>
      </c>
      <c r="AH167" s="72">
        <v>3</v>
      </c>
      <c r="AI167" s="73">
        <v>3</v>
      </c>
    </row>
    <row r="168" spans="27:35">
      <c r="AA168" s="89"/>
      <c r="AC168" s="91"/>
      <c r="AD168" s="69" t="str">
        <f t="shared" si="3"/>
        <v xml:space="preserve"> </v>
      </c>
    </row>
    <row r="169" spans="27:35">
      <c r="AA169" s="76" t="s">
        <v>460</v>
      </c>
      <c r="AB169" s="69" t="s">
        <v>679</v>
      </c>
      <c r="AC169" s="69" t="s">
        <v>575</v>
      </c>
      <c r="AD169" s="69" t="str">
        <f t="shared" si="3"/>
        <v>17.50.01 Cualquier magnitud</v>
      </c>
      <c r="AE169" s="65" t="s">
        <v>468</v>
      </c>
      <c r="AF169" s="70">
        <v>400</v>
      </c>
      <c r="AG169" s="71">
        <v>12</v>
      </c>
      <c r="AH169" s="72">
        <v>6</v>
      </c>
      <c r="AI169" s="73">
        <v>8</v>
      </c>
    </row>
    <row r="170" spans="27:35">
      <c r="AA170" s="76" t="s">
        <v>477</v>
      </c>
      <c r="AB170" s="69" t="s">
        <v>680</v>
      </c>
      <c r="AC170" s="69" t="s">
        <v>575</v>
      </c>
      <c r="AD170" s="69" t="str">
        <f t="shared" si="3"/>
        <v>17.51.01 Cualquier magnitud</v>
      </c>
      <c r="AE170" s="65" t="s">
        <v>468</v>
      </c>
      <c r="AF170" s="70">
        <v>1800</v>
      </c>
      <c r="AG170" s="71">
        <v>10.080000000000002</v>
      </c>
      <c r="AH170" s="72">
        <v>6</v>
      </c>
      <c r="AI170" s="73">
        <v>12</v>
      </c>
    </row>
    <row r="171" spans="27:35">
      <c r="AA171" s="76" t="s">
        <v>489</v>
      </c>
      <c r="AB171" s="69" t="s">
        <v>681</v>
      </c>
      <c r="AC171" s="69" t="s">
        <v>575</v>
      </c>
      <c r="AD171" s="69" t="str">
        <f t="shared" si="3"/>
        <v>17.52.01 Cualquier magnitud</v>
      </c>
      <c r="AE171" s="65" t="s">
        <v>468</v>
      </c>
      <c r="AF171" s="70">
        <v>550</v>
      </c>
      <c r="AG171" s="71">
        <v>3.08</v>
      </c>
      <c r="AH171" s="72">
        <v>6</v>
      </c>
      <c r="AI171" s="73">
        <v>12</v>
      </c>
    </row>
    <row r="172" spans="27:35">
      <c r="AA172" s="76" t="s">
        <v>498</v>
      </c>
      <c r="AB172" s="69" t="s">
        <v>682</v>
      </c>
      <c r="AC172" s="69" t="s">
        <v>575</v>
      </c>
      <c r="AD172" s="69" t="str">
        <f t="shared" si="3"/>
        <v>17.53.01 Cualquier magnitud</v>
      </c>
      <c r="AE172" s="65" t="s">
        <v>468</v>
      </c>
      <c r="AF172" s="70">
        <v>350</v>
      </c>
      <c r="AG172" s="71">
        <v>1.9600000000000002</v>
      </c>
      <c r="AH172" s="72">
        <v>6</v>
      </c>
      <c r="AI172" s="73">
        <v>12</v>
      </c>
    </row>
    <row r="173" spans="27:35">
      <c r="AA173" s="76" t="s">
        <v>505</v>
      </c>
      <c r="AB173" s="69" t="s">
        <v>683</v>
      </c>
      <c r="AC173" s="69" t="s">
        <v>575</v>
      </c>
      <c r="AD173" s="69" t="str">
        <f t="shared" si="3"/>
        <v>17.54.01 Cualquier magnitud</v>
      </c>
      <c r="AE173" s="65" t="s">
        <v>468</v>
      </c>
      <c r="AF173" s="70">
        <v>400</v>
      </c>
      <c r="AG173" s="71">
        <v>10</v>
      </c>
      <c r="AH173" s="72">
        <v>6</v>
      </c>
      <c r="AI173" s="73">
        <v>12</v>
      </c>
    </row>
    <row r="174" spans="27:35">
      <c r="AA174" s="76" t="s">
        <v>512</v>
      </c>
      <c r="AB174" s="69" t="s">
        <v>684</v>
      </c>
      <c r="AC174" s="69" t="s">
        <v>575</v>
      </c>
      <c r="AD174" s="69" t="str">
        <f t="shared" si="3"/>
        <v>17.55.01 Cualquier magnitud</v>
      </c>
      <c r="AE174" s="65" t="s">
        <v>468</v>
      </c>
      <c r="AF174" s="70">
        <v>200</v>
      </c>
      <c r="AG174" s="71">
        <v>1.1200000000000001</v>
      </c>
      <c r="AH174" s="72">
        <v>6</v>
      </c>
      <c r="AI174" s="73">
        <v>12</v>
      </c>
    </row>
    <row r="175" spans="27:35">
      <c r="AA175" s="76" t="s">
        <v>517</v>
      </c>
      <c r="AB175" s="69" t="s">
        <v>685</v>
      </c>
      <c r="AC175" s="69" t="s">
        <v>575</v>
      </c>
      <c r="AD175" s="69" t="str">
        <f t="shared" si="3"/>
        <v>17.56.01 Cualquier magnitud</v>
      </c>
      <c r="AE175" s="65" t="s">
        <v>468</v>
      </c>
      <c r="AF175" s="70">
        <v>575</v>
      </c>
      <c r="AG175" s="71">
        <v>3.22</v>
      </c>
      <c r="AH175" s="72">
        <v>12</v>
      </c>
      <c r="AI175" s="73">
        <v>24</v>
      </c>
    </row>
    <row r="176" spans="27:35">
      <c r="AA176" s="76" t="s">
        <v>523</v>
      </c>
      <c r="AB176" s="69" t="s">
        <v>686</v>
      </c>
      <c r="AC176" s="69" t="s">
        <v>575</v>
      </c>
      <c r="AD176" s="69" t="str">
        <f t="shared" si="3"/>
        <v>17.57.01 Cualquier magnitud</v>
      </c>
      <c r="AE176" s="65" t="s">
        <v>468</v>
      </c>
      <c r="AF176" s="70">
        <v>100</v>
      </c>
      <c r="AG176" s="71">
        <v>0.75</v>
      </c>
      <c r="AH176" s="72">
        <v>3</v>
      </c>
      <c r="AI176" s="73">
        <v>12</v>
      </c>
    </row>
    <row r="177" spans="27:35">
      <c r="AA177" s="76" t="s">
        <v>527</v>
      </c>
      <c r="AB177" s="69" t="s">
        <v>687</v>
      </c>
      <c r="AC177" s="69" t="s">
        <v>575</v>
      </c>
      <c r="AD177" s="69" t="str">
        <f t="shared" si="3"/>
        <v>17.58.01 Cualquier magnitud</v>
      </c>
      <c r="AE177" s="65" t="s">
        <v>688</v>
      </c>
      <c r="AF177" s="70">
        <v>100</v>
      </c>
      <c r="AG177" s="71">
        <v>0.75</v>
      </c>
      <c r="AH177" s="72">
        <v>3</v>
      </c>
      <c r="AI177" s="73">
        <v>24</v>
      </c>
    </row>
    <row r="178" spans="27:35">
      <c r="AA178" s="76" t="s">
        <v>532</v>
      </c>
      <c r="AB178" s="69" t="s">
        <v>689</v>
      </c>
      <c r="AC178" s="69" t="s">
        <v>575</v>
      </c>
      <c r="AD178" s="69" t="str">
        <f t="shared" si="3"/>
        <v>17.59.01 Cualquier magnitud</v>
      </c>
      <c r="AE178" s="65" t="s">
        <v>468</v>
      </c>
      <c r="AF178" s="70">
        <v>400</v>
      </c>
      <c r="AG178" s="71">
        <v>8.4499999999999993</v>
      </c>
      <c r="AH178" s="72">
        <v>12</v>
      </c>
      <c r="AI178" s="73">
        <v>24</v>
      </c>
    </row>
    <row r="179" spans="27:35">
      <c r="AA179" s="76" t="s">
        <v>535</v>
      </c>
      <c r="AB179" s="69" t="s">
        <v>690</v>
      </c>
      <c r="AC179" s="69" t="s">
        <v>575</v>
      </c>
      <c r="AD179" s="69" t="str">
        <f t="shared" si="3"/>
        <v>17.60.01 Cualquier magnitud</v>
      </c>
      <c r="AE179" s="65" t="s">
        <v>468</v>
      </c>
      <c r="AF179" s="70">
        <v>1600</v>
      </c>
      <c r="AG179" s="71">
        <v>13.440000000000001</v>
      </c>
      <c r="AH179" s="72">
        <v>12</v>
      </c>
      <c r="AI179" s="73">
        <v>24</v>
      </c>
    </row>
    <row r="180" spans="27:35">
      <c r="AA180" s="76" t="s">
        <v>537</v>
      </c>
      <c r="AB180" s="69" t="s">
        <v>691</v>
      </c>
      <c r="AC180" s="69" t="s">
        <v>575</v>
      </c>
      <c r="AD180" s="69" t="str">
        <f t="shared" si="3"/>
        <v>17.61.01 Cualquier magnitud</v>
      </c>
      <c r="AE180" s="65" t="s">
        <v>468</v>
      </c>
      <c r="AF180" s="70">
        <v>3000</v>
      </c>
      <c r="AG180" s="71">
        <v>16.8</v>
      </c>
      <c r="AH180" s="72">
        <v>12</v>
      </c>
      <c r="AI180" s="73">
        <v>48</v>
      </c>
    </row>
    <row r="181" spans="27:35">
      <c r="AA181" s="76" t="s">
        <v>538</v>
      </c>
      <c r="AB181" s="69" t="s">
        <v>692</v>
      </c>
      <c r="AC181" s="69" t="s">
        <v>575</v>
      </c>
      <c r="AD181" s="69" t="str">
        <f t="shared" si="3"/>
        <v>17.62.01 Cualquier magnitud</v>
      </c>
      <c r="AE181" s="65" t="s">
        <v>468</v>
      </c>
      <c r="AF181" s="70">
        <v>2500</v>
      </c>
      <c r="AG181" s="71">
        <v>14.000000000000002</v>
      </c>
      <c r="AH181" s="72">
        <v>12</v>
      </c>
      <c r="AI181" s="73">
        <v>48</v>
      </c>
    </row>
    <row r="182" spans="27:35">
      <c r="AA182" s="76" t="s">
        <v>539</v>
      </c>
      <c r="AB182" s="69" t="s">
        <v>693</v>
      </c>
      <c r="AC182" s="69" t="s">
        <v>575</v>
      </c>
      <c r="AD182" s="69" t="str">
        <f t="shared" si="3"/>
        <v>17.63.01 Cualquier magnitud</v>
      </c>
      <c r="AE182" s="65" t="s">
        <v>468</v>
      </c>
      <c r="AF182" s="70">
        <v>2000</v>
      </c>
      <c r="AG182" s="71">
        <v>11.200000000000001</v>
      </c>
      <c r="AH182" s="72">
        <v>12</v>
      </c>
      <c r="AI182" s="73">
        <v>36</v>
      </c>
    </row>
    <row r="183" spans="27:35">
      <c r="AA183" s="76" t="s">
        <v>541</v>
      </c>
      <c r="AB183" s="69" t="s">
        <v>694</v>
      </c>
      <c r="AC183" s="69" t="s">
        <v>575</v>
      </c>
      <c r="AD183" s="69" t="str">
        <f t="shared" si="3"/>
        <v>17.64.01 Cualquier magnitud</v>
      </c>
      <c r="AE183" s="65" t="s">
        <v>468</v>
      </c>
      <c r="AF183" s="70">
        <v>1300</v>
      </c>
      <c r="AG183" s="71">
        <v>7.2800000000000011</v>
      </c>
      <c r="AH183" s="72">
        <v>6</v>
      </c>
      <c r="AI183" s="73">
        <v>18</v>
      </c>
    </row>
    <row r="184" spans="27:35">
      <c r="AA184" s="76" t="s">
        <v>543</v>
      </c>
      <c r="AB184" s="69" t="s">
        <v>695</v>
      </c>
      <c r="AC184" s="69" t="s">
        <v>575</v>
      </c>
      <c r="AD184" s="69" t="str">
        <f t="shared" si="3"/>
        <v>17.65.01 Cualquier magnitud</v>
      </c>
      <c r="AE184" s="65" t="s">
        <v>468</v>
      </c>
      <c r="AF184" s="70">
        <v>2500</v>
      </c>
      <c r="AG184" s="71">
        <v>14.000000000000002</v>
      </c>
      <c r="AH184" s="72">
        <v>12</v>
      </c>
      <c r="AI184" s="73">
        <v>24</v>
      </c>
    </row>
    <row r="185" spans="27:35">
      <c r="AA185" s="76" t="s">
        <v>545</v>
      </c>
      <c r="AB185" s="69" t="s">
        <v>696</v>
      </c>
      <c r="AC185" s="69" t="s">
        <v>575</v>
      </c>
      <c r="AD185" s="69" t="str">
        <f t="shared" si="3"/>
        <v>17.66.01 Cualquier magnitud</v>
      </c>
      <c r="AE185" s="65" t="s">
        <v>468</v>
      </c>
      <c r="AF185" s="70">
        <v>3500</v>
      </c>
      <c r="AG185" s="71">
        <v>19.600000000000001</v>
      </c>
      <c r="AH185" s="72">
        <v>12</v>
      </c>
      <c r="AI185" s="73" t="s">
        <v>521</v>
      </c>
    </row>
    <row r="186" spans="27:35">
      <c r="AA186" s="76" t="s">
        <v>547</v>
      </c>
      <c r="AB186" s="69" t="s">
        <v>697</v>
      </c>
      <c r="AC186" s="69" t="s">
        <v>575</v>
      </c>
      <c r="AD186" s="69" t="str">
        <f t="shared" si="3"/>
        <v>17.67.01 Cualquier magnitud</v>
      </c>
      <c r="AE186" s="65" t="s">
        <v>468</v>
      </c>
      <c r="AF186" s="70">
        <v>250</v>
      </c>
      <c r="AG186" s="71">
        <v>1.4000000000000001</v>
      </c>
      <c r="AH186" s="72">
        <v>12</v>
      </c>
      <c r="AI186" s="73">
        <v>24</v>
      </c>
    </row>
    <row r="187" spans="27:35">
      <c r="AA187" s="76" t="s">
        <v>549</v>
      </c>
      <c r="AB187" s="69" t="s">
        <v>698</v>
      </c>
      <c r="AC187" s="69" t="s">
        <v>575</v>
      </c>
      <c r="AD187" s="69" t="str">
        <f t="shared" si="3"/>
        <v>17.68.01 Cualquier magnitud</v>
      </c>
      <c r="AE187" s="65" t="s">
        <v>468</v>
      </c>
      <c r="AF187" s="70">
        <v>250</v>
      </c>
      <c r="AG187" s="71">
        <v>1.4000000000000001</v>
      </c>
      <c r="AH187" s="72">
        <v>6</v>
      </c>
      <c r="AI187" s="73">
        <v>12</v>
      </c>
    </row>
    <row r="188" spans="27:35">
      <c r="AA188" s="76" t="s">
        <v>551</v>
      </c>
      <c r="AB188" s="69" t="s">
        <v>699</v>
      </c>
      <c r="AC188" s="69" t="s">
        <v>575</v>
      </c>
      <c r="AD188" s="69" t="str">
        <f t="shared" si="3"/>
        <v>17.69.01 Cualquier magnitud</v>
      </c>
      <c r="AE188" s="65" t="s">
        <v>468</v>
      </c>
      <c r="AF188" s="70">
        <v>350</v>
      </c>
      <c r="AG188" s="71">
        <v>1.9600000000000002</v>
      </c>
      <c r="AH188" s="72">
        <v>6</v>
      </c>
      <c r="AI188" s="73">
        <v>12</v>
      </c>
    </row>
    <row r="189" spans="27:35">
      <c r="AA189" s="76" t="s">
        <v>553</v>
      </c>
      <c r="AB189" s="69" t="s">
        <v>700</v>
      </c>
      <c r="AC189" s="69" t="s">
        <v>575</v>
      </c>
      <c r="AD189" s="69" t="str">
        <f t="shared" si="3"/>
        <v>17.70.01 Cualquier magnitud</v>
      </c>
      <c r="AE189" s="65" t="s">
        <v>468</v>
      </c>
      <c r="AF189" s="70">
        <v>11000</v>
      </c>
      <c r="AG189" s="71">
        <v>61.6</v>
      </c>
      <c r="AH189" s="72">
        <v>8</v>
      </c>
      <c r="AI189" s="73" t="s">
        <v>521</v>
      </c>
    </row>
    <row r="190" spans="27:35">
      <c r="AA190" s="76" t="s">
        <v>555</v>
      </c>
      <c r="AB190" s="69" t="s">
        <v>701</v>
      </c>
      <c r="AC190" s="69" t="s">
        <v>575</v>
      </c>
      <c r="AD190" s="69" t="str">
        <f t="shared" si="3"/>
        <v>17.71.01 Cualquier magnitud</v>
      </c>
      <c r="AE190" s="65" t="s">
        <v>468</v>
      </c>
      <c r="AF190" s="70">
        <v>1500</v>
      </c>
      <c r="AG190" s="71">
        <v>8.4</v>
      </c>
      <c r="AH190" s="72">
        <v>2</v>
      </c>
      <c r="AI190" s="73">
        <v>3</v>
      </c>
    </row>
    <row r="191" spans="27:35">
      <c r="AA191" s="76" t="s">
        <v>556</v>
      </c>
      <c r="AB191" s="69" t="s">
        <v>702</v>
      </c>
      <c r="AC191" s="69" t="s">
        <v>575</v>
      </c>
      <c r="AD191" s="69" t="str">
        <f t="shared" si="3"/>
        <v>17.72.01 Cualquier magnitud</v>
      </c>
      <c r="AE191" s="65" t="s">
        <v>468</v>
      </c>
      <c r="AF191" s="70">
        <v>300</v>
      </c>
      <c r="AG191" s="71">
        <v>1.6800000000000002</v>
      </c>
      <c r="AH191" s="72">
        <v>6</v>
      </c>
      <c r="AI191" s="73">
        <v>12</v>
      </c>
    </row>
    <row r="192" spans="27:35">
      <c r="AA192" s="76" t="s">
        <v>558</v>
      </c>
      <c r="AB192" s="69" t="s">
        <v>703</v>
      </c>
      <c r="AC192" s="69" t="s">
        <v>575</v>
      </c>
      <c r="AD192" s="69" t="str">
        <f t="shared" si="3"/>
        <v>17.73.01 Cualquier magnitud</v>
      </c>
      <c r="AE192" s="65" t="s">
        <v>468</v>
      </c>
      <c r="AF192" s="70">
        <v>1500</v>
      </c>
      <c r="AG192" s="71">
        <v>8.4</v>
      </c>
      <c r="AH192" s="72">
        <v>12</v>
      </c>
      <c r="AI192" s="73">
        <v>36</v>
      </c>
    </row>
    <row r="193" spans="27:35">
      <c r="AA193" s="89"/>
      <c r="AC193" s="91"/>
      <c r="AD193" s="69" t="str">
        <f t="shared" si="3"/>
        <v xml:space="preserve"> </v>
      </c>
    </row>
    <row r="194" spans="27:35">
      <c r="AA194" s="76" t="s">
        <v>461</v>
      </c>
      <c r="AB194" s="69" t="s">
        <v>704</v>
      </c>
      <c r="AC194" s="69" t="s">
        <v>613</v>
      </c>
      <c r="AD194" s="69" t="str">
        <f t="shared" si="3"/>
        <v>18.74.01 cualquier magnitud</v>
      </c>
      <c r="AE194" s="65" t="s">
        <v>468</v>
      </c>
      <c r="AF194" s="70" t="s">
        <v>705</v>
      </c>
      <c r="AG194" s="71">
        <v>1</v>
      </c>
      <c r="AH194" s="72" t="s">
        <v>706</v>
      </c>
      <c r="AI194" s="73" t="s">
        <v>705</v>
      </c>
    </row>
    <row r="195" spans="27:35">
      <c r="AA195" s="76" t="s">
        <v>478</v>
      </c>
      <c r="AB195" s="69" t="s">
        <v>707</v>
      </c>
      <c r="AC195" s="69" t="s">
        <v>613</v>
      </c>
      <c r="AD195" s="69" t="str">
        <f t="shared" si="3"/>
        <v>18.75.01 cualquier magnitud</v>
      </c>
      <c r="AE195" s="65" t="s">
        <v>468</v>
      </c>
      <c r="AF195" s="70" t="s">
        <v>705</v>
      </c>
      <c r="AG195" s="71">
        <v>1.25</v>
      </c>
      <c r="AH195" s="72" t="s">
        <v>706</v>
      </c>
      <c r="AI195" s="73" t="s">
        <v>705</v>
      </c>
    </row>
    <row r="196" spans="27:35">
      <c r="AA196" s="76" t="s">
        <v>490</v>
      </c>
      <c r="AB196" s="69" t="s">
        <v>708</v>
      </c>
      <c r="AC196" s="69" t="s">
        <v>613</v>
      </c>
      <c r="AD196" s="69" t="str">
        <f t="shared" si="3"/>
        <v>18.76.01 cualquier magnitud</v>
      </c>
      <c r="AE196" s="65" t="s">
        <v>468</v>
      </c>
      <c r="AF196" s="70" t="s">
        <v>705</v>
      </c>
      <c r="AG196" s="71">
        <v>1.25</v>
      </c>
      <c r="AH196" s="72" t="s">
        <v>731</v>
      </c>
      <c r="AI196" s="73" t="s">
        <v>705</v>
      </c>
    </row>
    <row r="197" spans="27:35">
      <c r="AA197" s="76" t="s">
        <v>499</v>
      </c>
      <c r="AB197" s="69" t="s">
        <v>709</v>
      </c>
      <c r="AC197" s="69" t="s">
        <v>613</v>
      </c>
      <c r="AD197" s="69" t="str">
        <f t="shared" si="3"/>
        <v>18.77.01 cualquier magnitud</v>
      </c>
      <c r="AE197" s="65" t="s">
        <v>468</v>
      </c>
      <c r="AF197" s="70" t="s">
        <v>705</v>
      </c>
      <c r="AG197" s="71">
        <v>1.25</v>
      </c>
      <c r="AH197" s="72" t="s">
        <v>712</v>
      </c>
      <c r="AI197" s="73" t="s">
        <v>705</v>
      </c>
    </row>
    <row r="198" spans="27:35">
      <c r="AA198" s="76" t="s">
        <v>506</v>
      </c>
      <c r="AB198" s="69" t="s">
        <v>710</v>
      </c>
      <c r="AC198" s="69" t="s">
        <v>613</v>
      </c>
      <c r="AD198" s="69" t="str">
        <f t="shared" si="3"/>
        <v>18.78.01 cualquier magnitud</v>
      </c>
      <c r="AE198" s="65" t="s">
        <v>468</v>
      </c>
      <c r="AF198" s="70" t="s">
        <v>705</v>
      </c>
      <c r="AG198" s="71">
        <v>1.25</v>
      </c>
      <c r="AH198" s="72" t="s">
        <v>732</v>
      </c>
      <c r="AI198" s="73" t="s">
        <v>705</v>
      </c>
    </row>
    <row r="199" spans="27:35">
      <c r="AA199" s="76" t="s">
        <v>513</v>
      </c>
      <c r="AB199" s="69" t="s">
        <v>711</v>
      </c>
      <c r="AC199" s="69" t="s">
        <v>613</v>
      </c>
      <c r="AD199" s="69" t="str">
        <f t="shared" si="3"/>
        <v>18.79.01 cualquier magnitud</v>
      </c>
      <c r="AE199" s="65" t="s">
        <v>468</v>
      </c>
      <c r="AF199" s="70" t="s">
        <v>705</v>
      </c>
      <c r="AG199" s="71">
        <v>1.25</v>
      </c>
      <c r="AH199" s="72" t="s">
        <v>712</v>
      </c>
      <c r="AI199" s="73" t="s">
        <v>705</v>
      </c>
    </row>
    <row r="200" spans="27:35">
      <c r="AA200" s="76" t="s">
        <v>518</v>
      </c>
      <c r="AB200" s="69" t="s">
        <v>713</v>
      </c>
      <c r="AC200" s="69" t="s">
        <v>613</v>
      </c>
      <c r="AD200" s="69" t="str">
        <f t="shared" si="3"/>
        <v>18.80.01 cualquier magnitud</v>
      </c>
      <c r="AE200" s="65" t="s">
        <v>468</v>
      </c>
      <c r="AF200" s="70" t="s">
        <v>705</v>
      </c>
      <c r="AG200" s="71">
        <v>2.25</v>
      </c>
      <c r="AH200" s="72" t="s">
        <v>706</v>
      </c>
      <c r="AI200" s="73" t="s">
        <v>705</v>
      </c>
    </row>
    <row r="201" spans="27:35">
      <c r="AA201" s="76" t="s">
        <v>524</v>
      </c>
      <c r="AB201" s="69" t="s">
        <v>714</v>
      </c>
      <c r="AC201" s="69" t="s">
        <v>613</v>
      </c>
      <c r="AD201" s="69" t="str">
        <f t="shared" si="3"/>
        <v>18.81.01 cualquier magnitud</v>
      </c>
      <c r="AE201" s="65" t="s">
        <v>468</v>
      </c>
      <c r="AF201" s="70" t="s">
        <v>705</v>
      </c>
      <c r="AG201" s="71">
        <v>1.5</v>
      </c>
      <c r="AH201" s="72" t="s">
        <v>706</v>
      </c>
      <c r="AI201" s="73" t="s">
        <v>705</v>
      </c>
    </row>
    <row r="202" spans="27:35">
      <c r="AA202" s="76" t="s">
        <v>528</v>
      </c>
      <c r="AB202" s="69" t="s">
        <v>715</v>
      </c>
      <c r="AC202" s="69" t="s">
        <v>613</v>
      </c>
      <c r="AD202" s="69" t="str">
        <f t="shared" si="3"/>
        <v>18.82.01 cualquier magnitud</v>
      </c>
      <c r="AE202" s="65" t="s">
        <v>468</v>
      </c>
      <c r="AF202" s="70" t="s">
        <v>705</v>
      </c>
      <c r="AG202" s="71">
        <v>1</v>
      </c>
      <c r="AH202" s="72" t="s">
        <v>716</v>
      </c>
      <c r="AI202" s="73" t="s">
        <v>705</v>
      </c>
    </row>
    <row r="203" spans="27:35">
      <c r="AA203" s="90"/>
      <c r="AC203" s="92"/>
      <c r="AD203" s="69" t="str">
        <f t="shared" si="3"/>
        <v xml:space="preserve"> </v>
      </c>
    </row>
    <row r="204" spans="27:35">
      <c r="AA204" s="76" t="s">
        <v>462</v>
      </c>
      <c r="AB204" s="69" t="s">
        <v>717</v>
      </c>
      <c r="AC204" s="69" t="s">
        <v>575</v>
      </c>
      <c r="AD204" s="69" t="str">
        <f t="shared" si="3"/>
        <v>19.83.01 Cualquier magnitud</v>
      </c>
      <c r="AE204" s="65" t="s">
        <v>468</v>
      </c>
      <c r="AF204" s="70" t="s">
        <v>705</v>
      </c>
      <c r="AG204" s="71">
        <v>3.5</v>
      </c>
      <c r="AH204" s="72">
        <v>18</v>
      </c>
      <c r="AI204" s="73" t="s">
        <v>521</v>
      </c>
    </row>
    <row r="205" spans="27:35">
      <c r="AA205" s="89"/>
      <c r="AC205" s="91"/>
      <c r="AD205" s="69" t="str">
        <f t="shared" si="3"/>
        <v xml:space="preserve"> </v>
      </c>
    </row>
    <row r="206" spans="27:35">
      <c r="AA206" s="76" t="s">
        <v>463</v>
      </c>
      <c r="AB206" s="69" t="s">
        <v>718</v>
      </c>
      <c r="AC206" s="69" t="s">
        <v>719</v>
      </c>
      <c r="AD206" s="69" t="str">
        <f t="shared" si="3"/>
        <v>20.84.01 Aplica para todo tipo de licencia de obra de construcción  otorgada por departamento</v>
      </c>
      <c r="AE206" s="65" t="s">
        <v>720</v>
      </c>
    </row>
    <row r="207" spans="27:35">
      <c r="AA207" s="76" t="s">
        <v>479</v>
      </c>
      <c r="AB207" s="69" t="s">
        <v>721</v>
      </c>
      <c r="AC207" s="69" t="s">
        <v>722</v>
      </c>
      <c r="AD207" s="69" t="str">
        <f t="shared" si="3"/>
        <v>20.85.02 Aplica para todo tipo de prorroga de licencia de obra de construcción  otorgada por departamento.</v>
      </c>
      <c r="AE207" s="65" t="s">
        <v>723</v>
      </c>
    </row>
    <row r="208" spans="27:35">
      <c r="AC208" s="91"/>
      <c r="AD208" s="69" t="str">
        <f t="shared" si="3"/>
        <v xml:space="preserve"> </v>
      </c>
    </row>
    <row r="209" spans="6:35">
      <c r="AA209" s="76" t="s">
        <v>464</v>
      </c>
      <c r="AB209" s="69" t="s">
        <v>724</v>
      </c>
      <c r="AC209" s="69" t="s">
        <v>575</v>
      </c>
      <c r="AD209" s="69" t="str">
        <f>CONCATENATE(AB209," ",AC209)</f>
        <v>21.86.01 Cualquier magnitud</v>
      </c>
      <c r="AE209" s="65" t="s">
        <v>468</v>
      </c>
      <c r="AF209" s="70" t="s">
        <v>705</v>
      </c>
      <c r="AG209" s="70">
        <v>3</v>
      </c>
      <c r="AH209" s="72" t="s">
        <v>725</v>
      </c>
      <c r="AI209" s="73" t="s">
        <v>705</v>
      </c>
    </row>
    <row r="210" spans="6:35">
      <c r="AA210" s="81"/>
      <c r="AC210" s="87"/>
      <c r="AD210" s="69" t="str">
        <f>CONCATENATE(AB210," ",AC210)</f>
        <v xml:space="preserve"> </v>
      </c>
      <c r="AG210" s="70"/>
    </row>
    <row r="211" spans="6:35">
      <c r="AA211" s="76" t="s">
        <v>465</v>
      </c>
      <c r="AB211" s="69" t="s">
        <v>726</v>
      </c>
      <c r="AC211" s="69" t="s">
        <v>665</v>
      </c>
      <c r="AD211" s="69" t="str">
        <f>CONCATENATE(AB211," ",AC211)</f>
        <v>22.87.01 unidad</v>
      </c>
      <c r="AE211" s="65" t="s">
        <v>727</v>
      </c>
      <c r="AF211" s="70" t="s">
        <v>705</v>
      </c>
      <c r="AG211" s="70">
        <v>15</v>
      </c>
      <c r="AH211" s="72" t="s">
        <v>728</v>
      </c>
      <c r="AI211" s="73" t="s">
        <v>705</v>
      </c>
    </row>
    <row r="212" spans="6:35">
      <c r="AA212" s="76" t="s">
        <v>480</v>
      </c>
      <c r="AB212" s="69" t="s">
        <v>729</v>
      </c>
      <c r="AC212" s="69" t="s">
        <v>665</v>
      </c>
      <c r="AD212" s="69" t="str">
        <f>CONCATENATE(AB212," ",AC212)</f>
        <v>22.88.02 unidad</v>
      </c>
      <c r="AE212" s="65" t="s">
        <v>727</v>
      </c>
      <c r="AF212" s="70" t="s">
        <v>705</v>
      </c>
      <c r="AG212" s="70">
        <v>15</v>
      </c>
      <c r="AH212" s="72" t="s">
        <v>730</v>
      </c>
      <c r="AI212" s="73" t="s">
        <v>705</v>
      </c>
    </row>
    <row r="215" spans="6:35">
      <c r="F215" s="89"/>
      <c r="G215" s="89"/>
    </row>
    <row r="216" spans="6:35">
      <c r="F216" s="65"/>
      <c r="G216" s="65"/>
    </row>
    <row r="217" spans="6:35">
      <c r="F217" s="65"/>
      <c r="G217" s="65"/>
    </row>
    <row r="218" spans="6:35">
      <c r="F218" s="65"/>
      <c r="G218" s="65"/>
    </row>
    <row r="219" spans="6:35">
      <c r="F219" s="65"/>
      <c r="G219" s="65"/>
    </row>
    <row r="220" spans="6:35">
      <c r="F220" s="65"/>
      <c r="G220" s="65"/>
    </row>
    <row r="221" spans="6:35">
      <c r="F221" s="65"/>
      <c r="G221" s="65"/>
    </row>
    <row r="222" spans="6:35">
      <c r="F222" s="65"/>
      <c r="G222" s="65"/>
    </row>
    <row r="223" spans="6:35">
      <c r="F223" s="65"/>
      <c r="G223" s="65"/>
    </row>
    <row r="224" spans="6:35">
      <c r="F224" s="65"/>
      <c r="G224" s="65"/>
    </row>
    <row r="225" spans="6:29">
      <c r="F225" s="65"/>
      <c r="G225" s="65"/>
    </row>
    <row r="227" spans="6:29">
      <c r="AB227" s="87"/>
      <c r="AC227" s="87"/>
    </row>
    <row r="228" spans="6:29">
      <c r="AB228" s="87"/>
      <c r="AC228" s="87"/>
    </row>
    <row r="231" spans="6:29">
      <c r="F231" s="81"/>
      <c r="G231" s="81"/>
    </row>
    <row r="232" spans="6:29">
      <c r="AA232" s="81"/>
    </row>
    <row r="234" spans="6:29">
      <c r="F234" s="81"/>
      <c r="G234" s="81"/>
      <c r="AB234" s="87"/>
      <c r="AC234" s="87"/>
    </row>
    <row r="235" spans="6:29">
      <c r="F235" s="81"/>
      <c r="G235" s="81"/>
      <c r="AA235" s="81"/>
    </row>
    <row r="236" spans="6:29">
      <c r="F236" s="81"/>
      <c r="G236" s="81"/>
      <c r="AA236" s="81"/>
    </row>
    <row r="237" spans="6:29">
      <c r="F237" s="81"/>
      <c r="G237" s="81"/>
      <c r="AA237" s="81"/>
      <c r="AB237" s="87"/>
      <c r="AC237" s="87"/>
    </row>
    <row r="238" spans="6:29">
      <c r="AA238" s="81"/>
      <c r="AB238" s="87"/>
      <c r="AC238" s="87"/>
    </row>
    <row r="239" spans="6:29">
      <c r="AB239" s="87"/>
      <c r="AC239" s="87"/>
    </row>
    <row r="240" spans="6:29">
      <c r="AB240" s="87"/>
      <c r="AC240" s="8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2"/>
  <dimension ref="A1:BO1048575"/>
  <sheetViews>
    <sheetView zoomScale="351" zoomScaleNormal="260" workbookViewId="0">
      <pane xSplit="2" ySplit="2" topLeftCell="BK676" activePane="bottomRight" state="frozen"/>
      <selection pane="topRight" activeCell="C1" sqref="C1"/>
      <selection pane="bottomLeft" activeCell="A3" sqref="A3"/>
      <selection pane="bottomRight" activeCell="A685" sqref="A685:XFD685"/>
    </sheetView>
  </sheetViews>
  <sheetFormatPr baseColWidth="10" defaultColWidth="0" defaultRowHeight="15" outlineLevelRow="1"/>
  <cols>
    <col min="1" max="1" width="12.6640625" style="152" bestFit="1" customWidth="1"/>
    <col min="2" max="2" width="13.1640625" style="152" bestFit="1" customWidth="1"/>
    <col min="3" max="3" width="40.1640625" style="152" customWidth="1"/>
    <col min="4" max="4" width="44.1640625" style="152" bestFit="1" customWidth="1"/>
    <col min="5" max="5" width="38.1640625" style="152" customWidth="1"/>
    <col min="6" max="8" width="11" style="152" customWidth="1"/>
    <col min="9" max="9" width="16.33203125" style="152" bestFit="1" customWidth="1"/>
    <col min="10" max="10" width="17" style="152" customWidth="1"/>
    <col min="11" max="11" width="19.1640625" style="152" bestFit="1" customWidth="1"/>
    <col min="12" max="12" width="35.33203125" style="152" bestFit="1" customWidth="1"/>
    <col min="13" max="13" width="5.1640625" style="152" bestFit="1" customWidth="1"/>
    <col min="14" max="14" width="4.1640625" style="152" customWidth="1"/>
    <col min="15" max="15" width="9.83203125" style="152" bestFit="1" customWidth="1"/>
    <col min="16" max="16" width="35.33203125" style="152" bestFit="1" customWidth="1"/>
    <col min="17" max="17" width="3.6640625" style="152" bestFit="1" customWidth="1"/>
    <col min="18" max="18" width="4.1640625" style="152" bestFit="1" customWidth="1"/>
    <col min="19" max="19" width="11" style="152" customWidth="1"/>
    <col min="20" max="20" width="30.1640625" style="152" bestFit="1" customWidth="1"/>
    <col min="21" max="21" width="15.83203125" style="152" bestFit="1" customWidth="1"/>
    <col min="22" max="22" width="19.1640625" style="152" bestFit="1" customWidth="1"/>
    <col min="23" max="23" width="40.6640625" style="152" bestFit="1" customWidth="1"/>
    <col min="24" max="24" width="44.83203125" style="152" bestFit="1" customWidth="1"/>
    <col min="25" max="25" width="11" style="152" customWidth="1"/>
    <col min="26" max="26" width="20.1640625" style="152" bestFit="1" customWidth="1"/>
    <col min="27" max="27" width="17.1640625" style="152" bestFit="1" customWidth="1"/>
    <col min="28" max="28" width="15.6640625" style="152" bestFit="1" customWidth="1"/>
    <col min="29" max="30" width="11" style="152" customWidth="1"/>
    <col min="31" max="31" width="15.1640625" style="152" bestFit="1" customWidth="1"/>
    <col min="32" max="32" width="18.1640625" style="152" bestFit="1" customWidth="1"/>
    <col min="33" max="33" width="14.33203125" style="152" bestFit="1" customWidth="1"/>
    <col min="34" max="34" width="18" style="152" bestFit="1" customWidth="1"/>
    <col min="35" max="37" width="11" style="152" customWidth="1"/>
    <col min="38" max="38" width="13.1640625" style="152" bestFit="1" customWidth="1"/>
    <col min="39" max="43" width="11" style="152" customWidth="1"/>
    <col min="44" max="44" width="39.1640625" style="152" bestFit="1" customWidth="1"/>
    <col min="45" max="45" width="13.5" style="152" bestFit="1" customWidth="1"/>
    <col min="46" max="46" width="13.1640625" style="152" bestFit="1" customWidth="1"/>
    <col min="47" max="47" width="29.6640625" style="152" bestFit="1" customWidth="1"/>
    <col min="48" max="48" width="15.1640625" style="152" bestFit="1" customWidth="1"/>
    <col min="49" max="49" width="11" style="152" customWidth="1"/>
    <col min="50" max="50" width="17.83203125" style="152" bestFit="1" customWidth="1"/>
    <col min="51" max="51" width="11" style="152" customWidth="1"/>
    <col min="52" max="52" width="14.1640625" style="152" bestFit="1" customWidth="1"/>
    <col min="53" max="53" width="17.6640625" style="152" bestFit="1" customWidth="1"/>
    <col min="54" max="54" width="23" style="152" bestFit="1" customWidth="1"/>
    <col min="55" max="55" width="13.1640625" style="157" bestFit="1" customWidth="1"/>
    <col min="56" max="56" width="11" style="157" customWidth="1"/>
    <col min="57" max="57" width="13.83203125" style="158" bestFit="1" customWidth="1"/>
    <col min="58" max="58" width="21.6640625" style="152" bestFit="1" customWidth="1"/>
    <col min="59" max="59" width="19.1640625" style="152" bestFit="1" customWidth="1"/>
    <col min="60" max="60" width="14.33203125" style="152" bestFit="1" customWidth="1"/>
    <col min="61" max="61" width="13.5" style="152" bestFit="1" customWidth="1"/>
    <col min="62" max="62" width="17.1640625" style="152" bestFit="1" customWidth="1"/>
    <col min="63" max="63" width="18.6640625" style="152" bestFit="1" customWidth="1"/>
    <col min="64" max="64" width="16.6640625" style="152" bestFit="1" customWidth="1"/>
    <col min="65" max="65" width="11" style="152" customWidth="1"/>
    <col min="66" max="66" width="19.6640625" style="157" bestFit="1" customWidth="1"/>
    <col min="67" max="67" width="11" style="152" customWidth="1"/>
    <col min="68" max="16384" width="11" style="152" hidden="1"/>
  </cols>
  <sheetData>
    <row r="1" spans="1:67" ht="15.75" customHeight="1" outlineLevel="1">
      <c r="A1" s="302" t="s">
        <v>752</v>
      </c>
      <c r="B1" s="302"/>
      <c r="C1" s="302"/>
      <c r="D1" s="302"/>
      <c r="E1" s="302"/>
      <c r="F1" s="302"/>
      <c r="G1" s="302"/>
      <c r="H1" s="302"/>
      <c r="I1" s="302"/>
      <c r="J1" s="302"/>
      <c r="K1" s="302"/>
      <c r="L1" s="302" t="s">
        <v>755</v>
      </c>
      <c r="M1" s="302"/>
      <c r="N1" s="302"/>
      <c r="O1" s="302"/>
      <c r="P1" s="302"/>
      <c r="Q1" s="302"/>
      <c r="R1" s="302"/>
      <c r="S1" s="302"/>
      <c r="T1" s="302"/>
      <c r="U1" s="302"/>
      <c r="V1" s="302" t="s">
        <v>756</v>
      </c>
      <c r="W1" s="302"/>
      <c r="X1" s="302"/>
      <c r="Y1" s="302"/>
      <c r="Z1" s="302"/>
      <c r="AA1" s="302"/>
      <c r="AB1" s="302"/>
      <c r="AC1" s="302"/>
      <c r="AD1" s="302"/>
      <c r="AE1" s="302"/>
      <c r="AF1" s="302"/>
      <c r="AG1" s="302"/>
      <c r="AH1" s="302"/>
      <c r="AI1" s="302"/>
      <c r="AJ1" s="302"/>
      <c r="AK1" s="302" t="s">
        <v>770</v>
      </c>
      <c r="AL1" s="302"/>
      <c r="AM1" s="302"/>
      <c r="AN1" s="302"/>
      <c r="AO1" s="302"/>
      <c r="AP1" s="302"/>
      <c r="AQ1" s="302"/>
      <c r="AR1" s="302"/>
      <c r="AS1" s="302"/>
      <c r="AT1" s="302"/>
      <c r="AU1" s="302"/>
      <c r="AV1" s="302"/>
      <c r="AW1" s="302"/>
      <c r="AX1" s="302"/>
      <c r="AY1" s="302"/>
      <c r="AZ1" s="302"/>
      <c r="BA1" s="302" t="s">
        <v>786</v>
      </c>
      <c r="BB1" s="302"/>
      <c r="BC1" s="302"/>
      <c r="BD1" s="302"/>
      <c r="BE1" s="302"/>
      <c r="BF1" s="301" t="s">
        <v>756</v>
      </c>
      <c r="BG1" s="301"/>
      <c r="BH1" s="301"/>
      <c r="BI1" s="301"/>
      <c r="BJ1" s="301"/>
      <c r="BK1" s="301"/>
      <c r="BL1" s="301"/>
      <c r="BM1" s="301"/>
      <c r="BN1" s="301"/>
    </row>
    <row r="2" spans="1:67" s="153" customFormat="1" ht="16" outlineLevel="1">
      <c r="A2" s="153" t="s">
        <v>736</v>
      </c>
      <c r="B2" s="153" t="s">
        <v>737</v>
      </c>
      <c r="C2" s="153" t="s">
        <v>738</v>
      </c>
      <c r="D2" s="153" t="s">
        <v>739</v>
      </c>
      <c r="E2" s="153" t="s">
        <v>740</v>
      </c>
      <c r="F2" s="153" t="s">
        <v>741</v>
      </c>
      <c r="G2" s="153" t="s">
        <v>742</v>
      </c>
      <c r="H2" s="153" t="s">
        <v>743</v>
      </c>
      <c r="I2" s="153" t="s">
        <v>744</v>
      </c>
      <c r="J2" s="153" t="s">
        <v>745</v>
      </c>
      <c r="K2" s="153" t="s">
        <v>746</v>
      </c>
      <c r="L2" s="153" t="s">
        <v>747</v>
      </c>
      <c r="M2" s="153" t="s">
        <v>748</v>
      </c>
      <c r="N2" s="153" t="s">
        <v>749</v>
      </c>
      <c r="O2" s="153" t="s">
        <v>750</v>
      </c>
      <c r="P2" s="153" t="s">
        <v>751</v>
      </c>
      <c r="Q2" s="153" t="s">
        <v>748</v>
      </c>
      <c r="R2" s="153" t="s">
        <v>749</v>
      </c>
      <c r="S2" s="153" t="s">
        <v>750</v>
      </c>
      <c r="T2" s="153" t="s">
        <v>753</v>
      </c>
      <c r="U2" s="153" t="s">
        <v>754</v>
      </c>
      <c r="V2" s="153" t="s">
        <v>757</v>
      </c>
      <c r="W2" s="153" t="s">
        <v>758</v>
      </c>
      <c r="X2" s="153" t="s">
        <v>759</v>
      </c>
      <c r="Y2" s="153" t="s">
        <v>760</v>
      </c>
      <c r="Z2" s="153" t="s">
        <v>761</v>
      </c>
      <c r="AA2" s="153" t="s">
        <v>762</v>
      </c>
      <c r="AB2" s="153" t="s">
        <v>763</v>
      </c>
      <c r="AC2" s="153" t="s">
        <v>764</v>
      </c>
      <c r="AD2" s="153" t="s">
        <v>765</v>
      </c>
      <c r="AE2" s="153" t="s">
        <v>766</v>
      </c>
      <c r="AF2" s="153" t="s">
        <v>767</v>
      </c>
      <c r="AG2" s="153" t="s">
        <v>768</v>
      </c>
      <c r="AH2" s="153" t="s">
        <v>769</v>
      </c>
      <c r="AI2" s="153" t="s">
        <v>107</v>
      </c>
      <c r="AJ2" s="153" t="s">
        <v>108</v>
      </c>
      <c r="AK2" s="153" t="s">
        <v>771</v>
      </c>
      <c r="AL2" s="153" t="s">
        <v>772</v>
      </c>
      <c r="AM2" s="153" t="s">
        <v>773</v>
      </c>
      <c r="AN2" s="153" t="s">
        <v>774</v>
      </c>
      <c r="AO2" s="153" t="s">
        <v>775</v>
      </c>
      <c r="AP2" s="153" t="s">
        <v>776</v>
      </c>
      <c r="AQ2" s="153" t="s">
        <v>777</v>
      </c>
      <c r="AR2" s="153" t="s">
        <v>778</v>
      </c>
      <c r="AS2" s="153" t="s">
        <v>779</v>
      </c>
      <c r="AT2" s="153" t="s">
        <v>737</v>
      </c>
      <c r="AU2" s="153" t="s">
        <v>738</v>
      </c>
      <c r="AV2" s="153" t="s">
        <v>780</v>
      </c>
      <c r="AW2" s="153" t="s">
        <v>781</v>
      </c>
      <c r="AX2" s="153" t="s">
        <v>782</v>
      </c>
      <c r="AY2" s="153" t="s">
        <v>781</v>
      </c>
      <c r="AZ2" s="153" t="s">
        <v>783</v>
      </c>
      <c r="BA2" s="153" t="s">
        <v>735</v>
      </c>
      <c r="BB2" s="153" t="s">
        <v>787</v>
      </c>
      <c r="BC2" s="154" t="s">
        <v>784</v>
      </c>
      <c r="BD2" s="154" t="s">
        <v>785</v>
      </c>
      <c r="BE2" s="155" t="s">
        <v>733</v>
      </c>
      <c r="BF2" s="156" t="s">
        <v>794</v>
      </c>
      <c r="BG2" s="156" t="s">
        <v>788</v>
      </c>
      <c r="BH2" s="156" t="s">
        <v>789</v>
      </c>
      <c r="BI2" s="156" t="s">
        <v>790</v>
      </c>
      <c r="BJ2" s="156" t="s">
        <v>791</v>
      </c>
      <c r="BK2" s="156" t="s">
        <v>792</v>
      </c>
      <c r="BL2" s="156" t="s">
        <v>793</v>
      </c>
      <c r="BM2" s="156" t="s">
        <v>781</v>
      </c>
      <c r="BN2" s="171" t="s">
        <v>1606</v>
      </c>
      <c r="BO2" s="156"/>
    </row>
    <row r="3" spans="1:67" outlineLevel="1">
      <c r="A3" s="152" t="s">
        <v>795</v>
      </c>
      <c r="B3" s="152" t="s">
        <v>796</v>
      </c>
      <c r="C3" s="152" t="s">
        <v>797</v>
      </c>
      <c r="D3" s="152" t="s">
        <v>798</v>
      </c>
      <c r="AT3" s="152" t="str">
        <f t="shared" ref="AT3:AT20" si="0">B3</f>
        <v>RPA9-290818</v>
      </c>
      <c r="AU3" s="152" t="str">
        <f t="shared" ref="AU3:AU20" si="1">C3</f>
        <v>CHARLY GABRIEL AJANEL VICENTE</v>
      </c>
      <c r="BA3" s="152" t="str">
        <f t="shared" ref="BA3:BA41" si="2">A3</f>
        <v>L20-085-MP020</v>
      </c>
    </row>
    <row r="4" spans="1:67" outlineLevel="1">
      <c r="A4" s="152" t="s">
        <v>799</v>
      </c>
      <c r="B4" s="152" t="s">
        <v>800</v>
      </c>
      <c r="C4" s="152" t="s">
        <v>801</v>
      </c>
      <c r="D4" s="152" t="s">
        <v>802</v>
      </c>
      <c r="AT4" s="152" t="str">
        <f t="shared" si="0"/>
        <v>RPNB1-050720</v>
      </c>
      <c r="AU4" s="152" t="str">
        <f t="shared" si="1"/>
        <v>MARVIN ADOLFO BAUTISTA CITA</v>
      </c>
      <c r="BA4" s="152" t="str">
        <f t="shared" si="2"/>
        <v>L20-279-MP090</v>
      </c>
    </row>
    <row r="5" spans="1:67" outlineLevel="1">
      <c r="A5" s="152" t="s">
        <v>803</v>
      </c>
      <c r="B5" s="152" t="s">
        <v>804</v>
      </c>
      <c r="C5" s="152" t="s">
        <v>805</v>
      </c>
      <c r="D5" s="152" t="s">
        <v>806</v>
      </c>
      <c r="AT5" s="152" t="str">
        <f t="shared" si="0"/>
        <v>RPC9-240818</v>
      </c>
      <c r="AU5" s="152" t="str">
        <f t="shared" si="1"/>
        <v>EDWIN ADOLFO CACERES ARA</v>
      </c>
      <c r="BA5" s="152" t="str">
        <f t="shared" si="2"/>
        <v>L20-084-MP094</v>
      </c>
    </row>
    <row r="6" spans="1:67" outlineLevel="1">
      <c r="A6" s="152" t="s">
        <v>807</v>
      </c>
      <c r="B6" s="152" t="s">
        <v>808</v>
      </c>
      <c r="C6" s="152" t="s">
        <v>809</v>
      </c>
      <c r="D6" s="152" t="s">
        <v>810</v>
      </c>
      <c r="AT6" s="152" t="str">
        <f t="shared" si="0"/>
        <v>RPNAR-061119</v>
      </c>
      <c r="AU6" s="152" t="str">
        <f t="shared" si="1"/>
        <v>JOSE ARTURO ACABAL MARIN</v>
      </c>
      <c r="BA6" s="152" t="str">
        <f t="shared" si="2"/>
        <v>L20-089-MP093</v>
      </c>
    </row>
    <row r="7" spans="1:67" outlineLevel="1">
      <c r="A7" s="152" t="s">
        <v>811</v>
      </c>
      <c r="B7" s="152" t="s">
        <v>812</v>
      </c>
      <c r="C7" s="152" t="s">
        <v>813</v>
      </c>
      <c r="D7" s="152" t="s">
        <v>814</v>
      </c>
      <c r="AT7" s="152" t="str">
        <f t="shared" si="0"/>
        <v>RPNA5-121119</v>
      </c>
      <c r="AU7" s="152" t="str">
        <f t="shared" si="1"/>
        <v>AIDA YOLANDA COYOY GARCIA</v>
      </c>
      <c r="BA7" s="152" t="str">
        <f t="shared" si="2"/>
        <v>L20-169-WV001</v>
      </c>
    </row>
    <row r="8" spans="1:67" outlineLevel="1">
      <c r="A8" s="152" t="s">
        <v>815</v>
      </c>
      <c r="B8" s="152" t="s">
        <v>816</v>
      </c>
      <c r="C8" s="152" t="s">
        <v>817</v>
      </c>
      <c r="D8" s="152" t="s">
        <v>818</v>
      </c>
      <c r="AT8" s="152" t="str">
        <f t="shared" si="0"/>
        <v>RPNM11-020120</v>
      </c>
      <c r="AU8" s="152" t="str">
        <f t="shared" si="1"/>
        <v>LUCAS MORALES LOPEZ</v>
      </c>
      <c r="BA8" s="152" t="str">
        <f t="shared" si="2"/>
        <v>L20-261-MP023</v>
      </c>
    </row>
    <row r="9" spans="1:67">
      <c r="A9" s="152" t="s">
        <v>819</v>
      </c>
      <c r="B9" s="152" t="s">
        <v>820</v>
      </c>
      <c r="C9" s="152" t="s">
        <v>821</v>
      </c>
      <c r="D9" s="152" t="s">
        <v>822</v>
      </c>
      <c r="AT9" s="152" t="str">
        <f t="shared" si="0"/>
        <v>RPV1-060319</v>
      </c>
      <c r="AU9" s="152" t="str">
        <f t="shared" si="1"/>
        <v>ORLANDO VINICIO VICENTE SOCH</v>
      </c>
      <c r="BA9" s="152" t="str">
        <f t="shared" si="2"/>
        <v>L19-688-MP101</v>
      </c>
    </row>
    <row r="10" spans="1:67">
      <c r="A10" s="152" t="s">
        <v>823</v>
      </c>
      <c r="B10" s="152" t="s">
        <v>824</v>
      </c>
      <c r="C10" s="152" t="s">
        <v>825</v>
      </c>
      <c r="D10" s="152" t="s">
        <v>826</v>
      </c>
      <c r="AT10" s="152" t="str">
        <f t="shared" si="0"/>
        <v>VUG7-030619</v>
      </c>
      <c r="AU10" s="152" t="str">
        <f t="shared" si="1"/>
        <v>CAMILO GUINAC MORALES</v>
      </c>
      <c r="BA10" s="152" t="str">
        <f t="shared" si="2"/>
        <v>L20-268-MP017</v>
      </c>
    </row>
    <row r="11" spans="1:67">
      <c r="A11" s="152" t="s">
        <v>827</v>
      </c>
      <c r="B11" s="152" t="s">
        <v>828</v>
      </c>
      <c r="C11" s="152" t="s">
        <v>825</v>
      </c>
      <c r="D11" s="152" t="s">
        <v>826</v>
      </c>
      <c r="AT11" s="152" t="str">
        <f t="shared" si="0"/>
        <v>RPG7-120619</v>
      </c>
      <c r="AU11" s="152" t="str">
        <f t="shared" si="1"/>
        <v>CAMILO GUINAC MORALES</v>
      </c>
      <c r="BA11" s="152" t="str">
        <f t="shared" si="2"/>
        <v>L19-701-MP077</v>
      </c>
    </row>
    <row r="12" spans="1:67">
      <c r="A12" s="152" t="s">
        <v>829</v>
      </c>
      <c r="B12" s="152" t="s">
        <v>830</v>
      </c>
      <c r="C12" s="152" t="s">
        <v>831</v>
      </c>
      <c r="D12" s="152" t="s">
        <v>832</v>
      </c>
      <c r="AT12" s="152" t="str">
        <f t="shared" si="0"/>
        <v>F11-03-0617</v>
      </c>
      <c r="AU12" s="152" t="str">
        <f t="shared" si="1"/>
        <v>FONSAGRADA S.A.</v>
      </c>
      <c r="BA12" s="152" t="str">
        <f t="shared" si="2"/>
        <v>L20-236-P127</v>
      </c>
    </row>
    <row r="13" spans="1:67">
      <c r="A13" s="152" t="s">
        <v>833</v>
      </c>
      <c r="B13" s="152" t="s">
        <v>834</v>
      </c>
      <c r="C13" s="152" t="s">
        <v>831</v>
      </c>
      <c r="D13" s="152" t="s">
        <v>835</v>
      </c>
      <c r="AT13" s="152" t="str">
        <f t="shared" si="0"/>
        <v>F11-01-0617</v>
      </c>
      <c r="AU13" s="152" t="str">
        <f t="shared" si="1"/>
        <v>FONSAGRADA S.A.</v>
      </c>
      <c r="BA13" s="152" t="str">
        <f t="shared" si="2"/>
        <v>L20-235-P129</v>
      </c>
    </row>
    <row r="14" spans="1:67">
      <c r="A14" s="152" t="s">
        <v>836</v>
      </c>
      <c r="B14" s="152" t="s">
        <v>837</v>
      </c>
      <c r="C14" s="152" t="s">
        <v>838</v>
      </c>
      <c r="D14" s="152" t="s">
        <v>839</v>
      </c>
      <c r="AT14" s="152" t="str">
        <f t="shared" si="0"/>
        <v>VUNF9-140820</v>
      </c>
      <c r="AU14" s="152" t="str">
        <f t="shared" si="1"/>
        <v>FAWO, SOCIEDAD ANONIMA</v>
      </c>
      <c r="BA14" s="152" t="str">
        <f t="shared" si="2"/>
        <v>L20-281-MP027</v>
      </c>
    </row>
    <row r="15" spans="1:67">
      <c r="A15" s="152" t="s">
        <v>840</v>
      </c>
      <c r="B15" s="152" t="s">
        <v>841</v>
      </c>
      <c r="C15" s="152" t="s">
        <v>842</v>
      </c>
      <c r="D15" s="152" t="s">
        <v>843</v>
      </c>
      <c r="AT15" s="152" t="str">
        <f t="shared" si="0"/>
        <v>RPL8-080319</v>
      </c>
      <c r="AU15" s="152" t="str">
        <f t="shared" si="1"/>
        <v>PAULINA LOPEZ MORALES Y CDÑO</v>
      </c>
      <c r="BA15" s="152" t="str">
        <f t="shared" si="2"/>
        <v>L19-419-WV033</v>
      </c>
    </row>
    <row r="16" spans="1:67">
      <c r="A16" s="152" t="s">
        <v>844</v>
      </c>
      <c r="B16" s="152" t="s">
        <v>845</v>
      </c>
      <c r="C16" s="152" t="s">
        <v>846</v>
      </c>
      <c r="D16" s="152" t="s">
        <v>847</v>
      </c>
      <c r="AT16" s="152" t="str">
        <f t="shared" si="0"/>
        <v>RPNG9-070120</v>
      </c>
      <c r="AU16" s="152" t="str">
        <f t="shared" si="1"/>
        <v>ADALBERTO GARCIA MONTERROSO</v>
      </c>
      <c r="BA16" s="152" t="str">
        <f t="shared" si="2"/>
        <v>L20-405-WV051</v>
      </c>
    </row>
    <row r="17" spans="1:65">
      <c r="A17" s="152" t="s">
        <v>848</v>
      </c>
      <c r="B17" s="152" t="s">
        <v>849</v>
      </c>
      <c r="C17" s="152" t="s">
        <v>850</v>
      </c>
      <c r="D17" s="152" t="s">
        <v>851</v>
      </c>
      <c r="AT17" s="152" t="str">
        <f t="shared" si="0"/>
        <v>RPNT6-030120</v>
      </c>
      <c r="AU17" s="152" t="str">
        <f t="shared" si="1"/>
        <v>ELIAS TUM CASTRO</v>
      </c>
      <c r="BA17" s="152" t="str">
        <f t="shared" si="2"/>
        <v>L20-228-WV038</v>
      </c>
    </row>
    <row r="18" spans="1:65">
      <c r="A18" s="152" t="s">
        <v>852</v>
      </c>
      <c r="B18" s="152" t="s">
        <v>853</v>
      </c>
      <c r="C18" s="152" t="s">
        <v>854</v>
      </c>
      <c r="D18" s="152" t="s">
        <v>855</v>
      </c>
      <c r="E18" s="152" t="s">
        <v>855</v>
      </c>
      <c r="F18" s="152">
        <v>95970</v>
      </c>
      <c r="G18" s="152">
        <v>130</v>
      </c>
      <c r="H18" s="152">
        <v>383</v>
      </c>
      <c r="I18" s="152">
        <v>199623</v>
      </c>
      <c r="J18" s="152">
        <v>109</v>
      </c>
      <c r="K18" s="152">
        <v>87026</v>
      </c>
      <c r="L18" s="159" t="s">
        <v>856</v>
      </c>
      <c r="O18" s="159" t="s">
        <v>856</v>
      </c>
      <c r="P18" s="159" t="s">
        <v>856</v>
      </c>
      <c r="S18" s="159" t="s">
        <v>856</v>
      </c>
      <c r="T18" s="159" t="s">
        <v>856</v>
      </c>
      <c r="U18" s="159" t="s">
        <v>856</v>
      </c>
      <c r="V18" s="152" t="s">
        <v>857</v>
      </c>
      <c r="W18" s="152" t="s">
        <v>860</v>
      </c>
      <c r="X18" s="152" t="s">
        <v>859</v>
      </c>
      <c r="Y18" s="152">
        <v>0</v>
      </c>
      <c r="Z18" s="152">
        <v>1</v>
      </c>
      <c r="AA18" s="152" t="s">
        <v>92</v>
      </c>
      <c r="AB18" s="152">
        <v>36</v>
      </c>
      <c r="AC18" s="152">
        <v>1</v>
      </c>
      <c r="AD18" s="152" t="s">
        <v>861</v>
      </c>
      <c r="AE18" s="152">
        <v>36</v>
      </c>
      <c r="AF18" s="152">
        <v>0</v>
      </c>
      <c r="AG18" s="152" t="s">
        <v>861</v>
      </c>
      <c r="AH18" s="152" t="s">
        <v>861</v>
      </c>
      <c r="AI18" s="152" t="s">
        <v>92</v>
      </c>
      <c r="AJ18" s="152" t="s">
        <v>92</v>
      </c>
      <c r="AK18" s="152" t="s">
        <v>862</v>
      </c>
      <c r="AL18" s="159" t="s">
        <v>856</v>
      </c>
      <c r="AP18" s="159" t="s">
        <v>856</v>
      </c>
      <c r="AQ18" s="159" t="s">
        <v>856</v>
      </c>
      <c r="AR18" s="152" t="s">
        <v>863</v>
      </c>
      <c r="AS18" s="159" t="s">
        <v>865</v>
      </c>
      <c r="AT18" s="152" t="str">
        <f t="shared" si="0"/>
        <v>RPH6-100618</v>
      </c>
      <c r="AU18" s="152" t="str">
        <f t="shared" si="1"/>
        <v>MARIA FLORINDA HERNANDEZ LOPEZ</v>
      </c>
      <c r="AV18" s="152">
        <v>151.19999999999999</v>
      </c>
      <c r="AW18" s="152">
        <v>667872</v>
      </c>
      <c r="AX18" s="159" t="s">
        <v>856</v>
      </c>
      <c r="AY18" s="159" t="s">
        <v>856</v>
      </c>
      <c r="AZ18" s="152" t="s">
        <v>864</v>
      </c>
      <c r="BA18" s="152" t="str">
        <f t="shared" si="2"/>
        <v>L18-967-MP098</v>
      </c>
      <c r="BB18" s="152">
        <v>0</v>
      </c>
      <c r="BC18" s="157">
        <v>43301</v>
      </c>
      <c r="BD18" s="157">
        <v>43301</v>
      </c>
      <c r="BE18" s="158">
        <v>36000</v>
      </c>
      <c r="BF18" s="152" t="s">
        <v>886</v>
      </c>
    </row>
    <row r="19" spans="1:65">
      <c r="A19" s="152" t="s">
        <v>866</v>
      </c>
      <c r="B19" s="152" t="s">
        <v>867</v>
      </c>
      <c r="C19" s="152" t="s">
        <v>868</v>
      </c>
      <c r="D19" s="152" t="s">
        <v>869</v>
      </c>
      <c r="E19" s="152" t="s">
        <v>869</v>
      </c>
      <c r="F19" s="152">
        <v>8966</v>
      </c>
      <c r="G19" s="152">
        <v>466</v>
      </c>
      <c r="H19" s="152" t="s">
        <v>870</v>
      </c>
      <c r="I19" s="152">
        <v>199401</v>
      </c>
      <c r="J19" s="152">
        <v>119.59</v>
      </c>
      <c r="K19" s="152">
        <v>86832</v>
      </c>
      <c r="L19" s="159" t="s">
        <v>856</v>
      </c>
      <c r="O19" s="159" t="s">
        <v>856</v>
      </c>
      <c r="P19" s="159" t="s">
        <v>856</v>
      </c>
      <c r="S19" s="159" t="s">
        <v>856</v>
      </c>
      <c r="T19" s="159" t="s">
        <v>856</v>
      </c>
      <c r="U19" s="159" t="s">
        <v>856</v>
      </c>
      <c r="V19" s="152" t="s">
        <v>857</v>
      </c>
      <c r="W19" s="152" t="s">
        <v>858</v>
      </c>
      <c r="X19" s="152" t="s">
        <v>871</v>
      </c>
      <c r="Y19" s="152">
        <v>10.35</v>
      </c>
      <c r="Z19" s="152">
        <v>1</v>
      </c>
      <c r="AA19" s="152" t="s">
        <v>92</v>
      </c>
      <c r="AB19" s="152">
        <v>214.58</v>
      </c>
      <c r="AC19" s="152">
        <v>2</v>
      </c>
      <c r="AD19" s="152" t="s">
        <v>861</v>
      </c>
      <c r="AE19" s="152">
        <v>214.58</v>
      </c>
      <c r="AF19" s="152">
        <v>0</v>
      </c>
      <c r="AG19" s="152" t="s">
        <v>861</v>
      </c>
      <c r="AH19" s="152" t="s">
        <v>861</v>
      </c>
      <c r="AI19" s="152" t="s">
        <v>92</v>
      </c>
      <c r="AJ19" s="152" t="s">
        <v>92</v>
      </c>
      <c r="AK19" s="152" t="s">
        <v>872</v>
      </c>
      <c r="AL19" s="159" t="s">
        <v>856</v>
      </c>
      <c r="AP19" s="159" t="s">
        <v>856</v>
      </c>
      <c r="AQ19" s="159" t="s">
        <v>856</v>
      </c>
      <c r="AR19" s="152" t="s">
        <v>873</v>
      </c>
      <c r="AS19" s="159" t="s">
        <v>865</v>
      </c>
      <c r="AT19" s="152" t="str">
        <f t="shared" si="0"/>
        <v>RPV9-210818</v>
      </c>
      <c r="AU19" s="152" t="str">
        <f t="shared" si="1"/>
        <v>SUCELI ANGELINA VICENTE ORDOÑEZ</v>
      </c>
      <c r="AV19" s="152">
        <v>2723.99</v>
      </c>
      <c r="AW19" s="152">
        <v>825239</v>
      </c>
      <c r="AX19" s="152">
        <v>196</v>
      </c>
      <c r="AY19" s="152">
        <v>825240</v>
      </c>
      <c r="AZ19" s="152" t="s">
        <v>864</v>
      </c>
      <c r="BA19" s="152" t="str">
        <f t="shared" si="2"/>
        <v>L20-082-MP022</v>
      </c>
      <c r="BB19" s="152">
        <v>0</v>
      </c>
      <c r="BC19" s="157">
        <v>43851</v>
      </c>
      <c r="BD19" s="157">
        <v>43851</v>
      </c>
      <c r="BE19" s="158">
        <v>540072.5</v>
      </c>
      <c r="BF19" s="152" t="s">
        <v>874</v>
      </c>
      <c r="BG19" s="152" t="s">
        <v>875</v>
      </c>
      <c r="BH19" s="152">
        <v>214.58</v>
      </c>
      <c r="BI19" s="152">
        <v>0</v>
      </c>
      <c r="BJ19" s="152">
        <v>0</v>
      </c>
      <c r="BK19" s="152" t="s">
        <v>132</v>
      </c>
      <c r="BL19" s="152">
        <v>214.58</v>
      </c>
      <c r="BM19" s="152">
        <v>826185</v>
      </c>
    </row>
    <row r="20" spans="1:65">
      <c r="A20" s="152" t="s">
        <v>877</v>
      </c>
      <c r="B20" s="152" t="s">
        <v>878</v>
      </c>
      <c r="C20" s="152" t="s">
        <v>879</v>
      </c>
      <c r="D20" s="152" t="s">
        <v>880</v>
      </c>
      <c r="E20" s="152" t="s">
        <v>880</v>
      </c>
      <c r="F20" s="152">
        <v>646</v>
      </c>
      <c r="G20" s="152">
        <v>146</v>
      </c>
      <c r="H20" s="152" t="s">
        <v>881</v>
      </c>
      <c r="I20" s="152">
        <v>199741</v>
      </c>
      <c r="J20" s="152">
        <v>193.1</v>
      </c>
      <c r="K20" s="152">
        <v>87108</v>
      </c>
      <c r="L20" s="159" t="s">
        <v>856</v>
      </c>
      <c r="O20" s="159" t="s">
        <v>856</v>
      </c>
      <c r="P20" s="159" t="s">
        <v>856</v>
      </c>
      <c r="S20" s="159" t="s">
        <v>856</v>
      </c>
      <c r="T20" s="159" t="s">
        <v>856</v>
      </c>
      <c r="U20" s="159" t="s">
        <v>856</v>
      </c>
      <c r="V20" s="152" t="s">
        <v>857</v>
      </c>
      <c r="W20" s="152" t="s">
        <v>858</v>
      </c>
      <c r="X20" s="152" t="s">
        <v>882</v>
      </c>
      <c r="Y20" s="152">
        <v>0</v>
      </c>
      <c r="Z20" s="152">
        <v>1</v>
      </c>
      <c r="AA20" s="152" t="s">
        <v>883</v>
      </c>
      <c r="AB20" s="152">
        <v>116.62</v>
      </c>
      <c r="AC20" s="152">
        <v>1</v>
      </c>
      <c r="AD20" s="152" t="s">
        <v>861</v>
      </c>
      <c r="AE20" s="152">
        <v>116.62</v>
      </c>
      <c r="AF20" s="152">
        <v>0</v>
      </c>
      <c r="AG20" s="152">
        <v>38.729999999999997</v>
      </c>
      <c r="AH20" s="152" t="s">
        <v>861</v>
      </c>
      <c r="AI20" s="152" t="s">
        <v>92</v>
      </c>
      <c r="AJ20" s="152" t="s">
        <v>92</v>
      </c>
      <c r="AK20" s="152" t="s">
        <v>884</v>
      </c>
      <c r="AL20" s="159" t="s">
        <v>856</v>
      </c>
      <c r="AP20" s="159" t="s">
        <v>856</v>
      </c>
      <c r="AQ20" s="159" t="s">
        <v>856</v>
      </c>
      <c r="AR20" s="152" t="s">
        <v>885</v>
      </c>
      <c r="AS20" s="159" t="s">
        <v>865</v>
      </c>
      <c r="AT20" s="152" t="str">
        <f t="shared" si="0"/>
        <v>RPNJ7-070620</v>
      </c>
      <c r="AU20" s="152" t="str">
        <f t="shared" si="1"/>
        <v>LUIS DAVID JUANTA GOMEZ</v>
      </c>
      <c r="AV20" s="152">
        <v>1175.53</v>
      </c>
      <c r="AW20" s="152">
        <v>835941</v>
      </c>
      <c r="AX20" s="152">
        <v>52.4</v>
      </c>
      <c r="AY20" s="152">
        <v>835942</v>
      </c>
      <c r="AZ20" s="152" t="s">
        <v>864</v>
      </c>
      <c r="BA20" s="152" t="str">
        <f t="shared" si="2"/>
        <v>L20-388-MP049</v>
      </c>
      <c r="BB20" s="152">
        <v>0</v>
      </c>
      <c r="BC20" s="157">
        <v>44043</v>
      </c>
      <c r="BD20" s="157">
        <v>44043</v>
      </c>
      <c r="BE20" s="158">
        <v>233240</v>
      </c>
      <c r="BF20" s="152" t="s">
        <v>886</v>
      </c>
    </row>
    <row r="21" spans="1:65">
      <c r="A21" s="152" t="s">
        <v>887</v>
      </c>
      <c r="B21" s="152" t="s">
        <v>888</v>
      </c>
      <c r="C21" s="152" t="s">
        <v>889</v>
      </c>
      <c r="D21" s="152" t="s">
        <v>890</v>
      </c>
      <c r="E21" s="152" t="s">
        <v>890</v>
      </c>
      <c r="F21" s="152">
        <v>3656</v>
      </c>
      <c r="G21" s="152">
        <v>156</v>
      </c>
      <c r="H21" s="152" t="s">
        <v>891</v>
      </c>
      <c r="I21" s="152">
        <v>199456</v>
      </c>
      <c r="J21" s="152">
        <v>215.92</v>
      </c>
      <c r="K21" s="152">
        <v>86871</v>
      </c>
      <c r="L21" s="159" t="s">
        <v>856</v>
      </c>
      <c r="M21" s="152" t="s">
        <v>92</v>
      </c>
      <c r="N21" s="152" t="s">
        <v>92</v>
      </c>
      <c r="O21" s="159" t="s">
        <v>856</v>
      </c>
      <c r="P21" s="159" t="s">
        <v>856</v>
      </c>
      <c r="S21" s="159" t="s">
        <v>856</v>
      </c>
      <c r="T21" s="159" t="s">
        <v>856</v>
      </c>
      <c r="U21" s="159" t="s">
        <v>856</v>
      </c>
      <c r="V21" s="152" t="s">
        <v>857</v>
      </c>
      <c r="W21" s="152" t="s">
        <v>858</v>
      </c>
      <c r="X21" s="152" t="s">
        <v>882</v>
      </c>
      <c r="Y21" s="152">
        <v>0</v>
      </c>
      <c r="Z21" s="152">
        <v>1</v>
      </c>
      <c r="AA21" s="152" t="s">
        <v>92</v>
      </c>
      <c r="AB21" s="152">
        <v>152.28</v>
      </c>
      <c r="AC21" s="152">
        <v>2</v>
      </c>
      <c r="AD21" s="152" t="s">
        <v>861</v>
      </c>
      <c r="AE21" s="152">
        <v>152.28</v>
      </c>
      <c r="AF21" s="152">
        <v>0</v>
      </c>
      <c r="AG21" s="152">
        <v>139.78</v>
      </c>
      <c r="AH21" s="152" t="s">
        <v>861</v>
      </c>
      <c r="AI21" s="152" t="s">
        <v>92</v>
      </c>
      <c r="AJ21" s="152" t="s">
        <v>92</v>
      </c>
      <c r="AK21" s="152" t="s">
        <v>862</v>
      </c>
      <c r="AL21" s="159" t="s">
        <v>856</v>
      </c>
      <c r="AP21" s="159" t="s">
        <v>856</v>
      </c>
      <c r="AQ21" s="159" t="s">
        <v>856</v>
      </c>
      <c r="AR21" s="152" t="s">
        <v>892</v>
      </c>
      <c r="AS21" s="159" t="s">
        <v>865</v>
      </c>
      <c r="AT21" s="152" t="str">
        <f t="shared" ref="AT21:AT105" si="3">B21</f>
        <v>RPNP10-081119</v>
      </c>
      <c r="AU21" s="152" t="str">
        <f t="shared" ref="AU21:AU98" si="4">C21</f>
        <v>AURA DORA PEREZ GARCIA DE PEREZ</v>
      </c>
      <c r="AV21" s="152">
        <v>1918.73</v>
      </c>
      <c r="AW21" s="152">
        <v>824505</v>
      </c>
      <c r="AX21" s="159" t="s">
        <v>856</v>
      </c>
      <c r="AY21" s="159" t="s">
        <v>856</v>
      </c>
      <c r="AZ21" s="152" t="s">
        <v>864</v>
      </c>
      <c r="BA21" s="152" t="str">
        <f t="shared" si="2"/>
        <v>L20-091-MP019</v>
      </c>
      <c r="BB21" s="152">
        <v>0</v>
      </c>
      <c r="BC21" s="157">
        <v>43847</v>
      </c>
      <c r="BD21" s="157">
        <v>43847</v>
      </c>
      <c r="BE21" s="158">
        <v>380700</v>
      </c>
      <c r="BF21" s="152" t="s">
        <v>893</v>
      </c>
      <c r="BG21" s="152" t="s">
        <v>894</v>
      </c>
      <c r="BH21" s="152">
        <v>152.28</v>
      </c>
      <c r="BI21" s="152">
        <v>0</v>
      </c>
      <c r="BJ21" s="152">
        <v>0</v>
      </c>
      <c r="BK21" s="152" t="s">
        <v>132</v>
      </c>
      <c r="BL21" s="152">
        <v>152.28</v>
      </c>
      <c r="BM21" s="152">
        <v>827306</v>
      </c>
    </row>
    <row r="22" spans="1:65">
      <c r="A22" s="152" t="s">
        <v>895</v>
      </c>
      <c r="B22" s="152" t="s">
        <v>896</v>
      </c>
      <c r="C22" s="152" t="s">
        <v>897</v>
      </c>
      <c r="D22" s="152" t="s">
        <v>898</v>
      </c>
      <c r="E22" s="152" t="s">
        <v>899</v>
      </c>
      <c r="F22" s="152">
        <v>5480</v>
      </c>
      <c r="G22" s="152">
        <v>480</v>
      </c>
      <c r="H22" s="152" t="s">
        <v>900</v>
      </c>
      <c r="I22" s="152">
        <v>197656</v>
      </c>
      <c r="J22" s="152">
        <v>109.09</v>
      </c>
      <c r="K22" s="152">
        <v>85285</v>
      </c>
      <c r="L22" s="159" t="s">
        <v>901</v>
      </c>
      <c r="M22" s="152" t="s">
        <v>92</v>
      </c>
      <c r="N22" s="152" t="s">
        <v>883</v>
      </c>
      <c r="O22" s="159">
        <v>4347</v>
      </c>
      <c r="P22" s="159" t="s">
        <v>901</v>
      </c>
      <c r="R22" s="152" t="s">
        <v>883</v>
      </c>
      <c r="S22" s="159" t="s">
        <v>856</v>
      </c>
      <c r="T22" s="159" t="s">
        <v>856</v>
      </c>
      <c r="U22" s="159" t="s">
        <v>856</v>
      </c>
      <c r="V22" s="152" t="s">
        <v>857</v>
      </c>
      <c r="W22" s="152" t="s">
        <v>858</v>
      </c>
      <c r="X22" s="152" t="s">
        <v>902</v>
      </c>
      <c r="Y22" s="152">
        <v>31.64</v>
      </c>
      <c r="Z22" s="152">
        <v>1</v>
      </c>
      <c r="AA22" s="152" t="s">
        <v>92</v>
      </c>
      <c r="AB22" s="152">
        <v>183.9</v>
      </c>
      <c r="AC22" s="152">
        <v>2</v>
      </c>
      <c r="AD22" s="152" t="s">
        <v>861</v>
      </c>
      <c r="AE22" s="152">
        <v>183.9</v>
      </c>
      <c r="AF22" s="152">
        <v>0</v>
      </c>
      <c r="AG22" s="152" t="s">
        <v>861</v>
      </c>
      <c r="AH22" s="152" t="s">
        <v>861</v>
      </c>
      <c r="AI22" s="152" t="s">
        <v>92</v>
      </c>
      <c r="AJ22" s="152" t="s">
        <v>92</v>
      </c>
      <c r="AK22" s="152" t="s">
        <v>862</v>
      </c>
      <c r="AL22" s="159" t="s">
        <v>856</v>
      </c>
      <c r="AP22" s="159" t="s">
        <v>856</v>
      </c>
      <c r="AQ22" s="159" t="s">
        <v>856</v>
      </c>
      <c r="AR22" s="152" t="s">
        <v>863</v>
      </c>
      <c r="AS22" s="159" t="s">
        <v>865</v>
      </c>
      <c r="AT22" s="152" t="str">
        <f t="shared" si="3"/>
        <v>RPNS9-060320</v>
      </c>
      <c r="AU22" s="152" t="str">
        <f t="shared" si="4"/>
        <v>GILDA ANALI SOTO FELICIANO</v>
      </c>
      <c r="AV22" s="152">
        <v>2379.15</v>
      </c>
      <c r="AW22" s="152">
        <v>836035</v>
      </c>
      <c r="AX22" s="152">
        <v>25</v>
      </c>
      <c r="AY22" s="152">
        <v>836036</v>
      </c>
      <c r="AZ22" s="152" t="s">
        <v>864</v>
      </c>
      <c r="BA22" s="152" t="str">
        <f t="shared" si="2"/>
        <v>L20-313-WV040</v>
      </c>
      <c r="BB22" s="152">
        <v>0</v>
      </c>
      <c r="BC22" s="157">
        <v>44056</v>
      </c>
      <c r="BD22" s="157">
        <v>44056</v>
      </c>
      <c r="BE22" s="158">
        <v>470824</v>
      </c>
      <c r="BF22" s="152" t="s">
        <v>914</v>
      </c>
      <c r="BG22" s="152" t="s">
        <v>910</v>
      </c>
      <c r="BH22" s="152">
        <v>183.9</v>
      </c>
      <c r="BI22" s="152">
        <v>0</v>
      </c>
      <c r="BJ22" s="152">
        <v>0</v>
      </c>
      <c r="BK22" s="152" t="s">
        <v>132</v>
      </c>
      <c r="BL22" s="152">
        <v>183.9</v>
      </c>
      <c r="BM22" s="152">
        <v>852998</v>
      </c>
    </row>
    <row r="23" spans="1:65">
      <c r="A23" s="152" t="s">
        <v>903</v>
      </c>
      <c r="B23" s="152" t="s">
        <v>904</v>
      </c>
      <c r="C23" s="152" t="s">
        <v>905</v>
      </c>
      <c r="D23" s="152" t="s">
        <v>906</v>
      </c>
      <c r="E23" s="152" t="s">
        <v>907</v>
      </c>
      <c r="F23" s="152">
        <v>6775</v>
      </c>
      <c r="G23" s="152">
        <v>275</v>
      </c>
      <c r="H23" s="152" t="s">
        <v>908</v>
      </c>
      <c r="I23" s="152">
        <v>153755</v>
      </c>
      <c r="J23" s="152">
        <v>136</v>
      </c>
      <c r="K23" s="152">
        <v>59233</v>
      </c>
      <c r="L23" s="159" t="s">
        <v>909</v>
      </c>
      <c r="M23" s="152" t="s">
        <v>883</v>
      </c>
      <c r="N23" s="152" t="s">
        <v>92</v>
      </c>
      <c r="O23" s="159">
        <v>8676</v>
      </c>
      <c r="P23" s="159" t="s">
        <v>909</v>
      </c>
      <c r="Q23" s="152" t="s">
        <v>883</v>
      </c>
      <c r="S23" s="159">
        <v>8676</v>
      </c>
      <c r="T23" s="159" t="s">
        <v>922</v>
      </c>
      <c r="U23" s="159" t="s">
        <v>923</v>
      </c>
      <c r="V23" s="152" t="s">
        <v>911</v>
      </c>
      <c r="W23" s="152" t="s">
        <v>858</v>
      </c>
      <c r="X23" s="152" t="s">
        <v>871</v>
      </c>
      <c r="Y23" s="152">
        <v>119.81</v>
      </c>
      <c r="Z23" s="152">
        <v>2</v>
      </c>
      <c r="AA23" s="152" t="s">
        <v>92</v>
      </c>
      <c r="AB23" s="152">
        <v>118.88</v>
      </c>
      <c r="AC23" s="152">
        <v>2</v>
      </c>
      <c r="AD23" s="152" t="s">
        <v>861</v>
      </c>
      <c r="AE23" s="152">
        <v>118.88</v>
      </c>
      <c r="AF23" s="152">
        <v>0</v>
      </c>
      <c r="AG23" s="152">
        <v>49.09</v>
      </c>
      <c r="AH23" s="152" t="s">
        <v>861</v>
      </c>
      <c r="AI23" s="152" t="s">
        <v>92</v>
      </c>
      <c r="AJ23" s="152" t="s">
        <v>92</v>
      </c>
      <c r="AK23" s="152" t="s">
        <v>912</v>
      </c>
      <c r="AL23" s="159" t="s">
        <v>856</v>
      </c>
      <c r="AP23" s="159" t="s">
        <v>856</v>
      </c>
      <c r="AQ23" s="159" t="s">
        <v>856</v>
      </c>
      <c r="AR23" s="152" t="s">
        <v>885</v>
      </c>
      <c r="AS23" s="159" t="s">
        <v>865</v>
      </c>
      <c r="AT23" s="152" t="str">
        <f t="shared" si="3"/>
        <v>VUNC6-020720</v>
      </c>
      <c r="AU23" s="152" t="str">
        <f t="shared" si="4"/>
        <v>MERLY MAGALY CARRILLO DE LEON</v>
      </c>
      <c r="AV23" s="152">
        <v>1875.27</v>
      </c>
      <c r="AW23" s="152">
        <v>855104</v>
      </c>
      <c r="AX23" s="152">
        <v>40</v>
      </c>
      <c r="AY23" s="152">
        <v>855106</v>
      </c>
      <c r="AZ23" s="152" t="s">
        <v>864</v>
      </c>
      <c r="BA23" s="152" t="str">
        <f t="shared" si="2"/>
        <v>L20-328-MP034</v>
      </c>
      <c r="BB23" s="152">
        <v>24</v>
      </c>
      <c r="BC23" s="157">
        <v>44106</v>
      </c>
      <c r="BD23" s="157">
        <v>44471</v>
      </c>
      <c r="BE23" s="158">
        <v>343883.75</v>
      </c>
      <c r="BF23" s="152" t="s">
        <v>913</v>
      </c>
      <c r="BG23" s="152" t="s">
        <v>915</v>
      </c>
      <c r="BH23" s="152">
        <v>118.88</v>
      </c>
      <c r="BI23" s="152">
        <v>0</v>
      </c>
      <c r="BJ23" s="152">
        <v>0</v>
      </c>
      <c r="BK23" s="152" t="s">
        <v>132</v>
      </c>
      <c r="BL23" s="152">
        <v>118.88</v>
      </c>
      <c r="BM23" s="152">
        <v>855105</v>
      </c>
    </row>
    <row r="24" spans="1:65">
      <c r="A24" s="152" t="s">
        <v>916</v>
      </c>
      <c r="B24" s="152" t="s">
        <v>917</v>
      </c>
      <c r="C24" s="152" t="s">
        <v>918</v>
      </c>
      <c r="D24" s="152" t="s">
        <v>919</v>
      </c>
      <c r="E24" s="152" t="s">
        <v>919</v>
      </c>
      <c r="F24" s="152">
        <v>1371</v>
      </c>
      <c r="G24" s="152">
        <v>371</v>
      </c>
      <c r="H24" s="152" t="s">
        <v>920</v>
      </c>
      <c r="I24" s="152">
        <v>199290</v>
      </c>
      <c r="J24" s="152">
        <v>128</v>
      </c>
      <c r="K24" s="152">
        <v>86737</v>
      </c>
      <c r="L24" s="159" t="s">
        <v>921</v>
      </c>
      <c r="M24" s="152" t="s">
        <v>92</v>
      </c>
      <c r="N24" s="152" t="s">
        <v>883</v>
      </c>
      <c r="O24" s="159">
        <v>4380</v>
      </c>
      <c r="P24" s="159" t="s">
        <v>921</v>
      </c>
      <c r="R24" s="152" t="s">
        <v>883</v>
      </c>
      <c r="S24" s="159">
        <v>4380</v>
      </c>
      <c r="T24" s="159" t="s">
        <v>856</v>
      </c>
      <c r="U24" s="159" t="s">
        <v>856</v>
      </c>
      <c r="V24" s="152" t="s">
        <v>857</v>
      </c>
      <c r="W24" s="152" t="s">
        <v>858</v>
      </c>
      <c r="X24" s="152" t="s">
        <v>882</v>
      </c>
      <c r="Y24" s="152">
        <v>53.46</v>
      </c>
      <c r="Z24" s="152">
        <v>1</v>
      </c>
      <c r="AA24" s="152" t="s">
        <v>92</v>
      </c>
      <c r="AB24" s="152">
        <v>142.52000000000001</v>
      </c>
      <c r="AC24" s="152">
        <v>2</v>
      </c>
      <c r="AD24" s="152" t="s">
        <v>861</v>
      </c>
      <c r="AE24" s="152">
        <v>142.52000000000001</v>
      </c>
      <c r="AF24" s="152">
        <v>0</v>
      </c>
      <c r="AG24" s="152">
        <v>51.17</v>
      </c>
      <c r="AH24" s="152" t="s">
        <v>861</v>
      </c>
      <c r="AI24" s="152" t="s">
        <v>92</v>
      </c>
      <c r="AJ24" s="152" t="s">
        <v>92</v>
      </c>
      <c r="AK24" s="152" t="s">
        <v>862</v>
      </c>
      <c r="AL24" s="159" t="s">
        <v>856</v>
      </c>
      <c r="AP24" s="159" t="s">
        <v>856</v>
      </c>
      <c r="AQ24" s="159" t="s">
        <v>856</v>
      </c>
      <c r="AR24" s="152" t="s">
        <v>873</v>
      </c>
      <c r="AS24" s="159" t="s">
        <v>865</v>
      </c>
      <c r="AT24" s="152" t="str">
        <f t="shared" si="3"/>
        <v>VUNC5-040520</v>
      </c>
      <c r="AU24" s="152" t="str">
        <f t="shared" si="4"/>
        <v>CLAUDIA CAROLINA CAJAS MORALES</v>
      </c>
      <c r="AV24" s="152">
        <v>1900.53</v>
      </c>
      <c r="AW24" s="152">
        <v>840015</v>
      </c>
      <c r="AX24" s="152">
        <v>40</v>
      </c>
      <c r="AY24" s="152">
        <v>840017</v>
      </c>
      <c r="AZ24" s="152" t="s">
        <v>864</v>
      </c>
      <c r="BA24" s="152" t="str">
        <f t="shared" si="2"/>
        <v>L20-210-MP011</v>
      </c>
      <c r="BB24" s="152">
        <v>24</v>
      </c>
      <c r="BC24" s="157">
        <v>43997</v>
      </c>
      <c r="BD24" s="157">
        <v>44362</v>
      </c>
      <c r="BE24" s="158">
        <v>375009.78</v>
      </c>
      <c r="BF24" s="152" t="s">
        <v>924</v>
      </c>
      <c r="BG24" s="152" t="s">
        <v>875</v>
      </c>
      <c r="BH24" s="152">
        <v>142.52000000000001</v>
      </c>
      <c r="BI24" s="152">
        <v>0</v>
      </c>
      <c r="BJ24" s="152">
        <v>0</v>
      </c>
      <c r="BK24" s="152" t="s">
        <v>132</v>
      </c>
      <c r="BL24" s="152">
        <v>142.52000000000001</v>
      </c>
      <c r="BM24" s="152">
        <v>840016</v>
      </c>
    </row>
    <row r="25" spans="1:65">
      <c r="A25" s="152" t="s">
        <v>925</v>
      </c>
      <c r="B25" s="152" t="s">
        <v>926</v>
      </c>
      <c r="C25" s="152" t="s">
        <v>918</v>
      </c>
      <c r="D25" s="152" t="s">
        <v>927</v>
      </c>
      <c r="E25" s="152" t="s">
        <v>927</v>
      </c>
      <c r="F25" s="152">
        <v>1620</v>
      </c>
      <c r="G25" s="152">
        <v>120</v>
      </c>
      <c r="H25" s="152" t="s">
        <v>928</v>
      </c>
      <c r="I25" s="152">
        <v>193593</v>
      </c>
      <c r="J25" s="152">
        <v>128</v>
      </c>
      <c r="K25" s="152">
        <v>82589</v>
      </c>
      <c r="L25" s="159" t="s">
        <v>921</v>
      </c>
      <c r="M25" s="152" t="s">
        <v>92</v>
      </c>
      <c r="N25" s="152" t="s">
        <v>883</v>
      </c>
      <c r="O25" s="159">
        <v>4380</v>
      </c>
      <c r="P25" s="159" t="s">
        <v>921</v>
      </c>
      <c r="R25" s="152" t="s">
        <v>883</v>
      </c>
      <c r="S25" s="159">
        <v>4380</v>
      </c>
      <c r="T25" s="159" t="s">
        <v>856</v>
      </c>
      <c r="U25" s="159" t="s">
        <v>856</v>
      </c>
      <c r="V25" s="152" t="s">
        <v>857</v>
      </c>
      <c r="W25" s="152" t="s">
        <v>858</v>
      </c>
      <c r="X25" s="152" t="s">
        <v>882</v>
      </c>
      <c r="Y25" s="152">
        <v>16.600000000000001</v>
      </c>
      <c r="Z25" s="152">
        <v>1</v>
      </c>
      <c r="AA25" s="152" t="s">
        <v>92</v>
      </c>
      <c r="AB25" s="152">
        <v>225.32</v>
      </c>
      <c r="AC25" s="152">
        <v>2</v>
      </c>
      <c r="AD25" s="152" t="s">
        <v>861</v>
      </c>
      <c r="AE25" s="152">
        <v>225.32</v>
      </c>
      <c r="AF25" s="152">
        <v>0</v>
      </c>
      <c r="AG25" s="152">
        <v>14.38</v>
      </c>
      <c r="AH25" s="152" t="s">
        <v>861</v>
      </c>
      <c r="AI25" s="152" t="s">
        <v>92</v>
      </c>
      <c r="AJ25" s="152" t="s">
        <v>92</v>
      </c>
      <c r="AK25" s="152" t="s">
        <v>862</v>
      </c>
      <c r="AL25" s="159" t="s">
        <v>856</v>
      </c>
      <c r="AP25" s="159" t="s">
        <v>856</v>
      </c>
      <c r="AQ25" s="159" t="s">
        <v>856</v>
      </c>
      <c r="AR25" s="152" t="s">
        <v>929</v>
      </c>
      <c r="AS25" s="159" t="s">
        <v>865</v>
      </c>
      <c r="AT25" s="152" t="str">
        <f t="shared" si="3"/>
        <v>VUNC5-030520</v>
      </c>
      <c r="AU25" s="152" t="str">
        <f t="shared" si="4"/>
        <v>CLAUDIA CAROLINA CAJAS MORALES</v>
      </c>
      <c r="AV25" s="152">
        <v>2903.97</v>
      </c>
      <c r="AW25" s="152">
        <v>840012</v>
      </c>
      <c r="AX25" s="152">
        <v>120</v>
      </c>
      <c r="AY25" s="152">
        <v>840014</v>
      </c>
      <c r="AZ25" s="152" t="s">
        <v>864</v>
      </c>
      <c r="BA25" s="152" t="str">
        <f t="shared" si="2"/>
        <v>L20-211-MP010</v>
      </c>
      <c r="BB25" s="152">
        <v>24</v>
      </c>
      <c r="BC25" s="157">
        <v>43997</v>
      </c>
      <c r="BD25" s="157">
        <v>44362</v>
      </c>
      <c r="BE25" s="158">
        <v>570190.77</v>
      </c>
      <c r="BF25" s="152" t="s">
        <v>930</v>
      </c>
      <c r="BG25" s="152" t="s">
        <v>875</v>
      </c>
      <c r="BH25" s="152">
        <v>225.32</v>
      </c>
      <c r="BI25" s="152">
        <v>0</v>
      </c>
      <c r="BJ25" s="152">
        <v>0</v>
      </c>
      <c r="BK25" s="152" t="s">
        <v>132</v>
      </c>
      <c r="BL25" s="152">
        <v>225.32</v>
      </c>
      <c r="BM25" s="152">
        <v>840013</v>
      </c>
    </row>
    <row r="26" spans="1:65">
      <c r="A26" s="152" t="s">
        <v>931</v>
      </c>
      <c r="B26" s="152" t="s">
        <v>932</v>
      </c>
      <c r="C26" s="152" t="s">
        <v>933</v>
      </c>
      <c r="D26" s="152" t="s">
        <v>934</v>
      </c>
      <c r="E26" s="152" t="s">
        <v>935</v>
      </c>
      <c r="F26" s="152">
        <v>3540</v>
      </c>
      <c r="G26" s="152">
        <v>40</v>
      </c>
      <c r="H26" s="152" t="s">
        <v>936</v>
      </c>
      <c r="I26" s="152">
        <v>189779</v>
      </c>
      <c r="J26" s="152">
        <v>117.82</v>
      </c>
      <c r="K26" s="152">
        <v>79695</v>
      </c>
      <c r="L26" s="159" t="s">
        <v>937</v>
      </c>
      <c r="M26" s="152" t="s">
        <v>883</v>
      </c>
      <c r="N26" s="152" t="s">
        <v>92</v>
      </c>
      <c r="O26" s="159">
        <v>2431</v>
      </c>
      <c r="P26" s="159" t="s">
        <v>938</v>
      </c>
      <c r="Q26" s="152" t="s">
        <v>883</v>
      </c>
      <c r="S26" s="159">
        <v>9990</v>
      </c>
      <c r="T26" s="159" t="s">
        <v>939</v>
      </c>
      <c r="U26" s="159" t="s">
        <v>940</v>
      </c>
      <c r="V26" s="152" t="s">
        <v>941</v>
      </c>
      <c r="W26" s="152" t="s">
        <v>858</v>
      </c>
      <c r="X26" s="152" t="s">
        <v>882</v>
      </c>
      <c r="Y26" s="152">
        <v>0</v>
      </c>
      <c r="Z26" s="152">
        <v>2</v>
      </c>
      <c r="AA26" s="152" t="s">
        <v>92</v>
      </c>
      <c r="AB26" s="152">
        <v>221.71</v>
      </c>
      <c r="AC26" s="152">
        <v>3</v>
      </c>
      <c r="AD26" s="152" t="s">
        <v>861</v>
      </c>
      <c r="AE26" s="152">
        <v>79.12</v>
      </c>
      <c r="AF26" s="152">
        <v>142.59</v>
      </c>
      <c r="AG26" s="152" t="s">
        <v>861</v>
      </c>
      <c r="AH26" s="152" t="s">
        <v>861</v>
      </c>
      <c r="AI26" s="152" t="s">
        <v>92</v>
      </c>
      <c r="AJ26" s="152" t="s">
        <v>92</v>
      </c>
      <c r="AK26" s="152" t="s">
        <v>942</v>
      </c>
      <c r="AL26" s="159" t="s">
        <v>856</v>
      </c>
      <c r="AP26" s="159" t="s">
        <v>856</v>
      </c>
      <c r="AQ26" s="159" t="s">
        <v>856</v>
      </c>
      <c r="AR26" s="152" t="s">
        <v>863</v>
      </c>
      <c r="AS26" s="159" t="s">
        <v>865</v>
      </c>
      <c r="AT26" s="152" t="str">
        <f t="shared" si="3"/>
        <v>VUNM3-030720</v>
      </c>
      <c r="AU26" s="152" t="str">
        <f t="shared" si="4"/>
        <v>NARCISO MACARIO GOMEZ</v>
      </c>
      <c r="AV26" s="152">
        <v>4190.68</v>
      </c>
      <c r="AW26" s="152">
        <v>852913</v>
      </c>
      <c r="AX26" s="152">
        <v>65.25</v>
      </c>
      <c r="AY26" s="152">
        <v>852916</v>
      </c>
      <c r="AZ26" s="152" t="s">
        <v>864</v>
      </c>
      <c r="BA26" s="152" t="str">
        <f t="shared" si="2"/>
        <v>L20-272-MP023</v>
      </c>
      <c r="BB26" s="152">
        <v>50</v>
      </c>
      <c r="BC26" s="157">
        <v>44071</v>
      </c>
      <c r="BD26" s="157">
        <v>44497</v>
      </c>
      <c r="BE26" s="158">
        <v>593835</v>
      </c>
      <c r="BF26" s="152" t="s">
        <v>943</v>
      </c>
      <c r="BG26" s="152" t="s">
        <v>944</v>
      </c>
      <c r="BH26" s="152">
        <v>79.12</v>
      </c>
      <c r="BI26" s="152">
        <v>142.59</v>
      </c>
      <c r="BJ26" s="152">
        <v>0</v>
      </c>
      <c r="BK26" s="152" t="s">
        <v>945</v>
      </c>
      <c r="BL26" s="152">
        <v>257.36</v>
      </c>
      <c r="BM26" s="152">
        <v>852915</v>
      </c>
    </row>
    <row r="27" spans="1:65">
      <c r="A27" s="152" t="s">
        <v>946</v>
      </c>
      <c r="B27" s="152" t="s">
        <v>947</v>
      </c>
      <c r="C27" s="152" t="s">
        <v>948</v>
      </c>
      <c r="D27" s="152" t="s">
        <v>949</v>
      </c>
      <c r="E27" s="152" t="s">
        <v>950</v>
      </c>
      <c r="F27" s="159" t="s">
        <v>865</v>
      </c>
      <c r="G27" s="159" t="s">
        <v>865</v>
      </c>
      <c r="H27" s="159" t="s">
        <v>865</v>
      </c>
      <c r="I27" s="152">
        <v>164936</v>
      </c>
      <c r="J27" s="152">
        <v>4185.21</v>
      </c>
      <c r="K27" s="159" t="s">
        <v>865</v>
      </c>
      <c r="L27" s="159" t="s">
        <v>951</v>
      </c>
      <c r="M27" s="152" t="s">
        <v>92</v>
      </c>
      <c r="N27" s="152" t="s">
        <v>883</v>
      </c>
      <c r="O27" s="159">
        <v>5655</v>
      </c>
      <c r="P27" s="159" t="s">
        <v>951</v>
      </c>
      <c r="R27" s="152" t="s">
        <v>883</v>
      </c>
      <c r="S27" s="159">
        <v>5655</v>
      </c>
      <c r="T27" s="159" t="s">
        <v>951</v>
      </c>
      <c r="U27" s="159" t="s">
        <v>952</v>
      </c>
      <c r="V27" s="152" t="s">
        <v>953</v>
      </c>
      <c r="W27" s="152" t="s">
        <v>954</v>
      </c>
      <c r="X27" s="152" t="s">
        <v>955</v>
      </c>
      <c r="Y27" s="152">
        <v>0</v>
      </c>
      <c r="Z27" s="152">
        <v>1</v>
      </c>
      <c r="AA27" s="152" t="s">
        <v>92</v>
      </c>
      <c r="AB27" s="152">
        <v>992.85</v>
      </c>
      <c r="AC27" s="152">
        <v>1</v>
      </c>
      <c r="AD27" s="152" t="s">
        <v>861</v>
      </c>
      <c r="AE27" s="152">
        <v>0</v>
      </c>
      <c r="AF27" s="152">
        <v>992.85</v>
      </c>
      <c r="AG27" s="152">
        <v>1559.47</v>
      </c>
      <c r="AH27" s="152">
        <v>81.52</v>
      </c>
      <c r="AI27" s="152" t="s">
        <v>883</v>
      </c>
      <c r="AJ27" s="152" t="s">
        <v>92</v>
      </c>
      <c r="AK27" s="152" t="s">
        <v>884</v>
      </c>
      <c r="AL27" s="159" t="s">
        <v>856</v>
      </c>
      <c r="AP27" s="159" t="s">
        <v>856</v>
      </c>
      <c r="AQ27" s="159" t="s">
        <v>856</v>
      </c>
      <c r="AR27" s="152" t="s">
        <v>863</v>
      </c>
      <c r="AS27" s="159" t="s">
        <v>865</v>
      </c>
      <c r="AT27" s="152" t="str">
        <f t="shared" si="3"/>
        <v>VUNY7-011119</v>
      </c>
      <c r="AU27" s="152" t="str">
        <f t="shared" si="4"/>
        <v>CARLOS RENE YAX MUÑOZ</v>
      </c>
      <c r="AV27" s="152">
        <v>20849.849999999999</v>
      </c>
      <c r="AW27" s="152">
        <v>829145</v>
      </c>
      <c r="AX27" s="159" t="s">
        <v>856</v>
      </c>
      <c r="AY27" s="159" t="s">
        <v>856</v>
      </c>
      <c r="AZ27" s="152" t="s">
        <v>864</v>
      </c>
      <c r="BA27" s="152" t="str">
        <f t="shared" si="2"/>
        <v>L20-191-MP006</v>
      </c>
      <c r="BB27" s="152">
        <v>24</v>
      </c>
      <c r="BC27" s="157">
        <v>43976</v>
      </c>
      <c r="BD27" s="157">
        <v>44341</v>
      </c>
      <c r="BE27" s="158">
        <v>2482125</v>
      </c>
      <c r="BF27" s="152" t="s">
        <v>956</v>
      </c>
      <c r="BG27" s="152" t="s">
        <v>957</v>
      </c>
      <c r="BH27" s="152">
        <v>0</v>
      </c>
      <c r="BI27" s="152">
        <v>0</v>
      </c>
      <c r="BJ27" s="152">
        <v>992.85</v>
      </c>
      <c r="BK27" s="152" t="s">
        <v>958</v>
      </c>
      <c r="BL27" s="152">
        <v>1241.06</v>
      </c>
      <c r="BM27" s="152">
        <v>829146</v>
      </c>
    </row>
    <row r="28" spans="1:65">
      <c r="A28" s="152" t="s">
        <v>959</v>
      </c>
      <c r="B28" s="152" t="s">
        <v>960</v>
      </c>
      <c r="C28" s="152" t="s">
        <v>961</v>
      </c>
      <c r="D28" s="152" t="s">
        <v>962</v>
      </c>
      <c r="E28" s="152" t="s">
        <v>963</v>
      </c>
      <c r="F28" s="152">
        <v>5705</v>
      </c>
      <c r="G28" s="152">
        <v>205</v>
      </c>
      <c r="H28" s="152" t="s">
        <v>964</v>
      </c>
      <c r="I28" s="152">
        <v>199070</v>
      </c>
      <c r="J28" s="152">
        <v>135</v>
      </c>
      <c r="K28" s="152">
        <v>86576</v>
      </c>
      <c r="L28" s="159" t="s">
        <v>965</v>
      </c>
      <c r="M28" s="152" t="s">
        <v>92</v>
      </c>
      <c r="N28" s="152" t="s">
        <v>883</v>
      </c>
      <c r="O28" s="159">
        <v>6224</v>
      </c>
      <c r="P28" s="159" t="s">
        <v>965</v>
      </c>
      <c r="R28" s="152" t="s">
        <v>883</v>
      </c>
      <c r="S28" s="159">
        <v>6224</v>
      </c>
      <c r="T28" s="159" t="s">
        <v>856</v>
      </c>
      <c r="U28" s="159" t="s">
        <v>856</v>
      </c>
      <c r="V28" s="152" t="s">
        <v>857</v>
      </c>
      <c r="W28" s="152" t="s">
        <v>858</v>
      </c>
      <c r="X28" s="152" t="s">
        <v>882</v>
      </c>
      <c r="Y28" s="152">
        <v>29.4</v>
      </c>
      <c r="Z28" s="152">
        <v>1</v>
      </c>
      <c r="AA28" s="152" t="s">
        <v>883</v>
      </c>
      <c r="AB28" s="152">
        <v>70.78</v>
      </c>
      <c r="AC28" s="152">
        <v>2</v>
      </c>
      <c r="AD28" s="152" t="s">
        <v>861</v>
      </c>
      <c r="AE28" s="152">
        <v>70.78</v>
      </c>
      <c r="AF28" s="152">
        <v>0</v>
      </c>
      <c r="AG28" s="152">
        <v>102.75</v>
      </c>
      <c r="AH28" s="152" t="s">
        <v>861</v>
      </c>
      <c r="AI28" s="152" t="s">
        <v>92</v>
      </c>
      <c r="AJ28" s="152" t="s">
        <v>92</v>
      </c>
      <c r="AK28" s="152" t="s">
        <v>912</v>
      </c>
      <c r="AL28" s="159" t="s">
        <v>856</v>
      </c>
      <c r="AP28" s="159" t="s">
        <v>856</v>
      </c>
      <c r="AQ28" s="159" t="s">
        <v>856</v>
      </c>
      <c r="AR28" s="152" t="s">
        <v>892</v>
      </c>
      <c r="AS28" s="159" t="s">
        <v>865</v>
      </c>
      <c r="AT28" s="152" t="str">
        <f t="shared" si="3"/>
        <v>RPNP5-040620</v>
      </c>
      <c r="AU28" s="152" t="str">
        <f t="shared" si="4"/>
        <v>JOSEFINA BEATRIZ PASCUAL GOMEZ Y CDÑA</v>
      </c>
      <c r="AV28" s="152">
        <v>949.45</v>
      </c>
      <c r="AW28" s="152">
        <v>853133</v>
      </c>
      <c r="AX28" s="159" t="s">
        <v>856</v>
      </c>
      <c r="AY28" s="159" t="s">
        <v>856</v>
      </c>
      <c r="AZ28" s="152" t="s">
        <v>864</v>
      </c>
      <c r="BA28" s="152" t="str">
        <f t="shared" si="2"/>
        <v>L20-315-MP029</v>
      </c>
      <c r="BB28" s="152">
        <v>0</v>
      </c>
      <c r="BC28" s="157">
        <v>44095</v>
      </c>
      <c r="BD28" s="157">
        <v>44095</v>
      </c>
      <c r="BE28" s="158">
        <v>187240</v>
      </c>
      <c r="BF28" s="152" t="s">
        <v>966</v>
      </c>
      <c r="BG28" s="152" t="s">
        <v>894</v>
      </c>
      <c r="BH28" s="152">
        <v>70.78</v>
      </c>
      <c r="BI28" s="152">
        <v>0</v>
      </c>
      <c r="BJ28" s="152">
        <v>0</v>
      </c>
      <c r="BK28" s="152" t="s">
        <v>132</v>
      </c>
      <c r="BL28" s="152">
        <v>70.78</v>
      </c>
      <c r="BM28" s="152">
        <v>853132</v>
      </c>
    </row>
    <row r="29" spans="1:65">
      <c r="A29" s="152" t="s">
        <v>967</v>
      </c>
      <c r="B29" s="152" t="s">
        <v>968</v>
      </c>
      <c r="C29" s="152" t="s">
        <v>969</v>
      </c>
      <c r="D29" s="152" t="s">
        <v>970</v>
      </c>
      <c r="E29" s="152" t="s">
        <v>970</v>
      </c>
      <c r="F29" s="152">
        <v>275339</v>
      </c>
      <c r="G29" s="152">
        <v>279</v>
      </c>
      <c r="H29" s="152">
        <v>635</v>
      </c>
      <c r="I29" s="152">
        <v>199181</v>
      </c>
      <c r="J29" s="152">
        <v>218</v>
      </c>
      <c r="K29" s="152">
        <v>86666</v>
      </c>
      <c r="L29" s="159" t="s">
        <v>971</v>
      </c>
      <c r="M29" s="152" t="s">
        <v>92</v>
      </c>
      <c r="N29" s="152" t="s">
        <v>883</v>
      </c>
      <c r="O29" s="159">
        <v>4445</v>
      </c>
      <c r="P29" s="159" t="s">
        <v>971</v>
      </c>
      <c r="R29" s="152" t="s">
        <v>883</v>
      </c>
      <c r="S29" s="159">
        <v>4445</v>
      </c>
      <c r="T29" s="159" t="s">
        <v>856</v>
      </c>
      <c r="U29" s="159" t="s">
        <v>856</v>
      </c>
      <c r="V29" s="152" t="s">
        <v>857</v>
      </c>
      <c r="W29" s="152" t="s">
        <v>858</v>
      </c>
      <c r="X29" s="152" t="s">
        <v>871</v>
      </c>
      <c r="Y29" s="152">
        <v>140.94999999999999</v>
      </c>
      <c r="Z29" s="152">
        <v>1</v>
      </c>
      <c r="AA29" s="152" t="s">
        <v>92</v>
      </c>
      <c r="AB29" s="152">
        <v>192.85</v>
      </c>
      <c r="AC29" s="152">
        <v>2</v>
      </c>
      <c r="AD29" s="152" t="s">
        <v>861</v>
      </c>
      <c r="AE29" s="152">
        <v>192.85</v>
      </c>
      <c r="AF29" s="152">
        <v>0</v>
      </c>
      <c r="AG29" s="152">
        <v>87.22</v>
      </c>
      <c r="AH29" s="152" t="s">
        <v>861</v>
      </c>
      <c r="AI29" s="152" t="s">
        <v>92</v>
      </c>
      <c r="AJ29" s="152" t="s">
        <v>92</v>
      </c>
      <c r="AK29" s="152" t="s">
        <v>972</v>
      </c>
      <c r="AL29" s="159" t="s">
        <v>856</v>
      </c>
      <c r="AP29" s="159" t="s">
        <v>856</v>
      </c>
      <c r="AQ29" s="159" t="s">
        <v>856</v>
      </c>
      <c r="AR29" s="152" t="s">
        <v>892</v>
      </c>
      <c r="AS29" s="159" t="s">
        <v>865</v>
      </c>
      <c r="AT29" s="152" t="str">
        <f t="shared" si="3"/>
        <v>VUNG2-011220</v>
      </c>
      <c r="AU29" s="152" t="str">
        <f t="shared" si="4"/>
        <v>JAIME IVAN GODINEZ VELASQUEZ</v>
      </c>
      <c r="AV29" s="152">
        <v>2832.16</v>
      </c>
      <c r="AW29" s="152">
        <v>685945</v>
      </c>
      <c r="AX29" s="159" t="s">
        <v>856</v>
      </c>
      <c r="AY29" s="159" t="s">
        <v>856</v>
      </c>
      <c r="AZ29" s="152" t="s">
        <v>864</v>
      </c>
      <c r="BA29" s="152" t="str">
        <f t="shared" si="2"/>
        <v>L21-178-MP054</v>
      </c>
      <c r="BB29" s="152">
        <v>24</v>
      </c>
      <c r="BC29" s="157">
        <v>44277</v>
      </c>
      <c r="BD29" s="157">
        <v>44642</v>
      </c>
      <c r="BE29" s="158">
        <v>535655.75</v>
      </c>
      <c r="BF29" s="152" t="s">
        <v>973</v>
      </c>
      <c r="BG29" s="152" t="s">
        <v>974</v>
      </c>
      <c r="BH29" s="152">
        <v>192.85</v>
      </c>
      <c r="BI29" s="152">
        <v>0</v>
      </c>
      <c r="BJ29" s="152">
        <v>0</v>
      </c>
      <c r="BK29" s="152" t="s">
        <v>132</v>
      </c>
      <c r="BL29" s="152">
        <v>192.85</v>
      </c>
      <c r="BM29" s="152">
        <v>685946</v>
      </c>
    </row>
    <row r="30" spans="1:65">
      <c r="A30" s="152" t="s">
        <v>975</v>
      </c>
      <c r="B30" s="152" t="s">
        <v>976</v>
      </c>
      <c r="C30" s="152" t="s">
        <v>977</v>
      </c>
      <c r="D30" s="152" t="s">
        <v>978</v>
      </c>
      <c r="E30" s="152" t="s">
        <v>978</v>
      </c>
      <c r="F30" s="152">
        <v>3280</v>
      </c>
      <c r="G30" s="152">
        <v>280</v>
      </c>
      <c r="H30" s="152" t="s">
        <v>979</v>
      </c>
      <c r="I30" s="152">
        <v>199288</v>
      </c>
      <c r="J30" s="152">
        <v>64.53</v>
      </c>
      <c r="K30" s="152">
        <v>86735</v>
      </c>
      <c r="L30" s="159" t="s">
        <v>980</v>
      </c>
      <c r="M30" s="152" t="s">
        <v>92</v>
      </c>
      <c r="N30" s="152" t="s">
        <v>883</v>
      </c>
      <c r="O30" s="159">
        <v>6233</v>
      </c>
      <c r="P30" s="159" t="s">
        <v>980</v>
      </c>
      <c r="R30" s="152" t="s">
        <v>883</v>
      </c>
      <c r="S30" s="159">
        <v>6233</v>
      </c>
      <c r="T30" s="159" t="s">
        <v>856</v>
      </c>
      <c r="U30" s="159" t="s">
        <v>856</v>
      </c>
      <c r="V30" s="152" t="s">
        <v>857</v>
      </c>
      <c r="W30" s="152" t="s">
        <v>858</v>
      </c>
      <c r="X30" s="152" t="s">
        <v>871</v>
      </c>
      <c r="Y30" s="152">
        <v>16.72</v>
      </c>
      <c r="Z30" s="152">
        <v>1</v>
      </c>
      <c r="AA30" s="152" t="s">
        <v>92</v>
      </c>
      <c r="AB30" s="152">
        <v>119.14</v>
      </c>
      <c r="AC30" s="152">
        <v>2</v>
      </c>
      <c r="AD30" s="152" t="s">
        <v>861</v>
      </c>
      <c r="AE30" s="152">
        <v>119.14</v>
      </c>
      <c r="AF30" s="152">
        <v>0</v>
      </c>
      <c r="AG30" s="152" t="s">
        <v>861</v>
      </c>
      <c r="AH30" s="152" t="s">
        <v>861</v>
      </c>
      <c r="AI30" s="152" t="s">
        <v>92</v>
      </c>
      <c r="AJ30" s="152" t="s">
        <v>92</v>
      </c>
      <c r="AK30" s="152" t="s">
        <v>884</v>
      </c>
      <c r="AL30" s="159" t="s">
        <v>856</v>
      </c>
      <c r="AP30" s="159" t="s">
        <v>856</v>
      </c>
      <c r="AQ30" s="159" t="s">
        <v>856</v>
      </c>
      <c r="AR30" s="152" t="s">
        <v>885</v>
      </c>
      <c r="AS30" s="159" t="s">
        <v>865</v>
      </c>
      <c r="AT30" s="152" t="str">
        <f t="shared" si="3"/>
        <v>VUNL7-010620</v>
      </c>
      <c r="AU30" s="152" t="str">
        <f t="shared" si="4"/>
        <v>CARLOS MANUEL ANGEL LOPEZ GOMEZ</v>
      </c>
      <c r="AV30" s="152">
        <v>1533.94</v>
      </c>
      <c r="AW30" s="152">
        <v>841910</v>
      </c>
      <c r="AX30" s="152">
        <v>40</v>
      </c>
      <c r="AY30" s="152">
        <v>841909</v>
      </c>
      <c r="AZ30" s="152" t="s">
        <v>864</v>
      </c>
      <c r="BA30" s="152" t="str">
        <f t="shared" si="2"/>
        <v>L20-246-MP015</v>
      </c>
      <c r="BB30" s="152">
        <v>24</v>
      </c>
      <c r="BC30" s="157">
        <v>44054</v>
      </c>
      <c r="BD30" s="157">
        <v>44419</v>
      </c>
      <c r="BE30" s="158">
        <v>303702.67</v>
      </c>
      <c r="BF30" s="152" t="s">
        <v>981</v>
      </c>
      <c r="BG30" s="152" t="s">
        <v>982</v>
      </c>
      <c r="BH30" s="152">
        <v>119.14</v>
      </c>
      <c r="BI30" s="152">
        <v>0</v>
      </c>
      <c r="BJ30" s="152">
        <v>0</v>
      </c>
      <c r="BK30" s="152" t="s">
        <v>132</v>
      </c>
      <c r="BL30" s="152">
        <v>119.14</v>
      </c>
      <c r="BM30" s="152">
        <v>841908</v>
      </c>
    </row>
    <row r="31" spans="1:65">
      <c r="A31" s="152" t="s">
        <v>983</v>
      </c>
      <c r="B31" s="152" t="s">
        <v>984</v>
      </c>
      <c r="C31" s="152" t="s">
        <v>985</v>
      </c>
      <c r="D31" s="152" t="s">
        <v>986</v>
      </c>
      <c r="E31" s="152" t="s">
        <v>987</v>
      </c>
      <c r="F31" s="152">
        <v>309985</v>
      </c>
      <c r="G31" s="152">
        <v>275</v>
      </c>
      <c r="H31" s="152">
        <v>750</v>
      </c>
      <c r="I31" s="152">
        <v>198650</v>
      </c>
      <c r="J31" s="152">
        <v>133</v>
      </c>
      <c r="K31" s="152">
        <v>86202</v>
      </c>
      <c r="L31" s="159" t="s">
        <v>988</v>
      </c>
      <c r="M31" s="152" t="s">
        <v>92</v>
      </c>
      <c r="N31" s="152" t="s">
        <v>883</v>
      </c>
      <c r="O31" s="159">
        <v>6395</v>
      </c>
      <c r="P31" s="159" t="s">
        <v>988</v>
      </c>
      <c r="R31" s="152" t="s">
        <v>883</v>
      </c>
      <c r="S31" s="159">
        <v>6395</v>
      </c>
      <c r="T31" s="159" t="s">
        <v>989</v>
      </c>
      <c r="U31" s="159" t="s">
        <v>990</v>
      </c>
      <c r="V31" s="152" t="s">
        <v>991</v>
      </c>
      <c r="W31" s="152" t="s">
        <v>858</v>
      </c>
      <c r="X31" s="152" t="s">
        <v>871</v>
      </c>
      <c r="Y31" s="152">
        <v>100.21</v>
      </c>
      <c r="Z31" s="152">
        <v>2</v>
      </c>
      <c r="AA31" s="152" t="s">
        <v>92</v>
      </c>
      <c r="AB31" s="152">
        <v>119.64</v>
      </c>
      <c r="AC31" s="152">
        <v>2</v>
      </c>
      <c r="AD31" s="152" t="s">
        <v>861</v>
      </c>
      <c r="AE31" s="152">
        <v>99.04</v>
      </c>
      <c r="AF31" s="152">
        <v>20.6</v>
      </c>
      <c r="AG31" s="152">
        <v>62.64</v>
      </c>
      <c r="AH31" s="152" t="s">
        <v>861</v>
      </c>
      <c r="AI31" s="152" t="s">
        <v>92</v>
      </c>
      <c r="AJ31" s="152" t="s">
        <v>92</v>
      </c>
      <c r="AK31" s="152" t="s">
        <v>884</v>
      </c>
      <c r="AL31" s="159" t="s">
        <v>856</v>
      </c>
      <c r="AP31" s="159" t="s">
        <v>856</v>
      </c>
      <c r="AQ31" s="159" t="s">
        <v>856</v>
      </c>
      <c r="AR31" s="152" t="s">
        <v>992</v>
      </c>
      <c r="AS31" s="159" t="s">
        <v>865</v>
      </c>
      <c r="AT31" s="152" t="str">
        <f t="shared" si="3"/>
        <v>VUNR6-030720</v>
      </c>
      <c r="AU31" s="152" t="str">
        <f t="shared" si="4"/>
        <v>LUCAS LUCIANO RALAC IGNACIO</v>
      </c>
      <c r="AV31" s="152">
        <v>1876.91</v>
      </c>
      <c r="AW31" s="152">
        <v>842033</v>
      </c>
      <c r="AX31" s="152">
        <v>40</v>
      </c>
      <c r="AY31" s="152">
        <v>842035</v>
      </c>
      <c r="AZ31" s="152" t="s">
        <v>864</v>
      </c>
      <c r="BA31" s="152" t="str">
        <f t="shared" si="2"/>
        <v>L20-258-MP016</v>
      </c>
      <c r="BB31" s="152">
        <v>24</v>
      </c>
      <c r="BC31" s="157">
        <v>44057</v>
      </c>
      <c r="BD31" s="157">
        <v>44422</v>
      </c>
      <c r="BE31" s="158">
        <v>334172.09999999998</v>
      </c>
      <c r="BF31" s="152" t="s">
        <v>993</v>
      </c>
      <c r="BG31" s="152" t="s">
        <v>994</v>
      </c>
      <c r="BH31" s="152">
        <v>99.04</v>
      </c>
      <c r="BI31" s="152">
        <v>20.6</v>
      </c>
      <c r="BJ31" s="152">
        <v>0</v>
      </c>
      <c r="BK31" s="152" t="s">
        <v>995</v>
      </c>
      <c r="BL31" s="152">
        <v>124.79</v>
      </c>
      <c r="BM31" s="152">
        <v>842034</v>
      </c>
    </row>
    <row r="32" spans="1:65">
      <c r="A32" s="152" t="s">
        <v>996</v>
      </c>
      <c r="B32" s="152" t="s">
        <v>997</v>
      </c>
      <c r="C32" s="152" t="s">
        <v>933</v>
      </c>
      <c r="D32" s="152" t="s">
        <v>998</v>
      </c>
      <c r="E32" s="152" t="s">
        <v>935</v>
      </c>
      <c r="F32" s="152">
        <v>3603</v>
      </c>
      <c r="G32" s="152">
        <v>103</v>
      </c>
      <c r="H32" s="152" t="s">
        <v>936</v>
      </c>
      <c r="I32" s="152">
        <v>189826</v>
      </c>
      <c r="J32" s="152">
        <v>27.76</v>
      </c>
      <c r="K32" s="152">
        <v>79647</v>
      </c>
      <c r="L32" s="159" t="s">
        <v>937</v>
      </c>
      <c r="M32" s="152" t="s">
        <v>883</v>
      </c>
      <c r="N32" s="152" t="s">
        <v>92</v>
      </c>
      <c r="O32" s="159">
        <v>2431</v>
      </c>
      <c r="P32" s="159" t="s">
        <v>938</v>
      </c>
      <c r="Q32" s="152" t="s">
        <v>883</v>
      </c>
      <c r="S32" s="159">
        <v>9990</v>
      </c>
      <c r="T32" s="159" t="s">
        <v>939</v>
      </c>
      <c r="U32" s="159" t="s">
        <v>940</v>
      </c>
      <c r="V32" s="152" t="s">
        <v>999</v>
      </c>
      <c r="W32" s="152" t="s">
        <v>858</v>
      </c>
      <c r="X32" s="152" t="s">
        <v>882</v>
      </c>
      <c r="Y32" s="152">
        <v>0</v>
      </c>
      <c r="Z32" s="152">
        <v>1</v>
      </c>
      <c r="AA32" s="152" t="s">
        <v>92</v>
      </c>
      <c r="AB32" s="152">
        <v>38.4</v>
      </c>
      <c r="AC32" s="152">
        <v>3</v>
      </c>
      <c r="AD32" s="152" t="s">
        <v>861</v>
      </c>
      <c r="AE32" s="152">
        <v>0</v>
      </c>
      <c r="AF32" s="152">
        <v>38.4</v>
      </c>
      <c r="AG32" s="152" t="s">
        <v>861</v>
      </c>
      <c r="AH32" s="152" t="s">
        <v>861</v>
      </c>
      <c r="AI32" s="152" t="s">
        <v>92</v>
      </c>
      <c r="AJ32" s="152" t="s">
        <v>92</v>
      </c>
      <c r="AK32" s="152" t="s">
        <v>942</v>
      </c>
      <c r="AL32" s="159" t="s">
        <v>856</v>
      </c>
      <c r="AP32" s="159" t="s">
        <v>856</v>
      </c>
      <c r="AQ32" s="159" t="s">
        <v>856</v>
      </c>
      <c r="AR32" s="152" t="s">
        <v>863</v>
      </c>
      <c r="AS32" s="159" t="s">
        <v>865</v>
      </c>
      <c r="AT32" s="152" t="str">
        <f t="shared" si="3"/>
        <v>VUNM3-040720</v>
      </c>
      <c r="AU32" s="152" t="str">
        <f t="shared" si="4"/>
        <v>NARCISO MACARIO GOMEZ</v>
      </c>
      <c r="AV32" s="152">
        <v>967.68</v>
      </c>
      <c r="AW32" s="152">
        <v>852909</v>
      </c>
      <c r="AX32" s="152">
        <v>22.3</v>
      </c>
      <c r="AY32" s="152">
        <v>852912</v>
      </c>
      <c r="AZ32" s="152" t="s">
        <v>864</v>
      </c>
      <c r="BA32" s="152" t="str">
        <f t="shared" si="2"/>
        <v>L20-273-MP025</v>
      </c>
      <c r="BB32" s="152">
        <v>50</v>
      </c>
      <c r="BC32" s="157">
        <v>44071</v>
      </c>
      <c r="BD32" s="157">
        <v>44497</v>
      </c>
      <c r="BE32" s="158">
        <v>115200</v>
      </c>
      <c r="BF32" s="152" t="s">
        <v>1000</v>
      </c>
      <c r="BG32" s="152" t="s">
        <v>944</v>
      </c>
      <c r="BH32" s="152">
        <v>0</v>
      </c>
      <c r="BI32" s="152">
        <v>38.4</v>
      </c>
      <c r="BJ32" s="152">
        <v>0</v>
      </c>
      <c r="BK32" s="152" t="s">
        <v>1001</v>
      </c>
      <c r="BL32" s="152">
        <v>48</v>
      </c>
      <c r="BM32" s="152">
        <v>852911</v>
      </c>
    </row>
    <row r="33" spans="1:65">
      <c r="A33" s="152" t="s">
        <v>1003</v>
      </c>
      <c r="B33" s="152" t="s">
        <v>1002</v>
      </c>
      <c r="C33" s="152" t="s">
        <v>1004</v>
      </c>
      <c r="D33" s="152" t="s">
        <v>1005</v>
      </c>
      <c r="E33" s="152" t="s">
        <v>1006</v>
      </c>
      <c r="F33" s="152">
        <v>8424</v>
      </c>
      <c r="G33" s="152">
        <v>424</v>
      </c>
      <c r="H33" s="152" t="s">
        <v>1007</v>
      </c>
      <c r="I33" s="152">
        <v>192160</v>
      </c>
      <c r="J33" s="152">
        <v>197.51</v>
      </c>
      <c r="K33" s="152">
        <v>81502</v>
      </c>
      <c r="L33" s="159" t="s">
        <v>856</v>
      </c>
      <c r="M33" s="152" t="s">
        <v>92</v>
      </c>
      <c r="N33" s="152" t="s">
        <v>92</v>
      </c>
      <c r="O33" s="159" t="s">
        <v>856</v>
      </c>
      <c r="P33" s="159" t="s">
        <v>856</v>
      </c>
      <c r="S33" s="159" t="s">
        <v>856</v>
      </c>
      <c r="T33" s="159" t="s">
        <v>856</v>
      </c>
      <c r="U33" s="159" t="s">
        <v>856</v>
      </c>
      <c r="V33" s="152" t="s">
        <v>1008</v>
      </c>
      <c r="W33" s="152" t="s">
        <v>1009</v>
      </c>
      <c r="X33" s="152" t="s">
        <v>1010</v>
      </c>
      <c r="Y33" s="152">
        <v>0</v>
      </c>
      <c r="Z33" s="152">
        <v>0</v>
      </c>
      <c r="AA33" s="152" t="s">
        <v>92</v>
      </c>
      <c r="AB33" s="152">
        <v>85.18</v>
      </c>
      <c r="AC33" s="152">
        <v>1</v>
      </c>
      <c r="AD33" s="152" t="s">
        <v>861</v>
      </c>
      <c r="AE33" s="152">
        <v>0</v>
      </c>
      <c r="AF33" s="152">
        <v>0</v>
      </c>
      <c r="AG33" s="152">
        <v>110.25</v>
      </c>
      <c r="AH33" s="152" t="s">
        <v>861</v>
      </c>
      <c r="AI33" s="152" t="s">
        <v>92</v>
      </c>
      <c r="AJ33" s="152" t="s">
        <v>92</v>
      </c>
      <c r="AK33" s="152" t="s">
        <v>862</v>
      </c>
      <c r="AL33" s="159" t="s">
        <v>856</v>
      </c>
      <c r="AP33" s="159" t="s">
        <v>856</v>
      </c>
      <c r="AQ33" s="159" t="s">
        <v>856</v>
      </c>
      <c r="AR33" s="152" t="s">
        <v>1014</v>
      </c>
      <c r="AS33" s="159" t="s">
        <v>865</v>
      </c>
      <c r="AT33" s="152" t="str">
        <f t="shared" si="3"/>
        <v>RPNC10-180620</v>
      </c>
      <c r="AU33" s="152" t="str">
        <f t="shared" si="4"/>
        <v>MARIO AROLDO COYOY COYOY</v>
      </c>
      <c r="AV33" s="152">
        <v>63.89</v>
      </c>
      <c r="AW33" s="152">
        <v>853301</v>
      </c>
      <c r="AX33" s="159" t="s">
        <v>856</v>
      </c>
      <c r="AY33" s="159" t="s">
        <v>856</v>
      </c>
      <c r="AZ33" s="152" t="s">
        <v>1008</v>
      </c>
      <c r="BA33" s="152" t="str">
        <f t="shared" si="2"/>
        <v>L20-340-MP031</v>
      </c>
      <c r="BB33" s="152">
        <v>0</v>
      </c>
      <c r="BC33" s="157">
        <v>44099</v>
      </c>
      <c r="BD33" s="157">
        <v>44099</v>
      </c>
      <c r="BE33" s="158">
        <v>8518</v>
      </c>
    </row>
    <row r="34" spans="1:65">
      <c r="A34" s="152" t="s">
        <v>1011</v>
      </c>
      <c r="B34" s="152" t="s">
        <v>1012</v>
      </c>
      <c r="C34" s="152" t="s">
        <v>1004</v>
      </c>
      <c r="D34" s="152" t="s">
        <v>1005</v>
      </c>
      <c r="E34" s="152" t="s">
        <v>1006</v>
      </c>
      <c r="F34" s="152">
        <v>8424</v>
      </c>
      <c r="G34" s="152">
        <v>424</v>
      </c>
      <c r="H34" s="152" t="s">
        <v>1007</v>
      </c>
      <c r="I34" s="152">
        <v>192160</v>
      </c>
      <c r="J34" s="152">
        <v>197.51</v>
      </c>
      <c r="K34" s="152">
        <v>81502</v>
      </c>
      <c r="L34" s="159" t="s">
        <v>1013</v>
      </c>
      <c r="M34" s="152" t="s">
        <v>92</v>
      </c>
      <c r="N34" s="152" t="s">
        <v>883</v>
      </c>
      <c r="O34" s="159">
        <v>4731</v>
      </c>
      <c r="P34" s="159" t="s">
        <v>1013</v>
      </c>
      <c r="R34" s="152" t="s">
        <v>883</v>
      </c>
      <c r="S34" s="159">
        <v>4731</v>
      </c>
      <c r="T34" s="159" t="s">
        <v>856</v>
      </c>
      <c r="U34" s="159" t="s">
        <v>856</v>
      </c>
      <c r="V34" s="152" t="s">
        <v>857</v>
      </c>
      <c r="W34" s="152" t="s">
        <v>858</v>
      </c>
      <c r="X34" s="152" t="s">
        <v>882</v>
      </c>
      <c r="Y34" s="152">
        <v>3.5</v>
      </c>
      <c r="Z34" s="152">
        <v>1</v>
      </c>
      <c r="AA34" s="152" t="s">
        <v>883</v>
      </c>
      <c r="AB34" s="152">
        <v>91.51</v>
      </c>
      <c r="AC34" s="152">
        <v>1</v>
      </c>
      <c r="AD34" s="152" t="s">
        <v>861</v>
      </c>
      <c r="AE34" s="152">
        <v>91.51</v>
      </c>
      <c r="AF34" s="152">
        <v>0</v>
      </c>
      <c r="AG34" s="152">
        <v>110.25</v>
      </c>
      <c r="AH34" s="152" t="s">
        <v>861</v>
      </c>
      <c r="AI34" s="152" t="s">
        <v>92</v>
      </c>
      <c r="AJ34" s="152" t="s">
        <v>92</v>
      </c>
      <c r="AK34" s="152" t="s">
        <v>862</v>
      </c>
      <c r="AL34" s="159" t="s">
        <v>856</v>
      </c>
      <c r="AP34" s="159" t="s">
        <v>856</v>
      </c>
      <c r="AQ34" s="159" t="s">
        <v>856</v>
      </c>
      <c r="AR34" s="152" t="s">
        <v>892</v>
      </c>
      <c r="AS34" s="159" t="s">
        <v>865</v>
      </c>
      <c r="AT34" s="152" t="str">
        <f t="shared" si="3"/>
        <v>RPNC10-110620</v>
      </c>
      <c r="AU34" s="152" t="str">
        <f t="shared" si="4"/>
        <v>MARIO AROLDO COYOY COYOY</v>
      </c>
      <c r="AV34" s="152">
        <v>929.28</v>
      </c>
      <c r="AW34" s="152">
        <v>853303</v>
      </c>
      <c r="AX34" s="159" t="s">
        <v>856</v>
      </c>
      <c r="AY34" s="159" t="s">
        <v>856</v>
      </c>
      <c r="AZ34" s="152" t="s">
        <v>864</v>
      </c>
      <c r="BA34" s="152" t="str">
        <f t="shared" si="2"/>
        <v>L20-341-MP030</v>
      </c>
      <c r="BB34" s="152">
        <v>0</v>
      </c>
      <c r="BC34" s="157">
        <v>44099</v>
      </c>
      <c r="BD34" s="157">
        <v>44099</v>
      </c>
      <c r="BE34" s="158">
        <v>184245</v>
      </c>
      <c r="BF34" s="152" t="s">
        <v>1015</v>
      </c>
      <c r="BG34" s="152" t="s">
        <v>894</v>
      </c>
      <c r="BH34" s="152">
        <v>91.51</v>
      </c>
      <c r="BI34" s="152">
        <v>0</v>
      </c>
      <c r="BJ34" s="152">
        <v>0</v>
      </c>
      <c r="BK34" s="152" t="s">
        <v>132</v>
      </c>
      <c r="BL34" s="152">
        <v>91.51</v>
      </c>
      <c r="BM34" s="152">
        <v>853304</v>
      </c>
    </row>
    <row r="35" spans="1:65">
      <c r="A35" s="152" t="s">
        <v>1016</v>
      </c>
      <c r="B35" s="152" t="s">
        <v>1017</v>
      </c>
      <c r="C35" s="152" t="s">
        <v>1018</v>
      </c>
      <c r="D35" s="152" t="s">
        <v>1019</v>
      </c>
      <c r="E35" s="152" t="s">
        <v>1020</v>
      </c>
      <c r="F35" s="152">
        <v>7821</v>
      </c>
      <c r="G35" s="152">
        <v>321</v>
      </c>
      <c r="H35" s="152" t="s">
        <v>1021</v>
      </c>
      <c r="I35" s="152">
        <v>198895</v>
      </c>
      <c r="J35" s="152">
        <v>66.5</v>
      </c>
      <c r="K35" s="152">
        <v>86425</v>
      </c>
      <c r="L35" s="159" t="s">
        <v>1022</v>
      </c>
      <c r="M35" s="152" t="s">
        <v>883</v>
      </c>
      <c r="N35" s="152" t="s">
        <v>92</v>
      </c>
      <c r="O35" s="159">
        <v>12027</v>
      </c>
      <c r="P35" s="159" t="s">
        <v>1022</v>
      </c>
      <c r="Q35" s="152" t="s">
        <v>883</v>
      </c>
      <c r="R35" s="152" t="s">
        <v>92</v>
      </c>
      <c r="S35" s="159">
        <v>12027</v>
      </c>
      <c r="T35" s="159" t="s">
        <v>856</v>
      </c>
      <c r="U35" s="159" t="s">
        <v>856</v>
      </c>
      <c r="V35" s="152" t="s">
        <v>857</v>
      </c>
      <c r="W35" s="152" t="s">
        <v>858</v>
      </c>
      <c r="X35" s="152" t="s">
        <v>871</v>
      </c>
      <c r="Y35" s="152">
        <v>0</v>
      </c>
      <c r="Z35" s="152">
        <v>1</v>
      </c>
      <c r="AA35" s="152" t="s">
        <v>883</v>
      </c>
      <c r="AB35" s="152">
        <v>43.42</v>
      </c>
      <c r="AC35" s="152">
        <v>1</v>
      </c>
      <c r="AD35" s="152" t="s">
        <v>861</v>
      </c>
      <c r="AE35" s="152">
        <v>43.42</v>
      </c>
      <c r="AF35" s="152">
        <v>0</v>
      </c>
      <c r="AG35" s="152">
        <v>17.96</v>
      </c>
      <c r="AH35" s="152" t="s">
        <v>861</v>
      </c>
      <c r="AI35" s="152" t="s">
        <v>92</v>
      </c>
      <c r="AJ35" s="152" t="s">
        <v>92</v>
      </c>
      <c r="AK35" s="152" t="s">
        <v>912</v>
      </c>
      <c r="AL35" s="159" t="s">
        <v>856</v>
      </c>
      <c r="AP35" s="159" t="s">
        <v>856</v>
      </c>
      <c r="AQ35" s="159" t="s">
        <v>856</v>
      </c>
      <c r="AR35" s="152" t="s">
        <v>992</v>
      </c>
      <c r="AS35" s="159" t="s">
        <v>865</v>
      </c>
      <c r="AT35" s="152" t="str">
        <f t="shared" si="3"/>
        <v>VUNG5-020820</v>
      </c>
      <c r="AU35" s="152" t="str">
        <f t="shared" si="4"/>
        <v>FERNANDO RENE GOMEZ LOPEZ Y CONDUEÑA</v>
      </c>
      <c r="AV35" s="152">
        <v>437.67</v>
      </c>
      <c r="AW35" s="152">
        <v>856781</v>
      </c>
      <c r="AX35" s="159" t="s">
        <v>856</v>
      </c>
      <c r="AY35" s="159" t="s">
        <v>856</v>
      </c>
      <c r="AZ35" s="152" t="s">
        <v>864</v>
      </c>
      <c r="BA35" s="152" t="str">
        <f t="shared" si="2"/>
        <v>L20-380-MP040</v>
      </c>
      <c r="BB35" s="152">
        <v>15</v>
      </c>
      <c r="BC35" s="157">
        <v>44138</v>
      </c>
      <c r="BD35" s="157">
        <v>44442</v>
      </c>
      <c r="BE35" s="158">
        <v>86840</v>
      </c>
      <c r="BF35" s="152" t="s">
        <v>1023</v>
      </c>
      <c r="BG35" s="152" t="s">
        <v>1024</v>
      </c>
      <c r="BH35" s="152">
        <v>43.42</v>
      </c>
      <c r="BI35" s="152">
        <v>0</v>
      </c>
      <c r="BJ35" s="152">
        <v>0</v>
      </c>
      <c r="BK35" s="152" t="s">
        <v>132</v>
      </c>
      <c r="BL35" s="152">
        <v>43.42</v>
      </c>
      <c r="BM35" s="152">
        <v>856783</v>
      </c>
    </row>
    <row r="36" spans="1:65">
      <c r="A36" s="152" t="s">
        <v>1025</v>
      </c>
      <c r="B36" s="152" t="s">
        <v>1026</v>
      </c>
      <c r="C36" s="152" t="s">
        <v>1027</v>
      </c>
      <c r="D36" s="152" t="s">
        <v>1028</v>
      </c>
      <c r="E36" s="152" t="s">
        <v>1029</v>
      </c>
      <c r="F36" s="152">
        <v>5050</v>
      </c>
      <c r="G36" s="152">
        <v>50</v>
      </c>
      <c r="H36" s="152" t="s">
        <v>1030</v>
      </c>
      <c r="I36" s="152">
        <v>199392</v>
      </c>
      <c r="J36" s="152">
        <v>89.51</v>
      </c>
      <c r="K36" s="152">
        <v>86823</v>
      </c>
      <c r="L36" s="159" t="s">
        <v>1031</v>
      </c>
      <c r="M36" s="152" t="s">
        <v>92</v>
      </c>
      <c r="N36" s="152" t="s">
        <v>883</v>
      </c>
      <c r="O36" s="159">
        <v>5419</v>
      </c>
      <c r="P36" s="159" t="s">
        <v>1031</v>
      </c>
      <c r="R36" s="152" t="s">
        <v>883</v>
      </c>
      <c r="S36" s="159">
        <v>5419</v>
      </c>
      <c r="T36" s="159" t="s">
        <v>856</v>
      </c>
      <c r="U36" s="159" t="s">
        <v>856</v>
      </c>
      <c r="V36" s="152" t="s">
        <v>857</v>
      </c>
      <c r="W36" s="152" t="s">
        <v>1032</v>
      </c>
      <c r="X36" s="152" t="s">
        <v>1033</v>
      </c>
      <c r="Y36" s="152">
        <v>0</v>
      </c>
      <c r="Z36" s="152">
        <v>1</v>
      </c>
      <c r="AA36" s="152" t="s">
        <v>92</v>
      </c>
      <c r="AB36" s="152">
        <v>25.5</v>
      </c>
      <c r="AC36" s="152">
        <v>1</v>
      </c>
      <c r="AD36" s="152" t="s">
        <v>861</v>
      </c>
      <c r="AE36" s="152">
        <v>25.5</v>
      </c>
      <c r="AF36" s="152">
        <v>0</v>
      </c>
      <c r="AG36" s="152">
        <v>64.010000000000005</v>
      </c>
      <c r="AH36" s="152" t="s">
        <v>861</v>
      </c>
      <c r="AI36" s="152" t="s">
        <v>92</v>
      </c>
      <c r="AJ36" s="152" t="s">
        <v>92</v>
      </c>
      <c r="AK36" s="152" t="s">
        <v>862</v>
      </c>
      <c r="AL36" s="159" t="s">
        <v>856</v>
      </c>
      <c r="AP36" s="159" t="s">
        <v>856</v>
      </c>
      <c r="AQ36" s="159" t="s">
        <v>856</v>
      </c>
      <c r="AR36" s="152" t="s">
        <v>1034</v>
      </c>
      <c r="AS36" s="159" t="s">
        <v>865</v>
      </c>
      <c r="AT36" s="152" t="str">
        <f t="shared" si="3"/>
        <v>VUNM10-021020</v>
      </c>
      <c r="AU36" s="152" t="str">
        <f t="shared" si="4"/>
        <v>ELDER AVIDAN MARTINEZ CIFUENTES</v>
      </c>
      <c r="AV36" s="152">
        <v>107.1</v>
      </c>
      <c r="AW36" s="152">
        <v>856515</v>
      </c>
      <c r="AX36" s="159" t="s">
        <v>856</v>
      </c>
      <c r="AY36" s="159" t="s">
        <v>856</v>
      </c>
      <c r="AZ36" s="152" t="s">
        <v>864</v>
      </c>
      <c r="BA36" s="152" t="str">
        <f t="shared" si="2"/>
        <v>L20-372-MP041</v>
      </c>
      <c r="BB36" s="152">
        <v>12</v>
      </c>
      <c r="BC36" s="157">
        <v>44133</v>
      </c>
      <c r="BD36" s="157">
        <v>44315</v>
      </c>
      <c r="BE36" s="158">
        <v>25500</v>
      </c>
      <c r="BF36" s="152" t="s">
        <v>1035</v>
      </c>
      <c r="BG36" s="152" t="s">
        <v>1036</v>
      </c>
      <c r="BH36" s="152">
        <v>25.5</v>
      </c>
      <c r="BI36" s="152">
        <v>0</v>
      </c>
      <c r="BJ36" s="152">
        <v>0</v>
      </c>
      <c r="BK36" s="152" t="s">
        <v>132</v>
      </c>
      <c r="BL36" s="152">
        <v>25.5</v>
      </c>
      <c r="BM36" s="152">
        <v>856517</v>
      </c>
    </row>
    <row r="37" spans="1:65">
      <c r="A37" s="152" t="s">
        <v>1037</v>
      </c>
      <c r="B37" s="152" t="s">
        <v>1038</v>
      </c>
      <c r="C37" s="152" t="s">
        <v>1039</v>
      </c>
      <c r="D37" s="152" t="s">
        <v>1040</v>
      </c>
      <c r="E37" s="152" t="s">
        <v>1040</v>
      </c>
      <c r="F37" s="152">
        <v>5477</v>
      </c>
      <c r="G37" s="152">
        <v>477</v>
      </c>
      <c r="H37" s="152" t="s">
        <v>1041</v>
      </c>
      <c r="I37" s="152">
        <v>125385</v>
      </c>
      <c r="J37" s="152">
        <v>1958.7</v>
      </c>
      <c r="K37" s="152">
        <v>85945</v>
      </c>
      <c r="L37" s="159" t="s">
        <v>1042</v>
      </c>
      <c r="M37" s="152" t="s">
        <v>883</v>
      </c>
      <c r="N37" s="152" t="s">
        <v>92</v>
      </c>
      <c r="O37" s="159">
        <v>13136</v>
      </c>
      <c r="P37" s="159" t="s">
        <v>1042</v>
      </c>
      <c r="Q37" s="152" t="s">
        <v>883</v>
      </c>
      <c r="S37" s="159">
        <v>13136</v>
      </c>
      <c r="T37" s="159" t="s">
        <v>856</v>
      </c>
      <c r="U37" s="159" t="s">
        <v>856</v>
      </c>
      <c r="V37" s="152" t="s">
        <v>857</v>
      </c>
      <c r="W37" s="152" t="s">
        <v>858</v>
      </c>
      <c r="X37" s="152" t="s">
        <v>882</v>
      </c>
      <c r="Y37" s="152">
        <v>0</v>
      </c>
      <c r="Z37" s="152">
        <v>1</v>
      </c>
      <c r="AA37" s="152" t="s">
        <v>92</v>
      </c>
      <c r="AB37" s="152">
        <v>205.68</v>
      </c>
      <c r="AC37" s="152">
        <v>2</v>
      </c>
      <c r="AD37" s="152" t="s">
        <v>861</v>
      </c>
      <c r="AE37" s="152">
        <v>205.68</v>
      </c>
      <c r="AF37" s="152">
        <v>0</v>
      </c>
      <c r="AG37" s="152">
        <v>1791.49</v>
      </c>
      <c r="AH37" s="152">
        <v>132.16999999999999</v>
      </c>
      <c r="AI37" s="152" t="s">
        <v>92</v>
      </c>
      <c r="AJ37" s="152" t="s">
        <v>883</v>
      </c>
      <c r="AK37" s="152" t="s">
        <v>912</v>
      </c>
      <c r="AL37" s="159" t="s">
        <v>856</v>
      </c>
      <c r="AP37" s="159" t="s">
        <v>856</v>
      </c>
      <c r="AQ37" s="159" t="s">
        <v>856</v>
      </c>
      <c r="AR37" s="152" t="s">
        <v>1043</v>
      </c>
      <c r="AS37" s="159">
        <v>132.16999999999999</v>
      </c>
      <c r="AT37" s="152" t="str">
        <f t="shared" si="3"/>
        <v>VUNC1-031119</v>
      </c>
      <c r="AU37" s="152" t="str">
        <f t="shared" si="4"/>
        <v>EDGAR COSME CAYAX SOCH</v>
      </c>
      <c r="AV37" s="152">
        <v>2591.5700000000002</v>
      </c>
      <c r="AW37" s="152">
        <v>854566</v>
      </c>
      <c r="AX37" s="152">
        <v>55.2</v>
      </c>
      <c r="AY37" s="152">
        <v>854569</v>
      </c>
      <c r="AZ37" s="152" t="s">
        <v>864</v>
      </c>
      <c r="BA37" s="152" t="str">
        <f t="shared" si="2"/>
        <v>L20-345-MP036</v>
      </c>
      <c r="BB37" s="152">
        <v>24</v>
      </c>
      <c r="BC37" s="157">
        <v>44117</v>
      </c>
      <c r="BD37" s="157">
        <v>44482</v>
      </c>
      <c r="BE37" s="158">
        <v>514200</v>
      </c>
      <c r="BF37" s="152" t="s">
        <v>1044</v>
      </c>
      <c r="BG37" s="152" t="s">
        <v>1045</v>
      </c>
      <c r="BH37" s="152">
        <v>205.68</v>
      </c>
      <c r="BI37" s="152">
        <v>0</v>
      </c>
      <c r="BJ37" s="152">
        <v>0</v>
      </c>
      <c r="BK37" s="152" t="s">
        <v>132</v>
      </c>
      <c r="BL37" s="152">
        <v>205.68</v>
      </c>
      <c r="BM37" s="152">
        <v>854568</v>
      </c>
    </row>
    <row r="38" spans="1:65">
      <c r="A38" s="152" t="s">
        <v>1046</v>
      </c>
      <c r="B38" s="152" t="s">
        <v>1047</v>
      </c>
      <c r="C38" s="152" t="s">
        <v>1048</v>
      </c>
      <c r="D38" s="152" t="s">
        <v>1049</v>
      </c>
      <c r="E38" s="152" t="s">
        <v>1050</v>
      </c>
      <c r="F38" s="152">
        <v>252911</v>
      </c>
      <c r="G38" s="152">
        <v>251</v>
      </c>
      <c r="H38" s="152">
        <v>563</v>
      </c>
      <c r="I38" s="152">
        <v>199128</v>
      </c>
      <c r="J38" s="152">
        <v>202.5</v>
      </c>
      <c r="K38" s="152">
        <v>86620</v>
      </c>
      <c r="L38" s="159" t="s">
        <v>1051</v>
      </c>
      <c r="M38" s="152" t="s">
        <v>92</v>
      </c>
      <c r="N38" s="152" t="s">
        <v>883</v>
      </c>
      <c r="O38" s="159">
        <v>4346</v>
      </c>
      <c r="P38" s="159" t="s">
        <v>1051</v>
      </c>
      <c r="R38" s="152" t="s">
        <v>883</v>
      </c>
      <c r="S38" s="159">
        <v>4346</v>
      </c>
      <c r="T38" s="159" t="s">
        <v>856</v>
      </c>
      <c r="U38" s="159" t="s">
        <v>856</v>
      </c>
      <c r="V38" s="152" t="s">
        <v>857</v>
      </c>
      <c r="W38" s="152" t="s">
        <v>858</v>
      </c>
      <c r="X38" s="152" t="s">
        <v>871</v>
      </c>
      <c r="Y38" s="152">
        <v>0</v>
      </c>
      <c r="Z38" s="152">
        <v>1</v>
      </c>
      <c r="AA38" s="152" t="s">
        <v>883</v>
      </c>
      <c r="AB38" s="152">
        <v>144.57</v>
      </c>
      <c r="AC38" s="152">
        <v>1</v>
      </c>
      <c r="AD38" s="152" t="s">
        <v>861</v>
      </c>
      <c r="AE38" s="152">
        <v>144.57</v>
      </c>
      <c r="AF38" s="152">
        <v>0</v>
      </c>
      <c r="AG38" s="152">
        <v>55.16</v>
      </c>
      <c r="AH38" s="152" t="s">
        <v>861</v>
      </c>
      <c r="AI38" s="152" t="s">
        <v>92</v>
      </c>
      <c r="AJ38" s="152" t="s">
        <v>92</v>
      </c>
      <c r="AK38" s="152" t="s">
        <v>862</v>
      </c>
      <c r="AL38" s="159" t="s">
        <v>856</v>
      </c>
      <c r="AP38" s="159" t="s">
        <v>856</v>
      </c>
      <c r="AQ38" s="159" t="s">
        <v>856</v>
      </c>
      <c r="AR38" s="152" t="s">
        <v>1071</v>
      </c>
      <c r="AS38" s="159" t="s">
        <v>865</v>
      </c>
      <c r="AT38" s="152" t="str">
        <f t="shared" si="3"/>
        <v>RPNB6-070720</v>
      </c>
      <c r="AU38" s="152" t="str">
        <f t="shared" si="4"/>
        <v>ANGELICA LILIANA COYOY TUMAX DE BARRIOS</v>
      </c>
      <c r="AV38" s="152">
        <v>1457.27</v>
      </c>
      <c r="AW38" s="152">
        <v>856203</v>
      </c>
      <c r="AX38" s="152">
        <v>37.5</v>
      </c>
      <c r="AY38" s="152">
        <v>856205</v>
      </c>
      <c r="AZ38" s="152" t="s">
        <v>864</v>
      </c>
      <c r="BA38" s="152" t="str">
        <f t="shared" si="2"/>
        <v>L20-375-MP033</v>
      </c>
      <c r="BB38" s="152">
        <v>0</v>
      </c>
      <c r="BC38" s="157">
        <v>44123</v>
      </c>
      <c r="BD38" s="157">
        <v>44123</v>
      </c>
      <c r="BE38" s="158">
        <v>289140</v>
      </c>
      <c r="BF38" s="152" t="s">
        <v>1052</v>
      </c>
      <c r="BG38" s="152" t="s">
        <v>894</v>
      </c>
      <c r="BH38" s="152">
        <v>144.57</v>
      </c>
      <c r="BI38" s="152">
        <v>0</v>
      </c>
      <c r="BJ38" s="152">
        <v>0</v>
      </c>
      <c r="BK38" s="152" t="s">
        <v>132</v>
      </c>
      <c r="BL38" s="152">
        <v>144.57</v>
      </c>
      <c r="BM38" s="152">
        <v>856204</v>
      </c>
    </row>
    <row r="39" spans="1:65">
      <c r="A39" s="152" t="s">
        <v>1053</v>
      </c>
      <c r="B39" s="152" t="s">
        <v>1054</v>
      </c>
      <c r="C39" s="152" t="s">
        <v>1055</v>
      </c>
      <c r="D39" s="152" t="s">
        <v>1056</v>
      </c>
      <c r="E39" s="152" t="s">
        <v>1056</v>
      </c>
      <c r="F39" s="152">
        <v>7325</v>
      </c>
      <c r="G39" s="152">
        <v>325</v>
      </c>
      <c r="H39" s="152" t="s">
        <v>1057</v>
      </c>
      <c r="I39" s="152">
        <v>199366</v>
      </c>
      <c r="J39" s="152">
        <v>54</v>
      </c>
      <c r="K39" s="152">
        <v>86802</v>
      </c>
      <c r="L39" s="159" t="s">
        <v>1058</v>
      </c>
      <c r="M39" s="152" t="s">
        <v>92</v>
      </c>
      <c r="N39" s="152" t="s">
        <v>883</v>
      </c>
      <c r="O39" s="159">
        <v>4267</v>
      </c>
      <c r="P39" s="159" t="s">
        <v>1058</v>
      </c>
      <c r="R39" s="152" t="s">
        <v>883</v>
      </c>
      <c r="S39" s="159">
        <v>4267</v>
      </c>
      <c r="T39" s="159" t="s">
        <v>856</v>
      </c>
      <c r="U39" s="159" t="s">
        <v>856</v>
      </c>
      <c r="V39" s="152" t="s">
        <v>857</v>
      </c>
      <c r="W39" s="152" t="s">
        <v>858</v>
      </c>
      <c r="X39" s="152" t="s">
        <v>871</v>
      </c>
      <c r="Y39" s="152">
        <v>0</v>
      </c>
      <c r="Z39" s="152">
        <v>1</v>
      </c>
      <c r="AA39" s="152" t="s">
        <v>883</v>
      </c>
      <c r="AB39" s="152">
        <v>50.7</v>
      </c>
      <c r="AC39" s="152">
        <v>1</v>
      </c>
      <c r="AD39" s="152" t="s">
        <v>861</v>
      </c>
      <c r="AE39" s="152">
        <v>50.7</v>
      </c>
      <c r="AF39" s="152">
        <v>0</v>
      </c>
      <c r="AG39" s="152" t="s">
        <v>861</v>
      </c>
      <c r="AH39" s="152" t="s">
        <v>861</v>
      </c>
      <c r="AI39" s="152" t="s">
        <v>92</v>
      </c>
      <c r="AJ39" s="152" t="s">
        <v>92</v>
      </c>
      <c r="AK39" s="152" t="s">
        <v>912</v>
      </c>
      <c r="AL39" s="159" t="s">
        <v>856</v>
      </c>
      <c r="AP39" s="159" t="s">
        <v>856</v>
      </c>
      <c r="AQ39" s="159" t="s">
        <v>856</v>
      </c>
      <c r="AR39" s="152" t="s">
        <v>1059</v>
      </c>
      <c r="AS39" s="159" t="s">
        <v>865</v>
      </c>
      <c r="AT39" s="152" t="str">
        <f t="shared" si="3"/>
        <v>VUNP6-010820</v>
      </c>
      <c r="AU39" s="152" t="str">
        <f t="shared" si="4"/>
        <v>SANTOS CRISTINA PUAC MENDEZ</v>
      </c>
      <c r="AV39" s="152">
        <v>511.06</v>
      </c>
      <c r="AW39" s="152">
        <v>853184</v>
      </c>
      <c r="AX39" s="152">
        <v>45</v>
      </c>
      <c r="AY39" s="152">
        <v>853187</v>
      </c>
      <c r="AZ39" s="152" t="s">
        <v>864</v>
      </c>
      <c r="BA39" s="152" t="str">
        <f t="shared" si="2"/>
        <v>L20-348-MP035</v>
      </c>
      <c r="BB39" s="152">
        <v>15</v>
      </c>
      <c r="BC39" s="157">
        <v>44120</v>
      </c>
      <c r="BD39" s="157">
        <v>44424</v>
      </c>
      <c r="BE39" s="158">
        <v>101400</v>
      </c>
      <c r="BF39" s="152" t="s">
        <v>1060</v>
      </c>
      <c r="BG39" s="152" t="s">
        <v>1061</v>
      </c>
      <c r="BH39" s="152">
        <v>50.7</v>
      </c>
      <c r="BI39" s="152">
        <v>0</v>
      </c>
      <c r="BJ39" s="152">
        <v>0</v>
      </c>
      <c r="BK39" s="152" t="s">
        <v>132</v>
      </c>
      <c r="BL39" s="152">
        <v>50.7</v>
      </c>
      <c r="BM39" s="152">
        <v>853186</v>
      </c>
    </row>
    <row r="40" spans="1:65">
      <c r="A40" s="152" t="s">
        <v>1062</v>
      </c>
      <c r="B40" s="152" t="s">
        <v>1063</v>
      </c>
      <c r="C40" s="152" t="s">
        <v>1064</v>
      </c>
      <c r="D40" s="152" t="s">
        <v>1065</v>
      </c>
      <c r="E40" s="152" t="s">
        <v>1066</v>
      </c>
      <c r="F40" s="152">
        <v>6073</v>
      </c>
      <c r="G40" s="152">
        <v>73</v>
      </c>
      <c r="H40" s="152" t="s">
        <v>1067</v>
      </c>
      <c r="I40" s="152">
        <v>174301</v>
      </c>
      <c r="J40" s="152">
        <v>128</v>
      </c>
      <c r="K40" s="159" t="s">
        <v>865</v>
      </c>
      <c r="L40" s="159" t="s">
        <v>1068</v>
      </c>
      <c r="M40" s="152" t="s">
        <v>92</v>
      </c>
      <c r="N40" s="152" t="s">
        <v>883</v>
      </c>
      <c r="O40" s="159">
        <v>5368</v>
      </c>
      <c r="P40" s="159" t="s">
        <v>1068</v>
      </c>
      <c r="R40" s="152" t="s">
        <v>883</v>
      </c>
      <c r="S40" s="159">
        <v>5368</v>
      </c>
      <c r="T40" s="159" t="s">
        <v>856</v>
      </c>
      <c r="U40" s="159" t="s">
        <v>856</v>
      </c>
      <c r="V40" s="152" t="s">
        <v>857</v>
      </c>
      <c r="W40" s="152" t="s">
        <v>858</v>
      </c>
      <c r="X40" s="152" t="s">
        <v>871</v>
      </c>
      <c r="Y40" s="152">
        <v>65.7</v>
      </c>
      <c r="Z40" s="152">
        <v>1</v>
      </c>
      <c r="AA40" s="152" t="s">
        <v>883</v>
      </c>
      <c r="AB40" s="152">
        <v>198.14</v>
      </c>
      <c r="AC40" s="152">
        <v>2</v>
      </c>
      <c r="AD40" s="152" t="s">
        <v>861</v>
      </c>
      <c r="AE40" s="152">
        <v>198.14</v>
      </c>
      <c r="AF40" s="152">
        <v>0</v>
      </c>
      <c r="AG40" s="152">
        <v>23.24</v>
      </c>
      <c r="AH40" s="152" t="s">
        <v>861</v>
      </c>
      <c r="AI40" s="152" t="s">
        <v>92</v>
      </c>
      <c r="AJ40" s="152" t="s">
        <v>92</v>
      </c>
      <c r="AK40" s="152" t="s">
        <v>1069</v>
      </c>
      <c r="AL40" s="159" t="s">
        <v>856</v>
      </c>
      <c r="AP40" s="159" t="s">
        <v>856</v>
      </c>
      <c r="AQ40" s="159" t="s">
        <v>856</v>
      </c>
      <c r="AR40" s="152" t="s">
        <v>1043</v>
      </c>
      <c r="AS40" s="159" t="s">
        <v>865</v>
      </c>
      <c r="AT40" s="152" t="str">
        <f t="shared" si="3"/>
        <v>VUNL5-010920</v>
      </c>
      <c r="AU40" s="152" t="str">
        <f t="shared" si="4"/>
        <v>LUIS FERNANDO LOPEZ DE LEON</v>
      </c>
      <c r="AV40" s="152">
        <v>2651.73</v>
      </c>
      <c r="AW40" s="152">
        <v>854614</v>
      </c>
      <c r="AX40" s="152">
        <v>40</v>
      </c>
      <c r="AY40" s="152">
        <v>854617</v>
      </c>
      <c r="AZ40" s="152" t="s">
        <v>864</v>
      </c>
      <c r="BA40" s="152" t="str">
        <f t="shared" si="2"/>
        <v>L20-351-MP039</v>
      </c>
      <c r="BB40" s="152">
        <v>24</v>
      </c>
      <c r="BC40" s="157">
        <v>44127</v>
      </c>
      <c r="BD40" s="157">
        <v>44492</v>
      </c>
      <c r="BE40" s="158">
        <v>519223.25</v>
      </c>
      <c r="BF40" s="152" t="s">
        <v>1070</v>
      </c>
      <c r="BG40" s="152" t="s">
        <v>875</v>
      </c>
      <c r="BH40" s="152">
        <v>198.14</v>
      </c>
      <c r="BI40" s="152">
        <v>0</v>
      </c>
      <c r="BJ40" s="152">
        <v>0</v>
      </c>
      <c r="BK40" s="152" t="s">
        <v>132</v>
      </c>
      <c r="BL40" s="152">
        <v>198.14</v>
      </c>
      <c r="BM40" s="152">
        <v>854616</v>
      </c>
    </row>
    <row r="41" spans="1:65">
      <c r="A41" s="152" t="s">
        <v>1073</v>
      </c>
      <c r="B41" s="152" t="s">
        <v>1074</v>
      </c>
      <c r="C41" s="152" t="s">
        <v>1075</v>
      </c>
      <c r="D41" s="152" t="s">
        <v>1076</v>
      </c>
      <c r="E41" s="152" t="s">
        <v>1077</v>
      </c>
      <c r="F41" s="152">
        <v>7878</v>
      </c>
      <c r="G41" s="152">
        <v>378</v>
      </c>
      <c r="H41" s="152" t="s">
        <v>1078</v>
      </c>
      <c r="I41" s="152">
        <v>1984</v>
      </c>
      <c r="J41" s="152">
        <v>836.52</v>
      </c>
      <c r="K41" s="152">
        <v>27906</v>
      </c>
      <c r="L41" s="159" t="s">
        <v>1079</v>
      </c>
      <c r="M41" s="152" t="s">
        <v>883</v>
      </c>
      <c r="N41" s="152" t="s">
        <v>92</v>
      </c>
      <c r="O41" s="159">
        <v>1617</v>
      </c>
      <c r="P41" s="159" t="s">
        <v>1079</v>
      </c>
      <c r="Q41" s="152" t="s">
        <v>883</v>
      </c>
      <c r="R41" s="152" t="s">
        <v>92</v>
      </c>
      <c r="S41" s="159">
        <v>1617</v>
      </c>
      <c r="T41" s="159" t="s">
        <v>1080</v>
      </c>
      <c r="U41" s="159" t="s">
        <v>1081</v>
      </c>
      <c r="V41" s="152" t="s">
        <v>1082</v>
      </c>
      <c r="W41" s="152" t="s">
        <v>858</v>
      </c>
      <c r="X41" s="152" t="s">
        <v>1083</v>
      </c>
      <c r="Y41" s="152">
        <v>280.02</v>
      </c>
      <c r="Z41" s="152">
        <v>3</v>
      </c>
      <c r="AA41" s="152" t="s">
        <v>92</v>
      </c>
      <c r="AB41" s="152">
        <v>522.52</v>
      </c>
      <c r="AC41" s="152">
        <v>1</v>
      </c>
      <c r="AD41" s="152" t="s">
        <v>1084</v>
      </c>
      <c r="AE41" s="152">
        <v>326.45999999999998</v>
      </c>
      <c r="AF41" s="152">
        <v>196.06</v>
      </c>
      <c r="AG41" s="152" t="s">
        <v>861</v>
      </c>
      <c r="AH41" s="152" t="s">
        <v>861</v>
      </c>
      <c r="AI41" s="152" t="s">
        <v>92</v>
      </c>
      <c r="AJ41" s="152" t="s">
        <v>92</v>
      </c>
      <c r="AK41" s="152" t="s">
        <v>1085</v>
      </c>
      <c r="AL41" s="159" t="s">
        <v>856</v>
      </c>
      <c r="AP41" s="159" t="s">
        <v>856</v>
      </c>
      <c r="AQ41" s="159" t="s">
        <v>856</v>
      </c>
      <c r="AR41" s="152" t="s">
        <v>1043</v>
      </c>
      <c r="AS41" s="159" t="s">
        <v>865</v>
      </c>
      <c r="AT41" s="152" t="str">
        <f t="shared" si="3"/>
        <v>VUD3-011018</v>
      </c>
      <c r="AU41" s="152" t="str">
        <f t="shared" si="4"/>
        <v>DISTRIBUIDORA GAMA S.A.</v>
      </c>
      <c r="AV41" s="152">
        <v>6309.13</v>
      </c>
      <c r="AW41" s="152">
        <v>712936</v>
      </c>
      <c r="AX41" s="152">
        <v>574</v>
      </c>
      <c r="AY41" s="152">
        <v>712938</v>
      </c>
      <c r="AZ41" s="152" t="s">
        <v>864</v>
      </c>
      <c r="BA41" s="152" t="str">
        <f t="shared" si="2"/>
        <v>L19-157-MP004</v>
      </c>
      <c r="BB41" s="152">
        <v>24</v>
      </c>
      <c r="BC41" s="157">
        <v>43493</v>
      </c>
      <c r="BD41" s="157">
        <v>43858</v>
      </c>
      <c r="BE41" s="158">
        <v>1208245.6000000001</v>
      </c>
      <c r="BF41" s="152" t="s">
        <v>1086</v>
      </c>
      <c r="BG41" s="152" t="s">
        <v>1087</v>
      </c>
      <c r="BH41" s="152">
        <v>326.45999999999998</v>
      </c>
      <c r="BI41" s="152">
        <v>196.06</v>
      </c>
      <c r="BJ41" s="152">
        <v>0</v>
      </c>
      <c r="BK41" s="152" t="s">
        <v>995</v>
      </c>
      <c r="BL41" s="152">
        <v>571.54</v>
      </c>
      <c r="BM41" s="152">
        <v>712940</v>
      </c>
    </row>
    <row r="42" spans="1:65">
      <c r="A42" s="152" t="s">
        <v>1088</v>
      </c>
      <c r="B42" s="152" t="s">
        <v>1089</v>
      </c>
      <c r="C42" s="152" t="s">
        <v>1075</v>
      </c>
      <c r="D42" s="152" t="s">
        <v>1076</v>
      </c>
      <c r="E42" s="152" t="s">
        <v>1077</v>
      </c>
      <c r="F42" s="152">
        <v>7878</v>
      </c>
      <c r="G42" s="152">
        <v>378</v>
      </c>
      <c r="H42" s="152" t="s">
        <v>1078</v>
      </c>
      <c r="I42" s="152">
        <v>1984</v>
      </c>
      <c r="J42" s="152">
        <v>836.52</v>
      </c>
      <c r="K42" s="152">
        <v>27906</v>
      </c>
      <c r="L42" s="159" t="s">
        <v>1079</v>
      </c>
      <c r="M42" s="152" t="s">
        <v>883</v>
      </c>
      <c r="N42" s="152" t="s">
        <v>92</v>
      </c>
      <c r="O42" s="159">
        <v>1617</v>
      </c>
      <c r="P42" s="159" t="s">
        <v>1079</v>
      </c>
      <c r="Q42" s="152" t="s">
        <v>883</v>
      </c>
      <c r="R42" s="152" t="s">
        <v>92</v>
      </c>
      <c r="S42" s="159">
        <v>1617</v>
      </c>
      <c r="T42" s="159" t="s">
        <v>1080</v>
      </c>
      <c r="U42" s="159" t="s">
        <v>1081</v>
      </c>
      <c r="V42" s="152" t="s">
        <v>1090</v>
      </c>
      <c r="W42" s="152" t="s">
        <v>858</v>
      </c>
      <c r="X42" s="152" t="s">
        <v>1091</v>
      </c>
      <c r="Y42" s="152">
        <v>0</v>
      </c>
      <c r="Z42" s="152">
        <v>1</v>
      </c>
      <c r="AA42" s="152" t="s">
        <v>92</v>
      </c>
      <c r="AB42" s="152">
        <v>866.04</v>
      </c>
      <c r="AC42" s="152" t="s">
        <v>92</v>
      </c>
      <c r="AD42" s="152">
        <v>1</v>
      </c>
      <c r="AE42" s="152">
        <v>866.04</v>
      </c>
      <c r="AF42" s="152">
        <v>0</v>
      </c>
      <c r="AG42" s="152" t="s">
        <v>861</v>
      </c>
      <c r="AH42" s="152" t="s">
        <v>861</v>
      </c>
      <c r="AI42" s="152" t="s">
        <v>92</v>
      </c>
      <c r="AJ42" s="152" t="s">
        <v>92</v>
      </c>
      <c r="AK42" s="152" t="s">
        <v>1085</v>
      </c>
      <c r="AL42" s="159" t="s">
        <v>856</v>
      </c>
      <c r="AP42" s="159" t="s">
        <v>856</v>
      </c>
      <c r="AQ42" s="159" t="s">
        <v>856</v>
      </c>
      <c r="AR42" s="152" t="s">
        <v>1092</v>
      </c>
      <c r="AS42" s="159" t="s">
        <v>865</v>
      </c>
      <c r="AT42" s="152" t="str">
        <f>B42</f>
        <v>RPD3-261018</v>
      </c>
      <c r="AU42" s="152" t="str">
        <f>C42</f>
        <v>DISTRIBUIDORA GAMA S.A.</v>
      </c>
      <c r="AV42" s="152">
        <v>7274.74</v>
      </c>
      <c r="AW42" s="152">
        <v>207105</v>
      </c>
      <c r="AX42" s="159" t="s">
        <v>856</v>
      </c>
      <c r="AY42" s="159" t="s">
        <v>856</v>
      </c>
      <c r="AZ42" s="152" t="s">
        <v>864</v>
      </c>
      <c r="BA42" s="152" t="str">
        <f t="shared" ref="BA42:BA142" si="5">A42</f>
        <v>L18-940-MP086</v>
      </c>
      <c r="BB42" s="152">
        <v>0</v>
      </c>
      <c r="BC42" s="157">
        <v>43447</v>
      </c>
      <c r="BD42" s="157">
        <v>43447</v>
      </c>
      <c r="BE42" s="158">
        <v>1039248</v>
      </c>
      <c r="BF42" s="152" t="s">
        <v>1093</v>
      </c>
      <c r="BG42" s="152" t="s">
        <v>1087</v>
      </c>
      <c r="BH42" s="152">
        <v>866.04</v>
      </c>
      <c r="BI42" s="152">
        <v>0</v>
      </c>
      <c r="BJ42" s="152">
        <v>0</v>
      </c>
      <c r="BK42" s="152" t="s">
        <v>132</v>
      </c>
      <c r="BL42" s="152">
        <v>866.04</v>
      </c>
      <c r="BM42" s="152">
        <v>712940</v>
      </c>
    </row>
    <row r="43" spans="1:65">
      <c r="A43" s="152" t="s">
        <v>1094</v>
      </c>
      <c r="B43" s="152" t="s">
        <v>1095</v>
      </c>
      <c r="C43" s="152" t="s">
        <v>1096</v>
      </c>
      <c r="D43" s="152" t="s">
        <v>1097</v>
      </c>
      <c r="E43" s="152" t="s">
        <v>1097</v>
      </c>
      <c r="F43" s="152">
        <v>1976</v>
      </c>
      <c r="G43" s="152">
        <v>476</v>
      </c>
      <c r="H43" s="152" t="s">
        <v>1098</v>
      </c>
      <c r="I43" s="152">
        <v>198847</v>
      </c>
      <c r="J43" s="152">
        <v>143.9</v>
      </c>
      <c r="K43" s="152">
        <v>86383</v>
      </c>
      <c r="L43" s="159" t="s">
        <v>856</v>
      </c>
      <c r="M43" s="152" t="s">
        <v>92</v>
      </c>
      <c r="N43" s="152" t="s">
        <v>92</v>
      </c>
      <c r="O43" s="159" t="s">
        <v>856</v>
      </c>
      <c r="P43" s="159" t="s">
        <v>856</v>
      </c>
      <c r="Q43" s="152" t="s">
        <v>92</v>
      </c>
      <c r="R43" s="152" t="s">
        <v>92</v>
      </c>
      <c r="S43" s="159" t="s">
        <v>856</v>
      </c>
      <c r="T43" s="159" t="s">
        <v>989</v>
      </c>
      <c r="U43" s="159" t="s">
        <v>990</v>
      </c>
      <c r="V43" s="152" t="s">
        <v>991</v>
      </c>
      <c r="W43" s="152" t="s">
        <v>858</v>
      </c>
      <c r="X43" s="152" t="s">
        <v>1083</v>
      </c>
      <c r="Y43" s="152">
        <v>0</v>
      </c>
      <c r="Z43" s="152">
        <v>2</v>
      </c>
      <c r="AA43" s="152" t="s">
        <v>92</v>
      </c>
      <c r="AB43" s="152">
        <v>273.24</v>
      </c>
      <c r="AC43" s="152">
        <v>2</v>
      </c>
      <c r="AD43" s="152" t="s">
        <v>861</v>
      </c>
      <c r="AE43" s="152">
        <v>218.91</v>
      </c>
      <c r="AF43" s="152">
        <v>54.33</v>
      </c>
      <c r="AG43" s="152" t="s">
        <v>861</v>
      </c>
      <c r="AH43" s="152" t="s">
        <v>861</v>
      </c>
      <c r="AI43" s="152" t="s">
        <v>92</v>
      </c>
      <c r="AK43" s="152" t="s">
        <v>884</v>
      </c>
      <c r="AL43" s="159" t="s">
        <v>856</v>
      </c>
      <c r="AP43" s="159" t="s">
        <v>856</v>
      </c>
      <c r="AQ43" s="159" t="s">
        <v>856</v>
      </c>
      <c r="AR43" s="152" t="s">
        <v>1099</v>
      </c>
      <c r="AS43" s="159" t="s">
        <v>865</v>
      </c>
      <c r="AT43" s="152" t="str">
        <f t="shared" si="3"/>
        <v>RPM6-020119</v>
      </c>
      <c r="AU43" s="152" t="str">
        <f t="shared" si="4"/>
        <v>SELVIN AURELIO MÉNDEZ HERNÁNDEZ Y CDÑA</v>
      </c>
      <c r="AV43" s="152">
        <v>3899.2</v>
      </c>
      <c r="AW43" s="152">
        <v>725837</v>
      </c>
      <c r="AX43" s="152">
        <v>74.25</v>
      </c>
      <c r="AY43" s="152">
        <v>725838</v>
      </c>
      <c r="AZ43" s="152" t="s">
        <v>864</v>
      </c>
      <c r="BA43" s="152" t="str">
        <f t="shared" si="5"/>
        <v>L19-520-MP083</v>
      </c>
      <c r="BB43" s="152">
        <v>0</v>
      </c>
      <c r="BC43" s="157">
        <v>43630</v>
      </c>
      <c r="BD43" s="157">
        <v>43630</v>
      </c>
      <c r="BE43" s="158">
        <v>683100</v>
      </c>
      <c r="BF43" s="152" t="s">
        <v>1100</v>
      </c>
      <c r="BG43" s="152" t="s">
        <v>1101</v>
      </c>
      <c r="BH43" s="152">
        <v>218.91</v>
      </c>
      <c r="BI43" s="152">
        <v>54.33</v>
      </c>
      <c r="BJ43" s="152">
        <v>0</v>
      </c>
      <c r="BK43" s="152" t="s">
        <v>995</v>
      </c>
      <c r="BL43" s="152">
        <v>286.82</v>
      </c>
      <c r="BM43" s="152">
        <v>809891</v>
      </c>
    </row>
    <row r="44" spans="1:65">
      <c r="A44" s="152" t="s">
        <v>1102</v>
      </c>
      <c r="B44" s="152" t="s">
        <v>1103</v>
      </c>
      <c r="C44" s="152" t="s">
        <v>1104</v>
      </c>
      <c r="D44" s="152" t="s">
        <v>1105</v>
      </c>
      <c r="E44" s="152" t="s">
        <v>1106</v>
      </c>
      <c r="F44" s="152">
        <v>97657</v>
      </c>
      <c r="G44" s="152">
        <v>18</v>
      </c>
      <c r="H44" s="152">
        <v>389</v>
      </c>
      <c r="I44" s="152">
        <v>7941</v>
      </c>
      <c r="J44" s="152">
        <v>131</v>
      </c>
      <c r="K44" s="152">
        <v>85933</v>
      </c>
      <c r="L44" s="159" t="s">
        <v>1107</v>
      </c>
      <c r="M44" s="152" t="s">
        <v>92</v>
      </c>
      <c r="N44" s="152" t="s">
        <v>883</v>
      </c>
      <c r="O44" s="152">
        <v>4591</v>
      </c>
      <c r="P44" s="159" t="s">
        <v>1107</v>
      </c>
      <c r="Q44" s="152" t="s">
        <v>92</v>
      </c>
      <c r="R44" s="152" t="s">
        <v>883</v>
      </c>
      <c r="S44" s="152">
        <v>4591</v>
      </c>
      <c r="T44" s="159" t="s">
        <v>856</v>
      </c>
      <c r="U44" s="159" t="s">
        <v>856</v>
      </c>
      <c r="V44" s="152" t="s">
        <v>1108</v>
      </c>
      <c r="W44" s="152" t="s">
        <v>858</v>
      </c>
      <c r="X44" s="152" t="s">
        <v>902</v>
      </c>
      <c r="Y44" s="152">
        <v>0</v>
      </c>
      <c r="Z44" s="152">
        <v>1</v>
      </c>
      <c r="AA44" s="152" t="s">
        <v>92</v>
      </c>
      <c r="AB44" s="152">
        <v>60.01</v>
      </c>
      <c r="AC44" s="152">
        <v>1</v>
      </c>
      <c r="AD44" s="152" t="s">
        <v>861</v>
      </c>
      <c r="AE44" s="152">
        <v>39.79</v>
      </c>
      <c r="AF44" s="152">
        <v>20.22</v>
      </c>
      <c r="AG44" s="152" t="s">
        <v>861</v>
      </c>
      <c r="AH44" s="152" t="s">
        <v>861</v>
      </c>
      <c r="AI44" s="152" t="s">
        <v>92</v>
      </c>
      <c r="AJ44" s="152" t="s">
        <v>92</v>
      </c>
      <c r="AK44" s="152" t="s">
        <v>884</v>
      </c>
      <c r="AL44" s="159" t="s">
        <v>856</v>
      </c>
      <c r="AP44" s="159" t="s">
        <v>856</v>
      </c>
      <c r="AQ44" s="159" t="s">
        <v>856</v>
      </c>
      <c r="AR44" s="152" t="s">
        <v>1109</v>
      </c>
      <c r="AS44" s="159" t="s">
        <v>865</v>
      </c>
      <c r="AT44" s="152" t="str">
        <f t="shared" si="3"/>
        <v>VUP7-020619</v>
      </c>
      <c r="AU44" s="152" t="str">
        <f t="shared" si="4"/>
        <v>OLGA MARINA PINTO DIAZ DE LOPEZ</v>
      </c>
      <c r="AV44" s="152">
        <v>591.74</v>
      </c>
      <c r="AW44" s="152">
        <v>816939</v>
      </c>
      <c r="AX44" s="152">
        <v>76.900000000000006</v>
      </c>
      <c r="AY44" s="152">
        <v>816938</v>
      </c>
      <c r="AZ44" s="152" t="s">
        <v>864</v>
      </c>
      <c r="BA44" s="152" t="str">
        <f t="shared" si="5"/>
        <v>L19-586-MP085</v>
      </c>
      <c r="BB44" s="152">
        <v>24</v>
      </c>
      <c r="BC44" s="157">
        <v>43784</v>
      </c>
      <c r="BD44" s="157">
        <v>44150</v>
      </c>
      <c r="BE44" s="158">
        <v>90340</v>
      </c>
      <c r="BF44" s="152" t="s">
        <v>1110</v>
      </c>
      <c r="BG44" s="152" t="s">
        <v>1111</v>
      </c>
      <c r="BH44" s="152">
        <v>39.79</v>
      </c>
      <c r="BI44" s="152">
        <v>20.22</v>
      </c>
      <c r="BJ44" s="152">
        <v>0</v>
      </c>
      <c r="BK44" s="152" t="s">
        <v>995</v>
      </c>
      <c r="BL44" s="152">
        <v>65.069999999999993</v>
      </c>
      <c r="BM44" s="152">
        <v>816937</v>
      </c>
    </row>
    <row r="45" spans="1:65">
      <c r="A45" s="152" t="s">
        <v>1112</v>
      </c>
      <c r="B45" s="152" t="s">
        <v>1113</v>
      </c>
      <c r="C45" s="152" t="s">
        <v>1114</v>
      </c>
      <c r="D45" s="152" t="s">
        <v>1122</v>
      </c>
      <c r="E45" s="152" t="s">
        <v>1115</v>
      </c>
      <c r="F45" s="152">
        <v>1616</v>
      </c>
      <c r="G45" s="152">
        <v>116</v>
      </c>
      <c r="H45" s="152" t="s">
        <v>1116</v>
      </c>
      <c r="I45" s="152">
        <v>199781</v>
      </c>
      <c r="J45" s="152">
        <v>152.5</v>
      </c>
      <c r="K45" s="152">
        <v>87142</v>
      </c>
      <c r="L45" s="159" t="s">
        <v>856</v>
      </c>
      <c r="M45" s="152" t="s">
        <v>92</v>
      </c>
      <c r="N45" s="152" t="s">
        <v>92</v>
      </c>
      <c r="O45" s="159" t="s">
        <v>856</v>
      </c>
      <c r="P45" s="159" t="s">
        <v>856</v>
      </c>
      <c r="Q45" s="152" t="s">
        <v>92</v>
      </c>
      <c r="R45" s="152" t="s">
        <v>92</v>
      </c>
      <c r="S45" s="159" t="s">
        <v>856</v>
      </c>
      <c r="T45" s="159" t="s">
        <v>856</v>
      </c>
      <c r="U45" s="159" t="s">
        <v>856</v>
      </c>
      <c r="V45" s="152" t="s">
        <v>857</v>
      </c>
      <c r="W45" s="152" t="s">
        <v>858</v>
      </c>
      <c r="X45" s="152" t="s">
        <v>1083</v>
      </c>
      <c r="Y45" s="152">
        <v>29.72</v>
      </c>
      <c r="Z45" s="152">
        <v>1</v>
      </c>
      <c r="AA45" s="152" t="s">
        <v>92</v>
      </c>
      <c r="AB45" s="152">
        <v>71.03</v>
      </c>
      <c r="AC45" s="152">
        <v>1</v>
      </c>
      <c r="AD45" s="152" t="s">
        <v>861</v>
      </c>
      <c r="AE45" s="152">
        <v>71.03</v>
      </c>
      <c r="AF45" s="152">
        <v>0</v>
      </c>
      <c r="AG45" s="152">
        <v>68.52</v>
      </c>
      <c r="AH45" s="152" t="s">
        <v>861</v>
      </c>
      <c r="AI45" s="152" t="s">
        <v>92</v>
      </c>
      <c r="AJ45" s="152" t="s">
        <v>92</v>
      </c>
      <c r="AK45" s="152" t="s">
        <v>884</v>
      </c>
      <c r="AL45" s="159" t="s">
        <v>856</v>
      </c>
      <c r="AP45" s="159" t="s">
        <v>856</v>
      </c>
      <c r="AQ45" s="159" t="s">
        <v>856</v>
      </c>
      <c r="AR45" s="152" t="s">
        <v>992</v>
      </c>
      <c r="AS45" s="159" t="s">
        <v>865</v>
      </c>
      <c r="AT45" s="152" t="str">
        <f t="shared" si="3"/>
        <v>RPC7-090519</v>
      </c>
      <c r="AU45" s="152" t="str">
        <f t="shared" si="4"/>
        <v>GUADALUPE VALENTINA ALVARADO DE CIFUENTES</v>
      </c>
      <c r="AV45" s="152">
        <v>774.22</v>
      </c>
      <c r="AW45" s="152">
        <v>800845</v>
      </c>
      <c r="AX45" s="152">
        <v>39.4</v>
      </c>
      <c r="AY45" s="152">
        <v>800844</v>
      </c>
      <c r="AZ45" s="152" t="s">
        <v>864</v>
      </c>
      <c r="BA45" s="152" t="str">
        <f t="shared" si="5"/>
        <v>L19-969-MP104</v>
      </c>
      <c r="BB45" s="152">
        <v>0</v>
      </c>
      <c r="BC45" s="157">
        <v>43703</v>
      </c>
      <c r="BD45" s="157">
        <v>43703</v>
      </c>
      <c r="BE45" s="158">
        <v>152460.25</v>
      </c>
      <c r="BF45" s="152" t="s">
        <v>1117</v>
      </c>
      <c r="BG45" s="152" t="s">
        <v>894</v>
      </c>
      <c r="BH45" s="152">
        <v>71.03</v>
      </c>
      <c r="BI45" s="152">
        <v>0</v>
      </c>
      <c r="BJ45" s="152">
        <v>0</v>
      </c>
      <c r="BK45" s="152" t="s">
        <v>132</v>
      </c>
      <c r="BL45" s="152">
        <v>71.03</v>
      </c>
      <c r="BM45" s="152">
        <v>576827</v>
      </c>
    </row>
    <row r="46" spans="1:65">
      <c r="A46" s="152" t="s">
        <v>1118</v>
      </c>
      <c r="B46" s="152" t="s">
        <v>1119</v>
      </c>
      <c r="C46" s="152" t="s">
        <v>1120</v>
      </c>
      <c r="D46" s="152" t="s">
        <v>1121</v>
      </c>
      <c r="E46" s="152" t="s">
        <v>1121</v>
      </c>
      <c r="F46" s="159" t="s">
        <v>856</v>
      </c>
      <c r="G46" s="159" t="s">
        <v>856</v>
      </c>
      <c r="H46" s="159" t="s">
        <v>856</v>
      </c>
      <c r="I46" s="152">
        <v>198855</v>
      </c>
      <c r="J46" s="152">
        <v>135</v>
      </c>
      <c r="K46" s="152">
        <v>86389</v>
      </c>
      <c r="L46" s="159" t="s">
        <v>856</v>
      </c>
      <c r="M46" s="152" t="s">
        <v>92</v>
      </c>
      <c r="N46" s="152" t="s">
        <v>92</v>
      </c>
      <c r="O46" s="159" t="s">
        <v>856</v>
      </c>
      <c r="P46" s="159" t="s">
        <v>856</v>
      </c>
      <c r="Q46" s="152" t="s">
        <v>92</v>
      </c>
      <c r="R46" s="152" t="s">
        <v>92</v>
      </c>
      <c r="S46" s="159" t="s">
        <v>856</v>
      </c>
      <c r="T46" s="159" t="s">
        <v>856</v>
      </c>
      <c r="U46" s="159" t="s">
        <v>856</v>
      </c>
      <c r="V46" s="152" t="s">
        <v>1123</v>
      </c>
      <c r="W46" s="152" t="s">
        <v>1124</v>
      </c>
      <c r="X46" s="152" t="s">
        <v>1125</v>
      </c>
      <c r="Y46" s="152">
        <v>84</v>
      </c>
      <c r="Z46" s="152">
        <v>0</v>
      </c>
      <c r="AA46" s="152" t="s">
        <v>92</v>
      </c>
      <c r="AB46" s="152">
        <v>0</v>
      </c>
      <c r="AC46" s="152">
        <v>1</v>
      </c>
      <c r="AD46" s="152" t="s">
        <v>861</v>
      </c>
      <c r="AE46" s="152">
        <v>0</v>
      </c>
      <c r="AF46" s="152">
        <v>0</v>
      </c>
      <c r="AG46" s="152" t="s">
        <v>861</v>
      </c>
      <c r="AH46" s="152" t="s">
        <v>861</v>
      </c>
      <c r="AI46" s="152" t="s">
        <v>92</v>
      </c>
      <c r="AJ46" s="152" t="s">
        <v>92</v>
      </c>
      <c r="AK46" s="152" t="s">
        <v>862</v>
      </c>
      <c r="AL46" s="159" t="s">
        <v>856</v>
      </c>
      <c r="AP46" s="159" t="s">
        <v>856</v>
      </c>
      <c r="AQ46" s="159" t="s">
        <v>856</v>
      </c>
      <c r="AR46" s="152" t="s">
        <v>873</v>
      </c>
      <c r="AS46" s="159" t="s">
        <v>865</v>
      </c>
      <c r="AT46" s="152" t="str">
        <f t="shared" si="3"/>
        <v>RP-69-0917</v>
      </c>
      <c r="AU46" s="152" t="str">
        <f t="shared" si="4"/>
        <v>MARLENE KAREN ARREAGA GRAMAJO DE MARTINEZ</v>
      </c>
      <c r="AV46" s="152">
        <v>188.16</v>
      </c>
      <c r="AW46" s="152">
        <v>660065</v>
      </c>
      <c r="AX46" s="159" t="s">
        <v>856</v>
      </c>
      <c r="AY46" s="159" t="s">
        <v>856</v>
      </c>
      <c r="AZ46" s="152" t="s">
        <v>864</v>
      </c>
      <c r="BA46" s="152" t="str">
        <f t="shared" si="5"/>
        <v>L18-958-P216</v>
      </c>
      <c r="BB46" s="152">
        <v>0</v>
      </c>
      <c r="BC46" s="157">
        <v>43117</v>
      </c>
      <c r="BD46" s="157">
        <v>43117</v>
      </c>
      <c r="BE46" s="158">
        <v>8400</v>
      </c>
      <c r="BF46" s="152" t="s">
        <v>886</v>
      </c>
    </row>
    <row r="47" spans="1:65">
      <c r="A47" s="152" t="s">
        <v>1126</v>
      </c>
      <c r="B47" s="152" t="s">
        <v>1127</v>
      </c>
      <c r="C47" s="152" t="s">
        <v>1128</v>
      </c>
      <c r="D47" s="152" t="s">
        <v>1129</v>
      </c>
      <c r="E47" s="152" t="s">
        <v>1130</v>
      </c>
      <c r="F47" s="152">
        <v>4520</v>
      </c>
      <c r="G47" s="152">
        <v>20</v>
      </c>
      <c r="H47" s="152" t="s">
        <v>1131</v>
      </c>
      <c r="I47" s="152">
        <v>194822</v>
      </c>
      <c r="J47" s="152">
        <v>218.5</v>
      </c>
      <c r="K47" s="152">
        <v>83468</v>
      </c>
      <c r="L47" s="159" t="s">
        <v>1132</v>
      </c>
      <c r="M47" s="152" t="s">
        <v>883</v>
      </c>
      <c r="N47" s="152" t="s">
        <v>92</v>
      </c>
      <c r="O47" s="159">
        <v>11249</v>
      </c>
      <c r="P47" s="159" t="s">
        <v>1132</v>
      </c>
      <c r="Q47" s="152" t="s">
        <v>883</v>
      </c>
      <c r="R47" s="152" t="s">
        <v>92</v>
      </c>
      <c r="S47" s="159">
        <v>11249</v>
      </c>
      <c r="T47" s="159" t="s">
        <v>856</v>
      </c>
      <c r="U47" s="159" t="s">
        <v>856</v>
      </c>
      <c r="V47" s="152" t="s">
        <v>857</v>
      </c>
      <c r="W47" s="152" t="s">
        <v>858</v>
      </c>
      <c r="X47" s="152" t="s">
        <v>1083</v>
      </c>
      <c r="Y47" s="152">
        <v>96.32</v>
      </c>
      <c r="Z47" s="152">
        <v>1</v>
      </c>
      <c r="AA47" s="152" t="s">
        <v>883</v>
      </c>
      <c r="AB47" s="152">
        <v>218.99</v>
      </c>
      <c r="AC47" s="152">
        <v>2</v>
      </c>
      <c r="AD47" s="152" t="s">
        <v>861</v>
      </c>
      <c r="AE47" s="152">
        <v>218.99</v>
      </c>
      <c r="AF47" s="152">
        <v>0</v>
      </c>
      <c r="AG47" s="152">
        <v>89.34</v>
      </c>
      <c r="AH47" s="152" t="s">
        <v>861</v>
      </c>
      <c r="AI47" s="152" t="s">
        <v>92</v>
      </c>
      <c r="AJ47" s="152" t="s">
        <v>92</v>
      </c>
      <c r="AK47" s="152" t="s">
        <v>862</v>
      </c>
      <c r="AL47" s="159" t="s">
        <v>856</v>
      </c>
      <c r="AP47" s="159" t="s">
        <v>856</v>
      </c>
      <c r="AQ47" s="159" t="s">
        <v>856</v>
      </c>
      <c r="AR47" s="152" t="s">
        <v>1133</v>
      </c>
      <c r="AS47" s="159" t="s">
        <v>865</v>
      </c>
      <c r="AT47" s="152" t="str">
        <f t="shared" si="3"/>
        <v>RPNL10-221020</v>
      </c>
      <c r="AU47" s="152" t="str">
        <f t="shared" si="4"/>
        <v>MARIA DELFINA LOPEZ LOPEZ Y CDÑO</v>
      </c>
      <c r="AV47" s="152">
        <v>2948.06</v>
      </c>
      <c r="AW47" s="152">
        <v>731131</v>
      </c>
      <c r="AX47" s="152">
        <v>52.25</v>
      </c>
      <c r="AY47" s="152">
        <v>731131</v>
      </c>
      <c r="AZ47" s="152" t="s">
        <v>864</v>
      </c>
      <c r="BA47" s="152" t="str">
        <f t="shared" si="5"/>
        <v>L21-143-MP002</v>
      </c>
      <c r="BB47" s="152">
        <v>0</v>
      </c>
      <c r="BC47" s="157">
        <v>44253</v>
      </c>
      <c r="BD47" s="157">
        <v>44253</v>
      </c>
      <c r="BE47" s="158">
        <v>581187</v>
      </c>
      <c r="BF47" s="152" t="s">
        <v>1134</v>
      </c>
      <c r="BG47" s="152" t="s">
        <v>894</v>
      </c>
      <c r="BH47" s="152">
        <v>218.99</v>
      </c>
      <c r="BI47" s="152">
        <v>0</v>
      </c>
      <c r="BJ47" s="152">
        <v>0</v>
      </c>
      <c r="BK47" s="152" t="s">
        <v>132</v>
      </c>
      <c r="BL47" s="152">
        <v>218.99</v>
      </c>
      <c r="BM47" s="152">
        <v>731131</v>
      </c>
    </row>
    <row r="48" spans="1:65">
      <c r="A48" s="152" t="s">
        <v>1135</v>
      </c>
      <c r="B48" s="152" t="s">
        <v>1136</v>
      </c>
      <c r="C48" s="152" t="s">
        <v>1137</v>
      </c>
      <c r="D48" s="152" t="s">
        <v>1138</v>
      </c>
      <c r="E48" s="152" t="s">
        <v>1138</v>
      </c>
      <c r="F48" s="152">
        <v>95491</v>
      </c>
      <c r="G48" s="152">
        <v>259</v>
      </c>
      <c r="H48" s="152">
        <v>381</v>
      </c>
      <c r="I48" s="152">
        <v>5831</v>
      </c>
      <c r="J48" s="152">
        <v>436.81</v>
      </c>
      <c r="K48" s="152">
        <v>58961</v>
      </c>
      <c r="L48" s="159" t="s">
        <v>1139</v>
      </c>
      <c r="M48" s="152" t="s">
        <v>883</v>
      </c>
      <c r="N48" s="152" t="s">
        <v>92</v>
      </c>
      <c r="O48" s="159">
        <v>17127</v>
      </c>
      <c r="P48" s="159" t="s">
        <v>1139</v>
      </c>
      <c r="Q48" s="152" t="s">
        <v>883</v>
      </c>
      <c r="R48" s="152" t="s">
        <v>92</v>
      </c>
      <c r="S48" s="159">
        <v>17127</v>
      </c>
      <c r="T48" s="159" t="s">
        <v>856</v>
      </c>
      <c r="U48" s="159" t="s">
        <v>856</v>
      </c>
      <c r="V48" s="152" t="s">
        <v>1140</v>
      </c>
      <c r="W48" s="152" t="s">
        <v>858</v>
      </c>
      <c r="X48" s="152" t="s">
        <v>1083</v>
      </c>
      <c r="Y48" s="152">
        <v>0</v>
      </c>
      <c r="Z48" s="152">
        <v>1</v>
      </c>
      <c r="AA48" s="152" t="s">
        <v>92</v>
      </c>
      <c r="AB48" s="152">
        <v>74.55</v>
      </c>
      <c r="AC48" s="152">
        <v>1</v>
      </c>
      <c r="AD48" s="152" t="s">
        <v>861</v>
      </c>
      <c r="AE48" s="152">
        <v>74.55</v>
      </c>
      <c r="AF48" s="152">
        <v>0</v>
      </c>
      <c r="AG48" s="152">
        <v>177.85</v>
      </c>
      <c r="AH48" s="152">
        <v>21.84</v>
      </c>
      <c r="AI48" s="152" t="s">
        <v>883</v>
      </c>
      <c r="AJ48" s="152" t="s">
        <v>92</v>
      </c>
      <c r="AK48" s="152" t="s">
        <v>942</v>
      </c>
      <c r="AL48" s="159" t="s">
        <v>856</v>
      </c>
      <c r="AP48" s="159" t="s">
        <v>856</v>
      </c>
      <c r="AQ48" s="159" t="s">
        <v>856</v>
      </c>
      <c r="AR48" s="152" t="s">
        <v>1034</v>
      </c>
      <c r="AS48" s="159" t="s">
        <v>865</v>
      </c>
      <c r="AT48" s="152" t="str">
        <f t="shared" si="3"/>
        <v>RPNA3-091120</v>
      </c>
      <c r="AU48" s="152" t="str">
        <f t="shared" si="4"/>
        <v>JULIO RENE AGUILAR MORALES</v>
      </c>
      <c r="AV48" s="152">
        <v>751.46</v>
      </c>
      <c r="AW48" s="152">
        <v>731205</v>
      </c>
      <c r="AX48" s="159" t="s">
        <v>856</v>
      </c>
      <c r="AY48" s="159" t="s">
        <v>856</v>
      </c>
      <c r="AZ48" s="152" t="s">
        <v>864</v>
      </c>
      <c r="BA48" s="152" t="str">
        <f t="shared" si="5"/>
        <v>L21-212-MP005</v>
      </c>
      <c r="BB48" s="152">
        <v>0</v>
      </c>
      <c r="BC48" s="157">
        <v>44253</v>
      </c>
      <c r="BD48" s="157">
        <v>44253</v>
      </c>
      <c r="BE48" s="158">
        <v>149100</v>
      </c>
      <c r="BF48" s="152" t="s">
        <v>1141</v>
      </c>
      <c r="BG48" s="152" t="s">
        <v>1142</v>
      </c>
      <c r="BH48" s="152">
        <v>74.55</v>
      </c>
      <c r="BI48" s="152">
        <v>0</v>
      </c>
      <c r="BJ48" s="152">
        <v>0</v>
      </c>
      <c r="BK48" s="152" t="s">
        <v>132</v>
      </c>
      <c r="BL48" s="152">
        <v>75.55</v>
      </c>
      <c r="BM48" s="152">
        <v>731205</v>
      </c>
    </row>
    <row r="49" spans="1:65">
      <c r="A49" s="152" t="s">
        <v>1143</v>
      </c>
      <c r="B49" s="152" t="s">
        <v>1144</v>
      </c>
      <c r="C49" s="152" t="s">
        <v>1145</v>
      </c>
      <c r="D49" s="152" t="s">
        <v>1146</v>
      </c>
      <c r="E49" s="152" t="s">
        <v>1146</v>
      </c>
      <c r="F49" s="152">
        <v>6004</v>
      </c>
      <c r="G49" s="152">
        <v>4</v>
      </c>
      <c r="H49" s="152" t="s">
        <v>1147</v>
      </c>
      <c r="I49" s="152">
        <v>194343</v>
      </c>
      <c r="J49" s="152">
        <v>250</v>
      </c>
      <c r="K49" s="152">
        <v>83112</v>
      </c>
      <c r="L49" s="159" t="s">
        <v>1148</v>
      </c>
      <c r="M49" s="152" t="s">
        <v>92</v>
      </c>
      <c r="N49" s="152" t="s">
        <v>883</v>
      </c>
      <c r="O49" s="159">
        <v>5991</v>
      </c>
      <c r="P49" s="159" t="s">
        <v>1148</v>
      </c>
      <c r="Q49" s="152" t="s">
        <v>92</v>
      </c>
      <c r="R49" s="152" t="s">
        <v>883</v>
      </c>
      <c r="S49" s="159">
        <v>5991</v>
      </c>
      <c r="T49" s="159" t="s">
        <v>856</v>
      </c>
      <c r="U49" s="159" t="s">
        <v>856</v>
      </c>
      <c r="V49" s="152" t="s">
        <v>1149</v>
      </c>
      <c r="W49" s="152" t="s">
        <v>858</v>
      </c>
      <c r="X49" s="152" t="s">
        <v>1083</v>
      </c>
      <c r="Y49" s="152">
        <v>29.81</v>
      </c>
      <c r="Z49" s="152">
        <v>3</v>
      </c>
      <c r="AA49" s="152" t="s">
        <v>883</v>
      </c>
      <c r="AB49" s="152">
        <v>418.34</v>
      </c>
      <c r="AC49" s="152">
        <v>2</v>
      </c>
      <c r="AD49" s="152" t="s">
        <v>861</v>
      </c>
      <c r="AE49" s="152">
        <v>418.34</v>
      </c>
      <c r="AF49" s="152">
        <v>0</v>
      </c>
      <c r="AG49" s="152">
        <v>37.5</v>
      </c>
      <c r="AH49" s="152">
        <v>12.88</v>
      </c>
      <c r="AI49" s="152" t="s">
        <v>883</v>
      </c>
      <c r="AJ49" s="152" t="s">
        <v>92</v>
      </c>
      <c r="AK49" s="152" t="s">
        <v>942</v>
      </c>
      <c r="AL49" s="159" t="s">
        <v>856</v>
      </c>
      <c r="AP49" s="159" t="s">
        <v>856</v>
      </c>
      <c r="AQ49" s="159" t="s">
        <v>856</v>
      </c>
      <c r="AR49" s="152" t="s">
        <v>1150</v>
      </c>
      <c r="AS49" s="159" t="s">
        <v>865</v>
      </c>
      <c r="AT49" s="152" t="str">
        <f t="shared" si="3"/>
        <v>VUNS1-010620</v>
      </c>
      <c r="AU49" s="152" t="str">
        <f t="shared" si="4"/>
        <v>MARIA MAGDALENA SAY SOC Y CONDUEÑO</v>
      </c>
      <c r="AV49" s="152">
        <v>5329.52</v>
      </c>
      <c r="AW49" s="152">
        <v>577196</v>
      </c>
      <c r="AX49" s="159" t="s">
        <v>856</v>
      </c>
      <c r="AY49" s="159" t="s">
        <v>856</v>
      </c>
      <c r="AZ49" s="152" t="s">
        <v>864</v>
      </c>
      <c r="BA49" s="152" t="str">
        <f t="shared" si="5"/>
        <v>L21-007-MP052</v>
      </c>
      <c r="BB49" s="152">
        <v>24</v>
      </c>
      <c r="BC49" s="157">
        <v>44201</v>
      </c>
      <c r="BD49" s="157">
        <v>44566</v>
      </c>
      <c r="BE49" s="158">
        <v>1056284.3799999999</v>
      </c>
      <c r="BF49" s="152" t="s">
        <v>1151</v>
      </c>
      <c r="BG49" s="152" t="s">
        <v>1152</v>
      </c>
      <c r="BH49" s="152">
        <v>418.34</v>
      </c>
      <c r="BI49" s="152">
        <v>0</v>
      </c>
      <c r="BJ49" s="152">
        <v>0</v>
      </c>
      <c r="BK49" s="152" t="s">
        <v>132</v>
      </c>
      <c r="BL49" s="152">
        <v>418.34</v>
      </c>
      <c r="BM49" s="152">
        <v>577196</v>
      </c>
    </row>
    <row r="50" spans="1:65">
      <c r="A50" s="152" t="s">
        <v>1153</v>
      </c>
      <c r="B50" s="152" t="s">
        <v>1154</v>
      </c>
      <c r="C50" s="152" t="s">
        <v>1155</v>
      </c>
      <c r="D50" s="152" t="s">
        <v>1156</v>
      </c>
      <c r="E50" s="152" t="s">
        <v>1156</v>
      </c>
      <c r="F50" s="152">
        <v>306036</v>
      </c>
      <c r="G50" s="152">
        <v>226</v>
      </c>
      <c r="H50" s="152">
        <v>736</v>
      </c>
      <c r="I50" s="152">
        <v>175620</v>
      </c>
      <c r="J50" s="152">
        <v>200</v>
      </c>
      <c r="K50" s="152">
        <v>69478</v>
      </c>
      <c r="L50" s="159" t="s">
        <v>1157</v>
      </c>
      <c r="M50" s="152" t="s">
        <v>92</v>
      </c>
      <c r="N50" s="152" t="s">
        <v>883</v>
      </c>
      <c r="O50" s="159">
        <v>3386</v>
      </c>
      <c r="P50" s="159" t="s">
        <v>1157</v>
      </c>
      <c r="Q50" s="152" t="s">
        <v>92</v>
      </c>
      <c r="R50" s="152" t="s">
        <v>883</v>
      </c>
      <c r="S50" s="159">
        <v>3386</v>
      </c>
      <c r="T50" s="159" t="s">
        <v>1158</v>
      </c>
      <c r="U50" s="159" t="s">
        <v>1159</v>
      </c>
      <c r="V50" s="152" t="s">
        <v>857</v>
      </c>
      <c r="W50" s="152" t="s">
        <v>858</v>
      </c>
      <c r="X50" s="152" t="s">
        <v>1083</v>
      </c>
      <c r="Y50" s="152">
        <v>127.4</v>
      </c>
      <c r="Z50" s="152">
        <v>1</v>
      </c>
      <c r="AA50" s="152" t="s">
        <v>92</v>
      </c>
      <c r="AB50" s="152">
        <v>419.03</v>
      </c>
      <c r="AC50" s="152">
        <v>3</v>
      </c>
      <c r="AD50" s="152" t="s">
        <v>861</v>
      </c>
      <c r="AE50" s="152">
        <v>419.03</v>
      </c>
      <c r="AF50" s="152">
        <v>0</v>
      </c>
      <c r="AG50" s="152">
        <v>40.64</v>
      </c>
      <c r="AH50" s="152" t="s">
        <v>861</v>
      </c>
      <c r="AI50" s="152" t="s">
        <v>92</v>
      </c>
      <c r="AJ50" s="152" t="s">
        <v>92</v>
      </c>
      <c r="AK50" s="152" t="s">
        <v>884</v>
      </c>
      <c r="AL50" s="159" t="s">
        <v>856</v>
      </c>
      <c r="AP50" s="159" t="s">
        <v>856</v>
      </c>
      <c r="AQ50" s="159" t="s">
        <v>856</v>
      </c>
      <c r="AR50" s="152" t="s">
        <v>992</v>
      </c>
      <c r="AS50" s="159" t="s">
        <v>865</v>
      </c>
      <c r="AT50" s="152" t="str">
        <f t="shared" si="3"/>
        <v>VUNG8-010920</v>
      </c>
      <c r="AU50" s="152" t="str">
        <f t="shared" si="4"/>
        <v>FULVIA JEANNETTE GOMEZ CASTILLO</v>
      </c>
      <c r="AV50" s="152">
        <v>6585.43</v>
      </c>
      <c r="AW50" s="152">
        <v>577665</v>
      </c>
      <c r="AX50" s="152">
        <v>51.3</v>
      </c>
      <c r="AY50" s="152">
        <v>577665</v>
      </c>
      <c r="AZ50" s="152" t="s">
        <v>864</v>
      </c>
      <c r="BA50" s="152" t="str">
        <f t="shared" si="5"/>
        <v>L21-014-MP038</v>
      </c>
      <c r="BB50" s="152">
        <v>50</v>
      </c>
      <c r="BC50" s="157">
        <v>44210</v>
      </c>
      <c r="BD50" s="157">
        <v>44269</v>
      </c>
      <c r="BE50" s="158">
        <v>1301678.25</v>
      </c>
      <c r="BF50" s="152" t="s">
        <v>1160</v>
      </c>
      <c r="BG50" s="152" t="s">
        <v>1161</v>
      </c>
      <c r="BH50" s="152">
        <v>419.03</v>
      </c>
      <c r="BI50" s="152">
        <v>0</v>
      </c>
      <c r="BJ50" s="152">
        <v>0</v>
      </c>
      <c r="BK50" s="152" t="s">
        <v>132</v>
      </c>
      <c r="BL50" s="152">
        <v>419.03</v>
      </c>
      <c r="BM50" s="152">
        <v>577665</v>
      </c>
    </row>
    <row r="51" spans="1:65">
      <c r="A51" s="152" t="s">
        <v>1162</v>
      </c>
      <c r="B51" s="152" t="s">
        <v>1163</v>
      </c>
      <c r="C51" s="152" t="s">
        <v>1164</v>
      </c>
      <c r="D51" s="152" t="s">
        <v>1165</v>
      </c>
      <c r="E51" s="152" t="s">
        <v>1166</v>
      </c>
      <c r="F51" s="152">
        <v>2179</v>
      </c>
      <c r="G51" s="152">
        <v>179</v>
      </c>
      <c r="H51" s="152">
        <v>225</v>
      </c>
      <c r="I51" s="152">
        <v>199433</v>
      </c>
      <c r="J51" s="152">
        <v>72.64</v>
      </c>
      <c r="K51" s="152">
        <v>86857</v>
      </c>
      <c r="L51" s="159" t="s">
        <v>1167</v>
      </c>
      <c r="M51" s="152" t="s">
        <v>883</v>
      </c>
      <c r="N51" s="152" t="s">
        <v>92</v>
      </c>
      <c r="O51" s="159" t="s">
        <v>856</v>
      </c>
      <c r="P51" s="159" t="s">
        <v>856</v>
      </c>
      <c r="Q51" s="152" t="s">
        <v>92</v>
      </c>
      <c r="R51" s="152" t="s">
        <v>92</v>
      </c>
      <c r="S51" s="159" t="s">
        <v>856</v>
      </c>
      <c r="T51" s="159" t="s">
        <v>856</v>
      </c>
      <c r="U51" s="159" t="s">
        <v>856</v>
      </c>
      <c r="V51" s="152" t="s">
        <v>857</v>
      </c>
      <c r="W51" s="152" t="s">
        <v>858</v>
      </c>
      <c r="X51" s="152" t="s">
        <v>1083</v>
      </c>
      <c r="Y51" s="152">
        <v>0</v>
      </c>
      <c r="Z51" s="152">
        <v>1</v>
      </c>
      <c r="AA51" s="152" t="s">
        <v>883</v>
      </c>
      <c r="AB51" s="152">
        <v>71.95</v>
      </c>
      <c r="AC51" s="152">
        <v>1</v>
      </c>
      <c r="AD51" s="152" t="s">
        <v>861</v>
      </c>
      <c r="AE51" s="152">
        <v>71.95</v>
      </c>
      <c r="AF51" s="152">
        <v>0</v>
      </c>
      <c r="AG51" s="152">
        <v>0</v>
      </c>
      <c r="AH51" s="152" t="s">
        <v>861</v>
      </c>
      <c r="AI51" s="152" t="s">
        <v>92</v>
      </c>
      <c r="AJ51" s="152" t="s">
        <v>92</v>
      </c>
      <c r="AK51" s="152" t="s">
        <v>912</v>
      </c>
      <c r="AL51" s="159" t="s">
        <v>856</v>
      </c>
      <c r="AP51" s="159" t="s">
        <v>856</v>
      </c>
      <c r="AQ51" s="159" t="s">
        <v>856</v>
      </c>
      <c r="AR51" s="152" t="s">
        <v>1168</v>
      </c>
      <c r="AS51" s="159" t="s">
        <v>865</v>
      </c>
      <c r="AT51" s="152" t="str">
        <f t="shared" si="3"/>
        <v>RPNC5-051020</v>
      </c>
      <c r="AU51" s="152" t="str">
        <f t="shared" si="4"/>
        <v>ENRIQUE ANTONIO CHACLAN SOLIS</v>
      </c>
      <c r="AV51" s="152">
        <v>797.21</v>
      </c>
      <c r="AW51" s="152">
        <v>647889</v>
      </c>
      <c r="AX51" s="159" t="s">
        <v>856</v>
      </c>
      <c r="AY51" s="159" t="s">
        <v>856</v>
      </c>
      <c r="AZ51" s="152" t="s">
        <v>864</v>
      </c>
      <c r="BA51" s="152" t="str">
        <f t="shared" si="5"/>
        <v>L21-072-MP085</v>
      </c>
      <c r="BB51" s="152">
        <v>0</v>
      </c>
      <c r="BC51" s="157">
        <v>44221</v>
      </c>
      <c r="BD51" s="157">
        <v>44221</v>
      </c>
      <c r="BE51" s="158">
        <v>143900</v>
      </c>
      <c r="BF51" s="152" t="s">
        <v>1169</v>
      </c>
      <c r="BG51" s="152" t="s">
        <v>894</v>
      </c>
      <c r="BH51" s="152">
        <v>71.95</v>
      </c>
      <c r="BI51" s="152">
        <v>0</v>
      </c>
      <c r="BJ51" s="152">
        <v>0</v>
      </c>
      <c r="BK51" s="152" t="s">
        <v>132</v>
      </c>
      <c r="BL51" s="152">
        <v>71.95</v>
      </c>
      <c r="BM51" s="152">
        <v>647889</v>
      </c>
    </row>
    <row r="52" spans="1:65">
      <c r="A52" s="152" t="s">
        <v>1170</v>
      </c>
      <c r="B52" s="152" t="s">
        <v>1171</v>
      </c>
      <c r="C52" s="152" t="s">
        <v>1172</v>
      </c>
      <c r="D52" s="152" t="s">
        <v>1173</v>
      </c>
      <c r="E52" s="152" t="s">
        <v>1173</v>
      </c>
      <c r="F52" s="152">
        <v>1372</v>
      </c>
      <c r="G52" s="152">
        <v>372</v>
      </c>
      <c r="H52" s="152" t="s">
        <v>1174</v>
      </c>
      <c r="I52" s="152">
        <v>197824</v>
      </c>
      <c r="J52" s="152">
        <v>113.32</v>
      </c>
      <c r="K52" s="152">
        <v>85437</v>
      </c>
      <c r="L52" s="159" t="s">
        <v>1175</v>
      </c>
      <c r="M52" s="152" t="s">
        <v>883</v>
      </c>
      <c r="N52" s="152" t="s">
        <v>92</v>
      </c>
      <c r="O52" s="159">
        <v>9716</v>
      </c>
      <c r="P52" s="159" t="s">
        <v>1175</v>
      </c>
      <c r="Q52" s="152" t="s">
        <v>883</v>
      </c>
      <c r="R52" s="152" t="s">
        <v>92</v>
      </c>
      <c r="S52" s="159">
        <v>9716</v>
      </c>
      <c r="T52" s="159" t="s">
        <v>856</v>
      </c>
      <c r="U52" s="159" t="s">
        <v>856</v>
      </c>
      <c r="V52" s="152" t="s">
        <v>857</v>
      </c>
      <c r="W52" s="152" t="s">
        <v>858</v>
      </c>
      <c r="X52" s="152" t="s">
        <v>882</v>
      </c>
      <c r="Y52" s="152">
        <v>19.079999999999998</v>
      </c>
      <c r="Z52" s="152">
        <v>1</v>
      </c>
      <c r="AA52" s="152" t="s">
        <v>92</v>
      </c>
      <c r="AB52" s="152">
        <v>177.58</v>
      </c>
      <c r="AC52" s="152">
        <v>2</v>
      </c>
      <c r="AD52" s="152" t="s">
        <v>861</v>
      </c>
      <c r="AE52" s="152">
        <v>177.58</v>
      </c>
      <c r="AF52" s="152">
        <v>0</v>
      </c>
      <c r="AG52" s="152">
        <v>20.92</v>
      </c>
      <c r="AH52" s="152" t="s">
        <v>861</v>
      </c>
      <c r="AI52" s="152" t="s">
        <v>92</v>
      </c>
      <c r="AJ52" s="152" t="s">
        <v>92</v>
      </c>
      <c r="AK52" s="152" t="s">
        <v>884</v>
      </c>
      <c r="AL52" s="159" t="s">
        <v>856</v>
      </c>
      <c r="AP52" s="159" t="s">
        <v>856</v>
      </c>
      <c r="AQ52" s="159" t="s">
        <v>856</v>
      </c>
      <c r="AR52" s="152" t="s">
        <v>992</v>
      </c>
      <c r="AS52" s="159" t="s">
        <v>865</v>
      </c>
      <c r="AT52" s="152" t="str">
        <f t="shared" si="3"/>
        <v>VUNV6-010920</v>
      </c>
      <c r="AU52" s="152" t="str">
        <f t="shared" si="4"/>
        <v>EDGAR ARNOLDO VILLATORO TARACENA</v>
      </c>
      <c r="AV52" s="152">
        <v>2274.9</v>
      </c>
      <c r="AW52" s="152">
        <v>575927</v>
      </c>
      <c r="AX52" s="152">
        <v>35.4</v>
      </c>
      <c r="AY52" s="152">
        <v>575927</v>
      </c>
      <c r="AZ52" s="152" t="s">
        <v>864</v>
      </c>
      <c r="BA52" s="152" t="str">
        <f t="shared" si="5"/>
        <v>L20-449-MP087</v>
      </c>
      <c r="BB52" s="152">
        <v>24</v>
      </c>
      <c r="BC52" s="157">
        <v>44183</v>
      </c>
      <c r="BD52" s="157">
        <v>44548</v>
      </c>
      <c r="BE52" s="158">
        <v>450626.25</v>
      </c>
      <c r="BF52" s="152" t="s">
        <v>1176</v>
      </c>
      <c r="BG52" s="152" t="s">
        <v>1161</v>
      </c>
      <c r="BH52" s="152">
        <v>177.58</v>
      </c>
      <c r="BI52" s="152">
        <v>0</v>
      </c>
      <c r="BJ52" s="152">
        <v>0</v>
      </c>
      <c r="BK52" s="152" t="s">
        <v>132</v>
      </c>
      <c r="BL52" s="152">
        <v>177.58</v>
      </c>
      <c r="BM52" s="152">
        <v>575927</v>
      </c>
    </row>
    <row r="53" spans="1:65">
      <c r="A53" s="152" t="s">
        <v>1177</v>
      </c>
      <c r="B53" s="152" t="s">
        <v>1178</v>
      </c>
      <c r="C53" s="152" t="s">
        <v>1179</v>
      </c>
      <c r="D53" s="152" t="s">
        <v>1180</v>
      </c>
      <c r="E53" s="152" t="s">
        <v>1181</v>
      </c>
      <c r="F53" s="152">
        <v>319840</v>
      </c>
      <c r="G53" s="152">
        <v>200</v>
      </c>
      <c r="H53" s="152">
        <v>784</v>
      </c>
      <c r="I53" s="152">
        <v>199457</v>
      </c>
      <c r="J53" s="152">
        <v>130.5</v>
      </c>
      <c r="K53" s="152">
        <v>86872</v>
      </c>
      <c r="L53" s="159" t="s">
        <v>1182</v>
      </c>
      <c r="M53" s="152" t="s">
        <v>883</v>
      </c>
      <c r="N53" s="152" t="s">
        <v>92</v>
      </c>
      <c r="O53" s="159">
        <v>8000</v>
      </c>
      <c r="P53" s="159" t="s">
        <v>1182</v>
      </c>
      <c r="Q53" s="152" t="s">
        <v>883</v>
      </c>
      <c r="R53" s="152" t="s">
        <v>92</v>
      </c>
      <c r="S53" s="159">
        <v>8000</v>
      </c>
      <c r="T53" s="159" t="s">
        <v>1183</v>
      </c>
      <c r="U53" s="159" t="s">
        <v>856</v>
      </c>
      <c r="V53" s="152" t="s">
        <v>857</v>
      </c>
      <c r="W53" s="152" t="s">
        <v>858</v>
      </c>
      <c r="X53" s="152" t="s">
        <v>882</v>
      </c>
      <c r="Y53" s="152">
        <v>0</v>
      </c>
      <c r="Z53" s="152">
        <v>1</v>
      </c>
      <c r="AA53" s="152" t="s">
        <v>92</v>
      </c>
      <c r="AB53" s="152">
        <v>130.91999999999999</v>
      </c>
      <c r="AC53" s="152">
        <v>2</v>
      </c>
      <c r="AD53" s="152" t="s">
        <v>861</v>
      </c>
      <c r="AE53" s="152">
        <v>130.91999999999999</v>
      </c>
      <c r="AF53" s="152">
        <v>0</v>
      </c>
      <c r="AG53" s="152">
        <v>57.59</v>
      </c>
      <c r="AH53" s="152" t="s">
        <v>861</v>
      </c>
      <c r="AI53" s="152" t="s">
        <v>92</v>
      </c>
      <c r="AJ53" s="152" t="s">
        <v>92</v>
      </c>
      <c r="AK53" s="152" t="s">
        <v>884</v>
      </c>
      <c r="AL53" s="159" t="s">
        <v>856</v>
      </c>
      <c r="AP53" s="159" t="s">
        <v>856</v>
      </c>
      <c r="AQ53" s="159" t="s">
        <v>856</v>
      </c>
      <c r="AR53" s="152" t="s">
        <v>1043</v>
      </c>
      <c r="AS53" s="159" t="s">
        <v>865</v>
      </c>
      <c r="AT53" s="152" t="str">
        <f t="shared" si="3"/>
        <v>VUND8-021020</v>
      </c>
      <c r="AU53" s="152" t="str">
        <f t="shared" si="4"/>
        <v>KAREN RUBI DE LEON ALVARADO</v>
      </c>
      <c r="AV53" s="152">
        <v>1649.59</v>
      </c>
      <c r="AW53" s="152">
        <v>577164</v>
      </c>
      <c r="AX53" s="152">
        <v>30.15</v>
      </c>
      <c r="AY53" s="152">
        <v>577164</v>
      </c>
      <c r="AZ53" s="152" t="s">
        <v>864</v>
      </c>
      <c r="BA53" s="152" t="str">
        <f t="shared" si="5"/>
        <v>L21-005-MP047</v>
      </c>
      <c r="BB53" s="152">
        <v>24</v>
      </c>
      <c r="BC53" s="157">
        <v>44200</v>
      </c>
      <c r="BD53" s="157">
        <v>44565</v>
      </c>
      <c r="BE53" s="158">
        <v>327300</v>
      </c>
      <c r="BF53" s="152" t="s">
        <v>1184</v>
      </c>
      <c r="BG53" s="152" t="s">
        <v>1161</v>
      </c>
      <c r="BH53" s="152">
        <v>130.91999999999999</v>
      </c>
      <c r="BI53" s="152">
        <v>0</v>
      </c>
      <c r="BJ53" s="152">
        <v>0</v>
      </c>
      <c r="BK53" s="152" t="s">
        <v>132</v>
      </c>
      <c r="BL53" s="152">
        <v>130.91999999999999</v>
      </c>
      <c r="BM53" s="152">
        <v>577164</v>
      </c>
    </row>
    <row r="54" spans="1:65">
      <c r="A54" s="152" t="s">
        <v>1185</v>
      </c>
      <c r="B54" s="152" t="s">
        <v>1186</v>
      </c>
      <c r="C54" s="152" t="s">
        <v>1187</v>
      </c>
      <c r="D54" s="152" t="s">
        <v>1188</v>
      </c>
      <c r="E54" s="152" t="s">
        <v>1189</v>
      </c>
      <c r="F54" s="152">
        <v>11582</v>
      </c>
      <c r="G54" s="152">
        <v>82</v>
      </c>
      <c r="H54" s="152" t="s">
        <v>1190</v>
      </c>
      <c r="I54" s="152">
        <v>199351</v>
      </c>
      <c r="J54" s="152">
        <v>180</v>
      </c>
      <c r="K54" s="152">
        <v>86788</v>
      </c>
      <c r="L54" s="159" t="s">
        <v>1191</v>
      </c>
      <c r="M54" s="152" t="s">
        <v>883</v>
      </c>
      <c r="N54" s="152" t="s">
        <v>92</v>
      </c>
      <c r="O54" s="159">
        <v>14802</v>
      </c>
      <c r="P54" s="159" t="s">
        <v>1191</v>
      </c>
      <c r="Q54" s="152" t="s">
        <v>883</v>
      </c>
      <c r="R54" s="152" t="s">
        <v>92</v>
      </c>
      <c r="S54" s="159">
        <v>14802</v>
      </c>
      <c r="T54" s="159" t="s">
        <v>856</v>
      </c>
      <c r="U54" s="159" t="s">
        <v>856</v>
      </c>
      <c r="V54" s="152" t="s">
        <v>857</v>
      </c>
      <c r="W54" s="152" t="s">
        <v>858</v>
      </c>
      <c r="X54" s="152" t="s">
        <v>1083</v>
      </c>
      <c r="Y54" s="152">
        <v>7.35</v>
      </c>
      <c r="Z54" s="152">
        <v>1</v>
      </c>
      <c r="AA54" s="152" t="s">
        <v>883</v>
      </c>
      <c r="AB54" s="152">
        <v>90.95</v>
      </c>
      <c r="AC54" s="152">
        <v>1</v>
      </c>
      <c r="AD54" s="152" t="s">
        <v>861</v>
      </c>
      <c r="AE54" s="152">
        <v>90.95</v>
      </c>
      <c r="AF54" s="152">
        <v>0</v>
      </c>
      <c r="AG54" s="152">
        <v>90</v>
      </c>
      <c r="AH54" s="152" t="s">
        <v>861</v>
      </c>
      <c r="AI54" s="152" t="s">
        <v>92</v>
      </c>
      <c r="AJ54" s="152" t="s">
        <v>92</v>
      </c>
      <c r="AK54" s="152" t="s">
        <v>942</v>
      </c>
      <c r="AL54" s="159" t="s">
        <v>856</v>
      </c>
      <c r="AP54" s="159" t="s">
        <v>856</v>
      </c>
      <c r="AQ54" s="159" t="s">
        <v>856</v>
      </c>
      <c r="AR54" s="152" t="s">
        <v>1192</v>
      </c>
      <c r="AS54" s="159" t="s">
        <v>865</v>
      </c>
      <c r="AT54" s="152" t="str">
        <f t="shared" si="3"/>
        <v>VUNJ8-030920</v>
      </c>
      <c r="AU54" s="152" t="str">
        <f t="shared" si="4"/>
        <v>MIRIAM CAROLINA JEREZ</v>
      </c>
      <c r="AV54" s="152">
        <v>931.18</v>
      </c>
      <c r="AW54" s="152">
        <v>577248</v>
      </c>
      <c r="AX54" s="152">
        <v>95</v>
      </c>
      <c r="AY54" s="152">
        <v>577248</v>
      </c>
      <c r="AZ54" s="152" t="s">
        <v>864</v>
      </c>
      <c r="BA54" s="152" t="str">
        <f t="shared" si="5"/>
        <v>L21-009-MP088</v>
      </c>
      <c r="BB54" s="152">
        <v>15</v>
      </c>
      <c r="BC54" s="157">
        <v>44203</v>
      </c>
      <c r="BD54" s="157">
        <v>44507</v>
      </c>
      <c r="BE54" s="158">
        <v>184472.5</v>
      </c>
      <c r="BF54" s="152" t="s">
        <v>1193</v>
      </c>
      <c r="BG54" s="152" t="s">
        <v>1161</v>
      </c>
      <c r="BH54" s="152">
        <v>90.95</v>
      </c>
      <c r="BI54" s="152">
        <v>0</v>
      </c>
      <c r="BJ54" s="152">
        <v>0</v>
      </c>
      <c r="BK54" s="152" t="s">
        <v>132</v>
      </c>
      <c r="BL54" s="152">
        <v>90.95</v>
      </c>
      <c r="BM54" s="152">
        <v>577248</v>
      </c>
    </row>
    <row r="55" spans="1:65">
      <c r="A55" s="152" t="s">
        <v>1194</v>
      </c>
      <c r="B55" s="152" t="s">
        <v>1195</v>
      </c>
      <c r="C55" s="152" t="s">
        <v>1196</v>
      </c>
      <c r="D55" s="152" t="s">
        <v>1197</v>
      </c>
      <c r="E55" s="152" t="s">
        <v>1197</v>
      </c>
      <c r="F55" s="152">
        <v>3153</v>
      </c>
      <c r="G55" s="152">
        <v>153</v>
      </c>
      <c r="H55" s="152" t="s">
        <v>1198</v>
      </c>
      <c r="I55" s="152">
        <v>199667</v>
      </c>
      <c r="J55" s="152">
        <v>56</v>
      </c>
      <c r="K55" s="152">
        <v>87058</v>
      </c>
      <c r="L55" s="159" t="s">
        <v>1199</v>
      </c>
      <c r="M55" s="152" t="s">
        <v>92</v>
      </c>
      <c r="N55" s="152" t="s">
        <v>883</v>
      </c>
      <c r="O55" s="159">
        <v>6233</v>
      </c>
      <c r="P55" s="159" t="s">
        <v>1199</v>
      </c>
      <c r="Q55" s="152" t="s">
        <v>92</v>
      </c>
      <c r="R55" s="152" t="s">
        <v>883</v>
      </c>
      <c r="S55" s="159">
        <v>6233</v>
      </c>
      <c r="T55" s="159" t="s">
        <v>856</v>
      </c>
      <c r="U55" s="159" t="s">
        <v>856</v>
      </c>
      <c r="V55" s="152" t="s">
        <v>857</v>
      </c>
      <c r="W55" s="152" t="s">
        <v>858</v>
      </c>
      <c r="X55" s="152" t="s">
        <v>882</v>
      </c>
      <c r="Y55" s="152">
        <v>11.9</v>
      </c>
      <c r="Z55" s="152">
        <v>1</v>
      </c>
      <c r="AA55" s="152" t="s">
        <v>92</v>
      </c>
      <c r="AB55" s="152">
        <v>81.290000000000006</v>
      </c>
      <c r="AC55" s="152">
        <v>2</v>
      </c>
      <c r="AD55" s="152" t="s">
        <v>861</v>
      </c>
      <c r="AE55" s="152">
        <v>81.290000000000006</v>
      </c>
      <c r="AF55" s="152">
        <v>0</v>
      </c>
      <c r="AG55" s="152">
        <v>0</v>
      </c>
      <c r="AH55" s="152" t="s">
        <v>861</v>
      </c>
      <c r="AI55" s="152" t="s">
        <v>92</v>
      </c>
      <c r="AJ55" s="152" t="s">
        <v>92</v>
      </c>
      <c r="AK55" s="152" t="s">
        <v>862</v>
      </c>
      <c r="AL55" s="159" t="s">
        <v>856</v>
      </c>
      <c r="AP55" s="159" t="s">
        <v>856</v>
      </c>
      <c r="AQ55" s="159" t="s">
        <v>856</v>
      </c>
      <c r="AR55" s="152" t="s">
        <v>992</v>
      </c>
      <c r="AS55" s="159" t="s">
        <v>865</v>
      </c>
      <c r="AT55" s="152" t="str">
        <f t="shared" si="3"/>
        <v>VUNL1-031020</v>
      </c>
      <c r="AU55" s="152" t="str">
        <f t="shared" si="4"/>
        <v>MARCO ANTONIO LÓPEZ RAMOS</v>
      </c>
      <c r="AV55" s="152">
        <v>1047.58</v>
      </c>
      <c r="AW55" s="152">
        <v>575597</v>
      </c>
      <c r="AX55" s="152">
        <v>20</v>
      </c>
      <c r="AY55" s="152">
        <v>575597</v>
      </c>
      <c r="AZ55" s="152" t="s">
        <v>864</v>
      </c>
      <c r="BA55" s="152" t="str">
        <f t="shared" si="5"/>
        <v>L20-435-MP086</v>
      </c>
      <c r="BB55" s="152">
        <v>24</v>
      </c>
      <c r="BC55" s="157">
        <v>44181</v>
      </c>
      <c r="BD55" s="157">
        <v>44546</v>
      </c>
      <c r="BE55" s="158">
        <v>207390</v>
      </c>
      <c r="BF55" s="152" t="s">
        <v>1208</v>
      </c>
      <c r="BG55" s="152" t="s">
        <v>1200</v>
      </c>
      <c r="BH55" s="152">
        <v>81.290000000000006</v>
      </c>
      <c r="BI55" s="152">
        <v>0</v>
      </c>
      <c r="BJ55" s="152">
        <v>0</v>
      </c>
      <c r="BK55" s="152" t="s">
        <v>132</v>
      </c>
      <c r="BL55" s="152">
        <v>81.290000000000006</v>
      </c>
      <c r="BM55" s="152">
        <v>575597</v>
      </c>
    </row>
    <row r="56" spans="1:65">
      <c r="A56" s="152" t="s">
        <v>1201</v>
      </c>
      <c r="B56" s="152" t="s">
        <v>1202</v>
      </c>
      <c r="C56" s="152" t="s">
        <v>1203</v>
      </c>
      <c r="D56" s="152" t="s">
        <v>1204</v>
      </c>
      <c r="E56" s="152" t="s">
        <v>1204</v>
      </c>
      <c r="F56" s="152">
        <v>207073</v>
      </c>
      <c r="G56" s="152">
        <v>192</v>
      </c>
      <c r="H56" s="152">
        <v>417</v>
      </c>
      <c r="I56" s="152">
        <v>199091</v>
      </c>
      <c r="J56" s="152">
        <v>145.66</v>
      </c>
      <c r="K56" s="152">
        <v>86593</v>
      </c>
      <c r="L56" s="159" t="s">
        <v>1205</v>
      </c>
      <c r="M56" s="152" t="s">
        <v>92</v>
      </c>
      <c r="N56" s="152" t="s">
        <v>883</v>
      </c>
      <c r="O56" s="159">
        <v>4167</v>
      </c>
      <c r="P56" s="159" t="s">
        <v>1205</v>
      </c>
      <c r="Q56" s="152" t="s">
        <v>92</v>
      </c>
      <c r="R56" s="152" t="s">
        <v>883</v>
      </c>
      <c r="S56" s="159">
        <v>4167</v>
      </c>
      <c r="T56" s="159" t="s">
        <v>856</v>
      </c>
      <c r="U56" s="159" t="s">
        <v>856</v>
      </c>
      <c r="V56" s="152" t="s">
        <v>1206</v>
      </c>
      <c r="W56" s="152" t="s">
        <v>858</v>
      </c>
      <c r="X56" s="152" t="s">
        <v>1083</v>
      </c>
      <c r="Y56" s="152">
        <v>0</v>
      </c>
      <c r="Z56" s="152">
        <v>2</v>
      </c>
      <c r="AA56" s="152" t="s">
        <v>92</v>
      </c>
      <c r="AB56" s="152">
        <v>256.79000000000002</v>
      </c>
      <c r="AC56" s="152">
        <v>2</v>
      </c>
      <c r="AD56" s="152" t="s">
        <v>861</v>
      </c>
      <c r="AE56" s="152">
        <v>166.56</v>
      </c>
      <c r="AF56" s="152">
        <v>90.23</v>
      </c>
      <c r="AG56" s="152" t="s">
        <v>861</v>
      </c>
      <c r="AH56" s="152" t="s">
        <v>861</v>
      </c>
      <c r="AI56" s="152" t="s">
        <v>92</v>
      </c>
      <c r="AJ56" s="152" t="s">
        <v>92</v>
      </c>
      <c r="AK56" s="152" t="s">
        <v>862</v>
      </c>
      <c r="AL56" s="159" t="s">
        <v>856</v>
      </c>
      <c r="AP56" s="159" t="s">
        <v>856</v>
      </c>
      <c r="AQ56" s="159" t="s">
        <v>856</v>
      </c>
      <c r="AR56" s="152" t="s">
        <v>1207</v>
      </c>
      <c r="AS56" s="159">
        <v>14.7</v>
      </c>
      <c r="AT56" s="152" t="str">
        <f t="shared" si="3"/>
        <v>VUNE1-010920</v>
      </c>
      <c r="AU56" s="152" t="str">
        <f t="shared" si="4"/>
        <v>ROSA CONSUELO ESCOBAR VASQUEZ</v>
      </c>
      <c r="AV56" s="152">
        <v>3993.49</v>
      </c>
      <c r="AW56" s="152">
        <v>649140</v>
      </c>
      <c r="AX56" s="152">
        <v>108.1</v>
      </c>
      <c r="AY56" s="152">
        <v>649140</v>
      </c>
      <c r="AZ56" s="152" t="s">
        <v>864</v>
      </c>
      <c r="BA56" s="152" t="str">
        <f t="shared" si="5"/>
        <v>L21-108-MP003</v>
      </c>
      <c r="BB56" s="152">
        <v>24</v>
      </c>
      <c r="BC56" s="157">
        <v>44239</v>
      </c>
      <c r="BD56" s="157">
        <v>44604</v>
      </c>
      <c r="BE56" s="158">
        <v>641975</v>
      </c>
      <c r="BF56" s="152" t="s">
        <v>1215</v>
      </c>
      <c r="BG56" s="152" t="s">
        <v>1209</v>
      </c>
      <c r="BH56" s="152">
        <v>166.56</v>
      </c>
      <c r="BI56" s="152">
        <v>90.23</v>
      </c>
      <c r="BJ56" s="152">
        <v>0</v>
      </c>
      <c r="BK56" s="152" t="s">
        <v>995</v>
      </c>
      <c r="BL56" s="152">
        <v>279.35000000000002</v>
      </c>
      <c r="BM56" s="152">
        <v>649140</v>
      </c>
    </row>
    <row r="57" spans="1:65">
      <c r="A57" s="152" t="s">
        <v>1210</v>
      </c>
      <c r="B57" s="152" t="s">
        <v>1211</v>
      </c>
      <c r="C57" s="152" t="s">
        <v>1212</v>
      </c>
      <c r="D57" s="152" t="s">
        <v>1213</v>
      </c>
      <c r="E57" s="152" t="s">
        <v>1213</v>
      </c>
      <c r="F57" s="152">
        <v>1257</v>
      </c>
      <c r="G57" s="152">
        <v>257</v>
      </c>
      <c r="H57" s="152" t="s">
        <v>1214</v>
      </c>
      <c r="I57" s="152">
        <v>199565</v>
      </c>
      <c r="J57" s="152">
        <v>109</v>
      </c>
      <c r="K57" s="152">
        <v>86980</v>
      </c>
      <c r="L57" s="159" t="s">
        <v>1205</v>
      </c>
      <c r="M57" s="152" t="s">
        <v>92</v>
      </c>
      <c r="N57" s="152" t="s">
        <v>883</v>
      </c>
      <c r="O57" s="159">
        <v>4167</v>
      </c>
      <c r="P57" s="159" t="s">
        <v>1205</v>
      </c>
      <c r="Q57" s="152" t="s">
        <v>92</v>
      </c>
      <c r="R57" s="152" t="s">
        <v>883</v>
      </c>
      <c r="S57" s="159">
        <v>4167</v>
      </c>
      <c r="T57" s="159" t="s">
        <v>856</v>
      </c>
      <c r="U57" s="159" t="s">
        <v>856</v>
      </c>
      <c r="V57" s="152" t="s">
        <v>857</v>
      </c>
      <c r="W57" s="152" t="s">
        <v>858</v>
      </c>
      <c r="X57" s="152" t="s">
        <v>1083</v>
      </c>
      <c r="Y57" s="152">
        <v>65.52</v>
      </c>
      <c r="Z57" s="152">
        <v>1</v>
      </c>
      <c r="AA57" s="152" t="s">
        <v>883</v>
      </c>
      <c r="AB57" s="152">
        <v>124.21</v>
      </c>
      <c r="AC57" s="152">
        <v>2</v>
      </c>
      <c r="AD57" s="152" t="s">
        <v>861</v>
      </c>
      <c r="AE57" s="152">
        <v>124.21</v>
      </c>
      <c r="AF57" s="152">
        <v>0</v>
      </c>
      <c r="AG57" s="152" t="s">
        <v>861</v>
      </c>
      <c r="AH57" s="152" t="s">
        <v>861</v>
      </c>
      <c r="AI57" s="152" t="s">
        <v>92</v>
      </c>
      <c r="AJ57" s="152" t="s">
        <v>92</v>
      </c>
      <c r="AK57" s="152" t="s">
        <v>862</v>
      </c>
      <c r="AL57" s="159" t="s">
        <v>856</v>
      </c>
      <c r="AP57" s="159" t="s">
        <v>856</v>
      </c>
      <c r="AQ57" s="159" t="s">
        <v>856</v>
      </c>
      <c r="AR57" s="152" t="s">
        <v>992</v>
      </c>
      <c r="AS57" s="159" t="s">
        <v>865</v>
      </c>
      <c r="AT57" s="152" t="str">
        <f t="shared" si="3"/>
        <v>RPNV10-240920</v>
      </c>
      <c r="AU57" s="152" t="str">
        <f t="shared" si="4"/>
        <v>JOSÉ LUIS VILLATORO CHACAJ</v>
      </c>
      <c r="AV57" s="152">
        <v>1828.71</v>
      </c>
      <c r="AW57" s="152">
        <v>649105</v>
      </c>
      <c r="AX57" s="159" t="s">
        <v>856</v>
      </c>
      <c r="AY57" s="159" t="s">
        <v>856</v>
      </c>
      <c r="AZ57" s="152" t="s">
        <v>864</v>
      </c>
      <c r="BA57" s="152" t="str">
        <f t="shared" si="5"/>
        <v>L21-128-MP050</v>
      </c>
      <c r="BB57" s="152">
        <v>0</v>
      </c>
      <c r="BC57" s="157">
        <v>44237</v>
      </c>
      <c r="BD57" s="157">
        <v>44237</v>
      </c>
      <c r="BE57" s="158">
        <v>337965</v>
      </c>
      <c r="BF57" s="152" t="s">
        <v>1216</v>
      </c>
      <c r="BG57" s="152" t="s">
        <v>894</v>
      </c>
      <c r="BH57" s="152">
        <v>124.21</v>
      </c>
      <c r="BI57" s="152">
        <v>0</v>
      </c>
      <c r="BJ57" s="152">
        <v>0</v>
      </c>
      <c r="BK57" s="152" t="s">
        <v>132</v>
      </c>
      <c r="BL57" s="152">
        <v>124.21</v>
      </c>
      <c r="BM57" s="152">
        <v>649105</v>
      </c>
    </row>
    <row r="58" spans="1:65">
      <c r="A58" s="152" t="s">
        <v>1217</v>
      </c>
      <c r="B58" s="152" t="s">
        <v>1218</v>
      </c>
      <c r="C58" s="152" t="s">
        <v>1219</v>
      </c>
      <c r="D58" s="152" t="s">
        <v>1220</v>
      </c>
      <c r="E58" s="152" t="s">
        <v>1221</v>
      </c>
      <c r="F58" s="152">
        <v>4845</v>
      </c>
      <c r="G58" s="152">
        <v>345</v>
      </c>
      <c r="H58" s="152" t="s">
        <v>1222</v>
      </c>
      <c r="I58" s="152">
        <v>198945</v>
      </c>
      <c r="J58" s="152">
        <v>2773.9</v>
      </c>
      <c r="K58" s="152">
        <v>86474</v>
      </c>
      <c r="L58" s="159" t="s">
        <v>909</v>
      </c>
      <c r="M58" s="152" t="s">
        <v>883</v>
      </c>
      <c r="N58" s="152" t="s">
        <v>92</v>
      </c>
      <c r="O58" s="159">
        <v>8676</v>
      </c>
      <c r="P58" s="159" t="s">
        <v>1223</v>
      </c>
      <c r="Q58" s="152" t="s">
        <v>883</v>
      </c>
      <c r="R58" s="152" t="s">
        <v>92</v>
      </c>
      <c r="S58" s="159">
        <v>8644</v>
      </c>
      <c r="T58" s="159" t="s">
        <v>856</v>
      </c>
      <c r="U58" s="159" t="s">
        <v>856</v>
      </c>
      <c r="V58" s="152" t="s">
        <v>1224</v>
      </c>
      <c r="W58" s="152" t="s">
        <v>858</v>
      </c>
      <c r="X58" s="152" t="s">
        <v>1083</v>
      </c>
      <c r="Y58" s="152">
        <v>40.25</v>
      </c>
      <c r="Z58" s="152">
        <v>1</v>
      </c>
      <c r="AA58" s="152" t="s">
        <v>883</v>
      </c>
      <c r="AB58" s="152">
        <v>478.25</v>
      </c>
      <c r="AC58" s="152">
        <v>2</v>
      </c>
      <c r="AD58" s="152" t="s">
        <v>861</v>
      </c>
      <c r="AE58" s="152">
        <v>0</v>
      </c>
      <c r="AF58" s="152">
        <v>478.25</v>
      </c>
      <c r="AG58" s="152">
        <v>2147.02</v>
      </c>
      <c r="AH58" s="152">
        <v>119.52</v>
      </c>
      <c r="AI58" s="152" t="s">
        <v>92</v>
      </c>
      <c r="AJ58" s="152" t="s">
        <v>883</v>
      </c>
      <c r="AK58" s="152" t="s">
        <v>1225</v>
      </c>
      <c r="AL58" s="159" t="s">
        <v>856</v>
      </c>
      <c r="AP58" s="159" t="s">
        <v>856</v>
      </c>
      <c r="AQ58" s="159" t="s">
        <v>856</v>
      </c>
      <c r="AR58" s="152" t="s">
        <v>1207</v>
      </c>
      <c r="AS58" s="159" t="s">
        <v>865</v>
      </c>
      <c r="AT58" s="152" t="str">
        <f t="shared" si="3"/>
        <v>VUNIR-020920</v>
      </c>
      <c r="AU58" s="152" t="str">
        <f t="shared" si="4"/>
        <v>IGLESIA DE DIOS</v>
      </c>
      <c r="AV58" s="152">
        <v>6955.35</v>
      </c>
      <c r="AW58" s="152">
        <v>576906</v>
      </c>
      <c r="AX58" s="159" t="s">
        <v>856</v>
      </c>
      <c r="AY58" s="159" t="s">
        <v>856</v>
      </c>
      <c r="AZ58" s="152" t="s">
        <v>864</v>
      </c>
      <c r="BA58" s="152" t="str">
        <f t="shared" si="5"/>
        <v>L20-456-MP089</v>
      </c>
      <c r="BB58" s="152">
        <v>24</v>
      </c>
      <c r="BC58" s="157">
        <v>44193</v>
      </c>
      <c r="BD58" s="157">
        <v>44558</v>
      </c>
      <c r="BE58" s="158">
        <v>1215744.5</v>
      </c>
      <c r="BF58" s="152" t="s">
        <v>1226</v>
      </c>
      <c r="BG58" s="152" t="s">
        <v>1227</v>
      </c>
      <c r="BH58" s="152">
        <v>0</v>
      </c>
      <c r="BI58" s="152">
        <v>0</v>
      </c>
      <c r="BJ58" s="152">
        <v>478.25</v>
      </c>
      <c r="BK58" s="152" t="s">
        <v>958</v>
      </c>
      <c r="BL58" s="152">
        <v>597.80999999999995</v>
      </c>
      <c r="BM58" s="152">
        <v>576906</v>
      </c>
    </row>
    <row r="59" spans="1:65">
      <c r="A59" s="152" t="s">
        <v>1228</v>
      </c>
      <c r="B59" s="152" t="s">
        <v>1229</v>
      </c>
      <c r="C59" s="152" t="s">
        <v>1230</v>
      </c>
      <c r="D59" s="152" t="s">
        <v>1231</v>
      </c>
      <c r="E59" s="152" t="s">
        <v>1231</v>
      </c>
      <c r="F59" s="152">
        <v>277666</v>
      </c>
      <c r="G59" s="152">
        <v>176</v>
      </c>
      <c r="H59" s="152">
        <v>643</v>
      </c>
      <c r="I59" s="152">
        <v>170684</v>
      </c>
      <c r="J59" s="152">
        <v>366.33</v>
      </c>
      <c r="K59" s="152">
        <v>65972</v>
      </c>
      <c r="L59" s="159" t="s">
        <v>1205</v>
      </c>
      <c r="M59" s="152" t="s">
        <v>92</v>
      </c>
      <c r="N59" s="152" t="s">
        <v>883</v>
      </c>
      <c r="O59" s="159">
        <v>4167</v>
      </c>
      <c r="P59" s="159" t="s">
        <v>1205</v>
      </c>
      <c r="Q59" s="152" t="s">
        <v>92</v>
      </c>
      <c r="R59" s="152" t="s">
        <v>883</v>
      </c>
      <c r="S59" s="159">
        <v>4167</v>
      </c>
      <c r="T59" s="159" t="s">
        <v>1232</v>
      </c>
      <c r="U59" s="159" t="s">
        <v>1233</v>
      </c>
      <c r="V59" s="152" t="s">
        <v>857</v>
      </c>
      <c r="W59" s="152" t="s">
        <v>860</v>
      </c>
      <c r="X59" s="152" t="s">
        <v>1083</v>
      </c>
      <c r="Y59" s="152">
        <v>71.400000000000006</v>
      </c>
      <c r="Z59" s="152">
        <v>1</v>
      </c>
      <c r="AA59" s="152" t="s">
        <v>92</v>
      </c>
      <c r="AB59" s="152">
        <v>50.1</v>
      </c>
      <c r="AC59" s="152">
        <v>1</v>
      </c>
      <c r="AD59" s="152" t="s">
        <v>861</v>
      </c>
      <c r="AE59" s="152">
        <v>50.1</v>
      </c>
      <c r="AF59" s="152">
        <v>0</v>
      </c>
      <c r="AG59" s="152">
        <v>316.23</v>
      </c>
      <c r="AH59" s="152">
        <v>18.32</v>
      </c>
      <c r="AI59" s="152" t="s">
        <v>883</v>
      </c>
      <c r="AJ59" s="152" t="s">
        <v>92</v>
      </c>
      <c r="AK59" s="152" t="s">
        <v>884</v>
      </c>
      <c r="AL59" s="159" t="s">
        <v>856</v>
      </c>
      <c r="AP59" s="159" t="s">
        <v>856</v>
      </c>
      <c r="AQ59" s="159" t="s">
        <v>856</v>
      </c>
      <c r="AR59" s="152" t="s">
        <v>1234</v>
      </c>
      <c r="AS59" s="159" t="s">
        <v>865</v>
      </c>
      <c r="AT59" s="152" t="str">
        <f t="shared" si="3"/>
        <v>RPND1-060520</v>
      </c>
      <c r="AU59" s="152" t="str">
        <f t="shared" si="4"/>
        <v>RENE OSWALDO DE LEON RECINOS</v>
      </c>
      <c r="AV59" s="152">
        <v>558.04</v>
      </c>
      <c r="AW59" s="152">
        <v>648910</v>
      </c>
      <c r="AX59" s="152">
        <v>16.25</v>
      </c>
      <c r="AY59" s="152">
        <v>648910</v>
      </c>
      <c r="AZ59" s="152" t="s">
        <v>864</v>
      </c>
      <c r="BA59" s="152" t="str">
        <f t="shared" si="5"/>
        <v>L21-107-MP001</v>
      </c>
      <c r="BB59" s="152">
        <v>0</v>
      </c>
      <c r="BC59" s="157">
        <v>44235</v>
      </c>
      <c r="BD59" s="157">
        <v>44235</v>
      </c>
      <c r="BE59" s="158">
        <v>102854</v>
      </c>
      <c r="BF59" s="152" t="s">
        <v>1235</v>
      </c>
      <c r="BG59" s="152" t="s">
        <v>894</v>
      </c>
      <c r="BH59" s="152">
        <v>50.1</v>
      </c>
      <c r="BI59" s="152">
        <v>0</v>
      </c>
      <c r="BJ59" s="152">
        <v>0</v>
      </c>
      <c r="BK59" s="152" t="s">
        <v>132</v>
      </c>
      <c r="BL59" s="152">
        <v>50.1</v>
      </c>
      <c r="BM59" s="152">
        <v>648910</v>
      </c>
    </row>
    <row r="60" spans="1:65">
      <c r="A60" s="152" t="s">
        <v>1236</v>
      </c>
      <c r="B60" s="152" t="s">
        <v>1237</v>
      </c>
      <c r="C60" s="152" t="s">
        <v>1238</v>
      </c>
      <c r="D60" s="152" t="s">
        <v>1239</v>
      </c>
      <c r="E60" s="152" t="s">
        <v>1239</v>
      </c>
      <c r="F60" s="152">
        <v>266878</v>
      </c>
      <c r="G60" s="152">
        <v>8</v>
      </c>
      <c r="H60" s="152">
        <v>609</v>
      </c>
      <c r="I60" s="152">
        <v>161595</v>
      </c>
      <c r="J60" s="152">
        <v>160.5</v>
      </c>
      <c r="K60" s="152">
        <v>59594</v>
      </c>
      <c r="L60" s="159" t="s">
        <v>1058</v>
      </c>
      <c r="M60" s="152" t="s">
        <v>92</v>
      </c>
      <c r="N60" s="152" t="s">
        <v>883</v>
      </c>
      <c r="O60" s="159">
        <v>4267</v>
      </c>
      <c r="P60" s="159" t="s">
        <v>1058</v>
      </c>
      <c r="Q60" s="152" t="s">
        <v>92</v>
      </c>
      <c r="R60" s="152" t="s">
        <v>883</v>
      </c>
      <c r="S60" s="159">
        <v>4267</v>
      </c>
      <c r="T60" s="159" t="s">
        <v>856</v>
      </c>
      <c r="U60" s="159" t="s">
        <v>856</v>
      </c>
      <c r="V60" s="152" t="s">
        <v>1140</v>
      </c>
      <c r="W60" s="152" t="s">
        <v>858</v>
      </c>
      <c r="X60" s="152" t="s">
        <v>1083</v>
      </c>
      <c r="Y60" s="152">
        <v>0</v>
      </c>
      <c r="Z60" s="152">
        <v>1</v>
      </c>
      <c r="AA60" s="152" t="s">
        <v>92</v>
      </c>
      <c r="AB60" s="152">
        <v>135.21</v>
      </c>
      <c r="AC60" s="152">
        <v>3</v>
      </c>
      <c r="AD60" s="152" t="s">
        <v>861</v>
      </c>
      <c r="AE60" s="152">
        <v>135.21</v>
      </c>
      <c r="AF60" s="152">
        <v>0</v>
      </c>
      <c r="AG60" s="152" t="s">
        <v>861</v>
      </c>
      <c r="AH60" s="152" t="s">
        <v>861</v>
      </c>
      <c r="AI60" s="152" t="s">
        <v>92</v>
      </c>
      <c r="AJ60" s="152" t="s">
        <v>92</v>
      </c>
      <c r="AK60" s="152" t="s">
        <v>884</v>
      </c>
      <c r="AL60" s="159" t="s">
        <v>856</v>
      </c>
      <c r="AP60" s="159" t="s">
        <v>856</v>
      </c>
      <c r="AQ60" s="159" t="s">
        <v>856</v>
      </c>
      <c r="AR60" s="152" t="s">
        <v>1240</v>
      </c>
      <c r="AS60" s="159" t="s">
        <v>865</v>
      </c>
      <c r="AT60" s="152" t="str">
        <f t="shared" si="3"/>
        <v>VUNO1-010920</v>
      </c>
      <c r="AU60" s="152" t="str">
        <f t="shared" si="4"/>
        <v>LEA NILDA OCHOA ARREAGA</v>
      </c>
      <c r="AV60" s="152">
        <v>2044.38</v>
      </c>
      <c r="AW60" s="152">
        <v>730465</v>
      </c>
      <c r="AX60" s="159" t="s">
        <v>856</v>
      </c>
      <c r="AY60" s="159" t="s">
        <v>856</v>
      </c>
      <c r="AZ60" s="152" t="s">
        <v>864</v>
      </c>
      <c r="BA60" s="152" t="str">
        <f t="shared" si="5"/>
        <v>L21-144-MP004</v>
      </c>
      <c r="BB60" s="152">
        <v>50</v>
      </c>
      <c r="BC60" s="157">
        <v>44244</v>
      </c>
      <c r="BD60" s="157">
        <v>44668</v>
      </c>
      <c r="BE60" s="158">
        <v>405630</v>
      </c>
      <c r="BF60" s="152" t="s">
        <v>1241</v>
      </c>
      <c r="BG60" s="152" t="s">
        <v>1242</v>
      </c>
      <c r="BH60" s="152">
        <v>135.21</v>
      </c>
      <c r="BI60" s="152">
        <v>0</v>
      </c>
      <c r="BJ60" s="152">
        <v>0</v>
      </c>
      <c r="BK60" s="152" t="s">
        <v>132</v>
      </c>
      <c r="BL60" s="152">
        <v>135.21</v>
      </c>
      <c r="BM60" s="152">
        <v>730465</v>
      </c>
    </row>
    <row r="61" spans="1:65">
      <c r="A61" s="152" t="s">
        <v>1243</v>
      </c>
      <c r="B61" s="152" t="s">
        <v>1244</v>
      </c>
      <c r="C61" s="152" t="s">
        <v>1245</v>
      </c>
      <c r="D61" s="152" t="s">
        <v>1246</v>
      </c>
      <c r="E61" s="152" t="s">
        <v>1247</v>
      </c>
      <c r="F61" s="152">
        <v>324070</v>
      </c>
      <c r="G61" s="152">
        <v>140</v>
      </c>
      <c r="H61" s="152">
        <v>798</v>
      </c>
      <c r="I61" s="152">
        <v>199270</v>
      </c>
      <c r="J61" s="152">
        <v>78</v>
      </c>
      <c r="K61" s="152">
        <v>86720</v>
      </c>
      <c r="L61" s="159" t="s">
        <v>1248</v>
      </c>
      <c r="M61" s="152" t="s">
        <v>883</v>
      </c>
      <c r="N61" s="152" t="s">
        <v>92</v>
      </c>
      <c r="O61" s="159">
        <v>8588</v>
      </c>
      <c r="P61" s="159" t="s">
        <v>1248</v>
      </c>
      <c r="Q61" s="152" t="s">
        <v>883</v>
      </c>
      <c r="R61" s="152" t="s">
        <v>92</v>
      </c>
      <c r="S61" s="159">
        <v>8588</v>
      </c>
      <c r="T61" s="159" t="s">
        <v>856</v>
      </c>
      <c r="U61" s="159" t="s">
        <v>856</v>
      </c>
      <c r="V61" s="152" t="s">
        <v>857</v>
      </c>
      <c r="W61" s="152" t="s">
        <v>858</v>
      </c>
      <c r="X61" s="152" t="s">
        <v>882</v>
      </c>
      <c r="Y61" s="152">
        <v>74.55</v>
      </c>
      <c r="Z61" s="152">
        <v>1</v>
      </c>
      <c r="AA61" s="152" t="s">
        <v>883</v>
      </c>
      <c r="AB61" s="152">
        <v>62.4</v>
      </c>
      <c r="AC61" s="152">
        <v>2</v>
      </c>
      <c r="AD61" s="152" t="s">
        <v>861</v>
      </c>
      <c r="AE61" s="152">
        <v>62.4</v>
      </c>
      <c r="AF61" s="152">
        <v>0</v>
      </c>
      <c r="AG61" s="152" t="s">
        <v>861</v>
      </c>
      <c r="AH61" s="152" t="s">
        <v>861</v>
      </c>
      <c r="AI61" s="152" t="s">
        <v>92</v>
      </c>
      <c r="AJ61" s="152" t="s">
        <v>92</v>
      </c>
      <c r="AK61" s="152" t="s">
        <v>912</v>
      </c>
      <c r="AL61" s="159" t="s">
        <v>856</v>
      </c>
      <c r="AP61" s="159" t="s">
        <v>856</v>
      </c>
      <c r="AQ61" s="159" t="s">
        <v>856</v>
      </c>
      <c r="AR61" s="152" t="s">
        <v>873</v>
      </c>
      <c r="AS61" s="159" t="s">
        <v>865</v>
      </c>
      <c r="AT61" s="152" t="str">
        <f t="shared" si="3"/>
        <v>VUNR2-011020</v>
      </c>
      <c r="AU61" s="152" t="str">
        <f t="shared" si="4"/>
        <v>KAREN ELIZABETH RACANCOJ TIN</v>
      </c>
      <c r="AV61" s="152">
        <v>1094.47</v>
      </c>
      <c r="AW61" s="152">
        <v>577183</v>
      </c>
      <c r="AX61" s="152">
        <v>30</v>
      </c>
      <c r="AY61" s="152">
        <v>577183</v>
      </c>
      <c r="AZ61" s="152" t="s">
        <v>864</v>
      </c>
      <c r="BA61" s="152" t="str">
        <f t="shared" si="5"/>
        <v>L21-006-MP091</v>
      </c>
      <c r="BB61" s="152">
        <v>24</v>
      </c>
      <c r="BC61" s="157">
        <v>44201</v>
      </c>
      <c r="BD61" s="157">
        <v>44566</v>
      </c>
      <c r="BE61" s="158">
        <v>187496.1</v>
      </c>
      <c r="BF61" s="152" t="s">
        <v>1249</v>
      </c>
      <c r="BG61" s="152" t="s">
        <v>1250</v>
      </c>
      <c r="BH61" s="152">
        <v>62.4</v>
      </c>
      <c r="BI61" s="152">
        <v>0</v>
      </c>
      <c r="BJ61" s="152">
        <v>0</v>
      </c>
      <c r="BK61" s="152" t="s">
        <v>132</v>
      </c>
      <c r="BL61" s="152">
        <v>62.4</v>
      </c>
      <c r="BM61" s="152">
        <v>577183</v>
      </c>
    </row>
    <row r="62" spans="1:65">
      <c r="A62" s="152" t="s">
        <v>1251</v>
      </c>
      <c r="B62" s="152" t="s">
        <v>1252</v>
      </c>
      <c r="C62" s="152" t="s">
        <v>1114</v>
      </c>
      <c r="D62" s="152" t="s">
        <v>1253</v>
      </c>
      <c r="E62" s="152" t="s">
        <v>1253</v>
      </c>
      <c r="F62" s="152">
        <v>1881</v>
      </c>
      <c r="G62" s="152">
        <v>381</v>
      </c>
      <c r="H62" s="152" t="s">
        <v>1116</v>
      </c>
      <c r="I62" s="152">
        <v>199782</v>
      </c>
      <c r="J62" s="152">
        <v>165.3</v>
      </c>
      <c r="K62" s="152">
        <v>87143</v>
      </c>
      <c r="L62" s="159" t="s">
        <v>856</v>
      </c>
      <c r="M62" s="152" t="s">
        <v>92</v>
      </c>
      <c r="N62" s="152" t="s">
        <v>92</v>
      </c>
      <c r="O62" s="159" t="s">
        <v>856</v>
      </c>
      <c r="P62" s="159" t="s">
        <v>856</v>
      </c>
      <c r="Q62" s="152" t="s">
        <v>92</v>
      </c>
      <c r="R62" s="152" t="s">
        <v>92</v>
      </c>
      <c r="S62" s="159" t="s">
        <v>856</v>
      </c>
      <c r="T62" s="159" t="s">
        <v>856</v>
      </c>
      <c r="U62" s="159" t="s">
        <v>856</v>
      </c>
      <c r="V62" s="152" t="s">
        <v>857</v>
      </c>
      <c r="W62" s="152" t="s">
        <v>858</v>
      </c>
      <c r="X62" s="152" t="s">
        <v>1083</v>
      </c>
      <c r="Y62" s="152">
        <v>29.58</v>
      </c>
      <c r="Z62" s="152">
        <v>1</v>
      </c>
      <c r="AA62" s="152" t="s">
        <v>92</v>
      </c>
      <c r="AB62" s="152">
        <v>71.03</v>
      </c>
      <c r="AC62" s="152">
        <v>1</v>
      </c>
      <c r="AD62" s="152" t="s">
        <v>861</v>
      </c>
      <c r="AE62" s="152">
        <v>71.03</v>
      </c>
      <c r="AF62" s="152">
        <v>0</v>
      </c>
      <c r="AG62" s="152">
        <v>68.52</v>
      </c>
      <c r="AH62" s="152" t="s">
        <v>861</v>
      </c>
      <c r="AI62" s="152" t="s">
        <v>92</v>
      </c>
      <c r="AJ62" s="152" t="s">
        <v>92</v>
      </c>
      <c r="AK62" s="152" t="s">
        <v>884</v>
      </c>
      <c r="AL62" s="159" t="s">
        <v>856</v>
      </c>
      <c r="AP62" s="159" t="s">
        <v>856</v>
      </c>
      <c r="AQ62" s="159" t="s">
        <v>856</v>
      </c>
      <c r="AR62" s="152" t="s">
        <v>992</v>
      </c>
      <c r="AS62" s="159" t="s">
        <v>865</v>
      </c>
      <c r="AT62" s="152" t="str">
        <f t="shared" si="3"/>
        <v>RPC7-100519</v>
      </c>
      <c r="AU62" s="152" t="str">
        <f t="shared" si="4"/>
        <v>GUADALUPE VALENTINA ALVARADO DE CIFUENTES</v>
      </c>
      <c r="AV62" s="152">
        <v>773.95</v>
      </c>
      <c r="AW62" s="152">
        <v>800842</v>
      </c>
      <c r="AX62" s="152">
        <v>40</v>
      </c>
      <c r="AY62" s="152">
        <v>800843</v>
      </c>
      <c r="AZ62" s="152" t="s">
        <v>864</v>
      </c>
      <c r="BA62" s="152" t="str">
        <f t="shared" si="5"/>
        <v>L19-968-MP103</v>
      </c>
      <c r="BB62" s="152">
        <v>0</v>
      </c>
      <c r="BC62" s="157">
        <v>43703</v>
      </c>
      <c r="BD62" s="157">
        <v>43703</v>
      </c>
      <c r="BE62" s="158">
        <v>152411.25</v>
      </c>
      <c r="BF62" s="152" t="s">
        <v>1254</v>
      </c>
      <c r="BG62" s="152" t="s">
        <v>894</v>
      </c>
      <c r="BH62" s="152">
        <v>71.03</v>
      </c>
      <c r="BI62" s="152">
        <v>0</v>
      </c>
      <c r="BJ62" s="152">
        <v>0</v>
      </c>
      <c r="BK62" s="152" t="s">
        <v>132</v>
      </c>
      <c r="BL62" s="152">
        <v>71.03</v>
      </c>
      <c r="BM62" s="152">
        <v>576828</v>
      </c>
    </row>
    <row r="63" spans="1:65">
      <c r="A63" s="152" t="s">
        <v>1255</v>
      </c>
      <c r="B63" s="152" t="s">
        <v>1256</v>
      </c>
      <c r="C63" s="152" t="s">
        <v>1257</v>
      </c>
      <c r="D63" s="152" t="s">
        <v>1258</v>
      </c>
      <c r="E63" s="152" t="s">
        <v>1258</v>
      </c>
      <c r="F63" s="152">
        <v>7870</v>
      </c>
      <c r="G63" s="152">
        <v>370</v>
      </c>
      <c r="H63" s="152" t="s">
        <v>1021</v>
      </c>
      <c r="I63" s="152">
        <v>199465</v>
      </c>
      <c r="J63" s="152">
        <v>81</v>
      </c>
      <c r="K63" s="152">
        <v>86890</v>
      </c>
      <c r="L63" s="159" t="s">
        <v>856</v>
      </c>
      <c r="M63" s="152" t="s">
        <v>92</v>
      </c>
      <c r="N63" s="152" t="s">
        <v>92</v>
      </c>
      <c r="O63" s="159" t="s">
        <v>856</v>
      </c>
      <c r="P63" s="159" t="s">
        <v>856</v>
      </c>
      <c r="Q63" s="152" t="s">
        <v>92</v>
      </c>
      <c r="R63" s="152" t="s">
        <v>92</v>
      </c>
      <c r="S63" s="159" t="s">
        <v>856</v>
      </c>
      <c r="T63" s="159" t="s">
        <v>856</v>
      </c>
      <c r="U63" s="159" t="s">
        <v>856</v>
      </c>
      <c r="V63" s="152" t="s">
        <v>857</v>
      </c>
      <c r="W63" s="152" t="s">
        <v>858</v>
      </c>
      <c r="X63" s="152" t="s">
        <v>882</v>
      </c>
      <c r="Y63" s="152">
        <v>0</v>
      </c>
      <c r="Z63" s="152">
        <v>1</v>
      </c>
      <c r="AA63" s="152" t="s">
        <v>92</v>
      </c>
      <c r="AB63" s="152">
        <v>61.06</v>
      </c>
      <c r="AC63" s="152">
        <v>2</v>
      </c>
      <c r="AD63" s="152" t="s">
        <v>861</v>
      </c>
      <c r="AE63" s="152">
        <v>61.06</v>
      </c>
      <c r="AF63" s="152">
        <v>0</v>
      </c>
      <c r="AG63" s="152" t="s">
        <v>861</v>
      </c>
      <c r="AH63" s="152" t="s">
        <v>861</v>
      </c>
      <c r="AI63" s="152" t="s">
        <v>92</v>
      </c>
      <c r="AJ63" s="152" t="s">
        <v>92</v>
      </c>
      <c r="AK63" s="152" t="s">
        <v>912</v>
      </c>
      <c r="AL63" s="159" t="s">
        <v>856</v>
      </c>
      <c r="AP63" s="159" t="s">
        <v>856</v>
      </c>
      <c r="AQ63" s="159" t="s">
        <v>856</v>
      </c>
      <c r="AR63" s="152" t="s">
        <v>892</v>
      </c>
      <c r="AS63" s="159" t="s">
        <v>865</v>
      </c>
      <c r="AT63" s="152" t="str">
        <f t="shared" si="3"/>
        <v>RPA10-391018</v>
      </c>
      <c r="AU63" s="152" t="str">
        <f t="shared" si="4"/>
        <v>NORMA GRISELDA AGUILON OCAN</v>
      </c>
      <c r="AV63" s="152">
        <v>615.48</v>
      </c>
      <c r="AW63" s="152">
        <v>716480</v>
      </c>
      <c r="AX63" s="159" t="s">
        <v>856</v>
      </c>
      <c r="AY63" s="159" t="s">
        <v>856</v>
      </c>
      <c r="AZ63" s="152" t="s">
        <v>864</v>
      </c>
      <c r="BA63" s="152" t="str">
        <f t="shared" si="5"/>
        <v>L19-436-MP102</v>
      </c>
      <c r="BB63" s="152">
        <v>0</v>
      </c>
      <c r="BC63" s="157">
        <v>43479</v>
      </c>
      <c r="BD63" s="157">
        <v>43479</v>
      </c>
      <c r="BE63" s="158">
        <v>122120</v>
      </c>
      <c r="BF63" s="152" t="s">
        <v>1259</v>
      </c>
      <c r="BG63" s="152" t="s">
        <v>894</v>
      </c>
      <c r="BH63" s="152">
        <v>61.06</v>
      </c>
      <c r="BI63" s="152">
        <v>0</v>
      </c>
      <c r="BJ63" s="152">
        <v>0</v>
      </c>
      <c r="BK63" s="152" t="s">
        <v>132</v>
      </c>
      <c r="BL63" s="152">
        <v>61.06</v>
      </c>
      <c r="BM63" s="152">
        <v>575713</v>
      </c>
    </row>
    <row r="64" spans="1:65">
      <c r="A64" s="152" t="s">
        <v>1260</v>
      </c>
      <c r="B64" s="152" t="s">
        <v>1261</v>
      </c>
      <c r="C64" s="152" t="s">
        <v>1262</v>
      </c>
      <c r="D64" s="152" t="s">
        <v>1263</v>
      </c>
      <c r="E64" s="152" t="s">
        <v>1264</v>
      </c>
      <c r="F64" s="152">
        <v>2905</v>
      </c>
      <c r="G64" s="152">
        <v>405</v>
      </c>
      <c r="H64" s="152" t="s">
        <v>1265</v>
      </c>
      <c r="I64" s="152">
        <v>198529</v>
      </c>
      <c r="J64" s="152">
        <v>126</v>
      </c>
      <c r="K64" s="152">
        <v>86090</v>
      </c>
      <c r="L64" s="159" t="s">
        <v>1266</v>
      </c>
      <c r="M64" s="152" t="s">
        <v>92</v>
      </c>
      <c r="N64" s="152" t="s">
        <v>883</v>
      </c>
      <c r="O64" s="159">
        <v>3989</v>
      </c>
      <c r="P64" s="159" t="s">
        <v>1267</v>
      </c>
      <c r="Q64" s="152" t="s">
        <v>883</v>
      </c>
      <c r="R64" s="152" t="s">
        <v>92</v>
      </c>
      <c r="S64" s="159">
        <v>13080</v>
      </c>
      <c r="T64" s="159" t="s">
        <v>856</v>
      </c>
      <c r="U64" s="159" t="s">
        <v>856</v>
      </c>
      <c r="V64" s="152" t="s">
        <v>857</v>
      </c>
      <c r="W64" s="152" t="s">
        <v>1268</v>
      </c>
      <c r="X64" s="152" t="s">
        <v>1269</v>
      </c>
      <c r="Y64" s="152">
        <v>31.72</v>
      </c>
      <c r="Z64" s="152">
        <v>1</v>
      </c>
      <c r="AA64" s="152" t="s">
        <v>92</v>
      </c>
      <c r="AB64" s="152">
        <v>123</v>
      </c>
      <c r="AC64" s="152">
        <v>2</v>
      </c>
      <c r="AD64" s="152" t="s">
        <v>861</v>
      </c>
      <c r="AE64" s="152">
        <v>123</v>
      </c>
      <c r="AF64" s="152">
        <v>0</v>
      </c>
      <c r="AG64" s="152" t="s">
        <v>861</v>
      </c>
      <c r="AH64" s="152" t="s">
        <v>861</v>
      </c>
      <c r="AI64" s="152" t="s">
        <v>92</v>
      </c>
      <c r="AJ64" s="152" t="s">
        <v>92</v>
      </c>
      <c r="AK64" s="152" t="s">
        <v>862</v>
      </c>
      <c r="AL64" s="159" t="s">
        <v>856</v>
      </c>
      <c r="AP64" s="159" t="s">
        <v>856</v>
      </c>
      <c r="AQ64" s="159" t="s">
        <v>856</v>
      </c>
      <c r="AR64" s="152" t="s">
        <v>863</v>
      </c>
      <c r="AS64" s="159" t="s">
        <v>865</v>
      </c>
      <c r="AT64" s="152" t="str">
        <f t="shared" si="3"/>
        <v>VUNCR-050120</v>
      </c>
      <c r="AU64" s="152" t="str">
        <f t="shared" si="4"/>
        <v>COMPLEJOS COLONIALES, S.A.</v>
      </c>
      <c r="AV64" s="152">
        <v>1867.01</v>
      </c>
      <c r="AW64" s="152">
        <v>828707</v>
      </c>
      <c r="AX64" s="152">
        <v>35</v>
      </c>
      <c r="AY64" s="152">
        <v>828709</v>
      </c>
      <c r="AZ64" s="152" t="s">
        <v>864</v>
      </c>
      <c r="BA64" s="152" t="str">
        <f t="shared" si="5"/>
        <v>L20-189-WV028</v>
      </c>
      <c r="BB64" s="152">
        <v>24</v>
      </c>
      <c r="BC64" s="157">
        <v>43949</v>
      </c>
      <c r="BD64" s="157">
        <v>44314</v>
      </c>
      <c r="BE64" s="158">
        <v>320188.2</v>
      </c>
      <c r="BF64" s="152" t="s">
        <v>1270</v>
      </c>
      <c r="BG64" s="152" t="s">
        <v>1161</v>
      </c>
      <c r="BH64" s="152">
        <v>123</v>
      </c>
      <c r="BI64" s="152">
        <v>0</v>
      </c>
      <c r="BJ64" s="152">
        <v>0</v>
      </c>
      <c r="BK64" s="152" t="s">
        <v>132</v>
      </c>
      <c r="BL64" s="152">
        <v>123</v>
      </c>
      <c r="BM64" s="152">
        <v>828708</v>
      </c>
    </row>
    <row r="65" spans="1:65">
      <c r="A65" s="152" t="s">
        <v>1271</v>
      </c>
      <c r="B65" s="152" t="s">
        <v>1272</v>
      </c>
      <c r="C65" s="152" t="s">
        <v>1262</v>
      </c>
      <c r="D65" s="152" t="s">
        <v>1273</v>
      </c>
      <c r="E65" s="152" t="s">
        <v>1264</v>
      </c>
      <c r="F65" s="152">
        <v>2949</v>
      </c>
      <c r="G65" s="152">
        <v>449</v>
      </c>
      <c r="H65" s="152" t="s">
        <v>1265</v>
      </c>
      <c r="I65" s="152">
        <v>198445</v>
      </c>
      <c r="J65" s="152">
        <v>126</v>
      </c>
      <c r="K65" s="152">
        <v>86002</v>
      </c>
      <c r="L65" s="159" t="s">
        <v>1266</v>
      </c>
      <c r="M65" s="152" t="s">
        <v>92</v>
      </c>
      <c r="N65" s="152" t="s">
        <v>883</v>
      </c>
      <c r="O65" s="159">
        <v>3989</v>
      </c>
      <c r="P65" s="159" t="s">
        <v>1267</v>
      </c>
      <c r="Q65" s="152" t="s">
        <v>883</v>
      </c>
      <c r="R65" s="152" t="s">
        <v>92</v>
      </c>
      <c r="S65" s="159">
        <v>13080</v>
      </c>
      <c r="T65" s="159" t="s">
        <v>856</v>
      </c>
      <c r="U65" s="159" t="s">
        <v>856</v>
      </c>
      <c r="V65" s="152" t="s">
        <v>857</v>
      </c>
      <c r="W65" s="152" t="s">
        <v>1268</v>
      </c>
      <c r="X65" s="152" t="s">
        <v>1269</v>
      </c>
      <c r="Y65" s="152">
        <v>31.72</v>
      </c>
      <c r="Z65" s="152">
        <v>1</v>
      </c>
      <c r="AA65" s="152" t="s">
        <v>92</v>
      </c>
      <c r="AB65" s="152">
        <v>123</v>
      </c>
      <c r="AC65" s="152">
        <v>2</v>
      </c>
      <c r="AD65" s="152" t="s">
        <v>861</v>
      </c>
      <c r="AE65" s="152">
        <v>123</v>
      </c>
      <c r="AF65" s="152">
        <v>0</v>
      </c>
      <c r="AG65" s="152" t="s">
        <v>861</v>
      </c>
      <c r="AH65" s="152" t="s">
        <v>861</v>
      </c>
      <c r="AI65" s="152" t="s">
        <v>92</v>
      </c>
      <c r="AJ65" s="152" t="s">
        <v>92</v>
      </c>
      <c r="AK65" s="152" t="s">
        <v>862</v>
      </c>
      <c r="AL65" s="159" t="s">
        <v>856</v>
      </c>
      <c r="AP65" s="159" t="s">
        <v>856</v>
      </c>
      <c r="AQ65" s="159" t="s">
        <v>856</v>
      </c>
      <c r="AR65" s="152" t="s">
        <v>863</v>
      </c>
      <c r="AS65" s="159" t="s">
        <v>865</v>
      </c>
      <c r="AT65" s="152" t="str">
        <f t="shared" si="3"/>
        <v>VUNCR-340220</v>
      </c>
      <c r="AU65" s="152" t="str">
        <f t="shared" si="4"/>
        <v>COMPLEJOS COLONIALES, S.A.</v>
      </c>
      <c r="AV65" s="152">
        <v>1611.97</v>
      </c>
      <c r="AW65" s="152">
        <v>855426</v>
      </c>
      <c r="AX65" s="152">
        <v>35</v>
      </c>
      <c r="AY65" s="152">
        <v>855428</v>
      </c>
      <c r="AZ65" s="152" t="s">
        <v>864</v>
      </c>
      <c r="BA65" s="152" t="str">
        <f t="shared" si="5"/>
        <v>L20-362-WV045</v>
      </c>
      <c r="BB65" s="152">
        <v>24</v>
      </c>
      <c r="BC65" s="157">
        <v>44117</v>
      </c>
      <c r="BD65" s="157">
        <v>44482</v>
      </c>
      <c r="BE65" s="158">
        <v>318602.18</v>
      </c>
      <c r="BF65" s="152" t="s">
        <v>1274</v>
      </c>
      <c r="BG65" s="152" t="s">
        <v>1161</v>
      </c>
      <c r="BH65" s="152">
        <v>123</v>
      </c>
      <c r="BI65" s="152">
        <v>0</v>
      </c>
      <c r="BJ65" s="152">
        <v>0</v>
      </c>
      <c r="BK65" s="152" t="s">
        <v>132</v>
      </c>
      <c r="BL65" s="152">
        <v>123</v>
      </c>
      <c r="BM65" s="152">
        <v>855427</v>
      </c>
    </row>
    <row r="66" spans="1:65">
      <c r="A66" s="152" t="s">
        <v>1275</v>
      </c>
      <c r="B66" s="152" t="s">
        <v>1276</v>
      </c>
      <c r="C66" s="152" t="s">
        <v>1262</v>
      </c>
      <c r="D66" s="152" t="s">
        <v>1277</v>
      </c>
      <c r="E66" s="152" t="s">
        <v>1264</v>
      </c>
      <c r="F66" s="152">
        <v>2906</v>
      </c>
      <c r="G66" s="152">
        <v>406</v>
      </c>
      <c r="H66" s="152" t="s">
        <v>1265</v>
      </c>
      <c r="I66" s="152">
        <v>198530</v>
      </c>
      <c r="J66" s="152">
        <v>126</v>
      </c>
      <c r="K66" s="152">
        <v>86091</v>
      </c>
      <c r="L66" s="159" t="s">
        <v>1266</v>
      </c>
      <c r="M66" s="152" t="s">
        <v>92</v>
      </c>
      <c r="N66" s="152" t="s">
        <v>883</v>
      </c>
      <c r="O66" s="159">
        <v>3989</v>
      </c>
      <c r="P66" s="159" t="s">
        <v>1267</v>
      </c>
      <c r="Q66" s="152" t="s">
        <v>883</v>
      </c>
      <c r="R66" s="152" t="s">
        <v>92</v>
      </c>
      <c r="S66" s="159">
        <v>13080</v>
      </c>
      <c r="T66" s="159" t="s">
        <v>856</v>
      </c>
      <c r="U66" s="159" t="s">
        <v>856</v>
      </c>
      <c r="V66" s="152" t="s">
        <v>857</v>
      </c>
      <c r="W66" s="152" t="s">
        <v>1268</v>
      </c>
      <c r="X66" s="152" t="s">
        <v>1269</v>
      </c>
      <c r="Y66" s="152">
        <v>31.72</v>
      </c>
      <c r="Z66" s="152">
        <v>1</v>
      </c>
      <c r="AA66" s="152" t="s">
        <v>92</v>
      </c>
      <c r="AB66" s="152">
        <v>123</v>
      </c>
      <c r="AC66" s="152">
        <v>2</v>
      </c>
      <c r="AD66" s="152" t="s">
        <v>861</v>
      </c>
      <c r="AE66" s="152">
        <v>123</v>
      </c>
      <c r="AF66" s="152">
        <v>0</v>
      </c>
      <c r="AG66" s="152" t="s">
        <v>861</v>
      </c>
      <c r="AH66" s="152" t="s">
        <v>861</v>
      </c>
      <c r="AI66" s="152" t="s">
        <v>92</v>
      </c>
      <c r="AJ66" s="152" t="s">
        <v>92</v>
      </c>
      <c r="AK66" s="152" t="s">
        <v>862</v>
      </c>
      <c r="AL66" s="159" t="s">
        <v>856</v>
      </c>
      <c r="AP66" s="159" t="s">
        <v>856</v>
      </c>
      <c r="AQ66" s="159" t="s">
        <v>856</v>
      </c>
      <c r="AR66" s="152" t="s">
        <v>863</v>
      </c>
      <c r="AS66" s="159" t="s">
        <v>865</v>
      </c>
      <c r="AT66" s="152" t="str">
        <f t="shared" si="3"/>
        <v>VUNCR-060120</v>
      </c>
      <c r="AU66" s="152" t="str">
        <f t="shared" si="4"/>
        <v>COMPLEJOS COLONIALES, S.A.</v>
      </c>
      <c r="AV66" s="152">
        <v>1867.01</v>
      </c>
      <c r="AW66" s="152">
        <v>828710</v>
      </c>
      <c r="AX66" s="152">
        <v>35</v>
      </c>
      <c r="AY66" s="152">
        <v>828712</v>
      </c>
      <c r="AZ66" s="152" t="s">
        <v>864</v>
      </c>
      <c r="BA66" s="152" t="str">
        <f t="shared" si="5"/>
        <v>L20-183-WV029</v>
      </c>
      <c r="BB66" s="152">
        <v>24</v>
      </c>
      <c r="BC66" s="157">
        <v>43949</v>
      </c>
      <c r="BD66" s="157">
        <v>44314</v>
      </c>
      <c r="BE66" s="158">
        <v>320188.2</v>
      </c>
      <c r="BF66" s="152" t="s">
        <v>1278</v>
      </c>
      <c r="BG66" s="152" t="s">
        <v>1161</v>
      </c>
      <c r="BH66" s="152">
        <v>123</v>
      </c>
      <c r="BI66" s="152">
        <v>0</v>
      </c>
      <c r="BJ66" s="152">
        <v>0</v>
      </c>
      <c r="BK66" s="152" t="s">
        <v>132</v>
      </c>
      <c r="BL66" s="152">
        <v>123</v>
      </c>
      <c r="BM66" s="152">
        <v>828711</v>
      </c>
    </row>
    <row r="67" spans="1:65">
      <c r="A67" s="152" t="s">
        <v>1279</v>
      </c>
      <c r="B67" s="152" t="s">
        <v>1280</v>
      </c>
      <c r="C67" s="152" t="s">
        <v>1262</v>
      </c>
      <c r="D67" s="152" t="s">
        <v>1281</v>
      </c>
      <c r="E67" s="152" t="s">
        <v>1264</v>
      </c>
      <c r="F67" s="152">
        <v>2909</v>
      </c>
      <c r="G67" s="152">
        <v>409</v>
      </c>
      <c r="H67" s="152" t="s">
        <v>1265</v>
      </c>
      <c r="I67" s="152">
        <v>198533</v>
      </c>
      <c r="J67" s="152">
        <v>126</v>
      </c>
      <c r="K67" s="152">
        <v>86094</v>
      </c>
      <c r="L67" s="159" t="s">
        <v>1266</v>
      </c>
      <c r="M67" s="152" t="s">
        <v>92</v>
      </c>
      <c r="N67" s="152" t="s">
        <v>883</v>
      </c>
      <c r="O67" s="159">
        <v>3989</v>
      </c>
      <c r="P67" s="159" t="s">
        <v>1267</v>
      </c>
      <c r="Q67" s="152" t="s">
        <v>883</v>
      </c>
      <c r="R67" s="152" t="s">
        <v>92</v>
      </c>
      <c r="S67" s="159">
        <v>13080</v>
      </c>
      <c r="T67" s="159" t="s">
        <v>856</v>
      </c>
      <c r="U67" s="159" t="s">
        <v>856</v>
      </c>
      <c r="V67" s="152" t="s">
        <v>857</v>
      </c>
      <c r="W67" s="152" t="s">
        <v>1268</v>
      </c>
      <c r="X67" s="152" t="s">
        <v>1269</v>
      </c>
      <c r="Y67" s="152">
        <v>31.72</v>
      </c>
      <c r="Z67" s="152">
        <v>1</v>
      </c>
      <c r="AA67" s="152" t="s">
        <v>92</v>
      </c>
      <c r="AB67" s="152">
        <v>123</v>
      </c>
      <c r="AC67" s="152">
        <v>2</v>
      </c>
      <c r="AD67" s="152" t="s">
        <v>861</v>
      </c>
      <c r="AE67" s="152">
        <v>123</v>
      </c>
      <c r="AF67" s="152">
        <v>0</v>
      </c>
      <c r="AG67" s="152" t="s">
        <v>861</v>
      </c>
      <c r="AH67" s="152" t="s">
        <v>861</v>
      </c>
      <c r="AI67" s="152" t="s">
        <v>92</v>
      </c>
      <c r="AJ67" s="152" t="s">
        <v>92</v>
      </c>
      <c r="AK67" s="152" t="s">
        <v>862</v>
      </c>
      <c r="AL67" s="159" t="s">
        <v>856</v>
      </c>
      <c r="AP67" s="159" t="s">
        <v>856</v>
      </c>
      <c r="AQ67" s="159" t="s">
        <v>856</v>
      </c>
      <c r="AR67" s="152" t="s">
        <v>863</v>
      </c>
      <c r="AS67" s="159" t="s">
        <v>865</v>
      </c>
      <c r="AT67" s="152" t="str">
        <f>B67</f>
        <v>VUNCR-090120</v>
      </c>
      <c r="AU67" s="152" t="str">
        <f>C67</f>
        <v>COMPLEJOS COLONIALES, S.A.</v>
      </c>
      <c r="AV67" s="152">
        <v>1867.01</v>
      </c>
      <c r="AW67" s="152">
        <v>828719</v>
      </c>
      <c r="AX67" s="152">
        <v>35</v>
      </c>
      <c r="AY67" s="152">
        <v>828721</v>
      </c>
      <c r="AZ67" s="152" t="s">
        <v>864</v>
      </c>
      <c r="BA67" s="152" t="str">
        <f t="shared" si="5"/>
        <v>L20-177-WV032</v>
      </c>
      <c r="BB67" s="152">
        <v>24</v>
      </c>
      <c r="BC67" s="157">
        <v>43949</v>
      </c>
      <c r="BD67" s="157">
        <v>44314</v>
      </c>
      <c r="BE67" s="158">
        <v>320188.2</v>
      </c>
      <c r="BF67" s="152" t="s">
        <v>1282</v>
      </c>
      <c r="BG67" s="152" t="s">
        <v>1161</v>
      </c>
      <c r="BH67" s="152">
        <v>123</v>
      </c>
      <c r="BI67" s="152">
        <v>0</v>
      </c>
      <c r="BJ67" s="152">
        <v>0</v>
      </c>
      <c r="BK67" s="152" t="s">
        <v>132</v>
      </c>
      <c r="BL67" s="152">
        <v>123</v>
      </c>
      <c r="BM67" s="152">
        <v>828720</v>
      </c>
    </row>
    <row r="68" spans="1:65">
      <c r="A68" s="152" t="s">
        <v>1283</v>
      </c>
      <c r="B68" s="152" t="s">
        <v>1284</v>
      </c>
      <c r="C68" s="152" t="s">
        <v>1262</v>
      </c>
      <c r="D68" s="152" t="s">
        <v>1285</v>
      </c>
      <c r="E68" s="152" t="s">
        <v>1264</v>
      </c>
      <c r="F68" s="152">
        <v>2909</v>
      </c>
      <c r="G68" s="152">
        <v>409</v>
      </c>
      <c r="H68" s="152" t="s">
        <v>1265</v>
      </c>
      <c r="I68" s="152">
        <v>198533</v>
      </c>
      <c r="J68" s="152">
        <v>126</v>
      </c>
      <c r="K68" s="152">
        <v>86094</v>
      </c>
      <c r="L68" s="159" t="s">
        <v>1266</v>
      </c>
      <c r="M68" s="152" t="s">
        <v>92</v>
      </c>
      <c r="N68" s="152" t="s">
        <v>883</v>
      </c>
      <c r="O68" s="159">
        <v>3989</v>
      </c>
      <c r="P68" s="159" t="s">
        <v>1267</v>
      </c>
      <c r="Q68" s="152" t="s">
        <v>883</v>
      </c>
      <c r="R68" s="152" t="s">
        <v>92</v>
      </c>
      <c r="S68" s="159">
        <v>13080</v>
      </c>
      <c r="T68" s="159" t="s">
        <v>856</v>
      </c>
      <c r="U68" s="159" t="s">
        <v>856</v>
      </c>
      <c r="V68" s="152" t="s">
        <v>857</v>
      </c>
      <c r="W68" s="152" t="s">
        <v>1268</v>
      </c>
      <c r="X68" s="152" t="s">
        <v>1269</v>
      </c>
      <c r="Y68" s="152">
        <v>31.72</v>
      </c>
      <c r="Z68" s="152">
        <v>1</v>
      </c>
      <c r="AA68" s="152" t="s">
        <v>92</v>
      </c>
      <c r="AB68" s="152">
        <v>123</v>
      </c>
      <c r="AC68" s="152">
        <v>2</v>
      </c>
      <c r="AD68" s="152" t="s">
        <v>861</v>
      </c>
      <c r="AE68" s="152">
        <v>123</v>
      </c>
      <c r="AF68" s="152">
        <v>0</v>
      </c>
      <c r="AG68" s="152" t="s">
        <v>861</v>
      </c>
      <c r="AH68" s="152" t="s">
        <v>861</v>
      </c>
      <c r="AI68" s="152" t="s">
        <v>92</v>
      </c>
      <c r="AJ68" s="152" t="s">
        <v>92</v>
      </c>
      <c r="AK68" s="152" t="s">
        <v>862</v>
      </c>
      <c r="AL68" s="159" t="s">
        <v>856</v>
      </c>
      <c r="AP68" s="159" t="s">
        <v>856</v>
      </c>
      <c r="AQ68" s="159" t="s">
        <v>856</v>
      </c>
      <c r="AR68" s="152" t="s">
        <v>863</v>
      </c>
      <c r="AS68" s="159" t="s">
        <v>865</v>
      </c>
      <c r="AT68" s="152" t="str">
        <f>B68</f>
        <v>VUNCR-100120</v>
      </c>
      <c r="AU68" s="152" t="str">
        <f>C68</f>
        <v>COMPLEJOS COLONIALES, S.A.</v>
      </c>
      <c r="AV68" s="152">
        <v>1867.01</v>
      </c>
      <c r="AW68" s="152">
        <v>828722</v>
      </c>
      <c r="AX68" s="152">
        <v>35</v>
      </c>
      <c r="AY68" s="152">
        <v>828724</v>
      </c>
      <c r="AZ68" s="152" t="s">
        <v>864</v>
      </c>
      <c r="BA68" s="152" t="str">
        <f t="shared" si="5"/>
        <v>L20-185-WV033</v>
      </c>
      <c r="BB68" s="152">
        <v>24</v>
      </c>
      <c r="BC68" s="157">
        <v>43949</v>
      </c>
      <c r="BD68" s="157">
        <v>44314</v>
      </c>
      <c r="BE68" s="158">
        <v>320188.2</v>
      </c>
      <c r="BF68" s="152" t="s">
        <v>1286</v>
      </c>
      <c r="BG68" s="152" t="s">
        <v>1161</v>
      </c>
      <c r="BH68" s="152">
        <v>123</v>
      </c>
      <c r="BI68" s="152">
        <v>0</v>
      </c>
      <c r="BJ68" s="152">
        <v>0</v>
      </c>
      <c r="BK68" s="152" t="s">
        <v>132</v>
      </c>
      <c r="BL68" s="152">
        <v>123</v>
      </c>
      <c r="BM68" s="152">
        <v>828723</v>
      </c>
    </row>
    <row r="69" spans="1:65">
      <c r="A69" s="152" t="s">
        <v>1287</v>
      </c>
      <c r="B69" s="152" t="s">
        <v>1288</v>
      </c>
      <c r="C69" s="152" t="s">
        <v>1289</v>
      </c>
      <c r="D69" s="152" t="s">
        <v>1290</v>
      </c>
      <c r="E69" s="152" t="s">
        <v>1291</v>
      </c>
      <c r="F69" s="152">
        <v>3544</v>
      </c>
      <c r="G69" s="152">
        <v>44</v>
      </c>
      <c r="H69" s="152" t="s">
        <v>936</v>
      </c>
      <c r="I69" s="152">
        <v>189782</v>
      </c>
      <c r="J69" s="152">
        <v>69.599999999999994</v>
      </c>
      <c r="K69" s="152">
        <v>79692</v>
      </c>
      <c r="L69" s="159" t="s">
        <v>1292</v>
      </c>
      <c r="M69" s="152" t="s">
        <v>883</v>
      </c>
      <c r="N69" s="152" t="s">
        <v>92</v>
      </c>
      <c r="O69" s="159">
        <v>10578</v>
      </c>
      <c r="P69" s="159" t="s">
        <v>1292</v>
      </c>
      <c r="Q69" s="152" t="s">
        <v>883</v>
      </c>
      <c r="R69" s="152" t="s">
        <v>92</v>
      </c>
      <c r="S69" s="159">
        <v>10578</v>
      </c>
      <c r="T69" s="159" t="s">
        <v>856</v>
      </c>
      <c r="U69" s="159" t="s">
        <v>856</v>
      </c>
      <c r="V69" s="152" t="s">
        <v>1293</v>
      </c>
      <c r="W69" s="152" t="s">
        <v>858</v>
      </c>
      <c r="X69" s="152" t="s">
        <v>859</v>
      </c>
      <c r="Y69" s="152">
        <v>0</v>
      </c>
      <c r="Z69" s="152">
        <v>1</v>
      </c>
      <c r="AA69" s="152" t="s">
        <v>92</v>
      </c>
      <c r="AB69" s="152">
        <v>152.25</v>
      </c>
      <c r="AC69" s="152">
        <v>2</v>
      </c>
      <c r="AD69" s="152">
        <v>1</v>
      </c>
      <c r="AE69" s="152">
        <v>0</v>
      </c>
      <c r="AF69" s="152">
        <v>152.25</v>
      </c>
      <c r="AG69" s="152" t="s">
        <v>861</v>
      </c>
      <c r="AH69" s="152" t="s">
        <v>861</v>
      </c>
      <c r="AI69" s="152" t="s">
        <v>92</v>
      </c>
      <c r="AJ69" s="152" t="s">
        <v>92</v>
      </c>
      <c r="AK69" s="152" t="s">
        <v>942</v>
      </c>
      <c r="AL69" s="159" t="s">
        <v>856</v>
      </c>
      <c r="AP69" s="159" t="s">
        <v>856</v>
      </c>
      <c r="AQ69" s="159" t="s">
        <v>856</v>
      </c>
      <c r="AR69" s="152" t="s">
        <v>873</v>
      </c>
      <c r="AS69" s="159" t="s">
        <v>865</v>
      </c>
      <c r="AT69" s="152" t="str">
        <f t="shared" si="3"/>
        <v>VUNR3-030421</v>
      </c>
      <c r="AU69" s="152" t="str">
        <f t="shared" si="4"/>
        <v>ANGEL EUGENIO RAMON MACARIO</v>
      </c>
      <c r="AV69" s="152">
        <v>2507.4</v>
      </c>
      <c r="AW69" s="152">
        <v>712063</v>
      </c>
      <c r="AX69" s="152">
        <v>25</v>
      </c>
      <c r="AY69" s="152">
        <v>712066</v>
      </c>
      <c r="AZ69" s="152" t="s">
        <v>864</v>
      </c>
      <c r="BA69" s="152" t="str">
        <f t="shared" si="5"/>
        <v>L21-676-MP085</v>
      </c>
      <c r="BB69" s="152">
        <v>24</v>
      </c>
      <c r="BC69" s="157">
        <v>44448</v>
      </c>
      <c r="BD69" s="157">
        <v>44813</v>
      </c>
      <c r="BE69" s="158">
        <v>309450</v>
      </c>
      <c r="BF69" s="152" t="s">
        <v>1294</v>
      </c>
      <c r="BG69" s="152" t="s">
        <v>1295</v>
      </c>
      <c r="BH69" s="152">
        <v>0</v>
      </c>
      <c r="BI69" s="152">
        <v>152.25</v>
      </c>
      <c r="BJ69" s="152">
        <v>0</v>
      </c>
      <c r="BK69" s="152" t="s">
        <v>1296</v>
      </c>
      <c r="BL69" s="152">
        <v>190.31</v>
      </c>
      <c r="BM69" s="152">
        <v>712065</v>
      </c>
    </row>
    <row r="70" spans="1:65">
      <c r="A70" s="152" t="s">
        <v>1297</v>
      </c>
      <c r="B70" s="152" t="s">
        <v>1298</v>
      </c>
      <c r="C70" s="152" t="s">
        <v>1289</v>
      </c>
      <c r="D70" s="152" t="s">
        <v>1299</v>
      </c>
      <c r="E70" s="152" t="s">
        <v>1291</v>
      </c>
      <c r="F70" s="152">
        <v>3542</v>
      </c>
      <c r="G70" s="152">
        <v>42</v>
      </c>
      <c r="H70" s="152" t="s">
        <v>936</v>
      </c>
      <c r="I70" s="152">
        <v>189781</v>
      </c>
      <c r="J70" s="152">
        <v>69.599999999999994</v>
      </c>
      <c r="K70" s="152">
        <v>79693</v>
      </c>
      <c r="L70" s="159" t="s">
        <v>1292</v>
      </c>
      <c r="M70" s="152" t="s">
        <v>883</v>
      </c>
      <c r="N70" s="152" t="s">
        <v>92</v>
      </c>
      <c r="O70" s="159">
        <v>10578</v>
      </c>
      <c r="P70" s="159" t="s">
        <v>1292</v>
      </c>
      <c r="Q70" s="152" t="s">
        <v>883</v>
      </c>
      <c r="R70" s="152" t="s">
        <v>92</v>
      </c>
      <c r="S70" s="159">
        <v>10578</v>
      </c>
      <c r="T70" s="159" t="s">
        <v>856</v>
      </c>
      <c r="U70" s="159" t="s">
        <v>856</v>
      </c>
      <c r="V70" s="152" t="s">
        <v>1293</v>
      </c>
      <c r="W70" s="152" t="s">
        <v>858</v>
      </c>
      <c r="X70" s="152" t="s">
        <v>859</v>
      </c>
      <c r="Y70" s="152">
        <v>0</v>
      </c>
      <c r="Z70" s="152">
        <v>1</v>
      </c>
      <c r="AA70" s="152" t="s">
        <v>92</v>
      </c>
      <c r="AB70" s="152">
        <v>152.25</v>
      </c>
      <c r="AC70" s="152">
        <v>2</v>
      </c>
      <c r="AD70" s="152">
        <v>1</v>
      </c>
      <c r="AE70" s="152">
        <v>0</v>
      </c>
      <c r="AF70" s="152">
        <v>152.25</v>
      </c>
      <c r="AG70" s="152" t="s">
        <v>861</v>
      </c>
      <c r="AH70" s="152" t="s">
        <v>861</v>
      </c>
      <c r="AI70" s="152" t="s">
        <v>92</v>
      </c>
      <c r="AJ70" s="152" t="s">
        <v>92</v>
      </c>
      <c r="AK70" s="152" t="s">
        <v>942</v>
      </c>
      <c r="AL70" s="159" t="s">
        <v>856</v>
      </c>
      <c r="AP70" s="159" t="s">
        <v>856</v>
      </c>
      <c r="AQ70" s="159" t="s">
        <v>856</v>
      </c>
      <c r="AR70" s="152" t="s">
        <v>873</v>
      </c>
      <c r="AS70" s="159" t="s">
        <v>865</v>
      </c>
      <c r="AT70" s="152" t="str">
        <f t="shared" si="3"/>
        <v>VUNR3-020421</v>
      </c>
      <c r="AU70" s="152" t="str">
        <f t="shared" si="4"/>
        <v>ANGEL EUGENIO RAMON MACARIO</v>
      </c>
      <c r="AV70" s="152">
        <v>2507.4</v>
      </c>
      <c r="AW70" s="152">
        <v>712067</v>
      </c>
      <c r="AX70" s="152">
        <v>25</v>
      </c>
      <c r="AY70" s="152">
        <v>712070</v>
      </c>
      <c r="AZ70" s="152" t="s">
        <v>864</v>
      </c>
      <c r="BA70" s="152" t="str">
        <f t="shared" si="5"/>
        <v>L21-674-MP084</v>
      </c>
      <c r="BB70" s="152">
        <v>24</v>
      </c>
      <c r="BC70" s="157">
        <v>44448</v>
      </c>
      <c r="BD70" s="157">
        <v>44813</v>
      </c>
      <c r="BE70" s="158">
        <v>309450</v>
      </c>
      <c r="BF70" s="152" t="s">
        <v>1300</v>
      </c>
      <c r="BG70" s="152" t="s">
        <v>1295</v>
      </c>
      <c r="BH70" s="152">
        <v>0</v>
      </c>
      <c r="BI70" s="152">
        <v>152.25</v>
      </c>
      <c r="BJ70" s="152">
        <v>0</v>
      </c>
      <c r="BK70" s="152" t="s">
        <v>1296</v>
      </c>
      <c r="BL70" s="152">
        <v>190.31</v>
      </c>
      <c r="BM70" s="152">
        <v>712069</v>
      </c>
    </row>
    <row r="71" spans="1:65">
      <c r="A71" s="152" t="s">
        <v>1301</v>
      </c>
      <c r="B71" s="152" t="s">
        <v>1302</v>
      </c>
      <c r="C71" s="152" t="s">
        <v>1303</v>
      </c>
      <c r="D71" s="152" t="s">
        <v>1304</v>
      </c>
      <c r="E71" s="152" t="s">
        <v>1291</v>
      </c>
      <c r="F71" s="152">
        <v>3547</v>
      </c>
      <c r="G71" s="152">
        <v>47</v>
      </c>
      <c r="H71" s="152" t="s">
        <v>936</v>
      </c>
      <c r="I71" s="152">
        <v>189785</v>
      </c>
      <c r="J71" s="152">
        <v>69.75</v>
      </c>
      <c r="K71" s="152">
        <v>79689</v>
      </c>
      <c r="L71" s="159" t="s">
        <v>1292</v>
      </c>
      <c r="M71" s="152" t="s">
        <v>883</v>
      </c>
      <c r="N71" s="152" t="s">
        <v>92</v>
      </c>
      <c r="O71" s="159">
        <v>10578</v>
      </c>
      <c r="P71" s="159" t="s">
        <v>1292</v>
      </c>
      <c r="Q71" s="152" t="s">
        <v>883</v>
      </c>
      <c r="R71" s="152" t="s">
        <v>92</v>
      </c>
      <c r="S71" s="159">
        <v>10578</v>
      </c>
      <c r="T71" s="159" t="s">
        <v>856</v>
      </c>
      <c r="U71" s="159" t="s">
        <v>856</v>
      </c>
      <c r="V71" s="152" t="s">
        <v>1293</v>
      </c>
      <c r="W71" s="152" t="s">
        <v>858</v>
      </c>
      <c r="X71" s="152" t="s">
        <v>859</v>
      </c>
      <c r="Y71" s="152">
        <v>0</v>
      </c>
      <c r="Z71" s="152">
        <v>1</v>
      </c>
      <c r="AA71" s="152" t="s">
        <v>92</v>
      </c>
      <c r="AB71" s="152">
        <v>152.69999999999999</v>
      </c>
      <c r="AC71" s="152">
        <v>2</v>
      </c>
      <c r="AD71" s="152">
        <v>1</v>
      </c>
      <c r="AE71" s="152">
        <v>0</v>
      </c>
      <c r="AF71" s="152">
        <v>152.69999999999999</v>
      </c>
      <c r="AG71" s="152" t="s">
        <v>861</v>
      </c>
      <c r="AH71" s="152" t="s">
        <v>861</v>
      </c>
      <c r="AI71" s="152" t="s">
        <v>92</v>
      </c>
      <c r="AJ71" s="152" t="s">
        <v>92</v>
      </c>
      <c r="AK71" s="152" t="s">
        <v>942</v>
      </c>
      <c r="AL71" s="159" t="s">
        <v>856</v>
      </c>
      <c r="AP71" s="159" t="s">
        <v>856</v>
      </c>
      <c r="AQ71" s="159" t="s">
        <v>856</v>
      </c>
      <c r="AR71" s="152" t="s">
        <v>873</v>
      </c>
      <c r="AS71" s="159" t="s">
        <v>865</v>
      </c>
      <c r="AT71" s="152" t="str">
        <f t="shared" si="3"/>
        <v>VUNM3-030421</v>
      </c>
      <c r="AU71" s="152" t="str">
        <f t="shared" si="4"/>
        <v>CIRIACA MARLENY MACARIO CALVAC</v>
      </c>
      <c r="AV71" s="152">
        <v>2514.96</v>
      </c>
      <c r="AW71" s="152">
        <v>712051</v>
      </c>
      <c r="AX71" s="152">
        <v>25</v>
      </c>
      <c r="AY71" s="152">
        <v>712054</v>
      </c>
      <c r="AZ71" s="152" t="s">
        <v>864</v>
      </c>
      <c r="BA71" s="152" t="str">
        <f t="shared" si="5"/>
        <v>L21-675-MP088</v>
      </c>
      <c r="BB71" s="152">
        <v>24</v>
      </c>
      <c r="BC71" s="157">
        <v>44448</v>
      </c>
      <c r="BD71" s="157">
        <v>44813</v>
      </c>
      <c r="BE71" s="158">
        <v>310380</v>
      </c>
      <c r="BF71" s="152" t="s">
        <v>1305</v>
      </c>
      <c r="BG71" s="152" t="s">
        <v>1295</v>
      </c>
      <c r="BH71" s="152">
        <v>0</v>
      </c>
      <c r="BI71" s="152">
        <v>152.69999999999999</v>
      </c>
      <c r="BJ71" s="152">
        <v>0</v>
      </c>
      <c r="BK71" s="152" t="s">
        <v>1296</v>
      </c>
      <c r="BL71" s="152">
        <v>190.88</v>
      </c>
      <c r="BM71" s="152">
        <v>712053</v>
      </c>
    </row>
    <row r="72" spans="1:65">
      <c r="A72" s="152" t="s">
        <v>1306</v>
      </c>
      <c r="B72" s="152" t="s">
        <v>1307</v>
      </c>
      <c r="C72" s="152" t="s">
        <v>1303</v>
      </c>
      <c r="D72" s="152" t="s">
        <v>1308</v>
      </c>
      <c r="E72" s="152" t="s">
        <v>1291</v>
      </c>
      <c r="F72" s="152">
        <v>3546</v>
      </c>
      <c r="G72" s="152">
        <v>46</v>
      </c>
      <c r="H72" s="152" t="s">
        <v>936</v>
      </c>
      <c r="I72" s="152">
        <v>189784</v>
      </c>
      <c r="J72" s="152">
        <v>69.7</v>
      </c>
      <c r="K72" s="152">
        <v>79690</v>
      </c>
      <c r="L72" s="159" t="s">
        <v>1292</v>
      </c>
      <c r="M72" s="152" t="s">
        <v>883</v>
      </c>
      <c r="N72" s="152" t="s">
        <v>92</v>
      </c>
      <c r="O72" s="159">
        <v>10578</v>
      </c>
      <c r="P72" s="159" t="s">
        <v>1292</v>
      </c>
      <c r="Q72" s="152" t="s">
        <v>883</v>
      </c>
      <c r="R72" s="152" t="s">
        <v>92</v>
      </c>
      <c r="S72" s="159">
        <v>10578</v>
      </c>
      <c r="T72" s="159" t="s">
        <v>856</v>
      </c>
      <c r="U72" s="159" t="s">
        <v>856</v>
      </c>
      <c r="V72" s="152" t="s">
        <v>1293</v>
      </c>
      <c r="W72" s="152" t="s">
        <v>858</v>
      </c>
      <c r="X72" s="152" t="s">
        <v>859</v>
      </c>
      <c r="Y72" s="152">
        <v>0</v>
      </c>
      <c r="Z72" s="152">
        <v>1</v>
      </c>
      <c r="AA72" s="152" t="s">
        <v>92</v>
      </c>
      <c r="AB72" s="152">
        <v>152.55000000000001</v>
      </c>
      <c r="AC72" s="152">
        <v>2</v>
      </c>
      <c r="AD72" s="152">
        <v>1</v>
      </c>
      <c r="AE72" s="152">
        <v>0</v>
      </c>
      <c r="AF72" s="152">
        <v>152.55000000000001</v>
      </c>
      <c r="AG72" s="152" t="s">
        <v>861</v>
      </c>
      <c r="AH72" s="152" t="s">
        <v>861</v>
      </c>
      <c r="AI72" s="152" t="s">
        <v>92</v>
      </c>
      <c r="AJ72" s="152" t="s">
        <v>92</v>
      </c>
      <c r="AK72" s="152" t="s">
        <v>942</v>
      </c>
      <c r="AL72" s="159" t="s">
        <v>856</v>
      </c>
      <c r="AP72" s="159" t="s">
        <v>856</v>
      </c>
      <c r="AQ72" s="159" t="s">
        <v>856</v>
      </c>
      <c r="AR72" s="152" t="s">
        <v>873</v>
      </c>
      <c r="AS72" s="159" t="s">
        <v>865</v>
      </c>
      <c r="AT72" s="152" t="str">
        <f t="shared" si="3"/>
        <v>VUNM3-020421</v>
      </c>
      <c r="AU72" s="152" t="str">
        <f t="shared" si="4"/>
        <v>CIRIACA MARLENY MACARIO CALVAC</v>
      </c>
      <c r="AV72" s="152">
        <v>2512.44</v>
      </c>
      <c r="AW72" s="152">
        <v>712055</v>
      </c>
      <c r="AX72" s="152">
        <v>25</v>
      </c>
      <c r="AY72" s="152">
        <v>712058</v>
      </c>
      <c r="AZ72" s="152" t="s">
        <v>864</v>
      </c>
      <c r="BA72" s="152" t="str">
        <f t="shared" si="5"/>
        <v>L21-678-MP087</v>
      </c>
      <c r="BB72" s="152">
        <v>24</v>
      </c>
      <c r="BC72" s="157">
        <v>44448</v>
      </c>
      <c r="BD72" s="157">
        <v>44813</v>
      </c>
      <c r="BE72" s="158">
        <v>310070</v>
      </c>
      <c r="BF72" s="152" t="s">
        <v>1309</v>
      </c>
      <c r="BG72" s="152" t="s">
        <v>1295</v>
      </c>
      <c r="BH72" s="152">
        <v>0</v>
      </c>
      <c r="BI72" s="152">
        <v>152.55000000000001</v>
      </c>
      <c r="BJ72" s="152">
        <v>0</v>
      </c>
      <c r="BK72" s="152" t="s">
        <v>1296</v>
      </c>
      <c r="BL72" s="152">
        <v>190.69</v>
      </c>
      <c r="BM72" s="152">
        <v>712057</v>
      </c>
    </row>
    <row r="73" spans="1:65">
      <c r="A73" s="152" t="s">
        <v>1310</v>
      </c>
      <c r="B73" s="152" t="s">
        <v>1311</v>
      </c>
      <c r="C73" s="152" t="s">
        <v>1303</v>
      </c>
      <c r="D73" s="152" t="s">
        <v>1312</v>
      </c>
      <c r="E73" s="152" t="s">
        <v>1291</v>
      </c>
      <c r="F73" s="152">
        <v>3548</v>
      </c>
      <c r="G73" s="152">
        <v>48</v>
      </c>
      <c r="H73" s="152" t="s">
        <v>936</v>
      </c>
      <c r="I73" s="152">
        <v>189786</v>
      </c>
      <c r="J73" s="152">
        <v>69.75</v>
      </c>
      <c r="K73" s="152">
        <v>79688</v>
      </c>
      <c r="L73" s="159" t="s">
        <v>1292</v>
      </c>
      <c r="M73" s="152" t="s">
        <v>883</v>
      </c>
      <c r="N73" s="152" t="s">
        <v>92</v>
      </c>
      <c r="O73" s="159">
        <v>10578</v>
      </c>
      <c r="P73" s="159" t="s">
        <v>1292</v>
      </c>
      <c r="Q73" s="152" t="s">
        <v>883</v>
      </c>
      <c r="R73" s="152" t="s">
        <v>92</v>
      </c>
      <c r="S73" s="159">
        <v>10578</v>
      </c>
      <c r="T73" s="159" t="s">
        <v>856</v>
      </c>
      <c r="U73" s="159" t="s">
        <v>856</v>
      </c>
      <c r="V73" s="152" t="s">
        <v>1293</v>
      </c>
      <c r="W73" s="152" t="s">
        <v>858</v>
      </c>
      <c r="X73" s="152" t="s">
        <v>859</v>
      </c>
      <c r="Y73" s="152">
        <v>0</v>
      </c>
      <c r="Z73" s="152">
        <v>1</v>
      </c>
      <c r="AA73" s="152" t="s">
        <v>92</v>
      </c>
      <c r="AB73" s="152">
        <v>152.69999999999999</v>
      </c>
      <c r="AC73" s="152">
        <v>2</v>
      </c>
      <c r="AD73" s="152">
        <v>1</v>
      </c>
      <c r="AE73" s="152">
        <v>0</v>
      </c>
      <c r="AF73" s="152">
        <v>152.69999999999999</v>
      </c>
      <c r="AG73" s="152" t="s">
        <v>861</v>
      </c>
      <c r="AH73" s="152" t="s">
        <v>861</v>
      </c>
      <c r="AI73" s="152" t="s">
        <v>92</v>
      </c>
      <c r="AJ73" s="152" t="s">
        <v>92</v>
      </c>
      <c r="AK73" s="152" t="s">
        <v>942</v>
      </c>
      <c r="AL73" s="159" t="s">
        <v>856</v>
      </c>
      <c r="AP73" s="159" t="s">
        <v>856</v>
      </c>
      <c r="AQ73" s="159" t="s">
        <v>856</v>
      </c>
      <c r="AR73" s="152" t="s">
        <v>873</v>
      </c>
      <c r="AS73" s="159" t="s">
        <v>865</v>
      </c>
      <c r="AT73" s="152" t="str">
        <f t="shared" si="3"/>
        <v>VUNM3-040421</v>
      </c>
      <c r="AU73" s="152" t="str">
        <f t="shared" si="4"/>
        <v>CIRIACA MARLENY MACARIO CALVAC</v>
      </c>
      <c r="AV73" s="152">
        <v>2514.96</v>
      </c>
      <c r="AW73" s="152">
        <v>712047</v>
      </c>
      <c r="AX73" s="152">
        <v>25</v>
      </c>
      <c r="AY73" s="152">
        <v>712050</v>
      </c>
      <c r="AZ73" s="152" t="s">
        <v>864</v>
      </c>
      <c r="BA73" s="152" t="str">
        <f t="shared" si="5"/>
        <v>L21-677-MP089</v>
      </c>
      <c r="BB73" s="152">
        <v>24</v>
      </c>
      <c r="BC73" s="157">
        <v>44448</v>
      </c>
      <c r="BD73" s="157">
        <v>44813</v>
      </c>
      <c r="BE73" s="158">
        <v>310380</v>
      </c>
      <c r="BF73" s="152" t="s">
        <v>1313</v>
      </c>
      <c r="BG73" s="152" t="s">
        <v>1295</v>
      </c>
      <c r="BH73" s="152">
        <v>0</v>
      </c>
      <c r="BI73" s="152">
        <v>152.69999999999999</v>
      </c>
      <c r="BJ73" s="152">
        <v>0</v>
      </c>
      <c r="BK73" s="152" t="s">
        <v>1296</v>
      </c>
      <c r="BL73" s="152">
        <v>190.88</v>
      </c>
      <c r="BM73" s="152">
        <v>712049</v>
      </c>
    </row>
    <row r="74" spans="1:65">
      <c r="A74" s="152" t="s">
        <v>1314</v>
      </c>
      <c r="B74" s="152" t="s">
        <v>1315</v>
      </c>
      <c r="C74" s="152" t="s">
        <v>1289</v>
      </c>
      <c r="D74" s="152" t="s">
        <v>1316</v>
      </c>
      <c r="E74" s="152" t="s">
        <v>1291</v>
      </c>
      <c r="F74" s="152">
        <v>3541</v>
      </c>
      <c r="G74" s="152">
        <v>41</v>
      </c>
      <c r="H74" s="152" t="s">
        <v>936</v>
      </c>
      <c r="I74" s="152">
        <v>189780</v>
      </c>
      <c r="J74" s="152">
        <v>202.74</v>
      </c>
      <c r="K74" s="152">
        <v>79694</v>
      </c>
      <c r="L74" s="159" t="s">
        <v>1292</v>
      </c>
      <c r="M74" s="152" t="s">
        <v>883</v>
      </c>
      <c r="N74" s="152" t="s">
        <v>92</v>
      </c>
      <c r="O74" s="159">
        <v>10578</v>
      </c>
      <c r="P74" s="159" t="s">
        <v>1292</v>
      </c>
      <c r="Q74" s="152" t="s">
        <v>883</v>
      </c>
      <c r="R74" s="152" t="s">
        <v>92</v>
      </c>
      <c r="S74" s="159">
        <v>10578</v>
      </c>
      <c r="T74" s="159" t="s">
        <v>856</v>
      </c>
      <c r="U74" s="159" t="s">
        <v>856</v>
      </c>
      <c r="V74" s="152" t="s">
        <v>1293</v>
      </c>
      <c r="W74" s="152" t="s">
        <v>858</v>
      </c>
      <c r="X74" s="152" t="s">
        <v>859</v>
      </c>
      <c r="Y74" s="152">
        <v>0</v>
      </c>
      <c r="Z74" s="152">
        <v>1</v>
      </c>
      <c r="AA74" s="152" t="s">
        <v>92</v>
      </c>
      <c r="AB74" s="152">
        <v>213.51</v>
      </c>
      <c r="AC74" s="152">
        <v>2</v>
      </c>
      <c r="AD74" s="152">
        <v>1</v>
      </c>
      <c r="AE74" s="152">
        <v>0</v>
      </c>
      <c r="AF74" s="152">
        <v>213.51</v>
      </c>
      <c r="AG74" s="152">
        <v>20.28</v>
      </c>
      <c r="AH74" s="152" t="s">
        <v>861</v>
      </c>
      <c r="AI74" s="152" t="s">
        <v>92</v>
      </c>
      <c r="AJ74" s="152" t="s">
        <v>92</v>
      </c>
      <c r="AK74" s="152" t="s">
        <v>942</v>
      </c>
      <c r="AL74" s="159" t="s">
        <v>856</v>
      </c>
      <c r="AP74" s="159" t="s">
        <v>856</v>
      </c>
      <c r="AQ74" s="159" t="s">
        <v>856</v>
      </c>
      <c r="AR74" s="152" t="s">
        <v>1168</v>
      </c>
      <c r="AS74" s="159" t="s">
        <v>865</v>
      </c>
      <c r="AT74" s="152" t="str">
        <f t="shared" si="3"/>
        <v>VUNR3-010421</v>
      </c>
      <c r="AU74" s="152" t="str">
        <f t="shared" si="4"/>
        <v>ANGEL EUGENIO RAMON MACARIO</v>
      </c>
      <c r="AV74" s="152">
        <v>3532.03</v>
      </c>
      <c r="AW74" s="152">
        <v>712043</v>
      </c>
      <c r="AX74" s="152">
        <v>142.6</v>
      </c>
      <c r="AY74" s="152">
        <v>712046</v>
      </c>
      <c r="AZ74" s="152" t="s">
        <v>864</v>
      </c>
      <c r="BA74" s="152" t="str">
        <f t="shared" si="5"/>
        <v>L21-671-MP083</v>
      </c>
      <c r="BB74" s="152">
        <v>24</v>
      </c>
      <c r="BC74" s="157">
        <v>44448</v>
      </c>
      <c r="BD74" s="157">
        <v>44813</v>
      </c>
      <c r="BE74" s="158">
        <v>435586</v>
      </c>
      <c r="BF74" s="152" t="s">
        <v>1317</v>
      </c>
      <c r="BG74" s="152" t="s">
        <v>1295</v>
      </c>
      <c r="BH74" s="152">
        <v>0</v>
      </c>
      <c r="BI74" s="152">
        <v>213.51</v>
      </c>
      <c r="BJ74" s="152">
        <v>0</v>
      </c>
      <c r="BK74" s="152" t="s">
        <v>1296</v>
      </c>
      <c r="BL74" s="152">
        <v>266.89</v>
      </c>
      <c r="BM74" s="152">
        <v>712045</v>
      </c>
    </row>
    <row r="75" spans="1:65">
      <c r="A75" s="152" t="s">
        <v>1319</v>
      </c>
      <c r="B75" s="152" t="s">
        <v>1320</v>
      </c>
      <c r="C75" s="152" t="s">
        <v>1303</v>
      </c>
      <c r="D75" s="152" t="s">
        <v>1321</v>
      </c>
      <c r="E75" s="152" t="s">
        <v>1291</v>
      </c>
      <c r="F75" s="152">
        <v>3545</v>
      </c>
      <c r="G75" s="152">
        <v>45</v>
      </c>
      <c r="H75" s="152" t="s">
        <v>936</v>
      </c>
      <c r="I75" s="152">
        <v>189783</v>
      </c>
      <c r="J75" s="152">
        <v>69.48</v>
      </c>
      <c r="K75" s="152">
        <v>79691</v>
      </c>
      <c r="L75" s="159" t="s">
        <v>1292</v>
      </c>
      <c r="M75" s="152" t="s">
        <v>883</v>
      </c>
      <c r="N75" s="152" t="s">
        <v>92</v>
      </c>
      <c r="O75" s="159">
        <v>10578</v>
      </c>
      <c r="P75" s="159" t="s">
        <v>1292</v>
      </c>
      <c r="Q75" s="152" t="s">
        <v>883</v>
      </c>
      <c r="R75" s="152" t="s">
        <v>92</v>
      </c>
      <c r="S75" s="159">
        <v>10578</v>
      </c>
      <c r="T75" s="159" t="s">
        <v>856</v>
      </c>
      <c r="U75" s="159" t="s">
        <v>856</v>
      </c>
      <c r="V75" s="152" t="s">
        <v>1293</v>
      </c>
      <c r="W75" s="152" t="s">
        <v>858</v>
      </c>
      <c r="X75" s="152" t="s">
        <v>859</v>
      </c>
      <c r="Y75" s="152">
        <v>0</v>
      </c>
      <c r="Z75" s="152">
        <v>1</v>
      </c>
      <c r="AA75" s="152" t="s">
        <v>92</v>
      </c>
      <c r="AB75" s="152">
        <v>152.02000000000001</v>
      </c>
      <c r="AC75" s="152">
        <v>2</v>
      </c>
      <c r="AD75" s="152">
        <v>1</v>
      </c>
      <c r="AE75" s="152">
        <v>0</v>
      </c>
      <c r="AF75" s="152">
        <v>152.02000000000001</v>
      </c>
      <c r="AG75" s="152" t="s">
        <v>861</v>
      </c>
      <c r="AH75" s="152" t="s">
        <v>861</v>
      </c>
      <c r="AI75" s="152" t="s">
        <v>92</v>
      </c>
      <c r="AJ75" s="152" t="s">
        <v>92</v>
      </c>
      <c r="AK75" s="152" t="s">
        <v>942</v>
      </c>
      <c r="AL75" s="159" t="s">
        <v>856</v>
      </c>
      <c r="AP75" s="159" t="s">
        <v>856</v>
      </c>
      <c r="AQ75" s="159" t="s">
        <v>856</v>
      </c>
      <c r="AR75" s="152" t="s">
        <v>873</v>
      </c>
      <c r="AS75" s="159" t="s">
        <v>865</v>
      </c>
      <c r="AT75" s="152" t="str">
        <f t="shared" si="3"/>
        <v>VUNM3-010421</v>
      </c>
      <c r="AU75" s="152" t="str">
        <f t="shared" si="4"/>
        <v>CIRIACA MARLENY MACARIO CALVAC</v>
      </c>
      <c r="AV75" s="152">
        <v>2503.6999999999998</v>
      </c>
      <c r="AW75" s="152">
        <v>712059</v>
      </c>
      <c r="AX75" s="152">
        <v>24.95</v>
      </c>
      <c r="AY75" s="152">
        <v>712062</v>
      </c>
      <c r="AZ75" s="152" t="s">
        <v>864</v>
      </c>
      <c r="BA75" s="152" t="str">
        <f t="shared" si="5"/>
        <v>L21-672-MP086</v>
      </c>
      <c r="BB75" s="152">
        <v>24</v>
      </c>
      <c r="BC75" s="157">
        <v>44448</v>
      </c>
      <c r="BD75" s="157">
        <v>44813</v>
      </c>
      <c r="BE75" s="158">
        <v>308992</v>
      </c>
      <c r="BF75" s="152" t="s">
        <v>1322</v>
      </c>
      <c r="BG75" s="152" t="s">
        <v>1295</v>
      </c>
      <c r="BH75" s="152">
        <v>0</v>
      </c>
      <c r="BI75" s="152">
        <v>152.02000000000001</v>
      </c>
      <c r="BJ75" s="152">
        <v>0</v>
      </c>
      <c r="BK75" s="152" t="s">
        <v>1296</v>
      </c>
      <c r="BL75" s="152">
        <v>190.03</v>
      </c>
      <c r="BM75" s="152">
        <v>712061</v>
      </c>
    </row>
    <row r="76" spans="1:65">
      <c r="A76" s="152" t="s">
        <v>1325</v>
      </c>
      <c r="B76" s="152" t="s">
        <v>1326</v>
      </c>
      <c r="C76" s="152" t="s">
        <v>1327</v>
      </c>
      <c r="D76" s="152" t="s">
        <v>1328</v>
      </c>
      <c r="E76" s="152" t="s">
        <v>1329</v>
      </c>
      <c r="F76" s="152">
        <v>5990</v>
      </c>
      <c r="G76" s="152">
        <v>490</v>
      </c>
      <c r="H76" s="152" t="s">
        <v>1330</v>
      </c>
      <c r="I76" s="152">
        <v>198968</v>
      </c>
      <c r="J76" s="152">
        <v>235.02</v>
      </c>
      <c r="K76" s="152">
        <v>86497</v>
      </c>
      <c r="L76" s="159" t="s">
        <v>856</v>
      </c>
      <c r="M76" s="152" t="s">
        <v>92</v>
      </c>
      <c r="N76" s="152" t="s">
        <v>92</v>
      </c>
      <c r="O76" s="159" t="s">
        <v>856</v>
      </c>
      <c r="P76" s="159" t="s">
        <v>856</v>
      </c>
      <c r="Q76" s="152" t="s">
        <v>92</v>
      </c>
      <c r="R76" s="152" t="s">
        <v>92</v>
      </c>
      <c r="S76" s="159" t="s">
        <v>856</v>
      </c>
      <c r="T76" s="159" t="s">
        <v>856</v>
      </c>
      <c r="U76" s="159" t="s">
        <v>856</v>
      </c>
      <c r="V76" s="152" t="s">
        <v>857</v>
      </c>
      <c r="W76" s="152" t="s">
        <v>858</v>
      </c>
      <c r="X76" s="152" t="s">
        <v>1331</v>
      </c>
      <c r="Y76" s="152">
        <v>0</v>
      </c>
      <c r="Z76" s="152" t="s">
        <v>92</v>
      </c>
      <c r="AA76" s="152" t="s">
        <v>92</v>
      </c>
      <c r="AB76" s="152">
        <v>82.03</v>
      </c>
      <c r="AC76" s="152" t="s">
        <v>92</v>
      </c>
      <c r="AD76" s="152">
        <v>1</v>
      </c>
      <c r="AE76" s="152">
        <v>82.03</v>
      </c>
      <c r="AF76" s="152">
        <v>0</v>
      </c>
      <c r="AG76" s="152">
        <v>152.79</v>
      </c>
      <c r="AH76" s="152" t="s">
        <v>861</v>
      </c>
      <c r="AI76" s="152" t="s">
        <v>92</v>
      </c>
      <c r="AJ76" s="152" t="s">
        <v>92</v>
      </c>
      <c r="AK76" s="152" t="s">
        <v>862</v>
      </c>
      <c r="AL76" s="159" t="s">
        <v>856</v>
      </c>
      <c r="AP76" s="159" t="s">
        <v>856</v>
      </c>
      <c r="AQ76" s="159" t="s">
        <v>856</v>
      </c>
      <c r="AR76" s="152" t="s">
        <v>1332</v>
      </c>
      <c r="AS76" s="159" t="s">
        <v>865</v>
      </c>
      <c r="AT76" s="152" t="str">
        <f t="shared" si="3"/>
        <v>RPH10-110619</v>
      </c>
      <c r="AU76" s="152" t="str">
        <f t="shared" si="4"/>
        <v>AUGUSTO ALFREDO HERNANDEZ MEJIA</v>
      </c>
      <c r="AV76" s="152">
        <v>826.86</v>
      </c>
      <c r="AW76" s="152">
        <v>806067</v>
      </c>
      <c r="AX76" s="159" t="s">
        <v>856</v>
      </c>
      <c r="AY76" s="159" t="s">
        <v>856</v>
      </c>
      <c r="AZ76" s="152" t="s">
        <v>864</v>
      </c>
      <c r="BA76" s="152" t="str">
        <f t="shared" si="5"/>
        <v>L19-687-MP100</v>
      </c>
      <c r="BB76" s="152">
        <v>0</v>
      </c>
      <c r="BC76" s="157">
        <v>43703</v>
      </c>
      <c r="BD76" s="157">
        <v>43703</v>
      </c>
      <c r="BE76" s="158">
        <v>164060</v>
      </c>
      <c r="BF76" s="152" t="s">
        <v>1333</v>
      </c>
      <c r="BG76" s="152" t="s">
        <v>894</v>
      </c>
      <c r="BH76" s="152">
        <v>82.03</v>
      </c>
      <c r="BI76" s="152">
        <v>0</v>
      </c>
      <c r="BJ76" s="152">
        <v>0</v>
      </c>
      <c r="BK76" s="152" t="s">
        <v>132</v>
      </c>
      <c r="BL76" s="152">
        <v>82.03</v>
      </c>
      <c r="BM76" s="152">
        <v>828764</v>
      </c>
    </row>
    <row r="77" spans="1:65">
      <c r="A77" s="152" t="s">
        <v>1335</v>
      </c>
      <c r="B77" s="152" t="s">
        <v>1334</v>
      </c>
      <c r="C77" s="152" t="s">
        <v>1336</v>
      </c>
      <c r="D77" s="152" t="s">
        <v>1337</v>
      </c>
      <c r="E77" s="152" t="s">
        <v>1337</v>
      </c>
      <c r="F77" s="152">
        <v>335100</v>
      </c>
      <c r="G77" s="152">
        <v>110</v>
      </c>
      <c r="H77" s="152">
        <v>834</v>
      </c>
      <c r="I77" s="152">
        <v>200721</v>
      </c>
      <c r="J77" s="152">
        <v>121.12</v>
      </c>
      <c r="K77" s="152">
        <v>87868</v>
      </c>
      <c r="L77" s="159" t="s">
        <v>856</v>
      </c>
      <c r="M77" s="152" t="s">
        <v>92</v>
      </c>
      <c r="N77" s="152" t="s">
        <v>92</v>
      </c>
      <c r="O77" s="159" t="s">
        <v>856</v>
      </c>
      <c r="P77" s="159" t="s">
        <v>856</v>
      </c>
      <c r="Q77" s="152" t="s">
        <v>92</v>
      </c>
      <c r="R77" s="152" t="s">
        <v>92</v>
      </c>
      <c r="S77" s="159" t="s">
        <v>856</v>
      </c>
      <c r="T77" s="159" t="s">
        <v>1338</v>
      </c>
      <c r="U77" s="159" t="s">
        <v>1339</v>
      </c>
      <c r="V77" s="152" t="s">
        <v>857</v>
      </c>
      <c r="W77" s="152" t="s">
        <v>858</v>
      </c>
      <c r="X77" s="152" t="s">
        <v>882</v>
      </c>
      <c r="Y77" s="152">
        <v>54.67</v>
      </c>
      <c r="Z77" s="152">
        <v>1</v>
      </c>
      <c r="AA77" s="152" t="s">
        <v>883</v>
      </c>
      <c r="AB77" s="152">
        <v>202.82</v>
      </c>
      <c r="AC77" s="152">
        <v>2</v>
      </c>
      <c r="AD77" s="152" t="s">
        <v>861</v>
      </c>
      <c r="AE77" s="152">
        <v>202.82</v>
      </c>
      <c r="AF77" s="152">
        <v>0</v>
      </c>
      <c r="AG77" s="152" t="s">
        <v>861</v>
      </c>
      <c r="AH77" s="152" t="s">
        <v>861</v>
      </c>
      <c r="AI77" s="152" t="s">
        <v>92</v>
      </c>
      <c r="AJ77" s="152" t="s">
        <v>92</v>
      </c>
      <c r="AK77" s="152" t="s">
        <v>884</v>
      </c>
      <c r="AL77" s="159" t="s">
        <v>856</v>
      </c>
      <c r="AP77" s="159" t="s">
        <v>856</v>
      </c>
      <c r="AQ77" s="159" t="s">
        <v>856</v>
      </c>
      <c r="AR77" s="152" t="s">
        <v>873</v>
      </c>
      <c r="AS77" s="159" t="s">
        <v>865</v>
      </c>
      <c r="AT77" s="152" t="str">
        <f t="shared" si="3"/>
        <v>RPNE8-281220</v>
      </c>
      <c r="AU77" s="152" t="str">
        <f t="shared" si="4"/>
        <v>ALBA ALICIA ELIAS ESCOBAR</v>
      </c>
      <c r="AV77" s="152">
        <v>596.29</v>
      </c>
      <c r="AW77" s="152">
        <v>730891</v>
      </c>
      <c r="AX77" s="152">
        <v>37.5</v>
      </c>
      <c r="AY77" s="152">
        <v>730891</v>
      </c>
      <c r="AZ77" s="152" t="s">
        <v>864</v>
      </c>
      <c r="BA77" s="152" t="str">
        <f t="shared" si="5"/>
        <v>L21-663-MP080</v>
      </c>
      <c r="BB77" s="152">
        <v>0</v>
      </c>
      <c r="BC77" s="157">
        <v>44251</v>
      </c>
      <c r="BD77" s="157">
        <v>44251</v>
      </c>
      <c r="BE77" s="158">
        <v>116184.5</v>
      </c>
      <c r="BF77" s="152" t="s">
        <v>1340</v>
      </c>
      <c r="BG77" s="152" t="s">
        <v>894</v>
      </c>
      <c r="BH77" s="152">
        <v>202.82</v>
      </c>
      <c r="BI77" s="152">
        <v>0</v>
      </c>
      <c r="BJ77" s="152">
        <v>0</v>
      </c>
      <c r="BK77" s="152" t="s">
        <v>132</v>
      </c>
      <c r="BL77" s="152">
        <v>202.82</v>
      </c>
      <c r="BM77" s="152">
        <v>730891</v>
      </c>
    </row>
    <row r="78" spans="1:65">
      <c r="A78" s="152" t="s">
        <v>1341</v>
      </c>
      <c r="B78" s="152" t="s">
        <v>1342</v>
      </c>
      <c r="C78" s="152" t="s">
        <v>1343</v>
      </c>
      <c r="D78" s="152" t="s">
        <v>1344</v>
      </c>
      <c r="E78" s="152" t="s">
        <v>1344</v>
      </c>
      <c r="F78" s="152">
        <v>8164</v>
      </c>
      <c r="G78" s="152">
        <v>164</v>
      </c>
      <c r="H78" s="152" t="s">
        <v>1345</v>
      </c>
      <c r="I78" s="152">
        <v>200377</v>
      </c>
      <c r="J78" s="152">
        <v>1046.6099999999999</v>
      </c>
      <c r="K78" s="152">
        <v>87582</v>
      </c>
      <c r="L78" s="159" t="s">
        <v>856</v>
      </c>
      <c r="M78" s="152" t="s">
        <v>92</v>
      </c>
      <c r="N78" s="152" t="s">
        <v>92</v>
      </c>
      <c r="O78" s="159" t="s">
        <v>856</v>
      </c>
      <c r="P78" s="159" t="s">
        <v>856</v>
      </c>
      <c r="Q78" s="152" t="s">
        <v>92</v>
      </c>
      <c r="R78" s="152" t="s">
        <v>92</v>
      </c>
      <c r="S78" s="159" t="s">
        <v>856</v>
      </c>
      <c r="T78" s="159" t="s">
        <v>856</v>
      </c>
      <c r="U78" s="159" t="s">
        <v>856</v>
      </c>
      <c r="V78" s="152" t="s">
        <v>857</v>
      </c>
      <c r="W78" s="152" t="s">
        <v>858</v>
      </c>
      <c r="X78" s="152" t="s">
        <v>882</v>
      </c>
      <c r="Y78" s="152">
        <v>0</v>
      </c>
      <c r="Z78" s="152">
        <v>1</v>
      </c>
      <c r="AA78" s="152" t="s">
        <v>92</v>
      </c>
      <c r="AB78" s="152">
        <v>438.53</v>
      </c>
      <c r="AC78" s="152">
        <v>1</v>
      </c>
      <c r="AD78" s="152" t="s">
        <v>861</v>
      </c>
      <c r="AE78" s="152">
        <v>438.53</v>
      </c>
      <c r="AF78" s="152">
        <v>0</v>
      </c>
      <c r="AG78" s="152" t="s">
        <v>861</v>
      </c>
      <c r="AH78" s="152" t="s">
        <v>861</v>
      </c>
      <c r="AI78" s="152" t="s">
        <v>92</v>
      </c>
      <c r="AJ78" s="152" t="s">
        <v>92</v>
      </c>
      <c r="AK78" s="152" t="s">
        <v>862</v>
      </c>
      <c r="AL78" s="159" t="s">
        <v>856</v>
      </c>
      <c r="AP78" s="159" t="s">
        <v>856</v>
      </c>
      <c r="AQ78" s="159" t="s">
        <v>856</v>
      </c>
      <c r="AR78" s="152" t="s">
        <v>992</v>
      </c>
      <c r="AS78" s="159" t="s">
        <v>865</v>
      </c>
      <c r="AT78" s="152" t="str">
        <f t="shared" si="3"/>
        <v>RPNR1-091020</v>
      </c>
      <c r="AU78" s="152" t="str">
        <f t="shared" si="4"/>
        <v>MARTA ELIZABETH ROSALES CASIMIRO Y CDÑOS</v>
      </c>
      <c r="AV78" s="152">
        <v>5525.48</v>
      </c>
      <c r="AW78" s="152">
        <v>575745</v>
      </c>
      <c r="AX78" s="152">
        <v>184.85</v>
      </c>
      <c r="AY78" s="152">
        <f>AW78</f>
        <v>575745</v>
      </c>
      <c r="AZ78" s="152" t="s">
        <v>864</v>
      </c>
      <c r="BA78" s="152" t="str">
        <f t="shared" si="5"/>
        <v>L20-491-MP097</v>
      </c>
      <c r="BB78" s="152">
        <v>0</v>
      </c>
      <c r="BC78" s="157">
        <v>44180</v>
      </c>
      <c r="BD78" s="157">
        <v>44180</v>
      </c>
      <c r="BE78" s="158">
        <v>1096325</v>
      </c>
    </row>
    <row r="79" spans="1:65">
      <c r="A79" s="152" t="s">
        <v>1346</v>
      </c>
      <c r="B79" s="152" t="s">
        <v>1347</v>
      </c>
      <c r="C79" s="152" t="s">
        <v>1348</v>
      </c>
      <c r="D79" s="152" t="s">
        <v>1349</v>
      </c>
      <c r="E79" s="152" t="s">
        <v>1349</v>
      </c>
      <c r="F79" s="152">
        <v>4679</v>
      </c>
      <c r="G79" s="152">
        <v>179</v>
      </c>
      <c r="H79" s="152" t="s">
        <v>1350</v>
      </c>
      <c r="I79" s="152">
        <v>200223</v>
      </c>
      <c r="J79" s="152">
        <v>130.5</v>
      </c>
      <c r="K79" s="152">
        <v>87464</v>
      </c>
      <c r="L79" s="159" t="s">
        <v>856</v>
      </c>
      <c r="M79" s="152" t="s">
        <v>92</v>
      </c>
      <c r="N79" s="152" t="s">
        <v>92</v>
      </c>
      <c r="O79" s="159" t="s">
        <v>856</v>
      </c>
      <c r="P79" s="159" t="s">
        <v>856</v>
      </c>
      <c r="Q79" s="152" t="s">
        <v>92</v>
      </c>
      <c r="R79" s="152" t="s">
        <v>92</v>
      </c>
      <c r="S79" s="159" t="s">
        <v>856</v>
      </c>
      <c r="T79" s="159" t="s">
        <v>856</v>
      </c>
      <c r="U79" s="159" t="s">
        <v>856</v>
      </c>
      <c r="V79" s="152" t="s">
        <v>857</v>
      </c>
      <c r="W79" s="152" t="s">
        <v>858</v>
      </c>
      <c r="X79" s="152" t="s">
        <v>882</v>
      </c>
      <c r="Y79" s="152">
        <v>35.200000000000003</v>
      </c>
      <c r="Z79" s="152">
        <v>1</v>
      </c>
      <c r="AA79" s="152" t="s">
        <v>92</v>
      </c>
      <c r="AB79" s="152">
        <v>98.15</v>
      </c>
      <c r="AC79" s="152">
        <v>1</v>
      </c>
      <c r="AD79" s="152" t="s">
        <v>861</v>
      </c>
      <c r="AE79" s="152">
        <v>98.15</v>
      </c>
      <c r="AF79" s="152">
        <v>0</v>
      </c>
      <c r="AG79" s="152" t="s">
        <v>861</v>
      </c>
      <c r="AH79" s="152" t="s">
        <v>861</v>
      </c>
      <c r="AI79" s="152" t="s">
        <v>92</v>
      </c>
      <c r="AJ79" s="152" t="s">
        <v>92</v>
      </c>
      <c r="AK79" s="152" t="s">
        <v>884</v>
      </c>
      <c r="AL79" s="159" t="s">
        <v>856</v>
      </c>
      <c r="AP79" s="159" t="s">
        <v>856</v>
      </c>
      <c r="AQ79" s="159" t="s">
        <v>856</v>
      </c>
      <c r="AR79" s="152" t="s">
        <v>1043</v>
      </c>
      <c r="AS79" s="159" t="s">
        <v>865</v>
      </c>
      <c r="AT79" s="152" t="str">
        <f t="shared" si="3"/>
        <v>RPNF8-250920</v>
      </c>
      <c r="AU79" s="152" t="str">
        <f t="shared" si="4"/>
        <v>JORGE ALBERTO FIGUEROA MUÑOZ</v>
      </c>
      <c r="AV79" s="152">
        <v>1058.3399999999999</v>
      </c>
      <c r="AW79" s="152">
        <v>647374</v>
      </c>
      <c r="AX79" s="152">
        <v>43.5</v>
      </c>
      <c r="AY79" s="152">
        <f t="shared" ref="AY79:AY84" si="6">AW79</f>
        <v>647374</v>
      </c>
      <c r="AZ79" s="152" t="s">
        <v>864</v>
      </c>
      <c r="BA79" s="152" t="str">
        <f t="shared" si="5"/>
        <v>L21-060-MP108</v>
      </c>
      <c r="BB79" s="152">
        <v>0</v>
      </c>
      <c r="BC79" s="157">
        <v>44210</v>
      </c>
      <c r="BD79" s="157">
        <v>44210</v>
      </c>
      <c r="BE79" s="158">
        <v>208620</v>
      </c>
    </row>
    <row r="80" spans="1:65">
      <c r="A80" s="152" t="s">
        <v>1351</v>
      </c>
      <c r="B80" s="152" t="s">
        <v>1352</v>
      </c>
      <c r="C80" s="152" t="s">
        <v>1353</v>
      </c>
      <c r="D80" s="152" t="s">
        <v>1354</v>
      </c>
      <c r="E80" s="152" t="s">
        <v>1291</v>
      </c>
      <c r="F80" s="152">
        <v>296153</v>
      </c>
      <c r="G80" s="152">
        <v>33</v>
      </c>
      <c r="H80" s="152">
        <v>706</v>
      </c>
      <c r="I80" s="152">
        <v>199807</v>
      </c>
      <c r="J80" s="152">
        <v>110.31</v>
      </c>
      <c r="K80" s="152">
        <v>87164</v>
      </c>
      <c r="L80" s="159" t="s">
        <v>1355</v>
      </c>
      <c r="M80" s="152" t="s">
        <v>92</v>
      </c>
      <c r="N80" s="152" t="s">
        <v>883</v>
      </c>
      <c r="O80" s="159">
        <v>6542</v>
      </c>
      <c r="P80" s="159" t="s">
        <v>1355</v>
      </c>
      <c r="Q80" s="152" t="s">
        <v>92</v>
      </c>
      <c r="R80" s="152" t="s">
        <v>883</v>
      </c>
      <c r="S80" s="159">
        <v>6542</v>
      </c>
      <c r="T80" s="159" t="s">
        <v>856</v>
      </c>
      <c r="U80" s="159" t="s">
        <v>856</v>
      </c>
      <c r="V80" s="152" t="s">
        <v>857</v>
      </c>
      <c r="W80" s="152" t="s">
        <v>858</v>
      </c>
      <c r="X80" s="152" t="s">
        <v>1083</v>
      </c>
      <c r="Y80" s="152">
        <v>28.88</v>
      </c>
      <c r="Z80" s="152">
        <v>1</v>
      </c>
      <c r="AA80" s="152" t="s">
        <v>883</v>
      </c>
      <c r="AB80" s="152">
        <v>189.9</v>
      </c>
      <c r="AC80" s="152">
        <v>2</v>
      </c>
      <c r="AD80" s="152" t="s">
        <v>861</v>
      </c>
      <c r="AE80" s="152">
        <v>189.9</v>
      </c>
      <c r="AF80" s="152">
        <v>0</v>
      </c>
      <c r="AG80" s="152">
        <v>7</v>
      </c>
      <c r="AH80" s="152" t="s">
        <v>861</v>
      </c>
      <c r="AI80" s="152" t="s">
        <v>92</v>
      </c>
      <c r="AJ80" s="152" t="s">
        <v>92</v>
      </c>
      <c r="AK80" s="152" t="s">
        <v>884</v>
      </c>
      <c r="AL80" s="159" t="s">
        <v>856</v>
      </c>
      <c r="AP80" s="159" t="s">
        <v>856</v>
      </c>
      <c r="AQ80" s="159" t="s">
        <v>856</v>
      </c>
      <c r="AR80" s="152" t="s">
        <v>1043</v>
      </c>
      <c r="AS80" s="159" t="s">
        <v>865</v>
      </c>
      <c r="AT80" s="152" t="str">
        <f t="shared" si="3"/>
        <v>VUNP8-010121</v>
      </c>
      <c r="AU80" s="152" t="str">
        <f t="shared" si="4"/>
        <v>FREDY GREGORIO PEREZ Y PEREZ</v>
      </c>
      <c r="AV80" s="152">
        <v>2449.34</v>
      </c>
      <c r="AW80" s="152">
        <v>731253</v>
      </c>
      <c r="AX80" s="152">
        <v>68.75</v>
      </c>
      <c r="AY80" s="152">
        <f t="shared" si="6"/>
        <v>731253</v>
      </c>
      <c r="AZ80" s="152" t="s">
        <v>864</v>
      </c>
      <c r="BA80" s="152" t="str">
        <f t="shared" si="5"/>
        <v>L21-147-MP050</v>
      </c>
      <c r="BB80" s="152">
        <v>24</v>
      </c>
      <c r="BC80" s="157">
        <v>44257</v>
      </c>
      <c r="BD80" s="157">
        <v>44622</v>
      </c>
      <c r="BE80" s="158">
        <v>484856.25</v>
      </c>
      <c r="BF80" s="152" t="s">
        <v>1356</v>
      </c>
      <c r="BG80" s="152" t="s">
        <v>1357</v>
      </c>
      <c r="BH80" s="152">
        <v>189.9</v>
      </c>
      <c r="BI80" s="152">
        <v>0</v>
      </c>
      <c r="BJ80" s="152">
        <v>0</v>
      </c>
      <c r="BK80" s="152" t="s">
        <v>132</v>
      </c>
      <c r="BL80" s="152">
        <v>189.9</v>
      </c>
      <c r="BM80" s="152">
        <f t="shared" ref="BM80:BM85" si="7">AW80</f>
        <v>731253</v>
      </c>
    </row>
    <row r="81" spans="1:65">
      <c r="A81" s="152" t="s">
        <v>1358</v>
      </c>
      <c r="B81" s="152" t="s">
        <v>1359</v>
      </c>
      <c r="C81" s="152" t="s">
        <v>1360</v>
      </c>
      <c r="D81" s="152" t="s">
        <v>1361</v>
      </c>
      <c r="E81" s="152" t="s">
        <v>1362</v>
      </c>
      <c r="F81" s="152">
        <v>1485</v>
      </c>
      <c r="G81" s="152">
        <v>485</v>
      </c>
      <c r="H81" s="152" t="s">
        <v>1363</v>
      </c>
      <c r="I81" s="152">
        <v>199716</v>
      </c>
      <c r="J81" s="152">
        <v>144</v>
      </c>
      <c r="K81" s="152">
        <v>87088</v>
      </c>
      <c r="L81" s="159" t="s">
        <v>1364</v>
      </c>
      <c r="M81" s="152" t="s">
        <v>92</v>
      </c>
      <c r="N81" s="152" t="s">
        <v>883</v>
      </c>
      <c r="O81" s="159">
        <v>2694</v>
      </c>
      <c r="P81" s="159" t="s">
        <v>1364</v>
      </c>
      <c r="Q81" s="152" t="s">
        <v>92</v>
      </c>
      <c r="R81" s="152" t="s">
        <v>883</v>
      </c>
      <c r="S81" s="159">
        <v>2694</v>
      </c>
      <c r="T81" s="159" t="s">
        <v>856</v>
      </c>
      <c r="U81" s="159" t="s">
        <v>856</v>
      </c>
      <c r="V81" s="152" t="s">
        <v>857</v>
      </c>
      <c r="W81" s="152" t="s">
        <v>858</v>
      </c>
      <c r="X81" s="152" t="s">
        <v>882</v>
      </c>
      <c r="Y81" s="152">
        <v>72.87</v>
      </c>
      <c r="Z81" s="152">
        <v>1</v>
      </c>
      <c r="AA81" s="152" t="s">
        <v>883</v>
      </c>
      <c r="AB81" s="152">
        <v>118.28</v>
      </c>
      <c r="AC81" s="152">
        <v>1</v>
      </c>
      <c r="AD81" s="152">
        <v>1</v>
      </c>
      <c r="AE81" s="152">
        <v>118.28</v>
      </c>
      <c r="AF81" s="152">
        <v>0</v>
      </c>
      <c r="AG81" s="152">
        <v>10.78</v>
      </c>
      <c r="AH81" s="152" t="s">
        <v>861</v>
      </c>
      <c r="AI81" s="152" t="s">
        <v>92</v>
      </c>
      <c r="AJ81" s="152" t="s">
        <v>92</v>
      </c>
      <c r="AK81" s="152" t="s">
        <v>912</v>
      </c>
      <c r="AL81" s="159" t="s">
        <v>856</v>
      </c>
      <c r="AP81" s="159" t="s">
        <v>856</v>
      </c>
      <c r="AQ81" s="159" t="s">
        <v>856</v>
      </c>
      <c r="AR81" s="152" t="s">
        <v>873</v>
      </c>
      <c r="AS81" s="159" t="s">
        <v>865</v>
      </c>
      <c r="AT81" s="152" t="str">
        <f t="shared" si="3"/>
        <v>VUNS5-031120</v>
      </c>
      <c r="AU81" s="152" t="str">
        <f t="shared" si="4"/>
        <v>EDGAR PAZ SUY HERNANDEZ</v>
      </c>
      <c r="AV81" s="152">
        <v>1335.09</v>
      </c>
      <c r="AW81" s="152">
        <v>731290</v>
      </c>
      <c r="AX81" s="152">
        <v>40</v>
      </c>
      <c r="AY81" s="152">
        <f t="shared" si="6"/>
        <v>731290</v>
      </c>
      <c r="AZ81" s="152" t="s">
        <v>864</v>
      </c>
      <c r="BA81" s="152" t="str">
        <f t="shared" si="5"/>
        <v>L21-150-MP046</v>
      </c>
      <c r="BB81" s="152">
        <v>15</v>
      </c>
      <c r="BC81" s="157">
        <v>44259</v>
      </c>
      <c r="BD81" s="157">
        <v>44565</v>
      </c>
      <c r="BE81" s="158">
        <v>262064.5</v>
      </c>
      <c r="BF81" s="152" t="s">
        <v>1365</v>
      </c>
      <c r="BG81" s="152" t="s">
        <v>1161</v>
      </c>
      <c r="BH81" s="152">
        <v>118.28</v>
      </c>
      <c r="BI81" s="152">
        <v>0</v>
      </c>
      <c r="BJ81" s="152">
        <v>0</v>
      </c>
      <c r="BK81" s="152" t="s">
        <v>132</v>
      </c>
      <c r="BL81" s="152">
        <v>118.28</v>
      </c>
      <c r="BM81" s="152">
        <f t="shared" si="7"/>
        <v>731290</v>
      </c>
    </row>
    <row r="82" spans="1:65">
      <c r="A82" s="152" t="s">
        <v>1366</v>
      </c>
      <c r="B82" s="152" t="s">
        <v>1367</v>
      </c>
      <c r="C82" s="152" t="s">
        <v>1368</v>
      </c>
      <c r="D82" s="152" t="s">
        <v>1369</v>
      </c>
      <c r="E82" s="152" t="s">
        <v>1370</v>
      </c>
      <c r="F82" s="152">
        <v>312987</v>
      </c>
      <c r="G82" s="152">
        <v>257</v>
      </c>
      <c r="H82" s="152">
        <v>760</v>
      </c>
      <c r="I82" s="152">
        <v>176533</v>
      </c>
      <c r="J82" s="152">
        <v>81</v>
      </c>
      <c r="K82" s="152">
        <v>70207</v>
      </c>
      <c r="L82" s="159" t="s">
        <v>1371</v>
      </c>
      <c r="M82" s="152" t="s">
        <v>883</v>
      </c>
      <c r="N82" s="152" t="s">
        <v>92</v>
      </c>
      <c r="O82" s="159">
        <v>7810</v>
      </c>
      <c r="P82" s="159" t="s">
        <v>1371</v>
      </c>
      <c r="Q82" s="152" t="s">
        <v>883</v>
      </c>
      <c r="R82" s="152" t="s">
        <v>92</v>
      </c>
      <c r="S82" s="159">
        <v>7810</v>
      </c>
      <c r="T82" s="159" t="s">
        <v>1372</v>
      </c>
      <c r="U82" s="159" t="s">
        <v>1373</v>
      </c>
      <c r="V82" s="152" t="s">
        <v>857</v>
      </c>
      <c r="W82" s="152" t="s">
        <v>858</v>
      </c>
      <c r="X82" s="152" t="s">
        <v>1083</v>
      </c>
      <c r="Y82" s="152">
        <v>30.94</v>
      </c>
      <c r="Z82" s="152">
        <v>1</v>
      </c>
      <c r="AA82" s="152" t="s">
        <v>92</v>
      </c>
      <c r="AB82" s="152">
        <v>116.37</v>
      </c>
      <c r="AC82" s="152">
        <v>2</v>
      </c>
      <c r="AD82" s="152" t="s">
        <v>861</v>
      </c>
      <c r="AE82" s="152">
        <v>116.37</v>
      </c>
      <c r="AF82" s="152">
        <v>0</v>
      </c>
      <c r="AG82" s="152" t="s">
        <v>861</v>
      </c>
      <c r="AH82" s="152" t="s">
        <v>861</v>
      </c>
      <c r="AI82" s="152" t="s">
        <v>92</v>
      </c>
      <c r="AJ82" s="152" t="s">
        <v>92</v>
      </c>
      <c r="AK82" s="152" t="s">
        <v>972</v>
      </c>
      <c r="AL82" s="159" t="s">
        <v>856</v>
      </c>
      <c r="AP82" s="159" t="s">
        <v>856</v>
      </c>
      <c r="AQ82" s="159" t="s">
        <v>856</v>
      </c>
      <c r="AR82" s="152" t="s">
        <v>873</v>
      </c>
      <c r="AS82" s="159" t="s">
        <v>865</v>
      </c>
      <c r="AT82" s="152" t="str">
        <f t="shared" si="3"/>
        <v>VUNG12-051220</v>
      </c>
      <c r="AU82" s="152" t="str">
        <f t="shared" si="4"/>
        <v>CESAR NICOLAS GARCIA HERNANDEZ</v>
      </c>
      <c r="AV82" s="152">
        <v>1526.9</v>
      </c>
      <c r="AW82" s="152">
        <v>731289</v>
      </c>
      <c r="AX82" s="152">
        <v>30</v>
      </c>
      <c r="AY82" s="152">
        <f t="shared" si="6"/>
        <v>731289</v>
      </c>
      <c r="AZ82" s="152" t="s">
        <v>864</v>
      </c>
      <c r="BA82" s="152" t="str">
        <f t="shared" si="5"/>
        <v>L21-148-MP049</v>
      </c>
      <c r="BB82" s="152">
        <v>24</v>
      </c>
      <c r="BC82" s="157">
        <v>44259</v>
      </c>
      <c r="BD82" s="157">
        <v>44624</v>
      </c>
      <c r="BE82" s="158">
        <v>301754</v>
      </c>
      <c r="BF82" s="152" t="s">
        <v>1374</v>
      </c>
      <c r="BG82" s="152" t="s">
        <v>1161</v>
      </c>
      <c r="BH82" s="152">
        <v>116.37</v>
      </c>
      <c r="BI82" s="152">
        <v>0</v>
      </c>
      <c r="BJ82" s="152">
        <v>0</v>
      </c>
      <c r="BK82" s="152" t="s">
        <v>132</v>
      </c>
      <c r="BL82" s="152">
        <v>116.37</v>
      </c>
      <c r="BM82" s="152">
        <f t="shared" si="7"/>
        <v>731289</v>
      </c>
    </row>
    <row r="83" spans="1:65">
      <c r="A83" s="152" t="s">
        <v>1375</v>
      </c>
      <c r="B83" s="152" t="s">
        <v>1376</v>
      </c>
      <c r="C83" s="152" t="s">
        <v>1368</v>
      </c>
      <c r="D83" s="152" t="s">
        <v>1377</v>
      </c>
      <c r="E83" s="152" t="s">
        <v>1370</v>
      </c>
      <c r="F83" s="152">
        <v>312986</v>
      </c>
      <c r="G83" s="152">
        <v>256</v>
      </c>
      <c r="H83" s="152">
        <v>760</v>
      </c>
      <c r="I83" s="152">
        <v>176532</v>
      </c>
      <c r="J83" s="152">
        <v>81</v>
      </c>
      <c r="K83" s="152">
        <v>70208</v>
      </c>
      <c r="L83" s="159" t="s">
        <v>1371</v>
      </c>
      <c r="M83" s="152" t="s">
        <v>883</v>
      </c>
      <c r="N83" s="152" t="s">
        <v>92</v>
      </c>
      <c r="O83" s="159">
        <v>7810</v>
      </c>
      <c r="P83" s="159" t="s">
        <v>1371</v>
      </c>
      <c r="Q83" s="152" t="s">
        <v>883</v>
      </c>
      <c r="R83" s="152" t="s">
        <v>92</v>
      </c>
      <c r="S83" s="159">
        <v>7810</v>
      </c>
      <c r="T83" s="159" t="s">
        <v>1372</v>
      </c>
      <c r="U83" s="159" t="s">
        <v>1373</v>
      </c>
      <c r="V83" s="152" t="s">
        <v>857</v>
      </c>
      <c r="W83" s="152" t="s">
        <v>858</v>
      </c>
      <c r="X83" s="152" t="s">
        <v>1083</v>
      </c>
      <c r="Y83" s="152">
        <v>30.94</v>
      </c>
      <c r="Z83" s="152">
        <v>1</v>
      </c>
      <c r="AA83" s="152" t="s">
        <v>92</v>
      </c>
      <c r="AB83" s="152">
        <v>126.16</v>
      </c>
      <c r="AC83" s="152">
        <v>2</v>
      </c>
      <c r="AD83" s="152" t="s">
        <v>861</v>
      </c>
      <c r="AE83" s="152">
        <v>126.16</v>
      </c>
      <c r="AF83" s="152">
        <v>0</v>
      </c>
      <c r="AG83" s="152" t="s">
        <v>861</v>
      </c>
      <c r="AH83" s="152" t="s">
        <v>861</v>
      </c>
      <c r="AI83" s="152" t="s">
        <v>92</v>
      </c>
      <c r="AJ83" s="152" t="s">
        <v>92</v>
      </c>
      <c r="AK83" s="152" t="s">
        <v>972</v>
      </c>
      <c r="AL83" s="159" t="s">
        <v>856</v>
      </c>
      <c r="AP83" s="159" t="s">
        <v>856</v>
      </c>
      <c r="AQ83" s="159" t="s">
        <v>856</v>
      </c>
      <c r="AR83" s="152" t="s">
        <v>873</v>
      </c>
      <c r="AS83" s="159" t="s">
        <v>865</v>
      </c>
      <c r="AT83" s="152" t="str">
        <f t="shared" si="3"/>
        <v>VUNG12-041220</v>
      </c>
      <c r="AU83" s="152" t="str">
        <f t="shared" si="4"/>
        <v>CESAR NICOLAS GARCIA HERNANDEZ</v>
      </c>
      <c r="AV83" s="152">
        <v>1650.26</v>
      </c>
      <c r="AW83" s="152">
        <v>731288</v>
      </c>
      <c r="AX83" s="152">
        <v>30</v>
      </c>
      <c r="AY83" s="152">
        <f t="shared" si="6"/>
        <v>731288</v>
      </c>
      <c r="AZ83" s="152" t="s">
        <v>864</v>
      </c>
      <c r="BA83" s="152" t="str">
        <f t="shared" si="5"/>
        <v>L21-149-MP048</v>
      </c>
      <c r="BB83" s="152">
        <v>24</v>
      </c>
      <c r="BC83" s="157">
        <v>44259</v>
      </c>
      <c r="BD83" s="157">
        <v>44624</v>
      </c>
      <c r="BE83" s="158">
        <v>326229</v>
      </c>
      <c r="BF83" s="152" t="s">
        <v>1378</v>
      </c>
      <c r="BG83" s="152" t="s">
        <v>1161</v>
      </c>
      <c r="BH83" s="152">
        <v>126.16</v>
      </c>
      <c r="BI83" s="152">
        <v>0</v>
      </c>
      <c r="BJ83" s="152">
        <v>0</v>
      </c>
      <c r="BK83" s="152" t="s">
        <v>132</v>
      </c>
      <c r="BL83" s="152">
        <v>126.16</v>
      </c>
      <c r="BM83" s="152">
        <f t="shared" si="7"/>
        <v>731288</v>
      </c>
    </row>
    <row r="84" spans="1:65">
      <c r="A84" s="152" t="s">
        <v>1379</v>
      </c>
      <c r="B84" s="152" t="s">
        <v>1380</v>
      </c>
      <c r="C84" s="152" t="s">
        <v>1381</v>
      </c>
      <c r="D84" s="152" t="s">
        <v>1382</v>
      </c>
      <c r="E84" s="152" t="s">
        <v>1382</v>
      </c>
      <c r="F84" s="152">
        <v>1803</v>
      </c>
      <c r="G84" s="152">
        <v>303</v>
      </c>
      <c r="H84" s="152" t="s">
        <v>1116</v>
      </c>
      <c r="I84" s="152">
        <v>200325</v>
      </c>
      <c r="J84" s="152">
        <v>60.38</v>
      </c>
      <c r="K84" s="152">
        <v>87535</v>
      </c>
      <c r="L84" s="159" t="s">
        <v>856</v>
      </c>
      <c r="M84" s="152" t="s">
        <v>92</v>
      </c>
      <c r="N84" s="152" t="s">
        <v>92</v>
      </c>
      <c r="O84" s="159" t="s">
        <v>856</v>
      </c>
      <c r="P84" s="159" t="s">
        <v>856</v>
      </c>
      <c r="Q84" s="152" t="s">
        <v>92</v>
      </c>
      <c r="R84" s="152" t="s">
        <v>92</v>
      </c>
      <c r="S84" s="159" t="s">
        <v>856</v>
      </c>
      <c r="T84" s="159" t="s">
        <v>856</v>
      </c>
      <c r="U84" s="159" t="s">
        <v>856</v>
      </c>
      <c r="V84" s="152" t="s">
        <v>857</v>
      </c>
      <c r="W84" s="152" t="s">
        <v>858</v>
      </c>
      <c r="X84" s="152" t="s">
        <v>1083</v>
      </c>
      <c r="Y84" s="152">
        <v>0</v>
      </c>
      <c r="Z84" s="152">
        <v>1</v>
      </c>
      <c r="AA84" s="152" t="s">
        <v>883</v>
      </c>
      <c r="AB84" s="152">
        <v>65.3</v>
      </c>
      <c r="AC84" s="152">
        <v>1</v>
      </c>
      <c r="AD84" s="152" t="s">
        <v>861</v>
      </c>
      <c r="AE84" s="152">
        <v>65.3</v>
      </c>
      <c r="AF84" s="152">
        <v>0</v>
      </c>
      <c r="AG84" s="152" t="s">
        <v>861</v>
      </c>
      <c r="AH84" s="152" t="s">
        <v>861</v>
      </c>
      <c r="AI84" s="152" t="s">
        <v>92</v>
      </c>
      <c r="AJ84" s="152" t="s">
        <v>92</v>
      </c>
      <c r="AK84" s="152" t="s">
        <v>912</v>
      </c>
      <c r="AL84" s="159" t="s">
        <v>856</v>
      </c>
      <c r="AP84" s="159" t="s">
        <v>856</v>
      </c>
      <c r="AQ84" s="159" t="s">
        <v>856</v>
      </c>
      <c r="AR84" s="152" t="s">
        <v>1383</v>
      </c>
      <c r="AS84" s="159" t="s">
        <v>865</v>
      </c>
      <c r="AT84" s="152" t="str">
        <f t="shared" si="3"/>
        <v>RPNB5-091020</v>
      </c>
      <c r="AU84" s="152" t="str">
        <f t="shared" si="4"/>
        <v>LILIAN PAOLA BARILLAS</v>
      </c>
      <c r="AV84" s="152">
        <v>658.22</v>
      </c>
      <c r="AW84" s="152">
        <v>577388</v>
      </c>
      <c r="AX84" s="152">
        <v>31</v>
      </c>
      <c r="AY84" s="152">
        <f t="shared" si="6"/>
        <v>577388</v>
      </c>
      <c r="AZ84" s="152" t="s">
        <v>864</v>
      </c>
      <c r="BA84" s="152" t="str">
        <f t="shared" si="5"/>
        <v>L21-058-MP115</v>
      </c>
      <c r="BB84" s="152">
        <v>0</v>
      </c>
      <c r="BC84" s="157">
        <v>44207</v>
      </c>
      <c r="BD84" s="157">
        <v>44207</v>
      </c>
      <c r="BE84" s="158">
        <v>130600</v>
      </c>
      <c r="BM84" s="152">
        <f t="shared" si="7"/>
        <v>577388</v>
      </c>
    </row>
    <row r="85" spans="1:65">
      <c r="A85" s="152" t="s">
        <v>1384</v>
      </c>
      <c r="B85" s="152" t="s">
        <v>1385</v>
      </c>
      <c r="C85" s="152" t="s">
        <v>1386</v>
      </c>
      <c r="D85" s="152" t="s">
        <v>1387</v>
      </c>
      <c r="E85" s="152" t="s">
        <v>1387</v>
      </c>
      <c r="F85" s="152">
        <v>4471</v>
      </c>
      <c r="G85" s="152">
        <v>471</v>
      </c>
      <c r="H85" s="152" t="s">
        <v>1388</v>
      </c>
      <c r="I85" s="152">
        <v>200184</v>
      </c>
      <c r="J85" s="152">
        <v>436.76</v>
      </c>
      <c r="K85" s="152">
        <v>87422</v>
      </c>
      <c r="L85" s="159" t="s">
        <v>856</v>
      </c>
      <c r="M85" s="152" t="s">
        <v>92</v>
      </c>
      <c r="N85" s="152" t="s">
        <v>92</v>
      </c>
      <c r="O85" s="159" t="s">
        <v>856</v>
      </c>
      <c r="P85" s="159" t="s">
        <v>856</v>
      </c>
      <c r="Q85" s="152" t="s">
        <v>92</v>
      </c>
      <c r="R85" s="152" t="s">
        <v>92</v>
      </c>
      <c r="S85" s="159" t="s">
        <v>856</v>
      </c>
      <c r="T85" s="159" t="s">
        <v>856</v>
      </c>
      <c r="U85" s="159" t="s">
        <v>856</v>
      </c>
      <c r="V85" s="152" t="s">
        <v>857</v>
      </c>
      <c r="W85" s="152" t="s">
        <v>858</v>
      </c>
      <c r="X85" s="152" t="s">
        <v>1083</v>
      </c>
      <c r="Y85" s="152">
        <v>47.6</v>
      </c>
      <c r="Z85" s="152">
        <v>1</v>
      </c>
      <c r="AA85" s="152" t="s">
        <v>92</v>
      </c>
      <c r="AB85" s="152">
        <v>176.69</v>
      </c>
      <c r="AC85" s="152">
        <v>1</v>
      </c>
      <c r="AD85" s="152" t="s">
        <v>861</v>
      </c>
      <c r="AE85" s="152">
        <v>176.69</v>
      </c>
      <c r="AF85" s="152">
        <v>0</v>
      </c>
      <c r="AH85" s="152" t="s">
        <v>861</v>
      </c>
      <c r="AI85" s="152" t="s">
        <v>92</v>
      </c>
      <c r="AJ85" s="152" t="s">
        <v>92</v>
      </c>
      <c r="AK85" s="152" t="s">
        <v>1389</v>
      </c>
      <c r="AL85" s="159" t="s">
        <v>856</v>
      </c>
      <c r="AP85" s="159" t="s">
        <v>856</v>
      </c>
      <c r="AQ85" s="159" t="s">
        <v>856</v>
      </c>
      <c r="AR85" s="152" t="s">
        <v>873</v>
      </c>
      <c r="AS85" s="159" t="s">
        <v>865</v>
      </c>
      <c r="AT85" s="152" t="str">
        <f t="shared" si="3"/>
        <v>RPNGR-161020</v>
      </c>
      <c r="AU85" s="152" t="str">
        <f t="shared" si="4"/>
        <v>MARIA DEL ROSARIO COYOY PEREZ DE GUZMAN</v>
      </c>
      <c r="AV85" s="152">
        <v>2344.79</v>
      </c>
      <c r="AW85" s="152">
        <v>575645</v>
      </c>
      <c r="AX85" s="159" t="s">
        <v>856</v>
      </c>
      <c r="AY85" s="159" t="s">
        <v>856</v>
      </c>
      <c r="AZ85" s="152" t="s">
        <v>864</v>
      </c>
      <c r="BA85" s="152" t="str">
        <f t="shared" si="5"/>
        <v>L20-488-MP095</v>
      </c>
      <c r="BB85" s="152">
        <v>0</v>
      </c>
      <c r="BC85" s="157">
        <v>44179</v>
      </c>
      <c r="BD85" s="157">
        <v>44179</v>
      </c>
      <c r="BE85" s="158">
        <v>459225</v>
      </c>
      <c r="BM85" s="152">
        <f t="shared" si="7"/>
        <v>575645</v>
      </c>
    </row>
    <row r="86" spans="1:65">
      <c r="A86" s="152" t="s">
        <v>1390</v>
      </c>
      <c r="B86" s="152" t="s">
        <v>1391</v>
      </c>
      <c r="C86" s="152" t="s">
        <v>1392</v>
      </c>
      <c r="D86" s="152" t="s">
        <v>1393</v>
      </c>
      <c r="E86" s="152" t="s">
        <v>1393</v>
      </c>
      <c r="F86" s="152">
        <v>6498</v>
      </c>
      <c r="G86" s="152">
        <v>498</v>
      </c>
      <c r="H86" s="152" t="s">
        <v>1394</v>
      </c>
      <c r="I86" s="152">
        <v>200747</v>
      </c>
      <c r="J86" s="152">
        <v>162.13999999999999</v>
      </c>
      <c r="K86" s="152">
        <v>87885</v>
      </c>
      <c r="L86" s="159" t="s">
        <v>856</v>
      </c>
      <c r="M86" s="152" t="s">
        <v>92</v>
      </c>
      <c r="N86" s="152" t="s">
        <v>92</v>
      </c>
      <c r="O86" s="159" t="s">
        <v>856</v>
      </c>
      <c r="P86" s="159" t="s">
        <v>856</v>
      </c>
      <c r="Q86" s="152" t="s">
        <v>92</v>
      </c>
      <c r="R86" s="152" t="s">
        <v>92</v>
      </c>
      <c r="S86" s="159" t="s">
        <v>856</v>
      </c>
      <c r="T86" s="159" t="s">
        <v>856</v>
      </c>
      <c r="U86" s="159" t="s">
        <v>856</v>
      </c>
      <c r="V86" s="152" t="s">
        <v>857</v>
      </c>
      <c r="W86" s="152" t="s">
        <v>858</v>
      </c>
      <c r="X86" s="152" t="s">
        <v>882</v>
      </c>
      <c r="Y86" s="152">
        <v>23.98</v>
      </c>
      <c r="Z86" s="152">
        <v>1</v>
      </c>
      <c r="AA86" s="152" t="s">
        <v>92</v>
      </c>
      <c r="AB86" s="152">
        <v>30.7</v>
      </c>
      <c r="AC86" s="152">
        <v>1</v>
      </c>
      <c r="AD86" s="152" t="s">
        <v>861</v>
      </c>
      <c r="AE86" s="152">
        <v>30.7</v>
      </c>
      <c r="AF86" s="152">
        <v>0</v>
      </c>
      <c r="AG86" s="152">
        <v>112.21</v>
      </c>
      <c r="AH86" s="152" t="s">
        <v>861</v>
      </c>
      <c r="AI86" s="152" t="s">
        <v>92</v>
      </c>
      <c r="AJ86" s="152" t="s">
        <v>92</v>
      </c>
      <c r="AK86" s="152" t="s">
        <v>1389</v>
      </c>
      <c r="AL86" s="159" t="s">
        <v>856</v>
      </c>
      <c r="AP86" s="159" t="s">
        <v>856</v>
      </c>
      <c r="AQ86" s="159" t="s">
        <v>856</v>
      </c>
      <c r="AR86" s="152" t="s">
        <v>1332</v>
      </c>
      <c r="AS86" s="159" t="s">
        <v>865</v>
      </c>
      <c r="AT86" s="152" t="str">
        <f t="shared" si="3"/>
        <v>RPNLR-230321</v>
      </c>
      <c r="AU86" s="152" t="str">
        <f t="shared" si="4"/>
        <v>DERMIR ADONIAS LOPEZ CHOJOLAN Y CONDUEÑA</v>
      </c>
      <c r="AV86" s="152">
        <v>356.45</v>
      </c>
      <c r="AW86" s="152">
        <v>691594</v>
      </c>
      <c r="AX86" s="159" t="s">
        <v>856</v>
      </c>
      <c r="AY86" s="159" t="s">
        <v>856</v>
      </c>
      <c r="AZ86" s="152" t="s">
        <v>864</v>
      </c>
      <c r="BA86" s="152" t="str">
        <f t="shared" si="5"/>
        <v>L21-644-MP150</v>
      </c>
      <c r="BB86" s="152">
        <v>0</v>
      </c>
      <c r="BC86" s="157">
        <v>44335</v>
      </c>
      <c r="BD86" s="157">
        <v>44335</v>
      </c>
      <c r="BE86" s="158">
        <v>69791.25</v>
      </c>
      <c r="BF86" s="152" t="s">
        <v>1395</v>
      </c>
      <c r="BG86" s="152" t="s">
        <v>894</v>
      </c>
      <c r="BH86" s="160">
        <v>30.7</v>
      </c>
      <c r="BI86" s="152">
        <v>0</v>
      </c>
      <c r="BJ86" s="152">
        <v>0</v>
      </c>
      <c r="BK86" s="152" t="s">
        <v>132</v>
      </c>
      <c r="BL86" s="152">
        <v>30.7</v>
      </c>
      <c r="BM86" s="152">
        <v>691595</v>
      </c>
    </row>
    <row r="87" spans="1:65">
      <c r="A87" s="152" t="s">
        <v>1396</v>
      </c>
      <c r="B87" s="152" t="s">
        <v>1397</v>
      </c>
      <c r="C87" s="152" t="s">
        <v>1398</v>
      </c>
      <c r="D87" s="152" t="s">
        <v>1399</v>
      </c>
      <c r="E87" s="152" t="s">
        <v>1400</v>
      </c>
      <c r="F87" s="152">
        <v>4824</v>
      </c>
      <c r="G87" s="152">
        <v>324</v>
      </c>
      <c r="H87" s="152" t="s">
        <v>1222</v>
      </c>
      <c r="I87" s="152">
        <v>188964</v>
      </c>
      <c r="J87" s="152">
        <v>99</v>
      </c>
      <c r="K87" s="152">
        <v>78943</v>
      </c>
      <c r="L87" s="159" t="s">
        <v>1401</v>
      </c>
      <c r="M87" s="152" t="s">
        <v>92</v>
      </c>
      <c r="N87" s="152" t="s">
        <v>883</v>
      </c>
      <c r="O87" s="159">
        <v>4787</v>
      </c>
      <c r="P87" s="159" t="s">
        <v>1401</v>
      </c>
      <c r="Q87" s="152" t="s">
        <v>92</v>
      </c>
      <c r="R87" s="152" t="s">
        <v>883</v>
      </c>
      <c r="S87" s="159">
        <v>4787</v>
      </c>
      <c r="T87" s="159" t="s">
        <v>1402</v>
      </c>
      <c r="U87" s="159" t="s">
        <v>1403</v>
      </c>
      <c r="V87" s="152" t="s">
        <v>857</v>
      </c>
      <c r="W87" s="152" t="s">
        <v>858</v>
      </c>
      <c r="X87" s="152" t="s">
        <v>1083</v>
      </c>
      <c r="Y87" s="152">
        <v>41.3</v>
      </c>
      <c r="Z87" s="152">
        <v>1</v>
      </c>
      <c r="AA87" s="152" t="s">
        <v>883</v>
      </c>
      <c r="AB87" s="152">
        <v>168.02</v>
      </c>
      <c r="AC87" s="152">
        <v>2</v>
      </c>
      <c r="AD87" s="152" t="s">
        <v>861</v>
      </c>
      <c r="AE87" s="152">
        <v>168.02</v>
      </c>
      <c r="AF87" s="152">
        <v>0</v>
      </c>
      <c r="AG87" s="152">
        <v>13.95</v>
      </c>
      <c r="AH87" s="152" t="s">
        <v>861</v>
      </c>
      <c r="AI87" s="152" t="s">
        <v>92</v>
      </c>
      <c r="AJ87" s="152" t="s">
        <v>92</v>
      </c>
      <c r="AK87" s="152" t="s">
        <v>884</v>
      </c>
      <c r="AL87" s="159" t="s">
        <v>856</v>
      </c>
      <c r="AP87" s="159" t="s">
        <v>856</v>
      </c>
      <c r="AQ87" s="159" t="s">
        <v>856</v>
      </c>
      <c r="AR87" s="152" t="s">
        <v>1043</v>
      </c>
      <c r="AS87" s="159" t="s">
        <v>865</v>
      </c>
      <c r="AT87" s="152" t="str">
        <f t="shared" si="3"/>
        <v>VUNL9-021220</v>
      </c>
      <c r="AU87" s="152" t="str">
        <f t="shared" si="4"/>
        <v>DELFINO LOPEZ CHILEL</v>
      </c>
      <c r="AV87" s="152">
        <v>2198</v>
      </c>
      <c r="AW87" s="152">
        <v>672379</v>
      </c>
      <c r="AX87" s="152">
        <v>45</v>
      </c>
      <c r="AY87" s="152">
        <v>672382</v>
      </c>
      <c r="AZ87" s="152" t="s">
        <v>864</v>
      </c>
      <c r="BA87" s="152" t="str">
        <f t="shared" si="5"/>
        <v>L21-202-MP055</v>
      </c>
      <c r="BB87" s="152">
        <v>24</v>
      </c>
      <c r="BC87" s="157">
        <v>44293</v>
      </c>
      <c r="BD87" s="157">
        <v>44658</v>
      </c>
      <c r="BE87" s="158">
        <v>434505</v>
      </c>
      <c r="BF87" s="152" t="s">
        <v>1404</v>
      </c>
      <c r="BG87" s="152" t="s">
        <v>1405</v>
      </c>
      <c r="BH87" s="152">
        <v>168.02</v>
      </c>
      <c r="BI87" s="152">
        <v>0</v>
      </c>
      <c r="BJ87" s="152">
        <v>0</v>
      </c>
      <c r="BK87" s="152" t="s">
        <v>132</v>
      </c>
      <c r="BL87" s="152">
        <v>168.02</v>
      </c>
      <c r="BM87" s="152">
        <v>672380</v>
      </c>
    </row>
    <row r="88" spans="1:65">
      <c r="A88" s="152" t="s">
        <v>1406</v>
      </c>
      <c r="B88" s="152" t="s">
        <v>1407</v>
      </c>
      <c r="C88" s="152" t="s">
        <v>1408</v>
      </c>
      <c r="D88" s="152" t="s">
        <v>1409</v>
      </c>
      <c r="E88" s="152" t="s">
        <v>1410</v>
      </c>
      <c r="F88" s="152">
        <v>3302</v>
      </c>
      <c r="G88" s="152">
        <v>302</v>
      </c>
      <c r="H88" s="152" t="s">
        <v>1411</v>
      </c>
      <c r="I88" s="152">
        <v>199857</v>
      </c>
      <c r="J88" s="152">
        <v>78.64</v>
      </c>
      <c r="K88" s="152">
        <v>87205</v>
      </c>
      <c r="L88" s="159" t="s">
        <v>1412</v>
      </c>
      <c r="M88" s="152" t="s">
        <v>92</v>
      </c>
      <c r="N88" s="152" t="s">
        <v>883</v>
      </c>
      <c r="O88" s="159">
        <v>4534</v>
      </c>
      <c r="P88" s="159" t="s">
        <v>1412</v>
      </c>
      <c r="Q88" s="152" t="s">
        <v>92</v>
      </c>
      <c r="R88" s="152" t="s">
        <v>883</v>
      </c>
      <c r="S88" s="159">
        <v>4534</v>
      </c>
      <c r="T88" s="159" t="s">
        <v>856</v>
      </c>
      <c r="U88" s="159" t="s">
        <v>856</v>
      </c>
      <c r="V88" s="152" t="s">
        <v>857</v>
      </c>
      <c r="W88" s="152" t="s">
        <v>1268</v>
      </c>
      <c r="X88" s="152" t="s">
        <v>1083</v>
      </c>
      <c r="Y88" s="152">
        <v>24.72</v>
      </c>
      <c r="Z88" s="152">
        <v>1</v>
      </c>
      <c r="AA88" s="152" t="s">
        <v>92</v>
      </c>
      <c r="AB88" s="152">
        <v>147.53</v>
      </c>
      <c r="AC88" s="152">
        <v>3</v>
      </c>
      <c r="AD88" s="152" t="s">
        <v>861</v>
      </c>
      <c r="AE88" s="152">
        <v>147.53</v>
      </c>
      <c r="AF88" s="152">
        <v>0</v>
      </c>
      <c r="AG88" s="152" t="s">
        <v>861</v>
      </c>
      <c r="AH88" s="152" t="s">
        <v>861</v>
      </c>
      <c r="AI88" s="152" t="s">
        <v>92</v>
      </c>
      <c r="AJ88" s="152" t="s">
        <v>92</v>
      </c>
      <c r="AK88" s="152" t="s">
        <v>862</v>
      </c>
      <c r="AL88" s="159" t="s">
        <v>856</v>
      </c>
      <c r="AP88" s="159" t="s">
        <v>856</v>
      </c>
      <c r="AQ88" s="159" t="s">
        <v>856</v>
      </c>
      <c r="AR88" s="152" t="s">
        <v>1168</v>
      </c>
      <c r="AS88" s="159" t="s">
        <v>865</v>
      </c>
      <c r="AT88" s="152" t="str">
        <f t="shared" si="3"/>
        <v>VUNI9-400221</v>
      </c>
      <c r="AU88" s="152" t="str">
        <f t="shared" si="4"/>
        <v>INDUSTRIALIZADORA DE VIVIENDAS S.A.</v>
      </c>
      <c r="AV88" s="152">
        <v>2279.1</v>
      </c>
      <c r="AW88" s="152">
        <v>686940</v>
      </c>
      <c r="AX88" s="152">
        <v>32.25</v>
      </c>
      <c r="AY88" s="152">
        <v>686943</v>
      </c>
      <c r="AZ88" s="152" t="s">
        <v>864</v>
      </c>
      <c r="BA88" s="152" t="str">
        <f t="shared" si="5"/>
        <v>L21-272-MP045</v>
      </c>
      <c r="BB88" s="152">
        <v>50</v>
      </c>
      <c r="BC88" s="157">
        <v>44280</v>
      </c>
      <c r="BD88" s="157">
        <v>44706</v>
      </c>
      <c r="BE88" s="158">
        <v>451240.95</v>
      </c>
      <c r="BF88" s="152" t="s">
        <v>1413</v>
      </c>
      <c r="BG88" s="152" t="s">
        <v>1161</v>
      </c>
      <c r="BH88" s="152">
        <v>147.53</v>
      </c>
      <c r="BI88" s="152">
        <v>0</v>
      </c>
      <c r="BJ88" s="152">
        <v>0</v>
      </c>
      <c r="BK88" s="152" t="s">
        <v>132</v>
      </c>
      <c r="BL88" s="152">
        <v>147.53</v>
      </c>
      <c r="BM88" s="152">
        <v>686942</v>
      </c>
    </row>
    <row r="89" spans="1:65">
      <c r="A89" s="152" t="s">
        <v>1414</v>
      </c>
      <c r="B89" s="152" t="s">
        <v>1415</v>
      </c>
      <c r="C89" s="152" t="s">
        <v>1408</v>
      </c>
      <c r="D89" s="152" t="s">
        <v>1416</v>
      </c>
      <c r="E89" s="152" t="s">
        <v>1410</v>
      </c>
      <c r="F89" s="152">
        <v>3301</v>
      </c>
      <c r="G89" s="152">
        <v>301</v>
      </c>
      <c r="H89" s="152" t="s">
        <v>1411</v>
      </c>
      <c r="I89" s="152">
        <v>199831</v>
      </c>
      <c r="J89" s="152">
        <v>78.709999999999994</v>
      </c>
      <c r="K89" s="152">
        <v>87181</v>
      </c>
      <c r="L89" s="159" t="s">
        <v>1412</v>
      </c>
      <c r="M89" s="152" t="s">
        <v>92</v>
      </c>
      <c r="N89" s="152" t="s">
        <v>883</v>
      </c>
      <c r="O89" s="159">
        <v>4534</v>
      </c>
      <c r="P89" s="159" t="s">
        <v>1412</v>
      </c>
      <c r="Q89" s="152" t="s">
        <v>92</v>
      </c>
      <c r="R89" s="152" t="s">
        <v>883</v>
      </c>
      <c r="S89" s="159">
        <v>4534</v>
      </c>
      <c r="T89" s="159" t="s">
        <v>856</v>
      </c>
      <c r="U89" s="159" t="s">
        <v>856</v>
      </c>
      <c r="V89" s="152" t="s">
        <v>857</v>
      </c>
      <c r="W89" s="152" t="s">
        <v>1268</v>
      </c>
      <c r="X89" s="152" t="s">
        <v>1083</v>
      </c>
      <c r="Y89" s="152">
        <v>24.72</v>
      </c>
      <c r="Z89" s="152">
        <v>1</v>
      </c>
      <c r="AA89" s="152" t="s">
        <v>92</v>
      </c>
      <c r="AB89" s="152">
        <v>147.53</v>
      </c>
      <c r="AC89" s="152">
        <v>3</v>
      </c>
      <c r="AD89" s="152" t="s">
        <v>861</v>
      </c>
      <c r="AE89" s="152">
        <v>147.53</v>
      </c>
      <c r="AF89" s="152">
        <v>0</v>
      </c>
      <c r="AG89" s="152" t="s">
        <v>861</v>
      </c>
      <c r="AH89" s="152" t="s">
        <v>861</v>
      </c>
      <c r="AI89" s="152" t="s">
        <v>92</v>
      </c>
      <c r="AJ89" s="152" t="s">
        <v>92</v>
      </c>
      <c r="AK89" s="152" t="s">
        <v>862</v>
      </c>
      <c r="AL89" s="159" t="s">
        <v>856</v>
      </c>
      <c r="AP89" s="159" t="s">
        <v>856</v>
      </c>
      <c r="AQ89" s="159" t="s">
        <v>856</v>
      </c>
      <c r="AR89" s="152" t="s">
        <v>1168</v>
      </c>
      <c r="AS89" s="159" t="s">
        <v>865</v>
      </c>
      <c r="AT89" s="152" t="str">
        <f t="shared" si="3"/>
        <v>VUNI9-390221</v>
      </c>
      <c r="AU89" s="152" t="str">
        <f t="shared" si="4"/>
        <v>INDUSTRIALIZADORA DE VIVIENDAS S.A.</v>
      </c>
      <c r="AV89" s="152">
        <v>2279.1</v>
      </c>
      <c r="AW89" s="152">
        <v>686944</v>
      </c>
      <c r="AX89" s="152">
        <v>32.25</v>
      </c>
      <c r="AY89" s="152">
        <v>686947</v>
      </c>
      <c r="AZ89" s="152" t="s">
        <v>864</v>
      </c>
      <c r="BA89" s="152" t="str">
        <f t="shared" si="5"/>
        <v>L21-258-MP044</v>
      </c>
      <c r="BB89" s="152">
        <v>50</v>
      </c>
      <c r="BC89" s="157">
        <v>44280</v>
      </c>
      <c r="BD89" s="157">
        <v>44706</v>
      </c>
      <c r="BE89" s="158">
        <v>451240.95</v>
      </c>
      <c r="BF89" s="152" t="s">
        <v>1417</v>
      </c>
      <c r="BG89" s="152" t="s">
        <v>1161</v>
      </c>
      <c r="BH89" s="152">
        <v>147.53</v>
      </c>
      <c r="BI89" s="152">
        <v>0</v>
      </c>
      <c r="BJ89" s="152">
        <v>0</v>
      </c>
      <c r="BK89" s="152" t="s">
        <v>132</v>
      </c>
      <c r="BL89" s="152">
        <v>147.53</v>
      </c>
      <c r="BM89" s="152">
        <v>686946</v>
      </c>
    </row>
    <row r="90" spans="1:65">
      <c r="A90" s="152" t="s">
        <v>1418</v>
      </c>
      <c r="B90" s="152" t="s">
        <v>1419</v>
      </c>
      <c r="C90" s="152" t="s">
        <v>1420</v>
      </c>
      <c r="D90" s="152" t="s">
        <v>1421</v>
      </c>
      <c r="E90" s="152" t="s">
        <v>1421</v>
      </c>
      <c r="F90" s="152">
        <v>9559</v>
      </c>
      <c r="G90" s="152">
        <v>59</v>
      </c>
      <c r="H90" s="152" t="s">
        <v>1422</v>
      </c>
      <c r="I90" s="152">
        <v>200568</v>
      </c>
      <c r="J90" s="152">
        <v>117</v>
      </c>
      <c r="K90" s="152">
        <v>87749</v>
      </c>
      <c r="L90" s="159" t="s">
        <v>856</v>
      </c>
      <c r="M90" s="152" t="s">
        <v>92</v>
      </c>
      <c r="N90" s="152" t="s">
        <v>92</v>
      </c>
      <c r="O90" s="159" t="s">
        <v>856</v>
      </c>
      <c r="P90" s="159" t="s">
        <v>856</v>
      </c>
      <c r="Q90" s="152" t="s">
        <v>92</v>
      </c>
      <c r="R90" s="152" t="s">
        <v>92</v>
      </c>
      <c r="S90" s="159" t="s">
        <v>856</v>
      </c>
      <c r="T90" s="159" t="s">
        <v>856</v>
      </c>
      <c r="U90" s="159" t="s">
        <v>856</v>
      </c>
      <c r="V90" s="152" t="s">
        <v>857</v>
      </c>
      <c r="W90" s="152" t="s">
        <v>858</v>
      </c>
      <c r="X90" s="152" t="s">
        <v>1083</v>
      </c>
      <c r="Y90" s="152">
        <v>49.18</v>
      </c>
      <c r="Z90" s="152">
        <v>1</v>
      </c>
      <c r="AA90" s="152" t="s">
        <v>92</v>
      </c>
      <c r="AB90" s="152">
        <v>58.9</v>
      </c>
      <c r="AC90" s="152">
        <v>1</v>
      </c>
      <c r="AD90" s="152" t="s">
        <v>861</v>
      </c>
      <c r="AE90" s="152">
        <v>58.9</v>
      </c>
      <c r="AF90" s="152">
        <v>0</v>
      </c>
      <c r="AG90" s="152" t="s">
        <v>861</v>
      </c>
      <c r="AH90" s="152" t="s">
        <v>861</v>
      </c>
      <c r="AI90" s="152" t="s">
        <v>92</v>
      </c>
      <c r="AJ90" s="152" t="s">
        <v>92</v>
      </c>
      <c r="AK90" s="152" t="s">
        <v>912</v>
      </c>
      <c r="AL90" s="159" t="s">
        <v>856</v>
      </c>
      <c r="AP90" s="159" t="s">
        <v>856</v>
      </c>
      <c r="AQ90" s="159" t="s">
        <v>856</v>
      </c>
      <c r="AR90" s="152" t="s">
        <v>1043</v>
      </c>
      <c r="AS90" s="159" t="s">
        <v>865</v>
      </c>
      <c r="AT90" s="152" t="str">
        <f t="shared" si="3"/>
        <v>RPNC5-120121</v>
      </c>
      <c r="AU90" s="152" t="str">
        <f t="shared" si="4"/>
        <v>ARACELY ESMERALDA HERRERA  HERNANDEZ DE CUBULE</v>
      </c>
      <c r="AV90" s="152">
        <v>690.1</v>
      </c>
      <c r="AW90" s="152">
        <v>673035</v>
      </c>
      <c r="AX90" s="152">
        <v>32.5</v>
      </c>
      <c r="AY90" s="152">
        <v>673037</v>
      </c>
      <c r="AZ90" s="152" t="s">
        <v>864</v>
      </c>
      <c r="BA90" s="152" t="str">
        <f t="shared" si="5"/>
        <v>L21-559-MP121</v>
      </c>
      <c r="BB90" s="152">
        <v>0</v>
      </c>
      <c r="BC90" s="157">
        <v>44312</v>
      </c>
      <c r="BD90" s="157">
        <v>44312</v>
      </c>
      <c r="BE90" s="158">
        <v>135011.25</v>
      </c>
      <c r="BF90" s="152" t="s">
        <v>1423</v>
      </c>
      <c r="BG90" s="152" t="s">
        <v>894</v>
      </c>
      <c r="BH90" s="152">
        <v>58.9</v>
      </c>
      <c r="BI90" s="152">
        <v>0</v>
      </c>
      <c r="BJ90" s="152">
        <v>0</v>
      </c>
      <c r="BK90" s="152" t="s">
        <v>132</v>
      </c>
      <c r="BL90" s="152">
        <v>58.9</v>
      </c>
      <c r="BM90" s="152">
        <v>673036</v>
      </c>
    </row>
    <row r="91" spans="1:65">
      <c r="A91" s="152" t="s">
        <v>1424</v>
      </c>
      <c r="B91" s="152" t="s">
        <v>1425</v>
      </c>
      <c r="C91" s="152" t="s">
        <v>1426</v>
      </c>
      <c r="D91" s="152" t="s">
        <v>1427</v>
      </c>
      <c r="E91" s="152" t="s">
        <v>1427</v>
      </c>
      <c r="F91" s="152">
        <v>5654</v>
      </c>
      <c r="G91" s="152">
        <v>154</v>
      </c>
      <c r="H91" s="152" t="s">
        <v>1428</v>
      </c>
      <c r="I91" s="152">
        <v>200493</v>
      </c>
      <c r="J91" s="152">
        <v>109.18</v>
      </c>
      <c r="K91" s="152">
        <v>87690</v>
      </c>
      <c r="L91" s="159" t="s">
        <v>856</v>
      </c>
      <c r="M91" s="152" t="s">
        <v>92</v>
      </c>
      <c r="N91" s="152" t="s">
        <v>92</v>
      </c>
      <c r="O91" s="159" t="s">
        <v>856</v>
      </c>
      <c r="P91" s="159" t="s">
        <v>856</v>
      </c>
      <c r="Q91" s="152" t="s">
        <v>92</v>
      </c>
      <c r="R91" s="152" t="s">
        <v>92</v>
      </c>
      <c r="S91" s="159" t="s">
        <v>856</v>
      </c>
      <c r="T91" s="159" t="s">
        <v>856</v>
      </c>
      <c r="U91" s="159" t="s">
        <v>856</v>
      </c>
      <c r="V91" s="152" t="s">
        <v>857</v>
      </c>
      <c r="W91" s="152" t="s">
        <v>858</v>
      </c>
      <c r="X91" s="152" t="s">
        <v>882</v>
      </c>
      <c r="Y91" s="152">
        <v>0</v>
      </c>
      <c r="Z91" s="152">
        <v>1</v>
      </c>
      <c r="AA91" s="152" t="s">
        <v>92</v>
      </c>
      <c r="AB91" s="152">
        <v>155.76</v>
      </c>
      <c r="AC91" s="152">
        <v>2</v>
      </c>
      <c r="AD91" s="152" t="s">
        <v>861</v>
      </c>
      <c r="AE91" s="152">
        <v>155.76</v>
      </c>
      <c r="AF91" s="152">
        <v>0</v>
      </c>
      <c r="AG91" s="152" t="s">
        <v>861</v>
      </c>
      <c r="AH91" s="152" t="s">
        <v>861</v>
      </c>
      <c r="AI91" s="152" t="s">
        <v>92</v>
      </c>
      <c r="AJ91" s="152" t="s">
        <v>92</v>
      </c>
      <c r="AK91" s="152" t="s">
        <v>884</v>
      </c>
      <c r="AL91" s="159" t="s">
        <v>856</v>
      </c>
      <c r="AP91" s="159" t="s">
        <v>856</v>
      </c>
      <c r="AQ91" s="159" t="s">
        <v>856</v>
      </c>
      <c r="AR91" s="152" t="s">
        <v>992</v>
      </c>
      <c r="AS91" s="159" t="s">
        <v>865</v>
      </c>
      <c r="AT91" s="152" t="str">
        <f t="shared" si="3"/>
        <v>RPNH8-060321</v>
      </c>
      <c r="AU91" s="152" t="str">
        <f t="shared" si="4"/>
        <v>JUAN CARLOS HERNANDEZ</v>
      </c>
      <c r="AV91" s="152">
        <v>1962.58</v>
      </c>
      <c r="AW91" s="152">
        <v>671654</v>
      </c>
      <c r="AX91" s="159" t="s">
        <v>856</v>
      </c>
      <c r="AY91" s="159" t="s">
        <v>856</v>
      </c>
      <c r="AZ91" s="152" t="s">
        <v>864</v>
      </c>
      <c r="BA91" s="152" t="str">
        <f t="shared" si="5"/>
        <v>L21-573-MP124</v>
      </c>
      <c r="BB91" s="152">
        <v>0</v>
      </c>
      <c r="BC91" s="157">
        <v>44278</v>
      </c>
      <c r="BD91" s="157">
        <v>44278</v>
      </c>
      <c r="BE91" s="158">
        <v>389400</v>
      </c>
    </row>
    <row r="92" spans="1:65">
      <c r="A92" s="152" t="s">
        <v>1429</v>
      </c>
      <c r="B92" s="152" t="s">
        <v>1430</v>
      </c>
      <c r="C92" s="152" t="s">
        <v>1431</v>
      </c>
      <c r="D92" s="152" t="s">
        <v>1432</v>
      </c>
      <c r="E92" s="152" t="s">
        <v>1432</v>
      </c>
      <c r="F92" s="152">
        <v>4366</v>
      </c>
      <c r="G92" s="152">
        <v>366</v>
      </c>
      <c r="H92" s="152" t="s">
        <v>1433</v>
      </c>
      <c r="I92" s="152">
        <v>160596</v>
      </c>
      <c r="J92" s="152">
        <v>78</v>
      </c>
      <c r="K92" s="152">
        <v>58328</v>
      </c>
      <c r="L92" s="159" t="s">
        <v>1434</v>
      </c>
      <c r="M92" s="152" t="s">
        <v>92</v>
      </c>
      <c r="N92" s="152" t="s">
        <v>883</v>
      </c>
      <c r="O92" s="159">
        <v>5868</v>
      </c>
      <c r="P92" s="159" t="s">
        <v>1434</v>
      </c>
      <c r="Q92" s="152" t="s">
        <v>92</v>
      </c>
      <c r="R92" s="152" t="s">
        <v>883</v>
      </c>
      <c r="S92" s="159">
        <v>5868</v>
      </c>
      <c r="T92" s="159" t="s">
        <v>856</v>
      </c>
      <c r="U92" s="159" t="s">
        <v>856</v>
      </c>
      <c r="V92" s="152" t="s">
        <v>1435</v>
      </c>
      <c r="W92" s="152" t="s">
        <v>858</v>
      </c>
      <c r="X92" s="152" t="s">
        <v>1083</v>
      </c>
      <c r="Y92" s="152">
        <v>0</v>
      </c>
      <c r="Z92" s="152">
        <v>1</v>
      </c>
      <c r="AA92" s="152" t="s">
        <v>92</v>
      </c>
      <c r="AB92" s="152">
        <v>143.33000000000001</v>
      </c>
      <c r="AC92" s="152">
        <v>2</v>
      </c>
      <c r="AD92" s="152" t="s">
        <v>861</v>
      </c>
      <c r="AE92" s="152">
        <v>0</v>
      </c>
      <c r="AF92" s="152">
        <v>143.33000000000001</v>
      </c>
      <c r="AG92" s="152" t="s">
        <v>861</v>
      </c>
      <c r="AH92" s="152" t="s">
        <v>861</v>
      </c>
      <c r="AI92" s="152" t="s">
        <v>92</v>
      </c>
      <c r="AJ92" s="152" t="s">
        <v>92</v>
      </c>
      <c r="AK92" s="152" t="s">
        <v>884</v>
      </c>
      <c r="AL92" s="159" t="s">
        <v>856</v>
      </c>
      <c r="AP92" s="159" t="s">
        <v>856</v>
      </c>
      <c r="AQ92" s="159" t="s">
        <v>856</v>
      </c>
      <c r="AR92" s="152" t="s">
        <v>992</v>
      </c>
      <c r="AS92" s="159" t="s">
        <v>865</v>
      </c>
      <c r="AT92" s="152" t="str">
        <f t="shared" si="3"/>
        <v>VUNB8-010521</v>
      </c>
      <c r="AU92" s="152" t="str">
        <f t="shared" si="4"/>
        <v>ANTONIO BATEN MACARIO</v>
      </c>
      <c r="AV92" s="152">
        <v>3009.93</v>
      </c>
      <c r="AW92" s="152">
        <v>694920</v>
      </c>
      <c r="AX92" s="152">
        <v>32.5</v>
      </c>
      <c r="AY92" s="152">
        <v>694923</v>
      </c>
      <c r="AZ92" s="152" t="s">
        <v>864</v>
      </c>
      <c r="BA92" s="152" t="str">
        <f t="shared" si="5"/>
        <v>L21-429-MP098</v>
      </c>
      <c r="BB92" s="152">
        <v>24</v>
      </c>
      <c r="BC92" s="157">
        <v>44357</v>
      </c>
      <c r="BD92" s="157">
        <v>44722</v>
      </c>
      <c r="BE92" s="158">
        <v>358325</v>
      </c>
      <c r="BF92" s="152" t="s">
        <v>1436</v>
      </c>
      <c r="BG92" s="152" t="s">
        <v>1437</v>
      </c>
      <c r="BH92" s="152">
        <v>0</v>
      </c>
      <c r="BI92" s="152">
        <v>143.33000000000001</v>
      </c>
      <c r="BJ92" s="152">
        <v>0</v>
      </c>
      <c r="BK92" s="152" t="s">
        <v>1296</v>
      </c>
      <c r="BL92" s="152">
        <v>179.16</v>
      </c>
      <c r="BM92" s="152">
        <v>694922</v>
      </c>
    </row>
    <row r="93" spans="1:65">
      <c r="A93" s="152" t="s">
        <v>1438</v>
      </c>
      <c r="B93" s="152" t="s">
        <v>1439</v>
      </c>
      <c r="C93" s="152" t="s">
        <v>1440</v>
      </c>
      <c r="D93" s="152" t="s">
        <v>1441</v>
      </c>
      <c r="E93" s="152" t="s">
        <v>1441</v>
      </c>
      <c r="F93" s="159" t="s">
        <v>865</v>
      </c>
      <c r="G93" s="159" t="s">
        <v>865</v>
      </c>
      <c r="H93" s="159" t="s">
        <v>865</v>
      </c>
      <c r="I93" s="152">
        <v>198065</v>
      </c>
      <c r="J93" s="152">
        <v>182.68</v>
      </c>
      <c r="K93" s="152">
        <v>85611</v>
      </c>
      <c r="L93" s="159" t="s">
        <v>1442</v>
      </c>
      <c r="M93" s="152" t="s">
        <v>883</v>
      </c>
      <c r="N93" s="152" t="s">
        <v>92</v>
      </c>
      <c r="O93" s="159">
        <v>3765</v>
      </c>
      <c r="P93" s="159" t="s">
        <v>856</v>
      </c>
      <c r="Q93" s="152" t="s">
        <v>92</v>
      </c>
      <c r="R93" s="152" t="s">
        <v>92</v>
      </c>
      <c r="S93" s="159" t="s">
        <v>856</v>
      </c>
      <c r="T93" s="159" t="s">
        <v>856</v>
      </c>
      <c r="U93" s="159" t="s">
        <v>856</v>
      </c>
      <c r="V93" s="152" t="s">
        <v>857</v>
      </c>
      <c r="W93" s="152" t="s">
        <v>860</v>
      </c>
      <c r="X93" s="152" t="s">
        <v>1443</v>
      </c>
      <c r="Y93" s="152">
        <v>0</v>
      </c>
      <c r="Z93" s="152">
        <v>1</v>
      </c>
      <c r="AA93" s="152" t="s">
        <v>92</v>
      </c>
      <c r="AB93" s="152">
        <v>33.729999999999997</v>
      </c>
      <c r="AC93" s="152">
        <v>1</v>
      </c>
      <c r="AD93" s="152" t="s">
        <v>861</v>
      </c>
      <c r="AE93" s="152">
        <v>33.729999999999997</v>
      </c>
      <c r="AF93" s="152">
        <v>0</v>
      </c>
      <c r="AG93" s="152">
        <v>144.25</v>
      </c>
      <c r="AH93" s="152" t="s">
        <v>861</v>
      </c>
      <c r="AI93" s="152" t="s">
        <v>92</v>
      </c>
      <c r="AJ93" s="152" t="s">
        <v>92</v>
      </c>
      <c r="AK93" s="152" t="s">
        <v>862</v>
      </c>
      <c r="AL93" s="159" t="s">
        <v>856</v>
      </c>
      <c r="AP93" s="159" t="s">
        <v>856</v>
      </c>
      <c r="AQ93" s="159" t="s">
        <v>856</v>
      </c>
      <c r="AR93" s="152" t="s">
        <v>1332</v>
      </c>
      <c r="AS93" s="159" t="s">
        <v>865</v>
      </c>
      <c r="AT93" s="152" t="str">
        <f t="shared" si="3"/>
        <v>RPNO10-261220</v>
      </c>
      <c r="AU93" s="152" t="str">
        <f t="shared" si="4"/>
        <v>HILDA PATRICIA OROZCO SANTOS Y CONDUEÑOS</v>
      </c>
      <c r="AV93" s="152">
        <v>141.66999999999999</v>
      </c>
      <c r="AW93" s="152">
        <v>704878</v>
      </c>
      <c r="AX93" s="159" t="s">
        <v>856</v>
      </c>
      <c r="AY93" s="159" t="s">
        <v>856</v>
      </c>
      <c r="AZ93" s="152" t="s">
        <v>864</v>
      </c>
      <c r="BA93" s="152" t="str">
        <f t="shared" si="5"/>
        <v>L21-601-MP119</v>
      </c>
      <c r="BB93" s="152">
        <v>0</v>
      </c>
      <c r="BC93" s="157">
        <v>44410</v>
      </c>
      <c r="BD93" s="157">
        <v>44410</v>
      </c>
      <c r="BE93" s="158">
        <v>33730</v>
      </c>
      <c r="BF93" s="152" t="s">
        <v>1444</v>
      </c>
      <c r="BG93" s="152" t="s">
        <v>894</v>
      </c>
      <c r="BH93" s="152">
        <v>33.729999999999997</v>
      </c>
      <c r="BI93" s="152">
        <v>0</v>
      </c>
      <c r="BJ93" s="152">
        <v>0</v>
      </c>
      <c r="BK93" s="152" t="s">
        <v>132</v>
      </c>
      <c r="BL93" s="152">
        <v>33.729999999999997</v>
      </c>
      <c r="BM93" s="152">
        <v>704879</v>
      </c>
    </row>
    <row r="94" spans="1:65">
      <c r="A94" s="152" t="s">
        <v>1445</v>
      </c>
      <c r="B94" s="152" t="s">
        <v>1446</v>
      </c>
      <c r="C94" s="152" t="s">
        <v>1447</v>
      </c>
      <c r="D94" s="152" t="s">
        <v>1448</v>
      </c>
      <c r="E94" s="152" t="s">
        <v>1449</v>
      </c>
      <c r="F94" s="152">
        <v>142</v>
      </c>
      <c r="G94" s="152">
        <v>142</v>
      </c>
      <c r="H94" s="152" t="s">
        <v>1450</v>
      </c>
      <c r="I94" s="152">
        <v>200255</v>
      </c>
      <c r="J94" s="152">
        <v>801.54</v>
      </c>
      <c r="K94" s="152">
        <v>87482</v>
      </c>
      <c r="L94" s="159" t="s">
        <v>1447</v>
      </c>
      <c r="M94" s="152" t="s">
        <v>883</v>
      </c>
      <c r="N94" s="152" t="s">
        <v>92</v>
      </c>
      <c r="O94" s="159">
        <v>6350</v>
      </c>
      <c r="P94" s="159" t="s">
        <v>1447</v>
      </c>
      <c r="Q94" s="152" t="s">
        <v>883</v>
      </c>
      <c r="R94" s="152" t="s">
        <v>92</v>
      </c>
      <c r="S94" s="159">
        <v>6350</v>
      </c>
      <c r="T94" s="159" t="s">
        <v>856</v>
      </c>
      <c r="U94" s="159" t="s">
        <v>856</v>
      </c>
      <c r="V94" s="152" t="s">
        <v>857</v>
      </c>
      <c r="W94" s="152" t="s">
        <v>858</v>
      </c>
      <c r="X94" s="152" t="s">
        <v>1083</v>
      </c>
      <c r="Y94" s="152">
        <v>35.42</v>
      </c>
      <c r="Z94" s="152">
        <v>1</v>
      </c>
      <c r="AA94" s="152" t="s">
        <v>92</v>
      </c>
      <c r="AB94" s="152">
        <v>194.79</v>
      </c>
      <c r="AC94" s="152">
        <v>2</v>
      </c>
      <c r="AD94" s="152" t="s">
        <v>861</v>
      </c>
      <c r="AE94" s="152">
        <v>194.79</v>
      </c>
      <c r="AF94" s="152">
        <v>0</v>
      </c>
      <c r="AG94" s="152">
        <v>120.24</v>
      </c>
      <c r="AH94" s="152">
        <v>77.959999999999994</v>
      </c>
      <c r="AI94" s="152" t="s">
        <v>92</v>
      </c>
      <c r="AJ94" s="152" t="s">
        <v>883</v>
      </c>
      <c r="AK94" s="152" t="s">
        <v>884</v>
      </c>
      <c r="AL94" s="159" t="s">
        <v>856</v>
      </c>
      <c r="AP94" s="159" t="s">
        <v>856</v>
      </c>
      <c r="AQ94" s="159" t="s">
        <v>856</v>
      </c>
      <c r="AR94" s="152" t="s">
        <v>992</v>
      </c>
      <c r="AS94" s="159">
        <v>77.959999999999994</v>
      </c>
      <c r="AT94" s="152" t="str">
        <f t="shared" si="3"/>
        <v>RPNA9-120521</v>
      </c>
      <c r="AU94" s="152" t="str">
        <f t="shared" si="4"/>
        <v>MARLON RENE ARGUETA ESCOBAR</v>
      </c>
      <c r="AV94" s="152">
        <v>2701.8</v>
      </c>
      <c r="AW94" s="152">
        <v>709565</v>
      </c>
      <c r="AX94" s="159" t="s">
        <v>856</v>
      </c>
      <c r="AY94" s="159" t="s">
        <v>856</v>
      </c>
      <c r="AZ94" s="152" t="s">
        <v>864</v>
      </c>
      <c r="BA94" s="152" t="str">
        <f t="shared" si="5"/>
        <v>L21-665-MP125</v>
      </c>
      <c r="BB94" s="152">
        <v>0</v>
      </c>
      <c r="BC94" s="157">
        <v>44438</v>
      </c>
      <c r="BD94" s="157">
        <v>44438</v>
      </c>
      <c r="BE94" s="158">
        <v>505306</v>
      </c>
      <c r="BF94" s="152" t="s">
        <v>1451</v>
      </c>
      <c r="BG94" s="152" t="s">
        <v>1452</v>
      </c>
      <c r="BH94" s="152">
        <v>194.79</v>
      </c>
      <c r="BI94" s="152">
        <v>0</v>
      </c>
      <c r="BJ94" s="152">
        <v>0</v>
      </c>
      <c r="BK94" s="152" t="s">
        <v>132</v>
      </c>
      <c r="BL94" s="152">
        <v>194.79</v>
      </c>
      <c r="BM94" s="152">
        <v>709566</v>
      </c>
    </row>
    <row r="95" spans="1:65">
      <c r="A95" s="152" t="s">
        <v>1454</v>
      </c>
      <c r="B95" s="152" t="s">
        <v>1455</v>
      </c>
      <c r="C95" s="152" t="s">
        <v>1456</v>
      </c>
      <c r="D95" s="152" t="s">
        <v>1457</v>
      </c>
      <c r="E95" s="152" t="s">
        <v>1458</v>
      </c>
      <c r="F95" s="152">
        <v>9064</v>
      </c>
      <c r="G95" s="152">
        <v>64</v>
      </c>
      <c r="H95" s="152" t="s">
        <v>1459</v>
      </c>
      <c r="I95" s="152">
        <v>198351</v>
      </c>
      <c r="J95" s="152">
        <v>112.08</v>
      </c>
      <c r="K95" s="152">
        <v>85904</v>
      </c>
      <c r="L95" s="159" t="s">
        <v>1460</v>
      </c>
      <c r="M95" s="152" t="s">
        <v>92</v>
      </c>
      <c r="N95" s="152" t="s">
        <v>883</v>
      </c>
      <c r="O95" s="159">
        <v>5713</v>
      </c>
      <c r="P95" s="159" t="s">
        <v>1460</v>
      </c>
      <c r="Q95" s="152" t="s">
        <v>92</v>
      </c>
      <c r="R95" s="152" t="s">
        <v>883</v>
      </c>
      <c r="S95" s="159">
        <v>5713</v>
      </c>
      <c r="T95" s="159" t="s">
        <v>1461</v>
      </c>
      <c r="U95" s="159" t="s">
        <v>1462</v>
      </c>
      <c r="V95" s="152" t="s">
        <v>857</v>
      </c>
      <c r="W95" s="152" t="s">
        <v>858</v>
      </c>
      <c r="X95" s="152" t="s">
        <v>1083</v>
      </c>
      <c r="Y95" s="152">
        <v>41.4</v>
      </c>
      <c r="Z95" s="152">
        <v>1</v>
      </c>
      <c r="AA95" s="152" t="s">
        <v>92</v>
      </c>
      <c r="AB95" s="152">
        <v>175</v>
      </c>
      <c r="AC95" s="152">
        <v>2</v>
      </c>
      <c r="AD95" s="152" t="s">
        <v>861</v>
      </c>
      <c r="AE95" s="152">
        <v>175</v>
      </c>
      <c r="AF95" s="152">
        <v>0</v>
      </c>
      <c r="AG95" s="152">
        <v>4</v>
      </c>
      <c r="AH95" s="152" t="s">
        <v>861</v>
      </c>
      <c r="AI95" s="152" t="s">
        <v>92</v>
      </c>
      <c r="AJ95" s="152" t="s">
        <v>92</v>
      </c>
      <c r="AK95" s="152" t="s">
        <v>862</v>
      </c>
      <c r="AL95" s="159" t="s">
        <v>856</v>
      </c>
      <c r="AP95" s="159" t="s">
        <v>856</v>
      </c>
      <c r="AQ95" s="159" t="s">
        <v>856</v>
      </c>
      <c r="AR95" s="152" t="s">
        <v>1043</v>
      </c>
      <c r="AS95" s="159" t="s">
        <v>865</v>
      </c>
      <c r="AT95" s="152" t="str">
        <f t="shared" si="3"/>
        <v>VUNPR-010521</v>
      </c>
      <c r="AU95" s="152" t="str">
        <f t="shared" si="4"/>
        <v>PROYECTOS INMOBILIARIOS MONTESCO, S.A.</v>
      </c>
      <c r="AV95" s="152">
        <v>2286.14</v>
      </c>
      <c r="AW95" s="152">
        <v>698120</v>
      </c>
      <c r="AX95" s="152">
        <v>35</v>
      </c>
      <c r="AY95" s="152">
        <v>698122</v>
      </c>
      <c r="AZ95" s="152" t="s">
        <v>864</v>
      </c>
      <c r="BA95" s="152" t="str">
        <f t="shared" si="5"/>
        <v>L21-544-MP109</v>
      </c>
      <c r="BB95" s="152">
        <v>24</v>
      </c>
      <c r="BC95" s="157">
        <v>44396</v>
      </c>
      <c r="BD95" s="157">
        <v>44761</v>
      </c>
      <c r="BE95" s="158">
        <v>451990</v>
      </c>
      <c r="BF95" s="152" t="s">
        <v>1463</v>
      </c>
      <c r="BG95" s="152" t="s">
        <v>1464</v>
      </c>
      <c r="BH95" s="152">
        <v>175</v>
      </c>
      <c r="BI95" s="152">
        <v>0</v>
      </c>
      <c r="BJ95" s="152">
        <v>0</v>
      </c>
      <c r="BK95" s="152" t="s">
        <v>132</v>
      </c>
      <c r="BL95" s="152">
        <v>175</v>
      </c>
      <c r="BM95" s="152">
        <v>698121</v>
      </c>
    </row>
    <row r="96" spans="1:65">
      <c r="A96" s="152" t="s">
        <v>1465</v>
      </c>
      <c r="B96" s="152" t="s">
        <v>1466</v>
      </c>
      <c r="C96" s="152" t="s">
        <v>1467</v>
      </c>
      <c r="D96" s="152" t="s">
        <v>1468</v>
      </c>
      <c r="E96" s="152" t="s">
        <v>1468</v>
      </c>
      <c r="F96" s="152">
        <v>4510</v>
      </c>
      <c r="G96" s="152">
        <v>10</v>
      </c>
      <c r="H96" s="152" t="s">
        <v>1469</v>
      </c>
      <c r="I96" s="152">
        <v>200307</v>
      </c>
      <c r="J96" s="152">
        <v>109</v>
      </c>
      <c r="K96" s="152">
        <v>87517</v>
      </c>
      <c r="L96" s="159" t="s">
        <v>1470</v>
      </c>
      <c r="M96" s="152" t="s">
        <v>92</v>
      </c>
      <c r="N96" s="152" t="s">
        <v>883</v>
      </c>
      <c r="O96" s="159">
        <v>6135</v>
      </c>
      <c r="P96" s="159" t="s">
        <v>1470</v>
      </c>
      <c r="Q96" s="152" t="s">
        <v>92</v>
      </c>
      <c r="R96" s="152" t="s">
        <v>883</v>
      </c>
      <c r="S96" s="159">
        <v>6135</v>
      </c>
      <c r="T96" s="159" t="s">
        <v>1470</v>
      </c>
      <c r="U96" s="159" t="s">
        <v>1471</v>
      </c>
      <c r="V96" s="152" t="s">
        <v>857</v>
      </c>
      <c r="W96" s="152" t="s">
        <v>858</v>
      </c>
      <c r="X96" s="152" t="s">
        <v>1083</v>
      </c>
      <c r="Y96" s="152">
        <v>0</v>
      </c>
      <c r="Z96" s="152">
        <v>1</v>
      </c>
      <c r="AA96" s="152" t="s">
        <v>883</v>
      </c>
      <c r="AB96" s="152">
        <v>103.98</v>
      </c>
      <c r="AC96" s="152">
        <v>1</v>
      </c>
      <c r="AD96" s="152" t="s">
        <v>861</v>
      </c>
      <c r="AE96" s="152">
        <v>103.98</v>
      </c>
      <c r="AF96" s="152">
        <v>0</v>
      </c>
      <c r="AG96" s="152" t="s">
        <v>861</v>
      </c>
      <c r="AH96" s="152" t="s">
        <v>861</v>
      </c>
      <c r="AI96" s="152" t="s">
        <v>92</v>
      </c>
      <c r="AJ96" s="152" t="s">
        <v>92</v>
      </c>
      <c r="AK96" s="152" t="s">
        <v>862</v>
      </c>
      <c r="AL96" s="159" t="s">
        <v>856</v>
      </c>
      <c r="AP96" s="159" t="s">
        <v>856</v>
      </c>
      <c r="AQ96" s="159" t="s">
        <v>856</v>
      </c>
      <c r="AR96" s="152" t="s">
        <v>885</v>
      </c>
      <c r="AS96" s="159" t="s">
        <v>865</v>
      </c>
      <c r="AT96" s="152" t="str">
        <f t="shared" si="3"/>
        <v>VUNT10-010621</v>
      </c>
      <c r="AU96" s="152" t="str">
        <f t="shared" si="4"/>
        <v>ELSA MERCEDES TIU DE PEREZ</v>
      </c>
      <c r="AV96" s="152">
        <v>1048.1199999999999</v>
      </c>
      <c r="AW96" s="152">
        <v>703140</v>
      </c>
      <c r="AX96" s="159" t="s">
        <v>856</v>
      </c>
      <c r="AY96" s="159" t="s">
        <v>856</v>
      </c>
      <c r="AZ96" s="152" t="s">
        <v>864</v>
      </c>
      <c r="BA96" s="152" t="str">
        <f t="shared" si="5"/>
        <v>L21-558-MP116</v>
      </c>
      <c r="BB96" s="152">
        <v>15</v>
      </c>
      <c r="BC96" s="157">
        <v>44398</v>
      </c>
      <c r="BD96" s="157">
        <v>44702</v>
      </c>
      <c r="BE96" s="158">
        <v>207960</v>
      </c>
      <c r="BF96" s="152" t="s">
        <v>1472</v>
      </c>
      <c r="BG96" s="152" t="s">
        <v>1473</v>
      </c>
      <c r="BH96" s="152">
        <v>103.95</v>
      </c>
      <c r="BI96" s="152">
        <v>0</v>
      </c>
      <c r="BJ96" s="152">
        <v>0</v>
      </c>
      <c r="BK96" s="152" t="s">
        <v>132</v>
      </c>
      <c r="BL96" s="152">
        <v>103.95</v>
      </c>
      <c r="BM96" s="152">
        <v>703142</v>
      </c>
    </row>
    <row r="97" spans="1:65">
      <c r="A97" s="152" t="s">
        <v>1474</v>
      </c>
      <c r="B97" s="152" t="s">
        <v>1475</v>
      </c>
      <c r="C97" s="152" t="s">
        <v>1476</v>
      </c>
      <c r="D97" s="152" t="s">
        <v>1477</v>
      </c>
      <c r="E97" s="152" t="s">
        <v>1477</v>
      </c>
      <c r="F97" s="152">
        <v>301181</v>
      </c>
      <c r="G97" s="152">
        <v>217</v>
      </c>
      <c r="H97" s="152">
        <v>721</v>
      </c>
      <c r="I97" s="152">
        <v>8643</v>
      </c>
      <c r="J97" s="152">
        <v>225</v>
      </c>
      <c r="K97" s="152">
        <v>31812</v>
      </c>
      <c r="L97" s="159" t="s">
        <v>1478</v>
      </c>
      <c r="M97" s="152" t="s">
        <v>883</v>
      </c>
      <c r="N97" s="152" t="s">
        <v>92</v>
      </c>
      <c r="O97" s="159">
        <v>18308</v>
      </c>
      <c r="P97" s="159" t="s">
        <v>1478</v>
      </c>
      <c r="Q97" s="152" t="s">
        <v>883</v>
      </c>
      <c r="R97" s="152" t="s">
        <v>92</v>
      </c>
      <c r="S97" s="159">
        <v>18308</v>
      </c>
      <c r="T97" s="159" t="s">
        <v>1478</v>
      </c>
      <c r="U97" s="159" t="s">
        <v>856</v>
      </c>
      <c r="V97" s="152" t="s">
        <v>1479</v>
      </c>
      <c r="W97" s="152" t="s">
        <v>1480</v>
      </c>
      <c r="X97" s="152" t="s">
        <v>882</v>
      </c>
      <c r="Y97" s="152">
        <v>0</v>
      </c>
      <c r="Z97" s="152">
        <v>0</v>
      </c>
      <c r="AA97" s="152" t="s">
        <v>92</v>
      </c>
      <c r="AB97" s="152">
        <v>212.11</v>
      </c>
      <c r="AC97" s="152">
        <v>2</v>
      </c>
      <c r="AD97" s="152" t="s">
        <v>861</v>
      </c>
      <c r="AE97" s="152">
        <v>0</v>
      </c>
      <c r="AF97" s="152">
        <v>0</v>
      </c>
      <c r="AG97" s="152" t="s">
        <v>861</v>
      </c>
      <c r="AH97" s="152" t="s">
        <v>861</v>
      </c>
      <c r="AI97" s="152" t="s">
        <v>92</v>
      </c>
      <c r="AJ97" s="152" t="s">
        <v>92</v>
      </c>
      <c r="AK97" s="152" t="s">
        <v>862</v>
      </c>
      <c r="AL97" s="159" t="s">
        <v>856</v>
      </c>
      <c r="AP97" s="159" t="s">
        <v>856</v>
      </c>
      <c r="AQ97" s="159" t="s">
        <v>856</v>
      </c>
      <c r="AR97" s="152" t="s">
        <v>992</v>
      </c>
      <c r="AS97" s="159" t="s">
        <v>865</v>
      </c>
      <c r="AT97" s="152" t="str">
        <f t="shared" si="3"/>
        <v>DMNR1-040621</v>
      </c>
      <c r="AU97" s="152" t="str">
        <f t="shared" si="4"/>
        <v>EVA JUDITH RAMOS AXT</v>
      </c>
      <c r="AV97" s="152">
        <v>159.08000000000001</v>
      </c>
      <c r="AW97" s="152">
        <v>703309</v>
      </c>
      <c r="AX97" s="159" t="s">
        <v>856</v>
      </c>
      <c r="AY97" s="159" t="s">
        <v>856</v>
      </c>
      <c r="AZ97" s="152" t="s">
        <v>1008</v>
      </c>
      <c r="BA97" s="152" t="str">
        <f t="shared" si="5"/>
        <v>L21-557-MP118</v>
      </c>
      <c r="BB97" s="152">
        <v>12</v>
      </c>
      <c r="BC97" s="157">
        <v>44397</v>
      </c>
      <c r="BD97" s="157">
        <v>44581</v>
      </c>
      <c r="BE97" s="158">
        <v>21211</v>
      </c>
    </row>
    <row r="98" spans="1:65">
      <c r="A98" s="152" t="s">
        <v>1481</v>
      </c>
      <c r="B98" s="152" t="s">
        <v>1482</v>
      </c>
      <c r="C98" s="152" t="s">
        <v>1476</v>
      </c>
      <c r="D98" s="152" t="s">
        <v>1477</v>
      </c>
      <c r="E98" s="152" t="s">
        <v>1477</v>
      </c>
      <c r="F98" s="152">
        <v>301181</v>
      </c>
      <c r="G98" s="152">
        <v>217</v>
      </c>
      <c r="H98" s="152">
        <v>721</v>
      </c>
      <c r="I98" s="152">
        <v>8643</v>
      </c>
      <c r="J98" s="152">
        <v>225</v>
      </c>
      <c r="K98" s="152">
        <v>31812</v>
      </c>
      <c r="L98" s="159" t="s">
        <v>1478</v>
      </c>
      <c r="M98" s="152" t="s">
        <v>883</v>
      </c>
      <c r="N98" s="152" t="s">
        <v>92</v>
      </c>
      <c r="O98" s="159">
        <v>18308</v>
      </c>
      <c r="P98" s="159" t="s">
        <v>1478</v>
      </c>
      <c r="Q98" s="152" t="s">
        <v>883</v>
      </c>
      <c r="R98" s="152" t="s">
        <v>92</v>
      </c>
      <c r="S98" s="159">
        <v>18308</v>
      </c>
      <c r="T98" s="159" t="s">
        <v>1478</v>
      </c>
      <c r="U98" s="159" t="s">
        <v>1483</v>
      </c>
      <c r="V98" s="152" t="s">
        <v>857</v>
      </c>
      <c r="W98" s="152" t="s">
        <v>858</v>
      </c>
      <c r="X98" s="152" t="s">
        <v>1083</v>
      </c>
      <c r="Y98" s="152">
        <v>137.52000000000001</v>
      </c>
      <c r="Z98" s="152">
        <v>1</v>
      </c>
      <c r="AA98" s="152" t="s">
        <v>883</v>
      </c>
      <c r="AB98" s="152">
        <v>157.6</v>
      </c>
      <c r="AC98" s="152">
        <v>1</v>
      </c>
      <c r="AD98" s="152" t="s">
        <v>861</v>
      </c>
      <c r="AE98" s="152">
        <v>157.6</v>
      </c>
      <c r="AF98" s="152">
        <v>0</v>
      </c>
      <c r="AG98" s="152">
        <v>67.5</v>
      </c>
      <c r="AH98" s="152" t="s">
        <v>861</v>
      </c>
      <c r="AI98" s="152" t="s">
        <v>92</v>
      </c>
      <c r="AJ98" s="152" t="s">
        <v>92</v>
      </c>
      <c r="AK98" s="152" t="s">
        <v>862</v>
      </c>
      <c r="AL98" s="159" t="s">
        <v>856</v>
      </c>
      <c r="AP98" s="159" t="s">
        <v>856</v>
      </c>
      <c r="AQ98" s="159" t="s">
        <v>856</v>
      </c>
      <c r="AR98" s="152" t="s">
        <v>992</v>
      </c>
      <c r="AS98" s="159" t="s">
        <v>865</v>
      </c>
      <c r="AT98" s="152" t="str">
        <f t="shared" si="3"/>
        <v>VUNR1-010621</v>
      </c>
      <c r="AU98" s="152" t="str">
        <f t="shared" si="4"/>
        <v>EVA JUDITH RAMOS AXT</v>
      </c>
      <c r="AV98" s="152">
        <v>1858.14</v>
      </c>
      <c r="AW98" s="152">
        <v>708355</v>
      </c>
      <c r="AX98" s="152">
        <v>23.4</v>
      </c>
      <c r="AY98" s="152">
        <v>708357</v>
      </c>
      <c r="AZ98" s="152" t="s">
        <v>864</v>
      </c>
      <c r="BA98" s="152" t="str">
        <f t="shared" si="5"/>
        <v>L21-637-MP127</v>
      </c>
      <c r="BB98" s="152">
        <v>15</v>
      </c>
      <c r="BC98" s="157">
        <v>44428</v>
      </c>
      <c r="BD98" s="157">
        <v>44732</v>
      </c>
      <c r="BE98" s="158">
        <v>363330.25</v>
      </c>
      <c r="BF98" s="152" t="s">
        <v>1484</v>
      </c>
      <c r="BG98" s="152" t="s">
        <v>1485</v>
      </c>
      <c r="BH98" s="152">
        <v>157.6</v>
      </c>
      <c r="BI98" s="152">
        <v>0</v>
      </c>
      <c r="BJ98" s="152">
        <v>0</v>
      </c>
      <c r="BK98" s="152" t="s">
        <v>132</v>
      </c>
      <c r="BL98" s="152">
        <v>157.6</v>
      </c>
      <c r="BM98" s="152">
        <v>708356</v>
      </c>
    </row>
    <row r="99" spans="1:65">
      <c r="A99" s="152" t="s">
        <v>1486</v>
      </c>
      <c r="B99" s="152" t="s">
        <v>1487</v>
      </c>
      <c r="C99" s="152" t="s">
        <v>1488</v>
      </c>
      <c r="D99" s="152" t="s">
        <v>1489</v>
      </c>
      <c r="E99" s="152" t="s">
        <v>1490</v>
      </c>
      <c r="F99" s="152">
        <v>211825</v>
      </c>
      <c r="G99" s="152">
        <v>183</v>
      </c>
      <c r="H99" s="152">
        <v>427</v>
      </c>
      <c r="I99" s="152">
        <v>131739</v>
      </c>
      <c r="J99" s="152">
        <v>437</v>
      </c>
      <c r="K99" s="152">
        <v>29840</v>
      </c>
      <c r="L99" s="159" t="s">
        <v>1491</v>
      </c>
      <c r="M99" s="152" t="s">
        <v>883</v>
      </c>
      <c r="N99" s="152" t="s">
        <v>92</v>
      </c>
      <c r="O99" s="159">
        <v>8984</v>
      </c>
      <c r="P99" s="159" t="s">
        <v>1491</v>
      </c>
      <c r="Q99" s="152" t="s">
        <v>883</v>
      </c>
      <c r="R99" s="152" t="s">
        <v>92</v>
      </c>
      <c r="S99" s="159">
        <v>8984</v>
      </c>
      <c r="T99" s="159" t="s">
        <v>856</v>
      </c>
      <c r="U99" s="159" t="s">
        <v>856</v>
      </c>
      <c r="V99" s="152" t="s">
        <v>1492</v>
      </c>
      <c r="W99" s="152" t="s">
        <v>858</v>
      </c>
      <c r="X99" s="152" t="s">
        <v>882</v>
      </c>
      <c r="Y99" s="152">
        <v>0</v>
      </c>
      <c r="Z99" s="152">
        <v>1</v>
      </c>
      <c r="AA99" s="152" t="s">
        <v>92</v>
      </c>
      <c r="AB99" s="152">
        <v>30.93</v>
      </c>
      <c r="AC99" s="152">
        <v>1</v>
      </c>
      <c r="AD99" s="152" t="s">
        <v>861</v>
      </c>
      <c r="AE99" s="152">
        <v>0</v>
      </c>
      <c r="AF99" s="152">
        <v>30.93</v>
      </c>
      <c r="AG99" s="152">
        <v>400.23</v>
      </c>
      <c r="AH99" s="152" t="s">
        <v>861</v>
      </c>
      <c r="AI99" s="152" t="s">
        <v>883</v>
      </c>
      <c r="AJ99" s="152" t="s">
        <v>92</v>
      </c>
      <c r="AK99" s="152" t="s">
        <v>884</v>
      </c>
      <c r="AL99" s="159" t="s">
        <v>856</v>
      </c>
      <c r="AP99" s="159" t="s">
        <v>856</v>
      </c>
      <c r="AQ99" s="159" t="s">
        <v>856</v>
      </c>
      <c r="AR99" s="152" t="s">
        <v>1493</v>
      </c>
      <c r="AS99" s="159">
        <v>9.98</v>
      </c>
      <c r="AT99" s="152" t="str">
        <f t="shared" si="3"/>
        <v>VUNS9-010321</v>
      </c>
      <c r="AU99" s="152" t="str">
        <f t="shared" ref="AU99:AU141" si="8">C99</f>
        <v>ANCELMO JULIO SOTO ROMERO</v>
      </c>
      <c r="AV99" s="152">
        <v>649.53</v>
      </c>
      <c r="AW99" s="152">
        <v>700174</v>
      </c>
      <c r="AX99" s="152">
        <v>58.85</v>
      </c>
      <c r="AY99" s="152">
        <v>700176</v>
      </c>
      <c r="AZ99" s="152" t="s">
        <v>864</v>
      </c>
      <c r="BA99" s="152" t="str">
        <f t="shared" si="5"/>
        <v>L21-444-MP106</v>
      </c>
      <c r="BB99" s="152">
        <v>24</v>
      </c>
      <c r="BC99" s="157">
        <v>44364</v>
      </c>
      <c r="BD99" s="157">
        <v>44729</v>
      </c>
      <c r="BE99" s="158">
        <v>77325</v>
      </c>
      <c r="BF99" s="152" t="s">
        <v>1494</v>
      </c>
      <c r="BG99" s="152" t="s">
        <v>1495</v>
      </c>
      <c r="BH99" s="152">
        <v>0</v>
      </c>
      <c r="BI99" s="152">
        <v>30.93</v>
      </c>
      <c r="BJ99" s="152">
        <v>0</v>
      </c>
      <c r="BK99" s="152" t="s">
        <v>1296</v>
      </c>
      <c r="BL99" s="152">
        <v>38.659999999999997</v>
      </c>
      <c r="BM99" s="152">
        <v>700175</v>
      </c>
    </row>
    <row r="100" spans="1:65">
      <c r="A100" s="152" t="s">
        <v>1496</v>
      </c>
      <c r="B100" s="152" t="s">
        <v>1497</v>
      </c>
      <c r="C100" s="152" t="s">
        <v>1498</v>
      </c>
      <c r="D100" s="152" t="s">
        <v>1499</v>
      </c>
      <c r="E100" s="152" t="s">
        <v>1499</v>
      </c>
      <c r="F100" s="152">
        <v>235819</v>
      </c>
      <c r="G100" s="152">
        <v>9</v>
      </c>
      <c r="H100" s="152">
        <v>504</v>
      </c>
      <c r="I100" s="152">
        <v>4462</v>
      </c>
      <c r="J100" s="152">
        <v>856.33</v>
      </c>
      <c r="K100" s="152">
        <v>57677</v>
      </c>
      <c r="L100" s="159" t="s">
        <v>1500</v>
      </c>
      <c r="M100" s="152" t="s">
        <v>883</v>
      </c>
      <c r="N100" s="152" t="s">
        <v>92</v>
      </c>
      <c r="O100" s="159">
        <v>18340</v>
      </c>
      <c r="P100" s="159" t="s">
        <v>856</v>
      </c>
      <c r="Q100" s="152" t="s">
        <v>92</v>
      </c>
      <c r="R100" s="152" t="s">
        <v>92</v>
      </c>
      <c r="S100" s="159" t="s">
        <v>856</v>
      </c>
      <c r="T100" s="159" t="s">
        <v>1500</v>
      </c>
      <c r="U100" s="159" t="s">
        <v>1501</v>
      </c>
      <c r="V100" s="152" t="s">
        <v>1140</v>
      </c>
      <c r="W100" s="152" t="s">
        <v>858</v>
      </c>
      <c r="X100" s="152" t="s">
        <v>1083</v>
      </c>
      <c r="Y100" s="152">
        <v>0</v>
      </c>
      <c r="Z100" s="152">
        <v>1</v>
      </c>
      <c r="AA100" s="152" t="s">
        <v>92</v>
      </c>
      <c r="AB100" s="152">
        <v>181.55</v>
      </c>
      <c r="AC100" s="152">
        <v>3</v>
      </c>
      <c r="AD100" s="152" t="s">
        <v>861</v>
      </c>
      <c r="AE100" s="152">
        <v>181.55</v>
      </c>
      <c r="AF100" s="152">
        <v>0</v>
      </c>
      <c r="AG100" s="152">
        <v>491.39</v>
      </c>
      <c r="AH100" s="152" t="s">
        <v>861</v>
      </c>
      <c r="AI100" s="152" t="s">
        <v>92</v>
      </c>
      <c r="AJ100" s="152" t="s">
        <v>92</v>
      </c>
      <c r="AK100" s="152" t="s">
        <v>884</v>
      </c>
      <c r="AL100" s="159" t="s">
        <v>856</v>
      </c>
      <c r="AP100" s="159" t="s">
        <v>856</v>
      </c>
      <c r="AQ100" s="159" t="s">
        <v>856</v>
      </c>
      <c r="AR100" s="152" t="s">
        <v>873</v>
      </c>
      <c r="AS100" s="159" t="s">
        <v>865</v>
      </c>
      <c r="AT100" s="152" t="str">
        <f t="shared" si="3"/>
        <v>RPNP10-040221</v>
      </c>
      <c r="AU100" s="152" t="str">
        <f t="shared" si="8"/>
        <v>ISAIAS POZ PEREZ</v>
      </c>
      <c r="AV100" s="152">
        <v>2745.04</v>
      </c>
      <c r="AW100" s="152">
        <v>702897</v>
      </c>
      <c r="AX100" s="152">
        <v>26.75</v>
      </c>
      <c r="AY100" s="152">
        <v>702898</v>
      </c>
      <c r="AZ100" s="152" t="s">
        <v>864</v>
      </c>
      <c r="BA100" s="152" t="str">
        <f t="shared" si="5"/>
        <v>L21-580-MP059</v>
      </c>
      <c r="BB100" s="152">
        <v>0</v>
      </c>
      <c r="BC100" s="157">
        <v>44396</v>
      </c>
      <c r="BD100" s="157">
        <v>44396</v>
      </c>
      <c r="BE100" s="158">
        <v>544650</v>
      </c>
      <c r="BM100" s="152">
        <f>AW100</f>
        <v>702897</v>
      </c>
    </row>
    <row r="101" spans="1:65">
      <c r="A101" s="152" t="s">
        <v>1502</v>
      </c>
      <c r="B101" s="152" t="s">
        <v>1503</v>
      </c>
      <c r="C101" s="152" t="s">
        <v>1504</v>
      </c>
      <c r="D101" s="152" t="s">
        <v>1505</v>
      </c>
      <c r="E101" s="152" t="s">
        <v>1506</v>
      </c>
      <c r="F101" s="152">
        <v>5182</v>
      </c>
      <c r="G101" s="152">
        <v>182</v>
      </c>
      <c r="H101" s="152" t="s">
        <v>1507</v>
      </c>
      <c r="I101" s="152">
        <v>181301</v>
      </c>
      <c r="J101" s="152">
        <v>140</v>
      </c>
      <c r="K101" s="152">
        <v>75468</v>
      </c>
      <c r="L101" s="159" t="s">
        <v>1508</v>
      </c>
      <c r="M101" s="152" t="s">
        <v>883</v>
      </c>
      <c r="N101" s="152" t="s">
        <v>92</v>
      </c>
      <c r="O101" s="159">
        <v>11147</v>
      </c>
      <c r="P101" s="159" t="s">
        <v>1508</v>
      </c>
      <c r="Q101" s="152" t="s">
        <v>883</v>
      </c>
      <c r="R101" s="152" t="s">
        <v>92</v>
      </c>
      <c r="S101" s="159">
        <v>11147</v>
      </c>
      <c r="T101" s="159" t="s">
        <v>1509</v>
      </c>
      <c r="U101" s="159" t="s">
        <v>1510</v>
      </c>
      <c r="V101" s="152" t="s">
        <v>857</v>
      </c>
      <c r="W101" s="152" t="s">
        <v>858</v>
      </c>
      <c r="X101" s="152" t="s">
        <v>1083</v>
      </c>
      <c r="Y101" s="152">
        <v>32.9</v>
      </c>
      <c r="Z101" s="152">
        <v>1</v>
      </c>
      <c r="AA101" s="152" t="s">
        <v>92</v>
      </c>
      <c r="AB101" s="152">
        <v>246.53</v>
      </c>
      <c r="AC101" s="152">
        <v>3</v>
      </c>
      <c r="AD101" s="152" t="s">
        <v>861</v>
      </c>
      <c r="AE101" s="152">
        <v>246.53</v>
      </c>
      <c r="AF101" s="152">
        <v>0</v>
      </c>
      <c r="AG101" s="152">
        <v>4.03</v>
      </c>
      <c r="AH101" s="152" t="s">
        <v>861</v>
      </c>
      <c r="AI101" s="152" t="s">
        <v>92</v>
      </c>
      <c r="AJ101" s="152" t="s">
        <v>92</v>
      </c>
      <c r="AK101" s="152" t="s">
        <v>884</v>
      </c>
      <c r="AL101" s="159" t="s">
        <v>856</v>
      </c>
      <c r="AP101" s="159" t="s">
        <v>856</v>
      </c>
      <c r="AQ101" s="159" t="s">
        <v>856</v>
      </c>
      <c r="AR101" s="152" t="s">
        <v>992</v>
      </c>
      <c r="AS101" s="159" t="s">
        <v>865</v>
      </c>
      <c r="AT101" s="152" t="str">
        <f t="shared" si="3"/>
        <v>RPNL7-130621</v>
      </c>
      <c r="AU101" s="152" t="str">
        <f t="shared" si="8"/>
        <v>FULGENCIO GERARDO LOPEZ VELASQUEZ Y CDÑA</v>
      </c>
      <c r="AV101" s="152">
        <v>3792.02</v>
      </c>
      <c r="AW101" s="152">
        <v>708221</v>
      </c>
      <c r="AX101" s="152">
        <v>35</v>
      </c>
      <c r="AY101" s="152">
        <v>708223</v>
      </c>
      <c r="AZ101" s="152" t="s">
        <v>864</v>
      </c>
      <c r="BA101" s="152" t="str">
        <f t="shared" si="5"/>
        <v>L21-643-MP117</v>
      </c>
      <c r="BB101" s="152">
        <v>0</v>
      </c>
      <c r="BC101" s="157">
        <v>44427</v>
      </c>
      <c r="BD101" s="157">
        <v>44427</v>
      </c>
      <c r="BE101" s="158">
        <v>751105</v>
      </c>
      <c r="BF101" s="152" t="s">
        <v>1511</v>
      </c>
      <c r="BG101" s="152" t="s">
        <v>1512</v>
      </c>
      <c r="BH101" s="152">
        <v>246.53</v>
      </c>
      <c r="BI101" s="152">
        <v>0</v>
      </c>
      <c r="BJ101" s="152">
        <v>0</v>
      </c>
      <c r="BK101" s="152" t="s">
        <v>132</v>
      </c>
      <c r="BL101" s="152">
        <v>246.53</v>
      </c>
      <c r="BM101" s="152">
        <v>708222</v>
      </c>
    </row>
    <row r="102" spans="1:65">
      <c r="A102" s="152" t="s">
        <v>1513</v>
      </c>
      <c r="B102" s="152" t="s">
        <v>1514</v>
      </c>
      <c r="C102" s="152" t="s">
        <v>1515</v>
      </c>
      <c r="D102" s="152" t="s">
        <v>1516</v>
      </c>
      <c r="E102" s="152" t="s">
        <v>1516</v>
      </c>
      <c r="F102" s="152">
        <v>279591</v>
      </c>
      <c r="G102" s="152">
        <v>131</v>
      </c>
      <c r="H102" s="152">
        <v>649</v>
      </c>
      <c r="I102" s="152">
        <v>199780</v>
      </c>
      <c r="J102" s="152">
        <v>218.88</v>
      </c>
      <c r="K102" s="152">
        <v>87141</v>
      </c>
      <c r="L102" s="159" t="s">
        <v>1517</v>
      </c>
      <c r="M102" s="152" t="s">
        <v>92</v>
      </c>
      <c r="N102" s="152" t="s">
        <v>883</v>
      </c>
      <c r="O102" s="159">
        <v>5717</v>
      </c>
      <c r="P102" s="159" t="s">
        <v>1517</v>
      </c>
      <c r="Q102" s="152" t="s">
        <v>92</v>
      </c>
      <c r="R102" s="152" t="s">
        <v>883</v>
      </c>
      <c r="S102" s="159">
        <v>5717</v>
      </c>
      <c r="T102" s="159" t="s">
        <v>856</v>
      </c>
      <c r="U102" s="159" t="s">
        <v>856</v>
      </c>
      <c r="V102" s="152" t="s">
        <v>857</v>
      </c>
      <c r="W102" s="152" t="s">
        <v>858</v>
      </c>
      <c r="X102" s="152" t="s">
        <v>882</v>
      </c>
      <c r="Y102" s="152">
        <v>7</v>
      </c>
      <c r="Z102" s="152">
        <v>1</v>
      </c>
      <c r="AA102" s="152" t="s">
        <v>92</v>
      </c>
      <c r="AB102" s="152">
        <v>68.400000000000006</v>
      </c>
      <c r="AC102" s="152">
        <v>1</v>
      </c>
      <c r="AD102" s="152" t="s">
        <v>861</v>
      </c>
      <c r="AE102" s="152">
        <v>68.400000000000006</v>
      </c>
      <c r="AF102" s="152">
        <v>0</v>
      </c>
      <c r="AG102" s="152">
        <v>109.44</v>
      </c>
      <c r="AH102" s="152" t="s">
        <v>861</v>
      </c>
      <c r="AI102" s="152" t="s">
        <v>92</v>
      </c>
      <c r="AJ102" s="152" t="s">
        <v>92</v>
      </c>
      <c r="AK102" s="152" t="s">
        <v>862</v>
      </c>
      <c r="AL102" s="159" t="s">
        <v>856</v>
      </c>
      <c r="AP102" s="159" t="s">
        <v>856</v>
      </c>
      <c r="AQ102" s="159" t="s">
        <v>856</v>
      </c>
      <c r="AR102" s="152" t="s">
        <v>1332</v>
      </c>
      <c r="AS102" s="159" t="s">
        <v>865</v>
      </c>
      <c r="AT102" s="152" t="str">
        <f t="shared" si="3"/>
        <v>VUNT9-010521</v>
      </c>
      <c r="AU102" s="152" t="str">
        <f t="shared" si="8"/>
        <v>ELDER NOE TUM DELGADO</v>
      </c>
      <c r="AV102" s="152">
        <v>703.19</v>
      </c>
      <c r="AW102" s="152">
        <v>700051</v>
      </c>
      <c r="AX102" s="159" t="s">
        <v>856</v>
      </c>
      <c r="AY102" s="159" t="s">
        <v>856</v>
      </c>
      <c r="AZ102" s="152" t="s">
        <v>864</v>
      </c>
      <c r="BA102" s="152" t="str">
        <f t="shared" si="5"/>
        <v>L21-434-MP101</v>
      </c>
      <c r="BB102" s="152">
        <v>15</v>
      </c>
      <c r="BC102" s="157">
        <v>44361</v>
      </c>
      <c r="BD102" s="157">
        <v>44665</v>
      </c>
      <c r="BE102" s="158">
        <v>139250</v>
      </c>
      <c r="BF102" s="152" t="s">
        <v>1519</v>
      </c>
      <c r="BG102" s="152" t="s">
        <v>1518</v>
      </c>
      <c r="BH102" s="152">
        <v>68.400000000000006</v>
      </c>
      <c r="BI102" s="152">
        <v>0</v>
      </c>
      <c r="BJ102" s="152">
        <v>0</v>
      </c>
      <c r="BK102" s="152" t="s">
        <v>132</v>
      </c>
      <c r="BL102" s="152">
        <v>68.400000000000006</v>
      </c>
      <c r="BM102" s="152">
        <v>700053</v>
      </c>
    </row>
    <row r="103" spans="1:65">
      <c r="A103" s="152" t="s">
        <v>1520</v>
      </c>
      <c r="B103" s="152" t="s">
        <v>1521</v>
      </c>
      <c r="C103" s="152" t="s">
        <v>1522</v>
      </c>
      <c r="D103" s="152" t="s">
        <v>1523</v>
      </c>
      <c r="E103" s="152" t="s">
        <v>1524</v>
      </c>
      <c r="F103" s="152">
        <v>5284</v>
      </c>
      <c r="G103" s="152">
        <v>284</v>
      </c>
      <c r="H103" s="152" t="s">
        <v>1525</v>
      </c>
      <c r="I103" s="152">
        <v>153426</v>
      </c>
      <c r="J103" s="152">
        <v>128</v>
      </c>
      <c r="K103" s="152">
        <v>70329</v>
      </c>
      <c r="L103" s="159" t="s">
        <v>1526</v>
      </c>
      <c r="M103" s="152" t="s">
        <v>92</v>
      </c>
      <c r="N103" s="152" t="s">
        <v>883</v>
      </c>
      <c r="O103" s="159">
        <v>5418</v>
      </c>
      <c r="P103" s="159" t="s">
        <v>1522</v>
      </c>
      <c r="Q103" s="152" t="s">
        <v>92</v>
      </c>
      <c r="R103" s="152" t="s">
        <v>92</v>
      </c>
      <c r="S103" s="159" t="s">
        <v>856</v>
      </c>
      <c r="T103" s="159" t="s">
        <v>1527</v>
      </c>
      <c r="U103" s="159" t="s">
        <v>1528</v>
      </c>
      <c r="V103" s="152" t="s">
        <v>857</v>
      </c>
      <c r="W103" s="152" t="s">
        <v>858</v>
      </c>
      <c r="X103" s="152" t="s">
        <v>882</v>
      </c>
      <c r="Y103" s="152">
        <v>0</v>
      </c>
      <c r="Z103" s="152">
        <v>1</v>
      </c>
      <c r="AA103" s="152" t="s">
        <v>92</v>
      </c>
      <c r="AB103" s="152">
        <v>174.16</v>
      </c>
      <c r="AC103" s="152">
        <v>2</v>
      </c>
      <c r="AD103" s="152" t="s">
        <v>861</v>
      </c>
      <c r="AE103" s="152">
        <v>174.16</v>
      </c>
      <c r="AF103" s="152">
        <v>0</v>
      </c>
      <c r="AG103" s="152" t="s">
        <v>861</v>
      </c>
      <c r="AH103" s="152" t="s">
        <v>861</v>
      </c>
      <c r="AI103" s="152" t="s">
        <v>92</v>
      </c>
      <c r="AJ103" s="152" t="s">
        <v>92</v>
      </c>
      <c r="AK103" s="152" t="s">
        <v>862</v>
      </c>
      <c r="AL103" s="159" t="s">
        <v>856</v>
      </c>
      <c r="AP103" s="159" t="s">
        <v>856</v>
      </c>
      <c r="AQ103" s="159" t="s">
        <v>856</v>
      </c>
      <c r="AR103" s="152" t="s">
        <v>1529</v>
      </c>
      <c r="AS103" s="159" t="s">
        <v>865</v>
      </c>
      <c r="AT103" s="152" t="str">
        <f t="shared" si="3"/>
        <v>RPNV11-070521</v>
      </c>
      <c r="AU103" s="152" t="str">
        <f t="shared" si="8"/>
        <v>JUAN VASQUEZ GUZMAN</v>
      </c>
      <c r="AV103" s="152">
        <v>2194.42</v>
      </c>
      <c r="AW103" s="152">
        <v>702321</v>
      </c>
      <c r="AX103" s="152">
        <v>120</v>
      </c>
      <c r="AY103" s="152">
        <v>702323</v>
      </c>
      <c r="AZ103" s="152" t="s">
        <v>864</v>
      </c>
      <c r="BA103" s="152" t="str">
        <f t="shared" si="5"/>
        <v>L21-547-MP102</v>
      </c>
      <c r="BB103" s="152">
        <v>0</v>
      </c>
      <c r="BC103" s="157">
        <v>44390</v>
      </c>
      <c r="BD103" s="157">
        <v>44390</v>
      </c>
      <c r="BE103" s="158">
        <v>435400</v>
      </c>
      <c r="BF103" s="152" t="s">
        <v>1530</v>
      </c>
      <c r="BG103" s="152" t="s">
        <v>894</v>
      </c>
      <c r="BH103" s="152">
        <v>174.16</v>
      </c>
      <c r="BI103" s="152">
        <v>0</v>
      </c>
      <c r="BJ103" s="152">
        <v>0</v>
      </c>
      <c r="BK103" s="152" t="s">
        <v>132</v>
      </c>
      <c r="BL103" s="152">
        <v>174.16</v>
      </c>
      <c r="BM103" s="152">
        <v>702322</v>
      </c>
    </row>
    <row r="104" spans="1:65">
      <c r="A104" s="152" t="s">
        <v>1541</v>
      </c>
      <c r="B104" s="152" t="s">
        <v>1533</v>
      </c>
      <c r="C104" s="152" t="s">
        <v>1534</v>
      </c>
      <c r="D104" s="152" t="s">
        <v>1535</v>
      </c>
      <c r="E104" s="152" t="s">
        <v>1536</v>
      </c>
      <c r="F104" s="152">
        <v>6233</v>
      </c>
      <c r="G104" s="152">
        <v>233</v>
      </c>
      <c r="H104" s="152" t="s">
        <v>1537</v>
      </c>
      <c r="I104" s="152">
        <v>197073</v>
      </c>
      <c r="J104" s="152">
        <v>41</v>
      </c>
      <c r="K104" s="152">
        <v>84903</v>
      </c>
      <c r="L104" s="159" t="s">
        <v>1538</v>
      </c>
      <c r="M104" s="152" t="s">
        <v>883</v>
      </c>
      <c r="N104" s="152" t="s">
        <v>92</v>
      </c>
      <c r="O104" s="159">
        <v>8117</v>
      </c>
      <c r="P104" s="159" t="s">
        <v>1538</v>
      </c>
      <c r="Q104" s="152" t="s">
        <v>883</v>
      </c>
      <c r="R104" s="152" t="s">
        <v>92</v>
      </c>
      <c r="S104" s="159">
        <v>8117</v>
      </c>
      <c r="T104" s="159" t="s">
        <v>856</v>
      </c>
      <c r="U104" s="159" t="s">
        <v>856</v>
      </c>
      <c r="V104" s="152" t="s">
        <v>1008</v>
      </c>
      <c r="W104" s="152" t="s">
        <v>1539</v>
      </c>
      <c r="X104" s="152" t="s">
        <v>1540</v>
      </c>
      <c r="Y104" s="152">
        <v>0</v>
      </c>
      <c r="Z104" s="152">
        <v>0</v>
      </c>
      <c r="AA104" s="152" t="s">
        <v>92</v>
      </c>
      <c r="AB104" s="152">
        <v>41</v>
      </c>
      <c r="AC104" s="152">
        <v>1</v>
      </c>
      <c r="AD104" s="152" t="s">
        <v>861</v>
      </c>
      <c r="AE104" s="152">
        <v>0</v>
      </c>
      <c r="AF104" s="152">
        <v>0</v>
      </c>
      <c r="AG104" s="152" t="s">
        <v>861</v>
      </c>
      <c r="AH104" s="152" t="s">
        <v>861</v>
      </c>
      <c r="AI104" s="152" t="s">
        <v>92</v>
      </c>
      <c r="AJ104" s="152" t="s">
        <v>92</v>
      </c>
      <c r="AK104" s="152" t="s">
        <v>1085</v>
      </c>
      <c r="AL104" s="159" t="s">
        <v>856</v>
      </c>
      <c r="AP104" s="159" t="s">
        <v>856</v>
      </c>
      <c r="AQ104" s="159" t="s">
        <v>856</v>
      </c>
      <c r="AR104" s="152" t="s">
        <v>873</v>
      </c>
      <c r="AS104" s="159" t="s">
        <v>865</v>
      </c>
      <c r="AT104" s="152" t="str">
        <f t="shared" si="3"/>
        <v>DMNI3-030621</v>
      </c>
      <c r="AU104" s="152" t="str">
        <f t="shared" si="8"/>
        <v>RUDY FRACCEDIS IXCARAGUA COTOM Y CDÑA</v>
      </c>
      <c r="AV104" s="152">
        <v>30.75</v>
      </c>
      <c r="AW104" s="152">
        <v>703853</v>
      </c>
      <c r="AX104" s="159" t="s">
        <v>856</v>
      </c>
      <c r="AY104" s="159" t="s">
        <v>856</v>
      </c>
      <c r="AZ104" s="152" t="s">
        <v>1008</v>
      </c>
      <c r="BA104" s="152" t="str">
        <f t="shared" si="5"/>
        <v>L21-576-MP122</v>
      </c>
      <c r="BB104" s="152">
        <v>12</v>
      </c>
      <c r="BC104" s="157">
        <v>44400</v>
      </c>
      <c r="BD104" s="157">
        <v>44584</v>
      </c>
      <c r="BE104" s="158">
        <v>4100</v>
      </c>
      <c r="BM104" s="152">
        <f>AW104</f>
        <v>703853</v>
      </c>
    </row>
    <row r="105" spans="1:65">
      <c r="A105" s="152" t="s">
        <v>1531</v>
      </c>
      <c r="B105" s="152" t="s">
        <v>1532</v>
      </c>
      <c r="C105" s="152" t="s">
        <v>1534</v>
      </c>
      <c r="D105" s="152" t="s">
        <v>1535</v>
      </c>
      <c r="E105" s="152" t="s">
        <v>1536</v>
      </c>
      <c r="F105" s="152">
        <v>6233</v>
      </c>
      <c r="G105" s="152">
        <v>233</v>
      </c>
      <c r="H105" s="152" t="s">
        <v>1537</v>
      </c>
      <c r="I105" s="152">
        <v>197073</v>
      </c>
      <c r="J105" s="152">
        <v>41</v>
      </c>
      <c r="K105" s="152">
        <v>84903</v>
      </c>
      <c r="L105" s="159" t="s">
        <v>1538</v>
      </c>
      <c r="M105" s="152" t="s">
        <v>883</v>
      </c>
      <c r="N105" s="152" t="s">
        <v>92</v>
      </c>
      <c r="O105" s="159">
        <v>8117</v>
      </c>
      <c r="P105" s="159" t="s">
        <v>1538</v>
      </c>
      <c r="Q105" s="152" t="s">
        <v>883</v>
      </c>
      <c r="R105" s="152" t="s">
        <v>92</v>
      </c>
      <c r="S105" s="159">
        <v>8117</v>
      </c>
      <c r="T105" s="159" t="s">
        <v>856</v>
      </c>
      <c r="U105" s="159" t="s">
        <v>856</v>
      </c>
      <c r="V105" s="152" t="s">
        <v>1542</v>
      </c>
      <c r="W105" s="152" t="s">
        <v>858</v>
      </c>
      <c r="X105" s="152" t="s">
        <v>882</v>
      </c>
      <c r="Y105" s="152">
        <v>17.61</v>
      </c>
      <c r="Z105" s="152">
        <v>3</v>
      </c>
      <c r="AA105" s="152" t="s">
        <v>92</v>
      </c>
      <c r="AB105" s="152">
        <v>111.66</v>
      </c>
      <c r="AC105" s="152">
        <v>3</v>
      </c>
      <c r="AD105" s="152" t="s">
        <v>861</v>
      </c>
      <c r="AE105" s="152">
        <v>0</v>
      </c>
      <c r="AF105" s="152">
        <v>111.6</v>
      </c>
      <c r="AG105" s="152" t="s">
        <v>861</v>
      </c>
      <c r="AH105" s="152" t="s">
        <v>861</v>
      </c>
      <c r="AI105" s="152" t="s">
        <v>92</v>
      </c>
      <c r="AJ105" s="152" t="s">
        <v>92</v>
      </c>
      <c r="AK105" s="152" t="s">
        <v>1085</v>
      </c>
      <c r="AL105" s="159" t="s">
        <v>856</v>
      </c>
      <c r="AP105" s="159" t="s">
        <v>856</v>
      </c>
      <c r="AQ105" s="159" t="s">
        <v>856</v>
      </c>
      <c r="AR105" s="152" t="s">
        <v>873</v>
      </c>
      <c r="AS105" s="159" t="s">
        <v>865</v>
      </c>
      <c r="AT105" s="152" t="str">
        <f t="shared" si="3"/>
        <v>VUNI3-010621</v>
      </c>
      <c r="AU105" s="152" t="str">
        <f t="shared" si="8"/>
        <v>RUDY FRACCEDIS IXCARAGUA COTOM Y CDÑA</v>
      </c>
      <c r="AV105" s="152">
        <v>2379.37</v>
      </c>
      <c r="AW105" s="152">
        <v>703854</v>
      </c>
      <c r="AX105" s="152">
        <v>27.3</v>
      </c>
      <c r="AY105" s="152">
        <v>703885</v>
      </c>
      <c r="AZ105" s="152" t="s">
        <v>864</v>
      </c>
      <c r="BA105" s="152" t="str">
        <f t="shared" si="5"/>
        <v>L21-563-MP123</v>
      </c>
      <c r="BB105" s="152">
        <v>50</v>
      </c>
      <c r="BC105" s="157">
        <v>44400</v>
      </c>
      <c r="BD105" s="157">
        <v>44827</v>
      </c>
      <c r="BE105" s="158">
        <v>341141.75</v>
      </c>
      <c r="BF105" s="152" t="s">
        <v>1543</v>
      </c>
      <c r="BG105" s="152" t="s">
        <v>1544</v>
      </c>
      <c r="BH105" s="152">
        <v>0</v>
      </c>
      <c r="BI105" s="152">
        <v>111.66</v>
      </c>
      <c r="BJ105" s="152">
        <v>0</v>
      </c>
      <c r="BK105" s="152" t="s">
        <v>1296</v>
      </c>
      <c r="BL105" s="152">
        <v>139.58000000000001</v>
      </c>
      <c r="BM105" s="152">
        <v>703855</v>
      </c>
    </row>
    <row r="106" spans="1:65">
      <c r="A106" s="152" t="s">
        <v>1545</v>
      </c>
      <c r="B106" s="152" t="s">
        <v>1546</v>
      </c>
      <c r="C106" s="152" t="s">
        <v>1547</v>
      </c>
      <c r="D106" s="152" t="s">
        <v>1548</v>
      </c>
      <c r="E106" s="152" t="s">
        <v>1548</v>
      </c>
      <c r="F106" s="152">
        <v>239266</v>
      </c>
      <c r="G106" s="152">
        <v>66</v>
      </c>
      <c r="H106" s="152">
        <v>515</v>
      </c>
      <c r="I106" s="152">
        <v>146366</v>
      </c>
      <c r="J106" s="152">
        <v>385.76</v>
      </c>
      <c r="K106" s="152">
        <v>45256</v>
      </c>
      <c r="L106" s="159" t="s">
        <v>1549</v>
      </c>
      <c r="M106" s="152" t="s">
        <v>883</v>
      </c>
      <c r="N106" s="152" t="s">
        <v>92</v>
      </c>
      <c r="O106" s="159">
        <v>17312</v>
      </c>
      <c r="P106" s="152" t="s">
        <v>1547</v>
      </c>
      <c r="Q106" s="152" t="s">
        <v>92</v>
      </c>
      <c r="R106" s="152" t="s">
        <v>92</v>
      </c>
      <c r="S106" s="159" t="s">
        <v>856</v>
      </c>
      <c r="T106" s="159" t="s">
        <v>856</v>
      </c>
      <c r="U106" s="159" t="s">
        <v>856</v>
      </c>
      <c r="V106" s="152" t="s">
        <v>1550</v>
      </c>
      <c r="W106" s="152" t="s">
        <v>858</v>
      </c>
      <c r="X106" s="152" t="s">
        <v>882</v>
      </c>
      <c r="Y106" s="152">
        <v>0</v>
      </c>
      <c r="Z106" s="152">
        <v>0</v>
      </c>
      <c r="AA106" s="152" t="s">
        <v>92</v>
      </c>
      <c r="AB106" s="152">
        <v>65.44</v>
      </c>
      <c r="AC106" s="152">
        <v>1</v>
      </c>
      <c r="AD106" s="152" t="s">
        <v>861</v>
      </c>
      <c r="AE106" s="152">
        <v>65.44</v>
      </c>
      <c r="AF106" s="152">
        <v>0</v>
      </c>
      <c r="AG106" s="152">
        <v>244.05</v>
      </c>
      <c r="AH106" s="152" t="s">
        <v>861</v>
      </c>
      <c r="AI106" s="152" t="s">
        <v>92</v>
      </c>
      <c r="AJ106" s="152" t="s">
        <v>92</v>
      </c>
      <c r="AK106" s="152" t="s">
        <v>912</v>
      </c>
      <c r="AL106" s="159" t="s">
        <v>856</v>
      </c>
      <c r="AP106" s="159" t="s">
        <v>856</v>
      </c>
      <c r="AQ106" s="159" t="s">
        <v>856</v>
      </c>
      <c r="AR106" s="152" t="s">
        <v>1332</v>
      </c>
      <c r="AS106" s="159" t="s">
        <v>865</v>
      </c>
      <c r="AT106" s="152" t="str">
        <f t="shared" ref="AT106:AT141" si="9">B106</f>
        <v>RPNB5-190621</v>
      </c>
      <c r="AU106" s="152" t="str">
        <f t="shared" si="8"/>
        <v>ANNA LAURA BARRIOS MARTINEZ</v>
      </c>
      <c r="AV106" s="152">
        <v>659.64</v>
      </c>
      <c r="AW106" s="152">
        <v>698067</v>
      </c>
      <c r="AX106" s="159" t="s">
        <v>856</v>
      </c>
      <c r="AY106" s="159" t="s">
        <v>856</v>
      </c>
      <c r="AZ106" s="152" t="s">
        <v>864</v>
      </c>
      <c r="BA106" s="152" t="str">
        <f t="shared" si="5"/>
        <v>L21-581-MP107</v>
      </c>
      <c r="BB106" s="152">
        <v>0</v>
      </c>
      <c r="BC106" s="157">
        <v>44396</v>
      </c>
      <c r="BD106" s="157">
        <v>44396</v>
      </c>
      <c r="BE106" s="158">
        <v>130880</v>
      </c>
      <c r="BF106" s="152" t="s">
        <v>1551</v>
      </c>
      <c r="BG106" s="152" t="s">
        <v>894</v>
      </c>
      <c r="BH106" s="152">
        <v>65.44</v>
      </c>
      <c r="BI106" s="152">
        <v>0</v>
      </c>
      <c r="BJ106" s="152">
        <v>0</v>
      </c>
      <c r="BK106" s="152" t="s">
        <v>132</v>
      </c>
      <c r="BL106" s="152">
        <v>65.44</v>
      </c>
      <c r="BM106" s="152">
        <v>698068</v>
      </c>
    </row>
    <row r="107" spans="1:65">
      <c r="A107" s="152" t="s">
        <v>1552</v>
      </c>
      <c r="B107" s="152" t="s">
        <v>1553</v>
      </c>
      <c r="C107" s="152" t="s">
        <v>1554</v>
      </c>
      <c r="D107" s="152" t="s">
        <v>1562</v>
      </c>
      <c r="E107" s="152" t="s">
        <v>1555</v>
      </c>
      <c r="F107" s="152">
        <v>524</v>
      </c>
      <c r="G107" s="152">
        <v>24</v>
      </c>
      <c r="H107" s="152" t="s">
        <v>881</v>
      </c>
      <c r="I107" s="152">
        <v>200092</v>
      </c>
      <c r="J107" s="152">
        <v>144</v>
      </c>
      <c r="K107" s="152">
        <v>87361</v>
      </c>
      <c r="L107" s="159" t="s">
        <v>1556</v>
      </c>
      <c r="M107" s="152" t="s">
        <v>92</v>
      </c>
      <c r="N107" s="152" t="s">
        <v>883</v>
      </c>
      <c r="O107" s="159">
        <v>5082</v>
      </c>
      <c r="P107" s="152" t="s">
        <v>1554</v>
      </c>
      <c r="Q107" s="152" t="s">
        <v>92</v>
      </c>
      <c r="R107" s="152" t="s">
        <v>92</v>
      </c>
      <c r="S107" s="159" t="s">
        <v>856</v>
      </c>
      <c r="T107" s="159" t="s">
        <v>856</v>
      </c>
      <c r="U107" s="159" t="s">
        <v>856</v>
      </c>
      <c r="V107" s="152" t="s">
        <v>857</v>
      </c>
      <c r="W107" s="152" t="s">
        <v>858</v>
      </c>
      <c r="X107" s="152" t="s">
        <v>1083</v>
      </c>
      <c r="Y107" s="152">
        <v>74.38</v>
      </c>
      <c r="Z107" s="152">
        <v>1</v>
      </c>
      <c r="AA107" s="152" t="s">
        <v>883</v>
      </c>
      <c r="AB107" s="152">
        <v>215.9</v>
      </c>
      <c r="AC107" s="152">
        <v>2</v>
      </c>
      <c r="AD107" s="152" t="s">
        <v>861</v>
      </c>
      <c r="AE107" s="152">
        <v>215.9</v>
      </c>
      <c r="AF107" s="152">
        <v>0</v>
      </c>
      <c r="AG107" s="152">
        <v>6.46</v>
      </c>
      <c r="AH107" s="152" t="s">
        <v>861</v>
      </c>
      <c r="AI107" s="152" t="s">
        <v>92</v>
      </c>
      <c r="AJ107" s="152" t="s">
        <v>92</v>
      </c>
      <c r="AK107" s="152" t="s">
        <v>972</v>
      </c>
      <c r="AL107" s="159" t="s">
        <v>856</v>
      </c>
      <c r="AP107" s="159" t="s">
        <v>856</v>
      </c>
      <c r="AQ107" s="159" t="s">
        <v>856</v>
      </c>
      <c r="AR107" s="152" t="s">
        <v>885</v>
      </c>
      <c r="AS107" s="159" t="s">
        <v>865</v>
      </c>
      <c r="AT107" s="152" t="str">
        <f t="shared" si="9"/>
        <v>RPNF5-140521</v>
      </c>
      <c r="AU107" s="152" t="str">
        <f t="shared" si="8"/>
        <v>WILSON MARVIN FUENTES HERNANDEZ</v>
      </c>
      <c r="AV107" s="152">
        <v>2866.12</v>
      </c>
      <c r="AW107" s="152">
        <v>695107</v>
      </c>
      <c r="AX107" s="152">
        <v>40</v>
      </c>
      <c r="AY107" s="152">
        <v>695109</v>
      </c>
      <c r="AZ107" s="152" t="s">
        <v>864</v>
      </c>
      <c r="BA107" s="152" t="str">
        <f t="shared" si="5"/>
        <v>L21-380-MP080</v>
      </c>
      <c r="BB107" s="152">
        <v>0</v>
      </c>
      <c r="BC107" s="157">
        <v>44334</v>
      </c>
      <c r="BD107" s="157">
        <v>44334</v>
      </c>
      <c r="BE107" s="158">
        <v>564781.25</v>
      </c>
      <c r="BF107" s="152" t="s">
        <v>1557</v>
      </c>
      <c r="BG107" s="152" t="s">
        <v>1161</v>
      </c>
      <c r="BH107" s="152">
        <v>215.9</v>
      </c>
      <c r="BI107" s="152">
        <v>0</v>
      </c>
      <c r="BJ107" s="152">
        <v>0</v>
      </c>
      <c r="BK107" s="152" t="s">
        <v>132</v>
      </c>
      <c r="BL107" s="152">
        <v>215.9</v>
      </c>
      <c r="BM107" s="152">
        <v>695108</v>
      </c>
    </row>
    <row r="108" spans="1:65">
      <c r="A108" s="152" t="s">
        <v>1558</v>
      </c>
      <c r="B108" s="152" t="s">
        <v>1559</v>
      </c>
      <c r="C108" s="152" t="s">
        <v>1560</v>
      </c>
      <c r="D108" s="152" t="s">
        <v>1561</v>
      </c>
      <c r="E108" s="152" t="s">
        <v>1563</v>
      </c>
      <c r="F108" s="152">
        <v>236478</v>
      </c>
      <c r="G108" s="152">
        <v>48</v>
      </c>
      <c r="H108" s="152">
        <v>506</v>
      </c>
      <c r="I108" s="152">
        <v>200274</v>
      </c>
      <c r="J108" s="152">
        <v>364.62</v>
      </c>
      <c r="K108" s="152">
        <v>87496</v>
      </c>
      <c r="L108" s="159" t="s">
        <v>1564</v>
      </c>
      <c r="M108" s="152" t="s">
        <v>92</v>
      </c>
      <c r="N108" s="152" t="s">
        <v>883</v>
      </c>
      <c r="O108" s="159">
        <v>3010</v>
      </c>
      <c r="P108" s="159" t="s">
        <v>1564</v>
      </c>
      <c r="Q108" s="152" t="s">
        <v>92</v>
      </c>
      <c r="R108" s="152" t="s">
        <v>883</v>
      </c>
      <c r="S108" s="159">
        <v>3010</v>
      </c>
      <c r="T108" s="159" t="s">
        <v>1565</v>
      </c>
      <c r="U108" s="159" t="s">
        <v>1566</v>
      </c>
      <c r="V108" s="152" t="s">
        <v>1567</v>
      </c>
      <c r="W108" s="152" t="s">
        <v>858</v>
      </c>
      <c r="X108" s="152" t="s">
        <v>882</v>
      </c>
      <c r="Y108" s="152">
        <v>22.72</v>
      </c>
      <c r="Z108" s="152">
        <v>5</v>
      </c>
      <c r="AA108" s="152" t="s">
        <v>883</v>
      </c>
      <c r="AB108" s="152">
        <v>711.12</v>
      </c>
      <c r="AC108" s="152">
        <v>3</v>
      </c>
      <c r="AD108" s="152" t="s">
        <v>861</v>
      </c>
      <c r="AE108" s="152">
        <v>711.12</v>
      </c>
      <c r="AF108" s="152">
        <v>0</v>
      </c>
      <c r="AG108" s="152">
        <v>66.38</v>
      </c>
      <c r="AH108" s="152" t="s">
        <v>861</v>
      </c>
      <c r="AI108" s="152" t="s">
        <v>92</v>
      </c>
      <c r="AJ108" s="152" t="s">
        <v>883</v>
      </c>
      <c r="AK108" s="152" t="s">
        <v>884</v>
      </c>
      <c r="AL108" s="159" t="s">
        <v>856</v>
      </c>
      <c r="AP108" s="159" t="s">
        <v>856</v>
      </c>
      <c r="AQ108" s="159" t="s">
        <v>856</v>
      </c>
      <c r="AR108" s="152" t="s">
        <v>1109</v>
      </c>
      <c r="AS108" s="159" t="s">
        <v>865</v>
      </c>
      <c r="AT108" s="152" t="str">
        <f t="shared" si="9"/>
        <v>VUNR9-020521</v>
      </c>
      <c r="AU108" s="152" t="str">
        <f t="shared" si="8"/>
        <v>LIDIA ROXANA ORDOÑEZ MARTINEZ DE REYES</v>
      </c>
      <c r="AV108" s="152">
        <v>10796.66</v>
      </c>
      <c r="AW108" s="152">
        <v>698904</v>
      </c>
      <c r="AX108" s="152">
        <v>189.75</v>
      </c>
      <c r="AY108" s="152">
        <v>698907</v>
      </c>
      <c r="AZ108" s="152" t="s">
        <v>864</v>
      </c>
      <c r="BA108" s="152" t="str">
        <f t="shared" si="5"/>
        <v>L21-517-MP113</v>
      </c>
      <c r="BB108" s="152">
        <v>50</v>
      </c>
      <c r="BC108" s="157">
        <v>44383</v>
      </c>
      <c r="BD108" s="157">
        <v>44810</v>
      </c>
      <c r="BE108" s="158">
        <v>2141310.25</v>
      </c>
      <c r="BF108" s="152" t="s">
        <v>1568</v>
      </c>
      <c r="BG108" s="152" t="s">
        <v>1569</v>
      </c>
      <c r="BH108" s="152">
        <v>711.12</v>
      </c>
      <c r="BI108" s="152">
        <v>0</v>
      </c>
      <c r="BJ108" s="152">
        <v>0</v>
      </c>
      <c r="BK108" s="152" t="s">
        <v>132</v>
      </c>
      <c r="BL108" s="152">
        <v>711.12</v>
      </c>
      <c r="BM108" s="152">
        <v>698906</v>
      </c>
    </row>
    <row r="109" spans="1:65">
      <c r="A109" s="152" t="s">
        <v>1570</v>
      </c>
      <c r="B109" s="152" t="s">
        <v>1571</v>
      </c>
      <c r="C109" s="152" t="s">
        <v>1572</v>
      </c>
      <c r="D109" s="152" t="s">
        <v>1573</v>
      </c>
      <c r="E109" s="152" t="s">
        <v>1574</v>
      </c>
      <c r="F109" s="152">
        <v>312787</v>
      </c>
      <c r="G109" s="152">
        <v>57</v>
      </c>
      <c r="H109" s="152">
        <v>760</v>
      </c>
      <c r="I109" s="152">
        <v>185835</v>
      </c>
      <c r="J109" s="152">
        <v>110.88</v>
      </c>
      <c r="K109" s="152">
        <v>76468</v>
      </c>
      <c r="L109" s="159" t="s">
        <v>1575</v>
      </c>
      <c r="M109" s="152" t="s">
        <v>92</v>
      </c>
      <c r="N109" s="152" t="s">
        <v>883</v>
      </c>
      <c r="O109" s="159">
        <v>3431</v>
      </c>
      <c r="P109" s="159" t="s">
        <v>1575</v>
      </c>
      <c r="Q109" s="152" t="s">
        <v>92</v>
      </c>
      <c r="R109" s="152" t="s">
        <v>883</v>
      </c>
      <c r="S109" s="159">
        <v>3431</v>
      </c>
      <c r="T109" s="159" t="s">
        <v>1576</v>
      </c>
      <c r="U109" s="159" t="s">
        <v>1577</v>
      </c>
      <c r="V109" s="152" t="s">
        <v>857</v>
      </c>
      <c r="W109" s="152" t="s">
        <v>858</v>
      </c>
      <c r="X109" s="152" t="s">
        <v>1083</v>
      </c>
      <c r="Y109" s="152">
        <v>68.459999999999994</v>
      </c>
      <c r="Z109" s="152">
        <v>1</v>
      </c>
      <c r="AA109" s="152" t="s">
        <v>92</v>
      </c>
      <c r="AB109" s="152">
        <v>130.21</v>
      </c>
      <c r="AC109" s="152">
        <v>2</v>
      </c>
      <c r="AD109" s="152" t="s">
        <v>861</v>
      </c>
      <c r="AE109" s="152">
        <v>130.21</v>
      </c>
      <c r="AF109" s="152">
        <v>0</v>
      </c>
      <c r="AG109" s="152">
        <v>23.51</v>
      </c>
      <c r="AH109" s="152" t="s">
        <v>861</v>
      </c>
      <c r="AI109" s="152" t="s">
        <v>92</v>
      </c>
      <c r="AJ109" s="152" t="s">
        <v>92</v>
      </c>
      <c r="AK109" s="152" t="s">
        <v>972</v>
      </c>
      <c r="AL109" s="159" t="s">
        <v>856</v>
      </c>
      <c r="AP109" s="159" t="s">
        <v>856</v>
      </c>
      <c r="AQ109" s="159" t="s">
        <v>856</v>
      </c>
      <c r="AR109" s="152" t="s">
        <v>873</v>
      </c>
      <c r="AS109" s="159" t="s">
        <v>865</v>
      </c>
      <c r="AT109" s="152" t="str">
        <f t="shared" si="9"/>
        <v>VUNS12-010621</v>
      </c>
      <c r="AU109" s="152" t="str">
        <f t="shared" si="8"/>
        <v>JOSE FRANCISCO SAC QUIJIVIX</v>
      </c>
      <c r="AV109" s="152">
        <v>1849.38</v>
      </c>
      <c r="AW109" s="152">
        <v>698418</v>
      </c>
      <c r="AX109" s="152">
        <v>40</v>
      </c>
      <c r="AY109" s="152">
        <v>698430</v>
      </c>
      <c r="AZ109" s="152" t="s">
        <v>864</v>
      </c>
      <c r="BA109" s="152" t="str">
        <f t="shared" si="5"/>
        <v>L21-509-MP114</v>
      </c>
      <c r="BB109" s="152">
        <v>24</v>
      </c>
      <c r="BC109" s="157">
        <v>44379</v>
      </c>
      <c r="BD109" s="157">
        <v>44744</v>
      </c>
      <c r="BE109" s="158">
        <v>351971</v>
      </c>
      <c r="BF109" s="152" t="s">
        <v>1578</v>
      </c>
      <c r="BG109" s="152" t="s">
        <v>1161</v>
      </c>
      <c r="BH109" s="152">
        <v>130.21</v>
      </c>
      <c r="BI109" s="152">
        <v>0</v>
      </c>
      <c r="BJ109" s="152">
        <v>0</v>
      </c>
      <c r="BK109" s="152" t="s">
        <v>132</v>
      </c>
      <c r="BL109" s="152">
        <v>130.21</v>
      </c>
      <c r="BM109" s="152">
        <v>698420</v>
      </c>
    </row>
    <row r="110" spans="1:65">
      <c r="A110" s="152" t="s">
        <v>1579</v>
      </c>
      <c r="B110" s="152" t="s">
        <v>1580</v>
      </c>
      <c r="C110" s="152" t="s">
        <v>1581</v>
      </c>
      <c r="D110" s="152" t="s">
        <v>1582</v>
      </c>
      <c r="E110" s="152" t="s">
        <v>1524</v>
      </c>
      <c r="F110" s="152">
        <v>9769</v>
      </c>
      <c r="G110" s="152">
        <v>269</v>
      </c>
      <c r="H110" s="152" t="s">
        <v>1583</v>
      </c>
      <c r="I110" s="152">
        <v>199138</v>
      </c>
      <c r="J110" s="152">
        <v>95.91</v>
      </c>
      <c r="K110" s="152">
        <v>86630</v>
      </c>
      <c r="L110" s="159" t="s">
        <v>1526</v>
      </c>
      <c r="M110" s="152" t="s">
        <v>92</v>
      </c>
      <c r="N110" s="152" t="s">
        <v>883</v>
      </c>
      <c r="O110" s="159">
        <v>5418</v>
      </c>
      <c r="P110" s="159" t="s">
        <v>1581</v>
      </c>
      <c r="Q110" s="152" t="s">
        <v>92</v>
      </c>
      <c r="R110" s="152" t="s">
        <v>92</v>
      </c>
      <c r="S110" s="159" t="s">
        <v>856</v>
      </c>
      <c r="T110" s="159" t="s">
        <v>1527</v>
      </c>
      <c r="U110" s="159" t="s">
        <v>1528</v>
      </c>
      <c r="V110" s="152" t="s">
        <v>857</v>
      </c>
      <c r="W110" s="152" t="s">
        <v>858</v>
      </c>
      <c r="X110" s="152" t="s">
        <v>1083</v>
      </c>
      <c r="Y110" s="152">
        <v>20.65</v>
      </c>
      <c r="Z110" s="152">
        <v>1</v>
      </c>
      <c r="AA110" s="152" t="s">
        <v>883</v>
      </c>
      <c r="AB110" s="152">
        <v>82.68</v>
      </c>
      <c r="AC110" s="152">
        <v>1</v>
      </c>
      <c r="AD110" s="152" t="s">
        <v>861</v>
      </c>
      <c r="AE110" s="152">
        <v>82.68</v>
      </c>
      <c r="AF110" s="152">
        <v>0</v>
      </c>
      <c r="AG110" s="152" t="s">
        <v>861</v>
      </c>
      <c r="AH110" s="152" t="s">
        <v>861</v>
      </c>
      <c r="AI110" s="152" t="s">
        <v>92</v>
      </c>
      <c r="AJ110" s="152" t="s">
        <v>92</v>
      </c>
      <c r="AK110" s="152" t="s">
        <v>884</v>
      </c>
      <c r="AL110" s="159" t="s">
        <v>856</v>
      </c>
      <c r="AP110" s="159" t="s">
        <v>856</v>
      </c>
      <c r="AQ110" s="159" t="s">
        <v>856</v>
      </c>
      <c r="AR110" s="152" t="s">
        <v>885</v>
      </c>
      <c r="AS110" s="159" t="s">
        <v>865</v>
      </c>
      <c r="AT110" s="152" t="str">
        <f t="shared" si="9"/>
        <v>RPNP10-030221</v>
      </c>
      <c r="AU110" s="152" t="str">
        <f t="shared" si="8"/>
        <v>JIMMY MAXIMILIANO PISQUIY CHAJ</v>
      </c>
      <c r="AV110" s="152">
        <v>873.89</v>
      </c>
      <c r="AW110" s="152">
        <v>674761</v>
      </c>
      <c r="AX110" s="159" t="s">
        <v>856</v>
      </c>
      <c r="AY110" s="159" t="s">
        <v>856</v>
      </c>
      <c r="AZ110" s="152" t="s">
        <v>864</v>
      </c>
      <c r="BA110" s="152" t="str">
        <f t="shared" si="5"/>
        <v>L21-419-MP069</v>
      </c>
      <c r="BB110" s="152">
        <v>0</v>
      </c>
      <c r="BC110" s="157">
        <v>44330</v>
      </c>
      <c r="BD110" s="157">
        <v>44330</v>
      </c>
      <c r="BE110" s="158">
        <v>172587.5</v>
      </c>
      <c r="BF110" s="152" t="s">
        <v>1584</v>
      </c>
      <c r="BG110" s="152" t="s">
        <v>894</v>
      </c>
      <c r="BH110" s="152">
        <v>82.68</v>
      </c>
      <c r="BI110" s="152">
        <v>0</v>
      </c>
      <c r="BJ110" s="152">
        <v>0</v>
      </c>
      <c r="BK110" s="152" t="s">
        <v>132</v>
      </c>
      <c r="BL110" s="152">
        <v>82.68</v>
      </c>
      <c r="BM110" s="152">
        <v>674760</v>
      </c>
    </row>
    <row r="111" spans="1:65">
      <c r="A111" s="152" t="s">
        <v>1585</v>
      </c>
      <c r="B111" s="152" t="s">
        <v>1586</v>
      </c>
      <c r="C111" s="152" t="s">
        <v>1587</v>
      </c>
      <c r="D111" s="152" t="s">
        <v>1588</v>
      </c>
      <c r="E111" s="152" t="s">
        <v>1588</v>
      </c>
      <c r="F111" s="152">
        <v>2602</v>
      </c>
      <c r="G111" s="152">
        <v>102</v>
      </c>
      <c r="H111" s="152" t="s">
        <v>1589</v>
      </c>
      <c r="I111" s="152">
        <v>173399</v>
      </c>
      <c r="J111" s="152">
        <v>164</v>
      </c>
      <c r="K111" s="152">
        <v>68144</v>
      </c>
      <c r="L111" s="159" t="s">
        <v>1590</v>
      </c>
      <c r="M111" s="152" t="s">
        <v>92</v>
      </c>
      <c r="N111" s="152" t="s">
        <v>883</v>
      </c>
      <c r="O111" s="159">
        <v>2367</v>
      </c>
      <c r="P111" s="159" t="s">
        <v>1590</v>
      </c>
      <c r="Q111" s="152" t="s">
        <v>92</v>
      </c>
      <c r="R111" s="152" t="s">
        <v>883</v>
      </c>
      <c r="S111" s="159">
        <v>2367</v>
      </c>
      <c r="T111" s="159" t="s">
        <v>856</v>
      </c>
      <c r="U111" s="159" t="s">
        <v>856</v>
      </c>
      <c r="V111" s="152" t="s">
        <v>857</v>
      </c>
      <c r="W111" s="152" t="s">
        <v>858</v>
      </c>
      <c r="X111" s="152" t="s">
        <v>1083</v>
      </c>
      <c r="Y111" s="152">
        <v>20.48</v>
      </c>
      <c r="Z111" s="152">
        <v>1</v>
      </c>
      <c r="AA111" s="152" t="s">
        <v>92</v>
      </c>
      <c r="AB111" s="152">
        <v>348.36</v>
      </c>
      <c r="AC111" s="152">
        <v>3</v>
      </c>
      <c r="AD111" s="152" t="s">
        <v>861</v>
      </c>
      <c r="AE111" s="152">
        <v>348.36</v>
      </c>
      <c r="AF111" s="152">
        <v>0</v>
      </c>
      <c r="AG111" s="152">
        <v>16.5</v>
      </c>
      <c r="AH111" s="152" t="s">
        <v>861</v>
      </c>
      <c r="AI111" s="152" t="s">
        <v>92</v>
      </c>
      <c r="AJ111" s="152" t="s">
        <v>92</v>
      </c>
      <c r="AK111" s="152" t="s">
        <v>942</v>
      </c>
      <c r="AL111" s="159" t="s">
        <v>856</v>
      </c>
      <c r="AP111" s="159" t="s">
        <v>856</v>
      </c>
      <c r="AQ111" s="159" t="s">
        <v>856</v>
      </c>
      <c r="AR111" s="152" t="s">
        <v>885</v>
      </c>
      <c r="AS111" s="159" t="s">
        <v>865</v>
      </c>
      <c r="AT111" s="152" t="str">
        <f t="shared" si="9"/>
        <v>RPNL8-010121</v>
      </c>
      <c r="AU111" s="152" t="str">
        <f t="shared" si="8"/>
        <v>MARIA FLORINDA LOPEZ LOPEZ</v>
      </c>
      <c r="AV111" s="152">
        <v>5307.33</v>
      </c>
      <c r="AW111" s="152">
        <v>694313</v>
      </c>
      <c r="AX111" s="152">
        <v>40</v>
      </c>
      <c r="AY111" s="152">
        <v>694315</v>
      </c>
      <c r="AZ111" s="152" t="s">
        <v>864</v>
      </c>
      <c r="BA111" s="152" t="str">
        <f t="shared" si="5"/>
        <v>L21-424-MP063</v>
      </c>
      <c r="BB111" s="152">
        <v>0</v>
      </c>
      <c r="BC111" s="157">
        <v>44350</v>
      </c>
      <c r="BD111" s="157">
        <v>44350</v>
      </c>
      <c r="BE111" s="158">
        <v>1052246.25</v>
      </c>
      <c r="BF111" s="152" t="s">
        <v>1591</v>
      </c>
      <c r="BG111" s="152" t="s">
        <v>1161</v>
      </c>
      <c r="BH111" s="152">
        <v>348.36</v>
      </c>
      <c r="BI111" s="152">
        <v>0</v>
      </c>
      <c r="BJ111" s="152">
        <v>0</v>
      </c>
      <c r="BK111" s="152" t="s">
        <v>132</v>
      </c>
      <c r="BL111" s="152">
        <v>348.36</v>
      </c>
      <c r="BM111" s="152">
        <v>694314</v>
      </c>
    </row>
    <row r="112" spans="1:65">
      <c r="A112" s="152" t="s">
        <v>1592</v>
      </c>
      <c r="B112" s="152" t="s">
        <v>1593</v>
      </c>
      <c r="C112" s="152" t="s">
        <v>1594</v>
      </c>
      <c r="D112" s="152" t="s">
        <v>1595</v>
      </c>
      <c r="E112" s="152" t="s">
        <v>1596</v>
      </c>
      <c r="F112" s="152">
        <v>89381</v>
      </c>
      <c r="G112" s="152">
        <v>53</v>
      </c>
      <c r="H112" s="152">
        <v>363</v>
      </c>
      <c r="I112" s="152">
        <v>7989</v>
      </c>
      <c r="J112" s="152">
        <v>112.7</v>
      </c>
      <c r="K112" s="152">
        <v>2585</v>
      </c>
      <c r="L112" s="159" t="s">
        <v>1597</v>
      </c>
      <c r="M112" s="152" t="s">
        <v>883</v>
      </c>
      <c r="N112" s="152" t="s">
        <v>92</v>
      </c>
      <c r="O112" s="159">
        <v>15605</v>
      </c>
      <c r="P112" s="159" t="s">
        <v>1597</v>
      </c>
      <c r="Q112" s="152" t="s">
        <v>883</v>
      </c>
      <c r="R112" s="152" t="s">
        <v>92</v>
      </c>
      <c r="S112" s="159">
        <v>15605</v>
      </c>
      <c r="T112" s="159" t="s">
        <v>856</v>
      </c>
      <c r="U112" s="159" t="s">
        <v>856</v>
      </c>
      <c r="V112" s="152" t="s">
        <v>1479</v>
      </c>
      <c r="W112" s="152" t="s">
        <v>1598</v>
      </c>
      <c r="X112" s="152" t="s">
        <v>1599</v>
      </c>
      <c r="Y112" s="152">
        <v>0</v>
      </c>
      <c r="Z112" s="152">
        <v>0</v>
      </c>
      <c r="AA112" s="152" t="s">
        <v>92</v>
      </c>
      <c r="AB112" s="152">
        <v>57.63</v>
      </c>
      <c r="AC112" s="152">
        <v>1</v>
      </c>
      <c r="AD112" s="152" t="s">
        <v>861</v>
      </c>
      <c r="AE112" s="152">
        <v>0</v>
      </c>
      <c r="AF112" s="152">
        <v>0</v>
      </c>
      <c r="AG112" s="152" t="s">
        <v>861</v>
      </c>
      <c r="AH112" s="152" t="s">
        <v>861</v>
      </c>
      <c r="AI112" s="152" t="s">
        <v>92</v>
      </c>
      <c r="AJ112" s="152" t="s">
        <v>92</v>
      </c>
      <c r="AK112" s="152" t="s">
        <v>884</v>
      </c>
      <c r="AL112" s="159" t="s">
        <v>856</v>
      </c>
      <c r="AP112" s="159" t="s">
        <v>856</v>
      </c>
      <c r="AQ112" s="159" t="s">
        <v>856</v>
      </c>
      <c r="AR112" s="152" t="s">
        <v>1192</v>
      </c>
      <c r="AS112" s="159" t="s">
        <v>865</v>
      </c>
      <c r="AT112" s="152" t="str">
        <f t="shared" si="9"/>
        <v>DMNB7-011121</v>
      </c>
      <c r="AU112" s="152" t="str">
        <f t="shared" si="8"/>
        <v>ANGELICA PRISILA BARRIOS SANTIZO</v>
      </c>
      <c r="AV112" s="152">
        <v>43.22</v>
      </c>
      <c r="AW112" s="152">
        <v>733822</v>
      </c>
      <c r="AX112" s="159" t="s">
        <v>856</v>
      </c>
      <c r="AY112" s="159" t="s">
        <v>856</v>
      </c>
      <c r="AZ112" s="152" t="s">
        <v>1008</v>
      </c>
      <c r="BA112" s="152" t="str">
        <f t="shared" si="5"/>
        <v>L22-002-MP162</v>
      </c>
      <c r="BB112" s="152">
        <v>12</v>
      </c>
      <c r="BC112" s="157">
        <v>44564</v>
      </c>
      <c r="BD112" s="157">
        <v>44929</v>
      </c>
      <c r="BE112" s="158">
        <v>5763</v>
      </c>
    </row>
    <row r="113" spans="1:66">
      <c r="A113" s="152" t="s">
        <v>1600</v>
      </c>
      <c r="B113" s="152" t="s">
        <v>1601</v>
      </c>
      <c r="C113" s="152" t="s">
        <v>1262</v>
      </c>
      <c r="D113" s="152" t="s">
        <v>1602</v>
      </c>
      <c r="E113" s="152" t="s">
        <v>1264</v>
      </c>
      <c r="F113" s="152">
        <v>2817</v>
      </c>
      <c r="G113" s="152">
        <v>317</v>
      </c>
      <c r="H113" s="152" t="s">
        <v>1265</v>
      </c>
      <c r="I113" s="152">
        <v>198510</v>
      </c>
      <c r="J113" s="152">
        <v>96</v>
      </c>
      <c r="K113" s="152">
        <v>86066</v>
      </c>
      <c r="L113" s="159" t="s">
        <v>1266</v>
      </c>
      <c r="M113" s="152" t="s">
        <v>92</v>
      </c>
      <c r="N113" s="152" t="s">
        <v>883</v>
      </c>
      <c r="O113" s="159">
        <v>3989</v>
      </c>
      <c r="P113" s="159" t="s">
        <v>1267</v>
      </c>
      <c r="Q113" s="152" t="s">
        <v>883</v>
      </c>
      <c r="R113" s="152" t="s">
        <v>92</v>
      </c>
      <c r="S113" s="159">
        <v>13080</v>
      </c>
      <c r="T113" s="159" t="s">
        <v>1603</v>
      </c>
      <c r="U113" s="159" t="s">
        <v>1604</v>
      </c>
      <c r="V113" s="152" t="s">
        <v>857</v>
      </c>
      <c r="W113" s="152" t="s">
        <v>1268</v>
      </c>
      <c r="X113" s="152" t="s">
        <v>1083</v>
      </c>
      <c r="Y113" s="152">
        <v>28.04</v>
      </c>
      <c r="Z113" s="152">
        <v>1</v>
      </c>
      <c r="AA113" s="152" t="s">
        <v>92</v>
      </c>
      <c r="AB113" s="152">
        <v>85.72</v>
      </c>
      <c r="AC113" s="152">
        <v>2</v>
      </c>
      <c r="AD113" s="152" t="s">
        <v>861</v>
      </c>
      <c r="AE113" s="152">
        <v>85.72</v>
      </c>
      <c r="AF113" s="152">
        <v>0</v>
      </c>
      <c r="AG113" s="152">
        <v>4.41</v>
      </c>
      <c r="AH113" s="152" t="s">
        <v>861</v>
      </c>
      <c r="AI113" s="152" t="s">
        <v>92</v>
      </c>
      <c r="AJ113" s="152" t="s">
        <v>92</v>
      </c>
      <c r="AK113" s="152" t="s">
        <v>862</v>
      </c>
      <c r="AL113" s="159" t="s">
        <v>856</v>
      </c>
      <c r="AP113" s="159" t="s">
        <v>856</v>
      </c>
      <c r="AQ113" s="159" t="s">
        <v>856</v>
      </c>
      <c r="AR113" s="152" t="s">
        <v>863</v>
      </c>
      <c r="AS113" s="159" t="s">
        <v>865</v>
      </c>
      <c r="AT113" s="152" t="str">
        <f t="shared" si="9"/>
        <v>VUNCR-821121</v>
      </c>
      <c r="AU113" s="152" t="str">
        <f t="shared" si="8"/>
        <v>COMPLEJOS COLONIALES, S.A.</v>
      </c>
      <c r="AV113" s="152">
        <v>1135.03</v>
      </c>
      <c r="AW113" s="152">
        <v>753685</v>
      </c>
      <c r="AX113" s="152">
        <v>30</v>
      </c>
      <c r="AY113" s="152">
        <v>753687</v>
      </c>
      <c r="AZ113" s="152" t="s">
        <v>864</v>
      </c>
      <c r="BA113" s="152" t="str">
        <f t="shared" si="5"/>
        <v>L22-040-MP146</v>
      </c>
      <c r="BB113" s="152">
        <v>24</v>
      </c>
      <c r="BC113" s="157">
        <v>44575</v>
      </c>
      <c r="BD113" s="157">
        <v>44940</v>
      </c>
      <c r="BE113" s="158">
        <v>224114</v>
      </c>
      <c r="BF113" s="152" t="s">
        <v>1605</v>
      </c>
      <c r="BG113" s="152" t="s">
        <v>1161</v>
      </c>
      <c r="BH113" s="152">
        <v>85.72</v>
      </c>
      <c r="BI113" s="152">
        <v>0</v>
      </c>
      <c r="BJ113" s="152">
        <v>0</v>
      </c>
      <c r="BK113" s="152" t="s">
        <v>132</v>
      </c>
      <c r="BL113" s="152">
        <v>85.72</v>
      </c>
      <c r="BM113" s="152">
        <v>753686</v>
      </c>
      <c r="BN113" s="157" t="s">
        <v>1453</v>
      </c>
    </row>
    <row r="114" spans="1:66">
      <c r="A114" s="152" t="s">
        <v>1607</v>
      </c>
      <c r="B114" s="152" t="s">
        <v>1608</v>
      </c>
      <c r="C114" s="152" t="s">
        <v>1609</v>
      </c>
      <c r="D114" s="152" t="s">
        <v>1610</v>
      </c>
      <c r="E114" s="152" t="s">
        <v>1077</v>
      </c>
      <c r="F114" s="152">
        <v>8631</v>
      </c>
      <c r="G114" s="152">
        <v>131</v>
      </c>
      <c r="H114" s="152" t="s">
        <v>1611</v>
      </c>
      <c r="I114" s="152">
        <v>200896</v>
      </c>
      <c r="J114" s="152">
        <v>112</v>
      </c>
      <c r="K114" s="152">
        <v>87993</v>
      </c>
      <c r="L114" s="159" t="s">
        <v>1079</v>
      </c>
      <c r="M114" s="152" t="s">
        <v>883</v>
      </c>
      <c r="N114" s="152" t="s">
        <v>92</v>
      </c>
      <c r="O114" s="159">
        <v>1617</v>
      </c>
      <c r="P114" s="159" t="s">
        <v>1079</v>
      </c>
      <c r="Q114" s="152" t="s">
        <v>883</v>
      </c>
      <c r="R114" s="152" t="s">
        <v>92</v>
      </c>
      <c r="S114" s="159">
        <v>1617</v>
      </c>
      <c r="T114" s="159" t="s">
        <v>1612</v>
      </c>
      <c r="U114" s="159" t="s">
        <v>1613</v>
      </c>
      <c r="V114" s="152" t="s">
        <v>857</v>
      </c>
      <c r="W114" s="152" t="s">
        <v>858</v>
      </c>
      <c r="X114" s="152" t="s">
        <v>1614</v>
      </c>
      <c r="Y114" s="152">
        <v>33.6</v>
      </c>
      <c r="Z114" s="152">
        <v>1</v>
      </c>
      <c r="AA114" s="152" t="s">
        <v>92</v>
      </c>
      <c r="AB114" s="152">
        <v>132</v>
      </c>
      <c r="AC114" s="152">
        <v>2</v>
      </c>
      <c r="AD114" s="152" t="s">
        <v>861</v>
      </c>
      <c r="AE114" s="152">
        <v>132</v>
      </c>
      <c r="AF114" s="152">
        <v>0</v>
      </c>
      <c r="AG114" s="152">
        <v>9.6199999999999992</v>
      </c>
      <c r="AH114" s="152" t="s">
        <v>861</v>
      </c>
      <c r="AI114" s="152" t="s">
        <v>92</v>
      </c>
      <c r="AJ114" s="152" t="s">
        <v>92</v>
      </c>
      <c r="AK114" s="152" t="s">
        <v>972</v>
      </c>
      <c r="AL114" s="159" t="s">
        <v>856</v>
      </c>
      <c r="AP114" s="159" t="s">
        <v>856</v>
      </c>
      <c r="AQ114" s="159" t="s">
        <v>856</v>
      </c>
      <c r="AR114" s="152" t="s">
        <v>992</v>
      </c>
      <c r="AS114" s="159" t="s">
        <v>865</v>
      </c>
      <c r="AT114" s="152" t="str">
        <f t="shared" si="9"/>
        <v>VUNI12-221021</v>
      </c>
      <c r="AU114" s="152" t="str">
        <f t="shared" si="8"/>
        <v>IMPULSADORA DE VIVIENDAS QUETZALTECAS S.A.</v>
      </c>
      <c r="AV114" s="152">
        <v>1729.06</v>
      </c>
      <c r="AW114" s="152">
        <v>796521</v>
      </c>
      <c r="AX114" s="152">
        <v>35</v>
      </c>
      <c r="AY114" s="152">
        <v>796524</v>
      </c>
      <c r="AZ114" s="152" t="s">
        <v>864</v>
      </c>
      <c r="BA114" s="152" t="str">
        <f t="shared" si="5"/>
        <v>L22-193-MP158</v>
      </c>
      <c r="BB114" s="152">
        <v>24</v>
      </c>
      <c r="BC114" s="157">
        <v>44638</v>
      </c>
      <c r="BD114" s="157">
        <v>45003</v>
      </c>
      <c r="BE114" s="158">
        <v>341760</v>
      </c>
      <c r="BF114" s="152" t="s">
        <v>1615</v>
      </c>
      <c r="BG114" s="152" t="s">
        <v>1616</v>
      </c>
      <c r="BH114" s="152">
        <v>132</v>
      </c>
      <c r="BI114" s="152">
        <v>0</v>
      </c>
      <c r="BJ114" s="152">
        <v>0</v>
      </c>
      <c r="BK114" s="152" t="s">
        <v>132</v>
      </c>
      <c r="BL114" s="152">
        <v>132</v>
      </c>
      <c r="BM114" s="152">
        <v>796523</v>
      </c>
      <c r="BN114" s="157" t="s">
        <v>1453</v>
      </c>
    </row>
    <row r="115" spans="1:66">
      <c r="A115" s="152" t="s">
        <v>1617</v>
      </c>
      <c r="B115" s="152" t="s">
        <v>1618</v>
      </c>
      <c r="C115" s="152" t="s">
        <v>1619</v>
      </c>
      <c r="D115" s="152" t="s">
        <v>1458</v>
      </c>
      <c r="E115" s="152" t="s">
        <v>1458</v>
      </c>
      <c r="F115" s="159" t="s">
        <v>865</v>
      </c>
      <c r="G115" s="159" t="s">
        <v>865</v>
      </c>
      <c r="H115" s="159" t="s">
        <v>865</v>
      </c>
      <c r="I115" s="152">
        <v>201574</v>
      </c>
      <c r="J115" s="152">
        <v>180.03</v>
      </c>
      <c r="K115" s="152">
        <v>88555</v>
      </c>
      <c r="L115" s="159" t="s">
        <v>856</v>
      </c>
      <c r="M115" s="152" t="s">
        <v>92</v>
      </c>
      <c r="N115" s="152" t="s">
        <v>92</v>
      </c>
      <c r="O115" s="159" t="s">
        <v>856</v>
      </c>
      <c r="P115" s="159" t="s">
        <v>856</v>
      </c>
      <c r="Q115" s="152" t="s">
        <v>92</v>
      </c>
      <c r="R115" s="152" t="s">
        <v>92</v>
      </c>
      <c r="S115" s="159" t="s">
        <v>856</v>
      </c>
      <c r="T115" s="159" t="s">
        <v>856</v>
      </c>
      <c r="U115" s="159" t="s">
        <v>856</v>
      </c>
      <c r="V115" s="152" t="s">
        <v>857</v>
      </c>
      <c r="W115" s="152" t="s">
        <v>858</v>
      </c>
      <c r="X115" s="152" t="s">
        <v>882</v>
      </c>
      <c r="Y115" s="152">
        <v>0</v>
      </c>
      <c r="Z115" s="152">
        <v>1</v>
      </c>
      <c r="AA115" s="152" t="s">
        <v>883</v>
      </c>
      <c r="AB115" s="152">
        <v>80.44</v>
      </c>
      <c r="AC115" s="152">
        <v>1</v>
      </c>
      <c r="AD115" s="152" t="s">
        <v>861</v>
      </c>
      <c r="AE115" s="152">
        <v>80.44</v>
      </c>
      <c r="AF115" s="152">
        <v>0</v>
      </c>
      <c r="AG115" s="152">
        <v>100.24</v>
      </c>
      <c r="AH115" s="152" t="s">
        <v>861</v>
      </c>
      <c r="AI115" s="152" t="s">
        <v>92</v>
      </c>
      <c r="AJ115" s="152" t="s">
        <v>92</v>
      </c>
      <c r="AK115" s="152" t="s">
        <v>1620</v>
      </c>
      <c r="AL115" s="159" t="s">
        <v>856</v>
      </c>
      <c r="AP115" s="159" t="s">
        <v>856</v>
      </c>
      <c r="AQ115" s="159" t="s">
        <v>856</v>
      </c>
      <c r="AR115" s="152" t="s">
        <v>885</v>
      </c>
      <c r="AS115" s="159" t="s">
        <v>865</v>
      </c>
      <c r="AT115" s="152" t="str">
        <f t="shared" si="9"/>
        <v>RPNNR-740921</v>
      </c>
      <c r="AU115" s="152" t="str">
        <f t="shared" si="8"/>
        <v>ROMEO NIMATUJ</v>
      </c>
      <c r="AV115" s="152">
        <v>810.84</v>
      </c>
      <c r="AW115" s="152">
        <v>726689</v>
      </c>
      <c r="AX115" s="152">
        <v>30</v>
      </c>
      <c r="AY115" s="152">
        <v>726691</v>
      </c>
      <c r="AZ115" s="152" t="s">
        <v>864</v>
      </c>
      <c r="BA115" s="152" t="str">
        <f t="shared" si="5"/>
        <v>L21-970-MP174</v>
      </c>
      <c r="BB115" s="152">
        <v>0</v>
      </c>
      <c r="BC115" s="157">
        <v>44518</v>
      </c>
      <c r="BD115" s="157">
        <v>44518</v>
      </c>
      <c r="BE115" s="158">
        <v>160880</v>
      </c>
      <c r="BF115" s="152" t="s">
        <v>1621</v>
      </c>
      <c r="BG115" s="152" t="s">
        <v>894</v>
      </c>
      <c r="BH115" s="152">
        <v>80.44</v>
      </c>
      <c r="BI115" s="152">
        <v>0</v>
      </c>
      <c r="BJ115" s="152">
        <v>0</v>
      </c>
      <c r="BK115" s="152" t="s">
        <v>132</v>
      </c>
      <c r="BL115" s="152">
        <v>80.44</v>
      </c>
      <c r="BM115" s="152">
        <v>726690</v>
      </c>
      <c r="BN115" s="157" t="s">
        <v>1453</v>
      </c>
    </row>
    <row r="116" spans="1:66">
      <c r="A116" s="152" t="s">
        <v>1622</v>
      </c>
      <c r="B116" s="152" t="s">
        <v>1623</v>
      </c>
      <c r="C116" s="152" t="s">
        <v>1624</v>
      </c>
      <c r="D116" s="152" t="s">
        <v>1625</v>
      </c>
      <c r="E116" s="152" t="s">
        <v>1625</v>
      </c>
      <c r="F116" s="152">
        <v>7088</v>
      </c>
      <c r="G116" s="152">
        <v>88</v>
      </c>
      <c r="H116" s="152" t="s">
        <v>1057</v>
      </c>
      <c r="I116" s="152">
        <v>201659</v>
      </c>
      <c r="J116" s="152">
        <v>108</v>
      </c>
      <c r="K116" s="152">
        <v>88617</v>
      </c>
      <c r="L116" s="159" t="s">
        <v>856</v>
      </c>
      <c r="M116" s="152" t="s">
        <v>92</v>
      </c>
      <c r="N116" s="152" t="s">
        <v>92</v>
      </c>
      <c r="O116" s="159" t="s">
        <v>856</v>
      </c>
      <c r="P116" s="159" t="s">
        <v>856</v>
      </c>
      <c r="Q116" s="152" t="s">
        <v>92</v>
      </c>
      <c r="R116" s="152" t="s">
        <v>92</v>
      </c>
      <c r="S116" s="159" t="s">
        <v>856</v>
      </c>
      <c r="T116" s="159" t="s">
        <v>856</v>
      </c>
      <c r="U116" s="159" t="s">
        <v>856</v>
      </c>
      <c r="V116" s="152" t="s">
        <v>857</v>
      </c>
      <c r="W116" s="152" t="s">
        <v>858</v>
      </c>
      <c r="X116" s="152" t="s">
        <v>882</v>
      </c>
      <c r="Y116" s="152">
        <v>58.45</v>
      </c>
      <c r="Z116" s="152">
        <v>1</v>
      </c>
      <c r="AA116" s="152" t="s">
        <v>92</v>
      </c>
      <c r="AB116" s="152">
        <v>155.02000000000001</v>
      </c>
      <c r="AC116" s="152">
        <v>2</v>
      </c>
      <c r="AD116" s="152" t="s">
        <v>861</v>
      </c>
      <c r="AE116" s="152">
        <v>155.02000000000001</v>
      </c>
      <c r="AF116" s="152">
        <v>0</v>
      </c>
      <c r="AG116" s="152" t="s">
        <v>861</v>
      </c>
      <c r="AH116" s="152" t="s">
        <v>861</v>
      </c>
      <c r="AI116" s="152" t="s">
        <v>92</v>
      </c>
      <c r="AJ116" s="152" t="s">
        <v>92</v>
      </c>
      <c r="AK116" s="152" t="s">
        <v>912</v>
      </c>
      <c r="AL116" s="159" t="s">
        <v>856</v>
      </c>
      <c r="AP116" s="159" t="s">
        <v>856</v>
      </c>
      <c r="AQ116" s="159" t="s">
        <v>856</v>
      </c>
      <c r="AR116" s="152" t="s">
        <v>873</v>
      </c>
      <c r="AS116" s="159" t="s">
        <v>865</v>
      </c>
      <c r="AT116" s="152" t="str">
        <f t="shared" si="9"/>
        <v>RPNX5-471021</v>
      </c>
      <c r="AU116" s="152" t="str">
        <f t="shared" si="8"/>
        <v>ZOILA CAROLINA E. PINTO CARDENAS DE XICARA</v>
      </c>
      <c r="AV116" s="152">
        <v>2067.81</v>
      </c>
      <c r="AW116" s="152">
        <v>730134</v>
      </c>
      <c r="AX116" s="152">
        <v>30</v>
      </c>
      <c r="AY116" s="152">
        <v>730135</v>
      </c>
      <c r="AZ116" s="152" t="s">
        <v>864</v>
      </c>
      <c r="BA116" s="152" t="str">
        <f t="shared" si="5"/>
        <v>L21-969-MP173</v>
      </c>
      <c r="BB116" s="152">
        <v>0</v>
      </c>
      <c r="BC116" s="157">
        <v>44537</v>
      </c>
      <c r="BD116" s="157">
        <v>44537</v>
      </c>
      <c r="BE116" s="158">
        <v>408004.5</v>
      </c>
    </row>
    <row r="117" spans="1:66">
      <c r="A117" s="152" t="s">
        <v>1626</v>
      </c>
      <c r="B117" s="152" t="s">
        <v>1627</v>
      </c>
      <c r="C117" s="152" t="s">
        <v>1262</v>
      </c>
      <c r="D117" s="152" t="s">
        <v>1628</v>
      </c>
      <c r="E117" s="152" t="s">
        <v>1264</v>
      </c>
      <c r="F117" s="152">
        <v>2818</v>
      </c>
      <c r="G117" s="152">
        <v>318</v>
      </c>
      <c r="H117" s="152" t="s">
        <v>1265</v>
      </c>
      <c r="I117" s="152">
        <v>198516</v>
      </c>
      <c r="J117" s="152">
        <v>117.02</v>
      </c>
      <c r="K117" s="152">
        <v>86072</v>
      </c>
      <c r="L117" s="159" t="s">
        <v>1266</v>
      </c>
      <c r="M117" s="152" t="s">
        <v>92</v>
      </c>
      <c r="N117" s="152" t="s">
        <v>883</v>
      </c>
      <c r="O117" s="159">
        <v>3989</v>
      </c>
      <c r="P117" s="159" t="s">
        <v>1267</v>
      </c>
      <c r="Q117" s="152" t="s">
        <v>883</v>
      </c>
      <c r="R117" s="152" t="s">
        <v>92</v>
      </c>
      <c r="S117" s="159">
        <v>13080</v>
      </c>
      <c r="T117" s="159" t="s">
        <v>1603</v>
      </c>
      <c r="U117" s="159" t="s">
        <v>1604</v>
      </c>
      <c r="V117" s="152" t="s">
        <v>857</v>
      </c>
      <c r="W117" s="152" t="s">
        <v>1268</v>
      </c>
      <c r="X117" s="152" t="s">
        <v>1083</v>
      </c>
      <c r="Y117" s="152">
        <v>51.79</v>
      </c>
      <c r="Z117" s="152">
        <v>1</v>
      </c>
      <c r="AA117" s="152" t="s">
        <v>92</v>
      </c>
      <c r="AB117" s="152">
        <v>85.72</v>
      </c>
      <c r="AC117" s="152">
        <v>2</v>
      </c>
      <c r="AD117" s="152" t="s">
        <v>861</v>
      </c>
      <c r="AE117" s="152">
        <v>85.72</v>
      </c>
      <c r="AF117" s="152">
        <v>0</v>
      </c>
      <c r="AG117" s="152">
        <v>7.05</v>
      </c>
      <c r="AH117" s="152" t="s">
        <v>861</v>
      </c>
      <c r="AI117" s="152" t="s">
        <v>92</v>
      </c>
      <c r="AJ117" s="152" t="s">
        <v>92</v>
      </c>
      <c r="AK117" s="152" t="s">
        <v>862</v>
      </c>
      <c r="AL117" s="159" t="s">
        <v>856</v>
      </c>
      <c r="AP117" s="159" t="s">
        <v>856</v>
      </c>
      <c r="AQ117" s="159" t="s">
        <v>856</v>
      </c>
      <c r="AR117" s="152" t="s">
        <v>863</v>
      </c>
      <c r="AS117" s="159" t="s">
        <v>865</v>
      </c>
      <c r="AT117" s="152" t="str">
        <f t="shared" si="9"/>
        <v>VUNCR-831121</v>
      </c>
      <c r="AU117" s="152" t="str">
        <f t="shared" si="8"/>
        <v>COMPLEJOS COLONIALES, S.A.</v>
      </c>
      <c r="AV117" s="152">
        <v>1204.26</v>
      </c>
      <c r="AW117" s="152">
        <v>753682</v>
      </c>
      <c r="AX117" s="152">
        <v>37.450000000000003</v>
      </c>
      <c r="AY117" s="152">
        <v>753684</v>
      </c>
      <c r="AZ117" s="152" t="s">
        <v>864</v>
      </c>
      <c r="BA117" s="152" t="str">
        <f t="shared" si="5"/>
        <v>L22-041-MP147</v>
      </c>
      <c r="BB117" s="152">
        <v>24</v>
      </c>
      <c r="BC117" s="157">
        <v>44575</v>
      </c>
      <c r="BD117" s="157">
        <v>44940</v>
      </c>
      <c r="BE117" s="158">
        <v>233182.5</v>
      </c>
      <c r="BF117" s="152" t="s">
        <v>1629</v>
      </c>
      <c r="BG117" s="152" t="s">
        <v>1161</v>
      </c>
      <c r="BH117" s="152">
        <v>85.72</v>
      </c>
      <c r="BI117" s="152">
        <v>0</v>
      </c>
      <c r="BJ117" s="152">
        <v>0</v>
      </c>
      <c r="BK117" s="152" t="s">
        <v>132</v>
      </c>
      <c r="BL117" s="152">
        <v>85.72</v>
      </c>
      <c r="BM117" s="152">
        <v>753683</v>
      </c>
      <c r="BN117" s="157" t="s">
        <v>1453</v>
      </c>
    </row>
    <row r="118" spans="1:66">
      <c r="A118" s="152" t="s">
        <v>1630</v>
      </c>
      <c r="B118" s="152" t="s">
        <v>1631</v>
      </c>
      <c r="C118" s="152" t="s">
        <v>1632</v>
      </c>
      <c r="D118" s="152" t="s">
        <v>1633</v>
      </c>
      <c r="E118" s="152" t="s">
        <v>1633</v>
      </c>
      <c r="F118" s="152">
        <v>100445</v>
      </c>
      <c r="G118" s="152">
        <v>185</v>
      </c>
      <c r="H118" s="152">
        <v>398</v>
      </c>
      <c r="I118" s="152">
        <v>201201</v>
      </c>
      <c r="J118" s="152">
        <v>154.36000000000001</v>
      </c>
      <c r="K118" s="152">
        <v>88266</v>
      </c>
      <c r="L118" s="159" t="s">
        <v>856</v>
      </c>
      <c r="M118" s="152" t="s">
        <v>92</v>
      </c>
      <c r="N118" s="152" t="s">
        <v>92</v>
      </c>
      <c r="O118" s="159" t="s">
        <v>856</v>
      </c>
      <c r="P118" s="159" t="s">
        <v>856</v>
      </c>
      <c r="Q118" s="152" t="s">
        <v>92</v>
      </c>
      <c r="R118" s="152" t="s">
        <v>92</v>
      </c>
      <c r="S118" s="159" t="s">
        <v>856</v>
      </c>
      <c r="T118" s="159" t="s">
        <v>856</v>
      </c>
      <c r="U118" s="159" t="s">
        <v>856</v>
      </c>
      <c r="V118" s="152" t="s">
        <v>857</v>
      </c>
      <c r="W118" s="152" t="s">
        <v>858</v>
      </c>
      <c r="X118" s="152" t="s">
        <v>1083</v>
      </c>
      <c r="Y118" s="152">
        <v>70.180000000000007</v>
      </c>
      <c r="Z118" s="152">
        <v>1</v>
      </c>
      <c r="AA118" s="152" t="s">
        <v>92</v>
      </c>
      <c r="AB118" s="152">
        <v>165.26</v>
      </c>
      <c r="AC118" s="152">
        <v>2</v>
      </c>
      <c r="AD118" s="152" t="s">
        <v>861</v>
      </c>
      <c r="AE118" s="152">
        <v>165.26</v>
      </c>
      <c r="AF118" s="152">
        <v>0</v>
      </c>
      <c r="AG118" s="152">
        <v>58.84</v>
      </c>
      <c r="AH118" s="152" t="s">
        <v>861</v>
      </c>
      <c r="AI118" s="152" t="s">
        <v>92</v>
      </c>
      <c r="AJ118" s="152" t="s">
        <v>92</v>
      </c>
      <c r="AK118" s="152" t="s">
        <v>862</v>
      </c>
      <c r="AL118" s="159" t="s">
        <v>856</v>
      </c>
      <c r="AP118" s="159" t="s">
        <v>856</v>
      </c>
      <c r="AQ118" s="159" t="s">
        <v>856</v>
      </c>
      <c r="AR118" s="152" t="s">
        <v>1043</v>
      </c>
      <c r="AS118" s="159" t="s">
        <v>865</v>
      </c>
      <c r="AT118" s="152" t="str">
        <f t="shared" si="9"/>
        <v>RPNH1-290521</v>
      </c>
      <c r="AU118" s="152" t="str">
        <f t="shared" si="8"/>
        <v>ZENY ALEJANDRA SANCHEZ GALVEZ DE HERRERA</v>
      </c>
      <c r="AV118" s="152">
        <v>2390.94</v>
      </c>
      <c r="AW118" s="152">
        <v>699769</v>
      </c>
      <c r="AX118" s="159" t="s">
        <v>856</v>
      </c>
      <c r="AY118" s="159" t="s">
        <v>856</v>
      </c>
      <c r="AZ118" s="152" t="s">
        <v>864</v>
      </c>
      <c r="BA118" s="152" t="str">
        <f t="shared" si="5"/>
        <v>L21-554-MP154</v>
      </c>
      <c r="BB118" s="152">
        <v>0</v>
      </c>
      <c r="BC118" s="157">
        <v>44385</v>
      </c>
      <c r="BD118" s="157">
        <v>44385</v>
      </c>
      <c r="BE118" s="158">
        <v>443415.25</v>
      </c>
      <c r="BF118" s="152" t="s">
        <v>1634</v>
      </c>
      <c r="BG118" s="152" t="s">
        <v>894</v>
      </c>
      <c r="BH118" s="152">
        <v>165.26</v>
      </c>
      <c r="BI118" s="152">
        <v>0</v>
      </c>
      <c r="BJ118" s="152">
        <v>0</v>
      </c>
      <c r="BK118" s="152" t="s">
        <v>132</v>
      </c>
      <c r="BL118" s="152">
        <v>165.26</v>
      </c>
      <c r="BM118" s="152">
        <v>699770</v>
      </c>
      <c r="BN118" s="157" t="s">
        <v>1453</v>
      </c>
    </row>
    <row r="119" spans="1:66">
      <c r="A119" s="152" t="s">
        <v>1635</v>
      </c>
      <c r="B119" s="152" t="s">
        <v>1636</v>
      </c>
      <c r="C119" s="152" t="s">
        <v>1637</v>
      </c>
      <c r="D119" s="152" t="s">
        <v>1638</v>
      </c>
      <c r="E119" s="152" t="s">
        <v>1638</v>
      </c>
      <c r="F119" s="152">
        <v>250039</v>
      </c>
      <c r="G119" s="152">
        <v>139</v>
      </c>
      <c r="H119" s="152">
        <v>554</v>
      </c>
      <c r="I119" s="152">
        <v>197919</v>
      </c>
      <c r="J119" s="152">
        <v>173</v>
      </c>
      <c r="K119" s="152">
        <v>85519</v>
      </c>
      <c r="L119" s="159" t="s">
        <v>856</v>
      </c>
      <c r="M119" s="152" t="s">
        <v>92</v>
      </c>
      <c r="N119" s="152" t="s">
        <v>92</v>
      </c>
      <c r="O119" s="159" t="s">
        <v>856</v>
      </c>
      <c r="P119" s="159" t="s">
        <v>856</v>
      </c>
      <c r="Q119" s="152" t="s">
        <v>92</v>
      </c>
      <c r="R119" s="152" t="s">
        <v>92</v>
      </c>
      <c r="S119" s="159" t="s">
        <v>856</v>
      </c>
      <c r="T119" s="159" t="s">
        <v>856</v>
      </c>
      <c r="U119" s="159" t="s">
        <v>856</v>
      </c>
      <c r="V119" s="152" t="s">
        <v>1550</v>
      </c>
      <c r="W119" s="152" t="s">
        <v>858</v>
      </c>
      <c r="X119" s="152" t="s">
        <v>882</v>
      </c>
      <c r="Y119" s="152">
        <v>0</v>
      </c>
      <c r="Z119" s="152">
        <v>0</v>
      </c>
      <c r="AA119" s="152" t="s">
        <v>92</v>
      </c>
      <c r="AB119" s="152">
        <v>232.15</v>
      </c>
      <c r="AC119" s="152">
        <v>3</v>
      </c>
      <c r="AD119" s="152" t="s">
        <v>861</v>
      </c>
      <c r="AE119" s="152">
        <v>232.15</v>
      </c>
      <c r="AF119" s="152">
        <v>0</v>
      </c>
      <c r="AG119" s="152" t="s">
        <v>861</v>
      </c>
      <c r="AH119" s="152" t="s">
        <v>861</v>
      </c>
      <c r="AI119" s="152" t="s">
        <v>92</v>
      </c>
      <c r="AJ119" s="152" t="s">
        <v>92</v>
      </c>
      <c r="AK119" s="152" t="s">
        <v>912</v>
      </c>
      <c r="AL119" s="159" t="s">
        <v>856</v>
      </c>
      <c r="AP119" s="159" t="s">
        <v>856</v>
      </c>
      <c r="AQ119" s="159" t="s">
        <v>856</v>
      </c>
      <c r="AR119" s="152" t="s">
        <v>1240</v>
      </c>
      <c r="AS119" s="159" t="s">
        <v>865</v>
      </c>
      <c r="AT119" s="152" t="str">
        <f t="shared" si="9"/>
        <v>RPNV1-220521</v>
      </c>
      <c r="AU119" s="152" t="str">
        <f t="shared" si="8"/>
        <v>ELI BARTOLOME VILLATORO PAZ</v>
      </c>
      <c r="AV119" s="152">
        <v>3510.11</v>
      </c>
      <c r="AW119" s="152">
        <v>711192</v>
      </c>
      <c r="AX119" s="159" t="s">
        <v>856</v>
      </c>
      <c r="AY119" s="159" t="s">
        <v>856</v>
      </c>
      <c r="AZ119" s="152" t="s">
        <v>864</v>
      </c>
      <c r="BA119" s="152" t="str">
        <f t="shared" si="5"/>
        <v>L21-683-MP126</v>
      </c>
      <c r="BB119" s="152">
        <v>0</v>
      </c>
      <c r="BC119" s="157">
        <v>44445</v>
      </c>
      <c r="BD119" s="157">
        <v>44445</v>
      </c>
      <c r="BE119" s="158">
        <v>696450</v>
      </c>
      <c r="BF119" s="152" t="s">
        <v>1639</v>
      </c>
      <c r="BG119" s="152" t="s">
        <v>894</v>
      </c>
      <c r="BH119" s="152">
        <v>232.15</v>
      </c>
      <c r="BI119" s="152">
        <v>0</v>
      </c>
      <c r="BJ119" s="152">
        <v>0</v>
      </c>
      <c r="BK119" s="152" t="s">
        <v>132</v>
      </c>
      <c r="BL119" s="152">
        <v>232.15</v>
      </c>
      <c r="BM119" s="152">
        <v>711193</v>
      </c>
      <c r="BN119" s="157" t="s">
        <v>1453</v>
      </c>
    </row>
    <row r="120" spans="1:66">
      <c r="A120" s="152" t="s">
        <v>1640</v>
      </c>
      <c r="B120" s="152" t="s">
        <v>1641</v>
      </c>
      <c r="C120" s="152" t="s">
        <v>1642</v>
      </c>
      <c r="D120" s="152" t="s">
        <v>1643</v>
      </c>
      <c r="E120" s="152" t="s">
        <v>1649</v>
      </c>
      <c r="F120" s="152">
        <v>531</v>
      </c>
      <c r="G120" s="152">
        <v>31</v>
      </c>
      <c r="H120" s="152" t="s">
        <v>1644</v>
      </c>
      <c r="I120" s="152">
        <v>200521</v>
      </c>
      <c r="J120" s="152">
        <v>152.31</v>
      </c>
      <c r="K120" s="152">
        <v>87713</v>
      </c>
      <c r="L120" s="159" t="s">
        <v>1645</v>
      </c>
      <c r="M120" s="152" t="s">
        <v>92</v>
      </c>
      <c r="N120" s="152" t="s">
        <v>883</v>
      </c>
      <c r="O120" s="159">
        <v>6069</v>
      </c>
      <c r="P120" s="159" t="s">
        <v>1645</v>
      </c>
      <c r="Q120" s="152" t="s">
        <v>92</v>
      </c>
      <c r="R120" s="152" t="s">
        <v>883</v>
      </c>
      <c r="S120" s="159">
        <v>6069</v>
      </c>
      <c r="T120" s="159" t="s">
        <v>1646</v>
      </c>
      <c r="U120" s="159" t="s">
        <v>1647</v>
      </c>
      <c r="V120" s="152" t="s">
        <v>857</v>
      </c>
      <c r="W120" s="152" t="s">
        <v>858</v>
      </c>
      <c r="X120" s="152" t="s">
        <v>1083</v>
      </c>
      <c r="Y120" s="152">
        <v>117.95</v>
      </c>
      <c r="Z120" s="152">
        <v>1</v>
      </c>
      <c r="AA120" s="152" t="s">
        <v>92</v>
      </c>
      <c r="AB120" s="152">
        <v>76.459999999999994</v>
      </c>
      <c r="AC120" s="152">
        <v>1</v>
      </c>
      <c r="AD120" s="152" t="s">
        <v>861</v>
      </c>
      <c r="AE120" s="152">
        <v>76.459999999999994</v>
      </c>
      <c r="AF120" s="152">
        <v>0</v>
      </c>
      <c r="AG120" s="152">
        <v>31.98</v>
      </c>
      <c r="AH120" s="152" t="s">
        <v>861</v>
      </c>
      <c r="AI120" s="152" t="s">
        <v>92</v>
      </c>
      <c r="AJ120" s="152" t="s">
        <v>92</v>
      </c>
      <c r="AK120" s="152" t="s">
        <v>862</v>
      </c>
      <c r="AL120" s="159" t="s">
        <v>856</v>
      </c>
      <c r="AP120" s="159" t="s">
        <v>856</v>
      </c>
      <c r="AQ120" s="159" t="s">
        <v>856</v>
      </c>
      <c r="AR120" s="152" t="s">
        <v>873</v>
      </c>
      <c r="AS120" s="159" t="s">
        <v>865</v>
      </c>
      <c r="AT120" s="152" t="str">
        <f t="shared" si="9"/>
        <v>RPNH1-541021</v>
      </c>
      <c r="AU120" s="152" t="str">
        <f t="shared" si="8"/>
        <v>SANTOS NERY DAVID HERNANDEZ BARRENO</v>
      </c>
      <c r="AV120" s="152">
        <v>1108.46</v>
      </c>
      <c r="AW120" s="152">
        <v>728701</v>
      </c>
      <c r="AX120" s="152">
        <v>32.450000000000003</v>
      </c>
      <c r="AY120" s="152">
        <v>728703</v>
      </c>
      <c r="AZ120" s="152" t="s">
        <v>864</v>
      </c>
      <c r="BA120" s="152" t="str">
        <f t="shared" si="5"/>
        <v>L21-826-MP140</v>
      </c>
      <c r="BB120" s="152">
        <v>0</v>
      </c>
      <c r="BC120" s="157">
        <v>44531</v>
      </c>
      <c r="BD120" s="157">
        <v>44531</v>
      </c>
      <c r="BE120" s="158">
        <v>197754.5</v>
      </c>
      <c r="BF120" s="152" t="s">
        <v>1648</v>
      </c>
      <c r="BG120" s="152" t="s">
        <v>894</v>
      </c>
      <c r="BH120" s="152">
        <v>76.459999999999994</v>
      </c>
      <c r="BI120" s="152">
        <v>0</v>
      </c>
      <c r="BJ120" s="152">
        <v>0</v>
      </c>
      <c r="BK120" s="152" t="s">
        <v>132</v>
      </c>
      <c r="BL120" s="152">
        <v>76.459999999999994</v>
      </c>
      <c r="BM120" s="152">
        <v>728702</v>
      </c>
      <c r="BN120" s="157" t="s">
        <v>1453</v>
      </c>
    </row>
    <row r="121" spans="1:66">
      <c r="A121" s="152" t="s">
        <v>1650</v>
      </c>
      <c r="B121" s="152" t="s">
        <v>1651</v>
      </c>
      <c r="C121" s="152" t="s">
        <v>1652</v>
      </c>
      <c r="D121" s="152" t="s">
        <v>1653</v>
      </c>
      <c r="E121" s="152" t="s">
        <v>1654</v>
      </c>
      <c r="F121" s="152">
        <v>7113</v>
      </c>
      <c r="G121" s="152">
        <v>113</v>
      </c>
      <c r="H121" s="152" t="s">
        <v>1655</v>
      </c>
      <c r="I121" s="152">
        <v>193340</v>
      </c>
      <c r="J121" s="152">
        <v>119.82</v>
      </c>
      <c r="K121" s="152">
        <v>82410</v>
      </c>
      <c r="L121" s="159" t="s">
        <v>1656</v>
      </c>
      <c r="M121" s="152" t="s">
        <v>92</v>
      </c>
      <c r="N121" s="152" t="s">
        <v>883</v>
      </c>
      <c r="O121" s="159">
        <v>3246</v>
      </c>
      <c r="P121" s="159" t="s">
        <v>1656</v>
      </c>
      <c r="Q121" s="152" t="s">
        <v>92</v>
      </c>
      <c r="R121" s="152" t="s">
        <v>883</v>
      </c>
      <c r="S121" s="159">
        <v>3246</v>
      </c>
      <c r="T121" s="159" t="s">
        <v>856</v>
      </c>
      <c r="U121" s="159" t="s">
        <v>856</v>
      </c>
      <c r="V121" s="152" t="s">
        <v>857</v>
      </c>
      <c r="W121" s="152" t="s">
        <v>858</v>
      </c>
      <c r="X121" s="152" t="s">
        <v>1083</v>
      </c>
      <c r="Y121" s="152">
        <v>0</v>
      </c>
      <c r="Z121" s="152">
        <v>1</v>
      </c>
      <c r="AA121" s="152" t="s">
        <v>92</v>
      </c>
      <c r="AB121" s="152">
        <v>132.33000000000001</v>
      </c>
      <c r="AC121" s="152">
        <v>2</v>
      </c>
      <c r="AD121" s="152" t="s">
        <v>861</v>
      </c>
      <c r="AE121" s="152">
        <v>132.33000000000001</v>
      </c>
      <c r="AF121" s="152">
        <v>0</v>
      </c>
      <c r="AG121" s="152">
        <v>21.67</v>
      </c>
      <c r="AH121" s="152" t="s">
        <v>861</v>
      </c>
      <c r="AI121" s="152" t="s">
        <v>92</v>
      </c>
      <c r="AJ121" s="152" t="s">
        <v>92</v>
      </c>
      <c r="AK121" s="152" t="s">
        <v>884</v>
      </c>
      <c r="AL121" s="159" t="s">
        <v>856</v>
      </c>
      <c r="AP121" s="159" t="s">
        <v>856</v>
      </c>
      <c r="AQ121" s="159" t="s">
        <v>856</v>
      </c>
      <c r="AR121" s="152" t="s">
        <v>1168</v>
      </c>
      <c r="AS121" s="159" t="s">
        <v>865</v>
      </c>
      <c r="AT121" s="152" t="str">
        <f t="shared" si="9"/>
        <v>VUNA3-020321</v>
      </c>
      <c r="AU121" s="152" t="str">
        <f t="shared" si="8"/>
        <v>AGROPECUARIA LAGA S.A.</v>
      </c>
      <c r="AV121" s="152">
        <v>1667.36</v>
      </c>
      <c r="AW121" s="152">
        <v>726078</v>
      </c>
      <c r="AX121" s="152">
        <v>37.450000000000003</v>
      </c>
      <c r="AY121" s="152">
        <v>726081</v>
      </c>
      <c r="AZ121" s="152" t="s">
        <v>864</v>
      </c>
      <c r="BA121" s="152" t="str">
        <f t="shared" si="5"/>
        <v>L21-734-MP066</v>
      </c>
      <c r="BB121" s="152">
        <v>24</v>
      </c>
      <c r="BC121" s="157">
        <v>44505</v>
      </c>
      <c r="BD121" s="157">
        <v>44870</v>
      </c>
      <c r="BE121" s="158">
        <v>330825</v>
      </c>
      <c r="BF121" s="152" t="s">
        <v>1657</v>
      </c>
      <c r="BG121" s="152" t="s">
        <v>1658</v>
      </c>
      <c r="BH121" s="152">
        <v>132.33000000000001</v>
      </c>
      <c r="BI121" s="152">
        <v>0</v>
      </c>
      <c r="BJ121" s="152">
        <v>0</v>
      </c>
      <c r="BK121" s="152" t="s">
        <v>132</v>
      </c>
      <c r="BL121" s="152">
        <v>132.33000000000001</v>
      </c>
      <c r="BM121" s="152">
        <v>726080</v>
      </c>
      <c r="BN121" s="157" t="s">
        <v>1453</v>
      </c>
    </row>
    <row r="122" spans="1:66">
      <c r="A122" s="152" t="s">
        <v>1659</v>
      </c>
      <c r="B122" s="152" t="s">
        <v>1660</v>
      </c>
      <c r="C122" s="152" t="s">
        <v>1661</v>
      </c>
      <c r="D122" s="152" t="s">
        <v>1662</v>
      </c>
      <c r="E122" s="152" t="s">
        <v>1663</v>
      </c>
      <c r="F122" s="152">
        <v>308744</v>
      </c>
      <c r="G122" s="152">
        <v>235</v>
      </c>
      <c r="H122" s="152">
        <v>747</v>
      </c>
      <c r="I122" s="152">
        <v>160501</v>
      </c>
      <c r="J122" s="152">
        <v>112</v>
      </c>
      <c r="K122" s="152">
        <v>58209</v>
      </c>
      <c r="L122" s="159" t="s">
        <v>1590</v>
      </c>
      <c r="M122" s="152" t="s">
        <v>92</v>
      </c>
      <c r="N122" s="152" t="s">
        <v>883</v>
      </c>
      <c r="O122" s="159">
        <v>2367</v>
      </c>
      <c r="P122" s="159" t="s">
        <v>1590</v>
      </c>
      <c r="Q122" s="152" t="s">
        <v>92</v>
      </c>
      <c r="R122" s="152" t="s">
        <v>883</v>
      </c>
      <c r="S122" s="159">
        <v>2367</v>
      </c>
      <c r="T122" s="159" t="s">
        <v>856</v>
      </c>
      <c r="U122" s="159" t="s">
        <v>856</v>
      </c>
      <c r="V122" s="152" t="s">
        <v>857</v>
      </c>
      <c r="W122" s="152" t="s">
        <v>858</v>
      </c>
      <c r="X122" s="152" t="s">
        <v>882</v>
      </c>
      <c r="Y122" s="152">
        <v>0</v>
      </c>
      <c r="Z122" s="152">
        <v>1</v>
      </c>
      <c r="AA122" s="152" t="s">
        <v>92</v>
      </c>
      <c r="AB122" s="152">
        <v>57.93</v>
      </c>
      <c r="AC122" s="152">
        <v>1</v>
      </c>
      <c r="AD122" s="152" t="s">
        <v>861</v>
      </c>
      <c r="AE122" s="152">
        <v>57.93</v>
      </c>
      <c r="AF122" s="152">
        <v>0</v>
      </c>
      <c r="AG122" s="152">
        <v>14.87</v>
      </c>
      <c r="AH122" s="152" t="s">
        <v>861</v>
      </c>
      <c r="AI122" s="152" t="s">
        <v>92</v>
      </c>
      <c r="AJ122" s="152" t="s">
        <v>92</v>
      </c>
      <c r="AK122" s="152" t="s">
        <v>972</v>
      </c>
      <c r="AL122" s="159" t="s">
        <v>856</v>
      </c>
      <c r="AP122" s="159" t="s">
        <v>856</v>
      </c>
      <c r="AQ122" s="159" t="s">
        <v>856</v>
      </c>
      <c r="AR122" s="152" t="s">
        <v>992</v>
      </c>
      <c r="AS122" s="159" t="s">
        <v>865</v>
      </c>
      <c r="AT122" s="152" t="str">
        <f t="shared" si="9"/>
        <v>VUNP12-020921</v>
      </c>
      <c r="AU122" s="152" t="str">
        <f t="shared" si="8"/>
        <v>CARLOS ENRIQUE PEREZ RACANCOJ</v>
      </c>
      <c r="AV122" s="152">
        <v>583.92999999999995</v>
      </c>
      <c r="AW122" s="152">
        <v>721458</v>
      </c>
      <c r="AX122" s="152">
        <v>35</v>
      </c>
      <c r="AY122" s="152">
        <v>721461</v>
      </c>
      <c r="AZ122" s="152" t="s">
        <v>864</v>
      </c>
      <c r="BA122" s="152" t="str">
        <f t="shared" si="5"/>
        <v>L21-760-MP129</v>
      </c>
      <c r="BB122" s="152">
        <v>15</v>
      </c>
      <c r="BC122" s="157">
        <v>44504</v>
      </c>
      <c r="BD122" s="157">
        <v>44808</v>
      </c>
      <c r="BE122" s="158">
        <v>115860</v>
      </c>
      <c r="BF122" s="152" t="s">
        <v>1664</v>
      </c>
      <c r="BG122" s="152" t="s">
        <v>1161</v>
      </c>
      <c r="BH122" s="152">
        <v>57.93</v>
      </c>
      <c r="BI122" s="152">
        <v>0</v>
      </c>
      <c r="BJ122" s="152">
        <v>0</v>
      </c>
      <c r="BK122" s="152" t="s">
        <v>132</v>
      </c>
      <c r="BL122" s="152">
        <v>57.93</v>
      </c>
      <c r="BM122" s="152">
        <v>721460</v>
      </c>
      <c r="BN122" s="157" t="s">
        <v>1453</v>
      </c>
    </row>
    <row r="123" spans="1:66">
      <c r="A123" s="152" t="s">
        <v>1665</v>
      </c>
      <c r="B123" s="152" t="s">
        <v>1666</v>
      </c>
      <c r="C123" s="152" t="s">
        <v>1661</v>
      </c>
      <c r="D123" s="152" t="s">
        <v>1667</v>
      </c>
      <c r="E123" s="152" t="s">
        <v>1663</v>
      </c>
      <c r="F123" s="152">
        <v>308743</v>
      </c>
      <c r="G123" s="152">
        <v>234</v>
      </c>
      <c r="H123" s="152">
        <v>747</v>
      </c>
      <c r="I123" s="152">
        <v>200582</v>
      </c>
      <c r="J123" s="152">
        <v>112</v>
      </c>
      <c r="K123" s="152">
        <v>87753</v>
      </c>
      <c r="L123" s="159" t="s">
        <v>1590</v>
      </c>
      <c r="M123" s="152" t="s">
        <v>92</v>
      </c>
      <c r="N123" s="152" t="s">
        <v>883</v>
      </c>
      <c r="O123" s="159">
        <v>2367</v>
      </c>
      <c r="P123" s="159" t="s">
        <v>1590</v>
      </c>
      <c r="Q123" s="152" t="s">
        <v>92</v>
      </c>
      <c r="R123" s="152" t="s">
        <v>883</v>
      </c>
      <c r="S123" s="159">
        <v>2367</v>
      </c>
      <c r="T123" s="159" t="s">
        <v>856</v>
      </c>
      <c r="U123" s="159" t="s">
        <v>856</v>
      </c>
      <c r="V123" s="152" t="s">
        <v>857</v>
      </c>
      <c r="W123" s="152" t="s">
        <v>858</v>
      </c>
      <c r="X123" s="152" t="s">
        <v>1083</v>
      </c>
      <c r="Y123" s="152">
        <v>0</v>
      </c>
      <c r="Z123" s="152">
        <v>1</v>
      </c>
      <c r="AA123" s="152" t="s">
        <v>92</v>
      </c>
      <c r="AB123" s="152">
        <v>57.93</v>
      </c>
      <c r="AC123" s="152">
        <v>1</v>
      </c>
      <c r="AD123" s="152" t="s">
        <v>861</v>
      </c>
      <c r="AE123" s="152">
        <v>57.93</v>
      </c>
      <c r="AF123" s="152">
        <v>0</v>
      </c>
      <c r="AG123" s="152">
        <v>14.87</v>
      </c>
      <c r="AH123" s="152" t="s">
        <v>861</v>
      </c>
      <c r="AI123" s="152" t="s">
        <v>92</v>
      </c>
      <c r="AJ123" s="152" t="s">
        <v>92</v>
      </c>
      <c r="AK123" s="152" t="s">
        <v>972</v>
      </c>
      <c r="AL123" s="159" t="s">
        <v>856</v>
      </c>
      <c r="AP123" s="159" t="s">
        <v>856</v>
      </c>
      <c r="AQ123" s="159" t="s">
        <v>856</v>
      </c>
      <c r="AR123" s="152" t="s">
        <v>992</v>
      </c>
      <c r="AS123" s="159" t="s">
        <v>865</v>
      </c>
      <c r="AT123" s="152" t="str">
        <f t="shared" si="9"/>
        <v>VUNP12-030921</v>
      </c>
      <c r="AU123" s="152" t="str">
        <f t="shared" si="8"/>
        <v>CARLOS ENRIQUE PEREZ RACANCOJ</v>
      </c>
      <c r="AV123" s="152">
        <v>583.92999999999995</v>
      </c>
      <c r="AW123" s="152">
        <v>721462</v>
      </c>
      <c r="AX123" s="152">
        <v>35</v>
      </c>
      <c r="AY123" s="152">
        <v>721465</v>
      </c>
      <c r="AZ123" s="152" t="s">
        <v>864</v>
      </c>
      <c r="BA123" s="152" t="str">
        <f t="shared" si="5"/>
        <v>L21-763-MP131</v>
      </c>
      <c r="BB123" s="152">
        <v>15</v>
      </c>
      <c r="BC123" s="157">
        <v>44504</v>
      </c>
      <c r="BD123" s="157">
        <v>44808</v>
      </c>
      <c r="BE123" s="158">
        <v>115860</v>
      </c>
      <c r="BF123" s="152" t="s">
        <v>1668</v>
      </c>
      <c r="BG123" s="152" t="s">
        <v>1161</v>
      </c>
      <c r="BH123" s="152">
        <v>57.93</v>
      </c>
      <c r="BI123" s="152">
        <v>0</v>
      </c>
      <c r="BJ123" s="152">
        <v>0</v>
      </c>
      <c r="BK123" s="152" t="s">
        <v>132</v>
      </c>
      <c r="BL123" s="152">
        <v>57.93</v>
      </c>
      <c r="BM123" s="152">
        <v>721464</v>
      </c>
      <c r="BN123" s="157" t="s">
        <v>1453</v>
      </c>
    </row>
    <row r="124" spans="1:66">
      <c r="A124" s="152" t="s">
        <v>1669</v>
      </c>
      <c r="B124" s="152" t="s">
        <v>1670</v>
      </c>
      <c r="C124" s="152" t="s">
        <v>1661</v>
      </c>
      <c r="D124" s="152" t="s">
        <v>1671</v>
      </c>
      <c r="E124" s="152" t="s">
        <v>1663</v>
      </c>
      <c r="F124" s="152">
        <v>322689</v>
      </c>
      <c r="G124" s="152">
        <v>49</v>
      </c>
      <c r="H124" s="152">
        <v>794</v>
      </c>
      <c r="I124" s="152">
        <v>200600</v>
      </c>
      <c r="J124" s="152">
        <v>112</v>
      </c>
      <c r="K124" s="152">
        <v>87773</v>
      </c>
      <c r="L124" s="159" t="s">
        <v>1590</v>
      </c>
      <c r="M124" s="152" t="s">
        <v>92</v>
      </c>
      <c r="N124" s="152" t="s">
        <v>883</v>
      </c>
      <c r="O124" s="159">
        <v>2367</v>
      </c>
      <c r="P124" s="159" t="s">
        <v>1590</v>
      </c>
      <c r="Q124" s="152" t="s">
        <v>92</v>
      </c>
      <c r="R124" s="152" t="s">
        <v>883</v>
      </c>
      <c r="S124" s="159">
        <v>2367</v>
      </c>
      <c r="T124" s="159" t="s">
        <v>856</v>
      </c>
      <c r="U124" s="159" t="s">
        <v>856</v>
      </c>
      <c r="V124" s="152" t="s">
        <v>857</v>
      </c>
      <c r="W124" s="152" t="s">
        <v>858</v>
      </c>
      <c r="X124" s="152" t="s">
        <v>1083</v>
      </c>
      <c r="Y124" s="152">
        <v>30.32</v>
      </c>
      <c r="Z124" s="152">
        <v>1</v>
      </c>
      <c r="AA124" s="152" t="s">
        <v>92</v>
      </c>
      <c r="AB124" s="152">
        <v>57.93</v>
      </c>
      <c r="AC124" s="152">
        <v>1</v>
      </c>
      <c r="AD124" s="152" t="s">
        <v>861</v>
      </c>
      <c r="AE124" s="152">
        <v>57.93</v>
      </c>
      <c r="AF124" s="152">
        <v>0</v>
      </c>
      <c r="AG124" s="152">
        <v>14.28</v>
      </c>
      <c r="AH124" s="152" t="s">
        <v>861</v>
      </c>
      <c r="AI124" s="152" t="s">
        <v>92</v>
      </c>
      <c r="AJ124" s="152" t="s">
        <v>92</v>
      </c>
      <c r="AK124" s="152" t="s">
        <v>972</v>
      </c>
      <c r="AL124" s="159" t="s">
        <v>856</v>
      </c>
      <c r="AP124" s="159" t="s">
        <v>856</v>
      </c>
      <c r="AQ124" s="159" t="s">
        <v>856</v>
      </c>
      <c r="AR124" s="152" t="s">
        <v>992</v>
      </c>
      <c r="AS124" s="159" t="s">
        <v>865</v>
      </c>
      <c r="AT124" s="152" t="str">
        <f t="shared" si="9"/>
        <v>VUNP12-040921</v>
      </c>
      <c r="AU124" s="152" t="str">
        <f t="shared" si="8"/>
        <v>CARLOS ENRIQUE PEREZ RACANCOJ</v>
      </c>
      <c r="AV124" s="152">
        <v>643.36</v>
      </c>
      <c r="AW124" s="152">
        <v>721454</v>
      </c>
      <c r="AX124" s="152">
        <v>35</v>
      </c>
      <c r="AY124" s="152">
        <v>721457</v>
      </c>
      <c r="AZ124" s="152" t="s">
        <v>864</v>
      </c>
      <c r="BA124" s="152" t="str">
        <f t="shared" si="5"/>
        <v>L21-762-MP130</v>
      </c>
      <c r="BB124" s="152">
        <v>15</v>
      </c>
      <c r="BC124" s="157">
        <v>44504</v>
      </c>
      <c r="BD124" s="157">
        <v>44808</v>
      </c>
      <c r="BE124" s="158">
        <v>126472</v>
      </c>
      <c r="BF124" s="152" t="s">
        <v>1672</v>
      </c>
      <c r="BG124" s="152" t="s">
        <v>1161</v>
      </c>
      <c r="BH124" s="152">
        <v>57.93</v>
      </c>
      <c r="BI124" s="152">
        <v>0</v>
      </c>
      <c r="BJ124" s="152">
        <v>0</v>
      </c>
      <c r="BK124" s="152" t="s">
        <v>132</v>
      </c>
      <c r="BL124" s="152">
        <v>57.93</v>
      </c>
      <c r="BM124" s="152">
        <v>721456</v>
      </c>
      <c r="BN124" s="157" t="s">
        <v>1453</v>
      </c>
    </row>
    <row r="125" spans="1:66">
      <c r="A125" s="152" t="s">
        <v>1673</v>
      </c>
      <c r="B125" s="152" t="s">
        <v>1674</v>
      </c>
      <c r="C125" s="152" t="s">
        <v>1675</v>
      </c>
      <c r="D125" s="152" t="s">
        <v>1676</v>
      </c>
      <c r="E125" s="152" t="s">
        <v>1524</v>
      </c>
      <c r="F125" s="152">
        <v>313833</v>
      </c>
      <c r="G125" s="152">
        <v>203</v>
      </c>
      <c r="H125" s="152">
        <v>763</v>
      </c>
      <c r="I125" s="152">
        <v>200602</v>
      </c>
      <c r="J125" s="152">
        <v>115.08</v>
      </c>
      <c r="K125" s="152">
        <v>87775</v>
      </c>
      <c r="L125" s="159" t="s">
        <v>1526</v>
      </c>
      <c r="M125" s="152" t="s">
        <v>92</v>
      </c>
      <c r="N125" s="152" t="s">
        <v>883</v>
      </c>
      <c r="O125" s="159">
        <v>5418</v>
      </c>
      <c r="P125" s="159" t="s">
        <v>1526</v>
      </c>
      <c r="Q125" s="152" t="s">
        <v>92</v>
      </c>
      <c r="R125" s="152" t="s">
        <v>883</v>
      </c>
      <c r="S125" s="159">
        <v>5418</v>
      </c>
      <c r="T125" s="159" t="s">
        <v>1677</v>
      </c>
      <c r="U125" s="159" t="s">
        <v>1678</v>
      </c>
      <c r="V125" s="152" t="s">
        <v>911</v>
      </c>
      <c r="W125" s="152" t="s">
        <v>858</v>
      </c>
      <c r="X125" s="152" t="s">
        <v>1083</v>
      </c>
      <c r="Y125" s="152">
        <v>19.46</v>
      </c>
      <c r="Z125" s="152">
        <v>2</v>
      </c>
      <c r="AA125" s="152" t="s">
        <v>92</v>
      </c>
      <c r="AB125" s="152">
        <v>215.56</v>
      </c>
      <c r="AC125" s="152">
        <v>2</v>
      </c>
      <c r="AD125" s="152" t="s">
        <v>861</v>
      </c>
      <c r="AE125" s="152">
        <v>215.56</v>
      </c>
      <c r="AF125" s="152">
        <v>0</v>
      </c>
      <c r="AG125" s="152" t="s">
        <v>861</v>
      </c>
      <c r="AH125" s="152" t="s">
        <v>861</v>
      </c>
      <c r="AI125" s="152" t="s">
        <v>92</v>
      </c>
      <c r="AJ125" s="152" t="s">
        <v>92</v>
      </c>
      <c r="AK125" s="152" t="s">
        <v>884</v>
      </c>
      <c r="AL125" s="159" t="s">
        <v>856</v>
      </c>
      <c r="AP125" s="159" t="s">
        <v>856</v>
      </c>
      <c r="AQ125" s="159" t="s">
        <v>856</v>
      </c>
      <c r="AR125" s="152" t="s">
        <v>873</v>
      </c>
      <c r="AS125" s="159" t="s">
        <v>865</v>
      </c>
      <c r="AT125" s="152" t="str">
        <f t="shared" si="9"/>
        <v>VUNP6-021021</v>
      </c>
      <c r="AU125" s="152" t="str">
        <f t="shared" si="8"/>
        <v>CIDENIA LOIRTA PEREZ Y PEREZ Y CDÑA</v>
      </c>
      <c r="AV125" s="152">
        <v>2754.2</v>
      </c>
      <c r="AW125" s="152">
        <v>729416</v>
      </c>
      <c r="AX125" s="152">
        <v>35</v>
      </c>
      <c r="AY125" s="152">
        <v>729418</v>
      </c>
      <c r="AZ125" s="152" t="s">
        <v>864</v>
      </c>
      <c r="BA125" s="152" t="str">
        <f t="shared" si="5"/>
        <v>L21-813-MP138</v>
      </c>
      <c r="BB125" s="152">
        <v>24</v>
      </c>
      <c r="BC125" s="157">
        <v>44532</v>
      </c>
      <c r="BD125" s="157">
        <v>44897</v>
      </c>
      <c r="BE125" s="158">
        <v>545711</v>
      </c>
      <c r="BF125" s="152" t="s">
        <v>1679</v>
      </c>
      <c r="BG125" s="152" t="s">
        <v>1680</v>
      </c>
      <c r="BH125" s="152">
        <v>215.56</v>
      </c>
      <c r="BI125" s="152">
        <v>0</v>
      </c>
      <c r="BJ125" s="152">
        <v>0</v>
      </c>
      <c r="BK125" s="152" t="s">
        <v>132</v>
      </c>
      <c r="BL125" s="152">
        <v>215.56</v>
      </c>
      <c r="BM125" s="152">
        <v>729417</v>
      </c>
      <c r="BN125" s="157" t="s">
        <v>1453</v>
      </c>
    </row>
    <row r="126" spans="1:66">
      <c r="A126" s="152" t="s">
        <v>1681</v>
      </c>
      <c r="B126" s="152" t="s">
        <v>1682</v>
      </c>
      <c r="C126" s="152" t="s">
        <v>1683</v>
      </c>
      <c r="D126" s="152" t="s">
        <v>1684</v>
      </c>
      <c r="E126" s="152" t="s">
        <v>1685</v>
      </c>
      <c r="F126" s="152">
        <v>5980</v>
      </c>
      <c r="G126" s="152">
        <v>480</v>
      </c>
      <c r="H126" s="152" t="s">
        <v>1686</v>
      </c>
      <c r="I126" s="152">
        <v>201118</v>
      </c>
      <c r="J126" s="152">
        <v>113.71</v>
      </c>
      <c r="K126" s="152">
        <v>88193</v>
      </c>
      <c r="L126" s="159" t="s">
        <v>1058</v>
      </c>
      <c r="M126" s="152" t="s">
        <v>92</v>
      </c>
      <c r="N126" s="152" t="s">
        <v>883</v>
      </c>
      <c r="O126" s="159">
        <v>4267</v>
      </c>
      <c r="P126" s="159" t="s">
        <v>1058</v>
      </c>
      <c r="Q126" s="152" t="s">
        <v>92</v>
      </c>
      <c r="R126" s="152" t="s">
        <v>883</v>
      </c>
      <c r="S126" s="159">
        <v>4267</v>
      </c>
      <c r="T126" s="159" t="s">
        <v>856</v>
      </c>
      <c r="U126" s="159" t="s">
        <v>856</v>
      </c>
      <c r="V126" s="152" t="s">
        <v>857</v>
      </c>
      <c r="W126" s="152" t="s">
        <v>858</v>
      </c>
      <c r="X126" s="152" t="s">
        <v>1083</v>
      </c>
      <c r="Y126" s="152">
        <v>75.08</v>
      </c>
      <c r="Z126" s="152">
        <v>1</v>
      </c>
      <c r="AA126" s="152" t="s">
        <v>883</v>
      </c>
      <c r="AB126" s="152">
        <v>136.86000000000001</v>
      </c>
      <c r="AC126" s="152">
        <v>2</v>
      </c>
      <c r="AD126" s="152" t="s">
        <v>861</v>
      </c>
      <c r="AE126" s="152">
        <v>136.86000000000001</v>
      </c>
      <c r="AF126" s="152">
        <v>0</v>
      </c>
      <c r="AG126" s="152">
        <v>23.4</v>
      </c>
      <c r="AH126" s="152" t="s">
        <v>861</v>
      </c>
      <c r="AI126" s="152" t="s">
        <v>92</v>
      </c>
      <c r="AJ126" s="152" t="s">
        <v>92</v>
      </c>
      <c r="AK126" s="152" t="s">
        <v>862</v>
      </c>
      <c r="AL126" s="159" t="s">
        <v>856</v>
      </c>
      <c r="AP126" s="159" t="s">
        <v>856</v>
      </c>
      <c r="AQ126" s="159" t="s">
        <v>856</v>
      </c>
      <c r="AR126" s="152" t="s">
        <v>885</v>
      </c>
      <c r="AS126" s="159" t="s">
        <v>865</v>
      </c>
      <c r="AT126" s="152" t="str">
        <f t="shared" si="9"/>
        <v>VUNR10-031021</v>
      </c>
      <c r="AU126" s="152" t="str">
        <f t="shared" si="8"/>
        <v>OSMAR REYES MALDONADO</v>
      </c>
      <c r="AV126" s="152">
        <v>1956.0070000000001</v>
      </c>
      <c r="AW126" s="152">
        <v>729039</v>
      </c>
      <c r="AX126" s="152">
        <v>35</v>
      </c>
      <c r="AY126" s="152">
        <v>729041</v>
      </c>
      <c r="AZ126" s="152" t="s">
        <v>864</v>
      </c>
      <c r="BA126" s="152" t="str">
        <f t="shared" si="5"/>
        <v>L21-776-MP144</v>
      </c>
      <c r="BB126" s="152">
        <v>24</v>
      </c>
      <c r="BC126" s="157">
        <v>44525</v>
      </c>
      <c r="BD126" s="157">
        <v>44886</v>
      </c>
      <c r="BE126" s="158">
        <v>371244</v>
      </c>
      <c r="BF126" s="152" t="s">
        <v>1687</v>
      </c>
      <c r="BG126" s="152" t="s">
        <v>1688</v>
      </c>
      <c r="BH126" s="152">
        <v>136.86000000000001</v>
      </c>
      <c r="BI126" s="152">
        <v>0</v>
      </c>
      <c r="BJ126" s="152">
        <v>0</v>
      </c>
      <c r="BK126" s="152" t="s">
        <v>132</v>
      </c>
      <c r="BL126" s="152">
        <v>136.86000000000001</v>
      </c>
      <c r="BM126" s="152">
        <v>729040</v>
      </c>
      <c r="BN126" s="157" t="s">
        <v>1453</v>
      </c>
    </row>
    <row r="127" spans="1:66">
      <c r="A127" s="152" t="s">
        <v>1689</v>
      </c>
      <c r="B127" s="152" t="s">
        <v>1690</v>
      </c>
      <c r="C127" s="152" t="s">
        <v>1691</v>
      </c>
      <c r="D127" s="152" t="s">
        <v>1692</v>
      </c>
      <c r="E127" s="152" t="s">
        <v>1693</v>
      </c>
      <c r="F127" s="152">
        <v>4330</v>
      </c>
      <c r="G127" s="152">
        <v>330</v>
      </c>
      <c r="H127" s="152" t="s">
        <v>1694</v>
      </c>
      <c r="I127" s="152">
        <v>194488</v>
      </c>
      <c r="J127" s="152">
        <v>594.95000000000005</v>
      </c>
      <c r="K127" s="152">
        <v>83171</v>
      </c>
      <c r="L127" s="159" t="s">
        <v>909</v>
      </c>
      <c r="M127" s="152" t="s">
        <v>883</v>
      </c>
      <c r="N127" s="152" t="s">
        <v>92</v>
      </c>
      <c r="O127" s="159">
        <v>8676</v>
      </c>
      <c r="P127" s="159" t="s">
        <v>909</v>
      </c>
      <c r="Q127" s="152" t="s">
        <v>883</v>
      </c>
      <c r="R127" s="152" t="s">
        <v>92</v>
      </c>
      <c r="S127" s="159">
        <v>8676</v>
      </c>
      <c r="T127" s="159" t="s">
        <v>922</v>
      </c>
      <c r="U127" s="159" t="s">
        <v>923</v>
      </c>
      <c r="V127" s="152" t="s">
        <v>1695</v>
      </c>
      <c r="W127" s="152" t="s">
        <v>858</v>
      </c>
      <c r="X127" s="152" t="s">
        <v>1083</v>
      </c>
      <c r="Y127" s="152">
        <v>173.68</v>
      </c>
      <c r="Z127" s="152">
        <v>4</v>
      </c>
      <c r="AA127" s="152" t="s">
        <v>92</v>
      </c>
      <c r="AB127" s="152">
        <v>157.80000000000001</v>
      </c>
      <c r="AC127" s="152">
        <v>1</v>
      </c>
      <c r="AD127" s="152" t="s">
        <v>861</v>
      </c>
      <c r="AE127" s="152">
        <v>0</v>
      </c>
      <c r="AF127" s="152">
        <v>157.80000000000001</v>
      </c>
      <c r="AG127" s="152">
        <v>382.14</v>
      </c>
      <c r="AH127" s="152">
        <v>24.02</v>
      </c>
      <c r="AI127" s="152" t="s">
        <v>883</v>
      </c>
      <c r="AJ127" s="152" t="s">
        <v>92</v>
      </c>
      <c r="AK127" s="152" t="s">
        <v>912</v>
      </c>
      <c r="AL127" s="159" t="s">
        <v>856</v>
      </c>
      <c r="AP127" s="159" t="s">
        <v>856</v>
      </c>
      <c r="AQ127" s="159" t="s">
        <v>856</v>
      </c>
      <c r="AR127" s="152" t="s">
        <v>1696</v>
      </c>
      <c r="AS127" s="159">
        <v>14.66</v>
      </c>
      <c r="AT127" s="152" t="str">
        <f t="shared" si="9"/>
        <v>VUNM4-011020</v>
      </c>
      <c r="AU127" s="152" t="str">
        <f t="shared" si="8"/>
        <v>OSCAR ANIBAL MEJIA RACANCOJ Y CONDUEÑA</v>
      </c>
      <c r="AV127" s="152">
        <v>3385.71</v>
      </c>
      <c r="AW127" s="152">
        <v>731137</v>
      </c>
      <c r="AX127" s="152">
        <v>193.6</v>
      </c>
      <c r="AY127" s="152">
        <v>731140</v>
      </c>
      <c r="AZ127" s="152" t="s">
        <v>864</v>
      </c>
      <c r="BA127" s="152" t="str">
        <f t="shared" si="5"/>
        <v>L21-823-MP155</v>
      </c>
      <c r="BB127" s="152">
        <v>24</v>
      </c>
      <c r="BC127" s="157">
        <v>44538</v>
      </c>
      <c r="BD127" s="157">
        <v>44903</v>
      </c>
      <c r="BE127" s="158">
        <v>427585</v>
      </c>
      <c r="BF127" s="152" t="s">
        <v>1697</v>
      </c>
      <c r="BG127" s="152" t="s">
        <v>1698</v>
      </c>
      <c r="BH127" s="152">
        <v>0</v>
      </c>
      <c r="BI127" s="152">
        <v>157.80000000000001</v>
      </c>
      <c r="BJ127" s="152">
        <v>0</v>
      </c>
      <c r="BK127" s="152" t="s">
        <v>1296</v>
      </c>
      <c r="BL127" s="152">
        <v>197.25</v>
      </c>
      <c r="BM127" s="152">
        <v>731139</v>
      </c>
      <c r="BN127" s="157">
        <v>45268</v>
      </c>
    </row>
    <row r="128" spans="1:66">
      <c r="A128" s="152" t="s">
        <v>1699</v>
      </c>
      <c r="B128" s="152" t="s">
        <v>1700</v>
      </c>
      <c r="C128" s="152" t="s">
        <v>1701</v>
      </c>
      <c r="D128" s="152" t="s">
        <v>1702</v>
      </c>
      <c r="E128" s="152" t="s">
        <v>1703</v>
      </c>
      <c r="F128" s="152">
        <v>5814</v>
      </c>
      <c r="G128" s="152">
        <v>314</v>
      </c>
      <c r="H128" s="152" t="s">
        <v>1704</v>
      </c>
      <c r="I128" s="152">
        <v>174129</v>
      </c>
      <c r="J128" s="152">
        <v>128</v>
      </c>
      <c r="K128" s="159" t="s">
        <v>865</v>
      </c>
      <c r="L128" s="159" t="s">
        <v>1412</v>
      </c>
      <c r="M128" s="152" t="s">
        <v>92</v>
      </c>
      <c r="N128" s="152" t="s">
        <v>883</v>
      </c>
      <c r="O128" s="159">
        <v>4534</v>
      </c>
      <c r="P128" s="159" t="s">
        <v>1412</v>
      </c>
      <c r="Q128" s="152" t="s">
        <v>92</v>
      </c>
      <c r="R128" s="152" t="s">
        <v>883</v>
      </c>
      <c r="S128" s="159">
        <v>4534</v>
      </c>
      <c r="T128" s="159" t="s">
        <v>856</v>
      </c>
      <c r="U128" s="159" t="s">
        <v>856</v>
      </c>
      <c r="V128" s="152" t="s">
        <v>857</v>
      </c>
      <c r="W128" s="152" t="s">
        <v>858</v>
      </c>
      <c r="X128" s="152" t="s">
        <v>1083</v>
      </c>
      <c r="Y128" s="152">
        <v>95.63</v>
      </c>
      <c r="Z128" s="152">
        <v>1</v>
      </c>
      <c r="AA128" s="152" t="s">
        <v>92</v>
      </c>
      <c r="AB128" s="152">
        <v>104.9</v>
      </c>
      <c r="AC128" s="152">
        <v>2</v>
      </c>
      <c r="AD128" s="152" t="s">
        <v>861</v>
      </c>
      <c r="AE128" s="152">
        <v>104.9</v>
      </c>
      <c r="AF128" s="152">
        <v>0</v>
      </c>
      <c r="AG128" s="152">
        <v>24.08</v>
      </c>
      <c r="AH128" s="152" t="s">
        <v>861</v>
      </c>
      <c r="AI128" s="152" t="s">
        <v>92</v>
      </c>
      <c r="AJ128" s="152" t="s">
        <v>92</v>
      </c>
      <c r="AK128" s="152" t="s">
        <v>862</v>
      </c>
      <c r="AL128" s="159" t="s">
        <v>856</v>
      </c>
      <c r="AP128" s="159" t="s">
        <v>856</v>
      </c>
      <c r="AQ128" s="159" t="s">
        <v>856</v>
      </c>
      <c r="AR128" s="152" t="s">
        <v>992</v>
      </c>
      <c r="AS128" s="159" t="s">
        <v>865</v>
      </c>
      <c r="AT128" s="152" t="str">
        <f t="shared" si="9"/>
        <v>VUNM5-081021</v>
      </c>
      <c r="AU128" s="152" t="str">
        <f t="shared" si="8"/>
        <v>MIRIAM VERONICA MALDONADO REYES</v>
      </c>
      <c r="AV128" s="152">
        <v>1703.81</v>
      </c>
      <c r="AW128" s="152">
        <v>726911</v>
      </c>
      <c r="AX128" s="152">
        <v>40</v>
      </c>
      <c r="AY128" s="152">
        <v>726914</v>
      </c>
      <c r="AZ128" s="152" t="s">
        <v>864</v>
      </c>
      <c r="BA128" s="152" t="str">
        <f t="shared" si="5"/>
        <v>L21-771-MP143</v>
      </c>
      <c r="BB128" s="152">
        <v>24</v>
      </c>
      <c r="BC128" s="157">
        <v>44523</v>
      </c>
      <c r="BD128" s="157">
        <v>44888</v>
      </c>
      <c r="BE128" s="158">
        <v>302208.5</v>
      </c>
      <c r="BF128" s="152" t="s">
        <v>1705</v>
      </c>
      <c r="BG128" s="152" t="s">
        <v>1161</v>
      </c>
      <c r="BH128" s="152">
        <v>104.9</v>
      </c>
      <c r="BI128" s="152">
        <v>0</v>
      </c>
      <c r="BJ128" s="152">
        <v>0</v>
      </c>
      <c r="BK128" s="152" t="s">
        <v>132</v>
      </c>
      <c r="BL128" s="152">
        <v>104.9</v>
      </c>
      <c r="BM128" s="152">
        <v>726913</v>
      </c>
      <c r="BN128" s="157" t="s">
        <v>1453</v>
      </c>
    </row>
    <row r="129" spans="1:66">
      <c r="A129" s="152" t="s">
        <v>1706</v>
      </c>
      <c r="B129" s="152" t="s">
        <v>1707</v>
      </c>
      <c r="C129" s="152" t="s">
        <v>1708</v>
      </c>
      <c r="D129" s="152" t="s">
        <v>1709</v>
      </c>
      <c r="E129" s="152" t="s">
        <v>1709</v>
      </c>
      <c r="F129" s="152">
        <v>4238</v>
      </c>
      <c r="G129" s="152">
        <v>238</v>
      </c>
      <c r="H129" s="152" t="s">
        <v>1710</v>
      </c>
      <c r="I129" s="152">
        <v>153240</v>
      </c>
      <c r="J129" s="152">
        <v>128</v>
      </c>
      <c r="K129" s="152">
        <v>56087</v>
      </c>
      <c r="L129" s="159" t="s">
        <v>988</v>
      </c>
      <c r="M129" s="152" t="s">
        <v>92</v>
      </c>
      <c r="N129" s="152" t="s">
        <v>883</v>
      </c>
      <c r="O129" s="159">
        <v>6395</v>
      </c>
      <c r="P129" s="159" t="s">
        <v>1711</v>
      </c>
      <c r="Q129" s="152" t="s">
        <v>883</v>
      </c>
      <c r="R129" s="152" t="s">
        <v>92</v>
      </c>
      <c r="S129" s="159">
        <v>10615</v>
      </c>
      <c r="T129" s="159" t="s">
        <v>856</v>
      </c>
      <c r="U129" s="159" t="s">
        <v>856</v>
      </c>
      <c r="V129" s="152" t="s">
        <v>857</v>
      </c>
      <c r="W129" s="152" t="s">
        <v>858</v>
      </c>
      <c r="X129" s="152" t="s">
        <v>1083</v>
      </c>
      <c r="Y129" s="152">
        <v>55.65</v>
      </c>
      <c r="Z129" s="152">
        <v>1</v>
      </c>
      <c r="AA129" s="152" t="s">
        <v>92</v>
      </c>
      <c r="AB129" s="152">
        <v>174.74</v>
      </c>
      <c r="AC129" s="152">
        <v>2</v>
      </c>
      <c r="AD129" s="152" t="s">
        <v>861</v>
      </c>
      <c r="AE129" s="152">
        <v>174.74</v>
      </c>
      <c r="AF129" s="152">
        <v>0</v>
      </c>
      <c r="AG129" s="152">
        <v>38.25</v>
      </c>
      <c r="AH129" s="152" t="s">
        <v>861</v>
      </c>
      <c r="AI129" s="152" t="s">
        <v>92</v>
      </c>
      <c r="AJ129" s="152" t="s">
        <v>92</v>
      </c>
      <c r="AK129" s="152" t="s">
        <v>862</v>
      </c>
      <c r="AL129" s="159" t="s">
        <v>856</v>
      </c>
      <c r="AP129" s="159" t="s">
        <v>856</v>
      </c>
      <c r="AQ129" s="159" t="s">
        <v>856</v>
      </c>
      <c r="AR129" s="152" t="s">
        <v>1712</v>
      </c>
      <c r="AS129" s="159" t="s">
        <v>865</v>
      </c>
      <c r="AT129" s="152" t="str">
        <f t="shared" si="9"/>
        <v>VUNM11-010921</v>
      </c>
      <c r="AU129" s="152" t="str">
        <f t="shared" si="8"/>
        <v>SANTOS AGUSTINA MEJIA LOPEZ</v>
      </c>
      <c r="AV129" s="152">
        <v>2310.8000000000002</v>
      </c>
      <c r="AW129" s="152">
        <v>720699</v>
      </c>
      <c r="AX129" s="152">
        <v>120</v>
      </c>
      <c r="AY129" s="152">
        <v>720702</v>
      </c>
      <c r="AZ129" s="152" t="s">
        <v>864</v>
      </c>
      <c r="BA129" s="152" t="str">
        <f t="shared" si="5"/>
        <v>L21-721-MP135</v>
      </c>
      <c r="BB129" s="152">
        <v>24</v>
      </c>
      <c r="BC129" s="157">
        <v>44496</v>
      </c>
      <c r="BD129" s="157">
        <v>44861</v>
      </c>
      <c r="BE129" s="158">
        <v>456327.5</v>
      </c>
      <c r="BF129" s="152" t="s">
        <v>1713</v>
      </c>
      <c r="BG129" s="152" t="s">
        <v>1161</v>
      </c>
      <c r="BH129" s="152">
        <v>174.74</v>
      </c>
      <c r="BI129" s="152">
        <v>0</v>
      </c>
      <c r="BJ129" s="152">
        <v>0</v>
      </c>
      <c r="BK129" s="152" t="s">
        <v>132</v>
      </c>
      <c r="BL129" s="152">
        <v>174.74</v>
      </c>
      <c r="BM129" s="152">
        <v>720701</v>
      </c>
      <c r="BN129" s="157" t="s">
        <v>1453</v>
      </c>
    </row>
    <row r="130" spans="1:66">
      <c r="A130" s="152" t="s">
        <v>1714</v>
      </c>
      <c r="B130" s="152" t="s">
        <v>1715</v>
      </c>
      <c r="C130" s="152" t="s">
        <v>1716</v>
      </c>
      <c r="D130" s="152" t="s">
        <v>1717</v>
      </c>
      <c r="E130" s="152" t="s">
        <v>1663</v>
      </c>
      <c r="F130" s="152">
        <v>257513</v>
      </c>
      <c r="G130" s="152">
        <v>203</v>
      </c>
      <c r="H130" s="152">
        <v>579</v>
      </c>
      <c r="I130" s="152">
        <v>200296</v>
      </c>
      <c r="J130" s="152">
        <v>84.83</v>
      </c>
      <c r="K130" s="152">
        <v>87510</v>
      </c>
      <c r="L130" s="159" t="s">
        <v>1590</v>
      </c>
      <c r="M130" s="152" t="s">
        <v>92</v>
      </c>
      <c r="N130" s="152" t="s">
        <v>883</v>
      </c>
      <c r="O130" s="159">
        <v>2367</v>
      </c>
      <c r="P130" s="159" t="s">
        <v>1590</v>
      </c>
      <c r="Q130" s="152" t="s">
        <v>92</v>
      </c>
      <c r="R130" s="152" t="s">
        <v>883</v>
      </c>
      <c r="S130" s="159">
        <v>2367</v>
      </c>
      <c r="T130" s="159" t="s">
        <v>856</v>
      </c>
      <c r="U130" s="159" t="s">
        <v>856</v>
      </c>
      <c r="V130" s="152" t="s">
        <v>857</v>
      </c>
      <c r="W130" s="152" t="s">
        <v>858</v>
      </c>
      <c r="X130" s="152" t="s">
        <v>882</v>
      </c>
      <c r="Y130" s="152">
        <v>70.88</v>
      </c>
      <c r="Z130" s="152">
        <v>1</v>
      </c>
      <c r="AA130" s="152" t="s">
        <v>92</v>
      </c>
      <c r="AB130" s="152">
        <v>49.1</v>
      </c>
      <c r="AC130" s="152">
        <v>1</v>
      </c>
      <c r="AD130" s="152" t="s">
        <v>861</v>
      </c>
      <c r="AE130" s="152">
        <v>49.1</v>
      </c>
      <c r="AF130" s="152">
        <v>0</v>
      </c>
      <c r="AG130" s="152" t="s">
        <v>861</v>
      </c>
      <c r="AH130" s="152" t="s">
        <v>861</v>
      </c>
      <c r="AI130" s="152" t="s">
        <v>92</v>
      </c>
      <c r="AJ130" s="152" t="s">
        <v>92</v>
      </c>
      <c r="AK130" s="152" t="s">
        <v>862</v>
      </c>
      <c r="AL130" s="159" t="s">
        <v>856</v>
      </c>
      <c r="AP130" s="159" t="s">
        <v>856</v>
      </c>
      <c r="AQ130" s="159" t="s">
        <v>856</v>
      </c>
      <c r="AR130" s="152" t="s">
        <v>1043</v>
      </c>
      <c r="AS130" s="159" t="s">
        <v>865</v>
      </c>
      <c r="AT130" s="152" t="str">
        <f t="shared" si="9"/>
        <v>VUNC7-040921</v>
      </c>
      <c r="AU130" s="152" t="str">
        <f t="shared" si="8"/>
        <v>CARMEN PATRICIA PEREZ RODRIGUEZ DE CALDERON</v>
      </c>
      <c r="AV130" s="152">
        <v>756.73</v>
      </c>
      <c r="AW130" s="152">
        <v>721470</v>
      </c>
      <c r="AX130" s="152">
        <v>23.75</v>
      </c>
      <c r="AY130" s="152">
        <v>721473</v>
      </c>
      <c r="AZ130" s="152" t="s">
        <v>864</v>
      </c>
      <c r="BA130" s="152" t="str">
        <f t="shared" si="5"/>
        <v>L21-759-MP132</v>
      </c>
      <c r="BB130" s="152">
        <v>15</v>
      </c>
      <c r="BC130" s="157">
        <v>44504</v>
      </c>
      <c r="BD130" s="157">
        <v>44808</v>
      </c>
      <c r="BE130" s="158">
        <v>127104</v>
      </c>
      <c r="BF130" s="152" t="s">
        <v>1718</v>
      </c>
      <c r="BG130" s="152" t="s">
        <v>1719</v>
      </c>
      <c r="BH130" s="152">
        <v>49.1</v>
      </c>
      <c r="BI130" s="152">
        <v>0</v>
      </c>
      <c r="BJ130" s="152">
        <v>0</v>
      </c>
      <c r="BK130" s="152" t="s">
        <v>132</v>
      </c>
      <c r="BL130" s="152">
        <v>49.1</v>
      </c>
      <c r="BM130" s="152">
        <v>721472</v>
      </c>
      <c r="BN130" s="157" t="s">
        <v>1453</v>
      </c>
    </row>
    <row r="131" spans="1:66">
      <c r="A131" s="152" t="s">
        <v>1720</v>
      </c>
      <c r="B131" s="152" t="s">
        <v>1721</v>
      </c>
      <c r="C131" s="152" t="s">
        <v>1722</v>
      </c>
      <c r="D131" s="152" t="s">
        <v>1723</v>
      </c>
      <c r="E131" s="152" t="s">
        <v>1723</v>
      </c>
      <c r="F131" s="152">
        <v>6051</v>
      </c>
      <c r="G131" s="152">
        <v>51</v>
      </c>
      <c r="H131" s="152" t="s">
        <v>1724</v>
      </c>
      <c r="I131" s="152">
        <v>200890</v>
      </c>
      <c r="J131" s="152">
        <v>108.43</v>
      </c>
      <c r="K131" s="152">
        <v>87987</v>
      </c>
      <c r="L131" s="159" t="s">
        <v>1725</v>
      </c>
      <c r="M131" s="152" t="s">
        <v>883</v>
      </c>
      <c r="N131" s="152" t="s">
        <v>92</v>
      </c>
      <c r="O131" s="159">
        <v>4482</v>
      </c>
      <c r="P131" s="159" t="s">
        <v>1725</v>
      </c>
      <c r="Q131" s="152" t="s">
        <v>883</v>
      </c>
      <c r="R131" s="152" t="s">
        <v>92</v>
      </c>
      <c r="S131" s="159">
        <v>4482</v>
      </c>
      <c r="T131" s="159" t="s">
        <v>856</v>
      </c>
      <c r="U131" s="159" t="s">
        <v>856</v>
      </c>
      <c r="V131" s="152" t="s">
        <v>857</v>
      </c>
      <c r="W131" s="152" t="s">
        <v>858</v>
      </c>
      <c r="X131" s="152" t="s">
        <v>1083</v>
      </c>
      <c r="Y131" s="152">
        <v>51.56</v>
      </c>
      <c r="Z131" s="152">
        <v>1</v>
      </c>
      <c r="AA131" s="152" t="s">
        <v>883</v>
      </c>
      <c r="AB131" s="152">
        <v>73.19</v>
      </c>
      <c r="AC131" s="152">
        <v>1</v>
      </c>
      <c r="AD131" s="152" t="s">
        <v>861</v>
      </c>
      <c r="AE131" s="152">
        <v>73.19</v>
      </c>
      <c r="AF131" s="152">
        <v>0</v>
      </c>
      <c r="AG131" s="152">
        <v>27.35</v>
      </c>
      <c r="AH131" s="152" t="s">
        <v>861</v>
      </c>
      <c r="AI131" s="152" t="s">
        <v>92</v>
      </c>
      <c r="AJ131" s="152" t="s">
        <v>92</v>
      </c>
      <c r="AK131" s="152" t="s">
        <v>1620</v>
      </c>
      <c r="AL131" s="159" t="s">
        <v>856</v>
      </c>
      <c r="AP131" s="159" t="s">
        <v>856</v>
      </c>
      <c r="AQ131" s="159" t="s">
        <v>856</v>
      </c>
      <c r="AR131" s="152" t="s">
        <v>873</v>
      </c>
      <c r="AS131" s="159" t="s">
        <v>865</v>
      </c>
      <c r="AT131" s="152" t="str">
        <f t="shared" si="9"/>
        <v>VUNVR-031021</v>
      </c>
      <c r="AU131" s="152" t="str">
        <f t="shared" si="8"/>
        <v>NOE ALEXANDER VICENTE LOPEZ Y CONDUEÑA</v>
      </c>
      <c r="AV131" s="152">
        <v>773.16</v>
      </c>
      <c r="AW131" s="152">
        <v>729160</v>
      </c>
      <c r="AX131" s="152">
        <v>30</v>
      </c>
      <c r="AY131" s="152">
        <v>729163</v>
      </c>
      <c r="AZ131" s="152" t="s">
        <v>864</v>
      </c>
      <c r="BA131" s="152" t="str">
        <f t="shared" si="5"/>
        <v>L21-808-MP142</v>
      </c>
      <c r="BB131" s="152">
        <v>15</v>
      </c>
      <c r="BC131" s="157">
        <v>44520</v>
      </c>
      <c r="BD131" s="157">
        <v>44824</v>
      </c>
      <c r="BE131" s="158">
        <v>154656</v>
      </c>
      <c r="BF131" s="152" t="s">
        <v>1726</v>
      </c>
      <c r="BG131" s="152" t="s">
        <v>1161</v>
      </c>
      <c r="BH131" s="152">
        <v>73.19</v>
      </c>
      <c r="BI131" s="152">
        <v>0</v>
      </c>
      <c r="BJ131" s="152">
        <v>0</v>
      </c>
      <c r="BK131" s="152" t="s">
        <v>132</v>
      </c>
      <c r="BL131" s="152">
        <v>73.19</v>
      </c>
      <c r="BM131" s="152">
        <v>729162</v>
      </c>
      <c r="BN131" s="157" t="s">
        <v>1453</v>
      </c>
    </row>
    <row r="132" spans="1:66">
      <c r="A132" s="152" t="s">
        <v>1727</v>
      </c>
      <c r="B132" s="152" t="s">
        <v>1728</v>
      </c>
      <c r="C132" s="152" t="s">
        <v>1729</v>
      </c>
      <c r="D132" s="152" t="s">
        <v>1730</v>
      </c>
      <c r="E132" s="152" t="s">
        <v>1731</v>
      </c>
      <c r="F132" s="159" t="s">
        <v>865</v>
      </c>
      <c r="G132" s="159" t="s">
        <v>865</v>
      </c>
      <c r="H132" s="159" t="s">
        <v>865</v>
      </c>
      <c r="I132" s="152">
        <v>198618</v>
      </c>
      <c r="J132" s="152">
        <v>110</v>
      </c>
      <c r="K132" s="152">
        <v>86175</v>
      </c>
      <c r="L132" s="159" t="s">
        <v>1732</v>
      </c>
      <c r="M132" s="152" t="s">
        <v>92</v>
      </c>
      <c r="N132" s="152" t="s">
        <v>883</v>
      </c>
      <c r="O132" s="159">
        <v>4320</v>
      </c>
      <c r="P132" s="159" t="s">
        <v>1732</v>
      </c>
      <c r="Q132" s="152" t="s">
        <v>92</v>
      </c>
      <c r="R132" s="152" t="s">
        <v>883</v>
      </c>
      <c r="S132" s="159">
        <v>4320</v>
      </c>
      <c r="T132" s="159" t="s">
        <v>1733</v>
      </c>
      <c r="U132" s="159" t="s">
        <v>1734</v>
      </c>
      <c r="V132" s="152" t="s">
        <v>857</v>
      </c>
      <c r="W132" s="152" t="s">
        <v>858</v>
      </c>
      <c r="X132" s="152" t="s">
        <v>1083</v>
      </c>
      <c r="Y132" s="152">
        <v>0</v>
      </c>
      <c r="Z132" s="152">
        <v>1</v>
      </c>
      <c r="AA132" s="152" t="s">
        <v>92</v>
      </c>
      <c r="AB132" s="152">
        <v>41.28</v>
      </c>
      <c r="AC132" s="152">
        <v>1</v>
      </c>
      <c r="AD132" s="152" t="s">
        <v>861</v>
      </c>
      <c r="AE132" s="152">
        <v>41.28</v>
      </c>
      <c r="AF132" s="152">
        <v>0</v>
      </c>
      <c r="AG132" s="152" t="s">
        <v>861</v>
      </c>
      <c r="AH132" s="152" t="s">
        <v>861</v>
      </c>
      <c r="AI132" s="152" t="s">
        <v>92</v>
      </c>
      <c r="AJ132" s="152" t="s">
        <v>92</v>
      </c>
      <c r="AK132" s="152" t="s">
        <v>912</v>
      </c>
      <c r="AL132" s="159" t="s">
        <v>856</v>
      </c>
      <c r="AP132" s="159" t="s">
        <v>856</v>
      </c>
      <c r="AQ132" s="159" t="s">
        <v>856</v>
      </c>
      <c r="AR132" s="152" t="s">
        <v>1150</v>
      </c>
      <c r="AS132" s="159" t="s">
        <v>865</v>
      </c>
      <c r="AT132" s="152" t="str">
        <f t="shared" si="9"/>
        <v>VUNV5-010622</v>
      </c>
      <c r="AU132" s="152" t="str">
        <f t="shared" si="8"/>
        <v>CARLOS ISIDRO VILLATORO ANTONIO</v>
      </c>
      <c r="AV132" s="152">
        <v>416.1</v>
      </c>
      <c r="AW132" s="152">
        <v>815366</v>
      </c>
      <c r="AX132" s="159" t="s">
        <v>856</v>
      </c>
      <c r="AY132" s="159" t="s">
        <v>856</v>
      </c>
      <c r="AZ132" s="152" t="s">
        <v>864</v>
      </c>
      <c r="BA132" s="152" t="str">
        <f t="shared" si="5"/>
        <v>L22-768-MP027</v>
      </c>
      <c r="BB132" s="152">
        <v>15</v>
      </c>
      <c r="BC132" s="157">
        <v>44874</v>
      </c>
      <c r="BD132" s="157">
        <v>45178</v>
      </c>
      <c r="BE132" s="158">
        <v>82560</v>
      </c>
      <c r="BF132" s="152" t="s">
        <v>1735</v>
      </c>
      <c r="BG132" s="152" t="s">
        <v>1736</v>
      </c>
      <c r="BH132" s="152">
        <v>41.28</v>
      </c>
      <c r="BI132" s="152">
        <v>0</v>
      </c>
      <c r="BJ132" s="152">
        <v>0</v>
      </c>
      <c r="BK132" s="152" t="s">
        <v>132</v>
      </c>
      <c r="BL132" s="152">
        <v>41.28</v>
      </c>
      <c r="BM132" s="152">
        <v>815368</v>
      </c>
      <c r="BN132" s="157" t="s">
        <v>1453</v>
      </c>
    </row>
    <row r="133" spans="1:66">
      <c r="A133" s="152" t="s">
        <v>1737</v>
      </c>
      <c r="B133" s="152" t="s">
        <v>1738</v>
      </c>
      <c r="C133" s="152" t="s">
        <v>1408</v>
      </c>
      <c r="D133" s="152" t="s">
        <v>1739</v>
      </c>
      <c r="E133" s="152" t="s">
        <v>1410</v>
      </c>
      <c r="F133" s="152">
        <v>3283</v>
      </c>
      <c r="G133" s="152">
        <v>283</v>
      </c>
      <c r="H133" s="152" t="s">
        <v>1411</v>
      </c>
      <c r="I133" s="152">
        <v>199860</v>
      </c>
      <c r="J133" s="152">
        <v>80.95</v>
      </c>
      <c r="K133" s="152">
        <v>87208</v>
      </c>
      <c r="L133" s="159" t="s">
        <v>1412</v>
      </c>
      <c r="M133" s="152" t="s">
        <v>92</v>
      </c>
      <c r="N133" s="152" t="s">
        <v>883</v>
      </c>
      <c r="O133" s="159">
        <v>4534</v>
      </c>
      <c r="P133" s="159" t="s">
        <v>1412</v>
      </c>
      <c r="Q133" s="152" t="s">
        <v>92</v>
      </c>
      <c r="R133" s="152" t="s">
        <v>883</v>
      </c>
      <c r="S133" s="159">
        <v>4534</v>
      </c>
      <c r="T133" s="159" t="s">
        <v>856</v>
      </c>
      <c r="U133" s="159" t="s">
        <v>856</v>
      </c>
      <c r="V133" s="152" t="s">
        <v>857</v>
      </c>
      <c r="W133" s="152" t="s">
        <v>1268</v>
      </c>
      <c r="X133" s="152" t="s">
        <v>1083</v>
      </c>
      <c r="Y133" s="152">
        <v>24.72</v>
      </c>
      <c r="Z133" s="152">
        <v>1</v>
      </c>
      <c r="AA133" s="152" t="s">
        <v>92</v>
      </c>
      <c r="AB133" s="152">
        <v>151.66999999999999</v>
      </c>
      <c r="AC133" s="152">
        <v>3</v>
      </c>
      <c r="AD133" s="152" t="s">
        <v>861</v>
      </c>
      <c r="AE133" s="152">
        <v>151.66999999999999</v>
      </c>
      <c r="AF133" s="152">
        <v>0</v>
      </c>
      <c r="AG133" s="152" t="s">
        <v>861</v>
      </c>
      <c r="AH133" s="152" t="s">
        <v>861</v>
      </c>
      <c r="AI133" s="152" t="s">
        <v>92</v>
      </c>
      <c r="AJ133" s="152" t="s">
        <v>92</v>
      </c>
      <c r="AK133" s="152" t="s">
        <v>862</v>
      </c>
      <c r="AL133" s="159" t="s">
        <v>856</v>
      </c>
      <c r="AP133" s="159" t="s">
        <v>856</v>
      </c>
      <c r="AQ133" s="159" t="s">
        <v>856</v>
      </c>
      <c r="AR133" s="152" t="s">
        <v>1168</v>
      </c>
      <c r="AS133" s="159" t="s">
        <v>865</v>
      </c>
      <c r="AT133" s="152" t="str">
        <f t="shared" si="9"/>
        <v>VUNI9-210221</v>
      </c>
      <c r="AU133" s="152" t="str">
        <f t="shared" si="8"/>
        <v>INDUSTRIALIZADORA DE VIVIENDAS S.A.</v>
      </c>
      <c r="AV133" s="152">
        <v>2341.6999999999998</v>
      </c>
      <c r="AW133" s="152">
        <v>686920</v>
      </c>
      <c r="AX133" s="152">
        <v>32.25</v>
      </c>
      <c r="AY133" s="152">
        <v>686923</v>
      </c>
      <c r="AZ133" s="152" t="s">
        <v>864</v>
      </c>
      <c r="BA133" s="152" t="str">
        <f t="shared" si="5"/>
        <v>L21-238-MP026</v>
      </c>
      <c r="BB133" s="152">
        <v>50</v>
      </c>
      <c r="BC133" s="157">
        <v>44280</v>
      </c>
      <c r="BD133" s="157">
        <v>44706</v>
      </c>
      <c r="BE133" s="158">
        <v>463660.95</v>
      </c>
      <c r="BF133" s="152" t="s">
        <v>1740</v>
      </c>
      <c r="BG133" s="152" t="s">
        <v>1161</v>
      </c>
      <c r="BH133" s="152">
        <v>151.66999999999999</v>
      </c>
      <c r="BI133" s="152">
        <v>0</v>
      </c>
      <c r="BJ133" s="152">
        <v>0</v>
      </c>
      <c r="BK133" s="152" t="s">
        <v>132</v>
      </c>
      <c r="BL133" s="152">
        <v>151.66999999999999</v>
      </c>
      <c r="BM133" s="152">
        <v>686922</v>
      </c>
      <c r="BN133" s="157" t="s">
        <v>1453</v>
      </c>
    </row>
    <row r="134" spans="1:66">
      <c r="A134" s="152" t="s">
        <v>1741</v>
      </c>
      <c r="B134" s="152" t="s">
        <v>1742</v>
      </c>
      <c r="C134" s="152" t="s">
        <v>1743</v>
      </c>
      <c r="D134" s="152" t="s">
        <v>1744</v>
      </c>
      <c r="E134" s="152" t="s">
        <v>1744</v>
      </c>
      <c r="F134" s="152">
        <v>298067</v>
      </c>
      <c r="G134" s="152">
        <v>147</v>
      </c>
      <c r="H134" s="152">
        <v>712</v>
      </c>
      <c r="I134" s="152">
        <v>201670</v>
      </c>
      <c r="J134" s="152">
        <v>84</v>
      </c>
      <c r="K134" s="152">
        <v>88676</v>
      </c>
      <c r="L134" s="159" t="s">
        <v>856</v>
      </c>
      <c r="M134" s="152" t="s">
        <v>92</v>
      </c>
      <c r="N134" s="152" t="s">
        <v>92</v>
      </c>
      <c r="O134" s="159" t="s">
        <v>856</v>
      </c>
      <c r="P134" s="159" t="s">
        <v>856</v>
      </c>
      <c r="Q134" s="152" t="s">
        <v>92</v>
      </c>
      <c r="R134" s="152" t="s">
        <v>92</v>
      </c>
      <c r="S134" s="159" t="s">
        <v>856</v>
      </c>
      <c r="T134" s="159" t="s">
        <v>856</v>
      </c>
      <c r="U134" s="159" t="s">
        <v>856</v>
      </c>
      <c r="V134" s="152" t="s">
        <v>857</v>
      </c>
      <c r="W134" s="152" t="s">
        <v>858</v>
      </c>
      <c r="X134" s="152" t="s">
        <v>1083</v>
      </c>
      <c r="Y134" s="152">
        <v>0</v>
      </c>
      <c r="Z134" s="152">
        <v>1</v>
      </c>
      <c r="AA134" s="152" t="s">
        <v>92</v>
      </c>
      <c r="AB134" s="152">
        <v>84</v>
      </c>
      <c r="AC134" s="152">
        <v>1</v>
      </c>
      <c r="AD134" s="152" t="s">
        <v>861</v>
      </c>
      <c r="AE134" s="152">
        <v>84</v>
      </c>
      <c r="AF134" s="152">
        <v>0</v>
      </c>
      <c r="AG134" s="152" t="s">
        <v>861</v>
      </c>
      <c r="AH134" s="152" t="s">
        <v>861</v>
      </c>
      <c r="AI134" s="152" t="s">
        <v>92</v>
      </c>
      <c r="AJ134" s="152" t="s">
        <v>92</v>
      </c>
      <c r="AK134" s="152" t="s">
        <v>884</v>
      </c>
      <c r="AL134" s="159" t="s">
        <v>856</v>
      </c>
      <c r="AP134" s="159" t="s">
        <v>856</v>
      </c>
      <c r="AQ134" s="159" t="s">
        <v>856</v>
      </c>
      <c r="AR134" s="152" t="s">
        <v>873</v>
      </c>
      <c r="AS134" s="159" t="s">
        <v>865</v>
      </c>
      <c r="AT134" s="152" t="str">
        <f t="shared" si="9"/>
        <v>RPNA7-231021</v>
      </c>
      <c r="AU134" s="152" t="str">
        <f t="shared" si="8"/>
        <v>DENNIS STEVE ANLEU LOPEZ</v>
      </c>
      <c r="AV134" s="152">
        <v>846.72</v>
      </c>
      <c r="AW134" s="152">
        <v>732472</v>
      </c>
      <c r="AX134" s="152">
        <v>35</v>
      </c>
      <c r="AY134" s="152">
        <v>732476</v>
      </c>
      <c r="AZ134" s="152" t="s">
        <v>864</v>
      </c>
      <c r="BA134" s="152" t="str">
        <f t="shared" si="5"/>
        <v>L21-927-MP171</v>
      </c>
      <c r="BB134" s="152">
        <v>0</v>
      </c>
      <c r="BC134" s="157">
        <v>44551</v>
      </c>
      <c r="BD134" s="157">
        <v>44551</v>
      </c>
      <c r="BE134" s="158">
        <v>168000</v>
      </c>
      <c r="BF134" s="152" t="s">
        <v>1745</v>
      </c>
      <c r="BG134" s="152" t="s">
        <v>894</v>
      </c>
      <c r="BH134" s="152">
        <v>84</v>
      </c>
      <c r="BI134" s="152">
        <v>0</v>
      </c>
      <c r="BJ134" s="152">
        <v>0</v>
      </c>
      <c r="BK134" s="152" t="s">
        <v>132</v>
      </c>
      <c r="BL134" s="152">
        <v>84</v>
      </c>
      <c r="BM134" s="152">
        <v>732473</v>
      </c>
      <c r="BN134" s="157" t="s">
        <v>1453</v>
      </c>
    </row>
    <row r="135" spans="1:66">
      <c r="A135" s="152" t="s">
        <v>1746</v>
      </c>
      <c r="B135" s="152" t="s">
        <v>1747</v>
      </c>
      <c r="C135" s="152" t="s">
        <v>1748</v>
      </c>
      <c r="D135" s="152" t="s">
        <v>1749</v>
      </c>
      <c r="E135" s="152" t="s">
        <v>1749</v>
      </c>
      <c r="F135" s="152">
        <v>2737</v>
      </c>
      <c r="G135" s="152">
        <v>237</v>
      </c>
      <c r="H135" s="152" t="s">
        <v>1750</v>
      </c>
      <c r="I135" s="152">
        <v>201311</v>
      </c>
      <c r="J135" s="152">
        <v>228.98</v>
      </c>
      <c r="K135" s="152">
        <v>88347</v>
      </c>
      <c r="L135" s="159" t="s">
        <v>856</v>
      </c>
      <c r="M135" s="152" t="s">
        <v>92</v>
      </c>
      <c r="N135" s="152" t="s">
        <v>92</v>
      </c>
      <c r="O135" s="159" t="s">
        <v>856</v>
      </c>
      <c r="P135" s="159" t="s">
        <v>856</v>
      </c>
      <c r="Q135" s="152" t="s">
        <v>92</v>
      </c>
      <c r="R135" s="152" t="s">
        <v>92</v>
      </c>
      <c r="S135" s="159" t="s">
        <v>856</v>
      </c>
      <c r="T135" s="159" t="s">
        <v>856</v>
      </c>
      <c r="U135" s="159" t="s">
        <v>856</v>
      </c>
      <c r="V135" s="152" t="s">
        <v>1751</v>
      </c>
      <c r="W135" s="152" t="s">
        <v>858</v>
      </c>
      <c r="X135" s="152" t="s">
        <v>1083</v>
      </c>
      <c r="Y135" s="152">
        <v>0</v>
      </c>
      <c r="Z135" s="152">
        <v>3</v>
      </c>
      <c r="AA135" s="152" t="s">
        <v>883</v>
      </c>
      <c r="AB135" s="152">
        <v>180.63</v>
      </c>
      <c r="AC135" s="152">
        <v>2</v>
      </c>
      <c r="AD135" s="152" t="s">
        <v>861</v>
      </c>
      <c r="AE135" s="152">
        <v>124.46</v>
      </c>
      <c r="AF135" s="152">
        <v>56.17</v>
      </c>
      <c r="AG135" s="152">
        <v>142.91</v>
      </c>
      <c r="AH135" s="152" t="s">
        <v>861</v>
      </c>
      <c r="AI135" s="152" t="s">
        <v>92</v>
      </c>
      <c r="AJ135" s="152" t="s">
        <v>92</v>
      </c>
      <c r="AK135" s="152" t="s">
        <v>862</v>
      </c>
      <c r="AL135" s="159" t="s">
        <v>856</v>
      </c>
      <c r="AP135" s="159" t="s">
        <v>856</v>
      </c>
      <c r="AQ135" s="159" t="s">
        <v>856</v>
      </c>
      <c r="AR135" s="152" t="s">
        <v>1043</v>
      </c>
      <c r="AS135" s="159" t="s">
        <v>865</v>
      </c>
      <c r="AT135" s="152" t="str">
        <f t="shared" si="9"/>
        <v>RPNL10-190321</v>
      </c>
      <c r="AU135" s="152" t="str">
        <f t="shared" si="8"/>
        <v>MAYNOR ROCKY LOPEZ MENCHU</v>
      </c>
      <c r="AV135" s="152">
        <v>2747.77</v>
      </c>
      <c r="AW135" s="152">
        <v>698053</v>
      </c>
      <c r="AX135" s="152">
        <v>55</v>
      </c>
      <c r="AY135" s="152">
        <v>698055</v>
      </c>
      <c r="AZ135" s="152" t="s">
        <v>864</v>
      </c>
      <c r="BA135" s="152" t="str">
        <f t="shared" si="5"/>
        <v>L21-918-MP164</v>
      </c>
      <c r="BB135" s="152">
        <v>0</v>
      </c>
      <c r="BC135" s="157">
        <v>44396</v>
      </c>
      <c r="BD135" s="157">
        <v>44396</v>
      </c>
      <c r="BE135" s="158">
        <v>451575</v>
      </c>
      <c r="BF135" s="152" t="s">
        <v>1752</v>
      </c>
      <c r="BG135" s="152" t="s">
        <v>1753</v>
      </c>
      <c r="BH135" s="152">
        <v>124.46</v>
      </c>
      <c r="BI135" s="152">
        <v>56.17</v>
      </c>
      <c r="BJ135" s="152">
        <v>0</v>
      </c>
      <c r="BK135" s="152" t="s">
        <v>995</v>
      </c>
      <c r="BL135" s="152">
        <v>194.67</v>
      </c>
      <c r="BM135" s="152">
        <v>698054</v>
      </c>
      <c r="BN135" s="157">
        <v>45857</v>
      </c>
    </row>
    <row r="136" spans="1:66">
      <c r="A136" s="152" t="s">
        <v>1754</v>
      </c>
      <c r="B136" s="152" t="s">
        <v>1755</v>
      </c>
      <c r="C136" s="152" t="s">
        <v>1594</v>
      </c>
      <c r="D136" s="152" t="s">
        <v>1595</v>
      </c>
      <c r="E136" s="152" t="s">
        <v>1596</v>
      </c>
      <c r="F136" s="152">
        <v>89361</v>
      </c>
      <c r="G136" s="152">
        <v>53</v>
      </c>
      <c r="H136" s="152">
        <v>363</v>
      </c>
      <c r="I136" s="152">
        <v>7989</v>
      </c>
      <c r="J136" s="152">
        <v>112.7</v>
      </c>
      <c r="K136" s="152">
        <v>2585</v>
      </c>
      <c r="L136" s="159" t="s">
        <v>1597</v>
      </c>
      <c r="M136" s="152" t="s">
        <v>883</v>
      </c>
      <c r="N136" s="152" t="s">
        <v>92</v>
      </c>
      <c r="O136" s="159">
        <v>15605</v>
      </c>
      <c r="P136" s="159" t="s">
        <v>1597</v>
      </c>
      <c r="Q136" s="152" t="s">
        <v>883</v>
      </c>
      <c r="R136" s="152" t="s">
        <v>92</v>
      </c>
      <c r="S136" s="159">
        <v>15605</v>
      </c>
      <c r="T136" s="159" t="s">
        <v>856</v>
      </c>
      <c r="U136" s="159" t="s">
        <v>856</v>
      </c>
      <c r="V136" s="152" t="s">
        <v>857</v>
      </c>
      <c r="W136" s="152" t="s">
        <v>858</v>
      </c>
      <c r="X136" s="152" t="s">
        <v>1083</v>
      </c>
      <c r="Y136" s="152">
        <v>31.16</v>
      </c>
      <c r="Z136" s="152">
        <v>1</v>
      </c>
      <c r="AA136" s="152" t="s">
        <v>92</v>
      </c>
      <c r="AB136" s="152">
        <v>101.84</v>
      </c>
      <c r="AC136" s="152">
        <v>2</v>
      </c>
      <c r="AD136" s="152" t="s">
        <v>861</v>
      </c>
      <c r="AE136" s="152">
        <v>101.84</v>
      </c>
      <c r="AF136" s="152">
        <v>0</v>
      </c>
      <c r="AG136" s="152" t="s">
        <v>861</v>
      </c>
      <c r="AH136" s="152" t="s">
        <v>861</v>
      </c>
      <c r="AI136" s="152" t="s">
        <v>92</v>
      </c>
      <c r="AJ136" s="152" t="s">
        <v>92</v>
      </c>
      <c r="AK136" s="152" t="s">
        <v>884</v>
      </c>
      <c r="AL136" s="159" t="s">
        <v>856</v>
      </c>
      <c r="AP136" s="159" t="s">
        <v>856</v>
      </c>
      <c r="AQ136" s="159" t="s">
        <v>856</v>
      </c>
      <c r="AR136" s="152" t="s">
        <v>1192</v>
      </c>
      <c r="AS136" s="159" t="s">
        <v>865</v>
      </c>
      <c r="AT136" s="152" t="str">
        <f t="shared" si="9"/>
        <v>VUNB7-011121</v>
      </c>
      <c r="AU136" s="152" t="str">
        <f t="shared" si="8"/>
        <v>ANGELICA PRISILA BARRIOS SANTIZO</v>
      </c>
      <c r="AV136" s="152">
        <v>1344.26</v>
      </c>
      <c r="AW136" s="152">
        <v>733823</v>
      </c>
      <c r="AX136" s="152">
        <v>71.5</v>
      </c>
      <c r="AY136" s="152">
        <v>733825</v>
      </c>
      <c r="AZ136" s="152" t="s">
        <v>864</v>
      </c>
      <c r="BA136" s="152" t="str">
        <f t="shared" si="5"/>
        <v>L22-003-MP163</v>
      </c>
      <c r="BB136" s="152">
        <v>24</v>
      </c>
      <c r="BC136" s="157">
        <v>44564</v>
      </c>
      <c r="BD136" s="157">
        <v>44929</v>
      </c>
      <c r="BE136" s="158">
        <v>265506</v>
      </c>
      <c r="BF136" s="152" t="s">
        <v>1756</v>
      </c>
      <c r="BG136" s="152" t="s">
        <v>1757</v>
      </c>
      <c r="BH136" s="152">
        <v>101.84</v>
      </c>
      <c r="BI136" s="152">
        <v>0</v>
      </c>
      <c r="BJ136" s="152">
        <v>0</v>
      </c>
      <c r="BK136" s="152" t="s">
        <v>132</v>
      </c>
      <c r="BL136" s="152">
        <v>101.84</v>
      </c>
      <c r="BM136" s="152">
        <v>733824</v>
      </c>
      <c r="BN136" s="157" t="s">
        <v>1453</v>
      </c>
    </row>
    <row r="137" spans="1:66">
      <c r="A137" s="152" t="s">
        <v>1758</v>
      </c>
      <c r="B137" s="152" t="s">
        <v>1759</v>
      </c>
      <c r="C137" s="152" t="s">
        <v>1760</v>
      </c>
      <c r="D137" s="152" t="s">
        <v>1761</v>
      </c>
      <c r="E137" s="152" t="s">
        <v>1762</v>
      </c>
      <c r="F137" s="152">
        <v>8984</v>
      </c>
      <c r="G137" s="152">
        <v>484</v>
      </c>
      <c r="H137" s="152" t="s">
        <v>870</v>
      </c>
      <c r="I137" s="152">
        <v>197607</v>
      </c>
      <c r="J137" s="152">
        <v>116.12</v>
      </c>
      <c r="K137" s="152">
        <v>85243</v>
      </c>
      <c r="L137" s="159" t="s">
        <v>1763</v>
      </c>
      <c r="M137" s="152" t="s">
        <v>92</v>
      </c>
      <c r="N137" s="152" t="s">
        <v>883</v>
      </c>
      <c r="O137" s="159">
        <v>3969</v>
      </c>
      <c r="P137" s="159" t="s">
        <v>1763</v>
      </c>
      <c r="Q137" s="152" t="s">
        <v>92</v>
      </c>
      <c r="R137" s="152" t="s">
        <v>883</v>
      </c>
      <c r="S137" s="159">
        <v>3969</v>
      </c>
      <c r="T137" s="159" t="s">
        <v>1764</v>
      </c>
      <c r="U137" s="159" t="s">
        <v>1765</v>
      </c>
      <c r="V137" s="152" t="s">
        <v>857</v>
      </c>
      <c r="W137" s="152" t="s">
        <v>858</v>
      </c>
      <c r="X137" s="152" t="s">
        <v>1083</v>
      </c>
      <c r="Y137" s="152">
        <v>23.59</v>
      </c>
      <c r="Z137" s="152">
        <v>1</v>
      </c>
      <c r="AA137" s="152" t="s">
        <v>92</v>
      </c>
      <c r="AB137" s="152">
        <v>197.77</v>
      </c>
      <c r="AC137" s="152">
        <v>2</v>
      </c>
      <c r="AD137" s="152" t="s">
        <v>861</v>
      </c>
      <c r="AE137" s="152">
        <v>197.77</v>
      </c>
      <c r="AF137" s="152">
        <v>0</v>
      </c>
      <c r="AG137" s="152">
        <v>5.75</v>
      </c>
      <c r="AH137" s="152" t="s">
        <v>861</v>
      </c>
      <c r="AI137" s="152" t="s">
        <v>92</v>
      </c>
      <c r="AJ137" s="152" t="s">
        <v>92</v>
      </c>
      <c r="AK137" s="152" t="s">
        <v>872</v>
      </c>
      <c r="AL137" s="159" t="s">
        <v>856</v>
      </c>
      <c r="AP137" s="159" t="s">
        <v>856</v>
      </c>
      <c r="AQ137" s="159" t="s">
        <v>856</v>
      </c>
      <c r="AR137" s="152" t="s">
        <v>992</v>
      </c>
      <c r="AS137" s="159" t="s">
        <v>865</v>
      </c>
      <c r="AT137" s="152" t="str">
        <f t="shared" si="9"/>
        <v>VUND9-020321</v>
      </c>
      <c r="AU137" s="152" t="str">
        <f t="shared" si="8"/>
        <v>DESARROLLOS LAS LUCES DE OCCIDENTE S.A.</v>
      </c>
      <c r="AV137" s="152">
        <v>2538.14</v>
      </c>
      <c r="AW137" s="152">
        <v>691739</v>
      </c>
      <c r="AX137" s="152">
        <v>35</v>
      </c>
      <c r="AY137" s="152">
        <v>691741</v>
      </c>
      <c r="AZ137" s="152" t="s">
        <v>864</v>
      </c>
      <c r="BA137" s="152" t="str">
        <f t="shared" si="5"/>
        <v>L21-922-MP073</v>
      </c>
      <c r="BB137" s="152">
        <v>24</v>
      </c>
      <c r="BC137" s="157">
        <v>44335</v>
      </c>
      <c r="BD137" s="157">
        <v>44700</v>
      </c>
      <c r="BE137" s="158">
        <v>502681.5</v>
      </c>
      <c r="BF137" s="152" t="s">
        <v>1766</v>
      </c>
      <c r="BG137" s="152" t="s">
        <v>1767</v>
      </c>
      <c r="BH137" s="152">
        <v>197.77</v>
      </c>
      <c r="BI137" s="152">
        <v>0</v>
      </c>
      <c r="BJ137" s="152">
        <v>0</v>
      </c>
      <c r="BK137" s="152" t="s">
        <v>132</v>
      </c>
      <c r="BL137" s="152">
        <v>197.77</v>
      </c>
      <c r="BM137" s="152">
        <v>691740</v>
      </c>
      <c r="BN137" s="157" t="s">
        <v>1453</v>
      </c>
    </row>
    <row r="138" spans="1:66">
      <c r="A138" s="152" t="s">
        <v>1768</v>
      </c>
      <c r="B138" s="152" t="s">
        <v>1769</v>
      </c>
      <c r="C138" s="152" t="s">
        <v>1770</v>
      </c>
      <c r="D138" s="152" t="s">
        <v>1771</v>
      </c>
      <c r="E138" s="152" t="s">
        <v>1771</v>
      </c>
      <c r="F138" s="152">
        <v>6329</v>
      </c>
      <c r="G138" s="152">
        <v>329</v>
      </c>
      <c r="H138" s="152" t="s">
        <v>1394</v>
      </c>
      <c r="I138" s="152">
        <v>201137</v>
      </c>
      <c r="J138" s="152">
        <v>261.72000000000003</v>
      </c>
      <c r="K138" s="152">
        <v>88211</v>
      </c>
      <c r="L138" s="159" t="s">
        <v>856</v>
      </c>
      <c r="M138" s="152" t="s">
        <v>92</v>
      </c>
      <c r="N138" s="152" t="s">
        <v>92</v>
      </c>
      <c r="O138" s="159" t="s">
        <v>856</v>
      </c>
      <c r="P138" s="159" t="s">
        <v>856</v>
      </c>
      <c r="Q138" s="152" t="s">
        <v>92</v>
      </c>
      <c r="R138" s="152" t="s">
        <v>92</v>
      </c>
      <c r="S138" s="159" t="s">
        <v>856</v>
      </c>
      <c r="T138" s="159" t="s">
        <v>856</v>
      </c>
      <c r="U138" s="159" t="s">
        <v>856</v>
      </c>
      <c r="V138" s="152" t="s">
        <v>857</v>
      </c>
      <c r="W138" s="152" t="s">
        <v>858</v>
      </c>
      <c r="X138" s="152" t="s">
        <v>882</v>
      </c>
      <c r="Y138" s="152">
        <v>54.04</v>
      </c>
      <c r="Z138" s="152">
        <v>1</v>
      </c>
      <c r="AA138" s="152" t="s">
        <v>883</v>
      </c>
      <c r="AB138" s="152">
        <v>269.8</v>
      </c>
      <c r="AC138" s="152">
        <v>2</v>
      </c>
      <c r="AD138" s="152" t="s">
        <v>861</v>
      </c>
      <c r="AE138" s="152">
        <v>269.8</v>
      </c>
      <c r="AF138" s="152">
        <v>0</v>
      </c>
      <c r="AG138" s="152" t="s">
        <v>861</v>
      </c>
      <c r="AH138" s="152" t="s">
        <v>861</v>
      </c>
      <c r="AI138" s="152" t="s">
        <v>92</v>
      </c>
      <c r="AJ138" s="152" t="s">
        <v>92</v>
      </c>
      <c r="AK138" s="152" t="s">
        <v>912</v>
      </c>
      <c r="AL138" s="159" t="s">
        <v>856</v>
      </c>
      <c r="AP138" s="159" t="s">
        <v>856</v>
      </c>
      <c r="AQ138" s="159" t="s">
        <v>856</v>
      </c>
      <c r="AR138" s="152" t="s">
        <v>1772</v>
      </c>
      <c r="AS138" s="159" t="s">
        <v>865</v>
      </c>
      <c r="AT138" s="152" t="str">
        <f t="shared" si="9"/>
        <v>RPNL5-230421</v>
      </c>
      <c r="AU138" s="152" t="str">
        <f t="shared" si="8"/>
        <v>JORGE GUILLERMO LOPEZ JACOBS</v>
      </c>
      <c r="AV138" s="152">
        <v>3552.12</v>
      </c>
      <c r="AW138" s="152">
        <v>699860</v>
      </c>
      <c r="AX138" s="152">
        <v>158.05000000000001</v>
      </c>
      <c r="AY138" s="152">
        <v>699861</v>
      </c>
      <c r="AZ138" s="152" t="s">
        <v>864</v>
      </c>
      <c r="BA138" s="152" t="str">
        <f t="shared" si="5"/>
        <v>L21-555-MP169</v>
      </c>
      <c r="BB138" s="152">
        <v>0</v>
      </c>
      <c r="BC138" s="157">
        <v>44385</v>
      </c>
      <c r="BD138" s="157">
        <v>44385</v>
      </c>
      <c r="BE138" s="158">
        <v>663129.4</v>
      </c>
    </row>
    <row r="139" spans="1:66">
      <c r="A139" s="152" t="s">
        <v>1773</v>
      </c>
      <c r="B139" s="152" t="s">
        <v>1774</v>
      </c>
      <c r="C139" s="152" t="s">
        <v>1775</v>
      </c>
      <c r="D139" s="152" t="s">
        <v>1776</v>
      </c>
      <c r="E139" s="152" t="s">
        <v>1777</v>
      </c>
      <c r="F139" s="152">
        <v>6395</v>
      </c>
      <c r="G139" s="152">
        <v>395</v>
      </c>
      <c r="H139" s="152" t="s">
        <v>1778</v>
      </c>
      <c r="I139" s="152">
        <v>153206</v>
      </c>
      <c r="J139" s="152">
        <v>128</v>
      </c>
      <c r="K139" s="152">
        <v>56053</v>
      </c>
      <c r="L139" s="159" t="s">
        <v>1042</v>
      </c>
      <c r="M139" s="152" t="s">
        <v>883</v>
      </c>
      <c r="N139" s="152" t="s">
        <v>92</v>
      </c>
      <c r="O139" s="159">
        <v>13136</v>
      </c>
      <c r="P139" s="159" t="s">
        <v>1042</v>
      </c>
      <c r="Q139" s="152" t="s">
        <v>883</v>
      </c>
      <c r="R139" s="152" t="s">
        <v>92</v>
      </c>
      <c r="S139" s="159">
        <v>13136</v>
      </c>
      <c r="T139" s="159" t="s">
        <v>856</v>
      </c>
      <c r="U139" s="159" t="s">
        <v>856</v>
      </c>
      <c r="V139" s="152" t="s">
        <v>857</v>
      </c>
      <c r="W139" s="152" t="s">
        <v>858</v>
      </c>
      <c r="X139" s="152" t="s">
        <v>1083</v>
      </c>
      <c r="Y139" s="152">
        <v>17.170000000000002</v>
      </c>
      <c r="Z139" s="152">
        <v>1</v>
      </c>
      <c r="AA139" s="152" t="s">
        <v>92</v>
      </c>
      <c r="AB139" s="152">
        <v>230.26</v>
      </c>
      <c r="AC139" s="152">
        <v>2</v>
      </c>
      <c r="AD139" s="152" t="s">
        <v>861</v>
      </c>
      <c r="AE139" s="152">
        <v>230.26</v>
      </c>
      <c r="AF139" s="152">
        <v>0</v>
      </c>
      <c r="AG139" s="152">
        <v>5.92</v>
      </c>
      <c r="AH139" s="152" t="s">
        <v>861</v>
      </c>
      <c r="AI139" s="152" t="s">
        <v>92</v>
      </c>
      <c r="AJ139" s="152" t="s">
        <v>92</v>
      </c>
      <c r="AK139" s="152" t="s">
        <v>862</v>
      </c>
      <c r="AL139" s="159" t="s">
        <v>856</v>
      </c>
      <c r="AP139" s="159" t="s">
        <v>856</v>
      </c>
      <c r="AQ139" s="159" t="s">
        <v>856</v>
      </c>
      <c r="AR139" s="152" t="s">
        <v>873</v>
      </c>
      <c r="AS139" s="159" t="s">
        <v>865</v>
      </c>
      <c r="AT139" s="152" t="str">
        <f t="shared" si="9"/>
        <v>VUNR11-020921</v>
      </c>
      <c r="AU139" s="152" t="str">
        <f t="shared" si="8"/>
        <v>MARIO ALBERTO RODAS REYES</v>
      </c>
      <c r="AV139" s="152">
        <v>2934.93</v>
      </c>
      <c r="AW139" s="152">
        <v>731728</v>
      </c>
      <c r="AX139" s="152">
        <v>40</v>
      </c>
      <c r="AY139" s="152">
        <v>731731</v>
      </c>
      <c r="AZ139" s="152" t="s">
        <v>864</v>
      </c>
      <c r="BA139" s="152" t="str">
        <f t="shared" si="5"/>
        <v>L21-876-MP161</v>
      </c>
      <c r="BB139" s="152">
        <v>12</v>
      </c>
      <c r="BC139" s="157">
        <v>44550</v>
      </c>
      <c r="BD139" s="157">
        <v>44915</v>
      </c>
      <c r="BE139" s="158">
        <v>581659.5</v>
      </c>
      <c r="BF139" s="152" t="s">
        <v>1779</v>
      </c>
      <c r="BG139" s="152" t="s">
        <v>1780</v>
      </c>
      <c r="BH139" s="152">
        <v>230.26</v>
      </c>
      <c r="BI139" s="152">
        <v>0</v>
      </c>
      <c r="BJ139" s="152">
        <v>0</v>
      </c>
      <c r="BK139" s="152" t="s">
        <v>132</v>
      </c>
      <c r="BL139" s="152">
        <v>230.26</v>
      </c>
      <c r="BM139" s="152">
        <v>731730</v>
      </c>
      <c r="BN139" s="157" t="s">
        <v>1453</v>
      </c>
    </row>
    <row r="140" spans="1:66">
      <c r="A140" s="152" t="s">
        <v>1781</v>
      </c>
      <c r="B140" s="152" t="s">
        <v>1782</v>
      </c>
      <c r="C140" s="152" t="s">
        <v>1408</v>
      </c>
      <c r="D140" s="152" t="s">
        <v>1783</v>
      </c>
      <c r="E140" s="152" t="s">
        <v>1410</v>
      </c>
      <c r="F140" s="152">
        <v>3268</v>
      </c>
      <c r="G140" s="152">
        <v>268</v>
      </c>
      <c r="H140" s="152" t="s">
        <v>1411</v>
      </c>
      <c r="I140" s="152">
        <v>199866</v>
      </c>
      <c r="J140" s="152">
        <v>80.63</v>
      </c>
      <c r="K140" s="152">
        <v>87214</v>
      </c>
      <c r="L140" s="159" t="s">
        <v>1412</v>
      </c>
      <c r="M140" s="152" t="s">
        <v>92</v>
      </c>
      <c r="N140" s="152" t="s">
        <v>883</v>
      </c>
      <c r="O140" s="159">
        <v>4534</v>
      </c>
      <c r="P140" s="159" t="s">
        <v>1412</v>
      </c>
      <c r="Q140" s="152" t="s">
        <v>92</v>
      </c>
      <c r="R140" s="152" t="s">
        <v>883</v>
      </c>
      <c r="S140" s="159">
        <v>4534</v>
      </c>
      <c r="T140" s="159" t="s">
        <v>856</v>
      </c>
      <c r="U140" s="159" t="s">
        <v>856</v>
      </c>
      <c r="V140" s="152" t="s">
        <v>857</v>
      </c>
      <c r="W140" s="152" t="s">
        <v>1268</v>
      </c>
      <c r="X140" s="152" t="s">
        <v>1083</v>
      </c>
      <c r="Y140" s="152">
        <v>24.72</v>
      </c>
      <c r="Z140" s="152">
        <v>1</v>
      </c>
      <c r="AA140" s="152" t="s">
        <v>92</v>
      </c>
      <c r="AB140" s="152">
        <v>149.87</v>
      </c>
      <c r="AC140" s="152">
        <v>3</v>
      </c>
      <c r="AD140" s="152" t="s">
        <v>861</v>
      </c>
      <c r="AE140" s="152">
        <v>149.87</v>
      </c>
      <c r="AF140" s="152">
        <v>0</v>
      </c>
      <c r="AG140" s="152" t="s">
        <v>861</v>
      </c>
      <c r="AH140" s="152" t="s">
        <v>861</v>
      </c>
      <c r="AI140" s="152" t="s">
        <v>92</v>
      </c>
      <c r="AJ140" s="152" t="s">
        <v>92</v>
      </c>
      <c r="AK140" s="152" t="s">
        <v>862</v>
      </c>
      <c r="AL140" s="159" t="s">
        <v>856</v>
      </c>
      <c r="AP140" s="159" t="s">
        <v>856</v>
      </c>
      <c r="AQ140" s="159" t="s">
        <v>856</v>
      </c>
      <c r="AR140" s="152" t="s">
        <v>1168</v>
      </c>
      <c r="AS140" s="159" t="s">
        <v>865</v>
      </c>
      <c r="AT140" s="152" t="str">
        <f t="shared" si="9"/>
        <v>VUNI9-060221</v>
      </c>
      <c r="AU140" s="152" t="str">
        <f t="shared" si="8"/>
        <v>INDUSTRIALIZADORA DE VIVIENDAS S.A.</v>
      </c>
      <c r="AV140" s="152">
        <v>2314.48</v>
      </c>
      <c r="AW140" s="152">
        <v>686622</v>
      </c>
      <c r="AX140" s="152">
        <v>32.25</v>
      </c>
      <c r="AY140" s="152">
        <v>686625</v>
      </c>
      <c r="AZ140" s="152" t="s">
        <v>864</v>
      </c>
      <c r="BA140" s="152" t="str">
        <f t="shared" si="5"/>
        <v>L21-223-MP011</v>
      </c>
      <c r="BB140" s="152">
        <v>50</v>
      </c>
      <c r="BC140" s="157">
        <v>44280</v>
      </c>
      <c r="BD140" s="157">
        <v>44706</v>
      </c>
      <c r="BE140" s="158">
        <v>458260.95</v>
      </c>
      <c r="BF140" s="152" t="s">
        <v>1784</v>
      </c>
      <c r="BG140" s="152" t="s">
        <v>1161</v>
      </c>
      <c r="BH140" s="152">
        <v>149.87</v>
      </c>
      <c r="BI140" s="152">
        <v>0</v>
      </c>
      <c r="BJ140" s="152">
        <v>0</v>
      </c>
      <c r="BK140" s="152" t="s">
        <v>132</v>
      </c>
      <c r="BL140" s="152">
        <v>149.87</v>
      </c>
      <c r="BM140" s="152">
        <v>686624</v>
      </c>
      <c r="BN140" s="157" t="s">
        <v>1453</v>
      </c>
    </row>
    <row r="141" spans="1:66">
      <c r="A141" s="152" t="s">
        <v>1785</v>
      </c>
      <c r="B141" s="152" t="s">
        <v>1786</v>
      </c>
      <c r="C141" s="152" t="s">
        <v>1787</v>
      </c>
      <c r="D141" s="152" t="s">
        <v>1788</v>
      </c>
      <c r="E141" s="152" t="s">
        <v>1789</v>
      </c>
      <c r="F141" s="152">
        <v>4627</v>
      </c>
      <c r="G141" s="152">
        <v>127</v>
      </c>
      <c r="H141" s="152" t="s">
        <v>1790</v>
      </c>
      <c r="I141" s="152">
        <v>199076</v>
      </c>
      <c r="J141" s="152">
        <v>259.26</v>
      </c>
      <c r="K141" s="152">
        <v>86580</v>
      </c>
      <c r="L141" s="159" t="s">
        <v>1791</v>
      </c>
      <c r="M141" s="152" t="s">
        <v>92</v>
      </c>
      <c r="N141" s="152" t="s">
        <v>883</v>
      </c>
      <c r="O141" s="159">
        <v>6710</v>
      </c>
      <c r="P141" s="159" t="s">
        <v>1791</v>
      </c>
      <c r="Q141" s="152" t="s">
        <v>92</v>
      </c>
      <c r="R141" s="152" t="s">
        <v>883</v>
      </c>
      <c r="S141" s="159">
        <v>6710</v>
      </c>
      <c r="T141" s="159" t="s">
        <v>856</v>
      </c>
      <c r="U141" s="159" t="s">
        <v>856</v>
      </c>
      <c r="V141" s="152" t="s">
        <v>857</v>
      </c>
      <c r="W141" s="152" t="s">
        <v>858</v>
      </c>
      <c r="X141" s="152" t="s">
        <v>1792</v>
      </c>
      <c r="Y141" s="152">
        <v>615</v>
      </c>
      <c r="Z141" s="152">
        <v>1</v>
      </c>
      <c r="AA141" s="152" t="s">
        <v>92</v>
      </c>
      <c r="AB141" s="152">
        <v>48.34</v>
      </c>
      <c r="AC141" s="152">
        <v>1</v>
      </c>
      <c r="AD141" s="152" t="s">
        <v>861</v>
      </c>
      <c r="AE141" s="152">
        <v>48.34</v>
      </c>
      <c r="AF141" s="152">
        <v>0</v>
      </c>
      <c r="AG141" s="152">
        <v>205.73</v>
      </c>
      <c r="AH141" s="152" t="s">
        <v>861</v>
      </c>
      <c r="AI141" s="152" t="s">
        <v>92</v>
      </c>
      <c r="AJ141" s="152" t="s">
        <v>92</v>
      </c>
      <c r="AK141" s="152" t="s">
        <v>884</v>
      </c>
      <c r="AL141" s="159" t="s">
        <v>856</v>
      </c>
      <c r="AP141" s="159" t="s">
        <v>856</v>
      </c>
      <c r="AQ141" s="159" t="s">
        <v>856</v>
      </c>
      <c r="AR141" s="152" t="s">
        <v>1034</v>
      </c>
      <c r="AS141" s="159" t="s">
        <v>865</v>
      </c>
      <c r="AT141" s="152" t="str">
        <f t="shared" si="9"/>
        <v>VUNS7-011121</v>
      </c>
      <c r="AU141" s="152" t="str">
        <f t="shared" si="8"/>
        <v>ALEXIS EVERALDO SILIEZAR GONZALEZ</v>
      </c>
      <c r="AV141" s="152">
        <v>499.32</v>
      </c>
      <c r="AW141" s="152">
        <v>777866</v>
      </c>
      <c r="AX141" s="159" t="s">
        <v>856</v>
      </c>
      <c r="AY141" s="159" t="s">
        <v>856</v>
      </c>
      <c r="AZ141" s="152" t="s">
        <v>864</v>
      </c>
      <c r="BA141" s="152" t="str">
        <f t="shared" si="5"/>
        <v>L22-078-MP004</v>
      </c>
      <c r="BB141" s="152">
        <v>15</v>
      </c>
      <c r="BC141" s="157">
        <v>44595</v>
      </c>
      <c r="BD141" s="157">
        <v>44898</v>
      </c>
      <c r="BE141" s="158">
        <v>98832.5</v>
      </c>
      <c r="BF141" s="152" t="s">
        <v>1793</v>
      </c>
      <c r="BG141" s="152" t="s">
        <v>1794</v>
      </c>
      <c r="BH141" s="152">
        <v>48.34</v>
      </c>
      <c r="BI141" s="152">
        <v>0</v>
      </c>
      <c r="BJ141" s="152">
        <v>0</v>
      </c>
      <c r="BK141" s="152" t="s">
        <v>132</v>
      </c>
      <c r="BL141" s="152">
        <v>48.34</v>
      </c>
      <c r="BM141" s="152">
        <v>777900</v>
      </c>
      <c r="BN141" s="157" t="s">
        <v>1453</v>
      </c>
    </row>
    <row r="142" spans="1:66">
      <c r="A142" s="152" t="s">
        <v>1795</v>
      </c>
      <c r="B142" s="152" t="s">
        <v>1796</v>
      </c>
      <c r="C142" s="152" t="s">
        <v>1797</v>
      </c>
      <c r="D142" s="152" t="s">
        <v>1798</v>
      </c>
      <c r="E142" s="152" t="s">
        <v>1799</v>
      </c>
      <c r="F142" s="152">
        <v>90570</v>
      </c>
      <c r="G142" s="152">
        <v>35</v>
      </c>
      <c r="H142" s="152">
        <v>367</v>
      </c>
      <c r="I142" s="152">
        <v>181915</v>
      </c>
      <c r="J142" s="152">
        <v>1008.78</v>
      </c>
      <c r="K142" s="152">
        <v>9552</v>
      </c>
      <c r="L142" s="159" t="s">
        <v>1470</v>
      </c>
      <c r="M142" s="152" t="s">
        <v>92</v>
      </c>
      <c r="N142" s="152" t="s">
        <v>883</v>
      </c>
      <c r="O142" s="159">
        <v>6135</v>
      </c>
      <c r="P142" s="159" t="s">
        <v>1470</v>
      </c>
      <c r="Q142" s="152" t="s">
        <v>92</v>
      </c>
      <c r="R142" s="152" t="s">
        <v>883</v>
      </c>
      <c r="S142" s="159">
        <v>6135</v>
      </c>
      <c r="T142" s="159" t="s">
        <v>1470</v>
      </c>
      <c r="U142" s="159" t="s">
        <v>1471</v>
      </c>
      <c r="V142" s="152" t="s">
        <v>857</v>
      </c>
      <c r="W142" s="152" t="s">
        <v>858</v>
      </c>
      <c r="X142" s="152" t="s">
        <v>1083</v>
      </c>
      <c r="Y142" s="152">
        <v>46.38</v>
      </c>
      <c r="Z142" s="152">
        <v>1</v>
      </c>
      <c r="AA142" s="152" t="s">
        <v>92</v>
      </c>
      <c r="AB142" s="152">
        <v>208.26</v>
      </c>
      <c r="AC142" s="152">
        <v>2</v>
      </c>
      <c r="AD142" s="152" t="s">
        <v>861</v>
      </c>
      <c r="AE142" s="152">
        <v>208.26</v>
      </c>
      <c r="AF142" s="152">
        <v>0</v>
      </c>
      <c r="AG142" s="152">
        <v>64.290000000000006</v>
      </c>
      <c r="AH142" s="152">
        <v>9.1</v>
      </c>
      <c r="AI142" s="152" t="s">
        <v>92</v>
      </c>
      <c r="AJ142" s="152" t="s">
        <v>883</v>
      </c>
      <c r="AK142" s="152" t="s">
        <v>862</v>
      </c>
      <c r="AL142" s="159" t="s">
        <v>856</v>
      </c>
      <c r="AP142" s="159" t="s">
        <v>856</v>
      </c>
      <c r="AQ142" s="159" t="s">
        <v>856</v>
      </c>
      <c r="AR142" s="152" t="s">
        <v>1034</v>
      </c>
      <c r="AS142" s="159">
        <v>165.18</v>
      </c>
      <c r="AT142" s="152" t="str">
        <f t="shared" ref="AT142:AT173" si="10">B142</f>
        <v>VUNG1-021121</v>
      </c>
      <c r="AU142" s="152" t="str">
        <f t="shared" ref="AU142:AU173" si="11">C142</f>
        <v>VIRGINIA E. CASTILLO AGUILAR DE GRANADOS</v>
      </c>
      <c r="AV142" s="152">
        <v>2858.98</v>
      </c>
      <c r="AW142" s="152">
        <v>752729</v>
      </c>
      <c r="AX142" s="159" t="s">
        <v>856</v>
      </c>
      <c r="AY142" s="159" t="s">
        <v>856</v>
      </c>
      <c r="AZ142" s="152" t="s">
        <v>864</v>
      </c>
      <c r="BA142" s="152" t="str">
        <f t="shared" si="5"/>
        <v>L22-023-MP001</v>
      </c>
      <c r="BB142" s="152">
        <v>24</v>
      </c>
      <c r="BC142" s="157">
        <v>44573</v>
      </c>
      <c r="BD142" s="157">
        <v>44938</v>
      </c>
      <c r="BE142" s="158">
        <v>541683</v>
      </c>
      <c r="BF142" s="152" t="s">
        <v>1800</v>
      </c>
      <c r="BG142" s="152" t="s">
        <v>1801</v>
      </c>
      <c r="BH142" s="152">
        <v>208.26</v>
      </c>
      <c r="BI142" s="152">
        <v>0</v>
      </c>
      <c r="BJ142" s="152">
        <v>0</v>
      </c>
      <c r="BK142" s="152" t="s">
        <v>132</v>
      </c>
      <c r="BL142" s="152">
        <v>208.26</v>
      </c>
      <c r="BM142" s="152">
        <v>752731</v>
      </c>
      <c r="BN142" s="157" t="s">
        <v>1453</v>
      </c>
    </row>
    <row r="143" spans="1:66">
      <c r="A143" s="152" t="s">
        <v>1802</v>
      </c>
      <c r="B143" s="152" t="s">
        <v>1803</v>
      </c>
      <c r="C143" s="152" t="s">
        <v>1760</v>
      </c>
      <c r="D143" s="152" t="s">
        <v>1804</v>
      </c>
      <c r="E143" s="152" t="s">
        <v>1762</v>
      </c>
      <c r="F143" s="152">
        <v>8983</v>
      </c>
      <c r="G143" s="152">
        <v>483</v>
      </c>
      <c r="H143" s="152" t="s">
        <v>870</v>
      </c>
      <c r="I143" s="152">
        <v>197589</v>
      </c>
      <c r="J143" s="152">
        <v>142.91</v>
      </c>
      <c r="K143" s="152">
        <v>85225</v>
      </c>
      <c r="L143" s="159" t="s">
        <v>1763</v>
      </c>
      <c r="M143" s="152" t="s">
        <v>92</v>
      </c>
      <c r="N143" s="152" t="s">
        <v>883</v>
      </c>
      <c r="O143" s="159">
        <v>3969</v>
      </c>
      <c r="P143" s="159" t="s">
        <v>1763</v>
      </c>
      <c r="Q143" s="152" t="s">
        <v>92</v>
      </c>
      <c r="R143" s="152" t="s">
        <v>883</v>
      </c>
      <c r="S143" s="159">
        <v>3969</v>
      </c>
      <c r="T143" s="159" t="s">
        <v>1764</v>
      </c>
      <c r="U143" s="159" t="s">
        <v>1765</v>
      </c>
      <c r="V143" s="152" t="s">
        <v>857</v>
      </c>
      <c r="W143" s="152" t="s">
        <v>858</v>
      </c>
      <c r="X143" s="152" t="s">
        <v>1083</v>
      </c>
      <c r="Y143" s="152">
        <v>64.61</v>
      </c>
      <c r="Z143" s="152">
        <v>1</v>
      </c>
      <c r="AA143" s="152" t="s">
        <v>92</v>
      </c>
      <c r="AB143" s="152">
        <v>196.29</v>
      </c>
      <c r="AC143" s="152">
        <v>2</v>
      </c>
      <c r="AD143" s="152" t="s">
        <v>861</v>
      </c>
      <c r="AE143" s="152">
        <v>196.29</v>
      </c>
      <c r="AF143" s="152">
        <v>0</v>
      </c>
      <c r="AG143" s="152">
        <v>5.75</v>
      </c>
      <c r="AH143" s="152" t="s">
        <v>861</v>
      </c>
      <c r="AI143" s="152" t="s">
        <v>92</v>
      </c>
      <c r="AJ143" s="152" t="s">
        <v>92</v>
      </c>
      <c r="AK143" s="152" t="s">
        <v>872</v>
      </c>
      <c r="AL143" s="159" t="s">
        <v>856</v>
      </c>
      <c r="AP143" s="159" t="s">
        <v>856</v>
      </c>
      <c r="AQ143" s="159" t="s">
        <v>856</v>
      </c>
      <c r="AR143" s="152" t="s">
        <v>992</v>
      </c>
      <c r="AS143" s="159" t="s">
        <v>865</v>
      </c>
      <c r="AT143" s="152" t="str">
        <f t="shared" si="10"/>
        <v>VUND9-010321</v>
      </c>
      <c r="AU143" s="152" t="str">
        <f t="shared" si="11"/>
        <v>DESARROLLOS LAS LUCES DE OCCIDENTE S.A.</v>
      </c>
      <c r="AV143" s="152">
        <v>2599.89</v>
      </c>
      <c r="AW143" s="152">
        <v>691736</v>
      </c>
      <c r="AX143" s="152">
        <v>58.45</v>
      </c>
      <c r="AY143" s="152">
        <v>691738</v>
      </c>
      <c r="AZ143" s="152" t="s">
        <v>864</v>
      </c>
      <c r="BA143" s="152" t="str">
        <f t="shared" ref="BA143:BA330" si="12">A143</f>
        <v>L21-921-MP074</v>
      </c>
      <c r="BB143" s="152">
        <v>24</v>
      </c>
      <c r="BC143" s="157">
        <v>44335</v>
      </c>
      <c r="BD143" s="157">
        <v>44700</v>
      </c>
      <c r="BE143" s="158">
        <v>513338.5</v>
      </c>
      <c r="BF143" s="152" t="s">
        <v>1805</v>
      </c>
      <c r="BG143" s="152" t="s">
        <v>1767</v>
      </c>
      <c r="BH143" s="152">
        <v>196.29</v>
      </c>
      <c r="BI143" s="152">
        <v>0</v>
      </c>
      <c r="BJ143" s="152">
        <v>0</v>
      </c>
      <c r="BK143" s="152" t="s">
        <v>132</v>
      </c>
      <c r="BL143" s="152">
        <v>196.29</v>
      </c>
      <c r="BM143" s="152">
        <v>691737</v>
      </c>
      <c r="BN143" s="157" t="s">
        <v>1453</v>
      </c>
    </row>
    <row r="144" spans="1:66">
      <c r="A144" s="152" t="s">
        <v>1806</v>
      </c>
      <c r="B144" s="152" t="s">
        <v>1807</v>
      </c>
      <c r="C144" s="152" t="s">
        <v>1808</v>
      </c>
      <c r="D144" s="152" t="s">
        <v>1809</v>
      </c>
      <c r="E144" s="152" t="s">
        <v>1810</v>
      </c>
      <c r="F144" s="152">
        <v>58574</v>
      </c>
      <c r="G144" s="152">
        <v>271</v>
      </c>
      <c r="H144" s="152">
        <v>293</v>
      </c>
      <c r="I144" s="152">
        <v>18548</v>
      </c>
      <c r="J144" s="152">
        <v>210.54</v>
      </c>
      <c r="K144" s="152">
        <v>17400</v>
      </c>
      <c r="L144" s="159" t="s">
        <v>1811</v>
      </c>
      <c r="M144" s="152" t="s">
        <v>92</v>
      </c>
      <c r="N144" s="152" t="s">
        <v>883</v>
      </c>
      <c r="O144" s="159">
        <v>5629</v>
      </c>
      <c r="P144" s="159" t="s">
        <v>1811</v>
      </c>
      <c r="Q144" s="152" t="s">
        <v>92</v>
      </c>
      <c r="R144" s="152" t="s">
        <v>883</v>
      </c>
      <c r="S144" s="159">
        <v>5629</v>
      </c>
      <c r="T144" s="159" t="s">
        <v>1811</v>
      </c>
      <c r="U144" s="159" t="s">
        <v>1812</v>
      </c>
      <c r="V144" s="152" t="s">
        <v>857</v>
      </c>
      <c r="W144" s="152" t="s">
        <v>858</v>
      </c>
      <c r="X144" s="152" t="s">
        <v>1083</v>
      </c>
      <c r="Y144" s="152">
        <v>55.44</v>
      </c>
      <c r="Z144" s="152">
        <v>1</v>
      </c>
      <c r="AA144" s="152" t="s">
        <v>92</v>
      </c>
      <c r="AB144" s="152">
        <v>112.49</v>
      </c>
      <c r="AC144" s="152">
        <v>1</v>
      </c>
      <c r="AD144" s="152" t="s">
        <v>861</v>
      </c>
      <c r="AE144" s="152">
        <v>112.49</v>
      </c>
      <c r="AF144" s="152">
        <v>0</v>
      </c>
      <c r="AG144" s="152">
        <v>63.18</v>
      </c>
      <c r="AH144" s="152" t="s">
        <v>861</v>
      </c>
      <c r="AI144" s="152" t="s">
        <v>92</v>
      </c>
      <c r="AJ144" s="152" t="s">
        <v>92</v>
      </c>
      <c r="AK144" s="152" t="s">
        <v>862</v>
      </c>
      <c r="AL144" s="159" t="s">
        <v>856</v>
      </c>
      <c r="AP144" s="159" t="s">
        <v>856</v>
      </c>
      <c r="AQ144" s="159" t="s">
        <v>856</v>
      </c>
      <c r="AR144" s="152" t="s">
        <v>885</v>
      </c>
      <c r="AS144" s="159" t="s">
        <v>865</v>
      </c>
      <c r="AT144" s="152" t="str">
        <f t="shared" si="10"/>
        <v>VUNG10-031021</v>
      </c>
      <c r="AU144" s="152" t="str">
        <f t="shared" si="11"/>
        <v>ROSA BARRENO HERNANDEZ DE GONZALEZ</v>
      </c>
      <c r="AV144" s="152">
        <v>1360.16</v>
      </c>
      <c r="AW144" s="152">
        <v>727504</v>
      </c>
      <c r="AX144" s="152">
        <v>57</v>
      </c>
      <c r="AY144" s="152">
        <v>727507</v>
      </c>
      <c r="AZ144" s="152" t="s">
        <v>864</v>
      </c>
      <c r="BA144" s="152" t="str">
        <f t="shared" si="12"/>
        <v>L21-747-MP141</v>
      </c>
      <c r="BB144" s="152">
        <v>15</v>
      </c>
      <c r="BC144" s="157">
        <v>44516</v>
      </c>
      <c r="BD144" s="157">
        <v>44820</v>
      </c>
      <c r="BE144" s="158">
        <v>248304</v>
      </c>
      <c r="BF144" s="152" t="s">
        <v>1813</v>
      </c>
      <c r="BG144" s="152" t="s">
        <v>1814</v>
      </c>
      <c r="BH144" s="152">
        <v>112.49</v>
      </c>
      <c r="BI144" s="152">
        <v>0</v>
      </c>
      <c r="BJ144" s="152">
        <v>0</v>
      </c>
      <c r="BK144" s="152" t="s">
        <v>132</v>
      </c>
      <c r="BL144" s="152">
        <v>112.49</v>
      </c>
      <c r="BM144" s="152">
        <v>727506</v>
      </c>
      <c r="BN144" s="157" t="s">
        <v>1453</v>
      </c>
    </row>
    <row r="145" spans="1:66">
      <c r="A145" s="152" t="s">
        <v>1815</v>
      </c>
      <c r="B145" s="152" t="s">
        <v>1816</v>
      </c>
      <c r="C145" s="152" t="s">
        <v>1817</v>
      </c>
      <c r="D145" s="152" t="s">
        <v>1818</v>
      </c>
      <c r="E145" s="152" t="s">
        <v>1819</v>
      </c>
      <c r="F145" s="152">
        <v>323245</v>
      </c>
      <c r="G145" s="152">
        <v>5</v>
      </c>
      <c r="H145" s="152">
        <v>796</v>
      </c>
      <c r="I145" s="152">
        <v>177944</v>
      </c>
      <c r="L145" s="159"/>
      <c r="O145" s="159"/>
      <c r="P145" s="159"/>
      <c r="S145" s="159"/>
      <c r="T145" s="159"/>
      <c r="U145" s="159"/>
      <c r="AL145" s="159"/>
      <c r="AP145" s="159"/>
      <c r="AQ145" s="159"/>
      <c r="AS145" s="159"/>
    </row>
    <row r="146" spans="1:66">
      <c r="A146" s="152" t="s">
        <v>877</v>
      </c>
      <c r="B146" s="152" t="s">
        <v>878</v>
      </c>
      <c r="C146" s="152" t="s">
        <v>879</v>
      </c>
      <c r="D146" s="152" t="s">
        <v>880</v>
      </c>
      <c r="E146" s="152" t="s">
        <v>880</v>
      </c>
      <c r="F146" s="152">
        <v>646</v>
      </c>
      <c r="G146" s="152">
        <v>146</v>
      </c>
      <c r="H146" s="152" t="s">
        <v>881</v>
      </c>
      <c r="I146" s="152">
        <v>199741</v>
      </c>
      <c r="L146" s="159"/>
      <c r="O146" s="159"/>
      <c r="P146" s="159"/>
      <c r="S146" s="159"/>
      <c r="T146" s="159"/>
      <c r="U146" s="159"/>
      <c r="AL146" s="159"/>
      <c r="AP146" s="159"/>
      <c r="AQ146" s="159"/>
      <c r="AS146" s="159"/>
    </row>
    <row r="147" spans="1:66">
      <c r="A147" s="152" t="s">
        <v>1835</v>
      </c>
      <c r="B147" s="152" t="s">
        <v>1850</v>
      </c>
      <c r="C147" s="152" t="s">
        <v>1836</v>
      </c>
      <c r="D147" s="152" t="s">
        <v>1837</v>
      </c>
      <c r="E147" s="152" t="s">
        <v>1837</v>
      </c>
      <c r="F147" s="152">
        <v>11610</v>
      </c>
      <c r="G147" s="152">
        <v>110</v>
      </c>
      <c r="H147" s="152" t="s">
        <v>1190</v>
      </c>
      <c r="I147" s="152">
        <v>201378</v>
      </c>
      <c r="L147" s="159"/>
      <c r="O147" s="159"/>
      <c r="P147" s="159"/>
      <c r="S147" s="159"/>
      <c r="T147" s="159"/>
      <c r="U147" s="159"/>
      <c r="AL147" s="159"/>
      <c r="AP147" s="159"/>
      <c r="AQ147" s="159"/>
      <c r="AS147" s="159"/>
    </row>
    <row r="148" spans="1:66">
      <c r="A148" s="152" t="s">
        <v>1849</v>
      </c>
      <c r="B148" s="152" t="s">
        <v>1851</v>
      </c>
      <c r="C148" s="152" t="s">
        <v>1852</v>
      </c>
      <c r="D148" s="152" t="s">
        <v>1853</v>
      </c>
      <c r="E148" s="152" t="s">
        <v>1853</v>
      </c>
      <c r="F148" s="152">
        <v>8891</v>
      </c>
      <c r="G148" s="152">
        <v>391</v>
      </c>
      <c r="H148" s="152" t="s">
        <v>1854</v>
      </c>
      <c r="I148" s="152">
        <v>199850</v>
      </c>
      <c r="L148" s="159"/>
      <c r="O148" s="159"/>
      <c r="P148" s="159"/>
      <c r="S148" s="159"/>
      <c r="T148" s="159"/>
      <c r="U148" s="159"/>
      <c r="AL148" s="159"/>
      <c r="AP148" s="159"/>
      <c r="AQ148" s="159"/>
      <c r="AS148" s="159"/>
    </row>
    <row r="149" spans="1:66">
      <c r="A149" s="152" t="s">
        <v>1820</v>
      </c>
      <c r="B149" s="152" t="s">
        <v>1821</v>
      </c>
      <c r="C149" s="152" t="s">
        <v>1822</v>
      </c>
      <c r="D149" s="152" t="s">
        <v>1823</v>
      </c>
      <c r="E149" s="152" t="s">
        <v>1663</v>
      </c>
      <c r="F149" s="152">
        <v>3704</v>
      </c>
      <c r="G149" s="152">
        <v>204</v>
      </c>
      <c r="H149" s="152" t="s">
        <v>1824</v>
      </c>
      <c r="I149" s="152">
        <v>181427</v>
      </c>
      <c r="J149" s="152">
        <v>112</v>
      </c>
      <c r="K149" s="152">
        <v>73300</v>
      </c>
      <c r="L149" s="159" t="s">
        <v>1590</v>
      </c>
      <c r="M149" s="152" t="s">
        <v>92</v>
      </c>
      <c r="N149" s="152" t="s">
        <v>883</v>
      </c>
      <c r="O149" s="159">
        <v>2367</v>
      </c>
      <c r="P149" s="159" t="s">
        <v>1590</v>
      </c>
      <c r="Q149" s="152" t="s">
        <v>92</v>
      </c>
      <c r="R149" s="152" t="s">
        <v>883</v>
      </c>
      <c r="S149" s="159">
        <v>2367</v>
      </c>
      <c r="T149" s="159" t="s">
        <v>856</v>
      </c>
      <c r="U149" s="159" t="s">
        <v>856</v>
      </c>
      <c r="V149" s="152" t="s">
        <v>857</v>
      </c>
      <c r="W149" s="152" t="s">
        <v>858</v>
      </c>
      <c r="X149" s="152" t="s">
        <v>1083</v>
      </c>
      <c r="Y149" s="152">
        <v>0</v>
      </c>
      <c r="Z149" s="152">
        <v>1</v>
      </c>
      <c r="AA149" s="152" t="s">
        <v>92</v>
      </c>
      <c r="AB149" s="152">
        <v>57.9</v>
      </c>
      <c r="AC149" s="152">
        <v>1</v>
      </c>
      <c r="AD149" s="152" t="s">
        <v>861</v>
      </c>
      <c r="AE149" s="152">
        <v>57.9</v>
      </c>
      <c r="AF149" s="152">
        <v>0</v>
      </c>
      <c r="AG149" s="152" t="s">
        <v>861</v>
      </c>
      <c r="AH149" s="152" t="s">
        <v>861</v>
      </c>
      <c r="AI149" s="152" t="s">
        <v>92</v>
      </c>
      <c r="AJ149" s="152" t="s">
        <v>92</v>
      </c>
      <c r="AK149" s="152" t="s">
        <v>912</v>
      </c>
      <c r="AL149" s="159" t="s">
        <v>856</v>
      </c>
      <c r="AP149" s="159" t="s">
        <v>856</v>
      </c>
      <c r="AQ149" s="159" t="s">
        <v>856</v>
      </c>
      <c r="AR149" s="152" t="s">
        <v>873</v>
      </c>
      <c r="AS149" s="159" t="s">
        <v>865</v>
      </c>
      <c r="AT149" s="152" t="str">
        <f t="shared" si="10"/>
        <v>VUNO5-051121</v>
      </c>
      <c r="AU149" s="152" t="str">
        <f t="shared" si="11"/>
        <v>ARNOLDO GILBERTO OROXOM RODRIGUEZ</v>
      </c>
      <c r="AV149" s="152">
        <v>583.63</v>
      </c>
      <c r="AW149" s="152">
        <v>758645</v>
      </c>
      <c r="AX149" s="152">
        <v>35</v>
      </c>
      <c r="AY149" s="152">
        <v>758648</v>
      </c>
      <c r="AZ149" s="152" t="s">
        <v>864</v>
      </c>
      <c r="BA149" s="152" t="str">
        <f t="shared" si="12"/>
        <v>L21-077-MP002</v>
      </c>
      <c r="BB149" s="152">
        <v>15</v>
      </c>
      <c r="BC149" s="157">
        <v>44594</v>
      </c>
      <c r="BD149" s="157">
        <v>44897</v>
      </c>
      <c r="BE149" s="158">
        <v>115800</v>
      </c>
      <c r="BF149" s="152" t="s">
        <v>1825</v>
      </c>
      <c r="BG149" s="152" t="s">
        <v>875</v>
      </c>
      <c r="BH149" s="152">
        <v>57.9</v>
      </c>
      <c r="BI149" s="152">
        <v>0</v>
      </c>
      <c r="BJ149" s="152">
        <v>0</v>
      </c>
      <c r="BK149" s="152" t="s">
        <v>132</v>
      </c>
      <c r="BL149" s="152">
        <v>57.9</v>
      </c>
      <c r="BM149" s="152">
        <v>758647</v>
      </c>
      <c r="BN149" s="157" t="s">
        <v>1453</v>
      </c>
    </row>
    <row r="150" spans="1:66">
      <c r="A150" s="152" t="s">
        <v>1826</v>
      </c>
      <c r="B150" s="152" t="s">
        <v>1827</v>
      </c>
      <c r="C150" s="152" t="s">
        <v>1828</v>
      </c>
      <c r="D150" s="152" t="s">
        <v>1829</v>
      </c>
      <c r="E150" s="152" t="s">
        <v>1830</v>
      </c>
      <c r="F150" s="152">
        <v>56367</v>
      </c>
      <c r="G150" s="152">
        <v>157</v>
      </c>
      <c r="H150" s="152">
        <v>286</v>
      </c>
      <c r="I150" s="152">
        <v>5377</v>
      </c>
      <c r="J150" s="152">
        <v>440.25</v>
      </c>
      <c r="K150" s="152">
        <v>14714</v>
      </c>
      <c r="L150" s="159" t="s">
        <v>1355</v>
      </c>
      <c r="M150" s="152" t="s">
        <v>92</v>
      </c>
      <c r="N150" s="152" t="s">
        <v>883</v>
      </c>
      <c r="O150" s="159">
        <v>6542</v>
      </c>
      <c r="P150" s="159" t="s">
        <v>1355</v>
      </c>
      <c r="Q150" s="152" t="s">
        <v>92</v>
      </c>
      <c r="R150" s="152" t="s">
        <v>883</v>
      </c>
      <c r="S150" s="159">
        <v>6542</v>
      </c>
      <c r="T150" s="159" t="s">
        <v>856</v>
      </c>
      <c r="U150" s="159" t="s">
        <v>856</v>
      </c>
      <c r="V150" s="152" t="s">
        <v>1831</v>
      </c>
      <c r="W150" s="152" t="s">
        <v>1832</v>
      </c>
      <c r="X150" s="152" t="s">
        <v>859</v>
      </c>
      <c r="Y150" s="152">
        <v>37.880000000000003</v>
      </c>
      <c r="Z150" s="152">
        <v>1</v>
      </c>
      <c r="AA150" s="152" t="s">
        <v>92</v>
      </c>
      <c r="AB150" s="152">
        <v>479.5</v>
      </c>
      <c r="AC150" s="152">
        <v>2</v>
      </c>
      <c r="AD150" s="152" t="s">
        <v>861</v>
      </c>
      <c r="AE150" s="152">
        <v>0</v>
      </c>
      <c r="AF150" s="152">
        <v>479.5</v>
      </c>
      <c r="AG150" s="152">
        <v>68.58</v>
      </c>
      <c r="AH150" s="152" t="s">
        <v>861</v>
      </c>
      <c r="AI150" s="152" t="s">
        <v>92</v>
      </c>
      <c r="AJ150" s="152" t="s">
        <v>92</v>
      </c>
      <c r="AK150" s="152" t="s">
        <v>872</v>
      </c>
      <c r="AL150" s="159" t="s">
        <v>856</v>
      </c>
      <c r="AP150" s="159" t="s">
        <v>856</v>
      </c>
      <c r="AQ150" s="159" t="s">
        <v>856</v>
      </c>
      <c r="AR150" s="152" t="s">
        <v>885</v>
      </c>
      <c r="AS150" s="159" t="s">
        <v>865</v>
      </c>
      <c r="AT150" s="152" t="str">
        <f t="shared" si="10"/>
        <v>VUNA3-051221</v>
      </c>
      <c r="AU150" s="152" t="str">
        <f t="shared" si="11"/>
        <v>CARLOS ROBERTO ALVARADO GALVEZ</v>
      </c>
      <c r="AV150" s="152">
        <v>10537.34</v>
      </c>
      <c r="AW150" s="152">
        <v>785144</v>
      </c>
      <c r="AX150" s="152">
        <v>52.5</v>
      </c>
      <c r="AY150" s="152">
        <v>785147</v>
      </c>
      <c r="AZ150" s="152" t="s">
        <v>864</v>
      </c>
      <c r="BA150" s="152" t="str">
        <f t="shared" si="12"/>
        <v>L22-084-MP003</v>
      </c>
      <c r="BB150" s="152">
        <v>24</v>
      </c>
      <c r="BC150" s="157">
        <v>44602</v>
      </c>
      <c r="BD150" s="157">
        <v>44967</v>
      </c>
      <c r="BE150" s="158">
        <v>1225128</v>
      </c>
      <c r="BF150" s="152" t="s">
        <v>1833</v>
      </c>
      <c r="BG150" s="152" t="s">
        <v>1834</v>
      </c>
      <c r="BH150" s="152">
        <v>0</v>
      </c>
      <c r="BI150" s="152">
        <v>479.5</v>
      </c>
      <c r="BJ150" s="152">
        <v>0</v>
      </c>
      <c r="BK150" s="152" t="s">
        <v>1296</v>
      </c>
      <c r="BL150" s="152">
        <v>599.38</v>
      </c>
      <c r="BM150" s="152">
        <v>785146</v>
      </c>
      <c r="BN150" s="157">
        <v>46063</v>
      </c>
    </row>
    <row r="151" spans="1:66">
      <c r="A151" s="152" t="s">
        <v>1838</v>
      </c>
      <c r="B151" s="152" t="s">
        <v>1839</v>
      </c>
      <c r="C151" s="152" t="s">
        <v>1840</v>
      </c>
      <c r="D151" s="152" t="s">
        <v>1841</v>
      </c>
      <c r="E151" s="152" t="s">
        <v>1841</v>
      </c>
      <c r="F151" s="152">
        <v>7129</v>
      </c>
      <c r="G151" s="152">
        <v>129</v>
      </c>
      <c r="H151" s="152" t="s">
        <v>1842</v>
      </c>
      <c r="I151" s="152">
        <v>201693</v>
      </c>
      <c r="J151" s="152">
        <v>238</v>
      </c>
      <c r="K151" s="152">
        <v>88422</v>
      </c>
      <c r="L151" s="159" t="s">
        <v>856</v>
      </c>
      <c r="M151" s="152" t="s">
        <v>92</v>
      </c>
      <c r="N151" s="152" t="s">
        <v>92</v>
      </c>
      <c r="O151" s="159" t="s">
        <v>856</v>
      </c>
      <c r="P151" s="159" t="s">
        <v>856</v>
      </c>
      <c r="Q151" s="152" t="s">
        <v>92</v>
      </c>
      <c r="R151" s="152" t="s">
        <v>92</v>
      </c>
      <c r="S151" s="159" t="s">
        <v>856</v>
      </c>
      <c r="T151" s="159" t="s">
        <v>856</v>
      </c>
      <c r="U151" s="159" t="s">
        <v>856</v>
      </c>
      <c r="V151" s="152" t="s">
        <v>857</v>
      </c>
      <c r="W151" s="152" t="s">
        <v>858</v>
      </c>
      <c r="X151" s="152" t="s">
        <v>882</v>
      </c>
      <c r="Y151" s="152">
        <v>0</v>
      </c>
      <c r="Z151" s="152">
        <v>1</v>
      </c>
      <c r="AA151" s="152" t="s">
        <v>883</v>
      </c>
      <c r="AB151" s="152">
        <v>152.05000000000001</v>
      </c>
      <c r="AC151" s="152">
        <v>2</v>
      </c>
      <c r="AD151" s="152" t="s">
        <v>861</v>
      </c>
      <c r="AE151" s="152">
        <v>152.05000000000001</v>
      </c>
      <c r="AF151" s="152">
        <v>0</v>
      </c>
      <c r="AG151" s="152">
        <v>165.29</v>
      </c>
      <c r="AH151" s="152" t="s">
        <v>861</v>
      </c>
      <c r="AI151" s="152" t="s">
        <v>92</v>
      </c>
      <c r="AJ151" s="152" t="s">
        <v>92</v>
      </c>
      <c r="AK151" s="152" t="s">
        <v>862</v>
      </c>
      <c r="AL151" s="159" t="s">
        <v>856</v>
      </c>
      <c r="AP151" s="159" t="s">
        <v>856</v>
      </c>
      <c r="AQ151" s="159" t="s">
        <v>856</v>
      </c>
      <c r="AR151" s="152" t="s">
        <v>1034</v>
      </c>
      <c r="AS151" s="159" t="s">
        <v>865</v>
      </c>
      <c r="AT151" s="152" t="str">
        <f t="shared" si="10"/>
        <v>RPNS10-080121</v>
      </c>
      <c r="AU151" s="152" t="str">
        <f t="shared" si="11"/>
        <v>LILIAN ARACELY SUM RACANCOJ</v>
      </c>
      <c r="AV151" s="152">
        <v>1915.83</v>
      </c>
      <c r="AW151" s="152">
        <v>695087</v>
      </c>
      <c r="AX151" s="159" t="s">
        <v>856</v>
      </c>
      <c r="AY151" s="159" t="s">
        <v>856</v>
      </c>
      <c r="AZ151" s="152" t="s">
        <v>864</v>
      </c>
      <c r="BA151" s="152" t="str">
        <f t="shared" si="12"/>
        <v>L21-924-MP166</v>
      </c>
      <c r="BB151" s="152">
        <v>0</v>
      </c>
      <c r="BC151" s="157">
        <v>44334</v>
      </c>
      <c r="BD151" s="157">
        <v>44334</v>
      </c>
      <c r="BE151" s="158">
        <v>380125</v>
      </c>
      <c r="BF151" s="152" t="s">
        <v>1843</v>
      </c>
      <c r="BG151" s="152" t="s">
        <v>894</v>
      </c>
      <c r="BH151" s="152">
        <v>152.05000000000001</v>
      </c>
      <c r="BI151" s="152">
        <v>0</v>
      </c>
      <c r="BJ151" s="152">
        <v>0</v>
      </c>
      <c r="BK151" s="152" t="s">
        <v>132</v>
      </c>
      <c r="BL151" s="152">
        <v>152.05000000000001</v>
      </c>
      <c r="BM151" s="152">
        <v>695086</v>
      </c>
      <c r="BN151" s="157" t="s">
        <v>1453</v>
      </c>
    </row>
    <row r="152" spans="1:66">
      <c r="A152" s="152" t="s">
        <v>1844</v>
      </c>
      <c r="B152" s="152" t="s">
        <v>1845</v>
      </c>
      <c r="C152" s="152" t="s">
        <v>1846</v>
      </c>
      <c r="D152" s="152" t="s">
        <v>1847</v>
      </c>
      <c r="E152" s="152" t="s">
        <v>1847</v>
      </c>
      <c r="F152" s="152">
        <v>6809</v>
      </c>
      <c r="G152" s="152">
        <v>309</v>
      </c>
      <c r="H152" s="152" t="s">
        <v>1848</v>
      </c>
      <c r="I152" s="152">
        <v>201359</v>
      </c>
      <c r="J152" s="152">
        <v>128.80000000000001</v>
      </c>
      <c r="K152" s="152">
        <v>88387</v>
      </c>
      <c r="L152" s="159" t="s">
        <v>856</v>
      </c>
      <c r="M152" s="152" t="s">
        <v>92</v>
      </c>
      <c r="N152" s="152" t="s">
        <v>92</v>
      </c>
      <c r="O152" s="159" t="s">
        <v>856</v>
      </c>
      <c r="P152" s="159" t="s">
        <v>856</v>
      </c>
      <c r="Q152" s="152" t="s">
        <v>92</v>
      </c>
      <c r="R152" s="152" t="s">
        <v>92</v>
      </c>
      <c r="S152" s="159" t="s">
        <v>856</v>
      </c>
      <c r="T152" s="159" t="s">
        <v>856</v>
      </c>
      <c r="U152" s="159" t="s">
        <v>856</v>
      </c>
      <c r="V152" s="152" t="s">
        <v>857</v>
      </c>
      <c r="W152" s="152" t="s">
        <v>858</v>
      </c>
      <c r="X152" s="152" t="s">
        <v>882</v>
      </c>
      <c r="Y152" s="152">
        <v>0</v>
      </c>
      <c r="Z152" s="152">
        <v>1</v>
      </c>
      <c r="AA152" s="152" t="s">
        <v>92</v>
      </c>
      <c r="AB152" s="152">
        <v>122.82</v>
      </c>
      <c r="AC152" s="152">
        <v>2</v>
      </c>
      <c r="AD152" s="152" t="s">
        <v>861</v>
      </c>
      <c r="AE152" s="152">
        <v>122.82</v>
      </c>
      <c r="AF152" s="152">
        <v>0</v>
      </c>
      <c r="AG152" s="152" t="s">
        <v>861</v>
      </c>
      <c r="AH152" s="152" t="s">
        <v>861</v>
      </c>
      <c r="AI152" s="152" t="s">
        <v>92</v>
      </c>
      <c r="AJ152" s="152" t="s">
        <v>92</v>
      </c>
      <c r="AK152" s="152" t="s">
        <v>1389</v>
      </c>
      <c r="AL152" s="159" t="s">
        <v>856</v>
      </c>
      <c r="AP152" s="159" t="s">
        <v>856</v>
      </c>
      <c r="AQ152" s="159" t="s">
        <v>856</v>
      </c>
      <c r="AR152" s="152" t="s">
        <v>1043</v>
      </c>
      <c r="AS152" s="159" t="s">
        <v>865</v>
      </c>
      <c r="AT152" s="152" t="str">
        <f t="shared" si="10"/>
        <v>RPNAR-210121</v>
      </c>
      <c r="AU152" s="152" t="str">
        <f t="shared" si="11"/>
        <v>OTTO JOEL BATRES MALDONADO</v>
      </c>
      <c r="AV152" s="152">
        <v>1547.53</v>
      </c>
      <c r="AW152" s="152">
        <v>691033</v>
      </c>
      <c r="AX152" s="152">
        <v>35</v>
      </c>
      <c r="AY152" s="152">
        <v>691034</v>
      </c>
      <c r="AZ152" s="152" t="s">
        <v>864</v>
      </c>
      <c r="BA152" s="152" t="str">
        <f t="shared" si="12"/>
        <v>L21-932-MP167</v>
      </c>
      <c r="BB152" s="152">
        <v>0</v>
      </c>
      <c r="BC152" s="157">
        <v>44330</v>
      </c>
      <c r="BD152" s="157">
        <v>44330</v>
      </c>
      <c r="BE152" s="158">
        <v>307050</v>
      </c>
    </row>
    <row r="153" spans="1:66">
      <c r="A153" s="152" t="s">
        <v>1855</v>
      </c>
      <c r="B153" s="152" t="s">
        <v>1856</v>
      </c>
      <c r="C153" s="152" t="s">
        <v>1857</v>
      </c>
      <c r="D153" s="152" t="s">
        <v>1858</v>
      </c>
      <c r="E153" s="152" t="s">
        <v>1858</v>
      </c>
      <c r="F153" s="152">
        <v>1191</v>
      </c>
      <c r="G153" s="152">
        <v>191</v>
      </c>
      <c r="H153" s="152" t="s">
        <v>1859</v>
      </c>
      <c r="I153" s="152">
        <v>200605</v>
      </c>
      <c r="J153" s="152">
        <v>124.48</v>
      </c>
      <c r="K153" s="152">
        <v>87778</v>
      </c>
      <c r="L153" s="159" t="s">
        <v>856</v>
      </c>
      <c r="M153" s="152" t="s">
        <v>92</v>
      </c>
      <c r="N153" s="152" t="s">
        <v>92</v>
      </c>
      <c r="O153" s="159" t="s">
        <v>856</v>
      </c>
      <c r="P153" s="159" t="s">
        <v>856</v>
      </c>
      <c r="Q153" s="152" t="s">
        <v>92</v>
      </c>
      <c r="R153" s="152" t="s">
        <v>92</v>
      </c>
      <c r="S153" s="159" t="s">
        <v>856</v>
      </c>
      <c r="T153" s="159" t="s">
        <v>856</v>
      </c>
      <c r="U153" s="159" t="s">
        <v>856</v>
      </c>
      <c r="V153" s="152" t="s">
        <v>857</v>
      </c>
      <c r="W153" s="152" t="s">
        <v>858</v>
      </c>
      <c r="X153" s="152" t="s">
        <v>1083</v>
      </c>
      <c r="Y153" s="152">
        <v>0</v>
      </c>
      <c r="Z153" s="152">
        <v>1</v>
      </c>
      <c r="AA153" s="152" t="s">
        <v>92</v>
      </c>
      <c r="AB153" s="152">
        <v>21.22</v>
      </c>
      <c r="AC153" s="152">
        <v>1</v>
      </c>
      <c r="AD153" s="152" t="s">
        <v>861</v>
      </c>
      <c r="AE153" s="152">
        <v>21.22</v>
      </c>
      <c r="AF153" s="152">
        <v>0</v>
      </c>
      <c r="AG153" s="152" t="s">
        <v>861</v>
      </c>
      <c r="AH153" s="152" t="s">
        <v>861</v>
      </c>
      <c r="AI153" s="152" t="s">
        <v>92</v>
      </c>
      <c r="AJ153" s="152" t="s">
        <v>92</v>
      </c>
      <c r="AK153" s="152" t="s">
        <v>1389</v>
      </c>
      <c r="AL153" s="159" t="s">
        <v>856</v>
      </c>
      <c r="AP153" s="159" t="s">
        <v>856</v>
      </c>
      <c r="AQ153" s="159" t="s">
        <v>856</v>
      </c>
      <c r="AR153" s="152" t="s">
        <v>1034</v>
      </c>
      <c r="AS153" s="159" t="s">
        <v>865</v>
      </c>
      <c r="AT153" s="152" t="str">
        <f t="shared" si="10"/>
        <v>RPNER-240221</v>
      </c>
      <c r="AU153" s="152" t="str">
        <f t="shared" si="11"/>
        <v>SANDRA INES ARCHILA MAZARIEGOS</v>
      </c>
      <c r="AV153" s="152">
        <v>89.12</v>
      </c>
      <c r="AW153" s="152">
        <v>691367</v>
      </c>
      <c r="AX153" s="159" t="s">
        <v>856</v>
      </c>
      <c r="AY153" s="159" t="s">
        <v>856</v>
      </c>
      <c r="AZ153" s="152" t="s">
        <v>864</v>
      </c>
      <c r="BA153" s="152" t="str">
        <f t="shared" si="12"/>
        <v>L21-939-MP170</v>
      </c>
      <c r="BB153" s="152">
        <v>0</v>
      </c>
      <c r="BC153" s="157">
        <v>44333</v>
      </c>
      <c r="BD153" s="157">
        <v>44333</v>
      </c>
      <c r="BE153" s="158">
        <v>21220</v>
      </c>
      <c r="BF153" s="152" t="s">
        <v>1860</v>
      </c>
      <c r="BG153" s="152" t="s">
        <v>894</v>
      </c>
      <c r="BH153" s="152">
        <v>21.22</v>
      </c>
      <c r="BI153" s="152">
        <v>0</v>
      </c>
      <c r="BJ153" s="152">
        <v>0</v>
      </c>
      <c r="BK153" s="152" t="s">
        <v>132</v>
      </c>
      <c r="BL153" s="152">
        <v>21.22</v>
      </c>
      <c r="BM153" s="152">
        <v>691368</v>
      </c>
      <c r="BN153" s="157" t="s">
        <v>1453</v>
      </c>
    </row>
    <row r="154" spans="1:66">
      <c r="A154" s="152" t="s">
        <v>1861</v>
      </c>
      <c r="B154" s="152" t="s">
        <v>1862</v>
      </c>
      <c r="C154" s="152" t="s">
        <v>1863</v>
      </c>
      <c r="D154" s="152" t="s">
        <v>1864</v>
      </c>
      <c r="E154" s="152" t="s">
        <v>1864</v>
      </c>
      <c r="F154" s="152">
        <v>4042</v>
      </c>
      <c r="G154" s="152">
        <v>42</v>
      </c>
      <c r="H154" s="152" t="s">
        <v>1865</v>
      </c>
      <c r="I154" s="152">
        <v>190201</v>
      </c>
      <c r="J154" s="152">
        <v>140</v>
      </c>
      <c r="K154" s="152">
        <v>79973</v>
      </c>
      <c r="L154" s="159" t="s">
        <v>856</v>
      </c>
      <c r="M154" s="152" t="s">
        <v>92</v>
      </c>
      <c r="N154" s="152" t="s">
        <v>92</v>
      </c>
      <c r="O154" s="159" t="s">
        <v>856</v>
      </c>
      <c r="P154" s="159" t="s">
        <v>856</v>
      </c>
      <c r="Q154" s="152" t="s">
        <v>92</v>
      </c>
      <c r="R154" s="152" t="s">
        <v>92</v>
      </c>
      <c r="S154" s="159" t="s">
        <v>856</v>
      </c>
      <c r="T154" s="159" t="s">
        <v>856</v>
      </c>
      <c r="U154" s="159" t="s">
        <v>856</v>
      </c>
      <c r="V154" s="152" t="s">
        <v>857</v>
      </c>
      <c r="W154" s="152" t="s">
        <v>858</v>
      </c>
      <c r="X154" s="152" t="s">
        <v>1083</v>
      </c>
      <c r="Y154" s="152">
        <v>78.75</v>
      </c>
      <c r="Z154" s="152">
        <v>1</v>
      </c>
      <c r="AA154" s="152" t="s">
        <v>883</v>
      </c>
      <c r="AB154" s="152">
        <v>198.36</v>
      </c>
      <c r="AC154" s="152">
        <v>2</v>
      </c>
      <c r="AD154" s="152" t="s">
        <v>861</v>
      </c>
      <c r="AE154" s="152">
        <v>198.36</v>
      </c>
      <c r="AF154" s="152">
        <v>0</v>
      </c>
      <c r="AG154" s="152">
        <v>33.4</v>
      </c>
      <c r="AH154" s="152" t="s">
        <v>861</v>
      </c>
      <c r="AI154" s="152" t="s">
        <v>92</v>
      </c>
      <c r="AJ154" s="152" t="s">
        <v>92</v>
      </c>
      <c r="AK154" s="152" t="s">
        <v>912</v>
      </c>
      <c r="AL154" s="159" t="s">
        <v>856</v>
      </c>
      <c r="AP154" s="159" t="s">
        <v>856</v>
      </c>
      <c r="AQ154" s="159" t="s">
        <v>856</v>
      </c>
      <c r="AR154" s="152" t="s">
        <v>1043</v>
      </c>
      <c r="AS154" s="159" t="s">
        <v>865</v>
      </c>
      <c r="AT154" s="152" t="str">
        <f t="shared" si="10"/>
        <v>RPNR12-020121</v>
      </c>
      <c r="AU154" s="152" t="str">
        <f t="shared" si="11"/>
        <v>ALVARO LEONARDO RECINOS CHAVEZ</v>
      </c>
      <c r="AV154" s="152">
        <v>2681.29</v>
      </c>
      <c r="AW154" s="152">
        <v>686283</v>
      </c>
      <c r="AX154" s="152">
        <v>35</v>
      </c>
      <c r="AY154" s="152">
        <v>686285</v>
      </c>
      <c r="AZ154" s="152" t="s">
        <v>864</v>
      </c>
      <c r="BA154" s="152" t="str">
        <f t="shared" si="12"/>
        <v>L21-919-MP165</v>
      </c>
      <c r="BB154" s="152">
        <v>0</v>
      </c>
      <c r="BC154" s="157">
        <v>44279</v>
      </c>
      <c r="BD154" s="157">
        <v>44279</v>
      </c>
      <c r="BE154" s="158">
        <v>524382.5</v>
      </c>
      <c r="BF154" s="152" t="s">
        <v>1866</v>
      </c>
      <c r="BG154" s="152" t="s">
        <v>894</v>
      </c>
      <c r="BH154" s="152">
        <v>198.36</v>
      </c>
      <c r="BI154" s="152">
        <v>0</v>
      </c>
      <c r="BJ154" s="152">
        <v>0</v>
      </c>
      <c r="BK154" s="152" t="s">
        <v>132</v>
      </c>
      <c r="BL154" s="152">
        <v>198.36</v>
      </c>
      <c r="BM154" s="152">
        <v>686284</v>
      </c>
      <c r="BN154" s="157" t="s">
        <v>1453</v>
      </c>
    </row>
    <row r="155" spans="1:66">
      <c r="A155" s="152" t="s">
        <v>1867</v>
      </c>
      <c r="B155" s="152" t="s">
        <v>1868</v>
      </c>
      <c r="C155" s="152" t="s">
        <v>1869</v>
      </c>
      <c r="D155" s="152" t="s">
        <v>1870</v>
      </c>
      <c r="E155" s="152" t="s">
        <v>1870</v>
      </c>
      <c r="F155" s="152">
        <v>257461</v>
      </c>
      <c r="G155" s="152">
        <v>151</v>
      </c>
      <c r="H155" s="152">
        <v>579</v>
      </c>
      <c r="I155" s="152">
        <v>177830</v>
      </c>
      <c r="J155" s="152">
        <v>248.85</v>
      </c>
      <c r="K155" s="152">
        <v>71203</v>
      </c>
      <c r="L155" s="159" t="s">
        <v>856</v>
      </c>
      <c r="M155" s="152" t="s">
        <v>92</v>
      </c>
      <c r="N155" s="152" t="s">
        <v>92</v>
      </c>
      <c r="O155" s="159" t="s">
        <v>856</v>
      </c>
      <c r="P155" s="159" t="s">
        <v>856</v>
      </c>
      <c r="Q155" s="152" t="s">
        <v>92</v>
      </c>
      <c r="R155" s="152" t="s">
        <v>92</v>
      </c>
      <c r="S155" s="159" t="s">
        <v>856</v>
      </c>
      <c r="T155" s="159" t="s">
        <v>856</v>
      </c>
      <c r="U155" s="159" t="s">
        <v>856</v>
      </c>
      <c r="V155" s="152" t="s">
        <v>857</v>
      </c>
      <c r="W155" s="152" t="s">
        <v>858</v>
      </c>
      <c r="X155" s="152" t="s">
        <v>1083</v>
      </c>
      <c r="Y155" s="152">
        <v>106.82</v>
      </c>
      <c r="Z155" s="152">
        <v>1</v>
      </c>
      <c r="AA155" s="152" t="s">
        <v>883</v>
      </c>
      <c r="AB155" s="152">
        <v>165.25</v>
      </c>
      <c r="AC155" s="152">
        <v>2</v>
      </c>
      <c r="AD155" s="152" t="s">
        <v>861</v>
      </c>
      <c r="AE155" s="152">
        <v>165.25</v>
      </c>
      <c r="AF155" s="152">
        <v>0</v>
      </c>
      <c r="AG155" s="152">
        <v>106.31</v>
      </c>
      <c r="AH155" s="152" t="s">
        <v>861</v>
      </c>
      <c r="AI155" s="152" t="s">
        <v>92</v>
      </c>
      <c r="AJ155" s="152" t="s">
        <v>92</v>
      </c>
      <c r="AK155" s="152" t="s">
        <v>884</v>
      </c>
      <c r="AL155" s="159" t="s">
        <v>856</v>
      </c>
      <c r="AP155" s="159" t="s">
        <v>856</v>
      </c>
      <c r="AQ155" s="159" t="s">
        <v>856</v>
      </c>
      <c r="AR155" s="152" t="s">
        <v>1043</v>
      </c>
      <c r="AS155" s="159" t="s">
        <v>865</v>
      </c>
      <c r="AT155" s="152" t="str">
        <f t="shared" si="10"/>
        <v>RPNM7-080321</v>
      </c>
      <c r="AU155" s="152" t="str">
        <f t="shared" si="11"/>
        <v>FIDEL NICOLAS MACHIC IXCOLIN Y CDÑA</v>
      </c>
      <c r="AV155" s="152">
        <v>2426.7600000000002</v>
      </c>
      <c r="AW155" s="152">
        <v>701166</v>
      </c>
      <c r="AX155" s="152">
        <v>47.5</v>
      </c>
      <c r="AY155" s="152">
        <v>701168</v>
      </c>
      <c r="AZ155" s="152" t="s">
        <v>864</v>
      </c>
      <c r="BA155" s="152" t="str">
        <f t="shared" si="12"/>
        <v>L21-986-MP177</v>
      </c>
      <c r="BB155" s="152">
        <v>0</v>
      </c>
      <c r="BC155" s="157">
        <v>44369</v>
      </c>
      <c r="BD155" s="157">
        <v>44369</v>
      </c>
      <c r="BE155" s="158">
        <v>455020</v>
      </c>
      <c r="BF155" s="152" t="s">
        <v>1871</v>
      </c>
      <c r="BG155" s="152" t="s">
        <v>894</v>
      </c>
      <c r="BH155" s="152">
        <v>165.25</v>
      </c>
      <c r="BI155" s="152">
        <v>0</v>
      </c>
      <c r="BJ155" s="152">
        <v>0</v>
      </c>
      <c r="BK155" s="152" t="s">
        <v>132</v>
      </c>
      <c r="BL155" s="152">
        <v>165.25</v>
      </c>
      <c r="BM155" s="152">
        <v>701169</v>
      </c>
      <c r="BN155" s="157" t="s">
        <v>1453</v>
      </c>
    </row>
    <row r="156" spans="1:66">
      <c r="A156" s="152" t="s">
        <v>1872</v>
      </c>
      <c r="B156" s="152" t="s">
        <v>1873</v>
      </c>
      <c r="C156" s="152" t="s">
        <v>1874</v>
      </c>
      <c r="D156" s="152" t="s">
        <v>1875</v>
      </c>
      <c r="E156" s="152" t="s">
        <v>1876</v>
      </c>
      <c r="F156" s="152">
        <v>277290</v>
      </c>
      <c r="G156" s="152">
        <v>100</v>
      </c>
      <c r="H156" s="152">
        <v>642</v>
      </c>
      <c r="I156" s="152">
        <v>195854</v>
      </c>
      <c r="J156" s="152">
        <v>120</v>
      </c>
      <c r="K156" s="152">
        <v>84214</v>
      </c>
      <c r="L156" s="159" t="s">
        <v>988</v>
      </c>
      <c r="M156" s="152" t="s">
        <v>92</v>
      </c>
      <c r="N156" s="152" t="s">
        <v>883</v>
      </c>
      <c r="O156" s="159">
        <v>6395</v>
      </c>
      <c r="P156" s="159" t="s">
        <v>988</v>
      </c>
      <c r="Q156" s="152" t="s">
        <v>92</v>
      </c>
      <c r="R156" s="152" t="s">
        <v>883</v>
      </c>
      <c r="S156" s="159">
        <v>6395</v>
      </c>
      <c r="T156" s="159" t="s">
        <v>988</v>
      </c>
      <c r="U156" s="159" t="s">
        <v>1877</v>
      </c>
      <c r="V156" s="152" t="s">
        <v>857</v>
      </c>
      <c r="W156" s="152" t="s">
        <v>858</v>
      </c>
      <c r="X156" s="152" t="s">
        <v>1083</v>
      </c>
      <c r="Y156" s="152">
        <v>83.3</v>
      </c>
      <c r="Z156" s="152">
        <v>1</v>
      </c>
      <c r="AA156" s="152" t="s">
        <v>92</v>
      </c>
      <c r="AB156" s="152">
        <v>67.260000000000005</v>
      </c>
      <c r="AC156" s="152">
        <v>1</v>
      </c>
      <c r="AD156" s="152" t="s">
        <v>861</v>
      </c>
      <c r="AE156" s="152">
        <v>67.260000000000005</v>
      </c>
      <c r="AF156" s="152">
        <v>0</v>
      </c>
      <c r="AG156" s="152">
        <v>31.17</v>
      </c>
      <c r="AH156" s="152" t="s">
        <v>861</v>
      </c>
      <c r="AI156" s="152" t="s">
        <v>92</v>
      </c>
      <c r="AJ156" s="152" t="s">
        <v>92</v>
      </c>
      <c r="AK156" s="152" t="s">
        <v>912</v>
      </c>
      <c r="AL156" s="159" t="s">
        <v>856</v>
      </c>
      <c r="AP156" s="159" t="s">
        <v>856</v>
      </c>
      <c r="AQ156" s="159" t="s">
        <v>856</v>
      </c>
      <c r="AR156" s="152" t="s">
        <v>1043</v>
      </c>
      <c r="AS156" s="159" t="s">
        <v>865</v>
      </c>
      <c r="AT156" s="152" t="str">
        <f t="shared" si="10"/>
        <v>VUNM10-031021</v>
      </c>
      <c r="AU156" s="152" t="str">
        <f t="shared" si="11"/>
        <v>MARIO EDUARDO MENDOZA</v>
      </c>
      <c r="AV156" s="152">
        <v>615.26</v>
      </c>
      <c r="AW156" s="152">
        <v>807871</v>
      </c>
      <c r="AX156" s="152">
        <v>30</v>
      </c>
      <c r="AY156" s="152">
        <v>807873</v>
      </c>
      <c r="AZ156" s="152" t="s">
        <v>864</v>
      </c>
      <c r="BA156" s="152" t="str">
        <f t="shared" si="12"/>
        <v>L22-407-MP010</v>
      </c>
      <c r="BB156" s="152">
        <v>12</v>
      </c>
      <c r="BC156" s="157">
        <v>44706</v>
      </c>
      <c r="BD156" s="157">
        <v>44951</v>
      </c>
      <c r="BE156" s="158">
        <v>130045</v>
      </c>
      <c r="BF156" s="152" t="s">
        <v>1878</v>
      </c>
      <c r="BG156" s="152" t="s">
        <v>875</v>
      </c>
      <c r="BH156" s="152">
        <v>67.260000000000005</v>
      </c>
      <c r="BI156" s="152">
        <v>0</v>
      </c>
      <c r="BJ156" s="152">
        <v>0</v>
      </c>
      <c r="BK156" s="152" t="s">
        <v>132</v>
      </c>
      <c r="BL156" s="152">
        <v>67.260000000000005</v>
      </c>
      <c r="BM156" s="152">
        <v>807872</v>
      </c>
      <c r="BN156" s="157" t="s">
        <v>1453</v>
      </c>
    </row>
    <row r="157" spans="1:66">
      <c r="A157" s="152" t="s">
        <v>1879</v>
      </c>
      <c r="B157" s="152" t="s">
        <v>1880</v>
      </c>
      <c r="C157" s="152" t="s">
        <v>1881</v>
      </c>
      <c r="D157" s="152" t="s">
        <v>1882</v>
      </c>
      <c r="E157" s="152" t="s">
        <v>1883</v>
      </c>
      <c r="F157" s="152">
        <v>276633</v>
      </c>
      <c r="G157" s="152">
        <v>23</v>
      </c>
      <c r="H157" s="152">
        <v>646</v>
      </c>
      <c r="I157" s="152">
        <v>201394</v>
      </c>
      <c r="J157" s="152">
        <v>92.89</v>
      </c>
      <c r="K157" s="152">
        <v>86423</v>
      </c>
      <c r="L157" s="159" t="s">
        <v>1884</v>
      </c>
      <c r="M157" s="152" t="s">
        <v>883</v>
      </c>
      <c r="N157" s="152" t="s">
        <v>92</v>
      </c>
      <c r="O157" s="159">
        <v>9357</v>
      </c>
      <c r="P157" s="159" t="s">
        <v>1884</v>
      </c>
      <c r="Q157" s="152" t="s">
        <v>883</v>
      </c>
      <c r="R157" s="152" t="s">
        <v>92</v>
      </c>
      <c r="S157" s="159">
        <v>9357</v>
      </c>
      <c r="T157" s="159" t="s">
        <v>1885</v>
      </c>
      <c r="U157" s="159" t="s">
        <v>1886</v>
      </c>
      <c r="V157" s="152" t="s">
        <v>857</v>
      </c>
      <c r="W157" s="152" t="s">
        <v>858</v>
      </c>
      <c r="X157" s="152" t="s">
        <v>1083</v>
      </c>
      <c r="Y157" s="152">
        <v>0</v>
      </c>
      <c r="Z157" s="152">
        <v>1</v>
      </c>
      <c r="AA157" s="152" t="s">
        <v>92</v>
      </c>
      <c r="AB157" s="152">
        <v>92.89</v>
      </c>
      <c r="AC157" s="152">
        <v>1</v>
      </c>
      <c r="AD157" s="152" t="s">
        <v>861</v>
      </c>
      <c r="AE157" s="152">
        <v>92.89</v>
      </c>
      <c r="AF157" s="152">
        <v>0</v>
      </c>
      <c r="AG157" s="152" t="s">
        <v>861</v>
      </c>
      <c r="AH157" s="152" t="s">
        <v>861</v>
      </c>
      <c r="AI157" s="152" t="s">
        <v>92</v>
      </c>
      <c r="AJ157" s="152" t="s">
        <v>92</v>
      </c>
      <c r="AK157" s="152" t="s">
        <v>884</v>
      </c>
      <c r="AL157" s="159" t="s">
        <v>856</v>
      </c>
      <c r="AO157" s="152" t="s">
        <v>883</v>
      </c>
      <c r="AP157" s="159" t="s">
        <v>1887</v>
      </c>
      <c r="AQ157" s="159" t="s">
        <v>1888</v>
      </c>
      <c r="AR157" s="152" t="s">
        <v>885</v>
      </c>
      <c r="AS157" s="159" t="s">
        <v>865</v>
      </c>
      <c r="AT157" s="152" t="str">
        <f t="shared" si="10"/>
        <v>VUNP6-010222</v>
      </c>
      <c r="AU157" s="152" t="str">
        <f t="shared" si="11"/>
        <v>SANTOS LUCRECIO PEREZ SIGUANTAY</v>
      </c>
      <c r="AV157" s="152">
        <v>936.33</v>
      </c>
      <c r="AW157" s="152">
        <v>801392</v>
      </c>
      <c r="AX157" s="152">
        <v>30</v>
      </c>
      <c r="AY157" s="152">
        <v>801394</v>
      </c>
      <c r="AZ157" s="152" t="s">
        <v>864</v>
      </c>
      <c r="BA157" s="152" t="str">
        <f t="shared" si="12"/>
        <v>L22-330-MP009</v>
      </c>
      <c r="BB157" s="152">
        <v>15</v>
      </c>
      <c r="BC157" s="157">
        <v>44694</v>
      </c>
      <c r="BD157" s="157">
        <v>44998</v>
      </c>
      <c r="BE157" s="158">
        <v>185780</v>
      </c>
      <c r="BF157" s="152" t="s">
        <v>1889</v>
      </c>
      <c r="BG157" s="152" t="s">
        <v>1890</v>
      </c>
      <c r="BH157" s="152">
        <v>92.89</v>
      </c>
      <c r="BI157" s="152">
        <v>0</v>
      </c>
      <c r="BJ157" s="152">
        <v>0</v>
      </c>
      <c r="BK157" s="152" t="s">
        <v>132</v>
      </c>
      <c r="BL157" s="152">
        <v>92.89</v>
      </c>
      <c r="BM157" s="152">
        <v>801393</v>
      </c>
      <c r="BN157" s="157" t="s">
        <v>1453</v>
      </c>
    </row>
    <row r="158" spans="1:66">
      <c r="A158" s="152" t="s">
        <v>1891</v>
      </c>
      <c r="B158" s="152" t="s">
        <v>1892</v>
      </c>
      <c r="C158" s="152" t="s">
        <v>1893</v>
      </c>
      <c r="D158" s="152" t="s">
        <v>1894</v>
      </c>
      <c r="E158" s="152" t="s">
        <v>1895</v>
      </c>
      <c r="F158" s="152">
        <v>167</v>
      </c>
      <c r="G158" s="152">
        <v>167</v>
      </c>
      <c r="H158" s="152" t="s">
        <v>1896</v>
      </c>
      <c r="I158" s="152">
        <v>201660</v>
      </c>
      <c r="J158" s="152">
        <v>130</v>
      </c>
      <c r="K158" s="152">
        <v>88618</v>
      </c>
      <c r="L158" s="159" t="s">
        <v>1897</v>
      </c>
      <c r="M158" s="152" t="s">
        <v>92</v>
      </c>
      <c r="N158" s="152" t="s">
        <v>883</v>
      </c>
      <c r="O158" s="159">
        <v>4732</v>
      </c>
      <c r="P158" s="159" t="s">
        <v>1897</v>
      </c>
      <c r="Q158" s="152" t="s">
        <v>92</v>
      </c>
      <c r="R158" s="152" t="s">
        <v>883</v>
      </c>
      <c r="S158" s="159">
        <v>4732</v>
      </c>
      <c r="T158" s="159" t="s">
        <v>1898</v>
      </c>
      <c r="U158" s="159" t="s">
        <v>1899</v>
      </c>
      <c r="V158" s="152" t="s">
        <v>857</v>
      </c>
      <c r="W158" s="152" t="s">
        <v>858</v>
      </c>
      <c r="X158" s="152" t="s">
        <v>1083</v>
      </c>
      <c r="Y158" s="152">
        <v>87.68</v>
      </c>
      <c r="Z158" s="152">
        <v>1</v>
      </c>
      <c r="AA158" s="152" t="s">
        <v>883</v>
      </c>
      <c r="AB158" s="152">
        <v>170.82</v>
      </c>
      <c r="AC158" s="152">
        <v>2</v>
      </c>
      <c r="AD158" s="152" t="s">
        <v>861</v>
      </c>
      <c r="AE158" s="152">
        <v>170.82</v>
      </c>
      <c r="AF158" s="152">
        <v>0</v>
      </c>
      <c r="AG158" s="152">
        <v>25.3</v>
      </c>
      <c r="AH158" s="152" t="s">
        <v>861</v>
      </c>
      <c r="AI158" s="152" t="s">
        <v>92</v>
      </c>
      <c r="AJ158" s="152" t="s">
        <v>92</v>
      </c>
      <c r="AK158" s="152" t="s">
        <v>862</v>
      </c>
      <c r="AL158" s="159" t="s">
        <v>856</v>
      </c>
      <c r="AP158" s="159" t="s">
        <v>856</v>
      </c>
      <c r="AQ158" s="159" t="s">
        <v>856</v>
      </c>
      <c r="AR158" s="152" t="s">
        <v>885</v>
      </c>
      <c r="AS158" s="159" t="s">
        <v>865</v>
      </c>
      <c r="AT158" s="152" t="str">
        <f t="shared" si="10"/>
        <v>VUND10-010422</v>
      </c>
      <c r="AU158" s="152" t="str">
        <f t="shared" si="11"/>
        <v>MARIO ENRIQUE DE LEON QUIROA</v>
      </c>
      <c r="AV158" s="152">
        <v>2461.1</v>
      </c>
      <c r="AW158" s="152">
        <v>801224</v>
      </c>
      <c r="AX158" s="152">
        <v>40</v>
      </c>
      <c r="AY158" s="152">
        <v>801227</v>
      </c>
      <c r="AZ158" s="152" t="s">
        <v>864</v>
      </c>
      <c r="BA158" s="152" t="str">
        <f t="shared" si="12"/>
        <v>L22-356-MP007</v>
      </c>
      <c r="BB158" s="152">
        <v>24</v>
      </c>
      <c r="BC158" s="157">
        <v>44698</v>
      </c>
      <c r="BD158" s="157">
        <v>45063</v>
      </c>
      <c r="BE158" s="158">
        <v>462302</v>
      </c>
      <c r="BF158" s="152" t="s">
        <v>1900</v>
      </c>
      <c r="BG158" s="152" t="s">
        <v>875</v>
      </c>
      <c r="BH158" s="152">
        <v>170.82</v>
      </c>
      <c r="BI158" s="152">
        <v>0</v>
      </c>
      <c r="BJ158" s="152">
        <v>0</v>
      </c>
      <c r="BK158" s="152" t="s">
        <v>132</v>
      </c>
      <c r="BL158" s="152">
        <v>170.82</v>
      </c>
      <c r="BM158" s="152">
        <v>801226</v>
      </c>
      <c r="BN158" s="157" t="s">
        <v>1453</v>
      </c>
    </row>
    <row r="159" spans="1:66">
      <c r="A159" s="152" t="s">
        <v>1901</v>
      </c>
      <c r="B159" s="152" t="s">
        <v>1902</v>
      </c>
      <c r="C159" s="152" t="s">
        <v>1903</v>
      </c>
      <c r="D159" s="152" t="s">
        <v>1904</v>
      </c>
      <c r="E159" s="152" t="s">
        <v>1904</v>
      </c>
      <c r="F159" s="152">
        <v>8194</v>
      </c>
      <c r="G159" s="152">
        <v>194</v>
      </c>
      <c r="H159" s="152" t="s">
        <v>1905</v>
      </c>
      <c r="I159" s="152">
        <v>201707</v>
      </c>
      <c r="J159" s="152">
        <v>126</v>
      </c>
      <c r="K159" s="152">
        <v>88654</v>
      </c>
      <c r="L159" s="159" t="s">
        <v>856</v>
      </c>
      <c r="M159" s="152" t="s">
        <v>92</v>
      </c>
      <c r="N159" s="152" t="s">
        <v>92</v>
      </c>
      <c r="O159" s="159" t="s">
        <v>856</v>
      </c>
      <c r="P159" s="159" t="s">
        <v>856</v>
      </c>
      <c r="Q159" s="152" t="s">
        <v>92</v>
      </c>
      <c r="R159" s="152" t="s">
        <v>92</v>
      </c>
      <c r="S159" s="159" t="s">
        <v>856</v>
      </c>
      <c r="T159" s="159" t="s">
        <v>856</v>
      </c>
      <c r="U159" s="159" t="s">
        <v>856</v>
      </c>
      <c r="V159" s="152" t="s">
        <v>857</v>
      </c>
      <c r="W159" s="152" t="s">
        <v>858</v>
      </c>
      <c r="X159" s="152" t="s">
        <v>882</v>
      </c>
      <c r="Y159" s="152">
        <v>46.73</v>
      </c>
      <c r="Z159" s="152">
        <v>1</v>
      </c>
      <c r="AA159" s="152" t="s">
        <v>883</v>
      </c>
      <c r="AB159" s="152">
        <v>221.07</v>
      </c>
      <c r="AC159" s="152">
        <v>2</v>
      </c>
      <c r="AD159" s="152" t="s">
        <v>861</v>
      </c>
      <c r="AE159" s="152">
        <v>221.07</v>
      </c>
      <c r="AF159" s="152">
        <v>0</v>
      </c>
      <c r="AG159" s="152">
        <v>10.58</v>
      </c>
      <c r="AH159" s="152" t="s">
        <v>861</v>
      </c>
      <c r="AI159" s="152" t="s">
        <v>92</v>
      </c>
      <c r="AJ159" s="152" t="s">
        <v>92</v>
      </c>
      <c r="AK159" s="152" t="s">
        <v>884</v>
      </c>
      <c r="AL159" s="159" t="s">
        <v>856</v>
      </c>
      <c r="AP159" s="159" t="s">
        <v>856</v>
      </c>
      <c r="AQ159" s="159" t="s">
        <v>856</v>
      </c>
      <c r="AR159" s="152" t="s">
        <v>1529</v>
      </c>
      <c r="AS159" s="159" t="s">
        <v>865</v>
      </c>
      <c r="AT159" s="152" t="str">
        <f t="shared" si="10"/>
        <v>RPNR7-201021</v>
      </c>
      <c r="AU159" s="152" t="str">
        <f t="shared" si="11"/>
        <v>MARIBEL LETICIA OROZCO Y OROZCO</v>
      </c>
      <c r="AV159" s="152">
        <v>2877.07</v>
      </c>
      <c r="AW159" s="152">
        <v>729113</v>
      </c>
      <c r="AX159" s="152">
        <v>35</v>
      </c>
      <c r="AY159" s="152">
        <v>729115</v>
      </c>
      <c r="AZ159" s="152" t="s">
        <v>864</v>
      </c>
      <c r="BA159" s="152" t="str">
        <f t="shared" si="12"/>
        <v>L21-973-MP175</v>
      </c>
      <c r="BB159" s="152">
        <v>0</v>
      </c>
      <c r="BC159" s="157">
        <v>44529</v>
      </c>
      <c r="BD159" s="157">
        <v>44529</v>
      </c>
      <c r="BE159" s="158">
        <v>569030.5</v>
      </c>
      <c r="BF159" s="152" t="s">
        <v>1906</v>
      </c>
      <c r="BG159" s="152" t="s">
        <v>894</v>
      </c>
      <c r="BH159" s="152">
        <v>221.07</v>
      </c>
      <c r="BI159" s="152">
        <v>0</v>
      </c>
      <c r="BJ159" s="152">
        <v>0</v>
      </c>
      <c r="BK159" s="152" t="s">
        <v>132</v>
      </c>
      <c r="BL159" s="152">
        <v>221.07</v>
      </c>
      <c r="BM159" s="152">
        <v>729114</v>
      </c>
      <c r="BN159" s="157" t="s">
        <v>1453</v>
      </c>
    </row>
    <row r="160" spans="1:66">
      <c r="A160" s="152" t="s">
        <v>1907</v>
      </c>
      <c r="B160" s="152" t="s">
        <v>1908</v>
      </c>
      <c r="C160" s="152" t="s">
        <v>1262</v>
      </c>
      <c r="D160" s="152" t="s">
        <v>1909</v>
      </c>
      <c r="E160" s="152" t="s">
        <v>1264</v>
      </c>
      <c r="F160" s="152">
        <v>2820</v>
      </c>
      <c r="G160" s="152">
        <v>320</v>
      </c>
      <c r="H160" s="152" t="s">
        <v>1265</v>
      </c>
      <c r="I160" s="152">
        <v>198518</v>
      </c>
      <c r="J160" s="152">
        <v>96</v>
      </c>
      <c r="K160" s="152">
        <v>86074</v>
      </c>
      <c r="L160" s="159" t="s">
        <v>1266</v>
      </c>
      <c r="M160" s="152" t="s">
        <v>92</v>
      </c>
      <c r="N160" s="152" t="s">
        <v>883</v>
      </c>
      <c r="O160" s="159">
        <v>3989</v>
      </c>
      <c r="P160" s="159" t="s">
        <v>1267</v>
      </c>
      <c r="Q160" s="152" t="s">
        <v>883</v>
      </c>
      <c r="R160" s="152" t="s">
        <v>92</v>
      </c>
      <c r="S160" s="159">
        <v>13080</v>
      </c>
      <c r="T160" s="159" t="s">
        <v>1603</v>
      </c>
      <c r="U160" s="159" t="s">
        <v>1604</v>
      </c>
      <c r="V160" s="152" t="s">
        <v>857</v>
      </c>
      <c r="W160" s="152" t="s">
        <v>1268</v>
      </c>
      <c r="X160" s="152" t="s">
        <v>1083</v>
      </c>
      <c r="Y160" s="152">
        <v>28.04</v>
      </c>
      <c r="Z160" s="152">
        <v>1</v>
      </c>
      <c r="AA160" s="152" t="s">
        <v>92</v>
      </c>
      <c r="AB160" s="152">
        <v>85.72</v>
      </c>
      <c r="AC160" s="152">
        <v>2</v>
      </c>
      <c r="AD160" s="152" t="s">
        <v>861</v>
      </c>
      <c r="AE160" s="152">
        <v>85.72</v>
      </c>
      <c r="AF160" s="152">
        <v>0</v>
      </c>
      <c r="AG160" s="152">
        <v>4.41</v>
      </c>
      <c r="AH160" s="152" t="s">
        <v>861</v>
      </c>
      <c r="AI160" s="152" t="s">
        <v>92</v>
      </c>
      <c r="AJ160" s="152" t="s">
        <v>92</v>
      </c>
      <c r="AK160" s="152" t="s">
        <v>862</v>
      </c>
      <c r="AL160" s="159" t="s">
        <v>856</v>
      </c>
      <c r="AP160" s="159" t="s">
        <v>856</v>
      </c>
      <c r="AQ160" s="159" t="s">
        <v>856</v>
      </c>
      <c r="AR160" s="152" t="s">
        <v>863</v>
      </c>
      <c r="AS160" s="159" t="s">
        <v>865</v>
      </c>
      <c r="AT160" s="152" t="str">
        <f t="shared" si="10"/>
        <v>VUNCR-851121</v>
      </c>
      <c r="AU160" s="152" t="str">
        <f t="shared" si="11"/>
        <v>COMPLEJOS COLONIALES, S.A.</v>
      </c>
      <c r="AV160" s="152">
        <v>1135.03</v>
      </c>
      <c r="AW160" s="152">
        <v>753676</v>
      </c>
      <c r="AX160" s="152">
        <v>30</v>
      </c>
      <c r="AY160" s="152">
        <v>753678</v>
      </c>
      <c r="AZ160" s="152" t="s">
        <v>864</v>
      </c>
      <c r="BA160" s="152" t="str">
        <f t="shared" si="12"/>
        <v>L22-043-MP149</v>
      </c>
      <c r="BB160" s="152">
        <v>24</v>
      </c>
      <c r="BC160" s="157">
        <v>44575</v>
      </c>
      <c r="BD160" s="157">
        <v>44940</v>
      </c>
      <c r="BE160" s="158">
        <v>224114</v>
      </c>
      <c r="BF160" s="152" t="s">
        <v>1910</v>
      </c>
      <c r="BG160" s="152" t="s">
        <v>875</v>
      </c>
      <c r="BH160" s="152">
        <v>85.72</v>
      </c>
      <c r="BI160" s="152">
        <v>0</v>
      </c>
      <c r="BJ160" s="152">
        <v>0</v>
      </c>
      <c r="BK160" s="152" t="s">
        <v>132</v>
      </c>
      <c r="BL160" s="152">
        <v>85.72</v>
      </c>
      <c r="BM160" s="152">
        <v>753677</v>
      </c>
      <c r="BN160" s="157" t="s">
        <v>1453</v>
      </c>
    </row>
    <row r="161" spans="1:66">
      <c r="A161" s="152" t="s">
        <v>1911</v>
      </c>
      <c r="B161" s="152" t="s">
        <v>1912</v>
      </c>
      <c r="C161" s="152" t="s">
        <v>1262</v>
      </c>
      <c r="D161" s="152" t="s">
        <v>1913</v>
      </c>
      <c r="E161" s="152" t="s">
        <v>1264</v>
      </c>
      <c r="F161" s="152">
        <v>2819</v>
      </c>
      <c r="G161" s="152">
        <v>319</v>
      </c>
      <c r="H161" s="152" t="s">
        <v>1265</v>
      </c>
      <c r="I161" s="152">
        <v>198517</v>
      </c>
      <c r="J161" s="152">
        <v>98.93</v>
      </c>
      <c r="K161" s="152">
        <v>86073</v>
      </c>
      <c r="L161" s="159" t="s">
        <v>1266</v>
      </c>
      <c r="M161" s="152" t="s">
        <v>92</v>
      </c>
      <c r="N161" s="152" t="s">
        <v>883</v>
      </c>
      <c r="O161" s="159">
        <v>3989</v>
      </c>
      <c r="P161" s="159" t="s">
        <v>1267</v>
      </c>
      <c r="Q161" s="152" t="s">
        <v>883</v>
      </c>
      <c r="R161" s="152" t="s">
        <v>92</v>
      </c>
      <c r="S161" s="159">
        <v>13080</v>
      </c>
      <c r="T161" s="159" t="s">
        <v>1603</v>
      </c>
      <c r="U161" s="159" t="s">
        <v>1604</v>
      </c>
      <c r="V161" s="152" t="s">
        <v>857</v>
      </c>
      <c r="W161" s="152" t="s">
        <v>1268</v>
      </c>
      <c r="X161" s="152" t="s">
        <v>1083</v>
      </c>
      <c r="Y161" s="152">
        <v>50.62</v>
      </c>
      <c r="Z161" s="152">
        <v>1</v>
      </c>
      <c r="AA161" s="152" t="s">
        <v>92</v>
      </c>
      <c r="AB161" s="152">
        <v>85.72</v>
      </c>
      <c r="AC161" s="152">
        <v>2</v>
      </c>
      <c r="AD161" s="152" t="s">
        <v>861</v>
      </c>
      <c r="AE161" s="152">
        <v>85.72</v>
      </c>
      <c r="AF161" s="152">
        <v>0</v>
      </c>
      <c r="AG161" s="152">
        <v>4.62</v>
      </c>
      <c r="AH161" s="152" t="s">
        <v>861</v>
      </c>
      <c r="AI161" s="152" t="s">
        <v>92</v>
      </c>
      <c r="AJ161" s="152" t="s">
        <v>92</v>
      </c>
      <c r="AK161" s="152" t="s">
        <v>862</v>
      </c>
      <c r="AL161" s="159" t="s">
        <v>856</v>
      </c>
      <c r="AP161" s="159" t="s">
        <v>856</v>
      </c>
      <c r="AQ161" s="159" t="s">
        <v>856</v>
      </c>
      <c r="AR161" s="152" t="s">
        <v>863</v>
      </c>
      <c r="AS161" s="159" t="s">
        <v>865</v>
      </c>
      <c r="AT161" s="152" t="str">
        <f t="shared" si="10"/>
        <v>VUNCR-841121</v>
      </c>
      <c r="AU161" s="152" t="str">
        <f t="shared" si="11"/>
        <v>COMPLEJOS COLONIALES, S.A.</v>
      </c>
      <c r="AV161" s="152">
        <v>1179.29</v>
      </c>
      <c r="AW161" s="152">
        <v>753679</v>
      </c>
      <c r="AX161" s="152">
        <v>25.45</v>
      </c>
      <c r="AY161" s="152">
        <v>753681</v>
      </c>
      <c r="AZ161" s="152" t="s">
        <v>864</v>
      </c>
      <c r="BA161" s="152" t="str">
        <f t="shared" si="12"/>
        <v>L22-042-MP148</v>
      </c>
      <c r="BB161" s="152">
        <v>24</v>
      </c>
      <c r="BC161" s="157">
        <v>44575</v>
      </c>
      <c r="BD161" s="157">
        <v>44940</v>
      </c>
      <c r="BE161" s="158">
        <v>232017</v>
      </c>
      <c r="BF161" s="152" t="s">
        <v>1914</v>
      </c>
      <c r="BG161" s="152" t="s">
        <v>875</v>
      </c>
      <c r="BH161" s="152">
        <v>85.72</v>
      </c>
      <c r="BI161" s="152">
        <v>0</v>
      </c>
      <c r="BJ161" s="152">
        <v>0</v>
      </c>
      <c r="BK161" s="152" t="s">
        <v>132</v>
      </c>
      <c r="BL161" s="152">
        <v>85.72</v>
      </c>
      <c r="BM161" s="152">
        <v>753680</v>
      </c>
      <c r="BN161" s="157" t="s">
        <v>1453</v>
      </c>
    </row>
    <row r="162" spans="1:66">
      <c r="A162" s="152" t="s">
        <v>1915</v>
      </c>
      <c r="B162" s="152" t="s">
        <v>1916</v>
      </c>
      <c r="C162" s="152" t="s">
        <v>1262</v>
      </c>
      <c r="D162" s="152" t="s">
        <v>1917</v>
      </c>
      <c r="E162" s="152" t="s">
        <v>1264</v>
      </c>
      <c r="F162" s="152">
        <v>2816</v>
      </c>
      <c r="G162" s="152">
        <v>316</v>
      </c>
      <c r="H162" s="152" t="s">
        <v>1265</v>
      </c>
      <c r="I162" s="152">
        <v>198506</v>
      </c>
      <c r="J162" s="152">
        <v>96</v>
      </c>
      <c r="K162" s="152">
        <v>86063</v>
      </c>
      <c r="L162" s="159" t="s">
        <v>1266</v>
      </c>
      <c r="M162" s="152" t="s">
        <v>92</v>
      </c>
      <c r="N162" s="152" t="s">
        <v>883</v>
      </c>
      <c r="O162" s="159">
        <v>3989</v>
      </c>
      <c r="P162" s="159" t="s">
        <v>1267</v>
      </c>
      <c r="Q162" s="152" t="s">
        <v>883</v>
      </c>
      <c r="R162" s="152" t="s">
        <v>92</v>
      </c>
      <c r="S162" s="159">
        <v>13080</v>
      </c>
      <c r="T162" s="159" t="s">
        <v>1603</v>
      </c>
      <c r="U162" s="159" t="s">
        <v>1604</v>
      </c>
      <c r="V162" s="152" t="s">
        <v>857</v>
      </c>
      <c r="W162" s="152" t="s">
        <v>1268</v>
      </c>
      <c r="X162" s="152" t="s">
        <v>1083</v>
      </c>
      <c r="Y162" s="152">
        <v>28.04</v>
      </c>
      <c r="Z162" s="152">
        <v>1</v>
      </c>
      <c r="AA162" s="152" t="s">
        <v>92</v>
      </c>
      <c r="AB162" s="152">
        <v>85.72</v>
      </c>
      <c r="AC162" s="152">
        <v>2</v>
      </c>
      <c r="AD162" s="152" t="s">
        <v>861</v>
      </c>
      <c r="AE162" s="152">
        <v>85.72</v>
      </c>
      <c r="AF162" s="152">
        <v>0</v>
      </c>
      <c r="AG162" s="152">
        <v>4.41</v>
      </c>
      <c r="AH162" s="152" t="s">
        <v>861</v>
      </c>
      <c r="AI162" s="152" t="s">
        <v>92</v>
      </c>
      <c r="AJ162" s="152" t="s">
        <v>92</v>
      </c>
      <c r="AK162" s="152" t="s">
        <v>862</v>
      </c>
      <c r="AL162" s="159" t="s">
        <v>856</v>
      </c>
      <c r="AP162" s="159" t="s">
        <v>856</v>
      </c>
      <c r="AQ162" s="159" t="s">
        <v>856</v>
      </c>
      <c r="AR162" s="152" t="s">
        <v>863</v>
      </c>
      <c r="AS162" s="159" t="s">
        <v>865</v>
      </c>
      <c r="AT162" s="152" t="str">
        <f t="shared" si="10"/>
        <v>VUNCR-811121</v>
      </c>
      <c r="AU162" s="152" t="str">
        <f t="shared" si="11"/>
        <v>COMPLEJOS COLONIALES, S.A.</v>
      </c>
      <c r="AV162" s="152">
        <v>1135.03</v>
      </c>
      <c r="AW162" s="152">
        <v>753688</v>
      </c>
      <c r="AX162" s="152">
        <v>30</v>
      </c>
      <c r="AY162" s="152">
        <v>753690</v>
      </c>
      <c r="AZ162" s="152" t="s">
        <v>864</v>
      </c>
      <c r="BA162" s="152" t="str">
        <f t="shared" si="12"/>
        <v>L22-039-MP145</v>
      </c>
      <c r="BB162" s="152">
        <v>24</v>
      </c>
      <c r="BC162" s="157">
        <v>44575</v>
      </c>
      <c r="BD162" s="157">
        <v>44940</v>
      </c>
      <c r="BE162" s="158">
        <v>224114</v>
      </c>
      <c r="BF162" s="152" t="s">
        <v>1918</v>
      </c>
      <c r="BG162" s="152" t="s">
        <v>875</v>
      </c>
      <c r="BH162" s="152">
        <v>85.72</v>
      </c>
      <c r="BI162" s="152">
        <v>0</v>
      </c>
      <c r="BJ162" s="152">
        <v>0</v>
      </c>
      <c r="BK162" s="152" t="s">
        <v>132</v>
      </c>
      <c r="BL162" s="152">
        <v>85.72</v>
      </c>
      <c r="BM162" s="152">
        <v>753689</v>
      </c>
      <c r="BN162" s="157" t="s">
        <v>1453</v>
      </c>
    </row>
    <row r="163" spans="1:66">
      <c r="A163" s="152" t="s">
        <v>1919</v>
      </c>
      <c r="B163" s="152" t="s">
        <v>1920</v>
      </c>
      <c r="C163" s="152" t="s">
        <v>1262</v>
      </c>
      <c r="D163" s="152" t="s">
        <v>1921</v>
      </c>
      <c r="E163" s="152" t="s">
        <v>1264</v>
      </c>
      <c r="F163" s="152">
        <v>2824</v>
      </c>
      <c r="G163" s="152">
        <v>324</v>
      </c>
      <c r="H163" s="152" t="s">
        <v>1265</v>
      </c>
      <c r="I163" s="152">
        <v>198541</v>
      </c>
      <c r="J163" s="152">
        <v>96</v>
      </c>
      <c r="K163" s="152">
        <v>86102</v>
      </c>
      <c r="L163" s="159" t="s">
        <v>1266</v>
      </c>
      <c r="M163" s="152" t="s">
        <v>92</v>
      </c>
      <c r="N163" s="152" t="s">
        <v>883</v>
      </c>
      <c r="O163" s="159">
        <v>3989</v>
      </c>
      <c r="P163" s="159" t="s">
        <v>1267</v>
      </c>
      <c r="Q163" s="152" t="s">
        <v>883</v>
      </c>
      <c r="R163" s="152" t="s">
        <v>92</v>
      </c>
      <c r="S163" s="159">
        <v>13080</v>
      </c>
      <c r="T163" s="159" t="s">
        <v>1603</v>
      </c>
      <c r="U163" s="159" t="s">
        <v>1604</v>
      </c>
      <c r="V163" s="152" t="s">
        <v>857</v>
      </c>
      <c r="W163" s="152" t="s">
        <v>1268</v>
      </c>
      <c r="X163" s="152" t="s">
        <v>1083</v>
      </c>
      <c r="Y163" s="152">
        <v>28.04</v>
      </c>
      <c r="Z163" s="152">
        <v>1</v>
      </c>
      <c r="AA163" s="152" t="s">
        <v>92</v>
      </c>
      <c r="AB163" s="152">
        <v>85.72</v>
      </c>
      <c r="AC163" s="152">
        <v>2</v>
      </c>
      <c r="AD163" s="152" t="s">
        <v>861</v>
      </c>
      <c r="AE163" s="152">
        <v>85.72</v>
      </c>
      <c r="AF163" s="152">
        <v>0</v>
      </c>
      <c r="AG163" s="152">
        <v>4.41</v>
      </c>
      <c r="AH163" s="152" t="s">
        <v>861</v>
      </c>
      <c r="AI163" s="152" t="s">
        <v>92</v>
      </c>
      <c r="AJ163" s="152" t="s">
        <v>92</v>
      </c>
      <c r="AK163" s="152" t="s">
        <v>862</v>
      </c>
      <c r="AL163" s="159" t="s">
        <v>856</v>
      </c>
      <c r="AP163" s="159" t="s">
        <v>856</v>
      </c>
      <c r="AQ163" s="159" t="s">
        <v>856</v>
      </c>
      <c r="AR163" s="152" t="s">
        <v>863</v>
      </c>
      <c r="AS163" s="159" t="s">
        <v>865</v>
      </c>
      <c r="AT163" s="152" t="str">
        <f t="shared" si="10"/>
        <v>VUNCR-891121</v>
      </c>
      <c r="AU163" s="152" t="str">
        <f t="shared" si="11"/>
        <v>COMPLEJOS COLONIALES, S.A.</v>
      </c>
      <c r="AV163" s="152">
        <v>1135.03</v>
      </c>
      <c r="AW163" s="152">
        <v>753666</v>
      </c>
      <c r="AX163" s="152">
        <v>30</v>
      </c>
      <c r="AY163" s="152">
        <v>753668</v>
      </c>
      <c r="AZ163" s="152" t="s">
        <v>864</v>
      </c>
      <c r="BA163" s="152" t="str">
        <f t="shared" si="12"/>
        <v>L22-047-MP153</v>
      </c>
      <c r="BB163" s="152">
        <v>24</v>
      </c>
      <c r="BC163" s="157">
        <v>44575</v>
      </c>
      <c r="BD163" s="157">
        <v>44940</v>
      </c>
      <c r="BE163" s="158">
        <v>224114</v>
      </c>
      <c r="BF163" s="152" t="s">
        <v>1922</v>
      </c>
      <c r="BG163" s="152" t="s">
        <v>875</v>
      </c>
      <c r="BH163" s="152">
        <v>85.72</v>
      </c>
      <c r="BI163" s="152">
        <v>0</v>
      </c>
      <c r="BJ163" s="152">
        <v>0</v>
      </c>
      <c r="BK163" s="152" t="s">
        <v>132</v>
      </c>
      <c r="BL163" s="152">
        <v>85.72</v>
      </c>
      <c r="BM163" s="152">
        <v>753667</v>
      </c>
      <c r="BN163" s="157" t="s">
        <v>1453</v>
      </c>
    </row>
    <row r="164" spans="1:66">
      <c r="A164" s="152" t="s">
        <v>1923</v>
      </c>
      <c r="B164" s="152" t="s">
        <v>1924</v>
      </c>
      <c r="C164" s="152" t="s">
        <v>1262</v>
      </c>
      <c r="D164" s="152" t="s">
        <v>1925</v>
      </c>
      <c r="E164" s="152" t="s">
        <v>1264</v>
      </c>
      <c r="F164" s="152">
        <v>2823</v>
      </c>
      <c r="G164" s="152">
        <v>323</v>
      </c>
      <c r="H164" s="152" t="s">
        <v>1265</v>
      </c>
      <c r="I164" s="152">
        <v>198540</v>
      </c>
      <c r="J164" s="152">
        <v>96</v>
      </c>
      <c r="K164" s="152">
        <v>86101</v>
      </c>
      <c r="L164" s="159" t="s">
        <v>1266</v>
      </c>
      <c r="M164" s="152" t="s">
        <v>92</v>
      </c>
      <c r="N164" s="152" t="s">
        <v>883</v>
      </c>
      <c r="O164" s="159">
        <v>3989</v>
      </c>
      <c r="P164" s="159" t="s">
        <v>1267</v>
      </c>
      <c r="Q164" s="152" t="s">
        <v>883</v>
      </c>
      <c r="R164" s="152" t="s">
        <v>92</v>
      </c>
      <c r="S164" s="159">
        <v>13080</v>
      </c>
      <c r="T164" s="159" t="s">
        <v>1603</v>
      </c>
      <c r="U164" s="159" t="s">
        <v>1604</v>
      </c>
      <c r="V164" s="152" t="s">
        <v>857</v>
      </c>
      <c r="W164" s="152" t="s">
        <v>1268</v>
      </c>
      <c r="X164" s="152" t="s">
        <v>1083</v>
      </c>
      <c r="Y164" s="152">
        <v>28.04</v>
      </c>
      <c r="Z164" s="152">
        <v>1</v>
      </c>
      <c r="AA164" s="152" t="s">
        <v>92</v>
      </c>
      <c r="AB164" s="152">
        <v>85.72</v>
      </c>
      <c r="AC164" s="152">
        <v>2</v>
      </c>
      <c r="AD164" s="152" t="s">
        <v>861</v>
      </c>
      <c r="AE164" s="152">
        <v>85.72</v>
      </c>
      <c r="AF164" s="152">
        <v>0</v>
      </c>
      <c r="AG164" s="152">
        <v>4.41</v>
      </c>
      <c r="AH164" s="152" t="s">
        <v>861</v>
      </c>
      <c r="AI164" s="152" t="s">
        <v>92</v>
      </c>
      <c r="AJ164" s="152" t="s">
        <v>92</v>
      </c>
      <c r="AK164" s="152" t="s">
        <v>862</v>
      </c>
      <c r="AL164" s="159" t="s">
        <v>856</v>
      </c>
      <c r="AP164" s="159" t="s">
        <v>856</v>
      </c>
      <c r="AQ164" s="159" t="s">
        <v>856</v>
      </c>
      <c r="AR164" s="152" t="s">
        <v>863</v>
      </c>
      <c r="AS164" s="159" t="s">
        <v>865</v>
      </c>
      <c r="AT164" s="152" t="str">
        <f t="shared" si="10"/>
        <v>VUNCR-881121</v>
      </c>
      <c r="AU164" s="152" t="str">
        <f t="shared" si="11"/>
        <v>COMPLEJOS COLONIALES, S.A.</v>
      </c>
      <c r="AV164" s="152">
        <v>1135.03</v>
      </c>
      <c r="AW164" s="152">
        <v>753715</v>
      </c>
      <c r="AX164" s="152">
        <v>30</v>
      </c>
      <c r="AY164" s="152">
        <v>753717</v>
      </c>
      <c r="AZ164" s="152" t="s">
        <v>864</v>
      </c>
      <c r="BA164" s="152" t="str">
        <f t="shared" si="12"/>
        <v>L22-046-MP152</v>
      </c>
      <c r="BB164" s="152">
        <v>24</v>
      </c>
      <c r="BC164" s="157">
        <v>44575</v>
      </c>
      <c r="BD164" s="157">
        <v>44940</v>
      </c>
      <c r="BE164" s="158">
        <v>224114</v>
      </c>
      <c r="BF164" s="152" t="s">
        <v>1926</v>
      </c>
      <c r="BG164" s="152" t="s">
        <v>875</v>
      </c>
      <c r="BH164" s="152">
        <v>85.72</v>
      </c>
      <c r="BI164" s="152">
        <v>0</v>
      </c>
      <c r="BJ164" s="152">
        <v>0</v>
      </c>
      <c r="BK164" s="152" t="s">
        <v>132</v>
      </c>
      <c r="BL164" s="152">
        <v>85.72</v>
      </c>
      <c r="BM164" s="152">
        <v>753716</v>
      </c>
      <c r="BN164" s="157" t="s">
        <v>1453</v>
      </c>
    </row>
    <row r="165" spans="1:66">
      <c r="A165" s="152" t="s">
        <v>1927</v>
      </c>
      <c r="B165" s="152" t="s">
        <v>1928</v>
      </c>
      <c r="C165" s="152" t="s">
        <v>1262</v>
      </c>
      <c r="D165" s="152" t="s">
        <v>1929</v>
      </c>
      <c r="E165" s="152" t="s">
        <v>1264</v>
      </c>
      <c r="F165" s="152">
        <v>2822</v>
      </c>
      <c r="G165" s="152">
        <v>322</v>
      </c>
      <c r="H165" s="152" t="s">
        <v>1265</v>
      </c>
      <c r="I165" s="152">
        <v>198539</v>
      </c>
      <c r="J165" s="152">
        <v>96</v>
      </c>
      <c r="K165" s="152">
        <v>86100</v>
      </c>
      <c r="L165" s="159" t="s">
        <v>1266</v>
      </c>
      <c r="M165" s="152" t="s">
        <v>92</v>
      </c>
      <c r="N165" s="152" t="s">
        <v>883</v>
      </c>
      <c r="O165" s="159">
        <v>3989</v>
      </c>
      <c r="P165" s="159" t="s">
        <v>1267</v>
      </c>
      <c r="Q165" s="152" t="s">
        <v>883</v>
      </c>
      <c r="R165" s="152" t="s">
        <v>92</v>
      </c>
      <c r="S165" s="159">
        <v>13080</v>
      </c>
      <c r="T165" s="159" t="s">
        <v>1603</v>
      </c>
      <c r="U165" s="159" t="s">
        <v>1604</v>
      </c>
      <c r="V165" s="152" t="s">
        <v>857</v>
      </c>
      <c r="W165" s="152" t="s">
        <v>1268</v>
      </c>
      <c r="X165" s="152" t="s">
        <v>1083</v>
      </c>
      <c r="Y165" s="152">
        <v>28.04</v>
      </c>
      <c r="Z165" s="152">
        <v>1</v>
      </c>
      <c r="AA165" s="152" t="s">
        <v>92</v>
      </c>
      <c r="AB165" s="152">
        <v>85.72</v>
      </c>
      <c r="AC165" s="152">
        <v>2</v>
      </c>
      <c r="AD165" s="152" t="s">
        <v>861</v>
      </c>
      <c r="AE165" s="152">
        <v>85.72</v>
      </c>
      <c r="AF165" s="152">
        <v>0</v>
      </c>
      <c r="AG165" s="152">
        <v>4.41</v>
      </c>
      <c r="AH165" s="152" t="s">
        <v>861</v>
      </c>
      <c r="AI165" s="152" t="s">
        <v>92</v>
      </c>
      <c r="AJ165" s="152" t="s">
        <v>92</v>
      </c>
      <c r="AK165" s="152" t="s">
        <v>862</v>
      </c>
      <c r="AL165" s="159" t="s">
        <v>856</v>
      </c>
      <c r="AP165" s="159" t="s">
        <v>856</v>
      </c>
      <c r="AQ165" s="159" t="s">
        <v>856</v>
      </c>
      <c r="AR165" s="152" t="s">
        <v>863</v>
      </c>
      <c r="AS165" s="159" t="s">
        <v>865</v>
      </c>
      <c r="AT165" s="152" t="str">
        <f t="shared" si="10"/>
        <v>VUNCR-871121</v>
      </c>
      <c r="AU165" s="152" t="str">
        <f t="shared" si="11"/>
        <v>COMPLEJOS COLONIALES, S.A.</v>
      </c>
      <c r="AV165" s="152">
        <v>1135.03</v>
      </c>
      <c r="AW165" s="152">
        <v>753669</v>
      </c>
      <c r="AX165" s="152">
        <v>30</v>
      </c>
      <c r="AY165" s="152">
        <v>753671</v>
      </c>
      <c r="AZ165" s="152" t="s">
        <v>864</v>
      </c>
      <c r="BA165" s="152" t="str">
        <f t="shared" si="12"/>
        <v>L22-045-MP151</v>
      </c>
      <c r="BB165" s="152">
        <v>24</v>
      </c>
      <c r="BC165" s="157">
        <v>44575</v>
      </c>
      <c r="BD165" s="157">
        <v>44940</v>
      </c>
      <c r="BE165" s="158">
        <v>224114</v>
      </c>
      <c r="BF165" s="152" t="s">
        <v>1930</v>
      </c>
      <c r="BG165" s="152" t="s">
        <v>875</v>
      </c>
      <c r="BH165" s="152">
        <v>85.72</v>
      </c>
      <c r="BI165" s="152">
        <v>0</v>
      </c>
      <c r="BJ165" s="152">
        <v>0</v>
      </c>
      <c r="BK165" s="152" t="s">
        <v>132</v>
      </c>
      <c r="BL165" s="152">
        <v>85.72</v>
      </c>
      <c r="BM165" s="152">
        <v>753670</v>
      </c>
      <c r="BN165" s="157" t="s">
        <v>1453</v>
      </c>
    </row>
    <row r="166" spans="1:66">
      <c r="A166" s="152" t="s">
        <v>1931</v>
      </c>
      <c r="B166" s="152" t="s">
        <v>1932</v>
      </c>
      <c r="C166" s="152" t="s">
        <v>1933</v>
      </c>
      <c r="D166" s="152" t="s">
        <v>1934</v>
      </c>
      <c r="E166" s="152" t="s">
        <v>1935</v>
      </c>
      <c r="F166" s="152">
        <v>3560</v>
      </c>
      <c r="G166" s="152">
        <v>60</v>
      </c>
      <c r="H166" s="152" t="s">
        <v>936</v>
      </c>
      <c r="I166" s="152">
        <v>189797</v>
      </c>
      <c r="J166" s="152">
        <v>69.61</v>
      </c>
      <c r="K166" s="152">
        <v>79677</v>
      </c>
      <c r="L166" s="159" t="s">
        <v>1191</v>
      </c>
      <c r="M166" s="152" t="s">
        <v>883</v>
      </c>
      <c r="N166" s="152" t="s">
        <v>92</v>
      </c>
      <c r="O166" s="159">
        <v>14802</v>
      </c>
      <c r="P166" s="159" t="s">
        <v>1191</v>
      </c>
      <c r="Q166" s="152" t="s">
        <v>883</v>
      </c>
      <c r="R166" s="152" t="s">
        <v>92</v>
      </c>
      <c r="S166" s="159">
        <v>14802</v>
      </c>
      <c r="T166" s="159" t="s">
        <v>856</v>
      </c>
      <c r="U166" s="159" t="s">
        <v>856</v>
      </c>
      <c r="V166" s="152" t="s">
        <v>1936</v>
      </c>
      <c r="W166" s="152" t="s">
        <v>858</v>
      </c>
      <c r="X166" s="152" t="s">
        <v>1083</v>
      </c>
      <c r="Y166" s="152">
        <v>0</v>
      </c>
      <c r="Z166" s="152">
        <v>1</v>
      </c>
      <c r="AA166" s="152" t="s">
        <v>883</v>
      </c>
      <c r="AB166" s="152">
        <v>165.05</v>
      </c>
      <c r="AC166" s="152">
        <v>3</v>
      </c>
      <c r="AD166" s="152" t="s">
        <v>861</v>
      </c>
      <c r="AE166" s="152">
        <v>0</v>
      </c>
      <c r="AF166" s="152">
        <v>165.05</v>
      </c>
      <c r="AG166" s="152" t="s">
        <v>861</v>
      </c>
      <c r="AH166" s="152" t="s">
        <v>861</v>
      </c>
      <c r="AI166" s="152" t="s">
        <v>92</v>
      </c>
      <c r="AJ166" s="152" t="s">
        <v>92</v>
      </c>
      <c r="AK166" s="152" t="s">
        <v>942</v>
      </c>
      <c r="AL166" s="159" t="s">
        <v>856</v>
      </c>
      <c r="AP166" s="159" t="s">
        <v>856</v>
      </c>
      <c r="AQ166" s="159" t="s">
        <v>856</v>
      </c>
      <c r="AR166" s="152" t="s">
        <v>1937</v>
      </c>
      <c r="AS166" s="159" t="s">
        <v>865</v>
      </c>
      <c r="AT166" s="152" t="str">
        <f t="shared" si="10"/>
        <v>VUNJ3-020921</v>
      </c>
      <c r="AU166" s="152" t="str">
        <f t="shared" si="11"/>
        <v>ONELGAR VICTORIANO JUAREZ LOPEZ</v>
      </c>
      <c r="AV166" s="152">
        <v>4159.26</v>
      </c>
      <c r="AW166" s="152">
        <v>786893</v>
      </c>
      <c r="AX166" s="152">
        <v>24.95</v>
      </c>
      <c r="AY166" s="152">
        <v>786895</v>
      </c>
      <c r="AZ166" s="152" t="s">
        <v>864</v>
      </c>
      <c r="BA166" s="152" t="str">
        <f t="shared" si="12"/>
        <v>L22-146-MP137</v>
      </c>
      <c r="BB166" s="152">
        <v>50</v>
      </c>
      <c r="BC166" s="157">
        <v>44616</v>
      </c>
      <c r="BD166" s="157">
        <v>45040</v>
      </c>
      <c r="BE166" s="158">
        <v>495150</v>
      </c>
      <c r="BF166" s="152" t="s">
        <v>1938</v>
      </c>
      <c r="BG166" s="152" t="s">
        <v>875</v>
      </c>
      <c r="BH166" s="152">
        <v>0</v>
      </c>
      <c r="BI166" s="152">
        <v>165.05</v>
      </c>
      <c r="BJ166" s="152">
        <v>0</v>
      </c>
      <c r="BK166" s="152" t="s">
        <v>1296</v>
      </c>
      <c r="BL166" s="152">
        <v>206.31</v>
      </c>
      <c r="BM166" s="152">
        <v>786894</v>
      </c>
      <c r="BN166" s="157">
        <v>46077</v>
      </c>
    </row>
    <row r="167" spans="1:66" ht="26">
      <c r="A167" s="300" t="s">
        <v>1939</v>
      </c>
      <c r="B167" s="300"/>
      <c r="C167" s="300"/>
      <c r="D167" s="300"/>
      <c r="E167" s="300"/>
      <c r="F167" s="300"/>
      <c r="G167" s="300"/>
      <c r="H167" s="300"/>
      <c r="L167" s="159" t="s">
        <v>856</v>
      </c>
      <c r="M167" s="152" t="s">
        <v>92</v>
      </c>
      <c r="N167" s="152" t="s">
        <v>92</v>
      </c>
      <c r="O167" s="159" t="s">
        <v>856</v>
      </c>
      <c r="P167" s="159" t="s">
        <v>856</v>
      </c>
      <c r="Q167" s="152" t="s">
        <v>92</v>
      </c>
      <c r="R167" s="152" t="s">
        <v>92</v>
      </c>
      <c r="S167" s="159" t="s">
        <v>856</v>
      </c>
      <c r="T167" s="159" t="s">
        <v>856</v>
      </c>
      <c r="U167" s="159" t="s">
        <v>856</v>
      </c>
      <c r="W167" s="152" t="s">
        <v>858</v>
      </c>
      <c r="X167" s="152" t="s">
        <v>1083</v>
      </c>
      <c r="AA167" s="152" t="s">
        <v>92</v>
      </c>
      <c r="AD167" s="152" t="s">
        <v>861</v>
      </c>
      <c r="AH167" s="152" t="s">
        <v>861</v>
      </c>
      <c r="AI167" s="152" t="s">
        <v>92</v>
      </c>
      <c r="AJ167" s="152" t="s">
        <v>92</v>
      </c>
      <c r="AL167" s="159" t="s">
        <v>856</v>
      </c>
      <c r="AP167" s="159" t="s">
        <v>856</v>
      </c>
      <c r="AQ167" s="159" t="s">
        <v>856</v>
      </c>
      <c r="AS167" s="159" t="s">
        <v>865</v>
      </c>
      <c r="AT167" s="152">
        <f t="shared" si="10"/>
        <v>0</v>
      </c>
      <c r="AU167" s="152">
        <f t="shared" si="11"/>
        <v>0</v>
      </c>
      <c r="BA167" s="152" t="str">
        <f t="shared" si="12"/>
        <v>2024 PUESTO IMPRESIÓN DE LICENCIAS</v>
      </c>
    </row>
    <row r="168" spans="1:66">
      <c r="A168" s="152" t="s">
        <v>1940</v>
      </c>
      <c r="B168" s="152" t="s">
        <v>1941</v>
      </c>
      <c r="C168" s="152" t="s">
        <v>1942</v>
      </c>
      <c r="D168" s="152" t="s">
        <v>1943</v>
      </c>
      <c r="E168" s="152" t="s">
        <v>1943</v>
      </c>
      <c r="F168" s="152">
        <v>7746</v>
      </c>
      <c r="G168" s="152">
        <v>246</v>
      </c>
      <c r="H168" s="152" t="s">
        <v>1021</v>
      </c>
      <c r="I168" s="152">
        <v>198252</v>
      </c>
      <c r="J168" s="152">
        <v>184.24</v>
      </c>
      <c r="K168" s="152">
        <v>85803</v>
      </c>
      <c r="L168" s="159" t="s">
        <v>1944</v>
      </c>
      <c r="M168" s="152" t="s">
        <v>883</v>
      </c>
      <c r="N168" s="152" t="s">
        <v>92</v>
      </c>
      <c r="O168" s="159">
        <v>13030</v>
      </c>
      <c r="P168" s="159" t="s">
        <v>1944</v>
      </c>
      <c r="Q168" s="152" t="s">
        <v>883</v>
      </c>
      <c r="R168" s="152" t="s">
        <v>92</v>
      </c>
      <c r="S168" s="159">
        <v>13030</v>
      </c>
      <c r="T168" s="159" t="s">
        <v>856</v>
      </c>
      <c r="U168" s="159" t="s">
        <v>856</v>
      </c>
      <c r="V168" s="152" t="s">
        <v>857</v>
      </c>
      <c r="W168" s="152" t="s">
        <v>858</v>
      </c>
      <c r="X168" s="152" t="s">
        <v>902</v>
      </c>
      <c r="Y168" s="152">
        <v>93.29</v>
      </c>
      <c r="Z168" s="152">
        <v>1</v>
      </c>
      <c r="AA168" s="152" t="s">
        <v>92</v>
      </c>
      <c r="AB168" s="152">
        <v>113.26</v>
      </c>
      <c r="AC168" s="152">
        <v>1</v>
      </c>
      <c r="AD168" s="152" t="s">
        <v>861</v>
      </c>
      <c r="AE168" s="152">
        <v>113.26</v>
      </c>
      <c r="AF168" s="152">
        <v>0</v>
      </c>
      <c r="AG168" s="152">
        <v>71.86</v>
      </c>
      <c r="AH168" s="152" t="s">
        <v>861</v>
      </c>
      <c r="AI168" s="152" t="s">
        <v>92</v>
      </c>
      <c r="AJ168" s="152" t="s">
        <v>92</v>
      </c>
      <c r="AK168" s="152" t="s">
        <v>862</v>
      </c>
      <c r="AL168" s="159" t="s">
        <v>856</v>
      </c>
      <c r="AP168" s="159" t="s">
        <v>856</v>
      </c>
      <c r="AQ168" s="159" t="s">
        <v>856</v>
      </c>
      <c r="AR168" s="152" t="s">
        <v>1043</v>
      </c>
      <c r="AS168" s="159" t="s">
        <v>865</v>
      </c>
      <c r="AT168" s="152" t="str">
        <f t="shared" si="10"/>
        <v>RPNA5-041019</v>
      </c>
      <c r="AU168" s="152" t="str">
        <f t="shared" si="11"/>
        <v>ELVIRA FLORIDALMA AMBROCIO MACARIO</v>
      </c>
      <c r="AV168" s="152">
        <v>1324.51</v>
      </c>
      <c r="AW168" s="152">
        <v>817437</v>
      </c>
      <c r="AX168" s="152">
        <v>64.25</v>
      </c>
      <c r="AY168" s="152">
        <v>817438</v>
      </c>
      <c r="AZ168" s="152" t="s">
        <v>864</v>
      </c>
      <c r="BA168" s="152" t="str">
        <f t="shared" si="12"/>
        <v>L19-684-JM154</v>
      </c>
      <c r="BB168" s="152">
        <v>0</v>
      </c>
      <c r="BC168" s="157">
        <v>43796</v>
      </c>
      <c r="BD168" s="157">
        <v>43796</v>
      </c>
      <c r="BE168" s="158">
        <v>259171.5</v>
      </c>
      <c r="BF168" s="152" t="s">
        <v>1945</v>
      </c>
      <c r="BG168" s="152" t="s">
        <v>894</v>
      </c>
      <c r="BH168" s="152">
        <v>113.26</v>
      </c>
      <c r="BI168" s="152">
        <v>0</v>
      </c>
      <c r="BJ168" s="152">
        <v>0</v>
      </c>
      <c r="BK168" s="152" t="s">
        <v>132</v>
      </c>
      <c r="BL168" s="152">
        <v>113.26</v>
      </c>
      <c r="BM168" s="152">
        <v>828038</v>
      </c>
      <c r="BN168" s="157" t="s">
        <v>1453</v>
      </c>
    </row>
    <row r="169" spans="1:66">
      <c r="A169" s="152" t="s">
        <v>1947</v>
      </c>
      <c r="B169" s="152" t="s">
        <v>1948</v>
      </c>
      <c r="C169" s="152" t="s">
        <v>1949</v>
      </c>
      <c r="D169" s="152" t="s">
        <v>1950</v>
      </c>
      <c r="E169" s="152" t="s">
        <v>1950</v>
      </c>
      <c r="F169" s="152">
        <v>8324</v>
      </c>
      <c r="G169" s="152">
        <v>324</v>
      </c>
      <c r="H169" s="152" t="s">
        <v>1007</v>
      </c>
      <c r="I169" s="152">
        <v>195118</v>
      </c>
      <c r="J169" s="152">
        <v>228.15</v>
      </c>
      <c r="K169" s="152">
        <v>83672</v>
      </c>
      <c r="L169" s="159" t="s">
        <v>1951</v>
      </c>
      <c r="O169" s="159">
        <v>5911</v>
      </c>
      <c r="P169" s="159" t="s">
        <v>1951</v>
      </c>
      <c r="S169" s="159">
        <v>5911</v>
      </c>
      <c r="T169" s="159" t="s">
        <v>856</v>
      </c>
      <c r="U169" s="159" t="s">
        <v>856</v>
      </c>
      <c r="V169" s="152" t="s">
        <v>1952</v>
      </c>
      <c r="W169" s="152" t="s">
        <v>858</v>
      </c>
      <c r="X169" s="152" t="s">
        <v>1083</v>
      </c>
      <c r="Y169" s="152">
        <v>191.63</v>
      </c>
      <c r="Z169" s="152">
        <v>1</v>
      </c>
      <c r="AA169" s="152" t="s">
        <v>92</v>
      </c>
      <c r="AB169" s="152">
        <v>17.22</v>
      </c>
      <c r="AC169" s="152">
        <v>2</v>
      </c>
      <c r="AD169" s="152" t="s">
        <v>861</v>
      </c>
      <c r="AE169" s="152">
        <v>0</v>
      </c>
      <c r="AF169" s="152">
        <v>17.22</v>
      </c>
      <c r="AG169" s="152">
        <v>107.23</v>
      </c>
      <c r="AH169" s="152">
        <v>37.06</v>
      </c>
      <c r="AI169" s="152" t="s">
        <v>92</v>
      </c>
      <c r="AJ169" s="152" t="s">
        <v>92</v>
      </c>
      <c r="AK169" s="152" t="s">
        <v>884</v>
      </c>
      <c r="AL169" s="159" t="s">
        <v>856</v>
      </c>
      <c r="AP169" s="159" t="s">
        <v>856</v>
      </c>
      <c r="AQ169" s="159" t="s">
        <v>856</v>
      </c>
      <c r="AR169" s="152" t="s">
        <v>1953</v>
      </c>
      <c r="AS169" s="159" t="s">
        <v>865</v>
      </c>
      <c r="AT169" s="152" t="str">
        <f t="shared" si="10"/>
        <v>VUNL8-050919</v>
      </c>
      <c r="AU169" s="152" t="str">
        <f t="shared" si="11"/>
        <v>CARMEN ARACELY LEMUS HERNANDEZ</v>
      </c>
      <c r="AV169" s="152">
        <v>624.77</v>
      </c>
      <c r="AW169" s="152">
        <v>854017</v>
      </c>
      <c r="AX169" s="152">
        <v>50</v>
      </c>
      <c r="AY169" s="152">
        <v>854019</v>
      </c>
      <c r="AZ169" s="152" t="s">
        <v>864</v>
      </c>
      <c r="BA169" s="152" t="str">
        <f t="shared" si="12"/>
        <v>L20-311-SP104</v>
      </c>
      <c r="BC169" s="157">
        <v>44098</v>
      </c>
      <c r="BD169" s="157">
        <v>44463</v>
      </c>
      <c r="BE169" s="158">
        <v>100586.5</v>
      </c>
    </row>
    <row r="170" spans="1:66">
      <c r="A170" s="152" t="s">
        <v>1954</v>
      </c>
      <c r="B170" s="152" t="s">
        <v>1955</v>
      </c>
      <c r="C170" s="152" t="s">
        <v>1956</v>
      </c>
      <c r="D170" s="152" t="s">
        <v>1957</v>
      </c>
      <c r="E170" s="152" t="s">
        <v>1957</v>
      </c>
      <c r="F170" s="152">
        <v>59434</v>
      </c>
      <c r="G170" s="152">
        <v>240</v>
      </c>
      <c r="H170" s="152">
        <v>296</v>
      </c>
      <c r="I170" s="152">
        <v>3077</v>
      </c>
      <c r="J170" s="152">
        <v>1047.8</v>
      </c>
      <c r="K170" s="152">
        <v>38421</v>
      </c>
      <c r="L170" s="159" t="s">
        <v>1958</v>
      </c>
      <c r="O170" s="159">
        <v>8196</v>
      </c>
      <c r="P170" s="159" t="s">
        <v>1958</v>
      </c>
      <c r="S170" s="159">
        <v>8196</v>
      </c>
      <c r="T170" s="159" t="s">
        <v>856</v>
      </c>
      <c r="U170" s="159" t="s">
        <v>856</v>
      </c>
      <c r="V170" s="152" t="s">
        <v>1492</v>
      </c>
      <c r="W170" s="152" t="s">
        <v>858</v>
      </c>
      <c r="X170" s="152" t="s">
        <v>1083</v>
      </c>
      <c r="Y170" s="152">
        <v>0</v>
      </c>
      <c r="Z170" s="152">
        <v>0</v>
      </c>
      <c r="AA170" s="152" t="s">
        <v>92</v>
      </c>
      <c r="AB170" s="152">
        <v>212.17</v>
      </c>
      <c r="AC170" s="152">
        <v>2</v>
      </c>
      <c r="AD170" s="152" t="s">
        <v>861</v>
      </c>
      <c r="AE170" s="152">
        <v>0</v>
      </c>
      <c r="AF170" s="152">
        <v>212.17</v>
      </c>
      <c r="AG170" s="152">
        <v>492.47</v>
      </c>
      <c r="AH170" s="152">
        <v>37.06</v>
      </c>
      <c r="AI170" s="152" t="s">
        <v>92</v>
      </c>
      <c r="AJ170" s="152" t="s">
        <v>92</v>
      </c>
      <c r="AK170" s="152" t="s">
        <v>1085</v>
      </c>
      <c r="AL170" s="159" t="s">
        <v>856</v>
      </c>
      <c r="AP170" s="159" t="s">
        <v>856</v>
      </c>
      <c r="AQ170" s="159" t="s">
        <v>856</v>
      </c>
      <c r="AR170" s="152" t="s">
        <v>1953</v>
      </c>
      <c r="AS170" s="159" t="s">
        <v>865</v>
      </c>
      <c r="AT170" s="152" t="str">
        <f t="shared" si="10"/>
        <v>RPNS3-030820</v>
      </c>
      <c r="AU170" s="152" t="str">
        <f t="shared" si="11"/>
        <v>GABRIELA FABIOLA SOTO MONZON</v>
      </c>
      <c r="AV170" s="152">
        <v>4455.57</v>
      </c>
      <c r="AW170" s="152">
        <v>853506</v>
      </c>
      <c r="AX170" s="159" t="s">
        <v>856</v>
      </c>
      <c r="AY170" s="159" t="s">
        <v>856</v>
      </c>
      <c r="AZ170" s="152" t="s">
        <v>864</v>
      </c>
      <c r="BA170" s="152" t="str">
        <f t="shared" si="12"/>
        <v>L20-324-SP092</v>
      </c>
      <c r="BC170" s="157">
        <v>44085</v>
      </c>
      <c r="BD170" s="157">
        <v>44085</v>
      </c>
      <c r="BE170" s="158">
        <v>530425</v>
      </c>
    </row>
    <row r="171" spans="1:66">
      <c r="A171" s="152" t="s">
        <v>1959</v>
      </c>
      <c r="B171" s="152" t="s">
        <v>1960</v>
      </c>
      <c r="C171" s="152" t="s">
        <v>1961</v>
      </c>
      <c r="D171" s="152" t="s">
        <v>1962</v>
      </c>
      <c r="E171" s="152" t="s">
        <v>1963</v>
      </c>
      <c r="F171" s="152">
        <v>5504</v>
      </c>
      <c r="G171" s="152">
        <v>4</v>
      </c>
      <c r="H171" s="152" t="s">
        <v>1964</v>
      </c>
      <c r="I171" s="152">
        <v>176742</v>
      </c>
      <c r="J171" s="152">
        <v>88.3</v>
      </c>
      <c r="K171" s="152">
        <v>70384</v>
      </c>
      <c r="L171" s="159" t="s">
        <v>1965</v>
      </c>
      <c r="M171" s="152" t="s">
        <v>883</v>
      </c>
      <c r="N171" s="152" t="s">
        <v>92</v>
      </c>
      <c r="O171" s="159">
        <v>13490</v>
      </c>
      <c r="P171" s="159" t="s">
        <v>1965</v>
      </c>
      <c r="Q171" s="152" t="s">
        <v>883</v>
      </c>
      <c r="R171" s="152" t="s">
        <v>92</v>
      </c>
      <c r="S171" s="159">
        <v>13490</v>
      </c>
      <c r="T171" s="159" t="s">
        <v>856</v>
      </c>
      <c r="U171" s="159" t="s">
        <v>856</v>
      </c>
      <c r="V171" s="152" t="s">
        <v>857</v>
      </c>
      <c r="W171" s="152" t="s">
        <v>858</v>
      </c>
      <c r="X171" s="152" t="s">
        <v>1083</v>
      </c>
      <c r="Y171" s="152">
        <v>27.14</v>
      </c>
      <c r="Z171" s="152">
        <v>1</v>
      </c>
      <c r="AA171" s="152" t="s">
        <v>92</v>
      </c>
      <c r="AB171" s="152">
        <v>71.98</v>
      </c>
      <c r="AC171" s="152">
        <v>1</v>
      </c>
      <c r="AD171" s="152" t="s">
        <v>861</v>
      </c>
      <c r="AE171" s="152">
        <v>71.98</v>
      </c>
      <c r="AF171" s="152">
        <v>0</v>
      </c>
      <c r="AG171" s="152" t="s">
        <v>861</v>
      </c>
      <c r="AH171" s="152" t="s">
        <v>861</v>
      </c>
      <c r="AI171" s="152" t="s">
        <v>92</v>
      </c>
      <c r="AJ171" s="152" t="s">
        <v>92</v>
      </c>
      <c r="AK171" s="152" t="s">
        <v>862</v>
      </c>
      <c r="AL171" s="159" t="s">
        <v>856</v>
      </c>
      <c r="AP171" s="159" t="s">
        <v>856</v>
      </c>
      <c r="AQ171" s="159" t="s">
        <v>856</v>
      </c>
      <c r="AR171" s="152" t="s">
        <v>1953</v>
      </c>
      <c r="AS171" s="159" t="s">
        <v>865</v>
      </c>
      <c r="AT171" s="152" t="str">
        <f t="shared" si="10"/>
        <v>VUNY1-010122</v>
      </c>
      <c r="AU171" s="152" t="str">
        <f t="shared" si="11"/>
        <v>LILIAN NOEMI YAX SAJQUIM Y CONDUEÑO</v>
      </c>
      <c r="AV171" s="152">
        <v>844.99</v>
      </c>
      <c r="AW171" s="152">
        <v>785076</v>
      </c>
      <c r="AX171" s="152">
        <v>26.25</v>
      </c>
      <c r="AY171" s="152">
        <v>785079</v>
      </c>
      <c r="AZ171" s="152" t="s">
        <v>864</v>
      </c>
      <c r="BA171" s="152" t="str">
        <f t="shared" si="12"/>
        <v>L22-085-NR012</v>
      </c>
      <c r="BB171" s="152">
        <v>15</v>
      </c>
      <c r="BC171" s="157">
        <v>44601</v>
      </c>
      <c r="BD171" s="157">
        <v>44966</v>
      </c>
      <c r="BE171" s="158">
        <v>15667</v>
      </c>
      <c r="BF171" s="152" t="s">
        <v>1966</v>
      </c>
      <c r="BG171" s="152" t="s">
        <v>1967</v>
      </c>
      <c r="BH171" s="152">
        <v>71.98</v>
      </c>
      <c r="BI171" s="152">
        <v>0</v>
      </c>
      <c r="BJ171" s="152">
        <v>0</v>
      </c>
      <c r="BK171" s="152" t="s">
        <v>132</v>
      </c>
      <c r="BL171" s="152">
        <v>71.98</v>
      </c>
      <c r="BM171" s="152">
        <v>785078</v>
      </c>
      <c r="BN171" s="157" t="s">
        <v>1453</v>
      </c>
    </row>
    <row r="172" spans="1:66">
      <c r="A172" s="152" t="s">
        <v>1968</v>
      </c>
      <c r="B172" s="152" t="s">
        <v>1969</v>
      </c>
      <c r="C172" s="152" t="s">
        <v>1970</v>
      </c>
      <c r="D172" s="152" t="s">
        <v>1971</v>
      </c>
      <c r="E172" s="152" t="s">
        <v>1971</v>
      </c>
      <c r="F172" s="152">
        <v>236227</v>
      </c>
      <c r="G172" s="152">
        <v>107</v>
      </c>
      <c r="H172" s="152">
        <v>505</v>
      </c>
      <c r="I172" s="152">
        <v>132214</v>
      </c>
      <c r="J172" s="152">
        <v>218.4</v>
      </c>
      <c r="K172" s="152">
        <v>30387</v>
      </c>
      <c r="L172" s="159" t="s">
        <v>1972</v>
      </c>
      <c r="M172" s="152" t="s">
        <v>92</v>
      </c>
      <c r="N172" s="152" t="s">
        <v>883</v>
      </c>
      <c r="O172" s="159">
        <v>6608</v>
      </c>
      <c r="P172" s="159" t="s">
        <v>1972</v>
      </c>
      <c r="Q172" s="152" t="s">
        <v>92</v>
      </c>
      <c r="R172" s="152" t="s">
        <v>883</v>
      </c>
      <c r="S172" s="159">
        <v>6608</v>
      </c>
      <c r="T172" s="159" t="s">
        <v>856</v>
      </c>
      <c r="U172" s="159" t="s">
        <v>856</v>
      </c>
      <c r="V172" s="152" t="s">
        <v>911</v>
      </c>
      <c r="W172" s="152" t="s">
        <v>858</v>
      </c>
      <c r="X172" s="152" t="s">
        <v>1083</v>
      </c>
      <c r="Y172" s="152">
        <v>0</v>
      </c>
      <c r="Z172" s="152">
        <v>1</v>
      </c>
      <c r="AA172" s="152" t="s">
        <v>92</v>
      </c>
      <c r="AB172" s="152">
        <v>48.49</v>
      </c>
      <c r="AC172" s="152">
        <v>1</v>
      </c>
      <c r="AD172" s="152" t="s">
        <v>861</v>
      </c>
      <c r="AE172" s="152">
        <v>48.49</v>
      </c>
      <c r="AF172" s="152">
        <v>0</v>
      </c>
      <c r="AG172" s="152" t="s">
        <v>861</v>
      </c>
      <c r="AH172" s="152" t="s">
        <v>861</v>
      </c>
      <c r="AI172" s="152" t="s">
        <v>92</v>
      </c>
      <c r="AJ172" s="152" t="s">
        <v>92</v>
      </c>
      <c r="AK172" s="152" t="s">
        <v>884</v>
      </c>
      <c r="AL172" s="159" t="s">
        <v>856</v>
      </c>
      <c r="AP172" s="159" t="s">
        <v>856</v>
      </c>
      <c r="AQ172" s="159" t="s">
        <v>856</v>
      </c>
      <c r="AR172" s="152" t="s">
        <v>1953</v>
      </c>
      <c r="AS172" s="159" t="s">
        <v>865</v>
      </c>
      <c r="AT172" s="152" t="str">
        <f t="shared" si="10"/>
        <v>RPNP8-601221</v>
      </c>
      <c r="AU172" s="152" t="str">
        <f t="shared" si="11"/>
        <v>MARCELINO PEREZ HERNANDEZ</v>
      </c>
      <c r="AV172" s="152">
        <v>325.85000000000002</v>
      </c>
      <c r="AW172" s="152">
        <v>786130</v>
      </c>
      <c r="AX172" s="152">
        <v>44.9</v>
      </c>
      <c r="AY172" s="152">
        <v>786132</v>
      </c>
      <c r="AZ172" s="152" t="s">
        <v>864</v>
      </c>
      <c r="BA172" s="152" t="str">
        <f t="shared" si="12"/>
        <v>L22-147-SP220</v>
      </c>
      <c r="BB172" s="152">
        <v>8</v>
      </c>
      <c r="BC172" s="157">
        <v>44606</v>
      </c>
      <c r="BD172" s="157">
        <v>44971</v>
      </c>
      <c r="BE172" s="158">
        <v>72735</v>
      </c>
      <c r="BF172" s="152" t="s">
        <v>1973</v>
      </c>
      <c r="BG172" s="152" t="s">
        <v>894</v>
      </c>
      <c r="BH172" s="152">
        <v>48.49</v>
      </c>
      <c r="BI172" s="152">
        <v>0</v>
      </c>
      <c r="BJ172" s="152">
        <v>0</v>
      </c>
      <c r="BK172" s="152" t="s">
        <v>132</v>
      </c>
      <c r="BL172" s="152">
        <v>48.49</v>
      </c>
      <c r="BM172" s="152">
        <v>786131</v>
      </c>
      <c r="BN172" s="157" t="s">
        <v>1453</v>
      </c>
    </row>
    <row r="173" spans="1:66">
      <c r="A173" s="152" t="s">
        <v>1974</v>
      </c>
      <c r="B173" s="152" t="s">
        <v>1975</v>
      </c>
      <c r="C173" s="152" t="s">
        <v>1976</v>
      </c>
      <c r="D173" s="152" t="s">
        <v>1977</v>
      </c>
      <c r="E173" s="152" t="s">
        <v>1978</v>
      </c>
      <c r="F173" s="152">
        <v>307353</v>
      </c>
      <c r="G173" s="152">
        <v>43</v>
      </c>
      <c r="H173" s="152">
        <v>742</v>
      </c>
      <c r="I173" s="152">
        <v>201103</v>
      </c>
      <c r="J173" s="152">
        <v>112</v>
      </c>
      <c r="K173" s="152">
        <v>88186</v>
      </c>
      <c r="L173" s="159" t="s">
        <v>988</v>
      </c>
      <c r="M173" s="152" t="s">
        <v>92</v>
      </c>
      <c r="N173" s="152" t="s">
        <v>883</v>
      </c>
      <c r="O173" s="159">
        <v>6395</v>
      </c>
      <c r="P173" s="159" t="s">
        <v>988</v>
      </c>
      <c r="Q173" s="152" t="s">
        <v>883</v>
      </c>
      <c r="R173" s="152" t="s">
        <v>92</v>
      </c>
      <c r="S173" s="159">
        <v>6395</v>
      </c>
      <c r="T173" s="159" t="s">
        <v>989</v>
      </c>
      <c r="U173" s="159" t="s">
        <v>990</v>
      </c>
      <c r="V173" s="152" t="s">
        <v>857</v>
      </c>
      <c r="W173" s="152" t="s">
        <v>858</v>
      </c>
      <c r="X173" s="152" t="s">
        <v>1083</v>
      </c>
      <c r="Y173" s="152">
        <v>72.38</v>
      </c>
      <c r="Z173" s="152">
        <v>1</v>
      </c>
      <c r="AA173" s="152" t="s">
        <v>92</v>
      </c>
      <c r="AB173" s="152">
        <v>121.82</v>
      </c>
      <c r="AC173" s="152">
        <v>2</v>
      </c>
      <c r="AD173" s="152" t="s">
        <v>861</v>
      </c>
      <c r="AE173" s="152">
        <v>121.82</v>
      </c>
      <c r="AF173" s="152">
        <v>0</v>
      </c>
      <c r="AG173" s="152">
        <v>46.23</v>
      </c>
      <c r="AH173" s="152" t="s">
        <v>861</v>
      </c>
      <c r="AI173" s="152" t="s">
        <v>92</v>
      </c>
      <c r="AJ173" s="152" t="s">
        <v>92</v>
      </c>
      <c r="AK173" s="152" t="s">
        <v>884</v>
      </c>
      <c r="AL173" s="159" t="s">
        <v>856</v>
      </c>
      <c r="AP173" s="159" t="s">
        <v>856</v>
      </c>
      <c r="AQ173" s="159" t="s">
        <v>856</v>
      </c>
      <c r="AR173" s="152" t="s">
        <v>873</v>
      </c>
      <c r="AS173" s="159" t="s">
        <v>865</v>
      </c>
      <c r="AT173" s="152" t="str">
        <f t="shared" si="10"/>
        <v>VUNP6-021222</v>
      </c>
      <c r="AU173" s="152" t="str">
        <f t="shared" si="11"/>
        <v>BAYRON PEREZ AJCUC</v>
      </c>
      <c r="AV173" s="152">
        <v>1653.63</v>
      </c>
      <c r="AW173" s="152">
        <v>829785</v>
      </c>
      <c r="AX173" s="152">
        <v>35</v>
      </c>
      <c r="AY173" s="152">
        <v>829787</v>
      </c>
      <c r="AZ173" s="152" t="s">
        <v>864</v>
      </c>
      <c r="BA173" s="152" t="str">
        <f t="shared" si="12"/>
        <v>L23-129-MP022</v>
      </c>
      <c r="BB173" s="152">
        <v>24</v>
      </c>
      <c r="BC173" s="157">
        <v>44988</v>
      </c>
      <c r="BD173" s="157">
        <v>45354</v>
      </c>
      <c r="BE173" s="158">
        <v>325943</v>
      </c>
      <c r="BF173" s="152" t="s">
        <v>1979</v>
      </c>
      <c r="BG173" s="152" t="s">
        <v>1980</v>
      </c>
      <c r="BH173" s="152">
        <v>121.82</v>
      </c>
      <c r="BI173" s="152">
        <v>0</v>
      </c>
      <c r="BJ173" s="152">
        <v>0</v>
      </c>
      <c r="BK173" s="152" t="s">
        <v>132</v>
      </c>
      <c r="BL173" s="152">
        <v>121.82</v>
      </c>
      <c r="BM173" s="152">
        <v>829786</v>
      </c>
      <c r="BN173" s="157" t="s">
        <v>1453</v>
      </c>
    </row>
    <row r="174" spans="1:66">
      <c r="A174" s="152" t="s">
        <v>1981</v>
      </c>
      <c r="B174" s="152" t="s">
        <v>1982</v>
      </c>
      <c r="C174" s="152" t="s">
        <v>1983</v>
      </c>
      <c r="D174" s="152" t="s">
        <v>1984</v>
      </c>
      <c r="E174" s="152" t="s">
        <v>1984</v>
      </c>
      <c r="F174" s="152">
        <v>3820</v>
      </c>
      <c r="G174" s="152">
        <v>320</v>
      </c>
      <c r="H174" s="152" t="s">
        <v>936</v>
      </c>
      <c r="I174" s="152">
        <v>198613</v>
      </c>
      <c r="J174" s="152">
        <v>287.89</v>
      </c>
      <c r="K174" s="152">
        <v>86170</v>
      </c>
      <c r="L174" s="159" t="s">
        <v>1985</v>
      </c>
      <c r="M174" s="152" t="s">
        <v>92</v>
      </c>
      <c r="N174" s="152" t="s">
        <v>883</v>
      </c>
      <c r="O174" s="159">
        <v>6757</v>
      </c>
      <c r="P174" s="152" t="s">
        <v>1983</v>
      </c>
      <c r="Q174" s="152" t="s">
        <v>92</v>
      </c>
      <c r="R174" s="152" t="s">
        <v>92</v>
      </c>
      <c r="S174" s="159" t="s">
        <v>856</v>
      </c>
      <c r="T174" s="159" t="s">
        <v>1986</v>
      </c>
      <c r="U174" s="159" t="s">
        <v>1987</v>
      </c>
      <c r="V174" s="152" t="s">
        <v>857</v>
      </c>
      <c r="W174" s="152" t="s">
        <v>858</v>
      </c>
      <c r="X174" s="152" t="s">
        <v>1083</v>
      </c>
      <c r="Y174" s="152">
        <v>155.75</v>
      </c>
      <c r="Z174" s="152">
        <v>1</v>
      </c>
      <c r="AA174" s="152" t="s">
        <v>92</v>
      </c>
      <c r="AB174" s="152">
        <v>80.430000000000007</v>
      </c>
      <c r="AC174" s="152">
        <v>1</v>
      </c>
      <c r="AD174" s="152" t="s">
        <v>861</v>
      </c>
      <c r="AE174" s="152">
        <v>80.430000000000007</v>
      </c>
      <c r="AF174" s="152">
        <v>0</v>
      </c>
      <c r="AG174" s="152">
        <v>135</v>
      </c>
      <c r="AH174" s="152" t="s">
        <v>861</v>
      </c>
      <c r="AI174" s="152" t="s">
        <v>92</v>
      </c>
      <c r="AJ174" s="152" t="s">
        <v>92</v>
      </c>
      <c r="AK174" s="152" t="s">
        <v>884</v>
      </c>
      <c r="AL174" s="159" t="s">
        <v>856</v>
      </c>
      <c r="AP174" s="159" t="s">
        <v>856</v>
      </c>
      <c r="AQ174" s="159" t="s">
        <v>856</v>
      </c>
      <c r="AR174" s="152" t="s">
        <v>1988</v>
      </c>
      <c r="AS174" s="159" t="s">
        <v>865</v>
      </c>
      <c r="AT174" s="152" t="str">
        <f t="shared" ref="AT174:AT184" si="13">B174</f>
        <v>RPNC7-221122</v>
      </c>
      <c r="AU174" s="152" t="str">
        <f t="shared" ref="AU174:AU184" si="14">C174</f>
        <v>HUGO ROLANDO CIFUENTES WALTER</v>
      </c>
      <c r="AV174" s="152">
        <v>1254.8399999999999</v>
      </c>
      <c r="AW174" s="152">
        <v>849881</v>
      </c>
      <c r="AX174" s="152">
        <v>68.25</v>
      </c>
      <c r="AY174" s="152">
        <v>849883</v>
      </c>
      <c r="AZ174" s="152" t="s">
        <v>864</v>
      </c>
      <c r="BA174" s="152" t="str">
        <f t="shared" si="12"/>
        <v>L23-228-MP019</v>
      </c>
      <c r="BB174" s="152">
        <v>0</v>
      </c>
      <c r="BC174" s="157">
        <v>45008</v>
      </c>
      <c r="BD174" s="157">
        <v>45008</v>
      </c>
      <c r="BE174" s="158">
        <v>220000.5</v>
      </c>
      <c r="BF174" s="152" t="s">
        <v>1989</v>
      </c>
      <c r="BG174" s="152" t="s">
        <v>894</v>
      </c>
      <c r="BH174" s="152">
        <v>80.430000000000007</v>
      </c>
      <c r="BI174" s="152">
        <v>0</v>
      </c>
      <c r="BJ174" s="152">
        <v>0</v>
      </c>
      <c r="BK174" s="152" t="s">
        <v>132</v>
      </c>
      <c r="BL174" s="152">
        <v>80.430000000000007</v>
      </c>
      <c r="BM174" s="152">
        <v>849882</v>
      </c>
      <c r="BN174" s="157" t="s">
        <v>1453</v>
      </c>
    </row>
    <row r="175" spans="1:66">
      <c r="A175" s="152" t="s">
        <v>1990</v>
      </c>
      <c r="B175" s="152" t="s">
        <v>1991</v>
      </c>
      <c r="C175" s="152" t="s">
        <v>1992</v>
      </c>
      <c r="D175" s="152" t="s">
        <v>1993</v>
      </c>
      <c r="E175" s="152" t="s">
        <v>1994</v>
      </c>
      <c r="F175" s="152">
        <v>5936</v>
      </c>
      <c r="G175" s="152">
        <v>436</v>
      </c>
      <c r="H175" s="152" t="s">
        <v>1704</v>
      </c>
      <c r="I175" s="152">
        <v>174239</v>
      </c>
      <c r="J175" s="152">
        <v>128</v>
      </c>
      <c r="K175" s="159" t="s">
        <v>865</v>
      </c>
      <c r="L175" s="159" t="s">
        <v>1371</v>
      </c>
      <c r="M175" s="152" t="s">
        <v>883</v>
      </c>
      <c r="N175" s="152" t="s">
        <v>92</v>
      </c>
      <c r="O175" s="159">
        <v>7810</v>
      </c>
      <c r="P175" s="159" t="s">
        <v>1371</v>
      </c>
      <c r="Q175" s="152" t="s">
        <v>883</v>
      </c>
      <c r="R175" s="152" t="s">
        <v>92</v>
      </c>
      <c r="S175" s="159">
        <v>7810</v>
      </c>
      <c r="T175" s="159" t="s">
        <v>856</v>
      </c>
      <c r="U175" s="159" t="s">
        <v>856</v>
      </c>
      <c r="V175" s="152" t="s">
        <v>1995</v>
      </c>
      <c r="W175" s="152" t="s">
        <v>858</v>
      </c>
      <c r="X175" s="152" t="s">
        <v>1083</v>
      </c>
      <c r="Y175" s="152">
        <v>0</v>
      </c>
      <c r="Z175" s="152">
        <v>0</v>
      </c>
      <c r="AA175" s="152" t="s">
        <v>92</v>
      </c>
      <c r="AB175" s="152">
        <v>110.28</v>
      </c>
      <c r="AC175" s="152">
        <v>2</v>
      </c>
      <c r="AD175" s="152" t="s">
        <v>861</v>
      </c>
      <c r="AE175" s="152">
        <v>0</v>
      </c>
      <c r="AF175" s="152">
        <v>0</v>
      </c>
      <c r="AG175" s="152" t="s">
        <v>861</v>
      </c>
      <c r="AH175" s="152" t="s">
        <v>861</v>
      </c>
      <c r="AI175" s="152" t="s">
        <v>92</v>
      </c>
      <c r="AJ175" s="152" t="s">
        <v>92</v>
      </c>
      <c r="AK175" s="152" t="s">
        <v>862</v>
      </c>
      <c r="AL175" s="159" t="s">
        <v>856</v>
      </c>
      <c r="AP175" s="159" t="s">
        <v>856</v>
      </c>
      <c r="AQ175" s="159" t="s">
        <v>856</v>
      </c>
      <c r="AR175" s="152" t="s">
        <v>1996</v>
      </c>
      <c r="AS175" s="159" t="s">
        <v>865</v>
      </c>
      <c r="AT175" s="152" t="str">
        <f t="shared" si="13"/>
        <v>VUNVR-020822</v>
      </c>
      <c r="AU175" s="152" t="str">
        <f t="shared" si="14"/>
        <v>LIDDA NARDDA VILLATORO CIFUENTES</v>
      </c>
      <c r="AV175" s="152">
        <v>1389.53</v>
      </c>
      <c r="AW175" s="152">
        <v>846108</v>
      </c>
      <c r="AX175" s="159" t="s">
        <v>856</v>
      </c>
      <c r="AY175" s="159" t="s">
        <v>856</v>
      </c>
      <c r="AZ175" s="152" t="s">
        <v>1997</v>
      </c>
      <c r="BA175" s="152" t="str">
        <f t="shared" si="12"/>
        <v>L23-173-MP037</v>
      </c>
      <c r="BB175" s="152">
        <v>12</v>
      </c>
      <c r="BC175" s="157">
        <v>45007</v>
      </c>
      <c r="BD175" s="157">
        <v>45191</v>
      </c>
      <c r="BE175" s="158">
        <v>0</v>
      </c>
    </row>
    <row r="176" spans="1:66">
      <c r="A176" s="152" t="s">
        <v>1998</v>
      </c>
      <c r="B176" s="152" t="s">
        <v>1999</v>
      </c>
      <c r="C176" s="152" t="s">
        <v>2000</v>
      </c>
      <c r="D176" s="152" t="s">
        <v>2001</v>
      </c>
      <c r="E176" s="152" t="s">
        <v>2002</v>
      </c>
      <c r="F176" s="152">
        <v>5544</v>
      </c>
      <c r="G176" s="152">
        <v>44</v>
      </c>
      <c r="H176" s="152" t="s">
        <v>1704</v>
      </c>
      <c r="I176" s="152">
        <v>173899</v>
      </c>
      <c r="J176" s="152">
        <v>128</v>
      </c>
      <c r="K176" s="159" t="s">
        <v>865</v>
      </c>
      <c r="L176" s="159" t="s">
        <v>2003</v>
      </c>
      <c r="M176" s="152" t="s">
        <v>92</v>
      </c>
      <c r="N176" s="152" t="s">
        <v>883</v>
      </c>
      <c r="O176" s="159">
        <v>3833</v>
      </c>
      <c r="P176" s="159" t="s">
        <v>2003</v>
      </c>
      <c r="Q176" s="152" t="s">
        <v>92</v>
      </c>
      <c r="R176" s="152" t="s">
        <v>883</v>
      </c>
      <c r="S176" s="159">
        <v>3833</v>
      </c>
      <c r="T176" s="159" t="s">
        <v>856</v>
      </c>
      <c r="U176" s="159" t="s">
        <v>856</v>
      </c>
      <c r="V176" s="152" t="s">
        <v>1995</v>
      </c>
      <c r="W176" s="152" t="s">
        <v>858</v>
      </c>
      <c r="X176" s="152" t="s">
        <v>1083</v>
      </c>
      <c r="Y176" s="152">
        <v>28.4</v>
      </c>
      <c r="Z176" s="152">
        <v>0</v>
      </c>
      <c r="AA176" s="152" t="s">
        <v>92</v>
      </c>
      <c r="AB176" s="152">
        <v>224.9</v>
      </c>
      <c r="AC176" s="152">
        <v>2</v>
      </c>
      <c r="AD176" s="152" t="s">
        <v>861</v>
      </c>
      <c r="AE176" s="152">
        <v>0</v>
      </c>
      <c r="AF176" s="152">
        <v>0</v>
      </c>
      <c r="AH176" s="152" t="s">
        <v>861</v>
      </c>
      <c r="AI176" s="152" t="s">
        <v>92</v>
      </c>
      <c r="AJ176" s="152" t="s">
        <v>92</v>
      </c>
      <c r="AK176" s="152" t="s">
        <v>862</v>
      </c>
      <c r="AL176" s="159" t="s">
        <v>856</v>
      </c>
      <c r="AP176" s="159" t="s">
        <v>856</v>
      </c>
      <c r="AQ176" s="159" t="s">
        <v>856</v>
      </c>
      <c r="AR176" s="152" t="s">
        <v>992</v>
      </c>
      <c r="AS176" s="159" t="s">
        <v>865</v>
      </c>
      <c r="AT176" s="152" t="str">
        <f t="shared" si="13"/>
        <v>VUNH5-021122</v>
      </c>
      <c r="AU176" s="152" t="str">
        <f t="shared" si="14"/>
        <v>BRYAN JOHAO HERNANDEZ MALDONADO</v>
      </c>
      <c r="AV176" s="152">
        <v>1444.71</v>
      </c>
      <c r="AW176" s="152">
        <v>848372</v>
      </c>
      <c r="AX176" s="159" t="s">
        <v>856</v>
      </c>
      <c r="AY176" s="159" t="s">
        <v>856</v>
      </c>
      <c r="AZ176" s="152" t="s">
        <v>1997</v>
      </c>
      <c r="BA176" s="152" t="str">
        <f t="shared" si="12"/>
        <v>L23-166-MP060</v>
      </c>
      <c r="BB176" s="152">
        <v>12</v>
      </c>
      <c r="BC176" s="157">
        <v>45001</v>
      </c>
      <c r="BD176" s="157">
        <v>45185</v>
      </c>
      <c r="BE176" s="158">
        <v>0</v>
      </c>
    </row>
    <row r="177" spans="1:66">
      <c r="A177" s="152" t="s">
        <v>2004</v>
      </c>
      <c r="B177" s="152" t="s">
        <v>2005</v>
      </c>
      <c r="C177" s="152" t="s">
        <v>2006</v>
      </c>
      <c r="D177" s="152" t="s">
        <v>2007</v>
      </c>
      <c r="E177" s="152" t="s">
        <v>2007</v>
      </c>
      <c r="F177" s="152">
        <v>317820</v>
      </c>
      <c r="G177" s="152">
        <v>31</v>
      </c>
      <c r="H177" s="152">
        <v>777</v>
      </c>
      <c r="I177" s="152">
        <v>201752</v>
      </c>
      <c r="J177" s="152">
        <v>117</v>
      </c>
      <c r="K177" s="152">
        <v>88697</v>
      </c>
      <c r="L177" s="159" t="s">
        <v>1526</v>
      </c>
      <c r="M177" s="152" t="s">
        <v>92</v>
      </c>
      <c r="N177" s="152" t="s">
        <v>883</v>
      </c>
      <c r="O177" s="159">
        <v>5418</v>
      </c>
      <c r="P177" s="159" t="s">
        <v>1526</v>
      </c>
      <c r="Q177" s="152" t="s">
        <v>92</v>
      </c>
      <c r="R177" s="152" t="s">
        <v>883</v>
      </c>
      <c r="S177" s="159">
        <v>5418</v>
      </c>
      <c r="T177" s="159" t="s">
        <v>2008</v>
      </c>
      <c r="U177" s="159" t="s">
        <v>2009</v>
      </c>
      <c r="V177" s="152" t="s">
        <v>911</v>
      </c>
      <c r="W177" s="152" t="s">
        <v>858</v>
      </c>
      <c r="X177" s="152" t="s">
        <v>1083</v>
      </c>
      <c r="Y177" s="152">
        <v>24.33</v>
      </c>
      <c r="Z177" s="152">
        <v>2</v>
      </c>
      <c r="AA177" s="152" t="s">
        <v>883</v>
      </c>
      <c r="AB177" s="152">
        <v>218.54</v>
      </c>
      <c r="AC177" s="152">
        <v>2</v>
      </c>
      <c r="AD177" s="152" t="s">
        <v>861</v>
      </c>
      <c r="AE177" s="152">
        <v>218.54</v>
      </c>
      <c r="AF177" s="152">
        <v>0</v>
      </c>
      <c r="AG177" s="152" t="s">
        <v>861</v>
      </c>
      <c r="AH177" s="152" t="s">
        <v>861</v>
      </c>
      <c r="AI177" s="152" t="s">
        <v>92</v>
      </c>
      <c r="AJ177" s="152" t="s">
        <v>92</v>
      </c>
      <c r="AK177" s="152" t="s">
        <v>862</v>
      </c>
      <c r="AL177" s="159" t="s">
        <v>856</v>
      </c>
      <c r="AP177" s="159" t="s">
        <v>856</v>
      </c>
      <c r="AQ177" s="159" t="s">
        <v>856</v>
      </c>
      <c r="AR177" s="152" t="s">
        <v>1043</v>
      </c>
      <c r="AS177" s="159" t="s">
        <v>865</v>
      </c>
      <c r="AT177" s="152" t="str">
        <f t="shared" si="13"/>
        <v>RPNM5-540922</v>
      </c>
      <c r="AU177" s="152" t="str">
        <f t="shared" si="14"/>
        <v>ROSEMARY MEJIA</v>
      </c>
      <c r="AV177" s="152">
        <v>2801.29</v>
      </c>
      <c r="AW177" s="152">
        <v>817107</v>
      </c>
      <c r="AX177" s="159">
        <v>45</v>
      </c>
      <c r="AY177" s="159">
        <v>817109</v>
      </c>
      <c r="AZ177" s="152" t="s">
        <v>864</v>
      </c>
      <c r="BA177" s="152" t="str">
        <f t="shared" si="12"/>
        <v>L22-834-MP041</v>
      </c>
      <c r="BB177" s="152">
        <v>0</v>
      </c>
      <c r="BC177" s="157">
        <v>44897</v>
      </c>
      <c r="BD177" s="157">
        <v>44897</v>
      </c>
      <c r="BE177" s="158">
        <v>554865.5</v>
      </c>
      <c r="BF177" s="152" t="s">
        <v>2010</v>
      </c>
      <c r="BG177" s="152" t="s">
        <v>894</v>
      </c>
      <c r="BH177" s="152">
        <v>218.54</v>
      </c>
      <c r="BI177" s="152">
        <v>0</v>
      </c>
      <c r="BJ177" s="152">
        <v>0</v>
      </c>
      <c r="BK177" s="152" t="s">
        <v>132</v>
      </c>
      <c r="BL177" s="152">
        <v>218.54</v>
      </c>
      <c r="BM177" s="152">
        <v>817108</v>
      </c>
      <c r="BN177" s="157" t="s">
        <v>1453</v>
      </c>
    </row>
    <row r="178" spans="1:66">
      <c r="A178" s="152" t="s">
        <v>2011</v>
      </c>
      <c r="B178" s="152" t="s">
        <v>2012</v>
      </c>
      <c r="C178" s="152" t="s">
        <v>2013</v>
      </c>
      <c r="D178" s="152" t="s">
        <v>2014</v>
      </c>
      <c r="E178" s="152" t="s">
        <v>2014</v>
      </c>
      <c r="F178" s="152">
        <v>430</v>
      </c>
      <c r="G178" s="152">
        <v>430</v>
      </c>
      <c r="H178" s="152" t="s">
        <v>1450</v>
      </c>
      <c r="I178" s="152">
        <v>191027</v>
      </c>
      <c r="J178" s="152">
        <v>223.1</v>
      </c>
      <c r="K178" s="152">
        <v>80624</v>
      </c>
      <c r="L178" s="159" t="s">
        <v>2015</v>
      </c>
      <c r="M178" s="152" t="s">
        <v>883</v>
      </c>
      <c r="N178" s="152" t="s">
        <v>92</v>
      </c>
      <c r="O178" s="159">
        <v>5028</v>
      </c>
      <c r="P178" s="159" t="s">
        <v>2015</v>
      </c>
      <c r="Q178" s="152" t="s">
        <v>883</v>
      </c>
      <c r="R178" s="152" t="s">
        <v>92</v>
      </c>
      <c r="S178" s="159">
        <v>5028</v>
      </c>
      <c r="T178" s="159" t="s">
        <v>856</v>
      </c>
      <c r="U178" s="159" t="s">
        <v>856</v>
      </c>
      <c r="V178" s="152" t="s">
        <v>857</v>
      </c>
      <c r="W178" s="152" t="s">
        <v>858</v>
      </c>
      <c r="X178" s="152" t="s">
        <v>1083</v>
      </c>
      <c r="Y178" s="152">
        <v>111.42</v>
      </c>
      <c r="Z178" s="152">
        <v>1</v>
      </c>
      <c r="AA178" s="152" t="s">
        <v>92</v>
      </c>
      <c r="AB178" s="152">
        <v>240.15</v>
      </c>
      <c r="AC178" s="152">
        <v>2</v>
      </c>
      <c r="AD178" s="152" t="s">
        <v>861</v>
      </c>
      <c r="AE178" s="152">
        <v>240.15</v>
      </c>
      <c r="AF178" s="152">
        <v>0</v>
      </c>
      <c r="AG178" s="152">
        <v>86.15</v>
      </c>
      <c r="AH178" s="152" t="s">
        <v>861</v>
      </c>
      <c r="AI178" s="152" t="s">
        <v>92</v>
      </c>
      <c r="AJ178" s="152" t="s">
        <v>92</v>
      </c>
      <c r="AK178" s="152" t="s">
        <v>872</v>
      </c>
      <c r="AL178" s="159" t="s">
        <v>856</v>
      </c>
      <c r="AP178" s="159" t="s">
        <v>856</v>
      </c>
      <c r="AQ178" s="159" t="s">
        <v>856</v>
      </c>
      <c r="AR178" s="152" t="s">
        <v>1529</v>
      </c>
      <c r="AS178" s="159" t="s">
        <v>865</v>
      </c>
      <c r="AT178" s="152" t="str">
        <f t="shared" si="13"/>
        <v>VUF9-020619</v>
      </c>
      <c r="AU178" s="152" t="str">
        <f t="shared" si="14"/>
        <v>FEVAMA, S.A.</v>
      </c>
      <c r="AV178" s="152">
        <v>3244.27</v>
      </c>
      <c r="AW178" s="152">
        <v>804255</v>
      </c>
      <c r="AX178" s="159">
        <v>56.5</v>
      </c>
      <c r="AY178" s="159">
        <v>804257</v>
      </c>
      <c r="AZ178" s="152" t="s">
        <v>864</v>
      </c>
      <c r="BA178" s="152" t="str">
        <f t="shared" si="12"/>
        <v>L19-495-MP066</v>
      </c>
      <c r="BB178" s="152">
        <v>24</v>
      </c>
      <c r="BC178" s="157">
        <v>43732</v>
      </c>
      <c r="BD178" s="157">
        <v>44098</v>
      </c>
      <c r="BE178" s="158">
        <v>639372</v>
      </c>
      <c r="BF178" s="152" t="s">
        <v>2016</v>
      </c>
      <c r="BG178" s="152" t="s">
        <v>875</v>
      </c>
      <c r="BH178" s="152">
        <v>240.15</v>
      </c>
      <c r="BI178" s="152">
        <v>0</v>
      </c>
      <c r="BJ178" s="152">
        <v>0</v>
      </c>
      <c r="BK178" s="152" t="s">
        <v>132</v>
      </c>
      <c r="BL178" s="152">
        <v>240.15</v>
      </c>
      <c r="BM178" s="152">
        <v>804256</v>
      </c>
      <c r="BN178" s="157" t="s">
        <v>1453</v>
      </c>
    </row>
    <row r="179" spans="1:66">
      <c r="A179" s="152" t="s">
        <v>2017</v>
      </c>
      <c r="B179" s="152" t="s">
        <v>2018</v>
      </c>
      <c r="C179" s="152" t="s">
        <v>2013</v>
      </c>
      <c r="D179" s="152" t="s">
        <v>2019</v>
      </c>
      <c r="E179" s="152" t="s">
        <v>2019</v>
      </c>
      <c r="F179" s="152">
        <v>455</v>
      </c>
      <c r="G179" s="152">
        <v>455</v>
      </c>
      <c r="H179" s="152" t="s">
        <v>1450</v>
      </c>
      <c r="I179" s="152">
        <v>191042</v>
      </c>
      <c r="J179" s="152">
        <v>200</v>
      </c>
      <c r="K179" s="152">
        <v>80639</v>
      </c>
      <c r="L179" s="159" t="s">
        <v>2015</v>
      </c>
      <c r="M179" s="152" t="s">
        <v>883</v>
      </c>
      <c r="N179" s="152" t="s">
        <v>92</v>
      </c>
      <c r="O179" s="159">
        <v>5028</v>
      </c>
      <c r="P179" s="159" t="s">
        <v>2015</v>
      </c>
      <c r="Q179" s="152" t="s">
        <v>883</v>
      </c>
      <c r="R179" s="152" t="s">
        <v>92</v>
      </c>
      <c r="S179" s="159">
        <v>5028</v>
      </c>
      <c r="T179" s="159" t="s">
        <v>856</v>
      </c>
      <c r="U179" s="159" t="s">
        <v>856</v>
      </c>
      <c r="V179" s="152" t="s">
        <v>857</v>
      </c>
      <c r="W179" s="152" t="s">
        <v>858</v>
      </c>
      <c r="X179" s="152" t="s">
        <v>1083</v>
      </c>
      <c r="Y179" s="152">
        <v>60.19</v>
      </c>
      <c r="Z179" s="152">
        <v>1</v>
      </c>
      <c r="AA179" s="152" t="s">
        <v>92</v>
      </c>
      <c r="AB179" s="152">
        <v>240.15</v>
      </c>
      <c r="AC179" s="152">
        <v>2</v>
      </c>
      <c r="AD179" s="152" t="s">
        <v>861</v>
      </c>
      <c r="AE179" s="152">
        <v>240.15</v>
      </c>
      <c r="AF179" s="152">
        <v>0</v>
      </c>
      <c r="AG179" s="152">
        <v>60.24</v>
      </c>
      <c r="AH179" s="152" t="s">
        <v>861</v>
      </c>
      <c r="AI179" s="152" t="s">
        <v>92</v>
      </c>
      <c r="AJ179" s="152" t="s">
        <v>92</v>
      </c>
      <c r="AK179" s="152" t="s">
        <v>872</v>
      </c>
      <c r="AL179" s="159" t="s">
        <v>856</v>
      </c>
      <c r="AP179" s="159" t="s">
        <v>856</v>
      </c>
      <c r="AQ179" s="159" t="s">
        <v>856</v>
      </c>
      <c r="AR179" s="152" t="s">
        <v>992</v>
      </c>
      <c r="AS179" s="159" t="s">
        <v>865</v>
      </c>
      <c r="AT179" s="152" t="str">
        <f t="shared" si="13"/>
        <v>VUF9-010619</v>
      </c>
      <c r="AU179" s="152" t="str">
        <f t="shared" si="14"/>
        <v>FEVAMA, S.A.</v>
      </c>
      <c r="AV179" s="152">
        <v>3143.87</v>
      </c>
      <c r="AW179" s="152">
        <v>804258</v>
      </c>
      <c r="AX179" s="159">
        <v>50</v>
      </c>
      <c r="AY179" s="159">
        <v>804260</v>
      </c>
      <c r="AZ179" s="152" t="s">
        <v>864</v>
      </c>
      <c r="BA179" s="152" t="str">
        <f t="shared" si="12"/>
        <v>L19-496-MP067</v>
      </c>
      <c r="BB179" s="152">
        <v>24</v>
      </c>
      <c r="BC179" s="157">
        <v>43732</v>
      </c>
      <c r="BD179" s="157">
        <v>44098</v>
      </c>
      <c r="BE179" s="158">
        <v>621442.19999999995</v>
      </c>
      <c r="BF179" s="152" t="s">
        <v>2020</v>
      </c>
      <c r="BG179" s="152" t="s">
        <v>875</v>
      </c>
      <c r="BH179" s="152">
        <v>240.15</v>
      </c>
      <c r="BI179" s="152">
        <v>0</v>
      </c>
      <c r="BJ179" s="152">
        <v>0</v>
      </c>
      <c r="BK179" s="152" t="s">
        <v>132</v>
      </c>
      <c r="BL179" s="152">
        <v>240.15</v>
      </c>
      <c r="BM179" s="152">
        <v>804259</v>
      </c>
      <c r="BN179" s="157" t="s">
        <v>1453</v>
      </c>
    </row>
    <row r="180" spans="1:66">
      <c r="A180" s="152" t="s">
        <v>2021</v>
      </c>
      <c r="B180" s="152" t="s">
        <v>2022</v>
      </c>
      <c r="C180" s="152" t="s">
        <v>2023</v>
      </c>
      <c r="D180" s="152" t="s">
        <v>2024</v>
      </c>
      <c r="E180" s="152" t="s">
        <v>2024</v>
      </c>
      <c r="F180" s="152">
        <v>5224</v>
      </c>
      <c r="G180" s="152">
        <v>224</v>
      </c>
      <c r="H180" s="152" t="s">
        <v>1507</v>
      </c>
      <c r="I180" s="152">
        <v>198643</v>
      </c>
      <c r="J180" s="152">
        <v>140</v>
      </c>
      <c r="K180" s="152">
        <v>66195</v>
      </c>
      <c r="L180" s="159" t="s">
        <v>2025</v>
      </c>
      <c r="M180" s="152" t="s">
        <v>92</v>
      </c>
      <c r="N180" s="152" t="s">
        <v>883</v>
      </c>
      <c r="O180" s="159">
        <v>3180</v>
      </c>
      <c r="P180" s="159" t="s">
        <v>2025</v>
      </c>
      <c r="Q180" s="152" t="s">
        <v>92</v>
      </c>
      <c r="R180" s="152" t="s">
        <v>883</v>
      </c>
      <c r="S180" s="159">
        <v>3180</v>
      </c>
      <c r="T180" s="159" t="s">
        <v>856</v>
      </c>
      <c r="U180" s="159" t="s">
        <v>856</v>
      </c>
      <c r="V180" s="152" t="s">
        <v>857</v>
      </c>
      <c r="W180" s="152" t="s">
        <v>858</v>
      </c>
      <c r="X180" s="152" t="s">
        <v>1083</v>
      </c>
      <c r="Y180" s="152">
        <v>56.92</v>
      </c>
      <c r="Z180" s="152">
        <v>1</v>
      </c>
      <c r="AA180" s="152" t="s">
        <v>883</v>
      </c>
      <c r="AB180" s="152">
        <v>217.09</v>
      </c>
      <c r="AC180" s="152">
        <v>2</v>
      </c>
      <c r="AD180" s="152" t="s">
        <v>861</v>
      </c>
      <c r="AE180" s="152">
        <v>217.09</v>
      </c>
      <c r="AF180" s="152">
        <v>0</v>
      </c>
      <c r="AG180" s="152" t="s">
        <v>861</v>
      </c>
      <c r="AH180" s="152" t="s">
        <v>861</v>
      </c>
      <c r="AI180" s="152" t="s">
        <v>92</v>
      </c>
      <c r="AJ180" s="152" t="s">
        <v>92</v>
      </c>
      <c r="AK180" s="152" t="s">
        <v>862</v>
      </c>
      <c r="AL180" s="159" t="s">
        <v>856</v>
      </c>
      <c r="AP180" s="159" t="s">
        <v>856</v>
      </c>
      <c r="AQ180" s="159" t="s">
        <v>856</v>
      </c>
      <c r="AR180" s="152" t="s">
        <v>1953</v>
      </c>
      <c r="AS180" s="159" t="s">
        <v>865</v>
      </c>
      <c r="AT180" s="152" t="str">
        <f t="shared" si="13"/>
        <v>VUD7-040719</v>
      </c>
      <c r="AU180" s="152" t="str">
        <f t="shared" si="14"/>
        <v>ERWIN BAUDILIO DIAZ MAZARIEGOS</v>
      </c>
      <c r="AV180" s="152">
        <v>2846.9</v>
      </c>
      <c r="AW180" s="152">
        <v>807213</v>
      </c>
      <c r="AX180" s="159">
        <v>35</v>
      </c>
      <c r="AY180" s="159">
        <v>807214</v>
      </c>
      <c r="AZ180" s="152" t="s">
        <v>864</v>
      </c>
      <c r="BA180" s="152" t="str">
        <f t="shared" si="12"/>
        <v>L19-434-SP131</v>
      </c>
      <c r="BB180" s="152">
        <v>24</v>
      </c>
      <c r="BC180" s="157">
        <v>43706</v>
      </c>
      <c r="BD180" s="157">
        <v>44072</v>
      </c>
      <c r="BE180" s="158">
        <v>562647</v>
      </c>
      <c r="BF180" s="152" t="s">
        <v>2026</v>
      </c>
      <c r="BG180" s="152" t="s">
        <v>875</v>
      </c>
      <c r="BH180" s="152">
        <v>217.09</v>
      </c>
      <c r="BI180" s="152">
        <v>0</v>
      </c>
      <c r="BJ180" s="152">
        <v>0</v>
      </c>
      <c r="BK180" s="152" t="s">
        <v>132</v>
      </c>
      <c r="BL180" s="152">
        <v>217.09</v>
      </c>
      <c r="BM180" s="152">
        <v>807212</v>
      </c>
      <c r="BN180" s="157" t="s">
        <v>1453</v>
      </c>
    </row>
    <row r="181" spans="1:66">
      <c r="A181" s="152" t="s">
        <v>2027</v>
      </c>
      <c r="B181" s="152" t="s">
        <v>2028</v>
      </c>
      <c r="C181" s="152" t="s">
        <v>2029</v>
      </c>
      <c r="D181" s="152" t="s">
        <v>2030</v>
      </c>
      <c r="E181" s="152" t="s">
        <v>2030</v>
      </c>
      <c r="F181" s="159" t="s">
        <v>856</v>
      </c>
      <c r="G181" s="159" t="s">
        <v>856</v>
      </c>
      <c r="H181" s="159" t="s">
        <v>856</v>
      </c>
      <c r="I181" s="152">
        <v>198688</v>
      </c>
      <c r="J181" s="152">
        <v>327.60000000000002</v>
      </c>
      <c r="K181" s="152">
        <v>86238</v>
      </c>
      <c r="L181" s="159" t="s">
        <v>856</v>
      </c>
      <c r="M181" s="152" t="s">
        <v>92</v>
      </c>
      <c r="N181" s="152" t="s">
        <v>92</v>
      </c>
      <c r="O181" s="159" t="s">
        <v>856</v>
      </c>
      <c r="P181" s="159" t="s">
        <v>856</v>
      </c>
      <c r="Q181" s="152" t="s">
        <v>92</v>
      </c>
      <c r="R181" s="152" t="s">
        <v>92</v>
      </c>
      <c r="S181" s="159" t="s">
        <v>856</v>
      </c>
      <c r="T181" s="159" t="s">
        <v>856</v>
      </c>
      <c r="U181" s="159" t="s">
        <v>856</v>
      </c>
      <c r="V181" s="152" t="s">
        <v>857</v>
      </c>
      <c r="W181" s="152" t="s">
        <v>858</v>
      </c>
      <c r="X181" s="152" t="s">
        <v>1083</v>
      </c>
      <c r="Y181" s="152">
        <v>0</v>
      </c>
      <c r="Z181" s="152">
        <v>1</v>
      </c>
      <c r="AA181" s="152" t="s">
        <v>92</v>
      </c>
      <c r="AB181" s="152">
        <v>84.26</v>
      </c>
      <c r="AC181" s="152">
        <v>1</v>
      </c>
      <c r="AD181" s="152" t="s">
        <v>861</v>
      </c>
      <c r="AE181" s="152">
        <v>84.26</v>
      </c>
      <c r="AF181" s="152">
        <v>0</v>
      </c>
      <c r="AG181" s="152" t="s">
        <v>861</v>
      </c>
      <c r="AH181" s="152" t="s">
        <v>861</v>
      </c>
      <c r="AI181" s="152" t="s">
        <v>92</v>
      </c>
      <c r="AJ181" s="152" t="s">
        <v>92</v>
      </c>
      <c r="AK181" s="152" t="s">
        <v>2031</v>
      </c>
      <c r="AL181" s="159" t="s">
        <v>856</v>
      </c>
      <c r="AP181" s="159" t="s">
        <v>856</v>
      </c>
      <c r="AQ181" s="159" t="s">
        <v>856</v>
      </c>
      <c r="AR181" s="152" t="s">
        <v>1953</v>
      </c>
      <c r="AS181" s="159" t="s">
        <v>865</v>
      </c>
      <c r="AT181" s="152" t="str">
        <f t="shared" si="13"/>
        <v>VUNPR-010819</v>
      </c>
      <c r="AU181" s="152" t="str">
        <f t="shared" si="14"/>
        <v>YONNY ESTUARDO PEREZ MONZON</v>
      </c>
      <c r="AV181" s="152">
        <v>424.67</v>
      </c>
      <c r="AW181" s="152">
        <v>818266</v>
      </c>
      <c r="AX181" s="159">
        <v>21.38</v>
      </c>
      <c r="AY181" s="159">
        <v>818268</v>
      </c>
      <c r="AZ181" s="152" t="s">
        <v>864</v>
      </c>
      <c r="BA181" s="152" t="str">
        <f t="shared" si="12"/>
        <v>L19-642-SP204</v>
      </c>
      <c r="BB181" s="152">
        <v>15</v>
      </c>
      <c r="BC181" s="157">
        <v>43810</v>
      </c>
      <c r="BD181" s="157">
        <v>44115</v>
      </c>
      <c r="BE181" s="158">
        <v>168520</v>
      </c>
      <c r="BF181" s="152" t="s">
        <v>2032</v>
      </c>
      <c r="BG181" s="159" t="s">
        <v>2033</v>
      </c>
      <c r="BH181" s="152">
        <v>84.26</v>
      </c>
      <c r="BI181" s="152">
        <v>0</v>
      </c>
      <c r="BJ181" s="152">
        <v>0</v>
      </c>
      <c r="BK181" s="152" t="s">
        <v>132</v>
      </c>
      <c r="BL181" s="152">
        <v>84.26</v>
      </c>
      <c r="BM181" s="152">
        <v>818267</v>
      </c>
      <c r="BN181" s="157" t="s">
        <v>1453</v>
      </c>
    </row>
    <row r="182" spans="1:66">
      <c r="A182" s="152" t="s">
        <v>2034</v>
      </c>
      <c r="B182" s="152" t="s">
        <v>2035</v>
      </c>
      <c r="C182" s="152" t="s">
        <v>2036</v>
      </c>
      <c r="D182" s="152" t="s">
        <v>2037</v>
      </c>
      <c r="E182" s="152" t="s">
        <v>2038</v>
      </c>
      <c r="F182" s="152">
        <v>7159</v>
      </c>
      <c r="G182" s="152">
        <v>159</v>
      </c>
      <c r="H182" s="152" t="s">
        <v>2039</v>
      </c>
      <c r="I182" s="152">
        <v>197846</v>
      </c>
      <c r="J182" s="152">
        <v>215.82</v>
      </c>
      <c r="K182" s="152">
        <v>85462</v>
      </c>
      <c r="L182" s="159" t="s">
        <v>856</v>
      </c>
      <c r="M182" s="152" t="s">
        <v>92</v>
      </c>
      <c r="N182" s="152" t="s">
        <v>92</v>
      </c>
      <c r="O182" s="159" t="s">
        <v>856</v>
      </c>
      <c r="P182" s="159" t="s">
        <v>856</v>
      </c>
      <c r="Q182" s="152" t="s">
        <v>92</v>
      </c>
      <c r="R182" s="152" t="s">
        <v>92</v>
      </c>
      <c r="S182" s="159" t="s">
        <v>856</v>
      </c>
      <c r="T182" s="159" t="s">
        <v>856</v>
      </c>
      <c r="U182" s="159" t="s">
        <v>856</v>
      </c>
      <c r="V182" s="152" t="s">
        <v>857</v>
      </c>
      <c r="W182" s="152" t="s">
        <v>858</v>
      </c>
      <c r="X182" s="152" t="s">
        <v>1083</v>
      </c>
      <c r="Y182" s="152">
        <v>126.48</v>
      </c>
      <c r="Z182" s="152">
        <v>1</v>
      </c>
      <c r="AA182" s="152" t="s">
        <v>92</v>
      </c>
      <c r="AB182" s="152">
        <v>232.83</v>
      </c>
      <c r="AC182" s="152">
        <v>2</v>
      </c>
      <c r="AD182" s="152" t="s">
        <v>861</v>
      </c>
      <c r="AE182" s="152">
        <v>232.83</v>
      </c>
      <c r="AF182" s="152">
        <v>0</v>
      </c>
      <c r="AG182" s="152" t="s">
        <v>861</v>
      </c>
      <c r="AH182" s="152" t="s">
        <v>861</v>
      </c>
      <c r="AI182" s="152" t="s">
        <v>92</v>
      </c>
      <c r="AJ182" s="152" t="s">
        <v>92</v>
      </c>
      <c r="AK182" s="152" t="s">
        <v>884</v>
      </c>
      <c r="AL182" s="159" t="s">
        <v>856</v>
      </c>
      <c r="AP182" s="159" t="s">
        <v>856</v>
      </c>
      <c r="AQ182" s="159" t="s">
        <v>856</v>
      </c>
      <c r="AR182" s="152" t="s">
        <v>1953</v>
      </c>
      <c r="AS182" s="159" t="s">
        <v>865</v>
      </c>
      <c r="AT182" s="152" t="str">
        <f t="shared" si="13"/>
        <v>VUNG8-010819</v>
      </c>
      <c r="AU182" s="152" t="str">
        <f t="shared" si="14"/>
        <v>OCTAVIO GUZMAN AMBROCIO</v>
      </c>
      <c r="AV182" s="152">
        <v>3271.56</v>
      </c>
      <c r="AW182" s="152">
        <v>804905</v>
      </c>
      <c r="AX182" s="159" t="s">
        <v>856</v>
      </c>
      <c r="AY182" s="159" t="s">
        <v>856</v>
      </c>
      <c r="AZ182" s="152" t="s">
        <v>864</v>
      </c>
      <c r="BA182" s="152" t="str">
        <f t="shared" si="12"/>
        <v>L19-524-JM116</v>
      </c>
      <c r="BB182" s="152">
        <v>24</v>
      </c>
      <c r="BC182" s="157">
        <v>43747</v>
      </c>
      <c r="BD182" s="157">
        <v>44113</v>
      </c>
      <c r="BE182" s="158">
        <v>629343</v>
      </c>
      <c r="BF182" s="152" t="s">
        <v>2040</v>
      </c>
      <c r="BG182" s="159" t="s">
        <v>2041</v>
      </c>
      <c r="BH182" s="152">
        <v>232.83</v>
      </c>
      <c r="BI182" s="152">
        <v>0</v>
      </c>
      <c r="BJ182" s="152">
        <v>0</v>
      </c>
      <c r="BK182" s="152" t="s">
        <v>132</v>
      </c>
      <c r="BL182" s="152">
        <v>232.83</v>
      </c>
      <c r="BM182" s="152">
        <v>804906</v>
      </c>
      <c r="BN182" s="157" t="s">
        <v>1453</v>
      </c>
    </row>
    <row r="183" spans="1:66">
      <c r="A183" s="152" t="s">
        <v>2042</v>
      </c>
      <c r="B183" s="152" t="s">
        <v>2043</v>
      </c>
      <c r="C183" s="152" t="s">
        <v>2044</v>
      </c>
      <c r="D183" s="152" t="s">
        <v>2045</v>
      </c>
      <c r="E183" s="152" t="s">
        <v>2045</v>
      </c>
      <c r="F183" s="152">
        <v>3115</v>
      </c>
      <c r="G183" s="152">
        <v>115</v>
      </c>
      <c r="H183" s="152" t="s">
        <v>1411</v>
      </c>
      <c r="I183" s="152">
        <v>196684</v>
      </c>
      <c r="J183" s="152">
        <v>142.94</v>
      </c>
      <c r="K183" s="152">
        <v>84706</v>
      </c>
      <c r="L183" s="159" t="s">
        <v>856</v>
      </c>
      <c r="M183" s="152" t="s">
        <v>92</v>
      </c>
      <c r="N183" s="152" t="s">
        <v>92</v>
      </c>
      <c r="O183" s="159" t="s">
        <v>856</v>
      </c>
      <c r="P183" s="159" t="s">
        <v>856</v>
      </c>
      <c r="Q183" s="152" t="s">
        <v>92</v>
      </c>
      <c r="R183" s="152" t="s">
        <v>92</v>
      </c>
      <c r="S183" s="159" t="s">
        <v>856</v>
      </c>
      <c r="T183" s="159" t="s">
        <v>856</v>
      </c>
      <c r="U183" s="159" t="s">
        <v>856</v>
      </c>
      <c r="V183" s="152" t="s">
        <v>857</v>
      </c>
      <c r="W183" s="152" t="s">
        <v>858</v>
      </c>
      <c r="X183" s="152" t="s">
        <v>1083</v>
      </c>
      <c r="Y183" s="152">
        <v>0</v>
      </c>
      <c r="Z183" s="152">
        <v>1</v>
      </c>
      <c r="AA183" s="152" t="s">
        <v>92</v>
      </c>
      <c r="AB183" s="152">
        <v>203.53</v>
      </c>
      <c r="AC183" s="152">
        <v>2</v>
      </c>
      <c r="AD183" s="152" t="s">
        <v>861</v>
      </c>
      <c r="AE183" s="152">
        <v>203.53</v>
      </c>
      <c r="AF183" s="152">
        <v>0</v>
      </c>
      <c r="AG183" s="152" t="s">
        <v>861</v>
      </c>
      <c r="AH183" s="152" t="s">
        <v>861</v>
      </c>
      <c r="AI183" s="152" t="s">
        <v>92</v>
      </c>
      <c r="AJ183" s="152" t="s">
        <v>92</v>
      </c>
      <c r="AK183" s="152" t="s">
        <v>862</v>
      </c>
      <c r="AL183" s="159" t="s">
        <v>856</v>
      </c>
      <c r="AP183" s="159" t="s">
        <v>856</v>
      </c>
      <c r="AQ183" s="159" t="s">
        <v>856</v>
      </c>
      <c r="AR183" s="152" t="s">
        <v>1953</v>
      </c>
      <c r="AS183" s="159" t="s">
        <v>865</v>
      </c>
      <c r="AT183" s="152" t="str">
        <f t="shared" si="13"/>
        <v>VUNV9-011219</v>
      </c>
      <c r="AU183" s="152" t="str">
        <f t="shared" si="14"/>
        <v>KENNEDY DARIO VILLATORO PALACIOS Y CDÑA</v>
      </c>
      <c r="AV183" s="152">
        <v>2673.85</v>
      </c>
      <c r="AW183" s="152">
        <v>819801</v>
      </c>
      <c r="AX183" s="159">
        <v>35</v>
      </c>
      <c r="AY183" s="159">
        <v>819803</v>
      </c>
      <c r="AZ183" s="152" t="s">
        <v>864</v>
      </c>
      <c r="BA183" s="152" t="str">
        <f t="shared" si="12"/>
        <v>L20-010-SP002</v>
      </c>
      <c r="BB183" s="152">
        <v>24</v>
      </c>
      <c r="BC183" s="157">
        <v>43844</v>
      </c>
      <c r="BD183" s="157">
        <v>44210</v>
      </c>
      <c r="BE183" s="158">
        <v>528355</v>
      </c>
      <c r="BF183" s="152" t="s">
        <v>2046</v>
      </c>
      <c r="BG183" s="159" t="s">
        <v>2047</v>
      </c>
      <c r="BH183" s="152">
        <v>203.53</v>
      </c>
      <c r="BI183" s="152">
        <v>0</v>
      </c>
      <c r="BJ183" s="152">
        <v>0</v>
      </c>
      <c r="BK183" s="152" t="s">
        <v>132</v>
      </c>
      <c r="BL183" s="152">
        <v>203.53</v>
      </c>
      <c r="BM183" s="152">
        <v>819802</v>
      </c>
      <c r="BN183" s="157" t="s">
        <v>1453</v>
      </c>
    </row>
    <row r="184" spans="1:66">
      <c r="A184" s="152" t="s">
        <v>2048</v>
      </c>
      <c r="B184" s="152" t="s">
        <v>2049</v>
      </c>
      <c r="C184" s="152" t="s">
        <v>2050</v>
      </c>
      <c r="D184" s="152" t="s">
        <v>2051</v>
      </c>
      <c r="E184" s="152" t="s">
        <v>2052</v>
      </c>
      <c r="F184" s="152">
        <v>3996</v>
      </c>
      <c r="G184" s="152">
        <v>496</v>
      </c>
      <c r="H184" s="152" t="s">
        <v>2055</v>
      </c>
      <c r="I184" s="152">
        <v>196112</v>
      </c>
      <c r="J184" s="152">
        <v>80</v>
      </c>
      <c r="K184" s="152">
        <v>84357</v>
      </c>
      <c r="L184" s="159" t="s">
        <v>856</v>
      </c>
      <c r="M184" s="152" t="s">
        <v>92</v>
      </c>
      <c r="N184" s="152" t="s">
        <v>92</v>
      </c>
      <c r="O184" s="159" t="s">
        <v>856</v>
      </c>
      <c r="P184" s="159" t="s">
        <v>856</v>
      </c>
      <c r="Q184" s="152" t="s">
        <v>92</v>
      </c>
      <c r="R184" s="152" t="s">
        <v>92</v>
      </c>
      <c r="S184" s="159" t="s">
        <v>856</v>
      </c>
      <c r="T184" s="159" t="s">
        <v>856</v>
      </c>
      <c r="U184" s="159" t="s">
        <v>856</v>
      </c>
      <c r="V184" s="152" t="s">
        <v>857</v>
      </c>
      <c r="W184" s="152" t="s">
        <v>858</v>
      </c>
      <c r="X184" s="152" t="s">
        <v>1083</v>
      </c>
      <c r="Y184" s="152">
        <v>0</v>
      </c>
      <c r="Z184" s="152">
        <v>1</v>
      </c>
      <c r="AA184" s="152" t="s">
        <v>883</v>
      </c>
      <c r="AB184" s="152">
        <v>149.88</v>
      </c>
      <c r="AC184" s="152">
        <v>2</v>
      </c>
      <c r="AD184" s="152" t="s">
        <v>861</v>
      </c>
      <c r="AE184" s="152">
        <v>149.88</v>
      </c>
      <c r="AF184" s="152">
        <v>0</v>
      </c>
      <c r="AG184" s="152" t="s">
        <v>861</v>
      </c>
      <c r="AH184" s="152" t="s">
        <v>861</v>
      </c>
      <c r="AI184" s="152" t="s">
        <v>92</v>
      </c>
      <c r="AJ184" s="152" t="s">
        <v>92</v>
      </c>
      <c r="AK184" s="152" t="s">
        <v>862</v>
      </c>
      <c r="AL184" s="159" t="s">
        <v>856</v>
      </c>
      <c r="AP184" s="159" t="s">
        <v>856</v>
      </c>
      <c r="AQ184" s="159" t="s">
        <v>856</v>
      </c>
      <c r="AR184" s="152" t="s">
        <v>1953</v>
      </c>
      <c r="AS184" s="159" t="s">
        <v>865</v>
      </c>
      <c r="AT184" s="152" t="str">
        <f t="shared" si="13"/>
        <v>VUL10-011217</v>
      </c>
      <c r="AU184" s="152" t="str">
        <f t="shared" si="14"/>
        <v>ESTER MARCIALA LOPEZ FLORES</v>
      </c>
      <c r="AV184" s="152">
        <v>2165.7399999999998</v>
      </c>
      <c r="AW184" s="152">
        <v>809466</v>
      </c>
      <c r="AX184" s="159">
        <v>25</v>
      </c>
      <c r="AY184" s="159">
        <v>809468</v>
      </c>
      <c r="AZ184" s="152" t="s">
        <v>864</v>
      </c>
      <c r="BA184" s="152" t="str">
        <f t="shared" si="12"/>
        <v>L19-449-EC056</v>
      </c>
      <c r="BB184" s="152">
        <v>24</v>
      </c>
      <c r="BC184" s="157">
        <v>43713</v>
      </c>
      <c r="BD184" s="157">
        <v>44079</v>
      </c>
      <c r="BE184" s="158">
        <v>385790.16</v>
      </c>
      <c r="BF184" s="152" t="s">
        <v>2053</v>
      </c>
      <c r="BG184" s="159" t="s">
        <v>2054</v>
      </c>
      <c r="BH184" s="152">
        <v>149.88</v>
      </c>
      <c r="BI184" s="152">
        <v>0</v>
      </c>
      <c r="BJ184" s="152">
        <v>0</v>
      </c>
      <c r="BK184" s="152" t="s">
        <v>132</v>
      </c>
      <c r="BL184" s="152">
        <v>149.88</v>
      </c>
      <c r="BM184" s="152">
        <v>809467</v>
      </c>
      <c r="BN184" s="157" t="s">
        <v>1453</v>
      </c>
    </row>
    <row r="185" spans="1:66">
      <c r="A185" s="152" t="s">
        <v>2056</v>
      </c>
      <c r="B185" s="152" t="s">
        <v>2057</v>
      </c>
      <c r="C185" s="152" t="s">
        <v>2058</v>
      </c>
      <c r="D185" s="152" t="s">
        <v>2059</v>
      </c>
      <c r="E185" s="152" t="s">
        <v>2059</v>
      </c>
      <c r="F185" s="152">
        <v>3195</v>
      </c>
      <c r="G185" s="152">
        <v>195</v>
      </c>
      <c r="H185" s="152" t="s">
        <v>2060</v>
      </c>
      <c r="I185" s="152">
        <v>198038</v>
      </c>
      <c r="J185" s="152">
        <v>108</v>
      </c>
      <c r="K185" s="152">
        <v>85603</v>
      </c>
      <c r="L185" s="159" t="s">
        <v>856</v>
      </c>
      <c r="M185" s="152" t="s">
        <v>92</v>
      </c>
      <c r="N185" s="152" t="s">
        <v>92</v>
      </c>
      <c r="O185" s="159" t="s">
        <v>856</v>
      </c>
      <c r="P185" s="159" t="s">
        <v>856</v>
      </c>
      <c r="Q185" s="152" t="s">
        <v>92</v>
      </c>
      <c r="R185" s="152" t="s">
        <v>92</v>
      </c>
      <c r="S185" s="159" t="s">
        <v>856</v>
      </c>
      <c r="T185" s="159" t="s">
        <v>856</v>
      </c>
      <c r="U185" s="159" t="s">
        <v>856</v>
      </c>
      <c r="V185" s="152" t="s">
        <v>857</v>
      </c>
      <c r="W185" s="152" t="s">
        <v>858</v>
      </c>
      <c r="X185" s="152" t="s">
        <v>1083</v>
      </c>
      <c r="Y185" s="152">
        <v>0</v>
      </c>
      <c r="Z185" s="152">
        <v>1</v>
      </c>
      <c r="AA185" s="152" t="s">
        <v>92</v>
      </c>
      <c r="AB185" s="152">
        <v>94.03</v>
      </c>
      <c r="AC185" s="152">
        <v>2</v>
      </c>
      <c r="AD185" s="152" t="s">
        <v>861</v>
      </c>
      <c r="AE185" s="152">
        <v>94.03</v>
      </c>
      <c r="AF185" s="152">
        <v>0</v>
      </c>
      <c r="AG185" s="152" t="s">
        <v>861</v>
      </c>
      <c r="AH185" s="152" t="s">
        <v>861</v>
      </c>
      <c r="AI185" s="152" t="s">
        <v>92</v>
      </c>
      <c r="AJ185" s="152" t="s">
        <v>92</v>
      </c>
      <c r="AK185" s="152" t="s">
        <v>862</v>
      </c>
      <c r="AL185" s="159" t="s">
        <v>856</v>
      </c>
      <c r="AP185" s="159" t="s">
        <v>856</v>
      </c>
      <c r="AQ185" s="159" t="s">
        <v>856</v>
      </c>
      <c r="AR185" s="152" t="s">
        <v>1953</v>
      </c>
      <c r="AS185" s="159" t="s">
        <v>865</v>
      </c>
      <c r="AT185" s="152" t="str">
        <f t="shared" ref="AT185:AT207" si="15">B185</f>
        <v>VUM10-030219</v>
      </c>
      <c r="AU185" s="152" t="str">
        <f t="shared" ref="AU185:AU207" si="16">C185</f>
        <v>RAUL ANTONIO MORALES BATHEN Y CDÑOS</v>
      </c>
      <c r="AV185" s="152">
        <v>1266.31</v>
      </c>
      <c r="AW185" s="152">
        <v>728020</v>
      </c>
      <c r="AX185" s="159">
        <v>30</v>
      </c>
      <c r="AY185" s="159">
        <v>728018</v>
      </c>
      <c r="AZ185" s="152" t="s">
        <v>864</v>
      </c>
      <c r="BA185" s="152" t="str">
        <f t="shared" si="12"/>
        <v>L19-318-JM056</v>
      </c>
      <c r="BB185" s="152">
        <v>24</v>
      </c>
      <c r="BC185" s="157">
        <v>43649</v>
      </c>
      <c r="BD185" s="157">
        <v>44015</v>
      </c>
      <c r="BE185" s="158">
        <v>249635</v>
      </c>
      <c r="BF185" s="152" t="s">
        <v>2061</v>
      </c>
      <c r="BG185" s="159" t="s">
        <v>875</v>
      </c>
      <c r="BH185" s="152">
        <v>94.03</v>
      </c>
      <c r="BI185" s="152">
        <v>0</v>
      </c>
      <c r="BJ185" s="152">
        <v>0</v>
      </c>
      <c r="BK185" s="152" t="s">
        <v>132</v>
      </c>
      <c r="BL185" s="152">
        <v>94.03</v>
      </c>
      <c r="BM185" s="152">
        <v>728019</v>
      </c>
      <c r="BN185" s="157" t="s">
        <v>1453</v>
      </c>
    </row>
    <row r="186" spans="1:66">
      <c r="A186" s="152" t="s">
        <v>2062</v>
      </c>
      <c r="B186" s="152" t="s">
        <v>2063</v>
      </c>
      <c r="C186" s="152" t="s">
        <v>2064</v>
      </c>
      <c r="D186" s="152" t="s">
        <v>2065</v>
      </c>
      <c r="E186" s="152" t="s">
        <v>2066</v>
      </c>
      <c r="F186" s="152">
        <v>268064</v>
      </c>
      <c r="G186" s="152">
        <v>283</v>
      </c>
      <c r="H186" s="152">
        <v>612</v>
      </c>
      <c r="I186" s="152">
        <v>198701</v>
      </c>
      <c r="J186" s="152">
        <v>80.36</v>
      </c>
      <c r="K186" s="152">
        <v>86257</v>
      </c>
      <c r="L186" s="159" t="s">
        <v>856</v>
      </c>
      <c r="M186" s="152" t="s">
        <v>92</v>
      </c>
      <c r="N186" s="152" t="s">
        <v>92</v>
      </c>
      <c r="O186" s="159" t="s">
        <v>856</v>
      </c>
      <c r="P186" s="159" t="s">
        <v>856</v>
      </c>
      <c r="Q186" s="152" t="s">
        <v>92</v>
      </c>
      <c r="R186" s="152" t="s">
        <v>92</v>
      </c>
      <c r="S186" s="159" t="s">
        <v>856</v>
      </c>
      <c r="T186" s="159" t="s">
        <v>856</v>
      </c>
      <c r="U186" s="159" t="s">
        <v>856</v>
      </c>
      <c r="V186" s="152" t="s">
        <v>857</v>
      </c>
      <c r="W186" s="152" t="s">
        <v>858</v>
      </c>
      <c r="X186" s="152" t="s">
        <v>1083</v>
      </c>
      <c r="Y186" s="152">
        <v>0</v>
      </c>
      <c r="Z186" s="152">
        <v>1</v>
      </c>
      <c r="AA186" s="152" t="s">
        <v>92</v>
      </c>
      <c r="AB186" s="152">
        <v>80.36</v>
      </c>
      <c r="AC186" s="152">
        <v>1</v>
      </c>
      <c r="AD186" s="152" t="s">
        <v>861</v>
      </c>
      <c r="AE186" s="152">
        <v>80.36</v>
      </c>
      <c r="AF186" s="152">
        <v>0</v>
      </c>
      <c r="AG186" s="152" t="s">
        <v>861</v>
      </c>
      <c r="AH186" s="152" t="s">
        <v>861</v>
      </c>
      <c r="AI186" s="152" t="s">
        <v>92</v>
      </c>
      <c r="AJ186" s="152" t="s">
        <v>92</v>
      </c>
      <c r="AK186" s="152" t="s">
        <v>2067</v>
      </c>
      <c r="AL186" s="159" t="s">
        <v>856</v>
      </c>
      <c r="AP186" s="159" t="s">
        <v>856</v>
      </c>
      <c r="AQ186" s="159" t="s">
        <v>856</v>
      </c>
      <c r="AR186" s="152" t="s">
        <v>1953</v>
      </c>
      <c r="AS186" s="159" t="s">
        <v>865</v>
      </c>
      <c r="AT186" s="152" t="str">
        <f t="shared" si="15"/>
        <v>RPNV10-030919</v>
      </c>
      <c r="AU186" s="152" t="str">
        <f t="shared" si="16"/>
        <v>GABINO RENE VASQUEZ RAMOS</v>
      </c>
      <c r="AV186" s="152">
        <v>810.03</v>
      </c>
      <c r="AW186" s="152">
        <v>811633</v>
      </c>
      <c r="AX186" s="159">
        <v>25</v>
      </c>
      <c r="AY186" s="159">
        <v>811634</v>
      </c>
      <c r="AZ186" s="152" t="s">
        <v>864</v>
      </c>
      <c r="BA186" s="152" t="str">
        <f t="shared" si="12"/>
        <v>L19-607-EC077</v>
      </c>
      <c r="BB186" s="152">
        <v>0</v>
      </c>
      <c r="BC186" s="157">
        <v>43795</v>
      </c>
      <c r="BD186" s="157">
        <v>43795</v>
      </c>
      <c r="BE186" s="158">
        <v>160720</v>
      </c>
      <c r="BF186" s="152" t="s">
        <v>2068</v>
      </c>
      <c r="BG186" s="159" t="s">
        <v>894</v>
      </c>
      <c r="BH186" s="152">
        <v>80.36</v>
      </c>
      <c r="BI186" s="152">
        <v>0</v>
      </c>
      <c r="BJ186" s="152">
        <v>0</v>
      </c>
      <c r="BK186" s="152" t="s">
        <v>132</v>
      </c>
      <c r="BL186" s="152">
        <v>80.36</v>
      </c>
      <c r="BM186" s="152">
        <v>813283</v>
      </c>
      <c r="BN186" s="157" t="s">
        <v>1453</v>
      </c>
    </row>
    <row r="187" spans="1:66">
      <c r="A187" s="152" t="s">
        <v>2069</v>
      </c>
      <c r="B187" s="152" t="s">
        <v>2070</v>
      </c>
      <c r="C187" s="152" t="s">
        <v>2071</v>
      </c>
      <c r="D187" s="152" t="s">
        <v>2072</v>
      </c>
      <c r="E187" s="152" t="s">
        <v>2072</v>
      </c>
      <c r="F187" s="152">
        <v>662</v>
      </c>
      <c r="G187" s="152">
        <v>162</v>
      </c>
      <c r="H187" s="152" t="s">
        <v>2073</v>
      </c>
      <c r="I187" s="152">
        <v>197521</v>
      </c>
      <c r="J187" s="152">
        <v>216</v>
      </c>
      <c r="K187" s="152">
        <v>85169</v>
      </c>
      <c r="L187" s="159" t="s">
        <v>856</v>
      </c>
      <c r="M187" s="152" t="s">
        <v>92</v>
      </c>
      <c r="N187" s="152" t="s">
        <v>92</v>
      </c>
      <c r="O187" s="159" t="s">
        <v>856</v>
      </c>
      <c r="P187" s="159" t="s">
        <v>856</v>
      </c>
      <c r="Q187" s="152" t="s">
        <v>92</v>
      </c>
      <c r="R187" s="152" t="s">
        <v>92</v>
      </c>
      <c r="S187" s="159" t="s">
        <v>856</v>
      </c>
      <c r="T187" s="159" t="s">
        <v>856</v>
      </c>
      <c r="U187" s="159" t="s">
        <v>856</v>
      </c>
      <c r="V187" s="152" t="s">
        <v>857</v>
      </c>
      <c r="W187" s="152" t="s">
        <v>858</v>
      </c>
      <c r="X187" s="152" t="s">
        <v>1083</v>
      </c>
      <c r="Y187" s="152">
        <v>0</v>
      </c>
      <c r="Z187" s="152">
        <v>1</v>
      </c>
      <c r="AA187" s="152" t="s">
        <v>92</v>
      </c>
      <c r="AB187" s="152">
        <v>349.46</v>
      </c>
      <c r="AC187" s="152">
        <v>3</v>
      </c>
      <c r="AD187" s="152" t="s">
        <v>861</v>
      </c>
      <c r="AE187" s="152">
        <v>349.46</v>
      </c>
      <c r="AF187" s="152">
        <v>0</v>
      </c>
      <c r="AG187" s="152" t="s">
        <v>861</v>
      </c>
      <c r="AH187" s="152" t="s">
        <v>861</v>
      </c>
      <c r="AI187" s="152" t="s">
        <v>92</v>
      </c>
      <c r="AJ187" s="152" t="s">
        <v>92</v>
      </c>
      <c r="AK187" s="152" t="s">
        <v>862</v>
      </c>
      <c r="AL187" s="159" t="s">
        <v>856</v>
      </c>
      <c r="AP187" s="159" t="s">
        <v>856</v>
      </c>
      <c r="AQ187" s="159" t="s">
        <v>856</v>
      </c>
      <c r="AR187" s="159" t="s">
        <v>856</v>
      </c>
      <c r="AS187" s="159" t="s">
        <v>865</v>
      </c>
      <c r="AT187" s="152" t="str">
        <f t="shared" si="15"/>
        <v>RPJ4-020519</v>
      </c>
      <c r="AU187" s="152" t="str">
        <f t="shared" si="16"/>
        <v>SERGIO ALEXANDER JUAREZ CUPIL</v>
      </c>
      <c r="AV187" s="152">
        <v>6205.52</v>
      </c>
      <c r="AW187" s="152">
        <v>800924</v>
      </c>
      <c r="AX187" s="159">
        <v>60</v>
      </c>
      <c r="AY187" s="159">
        <v>800925</v>
      </c>
      <c r="AZ187" s="152" t="s">
        <v>864</v>
      </c>
      <c r="BA187" s="152" t="str">
        <f t="shared" si="12"/>
        <v>L19-450-EC048</v>
      </c>
      <c r="BB187" s="152">
        <v>0</v>
      </c>
      <c r="BC187" s="157">
        <v>43713</v>
      </c>
      <c r="BD187" s="157">
        <v>43703</v>
      </c>
      <c r="BE187" s="158">
        <v>1085247.32</v>
      </c>
      <c r="BF187" s="152" t="s">
        <v>2074</v>
      </c>
      <c r="BG187" s="159" t="s">
        <v>2075</v>
      </c>
      <c r="BH187" s="152">
        <v>349.46</v>
      </c>
      <c r="BI187" s="152">
        <v>0</v>
      </c>
      <c r="BJ187" s="152">
        <v>0</v>
      </c>
      <c r="BK187" s="152" t="s">
        <v>132</v>
      </c>
      <c r="BL187" s="152">
        <v>349.46</v>
      </c>
      <c r="BM187" s="152">
        <v>810121</v>
      </c>
      <c r="BN187" s="157" t="s">
        <v>1453</v>
      </c>
    </row>
    <row r="188" spans="1:66">
      <c r="A188" s="152" t="s">
        <v>2076</v>
      </c>
      <c r="B188" s="152" t="s">
        <v>2077</v>
      </c>
      <c r="C188" s="152" t="s">
        <v>2078</v>
      </c>
      <c r="D188" s="152" t="s">
        <v>2079</v>
      </c>
      <c r="E188" s="159" t="s">
        <v>856</v>
      </c>
      <c r="F188" s="152">
        <v>51796</v>
      </c>
      <c r="G188" s="152">
        <v>55</v>
      </c>
      <c r="H188" s="152">
        <v>271</v>
      </c>
      <c r="I188" s="152">
        <v>198129</v>
      </c>
      <c r="J188" s="152">
        <v>400.76</v>
      </c>
      <c r="K188" s="152">
        <v>85673</v>
      </c>
      <c r="L188" s="159" t="s">
        <v>856</v>
      </c>
      <c r="M188" s="152" t="s">
        <v>92</v>
      </c>
      <c r="N188" s="152" t="s">
        <v>92</v>
      </c>
      <c r="O188" s="159" t="s">
        <v>856</v>
      </c>
      <c r="P188" s="159" t="s">
        <v>856</v>
      </c>
      <c r="Q188" s="152" t="s">
        <v>92</v>
      </c>
      <c r="R188" s="152" t="s">
        <v>92</v>
      </c>
      <c r="S188" s="159" t="s">
        <v>856</v>
      </c>
      <c r="T188" s="159" t="s">
        <v>856</v>
      </c>
      <c r="U188" s="159" t="s">
        <v>856</v>
      </c>
      <c r="V188" s="152" t="s">
        <v>857</v>
      </c>
      <c r="W188" s="152" t="s">
        <v>858</v>
      </c>
      <c r="X188" s="152" t="s">
        <v>1083</v>
      </c>
      <c r="Y188" s="152">
        <v>0</v>
      </c>
      <c r="Z188" s="152">
        <v>1</v>
      </c>
      <c r="AA188" s="152" t="s">
        <v>92</v>
      </c>
      <c r="AB188" s="152">
        <v>80</v>
      </c>
      <c r="AC188" s="152">
        <v>1</v>
      </c>
      <c r="AD188" s="152" t="s">
        <v>861</v>
      </c>
      <c r="AE188" s="152">
        <v>80</v>
      </c>
      <c r="AF188" s="152">
        <v>0</v>
      </c>
      <c r="AG188" s="152" t="s">
        <v>861</v>
      </c>
      <c r="AH188" s="152" t="s">
        <v>861</v>
      </c>
      <c r="AI188" s="152" t="s">
        <v>92</v>
      </c>
      <c r="AJ188" s="152" t="s">
        <v>92</v>
      </c>
      <c r="AK188" s="152" t="s">
        <v>912</v>
      </c>
      <c r="AL188" s="159" t="s">
        <v>856</v>
      </c>
      <c r="AP188" s="159" t="s">
        <v>856</v>
      </c>
      <c r="AQ188" s="159" t="s">
        <v>856</v>
      </c>
      <c r="AR188" s="159" t="s">
        <v>856</v>
      </c>
      <c r="AS188" s="159" t="s">
        <v>865</v>
      </c>
      <c r="AT188" s="152" t="str">
        <f t="shared" si="15"/>
        <v>VULR-020419</v>
      </c>
      <c r="AU188" s="152" t="str">
        <f t="shared" si="16"/>
        <v>ROSENDO DAVID LOPEZ LOPEZ</v>
      </c>
      <c r="AV188" s="152" t="s">
        <v>2080</v>
      </c>
      <c r="AW188" s="152" t="s">
        <v>2080</v>
      </c>
      <c r="AX188" s="152" t="s">
        <v>2080</v>
      </c>
      <c r="AY188" s="152" t="s">
        <v>2080</v>
      </c>
      <c r="AZ188" s="152" t="s">
        <v>864</v>
      </c>
      <c r="BA188" s="152" t="str">
        <f t="shared" si="12"/>
        <v>L19-359-MP054</v>
      </c>
      <c r="BB188" s="152">
        <v>12</v>
      </c>
      <c r="BC188" s="157">
        <v>43672</v>
      </c>
      <c r="BD188" s="157">
        <v>43916</v>
      </c>
      <c r="BE188" s="158">
        <v>120000</v>
      </c>
      <c r="BF188" s="152" t="s">
        <v>2081</v>
      </c>
      <c r="BG188" s="159" t="s">
        <v>2033</v>
      </c>
      <c r="BH188" s="152">
        <v>80</v>
      </c>
      <c r="BI188" s="152">
        <v>0</v>
      </c>
      <c r="BJ188" s="152">
        <v>0</v>
      </c>
      <c r="BK188" s="152" t="s">
        <v>132</v>
      </c>
      <c r="BL188" s="152">
        <v>80</v>
      </c>
      <c r="BM188" s="152">
        <v>729391</v>
      </c>
      <c r="BN188" s="157" t="s">
        <v>1453</v>
      </c>
    </row>
    <row r="189" spans="1:66">
      <c r="A189" s="152" t="s">
        <v>2082</v>
      </c>
      <c r="B189" s="152" t="s">
        <v>2083</v>
      </c>
      <c r="C189" s="152" t="s">
        <v>2084</v>
      </c>
      <c r="D189" s="152" t="s">
        <v>2085</v>
      </c>
      <c r="E189" s="152" t="s">
        <v>2085</v>
      </c>
      <c r="F189" s="152">
        <v>3222</v>
      </c>
      <c r="G189" s="152">
        <v>222</v>
      </c>
      <c r="H189" s="152" t="s">
        <v>979</v>
      </c>
      <c r="I189" s="152">
        <v>162769</v>
      </c>
      <c r="J189" s="152">
        <v>90</v>
      </c>
      <c r="K189" s="152">
        <v>60544</v>
      </c>
      <c r="L189" s="159" t="s">
        <v>856</v>
      </c>
      <c r="M189" s="152" t="s">
        <v>92</v>
      </c>
      <c r="N189" s="152" t="s">
        <v>92</v>
      </c>
      <c r="O189" s="159" t="s">
        <v>856</v>
      </c>
      <c r="P189" s="159" t="s">
        <v>856</v>
      </c>
      <c r="Q189" s="152" t="s">
        <v>92</v>
      </c>
      <c r="R189" s="152" t="s">
        <v>92</v>
      </c>
      <c r="S189" s="159" t="s">
        <v>856</v>
      </c>
      <c r="T189" s="159" t="s">
        <v>856</v>
      </c>
      <c r="U189" s="159" t="s">
        <v>856</v>
      </c>
      <c r="V189" s="152" t="s">
        <v>857</v>
      </c>
      <c r="W189" s="152" t="s">
        <v>858</v>
      </c>
      <c r="X189" s="152" t="s">
        <v>1083</v>
      </c>
      <c r="Y189" s="152">
        <v>0</v>
      </c>
      <c r="Z189" s="152">
        <v>1</v>
      </c>
      <c r="AA189" s="152" t="s">
        <v>92</v>
      </c>
      <c r="AB189" s="152">
        <v>69.8</v>
      </c>
      <c r="AC189" s="152">
        <v>1</v>
      </c>
      <c r="AD189" s="152" t="s">
        <v>861</v>
      </c>
      <c r="AE189" s="152">
        <v>69.8</v>
      </c>
      <c r="AF189" s="152">
        <v>0</v>
      </c>
      <c r="AG189" s="152" t="s">
        <v>861</v>
      </c>
      <c r="AH189" s="152" t="s">
        <v>861</v>
      </c>
      <c r="AI189" s="152" t="s">
        <v>92</v>
      </c>
      <c r="AJ189" s="152" t="s">
        <v>92</v>
      </c>
      <c r="AK189" s="152" t="s">
        <v>972</v>
      </c>
      <c r="AL189" s="159" t="s">
        <v>856</v>
      </c>
      <c r="AP189" s="159" t="s">
        <v>856</v>
      </c>
      <c r="AQ189" s="159" t="s">
        <v>856</v>
      </c>
      <c r="AR189" s="159" t="s">
        <v>856</v>
      </c>
      <c r="AS189" s="159" t="s">
        <v>865</v>
      </c>
      <c r="AT189" s="152" t="str">
        <f t="shared" si="15"/>
        <v>VUC5-020419</v>
      </c>
      <c r="AU189" s="152" t="str">
        <f t="shared" si="16"/>
        <v>HERMINIO CITALAN CAHUEX</v>
      </c>
      <c r="AV189" s="159" t="s">
        <v>856</v>
      </c>
      <c r="AW189" s="159" t="s">
        <v>856</v>
      </c>
      <c r="AX189" s="159" t="s">
        <v>856</v>
      </c>
      <c r="AY189" s="159" t="s">
        <v>856</v>
      </c>
      <c r="AZ189" s="152" t="s">
        <v>864</v>
      </c>
      <c r="BA189" s="152" t="str">
        <f t="shared" si="12"/>
        <v>L19-222-EC043</v>
      </c>
      <c r="BB189" s="152">
        <v>15</v>
      </c>
      <c r="BC189" s="157">
        <v>43606</v>
      </c>
      <c r="BD189" s="157">
        <v>43911</v>
      </c>
      <c r="BE189" s="158">
        <v>155879.20000000001</v>
      </c>
      <c r="BF189" s="152" t="s">
        <v>2086</v>
      </c>
      <c r="BG189" s="159" t="s">
        <v>2087</v>
      </c>
      <c r="BH189" s="152">
        <v>69.8</v>
      </c>
      <c r="BI189" s="152">
        <v>0</v>
      </c>
      <c r="BJ189" s="152">
        <v>0</v>
      </c>
      <c r="BK189" s="152" t="s">
        <v>132</v>
      </c>
      <c r="BL189" s="152">
        <v>69.8</v>
      </c>
      <c r="BM189" s="152">
        <v>721805</v>
      </c>
      <c r="BN189" s="157" t="s">
        <v>1453</v>
      </c>
    </row>
    <row r="190" spans="1:66">
      <c r="A190" s="152" t="s">
        <v>2088</v>
      </c>
      <c r="B190" s="152" t="s">
        <v>2089</v>
      </c>
      <c r="C190" s="152" t="s">
        <v>831</v>
      </c>
      <c r="D190" s="152" t="s">
        <v>2090</v>
      </c>
      <c r="E190" s="152" t="s">
        <v>1077</v>
      </c>
      <c r="F190" s="152">
        <v>1723</v>
      </c>
      <c r="G190" s="152">
        <v>223</v>
      </c>
      <c r="H190" s="152" t="s">
        <v>2091</v>
      </c>
      <c r="I190" s="152">
        <v>197852</v>
      </c>
      <c r="J190" s="152">
        <v>111.38</v>
      </c>
      <c r="K190" s="152">
        <v>85468</v>
      </c>
      <c r="L190" s="159" t="s">
        <v>856</v>
      </c>
      <c r="M190" s="152" t="s">
        <v>92</v>
      </c>
      <c r="N190" s="152" t="s">
        <v>92</v>
      </c>
      <c r="O190" s="159" t="s">
        <v>856</v>
      </c>
      <c r="P190" s="159" t="s">
        <v>856</v>
      </c>
      <c r="Q190" s="152" t="s">
        <v>92</v>
      </c>
      <c r="R190" s="152" t="s">
        <v>92</v>
      </c>
      <c r="S190" s="159" t="s">
        <v>856</v>
      </c>
      <c r="T190" s="159" t="s">
        <v>856</v>
      </c>
      <c r="U190" s="159" t="s">
        <v>856</v>
      </c>
      <c r="V190" s="152" t="s">
        <v>857</v>
      </c>
      <c r="W190" s="152" t="s">
        <v>858</v>
      </c>
      <c r="X190" s="152" t="s">
        <v>1083</v>
      </c>
      <c r="Y190" s="152">
        <v>0</v>
      </c>
      <c r="Z190" s="152">
        <v>1</v>
      </c>
      <c r="AA190" s="152" t="s">
        <v>92</v>
      </c>
      <c r="AB190" s="152">
        <v>53.86</v>
      </c>
      <c r="AC190" s="152">
        <v>1</v>
      </c>
      <c r="AD190" s="152" t="s">
        <v>861</v>
      </c>
      <c r="AE190" s="152">
        <v>53.86</v>
      </c>
      <c r="AF190" s="152">
        <v>0</v>
      </c>
      <c r="AG190" s="152" t="s">
        <v>861</v>
      </c>
      <c r="AH190" s="152" t="s">
        <v>861</v>
      </c>
      <c r="AI190" s="152" t="s">
        <v>92</v>
      </c>
      <c r="AJ190" s="152" t="s">
        <v>92</v>
      </c>
      <c r="AK190" s="152" t="s">
        <v>972</v>
      </c>
      <c r="AL190" s="159" t="s">
        <v>856</v>
      </c>
      <c r="AP190" s="159" t="s">
        <v>856</v>
      </c>
      <c r="AQ190" s="159" t="s">
        <v>856</v>
      </c>
      <c r="AR190" s="159" t="s">
        <v>856</v>
      </c>
      <c r="AS190" s="159" t="s">
        <v>865</v>
      </c>
      <c r="AT190" s="152" t="str">
        <f t="shared" si="15"/>
        <v>VUF11-021118</v>
      </c>
      <c r="AU190" s="152" t="str">
        <f t="shared" si="16"/>
        <v>FONSAGRADA S.A.</v>
      </c>
      <c r="AV190" s="159" t="s">
        <v>856</v>
      </c>
      <c r="AW190" s="159" t="s">
        <v>856</v>
      </c>
      <c r="AX190" s="159" t="s">
        <v>856</v>
      </c>
      <c r="AY190" s="159" t="s">
        <v>856</v>
      </c>
      <c r="AZ190" s="152" t="s">
        <v>864</v>
      </c>
      <c r="BA190" s="152" t="str">
        <f t="shared" si="12"/>
        <v>L19-160-JM002</v>
      </c>
      <c r="BB190" s="152">
        <v>15</v>
      </c>
      <c r="BC190" s="157">
        <v>43558</v>
      </c>
      <c r="BD190" s="157">
        <v>43864</v>
      </c>
      <c r="BE190" s="158">
        <v>107720</v>
      </c>
      <c r="BF190" s="152" t="s">
        <v>2092</v>
      </c>
      <c r="BG190" s="159" t="s">
        <v>875</v>
      </c>
      <c r="BH190" s="152">
        <v>53.86</v>
      </c>
      <c r="BI190" s="152">
        <v>0</v>
      </c>
      <c r="BJ190" s="152">
        <v>0</v>
      </c>
      <c r="BK190" s="152" t="s">
        <v>132</v>
      </c>
      <c r="BL190" s="152">
        <v>53.86</v>
      </c>
      <c r="BM190" s="152">
        <v>715059</v>
      </c>
      <c r="BN190" s="157" t="s">
        <v>1453</v>
      </c>
    </row>
    <row r="191" spans="1:66">
      <c r="A191" s="152" t="s">
        <v>2093</v>
      </c>
      <c r="B191" s="152" t="s">
        <v>2094</v>
      </c>
      <c r="C191" s="152" t="s">
        <v>831</v>
      </c>
      <c r="D191" s="152" t="s">
        <v>2095</v>
      </c>
      <c r="E191" s="152" t="s">
        <v>1077</v>
      </c>
      <c r="F191" s="152">
        <v>1704</v>
      </c>
      <c r="G191" s="152">
        <v>204</v>
      </c>
      <c r="H191" s="152" t="s">
        <v>2091</v>
      </c>
      <c r="I191" s="152">
        <v>197850</v>
      </c>
      <c r="J191" s="152">
        <v>95.44</v>
      </c>
      <c r="K191" s="152">
        <v>85466</v>
      </c>
      <c r="L191" s="159" t="s">
        <v>856</v>
      </c>
      <c r="M191" s="152" t="s">
        <v>92</v>
      </c>
      <c r="N191" s="152" t="s">
        <v>92</v>
      </c>
      <c r="O191" s="159" t="s">
        <v>856</v>
      </c>
      <c r="P191" s="159" t="s">
        <v>856</v>
      </c>
      <c r="Q191" s="152" t="s">
        <v>92</v>
      </c>
      <c r="R191" s="152" t="s">
        <v>92</v>
      </c>
      <c r="S191" s="159" t="s">
        <v>856</v>
      </c>
      <c r="T191" s="159" t="s">
        <v>856</v>
      </c>
      <c r="U191" s="159" t="s">
        <v>856</v>
      </c>
      <c r="V191" s="152" t="s">
        <v>857</v>
      </c>
      <c r="W191" s="152" t="s">
        <v>858</v>
      </c>
      <c r="X191" s="152" t="s">
        <v>1083</v>
      </c>
      <c r="Y191" s="152">
        <v>0</v>
      </c>
      <c r="Z191" s="152">
        <v>1</v>
      </c>
      <c r="AA191" s="152" t="s">
        <v>92</v>
      </c>
      <c r="AB191" s="152">
        <v>53.86</v>
      </c>
      <c r="AC191" s="152">
        <v>1</v>
      </c>
      <c r="AD191" s="152" t="s">
        <v>861</v>
      </c>
      <c r="AE191" s="152">
        <v>53.86</v>
      </c>
      <c r="AF191" s="152">
        <v>0</v>
      </c>
      <c r="AG191" s="152" t="s">
        <v>861</v>
      </c>
      <c r="AH191" s="152" t="s">
        <v>861</v>
      </c>
      <c r="AI191" s="152" t="s">
        <v>92</v>
      </c>
      <c r="AJ191" s="152" t="s">
        <v>92</v>
      </c>
      <c r="AK191" s="152" t="s">
        <v>972</v>
      </c>
      <c r="AL191" s="159" t="s">
        <v>856</v>
      </c>
      <c r="AP191" s="159" t="s">
        <v>856</v>
      </c>
      <c r="AQ191" s="159" t="s">
        <v>856</v>
      </c>
      <c r="AR191" s="159" t="s">
        <v>856</v>
      </c>
      <c r="AS191" s="159" t="s">
        <v>865</v>
      </c>
      <c r="AT191" s="152" t="str">
        <f t="shared" si="15"/>
        <v>VUF11-011118</v>
      </c>
      <c r="AU191" s="152" t="str">
        <f t="shared" si="16"/>
        <v>FONSAGRADA S.A.</v>
      </c>
      <c r="AV191" s="159" t="s">
        <v>856</v>
      </c>
      <c r="AW191" s="159" t="s">
        <v>856</v>
      </c>
      <c r="AX191" s="159" t="s">
        <v>856</v>
      </c>
      <c r="AY191" s="159" t="s">
        <v>856</v>
      </c>
      <c r="AZ191" s="152" t="s">
        <v>864</v>
      </c>
      <c r="BA191" s="152" t="str">
        <f t="shared" si="12"/>
        <v>L19-158-JM001</v>
      </c>
      <c r="BB191" s="152">
        <v>15</v>
      </c>
      <c r="BC191" s="157">
        <v>43558</v>
      </c>
      <c r="BD191" s="157">
        <v>43864</v>
      </c>
      <c r="BE191" s="158">
        <v>107720</v>
      </c>
      <c r="BF191" s="152" t="s">
        <v>2096</v>
      </c>
      <c r="BG191" s="159" t="s">
        <v>875</v>
      </c>
      <c r="BH191" s="152">
        <v>53.86</v>
      </c>
      <c r="BI191" s="152">
        <v>0</v>
      </c>
      <c r="BJ191" s="152">
        <v>0</v>
      </c>
      <c r="BK191" s="152" t="s">
        <v>132</v>
      </c>
      <c r="BL191" s="152">
        <v>53.86</v>
      </c>
      <c r="BM191" s="152">
        <v>715067</v>
      </c>
      <c r="BN191" s="157" t="s">
        <v>1453</v>
      </c>
    </row>
    <row r="192" spans="1:66">
      <c r="A192" s="152" t="s">
        <v>2097</v>
      </c>
      <c r="B192" s="152" t="s">
        <v>2098</v>
      </c>
      <c r="C192" s="152" t="s">
        <v>2099</v>
      </c>
      <c r="D192" s="152" t="s">
        <v>2100</v>
      </c>
      <c r="E192" s="152" t="s">
        <v>2100</v>
      </c>
      <c r="F192" s="152">
        <v>313148</v>
      </c>
      <c r="G192" s="152">
        <v>118</v>
      </c>
      <c r="H192" s="152">
        <v>761</v>
      </c>
      <c r="I192" s="152">
        <v>170794</v>
      </c>
      <c r="J192" s="152">
        <v>90</v>
      </c>
      <c r="K192" s="152">
        <v>66053</v>
      </c>
      <c r="L192" s="159" t="s">
        <v>856</v>
      </c>
      <c r="M192" s="152" t="s">
        <v>92</v>
      </c>
      <c r="N192" s="152" t="s">
        <v>92</v>
      </c>
      <c r="O192" s="159" t="s">
        <v>856</v>
      </c>
      <c r="P192" s="159" t="s">
        <v>856</v>
      </c>
      <c r="Q192" s="152" t="s">
        <v>92</v>
      </c>
      <c r="R192" s="152" t="s">
        <v>92</v>
      </c>
      <c r="S192" s="159" t="s">
        <v>856</v>
      </c>
      <c r="T192" s="159" t="s">
        <v>856</v>
      </c>
      <c r="U192" s="159" t="s">
        <v>856</v>
      </c>
      <c r="V192" s="152" t="s">
        <v>857</v>
      </c>
      <c r="W192" s="152" t="s">
        <v>858</v>
      </c>
      <c r="X192" s="152" t="s">
        <v>1083</v>
      </c>
      <c r="Y192" s="152">
        <v>0</v>
      </c>
      <c r="Z192" s="152">
        <v>1</v>
      </c>
      <c r="AA192" s="152" t="s">
        <v>92</v>
      </c>
      <c r="AB192" s="152">
        <v>53.55</v>
      </c>
      <c r="AC192" s="152">
        <v>1</v>
      </c>
      <c r="AD192" s="152" t="s">
        <v>861</v>
      </c>
      <c r="AE192" s="152">
        <v>53.55</v>
      </c>
      <c r="AF192" s="152">
        <v>0</v>
      </c>
      <c r="AG192" s="152" t="s">
        <v>861</v>
      </c>
      <c r="AH192" s="152" t="s">
        <v>861</v>
      </c>
      <c r="AI192" s="152" t="s">
        <v>92</v>
      </c>
      <c r="AJ192" s="152" t="s">
        <v>92</v>
      </c>
      <c r="AK192" s="152" t="s">
        <v>972</v>
      </c>
      <c r="AL192" s="159" t="s">
        <v>856</v>
      </c>
      <c r="AP192" s="159" t="s">
        <v>856</v>
      </c>
      <c r="AQ192" s="159" t="s">
        <v>856</v>
      </c>
      <c r="AR192" s="159" t="s">
        <v>856</v>
      </c>
      <c r="AS192" s="159" t="s">
        <v>865</v>
      </c>
      <c r="AT192" s="152" t="str">
        <f t="shared" si="15"/>
        <v>VUA12-010319</v>
      </c>
      <c r="AU192" s="152" t="str">
        <f t="shared" si="16"/>
        <v>CARLOS ROBERTO AGUILAR LEIVA</v>
      </c>
      <c r="AV192" s="159" t="s">
        <v>856</v>
      </c>
      <c r="AW192" s="159" t="s">
        <v>856</v>
      </c>
      <c r="AX192" s="159" t="s">
        <v>856</v>
      </c>
      <c r="AY192" s="159" t="s">
        <v>856</v>
      </c>
      <c r="AZ192" s="152" t="s">
        <v>864</v>
      </c>
      <c r="BA192" s="152" t="str">
        <f t="shared" si="12"/>
        <v>L19-149-SP043</v>
      </c>
      <c r="BB192" s="152">
        <v>15</v>
      </c>
      <c r="BC192" s="157">
        <v>43560</v>
      </c>
      <c r="BD192" s="157">
        <v>43866</v>
      </c>
      <c r="BE192" s="158">
        <v>117652.5</v>
      </c>
      <c r="BF192" s="152" t="s">
        <v>2101</v>
      </c>
      <c r="BG192" s="159" t="s">
        <v>2102</v>
      </c>
      <c r="BH192" s="152">
        <v>53.55</v>
      </c>
      <c r="BI192" s="152">
        <v>0</v>
      </c>
      <c r="BJ192" s="152">
        <v>0</v>
      </c>
      <c r="BK192" s="152" t="s">
        <v>132</v>
      </c>
      <c r="BL192" s="152">
        <v>53.55</v>
      </c>
      <c r="BM192" s="152">
        <v>715247</v>
      </c>
      <c r="BN192" s="157" t="s">
        <v>1453</v>
      </c>
    </row>
    <row r="193" spans="1:66">
      <c r="A193" s="152" t="s">
        <v>2103</v>
      </c>
      <c r="B193" s="152" t="s">
        <v>2104</v>
      </c>
      <c r="C193" s="152" t="s">
        <v>1661</v>
      </c>
      <c r="D193" s="152" t="s">
        <v>2105</v>
      </c>
      <c r="E193" s="152" t="s">
        <v>2106</v>
      </c>
      <c r="F193" s="152">
        <v>313084</v>
      </c>
      <c r="G193" s="152">
        <v>54</v>
      </c>
      <c r="H193" s="152">
        <v>761</v>
      </c>
      <c r="I193" s="152">
        <v>170346</v>
      </c>
      <c r="J193" s="152">
        <v>87</v>
      </c>
      <c r="K193" s="152">
        <v>65849</v>
      </c>
      <c r="L193" s="159" t="s">
        <v>856</v>
      </c>
      <c r="M193" s="152" t="s">
        <v>92</v>
      </c>
      <c r="N193" s="152" t="s">
        <v>92</v>
      </c>
      <c r="O193" s="159" t="s">
        <v>856</v>
      </c>
      <c r="P193" s="159" t="s">
        <v>856</v>
      </c>
      <c r="Q193" s="152" t="s">
        <v>92</v>
      </c>
      <c r="R193" s="152" t="s">
        <v>92</v>
      </c>
      <c r="S193" s="159" t="s">
        <v>856</v>
      </c>
      <c r="T193" s="159" t="s">
        <v>856</v>
      </c>
      <c r="U193" s="159" t="s">
        <v>856</v>
      </c>
      <c r="V193" s="152" t="s">
        <v>857</v>
      </c>
      <c r="W193" s="152" t="s">
        <v>858</v>
      </c>
      <c r="X193" s="152" t="s">
        <v>1083</v>
      </c>
      <c r="Y193" s="152">
        <v>0</v>
      </c>
      <c r="Z193" s="152">
        <v>1</v>
      </c>
      <c r="AA193" s="152" t="s">
        <v>92</v>
      </c>
      <c r="AB193" s="152">
        <v>76.17</v>
      </c>
      <c r="AC193" s="152">
        <v>1</v>
      </c>
      <c r="AD193" s="152" t="s">
        <v>861</v>
      </c>
      <c r="AE193" s="152">
        <v>76.17</v>
      </c>
      <c r="AF193" s="152">
        <v>0</v>
      </c>
      <c r="AG193" s="152" t="s">
        <v>861</v>
      </c>
      <c r="AH193" s="152" t="s">
        <v>861</v>
      </c>
      <c r="AI193" s="152" t="s">
        <v>92</v>
      </c>
      <c r="AJ193" s="152" t="s">
        <v>92</v>
      </c>
      <c r="AK193" s="152" t="s">
        <v>972</v>
      </c>
      <c r="AL193" s="159" t="s">
        <v>856</v>
      </c>
      <c r="AP193" s="159" t="s">
        <v>856</v>
      </c>
      <c r="AQ193" s="159" t="s">
        <v>856</v>
      </c>
      <c r="AR193" s="159" t="s">
        <v>856</v>
      </c>
      <c r="AS193" s="159" t="s">
        <v>865</v>
      </c>
      <c r="AT193" s="152" t="str">
        <f t="shared" si="15"/>
        <v>VUP12-020419</v>
      </c>
      <c r="AU193" s="152" t="str">
        <f t="shared" si="16"/>
        <v>CARLOS ENRIQUE PEREZ RACANCOJ</v>
      </c>
      <c r="AV193" s="159" t="s">
        <v>856</v>
      </c>
      <c r="AW193" s="159" t="s">
        <v>856</v>
      </c>
      <c r="AX193" s="159" t="s">
        <v>856</v>
      </c>
      <c r="AY193" s="159" t="s">
        <v>856</v>
      </c>
      <c r="AZ193" s="152" t="s">
        <v>864</v>
      </c>
      <c r="BA193" s="152" t="str">
        <f t="shared" si="12"/>
        <v>L19-452-JM074</v>
      </c>
      <c r="BB193" s="152">
        <v>15</v>
      </c>
      <c r="BC193" s="157">
        <v>43672</v>
      </c>
      <c r="BD193" s="157">
        <v>43611</v>
      </c>
      <c r="BE193" s="158">
        <v>155700</v>
      </c>
      <c r="BF193" s="152" t="s">
        <v>2107</v>
      </c>
      <c r="BG193" s="159" t="s">
        <v>875</v>
      </c>
      <c r="BH193" s="152">
        <v>76.17</v>
      </c>
      <c r="BI193" s="152">
        <v>0</v>
      </c>
      <c r="BJ193" s="152">
        <v>0</v>
      </c>
      <c r="BK193" s="152" t="s">
        <v>132</v>
      </c>
      <c r="BL193" s="152">
        <v>76.17</v>
      </c>
      <c r="BM193" s="152">
        <v>729209</v>
      </c>
      <c r="BN193" s="157" t="s">
        <v>1453</v>
      </c>
    </row>
    <row r="194" spans="1:66">
      <c r="A194" s="152" t="s">
        <v>2108</v>
      </c>
      <c r="B194" s="152" t="s">
        <v>2109</v>
      </c>
      <c r="C194" s="152" t="s">
        <v>2110</v>
      </c>
      <c r="D194" s="152" t="s">
        <v>2111</v>
      </c>
      <c r="E194" s="152" t="s">
        <v>2111</v>
      </c>
      <c r="F194" s="159" t="s">
        <v>856</v>
      </c>
      <c r="G194" s="159" t="s">
        <v>856</v>
      </c>
      <c r="H194" s="159" t="s">
        <v>856</v>
      </c>
      <c r="I194" s="152">
        <v>198515</v>
      </c>
      <c r="J194" s="152">
        <v>162</v>
      </c>
      <c r="K194" s="152">
        <v>86071</v>
      </c>
      <c r="L194" s="159" t="s">
        <v>856</v>
      </c>
      <c r="M194" s="152" t="s">
        <v>92</v>
      </c>
      <c r="N194" s="152" t="s">
        <v>92</v>
      </c>
      <c r="O194" s="159" t="s">
        <v>856</v>
      </c>
      <c r="P194" s="159" t="s">
        <v>856</v>
      </c>
      <c r="Q194" s="152" t="s">
        <v>92</v>
      </c>
      <c r="R194" s="152" t="s">
        <v>92</v>
      </c>
      <c r="S194" s="159" t="s">
        <v>856</v>
      </c>
      <c r="T194" s="159" t="s">
        <v>856</v>
      </c>
      <c r="U194" s="159" t="s">
        <v>856</v>
      </c>
      <c r="V194" s="152" t="s">
        <v>857</v>
      </c>
      <c r="W194" s="152" t="s">
        <v>858</v>
      </c>
      <c r="X194" s="152" t="s">
        <v>1083</v>
      </c>
      <c r="Y194" s="152">
        <v>0</v>
      </c>
      <c r="Z194" s="152">
        <v>1</v>
      </c>
      <c r="AA194" s="152" t="s">
        <v>92</v>
      </c>
      <c r="AB194" s="152">
        <v>68.97</v>
      </c>
      <c r="AC194" s="152">
        <v>1</v>
      </c>
      <c r="AD194" s="152" t="s">
        <v>861</v>
      </c>
      <c r="AE194" s="152">
        <v>68.97</v>
      </c>
      <c r="AF194" s="152">
        <v>0</v>
      </c>
      <c r="AG194" s="152" t="s">
        <v>861</v>
      </c>
      <c r="AH194" s="152" t="s">
        <v>861</v>
      </c>
      <c r="AI194" s="152" t="s">
        <v>92</v>
      </c>
      <c r="AJ194" s="152" t="s">
        <v>92</v>
      </c>
      <c r="AK194" s="152" t="s">
        <v>2112</v>
      </c>
      <c r="AL194" s="159" t="s">
        <v>856</v>
      </c>
      <c r="AP194" s="159" t="s">
        <v>856</v>
      </c>
      <c r="AQ194" s="159" t="s">
        <v>856</v>
      </c>
      <c r="AR194" s="159" t="s">
        <v>856</v>
      </c>
      <c r="AS194" s="159" t="s">
        <v>865</v>
      </c>
      <c r="AT194" s="152" t="str">
        <f t="shared" si="15"/>
        <v>VUGR-010319</v>
      </c>
      <c r="AU194" s="152" t="str">
        <f t="shared" si="16"/>
        <v>JUAN GARCIA VICENTE</v>
      </c>
      <c r="AV194" s="159" t="s">
        <v>2080</v>
      </c>
      <c r="AW194" s="159" t="s">
        <v>2080</v>
      </c>
      <c r="AX194" s="159" t="s">
        <v>2080</v>
      </c>
      <c r="AY194" s="159" t="s">
        <v>2080</v>
      </c>
      <c r="AZ194" s="152" t="s">
        <v>864</v>
      </c>
      <c r="BA194" s="152" t="str">
        <f t="shared" si="12"/>
        <v>L19-349-MP051</v>
      </c>
      <c r="BB194" s="152">
        <v>0</v>
      </c>
      <c r="BC194" s="157">
        <v>43662</v>
      </c>
      <c r="BD194" s="157">
        <v>43662</v>
      </c>
      <c r="BE194" s="158">
        <v>145143</v>
      </c>
      <c r="BF194" s="152" t="s">
        <v>2113</v>
      </c>
      <c r="BG194" s="159" t="s">
        <v>2033</v>
      </c>
      <c r="BH194" s="152">
        <v>68.97</v>
      </c>
      <c r="BI194" s="152">
        <v>0</v>
      </c>
      <c r="BJ194" s="152">
        <v>0</v>
      </c>
      <c r="BK194" s="152" t="s">
        <v>132</v>
      </c>
      <c r="BL194" s="152">
        <v>68.97</v>
      </c>
      <c r="BM194" s="152">
        <v>728683</v>
      </c>
      <c r="BN194" s="157" t="s">
        <v>1453</v>
      </c>
    </row>
    <row r="195" spans="1:66">
      <c r="A195" s="152" t="s">
        <v>2114</v>
      </c>
      <c r="B195" s="152" t="s">
        <v>2115</v>
      </c>
      <c r="C195" s="152" t="s">
        <v>2116</v>
      </c>
      <c r="D195" s="152" t="s">
        <v>2117</v>
      </c>
      <c r="E195" s="152" t="s">
        <v>2118</v>
      </c>
      <c r="F195" s="152">
        <v>308725</v>
      </c>
      <c r="G195" s="152">
        <v>216</v>
      </c>
      <c r="H195" s="152">
        <v>747</v>
      </c>
      <c r="I195" s="152">
        <v>161358</v>
      </c>
      <c r="J195" s="152">
        <v>112</v>
      </c>
      <c r="K195" s="152">
        <v>59288</v>
      </c>
      <c r="L195" s="159" t="s">
        <v>856</v>
      </c>
      <c r="M195" s="152" t="s">
        <v>92</v>
      </c>
      <c r="N195" s="152" t="s">
        <v>92</v>
      </c>
      <c r="O195" s="159" t="s">
        <v>856</v>
      </c>
      <c r="P195" s="159" t="s">
        <v>856</v>
      </c>
      <c r="Q195" s="152" t="s">
        <v>92</v>
      </c>
      <c r="R195" s="152" t="s">
        <v>92</v>
      </c>
      <c r="S195" s="159" t="s">
        <v>856</v>
      </c>
      <c r="T195" s="159" t="s">
        <v>856</v>
      </c>
      <c r="U195" s="159" t="s">
        <v>856</v>
      </c>
      <c r="V195" s="152" t="s">
        <v>857</v>
      </c>
      <c r="W195" s="152" t="s">
        <v>858</v>
      </c>
      <c r="X195" s="152" t="s">
        <v>1083</v>
      </c>
      <c r="Y195" s="152">
        <v>0</v>
      </c>
      <c r="Z195" s="152">
        <v>1</v>
      </c>
      <c r="AA195" s="152" t="s">
        <v>92</v>
      </c>
      <c r="AB195" s="152">
        <v>66</v>
      </c>
      <c r="AC195" s="152">
        <v>1</v>
      </c>
      <c r="AD195" s="152" t="s">
        <v>861</v>
      </c>
      <c r="AE195" s="152">
        <v>66</v>
      </c>
      <c r="AF195" s="152">
        <v>0</v>
      </c>
      <c r="AG195" s="152" t="s">
        <v>861</v>
      </c>
      <c r="AH195" s="152" t="s">
        <v>861</v>
      </c>
      <c r="AI195" s="152" t="s">
        <v>92</v>
      </c>
      <c r="AJ195" s="152" t="s">
        <v>92</v>
      </c>
      <c r="AK195" s="152" t="s">
        <v>972</v>
      </c>
      <c r="AL195" s="159" t="s">
        <v>856</v>
      </c>
      <c r="AP195" s="159" t="s">
        <v>856</v>
      </c>
      <c r="AQ195" s="159" t="s">
        <v>856</v>
      </c>
      <c r="AR195" s="159" t="s">
        <v>856</v>
      </c>
      <c r="AS195" s="159" t="s">
        <v>865</v>
      </c>
      <c r="AT195" s="152" t="str">
        <f t="shared" si="15"/>
        <v>VUO12-020519</v>
      </c>
      <c r="AU195" s="152" t="str">
        <f t="shared" si="16"/>
        <v>OLGA VIOLETA OROXOM RODRIGUEZ</v>
      </c>
      <c r="AV195" s="159" t="s">
        <v>856</v>
      </c>
      <c r="AW195" s="159" t="s">
        <v>856</v>
      </c>
      <c r="AX195" s="159" t="s">
        <v>856</v>
      </c>
      <c r="AY195" s="159" t="s">
        <v>856</v>
      </c>
      <c r="AZ195" s="152" t="s">
        <v>864</v>
      </c>
      <c r="BA195" s="152" t="str">
        <f t="shared" si="12"/>
        <v>L19-453-MP047</v>
      </c>
      <c r="BB195" s="152">
        <v>15</v>
      </c>
      <c r="BC195" s="157">
        <v>43672</v>
      </c>
      <c r="BD195" s="157">
        <v>43977</v>
      </c>
      <c r="BE195" s="158">
        <v>168554</v>
      </c>
      <c r="BF195" s="152" t="s">
        <v>2119</v>
      </c>
      <c r="BG195" s="159" t="s">
        <v>875</v>
      </c>
      <c r="BH195" s="152">
        <v>66</v>
      </c>
      <c r="BI195" s="152">
        <v>0</v>
      </c>
      <c r="BJ195" s="152">
        <v>0</v>
      </c>
      <c r="BK195" s="152" t="s">
        <v>132</v>
      </c>
      <c r="BL195" s="152">
        <v>66</v>
      </c>
      <c r="BM195" s="152">
        <v>729206</v>
      </c>
      <c r="BN195" s="157" t="s">
        <v>1453</v>
      </c>
    </row>
    <row r="196" spans="1:66">
      <c r="A196" s="152" t="s">
        <v>2120</v>
      </c>
      <c r="B196" s="152" t="s">
        <v>2121</v>
      </c>
      <c r="C196" s="152" t="s">
        <v>1262</v>
      </c>
      <c r="D196" s="152" t="s">
        <v>2122</v>
      </c>
      <c r="E196" s="152" t="s">
        <v>1264</v>
      </c>
      <c r="F196" s="152">
        <v>2789</v>
      </c>
      <c r="G196" s="152">
        <v>289</v>
      </c>
      <c r="H196" s="152" t="s">
        <v>1265</v>
      </c>
      <c r="I196" s="152">
        <v>198404</v>
      </c>
      <c r="J196" s="152">
        <v>96</v>
      </c>
      <c r="K196" s="152">
        <v>85959</v>
      </c>
      <c r="L196" s="159" t="s">
        <v>856</v>
      </c>
      <c r="M196" s="152" t="s">
        <v>92</v>
      </c>
      <c r="N196" s="152" t="s">
        <v>92</v>
      </c>
      <c r="O196" s="159" t="s">
        <v>856</v>
      </c>
      <c r="P196" s="159" t="s">
        <v>856</v>
      </c>
      <c r="Q196" s="152" t="s">
        <v>92</v>
      </c>
      <c r="R196" s="152" t="s">
        <v>92</v>
      </c>
      <c r="S196" s="159" t="s">
        <v>856</v>
      </c>
      <c r="T196" s="159" t="s">
        <v>856</v>
      </c>
      <c r="U196" s="159" t="s">
        <v>856</v>
      </c>
      <c r="V196" s="152" t="s">
        <v>857</v>
      </c>
      <c r="W196" s="152" t="s">
        <v>858</v>
      </c>
      <c r="X196" s="152" t="s">
        <v>1083</v>
      </c>
      <c r="Y196" s="152">
        <v>0</v>
      </c>
      <c r="Z196" s="152">
        <v>1</v>
      </c>
      <c r="AA196" s="152" t="s">
        <v>92</v>
      </c>
      <c r="AB196" s="152">
        <v>85</v>
      </c>
      <c r="AC196" s="152">
        <v>2</v>
      </c>
      <c r="AD196" s="152" t="s">
        <v>861</v>
      </c>
      <c r="AE196" s="152">
        <v>85</v>
      </c>
      <c r="AF196" s="152">
        <v>0</v>
      </c>
      <c r="AG196" s="152" t="s">
        <v>861</v>
      </c>
      <c r="AH196" s="152" t="s">
        <v>861</v>
      </c>
      <c r="AI196" s="152" t="s">
        <v>92</v>
      </c>
      <c r="AJ196" s="152" t="s">
        <v>92</v>
      </c>
      <c r="AK196" s="152" t="s">
        <v>862</v>
      </c>
      <c r="AL196" s="159" t="s">
        <v>856</v>
      </c>
      <c r="AP196" s="159" t="s">
        <v>856</v>
      </c>
      <c r="AQ196" s="159" t="s">
        <v>856</v>
      </c>
      <c r="AR196" s="159" t="s">
        <v>856</v>
      </c>
      <c r="AS196" s="159" t="s">
        <v>865</v>
      </c>
      <c r="AT196" s="152" t="str">
        <f t="shared" si="15"/>
        <v>VUCR-120619</v>
      </c>
      <c r="AU196" s="152" t="str">
        <f t="shared" si="16"/>
        <v>COMPLEJOS COLONIALES, S.A.</v>
      </c>
      <c r="AV196" s="159" t="s">
        <v>856</v>
      </c>
      <c r="AW196" s="159" t="s">
        <v>856</v>
      </c>
      <c r="AX196" s="159" t="s">
        <v>856</v>
      </c>
      <c r="AY196" s="159" t="s">
        <v>856</v>
      </c>
      <c r="AZ196" s="152" t="s">
        <v>864</v>
      </c>
      <c r="BA196" s="152" t="str">
        <f t="shared" si="12"/>
        <v>L19-406-JM102</v>
      </c>
      <c r="BB196" s="152">
        <v>24</v>
      </c>
      <c r="BC196" s="157">
        <v>43696</v>
      </c>
      <c r="BD196" s="157">
        <v>44062</v>
      </c>
      <c r="BE196" s="158">
        <v>226256</v>
      </c>
      <c r="BF196" s="152" t="s">
        <v>2123</v>
      </c>
      <c r="BG196" s="159" t="s">
        <v>875</v>
      </c>
      <c r="BH196" s="152">
        <v>85</v>
      </c>
      <c r="BI196" s="152">
        <v>0</v>
      </c>
      <c r="BJ196" s="152">
        <v>0</v>
      </c>
      <c r="BK196" s="152" t="s">
        <v>132</v>
      </c>
      <c r="BL196" s="152">
        <v>85</v>
      </c>
      <c r="BM196" s="152">
        <v>800502</v>
      </c>
      <c r="BN196" s="157" t="s">
        <v>1453</v>
      </c>
    </row>
    <row r="197" spans="1:66">
      <c r="A197" s="152" t="s">
        <v>2124</v>
      </c>
      <c r="B197" s="152" t="s">
        <v>2125</v>
      </c>
      <c r="C197" s="152" t="s">
        <v>2126</v>
      </c>
      <c r="D197" s="152" t="s">
        <v>2127</v>
      </c>
      <c r="E197" s="152" t="s">
        <v>2127</v>
      </c>
      <c r="F197" s="152">
        <v>4883</v>
      </c>
      <c r="G197" s="152">
        <v>383</v>
      </c>
      <c r="H197" s="152" t="s">
        <v>2128</v>
      </c>
      <c r="I197" s="152">
        <v>198004</v>
      </c>
      <c r="J197" s="152">
        <v>178.6</v>
      </c>
      <c r="K197" s="152">
        <v>85570</v>
      </c>
      <c r="L197" s="159" t="s">
        <v>856</v>
      </c>
      <c r="M197" s="152" t="s">
        <v>92</v>
      </c>
      <c r="N197" s="152" t="s">
        <v>92</v>
      </c>
      <c r="O197" s="159" t="s">
        <v>856</v>
      </c>
      <c r="P197" s="159" t="s">
        <v>856</v>
      </c>
      <c r="Q197" s="152" t="s">
        <v>92</v>
      </c>
      <c r="R197" s="152" t="s">
        <v>92</v>
      </c>
      <c r="S197" s="159" t="s">
        <v>856</v>
      </c>
      <c r="T197" s="159" t="s">
        <v>856</v>
      </c>
      <c r="U197" s="159" t="s">
        <v>856</v>
      </c>
      <c r="V197" s="152" t="s">
        <v>857</v>
      </c>
      <c r="W197" s="152" t="s">
        <v>858</v>
      </c>
      <c r="X197" s="152" t="s">
        <v>1083</v>
      </c>
      <c r="Y197" s="152">
        <v>0</v>
      </c>
      <c r="Z197" s="152">
        <v>1</v>
      </c>
      <c r="AA197" s="152" t="s">
        <v>92</v>
      </c>
      <c r="AB197" s="152">
        <v>78.84</v>
      </c>
      <c r="AC197" s="152">
        <v>1</v>
      </c>
      <c r="AD197" s="152" t="s">
        <v>861</v>
      </c>
      <c r="AE197" s="152">
        <v>78.84</v>
      </c>
      <c r="AF197" s="152">
        <v>0</v>
      </c>
      <c r="AG197" s="152" t="s">
        <v>861</v>
      </c>
      <c r="AH197" s="152" t="s">
        <v>861</v>
      </c>
      <c r="AI197" s="152" t="s">
        <v>92</v>
      </c>
      <c r="AJ197" s="152" t="s">
        <v>92</v>
      </c>
      <c r="AK197" s="152" t="s">
        <v>884</v>
      </c>
      <c r="AL197" s="159" t="s">
        <v>856</v>
      </c>
      <c r="AP197" s="159" t="s">
        <v>856</v>
      </c>
      <c r="AQ197" s="159" t="s">
        <v>856</v>
      </c>
      <c r="AR197" s="159" t="s">
        <v>856</v>
      </c>
      <c r="AS197" s="159" t="s">
        <v>865</v>
      </c>
      <c r="AT197" s="152" t="str">
        <f t="shared" si="15"/>
        <v>VUG10-030619</v>
      </c>
      <c r="AU197" s="152" t="str">
        <f t="shared" si="16"/>
        <v>JOSE MANUEL GUZMAN MANZANO</v>
      </c>
      <c r="AV197" s="159" t="s">
        <v>856</v>
      </c>
      <c r="AW197" s="159" t="s">
        <v>856</v>
      </c>
      <c r="AX197" s="159" t="s">
        <v>856</v>
      </c>
      <c r="AY197" s="159" t="s">
        <v>856</v>
      </c>
      <c r="AZ197" s="152" t="s">
        <v>864</v>
      </c>
      <c r="BA197" s="152" t="str">
        <f t="shared" si="12"/>
        <v>L19-376-EC062</v>
      </c>
      <c r="BB197" s="152">
        <v>15</v>
      </c>
      <c r="BC197" s="157">
        <v>43685</v>
      </c>
      <c r="BD197" s="157">
        <v>43990</v>
      </c>
      <c r="BE197" s="158">
        <v>165366</v>
      </c>
      <c r="BF197" s="152" t="s">
        <v>2129</v>
      </c>
      <c r="BG197" s="159" t="s">
        <v>2130</v>
      </c>
      <c r="BH197" s="152">
        <v>78.84</v>
      </c>
      <c r="BI197" s="152">
        <v>0</v>
      </c>
      <c r="BJ197" s="152">
        <v>0</v>
      </c>
      <c r="BK197" s="152" t="s">
        <v>132</v>
      </c>
      <c r="BL197" s="152">
        <v>78.84</v>
      </c>
      <c r="BM197" s="152">
        <v>726925</v>
      </c>
      <c r="BN197" s="157" t="s">
        <v>1453</v>
      </c>
    </row>
    <row r="198" spans="1:66">
      <c r="A198" s="152" t="s">
        <v>2131</v>
      </c>
      <c r="B198" s="152" t="s">
        <v>2132</v>
      </c>
      <c r="C198" s="152" t="s">
        <v>2133</v>
      </c>
      <c r="D198" s="152" t="s">
        <v>2134</v>
      </c>
      <c r="E198" s="152" t="s">
        <v>2134</v>
      </c>
      <c r="F198" s="152">
        <v>310687</v>
      </c>
      <c r="G198" s="152">
        <v>57</v>
      </c>
      <c r="H198" s="152">
        <v>753</v>
      </c>
      <c r="I198" s="152">
        <v>198237</v>
      </c>
      <c r="J198" s="152">
        <v>94.96</v>
      </c>
      <c r="K198" s="152">
        <v>85788</v>
      </c>
      <c r="L198" s="159" t="s">
        <v>856</v>
      </c>
      <c r="M198" s="152" t="s">
        <v>92</v>
      </c>
      <c r="N198" s="152" t="s">
        <v>92</v>
      </c>
      <c r="O198" s="159" t="s">
        <v>856</v>
      </c>
      <c r="P198" s="159" t="s">
        <v>856</v>
      </c>
      <c r="Q198" s="152" t="s">
        <v>92</v>
      </c>
      <c r="R198" s="152" t="s">
        <v>92</v>
      </c>
      <c r="S198" s="159" t="s">
        <v>856</v>
      </c>
      <c r="T198" s="159" t="s">
        <v>856</v>
      </c>
      <c r="U198" s="159" t="s">
        <v>856</v>
      </c>
      <c r="V198" s="152" t="s">
        <v>2135</v>
      </c>
      <c r="W198" s="152" t="s">
        <v>858</v>
      </c>
      <c r="X198" s="152" t="s">
        <v>1083</v>
      </c>
      <c r="Y198" s="152">
        <v>0</v>
      </c>
      <c r="Z198" s="152">
        <v>3</v>
      </c>
      <c r="AA198" s="152" t="s">
        <v>92</v>
      </c>
      <c r="AB198" s="152">
        <v>261.88</v>
      </c>
      <c r="AC198" s="152">
        <v>3</v>
      </c>
      <c r="AD198" s="152" t="s">
        <v>861</v>
      </c>
      <c r="AE198" s="152">
        <v>237.75</v>
      </c>
      <c r="AF198" s="152">
        <v>24.13</v>
      </c>
      <c r="AG198" s="152" t="s">
        <v>861</v>
      </c>
      <c r="AH198" s="152" t="s">
        <v>861</v>
      </c>
      <c r="AI198" s="152" t="s">
        <v>92</v>
      </c>
      <c r="AJ198" s="152" t="s">
        <v>92</v>
      </c>
      <c r="AK198" s="152" t="s">
        <v>884</v>
      </c>
      <c r="AL198" s="159" t="s">
        <v>856</v>
      </c>
      <c r="AP198" s="159" t="s">
        <v>856</v>
      </c>
      <c r="AQ198" s="159" t="s">
        <v>856</v>
      </c>
      <c r="AR198" s="159" t="s">
        <v>856</v>
      </c>
      <c r="AS198" s="159" t="s">
        <v>865</v>
      </c>
      <c r="AT198" s="152" t="str">
        <f t="shared" si="15"/>
        <v>VUNL6-010719</v>
      </c>
      <c r="AU198" s="152" t="str">
        <f t="shared" si="16"/>
        <v>JUANA REYES TZUNUM BATZ DE LOPEZ</v>
      </c>
      <c r="AV198" s="159" t="s">
        <v>856</v>
      </c>
      <c r="AW198" s="159" t="s">
        <v>856</v>
      </c>
      <c r="AX198" s="159" t="s">
        <v>856</v>
      </c>
      <c r="AY198" s="159" t="s">
        <v>856</v>
      </c>
      <c r="AZ198" s="152" t="s">
        <v>864</v>
      </c>
      <c r="BA198" s="152" t="str">
        <f t="shared" si="12"/>
        <v>L19-459-MP074</v>
      </c>
      <c r="BB198" s="152">
        <v>50</v>
      </c>
      <c r="BC198" s="157">
        <v>43717</v>
      </c>
      <c r="BD198" s="157">
        <v>44144</v>
      </c>
      <c r="BE198" s="158">
        <v>778930</v>
      </c>
      <c r="BF198" s="152" t="s">
        <v>2136</v>
      </c>
      <c r="BG198" s="159" t="s">
        <v>2137</v>
      </c>
      <c r="BH198" s="152">
        <v>237.75</v>
      </c>
      <c r="BI198" s="152">
        <v>24.13</v>
      </c>
      <c r="BJ198" s="152">
        <v>0</v>
      </c>
      <c r="BK198" s="152" t="s">
        <v>132</v>
      </c>
      <c r="BL198" s="152">
        <v>267.91000000000003</v>
      </c>
      <c r="BM198" s="152">
        <v>809727</v>
      </c>
      <c r="BN198" s="157" t="s">
        <v>2138</v>
      </c>
    </row>
    <row r="199" spans="1:66">
      <c r="A199" s="152" t="s">
        <v>2139</v>
      </c>
      <c r="B199" s="152" t="s">
        <v>2140</v>
      </c>
      <c r="C199" s="152" t="s">
        <v>2141</v>
      </c>
      <c r="D199" s="152" t="s">
        <v>2142</v>
      </c>
      <c r="E199" s="152" t="s">
        <v>2143</v>
      </c>
      <c r="F199" s="152">
        <v>297959</v>
      </c>
      <c r="G199" s="152">
        <v>39</v>
      </c>
      <c r="H199" s="152">
        <v>712</v>
      </c>
      <c r="I199" s="152">
        <v>198816</v>
      </c>
      <c r="J199" s="152">
        <v>92.78</v>
      </c>
      <c r="K199" s="152">
        <v>86359</v>
      </c>
      <c r="L199" s="159" t="s">
        <v>856</v>
      </c>
      <c r="M199" s="152" t="s">
        <v>92</v>
      </c>
      <c r="N199" s="152" t="s">
        <v>92</v>
      </c>
      <c r="O199" s="159" t="s">
        <v>856</v>
      </c>
      <c r="P199" s="159" t="s">
        <v>856</v>
      </c>
      <c r="Q199" s="152" t="s">
        <v>92</v>
      </c>
      <c r="R199" s="152" t="s">
        <v>92</v>
      </c>
      <c r="S199" s="159" t="s">
        <v>856</v>
      </c>
      <c r="T199" s="159" t="s">
        <v>856</v>
      </c>
      <c r="U199" s="159" t="s">
        <v>856</v>
      </c>
      <c r="V199" s="152" t="s">
        <v>857</v>
      </c>
      <c r="W199" s="152" t="s">
        <v>858</v>
      </c>
      <c r="X199" s="152" t="s">
        <v>1083</v>
      </c>
      <c r="Y199" s="152">
        <v>0</v>
      </c>
      <c r="Z199" s="152">
        <v>1</v>
      </c>
      <c r="AA199" s="152" t="s">
        <v>92</v>
      </c>
      <c r="AB199" s="152">
        <v>71.92</v>
      </c>
      <c r="AC199" s="152">
        <v>1</v>
      </c>
      <c r="AD199" s="152" t="s">
        <v>861</v>
      </c>
      <c r="AE199" s="152">
        <v>71.92</v>
      </c>
      <c r="AF199" s="152">
        <v>0</v>
      </c>
      <c r="AG199" s="152" t="s">
        <v>861</v>
      </c>
      <c r="AH199" s="152" t="s">
        <v>861</v>
      </c>
      <c r="AI199" s="152" t="s">
        <v>92</v>
      </c>
      <c r="AJ199" s="152" t="s">
        <v>92</v>
      </c>
      <c r="AK199" s="152" t="s">
        <v>884</v>
      </c>
      <c r="AL199" s="159" t="s">
        <v>856</v>
      </c>
      <c r="AP199" s="159" t="s">
        <v>856</v>
      </c>
      <c r="AQ199" s="159" t="s">
        <v>856</v>
      </c>
      <c r="AR199" s="159" t="s">
        <v>856</v>
      </c>
      <c r="AS199" s="159" t="s">
        <v>865</v>
      </c>
      <c r="AT199" s="152" t="str">
        <f t="shared" si="15"/>
        <v>VUNH7-011119</v>
      </c>
      <c r="AU199" s="152" t="str">
        <f t="shared" si="16"/>
        <v>MAXIMO SILVESTRE HERNANDEZ LOPEZ</v>
      </c>
      <c r="AV199" s="159" t="s">
        <v>856</v>
      </c>
      <c r="AW199" s="159" t="s">
        <v>856</v>
      </c>
      <c r="AX199" s="159" t="s">
        <v>856</v>
      </c>
      <c r="AY199" s="159" t="s">
        <v>856</v>
      </c>
      <c r="AZ199" s="152" t="s">
        <v>864</v>
      </c>
      <c r="BA199" s="152" t="str">
        <f t="shared" si="12"/>
        <v>L19-656-EC094</v>
      </c>
      <c r="BB199" s="152">
        <v>15</v>
      </c>
      <c r="BC199" s="157">
        <v>43822</v>
      </c>
      <c r="BD199" s="157">
        <v>44127</v>
      </c>
      <c r="BE199" s="158">
        <v>160767.04999999999</v>
      </c>
      <c r="BF199" s="152" t="s">
        <v>2144</v>
      </c>
      <c r="BG199" s="159" t="s">
        <v>2145</v>
      </c>
      <c r="BH199" s="152">
        <v>71.92</v>
      </c>
      <c r="BI199" s="152">
        <v>0</v>
      </c>
      <c r="BJ199" s="152">
        <v>0</v>
      </c>
      <c r="BK199" s="152" t="s">
        <v>132</v>
      </c>
      <c r="BL199" s="152">
        <v>71.92</v>
      </c>
      <c r="BM199" s="152">
        <v>818814</v>
      </c>
      <c r="BN199" s="157" t="s">
        <v>1453</v>
      </c>
    </row>
    <row r="200" spans="1:66">
      <c r="A200" s="152" t="s">
        <v>2146</v>
      </c>
      <c r="B200" s="152" t="s">
        <v>2147</v>
      </c>
      <c r="C200" s="152" t="s">
        <v>2148</v>
      </c>
      <c r="D200" s="152" t="s">
        <v>2149</v>
      </c>
      <c r="E200" s="152" t="s">
        <v>2150</v>
      </c>
      <c r="F200" s="152">
        <v>216984</v>
      </c>
      <c r="G200" s="152">
        <v>124</v>
      </c>
      <c r="H200" s="152">
        <v>443</v>
      </c>
      <c r="I200" s="152">
        <v>163580</v>
      </c>
      <c r="J200" s="152">
        <v>105</v>
      </c>
      <c r="K200" s="152">
        <v>61290</v>
      </c>
      <c r="L200" s="159" t="s">
        <v>856</v>
      </c>
      <c r="M200" s="152" t="s">
        <v>92</v>
      </c>
      <c r="N200" s="152" t="s">
        <v>92</v>
      </c>
      <c r="O200" s="159" t="s">
        <v>856</v>
      </c>
      <c r="P200" s="159" t="s">
        <v>856</v>
      </c>
      <c r="Q200" s="152" t="s">
        <v>92</v>
      </c>
      <c r="R200" s="152" t="s">
        <v>92</v>
      </c>
      <c r="S200" s="159" t="s">
        <v>856</v>
      </c>
      <c r="T200" s="159" t="s">
        <v>856</v>
      </c>
      <c r="U200" s="159" t="s">
        <v>856</v>
      </c>
      <c r="V200" s="152" t="s">
        <v>857</v>
      </c>
      <c r="W200" s="152" t="s">
        <v>858</v>
      </c>
      <c r="X200" s="152" t="s">
        <v>1083</v>
      </c>
      <c r="Y200" s="152">
        <v>0</v>
      </c>
      <c r="Z200" s="152">
        <v>1</v>
      </c>
      <c r="AA200" s="152" t="s">
        <v>92</v>
      </c>
      <c r="AB200" s="152">
        <v>198.39</v>
      </c>
      <c r="AC200" s="152">
        <v>2</v>
      </c>
      <c r="AD200" s="152" t="s">
        <v>861</v>
      </c>
      <c r="AE200" s="152">
        <v>198.39</v>
      </c>
      <c r="AF200" s="152">
        <v>0</v>
      </c>
      <c r="AG200" s="152" t="s">
        <v>861</v>
      </c>
      <c r="AH200" s="152" t="s">
        <v>861</v>
      </c>
      <c r="AI200" s="152" t="s">
        <v>92</v>
      </c>
      <c r="AJ200" s="152" t="s">
        <v>92</v>
      </c>
      <c r="AK200" s="152" t="s">
        <v>884</v>
      </c>
      <c r="AL200" s="159" t="s">
        <v>856</v>
      </c>
      <c r="AP200" s="159" t="s">
        <v>856</v>
      </c>
      <c r="AQ200" s="159" t="s">
        <v>856</v>
      </c>
      <c r="AR200" s="159" t="s">
        <v>856</v>
      </c>
      <c r="AS200" s="159" t="s">
        <v>865</v>
      </c>
      <c r="AT200" s="152" t="str">
        <f t="shared" si="15"/>
        <v>VUG7-031118</v>
      </c>
      <c r="AU200" s="152" t="str">
        <f t="shared" si="16"/>
        <v>ARDANY AREDY GOMEZ LOPEZ</v>
      </c>
      <c r="AV200" s="159" t="s">
        <v>856</v>
      </c>
      <c r="AW200" s="159" t="s">
        <v>856</v>
      </c>
      <c r="AX200" s="159" t="s">
        <v>856</v>
      </c>
      <c r="AY200" s="159" t="s">
        <v>856</v>
      </c>
      <c r="AZ200" s="152" t="s">
        <v>864</v>
      </c>
      <c r="BA200" s="152" t="str">
        <f t="shared" si="12"/>
        <v>L19-032-MP003</v>
      </c>
      <c r="BB200" s="152">
        <v>28</v>
      </c>
      <c r="BC200" s="157">
        <v>43483</v>
      </c>
      <c r="BD200" s="157">
        <v>43908</v>
      </c>
      <c r="BE200" s="158">
        <v>605584.25</v>
      </c>
      <c r="BF200" s="152" t="s">
        <v>2159</v>
      </c>
      <c r="BG200" s="159" t="s">
        <v>2151</v>
      </c>
      <c r="BH200" s="152">
        <v>198.39</v>
      </c>
      <c r="BI200" s="152">
        <v>0</v>
      </c>
      <c r="BJ200" s="152">
        <v>0</v>
      </c>
      <c r="BK200" s="152" t="s">
        <v>132</v>
      </c>
      <c r="BL200" s="152">
        <v>198.39</v>
      </c>
      <c r="BM200" s="152">
        <v>712664</v>
      </c>
      <c r="BN200" s="157" t="s">
        <v>1453</v>
      </c>
    </row>
    <row r="201" spans="1:66">
      <c r="A201" s="152" t="s">
        <v>2152</v>
      </c>
      <c r="B201" s="152" t="s">
        <v>2153</v>
      </c>
      <c r="C201" s="152" t="s">
        <v>2154</v>
      </c>
      <c r="D201" s="152" t="s">
        <v>2155</v>
      </c>
      <c r="E201" s="152" t="s">
        <v>2156</v>
      </c>
      <c r="F201" s="152">
        <v>335436</v>
      </c>
      <c r="G201" s="152">
        <v>226</v>
      </c>
      <c r="H201" s="152">
        <v>835</v>
      </c>
      <c r="I201" s="152">
        <v>198765</v>
      </c>
      <c r="J201" s="152">
        <v>120</v>
      </c>
      <c r="K201" s="152">
        <v>86317</v>
      </c>
      <c r="L201" s="159" t="s">
        <v>856</v>
      </c>
      <c r="M201" s="152" t="s">
        <v>92</v>
      </c>
      <c r="N201" s="152" t="s">
        <v>92</v>
      </c>
      <c r="O201" s="159" t="s">
        <v>856</v>
      </c>
      <c r="P201" s="159" t="s">
        <v>856</v>
      </c>
      <c r="Q201" s="152" t="s">
        <v>92</v>
      </c>
      <c r="R201" s="152" t="s">
        <v>92</v>
      </c>
      <c r="S201" s="159" t="s">
        <v>856</v>
      </c>
      <c r="T201" s="159" t="s">
        <v>856</v>
      </c>
      <c r="U201" s="159" t="s">
        <v>856</v>
      </c>
      <c r="V201" s="152" t="s">
        <v>2157</v>
      </c>
      <c r="W201" s="152" t="s">
        <v>858</v>
      </c>
      <c r="X201" s="152" t="s">
        <v>1083</v>
      </c>
      <c r="Y201" s="152">
        <v>0</v>
      </c>
      <c r="Z201" s="152">
        <v>2</v>
      </c>
      <c r="AA201" s="152" t="s">
        <v>92</v>
      </c>
      <c r="AB201" s="152">
        <v>143.68</v>
      </c>
      <c r="AC201" s="152">
        <v>2</v>
      </c>
      <c r="AD201" s="152" t="s">
        <v>861</v>
      </c>
      <c r="AE201" s="152">
        <v>143.68</v>
      </c>
      <c r="AF201" s="152">
        <v>0</v>
      </c>
      <c r="AG201" s="152" t="s">
        <v>861</v>
      </c>
      <c r="AH201" s="152" t="s">
        <v>861</v>
      </c>
      <c r="AI201" s="152" t="s">
        <v>92</v>
      </c>
      <c r="AJ201" s="152" t="s">
        <v>92</v>
      </c>
      <c r="AK201" s="152" t="s">
        <v>884</v>
      </c>
      <c r="AL201" s="159" t="s">
        <v>856</v>
      </c>
      <c r="AP201" s="159" t="s">
        <v>856</v>
      </c>
      <c r="AQ201" s="159" t="s">
        <v>856</v>
      </c>
      <c r="AR201" s="159" t="s">
        <v>856</v>
      </c>
      <c r="AS201" s="159" t="s">
        <v>865</v>
      </c>
      <c r="AT201" s="152" t="str">
        <f t="shared" si="15"/>
        <v>VUNV8-031019</v>
      </c>
      <c r="AU201" s="152" t="str">
        <f t="shared" si="16"/>
        <v>FE MARILU ESCOBAR ROSAL DE VASQUEZ Y CDÑO</v>
      </c>
      <c r="AV201" s="159" t="s">
        <v>856</v>
      </c>
      <c r="AW201" s="159" t="s">
        <v>856</v>
      </c>
      <c r="AX201" s="159" t="s">
        <v>856</v>
      </c>
      <c r="AY201" s="159" t="s">
        <v>856</v>
      </c>
      <c r="AZ201" s="152" t="s">
        <v>864</v>
      </c>
      <c r="BA201" s="152" t="str">
        <f t="shared" si="12"/>
        <v>L20-033-EC106</v>
      </c>
      <c r="BB201" s="152">
        <v>24</v>
      </c>
      <c r="BC201" s="157">
        <v>43846</v>
      </c>
      <c r="BD201" s="157">
        <v>44212</v>
      </c>
      <c r="BE201" s="158">
        <v>374986.75</v>
      </c>
      <c r="BF201" s="152" t="s">
        <v>2158</v>
      </c>
      <c r="BG201" s="159" t="s">
        <v>875</v>
      </c>
      <c r="BH201" s="152">
        <v>143.68</v>
      </c>
      <c r="BI201" s="152">
        <v>0</v>
      </c>
      <c r="BJ201" s="152">
        <v>0</v>
      </c>
      <c r="BK201" s="152" t="s">
        <v>132</v>
      </c>
      <c r="BL201" s="152">
        <v>143.68</v>
      </c>
      <c r="BM201" s="152">
        <v>824455</v>
      </c>
      <c r="BN201" s="157" t="s">
        <v>1453</v>
      </c>
    </row>
    <row r="202" spans="1:66">
      <c r="A202" s="152" t="s">
        <v>2160</v>
      </c>
      <c r="B202" s="152" t="s">
        <v>2161</v>
      </c>
      <c r="C202" s="152" t="s">
        <v>2162</v>
      </c>
      <c r="D202" s="152" t="s">
        <v>2163</v>
      </c>
      <c r="E202" s="152" t="s">
        <v>2164</v>
      </c>
      <c r="F202" s="152">
        <v>300647</v>
      </c>
      <c r="G202" s="152">
        <v>97</v>
      </c>
      <c r="H202" s="152">
        <v>720</v>
      </c>
      <c r="I202" s="152">
        <v>196890</v>
      </c>
      <c r="J202" s="152">
        <v>41.36</v>
      </c>
      <c r="K202" s="152">
        <v>84823</v>
      </c>
      <c r="L202" s="159" t="s">
        <v>856</v>
      </c>
      <c r="M202" s="152" t="s">
        <v>92</v>
      </c>
      <c r="N202" s="152" t="s">
        <v>92</v>
      </c>
      <c r="O202" s="159" t="s">
        <v>856</v>
      </c>
      <c r="P202" s="159" t="s">
        <v>856</v>
      </c>
      <c r="Q202" s="152" t="s">
        <v>92</v>
      </c>
      <c r="R202" s="152" t="s">
        <v>92</v>
      </c>
      <c r="S202" s="159" t="s">
        <v>856</v>
      </c>
      <c r="T202" s="159" t="s">
        <v>856</v>
      </c>
      <c r="U202" s="159" t="s">
        <v>856</v>
      </c>
      <c r="V202" s="152" t="s">
        <v>2165</v>
      </c>
      <c r="W202" s="152" t="s">
        <v>858</v>
      </c>
      <c r="X202" s="152" t="s">
        <v>1083</v>
      </c>
      <c r="Y202" s="152">
        <v>0</v>
      </c>
      <c r="Z202" s="152">
        <v>2</v>
      </c>
      <c r="AA202" s="152" t="s">
        <v>92</v>
      </c>
      <c r="AB202" s="152">
        <v>87.85</v>
      </c>
      <c r="AC202" s="152">
        <v>2</v>
      </c>
      <c r="AD202" s="152" t="s">
        <v>861</v>
      </c>
      <c r="AE202" s="152">
        <v>87.85</v>
      </c>
      <c r="AF202" s="152">
        <v>0</v>
      </c>
      <c r="AG202" s="152" t="s">
        <v>861</v>
      </c>
      <c r="AH202" s="152" t="s">
        <v>861</v>
      </c>
      <c r="AI202" s="152" t="s">
        <v>92</v>
      </c>
      <c r="AJ202" s="152" t="s">
        <v>92</v>
      </c>
      <c r="AK202" s="152" t="s">
        <v>862</v>
      </c>
      <c r="AL202" s="159" t="s">
        <v>856</v>
      </c>
      <c r="AP202" s="159" t="s">
        <v>856</v>
      </c>
      <c r="AQ202" s="159" t="s">
        <v>856</v>
      </c>
      <c r="AR202" s="159" t="s">
        <v>856</v>
      </c>
      <c r="AS202" s="159" t="s">
        <v>865</v>
      </c>
      <c r="AT202" s="152" t="str">
        <f t="shared" si="15"/>
        <v>VUF8-010119</v>
      </c>
      <c r="AU202" s="152" t="str">
        <f t="shared" si="16"/>
        <v>CRISTOBAL FUENTES LOPEZ</v>
      </c>
      <c r="AV202" s="159" t="s">
        <v>856</v>
      </c>
      <c r="AW202" s="159" t="s">
        <v>856</v>
      </c>
      <c r="AX202" s="159" t="s">
        <v>856</v>
      </c>
      <c r="AY202" s="159" t="s">
        <v>856</v>
      </c>
      <c r="AZ202" s="152" t="s">
        <v>864</v>
      </c>
      <c r="BA202" s="152" t="str">
        <f t="shared" si="12"/>
        <v>L19-124-WV029</v>
      </c>
      <c r="BB202" s="152">
        <v>24</v>
      </c>
      <c r="BC202" s="157">
        <v>43550</v>
      </c>
      <c r="BD202" s="157">
        <v>43916</v>
      </c>
      <c r="BE202" s="158">
        <v>219625</v>
      </c>
      <c r="BF202" s="152" t="s">
        <v>2166</v>
      </c>
      <c r="BG202" s="159" t="s">
        <v>2167</v>
      </c>
      <c r="BH202" s="152">
        <v>41.36</v>
      </c>
      <c r="BI202" s="152">
        <v>41.36</v>
      </c>
      <c r="BJ202" s="152">
        <v>0</v>
      </c>
      <c r="BK202" s="152" t="s">
        <v>132</v>
      </c>
      <c r="BL202" s="152">
        <v>93.06</v>
      </c>
      <c r="BM202" s="152">
        <v>714568</v>
      </c>
      <c r="BN202" s="157" t="s">
        <v>1453</v>
      </c>
    </row>
    <row r="203" spans="1:66">
      <c r="A203" s="152" t="s">
        <v>2168</v>
      </c>
      <c r="B203" s="152" t="s">
        <v>2169</v>
      </c>
      <c r="C203" s="152" t="s">
        <v>2170</v>
      </c>
      <c r="D203" s="152" t="s">
        <v>2171</v>
      </c>
      <c r="E203" s="152" t="s">
        <v>2172</v>
      </c>
      <c r="F203" s="152">
        <v>5085</v>
      </c>
      <c r="G203" s="152">
        <v>85</v>
      </c>
      <c r="H203" s="152" t="s">
        <v>1030</v>
      </c>
      <c r="I203" s="152">
        <v>198225</v>
      </c>
      <c r="J203" s="152">
        <v>174</v>
      </c>
      <c r="K203" s="152">
        <v>85773</v>
      </c>
      <c r="L203" s="159" t="s">
        <v>856</v>
      </c>
      <c r="M203" s="152" t="s">
        <v>92</v>
      </c>
      <c r="N203" s="152" t="s">
        <v>92</v>
      </c>
      <c r="O203" s="159" t="s">
        <v>856</v>
      </c>
      <c r="P203" s="159" t="s">
        <v>856</v>
      </c>
      <c r="Q203" s="152" t="s">
        <v>92</v>
      </c>
      <c r="R203" s="152" t="s">
        <v>92</v>
      </c>
      <c r="S203" s="159" t="s">
        <v>856</v>
      </c>
      <c r="T203" s="159" t="s">
        <v>856</v>
      </c>
      <c r="U203" s="159" t="s">
        <v>856</v>
      </c>
      <c r="V203" s="152" t="s">
        <v>857</v>
      </c>
      <c r="W203" s="152" t="s">
        <v>858</v>
      </c>
      <c r="X203" s="152" t="s">
        <v>1083</v>
      </c>
      <c r="Y203" s="152">
        <v>0</v>
      </c>
      <c r="Z203" s="152">
        <v>1</v>
      </c>
      <c r="AA203" s="152" t="s">
        <v>92</v>
      </c>
      <c r="AB203" s="152">
        <v>103.74</v>
      </c>
      <c r="AC203" s="152">
        <v>1</v>
      </c>
      <c r="AD203" s="152" t="s">
        <v>861</v>
      </c>
      <c r="AE203" s="152">
        <v>103.74</v>
      </c>
      <c r="AF203" s="152">
        <v>0</v>
      </c>
      <c r="AG203" s="152" t="s">
        <v>861</v>
      </c>
      <c r="AH203" s="152" t="s">
        <v>861</v>
      </c>
      <c r="AI203" s="152" t="s">
        <v>92</v>
      </c>
      <c r="AJ203" s="152" t="s">
        <v>92</v>
      </c>
      <c r="AK203" s="152" t="s">
        <v>884</v>
      </c>
      <c r="AL203" s="159" t="s">
        <v>856</v>
      </c>
      <c r="AP203" s="159" t="s">
        <v>856</v>
      </c>
      <c r="AQ203" s="159" t="s">
        <v>856</v>
      </c>
      <c r="AR203" s="159" t="s">
        <v>856</v>
      </c>
      <c r="AS203" s="159" t="s">
        <v>865</v>
      </c>
      <c r="AT203" s="152" t="str">
        <f t="shared" si="15"/>
        <v>RPM8-140619</v>
      </c>
      <c r="AU203" s="152" t="str">
        <f t="shared" si="16"/>
        <v>SUCELY JUDITH CASTILLO OCHOA DE MORFIN</v>
      </c>
      <c r="AV203" s="159" t="s">
        <v>856</v>
      </c>
      <c r="AW203" s="159" t="s">
        <v>856</v>
      </c>
      <c r="AX203" s="159" t="s">
        <v>856</v>
      </c>
      <c r="AY203" s="159" t="s">
        <v>856</v>
      </c>
      <c r="AZ203" s="152" t="s">
        <v>864</v>
      </c>
      <c r="BA203" s="152" t="str">
        <f t="shared" si="12"/>
        <v>L19-375-MP052</v>
      </c>
      <c r="BB203" s="152">
        <v>15</v>
      </c>
      <c r="BC203" s="157">
        <v>43675</v>
      </c>
      <c r="BD203" s="157">
        <v>43675</v>
      </c>
      <c r="BE203" s="158">
        <v>252070.39999999999</v>
      </c>
      <c r="BF203" s="152" t="s">
        <v>2173</v>
      </c>
      <c r="BG203" s="159" t="s">
        <v>894</v>
      </c>
      <c r="BH203" s="152">
        <v>103.74</v>
      </c>
      <c r="BI203" s="152">
        <v>0</v>
      </c>
      <c r="BJ203" s="152">
        <v>0</v>
      </c>
      <c r="BK203" s="152" t="s">
        <v>132</v>
      </c>
      <c r="BL203" s="152">
        <v>103.74</v>
      </c>
      <c r="BM203" s="152">
        <v>800809</v>
      </c>
      <c r="BN203" s="157" t="s">
        <v>1453</v>
      </c>
    </row>
    <row r="204" spans="1:66">
      <c r="A204" s="152" t="s">
        <v>2174</v>
      </c>
      <c r="B204" s="152" t="s">
        <v>2175</v>
      </c>
      <c r="C204" s="152" t="s">
        <v>2176</v>
      </c>
      <c r="D204" s="152" t="s">
        <v>2177</v>
      </c>
      <c r="E204" s="152" t="s">
        <v>2177</v>
      </c>
      <c r="F204" s="152">
        <v>8298</v>
      </c>
      <c r="G204" s="152">
        <v>298</v>
      </c>
      <c r="H204" s="152" t="s">
        <v>2178</v>
      </c>
      <c r="I204" s="152">
        <v>198247</v>
      </c>
      <c r="J204" s="152">
        <v>240</v>
      </c>
      <c r="K204" s="152">
        <v>85798</v>
      </c>
      <c r="L204" s="159" t="s">
        <v>856</v>
      </c>
      <c r="M204" s="152" t="s">
        <v>92</v>
      </c>
      <c r="N204" s="152" t="s">
        <v>92</v>
      </c>
      <c r="O204" s="159" t="s">
        <v>856</v>
      </c>
      <c r="P204" s="159" t="s">
        <v>856</v>
      </c>
      <c r="Q204" s="152" t="s">
        <v>92</v>
      </c>
      <c r="R204" s="152" t="s">
        <v>92</v>
      </c>
      <c r="S204" s="159" t="s">
        <v>856</v>
      </c>
      <c r="T204" s="159" t="s">
        <v>856</v>
      </c>
      <c r="U204" s="159" t="s">
        <v>856</v>
      </c>
      <c r="V204" s="152" t="s">
        <v>857</v>
      </c>
      <c r="W204" s="152" t="s">
        <v>858</v>
      </c>
      <c r="X204" s="152" t="s">
        <v>1083</v>
      </c>
      <c r="Y204" s="152">
        <v>0</v>
      </c>
      <c r="Z204" s="152">
        <v>1</v>
      </c>
      <c r="AA204" s="152" t="s">
        <v>92</v>
      </c>
      <c r="AB204" s="152">
        <v>58.03</v>
      </c>
      <c r="AC204" s="152">
        <v>1</v>
      </c>
      <c r="AD204" s="152" t="s">
        <v>861</v>
      </c>
      <c r="AE204" s="152">
        <v>58.03</v>
      </c>
      <c r="AF204" s="152">
        <v>0</v>
      </c>
      <c r="AG204" s="152" t="s">
        <v>861</v>
      </c>
      <c r="AH204" s="152" t="s">
        <v>861</v>
      </c>
      <c r="AI204" s="152" t="s">
        <v>92</v>
      </c>
      <c r="AJ204" s="152" t="s">
        <v>92</v>
      </c>
      <c r="AK204" s="152" t="s">
        <v>884</v>
      </c>
      <c r="AL204" s="159" t="s">
        <v>856</v>
      </c>
      <c r="AP204" s="159" t="s">
        <v>856</v>
      </c>
      <c r="AQ204" s="159" t="s">
        <v>856</v>
      </c>
      <c r="AR204" s="159" t="s">
        <v>856</v>
      </c>
      <c r="AS204" s="159" t="s">
        <v>865</v>
      </c>
      <c r="AT204" s="152" t="str">
        <f t="shared" si="15"/>
        <v>VUND8-010819</v>
      </c>
      <c r="AU204" s="152" t="str">
        <f t="shared" si="16"/>
        <v>EMILIA DE LEON BARRIOS</v>
      </c>
      <c r="AV204" s="159" t="s">
        <v>856</v>
      </c>
      <c r="AW204" s="159" t="s">
        <v>856</v>
      </c>
      <c r="AX204" s="159" t="s">
        <v>856</v>
      </c>
      <c r="AY204" s="159" t="s">
        <v>856</v>
      </c>
      <c r="AZ204" s="152" t="s">
        <v>864</v>
      </c>
      <c r="BA204" s="152" t="str">
        <f t="shared" si="12"/>
        <v>L19-487-SP147</v>
      </c>
      <c r="BB204" s="152">
        <v>15</v>
      </c>
      <c r="BC204" s="157">
        <v>43731</v>
      </c>
      <c r="BD204" s="157">
        <v>44035</v>
      </c>
      <c r="BE204" s="158">
        <v>116060</v>
      </c>
      <c r="BF204" s="152" t="s">
        <v>2179</v>
      </c>
      <c r="BG204" s="159" t="s">
        <v>2180</v>
      </c>
      <c r="BH204" s="152">
        <v>58.03</v>
      </c>
      <c r="BI204" s="152">
        <v>0</v>
      </c>
      <c r="BJ204" s="152">
        <v>0</v>
      </c>
      <c r="BK204" s="152" t="s">
        <v>132</v>
      </c>
      <c r="BL204" s="152">
        <v>58.03</v>
      </c>
      <c r="BM204" s="152">
        <v>804084</v>
      </c>
      <c r="BN204" s="157" t="s">
        <v>1453</v>
      </c>
    </row>
    <row r="205" spans="1:66">
      <c r="A205" s="152" t="s">
        <v>2181</v>
      </c>
      <c r="B205" s="152" t="s">
        <v>2182</v>
      </c>
      <c r="C205" s="152" t="s">
        <v>2183</v>
      </c>
      <c r="D205" s="152" t="s">
        <v>2184</v>
      </c>
      <c r="E205" s="152" t="s">
        <v>2184</v>
      </c>
      <c r="F205" s="152">
        <v>273083</v>
      </c>
      <c r="G205" s="152">
        <v>123</v>
      </c>
      <c r="H205" s="152">
        <v>629</v>
      </c>
      <c r="I205" s="152">
        <v>143395</v>
      </c>
      <c r="J205" s="152">
        <v>90</v>
      </c>
      <c r="K205" s="152">
        <v>42838</v>
      </c>
      <c r="L205" s="159" t="s">
        <v>856</v>
      </c>
      <c r="M205" s="152" t="s">
        <v>92</v>
      </c>
      <c r="N205" s="152" t="s">
        <v>92</v>
      </c>
      <c r="O205" s="159" t="s">
        <v>856</v>
      </c>
      <c r="P205" s="159" t="s">
        <v>856</v>
      </c>
      <c r="Q205" s="152" t="s">
        <v>92</v>
      </c>
      <c r="R205" s="152" t="s">
        <v>92</v>
      </c>
      <c r="S205" s="159" t="s">
        <v>856</v>
      </c>
      <c r="T205" s="159" t="s">
        <v>856</v>
      </c>
      <c r="U205" s="159" t="s">
        <v>856</v>
      </c>
      <c r="V205" s="152" t="s">
        <v>911</v>
      </c>
      <c r="W205" s="152" t="s">
        <v>858</v>
      </c>
      <c r="X205" s="152" t="s">
        <v>1083</v>
      </c>
      <c r="Y205" s="152">
        <v>0</v>
      </c>
      <c r="Z205" s="152">
        <v>2</v>
      </c>
      <c r="AA205" s="152" t="s">
        <v>92</v>
      </c>
      <c r="AB205" s="152">
        <v>150.68</v>
      </c>
      <c r="AC205" s="152">
        <v>2</v>
      </c>
      <c r="AD205" s="152" t="s">
        <v>861</v>
      </c>
      <c r="AE205" s="152">
        <v>150.68</v>
      </c>
      <c r="AF205" s="152">
        <v>0</v>
      </c>
      <c r="AG205" s="152" t="s">
        <v>861</v>
      </c>
      <c r="AH205" s="152" t="s">
        <v>861</v>
      </c>
      <c r="AI205" s="152" t="s">
        <v>92</v>
      </c>
      <c r="AJ205" s="152" t="s">
        <v>92</v>
      </c>
      <c r="AK205" s="152" t="s">
        <v>862</v>
      </c>
      <c r="AL205" s="159" t="s">
        <v>856</v>
      </c>
      <c r="AP205" s="159" t="s">
        <v>856</v>
      </c>
      <c r="AQ205" s="159" t="s">
        <v>856</v>
      </c>
      <c r="AR205" s="159" t="s">
        <v>856</v>
      </c>
      <c r="AS205" s="159" t="s">
        <v>865</v>
      </c>
      <c r="AT205" s="152" t="str">
        <f t="shared" si="15"/>
        <v>VUNM7-011119</v>
      </c>
      <c r="AU205" s="152" t="str">
        <f t="shared" si="16"/>
        <v>SHELLIN JULISSA MARROQUIN LOPEZ</v>
      </c>
      <c r="AV205" s="159" t="s">
        <v>856</v>
      </c>
      <c r="AW205" s="159" t="s">
        <v>856</v>
      </c>
      <c r="AX205" s="159" t="s">
        <v>856</v>
      </c>
      <c r="AY205" s="159" t="s">
        <v>856</v>
      </c>
      <c r="AZ205" s="152" t="s">
        <v>864</v>
      </c>
      <c r="BA205" s="152" t="str">
        <f t="shared" si="12"/>
        <v>L20-001-SP210</v>
      </c>
      <c r="BB205" s="152">
        <v>24</v>
      </c>
      <c r="BC205" s="157">
        <v>43467</v>
      </c>
      <c r="BD205" s="157">
        <v>43832</v>
      </c>
      <c r="BE205" s="158">
        <v>429438</v>
      </c>
      <c r="BF205" s="152" t="s">
        <v>2186</v>
      </c>
      <c r="BG205" s="159" t="s">
        <v>2185</v>
      </c>
      <c r="BH205" s="152">
        <v>150.68</v>
      </c>
      <c r="BI205" s="152">
        <v>0</v>
      </c>
      <c r="BJ205" s="152">
        <v>0</v>
      </c>
      <c r="BK205" s="152" t="s">
        <v>132</v>
      </c>
      <c r="BL205" s="152">
        <v>150.68</v>
      </c>
      <c r="BM205" s="152">
        <v>819342</v>
      </c>
      <c r="BN205" s="157" t="s">
        <v>1453</v>
      </c>
    </row>
    <row r="206" spans="1:66">
      <c r="A206" s="152" t="s">
        <v>2187</v>
      </c>
      <c r="B206" s="152" t="s">
        <v>2188</v>
      </c>
      <c r="C206" s="152" t="s">
        <v>2189</v>
      </c>
      <c r="D206" s="152" t="s">
        <v>2190</v>
      </c>
      <c r="E206" s="152" t="s">
        <v>2191</v>
      </c>
      <c r="F206" s="152">
        <v>227241</v>
      </c>
      <c r="G206" s="152">
        <v>111</v>
      </c>
      <c r="H206" s="152">
        <v>475</v>
      </c>
      <c r="I206" s="152">
        <v>197152</v>
      </c>
      <c r="J206" s="152">
        <v>436.93</v>
      </c>
      <c r="K206" s="152">
        <v>84933</v>
      </c>
      <c r="L206" s="159" t="s">
        <v>856</v>
      </c>
      <c r="M206" s="152" t="s">
        <v>92</v>
      </c>
      <c r="N206" s="152" t="s">
        <v>92</v>
      </c>
      <c r="O206" s="159" t="s">
        <v>856</v>
      </c>
      <c r="P206" s="159" t="s">
        <v>856</v>
      </c>
      <c r="Q206" s="152" t="s">
        <v>92</v>
      </c>
      <c r="R206" s="152" t="s">
        <v>92</v>
      </c>
      <c r="S206" s="159" t="s">
        <v>856</v>
      </c>
      <c r="T206" s="159" t="s">
        <v>856</v>
      </c>
      <c r="U206" s="159" t="s">
        <v>856</v>
      </c>
      <c r="V206" s="152" t="s">
        <v>857</v>
      </c>
      <c r="W206" s="152" t="s">
        <v>858</v>
      </c>
      <c r="X206" s="152" t="s">
        <v>1083</v>
      </c>
      <c r="Y206" s="152">
        <v>0</v>
      </c>
      <c r="Z206" s="152">
        <v>1</v>
      </c>
      <c r="AA206" s="152" t="s">
        <v>92</v>
      </c>
      <c r="AB206" s="152">
        <v>107.47</v>
      </c>
      <c r="AC206" s="152">
        <v>1</v>
      </c>
      <c r="AD206" s="152" t="s">
        <v>861</v>
      </c>
      <c r="AE206" s="152">
        <v>107.47</v>
      </c>
      <c r="AF206" s="152">
        <v>0</v>
      </c>
      <c r="AG206" s="152" t="s">
        <v>861</v>
      </c>
      <c r="AH206" s="152" t="s">
        <v>861</v>
      </c>
      <c r="AI206" s="152" t="s">
        <v>92</v>
      </c>
      <c r="AJ206" s="152" t="s">
        <v>92</v>
      </c>
      <c r="AK206" s="152" t="s">
        <v>884</v>
      </c>
      <c r="AL206" s="159" t="s">
        <v>856</v>
      </c>
      <c r="AP206" s="159" t="s">
        <v>856</v>
      </c>
      <c r="AQ206" s="159" t="s">
        <v>856</v>
      </c>
      <c r="AR206" s="159" t="s">
        <v>856</v>
      </c>
      <c r="AS206" s="159" t="s">
        <v>865</v>
      </c>
      <c r="AT206" s="152" t="str">
        <f t="shared" si="15"/>
        <v>RPND9-011019</v>
      </c>
      <c r="AU206" s="152" t="str">
        <f t="shared" si="16"/>
        <v>JULIO ROLANDO DIAZ LOPEZ</v>
      </c>
      <c r="AV206" s="159" t="s">
        <v>856</v>
      </c>
      <c r="AW206" s="159" t="s">
        <v>856</v>
      </c>
      <c r="AX206" s="159" t="s">
        <v>856</v>
      </c>
      <c r="AY206" s="159" t="s">
        <v>856</v>
      </c>
      <c r="AZ206" s="152" t="s">
        <v>864</v>
      </c>
      <c r="BA206" s="152" t="str">
        <f t="shared" si="12"/>
        <v>L20-023-EC104</v>
      </c>
      <c r="BB206" s="152">
        <v>15</v>
      </c>
      <c r="BC206" s="157">
        <v>43838</v>
      </c>
      <c r="BD206" s="157">
        <v>43838</v>
      </c>
      <c r="BE206" s="158">
        <v>251366.6</v>
      </c>
      <c r="BF206" s="152" t="s">
        <v>2192</v>
      </c>
      <c r="BG206" s="159" t="s">
        <v>2193</v>
      </c>
      <c r="BH206" s="152">
        <v>107.47</v>
      </c>
      <c r="BI206" s="152">
        <v>0</v>
      </c>
      <c r="BJ206" s="152">
        <v>0</v>
      </c>
      <c r="BK206" s="152" t="s">
        <v>132</v>
      </c>
      <c r="BL206" s="152">
        <v>107.47</v>
      </c>
      <c r="BM206" s="152">
        <v>825160</v>
      </c>
      <c r="BN206" s="157" t="s">
        <v>1453</v>
      </c>
    </row>
    <row r="207" spans="1:66">
      <c r="A207" s="152" t="s">
        <v>2194</v>
      </c>
      <c r="B207" s="152" t="s">
        <v>2195</v>
      </c>
      <c r="C207" s="152" t="s">
        <v>2196</v>
      </c>
      <c r="D207" s="152" t="s">
        <v>2197</v>
      </c>
      <c r="E207" s="152" t="s">
        <v>2197</v>
      </c>
      <c r="F207" s="152">
        <v>310689</v>
      </c>
      <c r="G207" s="152">
        <v>59</v>
      </c>
      <c r="H207" s="152">
        <v>753</v>
      </c>
      <c r="I207" s="152">
        <v>198236</v>
      </c>
      <c r="J207" s="152">
        <v>96.58</v>
      </c>
      <c r="K207" s="152">
        <v>85787</v>
      </c>
      <c r="L207" s="159" t="s">
        <v>856</v>
      </c>
      <c r="M207" s="152" t="s">
        <v>92</v>
      </c>
      <c r="N207" s="152" t="s">
        <v>92</v>
      </c>
      <c r="O207" s="159" t="s">
        <v>856</v>
      </c>
      <c r="P207" s="159" t="s">
        <v>856</v>
      </c>
      <c r="Q207" s="152" t="s">
        <v>92</v>
      </c>
      <c r="R207" s="152" t="s">
        <v>92</v>
      </c>
      <c r="S207" s="159" t="s">
        <v>856</v>
      </c>
      <c r="T207" s="159" t="s">
        <v>856</v>
      </c>
      <c r="U207" s="159" t="s">
        <v>856</v>
      </c>
      <c r="V207" s="152" t="s">
        <v>2135</v>
      </c>
      <c r="W207" s="152" t="s">
        <v>858</v>
      </c>
      <c r="X207" s="152" t="s">
        <v>1083</v>
      </c>
      <c r="Y207" s="152">
        <v>0</v>
      </c>
      <c r="Z207" s="152">
        <v>3</v>
      </c>
      <c r="AA207" s="152" t="s">
        <v>92</v>
      </c>
      <c r="AB207" s="152">
        <v>277.16000000000003</v>
      </c>
      <c r="AC207" s="152">
        <v>3</v>
      </c>
      <c r="AD207" s="152" t="s">
        <v>861</v>
      </c>
      <c r="AE207" s="152">
        <v>250.87</v>
      </c>
      <c r="AF207" s="152">
        <v>26.29</v>
      </c>
      <c r="AG207" s="152" t="s">
        <v>861</v>
      </c>
      <c r="AH207" s="152" t="s">
        <v>861</v>
      </c>
      <c r="AI207" s="152" t="s">
        <v>92</v>
      </c>
      <c r="AJ207" s="152" t="s">
        <v>92</v>
      </c>
      <c r="AK207" s="152" t="s">
        <v>884</v>
      </c>
      <c r="AL207" s="159" t="s">
        <v>856</v>
      </c>
      <c r="AP207" s="159" t="s">
        <v>856</v>
      </c>
      <c r="AQ207" s="159" t="s">
        <v>856</v>
      </c>
      <c r="AR207" s="159" t="s">
        <v>856</v>
      </c>
      <c r="AS207" s="159" t="s">
        <v>865</v>
      </c>
      <c r="AT207" s="152" t="str">
        <f t="shared" si="15"/>
        <v>VUNL6-020719</v>
      </c>
      <c r="AU207" s="152" t="str">
        <f t="shared" si="16"/>
        <v>PABLO MARTIN LOPEZ TZUNUM</v>
      </c>
      <c r="AV207" s="159" t="s">
        <v>856</v>
      </c>
      <c r="AW207" s="159" t="s">
        <v>856</v>
      </c>
      <c r="AX207" s="159" t="s">
        <v>856</v>
      </c>
      <c r="AY207" s="159" t="s">
        <v>856</v>
      </c>
      <c r="AZ207" s="152" t="s">
        <v>864</v>
      </c>
      <c r="BA207" s="152" t="str">
        <f t="shared" si="12"/>
        <v>L19-460-MP076</v>
      </c>
      <c r="BB207" s="152">
        <v>50</v>
      </c>
      <c r="BC207" s="157">
        <v>43717</v>
      </c>
      <c r="BD207" s="157">
        <v>44144</v>
      </c>
      <c r="BE207" s="158">
        <v>823690</v>
      </c>
      <c r="BF207" s="152" t="s">
        <v>2198</v>
      </c>
      <c r="BG207" s="159" t="s">
        <v>2199</v>
      </c>
      <c r="BH207" s="152">
        <v>250.87</v>
      </c>
      <c r="BI207" s="152">
        <v>26.29</v>
      </c>
      <c r="BJ207" s="152">
        <v>0</v>
      </c>
      <c r="BK207" s="152" t="s">
        <v>132</v>
      </c>
      <c r="BL207" s="152">
        <v>283.73</v>
      </c>
      <c r="BM207" s="152">
        <v>809730</v>
      </c>
      <c r="BN207" s="157" t="s">
        <v>1453</v>
      </c>
    </row>
    <row r="208" spans="1:66">
      <c r="A208" s="152" t="s">
        <v>2200</v>
      </c>
      <c r="B208" s="152" t="s">
        <v>2201</v>
      </c>
      <c r="C208" s="152" t="s">
        <v>2202</v>
      </c>
      <c r="D208" s="152" t="s">
        <v>2203</v>
      </c>
      <c r="E208" s="152" t="s">
        <v>2203</v>
      </c>
      <c r="F208" s="152">
        <v>5029</v>
      </c>
      <c r="G208" s="152">
        <v>29</v>
      </c>
      <c r="H208" s="152" t="s">
        <v>1041</v>
      </c>
      <c r="I208" s="152">
        <v>198248</v>
      </c>
      <c r="J208" s="152">
        <v>105</v>
      </c>
      <c r="K208" s="152">
        <v>85799</v>
      </c>
      <c r="L208" s="159" t="s">
        <v>856</v>
      </c>
      <c r="M208" s="152" t="s">
        <v>92</v>
      </c>
      <c r="N208" s="152" t="s">
        <v>92</v>
      </c>
      <c r="O208" s="159" t="s">
        <v>856</v>
      </c>
      <c r="P208" s="159" t="s">
        <v>856</v>
      </c>
      <c r="Q208" s="152" t="s">
        <v>92</v>
      </c>
      <c r="R208" s="152" t="s">
        <v>92</v>
      </c>
      <c r="S208" s="159" t="s">
        <v>856</v>
      </c>
      <c r="T208" s="159" t="s">
        <v>856</v>
      </c>
      <c r="U208" s="159" t="s">
        <v>856</v>
      </c>
      <c r="V208" s="152" t="s">
        <v>911</v>
      </c>
      <c r="W208" s="152" t="s">
        <v>858</v>
      </c>
      <c r="X208" s="152" t="s">
        <v>1083</v>
      </c>
      <c r="Y208" s="152">
        <v>0</v>
      </c>
      <c r="Z208" s="152">
        <v>2</v>
      </c>
      <c r="AA208" s="152" t="s">
        <v>92</v>
      </c>
      <c r="AB208" s="152">
        <v>131.99</v>
      </c>
      <c r="AC208" s="152">
        <v>2</v>
      </c>
      <c r="AD208" s="152" t="s">
        <v>861</v>
      </c>
      <c r="AE208" s="152">
        <v>131.99</v>
      </c>
      <c r="AF208" s="152">
        <v>0</v>
      </c>
      <c r="AG208" s="152" t="s">
        <v>861</v>
      </c>
      <c r="AH208" s="152" t="s">
        <v>861</v>
      </c>
      <c r="AI208" s="152" t="s">
        <v>92</v>
      </c>
      <c r="AJ208" s="152" t="s">
        <v>92</v>
      </c>
      <c r="AK208" s="152" t="s">
        <v>884</v>
      </c>
      <c r="AL208" s="159" t="s">
        <v>856</v>
      </c>
      <c r="AP208" s="159" t="s">
        <v>856</v>
      </c>
      <c r="AQ208" s="159" t="s">
        <v>856</v>
      </c>
      <c r="AR208" s="159" t="s">
        <v>856</v>
      </c>
      <c r="AS208" s="159" t="s">
        <v>865</v>
      </c>
      <c r="AT208" s="152" t="str">
        <f t="shared" ref="AT208:AT221" si="17">B208</f>
        <v>VUNG8-041019</v>
      </c>
      <c r="AU208" s="152" t="str">
        <f t="shared" ref="AU208:AU221" si="18">C208</f>
        <v>HERMINIO GRAMAJO XICARA Y CDÑA</v>
      </c>
      <c r="AV208" s="159" t="s">
        <v>856</v>
      </c>
      <c r="AW208" s="159" t="s">
        <v>856</v>
      </c>
      <c r="AX208" s="159" t="s">
        <v>856</v>
      </c>
      <c r="AY208" s="159" t="s">
        <v>856</v>
      </c>
      <c r="AZ208" s="152" t="s">
        <v>864</v>
      </c>
      <c r="BA208" s="152" t="str">
        <f t="shared" si="12"/>
        <v>L19-653-EC097</v>
      </c>
      <c r="BB208" s="152">
        <v>24</v>
      </c>
      <c r="BC208" s="157">
        <v>43818</v>
      </c>
      <c r="BD208" s="157">
        <v>44184</v>
      </c>
      <c r="BE208" s="158">
        <v>347128.5</v>
      </c>
      <c r="BF208" s="152" t="s">
        <v>2204</v>
      </c>
      <c r="BG208" s="159" t="s">
        <v>2205</v>
      </c>
      <c r="BH208" s="152">
        <v>131.99</v>
      </c>
      <c r="BI208" s="152">
        <v>0</v>
      </c>
      <c r="BJ208" s="152">
        <v>0</v>
      </c>
      <c r="BK208" s="152" t="s">
        <v>132</v>
      </c>
      <c r="BL208" s="152">
        <v>131.99</v>
      </c>
      <c r="BM208" s="152">
        <v>818724</v>
      </c>
      <c r="BN208" s="157" t="s">
        <v>1453</v>
      </c>
    </row>
    <row r="209" spans="1:66">
      <c r="A209" s="152" t="s">
        <v>2206</v>
      </c>
      <c r="B209" s="152" t="s">
        <v>2207</v>
      </c>
      <c r="C209" s="152" t="s">
        <v>2208</v>
      </c>
      <c r="D209" s="152" t="s">
        <v>2209</v>
      </c>
      <c r="E209" s="152" t="s">
        <v>2210</v>
      </c>
      <c r="F209" s="152">
        <v>1494</v>
      </c>
      <c r="G209" s="152">
        <v>494</v>
      </c>
      <c r="H209" s="152" t="s">
        <v>2211</v>
      </c>
      <c r="I209" s="152">
        <v>202818</v>
      </c>
      <c r="J209" s="152">
        <v>108</v>
      </c>
      <c r="K209" s="152">
        <v>89567</v>
      </c>
      <c r="L209" s="159" t="s">
        <v>856</v>
      </c>
      <c r="M209" s="152" t="s">
        <v>92</v>
      </c>
      <c r="N209" s="152" t="s">
        <v>92</v>
      </c>
      <c r="O209" s="159" t="s">
        <v>856</v>
      </c>
      <c r="P209" s="159" t="s">
        <v>856</v>
      </c>
      <c r="Q209" s="152" t="s">
        <v>92</v>
      </c>
      <c r="R209" s="152" t="s">
        <v>92</v>
      </c>
      <c r="S209" s="159" t="s">
        <v>856</v>
      </c>
      <c r="T209" s="159" t="s">
        <v>856</v>
      </c>
      <c r="U209" s="159" t="s">
        <v>856</v>
      </c>
      <c r="V209" s="152" t="s">
        <v>857</v>
      </c>
      <c r="W209" s="152" t="s">
        <v>858</v>
      </c>
      <c r="X209" s="152" t="s">
        <v>1083</v>
      </c>
      <c r="Y209" s="152">
        <v>0</v>
      </c>
      <c r="Z209" s="152">
        <v>1</v>
      </c>
      <c r="AA209" s="152" t="s">
        <v>92</v>
      </c>
      <c r="AB209" s="152">
        <v>63.67</v>
      </c>
      <c r="AC209" s="152">
        <v>1</v>
      </c>
      <c r="AD209" s="152" t="s">
        <v>861</v>
      </c>
      <c r="AE209" s="152">
        <v>63.67</v>
      </c>
      <c r="AF209" s="152">
        <v>0</v>
      </c>
      <c r="AG209" s="152" t="s">
        <v>861</v>
      </c>
      <c r="AH209" s="152" t="s">
        <v>861</v>
      </c>
      <c r="AI209" s="152" t="s">
        <v>92</v>
      </c>
      <c r="AJ209" s="152" t="s">
        <v>92</v>
      </c>
      <c r="AK209" s="152" t="s">
        <v>912</v>
      </c>
      <c r="AL209" s="159" t="s">
        <v>856</v>
      </c>
      <c r="AP209" s="159" t="s">
        <v>856</v>
      </c>
      <c r="AQ209" s="159" t="s">
        <v>856</v>
      </c>
      <c r="AR209" s="159" t="s">
        <v>856</v>
      </c>
      <c r="AS209" s="159" t="s">
        <v>865</v>
      </c>
      <c r="AT209" s="152" t="str">
        <f t="shared" si="17"/>
        <v>RPNR5-410722</v>
      </c>
      <c r="AU209" s="152" t="str">
        <f t="shared" si="18"/>
        <v>JAZMIN LUCIA RODAS CARRERA</v>
      </c>
      <c r="AV209" s="159">
        <v>641.79</v>
      </c>
      <c r="AW209" s="159">
        <v>890087</v>
      </c>
      <c r="AX209" s="159">
        <v>30</v>
      </c>
      <c r="AY209" s="159">
        <v>890089</v>
      </c>
      <c r="AZ209" s="152" t="s">
        <v>864</v>
      </c>
      <c r="BA209" s="152" t="str">
        <f t="shared" si="12"/>
        <v>L22-554-JM112</v>
      </c>
      <c r="BB209" s="152">
        <v>0</v>
      </c>
      <c r="BC209" s="157">
        <v>44776</v>
      </c>
      <c r="BD209" s="157">
        <v>44776</v>
      </c>
      <c r="BE209" s="158">
        <v>127340</v>
      </c>
      <c r="BF209" s="152" t="s">
        <v>2212</v>
      </c>
      <c r="BG209" s="159" t="s">
        <v>894</v>
      </c>
      <c r="BH209" s="152">
        <v>63.67</v>
      </c>
      <c r="BI209" s="152">
        <v>0</v>
      </c>
      <c r="BJ209" s="152">
        <v>0</v>
      </c>
      <c r="BK209" s="152" t="s">
        <v>132</v>
      </c>
      <c r="BL209" s="152">
        <v>63.67</v>
      </c>
      <c r="BM209" s="152">
        <v>890088</v>
      </c>
      <c r="BN209" s="157" t="s">
        <v>1453</v>
      </c>
    </row>
    <row r="210" spans="1:66">
      <c r="A210" s="152" t="s">
        <v>2213</v>
      </c>
      <c r="B210" s="152" t="s">
        <v>2214</v>
      </c>
      <c r="C210" s="152" t="s">
        <v>2215</v>
      </c>
      <c r="D210" s="152" t="s">
        <v>2216</v>
      </c>
      <c r="E210" s="152" t="s">
        <v>2216</v>
      </c>
      <c r="F210" s="152">
        <v>1600</v>
      </c>
      <c r="G210" s="152">
        <v>100</v>
      </c>
      <c r="H210" s="152" t="s">
        <v>2217</v>
      </c>
      <c r="I210" s="152">
        <v>202093</v>
      </c>
      <c r="J210" s="152">
        <v>293.93</v>
      </c>
      <c r="K210" s="152">
        <v>88993</v>
      </c>
      <c r="L210" s="159" t="s">
        <v>856</v>
      </c>
      <c r="M210" s="152" t="s">
        <v>92</v>
      </c>
      <c r="N210" s="152" t="s">
        <v>92</v>
      </c>
      <c r="O210" s="159" t="s">
        <v>856</v>
      </c>
      <c r="P210" s="159" t="s">
        <v>856</v>
      </c>
      <c r="Q210" s="152" t="s">
        <v>92</v>
      </c>
      <c r="R210" s="152" t="s">
        <v>92</v>
      </c>
      <c r="S210" s="159" t="s">
        <v>856</v>
      </c>
      <c r="T210" s="159" t="s">
        <v>856</v>
      </c>
      <c r="U210" s="159" t="s">
        <v>856</v>
      </c>
      <c r="V210" s="152" t="s">
        <v>857</v>
      </c>
      <c r="W210" s="152" t="s">
        <v>858</v>
      </c>
      <c r="X210" s="152" t="s">
        <v>1083</v>
      </c>
      <c r="Y210" s="152">
        <v>0</v>
      </c>
      <c r="Z210" s="152">
        <v>1</v>
      </c>
      <c r="AA210" s="152" t="s">
        <v>92</v>
      </c>
      <c r="AB210" s="152">
        <v>67.47</v>
      </c>
      <c r="AC210" s="152">
        <v>1</v>
      </c>
      <c r="AD210" s="152" t="s">
        <v>861</v>
      </c>
      <c r="AE210" s="152">
        <v>67.47</v>
      </c>
      <c r="AF210" s="152">
        <v>0</v>
      </c>
      <c r="AG210" s="152" t="s">
        <v>861</v>
      </c>
      <c r="AH210" s="152" t="s">
        <v>861</v>
      </c>
      <c r="AI210" s="152" t="s">
        <v>92</v>
      </c>
      <c r="AJ210" s="152" t="s">
        <v>92</v>
      </c>
      <c r="AK210" s="152" t="s">
        <v>2067</v>
      </c>
      <c r="AL210" s="159" t="s">
        <v>856</v>
      </c>
      <c r="AP210" s="159" t="s">
        <v>856</v>
      </c>
      <c r="AQ210" s="159" t="s">
        <v>856</v>
      </c>
      <c r="AR210" s="159" t="s">
        <v>856</v>
      </c>
      <c r="AS210" s="159" t="s">
        <v>865</v>
      </c>
      <c r="AT210" s="152" t="str">
        <f t="shared" si="17"/>
        <v>RPNHR-921021</v>
      </c>
      <c r="AU210" s="152" t="str">
        <f t="shared" si="18"/>
        <v xml:space="preserve">LUIS JAVIER HERNANDEZ AGUILAR </v>
      </c>
      <c r="AV210" s="159" t="s">
        <v>856</v>
      </c>
      <c r="AW210" s="159" t="s">
        <v>856</v>
      </c>
      <c r="AX210" s="159" t="s">
        <v>856</v>
      </c>
      <c r="AY210" s="159" t="s">
        <v>856</v>
      </c>
      <c r="AZ210" s="152" t="s">
        <v>864</v>
      </c>
      <c r="BA210" s="152" t="str">
        <f t="shared" si="12"/>
        <v>L22-880-NR121</v>
      </c>
      <c r="BB210" s="152">
        <v>0</v>
      </c>
      <c r="BC210" s="157">
        <v>44629</v>
      </c>
      <c r="BD210" s="157">
        <v>44629</v>
      </c>
      <c r="BE210" s="158">
        <v>101205</v>
      </c>
      <c r="BF210" s="152" t="s">
        <v>2218</v>
      </c>
      <c r="BG210" s="159" t="s">
        <v>894</v>
      </c>
      <c r="BH210" s="152">
        <v>67.47</v>
      </c>
      <c r="BI210" s="152">
        <v>0</v>
      </c>
      <c r="BJ210" s="152">
        <v>0</v>
      </c>
      <c r="BK210" s="152" t="s">
        <v>132</v>
      </c>
      <c r="BL210" s="152">
        <v>67.47</v>
      </c>
      <c r="BM210" s="152">
        <v>788397</v>
      </c>
      <c r="BN210" s="157" t="s">
        <v>1453</v>
      </c>
    </row>
    <row r="211" spans="1:66">
      <c r="A211" s="152" t="s">
        <v>2219</v>
      </c>
      <c r="B211" s="152" t="s">
        <v>2220</v>
      </c>
      <c r="C211" s="152" t="s">
        <v>2221</v>
      </c>
      <c r="D211" s="152" t="s">
        <v>2222</v>
      </c>
      <c r="E211" s="152" t="s">
        <v>2223</v>
      </c>
      <c r="F211" s="152">
        <v>7061</v>
      </c>
      <c r="G211" s="152">
        <v>61</v>
      </c>
      <c r="H211" s="152" t="s">
        <v>1655</v>
      </c>
      <c r="I211" s="152">
        <v>200553</v>
      </c>
      <c r="J211" s="152">
        <v>428.01</v>
      </c>
      <c r="K211" s="152">
        <v>87733</v>
      </c>
      <c r="L211" s="159" t="s">
        <v>1972</v>
      </c>
      <c r="M211" s="152" t="s">
        <v>92</v>
      </c>
      <c r="N211" s="152" t="s">
        <v>883</v>
      </c>
      <c r="O211" s="159">
        <v>6608</v>
      </c>
      <c r="P211" s="159" t="s">
        <v>1972</v>
      </c>
      <c r="Q211" s="152" t="s">
        <v>92</v>
      </c>
      <c r="R211" s="152" t="s">
        <v>883</v>
      </c>
      <c r="S211" s="159">
        <v>6608</v>
      </c>
      <c r="T211" s="159" t="s">
        <v>856</v>
      </c>
      <c r="U211" s="159" t="s">
        <v>856</v>
      </c>
      <c r="V211" s="152" t="s">
        <v>857</v>
      </c>
      <c r="W211" s="152" t="s">
        <v>858</v>
      </c>
      <c r="X211" s="152" t="s">
        <v>1083</v>
      </c>
      <c r="Z211" s="152">
        <v>1</v>
      </c>
      <c r="AA211" s="152" t="s">
        <v>883</v>
      </c>
      <c r="AB211" s="152">
        <v>85.57</v>
      </c>
      <c r="AC211" s="152">
        <v>1</v>
      </c>
      <c r="AD211" s="152" t="s">
        <v>861</v>
      </c>
      <c r="AE211" s="152">
        <v>85.57</v>
      </c>
      <c r="AF211" s="152">
        <v>0</v>
      </c>
      <c r="AG211" s="152">
        <v>347.84</v>
      </c>
      <c r="AH211" s="152">
        <v>4.87</v>
      </c>
      <c r="AI211" s="152" t="s">
        <v>92</v>
      </c>
      <c r="AJ211" s="152" t="s">
        <v>883</v>
      </c>
      <c r="AK211" s="152" t="s">
        <v>884</v>
      </c>
      <c r="AL211" s="159" t="s">
        <v>856</v>
      </c>
      <c r="AP211" s="159" t="s">
        <v>856</v>
      </c>
      <c r="AQ211" s="159" t="s">
        <v>856</v>
      </c>
      <c r="AR211" s="159" t="s">
        <v>2224</v>
      </c>
      <c r="AS211" s="159">
        <v>8.01</v>
      </c>
      <c r="AT211" s="152" t="str">
        <f t="shared" si="17"/>
        <v>VUNC8-021021</v>
      </c>
      <c r="AU211" s="152" t="str">
        <f t="shared" si="18"/>
        <v>ELEAZAR ISAIAS COTI GONON</v>
      </c>
      <c r="AV211" s="159">
        <v>862.55</v>
      </c>
      <c r="AW211" s="159">
        <v>887815</v>
      </c>
      <c r="AX211" s="159">
        <v>33</v>
      </c>
      <c r="AY211" s="159">
        <v>887818</v>
      </c>
      <c r="AZ211" s="152" t="s">
        <v>864</v>
      </c>
      <c r="BA211" s="152" t="str">
        <f t="shared" si="12"/>
        <v>L22-488-MP013</v>
      </c>
      <c r="BB211" s="152">
        <v>15</v>
      </c>
      <c r="BC211" s="157">
        <v>44742</v>
      </c>
      <c r="BD211" s="157">
        <v>45046</v>
      </c>
      <c r="BE211" s="158">
        <v>171140</v>
      </c>
      <c r="BF211" s="152" t="s">
        <v>2225</v>
      </c>
      <c r="BG211" s="159" t="s">
        <v>2226</v>
      </c>
      <c r="BH211" s="152">
        <v>85.57</v>
      </c>
      <c r="BI211" s="152">
        <v>0</v>
      </c>
      <c r="BJ211" s="152">
        <v>0</v>
      </c>
      <c r="BK211" s="152" t="s">
        <v>132</v>
      </c>
      <c r="BL211" s="152">
        <v>85.57</v>
      </c>
      <c r="BM211" s="152">
        <v>887817</v>
      </c>
      <c r="BN211" s="157" t="s">
        <v>1453</v>
      </c>
    </row>
    <row r="212" spans="1:66">
      <c r="A212" s="152" t="s">
        <v>2228</v>
      </c>
      <c r="B212" s="152" t="s">
        <v>2229</v>
      </c>
      <c r="C212" s="152" t="s">
        <v>2058</v>
      </c>
      <c r="D212" s="152" t="s">
        <v>2230</v>
      </c>
      <c r="E212" s="152" t="s">
        <v>2230</v>
      </c>
      <c r="F212" s="152">
        <v>3204</v>
      </c>
      <c r="G212" s="152">
        <v>204</v>
      </c>
      <c r="H212" s="152" t="s">
        <v>2060</v>
      </c>
      <c r="I212" s="152">
        <v>198029</v>
      </c>
      <c r="J212" s="152">
        <v>108</v>
      </c>
      <c r="K212" s="152">
        <v>85594</v>
      </c>
      <c r="L212" s="159" t="s">
        <v>1412</v>
      </c>
      <c r="M212" s="152" t="s">
        <v>92</v>
      </c>
      <c r="N212" s="152" t="s">
        <v>883</v>
      </c>
      <c r="O212" s="159">
        <v>4534</v>
      </c>
      <c r="P212" s="159" t="s">
        <v>1412</v>
      </c>
      <c r="Q212" s="152" t="s">
        <v>92</v>
      </c>
      <c r="R212" s="152" t="s">
        <v>883</v>
      </c>
      <c r="S212" s="159">
        <v>4534</v>
      </c>
      <c r="T212" s="159" t="s">
        <v>856</v>
      </c>
      <c r="U212" s="159" t="s">
        <v>856</v>
      </c>
      <c r="V212" s="152" t="s">
        <v>857</v>
      </c>
      <c r="W212" s="152" t="s">
        <v>1268</v>
      </c>
      <c r="X212" s="152" t="s">
        <v>1083</v>
      </c>
      <c r="Y212" s="152">
        <v>43.6</v>
      </c>
      <c r="Z212" s="152">
        <v>1</v>
      </c>
      <c r="AA212" s="152" t="s">
        <v>92</v>
      </c>
      <c r="AB212" s="152">
        <v>119.33</v>
      </c>
      <c r="AC212" s="152">
        <v>2</v>
      </c>
      <c r="AD212" s="152" t="s">
        <v>861</v>
      </c>
      <c r="AE212" s="152">
        <v>119.33</v>
      </c>
      <c r="AF212" s="152">
        <v>0</v>
      </c>
      <c r="AG212" s="152" t="s">
        <v>861</v>
      </c>
      <c r="AH212" s="152" t="s">
        <v>861</v>
      </c>
      <c r="AI212" s="152" t="s">
        <v>92</v>
      </c>
      <c r="AJ212" s="152" t="s">
        <v>92</v>
      </c>
      <c r="AK212" s="152" t="s">
        <v>862</v>
      </c>
      <c r="AL212" s="159" t="s">
        <v>856</v>
      </c>
      <c r="AP212" s="159" t="s">
        <v>856</v>
      </c>
      <c r="AQ212" s="159" t="s">
        <v>856</v>
      </c>
      <c r="AR212" s="159" t="s">
        <v>1953</v>
      </c>
      <c r="AS212" s="159" t="s">
        <v>865</v>
      </c>
      <c r="AT212" s="152" t="str">
        <f t="shared" si="17"/>
        <v>VUM10-120219</v>
      </c>
      <c r="AU212" s="152" t="str">
        <f t="shared" si="18"/>
        <v>RAUL ANTONIO MORALES BATHEN Y CDÑOS</v>
      </c>
      <c r="AV212" s="159">
        <v>1589.01</v>
      </c>
      <c r="AW212" s="159">
        <v>827340</v>
      </c>
      <c r="AX212" s="159">
        <v>30</v>
      </c>
      <c r="AY212" s="159">
        <v>827342</v>
      </c>
      <c r="AZ212" s="152" t="s">
        <v>864</v>
      </c>
      <c r="BA212" s="152" t="str">
        <f t="shared" si="12"/>
        <v>L20-490-JM048</v>
      </c>
      <c r="BB212" s="152">
        <v>24</v>
      </c>
      <c r="BC212" s="157">
        <v>43888</v>
      </c>
      <c r="BD212" s="157">
        <v>44254</v>
      </c>
      <c r="BE212" s="158">
        <v>313585</v>
      </c>
      <c r="BF212" s="152" t="s">
        <v>2231</v>
      </c>
      <c r="BG212" s="159" t="s">
        <v>875</v>
      </c>
      <c r="BH212" s="152">
        <v>119.33</v>
      </c>
      <c r="BI212" s="152">
        <v>0</v>
      </c>
      <c r="BJ212" s="152">
        <v>0</v>
      </c>
      <c r="BK212" s="152" t="s">
        <v>132</v>
      </c>
      <c r="BL212" s="152">
        <v>119.33</v>
      </c>
      <c r="BM212" s="152">
        <v>827341</v>
      </c>
      <c r="BN212" s="157" t="s">
        <v>1453</v>
      </c>
    </row>
    <row r="213" spans="1:66">
      <c r="A213" s="152" t="s">
        <v>2233</v>
      </c>
      <c r="B213" s="152" t="s">
        <v>2234</v>
      </c>
      <c r="C213" s="152" t="s">
        <v>2235</v>
      </c>
      <c r="D213" s="152" t="s">
        <v>2236</v>
      </c>
      <c r="E213" s="152" t="s">
        <v>2237</v>
      </c>
      <c r="F213" s="152">
        <v>7274</v>
      </c>
      <c r="G213" s="152">
        <v>274</v>
      </c>
      <c r="H213" s="152" t="s">
        <v>2238</v>
      </c>
      <c r="I213" s="152">
        <v>171019</v>
      </c>
      <c r="J213" s="152">
        <v>257.88</v>
      </c>
      <c r="K213" s="152">
        <v>66227</v>
      </c>
      <c r="L213" s="159" t="s">
        <v>856</v>
      </c>
      <c r="M213" s="152" t="s">
        <v>92</v>
      </c>
      <c r="N213" s="152" t="s">
        <v>92</v>
      </c>
      <c r="O213" s="159" t="s">
        <v>856</v>
      </c>
      <c r="P213" s="159" t="s">
        <v>856</v>
      </c>
      <c r="Q213" s="152" t="s">
        <v>92</v>
      </c>
      <c r="R213" s="152" t="s">
        <v>92</v>
      </c>
      <c r="S213" s="159" t="s">
        <v>856</v>
      </c>
      <c r="T213" s="159" t="s">
        <v>856</v>
      </c>
      <c r="U213" s="159" t="s">
        <v>856</v>
      </c>
      <c r="V213" s="152" t="s">
        <v>857</v>
      </c>
      <c r="W213" s="152" t="s">
        <v>858</v>
      </c>
      <c r="X213" s="152" t="s">
        <v>1083</v>
      </c>
      <c r="Y213" s="152">
        <v>0</v>
      </c>
      <c r="Z213" s="152">
        <v>1</v>
      </c>
      <c r="AA213" s="152" t="s">
        <v>92</v>
      </c>
      <c r="AB213" s="152">
        <v>175.6</v>
      </c>
      <c r="AC213" s="152">
        <v>2</v>
      </c>
      <c r="AD213" s="152" t="s">
        <v>861</v>
      </c>
      <c r="AE213" s="152">
        <v>175.6</v>
      </c>
      <c r="AF213" s="152">
        <v>0</v>
      </c>
      <c r="AG213" s="152" t="s">
        <v>861</v>
      </c>
      <c r="AH213" s="152" t="s">
        <v>861</v>
      </c>
      <c r="AI213" s="152" t="s">
        <v>92</v>
      </c>
      <c r="AJ213" s="152" t="s">
        <v>92</v>
      </c>
      <c r="AK213" s="152" t="s">
        <v>912</v>
      </c>
      <c r="AL213" s="159" t="s">
        <v>856</v>
      </c>
      <c r="AP213" s="159" t="s">
        <v>856</v>
      </c>
      <c r="AQ213" s="159" t="s">
        <v>856</v>
      </c>
      <c r="AR213" s="159" t="s">
        <v>1953</v>
      </c>
      <c r="AS213" s="159" t="s">
        <v>865</v>
      </c>
      <c r="AT213" s="152" t="str">
        <f t="shared" si="17"/>
        <v>RPNV6-200321</v>
      </c>
      <c r="AU213" s="152" t="str">
        <f t="shared" si="18"/>
        <v>EUSEBIO ARTURO VICENTE PAXTOR</v>
      </c>
      <c r="AV213" s="159">
        <v>2212.56</v>
      </c>
      <c r="AW213" s="159">
        <v>694819</v>
      </c>
      <c r="AX213" s="159">
        <v>121.5</v>
      </c>
      <c r="AY213" s="159">
        <v>694821</v>
      </c>
      <c r="AZ213" s="152" t="s">
        <v>864</v>
      </c>
      <c r="BA213" s="152" t="str">
        <f t="shared" si="12"/>
        <v>L21-466-SP231</v>
      </c>
      <c r="BB213" s="152">
        <v>0</v>
      </c>
      <c r="BC213" s="157">
        <v>44357</v>
      </c>
      <c r="BD213" s="157">
        <v>44357</v>
      </c>
      <c r="BE213" s="158">
        <v>439000</v>
      </c>
      <c r="BF213" s="152" t="s">
        <v>2239</v>
      </c>
      <c r="BG213" s="159" t="s">
        <v>894</v>
      </c>
      <c r="BH213" s="152">
        <v>175.6</v>
      </c>
      <c r="BI213" s="152">
        <v>0</v>
      </c>
      <c r="BJ213" s="152">
        <v>0</v>
      </c>
      <c r="BK213" s="152" t="s">
        <v>132</v>
      </c>
      <c r="BL213" s="152">
        <v>175.6</v>
      </c>
      <c r="BM213" s="152">
        <v>694820</v>
      </c>
      <c r="BN213" s="157" t="s">
        <v>1453</v>
      </c>
    </row>
    <row r="214" spans="1:66">
      <c r="A214" s="152" t="s">
        <v>2240</v>
      </c>
      <c r="B214" s="152" t="s">
        <v>2241</v>
      </c>
      <c r="C214" s="152" t="s">
        <v>2242</v>
      </c>
      <c r="D214" s="152" t="s">
        <v>2243</v>
      </c>
      <c r="E214" s="152" t="s">
        <v>2243</v>
      </c>
      <c r="F214" s="152">
        <v>8882</v>
      </c>
      <c r="G214" s="152">
        <v>382</v>
      </c>
      <c r="H214" s="152" t="s">
        <v>1854</v>
      </c>
      <c r="I214" s="152">
        <v>201463</v>
      </c>
      <c r="J214" s="152">
        <v>108</v>
      </c>
      <c r="K214" s="152">
        <v>88481</v>
      </c>
      <c r="L214" s="159" t="s">
        <v>2244</v>
      </c>
      <c r="M214" s="152" t="s">
        <v>883</v>
      </c>
      <c r="N214" s="152" t="s">
        <v>92</v>
      </c>
      <c r="O214" s="159">
        <v>10339</v>
      </c>
      <c r="P214" s="159" t="s">
        <v>2244</v>
      </c>
      <c r="Q214" s="152" t="s">
        <v>883</v>
      </c>
      <c r="R214" s="152" t="s">
        <v>92</v>
      </c>
      <c r="S214" s="159">
        <v>10339</v>
      </c>
      <c r="T214" s="159" t="s">
        <v>2245</v>
      </c>
      <c r="U214" s="159" t="s">
        <v>2246</v>
      </c>
      <c r="V214" s="152" t="s">
        <v>857</v>
      </c>
      <c r="W214" s="152" t="s">
        <v>858</v>
      </c>
      <c r="X214" s="152" t="s">
        <v>1083</v>
      </c>
      <c r="Y214" s="152">
        <v>13.86</v>
      </c>
      <c r="Z214" s="152">
        <v>1</v>
      </c>
      <c r="AA214" s="152" t="s">
        <v>92</v>
      </c>
      <c r="AB214" s="152">
        <v>61.66</v>
      </c>
      <c r="AC214" s="152">
        <v>1</v>
      </c>
      <c r="AD214" s="152" t="s">
        <v>861</v>
      </c>
      <c r="AE214" s="152">
        <v>61.66</v>
      </c>
      <c r="AF214" s="152">
        <v>0</v>
      </c>
      <c r="AG214" s="152" t="s">
        <v>861</v>
      </c>
      <c r="AH214" s="152" t="s">
        <v>861</v>
      </c>
      <c r="AI214" s="152" t="s">
        <v>92</v>
      </c>
      <c r="AJ214" s="152" t="s">
        <v>92</v>
      </c>
      <c r="AK214" s="152" t="s">
        <v>972</v>
      </c>
      <c r="AL214" s="159" t="s">
        <v>856</v>
      </c>
      <c r="AP214" s="159" t="s">
        <v>856</v>
      </c>
      <c r="AQ214" s="159" t="s">
        <v>856</v>
      </c>
      <c r="AR214" s="159" t="s">
        <v>873</v>
      </c>
      <c r="AS214" s="159" t="s">
        <v>865</v>
      </c>
      <c r="AT214" s="152" t="str">
        <f t="shared" si="17"/>
        <v>VUNG5-010222</v>
      </c>
      <c r="AU214" s="152" t="str">
        <f t="shared" si="18"/>
        <v>ROSA CARMELINA CAMPOSECO GUILLEN DE GOMEZ</v>
      </c>
      <c r="AV214" s="159">
        <v>648.70000000000005</v>
      </c>
      <c r="AW214" s="159">
        <v>795241</v>
      </c>
      <c r="AX214" s="159">
        <v>30</v>
      </c>
      <c r="AY214" s="159">
        <v>795244</v>
      </c>
      <c r="AZ214" s="152" t="s">
        <v>864</v>
      </c>
      <c r="BA214" s="152" t="str">
        <f t="shared" si="12"/>
        <v>L22-174-SP013</v>
      </c>
      <c r="BB214" s="152">
        <v>15</v>
      </c>
      <c r="BC214" s="157">
        <v>44631</v>
      </c>
      <c r="BD214" s="157">
        <v>44996</v>
      </c>
      <c r="BE214" s="158">
        <v>128171</v>
      </c>
      <c r="BF214" s="152" t="s">
        <v>2247</v>
      </c>
      <c r="BG214" s="159" t="s">
        <v>2248</v>
      </c>
      <c r="BH214" s="152">
        <v>61.66</v>
      </c>
      <c r="BI214" s="152">
        <v>0</v>
      </c>
      <c r="BJ214" s="152">
        <v>0</v>
      </c>
      <c r="BK214" s="152" t="s">
        <v>132</v>
      </c>
      <c r="BL214" s="152">
        <v>61.66</v>
      </c>
      <c r="BM214" s="152">
        <v>795243</v>
      </c>
      <c r="BN214" s="157" t="s">
        <v>1453</v>
      </c>
    </row>
    <row r="215" spans="1:66">
      <c r="A215" s="152" t="s">
        <v>2249</v>
      </c>
      <c r="B215" s="152" t="s">
        <v>2250</v>
      </c>
      <c r="C215" s="152" t="s">
        <v>2251</v>
      </c>
      <c r="D215" s="152" t="s">
        <v>2252</v>
      </c>
      <c r="E215" s="152" t="s">
        <v>2252</v>
      </c>
      <c r="F215" s="152">
        <v>312925</v>
      </c>
      <c r="G215" s="152">
        <v>195</v>
      </c>
      <c r="H215" s="152">
        <v>760</v>
      </c>
      <c r="I215" s="152">
        <v>176006</v>
      </c>
      <c r="J215" s="152">
        <v>150.66999999999999</v>
      </c>
      <c r="K215" s="152">
        <v>69808</v>
      </c>
      <c r="L215" s="159" t="s">
        <v>1972</v>
      </c>
      <c r="M215" s="152" t="s">
        <v>92</v>
      </c>
      <c r="N215" s="152" t="s">
        <v>883</v>
      </c>
      <c r="O215" s="159">
        <v>6608</v>
      </c>
      <c r="P215" s="159" t="s">
        <v>1972</v>
      </c>
      <c r="Q215" s="152" t="s">
        <v>92</v>
      </c>
      <c r="R215" s="152" t="s">
        <v>883</v>
      </c>
      <c r="S215" s="159">
        <v>6608</v>
      </c>
      <c r="T215" s="159" t="s">
        <v>856</v>
      </c>
      <c r="U215" s="159" t="s">
        <v>856</v>
      </c>
      <c r="V215" s="152" t="s">
        <v>857</v>
      </c>
      <c r="W215" s="152" t="s">
        <v>858</v>
      </c>
      <c r="X215" s="152" t="s">
        <v>1083</v>
      </c>
      <c r="Y215" s="152">
        <v>0</v>
      </c>
      <c r="Z215" s="152">
        <v>1</v>
      </c>
      <c r="AA215" s="152" t="s">
        <v>92</v>
      </c>
      <c r="AB215" s="152">
        <v>161.32</v>
      </c>
      <c r="AC215" s="152">
        <v>2</v>
      </c>
      <c r="AD215" s="152" t="s">
        <v>861</v>
      </c>
      <c r="AE215" s="152">
        <v>161.32</v>
      </c>
      <c r="AF215" s="152">
        <v>0</v>
      </c>
      <c r="AG215" s="152" t="s">
        <v>861</v>
      </c>
      <c r="AH215" s="152" t="s">
        <v>861</v>
      </c>
      <c r="AI215" s="152" t="s">
        <v>92</v>
      </c>
      <c r="AJ215" s="152" t="s">
        <v>92</v>
      </c>
      <c r="AK215" s="152" t="s">
        <v>972</v>
      </c>
      <c r="AL215" s="159" t="s">
        <v>856</v>
      </c>
      <c r="AP215" s="159" t="s">
        <v>856</v>
      </c>
      <c r="AQ215" s="159" t="s">
        <v>856</v>
      </c>
      <c r="AR215" s="159" t="s">
        <v>2253</v>
      </c>
      <c r="AS215" s="159" t="s">
        <v>865</v>
      </c>
      <c r="AT215" s="152" t="str">
        <f t="shared" si="17"/>
        <v>RPNA12-241221</v>
      </c>
      <c r="AU215" s="152" t="str">
        <f t="shared" si="18"/>
        <v>LUIS ADOLFO AJTUM SONTAY</v>
      </c>
      <c r="AV215" s="159">
        <v>2032.63</v>
      </c>
      <c r="AW215" s="159">
        <v>779459</v>
      </c>
      <c r="AX215" s="159">
        <v>57.4</v>
      </c>
      <c r="AY215" s="159">
        <v>779461</v>
      </c>
      <c r="AZ215" s="152" t="s">
        <v>864</v>
      </c>
      <c r="BA215" s="152" t="str">
        <f t="shared" si="12"/>
        <v>L22-148-SP002</v>
      </c>
      <c r="BB215" s="152">
        <v>0</v>
      </c>
      <c r="BC215" s="157">
        <v>44609</v>
      </c>
      <c r="BD215" s="157">
        <v>44609</v>
      </c>
      <c r="BE215" s="158">
        <v>403300</v>
      </c>
      <c r="BF215" s="152" t="s">
        <v>2254</v>
      </c>
      <c r="BG215" s="159" t="s">
        <v>875</v>
      </c>
      <c r="BH215" s="152">
        <v>161.32</v>
      </c>
      <c r="BI215" s="152">
        <v>0</v>
      </c>
      <c r="BJ215" s="152">
        <v>0</v>
      </c>
      <c r="BK215" s="152" t="s">
        <v>132</v>
      </c>
      <c r="BL215" s="152">
        <v>161.32</v>
      </c>
      <c r="BM215" s="152">
        <v>779460</v>
      </c>
      <c r="BN215" s="157" t="s">
        <v>1453</v>
      </c>
    </row>
    <row r="216" spans="1:66">
      <c r="A216" s="152" t="s">
        <v>2255</v>
      </c>
      <c r="B216" s="152" t="s">
        <v>2256</v>
      </c>
      <c r="C216" s="152" t="s">
        <v>2257</v>
      </c>
      <c r="D216" s="152" t="s">
        <v>2258</v>
      </c>
      <c r="E216" s="152" t="s">
        <v>2259</v>
      </c>
      <c r="F216" s="152">
        <v>3623</v>
      </c>
      <c r="G216" s="152">
        <v>123</v>
      </c>
      <c r="H216" s="152" t="s">
        <v>1824</v>
      </c>
      <c r="I216" s="152">
        <v>201767</v>
      </c>
      <c r="J216" s="152">
        <v>121.44</v>
      </c>
      <c r="K216" s="152">
        <v>88707</v>
      </c>
      <c r="L216" s="159" t="s">
        <v>856</v>
      </c>
      <c r="M216" s="152" t="s">
        <v>92</v>
      </c>
      <c r="N216" s="152" t="s">
        <v>92</v>
      </c>
      <c r="O216" s="159" t="s">
        <v>856</v>
      </c>
      <c r="P216" s="159" t="s">
        <v>856</v>
      </c>
      <c r="Q216" s="152" t="s">
        <v>92</v>
      </c>
      <c r="R216" s="152" t="s">
        <v>92</v>
      </c>
      <c r="S216" s="159" t="s">
        <v>856</v>
      </c>
      <c r="T216" s="159" t="s">
        <v>856</v>
      </c>
      <c r="U216" s="159" t="s">
        <v>856</v>
      </c>
      <c r="V216" s="152" t="s">
        <v>857</v>
      </c>
      <c r="W216" s="152" t="s">
        <v>858</v>
      </c>
      <c r="X216" s="152" t="s">
        <v>1083</v>
      </c>
      <c r="Y216" s="152">
        <v>58.55</v>
      </c>
      <c r="Z216" s="152">
        <v>1</v>
      </c>
      <c r="AA216" s="152" t="s">
        <v>92</v>
      </c>
      <c r="AB216" s="152">
        <v>54.08</v>
      </c>
      <c r="AC216" s="152">
        <v>2</v>
      </c>
      <c r="AD216" s="152" t="s">
        <v>861</v>
      </c>
      <c r="AE216" s="152">
        <v>54.08</v>
      </c>
      <c r="AF216" s="152">
        <v>0</v>
      </c>
      <c r="AG216" s="152" t="s">
        <v>861</v>
      </c>
      <c r="AH216" s="152" t="s">
        <v>861</v>
      </c>
      <c r="AI216" s="152" t="s">
        <v>92</v>
      </c>
      <c r="AJ216" s="152" t="s">
        <v>92</v>
      </c>
      <c r="AK216" s="152" t="s">
        <v>912</v>
      </c>
      <c r="AL216" s="159" t="s">
        <v>856</v>
      </c>
      <c r="AP216" s="159" t="s">
        <v>856</v>
      </c>
      <c r="AQ216" s="159" t="s">
        <v>856</v>
      </c>
      <c r="AR216" s="159" t="s">
        <v>992</v>
      </c>
      <c r="AS216" s="159" t="s">
        <v>865</v>
      </c>
      <c r="AT216" s="152" t="str">
        <f t="shared" si="17"/>
        <v>RPNH5-211120</v>
      </c>
      <c r="AU216" s="152" t="str">
        <f t="shared" si="18"/>
        <v>AXEL RUBY HIDALGO HIDALGO</v>
      </c>
      <c r="AV216" s="159">
        <v>812.52</v>
      </c>
      <c r="AW216" s="159">
        <v>673135</v>
      </c>
      <c r="AX216" s="159">
        <v>35</v>
      </c>
      <c r="AY216" s="159">
        <v>673433</v>
      </c>
      <c r="AZ216" s="152" t="s">
        <v>864</v>
      </c>
      <c r="BA216" s="152" t="str">
        <f t="shared" si="12"/>
        <v>L21-994-SP240</v>
      </c>
      <c r="BB216" s="152">
        <v>0</v>
      </c>
      <c r="BC216" s="157">
        <v>44314</v>
      </c>
      <c r="BD216" s="157">
        <v>44314</v>
      </c>
      <c r="BE216" s="158">
        <v>133740.5</v>
      </c>
      <c r="BF216" s="152" t="s">
        <v>2260</v>
      </c>
      <c r="BG216" s="159" t="s">
        <v>875</v>
      </c>
      <c r="BH216" s="152">
        <v>54.08</v>
      </c>
      <c r="BI216" s="152">
        <v>0</v>
      </c>
      <c r="BJ216" s="152">
        <v>0</v>
      </c>
      <c r="BK216" s="152" t="s">
        <v>132</v>
      </c>
      <c r="BL216" s="152">
        <v>54.08</v>
      </c>
      <c r="BM216" s="152">
        <v>673434</v>
      </c>
      <c r="BN216" s="157" t="s">
        <v>1453</v>
      </c>
    </row>
    <row r="217" spans="1:66">
      <c r="A217" s="152" t="s">
        <v>2261</v>
      </c>
      <c r="B217" s="152" t="s">
        <v>2262</v>
      </c>
      <c r="C217" s="152" t="s">
        <v>1408</v>
      </c>
      <c r="D217" s="152" t="s">
        <v>2263</v>
      </c>
      <c r="E217" s="152" t="s">
        <v>1410</v>
      </c>
      <c r="F217" s="152">
        <v>9861</v>
      </c>
      <c r="G217" s="152">
        <v>361</v>
      </c>
      <c r="H217" s="152" t="s">
        <v>2264</v>
      </c>
      <c r="I217" s="152">
        <v>192933</v>
      </c>
      <c r="J217" s="152">
        <v>7044.6</v>
      </c>
      <c r="K217" s="152">
        <v>82052</v>
      </c>
      <c r="L217" s="159" t="s">
        <v>1412</v>
      </c>
      <c r="M217" s="152" t="s">
        <v>92</v>
      </c>
      <c r="N217" s="152" t="s">
        <v>883</v>
      </c>
      <c r="O217" s="159">
        <v>4534</v>
      </c>
      <c r="P217" s="159" t="s">
        <v>1412</v>
      </c>
      <c r="Q217" s="152" t="s">
        <v>92</v>
      </c>
      <c r="R217" s="152" t="s">
        <v>883</v>
      </c>
      <c r="S217" s="159">
        <v>4534</v>
      </c>
      <c r="T217" s="159" t="s">
        <v>856</v>
      </c>
      <c r="U217" s="159" t="s">
        <v>856</v>
      </c>
      <c r="V217" s="152" t="s">
        <v>1123</v>
      </c>
      <c r="W217" s="152" t="s">
        <v>2265</v>
      </c>
      <c r="Y217" s="152">
        <v>2420.16</v>
      </c>
      <c r="Z217" s="152">
        <v>0</v>
      </c>
      <c r="AA217" s="152" t="s">
        <v>92</v>
      </c>
      <c r="AB217" s="152">
        <v>0</v>
      </c>
      <c r="AC217" s="152">
        <v>1</v>
      </c>
      <c r="AD217" s="152" t="s">
        <v>861</v>
      </c>
      <c r="AE217" s="152">
        <v>0</v>
      </c>
      <c r="AF217" s="152">
        <v>0</v>
      </c>
      <c r="AG217" s="152">
        <v>6993.56</v>
      </c>
      <c r="AH217" s="152" t="s">
        <v>861</v>
      </c>
      <c r="AI217" s="152" t="s">
        <v>92</v>
      </c>
      <c r="AJ217" s="152" t="s">
        <v>92</v>
      </c>
      <c r="AK217" s="152" t="s">
        <v>862</v>
      </c>
      <c r="AL217" s="159" t="s">
        <v>856</v>
      </c>
      <c r="AP217" s="159" t="s">
        <v>856</v>
      </c>
      <c r="AQ217" s="159" t="s">
        <v>856</v>
      </c>
      <c r="AR217" s="159" t="s">
        <v>1953</v>
      </c>
      <c r="AS217" s="159" t="s">
        <v>865</v>
      </c>
      <c r="AT217" s="152" t="str">
        <f t="shared" si="17"/>
        <v>VUNI9-011020</v>
      </c>
      <c r="AU217" s="152" t="str">
        <f t="shared" si="18"/>
        <v>INDUSTRIALIZADORA DE VIVIENDAS S.A.</v>
      </c>
      <c r="AV217" s="159">
        <v>4900.2299999999996</v>
      </c>
      <c r="AW217" s="159">
        <v>710283</v>
      </c>
      <c r="AX217" s="159">
        <v>236.5</v>
      </c>
      <c r="AY217" s="159">
        <v>710285</v>
      </c>
      <c r="AZ217" s="152" t="s">
        <v>864</v>
      </c>
      <c r="BA217" s="152" t="str">
        <f t="shared" si="12"/>
        <v>L21-655-SP153</v>
      </c>
      <c r="BB217" s="152">
        <v>12</v>
      </c>
      <c r="BC217" s="157">
        <v>44440</v>
      </c>
      <c r="BD217" s="157">
        <v>44805</v>
      </c>
      <c r="BE217" s="158">
        <v>852280</v>
      </c>
      <c r="BG217" s="159" t="s">
        <v>2033</v>
      </c>
      <c r="BK217" s="152" t="s">
        <v>132</v>
      </c>
      <c r="BN217" s="157" t="s">
        <v>1453</v>
      </c>
    </row>
    <row r="218" spans="1:66">
      <c r="A218" s="152" t="s">
        <v>2266</v>
      </c>
      <c r="B218" s="152" t="s">
        <v>2267</v>
      </c>
      <c r="C218" s="152" t="s">
        <v>2268</v>
      </c>
      <c r="D218" s="152" t="s">
        <v>2269</v>
      </c>
      <c r="E218" s="152" t="s">
        <v>2270</v>
      </c>
      <c r="F218" s="152">
        <v>275535</v>
      </c>
      <c r="G218" s="152">
        <v>185</v>
      </c>
      <c r="H218" s="152">
        <v>636</v>
      </c>
      <c r="I218" s="152">
        <v>200628</v>
      </c>
      <c r="J218" s="152">
        <v>136</v>
      </c>
      <c r="K218" s="152">
        <v>87790</v>
      </c>
      <c r="L218" s="159" t="s">
        <v>921</v>
      </c>
      <c r="M218" s="152" t="s">
        <v>92</v>
      </c>
      <c r="N218" s="152" t="s">
        <v>883</v>
      </c>
      <c r="O218" s="159">
        <v>4380</v>
      </c>
      <c r="P218" s="159" t="s">
        <v>921</v>
      </c>
      <c r="Q218" s="152" t="s">
        <v>92</v>
      </c>
      <c r="R218" s="152" t="s">
        <v>883</v>
      </c>
      <c r="S218" s="159">
        <v>4380</v>
      </c>
      <c r="T218" s="159" t="s">
        <v>2271</v>
      </c>
      <c r="U218" s="159" t="s">
        <v>2272</v>
      </c>
      <c r="V218" s="152" t="s">
        <v>857</v>
      </c>
      <c r="W218" s="152" t="s">
        <v>858</v>
      </c>
      <c r="X218" s="152" t="s">
        <v>1083</v>
      </c>
      <c r="Y218" s="152">
        <v>90.65</v>
      </c>
      <c r="Z218" s="152">
        <v>1</v>
      </c>
      <c r="AA218" s="152" t="s">
        <v>92</v>
      </c>
      <c r="AB218" s="152">
        <v>178.55</v>
      </c>
      <c r="AC218" s="152">
        <v>2</v>
      </c>
      <c r="AD218" s="152" t="s">
        <v>861</v>
      </c>
      <c r="AE218" s="152">
        <v>178.55</v>
      </c>
      <c r="AF218" s="152">
        <v>0</v>
      </c>
      <c r="AG218" s="152" t="s">
        <v>861</v>
      </c>
      <c r="AH218" s="152" t="s">
        <v>861</v>
      </c>
      <c r="AI218" s="152" t="s">
        <v>92</v>
      </c>
      <c r="AJ218" s="152" t="s">
        <v>92</v>
      </c>
      <c r="AK218" s="152" t="s">
        <v>862</v>
      </c>
      <c r="AL218" s="159" t="s">
        <v>856</v>
      </c>
      <c r="AP218" s="159" t="s">
        <v>856</v>
      </c>
      <c r="AQ218" s="159" t="s">
        <v>856</v>
      </c>
      <c r="AR218" s="159" t="s">
        <v>1043</v>
      </c>
      <c r="AS218" s="159" t="s">
        <v>865</v>
      </c>
      <c r="AT218" s="152" t="str">
        <f t="shared" si="17"/>
        <v>VUNE8-030821</v>
      </c>
      <c r="AU218" s="152" t="str">
        <f t="shared" si="18"/>
        <v>SILVIA NOEMI ESCOBAR COTTON</v>
      </c>
      <c r="AV218" s="159">
        <v>2563.48</v>
      </c>
      <c r="AW218" s="159">
        <v>712260</v>
      </c>
      <c r="AX218" s="159">
        <v>40</v>
      </c>
      <c r="AY218" s="159">
        <v>712262</v>
      </c>
      <c r="AZ218" s="152" t="s">
        <v>864</v>
      </c>
      <c r="BA218" s="152" t="str">
        <f t="shared" si="12"/>
        <v>L21-679-SP155</v>
      </c>
      <c r="BB218" s="152">
        <v>24</v>
      </c>
      <c r="BC218" s="157">
        <v>44453</v>
      </c>
      <c r="BD218" s="157">
        <v>44818</v>
      </c>
      <c r="BE218" s="158">
        <v>482638.5</v>
      </c>
      <c r="BF218" s="152" t="s">
        <v>2273</v>
      </c>
      <c r="BG218" s="159" t="s">
        <v>2274</v>
      </c>
      <c r="BH218" s="152">
        <v>178.55</v>
      </c>
      <c r="BI218" s="152">
        <v>0</v>
      </c>
      <c r="BJ218" s="152">
        <v>0</v>
      </c>
      <c r="BK218" s="152" t="s">
        <v>132</v>
      </c>
      <c r="BL218" s="152">
        <v>178.55</v>
      </c>
      <c r="BM218" s="152">
        <v>712261</v>
      </c>
      <c r="BN218" s="157" t="s">
        <v>1453</v>
      </c>
    </row>
    <row r="219" spans="1:66">
      <c r="A219" s="152" t="s">
        <v>2275</v>
      </c>
      <c r="B219" s="152" t="s">
        <v>2276</v>
      </c>
      <c r="C219" s="152" t="s">
        <v>2277</v>
      </c>
      <c r="D219" s="152" t="s">
        <v>2278</v>
      </c>
      <c r="E219" s="152" t="s">
        <v>1077</v>
      </c>
      <c r="F219" s="152">
        <v>314</v>
      </c>
      <c r="G219" s="152">
        <v>314</v>
      </c>
      <c r="H219" s="152" t="s">
        <v>2279</v>
      </c>
      <c r="I219" s="152">
        <v>199313</v>
      </c>
      <c r="J219" s="152">
        <v>126</v>
      </c>
      <c r="K219" s="152">
        <v>86760</v>
      </c>
      <c r="L219" s="159" t="s">
        <v>2280</v>
      </c>
      <c r="M219" s="152" t="s">
        <v>883</v>
      </c>
      <c r="N219" s="152" t="s">
        <v>92</v>
      </c>
      <c r="O219" s="159">
        <v>10664</v>
      </c>
      <c r="P219" s="159" t="s">
        <v>2280</v>
      </c>
      <c r="Q219" s="152" t="s">
        <v>883</v>
      </c>
      <c r="R219" s="152" t="s">
        <v>92</v>
      </c>
      <c r="S219" s="159">
        <v>10664</v>
      </c>
      <c r="T219" s="159" t="s">
        <v>856</v>
      </c>
      <c r="U219" s="159" t="s">
        <v>856</v>
      </c>
      <c r="V219" s="152" t="s">
        <v>857</v>
      </c>
      <c r="W219" s="152" t="s">
        <v>858</v>
      </c>
      <c r="X219" s="152" t="s">
        <v>1083</v>
      </c>
      <c r="Y219" s="152">
        <v>39.1</v>
      </c>
      <c r="Z219" s="152">
        <v>1</v>
      </c>
      <c r="AA219" s="152" t="s">
        <v>92</v>
      </c>
      <c r="AB219" s="152">
        <v>127.22</v>
      </c>
      <c r="AC219" s="152">
        <v>2</v>
      </c>
      <c r="AD219" s="152" t="s">
        <v>861</v>
      </c>
      <c r="AE219" s="152">
        <v>127.22</v>
      </c>
      <c r="AF219" s="152">
        <v>0</v>
      </c>
      <c r="AG219" s="152" t="s">
        <v>861</v>
      </c>
      <c r="AH219" s="152" t="s">
        <v>861</v>
      </c>
      <c r="AI219" s="152" t="s">
        <v>92</v>
      </c>
      <c r="AJ219" s="152" t="s">
        <v>92</v>
      </c>
      <c r="AK219" s="152" t="s">
        <v>862</v>
      </c>
      <c r="AL219" s="159" t="s">
        <v>856</v>
      </c>
      <c r="AP219" s="159" t="s">
        <v>856</v>
      </c>
      <c r="AQ219" s="159" t="s">
        <v>856</v>
      </c>
      <c r="AR219" s="159" t="s">
        <v>1043</v>
      </c>
      <c r="AS219" s="159" t="s">
        <v>865</v>
      </c>
      <c r="AT219" s="152" t="str">
        <f t="shared" si="17"/>
        <v>VUNS12-120821</v>
      </c>
      <c r="AU219" s="152" t="str">
        <f t="shared" si="18"/>
        <v>MIGUEL FERNANDO SANCHEZ YXCARAGUA</v>
      </c>
      <c r="AV219" s="159">
        <v>1679.61</v>
      </c>
      <c r="AW219" s="159">
        <v>728552</v>
      </c>
      <c r="AX219" s="159">
        <v>35</v>
      </c>
      <c r="AY219" s="159">
        <v>728555</v>
      </c>
      <c r="AZ219" s="152" t="s">
        <v>864</v>
      </c>
      <c r="BA219" s="152" t="str">
        <f t="shared" si="12"/>
        <v>L21-832-SP178</v>
      </c>
      <c r="BB219" s="152">
        <v>24</v>
      </c>
      <c r="BC219" s="157">
        <v>44529</v>
      </c>
      <c r="BD219" s="157">
        <v>44894</v>
      </c>
      <c r="BE219" s="158">
        <v>331735</v>
      </c>
      <c r="BF219" s="152" t="s">
        <v>2281</v>
      </c>
      <c r="BG219" s="159" t="s">
        <v>875</v>
      </c>
      <c r="BH219" s="152">
        <v>127.22</v>
      </c>
      <c r="BI219" s="152">
        <v>0</v>
      </c>
      <c r="BJ219" s="152">
        <v>0</v>
      </c>
      <c r="BK219" s="152" t="s">
        <v>132</v>
      </c>
      <c r="BL219" s="152">
        <v>127.22</v>
      </c>
      <c r="BM219" s="152">
        <v>728554</v>
      </c>
      <c r="BN219" s="157" t="s">
        <v>1453</v>
      </c>
    </row>
    <row r="220" spans="1:66">
      <c r="A220" s="152" t="s">
        <v>2282</v>
      </c>
      <c r="B220" s="152" t="s">
        <v>2283</v>
      </c>
      <c r="C220" s="152" t="s">
        <v>2277</v>
      </c>
      <c r="D220" s="152" t="s">
        <v>2284</v>
      </c>
      <c r="E220" s="152" t="s">
        <v>1077</v>
      </c>
      <c r="F220" s="152">
        <v>316</v>
      </c>
      <c r="G220" s="152">
        <v>316</v>
      </c>
      <c r="H220" s="152" t="s">
        <v>2279</v>
      </c>
      <c r="I220" s="152">
        <v>199358</v>
      </c>
      <c r="J220" s="152">
        <v>126</v>
      </c>
      <c r="K220" s="152">
        <v>86784</v>
      </c>
      <c r="L220" s="159" t="s">
        <v>2280</v>
      </c>
      <c r="M220" s="152" t="s">
        <v>883</v>
      </c>
      <c r="N220" s="152" t="s">
        <v>92</v>
      </c>
      <c r="O220" s="159">
        <v>10664</v>
      </c>
      <c r="P220" s="159" t="s">
        <v>2280</v>
      </c>
      <c r="Q220" s="152" t="s">
        <v>883</v>
      </c>
      <c r="R220" s="152" t="s">
        <v>92</v>
      </c>
      <c r="S220" s="159">
        <v>10664</v>
      </c>
      <c r="T220" s="159" t="s">
        <v>856</v>
      </c>
      <c r="U220" s="159" t="s">
        <v>856</v>
      </c>
      <c r="V220" s="152" t="s">
        <v>857</v>
      </c>
      <c r="W220" s="152" t="s">
        <v>858</v>
      </c>
      <c r="X220" s="152" t="s">
        <v>1083</v>
      </c>
      <c r="Y220" s="152">
        <v>39.1</v>
      </c>
      <c r="Z220" s="152">
        <v>1</v>
      </c>
      <c r="AA220" s="152" t="s">
        <v>92</v>
      </c>
      <c r="AB220" s="152">
        <v>127.22</v>
      </c>
      <c r="AC220" s="152">
        <v>2</v>
      </c>
      <c r="AD220" s="152" t="s">
        <v>861</v>
      </c>
      <c r="AE220" s="152">
        <v>127.22</v>
      </c>
      <c r="AF220" s="152">
        <v>0</v>
      </c>
      <c r="AG220" s="152" t="s">
        <v>861</v>
      </c>
      <c r="AH220" s="152" t="s">
        <v>861</v>
      </c>
      <c r="AI220" s="152" t="s">
        <v>92</v>
      </c>
      <c r="AJ220" s="152" t="s">
        <v>92</v>
      </c>
      <c r="AK220" s="152" t="s">
        <v>862</v>
      </c>
      <c r="AL220" s="159" t="s">
        <v>856</v>
      </c>
      <c r="AP220" s="159" t="s">
        <v>856</v>
      </c>
      <c r="AQ220" s="159" t="s">
        <v>856</v>
      </c>
      <c r="AR220" s="159" t="s">
        <v>1043</v>
      </c>
      <c r="AS220" s="159" t="s">
        <v>865</v>
      </c>
      <c r="AT220" s="152" t="str">
        <f t="shared" si="17"/>
        <v>VUNS12-140821</v>
      </c>
      <c r="AU220" s="152" t="str">
        <f t="shared" si="18"/>
        <v>MIGUEL FERNANDO SANCHEZ YXCARAGUA</v>
      </c>
      <c r="AV220" s="159">
        <v>1679.61</v>
      </c>
      <c r="AW220" s="159">
        <v>728560</v>
      </c>
      <c r="AX220" s="159">
        <v>35</v>
      </c>
      <c r="AY220" s="159">
        <v>728563</v>
      </c>
      <c r="AZ220" s="152" t="s">
        <v>864</v>
      </c>
      <c r="BA220" s="152" t="str">
        <f t="shared" si="12"/>
        <v>L21-834-SP180</v>
      </c>
      <c r="BB220" s="152">
        <v>24</v>
      </c>
      <c r="BC220" s="157">
        <v>44529</v>
      </c>
      <c r="BD220" s="157">
        <v>44894</v>
      </c>
      <c r="BE220" s="158">
        <v>331735</v>
      </c>
      <c r="BF220" s="152" t="s">
        <v>2285</v>
      </c>
      <c r="BG220" s="159" t="s">
        <v>875</v>
      </c>
      <c r="BH220" s="152">
        <v>127.22</v>
      </c>
      <c r="BI220" s="152">
        <v>0</v>
      </c>
      <c r="BJ220" s="152">
        <v>0</v>
      </c>
      <c r="BK220" s="152" t="s">
        <v>132</v>
      </c>
      <c r="BL220" s="152">
        <v>127.22</v>
      </c>
      <c r="BM220" s="152">
        <v>728562</v>
      </c>
      <c r="BN220" s="157" t="s">
        <v>1453</v>
      </c>
    </row>
    <row r="221" spans="1:66">
      <c r="A221" s="152" t="s">
        <v>2286</v>
      </c>
      <c r="B221" s="152" t="s">
        <v>2287</v>
      </c>
      <c r="C221" s="152" t="s">
        <v>2277</v>
      </c>
      <c r="D221" s="152" t="s">
        <v>2288</v>
      </c>
      <c r="E221" s="152" t="s">
        <v>1077</v>
      </c>
      <c r="F221" s="152">
        <v>309</v>
      </c>
      <c r="G221" s="152">
        <v>309</v>
      </c>
      <c r="H221" s="152" t="s">
        <v>2279</v>
      </c>
      <c r="I221" s="152">
        <v>199357</v>
      </c>
      <c r="J221" s="152">
        <v>126</v>
      </c>
      <c r="K221" s="152">
        <v>86793</v>
      </c>
      <c r="L221" s="159" t="s">
        <v>2280</v>
      </c>
      <c r="M221" s="152" t="s">
        <v>883</v>
      </c>
      <c r="N221" s="152" t="s">
        <v>92</v>
      </c>
      <c r="O221" s="159">
        <v>10664</v>
      </c>
      <c r="P221" s="159" t="s">
        <v>2280</v>
      </c>
      <c r="Q221" s="152" t="s">
        <v>883</v>
      </c>
      <c r="R221" s="152" t="s">
        <v>92</v>
      </c>
      <c r="S221" s="159">
        <v>10664</v>
      </c>
      <c r="T221" s="159" t="s">
        <v>856</v>
      </c>
      <c r="U221" s="159" t="s">
        <v>856</v>
      </c>
      <c r="V221" s="152" t="s">
        <v>857</v>
      </c>
      <c r="W221" s="152" t="s">
        <v>858</v>
      </c>
      <c r="X221" s="152" t="s">
        <v>1083</v>
      </c>
      <c r="Y221" s="152">
        <v>39.1</v>
      </c>
      <c r="Z221" s="152">
        <v>1</v>
      </c>
      <c r="AA221" s="152" t="s">
        <v>92</v>
      </c>
      <c r="AB221" s="152">
        <v>127.22</v>
      </c>
      <c r="AC221" s="152">
        <v>2</v>
      </c>
      <c r="AD221" s="152" t="s">
        <v>861</v>
      </c>
      <c r="AE221" s="152">
        <v>127.22</v>
      </c>
      <c r="AF221" s="152">
        <v>0</v>
      </c>
      <c r="AG221" s="152" t="s">
        <v>861</v>
      </c>
      <c r="AH221" s="152" t="s">
        <v>861</v>
      </c>
      <c r="AI221" s="152" t="s">
        <v>92</v>
      </c>
      <c r="AJ221" s="152" t="s">
        <v>92</v>
      </c>
      <c r="AK221" s="152" t="s">
        <v>862</v>
      </c>
      <c r="AL221" s="159" t="s">
        <v>856</v>
      </c>
      <c r="AP221" s="159" t="s">
        <v>856</v>
      </c>
      <c r="AQ221" s="159" t="s">
        <v>856</v>
      </c>
      <c r="AR221" s="159" t="s">
        <v>885</v>
      </c>
      <c r="AS221" s="159" t="s">
        <v>865</v>
      </c>
      <c r="AT221" s="152" t="str">
        <f t="shared" si="17"/>
        <v>VUNS12-100821</v>
      </c>
      <c r="AU221" s="152" t="str">
        <f t="shared" si="18"/>
        <v>MIGUEL FERNANDO SANCHEZ YXCARAGUA</v>
      </c>
      <c r="AV221" s="159">
        <v>1679.61</v>
      </c>
      <c r="AW221" s="159">
        <v>729714</v>
      </c>
      <c r="AX221" s="159">
        <v>35</v>
      </c>
      <c r="AY221" s="159">
        <v>729714</v>
      </c>
      <c r="AZ221" s="152" t="s">
        <v>864</v>
      </c>
      <c r="BA221" s="152" t="str">
        <f t="shared" si="12"/>
        <v>L21-844-SP176</v>
      </c>
      <c r="BB221" s="152">
        <v>24</v>
      </c>
      <c r="BC221" s="157">
        <v>44529</v>
      </c>
      <c r="BD221" s="157">
        <v>44894</v>
      </c>
      <c r="BE221" s="158">
        <v>331735</v>
      </c>
      <c r="BF221" s="152" t="s">
        <v>2289</v>
      </c>
      <c r="BG221" s="159" t="s">
        <v>875</v>
      </c>
      <c r="BH221" s="152">
        <v>127.22</v>
      </c>
      <c r="BI221" s="152">
        <v>0</v>
      </c>
      <c r="BJ221" s="152">
        <v>0</v>
      </c>
      <c r="BK221" s="152" t="s">
        <v>132</v>
      </c>
      <c r="BL221" s="152">
        <v>127.22</v>
      </c>
      <c r="BM221" s="152">
        <v>729716</v>
      </c>
      <c r="BN221" s="157" t="s">
        <v>1453</v>
      </c>
    </row>
    <row r="222" spans="1:66">
      <c r="A222" s="152" t="s">
        <v>2290</v>
      </c>
      <c r="B222" s="152" t="s">
        <v>2291</v>
      </c>
      <c r="C222" s="152" t="s">
        <v>2292</v>
      </c>
      <c r="D222" s="152" t="s">
        <v>2293</v>
      </c>
      <c r="E222" s="152" t="s">
        <v>2294</v>
      </c>
      <c r="F222" s="152">
        <v>277474</v>
      </c>
      <c r="G222" s="152">
        <v>284</v>
      </c>
      <c r="H222" s="152">
        <v>642</v>
      </c>
      <c r="I222" s="152">
        <v>5158</v>
      </c>
      <c r="J222" s="152">
        <v>147.78</v>
      </c>
      <c r="K222" s="152">
        <v>88307</v>
      </c>
      <c r="L222" s="159" t="s">
        <v>1811</v>
      </c>
      <c r="M222" s="152" t="s">
        <v>92</v>
      </c>
      <c r="N222" s="152" t="s">
        <v>883</v>
      </c>
      <c r="O222" s="159">
        <v>5629</v>
      </c>
      <c r="P222" s="159" t="s">
        <v>856</v>
      </c>
      <c r="Q222" s="152" t="s">
        <v>92</v>
      </c>
      <c r="R222" s="152" t="s">
        <v>92</v>
      </c>
      <c r="S222" s="159" t="s">
        <v>856</v>
      </c>
      <c r="T222" s="159" t="s">
        <v>856</v>
      </c>
      <c r="U222" s="159" t="s">
        <v>856</v>
      </c>
      <c r="V222" s="152" t="s">
        <v>911</v>
      </c>
      <c r="W222" s="152" t="s">
        <v>858</v>
      </c>
      <c r="X222" s="152" t="s">
        <v>1083</v>
      </c>
      <c r="Y222" s="152">
        <v>25.11</v>
      </c>
      <c r="Z222" s="152">
        <v>1</v>
      </c>
      <c r="AA222" s="152" t="s">
        <v>883</v>
      </c>
      <c r="AB222" s="152">
        <v>98.82</v>
      </c>
      <c r="AC222" s="152">
        <v>2</v>
      </c>
      <c r="AD222" s="152" t="s">
        <v>861</v>
      </c>
      <c r="AE222" s="152">
        <v>98.82</v>
      </c>
      <c r="AF222" s="152">
        <v>0</v>
      </c>
      <c r="AG222" s="152" t="s">
        <v>861</v>
      </c>
      <c r="AH222" s="152" t="s">
        <v>861</v>
      </c>
      <c r="AI222" s="152" t="s">
        <v>92</v>
      </c>
      <c r="AJ222" s="152" t="s">
        <v>92</v>
      </c>
      <c r="AK222" s="152" t="s">
        <v>872</v>
      </c>
      <c r="AL222" s="159" t="s">
        <v>856</v>
      </c>
      <c r="AP222" s="159" t="s">
        <v>856</v>
      </c>
      <c r="AQ222" s="159" t="s">
        <v>856</v>
      </c>
      <c r="AR222" s="159" t="s">
        <v>2295</v>
      </c>
      <c r="AS222" s="159" t="s">
        <v>865</v>
      </c>
      <c r="AT222" s="152" t="str">
        <f t="shared" ref="AT222:AT227" si="19">B222</f>
        <v>RPNM3-190721</v>
      </c>
      <c r="AU222" s="152" t="str">
        <f t="shared" ref="AU222:AU227" si="20">C222</f>
        <v>SANTOS JULIAN MEJIA VASQUEZ</v>
      </c>
      <c r="AV222" s="159">
        <v>1294.3499999999999</v>
      </c>
      <c r="AW222" s="159">
        <v>709065</v>
      </c>
      <c r="AX222" s="159">
        <v>50</v>
      </c>
      <c r="AY222" s="159">
        <v>709067</v>
      </c>
      <c r="AZ222" s="152" t="s">
        <v>864</v>
      </c>
      <c r="BA222" s="152" t="str">
        <f t="shared" si="12"/>
        <v>L21-926-SP005</v>
      </c>
      <c r="BB222" s="152">
        <v>0</v>
      </c>
      <c r="BC222" s="157">
        <v>44431</v>
      </c>
      <c r="BD222" s="157">
        <v>44431</v>
      </c>
      <c r="BE222" s="158">
        <v>255838.5</v>
      </c>
      <c r="BF222" s="152" t="s">
        <v>2296</v>
      </c>
      <c r="BG222" s="159" t="s">
        <v>894</v>
      </c>
      <c r="BH222" s="152">
        <v>98.82</v>
      </c>
      <c r="BI222" s="152">
        <v>0</v>
      </c>
      <c r="BJ222" s="152">
        <v>0</v>
      </c>
      <c r="BK222" s="152" t="s">
        <v>132</v>
      </c>
      <c r="BL222" s="152">
        <v>98.82</v>
      </c>
      <c r="BM222" s="152">
        <v>709066</v>
      </c>
      <c r="BN222" s="157" t="s">
        <v>1453</v>
      </c>
    </row>
    <row r="223" spans="1:66">
      <c r="A223" s="152" t="s">
        <v>2297</v>
      </c>
      <c r="B223" s="152" t="s">
        <v>2298</v>
      </c>
      <c r="C223" s="152" t="s">
        <v>2299</v>
      </c>
      <c r="D223" s="152" t="s">
        <v>2300</v>
      </c>
      <c r="E223" s="152" t="s">
        <v>2300</v>
      </c>
      <c r="F223" s="159" t="s">
        <v>856</v>
      </c>
      <c r="G223" s="159" t="s">
        <v>856</v>
      </c>
      <c r="H223" s="159" t="s">
        <v>856</v>
      </c>
      <c r="I223" s="152">
        <v>201466</v>
      </c>
      <c r="J223" s="152">
        <v>109.25</v>
      </c>
      <c r="K223" s="152">
        <v>68484</v>
      </c>
      <c r="L223" s="159" t="s">
        <v>856</v>
      </c>
      <c r="M223" s="152" t="s">
        <v>92</v>
      </c>
      <c r="N223" s="152" t="s">
        <v>92</v>
      </c>
      <c r="O223" s="159" t="s">
        <v>856</v>
      </c>
      <c r="P223" s="159" t="s">
        <v>856</v>
      </c>
      <c r="Q223" s="152" t="s">
        <v>92</v>
      </c>
      <c r="R223" s="152" t="s">
        <v>92</v>
      </c>
      <c r="S223" s="159" t="s">
        <v>856</v>
      </c>
      <c r="T223" s="159" t="s">
        <v>856</v>
      </c>
      <c r="U223" s="159" t="s">
        <v>856</v>
      </c>
      <c r="V223" s="152" t="s">
        <v>857</v>
      </c>
      <c r="W223" s="152" t="s">
        <v>858</v>
      </c>
      <c r="X223" s="152" t="s">
        <v>1083</v>
      </c>
      <c r="Y223" s="152">
        <v>57.19</v>
      </c>
      <c r="Z223" s="152">
        <v>1</v>
      </c>
      <c r="AA223" s="152" t="s">
        <v>92</v>
      </c>
      <c r="AB223" s="152">
        <v>61.63</v>
      </c>
      <c r="AC223" s="152">
        <v>1</v>
      </c>
      <c r="AD223" s="152" t="s">
        <v>861</v>
      </c>
      <c r="AE223" s="152">
        <v>61.63</v>
      </c>
      <c r="AF223" s="152">
        <v>0</v>
      </c>
      <c r="AG223" s="152" t="s">
        <v>861</v>
      </c>
      <c r="AH223" s="152" t="s">
        <v>861</v>
      </c>
      <c r="AI223" s="152" t="s">
        <v>92</v>
      </c>
      <c r="AJ223" s="152" t="s">
        <v>92</v>
      </c>
      <c r="AK223" s="152" t="s">
        <v>1620</v>
      </c>
      <c r="AL223" s="159" t="s">
        <v>856</v>
      </c>
      <c r="AP223" s="159" t="s">
        <v>856</v>
      </c>
      <c r="AQ223" s="159" t="s">
        <v>856</v>
      </c>
      <c r="AR223" s="159" t="s">
        <v>885</v>
      </c>
      <c r="AS223" s="159" t="s">
        <v>865</v>
      </c>
      <c r="AT223" s="152" t="str">
        <f t="shared" si="19"/>
        <v>RPNLR-231120</v>
      </c>
      <c r="AU223" s="152" t="str">
        <f t="shared" si="20"/>
        <v>MARIA ROSARIO MONZON QUIJIVIX DE LOPEZ</v>
      </c>
      <c r="AV223" s="159">
        <v>733.32</v>
      </c>
      <c r="AW223" s="159">
        <v>698655</v>
      </c>
      <c r="AX223" s="159">
        <v>35.700000000000003</v>
      </c>
      <c r="AY223" s="159">
        <v>698657</v>
      </c>
      <c r="AZ223" s="152" t="s">
        <v>864</v>
      </c>
      <c r="BA223" s="152" t="str">
        <f t="shared" si="12"/>
        <v>L21-933-SP007</v>
      </c>
      <c r="BB223" s="152">
        <v>0</v>
      </c>
      <c r="BC223" s="157">
        <v>44382</v>
      </c>
      <c r="BD223" s="157">
        <v>44382</v>
      </c>
      <c r="BE223" s="158">
        <v>143276.5</v>
      </c>
      <c r="BF223" s="152" t="s">
        <v>2301</v>
      </c>
      <c r="BG223" s="159" t="s">
        <v>894</v>
      </c>
      <c r="BH223" s="152">
        <v>61.63</v>
      </c>
      <c r="BI223" s="152">
        <v>0</v>
      </c>
      <c r="BJ223" s="152">
        <v>0</v>
      </c>
      <c r="BK223" s="152" t="s">
        <v>132</v>
      </c>
      <c r="BL223" s="152">
        <v>61.63</v>
      </c>
      <c r="BM223" s="152">
        <v>698656</v>
      </c>
      <c r="BN223" s="157" t="s">
        <v>1453</v>
      </c>
    </row>
    <row r="224" spans="1:66">
      <c r="A224" s="152" t="s">
        <v>2302</v>
      </c>
      <c r="B224" s="152" t="s">
        <v>2303</v>
      </c>
      <c r="C224" s="152" t="s">
        <v>2304</v>
      </c>
      <c r="D224" s="152" t="s">
        <v>2305</v>
      </c>
      <c r="E224" s="152" t="s">
        <v>2305</v>
      </c>
      <c r="F224" s="152">
        <v>3713</v>
      </c>
      <c r="G224" s="152">
        <v>213</v>
      </c>
      <c r="H224" s="152" t="s">
        <v>1824</v>
      </c>
      <c r="I224" s="152">
        <v>200706</v>
      </c>
      <c r="J224" s="152">
        <v>112</v>
      </c>
      <c r="K224" s="152">
        <v>87854</v>
      </c>
      <c r="L224" s="159" t="s">
        <v>1590</v>
      </c>
      <c r="M224" s="152" t="s">
        <v>92</v>
      </c>
      <c r="N224" s="152" t="s">
        <v>883</v>
      </c>
      <c r="O224" s="159">
        <v>2367</v>
      </c>
      <c r="P224" s="159" t="s">
        <v>1590</v>
      </c>
      <c r="Q224" s="152" t="s">
        <v>92</v>
      </c>
      <c r="R224" s="152" t="s">
        <v>883</v>
      </c>
      <c r="S224" s="159">
        <v>2367</v>
      </c>
      <c r="T224" s="159" t="s">
        <v>856</v>
      </c>
      <c r="U224" s="159" t="s">
        <v>856</v>
      </c>
      <c r="V224" s="152" t="s">
        <v>857</v>
      </c>
      <c r="W224" s="152" t="s">
        <v>858</v>
      </c>
      <c r="X224" s="152" t="s">
        <v>1083</v>
      </c>
      <c r="Y224" s="152">
        <v>98.29</v>
      </c>
      <c r="Z224" s="152">
        <v>1</v>
      </c>
      <c r="AA224" s="152" t="s">
        <v>92</v>
      </c>
      <c r="AB224" s="152">
        <v>77.7</v>
      </c>
      <c r="AC224" s="152">
        <v>2</v>
      </c>
      <c r="AD224" s="152" t="s">
        <v>861</v>
      </c>
      <c r="AE224" s="152">
        <v>77.7</v>
      </c>
      <c r="AF224" s="152">
        <v>0</v>
      </c>
      <c r="AG224" s="152" t="s">
        <v>861</v>
      </c>
      <c r="AH224" s="152" t="s">
        <v>861</v>
      </c>
      <c r="AI224" s="152" t="s">
        <v>92</v>
      </c>
      <c r="AJ224" s="152" t="s">
        <v>92</v>
      </c>
      <c r="AK224" s="152" t="s">
        <v>912</v>
      </c>
      <c r="AL224" s="159" t="s">
        <v>856</v>
      </c>
      <c r="AP224" s="159" t="s">
        <v>856</v>
      </c>
      <c r="AQ224" s="159" t="s">
        <v>856</v>
      </c>
      <c r="AR224" s="159" t="s">
        <v>873</v>
      </c>
      <c r="AS224" s="159" t="s">
        <v>865</v>
      </c>
      <c r="AT224" s="152" t="str">
        <f t="shared" si="19"/>
        <v>VUNT5-021021</v>
      </c>
      <c r="AU224" s="152" t="str">
        <f t="shared" si="20"/>
        <v>MAGDA CAROLINA TUCH PEREZ</v>
      </c>
      <c r="AV224" s="159">
        <v>1340.49</v>
      </c>
      <c r="AW224" s="159">
        <v>731806</v>
      </c>
      <c r="AX224" s="159">
        <v>35</v>
      </c>
      <c r="AY224" s="159">
        <v>731809</v>
      </c>
      <c r="AZ224" s="152" t="s">
        <v>864</v>
      </c>
      <c r="BA224" s="152" t="str">
        <f t="shared" si="12"/>
        <v>L21-877-SP209</v>
      </c>
      <c r="BB224" s="152">
        <v>24</v>
      </c>
      <c r="BC224" s="157">
        <v>44550</v>
      </c>
      <c r="BD224" s="157">
        <v>44915</v>
      </c>
      <c r="BE224" s="158">
        <v>234276</v>
      </c>
      <c r="BF224" s="152" t="s">
        <v>2306</v>
      </c>
      <c r="BG224" s="159" t="s">
        <v>875</v>
      </c>
      <c r="BH224" s="152">
        <v>77.7</v>
      </c>
      <c r="BI224" s="152">
        <v>0</v>
      </c>
      <c r="BJ224" s="152">
        <v>0</v>
      </c>
      <c r="BK224" s="152" t="s">
        <v>132</v>
      </c>
      <c r="BL224" s="152">
        <v>77.7</v>
      </c>
      <c r="BM224" s="152">
        <v>731808</v>
      </c>
      <c r="BN224" s="157" t="s">
        <v>1453</v>
      </c>
    </row>
    <row r="225" spans="1:66">
      <c r="A225" s="152" t="s">
        <v>2307</v>
      </c>
      <c r="B225" s="152" t="s">
        <v>2308</v>
      </c>
      <c r="C225" s="152" t="s">
        <v>2309</v>
      </c>
      <c r="D225" s="152" t="s">
        <v>2310</v>
      </c>
      <c r="E225" s="152" t="s">
        <v>2310</v>
      </c>
      <c r="F225" s="152">
        <v>1179</v>
      </c>
      <c r="G225" s="152">
        <v>179</v>
      </c>
      <c r="H225" s="152" t="s">
        <v>2311</v>
      </c>
      <c r="I225" s="152">
        <v>201322</v>
      </c>
      <c r="J225" s="152">
        <v>445.65</v>
      </c>
      <c r="K225" s="152">
        <v>88358</v>
      </c>
      <c r="L225" s="159" t="s">
        <v>2312</v>
      </c>
      <c r="M225" s="152" t="s">
        <v>92</v>
      </c>
      <c r="N225" s="152" t="s">
        <v>883</v>
      </c>
      <c r="O225" s="159">
        <v>6436</v>
      </c>
      <c r="P225" s="159" t="s">
        <v>2312</v>
      </c>
      <c r="Q225" s="152" t="s">
        <v>92</v>
      </c>
      <c r="R225" s="152" t="s">
        <v>883</v>
      </c>
      <c r="S225" s="159">
        <v>6436</v>
      </c>
      <c r="T225" s="159" t="s">
        <v>856</v>
      </c>
      <c r="U225" s="159" t="s">
        <v>856</v>
      </c>
      <c r="V225" s="152" t="s">
        <v>2313</v>
      </c>
      <c r="W225" s="152" t="s">
        <v>858</v>
      </c>
      <c r="X225" s="152" t="s">
        <v>1083</v>
      </c>
      <c r="Y225" s="152">
        <v>158.66</v>
      </c>
      <c r="Z225" s="152">
        <v>3</v>
      </c>
      <c r="AA225" s="152" t="s">
        <v>92</v>
      </c>
      <c r="AB225" s="152">
        <v>392.48</v>
      </c>
      <c r="AC225" s="152">
        <v>2</v>
      </c>
      <c r="AD225" s="152" t="s">
        <v>861</v>
      </c>
      <c r="AE225" s="152">
        <v>392.48</v>
      </c>
      <c r="AF225" s="152">
        <v>0</v>
      </c>
      <c r="AG225" s="152">
        <v>249.56</v>
      </c>
      <c r="AH225" s="152">
        <v>20.100000000000001</v>
      </c>
      <c r="AI225" s="152" t="s">
        <v>92</v>
      </c>
      <c r="AJ225" s="152" t="s">
        <v>883</v>
      </c>
      <c r="AK225" s="152" t="s">
        <v>972</v>
      </c>
      <c r="AL225" s="159" t="s">
        <v>856</v>
      </c>
      <c r="AP225" s="159" t="s">
        <v>856</v>
      </c>
      <c r="AQ225" s="159" t="s">
        <v>856</v>
      </c>
      <c r="AR225" s="159" t="s">
        <v>2224</v>
      </c>
      <c r="AS225" s="159">
        <v>20.100000000000001</v>
      </c>
      <c r="AT225" s="152" t="str">
        <f t="shared" si="19"/>
        <v>VUNH2-011221</v>
      </c>
      <c r="AU225" s="152" t="str">
        <f t="shared" si="20"/>
        <v>AMBROCIO HERNANDEZ</v>
      </c>
      <c r="AV225" s="159">
        <v>5256.22</v>
      </c>
      <c r="AW225" s="159">
        <v>785902</v>
      </c>
      <c r="AX225" s="159">
        <v>87.75</v>
      </c>
      <c r="AY225" s="159">
        <v>785905</v>
      </c>
      <c r="AZ225" s="152" t="s">
        <v>864</v>
      </c>
      <c r="BA225" s="152" t="str">
        <f t="shared" si="12"/>
        <v>L22-142-SP005</v>
      </c>
      <c r="BB225" s="152">
        <v>24</v>
      </c>
      <c r="BC225" s="157">
        <v>44614</v>
      </c>
      <c r="BD225" s="157">
        <v>44979</v>
      </c>
      <c r="BE225" s="158">
        <v>1036731</v>
      </c>
      <c r="BF225" s="152" t="s">
        <v>2314</v>
      </c>
      <c r="BG225" s="159" t="s">
        <v>2315</v>
      </c>
      <c r="BH225" s="152">
        <v>392.48</v>
      </c>
      <c r="BI225" s="152">
        <v>0</v>
      </c>
      <c r="BJ225" s="152">
        <v>0</v>
      </c>
      <c r="BK225" s="152" t="s">
        <v>132</v>
      </c>
      <c r="BL225" s="152">
        <v>392.48</v>
      </c>
      <c r="BM225" s="152">
        <v>785904</v>
      </c>
      <c r="BN225" s="157" t="s">
        <v>1453</v>
      </c>
    </row>
    <row r="226" spans="1:66">
      <c r="A226" s="152" t="s">
        <v>2316</v>
      </c>
      <c r="B226" s="152" t="s">
        <v>2317</v>
      </c>
      <c r="C226" s="152" t="s">
        <v>2318</v>
      </c>
      <c r="D226" s="152" t="s">
        <v>2319</v>
      </c>
      <c r="E226" s="152" t="s">
        <v>2319</v>
      </c>
      <c r="F226" s="152">
        <v>313894</v>
      </c>
      <c r="G226" s="152">
        <v>264</v>
      </c>
      <c r="H226" s="152">
        <v>763</v>
      </c>
      <c r="I226" s="152">
        <v>201228</v>
      </c>
      <c r="J226" s="152">
        <v>21</v>
      </c>
      <c r="K226" s="152">
        <v>88285</v>
      </c>
      <c r="L226" s="159" t="s">
        <v>856</v>
      </c>
      <c r="M226" s="152" t="s">
        <v>92</v>
      </c>
      <c r="N226" s="152" t="s">
        <v>92</v>
      </c>
      <c r="O226" s="159" t="s">
        <v>856</v>
      </c>
      <c r="P226" s="159" t="s">
        <v>856</v>
      </c>
      <c r="Q226" s="152" t="s">
        <v>92</v>
      </c>
      <c r="R226" s="152" t="s">
        <v>92</v>
      </c>
      <c r="S226" s="159" t="s">
        <v>856</v>
      </c>
      <c r="T226" s="159" t="s">
        <v>856</v>
      </c>
      <c r="U226" s="159" t="s">
        <v>856</v>
      </c>
      <c r="V226" s="152" t="s">
        <v>2320</v>
      </c>
      <c r="W226" s="152" t="s">
        <v>858</v>
      </c>
      <c r="X226" s="152" t="s">
        <v>1083</v>
      </c>
      <c r="Y226" s="152">
        <v>0</v>
      </c>
      <c r="Z226" s="152">
        <v>1</v>
      </c>
      <c r="AA226" s="152" t="s">
        <v>883</v>
      </c>
      <c r="AB226" s="152">
        <v>25</v>
      </c>
      <c r="AC226" s="152">
        <v>1</v>
      </c>
      <c r="AD226" s="152" t="s">
        <v>861</v>
      </c>
      <c r="AE226" s="152">
        <v>25</v>
      </c>
      <c r="AF226" s="152">
        <v>0</v>
      </c>
      <c r="AG226" s="152" t="s">
        <v>861</v>
      </c>
      <c r="AH226" s="152" t="s">
        <v>861</v>
      </c>
      <c r="AI226" s="152" t="s">
        <v>92</v>
      </c>
      <c r="AJ226" s="152" t="s">
        <v>92</v>
      </c>
      <c r="AK226" s="152" t="s">
        <v>862</v>
      </c>
      <c r="AL226" s="159" t="s">
        <v>856</v>
      </c>
      <c r="AP226" s="159" t="s">
        <v>856</v>
      </c>
      <c r="AQ226" s="159" t="s">
        <v>856</v>
      </c>
      <c r="AR226" s="159" t="s">
        <v>1043</v>
      </c>
      <c r="AS226" s="159" t="s">
        <v>865</v>
      </c>
      <c r="AT226" s="152" t="str">
        <f t="shared" si="19"/>
        <v>RPNO10-331120</v>
      </c>
      <c r="AU226" s="152" t="str">
        <f t="shared" si="20"/>
        <v>JOSE ANGEL OROZCO CHAN</v>
      </c>
      <c r="AV226" s="159">
        <v>252</v>
      </c>
      <c r="AW226" s="159">
        <v>689996</v>
      </c>
      <c r="AX226" s="159">
        <v>19.5</v>
      </c>
      <c r="AY226" s="159">
        <v>689998</v>
      </c>
      <c r="AZ226" s="152" t="s">
        <v>864</v>
      </c>
      <c r="BA226" s="152" t="str">
        <f t="shared" si="12"/>
        <v>L21-949-SP227</v>
      </c>
      <c r="BB226" s="152">
        <v>0</v>
      </c>
      <c r="BC226" s="157">
        <v>44323</v>
      </c>
      <c r="BD226" s="157">
        <v>44323</v>
      </c>
      <c r="BE226" s="158">
        <v>50000</v>
      </c>
      <c r="BF226" s="152" t="s">
        <v>2321</v>
      </c>
      <c r="BG226" s="159" t="s">
        <v>894</v>
      </c>
      <c r="BH226" s="152">
        <v>25</v>
      </c>
      <c r="BI226" s="152">
        <v>0</v>
      </c>
      <c r="BJ226" s="152">
        <v>0</v>
      </c>
      <c r="BK226" s="152" t="s">
        <v>132</v>
      </c>
      <c r="BL226" s="152">
        <v>25</v>
      </c>
      <c r="BM226" s="152">
        <v>689997</v>
      </c>
      <c r="BN226" s="157" t="s">
        <v>1453</v>
      </c>
    </row>
    <row r="227" spans="1:66">
      <c r="A227" s="152" t="s">
        <v>2322</v>
      </c>
      <c r="B227" s="152" t="s">
        <v>2323</v>
      </c>
      <c r="C227" s="152" t="s">
        <v>2324</v>
      </c>
      <c r="D227" s="152" t="s">
        <v>2216</v>
      </c>
      <c r="E227" s="152" t="s">
        <v>2216</v>
      </c>
      <c r="F227" s="152">
        <v>8246</v>
      </c>
      <c r="G227" s="152">
        <v>246</v>
      </c>
      <c r="H227" s="152" t="s">
        <v>2325</v>
      </c>
      <c r="I227" s="152">
        <v>182792</v>
      </c>
      <c r="J227" s="152">
        <v>107.86</v>
      </c>
      <c r="K227" s="152">
        <v>74302</v>
      </c>
      <c r="L227" s="159" t="s">
        <v>856</v>
      </c>
      <c r="M227" s="152" t="s">
        <v>92</v>
      </c>
      <c r="N227" s="152" t="s">
        <v>92</v>
      </c>
      <c r="O227" s="159" t="s">
        <v>856</v>
      </c>
      <c r="P227" s="159" t="s">
        <v>856</v>
      </c>
      <c r="Q227" s="152" t="s">
        <v>92</v>
      </c>
      <c r="R227" s="152" t="s">
        <v>92</v>
      </c>
      <c r="S227" s="159" t="s">
        <v>856</v>
      </c>
      <c r="T227" s="159" t="s">
        <v>856</v>
      </c>
      <c r="U227" s="159" t="s">
        <v>856</v>
      </c>
      <c r="V227" s="152" t="s">
        <v>857</v>
      </c>
      <c r="W227" s="152" t="s">
        <v>858</v>
      </c>
      <c r="X227" s="152" t="s">
        <v>1083</v>
      </c>
      <c r="Y227" s="152">
        <v>0</v>
      </c>
      <c r="Z227" s="152">
        <v>1</v>
      </c>
      <c r="AA227" s="152" t="s">
        <v>92</v>
      </c>
      <c r="AB227" s="152">
        <v>45.08</v>
      </c>
      <c r="AC227" s="152">
        <v>1</v>
      </c>
      <c r="AD227" s="152" t="s">
        <v>861</v>
      </c>
      <c r="AE227" s="152">
        <v>45.08</v>
      </c>
      <c r="AF227" s="152">
        <v>0</v>
      </c>
      <c r="AG227" s="152" t="s">
        <v>861</v>
      </c>
      <c r="AH227" s="152" t="s">
        <v>861</v>
      </c>
      <c r="AI227" s="152" t="s">
        <v>92</v>
      </c>
      <c r="AJ227" s="152" t="s">
        <v>92</v>
      </c>
      <c r="AK227" s="152" t="s">
        <v>1620</v>
      </c>
      <c r="AL227" s="159" t="s">
        <v>856</v>
      </c>
      <c r="AP227" s="159" t="s">
        <v>856</v>
      </c>
      <c r="AQ227" s="159" t="s">
        <v>856</v>
      </c>
      <c r="AR227" s="159" t="s">
        <v>1953</v>
      </c>
      <c r="AS227" s="159" t="s">
        <v>865</v>
      </c>
      <c r="AT227" s="152" t="str">
        <f t="shared" si="19"/>
        <v>VUNDR-011121</v>
      </c>
      <c r="AU227" s="152" t="str">
        <f t="shared" si="20"/>
        <v>MARIA SOTERA LOPEZ TZO DE CHICHE</v>
      </c>
      <c r="AV227" s="159" t="s">
        <v>2080</v>
      </c>
      <c r="AW227" s="159" t="s">
        <v>856</v>
      </c>
      <c r="AX227" s="159" t="s">
        <v>2080</v>
      </c>
      <c r="AY227" s="159" t="s">
        <v>856</v>
      </c>
      <c r="AZ227" s="152" t="s">
        <v>864</v>
      </c>
      <c r="BA227" s="152" t="str">
        <f t="shared" si="12"/>
        <v>L21-871-SP211</v>
      </c>
      <c r="BB227" s="152">
        <v>0</v>
      </c>
      <c r="BC227" s="157">
        <v>44546</v>
      </c>
      <c r="BD227" s="157">
        <v>44546</v>
      </c>
      <c r="BE227" s="158">
        <v>90160</v>
      </c>
      <c r="BF227" s="152" t="s">
        <v>2326</v>
      </c>
      <c r="BG227" s="159" t="s">
        <v>2033</v>
      </c>
      <c r="BH227" s="152">
        <v>45.08</v>
      </c>
      <c r="BI227" s="152">
        <v>0</v>
      </c>
      <c r="BJ227" s="152">
        <v>0</v>
      </c>
      <c r="BK227" s="152" t="s">
        <v>132</v>
      </c>
      <c r="BL227" s="152">
        <v>45</v>
      </c>
      <c r="BM227" s="152">
        <v>731546</v>
      </c>
      <c r="BN227" s="157" t="s">
        <v>1453</v>
      </c>
    </row>
    <row r="228" spans="1:66">
      <c r="A228" s="152" t="s">
        <v>2328</v>
      </c>
      <c r="B228" s="152" t="s">
        <v>2329</v>
      </c>
      <c r="C228" s="152" t="s">
        <v>2330</v>
      </c>
      <c r="D228" s="152" t="s">
        <v>2331</v>
      </c>
      <c r="E228" s="152" t="s">
        <v>2332</v>
      </c>
      <c r="F228" s="152">
        <v>7712</v>
      </c>
      <c r="G228" s="152">
        <v>212</v>
      </c>
      <c r="H228" s="152" t="s">
        <v>2333</v>
      </c>
      <c r="I228" s="152">
        <v>201351</v>
      </c>
      <c r="J228" s="152">
        <v>293.86</v>
      </c>
      <c r="K228" s="152">
        <v>88381</v>
      </c>
      <c r="L228" s="159" t="s">
        <v>856</v>
      </c>
      <c r="M228" s="152" t="s">
        <v>92</v>
      </c>
      <c r="N228" s="152" t="s">
        <v>92</v>
      </c>
      <c r="O228" s="159" t="s">
        <v>856</v>
      </c>
      <c r="P228" s="159" t="s">
        <v>856</v>
      </c>
      <c r="Q228" s="152" t="s">
        <v>92</v>
      </c>
      <c r="R228" s="152" t="s">
        <v>92</v>
      </c>
      <c r="S228" s="159" t="s">
        <v>856</v>
      </c>
      <c r="T228" s="159" t="s">
        <v>856</v>
      </c>
      <c r="U228" s="159" t="s">
        <v>856</v>
      </c>
      <c r="V228" s="152" t="s">
        <v>857</v>
      </c>
      <c r="W228" s="152" t="s">
        <v>858</v>
      </c>
      <c r="X228" s="152" t="s">
        <v>1083</v>
      </c>
      <c r="Y228" s="152">
        <v>51</v>
      </c>
      <c r="Z228" s="152">
        <v>1</v>
      </c>
      <c r="AA228" s="152" t="s">
        <v>92</v>
      </c>
      <c r="AB228" s="152">
        <v>83.53</v>
      </c>
      <c r="AC228" s="152">
        <v>1</v>
      </c>
      <c r="AD228" s="152" t="s">
        <v>861</v>
      </c>
      <c r="AE228" s="152">
        <v>83.53</v>
      </c>
      <c r="AF228" s="152">
        <v>0</v>
      </c>
      <c r="AG228" s="152" t="s">
        <v>861</v>
      </c>
      <c r="AH228" s="152" t="s">
        <v>861</v>
      </c>
      <c r="AI228" s="152" t="s">
        <v>92</v>
      </c>
      <c r="AJ228" s="152" t="s">
        <v>92</v>
      </c>
      <c r="AK228" s="152" t="s">
        <v>862</v>
      </c>
      <c r="AL228" s="159" t="s">
        <v>856</v>
      </c>
      <c r="AP228" s="159" t="s">
        <v>856</v>
      </c>
      <c r="AQ228" s="159" t="s">
        <v>856</v>
      </c>
      <c r="AR228" s="159" t="s">
        <v>885</v>
      </c>
      <c r="AS228" s="159" t="s">
        <v>865</v>
      </c>
      <c r="AT228" s="152" t="str">
        <f t="shared" ref="AT228:AT247" si="21">B228</f>
        <v>RPNB10-140521</v>
      </c>
      <c r="AU228" s="152" t="str">
        <f t="shared" ref="AU228:AU247" si="22">C228</f>
        <v>WALTER ABIGAIL MALDONADO LOPEZ Y CONDUEÑA</v>
      </c>
      <c r="AV228" s="159">
        <v>1017.54</v>
      </c>
      <c r="AW228" s="159">
        <v>700661</v>
      </c>
      <c r="AX228" s="159">
        <v>90</v>
      </c>
      <c r="AY228" s="159">
        <v>700663</v>
      </c>
      <c r="AZ228" s="152" t="s">
        <v>864</v>
      </c>
      <c r="BA228" s="152" t="str">
        <f t="shared" si="12"/>
        <v>L21-504-SP225</v>
      </c>
      <c r="BB228" s="152">
        <v>0</v>
      </c>
      <c r="BC228" s="157">
        <v>44365</v>
      </c>
      <c r="BD228" s="157">
        <v>44365</v>
      </c>
      <c r="BE228" s="158">
        <v>187430</v>
      </c>
      <c r="BF228" s="152" t="s">
        <v>2334</v>
      </c>
      <c r="BG228" s="159" t="s">
        <v>894</v>
      </c>
      <c r="BH228" s="152">
        <v>83.53</v>
      </c>
      <c r="BI228" s="152">
        <v>0</v>
      </c>
      <c r="BJ228" s="152">
        <v>0</v>
      </c>
      <c r="BK228" s="152" t="s">
        <v>132</v>
      </c>
      <c r="BL228" s="152">
        <v>83.53</v>
      </c>
      <c r="BM228" s="152">
        <v>700662</v>
      </c>
      <c r="BN228" s="157" t="s">
        <v>1453</v>
      </c>
    </row>
    <row r="229" spans="1:66">
      <c r="A229" s="152" t="s">
        <v>2335</v>
      </c>
      <c r="B229" s="152" t="s">
        <v>2336</v>
      </c>
      <c r="C229" s="152" t="s">
        <v>2337</v>
      </c>
      <c r="D229" s="152" t="s">
        <v>2338</v>
      </c>
      <c r="E229" s="152" t="s">
        <v>1006</v>
      </c>
      <c r="F229" s="152">
        <v>3143</v>
      </c>
      <c r="G229" s="152">
        <v>143</v>
      </c>
      <c r="H229" s="152" t="s">
        <v>979</v>
      </c>
      <c r="I229" s="152">
        <v>200469</v>
      </c>
      <c r="J229" s="152">
        <v>90</v>
      </c>
      <c r="K229" s="152">
        <v>87670</v>
      </c>
      <c r="L229" s="159" t="s">
        <v>1972</v>
      </c>
      <c r="M229" s="152" t="s">
        <v>92</v>
      </c>
      <c r="N229" s="152" t="s">
        <v>883</v>
      </c>
      <c r="O229" s="159">
        <v>6608</v>
      </c>
      <c r="P229" s="159" t="s">
        <v>1972</v>
      </c>
      <c r="Q229" s="152" t="s">
        <v>92</v>
      </c>
      <c r="R229" s="152" t="s">
        <v>883</v>
      </c>
      <c r="S229" s="159">
        <v>6608</v>
      </c>
      <c r="T229" s="159" t="s">
        <v>856</v>
      </c>
      <c r="U229" s="159" t="s">
        <v>856</v>
      </c>
      <c r="V229" s="152" t="s">
        <v>857</v>
      </c>
      <c r="W229" s="152" t="s">
        <v>858</v>
      </c>
      <c r="X229" s="152" t="s">
        <v>1083</v>
      </c>
      <c r="Y229" s="152">
        <v>15.66</v>
      </c>
      <c r="Z229" s="152">
        <v>1</v>
      </c>
      <c r="AA229" s="152" t="s">
        <v>92</v>
      </c>
      <c r="AB229" s="152">
        <v>67.180000000000007</v>
      </c>
      <c r="AC229" s="152">
        <v>2</v>
      </c>
      <c r="AD229" s="152" t="s">
        <v>861</v>
      </c>
      <c r="AE229" s="152">
        <v>67.180000000000007</v>
      </c>
      <c r="AF229" s="152">
        <v>0</v>
      </c>
      <c r="AG229" s="152" t="s">
        <v>861</v>
      </c>
      <c r="AH229" s="152" t="s">
        <v>861</v>
      </c>
      <c r="AI229" s="152" t="s">
        <v>92</v>
      </c>
      <c r="AJ229" s="152" t="s">
        <v>92</v>
      </c>
      <c r="AK229" s="152" t="s">
        <v>912</v>
      </c>
      <c r="AL229" s="159" t="s">
        <v>856</v>
      </c>
      <c r="AP229" s="159" t="s">
        <v>856</v>
      </c>
      <c r="AQ229" s="159" t="s">
        <v>856</v>
      </c>
      <c r="AR229" s="159" t="s">
        <v>1043</v>
      </c>
      <c r="AS229" s="159" t="s">
        <v>865</v>
      </c>
      <c r="AT229" s="152" t="str">
        <f t="shared" si="21"/>
        <v>VUND5-071221</v>
      </c>
      <c r="AU229" s="152" t="str">
        <f t="shared" si="22"/>
        <v>DALIA LISSETTE LEAL RAMIREZ DE DIAZ</v>
      </c>
      <c r="AV229" s="159">
        <v>972.92</v>
      </c>
      <c r="AW229" s="159">
        <v>785002</v>
      </c>
      <c r="AX229" s="159">
        <v>37.5</v>
      </c>
      <c r="AY229" s="159">
        <v>785005</v>
      </c>
      <c r="AZ229" s="152" t="s">
        <v>864</v>
      </c>
      <c r="BA229" s="152" t="str">
        <f t="shared" si="12"/>
        <v>L22-083-SP008</v>
      </c>
      <c r="BB229" s="152">
        <v>24</v>
      </c>
      <c r="BC229" s="157">
        <v>44601</v>
      </c>
      <c r="BD229" s="157">
        <v>44966</v>
      </c>
      <c r="BE229" s="158">
        <v>176623</v>
      </c>
      <c r="BF229" s="152" t="s">
        <v>2339</v>
      </c>
      <c r="BG229" s="159" t="s">
        <v>875</v>
      </c>
      <c r="BH229" s="152">
        <v>67.180000000000007</v>
      </c>
      <c r="BI229" s="152">
        <v>0</v>
      </c>
      <c r="BJ229" s="152">
        <v>0</v>
      </c>
      <c r="BK229" s="152" t="s">
        <v>132</v>
      </c>
      <c r="BL229" s="152">
        <v>67.180000000000007</v>
      </c>
      <c r="BM229" s="152">
        <v>785004</v>
      </c>
      <c r="BN229" s="157" t="s">
        <v>1453</v>
      </c>
    </row>
    <row r="230" spans="1:66">
      <c r="A230" s="152" t="s">
        <v>2340</v>
      </c>
      <c r="B230" s="152" t="s">
        <v>2341</v>
      </c>
      <c r="C230" s="152" t="s">
        <v>2342</v>
      </c>
      <c r="D230" s="152" t="s">
        <v>2343</v>
      </c>
      <c r="E230" s="152" t="s">
        <v>2344</v>
      </c>
      <c r="F230" s="152">
        <v>290644</v>
      </c>
      <c r="G230" s="152">
        <v>84</v>
      </c>
      <c r="H230" s="152">
        <v>686</v>
      </c>
      <c r="I230" s="152">
        <v>156590</v>
      </c>
      <c r="J230" s="152">
        <v>133.38999999999999</v>
      </c>
      <c r="K230" s="152">
        <v>53566</v>
      </c>
      <c r="L230" s="159" t="s">
        <v>2345</v>
      </c>
      <c r="M230" s="152" t="s">
        <v>92</v>
      </c>
      <c r="N230" s="152" t="s">
        <v>883</v>
      </c>
      <c r="O230" s="159">
        <v>5670</v>
      </c>
      <c r="P230" s="159" t="s">
        <v>2345</v>
      </c>
      <c r="Q230" s="152" t="s">
        <v>92</v>
      </c>
      <c r="R230" s="152" t="s">
        <v>883</v>
      </c>
      <c r="S230" s="159">
        <v>5670</v>
      </c>
      <c r="T230" s="159" t="s">
        <v>1733</v>
      </c>
      <c r="U230" s="159" t="s">
        <v>1734</v>
      </c>
      <c r="V230" s="152" t="s">
        <v>2346</v>
      </c>
      <c r="W230" s="152" t="s">
        <v>858</v>
      </c>
      <c r="X230" s="152" t="s">
        <v>1083</v>
      </c>
      <c r="Y230" s="152">
        <v>97.56</v>
      </c>
      <c r="Z230" s="152">
        <v>2</v>
      </c>
      <c r="AA230" s="152" t="s">
        <v>92</v>
      </c>
      <c r="AB230" s="152">
        <v>106</v>
      </c>
      <c r="AC230" s="152">
        <v>2</v>
      </c>
      <c r="AD230" s="152" t="s">
        <v>861</v>
      </c>
      <c r="AE230" s="152">
        <v>106</v>
      </c>
      <c r="AF230" s="152">
        <v>0</v>
      </c>
      <c r="AG230" s="152" t="s">
        <v>861</v>
      </c>
      <c r="AH230" s="152" t="s">
        <v>861</v>
      </c>
      <c r="AI230" s="152" t="s">
        <v>92</v>
      </c>
      <c r="AJ230" s="152" t="s">
        <v>92</v>
      </c>
      <c r="AK230" s="152" t="s">
        <v>912</v>
      </c>
      <c r="AL230" s="159" t="s">
        <v>856</v>
      </c>
      <c r="AP230" s="159" t="s">
        <v>856</v>
      </c>
      <c r="AQ230" s="159" t="s">
        <v>856</v>
      </c>
      <c r="AR230" s="159" t="s">
        <v>1953</v>
      </c>
      <c r="AS230" s="159" t="s">
        <v>865</v>
      </c>
      <c r="AT230" s="152" t="str">
        <f t="shared" si="21"/>
        <v>RPNV5-461121</v>
      </c>
      <c r="AU230" s="152" t="str">
        <f t="shared" si="22"/>
        <v>OBED ELIUD VALDEZ CHAVEZ</v>
      </c>
      <c r="AV230" s="159">
        <v>1723.38</v>
      </c>
      <c r="AW230" s="159">
        <v>732291</v>
      </c>
      <c r="AX230" s="159" t="s">
        <v>856</v>
      </c>
      <c r="AY230" s="159" t="s">
        <v>856</v>
      </c>
      <c r="AZ230" s="152" t="s">
        <v>864</v>
      </c>
      <c r="BA230" s="152" t="str">
        <f t="shared" si="12"/>
        <v>L21-885-SP198</v>
      </c>
      <c r="BB230" s="152">
        <v>0</v>
      </c>
      <c r="BC230" s="157">
        <v>44543</v>
      </c>
      <c r="BD230" s="157">
        <v>44543</v>
      </c>
      <c r="BE230" s="158">
        <v>305698</v>
      </c>
      <c r="BF230" s="152" t="s">
        <v>2347</v>
      </c>
      <c r="BG230" s="159" t="s">
        <v>894</v>
      </c>
      <c r="BH230" s="152">
        <v>106</v>
      </c>
      <c r="BI230" s="152">
        <v>0</v>
      </c>
      <c r="BJ230" s="152">
        <v>0</v>
      </c>
      <c r="BK230" s="152" t="s">
        <v>132</v>
      </c>
      <c r="BL230" s="152">
        <v>106</v>
      </c>
      <c r="BM230" s="152">
        <v>732292</v>
      </c>
      <c r="BN230" s="157" t="s">
        <v>1453</v>
      </c>
    </row>
    <row r="231" spans="1:66">
      <c r="A231" s="152" t="s">
        <v>2348</v>
      </c>
      <c r="B231" s="152" t="s">
        <v>2349</v>
      </c>
      <c r="C231" s="152" t="s">
        <v>2350</v>
      </c>
      <c r="D231" s="152" t="s">
        <v>2351</v>
      </c>
      <c r="E231" s="152" t="s">
        <v>1006</v>
      </c>
      <c r="F231" s="152">
        <v>3673</v>
      </c>
      <c r="G231" s="152">
        <v>173</v>
      </c>
      <c r="H231" s="152" t="s">
        <v>2352</v>
      </c>
      <c r="I231" s="152">
        <v>179045</v>
      </c>
      <c r="J231" s="152">
        <v>210.48</v>
      </c>
      <c r="K231" s="152">
        <v>51863</v>
      </c>
      <c r="L231" s="159" t="s">
        <v>1972</v>
      </c>
      <c r="M231" s="152" t="s">
        <v>92</v>
      </c>
      <c r="N231" s="152" t="s">
        <v>883</v>
      </c>
      <c r="O231" s="159">
        <v>6608</v>
      </c>
      <c r="P231" s="159" t="s">
        <v>1972</v>
      </c>
      <c r="Q231" s="152" t="s">
        <v>92</v>
      </c>
      <c r="R231" s="152" t="s">
        <v>883</v>
      </c>
      <c r="S231" s="159">
        <v>6608</v>
      </c>
      <c r="T231" s="159" t="s">
        <v>856</v>
      </c>
      <c r="U231" s="159" t="s">
        <v>856</v>
      </c>
      <c r="V231" s="152" t="s">
        <v>857</v>
      </c>
      <c r="W231" s="152" t="s">
        <v>858</v>
      </c>
      <c r="X231" s="152" t="s">
        <v>1083</v>
      </c>
      <c r="Y231" s="152">
        <v>7.77</v>
      </c>
      <c r="Z231" s="152">
        <v>1</v>
      </c>
      <c r="AA231" s="152" t="s">
        <v>92</v>
      </c>
      <c r="AB231" s="152">
        <v>99.6</v>
      </c>
      <c r="AC231" s="152">
        <v>1</v>
      </c>
      <c r="AD231" s="152" t="s">
        <v>861</v>
      </c>
      <c r="AE231" s="152">
        <v>99.6</v>
      </c>
      <c r="AF231" s="152">
        <v>0</v>
      </c>
      <c r="AG231" s="152" t="s">
        <v>861</v>
      </c>
      <c r="AH231" s="152" t="s">
        <v>861</v>
      </c>
      <c r="AI231" s="152" t="s">
        <v>92</v>
      </c>
      <c r="AJ231" s="152" t="s">
        <v>92</v>
      </c>
      <c r="AK231" s="152" t="s">
        <v>912</v>
      </c>
      <c r="AL231" s="159" t="s">
        <v>856</v>
      </c>
      <c r="AP231" s="159" t="s">
        <v>856</v>
      </c>
      <c r="AQ231" s="159" t="s">
        <v>856</v>
      </c>
      <c r="AR231" s="159" t="s">
        <v>992</v>
      </c>
      <c r="AS231" s="159" t="s">
        <v>865</v>
      </c>
      <c r="AT231" s="152" t="str">
        <f t="shared" si="21"/>
        <v>RPNO10-451121</v>
      </c>
      <c r="AU231" s="152" t="str">
        <f t="shared" si="22"/>
        <v>MARIA ADELA OROZCO CITALAN</v>
      </c>
      <c r="AV231" s="159">
        <v>1019.2</v>
      </c>
      <c r="AW231" s="159">
        <v>754622</v>
      </c>
      <c r="AX231" s="159">
        <v>40.700000000000003</v>
      </c>
      <c r="AY231" s="159">
        <v>754625</v>
      </c>
      <c r="AZ231" s="152" t="s">
        <v>864</v>
      </c>
      <c r="BA231" s="152" t="str">
        <f t="shared" si="12"/>
        <v>L22-066-SP217</v>
      </c>
      <c r="BB231" s="152">
        <v>0</v>
      </c>
      <c r="BC231" s="157">
        <v>44581</v>
      </c>
      <c r="BD231" s="157">
        <v>44581</v>
      </c>
      <c r="BE231" s="158">
        <v>201919.5</v>
      </c>
      <c r="BF231" s="152" t="s">
        <v>2353</v>
      </c>
      <c r="BG231" s="159" t="s">
        <v>894</v>
      </c>
      <c r="BH231" s="152">
        <v>99.6</v>
      </c>
      <c r="BI231" s="152">
        <v>0</v>
      </c>
      <c r="BJ231" s="152">
        <v>0</v>
      </c>
      <c r="BK231" s="152" t="s">
        <v>132</v>
      </c>
      <c r="BL231" s="152">
        <v>99.6</v>
      </c>
      <c r="BM231" s="152">
        <v>754624</v>
      </c>
      <c r="BN231" s="157" t="s">
        <v>1453</v>
      </c>
    </row>
    <row r="232" spans="1:66">
      <c r="A232" s="152" t="s">
        <v>2354</v>
      </c>
      <c r="B232" s="152" t="s">
        <v>2355</v>
      </c>
      <c r="C232" s="152" t="s">
        <v>2356</v>
      </c>
      <c r="D232" s="152" t="s">
        <v>2357</v>
      </c>
      <c r="E232" s="152" t="s">
        <v>1876</v>
      </c>
      <c r="F232" s="152">
        <v>3680</v>
      </c>
      <c r="G232" s="152">
        <v>180</v>
      </c>
      <c r="H232" s="152" t="s">
        <v>2352</v>
      </c>
      <c r="I232" s="152">
        <v>201140</v>
      </c>
      <c r="J232" s="152">
        <v>127.81</v>
      </c>
      <c r="K232" s="152">
        <v>88214</v>
      </c>
      <c r="L232" s="159" t="s">
        <v>988</v>
      </c>
      <c r="M232" s="152" t="s">
        <v>92</v>
      </c>
      <c r="N232" s="152" t="s">
        <v>883</v>
      </c>
      <c r="O232" s="159">
        <v>6395</v>
      </c>
      <c r="P232" s="159" t="s">
        <v>856</v>
      </c>
      <c r="Q232" s="152" t="s">
        <v>92</v>
      </c>
      <c r="R232" s="152" t="s">
        <v>92</v>
      </c>
      <c r="S232" s="159" t="s">
        <v>856</v>
      </c>
      <c r="T232" s="159" t="s">
        <v>2358</v>
      </c>
      <c r="U232" s="159" t="s">
        <v>2359</v>
      </c>
      <c r="V232" s="152" t="s">
        <v>857</v>
      </c>
      <c r="W232" s="152" t="s">
        <v>858</v>
      </c>
      <c r="X232" s="152" t="s">
        <v>1083</v>
      </c>
      <c r="Y232" s="152">
        <v>75.56</v>
      </c>
      <c r="Z232" s="152">
        <v>1</v>
      </c>
      <c r="AA232" s="152" t="s">
        <v>92</v>
      </c>
      <c r="AB232" s="152">
        <v>72.59</v>
      </c>
      <c r="AC232" s="152">
        <v>1</v>
      </c>
      <c r="AD232" s="152" t="s">
        <v>861</v>
      </c>
      <c r="AE232" s="152">
        <v>72.59</v>
      </c>
      <c r="AF232" s="152">
        <v>0</v>
      </c>
      <c r="AG232" s="152" t="s">
        <v>861</v>
      </c>
      <c r="AH232" s="152" t="s">
        <v>861</v>
      </c>
      <c r="AI232" s="152" t="s">
        <v>92</v>
      </c>
      <c r="AJ232" s="152" t="s">
        <v>92</v>
      </c>
      <c r="AK232" s="152" t="s">
        <v>862</v>
      </c>
      <c r="AL232" s="159" t="s">
        <v>856</v>
      </c>
      <c r="AP232" s="159" t="s">
        <v>856</v>
      </c>
      <c r="AQ232" s="159" t="s">
        <v>856</v>
      </c>
      <c r="AR232" s="159" t="s">
        <v>2295</v>
      </c>
      <c r="AS232" s="159" t="s">
        <v>865</v>
      </c>
      <c r="AT232" s="152" t="str">
        <f t="shared" si="21"/>
        <v>RPNS6-441121</v>
      </c>
      <c r="AU232" s="152" t="str">
        <f t="shared" si="22"/>
        <v>MELIZA YAMILETT SAENZ QUIÑONEZ</v>
      </c>
      <c r="AV232" s="159">
        <v>954.8</v>
      </c>
      <c r="AW232" s="159">
        <v>775070</v>
      </c>
      <c r="AX232" s="159">
        <v>80.3</v>
      </c>
      <c r="AY232" s="159">
        <v>775072</v>
      </c>
      <c r="AZ232" s="152" t="s">
        <v>864</v>
      </c>
      <c r="BA232" s="152" t="str">
        <f t="shared" si="12"/>
        <v>L22-062-SP212</v>
      </c>
      <c r="BB232" s="152">
        <v>0</v>
      </c>
      <c r="BC232" s="157">
        <v>44581</v>
      </c>
      <c r="BD232" s="157">
        <v>44581</v>
      </c>
      <c r="BE232" s="158">
        <v>174126</v>
      </c>
      <c r="BF232" s="152" t="s">
        <v>2360</v>
      </c>
      <c r="BG232" s="159" t="s">
        <v>894</v>
      </c>
      <c r="BH232" s="152">
        <v>72.59</v>
      </c>
      <c r="BI232" s="152">
        <v>0</v>
      </c>
      <c r="BJ232" s="152">
        <v>0</v>
      </c>
      <c r="BK232" s="152" t="s">
        <v>132</v>
      </c>
      <c r="BL232" s="152">
        <v>72.59</v>
      </c>
      <c r="BM232" s="152">
        <v>775071</v>
      </c>
      <c r="BN232" s="157" t="s">
        <v>1453</v>
      </c>
    </row>
    <row r="233" spans="1:66">
      <c r="A233" s="152" t="s">
        <v>2361</v>
      </c>
      <c r="B233" s="152" t="s">
        <v>2362</v>
      </c>
      <c r="C233" s="152" t="s">
        <v>2363</v>
      </c>
      <c r="D233" s="152" t="s">
        <v>2364</v>
      </c>
      <c r="E233" s="152" t="s">
        <v>2364</v>
      </c>
      <c r="F233" s="152">
        <v>4476</v>
      </c>
      <c r="G233" s="152">
        <v>476</v>
      </c>
      <c r="H233" s="152" t="s">
        <v>2365</v>
      </c>
      <c r="I233" s="152">
        <v>201451</v>
      </c>
      <c r="J233" s="152">
        <v>274.56</v>
      </c>
      <c r="K233" s="152">
        <v>88471</v>
      </c>
      <c r="L233" s="159" t="s">
        <v>856</v>
      </c>
      <c r="M233" s="152" t="s">
        <v>92</v>
      </c>
      <c r="N233" s="152" t="s">
        <v>92</v>
      </c>
      <c r="O233" s="159" t="s">
        <v>856</v>
      </c>
      <c r="P233" s="159" t="s">
        <v>856</v>
      </c>
      <c r="Q233" s="152" t="s">
        <v>92</v>
      </c>
      <c r="R233" s="152" t="s">
        <v>92</v>
      </c>
      <c r="S233" s="159" t="s">
        <v>856</v>
      </c>
      <c r="T233" s="159" t="s">
        <v>856</v>
      </c>
      <c r="U233" s="159" t="s">
        <v>856</v>
      </c>
      <c r="V233" s="152" t="s">
        <v>857</v>
      </c>
      <c r="W233" s="152" t="s">
        <v>858</v>
      </c>
      <c r="X233" s="152" t="s">
        <v>1083</v>
      </c>
      <c r="Y233" s="152">
        <v>0</v>
      </c>
      <c r="Z233" s="152">
        <v>1</v>
      </c>
      <c r="AA233" s="152" t="s">
        <v>92</v>
      </c>
      <c r="AB233" s="152">
        <v>251.38</v>
      </c>
      <c r="AC233" s="152">
        <v>2</v>
      </c>
      <c r="AD233" s="152" t="s">
        <v>861</v>
      </c>
      <c r="AE233" s="152">
        <v>251.38</v>
      </c>
      <c r="AF233" s="152">
        <v>0</v>
      </c>
      <c r="AG233" s="152" t="s">
        <v>861</v>
      </c>
      <c r="AH233" s="152" t="s">
        <v>861</v>
      </c>
      <c r="AI233" s="152" t="s">
        <v>92</v>
      </c>
      <c r="AJ233" s="152" t="s">
        <v>92</v>
      </c>
      <c r="AK233" s="152" t="s">
        <v>862</v>
      </c>
      <c r="AL233" s="159" t="s">
        <v>856</v>
      </c>
      <c r="AP233" s="159" t="s">
        <v>856</v>
      </c>
      <c r="AQ233" s="159" t="s">
        <v>856</v>
      </c>
      <c r="AR233" s="159" t="s">
        <v>873</v>
      </c>
      <c r="AS233" s="159" t="s">
        <v>865</v>
      </c>
      <c r="AT233" s="152" t="str">
        <f t="shared" si="21"/>
        <v>RPNG1-480721</v>
      </c>
      <c r="AU233" s="152" t="str">
        <f t="shared" si="22"/>
        <v>RUBEN ESTEBAN GONZALEZ CHAJ</v>
      </c>
      <c r="AV233" s="159">
        <v>3167.39</v>
      </c>
      <c r="AW233" s="159">
        <v>717905</v>
      </c>
      <c r="AX233" s="159">
        <v>44.25</v>
      </c>
      <c r="AY233" s="159">
        <v>717907</v>
      </c>
      <c r="AZ233" s="152" t="s">
        <v>864</v>
      </c>
      <c r="BA233" s="152" t="str">
        <f t="shared" si="12"/>
        <v>L21-946-SP229</v>
      </c>
      <c r="BB233" s="152">
        <v>0</v>
      </c>
      <c r="BC233" s="157">
        <v>44487</v>
      </c>
      <c r="BD233" s="157">
        <v>44487</v>
      </c>
      <c r="BE233" s="158">
        <v>628450</v>
      </c>
      <c r="BF233" s="152" t="s">
        <v>2366</v>
      </c>
      <c r="BG233" s="159" t="s">
        <v>894</v>
      </c>
      <c r="BH233" s="152">
        <v>251.38</v>
      </c>
      <c r="BI233" s="152">
        <v>0</v>
      </c>
      <c r="BJ233" s="152">
        <v>0</v>
      </c>
      <c r="BK233" s="152" t="s">
        <v>132</v>
      </c>
      <c r="BL233" s="152">
        <v>251.38</v>
      </c>
      <c r="BM233" s="152">
        <v>717906</v>
      </c>
      <c r="BN233" s="157" t="s">
        <v>1453</v>
      </c>
    </row>
    <row r="234" spans="1:66">
      <c r="A234" s="152" t="s">
        <v>2367</v>
      </c>
      <c r="B234" s="152" t="s">
        <v>2368</v>
      </c>
      <c r="C234" s="152" t="s">
        <v>2369</v>
      </c>
      <c r="D234" s="152" t="s">
        <v>2370</v>
      </c>
      <c r="E234" s="152" t="s">
        <v>2370</v>
      </c>
      <c r="F234" s="152">
        <v>258016</v>
      </c>
      <c r="G234" s="152">
        <v>86</v>
      </c>
      <c r="H234" s="152">
        <v>581</v>
      </c>
      <c r="I234" s="152">
        <v>166414</v>
      </c>
      <c r="J234" s="152">
        <v>654.75</v>
      </c>
      <c r="K234" s="152">
        <v>63159</v>
      </c>
      <c r="L234" s="159" t="s">
        <v>2371</v>
      </c>
      <c r="M234" s="152" t="s">
        <v>883</v>
      </c>
      <c r="N234" s="152" t="s">
        <v>92</v>
      </c>
      <c r="O234" s="159">
        <v>17833</v>
      </c>
      <c r="P234" s="159" t="s">
        <v>2371</v>
      </c>
      <c r="Q234" s="152" t="s">
        <v>883</v>
      </c>
      <c r="R234" s="152" t="s">
        <v>92</v>
      </c>
      <c r="S234" s="159">
        <v>17833</v>
      </c>
      <c r="T234" s="159" t="s">
        <v>2372</v>
      </c>
      <c r="U234" s="159" t="s">
        <v>2373</v>
      </c>
      <c r="V234" s="152" t="s">
        <v>1123</v>
      </c>
      <c r="W234" s="152" t="s">
        <v>2374</v>
      </c>
      <c r="Y234" s="152">
        <v>116.62</v>
      </c>
      <c r="Z234" s="152">
        <v>0</v>
      </c>
      <c r="AA234" s="152" t="s">
        <v>92</v>
      </c>
      <c r="AB234" s="152">
        <v>0</v>
      </c>
      <c r="AC234" s="152">
        <v>1</v>
      </c>
      <c r="AD234" s="152" t="s">
        <v>861</v>
      </c>
      <c r="AE234" s="152">
        <v>0</v>
      </c>
      <c r="AF234" s="152">
        <v>0</v>
      </c>
      <c r="AG234" s="152" t="s">
        <v>861</v>
      </c>
      <c r="AH234" s="152" t="s">
        <v>861</v>
      </c>
      <c r="AI234" s="152" t="s">
        <v>92</v>
      </c>
      <c r="AJ234" s="152" t="s">
        <v>92</v>
      </c>
      <c r="AK234" s="152" t="s">
        <v>884</v>
      </c>
      <c r="AL234" s="159" t="s">
        <v>856</v>
      </c>
      <c r="AP234" s="159" t="s">
        <v>856</v>
      </c>
      <c r="AQ234" s="159" t="s">
        <v>856</v>
      </c>
      <c r="AR234" s="159" t="s">
        <v>1953</v>
      </c>
      <c r="AS234" s="159" t="s">
        <v>865</v>
      </c>
      <c r="AT234" s="152" t="str">
        <f t="shared" si="21"/>
        <v>VUNP8-020322</v>
      </c>
      <c r="AU234" s="152" t="str">
        <f t="shared" si="22"/>
        <v>LUIS ARMANDO PASTOR HERNANDEZ</v>
      </c>
      <c r="AV234" s="159">
        <v>228.58</v>
      </c>
      <c r="AW234" s="159">
        <v>794908</v>
      </c>
      <c r="AX234" s="159" t="s">
        <v>856</v>
      </c>
      <c r="AY234" s="159" t="s">
        <v>856</v>
      </c>
      <c r="AZ234" s="152" t="s">
        <v>864</v>
      </c>
      <c r="BA234" s="152" t="str">
        <f t="shared" si="12"/>
        <v>L22-297-SP049</v>
      </c>
      <c r="BB234" s="152">
        <v>12</v>
      </c>
      <c r="BC234" s="157">
        <v>44679</v>
      </c>
      <c r="BD234" s="157">
        <v>45044</v>
      </c>
      <c r="BE234" s="158">
        <v>40817</v>
      </c>
      <c r="BG234" s="159" t="s">
        <v>2033</v>
      </c>
      <c r="BK234" s="152" t="s">
        <v>132</v>
      </c>
      <c r="BN234" s="157" t="s">
        <v>1453</v>
      </c>
    </row>
    <row r="235" spans="1:66">
      <c r="A235" s="152" t="s">
        <v>2375</v>
      </c>
      <c r="B235" s="152" t="s">
        <v>2376</v>
      </c>
      <c r="C235" s="152" t="s">
        <v>2377</v>
      </c>
      <c r="D235" s="152" t="s">
        <v>2378</v>
      </c>
      <c r="E235" s="152" t="s">
        <v>2378</v>
      </c>
      <c r="F235" s="152">
        <v>4753</v>
      </c>
      <c r="G235" s="152">
        <v>253</v>
      </c>
      <c r="H235" s="152" t="s">
        <v>2379</v>
      </c>
      <c r="I235" s="152">
        <v>200121</v>
      </c>
      <c r="J235" s="152">
        <v>153.22</v>
      </c>
      <c r="K235" s="152">
        <v>87382</v>
      </c>
      <c r="L235" s="159" t="s">
        <v>980</v>
      </c>
      <c r="M235" s="152" t="s">
        <v>92</v>
      </c>
      <c r="N235" s="152" t="s">
        <v>883</v>
      </c>
      <c r="O235" s="159">
        <v>6233</v>
      </c>
      <c r="P235" s="159" t="s">
        <v>980</v>
      </c>
      <c r="Q235" s="152" t="s">
        <v>92</v>
      </c>
      <c r="R235" s="152" t="s">
        <v>883</v>
      </c>
      <c r="S235" s="159">
        <v>6233</v>
      </c>
      <c r="T235" s="159" t="s">
        <v>856</v>
      </c>
      <c r="U235" s="159" t="s">
        <v>856</v>
      </c>
      <c r="V235" s="152" t="s">
        <v>2380</v>
      </c>
      <c r="W235" s="152" t="s">
        <v>858</v>
      </c>
      <c r="X235" s="152" t="s">
        <v>1083</v>
      </c>
      <c r="Y235" s="152">
        <v>14.4</v>
      </c>
      <c r="Z235" s="152">
        <v>2</v>
      </c>
      <c r="AA235" s="152" t="s">
        <v>92</v>
      </c>
      <c r="AB235" s="152">
        <v>110</v>
      </c>
      <c r="AC235" s="152">
        <v>1</v>
      </c>
      <c r="AD235" s="152" t="s">
        <v>861</v>
      </c>
      <c r="AE235" s="152">
        <v>0</v>
      </c>
      <c r="AF235" s="152">
        <v>110</v>
      </c>
      <c r="AG235" s="152">
        <v>43.21</v>
      </c>
      <c r="AH235" s="152" t="s">
        <v>861</v>
      </c>
      <c r="AI235" s="152" t="s">
        <v>92</v>
      </c>
      <c r="AJ235" s="152" t="s">
        <v>92</v>
      </c>
      <c r="AK235" s="152" t="s">
        <v>884</v>
      </c>
      <c r="AL235" s="159" t="s">
        <v>856</v>
      </c>
      <c r="AP235" s="159" t="s">
        <v>856</v>
      </c>
      <c r="AQ235" s="159" t="s">
        <v>856</v>
      </c>
      <c r="AR235" s="159" t="s">
        <v>1192</v>
      </c>
      <c r="AS235" s="159" t="s">
        <v>865</v>
      </c>
      <c r="AT235" s="152" t="str">
        <f t="shared" si="21"/>
        <v>VUNS7-010322</v>
      </c>
      <c r="AU235" s="152" t="str">
        <f t="shared" si="22"/>
        <v>CAREN IRENE HERNANDEZ LOPEZ DE SAQUIC</v>
      </c>
      <c r="AV235" s="159">
        <v>2338.2199999999998</v>
      </c>
      <c r="AW235" s="159">
        <v>793638</v>
      </c>
      <c r="AX235" s="159">
        <v>124.4</v>
      </c>
      <c r="AY235" s="159">
        <v>793641</v>
      </c>
      <c r="AZ235" s="152" t="s">
        <v>864</v>
      </c>
      <c r="BA235" s="152" t="str">
        <f t="shared" si="12"/>
        <v>L22-270-SP047</v>
      </c>
      <c r="BB235" s="152">
        <v>24</v>
      </c>
      <c r="BC235" s="157">
        <v>44673</v>
      </c>
      <c r="BD235" s="157">
        <v>45038</v>
      </c>
      <c r="BE235" s="158">
        <v>280040</v>
      </c>
      <c r="BF235" s="152" t="s">
        <v>2381</v>
      </c>
      <c r="BG235" s="159" t="s">
        <v>2382</v>
      </c>
      <c r="BH235" s="152">
        <v>0</v>
      </c>
      <c r="BI235" s="152">
        <v>110</v>
      </c>
      <c r="BJ235" s="152">
        <v>0</v>
      </c>
      <c r="BK235" s="152" t="s">
        <v>1296</v>
      </c>
      <c r="BL235" s="152">
        <v>137.5</v>
      </c>
      <c r="BM235" s="152">
        <v>793640</v>
      </c>
      <c r="BN235" s="157">
        <v>46134</v>
      </c>
    </row>
    <row r="236" spans="1:66">
      <c r="A236" s="152" t="s">
        <v>2383</v>
      </c>
      <c r="B236" s="152" t="s">
        <v>2384</v>
      </c>
      <c r="C236" s="152" t="s">
        <v>2385</v>
      </c>
      <c r="D236" s="152" t="s">
        <v>2386</v>
      </c>
      <c r="E236" s="152" t="s">
        <v>2386</v>
      </c>
      <c r="F236" s="159" t="s">
        <v>856</v>
      </c>
      <c r="G236" s="159" t="s">
        <v>856</v>
      </c>
      <c r="H236" s="159" t="s">
        <v>856</v>
      </c>
      <c r="I236" s="152">
        <v>201751</v>
      </c>
      <c r="J236" s="152">
        <v>110.25</v>
      </c>
      <c r="K236" s="152">
        <v>88696</v>
      </c>
      <c r="L236" s="159" t="s">
        <v>856</v>
      </c>
      <c r="M236" s="152" t="s">
        <v>92</v>
      </c>
      <c r="N236" s="152" t="s">
        <v>92</v>
      </c>
      <c r="O236" s="159" t="s">
        <v>856</v>
      </c>
      <c r="P236" s="159" t="s">
        <v>856</v>
      </c>
      <c r="Q236" s="152" t="s">
        <v>92</v>
      </c>
      <c r="R236" s="152" t="s">
        <v>92</v>
      </c>
      <c r="S236" s="159" t="s">
        <v>856</v>
      </c>
      <c r="T236" s="159" t="s">
        <v>856</v>
      </c>
      <c r="U236" s="159" t="s">
        <v>856</v>
      </c>
      <c r="V236" s="152" t="s">
        <v>857</v>
      </c>
      <c r="W236" s="152" t="s">
        <v>858</v>
      </c>
      <c r="X236" s="152" t="s">
        <v>1083</v>
      </c>
      <c r="Y236" s="152">
        <v>38.159999999999997</v>
      </c>
      <c r="Z236" s="152">
        <v>1</v>
      </c>
      <c r="AA236" s="152" t="s">
        <v>92</v>
      </c>
      <c r="AB236" s="152">
        <v>82.43</v>
      </c>
      <c r="AC236" s="152">
        <v>1</v>
      </c>
      <c r="AD236" s="152" t="s">
        <v>861</v>
      </c>
      <c r="AE236" s="152">
        <v>82.43</v>
      </c>
      <c r="AF236" s="152">
        <v>0</v>
      </c>
      <c r="AG236" s="152" t="s">
        <v>861</v>
      </c>
      <c r="AH236" s="152" t="s">
        <v>861</v>
      </c>
      <c r="AI236" s="152" t="s">
        <v>92</v>
      </c>
      <c r="AJ236" s="152" t="s">
        <v>92</v>
      </c>
      <c r="AK236" s="152" t="s">
        <v>912</v>
      </c>
      <c r="AL236" s="159" t="s">
        <v>856</v>
      </c>
      <c r="AP236" s="159" t="s">
        <v>856</v>
      </c>
      <c r="AQ236" s="159" t="s">
        <v>856</v>
      </c>
      <c r="AR236" s="159" t="s">
        <v>1953</v>
      </c>
      <c r="AS236" s="159" t="s">
        <v>865</v>
      </c>
      <c r="AT236" s="152" t="str">
        <f t="shared" si="21"/>
        <v>RPNH5-561221</v>
      </c>
      <c r="AU236" s="152" t="str">
        <f t="shared" si="22"/>
        <v>YAQUELIN ROCIO HERNANDEZ PEREZ</v>
      </c>
      <c r="AV236" s="159">
        <v>1006.49</v>
      </c>
      <c r="AW236" s="159">
        <v>777118</v>
      </c>
      <c r="AX236" s="159" t="s">
        <v>856</v>
      </c>
      <c r="AY236" s="159" t="s">
        <v>856</v>
      </c>
      <c r="AZ236" s="152" t="s">
        <v>864</v>
      </c>
      <c r="BA236" s="152" t="str">
        <f t="shared" si="12"/>
        <v>L22-307-SP057</v>
      </c>
      <c r="BB236" s="152">
        <v>0</v>
      </c>
      <c r="BC236" s="157">
        <v>44587</v>
      </c>
      <c r="BD236" s="157">
        <v>44587</v>
      </c>
      <c r="BE236" s="158">
        <v>181576</v>
      </c>
      <c r="BF236" s="152" t="s">
        <v>2387</v>
      </c>
      <c r="BG236" s="159" t="s">
        <v>894</v>
      </c>
      <c r="BH236" s="152">
        <v>82.43</v>
      </c>
      <c r="BI236" s="152">
        <v>0</v>
      </c>
      <c r="BJ236" s="152">
        <v>0</v>
      </c>
      <c r="BK236" s="152" t="s">
        <v>132</v>
      </c>
      <c r="BL236" s="152">
        <v>82.43</v>
      </c>
      <c r="BM236" s="152">
        <v>777119</v>
      </c>
      <c r="BN236" s="157" t="s">
        <v>1453</v>
      </c>
    </row>
    <row r="237" spans="1:66">
      <c r="A237" s="152" t="s">
        <v>2388</v>
      </c>
      <c r="B237" s="152" t="s">
        <v>2389</v>
      </c>
      <c r="C237" s="152" t="s">
        <v>2390</v>
      </c>
      <c r="D237" s="152" t="s">
        <v>2391</v>
      </c>
      <c r="E237" s="152" t="s">
        <v>2391</v>
      </c>
      <c r="F237" s="152">
        <v>92828</v>
      </c>
      <c r="G237" s="152">
        <v>197</v>
      </c>
      <c r="H237" s="152">
        <v>374</v>
      </c>
      <c r="I237" s="152">
        <v>13229</v>
      </c>
      <c r="J237" s="152">
        <v>257.95</v>
      </c>
      <c r="K237" s="152">
        <v>51331</v>
      </c>
      <c r="L237" s="159" t="s">
        <v>1175</v>
      </c>
      <c r="M237" s="152" t="s">
        <v>883</v>
      </c>
      <c r="N237" s="152" t="s">
        <v>92</v>
      </c>
      <c r="O237" s="159">
        <v>9716</v>
      </c>
      <c r="P237" s="159" t="s">
        <v>1175</v>
      </c>
      <c r="Q237" s="152" t="s">
        <v>883</v>
      </c>
      <c r="R237" s="152" t="s">
        <v>92</v>
      </c>
      <c r="S237" s="159">
        <v>9716</v>
      </c>
      <c r="T237" s="159" t="s">
        <v>856</v>
      </c>
      <c r="U237" s="159" t="s">
        <v>856</v>
      </c>
      <c r="V237" s="152" t="s">
        <v>911</v>
      </c>
      <c r="W237" s="152" t="s">
        <v>858</v>
      </c>
      <c r="X237" s="152" t="s">
        <v>1083</v>
      </c>
      <c r="Y237" s="152">
        <v>0</v>
      </c>
      <c r="Z237" s="152">
        <v>1</v>
      </c>
      <c r="AA237" s="152" t="s">
        <v>92</v>
      </c>
      <c r="AB237" s="152">
        <v>57.6</v>
      </c>
      <c r="AC237" s="152">
        <v>1</v>
      </c>
      <c r="AD237" s="152" t="s">
        <v>861</v>
      </c>
      <c r="AE237" s="152">
        <v>57.6</v>
      </c>
      <c r="AF237" s="152">
        <v>0</v>
      </c>
      <c r="AG237" s="152" t="s">
        <v>861</v>
      </c>
      <c r="AH237" s="152" t="s">
        <v>861</v>
      </c>
      <c r="AI237" s="152" t="s">
        <v>92</v>
      </c>
      <c r="AJ237" s="152" t="s">
        <v>92</v>
      </c>
      <c r="AK237" s="152" t="s">
        <v>862</v>
      </c>
      <c r="AL237" s="159" t="s">
        <v>856</v>
      </c>
      <c r="AP237" s="159" t="s">
        <v>856</v>
      </c>
      <c r="AQ237" s="159" t="s">
        <v>856</v>
      </c>
      <c r="AR237" s="159" t="s">
        <v>1034</v>
      </c>
      <c r="AS237" s="159" t="s">
        <v>865</v>
      </c>
      <c r="AT237" s="152" t="str">
        <f t="shared" si="21"/>
        <v>VUNR1-041221</v>
      </c>
      <c r="AU237" s="152" t="str">
        <f t="shared" si="22"/>
        <v>MARTHA ELIZABETH ALVARADO XICARA DE RACANCOJ</v>
      </c>
      <c r="AV237" s="159">
        <v>580.61</v>
      </c>
      <c r="AW237" s="159">
        <v>794838</v>
      </c>
      <c r="AX237" s="159" t="s">
        <v>856</v>
      </c>
      <c r="AY237" s="159" t="s">
        <v>856</v>
      </c>
      <c r="AZ237" s="152" t="s">
        <v>864</v>
      </c>
      <c r="BA237" s="152" t="str">
        <f t="shared" si="12"/>
        <v>L22-322-SP027</v>
      </c>
      <c r="BB237" s="152">
        <v>15</v>
      </c>
      <c r="BC237" s="157">
        <v>44678</v>
      </c>
      <c r="BD237" s="157">
        <v>45043</v>
      </c>
      <c r="BE237" s="158">
        <v>115200</v>
      </c>
      <c r="BF237" s="152" t="s">
        <v>2392</v>
      </c>
      <c r="BG237" s="159" t="s">
        <v>2393</v>
      </c>
      <c r="BH237" s="152">
        <v>57.6</v>
      </c>
      <c r="BI237" s="152">
        <v>0</v>
      </c>
      <c r="BJ237" s="152">
        <v>0</v>
      </c>
      <c r="BK237" s="152" t="s">
        <v>132</v>
      </c>
      <c r="BL237" s="152">
        <v>57.6</v>
      </c>
      <c r="BM237" s="152">
        <v>794839</v>
      </c>
      <c r="BN237" s="157" t="s">
        <v>1453</v>
      </c>
    </row>
    <row r="238" spans="1:66">
      <c r="A238" s="159" t="s">
        <v>2394</v>
      </c>
      <c r="B238" s="152" t="s">
        <v>2395</v>
      </c>
      <c r="C238" s="152" t="s">
        <v>2396</v>
      </c>
      <c r="D238" s="152" t="s">
        <v>2397</v>
      </c>
      <c r="E238" s="152" t="s">
        <v>2397</v>
      </c>
      <c r="F238" s="152">
        <v>4222</v>
      </c>
      <c r="G238" s="152">
        <v>222</v>
      </c>
      <c r="H238" s="152" t="s">
        <v>2398</v>
      </c>
      <c r="I238" s="152">
        <v>10480</v>
      </c>
      <c r="J238" s="152">
        <v>194.41</v>
      </c>
      <c r="K238" s="152">
        <v>20463</v>
      </c>
      <c r="L238" s="159" t="s">
        <v>1205</v>
      </c>
      <c r="M238" s="152" t="s">
        <v>92</v>
      </c>
      <c r="N238" s="152" t="s">
        <v>883</v>
      </c>
      <c r="O238" s="159">
        <v>4167</v>
      </c>
      <c r="P238" s="159" t="s">
        <v>1205</v>
      </c>
      <c r="Q238" s="152" t="s">
        <v>92</v>
      </c>
      <c r="R238" s="152" t="s">
        <v>883</v>
      </c>
      <c r="S238" s="159">
        <v>4167</v>
      </c>
      <c r="T238" s="159" t="s">
        <v>856</v>
      </c>
      <c r="U238" s="159" t="s">
        <v>856</v>
      </c>
      <c r="V238" s="152" t="s">
        <v>1140</v>
      </c>
      <c r="W238" s="152" t="s">
        <v>858</v>
      </c>
      <c r="X238" s="152" t="s">
        <v>1083</v>
      </c>
      <c r="Y238" s="152">
        <v>0</v>
      </c>
      <c r="Z238" s="152">
        <v>1</v>
      </c>
      <c r="AA238" s="152" t="s">
        <v>92</v>
      </c>
      <c r="AB238" s="152">
        <v>50.82</v>
      </c>
      <c r="AC238" s="152">
        <v>2</v>
      </c>
      <c r="AD238" s="152" t="s">
        <v>861</v>
      </c>
      <c r="AE238" s="152">
        <v>50.82</v>
      </c>
      <c r="AF238" s="152">
        <v>0</v>
      </c>
      <c r="AG238" s="152" t="s">
        <v>861</v>
      </c>
      <c r="AH238" s="152" t="s">
        <v>861</v>
      </c>
      <c r="AI238" s="152" t="s">
        <v>92</v>
      </c>
      <c r="AJ238" s="152" t="s">
        <v>92</v>
      </c>
      <c r="AK238" s="152" t="s">
        <v>862</v>
      </c>
      <c r="AL238" s="159" t="s">
        <v>856</v>
      </c>
      <c r="AP238" s="159" t="s">
        <v>856</v>
      </c>
      <c r="AQ238" s="159" t="s">
        <v>856</v>
      </c>
      <c r="AR238" s="159" t="s">
        <v>885</v>
      </c>
      <c r="AS238" s="159" t="s">
        <v>865</v>
      </c>
      <c r="AT238" s="152" t="str">
        <f t="shared" si="21"/>
        <v>VUNA5-010322</v>
      </c>
      <c r="AU238" s="152" t="str">
        <f t="shared" si="22"/>
        <v>OLGA YOLANDA AJANEL LOPEZ</v>
      </c>
      <c r="AV238" s="159">
        <v>640.33000000000004</v>
      </c>
      <c r="AW238" s="159">
        <v>794799</v>
      </c>
      <c r="AX238" s="159" t="s">
        <v>856</v>
      </c>
      <c r="AY238" s="159" t="s">
        <v>856</v>
      </c>
      <c r="AZ238" s="152" t="s">
        <v>864</v>
      </c>
      <c r="BA238" s="152" t="str">
        <f t="shared" si="12"/>
        <v>L22-283-SP046</v>
      </c>
      <c r="BB238" s="152">
        <v>24</v>
      </c>
      <c r="BC238" s="157">
        <v>44677</v>
      </c>
      <c r="BD238" s="157">
        <v>45042</v>
      </c>
      <c r="BE238" s="158">
        <v>127050</v>
      </c>
      <c r="BF238" s="152" t="s">
        <v>2399</v>
      </c>
      <c r="BG238" s="159" t="s">
        <v>2400</v>
      </c>
      <c r="BH238" s="152">
        <v>50.82</v>
      </c>
      <c r="BI238" s="152">
        <v>0</v>
      </c>
      <c r="BJ238" s="152">
        <v>0</v>
      </c>
      <c r="BK238" s="152" t="s">
        <v>132</v>
      </c>
      <c r="BL238" s="152">
        <v>50.82</v>
      </c>
      <c r="BM238" s="152">
        <v>794800</v>
      </c>
      <c r="BN238" s="157" t="s">
        <v>1453</v>
      </c>
    </row>
    <row r="239" spans="1:66">
      <c r="A239" s="152" t="s">
        <v>2401</v>
      </c>
      <c r="B239" s="152" t="s">
        <v>2402</v>
      </c>
      <c r="C239" s="152" t="s">
        <v>1262</v>
      </c>
      <c r="D239" s="152" t="s">
        <v>2403</v>
      </c>
      <c r="E239" s="152" t="s">
        <v>1264</v>
      </c>
      <c r="F239" s="152">
        <v>3089</v>
      </c>
      <c r="G239" s="152">
        <v>89</v>
      </c>
      <c r="H239" s="152" t="s">
        <v>2404</v>
      </c>
      <c r="I239" s="152">
        <v>201502</v>
      </c>
      <c r="J239" s="152">
        <v>109.81</v>
      </c>
      <c r="K239" s="152">
        <v>88507</v>
      </c>
      <c r="L239" s="159" t="s">
        <v>1266</v>
      </c>
      <c r="M239" s="152" t="s">
        <v>92</v>
      </c>
      <c r="N239" s="152" t="s">
        <v>883</v>
      </c>
      <c r="O239" s="159">
        <v>3989</v>
      </c>
      <c r="P239" s="159" t="s">
        <v>1267</v>
      </c>
      <c r="Q239" s="152" t="s">
        <v>883</v>
      </c>
      <c r="R239" s="152" t="s">
        <v>92</v>
      </c>
      <c r="S239" s="159">
        <v>13080</v>
      </c>
      <c r="T239" s="159" t="s">
        <v>1603</v>
      </c>
      <c r="U239" s="159" t="s">
        <v>1604</v>
      </c>
      <c r="V239" s="152" t="s">
        <v>857</v>
      </c>
      <c r="W239" s="152" t="s">
        <v>858</v>
      </c>
      <c r="X239" s="152" t="s">
        <v>1083</v>
      </c>
      <c r="Y239" s="152">
        <v>62.93</v>
      </c>
      <c r="Z239" s="152">
        <v>1</v>
      </c>
      <c r="AA239" s="152" t="s">
        <v>92</v>
      </c>
      <c r="AB239" s="152">
        <v>128</v>
      </c>
      <c r="AC239" s="152">
        <v>2</v>
      </c>
      <c r="AD239" s="152" t="s">
        <v>861</v>
      </c>
      <c r="AE239" s="152">
        <v>128</v>
      </c>
      <c r="AF239" s="152">
        <v>0</v>
      </c>
      <c r="AG239" s="152" t="s">
        <v>861</v>
      </c>
      <c r="AH239" s="152" t="s">
        <v>861</v>
      </c>
      <c r="AI239" s="152" t="s">
        <v>92</v>
      </c>
      <c r="AJ239" s="152" t="s">
        <v>92</v>
      </c>
      <c r="AK239" s="152" t="s">
        <v>862</v>
      </c>
      <c r="AL239" s="159" t="s">
        <v>856</v>
      </c>
      <c r="AP239" s="159" t="s">
        <v>856</v>
      </c>
      <c r="AQ239" s="159" t="s">
        <v>856</v>
      </c>
      <c r="AR239" s="159" t="s">
        <v>1043</v>
      </c>
      <c r="AS239" s="159" t="s">
        <v>865</v>
      </c>
      <c r="AT239" s="152" t="str">
        <f t="shared" si="21"/>
        <v>VUNCR-180222</v>
      </c>
      <c r="AU239" s="152" t="str">
        <f t="shared" si="22"/>
        <v>COMPLEJOS COLONIALES, S.A.</v>
      </c>
      <c r="AV239" s="159">
        <v>1736.14</v>
      </c>
      <c r="AW239" s="159">
        <v>793454</v>
      </c>
      <c r="AX239" s="159">
        <v>30</v>
      </c>
      <c r="AY239" s="159">
        <v>793456</v>
      </c>
      <c r="AZ239" s="152" t="s">
        <v>864</v>
      </c>
      <c r="BA239" s="152" t="str">
        <f t="shared" si="12"/>
        <v>L22-389-SP017</v>
      </c>
      <c r="BB239" s="152">
        <v>24</v>
      </c>
      <c r="BC239" s="157">
        <v>44691</v>
      </c>
      <c r="BD239" s="157">
        <v>45056</v>
      </c>
      <c r="BE239" s="158">
        <v>342025.5</v>
      </c>
      <c r="BF239" s="152" t="s">
        <v>2405</v>
      </c>
      <c r="BG239" s="159" t="s">
        <v>875</v>
      </c>
      <c r="BH239" s="152">
        <v>128</v>
      </c>
      <c r="BI239" s="152">
        <v>0</v>
      </c>
      <c r="BJ239" s="152">
        <v>0</v>
      </c>
      <c r="BK239" s="152" t="s">
        <v>132</v>
      </c>
      <c r="BL239" s="152">
        <v>128</v>
      </c>
      <c r="BM239" s="152">
        <v>793455</v>
      </c>
      <c r="BN239" s="157" t="s">
        <v>1453</v>
      </c>
    </row>
    <row r="240" spans="1:66">
      <c r="A240" s="152" t="s">
        <v>2406</v>
      </c>
      <c r="B240" s="152" t="s">
        <v>2407</v>
      </c>
      <c r="C240" s="152" t="s">
        <v>2408</v>
      </c>
      <c r="D240" s="152" t="s">
        <v>2409</v>
      </c>
      <c r="E240" s="152" t="s">
        <v>2409</v>
      </c>
      <c r="F240" s="159" t="s">
        <v>856</v>
      </c>
      <c r="G240" s="159" t="s">
        <v>856</v>
      </c>
      <c r="H240" s="159" t="s">
        <v>856</v>
      </c>
      <c r="I240" s="152">
        <v>198813</v>
      </c>
      <c r="J240" s="152">
        <v>31.44</v>
      </c>
      <c r="K240" s="152">
        <v>86356</v>
      </c>
      <c r="L240" s="159" t="s">
        <v>1355</v>
      </c>
      <c r="M240" s="152" t="s">
        <v>92</v>
      </c>
      <c r="N240" s="152" t="s">
        <v>883</v>
      </c>
      <c r="O240" s="159">
        <v>6542</v>
      </c>
      <c r="P240" s="159" t="s">
        <v>856</v>
      </c>
      <c r="Q240" s="152" t="s">
        <v>92</v>
      </c>
      <c r="R240" s="152" t="s">
        <v>92</v>
      </c>
      <c r="S240" s="159" t="s">
        <v>856</v>
      </c>
      <c r="T240" s="159" t="s">
        <v>856</v>
      </c>
      <c r="U240" s="159" t="s">
        <v>856</v>
      </c>
      <c r="V240" s="152" t="s">
        <v>857</v>
      </c>
      <c r="W240" s="152" t="s">
        <v>858</v>
      </c>
      <c r="X240" s="152" t="s">
        <v>1083</v>
      </c>
      <c r="Y240" s="152">
        <v>0</v>
      </c>
      <c r="Z240" s="152">
        <v>1</v>
      </c>
      <c r="AA240" s="152" t="s">
        <v>92</v>
      </c>
      <c r="AB240" s="152">
        <v>62.88</v>
      </c>
      <c r="AC240" s="152">
        <v>2</v>
      </c>
      <c r="AD240" s="152" t="s">
        <v>861</v>
      </c>
      <c r="AE240" s="152">
        <v>62.88</v>
      </c>
      <c r="AF240" s="152">
        <v>0</v>
      </c>
      <c r="AG240" s="152" t="s">
        <v>861</v>
      </c>
      <c r="AH240" s="152" t="s">
        <v>861</v>
      </c>
      <c r="AI240" s="152" t="s">
        <v>92</v>
      </c>
      <c r="AJ240" s="152" t="s">
        <v>92</v>
      </c>
      <c r="AK240" s="152" t="s">
        <v>884</v>
      </c>
      <c r="AL240" s="159" t="s">
        <v>856</v>
      </c>
      <c r="AP240" s="159" t="s">
        <v>856</v>
      </c>
      <c r="AQ240" s="159" t="s">
        <v>856</v>
      </c>
      <c r="AR240" s="159" t="s">
        <v>992</v>
      </c>
      <c r="AS240" s="159" t="s">
        <v>865</v>
      </c>
      <c r="AT240" s="152" t="str">
        <f t="shared" si="21"/>
        <v>RPNC3-210921</v>
      </c>
      <c r="AU240" s="152" t="str">
        <f t="shared" si="22"/>
        <v>ENRIQUE COTI BARRENO Y CDÑA</v>
      </c>
      <c r="AV240" s="159">
        <v>792.29</v>
      </c>
      <c r="AW240" s="159">
        <v>730822</v>
      </c>
      <c r="AX240" s="159">
        <v>22</v>
      </c>
      <c r="AY240" s="159">
        <v>730823</v>
      </c>
      <c r="AZ240" s="152" t="s">
        <v>864</v>
      </c>
      <c r="BA240" s="152" t="str">
        <f t="shared" si="12"/>
        <v>L21-913-SP167</v>
      </c>
      <c r="BB240" s="152">
        <v>0</v>
      </c>
      <c r="BC240" s="157">
        <v>44550</v>
      </c>
      <c r="BD240" s="157">
        <v>44550</v>
      </c>
      <c r="BE240" s="158">
        <v>157200</v>
      </c>
      <c r="BG240" s="159" t="s">
        <v>2033</v>
      </c>
      <c r="BK240" s="152" t="s">
        <v>132</v>
      </c>
      <c r="BN240" s="157" t="s">
        <v>1453</v>
      </c>
    </row>
    <row r="241" spans="1:66">
      <c r="A241" s="152" t="s">
        <v>2410</v>
      </c>
      <c r="B241" s="152" t="s">
        <v>2411</v>
      </c>
      <c r="C241" s="152" t="s">
        <v>2412</v>
      </c>
      <c r="D241" s="152" t="s">
        <v>2413</v>
      </c>
      <c r="E241" s="152" t="s">
        <v>2414</v>
      </c>
      <c r="F241" s="152">
        <v>6898</v>
      </c>
      <c r="G241" s="152">
        <v>398</v>
      </c>
      <c r="H241" s="152" t="s">
        <v>2415</v>
      </c>
      <c r="I241" s="152">
        <v>186806</v>
      </c>
      <c r="J241" s="152">
        <v>106.59</v>
      </c>
      <c r="K241" s="152">
        <v>77120</v>
      </c>
      <c r="L241" s="159" t="s">
        <v>2416</v>
      </c>
      <c r="M241" s="152" t="s">
        <v>92</v>
      </c>
      <c r="N241" s="152" t="s">
        <v>883</v>
      </c>
      <c r="O241" s="159">
        <v>5906</v>
      </c>
      <c r="P241" s="159" t="s">
        <v>2416</v>
      </c>
      <c r="Q241" s="152" t="s">
        <v>92</v>
      </c>
      <c r="R241" s="152" t="s">
        <v>883</v>
      </c>
      <c r="S241" s="159">
        <v>5906</v>
      </c>
      <c r="T241" s="159" t="s">
        <v>856</v>
      </c>
      <c r="U241" s="159" t="s">
        <v>856</v>
      </c>
      <c r="V241" s="152" t="s">
        <v>1751</v>
      </c>
      <c r="W241" s="152" t="s">
        <v>858</v>
      </c>
      <c r="X241" s="152" t="s">
        <v>1083</v>
      </c>
      <c r="Y241" s="152">
        <v>32.979999999999997</v>
      </c>
      <c r="Z241" s="152">
        <v>3</v>
      </c>
      <c r="AA241" s="152" t="s">
        <v>92</v>
      </c>
      <c r="AB241" s="152">
        <v>157.19999999999999</v>
      </c>
      <c r="AC241" s="152">
        <v>2</v>
      </c>
      <c r="AD241" s="152" t="s">
        <v>861</v>
      </c>
      <c r="AE241" s="152">
        <v>128.08000000000001</v>
      </c>
      <c r="AF241" s="152">
        <v>29.12</v>
      </c>
      <c r="AG241" s="152" t="s">
        <v>861</v>
      </c>
      <c r="AH241" s="152" t="s">
        <v>861</v>
      </c>
      <c r="AI241" s="152" t="s">
        <v>92</v>
      </c>
      <c r="AJ241" s="152" t="s">
        <v>92</v>
      </c>
      <c r="AK241" s="152" t="s">
        <v>972</v>
      </c>
      <c r="AL241" s="159" t="s">
        <v>856</v>
      </c>
      <c r="AP241" s="159" t="s">
        <v>856</v>
      </c>
      <c r="AQ241" s="159" t="s">
        <v>856</v>
      </c>
      <c r="AR241" s="159" t="s">
        <v>2417</v>
      </c>
      <c r="AS241" s="159" t="s">
        <v>865</v>
      </c>
      <c r="AT241" s="152" t="str">
        <f t="shared" si="21"/>
        <v>RPND2-071121</v>
      </c>
      <c r="AU241" s="152" t="str">
        <f t="shared" si="22"/>
        <v>JORGE LUIS DURINI SUM</v>
      </c>
      <c r="AV241" s="159">
        <v>2289.9699999999998</v>
      </c>
      <c r="AW241" s="159">
        <v>730893</v>
      </c>
      <c r="AX241" s="159">
        <v>51</v>
      </c>
      <c r="AY241" s="159">
        <v>730895</v>
      </c>
      <c r="AZ241" s="152" t="s">
        <v>864</v>
      </c>
      <c r="BA241" s="152" t="str">
        <f t="shared" si="12"/>
        <v>L21-896-SP205</v>
      </c>
      <c r="BB241" s="152">
        <v>0</v>
      </c>
      <c r="BC241" s="157">
        <v>44550</v>
      </c>
      <c r="BD241" s="157">
        <v>44550</v>
      </c>
      <c r="BE241" s="158">
        <v>404543</v>
      </c>
      <c r="BF241" s="152" t="s">
        <v>2418</v>
      </c>
      <c r="BG241" s="159" t="s">
        <v>2419</v>
      </c>
      <c r="BH241" s="152">
        <v>128.08000000000001</v>
      </c>
      <c r="BI241" s="152">
        <v>29.12</v>
      </c>
      <c r="BJ241" s="152">
        <v>0</v>
      </c>
      <c r="BK241" s="152" t="s">
        <v>995</v>
      </c>
      <c r="BL241" s="152">
        <v>164.48</v>
      </c>
      <c r="BM241" s="152">
        <v>730894</v>
      </c>
      <c r="BN241" s="157" t="s">
        <v>2420</v>
      </c>
    </row>
    <row r="242" spans="1:66">
      <c r="A242" s="152" t="s">
        <v>2421</v>
      </c>
      <c r="B242" s="152" t="s">
        <v>2422</v>
      </c>
      <c r="C242" s="152" t="s">
        <v>2423</v>
      </c>
      <c r="D242" s="152" t="s">
        <v>2424</v>
      </c>
      <c r="E242" s="152" t="s">
        <v>2425</v>
      </c>
      <c r="F242" s="152">
        <v>221337</v>
      </c>
      <c r="G242" s="152">
        <v>66</v>
      </c>
      <c r="H242" s="152">
        <v>456</v>
      </c>
      <c r="I242" s="152">
        <v>121899</v>
      </c>
      <c r="J242" s="152">
        <v>582.33000000000004</v>
      </c>
      <c r="K242" s="152">
        <v>18997</v>
      </c>
      <c r="L242" s="159" t="s">
        <v>2426</v>
      </c>
      <c r="M242" s="152" t="s">
        <v>92</v>
      </c>
      <c r="N242" s="152" t="s">
        <v>883</v>
      </c>
      <c r="O242" s="159">
        <v>6346</v>
      </c>
      <c r="P242" s="159" t="s">
        <v>2426</v>
      </c>
      <c r="Q242" s="152" t="s">
        <v>92</v>
      </c>
      <c r="R242" s="152" t="s">
        <v>883</v>
      </c>
      <c r="S242" s="159">
        <v>6346</v>
      </c>
      <c r="T242" s="159" t="s">
        <v>856</v>
      </c>
      <c r="U242" s="159" t="s">
        <v>856</v>
      </c>
      <c r="V242" s="152" t="s">
        <v>1751</v>
      </c>
      <c r="W242" s="152" t="s">
        <v>858</v>
      </c>
      <c r="X242" s="152" t="s">
        <v>1083</v>
      </c>
      <c r="Y242" s="152">
        <v>27</v>
      </c>
      <c r="Z242" s="152">
        <v>3</v>
      </c>
      <c r="AA242" s="152" t="s">
        <v>92</v>
      </c>
      <c r="AB242" s="152">
        <v>318.7</v>
      </c>
      <c r="AC242" s="152">
        <v>2</v>
      </c>
      <c r="AD242" s="152" t="s">
        <v>861</v>
      </c>
      <c r="AE242" s="152">
        <v>234.5</v>
      </c>
      <c r="AF242" s="152">
        <v>84.2</v>
      </c>
      <c r="AG242" s="152">
        <v>200</v>
      </c>
      <c r="AH242" s="152">
        <v>11.62</v>
      </c>
      <c r="AI242" s="152" t="s">
        <v>883</v>
      </c>
      <c r="AJ242" s="152" t="s">
        <v>92</v>
      </c>
      <c r="AK242" s="152" t="s">
        <v>862</v>
      </c>
      <c r="AL242" s="159" t="s">
        <v>856</v>
      </c>
      <c r="AP242" s="159" t="s">
        <v>856</v>
      </c>
      <c r="AQ242" s="159" t="s">
        <v>856</v>
      </c>
      <c r="AR242" s="159" t="s">
        <v>873</v>
      </c>
      <c r="AS242" s="159" t="s">
        <v>865</v>
      </c>
      <c r="AT242" s="152" t="str">
        <f t="shared" si="21"/>
        <v>VUNQ10-010921</v>
      </c>
      <c r="AU242" s="152" t="str">
        <f t="shared" si="22"/>
        <v>HEIDY JAKELYN QUIJIVIX MALDONADO</v>
      </c>
      <c r="AV242" s="159">
        <v>4775.82</v>
      </c>
      <c r="AW242" s="159">
        <v>777678</v>
      </c>
      <c r="AX242" s="159">
        <v>40</v>
      </c>
      <c r="AY242" s="159">
        <v>777681</v>
      </c>
      <c r="AZ242" s="152" t="s">
        <v>864</v>
      </c>
      <c r="BA242" s="152" t="str">
        <f t="shared" si="12"/>
        <v>L22-074-SP222</v>
      </c>
      <c r="BB242" s="152">
        <v>24</v>
      </c>
      <c r="BC242" s="157">
        <v>44593</v>
      </c>
      <c r="BD242" s="157">
        <v>44958</v>
      </c>
      <c r="BE242" s="158">
        <v>806200</v>
      </c>
      <c r="BF242" s="152" t="s">
        <v>2427</v>
      </c>
      <c r="BG242" s="159" t="s">
        <v>2428</v>
      </c>
      <c r="BH242" s="152">
        <v>234.5</v>
      </c>
      <c r="BI242" s="152">
        <v>84.2</v>
      </c>
      <c r="BJ242" s="152">
        <v>0</v>
      </c>
      <c r="BK242" s="152" t="s">
        <v>995</v>
      </c>
      <c r="BL242" s="152">
        <v>339.75</v>
      </c>
      <c r="BM242" s="152">
        <v>777680</v>
      </c>
      <c r="BN242" s="157" t="s">
        <v>2429</v>
      </c>
    </row>
    <row r="243" spans="1:66">
      <c r="A243" s="152" t="s">
        <v>2430</v>
      </c>
      <c r="B243" s="152" t="s">
        <v>2431</v>
      </c>
      <c r="C243" s="152" t="s">
        <v>2432</v>
      </c>
      <c r="D243" s="152" t="s">
        <v>2433</v>
      </c>
      <c r="E243" s="152" t="s">
        <v>2433</v>
      </c>
      <c r="F243" s="152">
        <v>253472</v>
      </c>
      <c r="G243" s="152">
        <v>192</v>
      </c>
      <c r="H243" s="152">
        <v>565</v>
      </c>
      <c r="I243" s="152">
        <v>201130</v>
      </c>
      <c r="J243" s="152">
        <v>90</v>
      </c>
      <c r="K243" s="152">
        <v>88204</v>
      </c>
      <c r="L243" s="159" t="s">
        <v>856</v>
      </c>
      <c r="M243" s="152" t="s">
        <v>92</v>
      </c>
      <c r="N243" s="152" t="s">
        <v>92</v>
      </c>
      <c r="O243" s="159" t="s">
        <v>856</v>
      </c>
      <c r="P243" s="159" t="s">
        <v>856</v>
      </c>
      <c r="Q243" s="152" t="s">
        <v>92</v>
      </c>
      <c r="R243" s="152" t="s">
        <v>92</v>
      </c>
      <c r="S243" s="159" t="s">
        <v>856</v>
      </c>
      <c r="T243" s="159" t="s">
        <v>856</v>
      </c>
      <c r="U243" s="159" t="s">
        <v>856</v>
      </c>
      <c r="V243" s="152" t="s">
        <v>857</v>
      </c>
      <c r="W243" s="152" t="s">
        <v>858</v>
      </c>
      <c r="X243" s="152" t="s">
        <v>1083</v>
      </c>
      <c r="Y243" s="152">
        <v>0</v>
      </c>
      <c r="Z243" s="152">
        <v>1</v>
      </c>
      <c r="AA243" s="152" t="s">
        <v>92</v>
      </c>
      <c r="AB243" s="152">
        <v>135</v>
      </c>
      <c r="AC243" s="152">
        <v>2</v>
      </c>
      <c r="AD243" s="152" t="s">
        <v>861</v>
      </c>
      <c r="AE243" s="152">
        <v>135</v>
      </c>
      <c r="AF243" s="152">
        <v>0</v>
      </c>
      <c r="AG243" s="152" t="s">
        <v>861</v>
      </c>
      <c r="AH243" s="152" t="s">
        <v>861</v>
      </c>
      <c r="AI243" s="152" t="s">
        <v>92</v>
      </c>
      <c r="AJ243" s="152" t="s">
        <v>92</v>
      </c>
      <c r="AK243" s="152" t="s">
        <v>872</v>
      </c>
      <c r="AL243" s="159" t="s">
        <v>856</v>
      </c>
      <c r="AP243" s="159" t="s">
        <v>856</v>
      </c>
      <c r="AQ243" s="159" t="s">
        <v>856</v>
      </c>
      <c r="AR243" s="159" t="s">
        <v>992</v>
      </c>
      <c r="AS243" s="159" t="s">
        <v>865</v>
      </c>
      <c r="AT243" s="152" t="str">
        <f t="shared" si="21"/>
        <v>RPNC9-240420</v>
      </c>
      <c r="AU243" s="152" t="str">
        <f t="shared" si="22"/>
        <v>CARLOS ANTONIO GOMEZ PEREIRA</v>
      </c>
      <c r="AV243" s="159">
        <v>1701</v>
      </c>
      <c r="AW243" s="159">
        <v>695976</v>
      </c>
      <c r="AX243" s="159">
        <v>37.5</v>
      </c>
      <c r="AY243" s="159">
        <v>695977</v>
      </c>
      <c r="AZ243" s="152" t="s">
        <v>864</v>
      </c>
      <c r="BA243" s="152" t="str">
        <f t="shared" si="12"/>
        <v>L21-470-SP006</v>
      </c>
      <c r="BB243" s="152">
        <v>0</v>
      </c>
      <c r="BC243" s="157">
        <v>44355</v>
      </c>
      <c r="BD243" s="157">
        <v>44355</v>
      </c>
      <c r="BE243" s="158">
        <v>337500</v>
      </c>
      <c r="BG243" s="159" t="s">
        <v>2033</v>
      </c>
      <c r="BK243" s="152" t="s">
        <v>132</v>
      </c>
      <c r="BN243" s="157" t="s">
        <v>1453</v>
      </c>
    </row>
    <row r="244" spans="1:66">
      <c r="A244" s="152" t="s">
        <v>2434</v>
      </c>
      <c r="B244" s="152" t="s">
        <v>2435</v>
      </c>
      <c r="C244" s="152" t="s">
        <v>2436</v>
      </c>
      <c r="D244" s="152" t="s">
        <v>2437</v>
      </c>
      <c r="E244" s="152" t="s">
        <v>1410</v>
      </c>
      <c r="F244" s="152">
        <v>5708</v>
      </c>
      <c r="G244" s="152">
        <v>208</v>
      </c>
      <c r="H244" s="152" t="s">
        <v>2438</v>
      </c>
      <c r="I244" s="152">
        <v>200643</v>
      </c>
      <c r="J244" s="152">
        <v>84</v>
      </c>
      <c r="K244" s="152">
        <v>87799</v>
      </c>
      <c r="L244" s="159" t="s">
        <v>1412</v>
      </c>
      <c r="M244" s="152" t="s">
        <v>92</v>
      </c>
      <c r="N244" s="152" t="s">
        <v>883</v>
      </c>
      <c r="O244" s="159">
        <v>4534</v>
      </c>
      <c r="P244" s="159" t="s">
        <v>1412</v>
      </c>
      <c r="Q244" s="152" t="s">
        <v>92</v>
      </c>
      <c r="R244" s="152" t="s">
        <v>883</v>
      </c>
      <c r="S244" s="159">
        <v>4534</v>
      </c>
      <c r="T244" s="159" t="s">
        <v>856</v>
      </c>
      <c r="U244" s="159" t="s">
        <v>856</v>
      </c>
      <c r="V244" s="152" t="s">
        <v>857</v>
      </c>
      <c r="W244" s="152" t="s">
        <v>858</v>
      </c>
      <c r="X244" s="152" t="s">
        <v>1083</v>
      </c>
      <c r="Y244" s="152">
        <v>27.13</v>
      </c>
      <c r="Z244" s="152">
        <v>1</v>
      </c>
      <c r="AA244" s="152" t="s">
        <v>92</v>
      </c>
      <c r="AB244" s="152">
        <v>124.06</v>
      </c>
      <c r="AC244" s="152">
        <v>2</v>
      </c>
      <c r="AD244" s="152" t="s">
        <v>861</v>
      </c>
      <c r="AE244" s="152">
        <v>124.06</v>
      </c>
      <c r="AF244" s="152">
        <v>0</v>
      </c>
      <c r="AG244" s="152" t="s">
        <v>861</v>
      </c>
      <c r="AH244" s="152" t="s">
        <v>861</v>
      </c>
      <c r="AI244" s="152" t="s">
        <v>92</v>
      </c>
      <c r="AJ244" s="152" t="s">
        <v>92</v>
      </c>
      <c r="AK244" s="152" t="s">
        <v>972</v>
      </c>
      <c r="AL244" s="159" t="s">
        <v>856</v>
      </c>
      <c r="AP244" s="159" t="s">
        <v>856</v>
      </c>
      <c r="AQ244" s="159" t="s">
        <v>856</v>
      </c>
      <c r="AR244" s="159" t="s">
        <v>885</v>
      </c>
      <c r="AS244" s="159" t="s">
        <v>865</v>
      </c>
      <c r="AT244" s="152" t="str">
        <f t="shared" si="21"/>
        <v>VUNS12-200821</v>
      </c>
      <c r="AU244" s="152" t="str">
        <f t="shared" si="22"/>
        <v>MARIA CECILIA CHINCHILLA MAZARIEGOS DE SOTO</v>
      </c>
      <c r="AV244" s="159">
        <v>1616.33</v>
      </c>
      <c r="AW244" s="159">
        <v>731237</v>
      </c>
      <c r="AX244" s="159">
        <v>30</v>
      </c>
      <c r="AY244" s="159">
        <v>731240</v>
      </c>
      <c r="AZ244" s="152" t="s">
        <v>864</v>
      </c>
      <c r="BA244" s="152" t="str">
        <f t="shared" si="12"/>
        <v>L21-830-SP188</v>
      </c>
      <c r="BB244" s="152">
        <v>24</v>
      </c>
      <c r="BC244" s="157">
        <v>44539</v>
      </c>
      <c r="BD244" s="157">
        <v>44904</v>
      </c>
      <c r="BE244" s="158">
        <v>319645.5</v>
      </c>
      <c r="BF244" s="152" t="s">
        <v>2439</v>
      </c>
      <c r="BG244" s="159" t="s">
        <v>875</v>
      </c>
      <c r="BH244" s="152">
        <v>124.06</v>
      </c>
      <c r="BI244" s="152">
        <v>0</v>
      </c>
      <c r="BJ244" s="152">
        <v>0</v>
      </c>
      <c r="BK244" s="152" t="s">
        <v>132</v>
      </c>
      <c r="BL244" s="152">
        <v>124.06</v>
      </c>
      <c r="BM244" s="152">
        <v>731239</v>
      </c>
      <c r="BN244" s="157" t="s">
        <v>1453</v>
      </c>
    </row>
    <row r="245" spans="1:66">
      <c r="A245" s="152" t="s">
        <v>2440</v>
      </c>
      <c r="B245" s="152" t="s">
        <v>2441</v>
      </c>
      <c r="C245" s="152" t="s">
        <v>2442</v>
      </c>
      <c r="D245" s="152" t="s">
        <v>2443</v>
      </c>
      <c r="E245" s="152" t="s">
        <v>2443</v>
      </c>
      <c r="F245" s="152">
        <v>235861</v>
      </c>
      <c r="G245" s="152">
        <v>51</v>
      </c>
      <c r="H245" s="152">
        <v>504</v>
      </c>
      <c r="I245" s="152">
        <v>155581</v>
      </c>
      <c r="J245" s="152">
        <v>314.45999999999998</v>
      </c>
      <c r="K245" s="152">
        <v>52818</v>
      </c>
      <c r="L245" s="159" t="s">
        <v>1517</v>
      </c>
      <c r="M245" s="152" t="s">
        <v>92</v>
      </c>
      <c r="N245" s="152" t="s">
        <v>883</v>
      </c>
      <c r="O245" s="159">
        <v>5717</v>
      </c>
      <c r="P245" s="159" t="s">
        <v>1517</v>
      </c>
      <c r="Q245" s="152" t="s">
        <v>92</v>
      </c>
      <c r="R245" s="152" t="s">
        <v>883</v>
      </c>
      <c r="S245" s="159">
        <v>5717</v>
      </c>
      <c r="T245" s="159" t="s">
        <v>2444</v>
      </c>
      <c r="U245" s="159" t="s">
        <v>2445</v>
      </c>
      <c r="V245" s="152" t="s">
        <v>2446</v>
      </c>
      <c r="W245" s="152" t="s">
        <v>858</v>
      </c>
      <c r="X245" s="152" t="s">
        <v>1083</v>
      </c>
      <c r="Y245" s="152">
        <v>0</v>
      </c>
      <c r="Z245" s="152">
        <v>1</v>
      </c>
      <c r="AA245" s="152" t="s">
        <v>92</v>
      </c>
      <c r="AB245" s="152">
        <v>36.67</v>
      </c>
      <c r="AC245" s="152">
        <v>1</v>
      </c>
      <c r="AD245" s="152" t="s">
        <v>861</v>
      </c>
      <c r="AE245" s="152">
        <v>12.18</v>
      </c>
      <c r="AF245" s="152">
        <v>24.49</v>
      </c>
      <c r="AG245" s="152">
        <v>210.69</v>
      </c>
      <c r="AH245" s="152" t="s">
        <v>861</v>
      </c>
      <c r="AI245" s="152" t="s">
        <v>92</v>
      </c>
      <c r="AJ245" s="152" t="s">
        <v>92</v>
      </c>
      <c r="AK245" s="152" t="s">
        <v>884</v>
      </c>
      <c r="AL245" s="159" t="s">
        <v>856</v>
      </c>
      <c r="AP245" s="159" t="s">
        <v>856</v>
      </c>
      <c r="AQ245" s="159" t="s">
        <v>856</v>
      </c>
      <c r="AR245" s="159" t="s">
        <v>873</v>
      </c>
      <c r="AS245" s="159" t="s">
        <v>865</v>
      </c>
      <c r="AT245" s="152" t="str">
        <f t="shared" si="21"/>
        <v>RPNE8-140322</v>
      </c>
      <c r="AU245" s="152" t="str">
        <f t="shared" si="22"/>
        <v>CARLOS ROBERTO ESCOBAR SANJUAN</v>
      </c>
      <c r="AV245" s="159">
        <v>637.05999999999995</v>
      </c>
      <c r="AW245" s="159">
        <v>794218</v>
      </c>
      <c r="AX245" s="159">
        <v>20.75</v>
      </c>
      <c r="AY245" s="159">
        <v>794216</v>
      </c>
      <c r="AZ245" s="152" t="s">
        <v>864</v>
      </c>
      <c r="BA245" s="152" t="str">
        <f t="shared" si="12"/>
        <v>L22-311-SP028</v>
      </c>
      <c r="BB245" s="152">
        <v>0</v>
      </c>
      <c r="BC245" s="157">
        <v>44684</v>
      </c>
      <c r="BD245" s="157">
        <v>44684</v>
      </c>
      <c r="BE245" s="158">
        <v>85585</v>
      </c>
      <c r="BG245" s="159" t="s">
        <v>2033</v>
      </c>
      <c r="BK245" s="152" t="s">
        <v>132</v>
      </c>
      <c r="BN245" s="157" t="s">
        <v>1453</v>
      </c>
    </row>
    <row r="246" spans="1:66">
      <c r="A246" s="152" t="s">
        <v>2447</v>
      </c>
      <c r="B246" s="152" t="s">
        <v>2448</v>
      </c>
      <c r="C246" s="152" t="s">
        <v>2449</v>
      </c>
      <c r="D246" s="152" t="s">
        <v>2450</v>
      </c>
      <c r="E246" s="152" t="s">
        <v>1006</v>
      </c>
      <c r="F246" s="152">
        <v>1397</v>
      </c>
      <c r="G246" s="152">
        <v>397</v>
      </c>
      <c r="H246" s="152" t="s">
        <v>1214</v>
      </c>
      <c r="I246" s="152">
        <v>199723</v>
      </c>
      <c r="J246" s="152">
        <v>1965.64</v>
      </c>
      <c r="K246" s="152">
        <v>87092</v>
      </c>
      <c r="L246" s="159" t="s">
        <v>1013</v>
      </c>
      <c r="M246" s="152" t="s">
        <v>92</v>
      </c>
      <c r="N246" s="152" t="s">
        <v>883</v>
      </c>
      <c r="O246" s="159">
        <v>4731</v>
      </c>
      <c r="P246" s="159" t="s">
        <v>1013</v>
      </c>
      <c r="Q246" s="152" t="s">
        <v>92</v>
      </c>
      <c r="R246" s="152" t="s">
        <v>883</v>
      </c>
      <c r="S246" s="159">
        <v>4731</v>
      </c>
      <c r="T246" s="159" t="s">
        <v>856</v>
      </c>
      <c r="U246" s="159" t="s">
        <v>856</v>
      </c>
      <c r="V246" s="152" t="s">
        <v>2451</v>
      </c>
      <c r="W246" s="152" t="s">
        <v>860</v>
      </c>
      <c r="X246" s="152" t="s">
        <v>2452</v>
      </c>
      <c r="Y246" s="152">
        <v>427.74</v>
      </c>
      <c r="Z246" s="152">
        <v>1</v>
      </c>
      <c r="AA246" s="152" t="s">
        <v>92</v>
      </c>
      <c r="AB246" s="152">
        <v>827.17</v>
      </c>
      <c r="AC246" s="152">
        <v>1</v>
      </c>
      <c r="AD246" s="152" t="s">
        <v>861</v>
      </c>
      <c r="AE246" s="152">
        <v>0</v>
      </c>
      <c r="AF246" s="152">
        <v>827.17</v>
      </c>
      <c r="AG246" s="152">
        <v>294.83999999999997</v>
      </c>
      <c r="AH246" s="152">
        <v>108.6</v>
      </c>
      <c r="AI246" s="152" t="s">
        <v>92</v>
      </c>
      <c r="AJ246" s="152" t="s">
        <v>883</v>
      </c>
      <c r="AK246" s="152" t="s">
        <v>884</v>
      </c>
      <c r="AL246" s="159" t="s">
        <v>856</v>
      </c>
      <c r="AP246" s="159" t="s">
        <v>856</v>
      </c>
      <c r="AQ246" s="159" t="s">
        <v>856</v>
      </c>
      <c r="AR246" s="159" t="s">
        <v>2224</v>
      </c>
      <c r="AS246" s="159">
        <v>184.42</v>
      </c>
      <c r="AT246" s="152" t="str">
        <f t="shared" si="21"/>
        <v>VUNX7-041120</v>
      </c>
      <c r="AU246" s="152" t="str">
        <f t="shared" si="22"/>
        <v>ROLANDO OSIEL XILOJ REYES</v>
      </c>
      <c r="AV246" s="159">
        <v>18208.939999999999</v>
      </c>
      <c r="AW246" s="159">
        <v>649006</v>
      </c>
      <c r="AX246" s="159">
        <v>136</v>
      </c>
      <c r="AY246" s="159">
        <v>649006</v>
      </c>
      <c r="AZ246" s="152" t="s">
        <v>864</v>
      </c>
      <c r="BA246" s="152" t="str">
        <f t="shared" si="12"/>
        <v>L21-093-SP014</v>
      </c>
      <c r="BB246" s="152">
        <v>24</v>
      </c>
      <c r="BC246" s="157">
        <v>44236</v>
      </c>
      <c r="BD246" s="157">
        <v>44601</v>
      </c>
      <c r="BE246" s="158">
        <v>2217634</v>
      </c>
      <c r="BF246" s="152" t="s">
        <v>2453</v>
      </c>
      <c r="BG246" s="159" t="s">
        <v>2454</v>
      </c>
      <c r="BH246" s="152">
        <v>0</v>
      </c>
      <c r="BI246" s="152">
        <v>827.17</v>
      </c>
      <c r="BJ246" s="152">
        <v>0</v>
      </c>
      <c r="BK246" s="152" t="s">
        <v>1296</v>
      </c>
      <c r="BL246" s="152">
        <v>827.17</v>
      </c>
      <c r="BM246" s="152">
        <v>649006</v>
      </c>
      <c r="BN246" s="157">
        <v>45697</v>
      </c>
    </row>
    <row r="247" spans="1:66">
      <c r="A247" s="152" t="s">
        <v>2455</v>
      </c>
      <c r="B247" s="152" t="s">
        <v>2456</v>
      </c>
      <c r="C247" s="152" t="s">
        <v>2457</v>
      </c>
      <c r="D247" s="152" t="s">
        <v>2458</v>
      </c>
      <c r="E247" s="152" t="s">
        <v>2458</v>
      </c>
      <c r="F247" s="152">
        <v>4772</v>
      </c>
      <c r="G247" s="152">
        <v>272</v>
      </c>
      <c r="H247" s="152" t="s">
        <v>1469</v>
      </c>
      <c r="I247" s="152">
        <v>202729</v>
      </c>
      <c r="J247" s="152">
        <v>110</v>
      </c>
      <c r="K247" s="152">
        <v>89495</v>
      </c>
      <c r="L247" s="159" t="s">
        <v>856</v>
      </c>
      <c r="M247" s="152" t="s">
        <v>92</v>
      </c>
      <c r="N247" s="152" t="s">
        <v>92</v>
      </c>
      <c r="O247" s="159" t="s">
        <v>856</v>
      </c>
      <c r="P247" s="159" t="s">
        <v>856</v>
      </c>
      <c r="Q247" s="152" t="s">
        <v>92</v>
      </c>
      <c r="R247" s="152" t="s">
        <v>92</v>
      </c>
      <c r="S247" s="159" t="s">
        <v>856</v>
      </c>
      <c r="T247" s="159" t="s">
        <v>2459</v>
      </c>
      <c r="U247" s="159" t="s">
        <v>2460</v>
      </c>
      <c r="V247" s="152" t="s">
        <v>857</v>
      </c>
      <c r="W247" s="152" t="s">
        <v>858</v>
      </c>
      <c r="X247" s="152" t="s">
        <v>1083</v>
      </c>
      <c r="Y247" s="152">
        <v>0</v>
      </c>
      <c r="Z247" s="152">
        <v>1</v>
      </c>
      <c r="AA247" s="152" t="s">
        <v>883</v>
      </c>
      <c r="AB247" s="152">
        <v>226.35</v>
      </c>
      <c r="AC247" s="152">
        <v>2</v>
      </c>
      <c r="AD247" s="152" t="s">
        <v>861</v>
      </c>
      <c r="AE247" s="152">
        <v>226.35</v>
      </c>
      <c r="AF247" s="152">
        <v>0</v>
      </c>
      <c r="AG247" s="152" t="s">
        <v>861</v>
      </c>
      <c r="AH247" s="152" t="s">
        <v>861</v>
      </c>
      <c r="AI247" s="152" t="s">
        <v>92</v>
      </c>
      <c r="AJ247" s="152" t="s">
        <v>92</v>
      </c>
      <c r="AK247" s="152" t="s">
        <v>912</v>
      </c>
      <c r="AL247" s="159" t="s">
        <v>856</v>
      </c>
      <c r="AP247" s="159" t="s">
        <v>856</v>
      </c>
      <c r="AQ247" s="159" t="s">
        <v>856</v>
      </c>
      <c r="AR247" s="159" t="s">
        <v>992</v>
      </c>
      <c r="AS247" s="159" t="s">
        <v>865</v>
      </c>
      <c r="AT247" s="152" t="str">
        <f t="shared" si="21"/>
        <v>RPNL10-210422</v>
      </c>
      <c r="AU247" s="152" t="str">
        <f t="shared" si="22"/>
        <v>WALFRIN EDUARDO LOPEZ CAHUEX</v>
      </c>
      <c r="AV247" s="159">
        <v>2852.01</v>
      </c>
      <c r="AW247" s="159">
        <v>803870</v>
      </c>
      <c r="AX247" s="159">
        <v>38</v>
      </c>
      <c r="AY247" s="159">
        <v>803872</v>
      </c>
      <c r="AZ247" s="152" t="s">
        <v>864</v>
      </c>
      <c r="BA247" s="152" t="str">
        <f t="shared" si="12"/>
        <v>L22-595-NR120</v>
      </c>
      <c r="BB247" s="152">
        <v>0</v>
      </c>
      <c r="BC247" s="157">
        <v>44715</v>
      </c>
      <c r="BD247" s="157">
        <v>44715</v>
      </c>
      <c r="BE247" s="158">
        <v>565875</v>
      </c>
      <c r="BF247" s="152" t="s">
        <v>2461</v>
      </c>
      <c r="BG247" s="159" t="s">
        <v>894</v>
      </c>
      <c r="BH247" s="152">
        <v>226.35</v>
      </c>
      <c r="BI247" s="152">
        <v>0</v>
      </c>
      <c r="BJ247" s="152">
        <v>0</v>
      </c>
      <c r="BK247" s="152" t="s">
        <v>132</v>
      </c>
      <c r="BL247" s="152">
        <v>226.35</v>
      </c>
      <c r="BM247" s="152">
        <v>803871</v>
      </c>
      <c r="BN247" s="157" t="s">
        <v>1453</v>
      </c>
    </row>
    <row r="248" spans="1:66">
      <c r="A248" s="152" t="s">
        <v>2462</v>
      </c>
      <c r="B248" s="152" t="s">
        <v>2463</v>
      </c>
      <c r="C248" s="152" t="s">
        <v>2464</v>
      </c>
      <c r="D248" s="152" t="s">
        <v>2465</v>
      </c>
      <c r="E248" s="152" t="s">
        <v>2465</v>
      </c>
      <c r="F248" s="152">
        <v>4351</v>
      </c>
      <c r="G248" s="152">
        <v>351</v>
      </c>
      <c r="H248" s="152" t="s">
        <v>2398</v>
      </c>
      <c r="I248" s="152">
        <v>201686</v>
      </c>
      <c r="J248" s="152">
        <v>190.08</v>
      </c>
      <c r="K248" s="152">
        <v>88638</v>
      </c>
      <c r="L248" s="159" t="s">
        <v>856</v>
      </c>
      <c r="M248" s="152" t="s">
        <v>92</v>
      </c>
      <c r="N248" s="152" t="s">
        <v>92</v>
      </c>
      <c r="O248" s="159" t="s">
        <v>856</v>
      </c>
      <c r="P248" s="159" t="s">
        <v>856</v>
      </c>
      <c r="Q248" s="152" t="s">
        <v>92</v>
      </c>
      <c r="R248" s="152" t="s">
        <v>92</v>
      </c>
      <c r="S248" s="159" t="s">
        <v>856</v>
      </c>
      <c r="T248" s="159" t="s">
        <v>856</v>
      </c>
      <c r="U248" s="159" t="s">
        <v>856</v>
      </c>
      <c r="V248" s="152" t="s">
        <v>857</v>
      </c>
      <c r="W248" s="152" t="s">
        <v>858</v>
      </c>
      <c r="X248" s="152" t="s">
        <v>882</v>
      </c>
      <c r="Y248" s="152">
        <v>118.17</v>
      </c>
      <c r="Z248" s="152">
        <v>1</v>
      </c>
      <c r="AA248" s="152" t="s">
        <v>92</v>
      </c>
      <c r="AB248" s="152">
        <v>84.64</v>
      </c>
      <c r="AC248" s="152">
        <v>1</v>
      </c>
      <c r="AD248" s="152" t="s">
        <v>861</v>
      </c>
      <c r="AE248" s="152">
        <v>84.64</v>
      </c>
      <c r="AF248" s="152">
        <v>0</v>
      </c>
      <c r="AG248" s="152" t="s">
        <v>861</v>
      </c>
      <c r="AH248" s="152" t="s">
        <v>861</v>
      </c>
      <c r="AI248" s="152" t="s">
        <v>92</v>
      </c>
      <c r="AJ248" s="152" t="s">
        <v>92</v>
      </c>
      <c r="AK248" s="152" t="s">
        <v>972</v>
      </c>
      <c r="AL248" s="159" t="s">
        <v>856</v>
      </c>
      <c r="AP248" s="159" t="s">
        <v>856</v>
      </c>
      <c r="AQ248" s="159" t="s">
        <v>856</v>
      </c>
      <c r="AR248" s="159" t="s">
        <v>1043</v>
      </c>
      <c r="AS248" s="159" t="s">
        <v>865</v>
      </c>
      <c r="AT248" s="152" t="str">
        <f t="shared" ref="AT248:AT302" si="23">B248</f>
        <v>RPNB9-071020</v>
      </c>
      <c r="AU248" s="152" t="str">
        <f t="shared" ref="AU248:AU302" si="24">C248</f>
        <v>ADELAIDA BARILLAS REYNOSO</v>
      </c>
      <c r="AV248" s="159">
        <v>1084.78</v>
      </c>
      <c r="AW248" s="159">
        <v>731267</v>
      </c>
      <c r="AX248" s="159" t="s">
        <v>856</v>
      </c>
      <c r="AY248" s="159" t="s">
        <v>856</v>
      </c>
      <c r="AZ248" s="152" t="s">
        <v>864</v>
      </c>
      <c r="BA248" s="152" t="str">
        <f t="shared" si="12"/>
        <v>L21-495-MP176</v>
      </c>
      <c r="BB248" s="152">
        <v>0</v>
      </c>
      <c r="BC248" s="157">
        <v>44258</v>
      </c>
      <c r="BD248" s="157">
        <v>44258</v>
      </c>
      <c r="BE248" s="158">
        <v>210639.5</v>
      </c>
      <c r="BG248" s="159" t="s">
        <v>2033</v>
      </c>
      <c r="BK248" s="152" t="s">
        <v>132</v>
      </c>
      <c r="BN248" s="157" t="s">
        <v>1453</v>
      </c>
    </row>
    <row r="249" spans="1:66">
      <c r="A249" s="159" t="s">
        <v>856</v>
      </c>
      <c r="B249" s="152" t="s">
        <v>2466</v>
      </c>
      <c r="C249" s="152" t="s">
        <v>2467</v>
      </c>
      <c r="D249" s="152" t="s">
        <v>2468</v>
      </c>
      <c r="E249" s="152" t="s">
        <v>2468</v>
      </c>
      <c r="F249" s="152">
        <v>4462</v>
      </c>
      <c r="G249" s="152">
        <v>462</v>
      </c>
      <c r="H249" s="152" t="s">
        <v>1710</v>
      </c>
      <c r="I249" s="152">
        <v>201540</v>
      </c>
      <c r="J249" s="152">
        <v>78.17</v>
      </c>
      <c r="K249" s="152">
        <v>88537</v>
      </c>
      <c r="L249" s="159" t="s">
        <v>2469</v>
      </c>
      <c r="M249" s="152" t="s">
        <v>92</v>
      </c>
      <c r="N249" s="152" t="s">
        <v>883</v>
      </c>
      <c r="O249" s="159">
        <v>5312</v>
      </c>
      <c r="P249" s="159" t="s">
        <v>856</v>
      </c>
      <c r="Q249" s="152" t="s">
        <v>92</v>
      </c>
      <c r="R249" s="152" t="s">
        <v>92</v>
      </c>
      <c r="S249" s="159" t="s">
        <v>856</v>
      </c>
      <c r="T249" s="159" t="s">
        <v>856</v>
      </c>
      <c r="U249" s="159" t="s">
        <v>856</v>
      </c>
      <c r="V249" s="152" t="s">
        <v>1751</v>
      </c>
      <c r="W249" s="152" t="s">
        <v>858</v>
      </c>
      <c r="X249" s="152" t="s">
        <v>882</v>
      </c>
      <c r="Y249" s="152">
        <v>0</v>
      </c>
      <c r="Z249" s="152">
        <v>3</v>
      </c>
      <c r="AA249" s="152" t="s">
        <v>92</v>
      </c>
      <c r="AB249" s="152">
        <v>127.6</v>
      </c>
      <c r="AC249" s="152">
        <v>2</v>
      </c>
      <c r="AD249" s="152" t="s">
        <v>861</v>
      </c>
      <c r="AE249" s="152">
        <v>89.26</v>
      </c>
      <c r="AF249" s="152">
        <v>38.340000000000003</v>
      </c>
      <c r="AG249" s="152" t="s">
        <v>861</v>
      </c>
      <c r="AH249" s="152" t="s">
        <v>861</v>
      </c>
      <c r="AI249" s="152" t="s">
        <v>92</v>
      </c>
      <c r="AJ249" s="152" t="s">
        <v>92</v>
      </c>
      <c r="AK249" s="152" t="s">
        <v>972</v>
      </c>
      <c r="AL249" s="159" t="s">
        <v>856</v>
      </c>
      <c r="AP249" s="159" t="s">
        <v>856</v>
      </c>
      <c r="AQ249" s="159" t="s">
        <v>856</v>
      </c>
      <c r="AR249" s="159" t="s">
        <v>992</v>
      </c>
      <c r="AS249" s="159" t="s">
        <v>865</v>
      </c>
      <c r="AT249" s="152" t="str">
        <f t="shared" si="23"/>
        <v>USM2-030422</v>
      </c>
      <c r="AU249" s="152" t="str">
        <f t="shared" si="24"/>
        <v>VALERIA SOFIA MALDONADO MORA</v>
      </c>
      <c r="AV249" s="159" t="s">
        <v>856</v>
      </c>
      <c r="AW249" s="159" t="s">
        <v>856</v>
      </c>
      <c r="AX249" s="159" t="s">
        <v>856</v>
      </c>
      <c r="AY249" s="159" t="s">
        <v>856</v>
      </c>
      <c r="AZ249" s="152" t="s">
        <v>864</v>
      </c>
      <c r="BA249" s="152" t="str">
        <f t="shared" si="12"/>
        <v>----------</v>
      </c>
      <c r="BB249" s="152">
        <v>0</v>
      </c>
      <c r="BC249" s="161">
        <v>44693</v>
      </c>
      <c r="BD249" s="161" t="s">
        <v>856</v>
      </c>
      <c r="BE249" s="158">
        <v>37572</v>
      </c>
      <c r="BF249" s="152" t="s">
        <v>2470</v>
      </c>
      <c r="BG249" s="159" t="s">
        <v>2471</v>
      </c>
      <c r="BH249" s="152">
        <v>89.26</v>
      </c>
      <c r="BI249" s="152">
        <v>38.340000000000003</v>
      </c>
      <c r="BJ249" s="152">
        <v>0</v>
      </c>
      <c r="BK249" s="152" t="s">
        <v>995</v>
      </c>
      <c r="BL249" s="152">
        <v>47.93</v>
      </c>
      <c r="BM249" s="152">
        <v>801374</v>
      </c>
      <c r="BN249" s="157" t="s">
        <v>2472</v>
      </c>
    </row>
    <row r="250" spans="1:66">
      <c r="A250" s="152" t="s">
        <v>2473</v>
      </c>
      <c r="B250" s="152" t="s">
        <v>2474</v>
      </c>
      <c r="C250" s="152" t="s">
        <v>1262</v>
      </c>
      <c r="D250" s="152" t="s">
        <v>2475</v>
      </c>
      <c r="E250" s="152" t="s">
        <v>1264</v>
      </c>
      <c r="F250" s="152">
        <v>2821</v>
      </c>
      <c r="G250" s="152">
        <v>321</v>
      </c>
      <c r="H250" s="152" t="s">
        <v>1265</v>
      </c>
      <c r="I250" s="152">
        <v>198519</v>
      </c>
      <c r="J250" s="152">
        <v>96</v>
      </c>
      <c r="K250" s="152">
        <v>86075</v>
      </c>
      <c r="L250" s="159" t="s">
        <v>1266</v>
      </c>
      <c r="M250" s="152" t="s">
        <v>92</v>
      </c>
      <c r="N250" s="152" t="s">
        <v>883</v>
      </c>
      <c r="O250" s="159">
        <v>3989</v>
      </c>
      <c r="P250" s="159" t="s">
        <v>1267</v>
      </c>
      <c r="Q250" s="152" t="s">
        <v>883</v>
      </c>
      <c r="R250" s="152" t="s">
        <v>92</v>
      </c>
      <c r="S250" s="159">
        <v>13080</v>
      </c>
      <c r="T250" s="159" t="s">
        <v>1603</v>
      </c>
      <c r="U250" s="159" t="s">
        <v>1604</v>
      </c>
      <c r="V250" s="152" t="s">
        <v>857</v>
      </c>
      <c r="W250" s="152" t="s">
        <v>858</v>
      </c>
      <c r="X250" s="152" t="s">
        <v>1083</v>
      </c>
      <c r="Y250" s="152">
        <v>28.04</v>
      </c>
      <c r="Z250" s="152">
        <v>1</v>
      </c>
      <c r="AA250" s="152" t="s">
        <v>92</v>
      </c>
      <c r="AB250" s="152">
        <v>85.72</v>
      </c>
      <c r="AC250" s="152">
        <v>2</v>
      </c>
      <c r="AD250" s="152" t="s">
        <v>861</v>
      </c>
      <c r="AE250" s="152">
        <v>85.72</v>
      </c>
      <c r="AF250" s="152">
        <v>0</v>
      </c>
      <c r="AG250" s="152" t="s">
        <v>861</v>
      </c>
      <c r="AH250" s="152" t="s">
        <v>861</v>
      </c>
      <c r="AI250" s="152" t="s">
        <v>92</v>
      </c>
      <c r="AJ250" s="152" t="s">
        <v>92</v>
      </c>
      <c r="AK250" s="152" t="s">
        <v>862</v>
      </c>
      <c r="AL250" s="159" t="s">
        <v>856</v>
      </c>
      <c r="AP250" s="159" t="s">
        <v>856</v>
      </c>
      <c r="AQ250" s="159" t="s">
        <v>856</v>
      </c>
      <c r="AR250" s="159" t="s">
        <v>863</v>
      </c>
      <c r="AS250" s="159" t="s">
        <v>865</v>
      </c>
      <c r="AT250" s="152" t="str">
        <f t="shared" si="23"/>
        <v>VUNCR-861121</v>
      </c>
      <c r="AU250" s="152" t="str">
        <f t="shared" si="24"/>
        <v>COMPLEJOS COLONIALES, S.A.</v>
      </c>
      <c r="AV250" s="159">
        <v>1135.03</v>
      </c>
      <c r="AW250" s="159">
        <v>753672</v>
      </c>
      <c r="AX250" s="159">
        <v>30</v>
      </c>
      <c r="AY250" s="159">
        <v>753675</v>
      </c>
      <c r="AZ250" s="152" t="s">
        <v>864</v>
      </c>
      <c r="BA250" s="152" t="str">
        <f t="shared" si="12"/>
        <v>L22-044-MP150</v>
      </c>
      <c r="BB250" s="152">
        <v>24</v>
      </c>
      <c r="BC250" s="157">
        <v>44575</v>
      </c>
      <c r="BD250" s="157">
        <v>44940</v>
      </c>
      <c r="BE250" s="158">
        <v>224114</v>
      </c>
      <c r="BF250" s="152" t="s">
        <v>2476</v>
      </c>
      <c r="BG250" s="159" t="s">
        <v>875</v>
      </c>
      <c r="BH250" s="152">
        <v>85.72</v>
      </c>
      <c r="BI250" s="152">
        <v>0</v>
      </c>
      <c r="BJ250" s="152">
        <v>0</v>
      </c>
      <c r="BK250" s="152" t="s">
        <v>132</v>
      </c>
      <c r="BL250" s="152">
        <v>85.72</v>
      </c>
      <c r="BM250" s="152">
        <v>753674</v>
      </c>
      <c r="BN250" s="157" t="s">
        <v>1453</v>
      </c>
    </row>
    <row r="251" spans="1:66">
      <c r="A251" s="152" t="s">
        <v>2477</v>
      </c>
      <c r="B251" s="152" t="s">
        <v>2478</v>
      </c>
      <c r="C251" s="152" t="s">
        <v>2479</v>
      </c>
      <c r="D251" s="152" t="s">
        <v>2480</v>
      </c>
      <c r="E251" s="152" t="s">
        <v>2480</v>
      </c>
      <c r="F251" s="152">
        <v>47935</v>
      </c>
      <c r="G251" s="152">
        <v>166</v>
      </c>
      <c r="H251" s="152">
        <v>256</v>
      </c>
      <c r="I251" s="152">
        <v>148107</v>
      </c>
      <c r="J251" s="152">
        <v>935654</v>
      </c>
      <c r="K251" s="152">
        <v>46073</v>
      </c>
      <c r="L251" s="159" t="s">
        <v>2488</v>
      </c>
      <c r="M251" s="152" t="s">
        <v>883</v>
      </c>
      <c r="N251" s="152" t="s">
        <v>92</v>
      </c>
      <c r="O251" s="159">
        <v>5119</v>
      </c>
      <c r="P251" s="159" t="s">
        <v>2488</v>
      </c>
      <c r="Q251" s="152" t="s">
        <v>883</v>
      </c>
      <c r="R251" s="152" t="s">
        <v>92</v>
      </c>
      <c r="S251" s="159">
        <v>5119</v>
      </c>
      <c r="T251" s="159" t="s">
        <v>2486</v>
      </c>
      <c r="U251" s="159" t="s">
        <v>2487</v>
      </c>
      <c r="V251" s="152" t="s">
        <v>2481</v>
      </c>
      <c r="W251" s="152" t="s">
        <v>2489</v>
      </c>
      <c r="X251" s="152" t="s">
        <v>2482</v>
      </c>
      <c r="Y251" s="152">
        <v>651</v>
      </c>
      <c r="Z251" s="152">
        <v>1</v>
      </c>
      <c r="AA251" s="152" t="s">
        <v>92</v>
      </c>
      <c r="AB251" s="152">
        <v>740.05</v>
      </c>
      <c r="AC251" s="152">
        <v>1</v>
      </c>
      <c r="AD251" s="152" t="s">
        <v>861</v>
      </c>
      <c r="AE251" s="152">
        <v>0</v>
      </c>
      <c r="AF251" s="152">
        <v>740.05</v>
      </c>
      <c r="AG251" s="152" t="s">
        <v>861</v>
      </c>
      <c r="AH251" s="152" t="s">
        <v>861</v>
      </c>
      <c r="AI251" s="152" t="s">
        <v>92</v>
      </c>
      <c r="AJ251" s="152" t="s">
        <v>92</v>
      </c>
      <c r="AK251" s="152" t="s">
        <v>2483</v>
      </c>
      <c r="AL251" s="159" t="s">
        <v>856</v>
      </c>
      <c r="AP251" s="159" t="s">
        <v>856</v>
      </c>
      <c r="AQ251" s="159" t="s">
        <v>856</v>
      </c>
      <c r="AR251" s="159" t="s">
        <v>1034</v>
      </c>
      <c r="AS251" s="159" t="s">
        <v>865</v>
      </c>
      <c r="AT251" s="152" t="str">
        <f t="shared" si="23"/>
        <v>RPNMR-690921</v>
      </c>
      <c r="AU251" s="152" t="str">
        <f t="shared" si="24"/>
        <v>MINISTERIO DE AGRICULTURA</v>
      </c>
      <c r="AV251" s="159">
        <v>19368.72</v>
      </c>
      <c r="AW251" s="159">
        <v>788413</v>
      </c>
      <c r="AX251" s="159">
        <v>501.9</v>
      </c>
      <c r="AY251" s="159">
        <v>788415</v>
      </c>
      <c r="AZ251" s="152" t="s">
        <v>864</v>
      </c>
      <c r="BA251" s="152" t="str">
        <f t="shared" si="12"/>
        <v>L22-170-MP005</v>
      </c>
      <c r="BB251" s="152">
        <v>0</v>
      </c>
      <c r="BC251" s="157">
        <v>44629</v>
      </c>
      <c r="BD251" s="157">
        <v>44629</v>
      </c>
      <c r="BE251" s="158">
        <v>2101831</v>
      </c>
      <c r="BF251" s="152" t="s">
        <v>2484</v>
      </c>
      <c r="BG251" s="159" t="s">
        <v>2485</v>
      </c>
      <c r="BH251" s="152">
        <v>0</v>
      </c>
      <c r="BI251" s="152">
        <v>740.05</v>
      </c>
      <c r="BJ251" s="152">
        <v>0</v>
      </c>
      <c r="BK251" s="152" t="s">
        <v>1296</v>
      </c>
      <c r="BL251" s="152">
        <v>925.06</v>
      </c>
      <c r="BM251" s="152">
        <v>788414</v>
      </c>
      <c r="BN251" s="157">
        <v>46090</v>
      </c>
    </row>
    <row r="252" spans="1:66">
      <c r="A252" s="152" t="s">
        <v>2490</v>
      </c>
      <c r="B252" s="152" t="s">
        <v>2491</v>
      </c>
      <c r="C252" s="152" t="s">
        <v>1609</v>
      </c>
      <c r="D252" s="152" t="s">
        <v>2492</v>
      </c>
      <c r="E252" s="152" t="s">
        <v>1077</v>
      </c>
      <c r="F252" s="152">
        <v>8637</v>
      </c>
      <c r="G252" s="152">
        <v>137</v>
      </c>
      <c r="H252" s="152" t="s">
        <v>1611</v>
      </c>
      <c r="I252" s="152">
        <v>200902</v>
      </c>
      <c r="J252" s="152">
        <v>112</v>
      </c>
      <c r="K252" s="152">
        <v>87999</v>
      </c>
      <c r="L252" s="159" t="s">
        <v>1079</v>
      </c>
      <c r="M252" s="152" t="s">
        <v>883</v>
      </c>
      <c r="N252" s="152" t="s">
        <v>92</v>
      </c>
      <c r="O252" s="159">
        <v>1617</v>
      </c>
      <c r="P252" s="159" t="s">
        <v>1079</v>
      </c>
      <c r="Q252" s="152" t="s">
        <v>883</v>
      </c>
      <c r="R252" s="152" t="s">
        <v>92</v>
      </c>
      <c r="S252" s="159">
        <v>1617</v>
      </c>
      <c r="T252" s="159" t="s">
        <v>1612</v>
      </c>
      <c r="U252" s="159" t="s">
        <v>1613</v>
      </c>
      <c r="V252" s="152" t="s">
        <v>857</v>
      </c>
      <c r="W252" s="152" t="s">
        <v>858</v>
      </c>
      <c r="X252" s="152" t="s">
        <v>1614</v>
      </c>
      <c r="Y252" s="152">
        <v>33.6</v>
      </c>
      <c r="Z252" s="152">
        <v>1</v>
      </c>
      <c r="AA252" s="152" t="s">
        <v>92</v>
      </c>
      <c r="AB252" s="152">
        <v>132</v>
      </c>
      <c r="AC252" s="152">
        <v>2</v>
      </c>
      <c r="AD252" s="152" t="s">
        <v>861</v>
      </c>
      <c r="AE252" s="152">
        <v>132</v>
      </c>
      <c r="AF252" s="152">
        <v>0</v>
      </c>
      <c r="AG252" s="152" t="s">
        <v>861</v>
      </c>
      <c r="AH252" s="152" t="s">
        <v>861</v>
      </c>
      <c r="AI252" s="152" t="s">
        <v>92</v>
      </c>
      <c r="AJ252" s="152" t="s">
        <v>92</v>
      </c>
      <c r="AK252" s="152" t="s">
        <v>972</v>
      </c>
      <c r="AL252" s="159" t="s">
        <v>856</v>
      </c>
      <c r="AP252" s="159" t="s">
        <v>856</v>
      </c>
      <c r="AQ252" s="159" t="s">
        <v>856</v>
      </c>
      <c r="AR252" s="159" t="s">
        <v>873</v>
      </c>
      <c r="AS252" s="159" t="s">
        <v>865</v>
      </c>
      <c r="AT252" s="152" t="str">
        <f t="shared" si="23"/>
        <v>VUNI12-231021</v>
      </c>
      <c r="AU252" s="152" t="str">
        <f t="shared" si="24"/>
        <v>IMPULSADORA DE VIVIENDAS QUETZALTECAS S.A.</v>
      </c>
      <c r="AV252" s="159">
        <v>1729.06</v>
      </c>
      <c r="AW252" s="159">
        <v>796525</v>
      </c>
      <c r="AX252" s="159">
        <v>35</v>
      </c>
      <c r="AY252" s="159">
        <v>796528</v>
      </c>
      <c r="AZ252" s="152" t="s">
        <v>864</v>
      </c>
      <c r="BA252" s="152" t="str">
        <f t="shared" si="12"/>
        <v>L22-188-MP159</v>
      </c>
      <c r="BB252" s="152">
        <v>24</v>
      </c>
      <c r="BC252" s="157">
        <v>44638</v>
      </c>
      <c r="BD252" s="157">
        <v>45003</v>
      </c>
      <c r="BE252" s="158">
        <v>341760</v>
      </c>
      <c r="BF252" s="152" t="s">
        <v>2493</v>
      </c>
      <c r="BG252" s="159" t="s">
        <v>875</v>
      </c>
      <c r="BH252" s="152">
        <v>132</v>
      </c>
      <c r="BI252" s="152">
        <v>0</v>
      </c>
      <c r="BJ252" s="152">
        <v>0</v>
      </c>
      <c r="BK252" s="152" t="s">
        <v>132</v>
      </c>
      <c r="BL252" s="152">
        <v>132</v>
      </c>
      <c r="BM252" s="152">
        <v>796527</v>
      </c>
      <c r="BN252" s="157" t="s">
        <v>1453</v>
      </c>
    </row>
    <row r="253" spans="1:66">
      <c r="A253" s="152" t="s">
        <v>2494</v>
      </c>
      <c r="B253" s="152" t="s">
        <v>2495</v>
      </c>
      <c r="C253" s="152" t="s">
        <v>1609</v>
      </c>
      <c r="D253" s="152" t="s">
        <v>2496</v>
      </c>
      <c r="E253" s="152" t="s">
        <v>1077</v>
      </c>
      <c r="F253" s="152">
        <v>8646</v>
      </c>
      <c r="G253" s="152">
        <v>146</v>
      </c>
      <c r="H253" s="152" t="s">
        <v>1611</v>
      </c>
      <c r="I253" s="152">
        <v>200903</v>
      </c>
      <c r="J253" s="152">
        <v>112</v>
      </c>
      <c r="K253" s="152">
        <v>88000</v>
      </c>
      <c r="L253" s="159" t="s">
        <v>1079</v>
      </c>
      <c r="M253" s="152" t="s">
        <v>883</v>
      </c>
      <c r="N253" s="152" t="s">
        <v>92</v>
      </c>
      <c r="O253" s="159">
        <v>1617</v>
      </c>
      <c r="P253" s="159" t="s">
        <v>1079</v>
      </c>
      <c r="Q253" s="152" t="s">
        <v>883</v>
      </c>
      <c r="R253" s="152" t="s">
        <v>92</v>
      </c>
      <c r="S253" s="159">
        <v>1617</v>
      </c>
      <c r="T253" s="159" t="s">
        <v>1612</v>
      </c>
      <c r="U253" s="159" t="s">
        <v>1613</v>
      </c>
      <c r="V253" s="152" t="s">
        <v>857</v>
      </c>
      <c r="W253" s="152" t="s">
        <v>858</v>
      </c>
      <c r="X253" s="152" t="s">
        <v>1614</v>
      </c>
      <c r="Y253" s="152">
        <v>33.6</v>
      </c>
      <c r="Z253" s="152">
        <v>1</v>
      </c>
      <c r="AA253" s="152" t="s">
        <v>92</v>
      </c>
      <c r="AB253" s="152">
        <v>132</v>
      </c>
      <c r="AC253" s="152">
        <v>2</v>
      </c>
      <c r="AD253" s="152" t="s">
        <v>861</v>
      </c>
      <c r="AE253" s="152">
        <v>132</v>
      </c>
      <c r="AF253" s="152">
        <v>0</v>
      </c>
      <c r="AG253" s="152" t="s">
        <v>861</v>
      </c>
      <c r="AH253" s="152" t="s">
        <v>861</v>
      </c>
      <c r="AI253" s="152" t="s">
        <v>92</v>
      </c>
      <c r="AJ253" s="152" t="s">
        <v>92</v>
      </c>
      <c r="AK253" s="152" t="s">
        <v>972</v>
      </c>
      <c r="AL253" s="159" t="s">
        <v>856</v>
      </c>
      <c r="AP253" s="159" t="s">
        <v>856</v>
      </c>
      <c r="AQ253" s="159" t="s">
        <v>856</v>
      </c>
      <c r="AR253" s="159" t="s">
        <v>992</v>
      </c>
      <c r="AS253" s="159" t="s">
        <v>865</v>
      </c>
      <c r="AT253" s="152" t="str">
        <f t="shared" si="23"/>
        <v>VUNI12-241021</v>
      </c>
      <c r="AU253" s="152" t="str">
        <f t="shared" si="24"/>
        <v>IMPULSADORA DE VIVIENDAS QUETZALTECAS S.A.</v>
      </c>
      <c r="AV253" s="159">
        <v>1729.06</v>
      </c>
      <c r="AW253" s="159">
        <v>796529</v>
      </c>
      <c r="AX253" s="159">
        <v>35</v>
      </c>
      <c r="AY253" s="159">
        <v>796532</v>
      </c>
      <c r="AZ253" s="152" t="s">
        <v>864</v>
      </c>
      <c r="BA253" s="152" t="str">
        <f t="shared" si="12"/>
        <v>L22-189-MP160</v>
      </c>
      <c r="BB253" s="152">
        <v>24</v>
      </c>
      <c r="BC253" s="157">
        <v>44638</v>
      </c>
      <c r="BD253" s="157">
        <v>45003</v>
      </c>
      <c r="BE253" s="158">
        <v>341760</v>
      </c>
      <c r="BF253" s="152" t="s">
        <v>2497</v>
      </c>
      <c r="BG253" s="159" t="s">
        <v>875</v>
      </c>
      <c r="BH253" s="152">
        <v>132</v>
      </c>
      <c r="BI253" s="152">
        <v>0</v>
      </c>
      <c r="BJ253" s="152">
        <v>0</v>
      </c>
      <c r="BK253" s="152" t="s">
        <v>132</v>
      </c>
      <c r="BL253" s="152">
        <v>132</v>
      </c>
      <c r="BM253" s="152">
        <v>796531</v>
      </c>
      <c r="BN253" s="157" t="s">
        <v>1453</v>
      </c>
    </row>
    <row r="254" spans="1:66">
      <c r="A254" s="152" t="s">
        <v>2498</v>
      </c>
      <c r="B254" s="152" t="s">
        <v>2499</v>
      </c>
      <c r="C254" s="152" t="s">
        <v>2500</v>
      </c>
      <c r="D254" s="152" t="s">
        <v>2501</v>
      </c>
      <c r="E254" s="152" t="s">
        <v>2502</v>
      </c>
      <c r="F254" s="152">
        <v>255169</v>
      </c>
      <c r="G254" s="152">
        <v>29</v>
      </c>
      <c r="H254" s="152">
        <v>571</v>
      </c>
      <c r="I254" s="152">
        <v>202097</v>
      </c>
      <c r="J254" s="152">
        <v>221.54</v>
      </c>
      <c r="K254" s="152">
        <v>88997</v>
      </c>
      <c r="L254" s="159" t="s">
        <v>856</v>
      </c>
      <c r="M254" s="152" t="s">
        <v>92</v>
      </c>
      <c r="N254" s="152" t="s">
        <v>92</v>
      </c>
      <c r="O254" s="159" t="s">
        <v>856</v>
      </c>
      <c r="P254" s="159" t="s">
        <v>856</v>
      </c>
      <c r="Q254" s="152" t="s">
        <v>92</v>
      </c>
      <c r="R254" s="152" t="s">
        <v>92</v>
      </c>
      <c r="S254" s="159" t="s">
        <v>856</v>
      </c>
      <c r="T254" s="159" t="s">
        <v>856</v>
      </c>
      <c r="U254" s="159" t="s">
        <v>856</v>
      </c>
      <c r="V254" s="152" t="s">
        <v>857</v>
      </c>
      <c r="W254" s="152" t="s">
        <v>858</v>
      </c>
      <c r="X254" s="152" t="s">
        <v>882</v>
      </c>
      <c r="Y254" s="152">
        <v>29.86</v>
      </c>
      <c r="Z254" s="152">
        <v>1</v>
      </c>
      <c r="AA254" s="152" t="s">
        <v>883</v>
      </c>
      <c r="AB254" s="152">
        <v>343.16</v>
      </c>
      <c r="AC254" s="152">
        <v>2</v>
      </c>
      <c r="AD254" s="152" t="s">
        <v>861</v>
      </c>
      <c r="AE254" s="152">
        <v>343.16</v>
      </c>
      <c r="AF254" s="152">
        <v>0</v>
      </c>
      <c r="AG254" s="152">
        <v>56.13</v>
      </c>
      <c r="AH254" s="152" t="s">
        <v>861</v>
      </c>
      <c r="AI254" s="152" t="s">
        <v>92</v>
      </c>
      <c r="AJ254" s="152" t="s">
        <v>92</v>
      </c>
      <c r="AK254" s="152" t="s">
        <v>2503</v>
      </c>
      <c r="AL254" s="159" t="s">
        <v>856</v>
      </c>
      <c r="AP254" s="159" t="s">
        <v>856</v>
      </c>
      <c r="AQ254" s="159" t="s">
        <v>856</v>
      </c>
      <c r="AR254" s="159" t="s">
        <v>1034</v>
      </c>
      <c r="AS254" s="159" t="s">
        <v>865</v>
      </c>
      <c r="AT254" s="152" t="str">
        <f t="shared" si="23"/>
        <v>RPNRR-580721</v>
      </c>
      <c r="AU254" s="152" t="str">
        <f t="shared" si="24"/>
        <v>IRMA ELIZABETH DE PAZ SACOR DE RACANCOJ</v>
      </c>
      <c r="AV254" s="159">
        <v>4382.34</v>
      </c>
      <c r="AW254" s="159">
        <v>779082</v>
      </c>
      <c r="AX254" s="159">
        <v>53</v>
      </c>
      <c r="AY254" s="159">
        <v>779084</v>
      </c>
      <c r="AZ254" s="152" t="s">
        <v>864</v>
      </c>
      <c r="BA254" s="152" t="str">
        <f t="shared" si="12"/>
        <v>L22-597-LG095</v>
      </c>
      <c r="BB254" s="152">
        <v>0</v>
      </c>
      <c r="BC254" s="157">
        <v>44602</v>
      </c>
      <c r="BD254" s="157">
        <v>44602</v>
      </c>
      <c r="BE254" s="158">
        <v>868350.65</v>
      </c>
      <c r="BF254" s="152" t="s">
        <v>2504</v>
      </c>
      <c r="BG254" s="159" t="s">
        <v>894</v>
      </c>
      <c r="BH254" s="152">
        <v>343.16</v>
      </c>
      <c r="BI254" s="152">
        <v>0</v>
      </c>
      <c r="BJ254" s="152">
        <v>0</v>
      </c>
      <c r="BK254" s="152" t="s">
        <v>132</v>
      </c>
      <c r="BL254" s="152">
        <v>343.16</v>
      </c>
      <c r="BM254" s="152">
        <v>779083</v>
      </c>
      <c r="BN254" s="157" t="s">
        <v>1453</v>
      </c>
    </row>
    <row r="255" spans="1:66">
      <c r="A255" s="152" t="s">
        <v>2505</v>
      </c>
      <c r="B255" s="152" t="s">
        <v>2506</v>
      </c>
      <c r="C255" s="152" t="s">
        <v>2507</v>
      </c>
      <c r="D255" s="152" t="s">
        <v>2508</v>
      </c>
      <c r="E255" s="152" t="s">
        <v>2508</v>
      </c>
      <c r="F255" s="152">
        <v>2953</v>
      </c>
      <c r="G255" s="152">
        <v>453</v>
      </c>
      <c r="H255" s="152" t="s">
        <v>2509</v>
      </c>
      <c r="I255" s="152">
        <v>202750</v>
      </c>
      <c r="J255" s="152">
        <v>142.65</v>
      </c>
      <c r="K255" s="152">
        <v>89505</v>
      </c>
      <c r="L255" s="159" t="s">
        <v>856</v>
      </c>
      <c r="M255" s="152" t="s">
        <v>92</v>
      </c>
      <c r="N255" s="152" t="s">
        <v>92</v>
      </c>
      <c r="O255" s="159" t="s">
        <v>856</v>
      </c>
      <c r="P255" s="159" t="s">
        <v>856</v>
      </c>
      <c r="Q255" s="152" t="s">
        <v>92</v>
      </c>
      <c r="R255" s="152" t="s">
        <v>92</v>
      </c>
      <c r="S255" s="159" t="s">
        <v>856</v>
      </c>
      <c r="T255" s="159" t="s">
        <v>856</v>
      </c>
      <c r="U255" s="159" t="s">
        <v>856</v>
      </c>
      <c r="V255" s="152" t="s">
        <v>857</v>
      </c>
      <c r="W255" s="152" t="s">
        <v>858</v>
      </c>
      <c r="X255" s="152" t="s">
        <v>1083</v>
      </c>
      <c r="Y255" s="152">
        <v>77.040000000000006</v>
      </c>
      <c r="Z255" s="152">
        <v>1</v>
      </c>
      <c r="AA255" s="152" t="s">
        <v>92</v>
      </c>
      <c r="AB255" s="152">
        <v>191.64</v>
      </c>
      <c r="AC255" s="152">
        <v>2</v>
      </c>
      <c r="AD255" s="152" t="s">
        <v>861</v>
      </c>
      <c r="AE255" s="152">
        <v>191.64</v>
      </c>
      <c r="AF255" s="152">
        <v>0</v>
      </c>
      <c r="AG255" s="152" t="s">
        <v>861</v>
      </c>
      <c r="AH255" s="152" t="s">
        <v>861</v>
      </c>
      <c r="AI255" s="152" t="s">
        <v>92</v>
      </c>
      <c r="AJ255" s="152" t="s">
        <v>92</v>
      </c>
      <c r="AK255" s="152" t="s">
        <v>884</v>
      </c>
      <c r="AL255" s="159" t="s">
        <v>856</v>
      </c>
      <c r="AP255" s="159" t="s">
        <v>856</v>
      </c>
      <c r="AQ255" s="159" t="s">
        <v>856</v>
      </c>
      <c r="AR255" s="159" t="s">
        <v>992</v>
      </c>
      <c r="AS255" s="159" t="s">
        <v>865</v>
      </c>
      <c r="AT255" s="152" t="str">
        <f t="shared" si="23"/>
        <v>RPNR9-230722</v>
      </c>
      <c r="AU255" s="152" t="str">
        <f t="shared" si="24"/>
        <v>ANA LESLY ROQUEL OTZOY Y CONDUEÑO</v>
      </c>
      <c r="AV255" s="159">
        <v>2565.66</v>
      </c>
      <c r="AW255" s="159">
        <v>895021</v>
      </c>
      <c r="AX255" s="159">
        <v>50</v>
      </c>
      <c r="AY255" s="159">
        <v>895023</v>
      </c>
      <c r="AZ255" s="152" t="s">
        <v>864</v>
      </c>
      <c r="BA255" s="152" t="str">
        <f t="shared" si="12"/>
        <v>L22-640-LG170</v>
      </c>
      <c r="BB255" s="152">
        <v>0</v>
      </c>
      <c r="BC255" s="157">
        <v>44805</v>
      </c>
      <c r="BD255" s="157">
        <v>44805</v>
      </c>
      <c r="BE255" s="158">
        <v>506064</v>
      </c>
      <c r="BF255" s="152" t="s">
        <v>2510</v>
      </c>
      <c r="BG255" s="159" t="s">
        <v>894</v>
      </c>
      <c r="BH255" s="152">
        <v>191.64</v>
      </c>
      <c r="BI255" s="152">
        <v>0</v>
      </c>
      <c r="BJ255" s="152">
        <v>0</v>
      </c>
      <c r="BK255" s="152" t="s">
        <v>132</v>
      </c>
      <c r="BL255" s="152">
        <v>191.64</v>
      </c>
      <c r="BM255" s="152">
        <v>895022</v>
      </c>
      <c r="BN255" s="157" t="s">
        <v>1453</v>
      </c>
    </row>
    <row r="256" spans="1:66">
      <c r="A256" s="152" t="s">
        <v>2511</v>
      </c>
      <c r="B256" s="152" t="s">
        <v>2512</v>
      </c>
      <c r="C256" s="152" t="s">
        <v>2513</v>
      </c>
      <c r="D256" s="152" t="s">
        <v>2514</v>
      </c>
      <c r="E256" s="152" t="s">
        <v>2515</v>
      </c>
      <c r="F256" s="152">
        <v>2918</v>
      </c>
      <c r="G256" s="152">
        <v>418</v>
      </c>
      <c r="H256" s="152" t="s">
        <v>2516</v>
      </c>
      <c r="I256" s="152">
        <v>201714</v>
      </c>
      <c r="J256" s="152">
        <v>109</v>
      </c>
      <c r="K256" s="152">
        <v>88661</v>
      </c>
      <c r="L256" s="159" t="s">
        <v>856</v>
      </c>
      <c r="M256" s="152" t="s">
        <v>92</v>
      </c>
      <c r="N256" s="152" t="s">
        <v>92</v>
      </c>
      <c r="O256" s="159" t="s">
        <v>856</v>
      </c>
      <c r="P256" s="159" t="s">
        <v>856</v>
      </c>
      <c r="Q256" s="152" t="s">
        <v>92</v>
      </c>
      <c r="R256" s="152" t="s">
        <v>92</v>
      </c>
      <c r="S256" s="159" t="s">
        <v>856</v>
      </c>
      <c r="T256" s="159" t="s">
        <v>856</v>
      </c>
      <c r="U256" s="159" t="s">
        <v>856</v>
      </c>
      <c r="V256" s="152" t="s">
        <v>857</v>
      </c>
      <c r="W256" s="152" t="s">
        <v>858</v>
      </c>
      <c r="X256" s="152" t="s">
        <v>1083</v>
      </c>
      <c r="Y256" s="152">
        <v>6.67</v>
      </c>
      <c r="Z256" s="152">
        <v>1</v>
      </c>
      <c r="AA256" s="152" t="s">
        <v>92</v>
      </c>
      <c r="AB256" s="152">
        <v>101.45</v>
      </c>
      <c r="AC256" s="152">
        <v>1</v>
      </c>
      <c r="AD256" s="152" t="s">
        <v>861</v>
      </c>
      <c r="AE256" s="152">
        <v>101.45</v>
      </c>
      <c r="AF256" s="152">
        <v>0</v>
      </c>
      <c r="AG256" s="152" t="s">
        <v>861</v>
      </c>
      <c r="AH256" s="152" t="s">
        <v>861</v>
      </c>
      <c r="AI256" s="152" t="s">
        <v>92</v>
      </c>
      <c r="AJ256" s="152" t="s">
        <v>92</v>
      </c>
      <c r="AK256" s="152" t="s">
        <v>884</v>
      </c>
      <c r="AL256" s="159" t="s">
        <v>856</v>
      </c>
      <c r="AP256" s="159" t="s">
        <v>856</v>
      </c>
      <c r="AQ256" s="159" t="s">
        <v>856</v>
      </c>
      <c r="AR256" s="159" t="s">
        <v>863</v>
      </c>
      <c r="AS256" s="159" t="s">
        <v>865</v>
      </c>
      <c r="AT256" s="152" t="str">
        <f t="shared" si="23"/>
        <v>RPNV8-471021</v>
      </c>
      <c r="AU256" s="152" t="str">
        <f t="shared" si="24"/>
        <v>FELIX VICENTE VICENTE</v>
      </c>
      <c r="AV256" s="159">
        <v>1035.69</v>
      </c>
      <c r="AW256" s="159">
        <v>731130</v>
      </c>
      <c r="AX256" s="159">
        <v>46.5</v>
      </c>
      <c r="AY256" s="159">
        <v>731131</v>
      </c>
      <c r="AZ256" s="152" t="s">
        <v>864</v>
      </c>
      <c r="BA256" s="152" t="str">
        <f t="shared" si="12"/>
        <v>L21-890-LG204</v>
      </c>
      <c r="BB256" s="152">
        <v>0</v>
      </c>
      <c r="BC256" s="157">
        <v>44538</v>
      </c>
      <c r="BD256" s="157">
        <v>44538</v>
      </c>
      <c r="BE256" s="158">
        <v>205234.5</v>
      </c>
      <c r="BG256" s="159" t="s">
        <v>2033</v>
      </c>
      <c r="BK256" s="152" t="s">
        <v>132</v>
      </c>
      <c r="BN256" s="157" t="s">
        <v>1453</v>
      </c>
    </row>
    <row r="257" spans="1:66">
      <c r="A257" s="152" t="s">
        <v>2517</v>
      </c>
      <c r="B257" s="152" t="s">
        <v>2518</v>
      </c>
      <c r="C257" s="152" t="s">
        <v>2519</v>
      </c>
      <c r="D257" s="152" t="s">
        <v>2520</v>
      </c>
      <c r="E257" s="152" t="s">
        <v>2521</v>
      </c>
      <c r="F257" s="152">
        <v>3331</v>
      </c>
      <c r="G257" s="152">
        <v>331</v>
      </c>
      <c r="H257" s="152" t="s">
        <v>1198</v>
      </c>
      <c r="I257" s="152">
        <v>178482</v>
      </c>
      <c r="J257" s="152">
        <v>191.55</v>
      </c>
      <c r="K257" s="152">
        <v>84495</v>
      </c>
      <c r="L257" s="159" t="s">
        <v>1590</v>
      </c>
      <c r="M257" s="152" t="s">
        <v>92</v>
      </c>
      <c r="N257" s="152" t="s">
        <v>883</v>
      </c>
      <c r="O257" s="159">
        <v>2367</v>
      </c>
      <c r="P257" s="159" t="s">
        <v>1590</v>
      </c>
      <c r="Q257" s="152" t="s">
        <v>92</v>
      </c>
      <c r="R257" s="152" t="s">
        <v>883</v>
      </c>
      <c r="S257" s="159">
        <v>2367</v>
      </c>
      <c r="T257" s="159" t="s">
        <v>856</v>
      </c>
      <c r="U257" s="159" t="s">
        <v>856</v>
      </c>
      <c r="V257" s="152" t="s">
        <v>2522</v>
      </c>
      <c r="W257" s="152" t="s">
        <v>858</v>
      </c>
      <c r="X257" s="152" t="s">
        <v>1083</v>
      </c>
      <c r="Y257" s="152">
        <v>104.83</v>
      </c>
      <c r="Z257" s="152">
        <v>1</v>
      </c>
      <c r="AA257" s="152" t="s">
        <v>92</v>
      </c>
      <c r="AB257" s="152">
        <v>152.63999999999999</v>
      </c>
      <c r="AC257" s="152">
        <v>2</v>
      </c>
      <c r="AD257" s="152" t="s">
        <v>861</v>
      </c>
      <c r="AE257" s="152">
        <v>0</v>
      </c>
      <c r="AF257" s="152">
        <v>152.63999999999999</v>
      </c>
      <c r="AG257" s="152">
        <v>115.23</v>
      </c>
      <c r="AH257" s="152" t="s">
        <v>861</v>
      </c>
      <c r="AI257" s="152" t="s">
        <v>92</v>
      </c>
      <c r="AJ257" s="152" t="s">
        <v>92</v>
      </c>
      <c r="AK257" s="152" t="s">
        <v>912</v>
      </c>
      <c r="AL257" s="159" t="s">
        <v>856</v>
      </c>
      <c r="AP257" s="159" t="s">
        <v>856</v>
      </c>
      <c r="AQ257" s="159" t="s">
        <v>856</v>
      </c>
      <c r="AR257" s="159" t="s">
        <v>863</v>
      </c>
      <c r="AS257" s="159" t="s">
        <v>865</v>
      </c>
      <c r="AT257" s="152" t="str">
        <f t="shared" si="23"/>
        <v>VUNA10-010622</v>
      </c>
      <c r="AU257" s="152" t="str">
        <f t="shared" si="24"/>
        <v>ASOC. DE LA IGLESIA PENTECOSTAL UNIDA DE G.</v>
      </c>
      <c r="AV257" s="159">
        <v>2342.4299999999998</v>
      </c>
      <c r="AW257" s="159">
        <v>825380</v>
      </c>
      <c r="AX257" s="159">
        <v>50</v>
      </c>
      <c r="AY257" s="159">
        <v>825383</v>
      </c>
      <c r="AZ257" s="152" t="s">
        <v>864</v>
      </c>
      <c r="BA257" s="152" t="str">
        <f t="shared" si="12"/>
        <v>L23-079-LG012</v>
      </c>
      <c r="BB257" s="152">
        <v>24</v>
      </c>
      <c r="BC257" s="157">
        <v>44974</v>
      </c>
      <c r="BD257" s="157">
        <v>45339</v>
      </c>
      <c r="BE257" s="158">
        <v>418291.20000000001</v>
      </c>
      <c r="BF257" s="152" t="s">
        <v>2523</v>
      </c>
      <c r="BG257" s="159" t="s">
        <v>2524</v>
      </c>
      <c r="BH257" s="152">
        <v>0</v>
      </c>
      <c r="BI257" s="152">
        <v>0</v>
      </c>
      <c r="BJ257" s="152">
        <v>152.63999999999999</v>
      </c>
      <c r="BK257" s="152" t="s">
        <v>958</v>
      </c>
      <c r="BL257" s="152">
        <v>190.8</v>
      </c>
      <c r="BM257" s="152">
        <v>825382</v>
      </c>
      <c r="BN257" s="157">
        <v>46070</v>
      </c>
    </row>
    <row r="258" spans="1:66">
      <c r="A258" s="152" t="s">
        <v>2525</v>
      </c>
      <c r="B258" s="152" t="s">
        <v>2526</v>
      </c>
      <c r="C258" s="152" t="s">
        <v>2527</v>
      </c>
      <c r="D258" s="152" t="s">
        <v>2528</v>
      </c>
      <c r="E258" s="152" t="s">
        <v>2528</v>
      </c>
      <c r="F258" s="152">
        <v>7930</v>
      </c>
      <c r="G258" s="152">
        <v>430</v>
      </c>
      <c r="H258" s="152" t="s">
        <v>2529</v>
      </c>
      <c r="I258" s="152">
        <v>201683</v>
      </c>
      <c r="J258" s="152">
        <v>90</v>
      </c>
      <c r="K258" s="152">
        <v>88635</v>
      </c>
      <c r="L258" s="159" t="s">
        <v>2530</v>
      </c>
      <c r="M258" s="152" t="s">
        <v>92</v>
      </c>
      <c r="N258" s="152" t="s">
        <v>883</v>
      </c>
      <c r="O258" s="159">
        <v>4003</v>
      </c>
      <c r="P258" s="159" t="s">
        <v>2530</v>
      </c>
      <c r="Q258" s="152" t="s">
        <v>92</v>
      </c>
      <c r="R258" s="152" t="s">
        <v>883</v>
      </c>
      <c r="S258" s="159">
        <v>4003</v>
      </c>
      <c r="T258" s="159" t="s">
        <v>856</v>
      </c>
      <c r="U258" s="159" t="s">
        <v>856</v>
      </c>
      <c r="V258" s="152" t="s">
        <v>857</v>
      </c>
      <c r="W258" s="152" t="s">
        <v>858</v>
      </c>
      <c r="X258" s="152" t="s">
        <v>1083</v>
      </c>
      <c r="Y258" s="152">
        <v>58.27</v>
      </c>
      <c r="Z258" s="152">
        <v>1</v>
      </c>
      <c r="AA258" s="152" t="s">
        <v>92</v>
      </c>
      <c r="AB258" s="152">
        <v>49.2</v>
      </c>
      <c r="AC258" s="152">
        <v>1</v>
      </c>
      <c r="AD258" s="152" t="s">
        <v>861</v>
      </c>
      <c r="AE258" s="152">
        <v>49.2</v>
      </c>
      <c r="AF258" s="152">
        <v>0</v>
      </c>
      <c r="AG258" s="152" t="s">
        <v>861</v>
      </c>
      <c r="AH258" s="152" t="s">
        <v>861</v>
      </c>
      <c r="AI258" s="152" t="s">
        <v>92</v>
      </c>
      <c r="AJ258" s="152" t="s">
        <v>92</v>
      </c>
      <c r="AK258" s="152" t="s">
        <v>862</v>
      </c>
      <c r="AL258" s="159" t="s">
        <v>856</v>
      </c>
      <c r="AP258" s="159" t="s">
        <v>856</v>
      </c>
      <c r="AQ258" s="159" t="s">
        <v>856</v>
      </c>
      <c r="AR258" s="159" t="s">
        <v>992</v>
      </c>
      <c r="AS258" s="159" t="s">
        <v>865</v>
      </c>
      <c r="AT258" s="152" t="str">
        <f t="shared" si="23"/>
        <v>VUNV11-011222</v>
      </c>
      <c r="AU258" s="152" t="str">
        <f t="shared" si="24"/>
        <v>CATARINA ELIZABETH VICENTE MENCHU</v>
      </c>
      <c r="AV258" s="159">
        <v>697.59</v>
      </c>
      <c r="AW258" s="159">
        <v>827108</v>
      </c>
      <c r="AX258" s="159">
        <v>30</v>
      </c>
      <c r="AY258" s="159">
        <v>827111</v>
      </c>
      <c r="AZ258" s="152" t="s">
        <v>864</v>
      </c>
      <c r="BA258" s="152" t="str">
        <f t="shared" si="12"/>
        <v>L23-084-LG008</v>
      </c>
      <c r="BB258" s="152">
        <v>15</v>
      </c>
      <c r="BC258" s="157">
        <v>44977</v>
      </c>
      <c r="BD258" s="157">
        <v>44977</v>
      </c>
      <c r="BE258" s="158">
        <v>121710</v>
      </c>
      <c r="BF258" s="152" t="s">
        <v>2531</v>
      </c>
      <c r="BG258" s="159" t="s">
        <v>2532</v>
      </c>
      <c r="BH258" s="152">
        <v>49.2</v>
      </c>
      <c r="BI258" s="152">
        <v>0</v>
      </c>
      <c r="BJ258" s="152">
        <v>0</v>
      </c>
      <c r="BK258" s="152" t="s">
        <v>132</v>
      </c>
      <c r="BL258" s="152">
        <v>49.2</v>
      </c>
      <c r="BM258" s="152">
        <v>827110</v>
      </c>
      <c r="BN258" s="157" t="s">
        <v>1453</v>
      </c>
    </row>
    <row r="259" spans="1:66">
      <c r="A259" s="152" t="s">
        <v>2533</v>
      </c>
      <c r="B259" s="152" t="s">
        <v>2534</v>
      </c>
      <c r="C259" s="152" t="s">
        <v>2535</v>
      </c>
      <c r="D259" s="152" t="s">
        <v>2536</v>
      </c>
      <c r="E259" s="152" t="s">
        <v>1400</v>
      </c>
      <c r="F259" s="152">
        <v>7870</v>
      </c>
      <c r="G259" s="152">
        <v>370</v>
      </c>
      <c r="H259" s="152" t="s">
        <v>2529</v>
      </c>
      <c r="I259" s="152">
        <v>180213</v>
      </c>
      <c r="J259" s="152">
        <v>90</v>
      </c>
      <c r="K259" s="159" t="s">
        <v>865</v>
      </c>
      <c r="L259" s="159" t="s">
        <v>2537</v>
      </c>
      <c r="M259" s="152" t="s">
        <v>92</v>
      </c>
      <c r="N259" s="152" t="s">
        <v>883</v>
      </c>
      <c r="O259" s="159">
        <v>5801</v>
      </c>
      <c r="P259" s="159" t="s">
        <v>2537</v>
      </c>
      <c r="Q259" s="152" t="s">
        <v>92</v>
      </c>
      <c r="R259" s="152" t="s">
        <v>883</v>
      </c>
      <c r="S259" s="159">
        <v>5801</v>
      </c>
      <c r="T259" s="159" t="s">
        <v>1402</v>
      </c>
      <c r="U259" s="159" t="s">
        <v>1403</v>
      </c>
      <c r="V259" s="152" t="s">
        <v>857</v>
      </c>
      <c r="W259" s="152" t="s">
        <v>858</v>
      </c>
      <c r="X259" s="152" t="s">
        <v>1083</v>
      </c>
      <c r="Y259" s="152">
        <v>27.52</v>
      </c>
      <c r="Z259" s="152">
        <v>1</v>
      </c>
      <c r="AA259" s="152" t="s">
        <v>92</v>
      </c>
      <c r="AB259" s="152">
        <v>151.29</v>
      </c>
      <c r="AC259" s="152">
        <v>2</v>
      </c>
      <c r="AD259" s="152" t="s">
        <v>861</v>
      </c>
      <c r="AE259" s="152">
        <v>151.29</v>
      </c>
      <c r="AF259" s="152">
        <v>0</v>
      </c>
      <c r="AG259" s="152" t="s">
        <v>861</v>
      </c>
      <c r="AH259" s="152" t="s">
        <v>861</v>
      </c>
      <c r="AI259" s="152" t="s">
        <v>92</v>
      </c>
      <c r="AJ259" s="152" t="s">
        <v>92</v>
      </c>
      <c r="AK259" s="152" t="s">
        <v>862</v>
      </c>
      <c r="AL259" s="159" t="s">
        <v>856</v>
      </c>
      <c r="AP259" s="159" t="s">
        <v>856</v>
      </c>
      <c r="AQ259" s="159" t="s">
        <v>856</v>
      </c>
      <c r="AR259" s="159" t="s">
        <v>992</v>
      </c>
      <c r="AS259" s="159" t="s">
        <v>865</v>
      </c>
      <c r="AT259" s="152" t="str">
        <f t="shared" si="23"/>
        <v>VUNL11-021222</v>
      </c>
      <c r="AU259" s="152" t="str">
        <f t="shared" si="24"/>
        <v>HEBER MISAEL LEPE BAMACA</v>
      </c>
      <c r="AV259" s="159">
        <v>1960.19</v>
      </c>
      <c r="AW259" s="159">
        <v>829024</v>
      </c>
      <c r="AX259" s="159">
        <v>30</v>
      </c>
      <c r="AY259" s="159">
        <v>829027</v>
      </c>
      <c r="AZ259" s="152" t="s">
        <v>864</v>
      </c>
      <c r="BA259" s="152" t="str">
        <f t="shared" si="12"/>
        <v>L23-109-LG010</v>
      </c>
      <c r="BB259" s="152">
        <v>24</v>
      </c>
      <c r="BC259" s="157">
        <v>44986</v>
      </c>
      <c r="BD259" s="157">
        <v>45352</v>
      </c>
      <c r="BE259" s="158">
        <v>387857</v>
      </c>
      <c r="BF259" s="152" t="s">
        <v>2538</v>
      </c>
      <c r="BG259" s="159" t="s">
        <v>2539</v>
      </c>
      <c r="BH259" s="152">
        <v>151.29</v>
      </c>
      <c r="BI259" s="152">
        <v>0</v>
      </c>
      <c r="BJ259" s="152">
        <v>0</v>
      </c>
      <c r="BK259" s="152" t="s">
        <v>132</v>
      </c>
      <c r="BL259" s="152">
        <v>151.29</v>
      </c>
      <c r="BM259" s="152">
        <v>829026</v>
      </c>
      <c r="BN259" s="157" t="s">
        <v>1453</v>
      </c>
    </row>
    <row r="260" spans="1:66">
      <c r="A260" s="152" t="s">
        <v>2540</v>
      </c>
      <c r="B260" s="152" t="s">
        <v>2541</v>
      </c>
      <c r="C260" s="152" t="s">
        <v>2542</v>
      </c>
      <c r="D260" s="152" t="s">
        <v>2543</v>
      </c>
      <c r="E260" s="152" t="s">
        <v>2543</v>
      </c>
      <c r="F260" s="152">
        <v>5455</v>
      </c>
      <c r="G260" s="152">
        <v>455</v>
      </c>
      <c r="H260" s="152" t="s">
        <v>1041</v>
      </c>
      <c r="I260" s="152">
        <v>202809</v>
      </c>
      <c r="J260" s="152">
        <v>90.06</v>
      </c>
      <c r="K260" s="152">
        <v>89556</v>
      </c>
      <c r="L260" s="159" t="s">
        <v>856</v>
      </c>
      <c r="M260" s="152" t="s">
        <v>92</v>
      </c>
      <c r="N260" s="152" t="s">
        <v>92</v>
      </c>
      <c r="O260" s="159" t="s">
        <v>856</v>
      </c>
      <c r="P260" s="159" t="s">
        <v>856</v>
      </c>
      <c r="Q260" s="152" t="s">
        <v>92</v>
      </c>
      <c r="R260" s="152" t="s">
        <v>92</v>
      </c>
      <c r="S260" s="159" t="s">
        <v>856</v>
      </c>
      <c r="T260" s="159" t="s">
        <v>856</v>
      </c>
      <c r="U260" s="159" t="s">
        <v>856</v>
      </c>
      <c r="V260" s="152" t="s">
        <v>857</v>
      </c>
      <c r="W260" s="152" t="s">
        <v>858</v>
      </c>
      <c r="X260" s="152" t="s">
        <v>1083</v>
      </c>
      <c r="Y260" s="152">
        <v>21.39</v>
      </c>
      <c r="Z260" s="152">
        <v>1</v>
      </c>
      <c r="AA260" s="152" t="s">
        <v>92</v>
      </c>
      <c r="AB260" s="152">
        <v>68.260000000000005</v>
      </c>
      <c r="AC260" s="152">
        <v>1</v>
      </c>
      <c r="AD260" s="152" t="s">
        <v>861</v>
      </c>
      <c r="AE260" s="152">
        <v>68.260000000000005</v>
      </c>
      <c r="AF260" s="152">
        <v>0</v>
      </c>
      <c r="AG260" s="152" t="s">
        <v>861</v>
      </c>
      <c r="AH260" s="152" t="s">
        <v>861</v>
      </c>
      <c r="AI260" s="152" t="s">
        <v>92</v>
      </c>
      <c r="AJ260" s="152" t="s">
        <v>92</v>
      </c>
      <c r="AK260" s="152" t="s">
        <v>1620</v>
      </c>
      <c r="AL260" s="159" t="s">
        <v>856</v>
      </c>
      <c r="AP260" s="159" t="s">
        <v>856</v>
      </c>
      <c r="AQ260" s="159" t="s">
        <v>856</v>
      </c>
      <c r="AR260" s="159" t="s">
        <v>863</v>
      </c>
      <c r="AS260" s="159" t="s">
        <v>865</v>
      </c>
      <c r="AT260" s="152" t="str">
        <f t="shared" si="23"/>
        <v>RPNC6-231020</v>
      </c>
      <c r="AU260" s="152" t="str">
        <f t="shared" si="24"/>
        <v>LETICIA AZUCENA CIFUENTES LOPEZ</v>
      </c>
      <c r="AV260" s="159">
        <v>808.11</v>
      </c>
      <c r="AW260" s="159">
        <v>697672</v>
      </c>
      <c r="AX260" s="159">
        <v>46.2</v>
      </c>
      <c r="AY260" s="159">
        <v>697674</v>
      </c>
      <c r="AZ260" s="152" t="s">
        <v>864</v>
      </c>
      <c r="BA260" s="152" t="str">
        <f t="shared" si="12"/>
        <v>L21-1027-LG206</v>
      </c>
      <c r="BB260" s="152">
        <v>0</v>
      </c>
      <c r="BC260" s="157">
        <v>44391</v>
      </c>
      <c r="BD260" s="157">
        <v>44391</v>
      </c>
      <c r="BE260" s="158">
        <v>146610.5</v>
      </c>
      <c r="BF260" s="152" t="s">
        <v>2544</v>
      </c>
      <c r="BG260" s="159" t="s">
        <v>894</v>
      </c>
      <c r="BH260" s="152">
        <v>68.260000000000005</v>
      </c>
      <c r="BI260" s="152">
        <v>0</v>
      </c>
      <c r="BJ260" s="152">
        <v>0</v>
      </c>
      <c r="BK260" s="152" t="s">
        <v>132</v>
      </c>
      <c r="BL260" s="152">
        <v>68.260000000000005</v>
      </c>
      <c r="BM260" s="152">
        <v>697673</v>
      </c>
      <c r="BN260" s="157" t="s">
        <v>1453</v>
      </c>
    </row>
    <row r="261" spans="1:66">
      <c r="A261" s="152" t="s">
        <v>2545</v>
      </c>
      <c r="B261" s="152" t="s">
        <v>2546</v>
      </c>
      <c r="C261" s="152" t="s">
        <v>2547</v>
      </c>
      <c r="D261" s="152" t="s">
        <v>2548</v>
      </c>
      <c r="E261" s="152" t="s">
        <v>2548</v>
      </c>
      <c r="F261" s="152">
        <v>5465</v>
      </c>
      <c r="G261" s="152">
        <v>465</v>
      </c>
      <c r="H261" s="152" t="s">
        <v>1041</v>
      </c>
      <c r="I261" s="152">
        <v>202808</v>
      </c>
      <c r="J261" s="152">
        <v>89.98</v>
      </c>
      <c r="K261" s="152">
        <v>89555</v>
      </c>
      <c r="L261" s="159" t="s">
        <v>856</v>
      </c>
      <c r="M261" s="152" t="s">
        <v>92</v>
      </c>
      <c r="N261" s="152" t="s">
        <v>92</v>
      </c>
      <c r="O261" s="159" t="s">
        <v>856</v>
      </c>
      <c r="P261" s="159" t="s">
        <v>856</v>
      </c>
      <c r="Q261" s="152" t="s">
        <v>92</v>
      </c>
      <c r="R261" s="152" t="s">
        <v>92</v>
      </c>
      <c r="S261" s="159" t="s">
        <v>856</v>
      </c>
      <c r="T261" s="159" t="s">
        <v>856</v>
      </c>
      <c r="U261" s="159" t="s">
        <v>856</v>
      </c>
      <c r="V261" s="152" t="s">
        <v>857</v>
      </c>
      <c r="W261" s="152" t="s">
        <v>858</v>
      </c>
      <c r="X261" s="152" t="s">
        <v>1083</v>
      </c>
      <c r="Y261" s="152">
        <v>0</v>
      </c>
      <c r="Z261" s="152">
        <v>1</v>
      </c>
      <c r="AA261" s="152" t="s">
        <v>92</v>
      </c>
      <c r="AB261" s="152">
        <v>136.22</v>
      </c>
      <c r="AC261" s="152">
        <v>2</v>
      </c>
      <c r="AD261" s="152" t="s">
        <v>861</v>
      </c>
      <c r="AE261" s="152">
        <v>136.22</v>
      </c>
      <c r="AF261" s="152">
        <v>0</v>
      </c>
      <c r="AG261" s="152" t="s">
        <v>861</v>
      </c>
      <c r="AH261" s="152" t="s">
        <v>861</v>
      </c>
      <c r="AI261" s="152" t="s">
        <v>92</v>
      </c>
      <c r="AJ261" s="152" t="s">
        <v>92</v>
      </c>
      <c r="AK261" s="152" t="s">
        <v>1620</v>
      </c>
      <c r="AL261" s="159" t="s">
        <v>856</v>
      </c>
      <c r="AP261" s="159" t="s">
        <v>856</v>
      </c>
      <c r="AQ261" s="159" t="s">
        <v>856</v>
      </c>
      <c r="AR261" s="159" t="s">
        <v>863</v>
      </c>
      <c r="AS261" s="159" t="s">
        <v>865</v>
      </c>
      <c r="AT261" s="152" t="str">
        <f t="shared" si="23"/>
        <v>RPNS6-241020</v>
      </c>
      <c r="AU261" s="152" t="str">
        <f t="shared" si="24"/>
        <v>HENRY SAUL SANTIAGO CIFUENTES</v>
      </c>
      <c r="AV261" s="159">
        <v>1716.37</v>
      </c>
      <c r="AW261" s="159">
        <v>697666</v>
      </c>
      <c r="AX261" s="159">
        <v>55.25</v>
      </c>
      <c r="AY261" s="159">
        <v>697668</v>
      </c>
      <c r="AZ261" s="152" t="s">
        <v>864</v>
      </c>
      <c r="BA261" s="152" t="str">
        <f t="shared" si="12"/>
        <v>L21-1026-LG205</v>
      </c>
      <c r="BB261" s="152">
        <v>0</v>
      </c>
      <c r="BC261" s="157">
        <v>44391</v>
      </c>
      <c r="BD261" s="157">
        <v>44391</v>
      </c>
      <c r="BE261" s="158">
        <v>340550</v>
      </c>
      <c r="BF261" s="152" t="s">
        <v>2549</v>
      </c>
      <c r="BG261" s="159" t="s">
        <v>894</v>
      </c>
      <c r="BH261" s="152">
        <v>136.22</v>
      </c>
      <c r="BI261" s="152">
        <v>0</v>
      </c>
      <c r="BJ261" s="152">
        <v>0</v>
      </c>
      <c r="BK261" s="152" t="s">
        <v>132</v>
      </c>
      <c r="BL261" s="152">
        <v>136.22</v>
      </c>
      <c r="BM261" s="152">
        <v>697667</v>
      </c>
      <c r="BN261" s="157" t="s">
        <v>1453</v>
      </c>
    </row>
    <row r="262" spans="1:66">
      <c r="A262" s="152" t="s">
        <v>2550</v>
      </c>
      <c r="B262" s="152" t="s">
        <v>2551</v>
      </c>
      <c r="C262" s="152" t="s">
        <v>1262</v>
      </c>
      <c r="D262" s="152" t="s">
        <v>2552</v>
      </c>
      <c r="E262" s="152" t="s">
        <v>1264</v>
      </c>
      <c r="F262" s="152">
        <v>2863</v>
      </c>
      <c r="G262" s="152">
        <v>363</v>
      </c>
      <c r="H262" s="152" t="s">
        <v>1265</v>
      </c>
      <c r="I262" s="152">
        <v>202335</v>
      </c>
      <c r="J262" s="152">
        <v>96</v>
      </c>
      <c r="K262" s="152">
        <v>89172</v>
      </c>
      <c r="L262" s="159" t="s">
        <v>1266</v>
      </c>
      <c r="M262" s="152" t="s">
        <v>92</v>
      </c>
      <c r="N262" s="152" t="s">
        <v>883</v>
      </c>
      <c r="O262" s="159">
        <v>3989</v>
      </c>
      <c r="P262" s="159" t="s">
        <v>1267</v>
      </c>
      <c r="Q262" s="152" t="s">
        <v>883</v>
      </c>
      <c r="R262" s="152" t="s">
        <v>92</v>
      </c>
      <c r="S262" s="159">
        <v>13080</v>
      </c>
      <c r="T262" s="159" t="s">
        <v>1603</v>
      </c>
      <c r="U262" s="159" t="s">
        <v>1604</v>
      </c>
      <c r="V262" s="152" t="s">
        <v>857</v>
      </c>
      <c r="W262" s="152" t="s">
        <v>1268</v>
      </c>
      <c r="X262" s="152" t="s">
        <v>1083</v>
      </c>
      <c r="Y262" s="152">
        <v>32.200000000000003</v>
      </c>
      <c r="Z262" s="152">
        <v>1</v>
      </c>
      <c r="AA262" s="152" t="s">
        <v>92</v>
      </c>
      <c r="AB262" s="152">
        <v>128</v>
      </c>
      <c r="AC262" s="152">
        <v>2</v>
      </c>
      <c r="AD262" s="152" t="s">
        <v>861</v>
      </c>
      <c r="AE262" s="152">
        <v>128</v>
      </c>
      <c r="AF262" s="152">
        <v>0</v>
      </c>
      <c r="AG262" s="152" t="s">
        <v>861</v>
      </c>
      <c r="AH262" s="152" t="s">
        <v>861</v>
      </c>
      <c r="AI262" s="152" t="s">
        <v>92</v>
      </c>
      <c r="AJ262" s="152" t="s">
        <v>92</v>
      </c>
      <c r="AK262" s="152" t="s">
        <v>862</v>
      </c>
      <c r="AL262" s="159" t="s">
        <v>856</v>
      </c>
      <c r="AP262" s="159" t="s">
        <v>856</v>
      </c>
      <c r="AQ262" s="159" t="s">
        <v>856</v>
      </c>
      <c r="AR262" s="159" t="s">
        <v>992</v>
      </c>
      <c r="AS262" s="159" t="s">
        <v>865</v>
      </c>
      <c r="AT262" s="152" t="str">
        <f t="shared" si="23"/>
        <v>VUNCR-661022</v>
      </c>
      <c r="AU262" s="152" t="str">
        <f t="shared" si="24"/>
        <v>COMPLEJOS COLONIALES, S.A.</v>
      </c>
      <c r="AV262" s="159">
        <v>1675.91</v>
      </c>
      <c r="AW262" s="159">
        <v>848829</v>
      </c>
      <c r="AX262" s="159">
        <v>30</v>
      </c>
      <c r="AY262" s="159">
        <v>848832</v>
      </c>
      <c r="AZ262" s="152" t="s">
        <v>864</v>
      </c>
      <c r="BA262" s="152" t="str">
        <f t="shared" si="12"/>
        <v>L23-159-MP055</v>
      </c>
      <c r="BB262" s="152">
        <v>24</v>
      </c>
      <c r="BC262" s="157">
        <v>44998</v>
      </c>
      <c r="BD262" s="157">
        <v>45364</v>
      </c>
      <c r="BE262" s="158">
        <v>331270</v>
      </c>
      <c r="BF262" s="152" t="s">
        <v>2553</v>
      </c>
      <c r="BG262" s="159" t="s">
        <v>875</v>
      </c>
      <c r="BH262" s="152">
        <v>128</v>
      </c>
      <c r="BI262" s="152">
        <v>0</v>
      </c>
      <c r="BJ262" s="152">
        <v>0</v>
      </c>
      <c r="BK262" s="152" t="s">
        <v>132</v>
      </c>
      <c r="BL262" s="152">
        <v>128</v>
      </c>
      <c r="BM262" s="152">
        <v>848831</v>
      </c>
      <c r="BN262" s="157" t="s">
        <v>1453</v>
      </c>
    </row>
    <row r="263" spans="1:66">
      <c r="A263" s="152" t="s">
        <v>2554</v>
      </c>
      <c r="B263" s="152" t="s">
        <v>2555</v>
      </c>
      <c r="C263" s="152" t="s">
        <v>2556</v>
      </c>
      <c r="D263" s="152" t="s">
        <v>2557</v>
      </c>
      <c r="E263" s="152" t="s">
        <v>2557</v>
      </c>
      <c r="F263" s="152">
        <v>315955</v>
      </c>
      <c r="G263" s="152">
        <v>165</v>
      </c>
      <c r="H263" s="152">
        <v>772</v>
      </c>
      <c r="I263" s="152">
        <v>165491</v>
      </c>
      <c r="J263" s="152">
        <v>225.36</v>
      </c>
      <c r="K263" s="152">
        <v>62544</v>
      </c>
      <c r="L263" s="159" t="s">
        <v>856</v>
      </c>
      <c r="M263" s="152" t="s">
        <v>92</v>
      </c>
      <c r="N263" s="152" t="s">
        <v>92</v>
      </c>
      <c r="O263" s="159" t="s">
        <v>856</v>
      </c>
      <c r="P263" s="159" t="s">
        <v>856</v>
      </c>
      <c r="Q263" s="152" t="s">
        <v>92</v>
      </c>
      <c r="R263" s="152" t="s">
        <v>92</v>
      </c>
      <c r="S263" s="159" t="s">
        <v>856</v>
      </c>
      <c r="T263" s="159" t="s">
        <v>856</v>
      </c>
      <c r="U263" s="159" t="s">
        <v>856</v>
      </c>
      <c r="V263" s="152" t="s">
        <v>857</v>
      </c>
      <c r="W263" s="152" t="s">
        <v>858</v>
      </c>
      <c r="X263" s="152" t="s">
        <v>1083</v>
      </c>
      <c r="Y263" s="152">
        <v>0</v>
      </c>
      <c r="Z263" s="152">
        <v>1</v>
      </c>
      <c r="AA263" s="152" t="s">
        <v>92</v>
      </c>
      <c r="AB263" s="152">
        <v>50</v>
      </c>
      <c r="AC263" s="152">
        <v>1</v>
      </c>
      <c r="AD263" s="152" t="s">
        <v>861</v>
      </c>
      <c r="AE263" s="152">
        <v>50</v>
      </c>
      <c r="AF263" s="152">
        <v>0</v>
      </c>
      <c r="AG263" s="152" t="s">
        <v>861</v>
      </c>
      <c r="AH263" s="152" t="s">
        <v>861</v>
      </c>
      <c r="AI263" s="152" t="s">
        <v>92</v>
      </c>
      <c r="AJ263" s="152" t="s">
        <v>92</v>
      </c>
      <c r="AK263" s="152" t="s">
        <v>862</v>
      </c>
      <c r="AL263" s="159" t="s">
        <v>856</v>
      </c>
      <c r="AP263" s="159" t="s">
        <v>856</v>
      </c>
      <c r="AQ263" s="159" t="s">
        <v>856</v>
      </c>
      <c r="AR263" s="159" t="s">
        <v>1034</v>
      </c>
      <c r="AS263" s="159" t="s">
        <v>865</v>
      </c>
      <c r="AT263" s="152" t="str">
        <f t="shared" si="23"/>
        <v>VUNG10-051222</v>
      </c>
      <c r="AU263" s="152" t="str">
        <f t="shared" si="24"/>
        <v>MARIA CONCEPCION MENDOZA AGUILAR DE GARCIA</v>
      </c>
      <c r="AV263" s="159" t="s">
        <v>2080</v>
      </c>
      <c r="AW263" s="159" t="s">
        <v>856</v>
      </c>
      <c r="AX263" s="159" t="s">
        <v>2080</v>
      </c>
      <c r="AY263" s="159" t="s">
        <v>856</v>
      </c>
      <c r="AZ263" s="152" t="s">
        <v>864</v>
      </c>
      <c r="BA263" s="152" t="str">
        <f t="shared" si="12"/>
        <v>L23-111-LG015</v>
      </c>
      <c r="BB263" s="152">
        <v>15</v>
      </c>
      <c r="BC263" s="157">
        <v>44978</v>
      </c>
      <c r="BD263" s="157">
        <v>45281</v>
      </c>
      <c r="BE263" s="158">
        <v>100000</v>
      </c>
      <c r="BG263" s="159" t="s">
        <v>2033</v>
      </c>
      <c r="BK263" s="152" t="s">
        <v>132</v>
      </c>
      <c r="BN263" s="157" t="s">
        <v>1453</v>
      </c>
    </row>
    <row r="264" spans="1:66">
      <c r="A264" s="152" t="s">
        <v>2558</v>
      </c>
      <c r="B264" s="152" t="s">
        <v>2559</v>
      </c>
      <c r="C264" s="152" t="s">
        <v>2560</v>
      </c>
      <c r="D264" s="152" t="s">
        <v>2561</v>
      </c>
      <c r="E264" s="152" t="s">
        <v>2562</v>
      </c>
      <c r="F264" s="152">
        <v>324297</v>
      </c>
      <c r="G264" s="152">
        <v>157</v>
      </c>
      <c r="H264" s="152">
        <v>799</v>
      </c>
      <c r="I264" s="152">
        <v>167895</v>
      </c>
      <c r="J264" s="152">
        <v>165.71</v>
      </c>
      <c r="K264" s="152">
        <v>84438</v>
      </c>
      <c r="L264" s="159" t="s">
        <v>1508</v>
      </c>
      <c r="M264" s="152" t="s">
        <v>883</v>
      </c>
      <c r="N264" s="152" t="s">
        <v>92</v>
      </c>
      <c r="O264" s="159">
        <v>11147</v>
      </c>
      <c r="P264" s="159" t="s">
        <v>1508</v>
      </c>
      <c r="Q264" s="152" t="s">
        <v>883</v>
      </c>
      <c r="R264" s="152" t="s">
        <v>92</v>
      </c>
      <c r="S264" s="159">
        <v>11147</v>
      </c>
      <c r="T264" s="159" t="s">
        <v>2563</v>
      </c>
      <c r="U264" s="159" t="s">
        <v>2564</v>
      </c>
      <c r="V264" s="152" t="s">
        <v>857</v>
      </c>
      <c r="W264" s="152" t="s">
        <v>858</v>
      </c>
      <c r="X264" s="152" t="s">
        <v>1083</v>
      </c>
      <c r="Y264" s="152">
        <v>43.36</v>
      </c>
      <c r="Z264" s="152">
        <v>1</v>
      </c>
      <c r="AA264" s="152" t="s">
        <v>92</v>
      </c>
      <c r="AB264" s="152">
        <v>270</v>
      </c>
      <c r="AC264" s="152">
        <v>2</v>
      </c>
      <c r="AD264" s="152" t="s">
        <v>861</v>
      </c>
      <c r="AE264" s="152">
        <v>270</v>
      </c>
      <c r="AF264" s="152">
        <v>0</v>
      </c>
      <c r="AG264" s="152" t="s">
        <v>861</v>
      </c>
      <c r="AH264" s="152" t="s">
        <v>861</v>
      </c>
      <c r="AI264" s="152" t="s">
        <v>92</v>
      </c>
      <c r="AJ264" s="152" t="s">
        <v>92</v>
      </c>
      <c r="AK264" s="152" t="s">
        <v>2565</v>
      </c>
      <c r="AL264" s="159" t="s">
        <v>856</v>
      </c>
      <c r="AP264" s="159" t="s">
        <v>856</v>
      </c>
      <c r="AQ264" s="159" t="s">
        <v>856</v>
      </c>
      <c r="AR264" s="159" t="s">
        <v>863</v>
      </c>
      <c r="AS264" s="159" t="s">
        <v>865</v>
      </c>
      <c r="AT264" s="152" t="str">
        <f t="shared" si="23"/>
        <v>RPNC5-110322</v>
      </c>
      <c r="AU264" s="152" t="str">
        <f t="shared" si="24"/>
        <v>ALEJANDRA MARISOL CALDERON CALDERON</v>
      </c>
      <c r="AV264" s="159">
        <v>3486.99</v>
      </c>
      <c r="AW264" s="159">
        <v>801833</v>
      </c>
      <c r="AX264" s="159">
        <v>45.8</v>
      </c>
      <c r="AY264" s="159">
        <v>801835</v>
      </c>
      <c r="AZ264" s="152" t="s">
        <v>864</v>
      </c>
      <c r="BA264" s="152" t="str">
        <f t="shared" si="12"/>
        <v>L22-337-LG051</v>
      </c>
      <c r="BB264" s="152">
        <v>0</v>
      </c>
      <c r="BC264" s="157">
        <v>44697</v>
      </c>
      <c r="BD264" s="157">
        <v>44697</v>
      </c>
      <c r="BE264" s="158">
        <v>690176</v>
      </c>
      <c r="BF264" s="152" t="s">
        <v>2566</v>
      </c>
      <c r="BG264" s="159" t="s">
        <v>875</v>
      </c>
      <c r="BH264" s="152">
        <v>270</v>
      </c>
      <c r="BI264" s="152">
        <v>0</v>
      </c>
      <c r="BJ264" s="152">
        <v>0</v>
      </c>
      <c r="BK264" s="152" t="s">
        <v>132</v>
      </c>
      <c r="BL264" s="152">
        <v>270</v>
      </c>
      <c r="BM264" s="152">
        <v>801834</v>
      </c>
      <c r="BN264" s="157" t="s">
        <v>1453</v>
      </c>
    </row>
    <row r="265" spans="1:66">
      <c r="A265" s="152" t="s">
        <v>2567</v>
      </c>
      <c r="B265" s="152" t="s">
        <v>2568</v>
      </c>
      <c r="C265" s="152" t="s">
        <v>2569</v>
      </c>
      <c r="D265" s="152" t="s">
        <v>2570</v>
      </c>
      <c r="E265" s="152" t="s">
        <v>2570</v>
      </c>
      <c r="F265" s="152">
        <v>3800</v>
      </c>
      <c r="G265" s="152">
        <v>300</v>
      </c>
      <c r="H265" s="152" t="s">
        <v>2571</v>
      </c>
      <c r="I265" s="152">
        <v>202752</v>
      </c>
      <c r="J265" s="152">
        <v>131.19</v>
      </c>
      <c r="K265" s="152">
        <v>89507</v>
      </c>
      <c r="L265" s="159" t="s">
        <v>856</v>
      </c>
      <c r="M265" s="152" t="s">
        <v>92</v>
      </c>
      <c r="N265" s="152" t="s">
        <v>92</v>
      </c>
      <c r="O265" s="159" t="s">
        <v>856</v>
      </c>
      <c r="P265" s="159" t="s">
        <v>856</v>
      </c>
      <c r="Q265" s="152" t="s">
        <v>92</v>
      </c>
      <c r="R265" s="152" t="s">
        <v>92</v>
      </c>
      <c r="S265" s="159" t="s">
        <v>856</v>
      </c>
      <c r="T265" s="159" t="s">
        <v>856</v>
      </c>
      <c r="U265" s="159" t="s">
        <v>856</v>
      </c>
      <c r="V265" s="152" t="s">
        <v>857</v>
      </c>
      <c r="W265" s="152" t="s">
        <v>858</v>
      </c>
      <c r="X265" s="152" t="s">
        <v>1083</v>
      </c>
      <c r="Y265" s="152">
        <v>24.06</v>
      </c>
      <c r="Z265" s="152">
        <v>1</v>
      </c>
      <c r="AA265" s="152" t="s">
        <v>92</v>
      </c>
      <c r="AB265" s="152">
        <v>242.1</v>
      </c>
      <c r="AC265" s="152">
        <v>2</v>
      </c>
      <c r="AD265" s="152" t="s">
        <v>861</v>
      </c>
      <c r="AE265" s="152">
        <v>242.1</v>
      </c>
      <c r="AF265" s="152">
        <v>0</v>
      </c>
      <c r="AG265" s="152">
        <v>9.77</v>
      </c>
      <c r="AH265" s="152" t="s">
        <v>861</v>
      </c>
      <c r="AI265" s="152" t="s">
        <v>92</v>
      </c>
      <c r="AJ265" s="152" t="s">
        <v>92</v>
      </c>
      <c r="AK265" s="152" t="s">
        <v>884</v>
      </c>
      <c r="AL265" s="159" t="s">
        <v>856</v>
      </c>
      <c r="AP265" s="159" t="s">
        <v>856</v>
      </c>
      <c r="AQ265" s="159" t="s">
        <v>856</v>
      </c>
      <c r="AR265" s="159" t="s">
        <v>873</v>
      </c>
      <c r="AS265" s="159" t="s">
        <v>865</v>
      </c>
      <c r="AT265" s="152" t="str">
        <f t="shared" si="23"/>
        <v>RPNL8-350722</v>
      </c>
      <c r="AU265" s="152" t="str">
        <f t="shared" si="24"/>
        <v>OSBELI OSTAQUIO LOPEZ ECHEVERRIA</v>
      </c>
      <c r="AV265" s="159">
        <v>3097.63</v>
      </c>
      <c r="AW265" s="159">
        <v>903177</v>
      </c>
      <c r="AX265" s="159">
        <v>47.5</v>
      </c>
      <c r="AY265" s="159">
        <v>903179</v>
      </c>
      <c r="AZ265" s="152" t="s">
        <v>864</v>
      </c>
      <c r="BA265" s="152" t="str">
        <f t="shared" si="12"/>
        <v>L22-878-LG169</v>
      </c>
      <c r="BB265" s="152">
        <v>0</v>
      </c>
      <c r="BC265" s="157">
        <v>44830</v>
      </c>
      <c r="BD265" s="157">
        <v>44830</v>
      </c>
      <c r="BE265" s="158">
        <v>613672.4</v>
      </c>
      <c r="BF265" s="152" t="s">
        <v>2572</v>
      </c>
      <c r="BG265" s="159" t="s">
        <v>894</v>
      </c>
      <c r="BH265" s="152">
        <v>242.1</v>
      </c>
      <c r="BI265" s="152">
        <v>0</v>
      </c>
      <c r="BJ265" s="152">
        <v>0</v>
      </c>
      <c r="BK265" s="152" t="s">
        <v>132</v>
      </c>
      <c r="BL265" s="152">
        <v>242.1</v>
      </c>
      <c r="BM265" s="152">
        <v>903178</v>
      </c>
      <c r="BN265" s="157" t="s">
        <v>1453</v>
      </c>
    </row>
    <row r="266" spans="1:66">
      <c r="A266" s="152" t="s">
        <v>2573</v>
      </c>
      <c r="B266" s="152" t="s">
        <v>2574</v>
      </c>
      <c r="C266" s="152" t="s">
        <v>2575</v>
      </c>
      <c r="D266" s="152" t="s">
        <v>2576</v>
      </c>
      <c r="E266" s="152" t="s">
        <v>2576</v>
      </c>
      <c r="F266" s="152">
        <v>4386</v>
      </c>
      <c r="G266" s="152">
        <v>386</v>
      </c>
      <c r="H266" s="152" t="s">
        <v>2577</v>
      </c>
      <c r="I266" s="152">
        <v>202026</v>
      </c>
      <c r="J266" s="152">
        <v>90.03</v>
      </c>
      <c r="K266" s="152">
        <v>88938</v>
      </c>
      <c r="L266" s="159" t="s">
        <v>856</v>
      </c>
      <c r="M266" s="152" t="s">
        <v>92</v>
      </c>
      <c r="N266" s="152" t="s">
        <v>92</v>
      </c>
      <c r="O266" s="159" t="s">
        <v>856</v>
      </c>
      <c r="P266" s="159" t="s">
        <v>856</v>
      </c>
      <c r="Q266" s="152" t="s">
        <v>92</v>
      </c>
      <c r="R266" s="152" t="s">
        <v>92</v>
      </c>
      <c r="S266" s="159" t="s">
        <v>856</v>
      </c>
      <c r="T266" s="159" t="s">
        <v>856</v>
      </c>
      <c r="U266" s="159" t="s">
        <v>856</v>
      </c>
      <c r="V266" s="152" t="s">
        <v>857</v>
      </c>
      <c r="W266" s="152" t="s">
        <v>858</v>
      </c>
      <c r="X266" s="152" t="s">
        <v>1083</v>
      </c>
      <c r="Y266" s="152">
        <v>18.91</v>
      </c>
      <c r="Z266" s="152">
        <v>1</v>
      </c>
      <c r="AA266" s="152" t="s">
        <v>92</v>
      </c>
      <c r="AB266" s="152">
        <v>71.73</v>
      </c>
      <c r="AC266" s="152">
        <v>1</v>
      </c>
      <c r="AD266" s="152" t="s">
        <v>861</v>
      </c>
      <c r="AE266" s="152">
        <v>71.73</v>
      </c>
      <c r="AF266" s="152">
        <v>0</v>
      </c>
      <c r="AG266" s="152" t="s">
        <v>861</v>
      </c>
      <c r="AH266" s="152" t="s">
        <v>861</v>
      </c>
      <c r="AI266" s="152" t="s">
        <v>92</v>
      </c>
      <c r="AJ266" s="152" t="s">
        <v>92</v>
      </c>
      <c r="AK266" s="152" t="s">
        <v>1620</v>
      </c>
      <c r="AL266" s="159" t="s">
        <v>856</v>
      </c>
      <c r="AP266" s="159" t="s">
        <v>856</v>
      </c>
      <c r="AQ266" s="159" t="s">
        <v>856</v>
      </c>
      <c r="AR266" s="159" t="s">
        <v>863</v>
      </c>
      <c r="AS266" s="159" t="s">
        <v>865</v>
      </c>
      <c r="AT266" s="152" t="str">
        <f t="shared" si="23"/>
        <v>RPNC6-020222</v>
      </c>
      <c r="AU266" s="152" t="str">
        <f t="shared" si="24"/>
        <v>LUIS ROBERTO GARCIA SANDOVAL</v>
      </c>
      <c r="AV266" s="159">
        <v>760.1</v>
      </c>
      <c r="AW266" s="159">
        <v>799027</v>
      </c>
      <c r="AX266" s="159">
        <v>42.5</v>
      </c>
      <c r="AY266" s="159">
        <v>799029</v>
      </c>
      <c r="AZ266" s="152" t="s">
        <v>864</v>
      </c>
      <c r="BA266" s="152" t="str">
        <f t="shared" si="12"/>
        <v>L22-872-LG168</v>
      </c>
      <c r="BB266" s="152">
        <v>0</v>
      </c>
      <c r="BC266" s="157">
        <v>44648</v>
      </c>
      <c r="BD266" s="157">
        <v>44648</v>
      </c>
      <c r="BE266" s="158">
        <v>150078.5</v>
      </c>
      <c r="BF266" s="152" t="s">
        <v>2578</v>
      </c>
      <c r="BG266" s="159" t="s">
        <v>894</v>
      </c>
      <c r="BH266" s="152">
        <v>71.73</v>
      </c>
      <c r="BI266" s="152">
        <v>0</v>
      </c>
      <c r="BJ266" s="152">
        <v>0</v>
      </c>
      <c r="BK266" s="152" t="s">
        <v>132</v>
      </c>
      <c r="BL266" s="152">
        <v>71.73</v>
      </c>
      <c r="BM266" s="152">
        <v>799028</v>
      </c>
      <c r="BN266" s="157" t="s">
        <v>1453</v>
      </c>
    </row>
    <row r="267" spans="1:66">
      <c r="A267" s="152" t="s">
        <v>2579</v>
      </c>
      <c r="B267" s="152" t="s">
        <v>2580</v>
      </c>
      <c r="C267" s="152" t="s">
        <v>2581</v>
      </c>
      <c r="D267" s="152" t="s">
        <v>2582</v>
      </c>
      <c r="E267" s="152" t="s">
        <v>2582</v>
      </c>
      <c r="F267" s="152">
        <v>4675</v>
      </c>
      <c r="G267" s="152">
        <v>175</v>
      </c>
      <c r="H267" s="152" t="s">
        <v>2583</v>
      </c>
      <c r="I267" s="152">
        <v>196284</v>
      </c>
      <c r="J267" s="152">
        <v>130</v>
      </c>
      <c r="K267" s="152">
        <v>84489</v>
      </c>
      <c r="L267" s="159" t="s">
        <v>1022</v>
      </c>
      <c r="M267" s="152" t="s">
        <v>883</v>
      </c>
      <c r="N267" s="152" t="s">
        <v>92</v>
      </c>
      <c r="O267" s="159">
        <v>12027</v>
      </c>
      <c r="P267" s="159" t="s">
        <v>1022</v>
      </c>
      <c r="Q267" s="152" t="s">
        <v>883</v>
      </c>
      <c r="R267" s="152" t="s">
        <v>92</v>
      </c>
      <c r="S267" s="159">
        <v>12027</v>
      </c>
      <c r="T267" s="159" t="s">
        <v>2584</v>
      </c>
      <c r="U267" s="159" t="s">
        <v>2585</v>
      </c>
      <c r="V267" s="152" t="s">
        <v>1550</v>
      </c>
      <c r="W267" s="152" t="s">
        <v>858</v>
      </c>
      <c r="X267" s="152" t="s">
        <v>1083</v>
      </c>
      <c r="Y267" s="152">
        <v>58.28</v>
      </c>
      <c r="Z267" s="152">
        <v>0</v>
      </c>
      <c r="AA267" s="152" t="s">
        <v>883</v>
      </c>
      <c r="AB267" s="152">
        <v>172.36</v>
      </c>
      <c r="AC267" s="152">
        <v>2</v>
      </c>
      <c r="AD267" s="152" t="s">
        <v>861</v>
      </c>
      <c r="AE267" s="152">
        <v>172.36</v>
      </c>
      <c r="AF267" s="152">
        <v>0</v>
      </c>
      <c r="AG267" s="152" t="s">
        <v>861</v>
      </c>
      <c r="AH267" s="152" t="s">
        <v>861</v>
      </c>
      <c r="AI267" s="152" t="s">
        <v>92</v>
      </c>
      <c r="AJ267" s="152" t="s">
        <v>92</v>
      </c>
      <c r="AK267" s="152" t="s">
        <v>862</v>
      </c>
      <c r="AL267" s="159" t="s">
        <v>856</v>
      </c>
      <c r="AP267" s="159" t="s">
        <v>856</v>
      </c>
      <c r="AQ267" s="159" t="s">
        <v>856</v>
      </c>
      <c r="AR267" s="159" t="s">
        <v>885</v>
      </c>
      <c r="AS267" s="159" t="s">
        <v>865</v>
      </c>
      <c r="AT267" s="152" t="str">
        <f t="shared" si="23"/>
        <v>RPNZ10-420922</v>
      </c>
      <c r="AU267" s="152" t="str">
        <f t="shared" si="24"/>
        <v>PABLO CRISTOBAL ZAPALUTA BATZ</v>
      </c>
      <c r="AV267" s="159">
        <v>2311.16</v>
      </c>
      <c r="AW267" s="159">
        <v>910318</v>
      </c>
      <c r="AX267" s="159">
        <v>40</v>
      </c>
      <c r="AY267" s="159">
        <v>910320</v>
      </c>
      <c r="AZ267" s="152" t="s">
        <v>864</v>
      </c>
      <c r="BA267" s="152" t="str">
        <f t="shared" si="12"/>
        <v>L22-873-LG138</v>
      </c>
      <c r="BB267" s="152">
        <v>0</v>
      </c>
      <c r="BC267" s="157">
        <v>44908</v>
      </c>
      <c r="BD267" s="157">
        <v>44908</v>
      </c>
      <c r="BE267" s="158">
        <v>452138</v>
      </c>
      <c r="BF267" s="152" t="s">
        <v>2586</v>
      </c>
      <c r="BG267" s="159" t="s">
        <v>875</v>
      </c>
      <c r="BH267" s="152">
        <v>172.36</v>
      </c>
      <c r="BI267" s="152">
        <v>0</v>
      </c>
      <c r="BJ267" s="152">
        <v>0</v>
      </c>
      <c r="BK267" s="152" t="s">
        <v>132</v>
      </c>
      <c r="BL267" s="152">
        <v>172.36</v>
      </c>
      <c r="BM267" s="152">
        <v>910319</v>
      </c>
      <c r="BN267" s="157" t="s">
        <v>1453</v>
      </c>
    </row>
    <row r="268" spans="1:66">
      <c r="A268" s="152" t="s">
        <v>2587</v>
      </c>
      <c r="B268" s="152" t="s">
        <v>2588</v>
      </c>
      <c r="C268" s="152" t="s">
        <v>2589</v>
      </c>
      <c r="D268" s="152" t="s">
        <v>2590</v>
      </c>
      <c r="E268" s="152" t="s">
        <v>2590</v>
      </c>
      <c r="F268" s="152">
        <v>335158</v>
      </c>
      <c r="G268" s="152">
        <v>168</v>
      </c>
      <c r="H268" s="152">
        <v>834</v>
      </c>
      <c r="I268" s="152">
        <v>202706</v>
      </c>
      <c r="J268" s="152">
        <v>120</v>
      </c>
      <c r="K268" s="152">
        <v>89474</v>
      </c>
      <c r="L268" s="159" t="s">
        <v>856</v>
      </c>
      <c r="M268" s="152" t="s">
        <v>92</v>
      </c>
      <c r="N268" s="152" t="s">
        <v>92</v>
      </c>
      <c r="O268" s="159" t="s">
        <v>856</v>
      </c>
      <c r="P268" s="159" t="s">
        <v>856</v>
      </c>
      <c r="Q268" s="152" t="s">
        <v>92</v>
      </c>
      <c r="R268" s="152" t="s">
        <v>92</v>
      </c>
      <c r="S268" s="159" t="s">
        <v>856</v>
      </c>
      <c r="T268" s="159" t="s">
        <v>856</v>
      </c>
      <c r="U268" s="159" t="s">
        <v>856</v>
      </c>
      <c r="V268" s="152" t="s">
        <v>857</v>
      </c>
      <c r="W268" s="152" t="s">
        <v>858</v>
      </c>
      <c r="X268" s="152" t="s">
        <v>1083</v>
      </c>
      <c r="Y268" s="152">
        <v>31.68</v>
      </c>
      <c r="Z268" s="152">
        <v>1</v>
      </c>
      <c r="AA268" s="152" t="s">
        <v>883</v>
      </c>
      <c r="AB268" s="152">
        <v>202.46</v>
      </c>
      <c r="AC268" s="152">
        <v>2</v>
      </c>
      <c r="AD268" s="152" t="s">
        <v>861</v>
      </c>
      <c r="AE268" s="152">
        <v>202.46</v>
      </c>
      <c r="AF268" s="152">
        <v>0</v>
      </c>
      <c r="AG268" s="152" t="s">
        <v>861</v>
      </c>
      <c r="AH268" s="152" t="s">
        <v>861</v>
      </c>
      <c r="AI268" s="152" t="s">
        <v>92</v>
      </c>
      <c r="AJ268" s="152" t="s">
        <v>92</v>
      </c>
      <c r="AK268" s="152" t="s">
        <v>884</v>
      </c>
      <c r="AL268" s="159" t="s">
        <v>856</v>
      </c>
      <c r="AP268" s="159" t="s">
        <v>856</v>
      </c>
      <c r="AQ268" s="159" t="s">
        <v>856</v>
      </c>
      <c r="AR268" s="159" t="s">
        <v>863</v>
      </c>
      <c r="AS268" s="159" t="s">
        <v>865</v>
      </c>
      <c r="AT268" s="152" t="str">
        <f t="shared" si="23"/>
        <v>RPNG8-330522</v>
      </c>
      <c r="AU268" s="152" t="str">
        <f t="shared" si="24"/>
        <v>ANA PATRICIA GOMEZ MUÑOZ</v>
      </c>
      <c r="AV268" s="159">
        <v>2613.09</v>
      </c>
      <c r="AW268" s="159">
        <v>894263</v>
      </c>
      <c r="AX268" s="159">
        <v>37.5</v>
      </c>
      <c r="AY268" s="159">
        <v>894265</v>
      </c>
      <c r="AZ268" s="152" t="s">
        <v>864</v>
      </c>
      <c r="BA268" s="152" t="str">
        <f t="shared" si="12"/>
        <v>L22-619-LG167</v>
      </c>
      <c r="BB268" s="152">
        <v>0</v>
      </c>
      <c r="BC268" s="157">
        <v>44809</v>
      </c>
      <c r="BD268" s="157">
        <v>44809</v>
      </c>
      <c r="BE268" s="158">
        <v>517238</v>
      </c>
      <c r="BF268" s="152" t="s">
        <v>2591</v>
      </c>
      <c r="BG268" s="159" t="s">
        <v>894</v>
      </c>
      <c r="BH268" s="152">
        <v>202.46</v>
      </c>
      <c r="BI268" s="152">
        <v>0</v>
      </c>
      <c r="BJ268" s="152">
        <v>0</v>
      </c>
      <c r="BK268" s="152" t="s">
        <v>132</v>
      </c>
      <c r="BL268" s="152">
        <v>202.46</v>
      </c>
      <c r="BM268" s="152">
        <v>894265</v>
      </c>
      <c r="BN268" s="157" t="s">
        <v>1453</v>
      </c>
    </row>
    <row r="269" spans="1:66">
      <c r="A269" s="152" t="s">
        <v>2592</v>
      </c>
      <c r="B269" s="152" t="s">
        <v>2593</v>
      </c>
      <c r="C269" s="152" t="s">
        <v>2596</v>
      </c>
      <c r="D269" s="152" t="s">
        <v>2594</v>
      </c>
      <c r="E269" s="152" t="s">
        <v>2595</v>
      </c>
      <c r="F269" s="152">
        <v>1145</v>
      </c>
      <c r="G269" s="152">
        <v>145</v>
      </c>
      <c r="H269" s="152" t="s">
        <v>1363</v>
      </c>
      <c r="I269" s="152">
        <v>201189</v>
      </c>
      <c r="J269" s="152">
        <v>140.79</v>
      </c>
      <c r="K269" s="152">
        <v>88254</v>
      </c>
      <c r="L269" s="159" t="s">
        <v>2597</v>
      </c>
      <c r="M269" s="152" t="s">
        <v>92</v>
      </c>
      <c r="N269" s="152" t="s">
        <v>883</v>
      </c>
      <c r="O269" s="159">
        <v>6588</v>
      </c>
      <c r="P269" s="159" t="s">
        <v>2597</v>
      </c>
      <c r="Q269" s="152" t="s">
        <v>92</v>
      </c>
      <c r="R269" s="152" t="s">
        <v>883</v>
      </c>
      <c r="S269" s="159">
        <v>6588</v>
      </c>
      <c r="T269" s="159" t="s">
        <v>856</v>
      </c>
      <c r="U269" s="159" t="s">
        <v>856</v>
      </c>
      <c r="V269" s="152" t="s">
        <v>2598</v>
      </c>
      <c r="W269" s="152" t="s">
        <v>858</v>
      </c>
      <c r="X269" s="152" t="s">
        <v>1083</v>
      </c>
      <c r="Y269" s="152">
        <v>164</v>
      </c>
      <c r="Z269" s="152">
        <v>3</v>
      </c>
      <c r="AA269" s="152" t="s">
        <v>92</v>
      </c>
      <c r="AB269" s="152">
        <v>261.93</v>
      </c>
      <c r="AC269" s="152">
        <v>4</v>
      </c>
      <c r="AD269" s="152" t="s">
        <v>861</v>
      </c>
      <c r="AE269" s="152">
        <v>132.1</v>
      </c>
      <c r="AF269" s="152">
        <v>129.83000000000001</v>
      </c>
      <c r="AG269" s="152" t="s">
        <v>861</v>
      </c>
      <c r="AH269" s="152" t="s">
        <v>861</v>
      </c>
      <c r="AI269" s="152" t="s">
        <v>92</v>
      </c>
      <c r="AJ269" s="152" t="s">
        <v>92</v>
      </c>
      <c r="AK269" s="152" t="s">
        <v>884</v>
      </c>
      <c r="AL269" s="159" t="s">
        <v>856</v>
      </c>
      <c r="AP269" s="159" t="s">
        <v>856</v>
      </c>
      <c r="AQ269" s="159" t="s">
        <v>856</v>
      </c>
      <c r="AR269" s="159" t="s">
        <v>873</v>
      </c>
      <c r="AS269" s="159" t="s">
        <v>865</v>
      </c>
      <c r="AT269" s="152" t="str">
        <f t="shared" si="23"/>
        <v>RPNM7-180822</v>
      </c>
      <c r="AU269" s="152" t="str">
        <f t="shared" si="24"/>
        <v>AURA LUCY MEJIA Y MEJIA DE MEJIA Y CONDUEÑO</v>
      </c>
      <c r="AV269" s="159">
        <v>4155.7299999999996</v>
      </c>
      <c r="AW269" s="159">
        <v>913728</v>
      </c>
      <c r="AX269" s="159">
        <v>37.5</v>
      </c>
      <c r="AY269" s="159">
        <v>913730</v>
      </c>
      <c r="AZ269" s="152" t="s">
        <v>864</v>
      </c>
      <c r="BA269" s="152" t="str">
        <f t="shared" si="12"/>
        <v>L23-041-LG164</v>
      </c>
      <c r="BB269" s="152">
        <v>0</v>
      </c>
      <c r="BC269" s="157">
        <v>44930</v>
      </c>
      <c r="BD269" s="157">
        <v>44930</v>
      </c>
      <c r="BE269" s="158">
        <v>655658.25</v>
      </c>
      <c r="BF269" s="152" t="s">
        <v>2599</v>
      </c>
      <c r="BG269" s="159" t="s">
        <v>2600</v>
      </c>
      <c r="BH269" s="152">
        <v>132.1</v>
      </c>
      <c r="BI269" s="152">
        <v>129.83000000000001</v>
      </c>
      <c r="BJ269" s="152">
        <v>0</v>
      </c>
      <c r="BK269" s="152" t="s">
        <v>132</v>
      </c>
      <c r="BL269" s="152">
        <v>294.39</v>
      </c>
      <c r="BM269" s="152">
        <v>913729</v>
      </c>
      <c r="BN269" s="157" t="s">
        <v>1453</v>
      </c>
    </row>
    <row r="270" spans="1:66">
      <c r="A270" s="152" t="s">
        <v>2601</v>
      </c>
      <c r="B270" s="152" t="s">
        <v>2602</v>
      </c>
      <c r="C270" s="152" t="s">
        <v>2603</v>
      </c>
      <c r="D270" s="152" t="s">
        <v>2604</v>
      </c>
      <c r="E270" s="152" t="s">
        <v>2604</v>
      </c>
      <c r="F270" s="152">
        <v>236201</v>
      </c>
      <c r="G270" s="152">
        <v>81</v>
      </c>
      <c r="H270" s="152">
        <v>505</v>
      </c>
      <c r="I270" s="152">
        <v>18475</v>
      </c>
      <c r="J270" s="152">
        <v>327</v>
      </c>
      <c r="K270" s="152">
        <v>38068</v>
      </c>
      <c r="L270" s="159" t="s">
        <v>2416</v>
      </c>
      <c r="M270" s="152" t="s">
        <v>92</v>
      </c>
      <c r="N270" s="152" t="s">
        <v>883</v>
      </c>
      <c r="O270" s="159">
        <v>5906</v>
      </c>
      <c r="P270" s="159" t="s">
        <v>2416</v>
      </c>
      <c r="Q270" s="152" t="s">
        <v>92</v>
      </c>
      <c r="R270" s="152" t="s">
        <v>883</v>
      </c>
      <c r="S270" s="159">
        <v>5906</v>
      </c>
      <c r="T270" s="159" t="s">
        <v>856</v>
      </c>
      <c r="U270" s="159" t="s">
        <v>856</v>
      </c>
      <c r="V270" s="152" t="s">
        <v>1550</v>
      </c>
      <c r="W270" s="152" t="s">
        <v>858</v>
      </c>
      <c r="X270" s="152" t="s">
        <v>1083</v>
      </c>
      <c r="Y270" s="152">
        <v>0</v>
      </c>
      <c r="Z270" s="152">
        <v>0</v>
      </c>
      <c r="AA270" s="152" t="s">
        <v>92</v>
      </c>
      <c r="AB270" s="152">
        <v>66.849999999999994</v>
      </c>
      <c r="AC270" s="152">
        <v>2</v>
      </c>
      <c r="AD270" s="152" t="s">
        <v>861</v>
      </c>
      <c r="AE270" s="152">
        <v>66.849999999999994</v>
      </c>
      <c r="AF270" s="152">
        <v>0</v>
      </c>
      <c r="AG270" s="152">
        <v>48.94</v>
      </c>
      <c r="AH270" s="152" t="s">
        <v>861</v>
      </c>
      <c r="AI270" s="152" t="s">
        <v>92</v>
      </c>
      <c r="AJ270" s="152" t="s">
        <v>92</v>
      </c>
      <c r="AK270" s="152" t="s">
        <v>1085</v>
      </c>
      <c r="AL270" s="159" t="s">
        <v>856</v>
      </c>
      <c r="AP270" s="159" t="s">
        <v>856</v>
      </c>
      <c r="AQ270" s="159" t="s">
        <v>856</v>
      </c>
      <c r="AR270" s="159" t="s">
        <v>1240</v>
      </c>
      <c r="AS270" s="159" t="s">
        <v>865</v>
      </c>
      <c r="AT270" s="152" t="str">
        <f t="shared" si="23"/>
        <v>RPNP3-060522</v>
      </c>
      <c r="AU270" s="152" t="str">
        <f t="shared" si="24"/>
        <v>ALBERTINA SAC COYOY DE PAC</v>
      </c>
      <c r="AV270" s="159">
        <v>842.31</v>
      </c>
      <c r="AW270" s="159">
        <v>819759</v>
      </c>
      <c r="AX270" s="159" t="s">
        <v>856</v>
      </c>
      <c r="AY270" s="159" t="s">
        <v>856</v>
      </c>
      <c r="AZ270" s="152" t="s">
        <v>864</v>
      </c>
      <c r="BA270" s="152" t="str">
        <f t="shared" si="12"/>
        <v>L22-845-MP014</v>
      </c>
      <c r="BB270" s="152">
        <v>0</v>
      </c>
      <c r="BC270" s="157">
        <v>44903</v>
      </c>
      <c r="BD270" s="157">
        <v>44903</v>
      </c>
      <c r="BE270" s="158">
        <v>167125</v>
      </c>
      <c r="BF270" s="152" t="s">
        <v>2605</v>
      </c>
      <c r="BG270" s="159" t="s">
        <v>894</v>
      </c>
      <c r="BH270" s="152">
        <v>66.849999999999994</v>
      </c>
      <c r="BI270" s="152">
        <v>0</v>
      </c>
      <c r="BJ270" s="152">
        <v>0</v>
      </c>
      <c r="BK270" s="152" t="s">
        <v>132</v>
      </c>
      <c r="BL270" s="152">
        <v>66.849999999999994</v>
      </c>
      <c r="BM270" s="152">
        <v>819760</v>
      </c>
      <c r="BN270" s="157" t="s">
        <v>1453</v>
      </c>
    </row>
    <row r="271" spans="1:66">
      <c r="A271" s="152" t="s">
        <v>2606</v>
      </c>
      <c r="B271" s="152" t="s">
        <v>2607</v>
      </c>
      <c r="C271" s="152" t="s">
        <v>2608</v>
      </c>
      <c r="D271" s="152" t="s">
        <v>2609</v>
      </c>
      <c r="E271" s="152" t="s">
        <v>2610</v>
      </c>
      <c r="F271" s="152">
        <v>8908</v>
      </c>
      <c r="G271" s="152">
        <v>408</v>
      </c>
      <c r="H271" s="152" t="s">
        <v>2611</v>
      </c>
      <c r="I271" s="152">
        <v>201741</v>
      </c>
      <c r="J271" s="152">
        <v>54</v>
      </c>
      <c r="K271" s="152">
        <v>88687</v>
      </c>
      <c r="L271" s="159" t="s">
        <v>2612</v>
      </c>
      <c r="M271" s="152" t="s">
        <v>92</v>
      </c>
      <c r="N271" s="152" t="s">
        <v>883</v>
      </c>
      <c r="O271" s="159">
        <v>2778</v>
      </c>
      <c r="P271" s="159" t="s">
        <v>2612</v>
      </c>
      <c r="Q271" s="152" t="s">
        <v>92</v>
      </c>
      <c r="R271" s="152" t="s">
        <v>883</v>
      </c>
      <c r="S271" s="159">
        <v>2778</v>
      </c>
      <c r="T271" s="159" t="s">
        <v>856</v>
      </c>
      <c r="U271" s="159" t="s">
        <v>856</v>
      </c>
      <c r="V271" s="152" t="s">
        <v>911</v>
      </c>
      <c r="W271" s="152" t="s">
        <v>858</v>
      </c>
      <c r="X271" s="152" t="s">
        <v>1083</v>
      </c>
      <c r="Y271" s="152">
        <v>0</v>
      </c>
      <c r="Z271" s="152">
        <v>2</v>
      </c>
      <c r="AA271" s="152" t="s">
        <v>883</v>
      </c>
      <c r="AB271" s="152">
        <v>118.85</v>
      </c>
      <c r="AC271" s="152">
        <v>2</v>
      </c>
      <c r="AD271" s="152" t="s">
        <v>861</v>
      </c>
      <c r="AE271" s="152">
        <v>118.85</v>
      </c>
      <c r="AF271" s="152">
        <v>0</v>
      </c>
      <c r="AG271" s="152" t="s">
        <v>861</v>
      </c>
      <c r="AH271" s="152" t="s">
        <v>861</v>
      </c>
      <c r="AI271" s="152" t="s">
        <v>92</v>
      </c>
      <c r="AJ271" s="152" t="s">
        <v>92</v>
      </c>
      <c r="AK271" s="152" t="s">
        <v>872</v>
      </c>
      <c r="AL271" s="159" t="s">
        <v>856</v>
      </c>
      <c r="AP271" s="159" t="s">
        <v>856</v>
      </c>
      <c r="AQ271" s="159" t="s">
        <v>856</v>
      </c>
      <c r="AR271" s="159" t="s">
        <v>929</v>
      </c>
      <c r="AS271" s="159" t="s">
        <v>865</v>
      </c>
      <c r="AT271" s="152" t="str">
        <f t="shared" si="23"/>
        <v>RPND3-140722</v>
      </c>
      <c r="AU271" s="152" t="str">
        <f t="shared" si="24"/>
        <v>MILENA GRIZZEL DIAZ MARTINEZ</v>
      </c>
      <c r="AV271" s="159">
        <v>1497.51</v>
      </c>
      <c r="AW271" s="159">
        <v>817365</v>
      </c>
      <c r="AX271" s="159">
        <v>75</v>
      </c>
      <c r="AY271" s="159">
        <v>817367</v>
      </c>
      <c r="AZ271" s="152" t="s">
        <v>864</v>
      </c>
      <c r="BA271" s="152" t="str">
        <f t="shared" si="12"/>
        <v>L22-841-MP047</v>
      </c>
      <c r="BB271" s="152">
        <v>0</v>
      </c>
      <c r="BC271" s="157">
        <v>44902</v>
      </c>
      <c r="BD271" s="157">
        <v>44902</v>
      </c>
      <c r="BE271" s="158">
        <v>297125</v>
      </c>
      <c r="BF271" s="152" t="s">
        <v>2613</v>
      </c>
      <c r="BG271" s="159" t="s">
        <v>894</v>
      </c>
      <c r="BH271" s="152">
        <v>118.85</v>
      </c>
      <c r="BI271" s="152">
        <v>0</v>
      </c>
      <c r="BJ271" s="152">
        <v>0</v>
      </c>
      <c r="BK271" s="152" t="s">
        <v>132</v>
      </c>
      <c r="BL271" s="152">
        <v>118.85</v>
      </c>
      <c r="BM271" s="152">
        <v>817366</v>
      </c>
      <c r="BN271" s="157" t="s">
        <v>1453</v>
      </c>
    </row>
    <row r="272" spans="1:66">
      <c r="A272" s="152" t="s">
        <v>2614</v>
      </c>
      <c r="B272" s="152" t="s">
        <v>2615</v>
      </c>
      <c r="C272" s="152" t="s">
        <v>2616</v>
      </c>
      <c r="D272" s="152" t="s">
        <v>2617</v>
      </c>
      <c r="E272" s="152" t="s">
        <v>1077</v>
      </c>
      <c r="F272" s="152">
        <v>258822</v>
      </c>
      <c r="G272" s="152">
        <v>282</v>
      </c>
      <c r="H272" s="152">
        <v>583</v>
      </c>
      <c r="I272" s="152">
        <v>152346</v>
      </c>
      <c r="J272" s="152">
        <v>836.8</v>
      </c>
      <c r="K272" s="152">
        <v>50249</v>
      </c>
      <c r="L272" s="159" t="s">
        <v>2618</v>
      </c>
      <c r="M272" s="152" t="s">
        <v>883</v>
      </c>
      <c r="N272" s="152" t="s">
        <v>92</v>
      </c>
      <c r="O272" s="159">
        <v>9690</v>
      </c>
      <c r="P272" s="159" t="s">
        <v>2618</v>
      </c>
      <c r="Q272" s="152" t="s">
        <v>883</v>
      </c>
      <c r="R272" s="152" t="s">
        <v>92</v>
      </c>
      <c r="S272" s="159">
        <v>9690</v>
      </c>
      <c r="T272" s="159" t="s">
        <v>856</v>
      </c>
      <c r="U272" s="159" t="s">
        <v>856</v>
      </c>
      <c r="V272" s="152" t="s">
        <v>2619</v>
      </c>
      <c r="W272" s="152" t="s">
        <v>858</v>
      </c>
      <c r="X272" s="152" t="s">
        <v>859</v>
      </c>
      <c r="Y272" s="152">
        <v>63.77</v>
      </c>
      <c r="Z272" s="152">
        <v>1</v>
      </c>
      <c r="AA272" s="152" t="s">
        <v>92</v>
      </c>
      <c r="AB272" s="152">
        <v>745.91</v>
      </c>
      <c r="AC272" s="152">
        <v>1</v>
      </c>
      <c r="AD272" s="152" t="s">
        <v>861</v>
      </c>
      <c r="AE272" s="152">
        <v>0</v>
      </c>
      <c r="AF272" s="152">
        <v>745.91</v>
      </c>
      <c r="AG272" s="152">
        <v>252.71</v>
      </c>
      <c r="AH272" s="152">
        <v>41.84</v>
      </c>
      <c r="AI272" s="152" t="s">
        <v>883</v>
      </c>
      <c r="AJ272" s="152" t="s">
        <v>92</v>
      </c>
      <c r="AK272" s="152" t="s">
        <v>884</v>
      </c>
      <c r="AL272" s="159" t="s">
        <v>856</v>
      </c>
      <c r="AP272" s="159" t="s">
        <v>856</v>
      </c>
      <c r="AQ272" s="159" t="s">
        <v>856</v>
      </c>
      <c r="AR272" s="159" t="s">
        <v>1043</v>
      </c>
      <c r="AS272" s="159" t="s">
        <v>865</v>
      </c>
      <c r="AT272" s="152" t="str">
        <f t="shared" si="23"/>
        <v>VUNP8-041122</v>
      </c>
      <c r="AU272" s="152" t="str">
        <f t="shared" si="24"/>
        <v>PINOS DE BONSAI, SOCIEDAD ANONIMA</v>
      </c>
      <c r="AV272" s="159">
        <v>5009.83</v>
      </c>
      <c r="AW272" s="159">
        <v>818136</v>
      </c>
      <c r="AX272" s="159">
        <v>80</v>
      </c>
      <c r="AY272" s="159">
        <v>828239</v>
      </c>
      <c r="AZ272" s="152" t="s">
        <v>864</v>
      </c>
      <c r="BA272" s="152" t="str">
        <f t="shared" si="12"/>
        <v>L23-106-MP026</v>
      </c>
      <c r="BB272" s="152">
        <v>24</v>
      </c>
      <c r="BC272" s="157">
        <v>44981</v>
      </c>
      <c r="BD272" s="157">
        <v>45346</v>
      </c>
      <c r="BE272" s="158">
        <v>701091.5</v>
      </c>
      <c r="BF272" s="152" t="s">
        <v>2620</v>
      </c>
      <c r="BG272" s="159" t="s">
        <v>2621</v>
      </c>
      <c r="BH272" s="152">
        <v>0</v>
      </c>
      <c r="BI272" s="152">
        <v>745.91</v>
      </c>
      <c r="BJ272" s="152">
        <v>0</v>
      </c>
      <c r="BK272" s="152" t="s">
        <v>1296</v>
      </c>
      <c r="BL272" s="152">
        <v>932.39</v>
      </c>
      <c r="BM272" s="152">
        <v>828238</v>
      </c>
      <c r="BN272" s="157">
        <v>46442</v>
      </c>
    </row>
    <row r="273" spans="1:66">
      <c r="A273" s="152" t="s">
        <v>2622</v>
      </c>
      <c r="B273" s="152" t="s">
        <v>2623</v>
      </c>
      <c r="C273" s="152" t="s">
        <v>2624</v>
      </c>
      <c r="D273" s="152" t="s">
        <v>2625</v>
      </c>
      <c r="E273" s="152" t="s">
        <v>2625</v>
      </c>
      <c r="F273" s="152">
        <v>9051</v>
      </c>
      <c r="G273" s="152">
        <v>51</v>
      </c>
      <c r="H273" s="152" t="s">
        <v>1459</v>
      </c>
      <c r="I273" s="152">
        <v>198322</v>
      </c>
      <c r="J273" s="152">
        <v>140.29</v>
      </c>
      <c r="K273" s="152">
        <v>85875</v>
      </c>
      <c r="L273" s="159" t="s">
        <v>2618</v>
      </c>
      <c r="M273" s="152" t="s">
        <v>883</v>
      </c>
      <c r="N273" s="152" t="s">
        <v>92</v>
      </c>
      <c r="O273" s="159">
        <v>9690</v>
      </c>
      <c r="P273" s="159" t="s">
        <v>2618</v>
      </c>
      <c r="Q273" s="152" t="s">
        <v>883</v>
      </c>
      <c r="R273" s="152" t="s">
        <v>92</v>
      </c>
      <c r="S273" s="159">
        <v>9690</v>
      </c>
      <c r="T273" s="159" t="s">
        <v>856</v>
      </c>
      <c r="U273" s="159" t="s">
        <v>856</v>
      </c>
      <c r="V273" s="152" t="s">
        <v>857</v>
      </c>
      <c r="W273" s="152" t="s">
        <v>858</v>
      </c>
      <c r="X273" s="152" t="s">
        <v>1083</v>
      </c>
      <c r="Y273" s="152">
        <v>0</v>
      </c>
      <c r="Z273" s="152">
        <v>1</v>
      </c>
      <c r="AA273" s="152" t="s">
        <v>92</v>
      </c>
      <c r="AB273" s="152">
        <v>123.45</v>
      </c>
      <c r="AC273" s="152">
        <v>2</v>
      </c>
      <c r="AD273" s="152" t="s">
        <v>861</v>
      </c>
      <c r="AE273" s="152">
        <v>123.45</v>
      </c>
      <c r="AF273" s="152">
        <v>0</v>
      </c>
      <c r="AG273" s="152" t="s">
        <v>861</v>
      </c>
      <c r="AH273" s="152" t="s">
        <v>861</v>
      </c>
      <c r="AI273" s="152" t="s">
        <v>92</v>
      </c>
      <c r="AJ273" s="152" t="s">
        <v>92</v>
      </c>
      <c r="AK273" s="152" t="s">
        <v>862</v>
      </c>
      <c r="AL273" s="159" t="s">
        <v>856</v>
      </c>
      <c r="AP273" s="159" t="s">
        <v>856</v>
      </c>
      <c r="AQ273" s="159" t="s">
        <v>856</v>
      </c>
      <c r="AR273" s="159" t="s">
        <v>885</v>
      </c>
      <c r="AS273" s="159" t="s">
        <v>865</v>
      </c>
      <c r="AT273" s="152" t="str">
        <f t="shared" si="23"/>
        <v>VUNER-061122</v>
      </c>
      <c r="AU273" s="152" t="str">
        <f t="shared" si="24"/>
        <v>EL PINAL DE OCCIDENTE S.A.</v>
      </c>
      <c r="AV273" s="159">
        <v>1555.47</v>
      </c>
      <c r="AW273" s="159">
        <v>850130</v>
      </c>
      <c r="AX273" s="159">
        <v>35</v>
      </c>
      <c r="AY273" s="159">
        <v>850133</v>
      </c>
      <c r="AZ273" s="152" t="s">
        <v>864</v>
      </c>
      <c r="BA273" s="152" t="str">
        <f t="shared" si="12"/>
        <v>L23-188-MP005</v>
      </c>
      <c r="BB273" s="152">
        <v>24</v>
      </c>
      <c r="BC273" s="157">
        <v>45029</v>
      </c>
      <c r="BD273" s="157">
        <v>45395</v>
      </c>
      <c r="BE273" s="158">
        <v>308625</v>
      </c>
      <c r="BF273" s="152" t="s">
        <v>2626</v>
      </c>
      <c r="BG273" s="159" t="s">
        <v>875</v>
      </c>
      <c r="BH273" s="152">
        <v>123.9</v>
      </c>
      <c r="BI273" s="152">
        <v>0</v>
      </c>
      <c r="BJ273" s="152">
        <v>0</v>
      </c>
      <c r="BK273" s="152" t="s">
        <v>132</v>
      </c>
      <c r="BL273" s="152">
        <v>123.9</v>
      </c>
      <c r="BM273" s="152">
        <v>850132</v>
      </c>
      <c r="BN273" s="157" t="s">
        <v>1453</v>
      </c>
    </row>
    <row r="274" spans="1:66">
      <c r="A274" s="152" t="s">
        <v>2627</v>
      </c>
      <c r="B274" s="152" t="s">
        <v>2628</v>
      </c>
      <c r="C274" s="152" t="s">
        <v>2629</v>
      </c>
      <c r="D274" s="152" t="s">
        <v>2630</v>
      </c>
      <c r="E274" s="152" t="s">
        <v>2630</v>
      </c>
      <c r="F274" s="152">
        <v>8364</v>
      </c>
      <c r="G274" s="152">
        <v>364</v>
      </c>
      <c r="H274" s="152" t="s">
        <v>2631</v>
      </c>
      <c r="I274" s="152">
        <v>202897</v>
      </c>
      <c r="J274" s="152">
        <v>117.25</v>
      </c>
      <c r="K274" s="152">
        <v>89637</v>
      </c>
      <c r="L274" s="159" t="s">
        <v>2632</v>
      </c>
      <c r="M274" s="152" t="s">
        <v>92</v>
      </c>
      <c r="N274" s="152" t="s">
        <v>883</v>
      </c>
      <c r="O274" s="159">
        <v>6734</v>
      </c>
      <c r="P274" s="159" t="s">
        <v>2632</v>
      </c>
      <c r="Q274" s="152" t="s">
        <v>92</v>
      </c>
      <c r="R274" s="152" t="s">
        <v>883</v>
      </c>
      <c r="S274" s="159">
        <v>6734</v>
      </c>
      <c r="T274" s="159" t="s">
        <v>856</v>
      </c>
      <c r="U274" s="159" t="s">
        <v>856</v>
      </c>
      <c r="V274" s="152" t="s">
        <v>857</v>
      </c>
      <c r="W274" s="152" t="s">
        <v>858</v>
      </c>
      <c r="X274" s="152" t="s">
        <v>1083</v>
      </c>
      <c r="Y274" s="152">
        <v>41.18</v>
      </c>
      <c r="Z274" s="152">
        <v>1</v>
      </c>
      <c r="AA274" s="152" t="s">
        <v>883</v>
      </c>
      <c r="AB274" s="152">
        <v>187.92</v>
      </c>
      <c r="AC274" s="152">
        <v>2</v>
      </c>
      <c r="AD274" s="152" t="s">
        <v>861</v>
      </c>
      <c r="AE274" s="152">
        <v>187.92</v>
      </c>
      <c r="AF274" s="152">
        <v>0</v>
      </c>
      <c r="AG274" s="152" t="s">
        <v>861</v>
      </c>
      <c r="AH274" s="152" t="s">
        <v>861</v>
      </c>
      <c r="AI274" s="152" t="s">
        <v>92</v>
      </c>
      <c r="AJ274" s="152" t="s">
        <v>92</v>
      </c>
      <c r="AK274" s="152" t="s">
        <v>862</v>
      </c>
      <c r="AL274" s="159" t="s">
        <v>856</v>
      </c>
      <c r="AP274" s="159" t="s">
        <v>856</v>
      </c>
      <c r="AQ274" s="159" t="s">
        <v>856</v>
      </c>
      <c r="AR274" s="159" t="s">
        <v>1043</v>
      </c>
      <c r="AS274" s="159" t="s">
        <v>865</v>
      </c>
      <c r="AT274" s="152" t="str">
        <f t="shared" si="23"/>
        <v>VUNP10-010323</v>
      </c>
      <c r="AU274" s="152" t="str">
        <f t="shared" si="24"/>
        <v>CESAR PEREZ ACABAL</v>
      </c>
      <c r="AV274" s="159">
        <v>2605.2199999999998</v>
      </c>
      <c r="AW274" s="159">
        <v>851884</v>
      </c>
      <c r="AX274" s="159">
        <v>35</v>
      </c>
      <c r="AY274" s="159">
        <v>851887</v>
      </c>
      <c r="AZ274" s="152" t="s">
        <v>864</v>
      </c>
      <c r="BA274" s="152" t="str">
        <f t="shared" si="12"/>
        <v>L23-221-MP029</v>
      </c>
      <c r="BB274" s="152">
        <v>24</v>
      </c>
      <c r="BC274" s="157">
        <v>45050</v>
      </c>
      <c r="BD274" s="157">
        <v>45416</v>
      </c>
      <c r="BE274" s="158">
        <v>489437</v>
      </c>
      <c r="BF274" s="152" t="s">
        <v>2633</v>
      </c>
      <c r="BG274" s="159" t="s">
        <v>2634</v>
      </c>
      <c r="BH274" s="152">
        <v>187.92</v>
      </c>
      <c r="BI274" s="152">
        <v>0</v>
      </c>
      <c r="BJ274" s="152">
        <v>0</v>
      </c>
      <c r="BK274" s="152" t="s">
        <v>132</v>
      </c>
      <c r="BL274" s="152">
        <v>187.92</v>
      </c>
      <c r="BM274" s="152">
        <v>851886</v>
      </c>
      <c r="BN274" s="157" t="s">
        <v>1453</v>
      </c>
    </row>
    <row r="275" spans="1:66">
      <c r="A275" s="152" t="s">
        <v>2635</v>
      </c>
      <c r="B275" s="152" t="s">
        <v>2636</v>
      </c>
      <c r="C275" s="152" t="s">
        <v>831</v>
      </c>
      <c r="D275" s="152" t="s">
        <v>2637</v>
      </c>
      <c r="E275" s="152" t="s">
        <v>1077</v>
      </c>
      <c r="F275" s="152">
        <v>1736</v>
      </c>
      <c r="G275" s="152">
        <v>236</v>
      </c>
      <c r="H275" s="152" t="s">
        <v>2091</v>
      </c>
      <c r="I275" s="152">
        <v>202420</v>
      </c>
      <c r="J275" s="152">
        <v>93.13</v>
      </c>
      <c r="K275" s="152">
        <v>89242</v>
      </c>
      <c r="L275" s="159" t="s">
        <v>2618</v>
      </c>
      <c r="M275" s="152" t="s">
        <v>883</v>
      </c>
      <c r="N275" s="152" t="s">
        <v>92</v>
      </c>
      <c r="O275" s="159">
        <v>9690</v>
      </c>
      <c r="P275" s="159" t="s">
        <v>2618</v>
      </c>
      <c r="Q275" s="152" t="s">
        <v>883</v>
      </c>
      <c r="R275" s="152" t="s">
        <v>92</v>
      </c>
      <c r="S275" s="159">
        <v>9690</v>
      </c>
      <c r="T275" s="159" t="s">
        <v>856</v>
      </c>
      <c r="U275" s="159" t="s">
        <v>856</v>
      </c>
      <c r="V275" s="152" t="s">
        <v>857</v>
      </c>
      <c r="W275" s="152" t="s">
        <v>858</v>
      </c>
      <c r="X275" s="152" t="s">
        <v>1083</v>
      </c>
      <c r="Y275" s="152">
        <v>0</v>
      </c>
      <c r="Z275" s="152">
        <v>1</v>
      </c>
      <c r="AA275" s="152" t="s">
        <v>92</v>
      </c>
      <c r="AB275" s="152">
        <v>60.85</v>
      </c>
      <c r="AC275" s="152">
        <v>1</v>
      </c>
      <c r="AD275" s="152" t="s">
        <v>861</v>
      </c>
      <c r="AE275" s="152">
        <v>60.85</v>
      </c>
      <c r="AF275" s="152">
        <v>0</v>
      </c>
      <c r="AG275" s="152" t="s">
        <v>861</v>
      </c>
      <c r="AH275" s="152" t="s">
        <v>861</v>
      </c>
      <c r="AI275" s="152" t="s">
        <v>92</v>
      </c>
      <c r="AJ275" s="152" t="s">
        <v>92</v>
      </c>
      <c r="AK275" s="152" t="s">
        <v>862</v>
      </c>
      <c r="AL275" s="159" t="s">
        <v>856</v>
      </c>
      <c r="AP275" s="159" t="s">
        <v>856</v>
      </c>
      <c r="AQ275" s="159" t="s">
        <v>856</v>
      </c>
      <c r="AR275" s="159" t="s">
        <v>1043</v>
      </c>
      <c r="AS275" s="159" t="s">
        <v>865</v>
      </c>
      <c r="AT275" s="152" t="str">
        <f t="shared" si="23"/>
        <v>VUNF11-021022</v>
      </c>
      <c r="AU275" s="152" t="str">
        <f t="shared" si="24"/>
        <v>FONSAGRADA S.A.</v>
      </c>
      <c r="AV275" s="159">
        <v>613.37</v>
      </c>
      <c r="AW275" s="159">
        <v>824811</v>
      </c>
      <c r="AX275" s="159">
        <v>41.15</v>
      </c>
      <c r="AY275" s="159">
        <v>824814</v>
      </c>
      <c r="AZ275" s="152" t="s">
        <v>864</v>
      </c>
      <c r="BA275" s="152" t="str">
        <f t="shared" si="12"/>
        <v>L23-091-MP007</v>
      </c>
      <c r="BB275" s="152">
        <v>15</v>
      </c>
      <c r="BC275" s="157">
        <v>44966</v>
      </c>
      <c r="BD275" s="157">
        <v>45269</v>
      </c>
      <c r="BE275" s="158">
        <v>121700</v>
      </c>
      <c r="BF275" s="152" t="s">
        <v>2638</v>
      </c>
      <c r="BG275" s="159" t="s">
        <v>875</v>
      </c>
      <c r="BH275" s="152">
        <v>60.85</v>
      </c>
      <c r="BI275" s="152">
        <v>0</v>
      </c>
      <c r="BJ275" s="152">
        <v>0</v>
      </c>
      <c r="BK275" s="152" t="s">
        <v>132</v>
      </c>
      <c r="BL275" s="152">
        <v>60.85</v>
      </c>
      <c r="BM275" s="152">
        <v>824813</v>
      </c>
      <c r="BN275" s="157" t="s">
        <v>1453</v>
      </c>
    </row>
    <row r="276" spans="1:66">
      <c r="A276" s="152" t="s">
        <v>2639</v>
      </c>
      <c r="B276" s="152" t="s">
        <v>2640</v>
      </c>
      <c r="C276" s="152" t="s">
        <v>831</v>
      </c>
      <c r="D276" s="152" t="s">
        <v>2641</v>
      </c>
      <c r="E276" s="152" t="s">
        <v>1077</v>
      </c>
      <c r="F276" s="152">
        <v>1733</v>
      </c>
      <c r="G276" s="152">
        <v>233</v>
      </c>
      <c r="H276" s="152" t="s">
        <v>2091</v>
      </c>
      <c r="I276" s="152">
        <v>202421</v>
      </c>
      <c r="J276" s="152">
        <v>89.8</v>
      </c>
      <c r="K276" s="152">
        <v>89243</v>
      </c>
      <c r="L276" s="159" t="s">
        <v>2618</v>
      </c>
      <c r="M276" s="152" t="s">
        <v>883</v>
      </c>
      <c r="N276" s="152" t="s">
        <v>92</v>
      </c>
      <c r="O276" s="159">
        <v>9690</v>
      </c>
      <c r="P276" s="159" t="s">
        <v>2618</v>
      </c>
      <c r="Q276" s="152" t="s">
        <v>883</v>
      </c>
      <c r="R276" s="152" t="s">
        <v>92</v>
      </c>
      <c r="S276" s="159">
        <v>9690</v>
      </c>
      <c r="T276" s="159" t="s">
        <v>856</v>
      </c>
      <c r="U276" s="159" t="s">
        <v>856</v>
      </c>
      <c r="V276" s="152" t="s">
        <v>857</v>
      </c>
      <c r="W276" s="152" t="s">
        <v>858</v>
      </c>
      <c r="X276" s="152" t="s">
        <v>1083</v>
      </c>
      <c r="Y276" s="152">
        <v>0</v>
      </c>
      <c r="Z276" s="152">
        <v>1</v>
      </c>
      <c r="AA276" s="152" t="s">
        <v>92</v>
      </c>
      <c r="AB276" s="152">
        <v>60.85</v>
      </c>
      <c r="AC276" s="152">
        <v>1</v>
      </c>
      <c r="AD276" s="152" t="s">
        <v>861</v>
      </c>
      <c r="AE276" s="152">
        <v>60.85</v>
      </c>
      <c r="AF276" s="152">
        <v>0</v>
      </c>
      <c r="AG276" s="152" t="s">
        <v>861</v>
      </c>
      <c r="AH276" s="152" t="s">
        <v>861</v>
      </c>
      <c r="AI276" s="152" t="s">
        <v>92</v>
      </c>
      <c r="AJ276" s="152" t="s">
        <v>92</v>
      </c>
      <c r="AK276" s="152" t="s">
        <v>862</v>
      </c>
      <c r="AL276" s="159" t="s">
        <v>856</v>
      </c>
      <c r="AP276" s="159" t="s">
        <v>856</v>
      </c>
      <c r="AQ276" s="159" t="s">
        <v>856</v>
      </c>
      <c r="AR276" s="159" t="s">
        <v>1043</v>
      </c>
      <c r="AS276" s="159" t="s">
        <v>865</v>
      </c>
      <c r="AT276" s="152" t="str">
        <f t="shared" si="23"/>
        <v>VUNF11-011022</v>
      </c>
      <c r="AU276" s="152" t="str">
        <f t="shared" si="24"/>
        <v>FONSAGRADA S.A.</v>
      </c>
      <c r="AV276" s="159">
        <v>613.37</v>
      </c>
      <c r="AW276" s="159">
        <v>824807</v>
      </c>
      <c r="AX276" s="159">
        <v>41.1</v>
      </c>
      <c r="AY276" s="159">
        <v>824810</v>
      </c>
      <c r="AZ276" s="152" t="s">
        <v>864</v>
      </c>
      <c r="BA276" s="152" t="str">
        <f t="shared" si="12"/>
        <v>L23-090-MP006</v>
      </c>
      <c r="BB276" s="152">
        <v>15</v>
      </c>
      <c r="BC276" s="157">
        <v>44966</v>
      </c>
      <c r="BD276" s="157">
        <v>45269</v>
      </c>
      <c r="BE276" s="158">
        <v>121700</v>
      </c>
      <c r="BF276" s="152" t="s">
        <v>2642</v>
      </c>
      <c r="BG276" s="159" t="s">
        <v>875</v>
      </c>
      <c r="BH276" s="152">
        <v>60.85</v>
      </c>
      <c r="BI276" s="152">
        <v>0</v>
      </c>
      <c r="BJ276" s="152">
        <v>0</v>
      </c>
      <c r="BK276" s="152" t="s">
        <v>132</v>
      </c>
      <c r="BL276" s="152">
        <v>60.85</v>
      </c>
      <c r="BM276" s="152">
        <v>824809</v>
      </c>
      <c r="BN276" s="157" t="s">
        <v>1453</v>
      </c>
    </row>
    <row r="277" spans="1:66">
      <c r="A277" s="152" t="s">
        <v>2643</v>
      </c>
      <c r="B277" s="152" t="s">
        <v>2644</v>
      </c>
      <c r="C277" s="152" t="s">
        <v>2645</v>
      </c>
      <c r="D277" s="152" t="s">
        <v>2646</v>
      </c>
      <c r="E277" s="152" t="s">
        <v>2646</v>
      </c>
      <c r="F277" s="152">
        <v>1567</v>
      </c>
      <c r="G277" s="152">
        <v>67</v>
      </c>
      <c r="H277" s="152" t="s">
        <v>2647</v>
      </c>
      <c r="I277" s="152">
        <v>197232</v>
      </c>
      <c r="J277" s="152">
        <v>133</v>
      </c>
      <c r="K277" s="152">
        <v>84989</v>
      </c>
      <c r="L277" s="159" t="s">
        <v>2648</v>
      </c>
      <c r="M277" s="152" t="s">
        <v>883</v>
      </c>
      <c r="N277" s="152" t="s">
        <v>92</v>
      </c>
      <c r="O277" s="159">
        <v>6669</v>
      </c>
      <c r="P277" s="159" t="s">
        <v>2648</v>
      </c>
      <c r="Q277" s="152" t="s">
        <v>883</v>
      </c>
      <c r="R277" s="152" t="s">
        <v>92</v>
      </c>
      <c r="S277" s="159">
        <v>6669</v>
      </c>
      <c r="T277" s="159" t="s">
        <v>856</v>
      </c>
      <c r="U277" s="159" t="s">
        <v>856</v>
      </c>
      <c r="V277" s="152" t="s">
        <v>857</v>
      </c>
      <c r="W277" s="152" t="s">
        <v>858</v>
      </c>
      <c r="X277" s="152" t="s">
        <v>1083</v>
      </c>
      <c r="Y277" s="152">
        <v>57.93</v>
      </c>
      <c r="Z277" s="152">
        <v>1</v>
      </c>
      <c r="AA277" s="152" t="s">
        <v>92</v>
      </c>
      <c r="AB277" s="152">
        <v>87.55</v>
      </c>
      <c r="AC277" s="152">
        <v>1</v>
      </c>
      <c r="AD277" s="152" t="s">
        <v>861</v>
      </c>
      <c r="AE277" s="152">
        <v>87.55</v>
      </c>
      <c r="AF277" s="152">
        <v>0</v>
      </c>
      <c r="AG277" s="152" t="s">
        <v>861</v>
      </c>
      <c r="AH277" s="152" t="s">
        <v>861</v>
      </c>
      <c r="AI277" s="152" t="s">
        <v>92</v>
      </c>
      <c r="AJ277" s="152" t="s">
        <v>92</v>
      </c>
      <c r="AK277" s="152" t="s">
        <v>912</v>
      </c>
      <c r="AL277" s="159" t="s">
        <v>856</v>
      </c>
      <c r="AP277" s="159" t="s">
        <v>856</v>
      </c>
      <c r="AQ277" s="159" t="s">
        <v>856</v>
      </c>
      <c r="AR277" s="159" t="s">
        <v>863</v>
      </c>
      <c r="AS277" s="159" t="s">
        <v>865</v>
      </c>
      <c r="AT277" s="152" t="str">
        <f t="shared" si="23"/>
        <v>VUNG4-011122</v>
      </c>
      <c r="AU277" s="152" t="str">
        <f t="shared" si="24"/>
        <v>MARISLINA OFILIA GRAMAJO Y GRAMAJO</v>
      </c>
      <c r="AV277" s="159">
        <v>1101.77</v>
      </c>
      <c r="AW277" s="159">
        <v>828065</v>
      </c>
      <c r="AX277" s="159" t="s">
        <v>856</v>
      </c>
      <c r="AY277" s="159" t="s">
        <v>856</v>
      </c>
      <c r="AZ277" s="152" t="s">
        <v>864</v>
      </c>
      <c r="BA277" s="152" t="str">
        <f t="shared" si="12"/>
        <v>L23-096-MP010</v>
      </c>
      <c r="BB277" s="152">
        <v>15</v>
      </c>
      <c r="BC277" s="157">
        <v>44979</v>
      </c>
      <c r="BD277" s="157">
        <v>45282</v>
      </c>
      <c r="BE277" s="158">
        <v>198899.5</v>
      </c>
      <c r="BF277" s="152" t="s">
        <v>2649</v>
      </c>
      <c r="BG277" s="159" t="s">
        <v>2650</v>
      </c>
      <c r="BH277" s="152">
        <v>87.55</v>
      </c>
      <c r="BI277" s="152">
        <v>0</v>
      </c>
      <c r="BJ277" s="152">
        <v>0</v>
      </c>
      <c r="BK277" s="152" t="s">
        <v>132</v>
      </c>
      <c r="BL277" s="152">
        <v>87.55</v>
      </c>
      <c r="BM277" s="152">
        <v>828067</v>
      </c>
      <c r="BN277" s="157" t="s">
        <v>1453</v>
      </c>
    </row>
    <row r="278" spans="1:66">
      <c r="A278" s="152" t="s">
        <v>2651</v>
      </c>
      <c r="B278" s="152" t="s">
        <v>2652</v>
      </c>
      <c r="C278" s="152" t="s">
        <v>2653</v>
      </c>
      <c r="D278" s="152" t="s">
        <v>2654</v>
      </c>
      <c r="E278" s="152" t="s">
        <v>2654</v>
      </c>
      <c r="F278" s="152">
        <v>99981</v>
      </c>
      <c r="G278" s="152">
        <v>24</v>
      </c>
      <c r="H278" s="152">
        <v>396</v>
      </c>
      <c r="I278" s="152">
        <v>24204</v>
      </c>
      <c r="J278" s="152">
        <v>157.30000000000001</v>
      </c>
      <c r="K278" s="152">
        <v>8049</v>
      </c>
      <c r="L278" s="159" t="s">
        <v>856</v>
      </c>
      <c r="M278" s="152" t="s">
        <v>92</v>
      </c>
      <c r="N278" s="152" t="s">
        <v>92</v>
      </c>
      <c r="O278" s="159" t="s">
        <v>856</v>
      </c>
      <c r="P278" s="159" t="s">
        <v>856</v>
      </c>
      <c r="Q278" s="152" t="s">
        <v>92</v>
      </c>
      <c r="R278" s="152" t="s">
        <v>92</v>
      </c>
      <c r="S278" s="159" t="s">
        <v>856</v>
      </c>
      <c r="T278" s="159" t="s">
        <v>856</v>
      </c>
      <c r="U278" s="159" t="s">
        <v>856</v>
      </c>
      <c r="V278" s="152" t="s">
        <v>1149</v>
      </c>
      <c r="W278" s="152" t="s">
        <v>858</v>
      </c>
      <c r="X278" s="152" t="s">
        <v>1083</v>
      </c>
      <c r="Y278" s="152">
        <v>0</v>
      </c>
      <c r="Z278" s="152">
        <v>3</v>
      </c>
      <c r="AA278" s="152" t="s">
        <v>92</v>
      </c>
      <c r="AB278" s="152">
        <v>91.9</v>
      </c>
      <c r="AC278" s="152">
        <v>3</v>
      </c>
      <c r="AD278" s="152" t="s">
        <v>861</v>
      </c>
      <c r="AE278" s="152">
        <v>91.9</v>
      </c>
      <c r="AF278" s="152">
        <v>0</v>
      </c>
      <c r="AG278" s="152" t="s">
        <v>861</v>
      </c>
      <c r="AH278" s="152" t="s">
        <v>861</v>
      </c>
      <c r="AI278" s="152" t="s">
        <v>92</v>
      </c>
      <c r="AJ278" s="152" t="s">
        <v>92</v>
      </c>
      <c r="AK278" s="152" t="s">
        <v>884</v>
      </c>
      <c r="AL278" s="159" t="s">
        <v>856</v>
      </c>
      <c r="AP278" s="159" t="s">
        <v>856</v>
      </c>
      <c r="AQ278" s="159" t="s">
        <v>856</v>
      </c>
      <c r="AR278" s="159" t="s">
        <v>863</v>
      </c>
      <c r="AS278" s="159" t="s">
        <v>865</v>
      </c>
      <c r="AT278" s="152" t="str">
        <f t="shared" si="23"/>
        <v>RPNC3-120321</v>
      </c>
      <c r="AU278" s="152" t="str">
        <f t="shared" si="24"/>
        <v>RUBEN CHAJCHAL ELIAS</v>
      </c>
      <c r="AV278" s="159">
        <v>1389.53</v>
      </c>
      <c r="AW278" s="159">
        <v>695216</v>
      </c>
      <c r="AX278" s="159" t="s">
        <v>856</v>
      </c>
      <c r="AY278" s="159" t="s">
        <v>856</v>
      </c>
      <c r="AZ278" s="152" t="s">
        <v>864</v>
      </c>
      <c r="BA278" s="152" t="str">
        <f t="shared" si="12"/>
        <v>L21-920-JM066</v>
      </c>
      <c r="BB278" s="152">
        <v>0</v>
      </c>
      <c r="BC278" s="157">
        <v>44336</v>
      </c>
      <c r="BD278" s="157">
        <v>44336</v>
      </c>
      <c r="BE278" s="158">
        <v>275700</v>
      </c>
      <c r="BG278" s="159" t="s">
        <v>2033</v>
      </c>
      <c r="BK278" s="152" t="s">
        <v>132</v>
      </c>
      <c r="BN278" s="157" t="s">
        <v>1453</v>
      </c>
    </row>
    <row r="279" spans="1:66">
      <c r="A279" s="152" t="s">
        <v>2655</v>
      </c>
      <c r="B279" s="152" t="s">
        <v>2656</v>
      </c>
      <c r="C279" s="152" t="s">
        <v>2657</v>
      </c>
      <c r="D279" s="152" t="s">
        <v>2658</v>
      </c>
      <c r="E279" s="152" t="s">
        <v>2659</v>
      </c>
      <c r="F279" s="152">
        <v>9495</v>
      </c>
      <c r="G279" s="152">
        <v>495</v>
      </c>
      <c r="H279" s="152" t="s">
        <v>2660</v>
      </c>
      <c r="I279" s="152">
        <v>187963</v>
      </c>
      <c r="J279" s="152">
        <v>465.94</v>
      </c>
      <c r="K279" s="152">
        <v>78089</v>
      </c>
      <c r="L279" s="159" t="s">
        <v>2661</v>
      </c>
      <c r="M279" s="152" t="s">
        <v>883</v>
      </c>
      <c r="N279" s="152" t="s">
        <v>92</v>
      </c>
      <c r="O279" s="159">
        <v>15770</v>
      </c>
      <c r="P279" s="159" t="s">
        <v>2661</v>
      </c>
      <c r="Q279" s="152" t="s">
        <v>883</v>
      </c>
      <c r="R279" s="152" t="s">
        <v>92</v>
      </c>
      <c r="S279" s="159">
        <v>15770</v>
      </c>
      <c r="T279" s="159" t="s">
        <v>2662</v>
      </c>
      <c r="U279" s="159" t="s">
        <v>2663</v>
      </c>
      <c r="V279" s="152" t="s">
        <v>857</v>
      </c>
      <c r="W279" s="152" t="s">
        <v>858</v>
      </c>
      <c r="X279" s="152" t="s">
        <v>1083</v>
      </c>
      <c r="Y279" s="152">
        <v>251.14</v>
      </c>
      <c r="Z279" s="152">
        <v>1</v>
      </c>
      <c r="AA279" s="152" t="s">
        <v>92</v>
      </c>
      <c r="AB279" s="152">
        <v>557.74</v>
      </c>
      <c r="AC279" s="152">
        <v>3</v>
      </c>
      <c r="AD279" s="152" t="s">
        <v>861</v>
      </c>
      <c r="AE279" s="152">
        <v>557.74</v>
      </c>
      <c r="AF279" s="152">
        <v>0</v>
      </c>
      <c r="AG279" s="152">
        <v>46.59</v>
      </c>
      <c r="AH279" s="152">
        <v>23.37</v>
      </c>
      <c r="AI279" s="152" t="s">
        <v>883</v>
      </c>
      <c r="AJ279" s="152" t="s">
        <v>92</v>
      </c>
      <c r="AK279" s="152" t="s">
        <v>912</v>
      </c>
      <c r="AL279" s="159" t="s">
        <v>856</v>
      </c>
      <c r="AP279" s="159" t="s">
        <v>856</v>
      </c>
      <c r="AQ279" s="159" t="s">
        <v>856</v>
      </c>
      <c r="AR279" s="159" t="s">
        <v>885</v>
      </c>
      <c r="AS279" s="159" t="s">
        <v>865</v>
      </c>
      <c r="AT279" s="152" t="str">
        <f t="shared" si="23"/>
        <v>RPNG12-051220</v>
      </c>
      <c r="AU279" s="152" t="str">
        <f t="shared" si="24"/>
        <v>AMERICO ESTUARDO GRESSI CASTILLO</v>
      </c>
      <c r="AV279" s="159">
        <v>8925.26</v>
      </c>
      <c r="AW279" s="159">
        <v>702536</v>
      </c>
      <c r="AX279" s="159">
        <v>114.9</v>
      </c>
      <c r="AY279" s="159">
        <v>702538</v>
      </c>
      <c r="AZ279" s="152" t="s">
        <v>864</v>
      </c>
      <c r="BA279" s="152" t="str">
        <f t="shared" si="12"/>
        <v>L21-584-JM027</v>
      </c>
      <c r="BB279" s="152">
        <v>0</v>
      </c>
      <c r="BC279" s="157">
        <v>44390</v>
      </c>
      <c r="BD279" s="157">
        <v>44390</v>
      </c>
      <c r="BE279" s="158">
        <v>1761119</v>
      </c>
      <c r="BF279" s="152" t="s">
        <v>2664</v>
      </c>
      <c r="BG279" s="159" t="s">
        <v>2665</v>
      </c>
      <c r="BH279" s="152">
        <v>557.74</v>
      </c>
      <c r="BI279" s="152">
        <v>0</v>
      </c>
      <c r="BJ279" s="152">
        <v>0</v>
      </c>
      <c r="BK279" s="152" t="s">
        <v>132</v>
      </c>
      <c r="BL279" s="152">
        <v>557.74</v>
      </c>
      <c r="BM279" s="152">
        <v>702537</v>
      </c>
      <c r="BN279" s="157" t="s">
        <v>1453</v>
      </c>
    </row>
    <row r="280" spans="1:66">
      <c r="A280" s="152" t="s">
        <v>2666</v>
      </c>
      <c r="B280" s="152" t="s">
        <v>2667</v>
      </c>
      <c r="C280" s="152" t="s">
        <v>2668</v>
      </c>
      <c r="D280" s="152" t="s">
        <v>2669</v>
      </c>
      <c r="E280" s="152" t="s">
        <v>2670</v>
      </c>
      <c r="F280" s="152">
        <v>9123</v>
      </c>
      <c r="G280" s="152">
        <v>123</v>
      </c>
      <c r="H280" s="152" t="s">
        <v>2671</v>
      </c>
      <c r="I280" s="152">
        <v>201631</v>
      </c>
      <c r="J280" s="152">
        <v>142.68</v>
      </c>
      <c r="K280" s="152">
        <v>88593</v>
      </c>
      <c r="L280" s="159" t="s">
        <v>2672</v>
      </c>
      <c r="M280" s="152" t="s">
        <v>883</v>
      </c>
      <c r="N280" s="152" t="s">
        <v>92</v>
      </c>
      <c r="O280" s="159">
        <v>662</v>
      </c>
      <c r="P280" s="159" t="s">
        <v>2672</v>
      </c>
      <c r="Q280" s="152" t="s">
        <v>883</v>
      </c>
      <c r="R280" s="152" t="s">
        <v>92</v>
      </c>
      <c r="S280" s="159">
        <v>662</v>
      </c>
      <c r="T280" s="159" t="s">
        <v>856</v>
      </c>
      <c r="U280" s="159" t="s">
        <v>856</v>
      </c>
      <c r="V280" s="152" t="s">
        <v>857</v>
      </c>
      <c r="W280" s="152" t="s">
        <v>858</v>
      </c>
      <c r="X280" s="152" t="s">
        <v>1083</v>
      </c>
      <c r="Y280" s="152">
        <v>110.34</v>
      </c>
      <c r="Z280" s="152">
        <v>1</v>
      </c>
      <c r="AA280" s="152" t="s">
        <v>92</v>
      </c>
      <c r="AB280" s="152">
        <v>129.16</v>
      </c>
      <c r="AC280" s="152">
        <v>2</v>
      </c>
      <c r="AD280" s="152" t="s">
        <v>861</v>
      </c>
      <c r="AE280" s="152">
        <v>129.16</v>
      </c>
      <c r="AF280" s="152">
        <v>0</v>
      </c>
      <c r="AG280" s="152" t="s">
        <v>861</v>
      </c>
      <c r="AH280" s="152" t="s">
        <v>861</v>
      </c>
      <c r="AI280" s="152" t="s">
        <v>92</v>
      </c>
      <c r="AJ280" s="152" t="s">
        <v>92</v>
      </c>
      <c r="AK280" s="152" t="s">
        <v>884</v>
      </c>
      <c r="AL280" s="159" t="s">
        <v>856</v>
      </c>
      <c r="AP280" s="159" t="s">
        <v>856</v>
      </c>
      <c r="AQ280" s="159" t="s">
        <v>856</v>
      </c>
      <c r="AR280" s="159" t="s">
        <v>992</v>
      </c>
      <c r="AS280" s="159" t="s">
        <v>865</v>
      </c>
      <c r="AT280" s="152" t="str">
        <f t="shared" si="23"/>
        <v>VUND3-111022</v>
      </c>
      <c r="AU280" s="152" t="str">
        <f t="shared" si="24"/>
        <v>DESARROLLOS URBANOS RIO, S.A.</v>
      </c>
      <c r="AV280" s="159">
        <v>1843.68</v>
      </c>
      <c r="AW280" s="159">
        <v>825095</v>
      </c>
      <c r="AX280" s="159">
        <v>30.2</v>
      </c>
      <c r="AY280" s="159">
        <v>825098</v>
      </c>
      <c r="AZ280" s="152" t="s">
        <v>864</v>
      </c>
      <c r="BA280" s="152" t="str">
        <f t="shared" si="12"/>
        <v>L23-070-JC002</v>
      </c>
      <c r="BB280" s="152">
        <v>24</v>
      </c>
      <c r="BC280" s="157">
        <v>44972</v>
      </c>
      <c r="BD280" s="157">
        <v>45337</v>
      </c>
      <c r="BE280" s="158">
        <v>361519</v>
      </c>
      <c r="BF280" s="152" t="s">
        <v>2673</v>
      </c>
      <c r="BG280" s="159" t="s">
        <v>875</v>
      </c>
      <c r="BH280" s="152">
        <v>129.16</v>
      </c>
      <c r="BI280" s="152">
        <v>0</v>
      </c>
      <c r="BJ280" s="152">
        <v>0</v>
      </c>
      <c r="BK280" s="152" t="s">
        <v>132</v>
      </c>
      <c r="BL280" s="152">
        <v>129.16</v>
      </c>
      <c r="BM280" s="152">
        <v>825097</v>
      </c>
      <c r="BN280" s="157" t="s">
        <v>1453</v>
      </c>
    </row>
    <row r="281" spans="1:66">
      <c r="A281" s="152" t="s">
        <v>2674</v>
      </c>
      <c r="B281" s="152" t="s">
        <v>2675</v>
      </c>
      <c r="C281" s="152" t="s">
        <v>2676</v>
      </c>
      <c r="D281" s="152" t="s">
        <v>2677</v>
      </c>
      <c r="E281" s="152" t="s">
        <v>2562</v>
      </c>
      <c r="F281" s="152">
        <v>8425</v>
      </c>
      <c r="G281" s="152">
        <v>425</v>
      </c>
      <c r="H281" s="152" t="s">
        <v>2678</v>
      </c>
      <c r="I281" s="152">
        <v>202280</v>
      </c>
      <c r="J281" s="152">
        <v>104.5</v>
      </c>
      <c r="K281" s="152">
        <v>89132</v>
      </c>
      <c r="L281" s="159" t="s">
        <v>1508</v>
      </c>
      <c r="M281" s="152" t="s">
        <v>883</v>
      </c>
      <c r="N281" s="152" t="s">
        <v>92</v>
      </c>
      <c r="O281" s="159">
        <v>11147</v>
      </c>
      <c r="P281" s="159" t="s">
        <v>1508</v>
      </c>
      <c r="Q281" s="152" t="s">
        <v>883</v>
      </c>
      <c r="R281" s="152" t="s">
        <v>92</v>
      </c>
      <c r="S281" s="159">
        <v>11147</v>
      </c>
      <c r="T281" s="159" t="s">
        <v>2563</v>
      </c>
      <c r="U281" s="159" t="s">
        <v>2564</v>
      </c>
      <c r="V281" s="152" t="s">
        <v>857</v>
      </c>
      <c r="W281" s="152" t="s">
        <v>858</v>
      </c>
      <c r="X281" s="152" t="s">
        <v>1083</v>
      </c>
      <c r="Y281" s="152">
        <v>28.28</v>
      </c>
      <c r="Z281" s="152">
        <v>1</v>
      </c>
      <c r="AA281" s="152" t="s">
        <v>883</v>
      </c>
      <c r="AB281" s="152">
        <v>160.75</v>
      </c>
      <c r="AC281" s="152">
        <v>2</v>
      </c>
      <c r="AD281" s="152" t="s">
        <v>861</v>
      </c>
      <c r="AE281" s="152">
        <v>160.25</v>
      </c>
      <c r="AF281" s="152">
        <v>0</v>
      </c>
      <c r="AG281" s="152" t="s">
        <v>861</v>
      </c>
      <c r="AH281" s="152" t="s">
        <v>861</v>
      </c>
      <c r="AI281" s="152" t="s">
        <v>92</v>
      </c>
      <c r="AJ281" s="152" t="s">
        <v>92</v>
      </c>
      <c r="AK281" s="152" t="s">
        <v>862</v>
      </c>
      <c r="AL281" s="159" t="s">
        <v>856</v>
      </c>
      <c r="AP281" s="159" t="s">
        <v>856</v>
      </c>
      <c r="AQ281" s="159" t="s">
        <v>856</v>
      </c>
      <c r="AR281" s="159" t="s">
        <v>863</v>
      </c>
      <c r="AS281" s="159" t="s">
        <v>865</v>
      </c>
      <c r="AT281" s="152" t="str">
        <f t="shared" si="23"/>
        <v>RPNG10-510922</v>
      </c>
      <c r="AU281" s="152" t="str">
        <f t="shared" si="24"/>
        <v>MARIA SONIA GABRIELA GARCIA CUC</v>
      </c>
      <c r="AV281" s="159">
        <v>2123</v>
      </c>
      <c r="AW281" s="159">
        <v>925242</v>
      </c>
      <c r="AX281" s="159" t="s">
        <v>856</v>
      </c>
      <c r="AY281" s="159" t="s">
        <v>856</v>
      </c>
      <c r="AZ281" s="152" t="s">
        <v>864</v>
      </c>
      <c r="BA281" s="152" t="str">
        <f t="shared" si="12"/>
        <v>L23-065-MP057</v>
      </c>
      <c r="BB281" s="152">
        <v>0</v>
      </c>
      <c r="BC281" s="157">
        <v>44932</v>
      </c>
      <c r="BD281" s="157">
        <v>44932</v>
      </c>
      <c r="BE281" s="158">
        <v>413177</v>
      </c>
      <c r="BF281" s="152" t="s">
        <v>2679</v>
      </c>
      <c r="BG281" s="159" t="s">
        <v>894</v>
      </c>
      <c r="BH281" s="152">
        <v>160.75</v>
      </c>
      <c r="BI281" s="152">
        <v>0</v>
      </c>
      <c r="BJ281" s="152">
        <v>0</v>
      </c>
      <c r="BK281" s="152" t="s">
        <v>132</v>
      </c>
      <c r="BL281" s="152">
        <v>160.75</v>
      </c>
      <c r="BM281" s="152">
        <v>925243</v>
      </c>
      <c r="BN281" s="157" t="s">
        <v>1453</v>
      </c>
    </row>
    <row r="282" spans="1:66">
      <c r="A282" s="152" t="s">
        <v>2680</v>
      </c>
      <c r="B282" s="152" t="s">
        <v>2681</v>
      </c>
      <c r="C282" s="152" t="s">
        <v>2682</v>
      </c>
      <c r="D282" s="152" t="s">
        <v>2683</v>
      </c>
      <c r="E282" s="152" t="s">
        <v>2684</v>
      </c>
      <c r="F282" s="152">
        <v>1376</v>
      </c>
      <c r="G282" s="152">
        <v>376</v>
      </c>
      <c r="H282" s="152" t="s">
        <v>920</v>
      </c>
      <c r="I282" s="152">
        <v>195303</v>
      </c>
      <c r="J282" s="152">
        <v>128</v>
      </c>
      <c r="K282" s="152">
        <v>83803</v>
      </c>
      <c r="L282" s="159" t="s">
        <v>2682</v>
      </c>
      <c r="M282" s="152" t="s">
        <v>883</v>
      </c>
      <c r="N282" s="152" t="s">
        <v>92</v>
      </c>
      <c r="O282" s="159">
        <v>13490</v>
      </c>
      <c r="P282" s="159" t="s">
        <v>2682</v>
      </c>
      <c r="Q282" s="152" t="s">
        <v>883</v>
      </c>
      <c r="R282" s="152" t="s">
        <v>92</v>
      </c>
      <c r="S282" s="159">
        <v>13490</v>
      </c>
      <c r="T282" s="159" t="s">
        <v>2685</v>
      </c>
      <c r="U282" s="159" t="s">
        <v>2686</v>
      </c>
      <c r="V282" s="152" t="s">
        <v>857</v>
      </c>
      <c r="W282" s="152" t="s">
        <v>858</v>
      </c>
      <c r="X282" s="152" t="s">
        <v>1083</v>
      </c>
      <c r="Y282" s="152">
        <v>53.38</v>
      </c>
      <c r="Z282" s="152">
        <v>1</v>
      </c>
      <c r="AA282" s="152" t="s">
        <v>92</v>
      </c>
      <c r="AB282" s="152">
        <v>201.72</v>
      </c>
      <c r="AC282" s="152">
        <v>2</v>
      </c>
      <c r="AD282" s="152" t="s">
        <v>861</v>
      </c>
      <c r="AE282" s="152">
        <v>201.72</v>
      </c>
      <c r="AF282" s="152">
        <v>0</v>
      </c>
      <c r="AG282" s="152" t="s">
        <v>861</v>
      </c>
      <c r="AH282" s="152" t="s">
        <v>861</v>
      </c>
      <c r="AI282" s="152" t="s">
        <v>92</v>
      </c>
      <c r="AJ282" s="152" t="s">
        <v>92</v>
      </c>
      <c r="AK282" s="152" t="s">
        <v>862</v>
      </c>
      <c r="AL282" s="159" t="s">
        <v>856</v>
      </c>
      <c r="AP282" s="159" t="s">
        <v>856</v>
      </c>
      <c r="AQ282" s="159" t="s">
        <v>856</v>
      </c>
      <c r="AR282" s="159" t="s">
        <v>992</v>
      </c>
      <c r="AS282" s="159" t="s">
        <v>865</v>
      </c>
      <c r="AT282" s="152" t="str">
        <f t="shared" si="23"/>
        <v>VUNC5-111222</v>
      </c>
      <c r="AU282" s="152" t="str">
        <f t="shared" si="24"/>
        <v>JOSE ARTURO CASTILLO GUILLEN</v>
      </c>
      <c r="AV282" s="159">
        <v>2724.06</v>
      </c>
      <c r="AW282" s="159">
        <v>826666</v>
      </c>
      <c r="AX282" s="159">
        <v>40</v>
      </c>
      <c r="AY282" s="159">
        <v>826669</v>
      </c>
      <c r="AZ282" s="152" t="s">
        <v>864</v>
      </c>
      <c r="BA282" s="152" t="str">
        <f t="shared" si="12"/>
        <v>L23-064-MP013</v>
      </c>
      <c r="BB282" s="152">
        <v>24</v>
      </c>
      <c r="BC282" s="157">
        <v>44967</v>
      </c>
      <c r="BD282" s="157">
        <v>45332</v>
      </c>
      <c r="BE282" s="158">
        <v>525575</v>
      </c>
      <c r="BF282" s="152" t="s">
        <v>2687</v>
      </c>
      <c r="BG282" s="159" t="s">
        <v>875</v>
      </c>
      <c r="BH282" s="152">
        <v>201.72</v>
      </c>
      <c r="BI282" s="152">
        <v>0</v>
      </c>
      <c r="BJ282" s="152">
        <v>0</v>
      </c>
      <c r="BK282" s="152" t="s">
        <v>132</v>
      </c>
      <c r="BL282" s="152">
        <v>201.72</v>
      </c>
      <c r="BM282" s="152">
        <v>826668</v>
      </c>
      <c r="BN282" s="157" t="s">
        <v>1453</v>
      </c>
    </row>
    <row r="283" spans="1:66">
      <c r="A283" s="152" t="s">
        <v>2688</v>
      </c>
      <c r="B283" s="152" t="s">
        <v>2689</v>
      </c>
      <c r="C283" s="152" t="s">
        <v>2690</v>
      </c>
      <c r="D283" s="152" t="s">
        <v>2691</v>
      </c>
      <c r="E283" s="152" t="s">
        <v>1006</v>
      </c>
      <c r="F283" s="152">
        <v>9107</v>
      </c>
      <c r="G283" s="152">
        <v>107</v>
      </c>
      <c r="H283" s="152" t="s">
        <v>2692</v>
      </c>
      <c r="I283" s="152">
        <v>202394</v>
      </c>
      <c r="J283" s="152">
        <v>21.29</v>
      </c>
      <c r="K283" s="152">
        <v>89220</v>
      </c>
      <c r="L283" s="159" t="s">
        <v>1972</v>
      </c>
      <c r="M283" s="152" t="s">
        <v>92</v>
      </c>
      <c r="N283" s="152" t="s">
        <v>883</v>
      </c>
      <c r="O283" s="159">
        <v>6608</v>
      </c>
      <c r="P283" s="159" t="s">
        <v>1972</v>
      </c>
      <c r="Q283" s="152" t="s">
        <v>92</v>
      </c>
      <c r="R283" s="152" t="s">
        <v>883</v>
      </c>
      <c r="S283" s="159">
        <v>6608</v>
      </c>
      <c r="T283" s="159" t="s">
        <v>856</v>
      </c>
      <c r="U283" s="159" t="s">
        <v>856</v>
      </c>
      <c r="V283" s="152" t="s">
        <v>857</v>
      </c>
      <c r="W283" s="152" t="s">
        <v>858</v>
      </c>
      <c r="X283" s="152" t="s">
        <v>1083</v>
      </c>
      <c r="Y283" s="152">
        <v>3.5</v>
      </c>
      <c r="Z283" s="152">
        <v>1</v>
      </c>
      <c r="AA283" s="152" t="s">
        <v>92</v>
      </c>
      <c r="AB283" s="152">
        <v>40.28</v>
      </c>
      <c r="AC283" s="152">
        <v>2</v>
      </c>
      <c r="AD283" s="152" t="s">
        <v>861</v>
      </c>
      <c r="AE283" s="152">
        <v>40.28</v>
      </c>
      <c r="AF283" s="152">
        <v>0</v>
      </c>
      <c r="AG283" s="152" t="s">
        <v>861</v>
      </c>
      <c r="AH283" s="152" t="s">
        <v>861</v>
      </c>
      <c r="AI283" s="152" t="s">
        <v>92</v>
      </c>
      <c r="AJ283" s="152" t="s">
        <v>92</v>
      </c>
      <c r="AK283" s="152" t="s">
        <v>884</v>
      </c>
      <c r="AL283" s="159" t="s">
        <v>856</v>
      </c>
      <c r="AP283" s="159" t="s">
        <v>856</v>
      </c>
      <c r="AQ283" s="159" t="s">
        <v>856</v>
      </c>
      <c r="AR283" s="159" t="s">
        <v>1043</v>
      </c>
      <c r="AS283" s="159" t="s">
        <v>865</v>
      </c>
      <c r="AT283" s="152" t="str">
        <f t="shared" si="23"/>
        <v>VUNH3-011122</v>
      </c>
      <c r="AU283" s="152" t="str">
        <f t="shared" si="24"/>
        <v>ALEJANDRINA MAGDALENA HERNANDEZ LOPEZ</v>
      </c>
      <c r="AV283" s="159">
        <v>514.39</v>
      </c>
      <c r="AW283" s="159">
        <v>821634</v>
      </c>
      <c r="AX283" s="159">
        <v>22.5</v>
      </c>
      <c r="AY283" s="159">
        <v>821637</v>
      </c>
      <c r="AZ283" s="152" t="s">
        <v>864</v>
      </c>
      <c r="BA283" s="152" t="str">
        <f t="shared" si="12"/>
        <v>L23-062-MP008</v>
      </c>
      <c r="BB283" s="152">
        <v>24</v>
      </c>
      <c r="BC283" s="157">
        <v>44967</v>
      </c>
      <c r="BD283" s="157">
        <v>45332</v>
      </c>
      <c r="BE283" s="158">
        <v>101925</v>
      </c>
      <c r="BF283" s="152" t="s">
        <v>2693</v>
      </c>
      <c r="BG283" s="159" t="s">
        <v>2694</v>
      </c>
      <c r="BH283" s="152">
        <v>40.28</v>
      </c>
      <c r="BI283" s="152">
        <v>0</v>
      </c>
      <c r="BJ283" s="152">
        <v>0</v>
      </c>
      <c r="BK283" s="152" t="s">
        <v>132</v>
      </c>
      <c r="BL283" s="152">
        <v>40.28</v>
      </c>
      <c r="BM283" s="152">
        <v>821636</v>
      </c>
      <c r="BN283" s="157" t="s">
        <v>1453</v>
      </c>
    </row>
    <row r="284" spans="1:66">
      <c r="A284" s="152" t="s">
        <v>2695</v>
      </c>
      <c r="B284" s="152" t="s">
        <v>2696</v>
      </c>
      <c r="C284" s="152" t="s">
        <v>2697</v>
      </c>
      <c r="D284" s="152" t="s">
        <v>2698</v>
      </c>
      <c r="E284" s="152" t="s">
        <v>2699</v>
      </c>
      <c r="F284" s="152">
        <v>318685</v>
      </c>
      <c r="G284" s="152">
        <v>146</v>
      </c>
      <c r="H284" s="152">
        <v>780</v>
      </c>
      <c r="I284" s="152">
        <v>201421</v>
      </c>
      <c r="J284" s="152">
        <v>130.84</v>
      </c>
      <c r="K284" s="152">
        <v>88443</v>
      </c>
      <c r="L284" s="159" t="s">
        <v>2700</v>
      </c>
      <c r="M284" s="152" t="s">
        <v>883</v>
      </c>
      <c r="N284" s="152" t="s">
        <v>92</v>
      </c>
      <c r="O284" s="159">
        <v>15489</v>
      </c>
      <c r="P284" s="159" t="s">
        <v>2700</v>
      </c>
      <c r="Q284" s="152" t="s">
        <v>883</v>
      </c>
      <c r="R284" s="152" t="s">
        <v>92</v>
      </c>
      <c r="S284" s="159">
        <v>15489</v>
      </c>
      <c r="T284" s="159" t="s">
        <v>2700</v>
      </c>
      <c r="U284" s="159" t="s">
        <v>2701</v>
      </c>
      <c r="V284" s="152" t="s">
        <v>857</v>
      </c>
      <c r="W284" s="152" t="s">
        <v>858</v>
      </c>
      <c r="X284" s="152" t="s">
        <v>1083</v>
      </c>
      <c r="Y284" s="152">
        <v>62.65</v>
      </c>
      <c r="Z284" s="152">
        <v>1</v>
      </c>
      <c r="AA284" s="152" t="s">
        <v>883</v>
      </c>
      <c r="AB284" s="152">
        <v>215.79</v>
      </c>
      <c r="AC284" s="152">
        <v>2</v>
      </c>
      <c r="AD284" s="152" t="s">
        <v>861</v>
      </c>
      <c r="AE284" s="152">
        <v>215.79</v>
      </c>
      <c r="AF284" s="152">
        <v>0</v>
      </c>
      <c r="AG284" s="152">
        <v>23.51</v>
      </c>
      <c r="AH284" s="152" t="s">
        <v>861</v>
      </c>
      <c r="AI284" s="152" t="s">
        <v>92</v>
      </c>
      <c r="AJ284" s="152" t="s">
        <v>92</v>
      </c>
      <c r="AK284" s="152" t="s">
        <v>884</v>
      </c>
      <c r="AL284" s="159" t="s">
        <v>856</v>
      </c>
      <c r="AP284" s="159" t="s">
        <v>856</v>
      </c>
      <c r="AQ284" s="159" t="s">
        <v>856</v>
      </c>
      <c r="AR284" s="159" t="s">
        <v>885</v>
      </c>
      <c r="AS284" s="159" t="s">
        <v>865</v>
      </c>
      <c r="AT284" s="152" t="str">
        <f t="shared" si="23"/>
        <v>VUNS8-041122</v>
      </c>
      <c r="AU284" s="152" t="str">
        <f t="shared" si="24"/>
        <v>MIGUEL SALVADOR NOLASCO</v>
      </c>
      <c r="AV284" s="159">
        <v>2856.87</v>
      </c>
      <c r="AW284" s="159">
        <v>820997</v>
      </c>
      <c r="AX284" s="159">
        <v>35.75</v>
      </c>
      <c r="AY284" s="159">
        <v>821000</v>
      </c>
      <c r="AZ284" s="152" t="s">
        <v>864</v>
      </c>
      <c r="BA284" s="152" t="str">
        <f t="shared" si="12"/>
        <v>L23-057-MP009</v>
      </c>
      <c r="BB284" s="152">
        <v>24</v>
      </c>
      <c r="BC284" s="157">
        <v>44963</v>
      </c>
      <c r="BD284" s="157">
        <v>45328</v>
      </c>
      <c r="BE284" s="158">
        <v>561906.5</v>
      </c>
      <c r="BF284" s="152" t="s">
        <v>2702</v>
      </c>
      <c r="BG284" s="159" t="s">
        <v>2703</v>
      </c>
      <c r="BH284" s="152">
        <v>215.79</v>
      </c>
      <c r="BI284" s="152">
        <v>0</v>
      </c>
      <c r="BJ284" s="152">
        <v>0</v>
      </c>
      <c r="BK284" s="152" t="s">
        <v>132</v>
      </c>
      <c r="BL284" s="152">
        <v>215.79</v>
      </c>
      <c r="BM284" s="152">
        <v>820999</v>
      </c>
      <c r="BN284" s="157" t="s">
        <v>1453</v>
      </c>
    </row>
    <row r="285" spans="1:66">
      <c r="A285" s="152" t="s">
        <v>2704</v>
      </c>
      <c r="B285" s="152" t="s">
        <v>2705</v>
      </c>
      <c r="C285" s="152" t="s">
        <v>2706</v>
      </c>
      <c r="D285" s="152" t="s">
        <v>2707</v>
      </c>
      <c r="E285" s="152" t="s">
        <v>2707</v>
      </c>
      <c r="F285" s="159" t="s">
        <v>856</v>
      </c>
      <c r="G285" s="159" t="s">
        <v>856</v>
      </c>
      <c r="H285" s="159" t="s">
        <v>856</v>
      </c>
      <c r="I285" s="152">
        <v>202532</v>
      </c>
      <c r="J285" s="152">
        <v>84.15</v>
      </c>
      <c r="K285" s="152">
        <v>89335</v>
      </c>
      <c r="L285" s="159" t="s">
        <v>1401</v>
      </c>
      <c r="M285" s="152" t="s">
        <v>92</v>
      </c>
      <c r="N285" s="152" t="s">
        <v>883</v>
      </c>
      <c r="O285" s="159">
        <v>4787</v>
      </c>
      <c r="P285" s="159" t="s">
        <v>1401</v>
      </c>
      <c r="Q285" s="152" t="s">
        <v>92</v>
      </c>
      <c r="R285" s="152" t="s">
        <v>883</v>
      </c>
      <c r="S285" s="159">
        <v>4787</v>
      </c>
      <c r="T285" s="159" t="s">
        <v>856</v>
      </c>
      <c r="U285" s="159" t="s">
        <v>856</v>
      </c>
      <c r="V285" s="152" t="s">
        <v>2708</v>
      </c>
      <c r="W285" s="152" t="s">
        <v>2709</v>
      </c>
      <c r="X285" s="152" t="s">
        <v>2710</v>
      </c>
      <c r="Y285" s="152">
        <v>0</v>
      </c>
      <c r="Z285" s="152">
        <v>0</v>
      </c>
      <c r="AA285" s="152" t="s">
        <v>92</v>
      </c>
      <c r="AB285" s="152">
        <v>48.16</v>
      </c>
      <c r="AC285" s="152">
        <v>1</v>
      </c>
      <c r="AD285" s="152" t="s">
        <v>861</v>
      </c>
      <c r="AE285" s="152">
        <v>0</v>
      </c>
      <c r="AF285" s="152">
        <v>0</v>
      </c>
      <c r="AG285" s="152" t="s">
        <v>861</v>
      </c>
      <c r="AH285" s="152" t="s">
        <v>861</v>
      </c>
      <c r="AI285" s="152" t="s">
        <v>92</v>
      </c>
      <c r="AJ285" s="152" t="s">
        <v>92</v>
      </c>
      <c r="AK285" s="152" t="s">
        <v>884</v>
      </c>
      <c r="AL285" s="159" t="s">
        <v>856</v>
      </c>
      <c r="AP285" s="159" t="s">
        <v>856</v>
      </c>
      <c r="AQ285" s="159" t="s">
        <v>856</v>
      </c>
      <c r="AR285" s="159" t="s">
        <v>2711</v>
      </c>
      <c r="AS285" s="159" t="s">
        <v>865</v>
      </c>
      <c r="AT285" s="152" t="str">
        <f t="shared" si="23"/>
        <v>VUNO8-011122</v>
      </c>
      <c r="AU285" s="152" t="str">
        <f t="shared" si="24"/>
        <v>ROBERTO FELICIANO OXLAJ CHAJ</v>
      </c>
      <c r="AV285" s="159">
        <v>155.08000000000001</v>
      </c>
      <c r="AW285" s="159">
        <v>827323</v>
      </c>
      <c r="AX285" s="159" t="s">
        <v>856</v>
      </c>
      <c r="AY285" s="159" t="s">
        <v>856</v>
      </c>
      <c r="AZ285" s="152" t="s">
        <v>864</v>
      </c>
      <c r="BA285" s="152" t="str">
        <f t="shared" si="12"/>
        <v>L23-094-MP012</v>
      </c>
      <c r="BB285" s="152">
        <v>24</v>
      </c>
      <c r="BC285" s="157">
        <v>44978</v>
      </c>
      <c r="BD285" s="157">
        <v>45343</v>
      </c>
      <c r="BE285" s="158">
        <v>27692</v>
      </c>
      <c r="BG285" s="159" t="s">
        <v>2033</v>
      </c>
      <c r="BK285" s="152" t="s">
        <v>132</v>
      </c>
      <c r="BN285" s="157" t="s">
        <v>1453</v>
      </c>
    </row>
    <row r="286" spans="1:66">
      <c r="A286" s="152" t="s">
        <v>2712</v>
      </c>
      <c r="B286" s="152" t="s">
        <v>2713</v>
      </c>
      <c r="C286" s="152" t="s">
        <v>2714</v>
      </c>
      <c r="D286" s="152" t="s">
        <v>2715</v>
      </c>
      <c r="E286" s="152" t="s">
        <v>2715</v>
      </c>
      <c r="F286" s="152">
        <v>5456</v>
      </c>
      <c r="G286" s="152">
        <v>456</v>
      </c>
      <c r="H286" s="152" t="s">
        <v>1030</v>
      </c>
      <c r="I286" s="152">
        <v>202632</v>
      </c>
      <c r="J286" s="152">
        <v>45.12</v>
      </c>
      <c r="K286" s="152">
        <v>89418</v>
      </c>
      <c r="L286" s="159" t="s">
        <v>856</v>
      </c>
      <c r="M286" s="152" t="s">
        <v>92</v>
      </c>
      <c r="N286" s="152" t="s">
        <v>92</v>
      </c>
      <c r="O286" s="159" t="s">
        <v>856</v>
      </c>
      <c r="P286" s="159" t="s">
        <v>856</v>
      </c>
      <c r="Q286" s="152" t="s">
        <v>92</v>
      </c>
      <c r="R286" s="152" t="s">
        <v>92</v>
      </c>
      <c r="S286" s="159" t="s">
        <v>856</v>
      </c>
      <c r="T286" s="159" t="s">
        <v>856</v>
      </c>
      <c r="U286" s="159" t="s">
        <v>856</v>
      </c>
      <c r="V286" s="152" t="s">
        <v>1550</v>
      </c>
      <c r="W286" s="152" t="s">
        <v>858</v>
      </c>
      <c r="X286" s="152" t="s">
        <v>1083</v>
      </c>
      <c r="Y286" s="152">
        <v>0</v>
      </c>
      <c r="Z286" s="152">
        <v>0</v>
      </c>
      <c r="AA286" s="152" t="s">
        <v>883</v>
      </c>
      <c r="AB286" s="152">
        <v>14.16</v>
      </c>
      <c r="AC286" s="152">
        <v>2</v>
      </c>
      <c r="AD286" s="152" t="s">
        <v>861</v>
      </c>
      <c r="AE286" s="152">
        <v>14.16</v>
      </c>
      <c r="AF286" s="152">
        <v>0</v>
      </c>
      <c r="AG286" s="152" t="s">
        <v>861</v>
      </c>
      <c r="AH286" s="152" t="s">
        <v>861</v>
      </c>
      <c r="AI286" s="152" t="s">
        <v>92</v>
      </c>
      <c r="AJ286" s="152" t="s">
        <v>92</v>
      </c>
      <c r="AK286" s="152" t="s">
        <v>2716</v>
      </c>
      <c r="AL286" s="159" t="s">
        <v>856</v>
      </c>
      <c r="AP286" s="159" t="s">
        <v>856</v>
      </c>
      <c r="AQ286" s="159" t="s">
        <v>856</v>
      </c>
      <c r="AR286" s="159" t="s">
        <v>885</v>
      </c>
      <c r="AS286" s="159" t="s">
        <v>865</v>
      </c>
      <c r="AT286" s="152" t="str">
        <f t="shared" si="23"/>
        <v>RPNG3-070422</v>
      </c>
      <c r="AU286" s="152" t="str">
        <f t="shared" si="24"/>
        <v>INGRID MAGNOLIA VELASQUEZ CASTILLO DE GODINEZ</v>
      </c>
      <c r="AV286" s="159">
        <v>178.42</v>
      </c>
      <c r="AW286" s="159">
        <v>802348</v>
      </c>
      <c r="AX286" s="159" t="s">
        <v>856</v>
      </c>
      <c r="AY286" s="159" t="s">
        <v>856</v>
      </c>
      <c r="AZ286" s="152" t="s">
        <v>864</v>
      </c>
      <c r="BA286" s="152" t="str">
        <f t="shared" si="12"/>
        <v>L22-411-MP061</v>
      </c>
      <c r="BB286" s="152">
        <v>0</v>
      </c>
      <c r="BC286" s="157">
        <v>44707</v>
      </c>
      <c r="BD286" s="157">
        <v>44707</v>
      </c>
      <c r="BE286" s="158">
        <v>35400</v>
      </c>
      <c r="BG286" s="159" t="s">
        <v>2033</v>
      </c>
      <c r="BK286" s="152" t="s">
        <v>132</v>
      </c>
      <c r="BN286" s="157" t="s">
        <v>1453</v>
      </c>
    </row>
    <row r="287" spans="1:66">
      <c r="A287" s="152" t="s">
        <v>2717</v>
      </c>
      <c r="B287" s="152" t="s">
        <v>2718</v>
      </c>
      <c r="C287" s="152" t="s">
        <v>2719</v>
      </c>
      <c r="D287" s="152" t="s">
        <v>2720</v>
      </c>
      <c r="E287" s="152" t="s">
        <v>2720</v>
      </c>
      <c r="F287" s="152">
        <v>297256</v>
      </c>
      <c r="G287" s="152">
        <v>236</v>
      </c>
      <c r="H287" s="152">
        <v>707</v>
      </c>
      <c r="I287" s="152">
        <v>199430</v>
      </c>
      <c r="J287" s="152">
        <v>680.63</v>
      </c>
      <c r="K287" s="152">
        <v>86854</v>
      </c>
      <c r="L287" s="159" t="s">
        <v>1590</v>
      </c>
      <c r="M287" s="152" t="s">
        <v>92</v>
      </c>
      <c r="N287" s="152" t="s">
        <v>883</v>
      </c>
      <c r="O287" s="159">
        <v>2367</v>
      </c>
      <c r="P287" s="159" t="s">
        <v>1590</v>
      </c>
      <c r="Q287" s="152" t="s">
        <v>92</v>
      </c>
      <c r="R287" s="152" t="s">
        <v>883</v>
      </c>
      <c r="S287" s="159">
        <v>2367</v>
      </c>
      <c r="T287" s="159" t="s">
        <v>856</v>
      </c>
      <c r="U287" s="159" t="s">
        <v>856</v>
      </c>
      <c r="V287" s="152" t="s">
        <v>1550</v>
      </c>
      <c r="W287" s="152" t="s">
        <v>858</v>
      </c>
      <c r="X287" s="152" t="s">
        <v>1083</v>
      </c>
      <c r="Y287" s="152">
        <v>0</v>
      </c>
      <c r="Z287" s="152">
        <v>0</v>
      </c>
      <c r="AA287" s="152" t="s">
        <v>92</v>
      </c>
      <c r="AB287" s="152">
        <v>164.76</v>
      </c>
      <c r="AC287" s="152">
        <v>2</v>
      </c>
      <c r="AD287" s="152" t="s">
        <v>861</v>
      </c>
      <c r="AE287" s="152">
        <v>164.76</v>
      </c>
      <c r="AF287" s="152">
        <v>0</v>
      </c>
      <c r="AG287" s="152">
        <v>556.4</v>
      </c>
      <c r="AH287" s="152" t="s">
        <v>861</v>
      </c>
      <c r="AI287" s="152" t="s">
        <v>92</v>
      </c>
      <c r="AJ287" s="152" t="s">
        <v>92</v>
      </c>
      <c r="AK287" s="152" t="s">
        <v>912</v>
      </c>
      <c r="AL287" s="159" t="s">
        <v>856</v>
      </c>
      <c r="AP287" s="159" t="s">
        <v>856</v>
      </c>
      <c r="AQ287" s="159" t="s">
        <v>856</v>
      </c>
      <c r="AR287" s="159" t="s">
        <v>1240</v>
      </c>
      <c r="AS287" s="159" t="s">
        <v>865</v>
      </c>
      <c r="AT287" s="152" t="str">
        <f t="shared" si="23"/>
        <v>RPNT11-410922</v>
      </c>
      <c r="AU287" s="152" t="str">
        <f t="shared" si="24"/>
        <v>JOSE ORLANDO TZOC PONCIO Y CONDUEÑA</v>
      </c>
      <c r="AV287" s="159">
        <v>2075.98</v>
      </c>
      <c r="AW287" s="159">
        <v>818837</v>
      </c>
      <c r="AX287" s="159" t="s">
        <v>856</v>
      </c>
      <c r="AY287" s="159" t="s">
        <v>856</v>
      </c>
      <c r="AZ287" s="152" t="s">
        <v>864</v>
      </c>
      <c r="BA287" s="152" t="str">
        <f t="shared" si="12"/>
        <v>L22-019-MP045</v>
      </c>
      <c r="BB287" s="152">
        <v>0</v>
      </c>
      <c r="BC287" s="157">
        <v>44896</v>
      </c>
      <c r="BD287" s="157">
        <v>44896</v>
      </c>
      <c r="BE287" s="158">
        <v>411900</v>
      </c>
      <c r="BF287" s="152" t="s">
        <v>2721</v>
      </c>
      <c r="BG287" s="159" t="s">
        <v>894</v>
      </c>
      <c r="BH287" s="152">
        <v>164.76</v>
      </c>
      <c r="BI287" s="152">
        <v>0</v>
      </c>
      <c r="BJ287" s="152">
        <v>0</v>
      </c>
      <c r="BK287" s="152" t="s">
        <v>132</v>
      </c>
      <c r="BL287" s="152">
        <v>164.76</v>
      </c>
      <c r="BM287" s="152">
        <v>818838</v>
      </c>
      <c r="BN287" s="157" t="s">
        <v>1453</v>
      </c>
    </row>
    <row r="288" spans="1:66">
      <c r="A288" s="152" t="s">
        <v>2722</v>
      </c>
      <c r="B288" s="152" t="s">
        <v>2723</v>
      </c>
      <c r="C288" s="152" t="s">
        <v>2724</v>
      </c>
      <c r="D288" s="152" t="s">
        <v>2725</v>
      </c>
      <c r="E288" s="152" t="s">
        <v>2725</v>
      </c>
      <c r="F288" s="152">
        <v>1369</v>
      </c>
      <c r="G288" s="152">
        <v>369</v>
      </c>
      <c r="H288" s="152" t="s">
        <v>920</v>
      </c>
      <c r="I288" s="152">
        <v>195295</v>
      </c>
      <c r="J288" s="152">
        <v>128</v>
      </c>
      <c r="K288" s="152">
        <v>83795</v>
      </c>
      <c r="L288" s="159" t="s">
        <v>1022</v>
      </c>
      <c r="M288" s="152" t="s">
        <v>883</v>
      </c>
      <c r="N288" s="152" t="s">
        <v>92</v>
      </c>
      <c r="O288" s="159">
        <v>12027</v>
      </c>
      <c r="P288" s="159" t="s">
        <v>1022</v>
      </c>
      <c r="Q288" s="152" t="s">
        <v>883</v>
      </c>
      <c r="R288" s="152" t="s">
        <v>92</v>
      </c>
      <c r="S288" s="159">
        <v>12027</v>
      </c>
      <c r="T288" s="159" t="s">
        <v>2584</v>
      </c>
      <c r="U288" s="159" t="s">
        <v>2585</v>
      </c>
      <c r="V288" s="152" t="s">
        <v>857</v>
      </c>
      <c r="W288" s="152" t="s">
        <v>858</v>
      </c>
      <c r="X288" s="152" t="s">
        <v>1083</v>
      </c>
      <c r="Y288" s="152">
        <v>36.229999999999997</v>
      </c>
      <c r="Z288" s="152">
        <v>1</v>
      </c>
      <c r="AA288" s="152" t="s">
        <v>92</v>
      </c>
      <c r="AB288" s="152">
        <v>210.96</v>
      </c>
      <c r="AC288" s="152">
        <v>2</v>
      </c>
      <c r="AD288" s="152" t="s">
        <v>861</v>
      </c>
      <c r="AE288" s="152">
        <v>210.96</v>
      </c>
      <c r="AF288" s="152">
        <v>0</v>
      </c>
      <c r="AG288" s="152" t="s">
        <v>861</v>
      </c>
      <c r="AH288" s="152" t="s">
        <v>861</v>
      </c>
      <c r="AI288" s="152" t="s">
        <v>92</v>
      </c>
      <c r="AJ288" s="152" t="s">
        <v>92</v>
      </c>
      <c r="AK288" s="152" t="s">
        <v>862</v>
      </c>
      <c r="AL288" s="159" t="s">
        <v>856</v>
      </c>
      <c r="AP288" s="159" t="s">
        <v>856</v>
      </c>
      <c r="AQ288" s="159" t="s">
        <v>856</v>
      </c>
      <c r="AR288" s="159" t="s">
        <v>1988</v>
      </c>
      <c r="AS288" s="159" t="s">
        <v>865</v>
      </c>
      <c r="AT288" s="152" t="str">
        <f t="shared" si="23"/>
        <v>VUNSR-011022</v>
      </c>
      <c r="AU288" s="152" t="str">
        <f t="shared" si="24"/>
        <v>CESAR ORLANDO SOTO ALVARADO</v>
      </c>
      <c r="AV288" s="159">
        <v>2729.11</v>
      </c>
      <c r="AW288" s="159">
        <v>823950</v>
      </c>
      <c r="AX288" s="159">
        <v>40</v>
      </c>
      <c r="AY288" s="159">
        <v>823953</v>
      </c>
      <c r="AZ288" s="152" t="s">
        <v>864</v>
      </c>
      <c r="BA288" s="152" t="str">
        <f t="shared" si="12"/>
        <v>L23-039-MP048</v>
      </c>
      <c r="BB288" s="152">
        <v>24</v>
      </c>
      <c r="BC288" s="157">
        <v>44951</v>
      </c>
      <c r="BD288" s="157">
        <v>45316</v>
      </c>
      <c r="BE288" s="158">
        <v>540080.5</v>
      </c>
      <c r="BF288" s="152" t="s">
        <v>2726</v>
      </c>
      <c r="BG288" s="159" t="s">
        <v>875</v>
      </c>
      <c r="BH288" s="152">
        <v>210.96</v>
      </c>
      <c r="BI288" s="152">
        <v>0</v>
      </c>
      <c r="BJ288" s="152">
        <v>0</v>
      </c>
      <c r="BK288" s="152" t="s">
        <v>132</v>
      </c>
      <c r="BL288" s="152">
        <v>210.96</v>
      </c>
      <c r="BM288" s="152">
        <v>823952</v>
      </c>
      <c r="BN288" s="157" t="s">
        <v>1453</v>
      </c>
    </row>
    <row r="289" spans="1:66">
      <c r="A289" s="152" t="s">
        <v>2727</v>
      </c>
      <c r="B289" s="152" t="s">
        <v>2728</v>
      </c>
      <c r="C289" s="152" t="s">
        <v>2729</v>
      </c>
      <c r="D289" s="152" t="s">
        <v>2730</v>
      </c>
      <c r="E289" s="152" t="s">
        <v>2562</v>
      </c>
      <c r="F289" s="152">
        <v>9724</v>
      </c>
      <c r="G289" s="152">
        <v>224</v>
      </c>
      <c r="H289" s="152" t="s">
        <v>2731</v>
      </c>
      <c r="I289" s="152">
        <v>188195</v>
      </c>
      <c r="J289" s="152">
        <v>200.07</v>
      </c>
      <c r="K289" s="152">
        <v>78318</v>
      </c>
      <c r="L289" s="159" t="s">
        <v>1508</v>
      </c>
      <c r="M289" s="152" t="s">
        <v>883</v>
      </c>
      <c r="N289" s="152" t="s">
        <v>92</v>
      </c>
      <c r="O289" s="159">
        <v>11147</v>
      </c>
      <c r="P289" s="159" t="s">
        <v>1508</v>
      </c>
      <c r="Q289" s="152" t="s">
        <v>883</v>
      </c>
      <c r="R289" s="152" t="s">
        <v>92</v>
      </c>
      <c r="S289" s="159">
        <v>11147</v>
      </c>
      <c r="T289" s="159" t="s">
        <v>2563</v>
      </c>
      <c r="U289" s="159" t="s">
        <v>2564</v>
      </c>
      <c r="V289" s="152" t="s">
        <v>857</v>
      </c>
      <c r="W289" s="152" t="s">
        <v>2732</v>
      </c>
      <c r="X289" s="152" t="s">
        <v>1083</v>
      </c>
      <c r="Y289" s="152">
        <v>94.32</v>
      </c>
      <c r="Z289" s="152">
        <v>1</v>
      </c>
      <c r="AA289" s="152" t="s">
        <v>92</v>
      </c>
      <c r="AB289" s="152">
        <v>86.27</v>
      </c>
      <c r="AC289" s="152">
        <v>1</v>
      </c>
      <c r="AD289" s="152" t="s">
        <v>861</v>
      </c>
      <c r="AE289" s="152">
        <v>86.27</v>
      </c>
      <c r="AF289" s="152">
        <v>0</v>
      </c>
      <c r="AG289" s="152">
        <v>83.74</v>
      </c>
      <c r="AH289" s="152" t="s">
        <v>861</v>
      </c>
      <c r="AI289" s="152" t="s">
        <v>92</v>
      </c>
      <c r="AJ289" s="152" t="s">
        <v>92</v>
      </c>
      <c r="AK289" s="152" t="s">
        <v>912</v>
      </c>
      <c r="AL289" s="159" t="s">
        <v>856</v>
      </c>
      <c r="AP289" s="159" t="s">
        <v>856</v>
      </c>
      <c r="AQ289" s="159" t="s">
        <v>856</v>
      </c>
      <c r="AR289" s="159" t="s">
        <v>873</v>
      </c>
      <c r="AS289" s="159" t="s">
        <v>865</v>
      </c>
      <c r="AT289" s="152" t="str">
        <f t="shared" si="23"/>
        <v>VUNL12-011222</v>
      </c>
      <c r="AU289" s="152" t="str">
        <f t="shared" si="24"/>
        <v>SANDRA FABIOLA LOPEZ DE LEON</v>
      </c>
      <c r="AV289" s="159">
        <v>1041.57</v>
      </c>
      <c r="AW289" s="159">
        <v>827861</v>
      </c>
      <c r="AX289" s="159">
        <v>40</v>
      </c>
      <c r="AY289" s="159">
        <v>827863</v>
      </c>
      <c r="AZ289" s="152" t="s">
        <v>864</v>
      </c>
      <c r="BA289" s="152" t="str">
        <f t="shared" si="12"/>
        <v>L23-093-MP018</v>
      </c>
      <c r="BB289" s="152">
        <v>15</v>
      </c>
      <c r="BC289" s="157">
        <v>44977</v>
      </c>
      <c r="BD289" s="157">
        <v>45280</v>
      </c>
      <c r="BE289" s="158">
        <v>203632</v>
      </c>
      <c r="BF289" s="152" t="s">
        <v>2733</v>
      </c>
      <c r="BG289" s="159" t="s">
        <v>875</v>
      </c>
      <c r="BH289" s="152">
        <v>86.27</v>
      </c>
      <c r="BI289" s="152">
        <v>0</v>
      </c>
      <c r="BJ289" s="152">
        <v>0</v>
      </c>
      <c r="BK289" s="152" t="s">
        <v>132</v>
      </c>
      <c r="BL289" s="152">
        <v>86.27</v>
      </c>
      <c r="BM289" s="152">
        <v>827864</v>
      </c>
      <c r="BN289" s="157" t="s">
        <v>1453</v>
      </c>
    </row>
    <row r="290" spans="1:66">
      <c r="A290" s="152" t="s">
        <v>2734</v>
      </c>
      <c r="B290" s="152" t="s">
        <v>2735</v>
      </c>
      <c r="C290" s="152" t="s">
        <v>2736</v>
      </c>
      <c r="D290" s="152" t="s">
        <v>2737</v>
      </c>
      <c r="E290" s="152" t="s">
        <v>2738</v>
      </c>
      <c r="F290" s="152">
        <v>6159</v>
      </c>
      <c r="G290" s="152">
        <v>159</v>
      </c>
      <c r="H290" s="152" t="s">
        <v>1537</v>
      </c>
      <c r="I290" s="152">
        <v>202386</v>
      </c>
      <c r="J290" s="152">
        <v>100.12</v>
      </c>
      <c r="K290" s="152">
        <v>89212</v>
      </c>
      <c r="L290" s="159" t="s">
        <v>2739</v>
      </c>
      <c r="M290" s="152" t="s">
        <v>883</v>
      </c>
      <c r="N290" s="152" t="s">
        <v>92</v>
      </c>
      <c r="O290" s="159">
        <v>19252</v>
      </c>
      <c r="P290" s="159" t="s">
        <v>1645</v>
      </c>
      <c r="Q290" s="152" t="s">
        <v>92</v>
      </c>
      <c r="R290" s="152" t="s">
        <v>883</v>
      </c>
      <c r="S290" s="159">
        <v>6069</v>
      </c>
      <c r="T290" s="159" t="s">
        <v>856</v>
      </c>
      <c r="U290" s="159" t="s">
        <v>856</v>
      </c>
      <c r="V290" s="152" t="s">
        <v>857</v>
      </c>
      <c r="W290" s="152" t="s">
        <v>858</v>
      </c>
      <c r="X290" s="152" t="s">
        <v>1083</v>
      </c>
      <c r="Y290" s="152">
        <v>0</v>
      </c>
      <c r="Z290" s="152">
        <v>1</v>
      </c>
      <c r="AA290" s="152" t="s">
        <v>92</v>
      </c>
      <c r="AB290" s="152">
        <v>40.42</v>
      </c>
      <c r="AC290" s="152">
        <v>1</v>
      </c>
      <c r="AD290" s="152" t="s">
        <v>861</v>
      </c>
      <c r="AE290" s="152">
        <v>40.42</v>
      </c>
      <c r="AF290" s="152">
        <v>0</v>
      </c>
      <c r="AG290" s="152">
        <v>58.59</v>
      </c>
      <c r="AH290" s="152" t="s">
        <v>861</v>
      </c>
      <c r="AI290" s="152" t="s">
        <v>92</v>
      </c>
      <c r="AJ290" s="152" t="s">
        <v>92</v>
      </c>
      <c r="AK290" s="152" t="s">
        <v>862</v>
      </c>
      <c r="AL290" s="159" t="s">
        <v>856</v>
      </c>
      <c r="AP290" s="159" t="s">
        <v>856</v>
      </c>
      <c r="AQ290" s="159" t="s">
        <v>856</v>
      </c>
      <c r="AR290" s="159" t="s">
        <v>992</v>
      </c>
      <c r="AS290" s="159" t="s">
        <v>865</v>
      </c>
      <c r="AT290" s="152" t="str">
        <f t="shared" si="23"/>
        <v>VUNV1-011222</v>
      </c>
      <c r="AU290" s="152" t="str">
        <f t="shared" si="24"/>
        <v>MAYRA ELIZABETH CAJCHUM PONCIO DE VELASQUEZ</v>
      </c>
      <c r="AV290" s="159">
        <v>407.43</v>
      </c>
      <c r="AW290" s="159">
        <v>825099</v>
      </c>
      <c r="AX290" s="159">
        <v>37.5</v>
      </c>
      <c r="AY290" s="159">
        <v>825102</v>
      </c>
      <c r="AZ290" s="152" t="s">
        <v>864</v>
      </c>
      <c r="BA290" s="152" t="str">
        <f t="shared" si="12"/>
        <v>L23-068-MP020</v>
      </c>
      <c r="BB290" s="152">
        <v>15</v>
      </c>
      <c r="BC290" s="157">
        <v>44972</v>
      </c>
      <c r="BD290" s="157">
        <v>45275</v>
      </c>
      <c r="BE290" s="158">
        <v>80840</v>
      </c>
      <c r="BF290" s="152" t="s">
        <v>2740</v>
      </c>
      <c r="BG290" s="159" t="s">
        <v>2741</v>
      </c>
      <c r="BH290" s="152">
        <v>40.42</v>
      </c>
      <c r="BI290" s="152">
        <v>0</v>
      </c>
      <c r="BJ290" s="152">
        <v>0</v>
      </c>
      <c r="BK290" s="152" t="s">
        <v>132</v>
      </c>
      <c r="BL290" s="152">
        <v>40.42</v>
      </c>
      <c r="BM290" s="152">
        <v>825101</v>
      </c>
      <c r="BN290" s="157" t="s">
        <v>1453</v>
      </c>
    </row>
    <row r="291" spans="1:66">
      <c r="A291" s="152" t="s">
        <v>2742</v>
      </c>
      <c r="B291" s="152" t="s">
        <v>2743</v>
      </c>
      <c r="C291" s="152" t="s">
        <v>2744</v>
      </c>
      <c r="D291" s="152" t="s">
        <v>2745</v>
      </c>
      <c r="E291" s="152" t="s">
        <v>2746</v>
      </c>
      <c r="F291" s="152">
        <v>1484</v>
      </c>
      <c r="G291" s="152">
        <v>484</v>
      </c>
      <c r="H291" s="152" t="s">
        <v>920</v>
      </c>
      <c r="I291" s="152">
        <v>193640</v>
      </c>
      <c r="J291" s="152">
        <v>128</v>
      </c>
      <c r="K291" s="152">
        <v>82636</v>
      </c>
      <c r="L291" s="159" t="s">
        <v>2682</v>
      </c>
      <c r="M291" s="152" t="s">
        <v>883</v>
      </c>
      <c r="N291" s="152" t="s">
        <v>92</v>
      </c>
      <c r="O291" s="159">
        <v>13490</v>
      </c>
      <c r="P291" s="159" t="s">
        <v>2682</v>
      </c>
      <c r="Q291" s="152" t="s">
        <v>883</v>
      </c>
      <c r="R291" s="152" t="s">
        <v>92</v>
      </c>
      <c r="S291" s="159">
        <v>13490</v>
      </c>
      <c r="T291" s="159" t="s">
        <v>856</v>
      </c>
      <c r="U291" s="159" t="s">
        <v>856</v>
      </c>
      <c r="V291" s="152" t="s">
        <v>857</v>
      </c>
      <c r="W291" s="152" t="s">
        <v>858</v>
      </c>
      <c r="X291" s="152" t="s">
        <v>1083</v>
      </c>
      <c r="Y291" s="152">
        <v>52.15</v>
      </c>
      <c r="Z291" s="152">
        <v>1</v>
      </c>
      <c r="AA291" s="152" t="s">
        <v>92</v>
      </c>
      <c r="AB291" s="152">
        <v>211.14</v>
      </c>
      <c r="AC291" s="152">
        <v>2</v>
      </c>
      <c r="AD291" s="152" t="s">
        <v>861</v>
      </c>
      <c r="AE291" s="152">
        <v>211.14</v>
      </c>
      <c r="AF291" s="152">
        <v>0</v>
      </c>
      <c r="AG291" s="152" t="s">
        <v>861</v>
      </c>
      <c r="AH291" s="152" t="s">
        <v>861</v>
      </c>
      <c r="AI291" s="152" t="s">
        <v>92</v>
      </c>
      <c r="AJ291" s="152" t="s">
        <v>92</v>
      </c>
      <c r="AK291" s="152" t="s">
        <v>862</v>
      </c>
      <c r="AL291" s="159" t="s">
        <v>856</v>
      </c>
      <c r="AP291" s="159" t="s">
        <v>856</v>
      </c>
      <c r="AQ291" s="159" t="s">
        <v>856</v>
      </c>
      <c r="AR291" s="159" t="s">
        <v>873</v>
      </c>
      <c r="AS291" s="159" t="s">
        <v>865</v>
      </c>
      <c r="AT291" s="152" t="str">
        <f t="shared" si="23"/>
        <v>VUNC5-121222</v>
      </c>
      <c r="AU291" s="152" t="str">
        <f t="shared" si="24"/>
        <v>MARVIN GEOVANNY CASTILLO MONZON</v>
      </c>
      <c r="AV291" s="159">
        <v>2877.78</v>
      </c>
      <c r="AW291" s="159">
        <v>825088</v>
      </c>
      <c r="AX291" s="159">
        <v>40</v>
      </c>
      <c r="AY291" s="159">
        <v>825091</v>
      </c>
      <c r="AZ291" s="152" t="s">
        <v>864</v>
      </c>
      <c r="BA291" s="152" t="str">
        <f t="shared" si="12"/>
        <v>L23-073-MP014</v>
      </c>
      <c r="BB291" s="152">
        <v>24</v>
      </c>
      <c r="BC291" s="157">
        <v>44972</v>
      </c>
      <c r="BD291" s="157">
        <v>45337</v>
      </c>
      <c r="BE291" s="158">
        <v>549942.5</v>
      </c>
      <c r="BF291" s="152" t="s">
        <v>2747</v>
      </c>
      <c r="BG291" s="159" t="s">
        <v>2748</v>
      </c>
      <c r="BH291" s="152">
        <v>211.14</v>
      </c>
      <c r="BI291" s="152">
        <v>0</v>
      </c>
      <c r="BJ291" s="152">
        <v>0</v>
      </c>
      <c r="BK291" s="152" t="s">
        <v>132</v>
      </c>
      <c r="BL291" s="152">
        <v>211.14</v>
      </c>
      <c r="BM291" s="152">
        <v>825090</v>
      </c>
      <c r="BN291" s="157" t="s">
        <v>1453</v>
      </c>
    </row>
    <row r="292" spans="1:66">
      <c r="A292" s="152" t="s">
        <v>2749</v>
      </c>
      <c r="B292" s="152" t="s">
        <v>2750</v>
      </c>
      <c r="C292" s="152" t="s">
        <v>2751</v>
      </c>
      <c r="D292" s="152" t="s">
        <v>2752</v>
      </c>
      <c r="E292" s="152" t="s">
        <v>2752</v>
      </c>
      <c r="F292" s="152">
        <v>5466</v>
      </c>
      <c r="G292" s="152">
        <v>466</v>
      </c>
      <c r="H292" s="152" t="s">
        <v>1041</v>
      </c>
      <c r="I292" s="152">
        <v>202537</v>
      </c>
      <c r="J292" s="152">
        <v>90.06</v>
      </c>
      <c r="K292" s="152">
        <v>89340</v>
      </c>
      <c r="L292" s="159" t="s">
        <v>856</v>
      </c>
      <c r="M292" s="152" t="s">
        <v>92</v>
      </c>
      <c r="N292" s="152" t="s">
        <v>92</v>
      </c>
      <c r="O292" s="159" t="s">
        <v>856</v>
      </c>
      <c r="P292" s="159" t="s">
        <v>856</v>
      </c>
      <c r="Q292" s="152" t="s">
        <v>92</v>
      </c>
      <c r="R292" s="152" t="s">
        <v>92</v>
      </c>
      <c r="S292" s="159" t="s">
        <v>856</v>
      </c>
      <c r="T292" s="159" t="s">
        <v>856</v>
      </c>
      <c r="U292" s="159" t="s">
        <v>856</v>
      </c>
      <c r="V292" s="152" t="s">
        <v>857</v>
      </c>
      <c r="W292" s="152" t="s">
        <v>858</v>
      </c>
      <c r="X292" s="152" t="s">
        <v>1083</v>
      </c>
      <c r="Y292" s="152">
        <v>0</v>
      </c>
      <c r="Z292" s="152">
        <v>1</v>
      </c>
      <c r="AA292" s="152" t="s">
        <v>92</v>
      </c>
      <c r="AB292" s="152">
        <v>107.43</v>
      </c>
      <c r="AC292" s="152">
        <v>2</v>
      </c>
      <c r="AD292" s="152" t="s">
        <v>861</v>
      </c>
      <c r="AE292" s="152">
        <v>107.43</v>
      </c>
      <c r="AF292" s="152">
        <v>0</v>
      </c>
      <c r="AG292" s="152" t="s">
        <v>861</v>
      </c>
      <c r="AH292" s="152" t="s">
        <v>861</v>
      </c>
      <c r="AI292" s="152" t="s">
        <v>92</v>
      </c>
      <c r="AJ292" s="152" t="s">
        <v>92</v>
      </c>
      <c r="AK292" s="152" t="s">
        <v>1620</v>
      </c>
      <c r="AL292" s="159" t="s">
        <v>856</v>
      </c>
      <c r="AP292" s="159" t="s">
        <v>856</v>
      </c>
      <c r="AQ292" s="159" t="s">
        <v>856</v>
      </c>
      <c r="AR292" s="159" t="s">
        <v>873</v>
      </c>
      <c r="AS292" s="159" t="s">
        <v>865</v>
      </c>
      <c r="AT292" s="152" t="str">
        <f t="shared" si="23"/>
        <v>RPNS6-090121</v>
      </c>
      <c r="AU292" s="152" t="str">
        <f t="shared" si="24"/>
        <v>MARCO ANTONIO SON APARICIO</v>
      </c>
      <c r="AV292" s="159">
        <v>1353.62</v>
      </c>
      <c r="AW292" s="159">
        <v>697684</v>
      </c>
      <c r="AX292" s="159">
        <v>52.5</v>
      </c>
      <c r="AY292" s="159">
        <v>697686</v>
      </c>
      <c r="AZ292" s="152" t="s">
        <v>864</v>
      </c>
      <c r="BA292" s="152" t="str">
        <f t="shared" si="12"/>
        <v>L21-1025-MP184</v>
      </c>
      <c r="BB292" s="152">
        <v>0</v>
      </c>
      <c r="BC292" s="157">
        <v>44391</v>
      </c>
      <c r="BD292" s="157">
        <v>44391</v>
      </c>
      <c r="BE292" s="158">
        <v>268575</v>
      </c>
      <c r="BF292" s="152" t="s">
        <v>2753</v>
      </c>
      <c r="BG292" s="159" t="s">
        <v>894</v>
      </c>
      <c r="BH292" s="152">
        <v>107.43</v>
      </c>
      <c r="BI292" s="152">
        <v>0</v>
      </c>
      <c r="BJ292" s="152">
        <v>0</v>
      </c>
      <c r="BK292" s="152" t="s">
        <v>132</v>
      </c>
      <c r="BL292" s="152">
        <v>107.43</v>
      </c>
      <c r="BM292" s="152">
        <v>697685</v>
      </c>
      <c r="BN292" s="157" t="s">
        <v>1453</v>
      </c>
    </row>
    <row r="293" spans="1:66">
      <c r="A293" s="152" t="s">
        <v>2754</v>
      </c>
      <c r="B293" s="152" t="s">
        <v>2755</v>
      </c>
      <c r="C293" s="152" t="s">
        <v>2756</v>
      </c>
      <c r="D293" s="152" t="s">
        <v>2757</v>
      </c>
      <c r="E293" s="152" t="s">
        <v>2758</v>
      </c>
      <c r="F293" s="152">
        <v>1479</v>
      </c>
      <c r="G293" s="152">
        <v>479</v>
      </c>
      <c r="H293" s="152" t="s">
        <v>2311</v>
      </c>
      <c r="I293" s="152">
        <v>200629</v>
      </c>
      <c r="J293" s="152">
        <v>120</v>
      </c>
      <c r="K293" s="152">
        <v>87791</v>
      </c>
      <c r="L293" s="159" t="s">
        <v>1517</v>
      </c>
      <c r="M293" s="152" t="s">
        <v>92</v>
      </c>
      <c r="N293" s="152" t="s">
        <v>883</v>
      </c>
      <c r="O293" s="159">
        <v>5717</v>
      </c>
      <c r="P293" s="159" t="s">
        <v>1517</v>
      </c>
      <c r="Q293" s="152" t="s">
        <v>92</v>
      </c>
      <c r="R293" s="152" t="s">
        <v>883</v>
      </c>
      <c r="S293" s="159">
        <v>5717</v>
      </c>
      <c r="T293" s="159" t="s">
        <v>2759</v>
      </c>
      <c r="U293" s="159" t="s">
        <v>2760</v>
      </c>
      <c r="V293" s="152" t="s">
        <v>857</v>
      </c>
      <c r="W293" s="152" t="s">
        <v>858</v>
      </c>
      <c r="X293" s="152" t="s">
        <v>1083</v>
      </c>
      <c r="Y293" s="152">
        <v>41.09</v>
      </c>
      <c r="Z293" s="152">
        <v>1</v>
      </c>
      <c r="AA293" s="152" t="s">
        <v>883</v>
      </c>
      <c r="AB293" s="152">
        <v>216.66</v>
      </c>
      <c r="AC293" s="152">
        <v>2</v>
      </c>
      <c r="AD293" s="152" t="s">
        <v>861</v>
      </c>
      <c r="AE293" s="152">
        <v>216.66</v>
      </c>
      <c r="AF293" s="152">
        <v>0</v>
      </c>
      <c r="AG293" s="152" t="s">
        <v>861</v>
      </c>
      <c r="AH293" s="152" t="s">
        <v>861</v>
      </c>
      <c r="AI293" s="152" t="s">
        <v>92</v>
      </c>
      <c r="AJ293" s="152" t="s">
        <v>92</v>
      </c>
      <c r="AK293" s="152" t="s">
        <v>884</v>
      </c>
      <c r="AL293" s="159" t="s">
        <v>856</v>
      </c>
      <c r="AP293" s="159" t="s">
        <v>856</v>
      </c>
      <c r="AQ293" s="159" t="s">
        <v>856</v>
      </c>
      <c r="AR293" s="159" t="s">
        <v>2761</v>
      </c>
      <c r="AS293" s="159" t="s">
        <v>865</v>
      </c>
      <c r="AT293" s="152" t="str">
        <f t="shared" si="23"/>
        <v>RPNB8-430922</v>
      </c>
      <c r="AU293" s="152" t="str">
        <f t="shared" si="24"/>
        <v>CARMEN YANET BARRERA LOPEZ</v>
      </c>
      <c r="AV293" s="159">
        <v>2810.45</v>
      </c>
      <c r="AW293" s="159">
        <v>912053</v>
      </c>
      <c r="AX293" s="159" t="s">
        <v>856</v>
      </c>
      <c r="AY293" s="159" t="s">
        <v>856</v>
      </c>
      <c r="AZ293" s="152" t="s">
        <v>864</v>
      </c>
      <c r="BA293" s="152" t="str">
        <f t="shared" si="12"/>
        <v>L22-876-MP049</v>
      </c>
      <c r="BB293" s="152">
        <v>0</v>
      </c>
      <c r="BC293" s="157">
        <v>44909</v>
      </c>
      <c r="BD293" s="157">
        <v>44909</v>
      </c>
      <c r="BE293" s="158">
        <v>556031.5</v>
      </c>
      <c r="BF293" s="152" t="s">
        <v>2762</v>
      </c>
      <c r="BG293" s="159" t="s">
        <v>2763</v>
      </c>
      <c r="BH293" s="152">
        <v>216.66</v>
      </c>
      <c r="BI293" s="152">
        <v>0</v>
      </c>
      <c r="BJ293" s="152">
        <v>0</v>
      </c>
      <c r="BK293" s="152" t="s">
        <v>132</v>
      </c>
      <c r="BL293" s="152">
        <v>216.66</v>
      </c>
      <c r="BM293" s="152">
        <v>912054</v>
      </c>
      <c r="BN293" s="157" t="s">
        <v>1453</v>
      </c>
    </row>
    <row r="294" spans="1:66">
      <c r="A294" s="152" t="s">
        <v>2764</v>
      </c>
      <c r="B294" s="152" t="s">
        <v>2765</v>
      </c>
      <c r="C294" s="152" t="s">
        <v>2766</v>
      </c>
      <c r="D294" s="152" t="s">
        <v>2767</v>
      </c>
      <c r="E294" s="152" t="s">
        <v>2562</v>
      </c>
      <c r="F294" s="152">
        <v>319432</v>
      </c>
      <c r="G294" s="152">
        <v>92</v>
      </c>
      <c r="H294" s="152">
        <v>783</v>
      </c>
      <c r="I294" s="152">
        <v>177131</v>
      </c>
      <c r="J294" s="152">
        <v>130.5</v>
      </c>
      <c r="K294" s="152">
        <v>74071</v>
      </c>
      <c r="L294" s="159" t="s">
        <v>2768</v>
      </c>
      <c r="M294" s="152" t="s">
        <v>883</v>
      </c>
      <c r="N294" s="152" t="s">
        <v>92</v>
      </c>
      <c r="O294" s="159">
        <v>20926</v>
      </c>
      <c r="P294" s="159" t="s">
        <v>2768</v>
      </c>
      <c r="Q294" s="152" t="s">
        <v>883</v>
      </c>
      <c r="R294" s="152" t="s">
        <v>92</v>
      </c>
      <c r="S294" s="159">
        <v>20926</v>
      </c>
      <c r="T294" s="159" t="s">
        <v>2769</v>
      </c>
      <c r="U294" s="159" t="s">
        <v>2770</v>
      </c>
      <c r="V294" s="152" t="s">
        <v>857</v>
      </c>
      <c r="W294" s="152" t="s">
        <v>2732</v>
      </c>
      <c r="X294" s="152" t="s">
        <v>1083</v>
      </c>
      <c r="Y294" s="152">
        <v>44.48</v>
      </c>
      <c r="Z294" s="152">
        <v>1</v>
      </c>
      <c r="AA294" s="152" t="s">
        <v>92</v>
      </c>
      <c r="AB294" s="152">
        <v>109.08</v>
      </c>
      <c r="AC294" s="152">
        <v>1</v>
      </c>
      <c r="AD294" s="152" t="s">
        <v>861</v>
      </c>
      <c r="AE294" s="152">
        <v>109.08</v>
      </c>
      <c r="AF294" s="152">
        <v>0</v>
      </c>
      <c r="AG294" s="152" t="s">
        <v>861</v>
      </c>
      <c r="AH294" s="152" t="s">
        <v>861</v>
      </c>
      <c r="AI294" s="152" t="s">
        <v>92</v>
      </c>
      <c r="AJ294" s="152" t="s">
        <v>92</v>
      </c>
      <c r="AK294" s="152" t="s">
        <v>884</v>
      </c>
      <c r="AL294" s="159" t="s">
        <v>856</v>
      </c>
      <c r="AP294" s="159" t="s">
        <v>856</v>
      </c>
      <c r="AQ294" s="159" t="s">
        <v>856</v>
      </c>
      <c r="AR294" s="159" t="s">
        <v>873</v>
      </c>
      <c r="AS294" s="159" t="s">
        <v>865</v>
      </c>
      <c r="AT294" s="152" t="str">
        <f t="shared" si="23"/>
        <v>VUNM8-021222</v>
      </c>
      <c r="AU294" s="152" t="str">
        <f t="shared" si="24"/>
        <v>ERIKA MARLENE HUITZ RECINOS DE MONTERROSO</v>
      </c>
      <c r="AV294" s="159">
        <v>1104.02</v>
      </c>
      <c r="AW294" s="159">
        <v>824958</v>
      </c>
      <c r="AX294" s="159">
        <v>37.5</v>
      </c>
      <c r="AY294" s="159">
        <v>824961</v>
      </c>
      <c r="AZ294" s="152" t="s">
        <v>864</v>
      </c>
      <c r="BA294" s="152" t="str">
        <f t="shared" si="12"/>
        <v>L23-063-MP015</v>
      </c>
      <c r="BB294" s="152">
        <v>15</v>
      </c>
      <c r="BC294" s="157">
        <v>44967</v>
      </c>
      <c r="BD294" s="157">
        <v>45270</v>
      </c>
      <c r="BE294" s="158">
        <v>218804</v>
      </c>
      <c r="BF294" s="152" t="s">
        <v>2771</v>
      </c>
      <c r="BG294" s="159" t="s">
        <v>875</v>
      </c>
      <c r="BH294" s="152">
        <v>109.08</v>
      </c>
      <c r="BI294" s="152">
        <v>0</v>
      </c>
      <c r="BJ294" s="152">
        <v>0</v>
      </c>
      <c r="BK294" s="152" t="s">
        <v>132</v>
      </c>
      <c r="BL294" s="152">
        <v>109.08</v>
      </c>
      <c r="BM294" s="152">
        <v>824960</v>
      </c>
      <c r="BN294" s="157" t="s">
        <v>1453</v>
      </c>
    </row>
    <row r="295" spans="1:66">
      <c r="A295" s="152" t="s">
        <v>2772</v>
      </c>
      <c r="B295" s="152" t="s">
        <v>2773</v>
      </c>
      <c r="C295" s="152" t="s">
        <v>1262</v>
      </c>
      <c r="D295" s="152" t="s">
        <v>2774</v>
      </c>
      <c r="E295" s="152" t="s">
        <v>1264</v>
      </c>
      <c r="F295" s="152">
        <v>2862</v>
      </c>
      <c r="G295" s="152">
        <v>362</v>
      </c>
      <c r="H295" s="152" t="s">
        <v>1265</v>
      </c>
      <c r="I295" s="152">
        <v>202334</v>
      </c>
      <c r="J295" s="152">
        <v>96</v>
      </c>
      <c r="K295" s="152">
        <v>89171</v>
      </c>
      <c r="L295" s="159" t="s">
        <v>1266</v>
      </c>
      <c r="M295" s="152" t="s">
        <v>92</v>
      </c>
      <c r="N295" s="152" t="s">
        <v>883</v>
      </c>
      <c r="O295" s="159">
        <v>3989</v>
      </c>
      <c r="P295" s="159" t="s">
        <v>1267</v>
      </c>
      <c r="Q295" s="152" t="s">
        <v>883</v>
      </c>
      <c r="R295" s="152" t="s">
        <v>92</v>
      </c>
      <c r="S295" s="159">
        <v>13080</v>
      </c>
      <c r="T295" s="159" t="s">
        <v>1603</v>
      </c>
      <c r="U295" s="159" t="s">
        <v>1604</v>
      </c>
      <c r="V295" s="152" t="s">
        <v>857</v>
      </c>
      <c r="W295" s="152" t="s">
        <v>1268</v>
      </c>
      <c r="X295" s="152" t="s">
        <v>1083</v>
      </c>
      <c r="Y295" s="152">
        <v>32.200000000000003</v>
      </c>
      <c r="Z295" s="152">
        <v>1</v>
      </c>
      <c r="AA295" s="152" t="s">
        <v>92</v>
      </c>
      <c r="AB295" s="152">
        <v>128</v>
      </c>
      <c r="AC295" s="152">
        <v>2</v>
      </c>
      <c r="AD295" s="152" t="s">
        <v>861</v>
      </c>
      <c r="AE295" s="152">
        <v>128</v>
      </c>
      <c r="AF295" s="152">
        <v>0</v>
      </c>
      <c r="AG295" s="152" t="s">
        <v>861</v>
      </c>
      <c r="AH295" s="152" t="s">
        <v>861</v>
      </c>
      <c r="AI295" s="152" t="s">
        <v>92</v>
      </c>
      <c r="AJ295" s="152" t="s">
        <v>92</v>
      </c>
      <c r="AK295" s="152" t="s">
        <v>862</v>
      </c>
      <c r="AL295" s="159" t="s">
        <v>856</v>
      </c>
      <c r="AP295" s="159" t="s">
        <v>856</v>
      </c>
      <c r="AQ295" s="159" t="s">
        <v>856</v>
      </c>
      <c r="AR295" s="159" t="s">
        <v>992</v>
      </c>
      <c r="AS295" s="159" t="s">
        <v>865</v>
      </c>
      <c r="AT295" s="152" t="str">
        <f t="shared" si="23"/>
        <v>VUNCR-651022</v>
      </c>
      <c r="AU295" s="152" t="str">
        <f t="shared" si="24"/>
        <v>COMPLEJOS COLONIALES, S.A.</v>
      </c>
      <c r="AV295" s="159">
        <v>1675.91</v>
      </c>
      <c r="AW295" s="159">
        <v>848836</v>
      </c>
      <c r="AX295" s="159">
        <v>30</v>
      </c>
      <c r="AY295" s="159">
        <v>848833</v>
      </c>
      <c r="AZ295" s="152" t="s">
        <v>864</v>
      </c>
      <c r="BA295" s="152" t="str">
        <f t="shared" si="12"/>
        <v>L23-160-MP054</v>
      </c>
      <c r="BB295" s="152">
        <v>24</v>
      </c>
      <c r="BC295" s="157">
        <v>44998</v>
      </c>
      <c r="BD295" s="157">
        <v>45364</v>
      </c>
      <c r="BE295" s="158">
        <v>331270</v>
      </c>
      <c r="BF295" s="152" t="s">
        <v>2775</v>
      </c>
      <c r="BG295" s="159" t="s">
        <v>875</v>
      </c>
      <c r="BH295" s="152">
        <v>128</v>
      </c>
      <c r="BI295" s="152">
        <v>0</v>
      </c>
      <c r="BJ295" s="152">
        <v>0</v>
      </c>
      <c r="BK295" s="152" t="s">
        <v>132</v>
      </c>
      <c r="BL295" s="152">
        <v>128</v>
      </c>
      <c r="BM295" s="152">
        <v>848834</v>
      </c>
      <c r="BN295" s="157" t="s">
        <v>1453</v>
      </c>
    </row>
    <row r="296" spans="1:66">
      <c r="A296" s="152" t="s">
        <v>2776</v>
      </c>
      <c r="B296" s="152" t="s">
        <v>2777</v>
      </c>
      <c r="C296" s="152" t="s">
        <v>1262</v>
      </c>
      <c r="D296" s="152" t="s">
        <v>2778</v>
      </c>
      <c r="E296" s="152" t="s">
        <v>1264</v>
      </c>
      <c r="F296" s="152">
        <v>2861</v>
      </c>
      <c r="G296" s="152">
        <v>361</v>
      </c>
      <c r="H296" s="152" t="s">
        <v>1265</v>
      </c>
      <c r="I296" s="152">
        <v>202333</v>
      </c>
      <c r="J296" s="152">
        <v>96</v>
      </c>
      <c r="K296" s="152">
        <v>89170</v>
      </c>
      <c r="L296" s="159" t="s">
        <v>1266</v>
      </c>
      <c r="M296" s="152" t="s">
        <v>92</v>
      </c>
      <c r="N296" s="152" t="s">
        <v>883</v>
      </c>
      <c r="O296" s="159">
        <v>3989</v>
      </c>
      <c r="P296" s="159" t="s">
        <v>1267</v>
      </c>
      <c r="Q296" s="152" t="s">
        <v>883</v>
      </c>
      <c r="R296" s="152" t="s">
        <v>92</v>
      </c>
      <c r="S296" s="159">
        <v>13080</v>
      </c>
      <c r="T296" s="159" t="s">
        <v>1603</v>
      </c>
      <c r="U296" s="159" t="s">
        <v>1604</v>
      </c>
      <c r="V296" s="152" t="s">
        <v>857</v>
      </c>
      <c r="W296" s="152" t="s">
        <v>1268</v>
      </c>
      <c r="X296" s="152" t="s">
        <v>1083</v>
      </c>
      <c r="Y296" s="152">
        <v>32.200000000000003</v>
      </c>
      <c r="Z296" s="152">
        <v>1</v>
      </c>
      <c r="AA296" s="152" t="s">
        <v>92</v>
      </c>
      <c r="AB296" s="152">
        <v>128</v>
      </c>
      <c r="AC296" s="152">
        <v>2</v>
      </c>
      <c r="AD296" s="152" t="s">
        <v>861</v>
      </c>
      <c r="AE296" s="152">
        <v>128</v>
      </c>
      <c r="AF296" s="152">
        <v>0</v>
      </c>
      <c r="AG296" s="152" t="s">
        <v>861</v>
      </c>
      <c r="AH296" s="152" t="s">
        <v>861</v>
      </c>
      <c r="AI296" s="152" t="s">
        <v>92</v>
      </c>
      <c r="AJ296" s="152" t="s">
        <v>92</v>
      </c>
      <c r="AK296" s="152" t="s">
        <v>862</v>
      </c>
      <c r="AL296" s="159" t="s">
        <v>856</v>
      </c>
      <c r="AP296" s="159" t="s">
        <v>856</v>
      </c>
      <c r="AQ296" s="159" t="s">
        <v>856</v>
      </c>
      <c r="AR296" s="159" t="s">
        <v>992</v>
      </c>
      <c r="AS296" s="159" t="s">
        <v>865</v>
      </c>
      <c r="AT296" s="152" t="str">
        <f t="shared" si="23"/>
        <v>VUNCR-641022</v>
      </c>
      <c r="AU296" s="152" t="str">
        <f t="shared" si="24"/>
        <v>COMPLEJOS COLONIALES, S.A.</v>
      </c>
      <c r="AV296" s="159">
        <v>1675.91</v>
      </c>
      <c r="AW296" s="159">
        <v>848837</v>
      </c>
      <c r="AX296" s="159">
        <v>30</v>
      </c>
      <c r="AY296" s="159">
        <v>848840</v>
      </c>
      <c r="AZ296" s="152" t="s">
        <v>864</v>
      </c>
      <c r="BA296" s="152" t="str">
        <f t="shared" si="12"/>
        <v>L23-161-MP053</v>
      </c>
      <c r="BB296" s="152">
        <v>24</v>
      </c>
      <c r="BC296" s="157">
        <v>44998</v>
      </c>
      <c r="BD296" s="157">
        <v>45364</v>
      </c>
      <c r="BE296" s="158">
        <v>331270</v>
      </c>
      <c r="BF296" s="152" t="s">
        <v>2779</v>
      </c>
      <c r="BG296" s="159" t="s">
        <v>875</v>
      </c>
      <c r="BH296" s="152">
        <v>128</v>
      </c>
      <c r="BI296" s="152">
        <v>0</v>
      </c>
      <c r="BJ296" s="152">
        <v>0</v>
      </c>
      <c r="BK296" s="152" t="s">
        <v>132</v>
      </c>
      <c r="BL296" s="152">
        <v>128</v>
      </c>
      <c r="BM296" s="152">
        <v>848839</v>
      </c>
      <c r="BN296" s="157" t="s">
        <v>1453</v>
      </c>
    </row>
    <row r="297" spans="1:66">
      <c r="A297" s="152" t="s">
        <v>2780</v>
      </c>
      <c r="B297" s="152" t="s">
        <v>2781</v>
      </c>
      <c r="C297" s="152" t="s">
        <v>2782</v>
      </c>
      <c r="D297" s="152" t="s">
        <v>2783</v>
      </c>
      <c r="E297" s="152" t="s">
        <v>2783</v>
      </c>
      <c r="F297" s="159" t="s">
        <v>856</v>
      </c>
      <c r="G297" s="159" t="s">
        <v>856</v>
      </c>
      <c r="H297" s="159" t="s">
        <v>856</v>
      </c>
      <c r="I297" s="152">
        <v>201668</v>
      </c>
      <c r="J297" s="152">
        <v>197.5</v>
      </c>
      <c r="K297" s="152">
        <v>88625</v>
      </c>
      <c r="L297" s="159" t="s">
        <v>1508</v>
      </c>
      <c r="M297" s="152" t="s">
        <v>883</v>
      </c>
      <c r="N297" s="152" t="s">
        <v>92</v>
      </c>
      <c r="O297" s="159">
        <v>11147</v>
      </c>
      <c r="P297" s="159" t="s">
        <v>1508</v>
      </c>
      <c r="Q297" s="152" t="s">
        <v>883</v>
      </c>
      <c r="R297" s="152" t="s">
        <v>92</v>
      </c>
      <c r="S297" s="159">
        <v>11147</v>
      </c>
      <c r="T297" s="159" t="s">
        <v>2784</v>
      </c>
      <c r="U297" s="159" t="s">
        <v>2785</v>
      </c>
      <c r="V297" s="152" t="s">
        <v>857</v>
      </c>
      <c r="W297" s="152" t="s">
        <v>858</v>
      </c>
      <c r="X297" s="152" t="s">
        <v>1083</v>
      </c>
      <c r="Y297" s="152">
        <v>0</v>
      </c>
      <c r="Z297" s="152">
        <v>1</v>
      </c>
      <c r="AA297" s="152" t="s">
        <v>92</v>
      </c>
      <c r="AB297" s="152">
        <v>181.2</v>
      </c>
      <c r="AC297" s="152">
        <v>2</v>
      </c>
      <c r="AD297" s="152" t="s">
        <v>861</v>
      </c>
      <c r="AE297" s="152">
        <v>181.2</v>
      </c>
      <c r="AF297" s="152">
        <v>0</v>
      </c>
      <c r="AG297" s="152">
        <v>106.9</v>
      </c>
      <c r="AH297" s="152" t="s">
        <v>861</v>
      </c>
      <c r="AI297" s="152" t="s">
        <v>92</v>
      </c>
      <c r="AJ297" s="152" t="s">
        <v>92</v>
      </c>
      <c r="AK297" s="152" t="s">
        <v>884</v>
      </c>
      <c r="AL297" s="159" t="s">
        <v>856</v>
      </c>
      <c r="AP297" s="159" t="s">
        <v>856</v>
      </c>
      <c r="AQ297" s="159" t="s">
        <v>856</v>
      </c>
      <c r="AR297" s="159" t="s">
        <v>1988</v>
      </c>
      <c r="AS297" s="159" t="s">
        <v>865</v>
      </c>
      <c r="AT297" s="152" t="str">
        <f t="shared" si="23"/>
        <v>VUNV7-020922</v>
      </c>
      <c r="AU297" s="152" t="str">
        <f t="shared" si="24"/>
        <v>ANA MARIA VASQUEZ ALVAREZ</v>
      </c>
      <c r="AV297" s="159">
        <v>2283.12</v>
      </c>
      <c r="AW297" s="159">
        <v>851183</v>
      </c>
      <c r="AX297" s="159">
        <v>40.799999999999997</v>
      </c>
      <c r="AY297" s="159">
        <v>851186</v>
      </c>
      <c r="AZ297" s="152" t="s">
        <v>864</v>
      </c>
      <c r="BA297" s="152" t="str">
        <f t="shared" si="12"/>
        <v>L23-190-MP016</v>
      </c>
      <c r="BB297" s="152">
        <v>24</v>
      </c>
      <c r="BC297" s="157">
        <v>45033</v>
      </c>
      <c r="BD297" s="157">
        <v>45399</v>
      </c>
      <c r="BE297" s="158">
        <v>453000</v>
      </c>
      <c r="BF297" s="152" t="s">
        <v>2786</v>
      </c>
      <c r="BG297" s="159" t="s">
        <v>2787</v>
      </c>
      <c r="BH297" s="152">
        <v>181.2</v>
      </c>
      <c r="BI297" s="152">
        <v>0</v>
      </c>
      <c r="BJ297" s="152">
        <v>0</v>
      </c>
      <c r="BK297" s="152" t="s">
        <v>132</v>
      </c>
      <c r="BL297" s="152">
        <v>181.2</v>
      </c>
      <c r="BM297" s="152">
        <v>851185</v>
      </c>
      <c r="BN297" s="157" t="s">
        <v>1453</v>
      </c>
    </row>
    <row r="298" spans="1:66">
      <c r="A298" s="152" t="s">
        <v>2788</v>
      </c>
      <c r="B298" s="152" t="s">
        <v>2789</v>
      </c>
      <c r="C298" s="152" t="s">
        <v>2790</v>
      </c>
      <c r="D298" s="152" t="s">
        <v>2791</v>
      </c>
      <c r="E298" s="152" t="s">
        <v>2792</v>
      </c>
      <c r="F298" s="152">
        <v>306091</v>
      </c>
      <c r="G298" s="152">
        <v>281</v>
      </c>
      <c r="H298" s="152">
        <v>736</v>
      </c>
      <c r="I298" s="152">
        <v>175669</v>
      </c>
      <c r="J298" s="152">
        <v>200</v>
      </c>
      <c r="K298" s="152">
        <v>69526</v>
      </c>
      <c r="L298" s="159" t="s">
        <v>1972</v>
      </c>
      <c r="M298" s="152" t="s">
        <v>92</v>
      </c>
      <c r="N298" s="152" t="s">
        <v>883</v>
      </c>
      <c r="O298" s="159">
        <v>6608</v>
      </c>
      <c r="P298" s="159" t="s">
        <v>1972</v>
      </c>
      <c r="Q298" s="152" t="s">
        <v>92</v>
      </c>
      <c r="R298" s="152" t="s">
        <v>883</v>
      </c>
      <c r="S298" s="159">
        <v>6608</v>
      </c>
      <c r="T298" s="159" t="s">
        <v>856</v>
      </c>
      <c r="U298" s="159" t="s">
        <v>856</v>
      </c>
      <c r="V298" s="152" t="s">
        <v>857</v>
      </c>
      <c r="W298" s="152" t="s">
        <v>858</v>
      </c>
      <c r="X298" s="152" t="s">
        <v>1083</v>
      </c>
      <c r="Y298" s="152">
        <v>108.56</v>
      </c>
      <c r="Z298" s="152">
        <v>1</v>
      </c>
      <c r="AA298" s="152" t="s">
        <v>92</v>
      </c>
      <c r="AB298" s="152">
        <v>205.34</v>
      </c>
      <c r="AC298" s="152">
        <v>2</v>
      </c>
      <c r="AD298" s="152" t="s">
        <v>861</v>
      </c>
      <c r="AE298" s="152">
        <v>205.34</v>
      </c>
      <c r="AF298" s="152">
        <v>0</v>
      </c>
      <c r="AG298" s="152">
        <v>96.83</v>
      </c>
      <c r="AH298" s="152" t="s">
        <v>861</v>
      </c>
      <c r="AI298" s="152" t="s">
        <v>92</v>
      </c>
      <c r="AJ298" s="152" t="s">
        <v>92</v>
      </c>
      <c r="AK298" s="152" t="s">
        <v>884</v>
      </c>
      <c r="AL298" s="159" t="s">
        <v>856</v>
      </c>
      <c r="AP298" s="159" t="s">
        <v>856</v>
      </c>
      <c r="AQ298" s="159" t="s">
        <v>856</v>
      </c>
      <c r="AR298" s="159" t="s">
        <v>2295</v>
      </c>
      <c r="AS298" s="159" t="s">
        <v>865</v>
      </c>
      <c r="AT298" s="152" t="str">
        <f t="shared" si="23"/>
        <v>VUNL8-021021</v>
      </c>
      <c r="AU298" s="152" t="str">
        <f t="shared" si="24"/>
        <v>JUAN CRUZ LOPEZ CUA</v>
      </c>
      <c r="AV298" s="159">
        <v>2956.3</v>
      </c>
      <c r="AW298" s="159">
        <v>752264</v>
      </c>
      <c r="AX298" s="159">
        <v>148.80000000000001</v>
      </c>
      <c r="AY298" s="159">
        <v>752267</v>
      </c>
      <c r="AZ298" s="152" t="s">
        <v>864</v>
      </c>
      <c r="BA298" s="152" t="str">
        <f t="shared" si="12"/>
        <v>L22-013-SP216</v>
      </c>
      <c r="BB298" s="152">
        <v>24</v>
      </c>
      <c r="BC298" s="157">
        <v>44571</v>
      </c>
      <c r="BD298" s="157">
        <v>44936</v>
      </c>
      <c r="BE298" s="158">
        <v>556554</v>
      </c>
      <c r="BF298" s="152" t="s">
        <v>2793</v>
      </c>
      <c r="BG298" s="159" t="s">
        <v>875</v>
      </c>
      <c r="BH298" s="152">
        <v>205.34</v>
      </c>
      <c r="BI298" s="152">
        <v>0</v>
      </c>
      <c r="BJ298" s="152">
        <v>0</v>
      </c>
      <c r="BK298" s="152" t="s">
        <v>132</v>
      </c>
      <c r="BL298" s="152">
        <v>205.34</v>
      </c>
      <c r="BM298" s="152">
        <v>752266</v>
      </c>
      <c r="BN298" s="157" t="s">
        <v>1453</v>
      </c>
    </row>
    <row r="299" spans="1:66">
      <c r="A299" s="152" t="s">
        <v>2794</v>
      </c>
      <c r="B299" s="152" t="s">
        <v>2795</v>
      </c>
      <c r="C299" s="152" t="s">
        <v>2277</v>
      </c>
      <c r="D299" s="152" t="s">
        <v>2796</v>
      </c>
      <c r="E299" s="152" t="s">
        <v>1077</v>
      </c>
      <c r="F299" s="152">
        <v>318</v>
      </c>
      <c r="G299" s="152">
        <v>318</v>
      </c>
      <c r="H299" s="152" t="s">
        <v>2279</v>
      </c>
      <c r="I299" s="152">
        <v>199360</v>
      </c>
      <c r="J299" s="152">
        <v>126</v>
      </c>
      <c r="K299" s="152">
        <v>86796</v>
      </c>
      <c r="L299" s="159" t="s">
        <v>2280</v>
      </c>
      <c r="M299" s="152" t="s">
        <v>883</v>
      </c>
      <c r="N299" s="152" t="s">
        <v>92</v>
      </c>
      <c r="O299" s="159">
        <v>10664</v>
      </c>
      <c r="P299" s="159" t="s">
        <v>2280</v>
      </c>
      <c r="Q299" s="152" t="s">
        <v>883</v>
      </c>
      <c r="R299" s="152" t="s">
        <v>92</v>
      </c>
      <c r="S299" s="159">
        <v>10664</v>
      </c>
      <c r="T299" s="159" t="s">
        <v>856</v>
      </c>
      <c r="U299" s="159" t="s">
        <v>856</v>
      </c>
      <c r="V299" s="152" t="s">
        <v>857</v>
      </c>
      <c r="W299" s="152" t="s">
        <v>858</v>
      </c>
      <c r="X299" s="152" t="s">
        <v>1083</v>
      </c>
      <c r="Y299" s="152">
        <v>39.1</v>
      </c>
      <c r="Z299" s="152">
        <v>1</v>
      </c>
      <c r="AA299" s="152" t="s">
        <v>92</v>
      </c>
      <c r="AB299" s="152">
        <v>127.22</v>
      </c>
      <c r="AC299" s="152">
        <v>2</v>
      </c>
      <c r="AD299" s="152" t="s">
        <v>861</v>
      </c>
      <c r="AE299" s="152">
        <v>127.22</v>
      </c>
      <c r="AF299" s="152">
        <v>0</v>
      </c>
      <c r="AG299" s="152" t="s">
        <v>861</v>
      </c>
      <c r="AH299" s="152" t="s">
        <v>861</v>
      </c>
      <c r="AI299" s="152" t="s">
        <v>92</v>
      </c>
      <c r="AJ299" s="152" t="s">
        <v>92</v>
      </c>
      <c r="AK299" s="152" t="s">
        <v>862</v>
      </c>
      <c r="AL299" s="159" t="s">
        <v>856</v>
      </c>
      <c r="AP299" s="159" t="s">
        <v>856</v>
      </c>
      <c r="AQ299" s="159" t="s">
        <v>856</v>
      </c>
      <c r="AR299" s="159" t="s">
        <v>863</v>
      </c>
      <c r="AS299" s="159" t="s">
        <v>865</v>
      </c>
      <c r="AT299" s="152" t="str">
        <f t="shared" si="23"/>
        <v>VUNS12-160821</v>
      </c>
      <c r="AU299" s="152" t="str">
        <f t="shared" si="24"/>
        <v>MIGUEL FERNANDO SANCHEZ YXCARAGUA</v>
      </c>
      <c r="AV299" s="159">
        <v>1679.61</v>
      </c>
      <c r="AW299" s="159">
        <v>728568</v>
      </c>
      <c r="AX299" s="159">
        <v>35</v>
      </c>
      <c r="AY299" s="159">
        <v>728571</v>
      </c>
      <c r="AZ299" s="152" t="s">
        <v>864</v>
      </c>
      <c r="BA299" s="152" t="str">
        <f t="shared" si="12"/>
        <v>L21-836-SP182</v>
      </c>
      <c r="BB299" s="152">
        <v>24</v>
      </c>
      <c r="BC299" s="157">
        <v>44529</v>
      </c>
      <c r="BD299" s="157">
        <v>44894</v>
      </c>
      <c r="BE299" s="158">
        <v>331735</v>
      </c>
      <c r="BF299" s="152" t="s">
        <v>2797</v>
      </c>
      <c r="BG299" s="159" t="s">
        <v>875</v>
      </c>
      <c r="BH299" s="152">
        <v>127.22</v>
      </c>
      <c r="BI299" s="152">
        <v>0</v>
      </c>
      <c r="BJ299" s="152">
        <v>0</v>
      </c>
      <c r="BK299" s="152" t="s">
        <v>132</v>
      </c>
      <c r="BL299" s="152">
        <v>127.22</v>
      </c>
      <c r="BM299" s="152">
        <v>728570</v>
      </c>
      <c r="BN299" s="157" t="s">
        <v>1453</v>
      </c>
    </row>
    <row r="300" spans="1:66">
      <c r="A300" s="152" t="s">
        <v>2798</v>
      </c>
      <c r="B300" s="152" t="s">
        <v>2799</v>
      </c>
      <c r="C300" s="152" t="s">
        <v>2800</v>
      </c>
      <c r="D300" s="152" t="s">
        <v>2801</v>
      </c>
      <c r="E300" s="152" t="s">
        <v>2801</v>
      </c>
      <c r="F300" s="152">
        <v>6857</v>
      </c>
      <c r="G300" s="152">
        <v>357</v>
      </c>
      <c r="H300" s="152" t="s">
        <v>2802</v>
      </c>
      <c r="I300" s="152">
        <v>165294</v>
      </c>
      <c r="J300" s="152">
        <v>55</v>
      </c>
      <c r="K300" s="152">
        <v>87291</v>
      </c>
      <c r="L300" s="159" t="s">
        <v>980</v>
      </c>
      <c r="M300" s="152" t="s">
        <v>92</v>
      </c>
      <c r="N300" s="152" t="s">
        <v>883</v>
      </c>
      <c r="O300" s="159">
        <v>6233</v>
      </c>
      <c r="P300" s="152" t="s">
        <v>2800</v>
      </c>
      <c r="Q300" s="152" t="s">
        <v>92</v>
      </c>
      <c r="R300" s="152" t="s">
        <v>92</v>
      </c>
      <c r="S300" s="159" t="s">
        <v>856</v>
      </c>
      <c r="T300" s="159" t="s">
        <v>856</v>
      </c>
      <c r="U300" s="159" t="s">
        <v>856</v>
      </c>
      <c r="V300" s="152" t="s">
        <v>1550</v>
      </c>
      <c r="W300" s="152" t="s">
        <v>858</v>
      </c>
      <c r="X300" s="152" t="s">
        <v>1083</v>
      </c>
      <c r="Y300" s="152">
        <v>0</v>
      </c>
      <c r="Z300" s="152">
        <v>0</v>
      </c>
      <c r="AA300" s="152" t="s">
        <v>92</v>
      </c>
      <c r="AB300" s="152">
        <v>79.680000000000007</v>
      </c>
      <c r="AC300" s="152">
        <v>4</v>
      </c>
      <c r="AD300" s="152" t="s">
        <v>861</v>
      </c>
      <c r="AE300" s="152">
        <v>79.680000000000007</v>
      </c>
      <c r="AF300" s="152">
        <v>0</v>
      </c>
      <c r="AG300" s="152" t="s">
        <v>861</v>
      </c>
      <c r="AH300" s="152" t="s">
        <v>861</v>
      </c>
      <c r="AI300" s="152" t="s">
        <v>92</v>
      </c>
      <c r="AJ300" s="152" t="s">
        <v>92</v>
      </c>
      <c r="AK300" s="159" t="s">
        <v>856</v>
      </c>
      <c r="AL300" s="159" t="s">
        <v>856</v>
      </c>
      <c r="AP300" s="159" t="s">
        <v>856</v>
      </c>
      <c r="AQ300" s="159" t="s">
        <v>856</v>
      </c>
      <c r="AR300" s="159" t="s">
        <v>2803</v>
      </c>
      <c r="AS300" s="159" t="s">
        <v>865</v>
      </c>
      <c r="AT300" s="152" t="str">
        <f t="shared" si="23"/>
        <v>RPND8-511121</v>
      </c>
      <c r="AU300" s="152" t="str">
        <f t="shared" si="24"/>
        <v>MARIO HERBER JOEL DE LEON GONZALEZ</v>
      </c>
      <c r="AV300" s="159">
        <v>1204.76</v>
      </c>
      <c r="AW300" s="159">
        <v>731590</v>
      </c>
      <c r="AX300" s="159" t="s">
        <v>856</v>
      </c>
      <c r="AY300" s="159" t="s">
        <v>856</v>
      </c>
      <c r="AZ300" s="152" t="s">
        <v>864</v>
      </c>
      <c r="BA300" s="152" t="str">
        <f t="shared" si="12"/>
        <v>L21-928-SP213</v>
      </c>
      <c r="BB300" s="152">
        <v>0</v>
      </c>
      <c r="BC300" s="157">
        <v>44547</v>
      </c>
      <c r="BD300" s="157">
        <v>44547</v>
      </c>
      <c r="BE300" s="158">
        <v>239040</v>
      </c>
      <c r="BG300" s="159" t="s">
        <v>2033</v>
      </c>
      <c r="BK300" s="152" t="s">
        <v>132</v>
      </c>
      <c r="BN300" s="157" t="s">
        <v>1453</v>
      </c>
    </row>
    <row r="301" spans="1:66">
      <c r="A301" s="152" t="s">
        <v>2804</v>
      </c>
      <c r="B301" s="152" t="s">
        <v>2805</v>
      </c>
      <c r="C301" s="152" t="s">
        <v>2806</v>
      </c>
      <c r="D301" s="152" t="s">
        <v>978</v>
      </c>
      <c r="E301" s="152" t="s">
        <v>978</v>
      </c>
      <c r="F301" s="152">
        <v>3280</v>
      </c>
      <c r="G301" s="152">
        <v>280</v>
      </c>
      <c r="H301" s="152" t="s">
        <v>979</v>
      </c>
      <c r="I301" s="152">
        <v>199288</v>
      </c>
      <c r="J301" s="152">
        <v>64.53</v>
      </c>
      <c r="K301" s="152">
        <v>86735</v>
      </c>
      <c r="L301" s="159" t="s">
        <v>980</v>
      </c>
      <c r="M301" s="152" t="s">
        <v>92</v>
      </c>
      <c r="N301" s="152" t="s">
        <v>883</v>
      </c>
      <c r="O301" s="159">
        <v>6233</v>
      </c>
      <c r="P301" s="152" t="s">
        <v>2806</v>
      </c>
      <c r="Q301" s="152" t="s">
        <v>92</v>
      </c>
      <c r="R301" s="152" t="s">
        <v>92</v>
      </c>
      <c r="S301" s="159" t="s">
        <v>856</v>
      </c>
      <c r="T301" s="159" t="s">
        <v>856</v>
      </c>
      <c r="U301" s="159" t="s">
        <v>856</v>
      </c>
      <c r="V301" s="152" t="s">
        <v>1550</v>
      </c>
      <c r="W301" s="152" t="s">
        <v>858</v>
      </c>
      <c r="X301" s="152" t="s">
        <v>1083</v>
      </c>
      <c r="Y301" s="152">
        <v>0</v>
      </c>
      <c r="Z301" s="152">
        <v>0</v>
      </c>
      <c r="AA301" s="152" t="s">
        <v>92</v>
      </c>
      <c r="AB301" s="152">
        <v>14.2</v>
      </c>
      <c r="AC301" s="152">
        <v>3</v>
      </c>
      <c r="AD301" s="152" t="s">
        <v>861</v>
      </c>
      <c r="AE301" s="152">
        <v>14.2</v>
      </c>
      <c r="AF301" s="152">
        <v>0</v>
      </c>
      <c r="AG301" s="152" t="s">
        <v>861</v>
      </c>
      <c r="AH301" s="152" t="s">
        <v>861</v>
      </c>
      <c r="AI301" s="152" t="s">
        <v>92</v>
      </c>
      <c r="AJ301" s="152" t="s">
        <v>92</v>
      </c>
      <c r="AK301" s="152" t="s">
        <v>884</v>
      </c>
      <c r="AL301" s="159" t="s">
        <v>856</v>
      </c>
      <c r="AP301" s="159" t="s">
        <v>856</v>
      </c>
      <c r="AQ301" s="159" t="s">
        <v>856</v>
      </c>
      <c r="AR301" s="159" t="s">
        <v>2803</v>
      </c>
      <c r="AS301" s="159" t="s">
        <v>865</v>
      </c>
      <c r="AT301" s="152" t="str">
        <f t="shared" si="23"/>
        <v>RPNL7-221121</v>
      </c>
      <c r="AU301" s="152" t="str">
        <f t="shared" si="24"/>
        <v>CARLOS MANUEL ANGEL LOPEZ GOMEZ Y CDÑO</v>
      </c>
      <c r="AV301" s="159">
        <v>214.7</v>
      </c>
      <c r="AW301" s="159">
        <v>731123</v>
      </c>
      <c r="AX301" s="159" t="s">
        <v>856</v>
      </c>
      <c r="AY301" s="159" t="s">
        <v>856</v>
      </c>
      <c r="AZ301" s="152" t="s">
        <v>864</v>
      </c>
      <c r="BA301" s="152" t="str">
        <f t="shared" si="12"/>
        <v>L21-888-SP208</v>
      </c>
      <c r="BB301" s="152">
        <v>0</v>
      </c>
      <c r="BC301" s="157">
        <v>44538</v>
      </c>
      <c r="BD301" s="157">
        <v>44538</v>
      </c>
      <c r="BE301" s="158">
        <v>42600</v>
      </c>
      <c r="BF301" s="152" t="s">
        <v>2807</v>
      </c>
      <c r="BG301" s="159" t="s">
        <v>894</v>
      </c>
      <c r="BH301" s="152">
        <v>14.2</v>
      </c>
      <c r="BI301" s="152">
        <v>0</v>
      </c>
      <c r="BJ301" s="152">
        <v>0</v>
      </c>
      <c r="BK301" s="152" t="s">
        <v>132</v>
      </c>
      <c r="BL301" s="152">
        <v>14.2</v>
      </c>
      <c r="BM301" s="152">
        <v>731124</v>
      </c>
      <c r="BN301" s="157" t="s">
        <v>1453</v>
      </c>
    </row>
    <row r="302" spans="1:66">
      <c r="A302" s="152" t="s">
        <v>2808</v>
      </c>
      <c r="B302" s="152" t="s">
        <v>2809</v>
      </c>
      <c r="C302" s="152" t="s">
        <v>2810</v>
      </c>
      <c r="D302" s="152" t="s">
        <v>2811</v>
      </c>
      <c r="E302" s="152" t="s">
        <v>2811</v>
      </c>
      <c r="F302" s="152">
        <v>7802</v>
      </c>
      <c r="G302" s="152">
        <v>302</v>
      </c>
      <c r="H302" s="152" t="s">
        <v>2812</v>
      </c>
      <c r="I302" s="152">
        <v>194515</v>
      </c>
      <c r="J302" s="152">
        <v>193.28</v>
      </c>
      <c r="K302" s="152">
        <v>83192</v>
      </c>
      <c r="L302" s="159" t="s">
        <v>2648</v>
      </c>
      <c r="M302" s="152" t="s">
        <v>883</v>
      </c>
      <c r="N302" s="152" t="s">
        <v>92</v>
      </c>
      <c r="O302" s="159">
        <v>6669</v>
      </c>
      <c r="P302" s="159" t="s">
        <v>2648</v>
      </c>
      <c r="Q302" s="152" t="s">
        <v>883</v>
      </c>
      <c r="R302" s="152" t="s">
        <v>92</v>
      </c>
      <c r="S302" s="159">
        <v>6669</v>
      </c>
      <c r="T302" s="159" t="s">
        <v>856</v>
      </c>
      <c r="U302" s="159" t="s">
        <v>856</v>
      </c>
      <c r="V302" s="152" t="s">
        <v>857</v>
      </c>
      <c r="W302" s="152" t="s">
        <v>858</v>
      </c>
      <c r="X302" s="152" t="s">
        <v>1083</v>
      </c>
      <c r="Y302" s="152">
        <v>0</v>
      </c>
      <c r="Z302" s="152">
        <v>1</v>
      </c>
      <c r="AA302" s="152" t="s">
        <v>92</v>
      </c>
      <c r="AB302" s="152">
        <v>43</v>
      </c>
      <c r="AC302" s="152">
        <v>1</v>
      </c>
      <c r="AD302" s="152" t="s">
        <v>861</v>
      </c>
      <c r="AE302" s="152">
        <v>43</v>
      </c>
      <c r="AF302" s="152">
        <v>0</v>
      </c>
      <c r="AG302" s="152" t="s">
        <v>861</v>
      </c>
      <c r="AH302" s="152" t="s">
        <v>861</v>
      </c>
      <c r="AI302" s="152" t="s">
        <v>92</v>
      </c>
      <c r="AJ302" s="152" t="s">
        <v>92</v>
      </c>
      <c r="AK302" s="152" t="s">
        <v>942</v>
      </c>
      <c r="AL302" s="159" t="s">
        <v>856</v>
      </c>
      <c r="AP302" s="159" t="s">
        <v>856</v>
      </c>
      <c r="AQ302" s="159" t="s">
        <v>856</v>
      </c>
      <c r="AR302" s="159" t="s">
        <v>1953</v>
      </c>
      <c r="AS302" s="159" t="s">
        <v>865</v>
      </c>
      <c r="AT302" s="152" t="str">
        <f t="shared" si="23"/>
        <v>VUNC3-071221</v>
      </c>
      <c r="AU302" s="152" t="str">
        <f t="shared" si="24"/>
        <v>PEDRO CHANAX MATUL</v>
      </c>
      <c r="AV302" s="159">
        <v>433.44</v>
      </c>
      <c r="AW302" s="159">
        <v>752718</v>
      </c>
      <c r="AX302" s="159" t="s">
        <v>856</v>
      </c>
      <c r="AY302" s="159" t="s">
        <v>856</v>
      </c>
      <c r="AZ302" s="152" t="s">
        <v>864</v>
      </c>
      <c r="BA302" s="152" t="str">
        <f t="shared" si="12"/>
        <v>L22-021-SP001</v>
      </c>
      <c r="BB302" s="152">
        <v>15</v>
      </c>
      <c r="BC302" s="157">
        <v>44573</v>
      </c>
      <c r="BD302" s="157">
        <v>44938</v>
      </c>
      <c r="BE302" s="158">
        <v>86000</v>
      </c>
      <c r="BF302" s="152" t="s">
        <v>2813</v>
      </c>
      <c r="BG302" s="159" t="s">
        <v>875</v>
      </c>
      <c r="BH302" s="152">
        <v>43</v>
      </c>
      <c r="BI302" s="152">
        <v>0</v>
      </c>
      <c r="BJ302" s="152">
        <v>0</v>
      </c>
      <c r="BK302" s="152" t="s">
        <v>132</v>
      </c>
      <c r="BL302" s="152">
        <v>43</v>
      </c>
      <c r="BM302" s="152">
        <v>752720</v>
      </c>
      <c r="BN302" s="157" t="s">
        <v>1453</v>
      </c>
    </row>
    <row r="303" spans="1:66">
      <c r="A303" s="152" t="s">
        <v>2814</v>
      </c>
      <c r="B303" s="152" t="s">
        <v>2815</v>
      </c>
      <c r="C303" s="152" t="s">
        <v>2816</v>
      </c>
      <c r="D303" s="152" t="s">
        <v>2817</v>
      </c>
      <c r="E303" s="152" t="s">
        <v>2817</v>
      </c>
      <c r="F303" s="152">
        <v>339495</v>
      </c>
      <c r="G303" s="152">
        <v>35</v>
      </c>
      <c r="H303" s="152">
        <v>849</v>
      </c>
      <c r="I303" s="152">
        <v>182951</v>
      </c>
      <c r="J303" s="152">
        <v>437</v>
      </c>
      <c r="K303" s="152">
        <v>74400</v>
      </c>
      <c r="L303" s="159" t="s">
        <v>2818</v>
      </c>
      <c r="M303" s="152" t="s">
        <v>883</v>
      </c>
      <c r="N303" s="152" t="s">
        <v>92</v>
      </c>
      <c r="O303" s="159">
        <v>3258</v>
      </c>
      <c r="P303" s="159" t="s">
        <v>2818</v>
      </c>
      <c r="Q303" s="152" t="s">
        <v>883</v>
      </c>
      <c r="R303" s="152" t="s">
        <v>92</v>
      </c>
      <c r="S303" s="159">
        <v>3258</v>
      </c>
      <c r="T303" s="159" t="s">
        <v>856</v>
      </c>
      <c r="U303" s="159" t="s">
        <v>856</v>
      </c>
      <c r="V303" s="152" t="s">
        <v>2819</v>
      </c>
      <c r="W303" s="152" t="s">
        <v>2820</v>
      </c>
      <c r="X303" s="152" t="s">
        <v>2821</v>
      </c>
      <c r="Y303" s="152">
        <v>26.56</v>
      </c>
      <c r="Z303" s="152">
        <v>0</v>
      </c>
      <c r="AA303" s="152" t="s">
        <v>92</v>
      </c>
      <c r="AB303" s="152">
        <v>0</v>
      </c>
      <c r="AC303" s="152">
        <v>1</v>
      </c>
      <c r="AD303" s="152" t="s">
        <v>861</v>
      </c>
      <c r="AE303" s="152">
        <v>0</v>
      </c>
      <c r="AF303" s="152">
        <v>0</v>
      </c>
      <c r="AG303" s="152">
        <v>437</v>
      </c>
      <c r="AH303" s="152" t="s">
        <v>861</v>
      </c>
      <c r="AI303" s="152" t="s">
        <v>92</v>
      </c>
      <c r="AJ303" s="152" t="s">
        <v>92</v>
      </c>
      <c r="AK303" s="152" t="s">
        <v>972</v>
      </c>
      <c r="AL303" s="159" t="s">
        <v>856</v>
      </c>
      <c r="AP303" s="159" t="s">
        <v>856</v>
      </c>
      <c r="AQ303" s="159" t="s">
        <v>856</v>
      </c>
      <c r="AR303" s="159" t="s">
        <v>1953</v>
      </c>
      <c r="AS303" s="159" t="s">
        <v>865</v>
      </c>
      <c r="AT303" s="152" t="str">
        <f t="shared" ref="AT303:AT352" si="25">B303</f>
        <v>RPNS2-080522</v>
      </c>
      <c r="AU303" s="152" t="str">
        <f t="shared" ref="AU303:AU352" si="26">C303</f>
        <v>JOSE SOC SANCHEZ</v>
      </c>
      <c r="AV303" s="159">
        <v>205.18</v>
      </c>
      <c r="AW303" s="159">
        <v>792406</v>
      </c>
      <c r="AX303" s="159">
        <v>52.25</v>
      </c>
      <c r="AY303" s="159">
        <v>792407</v>
      </c>
      <c r="AZ303" s="152" t="s">
        <v>864</v>
      </c>
      <c r="BA303" s="152" t="str">
        <f t="shared" si="12"/>
        <v>L22-476-NR066</v>
      </c>
      <c r="BB303" s="152">
        <v>0</v>
      </c>
      <c r="BC303" s="157">
        <v>44735</v>
      </c>
      <c r="BD303" s="157">
        <v>44735</v>
      </c>
      <c r="BE303" s="158">
        <v>14400</v>
      </c>
      <c r="BG303" s="159" t="s">
        <v>2033</v>
      </c>
      <c r="BK303" s="152" t="s">
        <v>132</v>
      </c>
      <c r="BN303" s="157" t="s">
        <v>1453</v>
      </c>
    </row>
    <row r="304" spans="1:66">
      <c r="A304" s="152" t="s">
        <v>2822</v>
      </c>
      <c r="B304" s="152" t="s">
        <v>2823</v>
      </c>
      <c r="C304" s="152" t="s">
        <v>2824</v>
      </c>
      <c r="D304" s="152" t="s">
        <v>2825</v>
      </c>
      <c r="E304" s="152" t="s">
        <v>2825</v>
      </c>
      <c r="F304" s="152">
        <v>6839</v>
      </c>
      <c r="G304" s="152">
        <v>339</v>
      </c>
      <c r="H304" s="152" t="s">
        <v>2826</v>
      </c>
      <c r="I304" s="152">
        <v>202452</v>
      </c>
      <c r="J304" s="152">
        <v>90</v>
      </c>
      <c r="K304" s="152">
        <v>89270</v>
      </c>
      <c r="L304" s="159" t="s">
        <v>856</v>
      </c>
      <c r="M304" s="152" t="s">
        <v>92</v>
      </c>
      <c r="N304" s="152" t="s">
        <v>92</v>
      </c>
      <c r="O304" s="159" t="s">
        <v>856</v>
      </c>
      <c r="P304" s="159" t="s">
        <v>856</v>
      </c>
      <c r="Q304" s="152" t="s">
        <v>92</v>
      </c>
      <c r="R304" s="152" t="s">
        <v>92</v>
      </c>
      <c r="S304" s="159" t="s">
        <v>856</v>
      </c>
      <c r="T304" s="159" t="s">
        <v>856</v>
      </c>
      <c r="U304" s="159" t="s">
        <v>856</v>
      </c>
      <c r="V304" s="152" t="s">
        <v>857</v>
      </c>
      <c r="W304" s="152" t="s">
        <v>858</v>
      </c>
      <c r="X304" s="152" t="s">
        <v>1083</v>
      </c>
      <c r="Y304" s="152">
        <v>16.559999999999999</v>
      </c>
      <c r="Z304" s="152">
        <v>1</v>
      </c>
      <c r="AA304" s="152" t="s">
        <v>92</v>
      </c>
      <c r="AB304" s="152">
        <v>64.88</v>
      </c>
      <c r="AC304" s="152">
        <v>1</v>
      </c>
      <c r="AD304" s="152" t="s">
        <v>861</v>
      </c>
      <c r="AE304" s="152">
        <v>64.88</v>
      </c>
      <c r="AF304" s="152">
        <v>0</v>
      </c>
      <c r="AG304" s="152" t="s">
        <v>861</v>
      </c>
      <c r="AH304" s="152" t="s">
        <v>861</v>
      </c>
      <c r="AI304" s="152" t="s">
        <v>92</v>
      </c>
      <c r="AJ304" s="152" t="s">
        <v>92</v>
      </c>
      <c r="AK304" s="152" t="s">
        <v>972</v>
      </c>
      <c r="AL304" s="159" t="s">
        <v>856</v>
      </c>
      <c r="AP304" s="159" t="s">
        <v>856</v>
      </c>
      <c r="AQ304" s="159" t="s">
        <v>856</v>
      </c>
      <c r="AR304" s="159" t="s">
        <v>1953</v>
      </c>
      <c r="AS304" s="159" t="s">
        <v>865</v>
      </c>
      <c r="AT304" s="152" t="str">
        <f t="shared" si="25"/>
        <v>RPNG11-380321</v>
      </c>
      <c r="AU304" s="152" t="str">
        <f t="shared" si="26"/>
        <v>DAYSI AZUCENA GOMEZ ESCOBAR</v>
      </c>
      <c r="AV304" s="159">
        <v>819.59</v>
      </c>
      <c r="AW304" s="159">
        <v>726486</v>
      </c>
      <c r="AX304" s="159">
        <v>30</v>
      </c>
      <c r="AY304" s="159">
        <v>726488</v>
      </c>
      <c r="AZ304" s="152" t="s">
        <v>864</v>
      </c>
      <c r="BA304" s="152" t="str">
        <f t="shared" si="12"/>
        <v>L21-1015-NR204</v>
      </c>
      <c r="BB304" s="152">
        <v>0</v>
      </c>
      <c r="BC304" s="157">
        <v>44515</v>
      </c>
      <c r="BD304" s="157">
        <v>44515</v>
      </c>
      <c r="BE304" s="158">
        <v>136384</v>
      </c>
      <c r="BF304" s="152" t="s">
        <v>2827</v>
      </c>
      <c r="BG304" s="159" t="s">
        <v>894</v>
      </c>
      <c r="BH304" s="152">
        <v>64.88</v>
      </c>
      <c r="BI304" s="152">
        <v>0</v>
      </c>
      <c r="BJ304" s="152">
        <v>0</v>
      </c>
      <c r="BK304" s="152" t="s">
        <v>132</v>
      </c>
      <c r="BL304" s="152">
        <v>64.88</v>
      </c>
      <c r="BM304" s="152">
        <v>726487</v>
      </c>
      <c r="BN304" s="157" t="s">
        <v>1453</v>
      </c>
    </row>
    <row r="305" spans="1:66">
      <c r="A305" s="152" t="s">
        <v>2829</v>
      </c>
      <c r="B305" s="152" t="s">
        <v>2830</v>
      </c>
      <c r="C305" s="152" t="s">
        <v>2831</v>
      </c>
      <c r="D305" s="152" t="s">
        <v>2832</v>
      </c>
      <c r="E305" s="152" t="s">
        <v>1077</v>
      </c>
      <c r="F305" s="152">
        <v>100873</v>
      </c>
      <c r="G305" s="152">
        <v>8</v>
      </c>
      <c r="H305" s="152">
        <v>400</v>
      </c>
      <c r="I305" s="152">
        <v>2263</v>
      </c>
      <c r="J305" s="152">
        <v>86.33</v>
      </c>
      <c r="K305" s="152">
        <v>12586</v>
      </c>
      <c r="L305" s="159" t="s">
        <v>2280</v>
      </c>
      <c r="M305" s="152" t="s">
        <v>883</v>
      </c>
      <c r="N305" s="152" t="s">
        <v>92</v>
      </c>
      <c r="O305" s="159">
        <v>10664</v>
      </c>
      <c r="P305" s="159" t="s">
        <v>2280</v>
      </c>
      <c r="Q305" s="152" t="s">
        <v>883</v>
      </c>
      <c r="R305" s="152" t="s">
        <v>92</v>
      </c>
      <c r="S305" s="159">
        <v>10664</v>
      </c>
      <c r="T305" s="159" t="s">
        <v>1612</v>
      </c>
      <c r="U305" s="159" t="s">
        <v>1613</v>
      </c>
      <c r="V305" s="152" t="s">
        <v>1479</v>
      </c>
      <c r="W305" s="152" t="s">
        <v>2833</v>
      </c>
      <c r="X305" s="152" t="s">
        <v>2834</v>
      </c>
      <c r="Y305" s="152">
        <v>0</v>
      </c>
      <c r="Z305" s="152">
        <v>0</v>
      </c>
      <c r="AA305" s="152" t="s">
        <v>92</v>
      </c>
      <c r="AB305" s="152">
        <v>159.93</v>
      </c>
      <c r="AC305" s="152">
        <v>3</v>
      </c>
      <c r="AD305" s="152" t="s">
        <v>861</v>
      </c>
      <c r="AE305" s="152">
        <v>0</v>
      </c>
      <c r="AF305" s="152">
        <v>0</v>
      </c>
      <c r="AG305" s="152" t="s">
        <v>861</v>
      </c>
      <c r="AH305" s="152" t="s">
        <v>861</v>
      </c>
      <c r="AI305" s="152" t="s">
        <v>92</v>
      </c>
      <c r="AJ305" s="152" t="s">
        <v>92</v>
      </c>
      <c r="AK305" s="152" t="s">
        <v>872</v>
      </c>
      <c r="AL305" s="159" t="s">
        <v>856</v>
      </c>
      <c r="AP305" s="159" t="s">
        <v>856</v>
      </c>
      <c r="AQ305" s="159" t="s">
        <v>856</v>
      </c>
      <c r="AR305" s="159" t="s">
        <v>1953</v>
      </c>
      <c r="AS305" s="159" t="s">
        <v>865</v>
      </c>
      <c r="AT305" s="152" t="str">
        <f t="shared" si="25"/>
        <v>DMNI1-061122</v>
      </c>
      <c r="AU305" s="152" t="str">
        <f t="shared" si="26"/>
        <v>INMOBILIARIA LOS ALMENDROS, S.A.</v>
      </c>
      <c r="AV305" s="159">
        <v>119.95</v>
      </c>
      <c r="AW305" s="159">
        <v>912474</v>
      </c>
      <c r="AX305" s="159" t="s">
        <v>856</v>
      </c>
      <c r="AY305" s="159" t="s">
        <v>856</v>
      </c>
      <c r="AZ305" s="152" t="s">
        <v>1008</v>
      </c>
      <c r="BA305" s="152" t="str">
        <f t="shared" si="12"/>
        <v>L22-863-MP056</v>
      </c>
      <c r="BB305" s="152">
        <v>12</v>
      </c>
      <c r="BC305" s="157">
        <v>44915</v>
      </c>
      <c r="BD305" s="157">
        <v>45097</v>
      </c>
      <c r="BE305" s="158">
        <v>15993</v>
      </c>
      <c r="BG305" s="159" t="s">
        <v>2033</v>
      </c>
      <c r="BK305" s="152" t="s">
        <v>132</v>
      </c>
      <c r="BN305" s="157" t="s">
        <v>1453</v>
      </c>
    </row>
    <row r="306" spans="1:66">
      <c r="A306" s="152" t="s">
        <v>2838</v>
      </c>
      <c r="B306" s="152" t="s">
        <v>2839</v>
      </c>
      <c r="C306" s="152" t="s">
        <v>2840</v>
      </c>
      <c r="D306" s="152" t="s">
        <v>2841</v>
      </c>
      <c r="E306" s="152" t="s">
        <v>2841</v>
      </c>
      <c r="F306" s="152">
        <v>8087</v>
      </c>
      <c r="G306" s="152">
        <v>87</v>
      </c>
      <c r="H306" s="152" t="s">
        <v>2178</v>
      </c>
      <c r="I306" s="152">
        <v>201655</v>
      </c>
      <c r="J306" s="152">
        <v>108</v>
      </c>
      <c r="K306" s="152">
        <v>88613</v>
      </c>
      <c r="L306" s="159" t="s">
        <v>856</v>
      </c>
      <c r="M306" s="152" t="s">
        <v>92</v>
      </c>
      <c r="N306" s="152" t="s">
        <v>92</v>
      </c>
      <c r="O306" s="159" t="s">
        <v>856</v>
      </c>
      <c r="P306" s="159" t="s">
        <v>856</v>
      </c>
      <c r="Q306" s="152" t="s">
        <v>92</v>
      </c>
      <c r="R306" s="152" t="s">
        <v>92</v>
      </c>
      <c r="S306" s="159" t="s">
        <v>856</v>
      </c>
      <c r="T306" s="159" t="s">
        <v>856</v>
      </c>
      <c r="U306" s="159" t="s">
        <v>856</v>
      </c>
      <c r="V306" s="152" t="s">
        <v>857</v>
      </c>
      <c r="W306" s="152" t="s">
        <v>858</v>
      </c>
      <c r="X306" s="152" t="s">
        <v>1083</v>
      </c>
      <c r="Y306" s="152">
        <v>23.8</v>
      </c>
      <c r="Z306" s="152">
        <v>1</v>
      </c>
      <c r="AA306" s="152" t="s">
        <v>883</v>
      </c>
      <c r="AB306" s="152">
        <v>120.78</v>
      </c>
      <c r="AC306" s="152">
        <v>2</v>
      </c>
      <c r="AD306" s="152" t="s">
        <v>861</v>
      </c>
      <c r="AE306" s="152">
        <v>120.78</v>
      </c>
      <c r="AF306" s="152">
        <v>0</v>
      </c>
      <c r="AG306" s="152" t="s">
        <v>861</v>
      </c>
      <c r="AH306" s="152" t="s">
        <v>861</v>
      </c>
      <c r="AI306" s="152" t="s">
        <v>92</v>
      </c>
      <c r="AJ306" s="152" t="s">
        <v>92</v>
      </c>
      <c r="AK306" s="152" t="s">
        <v>972</v>
      </c>
      <c r="AL306" s="159" t="s">
        <v>856</v>
      </c>
      <c r="AP306" s="159" t="s">
        <v>856</v>
      </c>
      <c r="AQ306" s="159" t="s">
        <v>856</v>
      </c>
      <c r="AR306" s="159" t="s">
        <v>1953</v>
      </c>
      <c r="AS306" s="159" t="s">
        <v>865</v>
      </c>
      <c r="AT306" s="152" t="str">
        <f t="shared" si="25"/>
        <v>RPNE5-410921</v>
      </c>
      <c r="AU306" s="152" t="str">
        <f t="shared" si="26"/>
        <v>ZINTYA PAOLA RUANO LEMUS</v>
      </c>
      <c r="AV306" s="159">
        <v>1568.48</v>
      </c>
      <c r="AW306" s="159">
        <v>727590</v>
      </c>
      <c r="AX306" s="159">
        <v>30</v>
      </c>
      <c r="AY306" s="159">
        <v>727592</v>
      </c>
      <c r="AZ306" s="152" t="s">
        <v>864</v>
      </c>
      <c r="BA306" s="152" t="str">
        <f t="shared" si="12"/>
        <v>L21-974-JM173</v>
      </c>
      <c r="BB306" s="152">
        <v>0</v>
      </c>
      <c r="BC306" s="157">
        <v>44517</v>
      </c>
      <c r="BD306" s="157">
        <v>44517</v>
      </c>
      <c r="BE306" s="158">
        <v>310280</v>
      </c>
      <c r="BF306" s="152" t="s">
        <v>2842</v>
      </c>
      <c r="BG306" s="159" t="s">
        <v>894</v>
      </c>
      <c r="BH306" s="152">
        <v>120.78</v>
      </c>
      <c r="BI306" s="152">
        <v>0</v>
      </c>
      <c r="BJ306" s="152">
        <v>0</v>
      </c>
      <c r="BK306" s="152" t="s">
        <v>132</v>
      </c>
      <c r="BL306" s="152">
        <v>120.78</v>
      </c>
      <c r="BM306" s="152">
        <v>727591</v>
      </c>
      <c r="BN306" s="157" t="s">
        <v>1453</v>
      </c>
    </row>
    <row r="307" spans="1:66">
      <c r="A307" s="152" t="s">
        <v>2843</v>
      </c>
      <c r="B307" s="152" t="s">
        <v>2844</v>
      </c>
      <c r="C307" s="152" t="s">
        <v>2845</v>
      </c>
      <c r="D307" s="152" t="s">
        <v>2846</v>
      </c>
      <c r="E307" s="152" t="s">
        <v>2792</v>
      </c>
      <c r="F307" s="152">
        <v>2795</v>
      </c>
      <c r="G307" s="152">
        <v>295</v>
      </c>
      <c r="H307" s="152" t="s">
        <v>1589</v>
      </c>
      <c r="I307" s="152">
        <v>202561</v>
      </c>
      <c r="J307" s="152">
        <v>64.739999999999995</v>
      </c>
      <c r="K307" s="152">
        <v>89362</v>
      </c>
      <c r="L307" s="159" t="s">
        <v>1972</v>
      </c>
      <c r="M307" s="152" t="s">
        <v>92</v>
      </c>
      <c r="N307" s="152" t="s">
        <v>883</v>
      </c>
      <c r="O307" s="159">
        <v>6608</v>
      </c>
      <c r="P307" s="159" t="s">
        <v>1972</v>
      </c>
      <c r="Q307" s="152" t="s">
        <v>92</v>
      </c>
      <c r="R307" s="152" t="s">
        <v>883</v>
      </c>
      <c r="S307" s="159">
        <v>6608</v>
      </c>
      <c r="T307" s="159" t="s">
        <v>856</v>
      </c>
      <c r="U307" s="159" t="s">
        <v>856</v>
      </c>
      <c r="V307" s="152" t="s">
        <v>857</v>
      </c>
      <c r="W307" s="152" t="s">
        <v>860</v>
      </c>
      <c r="X307" s="152" t="s">
        <v>2847</v>
      </c>
      <c r="Y307" s="152">
        <v>43.26</v>
      </c>
      <c r="Z307" s="152">
        <v>1</v>
      </c>
      <c r="AA307" s="152" t="s">
        <v>92</v>
      </c>
      <c r="AB307" s="152">
        <v>39.4</v>
      </c>
      <c r="AC307" s="152">
        <v>1</v>
      </c>
      <c r="AD307" s="152" t="s">
        <v>861</v>
      </c>
      <c r="AE307" s="152">
        <v>39.4</v>
      </c>
      <c r="AF307" s="152">
        <v>0</v>
      </c>
      <c r="AG307" s="152" t="s">
        <v>861</v>
      </c>
      <c r="AH307" s="152" t="s">
        <v>861</v>
      </c>
      <c r="AI307" s="152" t="s">
        <v>92</v>
      </c>
      <c r="AJ307" s="152" t="s">
        <v>92</v>
      </c>
      <c r="AK307" s="152" t="s">
        <v>862</v>
      </c>
      <c r="AL307" s="159" t="s">
        <v>856</v>
      </c>
      <c r="AP307" s="159" t="s">
        <v>856</v>
      </c>
      <c r="AQ307" s="159" t="s">
        <v>856</v>
      </c>
      <c r="AR307" s="159" t="s">
        <v>2848</v>
      </c>
      <c r="AS307" s="159" t="s">
        <v>865</v>
      </c>
      <c r="AT307" s="152" t="str">
        <f t="shared" si="25"/>
        <v>RPNA6-110323</v>
      </c>
      <c r="AU307" s="152" t="str">
        <f t="shared" si="26"/>
        <v>JAIME MAGDALENO ACABAL TEM</v>
      </c>
      <c r="AV307" s="159">
        <v>279.31</v>
      </c>
      <c r="AW307" s="159">
        <v>850844</v>
      </c>
      <c r="AX307" s="159" t="s">
        <v>856</v>
      </c>
      <c r="AY307" s="159" t="s">
        <v>856</v>
      </c>
      <c r="AZ307" s="152" t="s">
        <v>864</v>
      </c>
      <c r="BA307" s="152" t="str">
        <f t="shared" si="12"/>
        <v>L23-299-MP027</v>
      </c>
      <c r="BB307" s="152">
        <v>0</v>
      </c>
      <c r="BC307" s="157">
        <v>45035</v>
      </c>
      <c r="BD307" s="157">
        <v>45035</v>
      </c>
      <c r="BE307" s="158">
        <v>55509</v>
      </c>
      <c r="BF307" s="152" t="s">
        <v>2849</v>
      </c>
      <c r="BG307" s="159" t="s">
        <v>894</v>
      </c>
      <c r="BH307" s="152">
        <v>39.4</v>
      </c>
      <c r="BI307" s="152">
        <v>0</v>
      </c>
      <c r="BJ307" s="152">
        <v>0</v>
      </c>
      <c r="BK307" s="152" t="s">
        <v>132</v>
      </c>
      <c r="BL307" s="152">
        <v>39.4</v>
      </c>
      <c r="BM307" s="152">
        <v>850845</v>
      </c>
      <c r="BN307" s="157" t="s">
        <v>1453</v>
      </c>
    </row>
    <row r="308" spans="1:66">
      <c r="A308" s="152" t="s">
        <v>2850</v>
      </c>
      <c r="B308" s="152" t="s">
        <v>2851</v>
      </c>
      <c r="C308" s="152" t="s">
        <v>1760</v>
      </c>
      <c r="D308" s="152" t="s">
        <v>2852</v>
      </c>
      <c r="E308" s="152" t="s">
        <v>1762</v>
      </c>
      <c r="F308" s="152">
        <v>8962</v>
      </c>
      <c r="G308" s="152">
        <v>462</v>
      </c>
      <c r="H308" s="152" t="s">
        <v>870</v>
      </c>
      <c r="I308" s="152">
        <v>197724</v>
      </c>
      <c r="J308" s="152">
        <v>118.68</v>
      </c>
      <c r="K308" s="152">
        <v>85337</v>
      </c>
      <c r="L308" s="159" t="s">
        <v>1763</v>
      </c>
      <c r="M308" s="152" t="s">
        <v>92</v>
      </c>
      <c r="N308" s="152" t="s">
        <v>883</v>
      </c>
      <c r="O308" s="159">
        <v>3969</v>
      </c>
      <c r="P308" s="159" t="s">
        <v>1763</v>
      </c>
      <c r="Q308" s="152" t="s">
        <v>92</v>
      </c>
      <c r="R308" s="152" t="s">
        <v>883</v>
      </c>
      <c r="S308" s="159">
        <v>3969</v>
      </c>
      <c r="T308" s="159" t="s">
        <v>856</v>
      </c>
      <c r="U308" s="159" t="s">
        <v>856</v>
      </c>
      <c r="V308" s="152" t="s">
        <v>857</v>
      </c>
      <c r="W308" s="152" t="s">
        <v>858</v>
      </c>
      <c r="X308" s="152" t="s">
        <v>1083</v>
      </c>
      <c r="Y308" s="152">
        <v>20.37</v>
      </c>
      <c r="Z308" s="152">
        <v>1</v>
      </c>
      <c r="AA308" s="152" t="s">
        <v>92</v>
      </c>
      <c r="AB308" s="152">
        <v>201.37</v>
      </c>
      <c r="AC308" s="152">
        <v>2</v>
      </c>
      <c r="AD308" s="152" t="s">
        <v>861</v>
      </c>
      <c r="AE308" s="152">
        <v>201.37</v>
      </c>
      <c r="AF308" s="152">
        <v>0</v>
      </c>
      <c r="AG308" s="152" t="s">
        <v>861</v>
      </c>
      <c r="AH308" s="152" t="s">
        <v>861</v>
      </c>
      <c r="AI308" s="152" t="s">
        <v>92</v>
      </c>
      <c r="AJ308" s="152" t="s">
        <v>92</v>
      </c>
      <c r="AK308" s="152" t="s">
        <v>884</v>
      </c>
      <c r="AL308" s="159" t="s">
        <v>856</v>
      </c>
      <c r="AP308" s="159" t="s">
        <v>856</v>
      </c>
      <c r="AQ308" s="159" t="s">
        <v>856</v>
      </c>
      <c r="AR308" s="159" t="s">
        <v>1953</v>
      </c>
      <c r="AS308" s="159" t="s">
        <v>865</v>
      </c>
      <c r="AT308" s="152" t="str">
        <f t="shared" si="25"/>
        <v>VUND9-051121</v>
      </c>
      <c r="AU308" s="152" t="str">
        <f t="shared" si="26"/>
        <v>DESARROLLOS LAS LUCES DE OCCIDENTE S.A.</v>
      </c>
      <c r="AV308" s="159">
        <v>2577.19</v>
      </c>
      <c r="AW308" s="159">
        <v>779305</v>
      </c>
      <c r="AX308" s="159">
        <v>35</v>
      </c>
      <c r="AY308" s="159">
        <v>779308</v>
      </c>
      <c r="AZ308" s="152" t="s">
        <v>864</v>
      </c>
      <c r="BA308" s="152" t="str">
        <f t="shared" si="12"/>
        <v>L22-127-NR161</v>
      </c>
      <c r="BB308" s="152">
        <v>24</v>
      </c>
      <c r="BC308" s="157">
        <v>44607</v>
      </c>
      <c r="BD308" s="157">
        <v>44972</v>
      </c>
      <c r="BE308" s="158">
        <v>510554.5</v>
      </c>
      <c r="BF308" s="152" t="s">
        <v>2853</v>
      </c>
      <c r="BG308" s="159" t="s">
        <v>875</v>
      </c>
      <c r="BH308" s="152">
        <v>201.37</v>
      </c>
      <c r="BI308" s="152">
        <v>0</v>
      </c>
      <c r="BJ308" s="152">
        <v>0</v>
      </c>
      <c r="BK308" s="152" t="s">
        <v>132</v>
      </c>
      <c r="BL308" s="152">
        <v>201.37</v>
      </c>
      <c r="BM308" s="152">
        <v>779307</v>
      </c>
      <c r="BN308" s="157" t="s">
        <v>1453</v>
      </c>
    </row>
    <row r="309" spans="1:66">
      <c r="A309" s="152" t="s">
        <v>2854</v>
      </c>
      <c r="B309" s="152" t="s">
        <v>2855</v>
      </c>
      <c r="C309" s="152" t="s">
        <v>2856</v>
      </c>
      <c r="D309" s="152" t="s">
        <v>2857</v>
      </c>
      <c r="E309" s="152" t="s">
        <v>2857</v>
      </c>
      <c r="F309" s="152">
        <v>9676</v>
      </c>
      <c r="G309" s="152">
        <v>176</v>
      </c>
      <c r="H309" s="152" t="s">
        <v>2731</v>
      </c>
      <c r="I309" s="152">
        <v>188147</v>
      </c>
      <c r="J309" s="152">
        <v>200</v>
      </c>
      <c r="K309" s="152">
        <v>78270</v>
      </c>
      <c r="L309" s="159" t="s">
        <v>856</v>
      </c>
      <c r="M309" s="152" t="s">
        <v>92</v>
      </c>
      <c r="N309" s="152" t="s">
        <v>92</v>
      </c>
      <c r="O309" s="159" t="s">
        <v>856</v>
      </c>
      <c r="P309" s="159" t="s">
        <v>856</v>
      </c>
      <c r="Q309" s="152" t="s">
        <v>92</v>
      </c>
      <c r="R309" s="152" t="s">
        <v>92</v>
      </c>
      <c r="S309" s="159" t="s">
        <v>856</v>
      </c>
      <c r="T309" s="159" t="s">
        <v>856</v>
      </c>
      <c r="U309" s="159" t="s">
        <v>856</v>
      </c>
      <c r="V309" s="152" t="s">
        <v>857</v>
      </c>
      <c r="W309" s="152" t="s">
        <v>858</v>
      </c>
      <c r="X309" s="152" t="s">
        <v>1083</v>
      </c>
      <c r="Y309" s="152">
        <v>0</v>
      </c>
      <c r="Z309" s="152">
        <v>1</v>
      </c>
      <c r="AA309" s="152" t="s">
        <v>92</v>
      </c>
      <c r="AB309" s="152">
        <v>65.989999999999995</v>
      </c>
      <c r="AC309" s="152">
        <v>1</v>
      </c>
      <c r="AD309" s="152" t="s">
        <v>861</v>
      </c>
      <c r="AE309" s="152">
        <v>65.989999999999995</v>
      </c>
      <c r="AF309" s="152">
        <v>0</v>
      </c>
      <c r="AG309" s="152" t="s">
        <v>861</v>
      </c>
      <c r="AH309" s="152" t="s">
        <v>861</v>
      </c>
      <c r="AI309" s="152" t="s">
        <v>92</v>
      </c>
      <c r="AJ309" s="152" t="s">
        <v>92</v>
      </c>
      <c r="AK309" s="152" t="s">
        <v>912</v>
      </c>
      <c r="AL309" s="159" t="s">
        <v>856</v>
      </c>
      <c r="AP309" s="159" t="s">
        <v>856</v>
      </c>
      <c r="AQ309" s="159" t="s">
        <v>856</v>
      </c>
      <c r="AR309" s="159" t="s">
        <v>1953</v>
      </c>
      <c r="AS309" s="159" t="s">
        <v>865</v>
      </c>
      <c r="AT309" s="152" t="str">
        <f t="shared" si="25"/>
        <v>RPNA1-270621</v>
      </c>
      <c r="AU309" s="152" t="str">
        <f t="shared" si="26"/>
        <v>JOSE JOAQUIN AGUIRRE OVALLE</v>
      </c>
      <c r="AV309" s="159">
        <v>665.18</v>
      </c>
      <c r="AW309" s="159">
        <v>698804</v>
      </c>
      <c r="AX309" s="159" t="s">
        <v>856</v>
      </c>
      <c r="AY309" s="159" t="s">
        <v>856</v>
      </c>
      <c r="AZ309" s="152" t="s">
        <v>864</v>
      </c>
      <c r="BA309" s="152" t="str">
        <f t="shared" si="12"/>
        <v>L21-556-SP233</v>
      </c>
      <c r="BB309" s="152">
        <v>0</v>
      </c>
      <c r="BC309" s="157">
        <v>44382</v>
      </c>
      <c r="BD309" s="157">
        <v>44382</v>
      </c>
      <c r="BE309" s="158">
        <v>131980</v>
      </c>
      <c r="BF309" s="152" t="s">
        <v>2858</v>
      </c>
      <c r="BG309" s="159" t="s">
        <v>894</v>
      </c>
      <c r="BH309" s="152">
        <v>65.989999999999995</v>
      </c>
      <c r="BI309" s="152">
        <v>0</v>
      </c>
      <c r="BJ309" s="152">
        <v>0</v>
      </c>
      <c r="BK309" s="152" t="s">
        <v>132</v>
      </c>
      <c r="BL309" s="152">
        <v>65.989999999999995</v>
      </c>
      <c r="BM309" s="152">
        <v>698805</v>
      </c>
      <c r="BN309" s="157" t="s">
        <v>1453</v>
      </c>
    </row>
    <row r="310" spans="1:66">
      <c r="A310" s="152" t="s">
        <v>2859</v>
      </c>
      <c r="B310" s="152" t="s">
        <v>2860</v>
      </c>
      <c r="C310" s="152" t="s">
        <v>2861</v>
      </c>
      <c r="D310" s="152" t="s">
        <v>2862</v>
      </c>
      <c r="E310" s="152" t="s">
        <v>2862</v>
      </c>
      <c r="F310" s="152">
        <v>1171</v>
      </c>
      <c r="G310" s="152">
        <v>171</v>
      </c>
      <c r="H310" s="152" t="s">
        <v>2311</v>
      </c>
      <c r="I310" s="152">
        <v>201403</v>
      </c>
      <c r="J310" s="152">
        <v>38.46</v>
      </c>
      <c r="K310" s="152">
        <v>88429</v>
      </c>
      <c r="L310" s="159" t="s">
        <v>856</v>
      </c>
      <c r="M310" s="152" t="s">
        <v>92</v>
      </c>
      <c r="N310" s="152" t="s">
        <v>92</v>
      </c>
      <c r="O310" s="159" t="s">
        <v>856</v>
      </c>
      <c r="P310" s="159" t="s">
        <v>856</v>
      </c>
      <c r="Q310" s="152" t="s">
        <v>92</v>
      </c>
      <c r="R310" s="152" t="s">
        <v>92</v>
      </c>
      <c r="S310" s="159" t="s">
        <v>856</v>
      </c>
      <c r="T310" s="159" t="s">
        <v>856</v>
      </c>
      <c r="U310" s="159" t="s">
        <v>856</v>
      </c>
      <c r="V310" s="152" t="s">
        <v>857</v>
      </c>
      <c r="W310" s="152" t="s">
        <v>858</v>
      </c>
      <c r="X310" s="152" t="s">
        <v>1083</v>
      </c>
      <c r="Y310" s="152">
        <v>0</v>
      </c>
      <c r="Z310" s="152">
        <v>1</v>
      </c>
      <c r="AA310" s="152" t="s">
        <v>92</v>
      </c>
      <c r="AB310" s="152">
        <v>38.46</v>
      </c>
      <c r="AC310" s="152">
        <v>1</v>
      </c>
      <c r="AD310" s="152" t="s">
        <v>861</v>
      </c>
      <c r="AE310" s="152">
        <v>38.46</v>
      </c>
      <c r="AF310" s="152">
        <v>0</v>
      </c>
      <c r="AG310" s="152" t="s">
        <v>861</v>
      </c>
      <c r="AH310" s="152" t="s">
        <v>861</v>
      </c>
      <c r="AI310" s="152" t="s">
        <v>92</v>
      </c>
      <c r="AJ310" s="152" t="s">
        <v>92</v>
      </c>
      <c r="AK310" s="152" t="s">
        <v>862</v>
      </c>
      <c r="AL310" s="159" t="s">
        <v>856</v>
      </c>
      <c r="AP310" s="159" t="s">
        <v>856</v>
      </c>
      <c r="AQ310" s="159" t="s">
        <v>856</v>
      </c>
      <c r="AR310" s="159" t="s">
        <v>1034</v>
      </c>
      <c r="AS310" s="159" t="s">
        <v>865</v>
      </c>
      <c r="AT310" s="152" t="str">
        <f t="shared" si="25"/>
        <v>RPNP1-020120</v>
      </c>
      <c r="AU310" s="152" t="str">
        <f t="shared" si="26"/>
        <v>YANIS AHILIN POL VASQUEZ</v>
      </c>
      <c r="AV310" s="159">
        <v>387.68</v>
      </c>
      <c r="AW310" s="159">
        <v>648798</v>
      </c>
      <c r="AX310" s="159" t="s">
        <v>856</v>
      </c>
      <c r="AY310" s="159" t="s">
        <v>856</v>
      </c>
      <c r="AZ310" s="152" t="s">
        <v>864</v>
      </c>
      <c r="BA310" s="152" t="str">
        <f t="shared" si="12"/>
        <v>L21-964-EC098</v>
      </c>
      <c r="BB310" s="152">
        <v>0</v>
      </c>
      <c r="BC310" s="157">
        <v>44235</v>
      </c>
      <c r="BD310" s="157">
        <v>44235</v>
      </c>
      <c r="BE310" s="158">
        <v>76920</v>
      </c>
      <c r="BG310" s="159" t="s">
        <v>2033</v>
      </c>
      <c r="BK310" s="152" t="s">
        <v>132</v>
      </c>
      <c r="BN310" s="157" t="s">
        <v>1453</v>
      </c>
    </row>
    <row r="311" spans="1:66">
      <c r="A311" s="152" t="s">
        <v>2863</v>
      </c>
      <c r="B311" s="152" t="s">
        <v>2864</v>
      </c>
      <c r="C311" s="152" t="s">
        <v>1760</v>
      </c>
      <c r="D311" s="152" t="s">
        <v>2865</v>
      </c>
      <c r="E311" s="152" t="s">
        <v>1762</v>
      </c>
      <c r="F311" s="152">
        <v>8970</v>
      </c>
      <c r="G311" s="152">
        <v>470</v>
      </c>
      <c r="H311" s="152" t="s">
        <v>870</v>
      </c>
      <c r="I311" s="152">
        <v>199399</v>
      </c>
      <c r="J311" s="152">
        <v>119.89</v>
      </c>
      <c r="K311" s="152">
        <v>86830</v>
      </c>
      <c r="L311" s="159" t="s">
        <v>856</v>
      </c>
      <c r="M311" s="152" t="s">
        <v>92</v>
      </c>
      <c r="N311" s="152" t="s">
        <v>92</v>
      </c>
      <c r="O311" s="159" t="s">
        <v>856</v>
      </c>
      <c r="P311" s="159" t="s">
        <v>856</v>
      </c>
      <c r="Q311" s="152" t="s">
        <v>92</v>
      </c>
      <c r="R311" s="152" t="s">
        <v>92</v>
      </c>
      <c r="S311" s="159" t="s">
        <v>856</v>
      </c>
      <c r="T311" s="159" t="s">
        <v>856</v>
      </c>
      <c r="U311" s="159" t="s">
        <v>856</v>
      </c>
      <c r="V311" s="152" t="s">
        <v>857</v>
      </c>
      <c r="W311" s="152" t="s">
        <v>858</v>
      </c>
      <c r="X311" s="152" t="s">
        <v>1083</v>
      </c>
      <c r="Y311" s="152">
        <v>22.4</v>
      </c>
      <c r="Z311" s="152">
        <v>1</v>
      </c>
      <c r="AA311" s="152" t="s">
        <v>92</v>
      </c>
      <c r="AB311" s="152">
        <v>205.65</v>
      </c>
      <c r="AC311" s="152">
        <v>2</v>
      </c>
      <c r="AD311" s="152" t="s">
        <v>861</v>
      </c>
      <c r="AE311" s="152">
        <v>205.65</v>
      </c>
      <c r="AF311" s="152">
        <v>0</v>
      </c>
      <c r="AG311" s="152" t="s">
        <v>861</v>
      </c>
      <c r="AH311" s="152" t="s">
        <v>861</v>
      </c>
      <c r="AI311" s="152" t="s">
        <v>92</v>
      </c>
      <c r="AJ311" s="152" t="s">
        <v>92</v>
      </c>
      <c r="AK311" s="152" t="s">
        <v>884</v>
      </c>
      <c r="AL311" s="159" t="s">
        <v>856</v>
      </c>
      <c r="AP311" s="159" t="s">
        <v>856</v>
      </c>
      <c r="AQ311" s="159" t="s">
        <v>856</v>
      </c>
      <c r="AR311" s="159" t="s">
        <v>1953</v>
      </c>
      <c r="AS311" s="159" t="s">
        <v>865</v>
      </c>
      <c r="AT311" s="152" t="str">
        <f t="shared" si="25"/>
        <v>RPD9-160818</v>
      </c>
      <c r="AU311" s="152" t="str">
        <f t="shared" si="26"/>
        <v>DESARROLLOS LAS LUCES DE OCCIDENTE S.A.</v>
      </c>
      <c r="AV311" s="159">
        <v>2635.09</v>
      </c>
      <c r="AW311" s="159">
        <v>825231</v>
      </c>
      <c r="AX311" s="159">
        <v>196</v>
      </c>
      <c r="AY311" s="159">
        <v>825232</v>
      </c>
      <c r="AZ311" s="152" t="s">
        <v>864</v>
      </c>
      <c r="BA311" s="152" t="str">
        <f t="shared" si="12"/>
        <v>L20-088-HI022</v>
      </c>
      <c r="BB311" s="152">
        <v>0</v>
      </c>
      <c r="BC311" s="157">
        <v>43851</v>
      </c>
      <c r="BD311" s="157">
        <v>43851</v>
      </c>
      <c r="BE311" s="158">
        <v>521965</v>
      </c>
      <c r="BF311" s="152" t="s">
        <v>2866</v>
      </c>
      <c r="BG311" s="159" t="s">
        <v>894</v>
      </c>
      <c r="BH311" s="152">
        <v>205.65</v>
      </c>
      <c r="BI311" s="152">
        <v>0</v>
      </c>
      <c r="BJ311" s="152">
        <v>0</v>
      </c>
      <c r="BK311" s="152" t="s">
        <v>132</v>
      </c>
      <c r="BL311" s="152">
        <v>206</v>
      </c>
      <c r="BM311" s="152">
        <v>826180</v>
      </c>
      <c r="BN311" s="157" t="s">
        <v>1453</v>
      </c>
    </row>
    <row r="312" spans="1:66">
      <c r="A312" s="152" t="s">
        <v>2867</v>
      </c>
      <c r="B312" s="152" t="s">
        <v>2868</v>
      </c>
      <c r="C312" s="152" t="s">
        <v>1760</v>
      </c>
      <c r="D312" s="152" t="s">
        <v>2869</v>
      </c>
      <c r="E312" s="152" t="s">
        <v>1762</v>
      </c>
      <c r="F312" s="152">
        <v>8968</v>
      </c>
      <c r="G312" s="152">
        <v>468</v>
      </c>
      <c r="H312" s="152" t="s">
        <v>870</v>
      </c>
      <c r="I312" s="152">
        <v>199400</v>
      </c>
      <c r="J312" s="152">
        <v>120.07</v>
      </c>
      <c r="K312" s="152">
        <v>86831</v>
      </c>
      <c r="L312" s="159" t="s">
        <v>856</v>
      </c>
      <c r="M312" s="152" t="s">
        <v>92</v>
      </c>
      <c r="N312" s="152" t="s">
        <v>92</v>
      </c>
      <c r="O312" s="159" t="s">
        <v>856</v>
      </c>
      <c r="P312" s="159" t="s">
        <v>856</v>
      </c>
      <c r="Q312" s="152" t="s">
        <v>92</v>
      </c>
      <c r="R312" s="152" t="s">
        <v>92</v>
      </c>
      <c r="S312" s="159" t="s">
        <v>856</v>
      </c>
      <c r="T312" s="159" t="s">
        <v>856</v>
      </c>
      <c r="U312" s="159" t="s">
        <v>856</v>
      </c>
      <c r="V312" s="152" t="s">
        <v>857</v>
      </c>
      <c r="W312" s="152" t="s">
        <v>858</v>
      </c>
      <c r="X312" s="152" t="s">
        <v>1083</v>
      </c>
      <c r="Y312" s="152">
        <v>45</v>
      </c>
      <c r="Z312" s="152">
        <v>1</v>
      </c>
      <c r="AA312" s="152" t="s">
        <v>92</v>
      </c>
      <c r="AB312" s="152">
        <v>183.55</v>
      </c>
      <c r="AC312" s="152">
        <v>2</v>
      </c>
      <c r="AD312" s="152" t="s">
        <v>861</v>
      </c>
      <c r="AE312" s="152">
        <v>183.55</v>
      </c>
      <c r="AF312" s="152">
        <v>0</v>
      </c>
      <c r="AG312" s="152" t="s">
        <v>861</v>
      </c>
      <c r="AH312" s="152" t="s">
        <v>861</v>
      </c>
      <c r="AI312" s="152" t="s">
        <v>92</v>
      </c>
      <c r="AJ312" s="152" t="s">
        <v>92</v>
      </c>
      <c r="AK312" s="152" t="s">
        <v>884</v>
      </c>
      <c r="AL312" s="159" t="s">
        <v>856</v>
      </c>
      <c r="AP312" s="159" t="s">
        <v>856</v>
      </c>
      <c r="AQ312" s="159" t="s">
        <v>856</v>
      </c>
      <c r="AR312" s="159" t="s">
        <v>1953</v>
      </c>
      <c r="AS312" s="159" t="s">
        <v>865</v>
      </c>
      <c r="AT312" s="152" t="str">
        <f t="shared" si="25"/>
        <v>RPD9-170818</v>
      </c>
      <c r="AU312" s="152" t="str">
        <f t="shared" si="26"/>
        <v>DESARROLLOS LAS LUCES DE OCCIDENTE S.A.</v>
      </c>
      <c r="AV312" s="159">
        <v>2400.9299999999998</v>
      </c>
      <c r="AW312" s="159">
        <v>825235</v>
      </c>
      <c r="AX312" s="159">
        <v>196</v>
      </c>
      <c r="AY312" s="159">
        <v>325236</v>
      </c>
      <c r="AZ312" s="152" t="s">
        <v>864</v>
      </c>
      <c r="BA312" s="152" t="str">
        <f t="shared" si="12"/>
        <v>L20-092-HI022</v>
      </c>
      <c r="BB312" s="152">
        <v>0</v>
      </c>
      <c r="BC312" s="157">
        <v>43851</v>
      </c>
      <c r="BD312" s="157">
        <v>43851</v>
      </c>
      <c r="BE312" s="158">
        <v>474625</v>
      </c>
      <c r="BF312" s="152" t="s">
        <v>2870</v>
      </c>
      <c r="BG312" s="159" t="s">
        <v>894</v>
      </c>
      <c r="BH312" s="152">
        <v>183.55</v>
      </c>
      <c r="BI312" s="152">
        <v>0</v>
      </c>
      <c r="BJ312" s="152">
        <v>0</v>
      </c>
      <c r="BK312" s="152" t="s">
        <v>132</v>
      </c>
      <c r="BL312" s="152">
        <v>184</v>
      </c>
      <c r="BM312" s="152">
        <v>826183</v>
      </c>
      <c r="BN312" s="157" t="s">
        <v>1453</v>
      </c>
    </row>
    <row r="313" spans="1:66">
      <c r="A313" s="152" t="s">
        <v>2871</v>
      </c>
      <c r="B313" s="152" t="s">
        <v>2872</v>
      </c>
      <c r="C313" s="152" t="s">
        <v>2569</v>
      </c>
      <c r="D313" s="152" t="s">
        <v>2873</v>
      </c>
      <c r="E313" s="152" t="s">
        <v>2873</v>
      </c>
      <c r="F313" s="152">
        <v>4860</v>
      </c>
      <c r="G313" s="152">
        <v>360</v>
      </c>
      <c r="H313" s="152" t="s">
        <v>2874</v>
      </c>
      <c r="I313" s="152">
        <v>198695</v>
      </c>
      <c r="J313" s="152">
        <v>128</v>
      </c>
      <c r="K313" s="152">
        <v>86244</v>
      </c>
      <c r="L313" s="159" t="s">
        <v>856</v>
      </c>
      <c r="M313" s="152" t="s">
        <v>92</v>
      </c>
      <c r="N313" s="152" t="s">
        <v>92</v>
      </c>
      <c r="O313" s="159" t="s">
        <v>856</v>
      </c>
      <c r="P313" s="159" t="s">
        <v>856</v>
      </c>
      <c r="Q313" s="152" t="s">
        <v>92</v>
      </c>
      <c r="R313" s="152" t="s">
        <v>92</v>
      </c>
      <c r="S313" s="159" t="s">
        <v>856</v>
      </c>
      <c r="T313" s="159" t="s">
        <v>856</v>
      </c>
      <c r="U313" s="159" t="s">
        <v>856</v>
      </c>
      <c r="V313" s="152" t="s">
        <v>857</v>
      </c>
      <c r="W313" s="152" t="s">
        <v>858</v>
      </c>
      <c r="X313" s="152" t="s">
        <v>1083</v>
      </c>
      <c r="Y313" s="152">
        <v>40.520000000000003</v>
      </c>
      <c r="Z313" s="152">
        <v>1</v>
      </c>
      <c r="AA313" s="152" t="s">
        <v>92</v>
      </c>
      <c r="AB313" s="152">
        <v>224.3</v>
      </c>
      <c r="AC313" s="152">
        <v>2</v>
      </c>
      <c r="AD313" s="152" t="s">
        <v>861</v>
      </c>
      <c r="AE313" s="152">
        <v>224.3</v>
      </c>
      <c r="AF313" s="152">
        <v>0</v>
      </c>
      <c r="AG313" s="152" t="s">
        <v>861</v>
      </c>
      <c r="AH313" s="152" t="s">
        <v>861</v>
      </c>
      <c r="AI313" s="152" t="s">
        <v>92</v>
      </c>
      <c r="AJ313" s="152" t="s">
        <v>92</v>
      </c>
      <c r="AK313" s="152" t="s">
        <v>862</v>
      </c>
      <c r="AL313" s="159" t="s">
        <v>856</v>
      </c>
      <c r="AP313" s="159" t="s">
        <v>856</v>
      </c>
      <c r="AQ313" s="159" t="s">
        <v>856</v>
      </c>
      <c r="AR313" s="159" t="s">
        <v>863</v>
      </c>
      <c r="AS313" s="159" t="s">
        <v>865</v>
      </c>
      <c r="AT313" s="152" t="str">
        <f t="shared" si="25"/>
        <v>VUNL7-020819A</v>
      </c>
      <c r="AU313" s="152" t="str">
        <f t="shared" si="26"/>
        <v>OSBELI OSTAQUIO LOPEZ ECHEVERRIA</v>
      </c>
      <c r="AV313" s="159">
        <v>2930.8</v>
      </c>
      <c r="AW313" s="159">
        <v>815784</v>
      </c>
      <c r="AX313" s="159">
        <v>40</v>
      </c>
      <c r="AY313" s="159">
        <v>815786</v>
      </c>
      <c r="AZ313" s="152" t="s">
        <v>864</v>
      </c>
      <c r="BA313" s="152" t="str">
        <f t="shared" si="12"/>
        <v>L19-550-SP181</v>
      </c>
      <c r="BB313" s="152">
        <v>24</v>
      </c>
      <c r="BC313" s="157">
        <v>43766</v>
      </c>
      <c r="BD313" s="157">
        <v>44132</v>
      </c>
      <c r="BE313" s="158">
        <v>575772</v>
      </c>
      <c r="BF313" s="152" t="s">
        <v>2875</v>
      </c>
      <c r="BG313" s="159" t="s">
        <v>2876</v>
      </c>
      <c r="BH313" s="152">
        <v>224.3</v>
      </c>
      <c r="BI313" s="152">
        <v>0</v>
      </c>
      <c r="BJ313" s="152">
        <v>0</v>
      </c>
      <c r="BK313" s="152" t="s">
        <v>132</v>
      </c>
      <c r="BL313" s="152">
        <v>224.3</v>
      </c>
      <c r="BM313" s="152">
        <v>815785</v>
      </c>
      <c r="BN313" s="157" t="s">
        <v>1453</v>
      </c>
    </row>
    <row r="314" spans="1:66">
      <c r="A314" s="152" t="s">
        <v>2877</v>
      </c>
      <c r="B314" s="152" t="s">
        <v>2878</v>
      </c>
      <c r="C314" s="152" t="s">
        <v>2879</v>
      </c>
      <c r="D314" s="152" t="s">
        <v>2880</v>
      </c>
      <c r="E314" s="152" t="s">
        <v>2880</v>
      </c>
      <c r="F314" s="152">
        <v>267885</v>
      </c>
      <c r="G314" s="152">
        <v>104</v>
      </c>
      <c r="H314" s="152">
        <v>612</v>
      </c>
      <c r="I314" s="152">
        <v>168470</v>
      </c>
      <c r="J314" s="152">
        <v>168.13</v>
      </c>
      <c r="K314" s="152">
        <v>64666</v>
      </c>
      <c r="L314" s="159" t="s">
        <v>856</v>
      </c>
      <c r="M314" s="152" t="s">
        <v>92</v>
      </c>
      <c r="N314" s="152" t="s">
        <v>92</v>
      </c>
      <c r="O314" s="159" t="s">
        <v>856</v>
      </c>
      <c r="P314" s="159" t="s">
        <v>856</v>
      </c>
      <c r="Q314" s="152" t="s">
        <v>92</v>
      </c>
      <c r="R314" s="152" t="s">
        <v>92</v>
      </c>
      <c r="S314" s="159" t="s">
        <v>856</v>
      </c>
      <c r="T314" s="159" t="s">
        <v>856</v>
      </c>
      <c r="U314" s="159" t="s">
        <v>856</v>
      </c>
      <c r="V314" s="152" t="s">
        <v>1492</v>
      </c>
      <c r="W314" s="152" t="s">
        <v>858</v>
      </c>
      <c r="X314" s="152" t="s">
        <v>1083</v>
      </c>
      <c r="Y314" s="152">
        <v>0</v>
      </c>
      <c r="Z314" s="152">
        <v>1</v>
      </c>
      <c r="AA314" s="152" t="s">
        <v>92</v>
      </c>
      <c r="AD314" s="152" t="s">
        <v>861</v>
      </c>
      <c r="AG314" s="152" t="s">
        <v>861</v>
      </c>
      <c r="AH314" s="152" t="s">
        <v>861</v>
      </c>
      <c r="AI314" s="152" t="s">
        <v>92</v>
      </c>
      <c r="AJ314" s="152" t="s">
        <v>92</v>
      </c>
      <c r="AL314" s="159" t="s">
        <v>856</v>
      </c>
      <c r="AP314" s="159" t="s">
        <v>856</v>
      </c>
      <c r="AQ314" s="159" t="s">
        <v>856</v>
      </c>
      <c r="AR314" s="159" t="s">
        <v>856</v>
      </c>
      <c r="AS314" s="159" t="s">
        <v>865</v>
      </c>
      <c r="AT314" s="152" t="str">
        <f t="shared" si="25"/>
        <v>RPNV6-031019</v>
      </c>
      <c r="AU314" s="152" t="str">
        <f t="shared" si="26"/>
        <v>CRECENCIA VICENTE TORRES</v>
      </c>
      <c r="AV314" s="159" t="s">
        <v>856</v>
      </c>
      <c r="AW314" s="159" t="s">
        <v>856</v>
      </c>
      <c r="AX314" s="159" t="s">
        <v>856</v>
      </c>
      <c r="AY314" s="159" t="s">
        <v>856</v>
      </c>
      <c r="AZ314" s="152" t="s">
        <v>864</v>
      </c>
      <c r="BA314" s="152" t="str">
        <f t="shared" si="12"/>
        <v>L19-663-EC086</v>
      </c>
      <c r="BC314" s="157">
        <v>43852</v>
      </c>
      <c r="BF314" s="152" t="s">
        <v>2881</v>
      </c>
      <c r="BG314" s="159" t="s">
        <v>2882</v>
      </c>
      <c r="BH314" s="152">
        <v>0</v>
      </c>
      <c r="BI314" s="152">
        <v>25.62</v>
      </c>
      <c r="BJ314" s="152">
        <v>0</v>
      </c>
      <c r="BK314" s="152" t="s">
        <v>1296</v>
      </c>
      <c r="BL314" s="152">
        <v>32.03</v>
      </c>
      <c r="BM314" s="152">
        <v>824494</v>
      </c>
      <c r="BN314" s="157">
        <v>45313</v>
      </c>
    </row>
    <row r="315" spans="1:66">
      <c r="A315" s="152" t="s">
        <v>2883</v>
      </c>
      <c r="B315" s="152" t="s">
        <v>2884</v>
      </c>
      <c r="C315" s="152" t="s">
        <v>2885</v>
      </c>
      <c r="D315" s="152" t="s">
        <v>2886</v>
      </c>
      <c r="E315" s="152" t="s">
        <v>2887</v>
      </c>
      <c r="F315" s="152">
        <v>5546</v>
      </c>
      <c r="G315" s="152">
        <v>46</v>
      </c>
      <c r="H315" s="152" t="s">
        <v>1428</v>
      </c>
      <c r="I315" s="152">
        <v>195578</v>
      </c>
      <c r="J315" s="152">
        <v>125.4</v>
      </c>
      <c r="K315" s="152">
        <v>84025</v>
      </c>
      <c r="L315" s="159" t="s">
        <v>856</v>
      </c>
      <c r="M315" s="152" t="s">
        <v>92</v>
      </c>
      <c r="N315" s="152" t="s">
        <v>92</v>
      </c>
      <c r="O315" s="159" t="s">
        <v>856</v>
      </c>
      <c r="P315" s="159" t="s">
        <v>856</v>
      </c>
      <c r="Q315" s="152" t="s">
        <v>92</v>
      </c>
      <c r="R315" s="152" t="s">
        <v>92</v>
      </c>
      <c r="S315" s="159" t="s">
        <v>856</v>
      </c>
      <c r="T315" s="159" t="s">
        <v>856</v>
      </c>
      <c r="U315" s="159" t="s">
        <v>856</v>
      </c>
      <c r="V315" s="152" t="s">
        <v>857</v>
      </c>
      <c r="W315" s="152" t="s">
        <v>858</v>
      </c>
      <c r="X315" s="152" t="s">
        <v>1083</v>
      </c>
      <c r="Y315" s="152">
        <v>0</v>
      </c>
      <c r="Z315" s="152">
        <v>1</v>
      </c>
      <c r="AA315" s="152" t="s">
        <v>92</v>
      </c>
      <c r="AD315" s="152" t="s">
        <v>861</v>
      </c>
      <c r="AG315" s="152" t="s">
        <v>861</v>
      </c>
      <c r="AH315" s="152" t="s">
        <v>861</v>
      </c>
      <c r="AI315" s="152" t="s">
        <v>92</v>
      </c>
      <c r="AJ315" s="152" t="s">
        <v>92</v>
      </c>
      <c r="AL315" s="159" t="s">
        <v>856</v>
      </c>
      <c r="AP315" s="159" t="s">
        <v>856</v>
      </c>
      <c r="AQ315" s="159" t="s">
        <v>856</v>
      </c>
      <c r="AR315" s="159" t="s">
        <v>856</v>
      </c>
      <c r="AS315" s="159" t="s">
        <v>865</v>
      </c>
      <c r="AT315" s="152" t="str">
        <f t="shared" si="25"/>
        <v>VUNC6-011019</v>
      </c>
      <c r="AU315" s="152" t="str">
        <f t="shared" si="26"/>
        <v>ALLAN JOSUE CIFUENTES RECANCOJ</v>
      </c>
      <c r="AV315" s="159" t="s">
        <v>856</v>
      </c>
      <c r="AW315" s="159" t="s">
        <v>856</v>
      </c>
      <c r="AX315" s="159" t="s">
        <v>856</v>
      </c>
      <c r="AY315" s="159" t="s">
        <v>856</v>
      </c>
      <c r="AZ315" s="152" t="s">
        <v>864</v>
      </c>
      <c r="BA315" s="152" t="str">
        <f t="shared" si="12"/>
        <v>L19-592-EC083</v>
      </c>
      <c r="BC315" s="157">
        <v>43790</v>
      </c>
      <c r="BF315" s="152" t="s">
        <v>2888</v>
      </c>
      <c r="BG315" s="159" t="s">
        <v>2889</v>
      </c>
      <c r="BH315" s="152">
        <v>56.45</v>
      </c>
      <c r="BI315" s="152">
        <v>0</v>
      </c>
      <c r="BJ315" s="152">
        <v>0</v>
      </c>
      <c r="BK315" s="152" t="s">
        <v>132</v>
      </c>
      <c r="BL315" s="152">
        <v>56.45</v>
      </c>
      <c r="BM315" s="152">
        <v>817228</v>
      </c>
      <c r="BN315" s="157" t="s">
        <v>1453</v>
      </c>
    </row>
    <row r="316" spans="1:66">
      <c r="A316" s="152" t="s">
        <v>2890</v>
      </c>
      <c r="B316" s="152" t="s">
        <v>2891</v>
      </c>
      <c r="C316" s="152" t="s">
        <v>2892</v>
      </c>
      <c r="D316" s="152" t="s">
        <v>2893</v>
      </c>
      <c r="E316" s="152" t="s">
        <v>2893</v>
      </c>
      <c r="F316" s="159" t="s">
        <v>856</v>
      </c>
      <c r="G316" s="159" t="s">
        <v>856</v>
      </c>
      <c r="H316" s="159" t="s">
        <v>856</v>
      </c>
      <c r="I316" s="152">
        <v>198190</v>
      </c>
      <c r="J316" s="152">
        <v>138</v>
      </c>
      <c r="K316" s="152">
        <v>85735</v>
      </c>
      <c r="L316" s="159" t="s">
        <v>856</v>
      </c>
      <c r="M316" s="152" t="s">
        <v>92</v>
      </c>
      <c r="N316" s="152" t="s">
        <v>92</v>
      </c>
      <c r="O316" s="159" t="s">
        <v>856</v>
      </c>
      <c r="P316" s="159" t="s">
        <v>856</v>
      </c>
      <c r="Q316" s="152" t="s">
        <v>92</v>
      </c>
      <c r="R316" s="152" t="s">
        <v>92</v>
      </c>
      <c r="S316" s="159" t="s">
        <v>856</v>
      </c>
      <c r="T316" s="159" t="s">
        <v>856</v>
      </c>
      <c r="U316" s="159" t="s">
        <v>856</v>
      </c>
      <c r="V316" s="152" t="s">
        <v>857</v>
      </c>
      <c r="W316" s="152" t="s">
        <v>858</v>
      </c>
      <c r="X316" s="152" t="s">
        <v>1083</v>
      </c>
      <c r="Y316" s="152">
        <v>0</v>
      </c>
      <c r="Z316" s="152">
        <v>1</v>
      </c>
      <c r="AA316" s="152" t="s">
        <v>92</v>
      </c>
      <c r="AD316" s="152" t="s">
        <v>861</v>
      </c>
      <c r="AG316" s="152" t="s">
        <v>861</v>
      </c>
      <c r="AH316" s="152" t="s">
        <v>861</v>
      </c>
      <c r="AI316" s="152" t="s">
        <v>92</v>
      </c>
      <c r="AJ316" s="152" t="s">
        <v>92</v>
      </c>
      <c r="AL316" s="159" t="s">
        <v>856</v>
      </c>
      <c r="AP316" s="159" t="s">
        <v>856</v>
      </c>
      <c r="AQ316" s="159" t="s">
        <v>856</v>
      </c>
      <c r="AR316" s="159" t="s">
        <v>856</v>
      </c>
      <c r="AS316" s="159" t="s">
        <v>865</v>
      </c>
      <c r="AT316" s="152" t="str">
        <f t="shared" si="25"/>
        <v>VUNC8-020819</v>
      </c>
      <c r="AU316" s="152" t="str">
        <f t="shared" si="26"/>
        <v>DANY EDUARDO CARDONA LOPEZ Y CDÑA</v>
      </c>
      <c r="AV316" s="159" t="s">
        <v>856</v>
      </c>
      <c r="AW316" s="159" t="s">
        <v>856</v>
      </c>
      <c r="AX316" s="159" t="s">
        <v>856</v>
      </c>
      <c r="AY316" s="159" t="s">
        <v>856</v>
      </c>
      <c r="AZ316" s="152" t="s">
        <v>864</v>
      </c>
      <c r="BA316" s="152" t="str">
        <f t="shared" si="12"/>
        <v>L19-547-JM129</v>
      </c>
      <c r="BC316" s="157">
        <v>43766</v>
      </c>
      <c r="BF316" s="152" t="s">
        <v>2894</v>
      </c>
      <c r="BG316" s="159" t="s">
        <v>2895</v>
      </c>
      <c r="BH316" s="152">
        <v>99.34</v>
      </c>
      <c r="BI316" s="152">
        <v>0</v>
      </c>
      <c r="BJ316" s="152">
        <v>0</v>
      </c>
      <c r="BK316" s="152" t="s">
        <v>132</v>
      </c>
      <c r="BL316" s="152">
        <v>99.34</v>
      </c>
      <c r="BM316" s="152">
        <v>815760</v>
      </c>
      <c r="BN316" s="157" t="s">
        <v>1453</v>
      </c>
    </row>
    <row r="317" spans="1:66">
      <c r="A317" s="152" t="s">
        <v>2896</v>
      </c>
      <c r="B317" s="152" t="s">
        <v>2897</v>
      </c>
      <c r="C317" s="152" t="s">
        <v>2898</v>
      </c>
      <c r="D317" s="152" t="s">
        <v>2901</v>
      </c>
      <c r="E317" s="152" t="s">
        <v>1524</v>
      </c>
      <c r="F317" s="152">
        <v>313539</v>
      </c>
      <c r="G317" s="152">
        <v>269</v>
      </c>
      <c r="H317" s="152">
        <v>762</v>
      </c>
      <c r="I317" s="152">
        <v>164942</v>
      </c>
      <c r="J317" s="152">
        <v>105</v>
      </c>
      <c r="K317" s="152">
        <v>62189</v>
      </c>
      <c r="L317" s="159" t="s">
        <v>856</v>
      </c>
      <c r="M317" s="152" t="s">
        <v>92</v>
      </c>
      <c r="N317" s="152" t="s">
        <v>92</v>
      </c>
      <c r="O317" s="159" t="s">
        <v>856</v>
      </c>
      <c r="P317" s="159" t="s">
        <v>856</v>
      </c>
      <c r="Q317" s="152" t="s">
        <v>92</v>
      </c>
      <c r="R317" s="152" t="s">
        <v>92</v>
      </c>
      <c r="S317" s="159" t="s">
        <v>856</v>
      </c>
      <c r="T317" s="159" t="s">
        <v>856</v>
      </c>
      <c r="U317" s="159" t="s">
        <v>856</v>
      </c>
      <c r="V317" s="152" t="s">
        <v>857</v>
      </c>
      <c r="W317" s="152" t="s">
        <v>858</v>
      </c>
      <c r="X317" s="152" t="s">
        <v>1083</v>
      </c>
      <c r="Y317" s="152">
        <v>0</v>
      </c>
      <c r="Z317" s="152">
        <v>1</v>
      </c>
      <c r="AA317" s="152" t="s">
        <v>92</v>
      </c>
      <c r="AD317" s="152" t="s">
        <v>861</v>
      </c>
      <c r="AG317" s="152" t="s">
        <v>861</v>
      </c>
      <c r="AH317" s="152" t="s">
        <v>861</v>
      </c>
      <c r="AI317" s="152" t="s">
        <v>92</v>
      </c>
      <c r="AJ317" s="152" t="s">
        <v>92</v>
      </c>
      <c r="AL317" s="159" t="s">
        <v>856</v>
      </c>
      <c r="AP317" s="159" t="s">
        <v>856</v>
      </c>
      <c r="AQ317" s="159" t="s">
        <v>856</v>
      </c>
      <c r="AR317" s="159" t="s">
        <v>856</v>
      </c>
      <c r="AS317" s="159" t="s">
        <v>865</v>
      </c>
      <c r="AT317" s="152" t="str">
        <f t="shared" si="25"/>
        <v>VUS7-020419</v>
      </c>
      <c r="AU317" s="152" t="str">
        <f t="shared" si="26"/>
        <v>AURA CELINA CABRERA ESTRADA DE SANDOVAL</v>
      </c>
      <c r="AV317" s="159" t="s">
        <v>856</v>
      </c>
      <c r="AW317" s="159" t="s">
        <v>856</v>
      </c>
      <c r="AX317" s="159" t="s">
        <v>856</v>
      </c>
      <c r="AY317" s="159" t="s">
        <v>856</v>
      </c>
      <c r="AZ317" s="152" t="s">
        <v>864</v>
      </c>
      <c r="BA317" s="152" t="str">
        <f t="shared" si="12"/>
        <v>L19-159-MP033</v>
      </c>
      <c r="BC317" s="157">
        <v>43595</v>
      </c>
      <c r="BF317" s="152" t="s">
        <v>2899</v>
      </c>
      <c r="BG317" s="159" t="s">
        <v>2900</v>
      </c>
      <c r="BH317" s="152">
        <v>64.349999999999994</v>
      </c>
      <c r="BI317" s="152">
        <v>0</v>
      </c>
      <c r="BJ317" s="152">
        <v>0</v>
      </c>
      <c r="BK317" s="152" t="s">
        <v>132</v>
      </c>
      <c r="BL317" s="152">
        <v>64.349999999999994</v>
      </c>
      <c r="BM317" s="152">
        <v>721239</v>
      </c>
      <c r="BN317" s="157" t="s">
        <v>1453</v>
      </c>
    </row>
    <row r="318" spans="1:66">
      <c r="A318" s="152" t="s">
        <v>2902</v>
      </c>
      <c r="B318" s="152" t="s">
        <v>2903</v>
      </c>
      <c r="C318" s="152" t="s">
        <v>2904</v>
      </c>
      <c r="D318" s="152" t="s">
        <v>2905</v>
      </c>
      <c r="E318" s="152" t="s">
        <v>2906</v>
      </c>
      <c r="F318" s="152">
        <v>333215</v>
      </c>
      <c r="G318" s="152">
        <v>45</v>
      </c>
      <c r="H318" s="152">
        <v>828</v>
      </c>
      <c r="I318" s="152">
        <v>197443</v>
      </c>
      <c r="J318" s="152">
        <v>437</v>
      </c>
      <c r="K318" s="152">
        <v>85130</v>
      </c>
      <c r="L318" s="159" t="s">
        <v>856</v>
      </c>
      <c r="M318" s="152" t="s">
        <v>92</v>
      </c>
      <c r="N318" s="152" t="s">
        <v>92</v>
      </c>
      <c r="O318" s="159" t="s">
        <v>856</v>
      </c>
      <c r="P318" s="159" t="s">
        <v>856</v>
      </c>
      <c r="Q318" s="152" t="s">
        <v>92</v>
      </c>
      <c r="R318" s="152" t="s">
        <v>92</v>
      </c>
      <c r="S318" s="159" t="s">
        <v>856</v>
      </c>
      <c r="T318" s="159" t="s">
        <v>856</v>
      </c>
      <c r="U318" s="159" t="s">
        <v>856</v>
      </c>
      <c r="V318" s="152" t="s">
        <v>857</v>
      </c>
      <c r="W318" s="152" t="s">
        <v>858</v>
      </c>
      <c r="X318" s="152" t="s">
        <v>1083</v>
      </c>
      <c r="Y318" s="152">
        <v>0</v>
      </c>
      <c r="Z318" s="152">
        <v>1</v>
      </c>
      <c r="AA318" s="152" t="s">
        <v>92</v>
      </c>
      <c r="AD318" s="152" t="s">
        <v>861</v>
      </c>
      <c r="AG318" s="152" t="s">
        <v>861</v>
      </c>
      <c r="AH318" s="152" t="s">
        <v>861</v>
      </c>
      <c r="AI318" s="152" t="s">
        <v>92</v>
      </c>
      <c r="AJ318" s="152" t="s">
        <v>92</v>
      </c>
      <c r="AL318" s="159" t="s">
        <v>856</v>
      </c>
      <c r="AP318" s="159" t="s">
        <v>856</v>
      </c>
      <c r="AQ318" s="159" t="s">
        <v>856</v>
      </c>
      <c r="AR318" s="159" t="s">
        <v>856</v>
      </c>
      <c r="AS318" s="159" t="s">
        <v>865</v>
      </c>
      <c r="AT318" s="152" t="str">
        <f t="shared" si="25"/>
        <v>VUV6-010519</v>
      </c>
      <c r="AU318" s="152" t="str">
        <f t="shared" si="26"/>
        <v>RIGOBERTO VASQUEZ GONZALEZ</v>
      </c>
      <c r="AV318" s="159" t="s">
        <v>856</v>
      </c>
      <c r="AW318" s="159" t="s">
        <v>856</v>
      </c>
      <c r="AX318" s="159" t="s">
        <v>856</v>
      </c>
      <c r="AY318" s="159" t="s">
        <v>856</v>
      </c>
      <c r="AZ318" s="152" t="s">
        <v>864</v>
      </c>
      <c r="BA318" s="152" t="str">
        <f t="shared" si="12"/>
        <v>L19-481-MP072</v>
      </c>
      <c r="BC318" s="157">
        <v>43726</v>
      </c>
      <c r="BF318" s="152" t="s">
        <v>2907</v>
      </c>
      <c r="BG318" s="159" t="s">
        <v>2908</v>
      </c>
      <c r="BH318" s="152">
        <v>240.17</v>
      </c>
      <c r="BI318" s="152">
        <v>0</v>
      </c>
      <c r="BJ318" s="152">
        <v>0</v>
      </c>
      <c r="BK318" s="152" t="s">
        <v>132</v>
      </c>
      <c r="BL318" s="152">
        <v>240.17</v>
      </c>
      <c r="BM318" s="152">
        <v>803739</v>
      </c>
      <c r="BN318" s="157" t="s">
        <v>1453</v>
      </c>
    </row>
    <row r="319" spans="1:66">
      <c r="A319" s="152" t="s">
        <v>2909</v>
      </c>
      <c r="B319" s="152" t="s">
        <v>2910</v>
      </c>
      <c r="C319" s="152" t="s">
        <v>2058</v>
      </c>
      <c r="D319" s="152" t="s">
        <v>2911</v>
      </c>
      <c r="E319" s="152" t="s">
        <v>2911</v>
      </c>
      <c r="F319" s="152">
        <v>8140</v>
      </c>
      <c r="G319" s="152">
        <v>140</v>
      </c>
      <c r="H319" s="152" t="s">
        <v>2912</v>
      </c>
      <c r="I319" s="152">
        <v>198673</v>
      </c>
      <c r="J319" s="152">
        <v>108</v>
      </c>
      <c r="K319" s="152">
        <v>86221</v>
      </c>
      <c r="L319" s="159" t="s">
        <v>1412</v>
      </c>
      <c r="M319" s="152" t="s">
        <v>92</v>
      </c>
      <c r="N319" s="152" t="s">
        <v>883</v>
      </c>
      <c r="O319" s="159">
        <v>4534</v>
      </c>
      <c r="P319" s="159" t="s">
        <v>1412</v>
      </c>
      <c r="Q319" s="152" t="s">
        <v>92</v>
      </c>
      <c r="R319" s="152" t="s">
        <v>883</v>
      </c>
      <c r="S319" s="159">
        <v>4534</v>
      </c>
      <c r="T319" s="159" t="s">
        <v>856</v>
      </c>
      <c r="U319" s="159" t="s">
        <v>856</v>
      </c>
      <c r="V319" s="152" t="s">
        <v>857</v>
      </c>
      <c r="W319" s="152" t="s">
        <v>1268</v>
      </c>
      <c r="X319" s="152" t="s">
        <v>1083</v>
      </c>
      <c r="Y319" s="152">
        <v>0</v>
      </c>
      <c r="Z319" s="152">
        <v>1</v>
      </c>
      <c r="AA319" s="152" t="s">
        <v>92</v>
      </c>
      <c r="AB319" s="152">
        <v>84.61</v>
      </c>
      <c r="AC319" s="152">
        <v>2</v>
      </c>
      <c r="AD319" s="152" t="s">
        <v>861</v>
      </c>
      <c r="AE319" s="152">
        <v>84.61</v>
      </c>
      <c r="AF319" s="152">
        <v>0</v>
      </c>
      <c r="AG319" s="152" t="s">
        <v>861</v>
      </c>
      <c r="AH319" s="152" t="s">
        <v>861</v>
      </c>
      <c r="AI319" s="152" t="s">
        <v>92</v>
      </c>
      <c r="AJ319" s="152" t="s">
        <v>92</v>
      </c>
      <c r="AK319" s="152" t="s">
        <v>862</v>
      </c>
      <c r="AL319" s="159" t="s">
        <v>856</v>
      </c>
      <c r="AP319" s="159" t="s">
        <v>856</v>
      </c>
      <c r="AQ319" s="159" t="s">
        <v>856</v>
      </c>
      <c r="AR319" s="159" t="s">
        <v>863</v>
      </c>
      <c r="AS319" s="159" t="s">
        <v>865</v>
      </c>
      <c r="AT319" s="152" t="str">
        <f t="shared" si="25"/>
        <v>VUNM10-120819</v>
      </c>
      <c r="AU319" s="152" t="str">
        <f t="shared" si="26"/>
        <v>RAUL ANTONIO MORALES BATHEN Y CDÑOS</v>
      </c>
      <c r="AV319" s="159">
        <v>1066.0899999999999</v>
      </c>
      <c r="AW319" s="159">
        <v>815836</v>
      </c>
      <c r="AX319" s="159">
        <v>30</v>
      </c>
      <c r="AY319" s="159">
        <v>815838</v>
      </c>
      <c r="AZ319" s="152" t="s">
        <v>864</v>
      </c>
      <c r="BA319" s="152" t="str">
        <f t="shared" si="12"/>
        <v>L19-677-SP162</v>
      </c>
      <c r="BB319" s="152">
        <v>24</v>
      </c>
      <c r="BC319" s="157">
        <v>43766</v>
      </c>
      <c r="BD319" s="157">
        <v>44132</v>
      </c>
      <c r="BE319" s="158">
        <v>211525</v>
      </c>
      <c r="BF319" s="152" t="s">
        <v>2913</v>
      </c>
      <c r="BG319" s="159" t="s">
        <v>875</v>
      </c>
      <c r="BH319" s="152">
        <v>84.61</v>
      </c>
      <c r="BI319" s="152">
        <v>0</v>
      </c>
      <c r="BJ319" s="152">
        <v>0</v>
      </c>
      <c r="BK319" s="152" t="s">
        <v>132</v>
      </c>
      <c r="BL319" s="152">
        <v>84.61</v>
      </c>
      <c r="BM319" s="152">
        <v>815837</v>
      </c>
      <c r="BN319" s="157" t="s">
        <v>1453</v>
      </c>
    </row>
    <row r="320" spans="1:66">
      <c r="A320" s="152" t="s">
        <v>2914</v>
      </c>
      <c r="B320" s="152" t="s">
        <v>2915</v>
      </c>
      <c r="C320" s="152" t="s">
        <v>2058</v>
      </c>
      <c r="D320" s="152" t="s">
        <v>2916</v>
      </c>
      <c r="E320" s="152" t="s">
        <v>2916</v>
      </c>
      <c r="F320" s="152">
        <v>8138</v>
      </c>
      <c r="G320" s="152">
        <v>138</v>
      </c>
      <c r="H320" s="152" t="s">
        <v>2912</v>
      </c>
      <c r="I320" s="152">
        <v>198678</v>
      </c>
      <c r="J320" s="152">
        <v>108</v>
      </c>
      <c r="K320" s="152">
        <v>86227</v>
      </c>
      <c r="L320" s="159" t="s">
        <v>1412</v>
      </c>
      <c r="M320" s="152" t="s">
        <v>92</v>
      </c>
      <c r="N320" s="152" t="s">
        <v>883</v>
      </c>
      <c r="O320" s="159">
        <v>4534</v>
      </c>
      <c r="P320" s="159" t="s">
        <v>1412</v>
      </c>
      <c r="Q320" s="152" t="s">
        <v>92</v>
      </c>
      <c r="R320" s="152" t="s">
        <v>883</v>
      </c>
      <c r="S320" s="159">
        <v>4534</v>
      </c>
      <c r="T320" s="159" t="s">
        <v>856</v>
      </c>
      <c r="U320" s="159" t="s">
        <v>856</v>
      </c>
      <c r="V320" s="152" t="s">
        <v>857</v>
      </c>
      <c r="W320" s="152" t="s">
        <v>1268</v>
      </c>
      <c r="X320" s="152" t="s">
        <v>1083</v>
      </c>
      <c r="Y320" s="152">
        <v>0</v>
      </c>
      <c r="Z320" s="152">
        <v>1</v>
      </c>
      <c r="AA320" s="152" t="s">
        <v>92</v>
      </c>
      <c r="AB320" s="152">
        <v>84.61</v>
      </c>
      <c r="AC320" s="152">
        <v>2</v>
      </c>
      <c r="AD320" s="152" t="s">
        <v>861</v>
      </c>
      <c r="AE320" s="152">
        <v>84.61</v>
      </c>
      <c r="AF320" s="152">
        <v>0</v>
      </c>
      <c r="AG320" s="152" t="s">
        <v>861</v>
      </c>
      <c r="AH320" s="152" t="s">
        <v>861</v>
      </c>
      <c r="AI320" s="152" t="s">
        <v>92</v>
      </c>
      <c r="AJ320" s="152" t="s">
        <v>92</v>
      </c>
      <c r="AK320" s="152" t="s">
        <v>862</v>
      </c>
      <c r="AL320" s="159" t="s">
        <v>856</v>
      </c>
      <c r="AP320" s="159" t="s">
        <v>856</v>
      </c>
      <c r="AQ320" s="159" t="s">
        <v>856</v>
      </c>
      <c r="AR320" s="159" t="s">
        <v>863</v>
      </c>
      <c r="AS320" s="159" t="s">
        <v>865</v>
      </c>
      <c r="AT320" s="152" t="str">
        <f t="shared" si="25"/>
        <v>VUNM10-100819</v>
      </c>
      <c r="AU320" s="152" t="str">
        <f t="shared" si="26"/>
        <v>RAUL ANTONIO MORALES BATHEN Y CDÑOS</v>
      </c>
      <c r="AV320" s="159">
        <v>1066.0899999999999</v>
      </c>
      <c r="AW320" s="159">
        <v>815842</v>
      </c>
      <c r="AX320" s="159">
        <v>30</v>
      </c>
      <c r="AY320" s="159">
        <v>815844</v>
      </c>
      <c r="AZ320" s="152" t="s">
        <v>864</v>
      </c>
      <c r="BA320" s="152" t="str">
        <f t="shared" si="12"/>
        <v>L19-675-SP160</v>
      </c>
      <c r="BB320" s="152">
        <v>24</v>
      </c>
      <c r="BC320" s="157">
        <v>43766</v>
      </c>
      <c r="BD320" s="157">
        <v>44132</v>
      </c>
      <c r="BE320" s="158">
        <v>211525</v>
      </c>
      <c r="BF320" s="152" t="s">
        <v>2917</v>
      </c>
      <c r="BG320" s="159" t="s">
        <v>875</v>
      </c>
      <c r="BH320" s="152">
        <v>84.61</v>
      </c>
      <c r="BI320" s="152">
        <v>0</v>
      </c>
      <c r="BJ320" s="152">
        <v>0</v>
      </c>
      <c r="BK320" s="152" t="s">
        <v>132</v>
      </c>
      <c r="BL320" s="152">
        <v>84.61</v>
      </c>
      <c r="BM320" s="152">
        <v>815843</v>
      </c>
      <c r="BN320" s="157" t="s">
        <v>1453</v>
      </c>
    </row>
    <row r="321" spans="1:66">
      <c r="A321" s="152" t="s">
        <v>2918</v>
      </c>
      <c r="B321" s="152" t="s">
        <v>2919</v>
      </c>
      <c r="C321" s="152" t="s">
        <v>2058</v>
      </c>
      <c r="D321" s="152" t="s">
        <v>2920</v>
      </c>
      <c r="E321" s="152" t="s">
        <v>2920</v>
      </c>
      <c r="F321" s="152">
        <v>8142</v>
      </c>
      <c r="G321" s="152">
        <v>142</v>
      </c>
      <c r="H321" s="152" t="s">
        <v>2912</v>
      </c>
      <c r="I321" s="152">
        <v>198671</v>
      </c>
      <c r="J321" s="152">
        <v>108</v>
      </c>
      <c r="K321" s="152">
        <v>86219</v>
      </c>
      <c r="L321" s="159" t="s">
        <v>1412</v>
      </c>
      <c r="M321" s="152" t="s">
        <v>92</v>
      </c>
      <c r="N321" s="152" t="s">
        <v>883</v>
      </c>
      <c r="O321" s="159">
        <v>4534</v>
      </c>
      <c r="P321" s="159" t="s">
        <v>1412</v>
      </c>
      <c r="Q321" s="152" t="s">
        <v>92</v>
      </c>
      <c r="R321" s="152" t="s">
        <v>883</v>
      </c>
      <c r="S321" s="159">
        <v>4534</v>
      </c>
      <c r="T321" s="159" t="s">
        <v>856</v>
      </c>
      <c r="U321" s="159" t="s">
        <v>856</v>
      </c>
      <c r="V321" s="152" t="s">
        <v>857</v>
      </c>
      <c r="W321" s="152" t="s">
        <v>1268</v>
      </c>
      <c r="X321" s="152" t="s">
        <v>1083</v>
      </c>
      <c r="Y321" s="152">
        <v>0</v>
      </c>
      <c r="Z321" s="152">
        <v>1</v>
      </c>
      <c r="AA321" s="152" t="s">
        <v>92</v>
      </c>
      <c r="AB321" s="152">
        <v>84.61</v>
      </c>
      <c r="AC321" s="152">
        <v>2</v>
      </c>
      <c r="AD321" s="152" t="s">
        <v>861</v>
      </c>
      <c r="AE321" s="152">
        <v>84.61</v>
      </c>
      <c r="AF321" s="152">
        <v>0</v>
      </c>
      <c r="AG321" s="152" t="s">
        <v>861</v>
      </c>
      <c r="AH321" s="152" t="s">
        <v>861</v>
      </c>
      <c r="AI321" s="152" t="s">
        <v>92</v>
      </c>
      <c r="AJ321" s="152" t="s">
        <v>92</v>
      </c>
      <c r="AK321" s="152" t="s">
        <v>862</v>
      </c>
      <c r="AL321" s="159" t="s">
        <v>856</v>
      </c>
      <c r="AP321" s="159" t="s">
        <v>856</v>
      </c>
      <c r="AQ321" s="159" t="s">
        <v>856</v>
      </c>
      <c r="AR321" s="159" t="s">
        <v>863</v>
      </c>
      <c r="AS321" s="159" t="s">
        <v>865</v>
      </c>
      <c r="AT321" s="152" t="str">
        <f t="shared" si="25"/>
        <v>VUNM10-130819</v>
      </c>
      <c r="AU321" s="152" t="str">
        <f t="shared" si="26"/>
        <v>RAUL ANTONIO MORALES BATHEN Y CDÑOS</v>
      </c>
      <c r="AV321" s="159">
        <v>1066.0899999999999</v>
      </c>
      <c r="AW321" s="159">
        <v>815833</v>
      </c>
      <c r="AX321" s="159">
        <v>30</v>
      </c>
      <c r="AY321" s="159">
        <v>815835</v>
      </c>
      <c r="AZ321" s="152" t="s">
        <v>864</v>
      </c>
      <c r="BA321" s="152" t="str">
        <f t="shared" si="12"/>
        <v>L19-678-SP163</v>
      </c>
      <c r="BB321" s="152">
        <v>24</v>
      </c>
      <c r="BC321" s="157">
        <v>43766</v>
      </c>
      <c r="BD321" s="157">
        <v>44132</v>
      </c>
      <c r="BE321" s="158">
        <v>211525</v>
      </c>
      <c r="BF321" s="152" t="s">
        <v>2921</v>
      </c>
      <c r="BG321" s="159" t="s">
        <v>875</v>
      </c>
      <c r="BH321" s="152">
        <v>84.61</v>
      </c>
      <c r="BI321" s="152">
        <v>0</v>
      </c>
      <c r="BJ321" s="152">
        <v>0</v>
      </c>
      <c r="BK321" s="152" t="s">
        <v>132</v>
      </c>
      <c r="BL321" s="152">
        <v>84.61</v>
      </c>
      <c r="BM321" s="152">
        <v>815834</v>
      </c>
      <c r="BN321" s="157" t="s">
        <v>1453</v>
      </c>
    </row>
    <row r="322" spans="1:66">
      <c r="A322" s="152" t="s">
        <v>2922</v>
      </c>
      <c r="B322" s="152" t="s">
        <v>2923</v>
      </c>
      <c r="C322" s="152" t="s">
        <v>2058</v>
      </c>
      <c r="D322" s="152" t="s">
        <v>2924</v>
      </c>
      <c r="E322" s="152" t="s">
        <v>2924</v>
      </c>
      <c r="F322" s="152">
        <v>8143</v>
      </c>
      <c r="G322" s="152">
        <v>143</v>
      </c>
      <c r="H322" s="152" t="s">
        <v>2912</v>
      </c>
      <c r="I322" s="152">
        <v>198670</v>
      </c>
      <c r="J322" s="152">
        <v>108</v>
      </c>
      <c r="K322" s="152">
        <v>86218</v>
      </c>
      <c r="L322" s="159" t="s">
        <v>1412</v>
      </c>
      <c r="M322" s="152" t="s">
        <v>92</v>
      </c>
      <c r="N322" s="152" t="s">
        <v>883</v>
      </c>
      <c r="O322" s="159">
        <v>4534</v>
      </c>
      <c r="P322" s="159" t="s">
        <v>1412</v>
      </c>
      <c r="Q322" s="152" t="s">
        <v>92</v>
      </c>
      <c r="R322" s="152" t="s">
        <v>883</v>
      </c>
      <c r="S322" s="159">
        <v>4534</v>
      </c>
      <c r="T322" s="159" t="s">
        <v>856</v>
      </c>
      <c r="U322" s="159" t="s">
        <v>856</v>
      </c>
      <c r="V322" s="152" t="s">
        <v>857</v>
      </c>
      <c r="W322" s="152" t="s">
        <v>1268</v>
      </c>
      <c r="X322" s="152" t="s">
        <v>1083</v>
      </c>
      <c r="Y322" s="152">
        <v>0</v>
      </c>
      <c r="Z322" s="152">
        <v>1</v>
      </c>
      <c r="AA322" s="152" t="s">
        <v>92</v>
      </c>
      <c r="AB322" s="152">
        <v>84.61</v>
      </c>
      <c r="AC322" s="152">
        <v>2</v>
      </c>
      <c r="AD322" s="152" t="s">
        <v>861</v>
      </c>
      <c r="AE322" s="152">
        <v>84.61</v>
      </c>
      <c r="AF322" s="152">
        <v>0</v>
      </c>
      <c r="AG322" s="152" t="s">
        <v>861</v>
      </c>
      <c r="AH322" s="152" t="s">
        <v>861</v>
      </c>
      <c r="AI322" s="152" t="s">
        <v>92</v>
      </c>
      <c r="AJ322" s="152" t="s">
        <v>92</v>
      </c>
      <c r="AK322" s="152" t="s">
        <v>862</v>
      </c>
      <c r="AL322" s="159" t="s">
        <v>856</v>
      </c>
      <c r="AP322" s="159" t="s">
        <v>856</v>
      </c>
      <c r="AQ322" s="159" t="s">
        <v>856</v>
      </c>
      <c r="AR322" s="159" t="s">
        <v>863</v>
      </c>
      <c r="AS322" s="159" t="s">
        <v>865</v>
      </c>
      <c r="AT322" s="152" t="str">
        <f t="shared" si="25"/>
        <v>VUNM10-140819</v>
      </c>
      <c r="AU322" s="152" t="str">
        <f t="shared" si="26"/>
        <v>RAUL ANTONIO MORALES BATHEN Y CDÑOS</v>
      </c>
      <c r="AV322" s="159">
        <v>1066.0899999999999</v>
      </c>
      <c r="AW322" s="159">
        <v>815830</v>
      </c>
      <c r="AX322" s="159">
        <v>30</v>
      </c>
      <c r="AY322" s="159">
        <v>815832</v>
      </c>
      <c r="AZ322" s="152" t="s">
        <v>864</v>
      </c>
      <c r="BA322" s="152" t="str">
        <f t="shared" si="12"/>
        <v>L19-679-SP164</v>
      </c>
      <c r="BB322" s="152">
        <v>24</v>
      </c>
      <c r="BC322" s="157">
        <v>43766</v>
      </c>
      <c r="BD322" s="157">
        <v>44132</v>
      </c>
      <c r="BE322" s="158">
        <v>211525</v>
      </c>
      <c r="BF322" s="152" t="s">
        <v>2925</v>
      </c>
      <c r="BG322" s="159" t="s">
        <v>875</v>
      </c>
      <c r="BH322" s="152">
        <v>84.61</v>
      </c>
      <c r="BI322" s="152">
        <v>0</v>
      </c>
      <c r="BJ322" s="152">
        <v>0</v>
      </c>
      <c r="BK322" s="152" t="s">
        <v>132</v>
      </c>
      <c r="BL322" s="152">
        <v>84.61</v>
      </c>
      <c r="BM322" s="152">
        <v>815831</v>
      </c>
      <c r="BN322" s="157" t="s">
        <v>1453</v>
      </c>
    </row>
    <row r="323" spans="1:66">
      <c r="A323" s="152" t="s">
        <v>2926</v>
      </c>
      <c r="B323" s="152" t="s">
        <v>2927</v>
      </c>
      <c r="C323" s="152" t="s">
        <v>2058</v>
      </c>
      <c r="D323" s="152" t="s">
        <v>2928</v>
      </c>
      <c r="E323" s="152" t="s">
        <v>2928</v>
      </c>
      <c r="F323" s="152">
        <v>8141</v>
      </c>
      <c r="G323" s="152">
        <v>141</v>
      </c>
      <c r="H323" s="152" t="s">
        <v>2912</v>
      </c>
      <c r="I323" s="152">
        <v>198672</v>
      </c>
      <c r="J323" s="152">
        <v>108</v>
      </c>
      <c r="K323" s="152">
        <v>86220</v>
      </c>
      <c r="L323" s="159" t="s">
        <v>1412</v>
      </c>
      <c r="M323" s="152" t="s">
        <v>92</v>
      </c>
      <c r="N323" s="152" t="s">
        <v>883</v>
      </c>
      <c r="O323" s="159">
        <v>4534</v>
      </c>
      <c r="P323" s="159" t="s">
        <v>1412</v>
      </c>
      <c r="Q323" s="152" t="s">
        <v>92</v>
      </c>
      <c r="R323" s="152" t="s">
        <v>883</v>
      </c>
      <c r="S323" s="159">
        <v>4534</v>
      </c>
      <c r="T323" s="159" t="s">
        <v>856</v>
      </c>
      <c r="U323" s="159" t="s">
        <v>856</v>
      </c>
      <c r="V323" s="152" t="s">
        <v>857</v>
      </c>
      <c r="W323" s="152" t="s">
        <v>1268</v>
      </c>
      <c r="X323" s="152" t="s">
        <v>1083</v>
      </c>
      <c r="Y323" s="152">
        <v>0</v>
      </c>
      <c r="Z323" s="152">
        <v>1</v>
      </c>
      <c r="AA323" s="152" t="s">
        <v>92</v>
      </c>
      <c r="AB323" s="152">
        <v>84.61</v>
      </c>
      <c r="AC323" s="152">
        <v>2</v>
      </c>
      <c r="AD323" s="152" t="s">
        <v>861</v>
      </c>
      <c r="AE323" s="152">
        <v>84.61</v>
      </c>
      <c r="AF323" s="152">
        <v>0</v>
      </c>
      <c r="AG323" s="152" t="s">
        <v>861</v>
      </c>
      <c r="AH323" s="152" t="s">
        <v>861</v>
      </c>
      <c r="AI323" s="152" t="s">
        <v>92</v>
      </c>
      <c r="AJ323" s="152" t="s">
        <v>92</v>
      </c>
      <c r="AK323" s="152" t="s">
        <v>862</v>
      </c>
      <c r="AL323" s="159" t="s">
        <v>856</v>
      </c>
      <c r="AP323" s="159" t="s">
        <v>856</v>
      </c>
      <c r="AQ323" s="159" t="s">
        <v>856</v>
      </c>
      <c r="AR323" s="159" t="s">
        <v>863</v>
      </c>
      <c r="AS323" s="159" t="s">
        <v>865</v>
      </c>
      <c r="AT323" s="152" t="str">
        <f t="shared" si="25"/>
        <v>VUNM10-150819</v>
      </c>
      <c r="AU323" s="152" t="str">
        <f t="shared" si="26"/>
        <v>RAUL ANTONIO MORALES BATHEN Y CDÑOS</v>
      </c>
      <c r="AV323" s="159">
        <v>1066.0899999999999</v>
      </c>
      <c r="AW323" s="159">
        <v>815827</v>
      </c>
      <c r="AX323" s="159">
        <v>30</v>
      </c>
      <c r="AY323" s="159">
        <v>815829</v>
      </c>
      <c r="AZ323" s="152" t="s">
        <v>864</v>
      </c>
      <c r="BA323" s="152" t="str">
        <f t="shared" si="12"/>
        <v>L19-680-SP165</v>
      </c>
      <c r="BB323" s="152">
        <v>24</v>
      </c>
      <c r="BC323" s="157">
        <v>43766</v>
      </c>
      <c r="BD323" s="157">
        <v>44132</v>
      </c>
      <c r="BE323" s="158">
        <v>211525</v>
      </c>
      <c r="BF323" s="152" t="s">
        <v>2929</v>
      </c>
      <c r="BG323" s="159" t="s">
        <v>875</v>
      </c>
      <c r="BH323" s="152">
        <v>84.61</v>
      </c>
      <c r="BI323" s="152">
        <v>0</v>
      </c>
      <c r="BJ323" s="152">
        <v>0</v>
      </c>
      <c r="BK323" s="152" t="s">
        <v>132</v>
      </c>
      <c r="BL323" s="152">
        <v>84.61</v>
      </c>
      <c r="BM323" s="152">
        <v>815828</v>
      </c>
      <c r="BN323" s="157" t="s">
        <v>1453</v>
      </c>
    </row>
    <row r="324" spans="1:66">
      <c r="A324" s="152" t="s">
        <v>2930</v>
      </c>
      <c r="B324" s="152" t="s">
        <v>2931</v>
      </c>
      <c r="C324" s="152" t="s">
        <v>2932</v>
      </c>
      <c r="D324" s="152" t="s">
        <v>2933</v>
      </c>
      <c r="E324" s="152" t="s">
        <v>2933</v>
      </c>
      <c r="F324" s="152">
        <v>64010</v>
      </c>
      <c r="G324" s="152">
        <v>10</v>
      </c>
      <c r="H324" s="152">
        <v>312</v>
      </c>
      <c r="I324" s="152">
        <v>6054</v>
      </c>
      <c r="J324" s="152">
        <v>20962.150000000001</v>
      </c>
      <c r="K324" s="152">
        <v>73262</v>
      </c>
      <c r="L324" s="159" t="s">
        <v>2934</v>
      </c>
      <c r="M324" s="152" t="s">
        <v>92</v>
      </c>
      <c r="N324" s="152" t="s">
        <v>883</v>
      </c>
      <c r="O324" s="159">
        <v>1524</v>
      </c>
      <c r="P324" s="159" t="s">
        <v>2934</v>
      </c>
      <c r="Q324" s="152" t="s">
        <v>92</v>
      </c>
      <c r="R324" s="152" t="s">
        <v>883</v>
      </c>
      <c r="S324" s="159">
        <v>1524</v>
      </c>
      <c r="T324" s="159" t="s">
        <v>2935</v>
      </c>
      <c r="U324" s="152" t="s">
        <v>2936</v>
      </c>
      <c r="V324" s="152" t="s">
        <v>2937</v>
      </c>
      <c r="W324" s="152" t="s">
        <v>2938</v>
      </c>
      <c r="X324" s="152" t="s">
        <v>2939</v>
      </c>
      <c r="Y324" s="152">
        <v>1148.4000000000001</v>
      </c>
      <c r="Z324" s="152">
        <v>0</v>
      </c>
      <c r="AA324" s="152" t="s">
        <v>92</v>
      </c>
      <c r="AB324" s="152">
        <v>0</v>
      </c>
      <c r="AC324" s="152">
        <v>1</v>
      </c>
      <c r="AD324" s="152" t="s">
        <v>861</v>
      </c>
      <c r="AE324" s="152">
        <v>0</v>
      </c>
      <c r="AF324" s="152">
        <v>0</v>
      </c>
      <c r="AG324" s="152" t="s">
        <v>861</v>
      </c>
      <c r="AH324" s="152" t="s">
        <v>861</v>
      </c>
      <c r="AI324" s="152" t="s">
        <v>92</v>
      </c>
      <c r="AJ324" s="152" t="s">
        <v>92</v>
      </c>
      <c r="AK324" s="152" t="s">
        <v>884</v>
      </c>
      <c r="AL324" s="159" t="s">
        <v>856</v>
      </c>
      <c r="AP324" s="159" t="s">
        <v>856</v>
      </c>
      <c r="AQ324" s="159" t="s">
        <v>856</v>
      </c>
      <c r="AR324" s="159" t="s">
        <v>2224</v>
      </c>
      <c r="AS324" s="159">
        <v>1645.76</v>
      </c>
      <c r="AT324" s="152" t="str">
        <f t="shared" si="25"/>
        <v>VUNI9-011019</v>
      </c>
      <c r="AU324" s="152" t="str">
        <f t="shared" si="26"/>
        <v>INSTITUTO CATOLICO DE CAPACITACION</v>
      </c>
      <c r="AV324" s="159">
        <v>11700</v>
      </c>
      <c r="AW324" s="159" t="s">
        <v>2080</v>
      </c>
      <c r="AX324" s="159">
        <v>1574.6</v>
      </c>
      <c r="AY324" s="159" t="s">
        <v>2080</v>
      </c>
      <c r="AZ324" s="152" t="s">
        <v>864</v>
      </c>
      <c r="BA324" s="152" t="str">
        <f t="shared" si="12"/>
        <v>L20-353-MP012</v>
      </c>
      <c r="BB324" s="152">
        <v>12</v>
      </c>
      <c r="BC324" s="157">
        <v>44067</v>
      </c>
      <c r="BD324" s="157">
        <v>44251</v>
      </c>
      <c r="BE324" s="158">
        <v>466560</v>
      </c>
      <c r="BG324" s="159" t="s">
        <v>2033</v>
      </c>
      <c r="BK324" s="152" t="s">
        <v>132</v>
      </c>
      <c r="BN324" s="157" t="s">
        <v>1453</v>
      </c>
    </row>
    <row r="325" spans="1:66">
      <c r="A325" s="152" t="s">
        <v>2940</v>
      </c>
      <c r="B325" s="152" t="s">
        <v>2941</v>
      </c>
      <c r="C325" s="152" t="s">
        <v>2942</v>
      </c>
      <c r="D325" s="152" t="s">
        <v>2943</v>
      </c>
      <c r="E325" s="152" t="s">
        <v>2943</v>
      </c>
      <c r="F325" s="152">
        <v>68115</v>
      </c>
      <c r="G325" s="152">
        <v>141</v>
      </c>
      <c r="H325" s="152">
        <v>324</v>
      </c>
      <c r="I325" s="152">
        <v>6053</v>
      </c>
      <c r="J325" s="152">
        <v>13677.55</v>
      </c>
      <c r="K325" s="152">
        <v>84774</v>
      </c>
      <c r="L325" s="159" t="s">
        <v>2934</v>
      </c>
      <c r="M325" s="152" t="s">
        <v>92</v>
      </c>
      <c r="N325" s="152" t="s">
        <v>883</v>
      </c>
      <c r="O325" s="159">
        <v>1524</v>
      </c>
      <c r="P325" s="159" t="s">
        <v>2934</v>
      </c>
      <c r="Q325" s="152" t="s">
        <v>92</v>
      </c>
      <c r="R325" s="152" t="s">
        <v>883</v>
      </c>
      <c r="S325" s="159">
        <v>1524</v>
      </c>
      <c r="T325" s="159" t="s">
        <v>2935</v>
      </c>
      <c r="U325" s="152" t="s">
        <v>2936</v>
      </c>
      <c r="V325" s="152" t="s">
        <v>2937</v>
      </c>
      <c r="W325" s="152" t="s">
        <v>2944</v>
      </c>
      <c r="X325" s="152" t="s">
        <v>2945</v>
      </c>
      <c r="Y325" s="152">
        <v>930.57</v>
      </c>
      <c r="Z325" s="152">
        <v>0</v>
      </c>
      <c r="AA325" s="152" t="s">
        <v>92</v>
      </c>
      <c r="AB325" s="152">
        <v>0</v>
      </c>
      <c r="AC325" s="152">
        <v>1</v>
      </c>
      <c r="AD325" s="152" t="s">
        <v>861</v>
      </c>
      <c r="AE325" s="152">
        <v>0</v>
      </c>
      <c r="AF325" s="152">
        <v>0</v>
      </c>
      <c r="AG325" s="152" t="s">
        <v>861</v>
      </c>
      <c r="AH325" s="152" t="s">
        <v>861</v>
      </c>
      <c r="AI325" s="152" t="s">
        <v>92</v>
      </c>
      <c r="AJ325" s="152" t="s">
        <v>92</v>
      </c>
      <c r="AK325" s="152" t="s">
        <v>884</v>
      </c>
      <c r="AL325" s="159" t="s">
        <v>856</v>
      </c>
      <c r="AP325" s="159" t="s">
        <v>856</v>
      </c>
      <c r="AQ325" s="159" t="s">
        <v>856</v>
      </c>
      <c r="AR325" s="159" t="s">
        <v>2224</v>
      </c>
      <c r="AS325" s="159">
        <v>1645.76</v>
      </c>
      <c r="AT325" s="152" t="str">
        <f t="shared" si="25"/>
        <v>VUNI9-021019</v>
      </c>
      <c r="AU325" s="152" t="str">
        <f t="shared" si="26"/>
        <v>IGLESIA CATOLICA DE GUATEMALA ARQ DE QUETGO.</v>
      </c>
      <c r="AV325" s="159">
        <v>9438.18</v>
      </c>
      <c r="AW325" s="159" t="s">
        <v>2080</v>
      </c>
      <c r="AX325" s="159">
        <v>441.75</v>
      </c>
      <c r="AY325" s="159" t="s">
        <v>2080</v>
      </c>
      <c r="AZ325" s="152" t="s">
        <v>864</v>
      </c>
      <c r="BA325" s="152" t="str">
        <f t="shared" si="12"/>
        <v>L20-352-MP013</v>
      </c>
      <c r="BB325" s="152">
        <v>12</v>
      </c>
      <c r="BC325" s="157">
        <v>44067</v>
      </c>
      <c r="BD325" s="157">
        <v>44251</v>
      </c>
      <c r="BE325" s="158">
        <v>376644</v>
      </c>
      <c r="BG325" s="159" t="s">
        <v>2033</v>
      </c>
      <c r="BK325" s="152" t="s">
        <v>132</v>
      </c>
      <c r="BN325" s="157" t="s">
        <v>1453</v>
      </c>
    </row>
    <row r="326" spans="1:66">
      <c r="A326" s="152" t="s">
        <v>2946</v>
      </c>
      <c r="B326" s="152" t="s">
        <v>2947</v>
      </c>
      <c r="C326" s="152" t="s">
        <v>1120</v>
      </c>
      <c r="D326" s="152" t="s">
        <v>2948</v>
      </c>
      <c r="E326" s="152" t="s">
        <v>2948</v>
      </c>
      <c r="F326" s="159" t="s">
        <v>856</v>
      </c>
      <c r="G326" s="159" t="s">
        <v>856</v>
      </c>
      <c r="H326" s="159" t="s">
        <v>856</v>
      </c>
      <c r="I326" s="152">
        <v>198856</v>
      </c>
      <c r="J326" s="152">
        <v>135</v>
      </c>
      <c r="K326" s="152">
        <v>86390</v>
      </c>
      <c r="L326" s="159" t="s">
        <v>856</v>
      </c>
      <c r="M326" s="152" t="s">
        <v>92</v>
      </c>
      <c r="N326" s="152" t="s">
        <v>92</v>
      </c>
      <c r="O326" s="159" t="s">
        <v>856</v>
      </c>
      <c r="P326" s="159" t="s">
        <v>856</v>
      </c>
      <c r="Q326" s="152" t="s">
        <v>92</v>
      </c>
      <c r="R326" s="152" t="s">
        <v>92</v>
      </c>
      <c r="S326" s="159" t="s">
        <v>856</v>
      </c>
      <c r="T326" s="159" t="s">
        <v>856</v>
      </c>
      <c r="U326" s="159" t="s">
        <v>856</v>
      </c>
      <c r="V326" s="152" t="s">
        <v>857</v>
      </c>
      <c r="W326" s="152" t="s">
        <v>858</v>
      </c>
      <c r="X326" s="152" t="s">
        <v>1083</v>
      </c>
      <c r="Y326" s="152">
        <v>0</v>
      </c>
      <c r="Z326" s="152">
        <v>1</v>
      </c>
      <c r="AA326" s="152" t="s">
        <v>92</v>
      </c>
      <c r="AB326" s="152">
        <v>128.63</v>
      </c>
      <c r="AC326" s="152">
        <v>1</v>
      </c>
      <c r="AD326" s="152" t="s">
        <v>861</v>
      </c>
      <c r="AE326" s="152">
        <v>128.63</v>
      </c>
      <c r="AF326" s="152">
        <v>0</v>
      </c>
      <c r="AG326" s="152" t="s">
        <v>861</v>
      </c>
      <c r="AH326" s="152" t="s">
        <v>861</v>
      </c>
      <c r="AI326" s="152" t="s">
        <v>92</v>
      </c>
      <c r="AJ326" s="152" t="s">
        <v>92</v>
      </c>
      <c r="AK326" s="152" t="s">
        <v>862</v>
      </c>
      <c r="AL326" s="159" t="s">
        <v>856</v>
      </c>
      <c r="AP326" s="159" t="s">
        <v>856</v>
      </c>
      <c r="AQ326" s="159" t="s">
        <v>856</v>
      </c>
      <c r="AR326" s="159" t="s">
        <v>873</v>
      </c>
      <c r="AS326" s="159" t="s">
        <v>865</v>
      </c>
      <c r="AT326" s="152" t="str">
        <f t="shared" si="25"/>
        <v>RP-70-0917</v>
      </c>
      <c r="AU326" s="152" t="str">
        <f t="shared" si="26"/>
        <v>MARLENE KAREN ARREAGA GRAMAJO DE MARTINEZ</v>
      </c>
      <c r="AV326" s="159">
        <v>1210.1500000000001</v>
      </c>
      <c r="AW326" s="159">
        <v>648201</v>
      </c>
      <c r="AX326" s="159">
        <v>210</v>
      </c>
      <c r="AY326" s="159">
        <v>648202</v>
      </c>
      <c r="AZ326" s="152" t="s">
        <v>864</v>
      </c>
      <c r="BA326" s="152" t="str">
        <f t="shared" si="12"/>
        <v>L17-959-P217</v>
      </c>
      <c r="BB326" s="152">
        <v>0</v>
      </c>
      <c r="BC326" s="157">
        <v>43034</v>
      </c>
      <c r="BD326" s="157">
        <v>43034</v>
      </c>
      <c r="BE326" s="158">
        <v>90041</v>
      </c>
      <c r="BG326" s="159" t="s">
        <v>2033</v>
      </c>
      <c r="BK326" s="152" t="s">
        <v>132</v>
      </c>
      <c r="BN326" s="157" t="s">
        <v>1453</v>
      </c>
    </row>
    <row r="327" spans="1:66">
      <c r="A327" s="152" t="s">
        <v>2949</v>
      </c>
      <c r="B327" s="152" t="s">
        <v>2950</v>
      </c>
      <c r="C327" s="152" t="s">
        <v>2951</v>
      </c>
      <c r="D327" s="152" t="s">
        <v>2952</v>
      </c>
      <c r="E327" s="152" t="s">
        <v>2952</v>
      </c>
      <c r="F327" s="152">
        <v>9774</v>
      </c>
      <c r="G327" s="152">
        <v>274</v>
      </c>
      <c r="H327" s="152" t="s">
        <v>2953</v>
      </c>
      <c r="I327" s="152">
        <v>178571</v>
      </c>
      <c r="J327" s="152">
        <v>240</v>
      </c>
      <c r="K327" s="152">
        <v>71688</v>
      </c>
      <c r="L327" s="159" t="s">
        <v>856</v>
      </c>
      <c r="M327" s="152" t="s">
        <v>92</v>
      </c>
      <c r="N327" s="152" t="s">
        <v>92</v>
      </c>
      <c r="O327" s="159" t="s">
        <v>856</v>
      </c>
      <c r="P327" s="159" t="s">
        <v>856</v>
      </c>
      <c r="Q327" s="152" t="s">
        <v>92</v>
      </c>
      <c r="R327" s="152" t="s">
        <v>92</v>
      </c>
      <c r="S327" s="159" t="s">
        <v>856</v>
      </c>
      <c r="T327" s="159" t="s">
        <v>856</v>
      </c>
      <c r="U327" s="159" t="s">
        <v>856</v>
      </c>
      <c r="V327" s="152" t="s">
        <v>857</v>
      </c>
      <c r="W327" s="152" t="s">
        <v>858</v>
      </c>
      <c r="X327" s="152" t="s">
        <v>1083</v>
      </c>
      <c r="Y327" s="152">
        <v>0</v>
      </c>
      <c r="Z327" s="152">
        <v>1</v>
      </c>
      <c r="AA327" s="152" t="s">
        <v>92</v>
      </c>
      <c r="AB327" s="152">
        <v>30.8</v>
      </c>
      <c r="AC327" s="152">
        <v>1</v>
      </c>
      <c r="AD327" s="152" t="s">
        <v>861</v>
      </c>
      <c r="AE327" s="152">
        <v>30.8</v>
      </c>
      <c r="AF327" s="152">
        <v>0</v>
      </c>
      <c r="AG327" s="152" t="s">
        <v>861</v>
      </c>
      <c r="AH327" s="152" t="s">
        <v>861</v>
      </c>
      <c r="AI327" s="152" t="s">
        <v>92</v>
      </c>
      <c r="AJ327" s="152" t="s">
        <v>92</v>
      </c>
      <c r="AK327" s="152" t="s">
        <v>884</v>
      </c>
      <c r="AL327" s="159" t="s">
        <v>856</v>
      </c>
      <c r="AP327" s="159" t="s">
        <v>856</v>
      </c>
      <c r="AQ327" s="159" t="s">
        <v>856</v>
      </c>
      <c r="AR327" s="159" t="s">
        <v>863</v>
      </c>
      <c r="AS327" s="159" t="s">
        <v>865</v>
      </c>
      <c r="AT327" s="152" t="str">
        <f t="shared" si="25"/>
        <v>RPNM8-261120</v>
      </c>
      <c r="AU327" s="152" t="str">
        <f t="shared" si="26"/>
        <v>DIANY GILVANA MENDEZ CIFUENTES Y CDÑA</v>
      </c>
      <c r="AV327" s="159">
        <v>310.45999999999998</v>
      </c>
      <c r="AW327" s="159">
        <v>576773</v>
      </c>
      <c r="AX327" s="159">
        <v>16.3</v>
      </c>
      <c r="AY327" s="159">
        <v>576773</v>
      </c>
      <c r="AZ327" s="152" t="s">
        <v>864</v>
      </c>
      <c r="BA327" s="152" t="str">
        <f t="shared" si="12"/>
        <v>L20-1301-JM091</v>
      </c>
      <c r="BB327" s="152">
        <v>0</v>
      </c>
      <c r="BC327" s="157">
        <v>44188</v>
      </c>
      <c r="BD327" s="157">
        <v>44188</v>
      </c>
      <c r="BE327" s="158">
        <v>61600</v>
      </c>
      <c r="BF327" s="152" t="s">
        <v>2954</v>
      </c>
      <c r="BG327" s="159" t="s">
        <v>894</v>
      </c>
      <c r="BH327" s="152">
        <v>30.8</v>
      </c>
      <c r="BI327" s="152">
        <v>0</v>
      </c>
      <c r="BJ327" s="152">
        <v>0</v>
      </c>
      <c r="BK327" s="152" t="s">
        <v>132</v>
      </c>
      <c r="BL327" s="152">
        <v>30.8</v>
      </c>
      <c r="BM327" s="152">
        <v>576773</v>
      </c>
      <c r="BN327" s="157" t="s">
        <v>1453</v>
      </c>
    </row>
    <row r="328" spans="1:66">
      <c r="A328" s="152" t="s">
        <v>2955</v>
      </c>
      <c r="B328" s="152" t="s">
        <v>2956</v>
      </c>
      <c r="C328" s="152" t="s">
        <v>2957</v>
      </c>
      <c r="D328" s="152" t="s">
        <v>2958</v>
      </c>
      <c r="E328" s="152" t="s">
        <v>2958</v>
      </c>
      <c r="F328" s="152">
        <v>833355</v>
      </c>
      <c r="G328" s="152">
        <v>25</v>
      </c>
      <c r="H328" s="152">
        <v>833</v>
      </c>
      <c r="I328" s="152">
        <v>167776</v>
      </c>
      <c r="J328" s="152">
        <v>62.71</v>
      </c>
      <c r="K328" s="152">
        <v>64757</v>
      </c>
      <c r="L328" s="159" t="s">
        <v>1013</v>
      </c>
      <c r="M328" s="152" t="s">
        <v>92</v>
      </c>
      <c r="N328" s="152" t="s">
        <v>883</v>
      </c>
      <c r="O328" s="159">
        <v>4731</v>
      </c>
      <c r="P328" s="159" t="s">
        <v>1013</v>
      </c>
      <c r="Q328" s="152" t="s">
        <v>92</v>
      </c>
      <c r="R328" s="152" t="s">
        <v>883</v>
      </c>
      <c r="S328" s="159">
        <v>4731</v>
      </c>
      <c r="T328" s="159" t="s">
        <v>1013</v>
      </c>
      <c r="U328" s="159" t="s">
        <v>2959</v>
      </c>
      <c r="V328" s="152" t="s">
        <v>1550</v>
      </c>
      <c r="W328" s="152" t="s">
        <v>858</v>
      </c>
      <c r="X328" s="152" t="s">
        <v>1083</v>
      </c>
      <c r="Y328" s="152">
        <v>0</v>
      </c>
      <c r="Z328" s="152">
        <v>0</v>
      </c>
      <c r="AA328" s="152" t="s">
        <v>92</v>
      </c>
      <c r="AB328" s="152">
        <v>36.700000000000003</v>
      </c>
      <c r="AC328" s="152">
        <v>2</v>
      </c>
      <c r="AD328" s="152" t="s">
        <v>861</v>
      </c>
      <c r="AE328" s="152">
        <v>36.700000000000003</v>
      </c>
      <c r="AF328" s="152">
        <v>0</v>
      </c>
      <c r="AG328" s="152" t="s">
        <v>861</v>
      </c>
      <c r="AH328" s="152" t="s">
        <v>861</v>
      </c>
      <c r="AI328" s="152" t="s">
        <v>92</v>
      </c>
      <c r="AJ328" s="152" t="s">
        <v>92</v>
      </c>
      <c r="AK328" s="152" t="s">
        <v>884</v>
      </c>
      <c r="AL328" s="159" t="s">
        <v>856</v>
      </c>
      <c r="AP328" s="159" t="s">
        <v>856</v>
      </c>
      <c r="AQ328" s="159" t="s">
        <v>856</v>
      </c>
      <c r="AR328" s="159" t="s">
        <v>2803</v>
      </c>
      <c r="AS328" s="159" t="s">
        <v>865</v>
      </c>
      <c r="AT328" s="152" t="str">
        <f t="shared" si="25"/>
        <v>RPNA7-121020</v>
      </c>
      <c r="AU328" s="152" t="str">
        <f t="shared" si="26"/>
        <v>SANTIAGO ALONSO AJTUN ORDOÑEZ</v>
      </c>
      <c r="AV328" s="159">
        <v>462.42</v>
      </c>
      <c r="AW328" s="159">
        <v>577246</v>
      </c>
      <c r="AX328" s="159" t="s">
        <v>856</v>
      </c>
      <c r="AY328" s="159" t="s">
        <v>856</v>
      </c>
      <c r="AZ328" s="152" t="s">
        <v>864</v>
      </c>
      <c r="BA328" s="152" t="str">
        <f t="shared" si="12"/>
        <v>L21-1314-SP171</v>
      </c>
      <c r="BB328" s="152">
        <v>0</v>
      </c>
      <c r="BC328" s="157">
        <v>44203</v>
      </c>
      <c r="BD328" s="157">
        <v>44203</v>
      </c>
      <c r="BE328" s="158">
        <v>91750</v>
      </c>
      <c r="BF328" s="152" t="s">
        <v>2960</v>
      </c>
      <c r="BG328" s="159" t="s">
        <v>894</v>
      </c>
      <c r="BH328" s="152">
        <v>36.700000000000003</v>
      </c>
      <c r="BI328" s="152">
        <v>0</v>
      </c>
      <c r="BJ328" s="152">
        <v>0</v>
      </c>
      <c r="BK328" s="152" t="s">
        <v>132</v>
      </c>
      <c r="BL328" s="152">
        <v>36.700000000000003</v>
      </c>
      <c r="BM328" s="152">
        <v>577246</v>
      </c>
      <c r="BN328" s="157" t="s">
        <v>1453</v>
      </c>
    </row>
    <row r="329" spans="1:66">
      <c r="A329" s="152" t="s">
        <v>2961</v>
      </c>
      <c r="B329" s="152" t="s">
        <v>2962</v>
      </c>
      <c r="C329" s="152" t="s">
        <v>2963</v>
      </c>
      <c r="D329" s="152" t="s">
        <v>2964</v>
      </c>
      <c r="E329" s="152" t="s">
        <v>2965</v>
      </c>
      <c r="F329" s="152">
        <v>215</v>
      </c>
      <c r="G329" s="152">
        <v>215</v>
      </c>
      <c r="H329" s="152" t="s">
        <v>2966</v>
      </c>
      <c r="I329" s="152">
        <v>197405</v>
      </c>
      <c r="J329" s="152">
        <v>128</v>
      </c>
      <c r="K329" s="152">
        <v>85102</v>
      </c>
      <c r="L329" s="159" t="s">
        <v>856</v>
      </c>
      <c r="M329" s="152" t="s">
        <v>92</v>
      </c>
      <c r="N329" s="152" t="s">
        <v>92</v>
      </c>
      <c r="O329" s="159" t="s">
        <v>856</v>
      </c>
      <c r="P329" s="159" t="s">
        <v>856</v>
      </c>
      <c r="Q329" s="152" t="s">
        <v>92</v>
      </c>
      <c r="R329" s="152" t="s">
        <v>92</v>
      </c>
      <c r="S329" s="159" t="s">
        <v>856</v>
      </c>
      <c r="T329" s="159" t="s">
        <v>856</v>
      </c>
      <c r="U329" s="159" t="s">
        <v>856</v>
      </c>
      <c r="V329" s="152" t="s">
        <v>857</v>
      </c>
      <c r="W329" s="152" t="s">
        <v>858</v>
      </c>
      <c r="X329" s="152" t="s">
        <v>1083</v>
      </c>
      <c r="Y329" s="152">
        <v>0</v>
      </c>
      <c r="Z329" s="152">
        <v>1</v>
      </c>
      <c r="AA329" s="152" t="s">
        <v>92</v>
      </c>
      <c r="AB329" s="152">
        <v>128</v>
      </c>
      <c r="AC329" s="152">
        <v>1</v>
      </c>
      <c r="AD329" s="152" t="s">
        <v>861</v>
      </c>
      <c r="AE329" s="152">
        <v>128</v>
      </c>
      <c r="AF329" s="152">
        <v>0</v>
      </c>
      <c r="AG329" s="152" t="s">
        <v>861</v>
      </c>
      <c r="AH329" s="152" t="s">
        <v>861</v>
      </c>
      <c r="AI329" s="152" t="s">
        <v>92</v>
      </c>
      <c r="AJ329" s="152" t="s">
        <v>92</v>
      </c>
      <c r="AK329" s="152" t="s">
        <v>972</v>
      </c>
      <c r="AL329" s="159" t="s">
        <v>856</v>
      </c>
      <c r="AP329" s="159" t="s">
        <v>856</v>
      </c>
      <c r="AQ329" s="159" t="s">
        <v>856</v>
      </c>
      <c r="AR329" s="159" t="s">
        <v>863</v>
      </c>
      <c r="AS329" s="159" t="s">
        <v>865</v>
      </c>
      <c r="AT329" s="152" t="str">
        <f t="shared" si="25"/>
        <v>VUNR10-021119</v>
      </c>
      <c r="AU329" s="152" t="str">
        <f t="shared" si="26"/>
        <v>ELSA RAMIREZ LOPEZ</v>
      </c>
      <c r="AV329" s="159" t="s">
        <v>856</v>
      </c>
      <c r="AW329" s="159" t="s">
        <v>856</v>
      </c>
      <c r="AX329" s="159" t="s">
        <v>856</v>
      </c>
      <c r="AY329" s="159" t="s">
        <v>856</v>
      </c>
      <c r="AZ329" s="152" t="s">
        <v>864</v>
      </c>
      <c r="BA329" s="152" t="str">
        <f t="shared" si="12"/>
        <v>L19-641-HI008</v>
      </c>
      <c r="BB329" s="152">
        <v>0</v>
      </c>
      <c r="BC329" s="157">
        <v>43808</v>
      </c>
      <c r="BD329" s="157">
        <v>44108</v>
      </c>
      <c r="BE329" s="158">
        <v>256000</v>
      </c>
      <c r="BF329" s="152" t="s">
        <v>2967</v>
      </c>
      <c r="BG329" s="159" t="s">
        <v>2968</v>
      </c>
      <c r="BH329" s="152">
        <v>128</v>
      </c>
      <c r="BI329" s="152">
        <v>0</v>
      </c>
      <c r="BJ329" s="152">
        <v>0</v>
      </c>
      <c r="BK329" s="152" t="s">
        <v>132</v>
      </c>
      <c r="BL329" s="152">
        <v>128</v>
      </c>
      <c r="BM329" s="152">
        <v>818186</v>
      </c>
      <c r="BN329" s="157" t="s">
        <v>1453</v>
      </c>
    </row>
    <row r="330" spans="1:66">
      <c r="A330" s="152" t="s">
        <v>2969</v>
      </c>
      <c r="B330" s="152" t="s">
        <v>2970</v>
      </c>
      <c r="C330" s="152" t="s">
        <v>2971</v>
      </c>
      <c r="D330" s="152" t="s">
        <v>2972</v>
      </c>
      <c r="E330" s="152" t="s">
        <v>2972</v>
      </c>
      <c r="F330" s="152">
        <v>5874</v>
      </c>
      <c r="G330" s="152">
        <v>374</v>
      </c>
      <c r="H330" s="152" t="s">
        <v>964</v>
      </c>
      <c r="I330" s="152">
        <v>196493</v>
      </c>
      <c r="J330" s="152">
        <v>130.9</v>
      </c>
      <c r="K330" s="152">
        <v>84619</v>
      </c>
      <c r="L330" s="159" t="s">
        <v>856</v>
      </c>
      <c r="M330" s="152" t="s">
        <v>92</v>
      </c>
      <c r="N330" s="152" t="s">
        <v>92</v>
      </c>
      <c r="O330" s="159" t="s">
        <v>856</v>
      </c>
      <c r="P330" s="159" t="s">
        <v>856</v>
      </c>
      <c r="Q330" s="152" t="s">
        <v>92</v>
      </c>
      <c r="R330" s="152" t="s">
        <v>92</v>
      </c>
      <c r="S330" s="159" t="s">
        <v>856</v>
      </c>
      <c r="T330" s="159" t="s">
        <v>856</v>
      </c>
      <c r="U330" s="159" t="s">
        <v>856</v>
      </c>
      <c r="V330" s="152" t="s">
        <v>857</v>
      </c>
      <c r="W330" s="152" t="s">
        <v>858</v>
      </c>
      <c r="X330" s="152" t="s">
        <v>1083</v>
      </c>
      <c r="Y330" s="152">
        <v>0</v>
      </c>
      <c r="Z330" s="152">
        <v>1</v>
      </c>
      <c r="AA330" s="152" t="s">
        <v>92</v>
      </c>
      <c r="AD330" s="152" t="s">
        <v>861</v>
      </c>
      <c r="AG330" s="152" t="s">
        <v>861</v>
      </c>
      <c r="AH330" s="152" t="s">
        <v>861</v>
      </c>
      <c r="AI330" s="152" t="s">
        <v>92</v>
      </c>
      <c r="AJ330" s="152" t="s">
        <v>92</v>
      </c>
      <c r="AL330" s="159" t="s">
        <v>856</v>
      </c>
      <c r="AP330" s="159" t="s">
        <v>856</v>
      </c>
      <c r="AQ330" s="159" t="s">
        <v>856</v>
      </c>
      <c r="AR330" s="159" t="s">
        <v>856</v>
      </c>
      <c r="AS330" s="159" t="s">
        <v>865</v>
      </c>
      <c r="AT330" s="152" t="str">
        <f t="shared" si="25"/>
        <v>VUR7-010218</v>
      </c>
      <c r="AU330" s="152" t="str">
        <f t="shared" si="26"/>
        <v>FOLFIDO ALBERONY REYES MAZARIEGOS</v>
      </c>
      <c r="AV330" s="159" t="s">
        <v>856</v>
      </c>
      <c r="AW330" s="159" t="s">
        <v>856</v>
      </c>
      <c r="AX330" s="159" t="s">
        <v>856</v>
      </c>
      <c r="AY330" s="159" t="s">
        <v>856</v>
      </c>
      <c r="AZ330" s="152" t="s">
        <v>864</v>
      </c>
      <c r="BA330" s="152" t="str">
        <f t="shared" si="12"/>
        <v>L18-068-HI023</v>
      </c>
      <c r="BC330" s="157">
        <v>43161</v>
      </c>
      <c r="BF330" s="152" t="s">
        <v>2973</v>
      </c>
      <c r="BG330" s="159" t="s">
        <v>2974</v>
      </c>
      <c r="BH330" s="152">
        <v>184.2</v>
      </c>
      <c r="BI330" s="152">
        <v>0</v>
      </c>
      <c r="BJ330" s="152">
        <v>0</v>
      </c>
      <c r="BK330" s="152" t="s">
        <v>132</v>
      </c>
      <c r="BL330" s="152">
        <v>184.2</v>
      </c>
      <c r="BM330" s="152">
        <v>661875</v>
      </c>
      <c r="BN330" s="157" t="s">
        <v>1453</v>
      </c>
    </row>
    <row r="331" spans="1:66">
      <c r="A331" s="152" t="s">
        <v>2975</v>
      </c>
      <c r="B331" s="152" t="s">
        <v>2976</v>
      </c>
      <c r="C331" s="152" t="s">
        <v>2977</v>
      </c>
      <c r="D331" s="152" t="s">
        <v>2978</v>
      </c>
      <c r="E331" s="152" t="s">
        <v>2979</v>
      </c>
      <c r="F331" s="152">
        <v>2930</v>
      </c>
      <c r="G331" s="152">
        <v>430</v>
      </c>
      <c r="H331" s="152" t="s">
        <v>2516</v>
      </c>
      <c r="I331" s="152">
        <v>196444</v>
      </c>
      <c r="J331" s="152">
        <v>239.96</v>
      </c>
      <c r="K331" s="152">
        <v>84591</v>
      </c>
      <c r="L331" s="159" t="s">
        <v>2980</v>
      </c>
      <c r="M331" s="152" t="s">
        <v>883</v>
      </c>
      <c r="N331" s="152" t="s">
        <v>92</v>
      </c>
      <c r="O331" s="159">
        <v>9975</v>
      </c>
      <c r="P331" s="159" t="s">
        <v>2980</v>
      </c>
      <c r="Q331" s="152" t="s">
        <v>883</v>
      </c>
      <c r="R331" s="152" t="s">
        <v>92</v>
      </c>
      <c r="S331" s="159">
        <v>9975</v>
      </c>
      <c r="T331" s="159" t="s">
        <v>856</v>
      </c>
      <c r="U331" s="159" t="s">
        <v>856</v>
      </c>
      <c r="V331" s="152" t="s">
        <v>857</v>
      </c>
      <c r="W331" s="152" t="s">
        <v>858</v>
      </c>
      <c r="X331" s="152" t="s">
        <v>902</v>
      </c>
      <c r="Y331" s="152">
        <v>32.15</v>
      </c>
      <c r="Z331" s="152">
        <v>1</v>
      </c>
      <c r="AA331" s="152" t="s">
        <v>883</v>
      </c>
      <c r="AB331" s="152">
        <v>119.65</v>
      </c>
      <c r="AC331" s="152">
        <v>2</v>
      </c>
      <c r="AD331" s="152" t="s">
        <v>861</v>
      </c>
      <c r="AE331" s="152">
        <v>119.65</v>
      </c>
      <c r="AF331" s="152">
        <v>0</v>
      </c>
      <c r="AG331" s="152">
        <v>95.98</v>
      </c>
      <c r="AH331" s="152" t="s">
        <v>861</v>
      </c>
      <c r="AI331" s="152" t="s">
        <v>92</v>
      </c>
      <c r="AJ331" s="152" t="s">
        <v>92</v>
      </c>
      <c r="AK331" s="152" t="s">
        <v>972</v>
      </c>
      <c r="AL331" s="159" t="s">
        <v>856</v>
      </c>
      <c r="AP331" s="159" t="s">
        <v>856</v>
      </c>
      <c r="AQ331" s="159" t="s">
        <v>856</v>
      </c>
      <c r="AR331" s="159" t="s">
        <v>863</v>
      </c>
      <c r="AS331" s="159" t="s">
        <v>865</v>
      </c>
      <c r="AT331" s="152" t="str">
        <f t="shared" si="25"/>
        <v>VUE10-011217</v>
      </c>
      <c r="AU331" s="152" t="str">
        <f t="shared" si="26"/>
        <v>INGRID NINETH ESCOBAR GONZALEZ</v>
      </c>
      <c r="AV331" s="159">
        <v>1570.6</v>
      </c>
      <c r="AW331" s="159">
        <v>658427</v>
      </c>
      <c r="AX331" s="159" t="s">
        <v>856</v>
      </c>
      <c r="AY331" s="159" t="s">
        <v>856</v>
      </c>
      <c r="AZ331" s="152" t="s">
        <v>864</v>
      </c>
      <c r="BA331" s="152" t="str">
        <f>A331</f>
        <v>L18-782-HI070</v>
      </c>
      <c r="BB331" s="152">
        <v>12</v>
      </c>
      <c r="BC331" s="157">
        <v>43166</v>
      </c>
      <c r="BD331" s="157">
        <v>43531</v>
      </c>
      <c r="BE331" s="158">
        <v>310377.5</v>
      </c>
      <c r="BF331" s="152" t="s">
        <v>2981</v>
      </c>
      <c r="BG331" s="159" t="s">
        <v>2033</v>
      </c>
      <c r="BH331" s="152">
        <v>119.65</v>
      </c>
      <c r="BI331" s="152">
        <v>0</v>
      </c>
      <c r="BJ331" s="152">
        <v>0</v>
      </c>
      <c r="BK331" s="152" t="s">
        <v>132</v>
      </c>
      <c r="BL331" s="152">
        <v>119.65</v>
      </c>
      <c r="BM331" s="152">
        <v>658428</v>
      </c>
      <c r="BN331" s="157" t="s">
        <v>1453</v>
      </c>
    </row>
    <row r="332" spans="1:66">
      <c r="A332" s="152" t="s">
        <v>2982</v>
      </c>
      <c r="B332" s="152" t="s">
        <v>2983</v>
      </c>
      <c r="C332" s="152" t="s">
        <v>2984</v>
      </c>
      <c r="D332" s="152" t="s">
        <v>2985</v>
      </c>
      <c r="E332" s="152" t="s">
        <v>2986</v>
      </c>
      <c r="F332" s="152">
        <v>273012</v>
      </c>
      <c r="G332" s="152">
        <v>52</v>
      </c>
      <c r="H332" s="152">
        <v>629</v>
      </c>
      <c r="I332" s="152">
        <v>153022</v>
      </c>
      <c r="J332" s="152">
        <v>180</v>
      </c>
      <c r="K332" s="152">
        <v>50979</v>
      </c>
      <c r="L332" s="159" t="s">
        <v>1132</v>
      </c>
      <c r="M332" s="152" t="s">
        <v>883</v>
      </c>
      <c r="N332" s="152" t="s">
        <v>92</v>
      </c>
      <c r="O332" s="159">
        <v>11249</v>
      </c>
      <c r="P332" s="159" t="s">
        <v>1132</v>
      </c>
      <c r="Q332" s="152" t="s">
        <v>883</v>
      </c>
      <c r="R332" s="152" t="s">
        <v>92</v>
      </c>
      <c r="S332" s="159">
        <v>11249</v>
      </c>
      <c r="T332" s="159" t="s">
        <v>856</v>
      </c>
      <c r="U332" s="159" t="s">
        <v>856</v>
      </c>
      <c r="V332" s="152" t="s">
        <v>991</v>
      </c>
      <c r="W332" s="152" t="s">
        <v>858</v>
      </c>
      <c r="X332" s="152" t="s">
        <v>1083</v>
      </c>
      <c r="Y332" s="152">
        <v>40.61</v>
      </c>
      <c r="Z332" s="152">
        <v>2</v>
      </c>
      <c r="AA332" s="152" t="s">
        <v>92</v>
      </c>
      <c r="AB332" s="152">
        <v>298.92</v>
      </c>
      <c r="AC332" s="152">
        <v>2</v>
      </c>
      <c r="AD332" s="152" t="s">
        <v>861</v>
      </c>
      <c r="AE332" s="152">
        <v>149.46</v>
      </c>
      <c r="AF332" s="152">
        <v>149.46</v>
      </c>
      <c r="AG332" s="152" t="s">
        <v>861</v>
      </c>
      <c r="AH332" s="152" t="s">
        <v>861</v>
      </c>
      <c r="AI332" s="152" t="s">
        <v>92</v>
      </c>
      <c r="AJ332" s="152" t="s">
        <v>92</v>
      </c>
      <c r="AK332" s="152" t="s">
        <v>884</v>
      </c>
      <c r="AL332" s="159" t="s">
        <v>856</v>
      </c>
      <c r="AP332" s="159" t="s">
        <v>856</v>
      </c>
      <c r="AQ332" s="159" t="s">
        <v>856</v>
      </c>
      <c r="AR332" s="159" t="s">
        <v>863</v>
      </c>
      <c r="AS332" s="159" t="s">
        <v>865</v>
      </c>
      <c r="AT332" s="152" t="str">
        <f t="shared" si="25"/>
        <v>VUM7-020218</v>
      </c>
      <c r="AU332" s="152" t="str">
        <f t="shared" si="26"/>
        <v>GLORIA ARGENTINA MORALES ESCOBAR</v>
      </c>
      <c r="AV332" s="159">
        <v>4724.8100000000004</v>
      </c>
      <c r="AW332" s="159">
        <v>665961</v>
      </c>
      <c r="AX332" s="159">
        <v>740.88</v>
      </c>
      <c r="AY332" s="159">
        <v>665962</v>
      </c>
      <c r="AZ332" s="152" t="s">
        <v>864</v>
      </c>
      <c r="BA332" s="152" t="str">
        <f>A332</f>
        <v>L18-106-HI026</v>
      </c>
      <c r="BB332" s="152">
        <v>12</v>
      </c>
      <c r="BC332" s="157">
        <v>43179</v>
      </c>
      <c r="BD332" s="157">
        <v>43544</v>
      </c>
      <c r="BE332" s="158">
        <v>686783.5</v>
      </c>
      <c r="BF332" s="152" t="s">
        <v>2987</v>
      </c>
      <c r="BG332" s="159" t="s">
        <v>2988</v>
      </c>
      <c r="BH332" s="152">
        <v>149.46</v>
      </c>
      <c r="BI332" s="152">
        <v>149.46</v>
      </c>
      <c r="BJ332" s="152">
        <v>0</v>
      </c>
      <c r="BK332" s="152" t="s">
        <v>995</v>
      </c>
      <c r="BL332" s="152">
        <v>186.83</v>
      </c>
      <c r="BM332" s="152">
        <v>665963</v>
      </c>
      <c r="BN332" s="157" t="s">
        <v>2989</v>
      </c>
    </row>
    <row r="333" spans="1:66">
      <c r="A333" s="152" t="s">
        <v>2990</v>
      </c>
      <c r="B333" s="152" t="s">
        <v>2991</v>
      </c>
      <c r="C333" s="152" t="s">
        <v>2992</v>
      </c>
      <c r="D333" s="152" t="s">
        <v>2993</v>
      </c>
      <c r="E333" s="152" t="s">
        <v>2994</v>
      </c>
      <c r="F333" s="152">
        <v>1071</v>
      </c>
      <c r="G333" s="152">
        <v>71</v>
      </c>
      <c r="H333" s="152" t="s">
        <v>2311</v>
      </c>
      <c r="I333" s="152">
        <v>196319</v>
      </c>
      <c r="J333" s="152">
        <v>361.58</v>
      </c>
      <c r="K333" s="152">
        <v>84507</v>
      </c>
      <c r="L333" s="159" t="s">
        <v>2995</v>
      </c>
      <c r="M333" s="152" t="s">
        <v>92</v>
      </c>
      <c r="N333" s="152" t="s">
        <v>883</v>
      </c>
      <c r="O333" s="159">
        <v>3985</v>
      </c>
      <c r="P333" s="159" t="s">
        <v>2995</v>
      </c>
      <c r="Q333" s="152" t="s">
        <v>92</v>
      </c>
      <c r="R333" s="152" t="s">
        <v>883</v>
      </c>
      <c r="S333" s="159">
        <v>3985</v>
      </c>
      <c r="T333" s="159" t="s">
        <v>2996</v>
      </c>
      <c r="U333" s="159" t="s">
        <v>2997</v>
      </c>
      <c r="V333" s="152" t="s">
        <v>857</v>
      </c>
      <c r="W333" s="152" t="s">
        <v>858</v>
      </c>
      <c r="X333" s="152" t="s">
        <v>1083</v>
      </c>
      <c r="Y333" s="152">
        <v>235.8</v>
      </c>
      <c r="Z333" s="152">
        <v>1</v>
      </c>
      <c r="AA333" s="152" t="s">
        <v>92</v>
      </c>
      <c r="AB333" s="152">
        <v>325.5</v>
      </c>
      <c r="AC333" s="152">
        <v>2</v>
      </c>
      <c r="AD333" s="152" t="s">
        <v>861</v>
      </c>
      <c r="AE333" s="152">
        <v>325.5</v>
      </c>
      <c r="AF333" s="152">
        <v>0</v>
      </c>
      <c r="AG333" s="152">
        <v>141.97</v>
      </c>
      <c r="AH333" s="152" t="s">
        <v>861</v>
      </c>
      <c r="AI333" s="152" t="s">
        <v>92</v>
      </c>
      <c r="AJ333" s="152" t="s">
        <v>92</v>
      </c>
      <c r="AK333" s="152" t="s">
        <v>884</v>
      </c>
      <c r="AL333" s="159" t="s">
        <v>856</v>
      </c>
      <c r="AP333" s="159" t="s">
        <v>856</v>
      </c>
      <c r="AQ333" s="159" t="s">
        <v>856</v>
      </c>
      <c r="AR333" s="159" t="s">
        <v>2224</v>
      </c>
      <c r="AS333" s="159" t="s">
        <v>865</v>
      </c>
      <c r="AT333" s="152" t="str">
        <f t="shared" si="25"/>
        <v>VUC8-020218</v>
      </c>
      <c r="AU333" s="152" t="str">
        <f t="shared" si="26"/>
        <v>ALEJANDRA VICTORIA CARRILLO MUÑOZ</v>
      </c>
      <c r="AV333" s="159">
        <v>4621.43</v>
      </c>
      <c r="AW333" s="159">
        <v>658713</v>
      </c>
      <c r="AX333" s="159">
        <v>1033.2</v>
      </c>
      <c r="AY333" s="159">
        <v>658715</v>
      </c>
      <c r="AZ333" s="152" t="s">
        <v>864</v>
      </c>
      <c r="BA333" s="152" t="str">
        <f>A333</f>
        <v>L18-165-HI029</v>
      </c>
      <c r="BB333" s="152">
        <v>12</v>
      </c>
      <c r="BC333" s="157">
        <v>43207</v>
      </c>
      <c r="BD333" s="157">
        <v>43572</v>
      </c>
      <c r="BE333" s="158">
        <v>898212</v>
      </c>
      <c r="BF333" s="152" t="s">
        <v>2998</v>
      </c>
      <c r="BG333" s="159" t="s">
        <v>2033</v>
      </c>
      <c r="BH333" s="152">
        <v>325.5</v>
      </c>
      <c r="BI333" s="152">
        <v>0</v>
      </c>
      <c r="BJ333" s="152">
        <v>0</v>
      </c>
      <c r="BK333" s="152" t="s">
        <v>132</v>
      </c>
      <c r="BL333" s="152">
        <v>325.5</v>
      </c>
      <c r="BM333" s="152">
        <v>658716</v>
      </c>
      <c r="BN333" s="157" t="s">
        <v>1453</v>
      </c>
    </row>
    <row r="334" spans="1:66">
      <c r="A334" s="152" t="s">
        <v>2999</v>
      </c>
      <c r="B334" s="152" t="s">
        <v>3000</v>
      </c>
      <c r="C334" s="152" t="s">
        <v>3001</v>
      </c>
      <c r="D334" s="152" t="s">
        <v>3002</v>
      </c>
      <c r="E334" s="152" t="s">
        <v>3003</v>
      </c>
      <c r="F334" s="152">
        <v>306840</v>
      </c>
      <c r="G334" s="152">
        <v>130</v>
      </c>
      <c r="H334" s="152">
        <v>740</v>
      </c>
      <c r="I334" s="152">
        <v>182219</v>
      </c>
      <c r="J334" s="152">
        <v>47.64</v>
      </c>
      <c r="K334" s="152">
        <v>73895</v>
      </c>
      <c r="L334" s="159" t="s">
        <v>3004</v>
      </c>
      <c r="M334" s="152" t="s">
        <v>92</v>
      </c>
      <c r="N334" s="152" t="s">
        <v>883</v>
      </c>
      <c r="O334" s="159">
        <v>3489</v>
      </c>
      <c r="P334" s="159" t="s">
        <v>3004</v>
      </c>
      <c r="Q334" s="152" t="s">
        <v>92</v>
      </c>
      <c r="R334" s="152" t="s">
        <v>883</v>
      </c>
      <c r="S334" s="159">
        <v>3489</v>
      </c>
      <c r="T334" s="159" t="s">
        <v>856</v>
      </c>
      <c r="U334" s="159" t="s">
        <v>856</v>
      </c>
      <c r="V334" s="152" t="s">
        <v>857</v>
      </c>
      <c r="W334" s="152" t="s">
        <v>858</v>
      </c>
      <c r="X334" s="152" t="s">
        <v>1083</v>
      </c>
      <c r="Y334" s="152">
        <v>0</v>
      </c>
      <c r="Z334" s="152">
        <v>1</v>
      </c>
      <c r="AA334" s="152" t="s">
        <v>92</v>
      </c>
      <c r="AB334" s="152">
        <v>44.38</v>
      </c>
      <c r="AC334" s="152">
        <v>1</v>
      </c>
      <c r="AD334" s="152" t="s">
        <v>861</v>
      </c>
      <c r="AE334" s="152">
        <v>44.38</v>
      </c>
      <c r="AF334" s="152">
        <v>0</v>
      </c>
      <c r="AG334" s="152" t="s">
        <v>861</v>
      </c>
      <c r="AH334" s="152" t="s">
        <v>861</v>
      </c>
      <c r="AI334" s="152" t="s">
        <v>92</v>
      </c>
      <c r="AJ334" s="152" t="s">
        <v>92</v>
      </c>
      <c r="AK334" s="152" t="s">
        <v>884</v>
      </c>
      <c r="AL334" s="159" t="s">
        <v>856</v>
      </c>
      <c r="AP334" s="159" t="s">
        <v>856</v>
      </c>
      <c r="AQ334" s="159" t="s">
        <v>856</v>
      </c>
      <c r="AR334" s="159" t="s">
        <v>2224</v>
      </c>
      <c r="AS334" s="159">
        <v>3.26</v>
      </c>
      <c r="AT334" s="152" t="str">
        <f t="shared" si="25"/>
        <v>VUP10-010118</v>
      </c>
      <c r="AU334" s="152" t="str">
        <f t="shared" si="26"/>
        <v>MARCELO ALFONSO PEREZ CANASTUJ</v>
      </c>
      <c r="AV334" s="159">
        <v>447.35</v>
      </c>
      <c r="AW334" s="159">
        <v>658809</v>
      </c>
      <c r="AX334" s="159">
        <v>393.96</v>
      </c>
      <c r="AY334" s="159">
        <v>658812</v>
      </c>
      <c r="AZ334" s="152" t="s">
        <v>864</v>
      </c>
      <c r="BA334" s="152" t="str">
        <f>A334</f>
        <v>L18-216-HI030</v>
      </c>
      <c r="BB334" s="152">
        <v>10</v>
      </c>
      <c r="BC334" s="157">
        <v>43224</v>
      </c>
      <c r="BD334" s="157">
        <v>43528</v>
      </c>
      <c r="BE334" s="158">
        <v>88760</v>
      </c>
      <c r="BF334" s="152" t="s">
        <v>3005</v>
      </c>
      <c r="BG334" s="159" t="s">
        <v>2033</v>
      </c>
      <c r="BH334" s="152">
        <v>44.38</v>
      </c>
      <c r="BI334" s="152">
        <v>0</v>
      </c>
      <c r="BJ334" s="152">
        <v>0</v>
      </c>
      <c r="BK334" s="152" t="s">
        <v>132</v>
      </c>
      <c r="BL334" s="152">
        <v>44.38</v>
      </c>
      <c r="BM334" s="152">
        <v>658810</v>
      </c>
      <c r="BN334" s="157" t="s">
        <v>1453</v>
      </c>
    </row>
    <row r="335" spans="1:66">
      <c r="A335" s="152" t="s">
        <v>3006</v>
      </c>
      <c r="B335" s="152" t="s">
        <v>3007</v>
      </c>
      <c r="C335" s="152" t="s">
        <v>3008</v>
      </c>
      <c r="D335" s="152" t="s">
        <v>3009</v>
      </c>
      <c r="E335" s="152" t="s">
        <v>3009</v>
      </c>
      <c r="F335" s="152" t="s">
        <v>856</v>
      </c>
      <c r="G335" s="152" t="s">
        <v>856</v>
      </c>
      <c r="H335" s="152" t="s">
        <v>856</v>
      </c>
      <c r="I335" s="152">
        <v>194823</v>
      </c>
      <c r="J335" s="152">
        <v>146.30000000000001</v>
      </c>
      <c r="K335" s="152">
        <v>83469</v>
      </c>
      <c r="L335" s="159" t="s">
        <v>856</v>
      </c>
      <c r="M335" s="152" t="s">
        <v>92</v>
      </c>
      <c r="N335" s="152" t="s">
        <v>92</v>
      </c>
      <c r="O335" s="159" t="s">
        <v>856</v>
      </c>
      <c r="P335" s="159" t="s">
        <v>856</v>
      </c>
      <c r="Q335" s="152" t="s">
        <v>92</v>
      </c>
      <c r="R335" s="152" t="s">
        <v>92</v>
      </c>
      <c r="S335" s="159" t="s">
        <v>856</v>
      </c>
      <c r="T335" s="159" t="s">
        <v>856</v>
      </c>
      <c r="U335" s="159" t="s">
        <v>856</v>
      </c>
      <c r="V335" s="152" t="s">
        <v>857</v>
      </c>
      <c r="W335" s="152" t="s">
        <v>860</v>
      </c>
      <c r="X335" s="152" t="s">
        <v>3010</v>
      </c>
      <c r="Y335" s="152">
        <v>0</v>
      </c>
      <c r="Z335" s="152">
        <v>1</v>
      </c>
      <c r="AA335" s="152" t="s">
        <v>92</v>
      </c>
      <c r="AB335" s="152">
        <v>47.27</v>
      </c>
      <c r="AC335" s="152">
        <v>1</v>
      </c>
      <c r="AD335" s="152" t="s">
        <v>861</v>
      </c>
      <c r="AE335" s="152">
        <v>47.27</v>
      </c>
      <c r="AF335" s="152">
        <v>0</v>
      </c>
      <c r="AG335" s="152" t="s">
        <v>861</v>
      </c>
      <c r="AH335" s="152" t="s">
        <v>861</v>
      </c>
      <c r="AI335" s="152" t="s">
        <v>92</v>
      </c>
      <c r="AJ335" s="152" t="s">
        <v>92</v>
      </c>
      <c r="AK335" s="152" t="s">
        <v>972</v>
      </c>
      <c r="AL335" s="159" t="s">
        <v>856</v>
      </c>
      <c r="AP335" s="159" t="s">
        <v>856</v>
      </c>
      <c r="AQ335" s="159" t="s">
        <v>856</v>
      </c>
      <c r="AR335" s="159" t="s">
        <v>863</v>
      </c>
      <c r="AS335" s="159" t="s">
        <v>865</v>
      </c>
      <c r="AT335" s="152" t="str">
        <f t="shared" si="25"/>
        <v>VUM5-030718</v>
      </c>
      <c r="AU335" s="152" t="str">
        <f t="shared" si="26"/>
        <v>JACQUELINE NIDIA MUÑOZ PEREZ</v>
      </c>
      <c r="AV335" s="159" t="s">
        <v>2080</v>
      </c>
      <c r="AW335" s="159" t="s">
        <v>2080</v>
      </c>
      <c r="AX335" s="159" t="s">
        <v>2080</v>
      </c>
      <c r="AY335" s="159" t="s">
        <v>2080</v>
      </c>
      <c r="AZ335" s="152" t="s">
        <v>864</v>
      </c>
      <c r="BA335" s="152" t="str">
        <f>A335</f>
        <v>L18-519-HI032</v>
      </c>
      <c r="BB335" s="152">
        <v>10</v>
      </c>
      <c r="BC335" s="157">
        <v>43318</v>
      </c>
      <c r="BD335" s="157">
        <v>43622</v>
      </c>
      <c r="BE335" s="158">
        <v>94540</v>
      </c>
      <c r="BF335" s="152" t="s">
        <v>3011</v>
      </c>
      <c r="BG335" s="159" t="s">
        <v>2033</v>
      </c>
      <c r="BH335" s="152">
        <v>47.27</v>
      </c>
      <c r="BI335" s="152">
        <v>0</v>
      </c>
      <c r="BJ335" s="152">
        <v>0</v>
      </c>
      <c r="BK335" s="152" t="s">
        <v>132</v>
      </c>
      <c r="BL335" s="152">
        <v>47.27</v>
      </c>
      <c r="BM335" s="152">
        <v>672277</v>
      </c>
      <c r="BN335" s="157" t="s">
        <v>1453</v>
      </c>
    </row>
    <row r="336" spans="1:66">
      <c r="A336" s="152" t="s">
        <v>3012</v>
      </c>
      <c r="B336" s="152" t="s">
        <v>3013</v>
      </c>
      <c r="C336" s="152" t="s">
        <v>3014</v>
      </c>
      <c r="D336" s="152" t="s">
        <v>3015</v>
      </c>
      <c r="E336" s="152" t="s">
        <v>3015</v>
      </c>
      <c r="F336" s="152">
        <v>269928</v>
      </c>
      <c r="G336" s="152">
        <v>8</v>
      </c>
      <c r="H336" s="152">
        <v>619</v>
      </c>
      <c r="I336" s="152">
        <v>157952</v>
      </c>
      <c r="J336" s="152">
        <v>218</v>
      </c>
      <c r="K336" s="152">
        <v>54842</v>
      </c>
      <c r="L336" s="152" t="s">
        <v>856</v>
      </c>
      <c r="M336" s="152" t="s">
        <v>92</v>
      </c>
      <c r="N336" s="152" t="s">
        <v>92</v>
      </c>
      <c r="O336" s="152" t="s">
        <v>856</v>
      </c>
      <c r="P336" s="152" t="s">
        <v>856</v>
      </c>
      <c r="Q336" s="152" t="s">
        <v>92</v>
      </c>
      <c r="R336" s="152" t="s">
        <v>92</v>
      </c>
      <c r="S336" s="152" t="s">
        <v>856</v>
      </c>
      <c r="T336" s="152" t="s">
        <v>856</v>
      </c>
      <c r="U336" s="152" t="s">
        <v>856</v>
      </c>
      <c r="V336" s="152" t="s">
        <v>1140</v>
      </c>
      <c r="W336" s="152" t="s">
        <v>858</v>
      </c>
      <c r="X336" s="152" t="s">
        <v>1083</v>
      </c>
      <c r="Y336" s="152">
        <v>0</v>
      </c>
      <c r="Z336" s="152">
        <v>1</v>
      </c>
      <c r="AA336" s="152" t="s">
        <v>92</v>
      </c>
      <c r="AB336" s="152">
        <v>47.32</v>
      </c>
      <c r="AC336" s="152">
        <v>2</v>
      </c>
      <c r="AD336" s="152" t="s">
        <v>861</v>
      </c>
      <c r="AE336" s="152">
        <v>47.32</v>
      </c>
      <c r="AF336" s="152">
        <v>0</v>
      </c>
      <c r="AG336" s="152" t="s">
        <v>861</v>
      </c>
      <c r="AH336" s="152" t="s">
        <v>861</v>
      </c>
      <c r="AI336" s="152" t="s">
        <v>92</v>
      </c>
      <c r="AJ336" s="152" t="s">
        <v>92</v>
      </c>
      <c r="AK336" s="152" t="s">
        <v>972</v>
      </c>
      <c r="AL336" s="152" t="s">
        <v>856</v>
      </c>
      <c r="AP336" s="152" t="s">
        <v>856</v>
      </c>
      <c r="AQ336" s="152" t="s">
        <v>856</v>
      </c>
      <c r="AR336" s="152" t="s">
        <v>863</v>
      </c>
      <c r="AS336" s="152" t="s">
        <v>865</v>
      </c>
      <c r="AT336" s="152" t="s">
        <v>3013</v>
      </c>
      <c r="AU336" s="152" t="s">
        <v>3014</v>
      </c>
      <c r="AV336" s="152">
        <v>596.23</v>
      </c>
      <c r="AW336" s="152">
        <v>674203</v>
      </c>
      <c r="AX336" s="152" t="s">
        <v>856</v>
      </c>
      <c r="AY336" s="152" t="s">
        <v>856</v>
      </c>
      <c r="AZ336" s="152" t="s">
        <v>864</v>
      </c>
      <c r="BA336" s="152" t="s">
        <v>3012</v>
      </c>
      <c r="BB336" s="152">
        <v>0</v>
      </c>
      <c r="BC336" s="157">
        <v>43342</v>
      </c>
      <c r="BD336" s="157">
        <v>43342</v>
      </c>
      <c r="BE336" s="158">
        <v>118300</v>
      </c>
      <c r="BG336" s="152" t="s">
        <v>2033</v>
      </c>
      <c r="BK336" s="152" t="s">
        <v>132</v>
      </c>
      <c r="BN336" s="157" t="s">
        <v>1453</v>
      </c>
    </row>
    <row r="337" spans="1:66">
      <c r="A337" s="152" t="s">
        <v>3016</v>
      </c>
      <c r="B337" s="152" t="s">
        <v>3017</v>
      </c>
      <c r="C337" s="152" t="s">
        <v>3018</v>
      </c>
      <c r="D337" s="152" t="s">
        <v>3019</v>
      </c>
      <c r="E337" s="152" t="s">
        <v>3020</v>
      </c>
      <c r="F337" s="152">
        <v>43</v>
      </c>
      <c r="G337" s="152">
        <v>43</v>
      </c>
      <c r="H337" s="152" t="s">
        <v>3021</v>
      </c>
      <c r="I337" s="152">
        <v>196853</v>
      </c>
      <c r="J337" s="152">
        <v>148.13999999999999</v>
      </c>
      <c r="K337" s="152">
        <v>84791</v>
      </c>
      <c r="L337" s="159" t="s">
        <v>3022</v>
      </c>
      <c r="M337" s="152" t="s">
        <v>92</v>
      </c>
      <c r="N337" s="152" t="s">
        <v>883</v>
      </c>
      <c r="O337" s="159">
        <v>4320</v>
      </c>
      <c r="P337" s="159" t="s">
        <v>3023</v>
      </c>
      <c r="Q337" s="152" t="s">
        <v>883</v>
      </c>
      <c r="R337" s="152" t="s">
        <v>92</v>
      </c>
      <c r="S337" s="159">
        <v>11909</v>
      </c>
      <c r="T337" s="159" t="s">
        <v>856</v>
      </c>
      <c r="U337" s="159" t="s">
        <v>856</v>
      </c>
      <c r="V337" s="152" t="s">
        <v>857</v>
      </c>
      <c r="W337" s="152" t="s">
        <v>858</v>
      </c>
      <c r="X337" s="152" t="s">
        <v>1083</v>
      </c>
      <c r="Y337" s="152">
        <v>18.899999999999999</v>
      </c>
      <c r="Z337" s="152">
        <v>1</v>
      </c>
      <c r="AA337" s="152" t="s">
        <v>92</v>
      </c>
      <c r="AB337" s="152">
        <v>132.82</v>
      </c>
      <c r="AC337" s="152">
        <v>1</v>
      </c>
      <c r="AD337" s="152" t="s">
        <v>861</v>
      </c>
      <c r="AE337" s="152">
        <v>132.82</v>
      </c>
      <c r="AF337" s="152">
        <v>0</v>
      </c>
      <c r="AG337" s="152" t="s">
        <v>861</v>
      </c>
      <c r="AH337" s="152" t="s">
        <v>861</v>
      </c>
      <c r="AI337" s="152" t="s">
        <v>92</v>
      </c>
      <c r="AJ337" s="152" t="s">
        <v>92</v>
      </c>
      <c r="AK337" s="152" t="s">
        <v>884</v>
      </c>
      <c r="AL337" s="159" t="s">
        <v>856</v>
      </c>
      <c r="AP337" s="159" t="s">
        <v>856</v>
      </c>
      <c r="AQ337" s="159" t="s">
        <v>856</v>
      </c>
      <c r="AR337" s="159" t="s">
        <v>863</v>
      </c>
      <c r="AS337" s="159" t="s">
        <v>865</v>
      </c>
      <c r="AT337" s="152" t="str">
        <f>B337</f>
        <v>VUP8-040718</v>
      </c>
      <c r="AU337" s="152" t="str">
        <f>C337</f>
        <v>SANTOS JUANA PEREZ Y PEREZ DE PEREZ</v>
      </c>
      <c r="AV337" s="159">
        <v>1375.87</v>
      </c>
      <c r="AW337" s="159">
        <v>672114</v>
      </c>
      <c r="AX337" s="159">
        <v>230.44</v>
      </c>
      <c r="AY337" s="159">
        <v>672115</v>
      </c>
      <c r="AZ337" s="152" t="s">
        <v>864</v>
      </c>
      <c r="BA337" s="152" t="str">
        <f t="shared" ref="BA337:BA366" si="27">A337</f>
        <v>L18-509-HI031</v>
      </c>
      <c r="BB337" s="152">
        <v>15</v>
      </c>
      <c r="BC337" s="157">
        <v>43312</v>
      </c>
      <c r="BD337" s="157">
        <v>43251</v>
      </c>
      <c r="BE337" s="158">
        <v>272255</v>
      </c>
      <c r="BF337" s="152" t="s">
        <v>3024</v>
      </c>
      <c r="BG337" s="159" t="s">
        <v>3025</v>
      </c>
      <c r="BH337" s="152">
        <v>132.82</v>
      </c>
      <c r="BI337" s="152">
        <v>0</v>
      </c>
      <c r="BJ337" s="152">
        <v>0</v>
      </c>
      <c r="BK337" s="152" t="s">
        <v>132</v>
      </c>
      <c r="BL337" s="152">
        <v>132.82</v>
      </c>
      <c r="BM337" s="152">
        <v>672116</v>
      </c>
      <c r="BN337" s="157" t="s">
        <v>1453</v>
      </c>
    </row>
    <row r="338" spans="1:66">
      <c r="A338" s="152" t="s">
        <v>3026</v>
      </c>
      <c r="B338" s="152" t="s">
        <v>3027</v>
      </c>
      <c r="C338" s="152" t="s">
        <v>3028</v>
      </c>
      <c r="D338" s="152" t="s">
        <v>3029</v>
      </c>
      <c r="E338" s="152" t="s">
        <v>3029</v>
      </c>
      <c r="F338" s="159" t="s">
        <v>856</v>
      </c>
      <c r="G338" s="159" t="s">
        <v>856</v>
      </c>
      <c r="H338" s="159" t="s">
        <v>856</v>
      </c>
      <c r="I338" s="152">
        <v>194085</v>
      </c>
      <c r="J338" s="152">
        <v>53</v>
      </c>
      <c r="K338" s="152">
        <v>82923</v>
      </c>
      <c r="L338" s="159" t="s">
        <v>856</v>
      </c>
      <c r="M338" s="152" t="s">
        <v>92</v>
      </c>
      <c r="N338" s="152" t="s">
        <v>92</v>
      </c>
      <c r="O338" s="159" t="s">
        <v>856</v>
      </c>
      <c r="P338" s="159" t="s">
        <v>856</v>
      </c>
      <c r="Q338" s="152" t="s">
        <v>92</v>
      </c>
      <c r="R338" s="152" t="s">
        <v>92</v>
      </c>
      <c r="S338" s="159" t="s">
        <v>856</v>
      </c>
      <c r="T338" s="159" t="s">
        <v>856</v>
      </c>
      <c r="U338" s="159" t="s">
        <v>856</v>
      </c>
      <c r="V338" s="152" t="s">
        <v>1550</v>
      </c>
      <c r="W338" s="152" t="s">
        <v>858</v>
      </c>
      <c r="X338" s="152" t="s">
        <v>1083</v>
      </c>
      <c r="Y338" s="152">
        <v>0</v>
      </c>
      <c r="Z338" s="152">
        <v>0</v>
      </c>
      <c r="AA338" s="152" t="s">
        <v>883</v>
      </c>
      <c r="AB338" s="152">
        <v>28.76</v>
      </c>
      <c r="AC338" s="152">
        <v>3</v>
      </c>
      <c r="AD338" s="152" t="s">
        <v>861</v>
      </c>
      <c r="AE338" s="152">
        <v>28.76</v>
      </c>
      <c r="AF338" s="152">
        <v>0</v>
      </c>
      <c r="AG338" s="152" t="s">
        <v>861</v>
      </c>
      <c r="AH338" s="152" t="s">
        <v>861</v>
      </c>
      <c r="AI338" s="152" t="s">
        <v>92</v>
      </c>
      <c r="AJ338" s="152" t="s">
        <v>92</v>
      </c>
      <c r="AK338" s="152" t="s">
        <v>884</v>
      </c>
      <c r="AL338" s="159" t="s">
        <v>856</v>
      </c>
      <c r="AP338" s="159" t="s">
        <v>856</v>
      </c>
      <c r="AQ338" s="159" t="s">
        <v>856</v>
      </c>
      <c r="AR338" s="159" t="s">
        <v>1953</v>
      </c>
      <c r="AS338" s="159" t="s">
        <v>865</v>
      </c>
      <c r="AT338" s="152" t="str">
        <f t="shared" si="25"/>
        <v>RPM6-150818</v>
      </c>
      <c r="AU338" s="152" t="str">
        <f t="shared" si="26"/>
        <v>NOE ELIAS NEFTALI MEJIA JUANTA Y CDUEÑA</v>
      </c>
      <c r="AV338" s="159">
        <v>434.85</v>
      </c>
      <c r="AW338" s="159">
        <v>703578</v>
      </c>
      <c r="AX338" s="159" t="s">
        <v>856</v>
      </c>
      <c r="AY338" s="159" t="s">
        <v>856</v>
      </c>
      <c r="AZ338" s="152" t="s">
        <v>864</v>
      </c>
      <c r="BA338" s="152" t="str">
        <f t="shared" si="27"/>
        <v>L18-727-HI034</v>
      </c>
      <c r="BB338" s="152">
        <v>0</v>
      </c>
      <c r="BC338" s="157">
        <v>43392</v>
      </c>
      <c r="BD338" s="157">
        <v>43392</v>
      </c>
      <c r="BE338" s="158">
        <v>86280</v>
      </c>
      <c r="BG338" s="159" t="s">
        <v>2033</v>
      </c>
      <c r="BK338" s="152" t="s">
        <v>132</v>
      </c>
      <c r="BN338" s="157" t="s">
        <v>1453</v>
      </c>
    </row>
    <row r="339" spans="1:66">
      <c r="A339" s="152" t="s">
        <v>3030</v>
      </c>
      <c r="B339" s="152" t="s">
        <v>3031</v>
      </c>
      <c r="C339" s="152" t="s">
        <v>3032</v>
      </c>
      <c r="D339" s="152" t="s">
        <v>3033</v>
      </c>
      <c r="E339" s="152" t="s">
        <v>3034</v>
      </c>
      <c r="F339" s="152">
        <v>334578</v>
      </c>
      <c r="G339" s="152">
        <v>278</v>
      </c>
      <c r="H339" s="152">
        <v>832</v>
      </c>
      <c r="I339" s="152">
        <v>196020</v>
      </c>
      <c r="J339" s="152">
        <v>123.38</v>
      </c>
      <c r="K339" s="152">
        <v>84320</v>
      </c>
      <c r="L339" s="159" t="s">
        <v>971</v>
      </c>
      <c r="M339" s="152" t="s">
        <v>92</v>
      </c>
      <c r="N339" s="152" t="s">
        <v>883</v>
      </c>
      <c r="O339" s="159">
        <v>4445</v>
      </c>
      <c r="P339" s="159" t="s">
        <v>971</v>
      </c>
      <c r="Q339" s="152" t="s">
        <v>92</v>
      </c>
      <c r="R339" s="152" t="s">
        <v>883</v>
      </c>
      <c r="S339" s="159">
        <v>4445</v>
      </c>
      <c r="T339" s="159" t="s">
        <v>856</v>
      </c>
      <c r="U339" s="159" t="s">
        <v>856</v>
      </c>
      <c r="V339" s="152" t="s">
        <v>857</v>
      </c>
      <c r="W339" s="152" t="s">
        <v>858</v>
      </c>
      <c r="X339" s="152" t="s">
        <v>1083</v>
      </c>
      <c r="Y339" s="152">
        <v>58.68</v>
      </c>
      <c r="Z339" s="152">
        <v>1</v>
      </c>
      <c r="AA339" s="152" t="s">
        <v>92</v>
      </c>
      <c r="AB339" s="152">
        <v>163.31</v>
      </c>
      <c r="AC339" s="152">
        <v>2</v>
      </c>
      <c r="AD339" s="152" t="s">
        <v>861</v>
      </c>
      <c r="AE339" s="152">
        <v>163.31</v>
      </c>
      <c r="AF339" s="152">
        <v>0</v>
      </c>
      <c r="AG339" s="152" t="s">
        <v>861</v>
      </c>
      <c r="AH339" s="152" t="s">
        <v>861</v>
      </c>
      <c r="AI339" s="152" t="s">
        <v>92</v>
      </c>
      <c r="AJ339" s="152" t="s">
        <v>92</v>
      </c>
      <c r="AK339" s="152" t="s">
        <v>872</v>
      </c>
      <c r="AL339" s="159" t="s">
        <v>856</v>
      </c>
      <c r="AP339" s="159" t="s">
        <v>856</v>
      </c>
      <c r="AQ339" s="159" t="s">
        <v>856</v>
      </c>
      <c r="AR339" s="159" t="s">
        <v>885</v>
      </c>
      <c r="AS339" s="159" t="s">
        <v>865</v>
      </c>
      <c r="AT339" s="152" t="str">
        <f t="shared" si="25"/>
        <v>VUQ3-030918</v>
      </c>
      <c r="AU339" s="152" t="str">
        <f t="shared" si="26"/>
        <v>FRANCISCO JOSE QUIJIVIX RODAS</v>
      </c>
      <c r="AV339" s="159">
        <v>2172.7199999999998</v>
      </c>
      <c r="AW339" s="159">
        <v>702844</v>
      </c>
      <c r="AX339" s="159">
        <v>194.6</v>
      </c>
      <c r="AY339" s="159">
        <v>702841</v>
      </c>
      <c r="AZ339" s="152" t="s">
        <v>864</v>
      </c>
      <c r="BA339" s="152" t="str">
        <f t="shared" si="27"/>
        <v>L18-722-JM078</v>
      </c>
      <c r="BB339" s="152">
        <v>24</v>
      </c>
      <c r="BC339" s="157">
        <v>43397</v>
      </c>
      <c r="BD339" s="157">
        <v>43762</v>
      </c>
      <c r="BE339" s="158">
        <v>428813</v>
      </c>
      <c r="BF339" s="152" t="s">
        <v>3035</v>
      </c>
      <c r="BG339" s="159" t="s">
        <v>3036</v>
      </c>
      <c r="BH339" s="152">
        <v>163.31</v>
      </c>
      <c r="BI339" s="152">
        <v>0</v>
      </c>
      <c r="BJ339" s="152">
        <v>0</v>
      </c>
      <c r="BK339" s="152" t="s">
        <v>132</v>
      </c>
      <c r="BL339" s="152">
        <v>163.31</v>
      </c>
      <c r="BM339" s="152">
        <v>702843</v>
      </c>
      <c r="BN339" s="157" t="s">
        <v>1453</v>
      </c>
    </row>
    <row r="340" spans="1:66">
      <c r="A340" s="152" t="s">
        <v>3037</v>
      </c>
      <c r="B340" s="152" t="s">
        <v>3038</v>
      </c>
      <c r="C340" s="152" t="s">
        <v>2942</v>
      </c>
      <c r="D340" s="152" t="s">
        <v>2943</v>
      </c>
      <c r="E340" s="152" t="s">
        <v>2943</v>
      </c>
      <c r="F340" s="152">
        <v>68115</v>
      </c>
      <c r="G340" s="152">
        <v>141</v>
      </c>
      <c r="H340" s="152">
        <v>324</v>
      </c>
      <c r="I340" s="152">
        <v>6053</v>
      </c>
      <c r="J340" s="152">
        <v>13677.55</v>
      </c>
      <c r="K340" s="152">
        <v>84774</v>
      </c>
      <c r="L340" s="159" t="s">
        <v>3039</v>
      </c>
      <c r="M340" s="152" t="s">
        <v>92</v>
      </c>
      <c r="N340" s="152" t="s">
        <v>883</v>
      </c>
      <c r="O340" s="159">
        <v>2749</v>
      </c>
      <c r="P340" s="159" t="s">
        <v>3039</v>
      </c>
      <c r="Q340" s="152" t="s">
        <v>92</v>
      </c>
      <c r="R340" s="152" t="s">
        <v>883</v>
      </c>
      <c r="S340" s="159">
        <v>2749</v>
      </c>
      <c r="T340" s="159" t="s">
        <v>1764</v>
      </c>
      <c r="U340" s="159" t="s">
        <v>3040</v>
      </c>
      <c r="V340" s="152" t="s">
        <v>3041</v>
      </c>
      <c r="W340" s="152" t="s">
        <v>3042</v>
      </c>
      <c r="X340" s="152" t="s">
        <v>3043</v>
      </c>
      <c r="Y340" s="152">
        <v>0</v>
      </c>
      <c r="Z340" s="152">
        <v>2</v>
      </c>
      <c r="AA340" s="152" t="s">
        <v>92</v>
      </c>
      <c r="AB340" s="152">
        <v>1907.6</v>
      </c>
      <c r="AC340" s="152">
        <v>2</v>
      </c>
      <c r="AD340" s="152" t="s">
        <v>861</v>
      </c>
      <c r="AE340" s="152">
        <v>0</v>
      </c>
      <c r="AF340" s="152">
        <v>1907.6</v>
      </c>
      <c r="AG340" s="152" t="s">
        <v>861</v>
      </c>
      <c r="AH340" s="152" t="s">
        <v>861</v>
      </c>
      <c r="AI340" s="152" t="s">
        <v>92</v>
      </c>
      <c r="AJ340" s="152" t="s">
        <v>92</v>
      </c>
      <c r="AK340" s="152" t="s">
        <v>862</v>
      </c>
      <c r="AL340" s="159" t="s">
        <v>856</v>
      </c>
      <c r="AP340" s="159" t="s">
        <v>856</v>
      </c>
      <c r="AQ340" s="159" t="s">
        <v>856</v>
      </c>
      <c r="AR340" s="159" t="s">
        <v>863</v>
      </c>
      <c r="AS340" s="159" t="s">
        <v>865</v>
      </c>
      <c r="AT340" s="152" t="str">
        <f t="shared" si="25"/>
        <v>VUI9-010218</v>
      </c>
      <c r="AU340" s="152" t="str">
        <f t="shared" si="26"/>
        <v>IGLESIA CATOLICA DE GUATEMALA ARQ DE QUETGO.</v>
      </c>
      <c r="AV340" s="159">
        <v>26706.400000000001</v>
      </c>
      <c r="AW340" s="159">
        <v>661719</v>
      </c>
      <c r="AX340" s="159">
        <v>3158.4</v>
      </c>
      <c r="AY340" s="159">
        <v>661720</v>
      </c>
      <c r="AZ340" s="152" t="s">
        <v>864</v>
      </c>
      <c r="BA340" s="152" t="str">
        <f t="shared" si="27"/>
        <v>L18-061-HI025</v>
      </c>
      <c r="BB340" s="152">
        <v>24</v>
      </c>
      <c r="BC340" s="157">
        <v>43157</v>
      </c>
      <c r="BD340" s="157">
        <v>43522</v>
      </c>
      <c r="BE340" s="158">
        <v>4769000</v>
      </c>
      <c r="BF340" s="152" t="s">
        <v>3044</v>
      </c>
      <c r="BG340" s="159" t="s">
        <v>3045</v>
      </c>
      <c r="BH340" s="152">
        <v>0</v>
      </c>
      <c r="BI340" s="152">
        <v>0</v>
      </c>
      <c r="BJ340" s="152">
        <v>1907.6</v>
      </c>
      <c r="BK340" s="152" t="s">
        <v>958</v>
      </c>
      <c r="BL340" s="152">
        <v>2384.5</v>
      </c>
      <c r="BM340" s="152">
        <v>661721</v>
      </c>
      <c r="BN340" s="157">
        <v>44253</v>
      </c>
    </row>
    <row r="341" spans="1:66">
      <c r="A341" s="152" t="s">
        <v>3046</v>
      </c>
      <c r="B341" s="152" t="s">
        <v>3047</v>
      </c>
      <c r="C341" s="152" t="s">
        <v>2932</v>
      </c>
      <c r="D341" s="152" t="s">
        <v>2933</v>
      </c>
      <c r="E341" s="152" t="s">
        <v>2933</v>
      </c>
      <c r="F341" s="152">
        <v>64010</v>
      </c>
      <c r="G341" s="152">
        <v>10</v>
      </c>
      <c r="H341" s="152">
        <v>312</v>
      </c>
      <c r="I341" s="152">
        <v>6054</v>
      </c>
      <c r="J341" s="152">
        <v>20962.150000000001</v>
      </c>
      <c r="K341" s="152">
        <v>73262</v>
      </c>
      <c r="L341" s="159" t="s">
        <v>3039</v>
      </c>
      <c r="M341" s="152" t="s">
        <v>92</v>
      </c>
      <c r="N341" s="152" t="s">
        <v>883</v>
      </c>
      <c r="O341" s="159">
        <v>2749</v>
      </c>
      <c r="P341" s="159" t="s">
        <v>3039</v>
      </c>
      <c r="Q341" s="152" t="s">
        <v>92</v>
      </c>
      <c r="R341" s="152" t="s">
        <v>883</v>
      </c>
      <c r="S341" s="159">
        <v>2749</v>
      </c>
      <c r="T341" s="159" t="s">
        <v>1764</v>
      </c>
      <c r="U341" s="159" t="s">
        <v>3040</v>
      </c>
      <c r="V341" s="152" t="s">
        <v>3048</v>
      </c>
      <c r="W341" s="152" t="s">
        <v>3042</v>
      </c>
      <c r="X341" s="152" t="s">
        <v>1083</v>
      </c>
      <c r="Y341" s="152">
        <v>0</v>
      </c>
      <c r="Z341" s="152">
        <v>1</v>
      </c>
      <c r="AA341" s="152" t="s">
        <v>92</v>
      </c>
      <c r="AB341" s="152">
        <v>173.7</v>
      </c>
      <c r="AC341" s="152">
        <v>1</v>
      </c>
      <c r="AD341" s="152" t="s">
        <v>861</v>
      </c>
      <c r="AE341" s="152">
        <v>0</v>
      </c>
      <c r="AF341" s="152">
        <v>173.7</v>
      </c>
      <c r="AG341" s="152" t="s">
        <v>861</v>
      </c>
      <c r="AH341" s="152" t="s">
        <v>861</v>
      </c>
      <c r="AI341" s="152" t="s">
        <v>92</v>
      </c>
      <c r="AJ341" s="152" t="s">
        <v>92</v>
      </c>
      <c r="AK341" s="152" t="s">
        <v>862</v>
      </c>
      <c r="AL341" s="159" t="s">
        <v>856</v>
      </c>
      <c r="AP341" s="159" t="s">
        <v>856</v>
      </c>
      <c r="AQ341" s="159" t="s">
        <v>856</v>
      </c>
      <c r="AR341" s="159" t="s">
        <v>863</v>
      </c>
      <c r="AS341" s="159" t="s">
        <v>865</v>
      </c>
      <c r="AT341" s="152" t="str">
        <f t="shared" si="25"/>
        <v>VUI9-020218</v>
      </c>
      <c r="AU341" s="152" t="str">
        <f t="shared" si="26"/>
        <v>INSTITUTO CATOLICO DE CAPACITACION</v>
      </c>
      <c r="AV341" s="159">
        <v>2431.8000000000002</v>
      </c>
      <c r="AW341" s="159">
        <v>661723</v>
      </c>
      <c r="AX341" s="159">
        <v>8631</v>
      </c>
      <c r="AY341" s="159">
        <v>661724</v>
      </c>
      <c r="AZ341" s="152" t="s">
        <v>864</v>
      </c>
      <c r="BA341" s="152" t="str">
        <f t="shared" si="27"/>
        <v>L18-060-HI024</v>
      </c>
      <c r="BB341" s="152">
        <v>24</v>
      </c>
      <c r="BC341" s="157">
        <v>43157</v>
      </c>
      <c r="BD341" s="157">
        <v>43522</v>
      </c>
      <c r="BE341" s="158">
        <v>434250</v>
      </c>
      <c r="BF341" s="152" t="s">
        <v>3049</v>
      </c>
      <c r="BG341" s="159" t="s">
        <v>3045</v>
      </c>
      <c r="BH341" s="152">
        <v>0</v>
      </c>
      <c r="BI341" s="152">
        <v>0</v>
      </c>
      <c r="BJ341" s="152">
        <v>173.7</v>
      </c>
      <c r="BK341" s="152" t="s">
        <v>958</v>
      </c>
      <c r="BL341" s="152">
        <v>217.13</v>
      </c>
      <c r="BM341" s="152">
        <v>661722</v>
      </c>
      <c r="BN341" s="157">
        <v>44253</v>
      </c>
    </row>
    <row r="342" spans="1:66">
      <c r="A342" s="152" t="s">
        <v>3050</v>
      </c>
      <c r="B342" s="152" t="s">
        <v>3051</v>
      </c>
      <c r="C342" s="152" t="s">
        <v>3052</v>
      </c>
      <c r="D342" s="152" t="s">
        <v>3053</v>
      </c>
      <c r="E342" s="152" t="s">
        <v>3053</v>
      </c>
      <c r="F342" s="152">
        <v>66315</v>
      </c>
      <c r="G342" s="152">
        <v>131</v>
      </c>
      <c r="H342" s="152">
        <v>318</v>
      </c>
      <c r="I342" s="152">
        <v>2105</v>
      </c>
      <c r="J342" s="152">
        <v>184.46</v>
      </c>
      <c r="K342" s="152">
        <v>32108</v>
      </c>
      <c r="L342" s="159" t="s">
        <v>2612</v>
      </c>
      <c r="M342" s="152" t="s">
        <v>92</v>
      </c>
      <c r="N342" s="152" t="s">
        <v>883</v>
      </c>
      <c r="O342" s="159">
        <v>2778</v>
      </c>
      <c r="P342" s="159" t="s">
        <v>3054</v>
      </c>
      <c r="Q342" s="152" t="s">
        <v>92</v>
      </c>
      <c r="R342" s="152" t="s">
        <v>883</v>
      </c>
      <c r="S342" s="159">
        <v>2909</v>
      </c>
      <c r="T342" s="159" t="s">
        <v>856</v>
      </c>
      <c r="U342" s="159" t="s">
        <v>856</v>
      </c>
      <c r="V342" s="152" t="s">
        <v>3058</v>
      </c>
      <c r="W342" s="152" t="s">
        <v>858</v>
      </c>
      <c r="X342" s="152" t="s">
        <v>1083</v>
      </c>
      <c r="Y342" s="152">
        <v>0</v>
      </c>
      <c r="Z342" s="152">
        <v>1</v>
      </c>
      <c r="AA342" s="152" t="s">
        <v>92</v>
      </c>
      <c r="AB342" s="152">
        <v>238.5</v>
      </c>
      <c r="AC342" s="152">
        <v>4</v>
      </c>
      <c r="AD342" s="152" t="s">
        <v>861</v>
      </c>
      <c r="AE342" s="152">
        <v>201.29</v>
      </c>
      <c r="AF342" s="152">
        <v>37.21</v>
      </c>
      <c r="AG342" s="152">
        <v>18.45</v>
      </c>
      <c r="AH342" s="152" t="s">
        <v>861</v>
      </c>
      <c r="AI342" s="152" t="s">
        <v>92</v>
      </c>
      <c r="AJ342" s="152" t="s">
        <v>92</v>
      </c>
      <c r="AK342" s="152" t="s">
        <v>1085</v>
      </c>
      <c r="AL342" s="159" t="s">
        <v>856</v>
      </c>
      <c r="AP342" s="159" t="s">
        <v>856</v>
      </c>
      <c r="AQ342" s="159" t="s">
        <v>856</v>
      </c>
      <c r="AR342" s="159" t="s">
        <v>863</v>
      </c>
      <c r="AS342" s="159" t="s">
        <v>865</v>
      </c>
      <c r="AT342" s="152" t="str">
        <f t="shared" si="25"/>
        <v>RPNB3-090522</v>
      </c>
      <c r="AU342" s="152" t="str">
        <f t="shared" si="26"/>
        <v>JUANA TEREZA BATZ TZOC</v>
      </c>
      <c r="AV342" s="159">
        <v>3824.91</v>
      </c>
      <c r="AW342" s="159">
        <v>808391</v>
      </c>
      <c r="AX342" s="159" t="s">
        <v>856</v>
      </c>
      <c r="AY342" s="159" t="s">
        <v>856</v>
      </c>
      <c r="AZ342" s="152" t="s">
        <v>864</v>
      </c>
      <c r="BA342" s="152" t="str">
        <f t="shared" si="27"/>
        <v>L22-464-JC007</v>
      </c>
      <c r="BB342" s="152">
        <v>0</v>
      </c>
      <c r="BC342" s="157">
        <v>44708</v>
      </c>
      <c r="BD342" s="157">
        <v>44708</v>
      </c>
      <c r="BE342" s="158">
        <v>696895</v>
      </c>
      <c r="BF342" s="152" t="s">
        <v>3055</v>
      </c>
      <c r="BG342" s="159" t="s">
        <v>3056</v>
      </c>
      <c r="BH342" s="152">
        <v>201.29</v>
      </c>
      <c r="BI342" s="152">
        <v>37.21</v>
      </c>
      <c r="BJ342" s="152">
        <v>0</v>
      </c>
      <c r="BK342" s="152" t="s">
        <v>995</v>
      </c>
      <c r="BL342" s="152">
        <v>247.8</v>
      </c>
      <c r="BM342" s="152">
        <v>808392</v>
      </c>
      <c r="BN342" s="157" t="s">
        <v>3057</v>
      </c>
    </row>
    <row r="343" spans="1:66">
      <c r="A343" s="152" t="s">
        <v>3059</v>
      </c>
      <c r="B343" s="152" t="s">
        <v>3060</v>
      </c>
      <c r="C343" s="152" t="s">
        <v>3061</v>
      </c>
      <c r="D343" s="152" t="s">
        <v>3062</v>
      </c>
      <c r="E343" s="152" t="s">
        <v>3063</v>
      </c>
      <c r="F343" s="152">
        <v>5636</v>
      </c>
      <c r="G343" s="152">
        <v>136</v>
      </c>
      <c r="H343" s="152" t="s">
        <v>1704</v>
      </c>
      <c r="I343" s="152">
        <v>173981</v>
      </c>
      <c r="J343" s="152">
        <v>128</v>
      </c>
      <c r="K343" s="159" t="s">
        <v>865</v>
      </c>
      <c r="L343" s="159" t="s">
        <v>3064</v>
      </c>
      <c r="M343" s="152" t="s">
        <v>92</v>
      </c>
      <c r="N343" s="152" t="s">
        <v>883</v>
      </c>
      <c r="O343" s="159">
        <v>4262</v>
      </c>
      <c r="P343" s="159" t="s">
        <v>3064</v>
      </c>
      <c r="Q343" s="152" t="s">
        <v>92</v>
      </c>
      <c r="R343" s="152" t="s">
        <v>883</v>
      </c>
      <c r="S343" s="159">
        <v>4262</v>
      </c>
      <c r="T343" s="159" t="s">
        <v>3065</v>
      </c>
      <c r="U343" s="159" t="s">
        <v>3066</v>
      </c>
      <c r="V343" s="152" t="s">
        <v>857</v>
      </c>
      <c r="W343" s="152" t="s">
        <v>858</v>
      </c>
      <c r="X343" s="152" t="s">
        <v>1083</v>
      </c>
      <c r="Y343" s="152">
        <v>60.77</v>
      </c>
      <c r="Z343" s="152">
        <v>1</v>
      </c>
      <c r="AA343" s="152" t="s">
        <v>92</v>
      </c>
      <c r="AB343" s="152">
        <v>209.85</v>
      </c>
      <c r="AC343" s="152">
        <v>2</v>
      </c>
      <c r="AD343" s="152" t="s">
        <v>861</v>
      </c>
      <c r="AE343" s="152">
        <v>209.85</v>
      </c>
      <c r="AF343" s="152">
        <v>0</v>
      </c>
      <c r="AG343" s="152" t="s">
        <v>861</v>
      </c>
      <c r="AH343" s="152" t="s">
        <v>861</v>
      </c>
      <c r="AI343" s="152" t="s">
        <v>92</v>
      </c>
      <c r="AJ343" s="152" t="s">
        <v>92</v>
      </c>
      <c r="AK343" s="152" t="s">
        <v>862</v>
      </c>
      <c r="AL343" s="159" t="s">
        <v>856</v>
      </c>
      <c r="AP343" s="159" t="s">
        <v>856</v>
      </c>
      <c r="AQ343" s="159" t="s">
        <v>856</v>
      </c>
      <c r="AR343" s="159" t="s">
        <v>863</v>
      </c>
      <c r="AS343" s="159" t="s">
        <v>865</v>
      </c>
      <c r="AT343" s="152" t="str">
        <f t="shared" si="25"/>
        <v>VUD5-030718</v>
      </c>
      <c r="AU343" s="152" t="str">
        <f t="shared" si="26"/>
        <v>DEXTRA, S. A.</v>
      </c>
      <c r="AV343" s="159">
        <v>2789.62</v>
      </c>
      <c r="AW343" s="159">
        <v>675840</v>
      </c>
      <c r="AX343" s="159">
        <v>224</v>
      </c>
      <c r="AY343" s="159">
        <v>675838</v>
      </c>
      <c r="AZ343" s="152" t="s">
        <v>864</v>
      </c>
      <c r="BA343" s="152" t="str">
        <f t="shared" si="27"/>
        <v>L18-540-WV051</v>
      </c>
      <c r="BB343" s="152">
        <v>24</v>
      </c>
      <c r="BC343" s="157">
        <v>43326</v>
      </c>
      <c r="BD343" s="157">
        <v>43691</v>
      </c>
      <c r="BE343" s="158">
        <v>546774.5</v>
      </c>
      <c r="BF343" s="152" t="s">
        <v>3067</v>
      </c>
      <c r="BG343" s="159" t="s">
        <v>875</v>
      </c>
      <c r="BH343" s="152">
        <v>209.85</v>
      </c>
      <c r="BI343" s="152">
        <v>0</v>
      </c>
      <c r="BJ343" s="152">
        <v>0</v>
      </c>
      <c r="BK343" s="152" t="s">
        <v>132</v>
      </c>
      <c r="BL343" s="152">
        <v>209.85</v>
      </c>
      <c r="BM343" s="152">
        <v>675839</v>
      </c>
      <c r="BN343" s="157" t="s">
        <v>1453</v>
      </c>
    </row>
    <row r="344" spans="1:66">
      <c r="A344" s="152" t="s">
        <v>3068</v>
      </c>
      <c r="B344" s="152" t="s">
        <v>3069</v>
      </c>
      <c r="C344" s="152" t="s">
        <v>3070</v>
      </c>
      <c r="D344" s="152" t="s">
        <v>3071</v>
      </c>
      <c r="E344" s="152" t="s">
        <v>3071</v>
      </c>
      <c r="F344" s="159" t="s">
        <v>856</v>
      </c>
      <c r="G344" s="159" t="s">
        <v>856</v>
      </c>
      <c r="H344" s="159" t="s">
        <v>856</v>
      </c>
      <c r="I344" s="152">
        <v>199691</v>
      </c>
      <c r="J344" s="152">
        <v>80.069999999999993</v>
      </c>
      <c r="K344" s="152">
        <v>87074</v>
      </c>
      <c r="L344" s="159" t="s">
        <v>856</v>
      </c>
      <c r="M344" s="152" t="s">
        <v>92</v>
      </c>
      <c r="N344" s="152" t="s">
        <v>92</v>
      </c>
      <c r="O344" s="159" t="s">
        <v>856</v>
      </c>
      <c r="P344" s="159" t="s">
        <v>856</v>
      </c>
      <c r="Q344" s="152" t="s">
        <v>92</v>
      </c>
      <c r="R344" s="152" t="s">
        <v>92</v>
      </c>
      <c r="S344" s="159" t="s">
        <v>856</v>
      </c>
      <c r="T344" s="159" t="s">
        <v>856</v>
      </c>
      <c r="U344" s="159" t="s">
        <v>856</v>
      </c>
      <c r="V344" s="152" t="s">
        <v>857</v>
      </c>
      <c r="W344" s="152" t="s">
        <v>858</v>
      </c>
      <c r="X344" s="152" t="s">
        <v>1083</v>
      </c>
      <c r="Y344" s="152">
        <v>0</v>
      </c>
      <c r="Z344" s="152">
        <v>1</v>
      </c>
      <c r="AA344" s="152" t="s">
        <v>92</v>
      </c>
      <c r="AB344" s="152">
        <v>80.069999999999993</v>
      </c>
      <c r="AC344" s="152">
        <v>1</v>
      </c>
      <c r="AD344" s="152" t="s">
        <v>861</v>
      </c>
      <c r="AE344" s="152">
        <v>80.069999999999993</v>
      </c>
      <c r="AF344" s="152">
        <v>0</v>
      </c>
      <c r="AG344" s="152" t="s">
        <v>861</v>
      </c>
      <c r="AH344" s="152" t="s">
        <v>861</v>
      </c>
      <c r="AI344" s="152" t="s">
        <v>92</v>
      </c>
      <c r="AJ344" s="152" t="s">
        <v>92</v>
      </c>
      <c r="AK344" s="152" t="s">
        <v>912</v>
      </c>
      <c r="AL344" s="159" t="s">
        <v>856</v>
      </c>
      <c r="AP344" s="159" t="s">
        <v>856</v>
      </c>
      <c r="AQ344" s="159" t="s">
        <v>856</v>
      </c>
      <c r="AR344" s="159" t="s">
        <v>863</v>
      </c>
      <c r="AS344" s="159" t="s">
        <v>865</v>
      </c>
      <c r="AT344" s="152" t="str">
        <f t="shared" si="25"/>
        <v>RPP10-020119</v>
      </c>
      <c r="AU344" s="152" t="str">
        <f t="shared" si="26"/>
        <v>HENRY EZEQUIEL POS PEREZ</v>
      </c>
      <c r="AV344" s="159">
        <v>807.11</v>
      </c>
      <c r="AW344" s="159">
        <v>708070</v>
      </c>
      <c r="AX344" s="159" t="s">
        <v>856</v>
      </c>
      <c r="AY344" s="159" t="s">
        <v>856</v>
      </c>
      <c r="AZ344" s="152" t="s">
        <v>864</v>
      </c>
      <c r="BA344" s="152" t="str">
        <f t="shared" si="27"/>
        <v>L19-703-WV022</v>
      </c>
      <c r="BB344" s="152">
        <v>0</v>
      </c>
      <c r="BC344" s="157">
        <v>43530</v>
      </c>
      <c r="BD344" s="157">
        <v>43530</v>
      </c>
      <c r="BE344" s="158">
        <v>160140</v>
      </c>
      <c r="BG344" s="159" t="s">
        <v>2033</v>
      </c>
      <c r="BK344" s="152" t="s">
        <v>132</v>
      </c>
      <c r="BN344" s="157" t="s">
        <v>1453</v>
      </c>
    </row>
    <row r="345" spans="1:66">
      <c r="A345" s="152" t="s">
        <v>3072</v>
      </c>
      <c r="B345" s="152" t="s">
        <v>3073</v>
      </c>
      <c r="C345" s="152" t="s">
        <v>3074</v>
      </c>
      <c r="D345" s="152" t="s">
        <v>3075</v>
      </c>
      <c r="E345" s="152" t="s">
        <v>3075</v>
      </c>
      <c r="F345" s="152">
        <v>8258</v>
      </c>
      <c r="G345" s="152">
        <v>258</v>
      </c>
      <c r="H345" s="152" t="s">
        <v>1007</v>
      </c>
      <c r="I345" s="152">
        <v>202515</v>
      </c>
      <c r="J345" s="152">
        <v>90</v>
      </c>
      <c r="K345" s="152">
        <v>89324</v>
      </c>
      <c r="L345" s="159" t="s">
        <v>856</v>
      </c>
      <c r="M345" s="152" t="s">
        <v>92</v>
      </c>
      <c r="N345" s="152" t="s">
        <v>92</v>
      </c>
      <c r="O345" s="159" t="s">
        <v>856</v>
      </c>
      <c r="P345" s="159" t="s">
        <v>856</v>
      </c>
      <c r="Q345" s="152" t="s">
        <v>92</v>
      </c>
      <c r="R345" s="152" t="s">
        <v>92</v>
      </c>
      <c r="S345" s="159" t="s">
        <v>856</v>
      </c>
      <c r="T345" s="159" t="s">
        <v>856</v>
      </c>
      <c r="U345" s="159" t="s">
        <v>856</v>
      </c>
      <c r="V345" s="152" t="s">
        <v>857</v>
      </c>
      <c r="W345" s="152" t="s">
        <v>858</v>
      </c>
      <c r="X345" s="152" t="s">
        <v>1083</v>
      </c>
      <c r="Y345" s="152">
        <v>0</v>
      </c>
      <c r="Z345" s="152">
        <v>1</v>
      </c>
      <c r="AA345" s="152" t="s">
        <v>883</v>
      </c>
      <c r="AB345" s="152">
        <v>166.77</v>
      </c>
      <c r="AC345" s="152">
        <v>2</v>
      </c>
      <c r="AD345" s="152" t="s">
        <v>861</v>
      </c>
      <c r="AE345" s="152">
        <v>166.77</v>
      </c>
      <c r="AF345" s="152">
        <v>0</v>
      </c>
      <c r="AG345" s="152" t="s">
        <v>861</v>
      </c>
      <c r="AH345" s="152" t="s">
        <v>861</v>
      </c>
      <c r="AI345" s="152" t="s">
        <v>92</v>
      </c>
      <c r="AJ345" s="152" t="s">
        <v>92</v>
      </c>
      <c r="AK345" s="152" t="s">
        <v>862</v>
      </c>
      <c r="AL345" s="159" t="s">
        <v>856</v>
      </c>
      <c r="AP345" s="159" t="s">
        <v>856</v>
      </c>
      <c r="AQ345" s="159" t="s">
        <v>856</v>
      </c>
      <c r="AR345" s="159" t="s">
        <v>863</v>
      </c>
      <c r="AS345" s="159" t="s">
        <v>865</v>
      </c>
      <c r="AT345" s="152" t="str">
        <f t="shared" si="25"/>
        <v>RPNC11-010120</v>
      </c>
      <c r="AU345" s="152" t="str">
        <f t="shared" si="26"/>
        <v>DULCE MARIA DE LOS ANGELES JUAREZ S. DE CUC</v>
      </c>
      <c r="AV345" s="159">
        <v>2101.3000000000002</v>
      </c>
      <c r="AW345" s="159">
        <v>832899</v>
      </c>
      <c r="AX345" s="159">
        <v>30</v>
      </c>
      <c r="AY345" s="159">
        <v>832900</v>
      </c>
      <c r="AZ345" s="152" t="s">
        <v>864</v>
      </c>
      <c r="BA345" s="152" t="str">
        <f t="shared" si="27"/>
        <v>L20-498-WV018</v>
      </c>
      <c r="BB345" s="152">
        <v>0</v>
      </c>
      <c r="BC345" s="157">
        <v>43957</v>
      </c>
      <c r="BD345" s="157">
        <v>43957</v>
      </c>
      <c r="BE345" s="158">
        <v>416925</v>
      </c>
      <c r="BF345" s="152" t="s">
        <v>3076</v>
      </c>
      <c r="BG345" s="159" t="s">
        <v>894</v>
      </c>
      <c r="BH345" s="152">
        <v>166.77</v>
      </c>
      <c r="BI345" s="152">
        <v>0</v>
      </c>
      <c r="BJ345" s="152">
        <v>0</v>
      </c>
      <c r="BK345" s="152" t="s">
        <v>132</v>
      </c>
      <c r="BL345" s="152">
        <v>166.77</v>
      </c>
      <c r="BM345" s="152">
        <v>890250</v>
      </c>
      <c r="BN345" s="157" t="s">
        <v>1453</v>
      </c>
    </row>
    <row r="346" spans="1:66">
      <c r="A346" s="152" t="s">
        <v>3077</v>
      </c>
      <c r="B346" s="152" t="s">
        <v>3078</v>
      </c>
      <c r="C346" s="152" t="s">
        <v>3079</v>
      </c>
      <c r="D346" s="152" t="s">
        <v>3080</v>
      </c>
      <c r="E346" s="152" t="s">
        <v>3080</v>
      </c>
      <c r="F346" s="152">
        <v>3945</v>
      </c>
      <c r="G346" s="152">
        <v>445</v>
      </c>
      <c r="H346" s="152" t="s">
        <v>3081</v>
      </c>
      <c r="I346" s="152">
        <v>201425</v>
      </c>
      <c r="J346" s="152">
        <v>519.79999999999995</v>
      </c>
      <c r="K346" s="152">
        <v>88447</v>
      </c>
      <c r="L346" s="159" t="s">
        <v>856</v>
      </c>
      <c r="M346" s="152" t="s">
        <v>92</v>
      </c>
      <c r="N346" s="152" t="s">
        <v>92</v>
      </c>
      <c r="O346" s="159" t="s">
        <v>856</v>
      </c>
      <c r="P346" s="159" t="s">
        <v>856</v>
      </c>
      <c r="Q346" s="152" t="s">
        <v>92</v>
      </c>
      <c r="R346" s="152" t="s">
        <v>92</v>
      </c>
      <c r="S346" s="159" t="s">
        <v>856</v>
      </c>
      <c r="T346" s="159" t="s">
        <v>856</v>
      </c>
      <c r="U346" s="159" t="s">
        <v>856</v>
      </c>
      <c r="V346" s="152" t="s">
        <v>857</v>
      </c>
      <c r="W346" s="152" t="s">
        <v>858</v>
      </c>
      <c r="X346" s="152" t="s">
        <v>882</v>
      </c>
      <c r="Y346" s="152">
        <v>0</v>
      </c>
      <c r="Z346" s="152">
        <v>1</v>
      </c>
      <c r="AA346" s="152" t="s">
        <v>92</v>
      </c>
      <c r="AB346" s="152">
        <v>309.69</v>
      </c>
      <c r="AC346" s="152">
        <v>3</v>
      </c>
      <c r="AD346" s="152" t="s">
        <v>861</v>
      </c>
      <c r="AE346" s="152">
        <v>309.69</v>
      </c>
      <c r="AF346" s="152">
        <v>0</v>
      </c>
      <c r="AG346" s="152">
        <v>411.66</v>
      </c>
      <c r="AH346" s="152" t="s">
        <v>861</v>
      </c>
      <c r="AI346" s="152" t="s">
        <v>92</v>
      </c>
      <c r="AJ346" s="152" t="s">
        <v>92</v>
      </c>
      <c r="AK346" s="152" t="s">
        <v>972</v>
      </c>
      <c r="AL346" s="159" t="s">
        <v>856</v>
      </c>
      <c r="AP346" s="159" t="s">
        <v>856</v>
      </c>
      <c r="AQ346" s="159" t="s">
        <v>856</v>
      </c>
      <c r="AR346" s="159" t="s">
        <v>1034</v>
      </c>
      <c r="AS346" s="159" t="s">
        <v>865</v>
      </c>
      <c r="AT346" s="152" t="str">
        <f t="shared" si="25"/>
        <v>RPM5-181018</v>
      </c>
      <c r="AU346" s="152" t="str">
        <f t="shared" si="26"/>
        <v>MARIA MERCEDES GIRON DE LEON DE MATUL</v>
      </c>
      <c r="AV346" s="159">
        <v>4682.51</v>
      </c>
      <c r="AW346" s="159">
        <v>840059</v>
      </c>
      <c r="AX346" s="159" t="s">
        <v>856</v>
      </c>
      <c r="AY346" s="159" t="s">
        <v>856</v>
      </c>
      <c r="AZ346" s="152" t="s">
        <v>864</v>
      </c>
      <c r="BA346" s="152" t="str">
        <f t="shared" si="27"/>
        <v>L20-496-MP098</v>
      </c>
      <c r="BB346" s="152">
        <v>0</v>
      </c>
      <c r="BC346" s="157">
        <v>43998</v>
      </c>
      <c r="BD346" s="157">
        <v>43998</v>
      </c>
      <c r="BE346" s="158">
        <v>929070</v>
      </c>
      <c r="BG346" s="159" t="s">
        <v>2033</v>
      </c>
      <c r="BK346" s="152" t="s">
        <v>132</v>
      </c>
      <c r="BN346" s="157" t="s">
        <v>1453</v>
      </c>
    </row>
    <row r="347" spans="1:66">
      <c r="A347" s="152" t="s">
        <v>3082</v>
      </c>
      <c r="B347" s="152" t="s">
        <v>3083</v>
      </c>
      <c r="C347" s="152" t="s">
        <v>3084</v>
      </c>
      <c r="D347" s="152" t="s">
        <v>3085</v>
      </c>
      <c r="E347" s="152" t="s">
        <v>3085</v>
      </c>
      <c r="F347" s="152">
        <v>8990</v>
      </c>
      <c r="G347" s="152">
        <v>490</v>
      </c>
      <c r="H347" s="152" t="s">
        <v>870</v>
      </c>
      <c r="I347" s="152">
        <v>199143</v>
      </c>
      <c r="J347" s="152">
        <v>120.03</v>
      </c>
      <c r="K347" s="152">
        <v>86635</v>
      </c>
      <c r="L347" s="159" t="s">
        <v>856</v>
      </c>
      <c r="M347" s="152" t="s">
        <v>92</v>
      </c>
      <c r="N347" s="152" t="s">
        <v>92</v>
      </c>
      <c r="O347" s="159" t="s">
        <v>856</v>
      </c>
      <c r="P347" s="159" t="s">
        <v>856</v>
      </c>
      <c r="Q347" s="152" t="s">
        <v>92</v>
      </c>
      <c r="R347" s="152" t="s">
        <v>92</v>
      </c>
      <c r="S347" s="159" t="s">
        <v>856</v>
      </c>
      <c r="T347" s="159" t="s">
        <v>856</v>
      </c>
      <c r="U347" s="159" t="s">
        <v>856</v>
      </c>
      <c r="V347" s="152" t="s">
        <v>857</v>
      </c>
      <c r="W347" s="152" t="s">
        <v>858</v>
      </c>
      <c r="X347" s="152" t="s">
        <v>1083</v>
      </c>
      <c r="Y347" s="152">
        <v>0</v>
      </c>
      <c r="Z347" s="152">
        <v>1</v>
      </c>
      <c r="AA347" s="152" t="s">
        <v>92</v>
      </c>
      <c r="AB347" s="152">
        <v>216.86</v>
      </c>
      <c r="AC347" s="152">
        <v>2</v>
      </c>
      <c r="AD347" s="152" t="s">
        <v>861</v>
      </c>
      <c r="AE347" s="152">
        <v>216.86</v>
      </c>
      <c r="AF347" s="152">
        <v>0</v>
      </c>
      <c r="AG347" s="152" t="s">
        <v>861</v>
      </c>
      <c r="AH347" s="152" t="s">
        <v>861</v>
      </c>
      <c r="AI347" s="152" t="s">
        <v>92</v>
      </c>
      <c r="AJ347" s="152" t="s">
        <v>92</v>
      </c>
      <c r="AK347" s="152" t="s">
        <v>872</v>
      </c>
      <c r="AL347" s="159" t="s">
        <v>856</v>
      </c>
      <c r="AP347" s="159" t="s">
        <v>856</v>
      </c>
      <c r="AQ347" s="159" t="s">
        <v>856</v>
      </c>
      <c r="AR347" s="159" t="s">
        <v>863</v>
      </c>
      <c r="AS347" s="159" t="s">
        <v>865</v>
      </c>
      <c r="AT347" s="152" t="str">
        <f t="shared" si="25"/>
        <v>RPB9-270818</v>
      </c>
      <c r="AU347" s="152" t="str">
        <f t="shared" si="26"/>
        <v>JOSE HAROLDO BARRIOS ARRIOLA</v>
      </c>
      <c r="AV347" s="159">
        <v>2732.44</v>
      </c>
      <c r="AW347" s="159">
        <v>728506</v>
      </c>
      <c r="AX347" s="159">
        <v>196</v>
      </c>
      <c r="AY347" s="159">
        <v>728507</v>
      </c>
      <c r="AZ347" s="152" t="s">
        <v>864</v>
      </c>
      <c r="BA347" s="152" t="str">
        <f t="shared" si="27"/>
        <v>L19-978-EC021</v>
      </c>
      <c r="BB347" s="152">
        <v>0</v>
      </c>
      <c r="BC347" s="157">
        <v>43656</v>
      </c>
      <c r="BD347" s="157">
        <v>43656</v>
      </c>
      <c r="BE347" s="158">
        <v>542150</v>
      </c>
      <c r="BF347" s="152" t="s">
        <v>3086</v>
      </c>
      <c r="BG347" s="159" t="s">
        <v>875</v>
      </c>
      <c r="BH347" s="152">
        <v>216.86</v>
      </c>
      <c r="BI347" s="152">
        <v>0</v>
      </c>
      <c r="BJ347" s="152">
        <v>0</v>
      </c>
      <c r="BK347" s="152" t="s">
        <v>132</v>
      </c>
      <c r="BL347" s="152">
        <v>216.86</v>
      </c>
      <c r="BM347" s="152">
        <v>819442</v>
      </c>
      <c r="BN347" s="157" t="s">
        <v>1453</v>
      </c>
    </row>
    <row r="348" spans="1:66">
      <c r="A348" s="152" t="s">
        <v>3087</v>
      </c>
      <c r="B348" s="152" t="s">
        <v>3088</v>
      </c>
      <c r="C348" s="152" t="s">
        <v>3084</v>
      </c>
      <c r="D348" s="152" t="s">
        <v>3089</v>
      </c>
      <c r="E348" s="152" t="s">
        <v>3089</v>
      </c>
      <c r="F348" s="152">
        <v>8989</v>
      </c>
      <c r="G348" s="152">
        <v>489</v>
      </c>
      <c r="H348" s="152" t="s">
        <v>870</v>
      </c>
      <c r="I348" s="152">
        <v>195741</v>
      </c>
      <c r="J348" s="152">
        <v>115.56</v>
      </c>
      <c r="K348" s="152">
        <v>84135</v>
      </c>
      <c r="L348" s="159" t="s">
        <v>856</v>
      </c>
      <c r="M348" s="152" t="s">
        <v>92</v>
      </c>
      <c r="N348" s="152" t="s">
        <v>92</v>
      </c>
      <c r="O348" s="159" t="s">
        <v>856</v>
      </c>
      <c r="P348" s="159" t="s">
        <v>856</v>
      </c>
      <c r="Q348" s="152" t="s">
        <v>92</v>
      </c>
      <c r="R348" s="152" t="s">
        <v>92</v>
      </c>
      <c r="S348" s="159" t="s">
        <v>856</v>
      </c>
      <c r="T348" s="159" t="s">
        <v>856</v>
      </c>
      <c r="U348" s="159" t="s">
        <v>856</v>
      </c>
      <c r="V348" s="152" t="s">
        <v>857</v>
      </c>
      <c r="W348" s="152" t="s">
        <v>858</v>
      </c>
      <c r="X348" s="152" t="s">
        <v>1083</v>
      </c>
      <c r="Y348" s="152">
        <v>35.18</v>
      </c>
      <c r="Z348" s="152">
        <v>1</v>
      </c>
      <c r="AA348" s="152" t="s">
        <v>92</v>
      </c>
      <c r="AB348" s="152">
        <v>89.01</v>
      </c>
      <c r="AC348" s="152">
        <v>2</v>
      </c>
      <c r="AD348" s="152" t="s">
        <v>861</v>
      </c>
      <c r="AE348" s="152">
        <v>89.01</v>
      </c>
      <c r="AF348" s="152">
        <v>0</v>
      </c>
      <c r="AG348" s="152" t="s">
        <v>861</v>
      </c>
      <c r="AH348" s="152" t="s">
        <v>861</v>
      </c>
      <c r="AI348" s="152" t="s">
        <v>92</v>
      </c>
      <c r="AJ348" s="152" t="s">
        <v>92</v>
      </c>
      <c r="AK348" s="152" t="s">
        <v>872</v>
      </c>
      <c r="AL348" s="159" t="s">
        <v>856</v>
      </c>
      <c r="AP348" s="159" t="s">
        <v>856</v>
      </c>
      <c r="AQ348" s="159" t="s">
        <v>856</v>
      </c>
      <c r="AR348" s="159" t="s">
        <v>863</v>
      </c>
      <c r="AS348" s="159" t="s">
        <v>865</v>
      </c>
      <c r="AT348" s="152" t="str">
        <f t="shared" si="25"/>
        <v>RPB9-260818</v>
      </c>
      <c r="AU348" s="152" t="str">
        <f t="shared" si="26"/>
        <v>JOSE HAROLDO BARRIOS ARRIOLA</v>
      </c>
      <c r="AV348" s="159">
        <v>1190.47</v>
      </c>
      <c r="AW348" s="159">
        <v>728504</v>
      </c>
      <c r="AX348" s="159">
        <v>196</v>
      </c>
      <c r="AY348" s="159">
        <v>728505</v>
      </c>
      <c r="AZ348" s="152" t="s">
        <v>864</v>
      </c>
      <c r="BA348" s="152" t="str">
        <f t="shared" si="27"/>
        <v>L19-977-EC020</v>
      </c>
      <c r="BB348" s="152">
        <v>0</v>
      </c>
      <c r="BC348" s="157">
        <v>43656</v>
      </c>
      <c r="BD348" s="157">
        <v>43656</v>
      </c>
      <c r="BE348" s="158">
        <v>234836.25</v>
      </c>
      <c r="BF348" s="152" t="s">
        <v>3090</v>
      </c>
      <c r="BG348" s="159" t="s">
        <v>875</v>
      </c>
      <c r="BH348" s="152">
        <v>89.01</v>
      </c>
      <c r="BI348" s="152">
        <v>0</v>
      </c>
      <c r="BJ348" s="152">
        <v>0</v>
      </c>
      <c r="BK348" s="152" t="s">
        <v>132</v>
      </c>
      <c r="BL348" s="152">
        <v>89.01</v>
      </c>
      <c r="BM348" s="152">
        <v>819440</v>
      </c>
      <c r="BN348" s="157" t="s">
        <v>1453</v>
      </c>
    </row>
    <row r="349" spans="1:66">
      <c r="A349" s="152" t="s">
        <v>3091</v>
      </c>
      <c r="B349" s="152" t="s">
        <v>3092</v>
      </c>
      <c r="C349" s="152" t="s">
        <v>3093</v>
      </c>
      <c r="D349" s="152" t="s">
        <v>3094</v>
      </c>
      <c r="E349" s="152" t="s">
        <v>3094</v>
      </c>
      <c r="F349" s="152">
        <v>8992</v>
      </c>
      <c r="G349" s="152">
        <v>492</v>
      </c>
      <c r="H349" s="152" t="s">
        <v>870</v>
      </c>
      <c r="I349" s="152">
        <v>194700</v>
      </c>
      <c r="J349" s="152">
        <v>130.19999999999999</v>
      </c>
      <c r="K349" s="152">
        <v>83350</v>
      </c>
      <c r="L349" s="159" t="s">
        <v>856</v>
      </c>
      <c r="M349" s="152" t="s">
        <v>92</v>
      </c>
      <c r="N349" s="152" t="s">
        <v>92</v>
      </c>
      <c r="O349" s="159" t="s">
        <v>856</v>
      </c>
      <c r="P349" s="159" t="s">
        <v>856</v>
      </c>
      <c r="Q349" s="152" t="s">
        <v>92</v>
      </c>
      <c r="R349" s="152" t="s">
        <v>92</v>
      </c>
      <c r="S349" s="159" t="s">
        <v>856</v>
      </c>
      <c r="T349" s="159" t="s">
        <v>856</v>
      </c>
      <c r="U349" s="159" t="s">
        <v>856</v>
      </c>
      <c r="V349" s="152" t="s">
        <v>857</v>
      </c>
      <c r="W349" s="152" t="s">
        <v>858</v>
      </c>
      <c r="X349" s="152" t="s">
        <v>1083</v>
      </c>
      <c r="Y349" s="152">
        <v>27</v>
      </c>
      <c r="Z349" s="152">
        <v>1</v>
      </c>
      <c r="AA349" s="152" t="s">
        <v>92</v>
      </c>
      <c r="AB349" s="152">
        <v>225.95</v>
      </c>
      <c r="AC349" s="152">
        <v>2</v>
      </c>
      <c r="AD349" s="152" t="s">
        <v>861</v>
      </c>
      <c r="AE349" s="152">
        <v>225.95</v>
      </c>
      <c r="AF349" s="152">
        <v>0</v>
      </c>
      <c r="AG349" s="152" t="s">
        <v>861</v>
      </c>
      <c r="AH349" s="152" t="s">
        <v>861</v>
      </c>
      <c r="AI349" s="152" t="s">
        <v>92</v>
      </c>
      <c r="AJ349" s="152" t="s">
        <v>92</v>
      </c>
      <c r="AK349" s="152" t="s">
        <v>872</v>
      </c>
      <c r="AL349" s="159" t="s">
        <v>856</v>
      </c>
      <c r="AP349" s="159" t="s">
        <v>856</v>
      </c>
      <c r="AQ349" s="159" t="s">
        <v>856</v>
      </c>
      <c r="AR349" s="159" t="s">
        <v>863</v>
      </c>
      <c r="AS349" s="159" t="s">
        <v>865</v>
      </c>
      <c r="AT349" s="152" t="str">
        <f t="shared" si="25"/>
        <v>RPO9-230818</v>
      </c>
      <c r="AU349" s="152" t="str">
        <f t="shared" si="26"/>
        <v>BEATRIZ EUGENIA OROZCO FUENTES</v>
      </c>
      <c r="AV349" s="159">
        <v>2899.89</v>
      </c>
      <c r="AW349" s="159">
        <v>728500</v>
      </c>
      <c r="AX349" s="159">
        <v>196</v>
      </c>
      <c r="AY349" s="159">
        <v>728501</v>
      </c>
      <c r="AZ349" s="152" t="s">
        <v>864</v>
      </c>
      <c r="BA349" s="152" t="str">
        <f t="shared" si="27"/>
        <v>L19-979-HI020</v>
      </c>
      <c r="BB349" s="152">
        <v>0</v>
      </c>
      <c r="BC349" s="157">
        <v>43656</v>
      </c>
      <c r="BD349" s="157">
        <v>43656</v>
      </c>
      <c r="BE349" s="158">
        <v>574325</v>
      </c>
      <c r="BF349" s="152" t="s">
        <v>3095</v>
      </c>
      <c r="BG349" s="159" t="s">
        <v>875</v>
      </c>
      <c r="BH349" s="152">
        <v>225.95</v>
      </c>
      <c r="BI349" s="152">
        <v>0</v>
      </c>
      <c r="BJ349" s="152">
        <v>0</v>
      </c>
      <c r="BK349" s="152" t="s">
        <v>132</v>
      </c>
      <c r="BL349" s="152">
        <v>225.95</v>
      </c>
      <c r="BM349" s="152">
        <v>819446</v>
      </c>
      <c r="BN349" s="157" t="s">
        <v>1453</v>
      </c>
    </row>
    <row r="350" spans="1:66">
      <c r="A350" s="152" t="s">
        <v>3096</v>
      </c>
      <c r="B350" s="152" t="s">
        <v>3097</v>
      </c>
      <c r="C350" s="152" t="s">
        <v>3093</v>
      </c>
      <c r="D350" s="152" t="s">
        <v>3098</v>
      </c>
      <c r="E350" s="152" t="s">
        <v>3098</v>
      </c>
      <c r="F350" s="152">
        <v>8993</v>
      </c>
      <c r="G350" s="152">
        <v>493</v>
      </c>
      <c r="H350" s="152" t="s">
        <v>870</v>
      </c>
      <c r="I350" s="152">
        <v>194701</v>
      </c>
      <c r="J350" s="152">
        <v>135.33000000000001</v>
      </c>
      <c r="K350" s="152">
        <v>83351</v>
      </c>
      <c r="L350" s="159" t="s">
        <v>856</v>
      </c>
      <c r="M350" s="152" t="s">
        <v>92</v>
      </c>
      <c r="N350" s="152" t="s">
        <v>92</v>
      </c>
      <c r="O350" s="159" t="s">
        <v>856</v>
      </c>
      <c r="P350" s="159" t="s">
        <v>856</v>
      </c>
      <c r="Q350" s="152" t="s">
        <v>92</v>
      </c>
      <c r="R350" s="152" t="s">
        <v>92</v>
      </c>
      <c r="S350" s="159" t="s">
        <v>856</v>
      </c>
      <c r="T350" s="159" t="s">
        <v>856</v>
      </c>
      <c r="U350" s="159" t="s">
        <v>856</v>
      </c>
      <c r="V350" s="152" t="s">
        <v>857</v>
      </c>
      <c r="W350" s="152" t="s">
        <v>858</v>
      </c>
      <c r="X350" s="152" t="s">
        <v>1083</v>
      </c>
      <c r="Y350" s="152">
        <v>134.82</v>
      </c>
      <c r="Z350" s="152">
        <v>1</v>
      </c>
      <c r="AA350" s="152" t="s">
        <v>92</v>
      </c>
      <c r="AB350" s="152">
        <v>12.04</v>
      </c>
      <c r="AC350" s="152">
        <v>2</v>
      </c>
      <c r="AD350" s="152" t="s">
        <v>861</v>
      </c>
      <c r="AE350" s="152">
        <v>12.04</v>
      </c>
      <c r="AF350" s="152">
        <v>0</v>
      </c>
      <c r="AG350" s="152" t="s">
        <v>861</v>
      </c>
      <c r="AH350" s="152" t="s">
        <v>861</v>
      </c>
      <c r="AI350" s="152" t="s">
        <v>92</v>
      </c>
      <c r="AJ350" s="152" t="s">
        <v>92</v>
      </c>
      <c r="AK350" s="152" t="s">
        <v>872</v>
      </c>
      <c r="AL350" s="159" t="s">
        <v>856</v>
      </c>
      <c r="AP350" s="159" t="s">
        <v>856</v>
      </c>
      <c r="AQ350" s="159" t="s">
        <v>856</v>
      </c>
      <c r="AR350" s="159" t="s">
        <v>863</v>
      </c>
      <c r="AS350" s="159" t="s">
        <v>865</v>
      </c>
      <c r="AT350" s="152" t="str">
        <f t="shared" si="25"/>
        <v>RPO9-220818</v>
      </c>
      <c r="AU350" s="152" t="str">
        <f t="shared" si="26"/>
        <v>BEATRIZ EUGENIA OROZCO FUENTES</v>
      </c>
      <c r="AV350" s="159">
        <v>443.55</v>
      </c>
      <c r="AW350" s="159">
        <v>728497</v>
      </c>
      <c r="AX350" s="159">
        <v>196</v>
      </c>
      <c r="AY350" s="159">
        <v>728498</v>
      </c>
      <c r="AZ350" s="152" t="s">
        <v>864</v>
      </c>
      <c r="BA350" s="152" t="str">
        <f t="shared" si="27"/>
        <v>L19-980-HI021</v>
      </c>
      <c r="BB350" s="152">
        <v>0</v>
      </c>
      <c r="BC350" s="157">
        <v>43656</v>
      </c>
      <c r="BD350" s="157">
        <v>43656</v>
      </c>
      <c r="BE350" s="158">
        <v>78207</v>
      </c>
      <c r="BF350" s="152" t="s">
        <v>3099</v>
      </c>
      <c r="BG350" s="159" t="s">
        <v>875</v>
      </c>
      <c r="BH350" s="152">
        <v>12.04</v>
      </c>
      <c r="BI350" s="152">
        <v>0</v>
      </c>
      <c r="BJ350" s="152">
        <v>0</v>
      </c>
      <c r="BK350" s="152" t="s">
        <v>132</v>
      </c>
      <c r="BL350" s="152">
        <v>12.04</v>
      </c>
      <c r="BM350" s="152">
        <v>819444</v>
      </c>
      <c r="BN350" s="157" t="s">
        <v>1453</v>
      </c>
    </row>
    <row r="351" spans="1:66">
      <c r="A351" s="152" t="s">
        <v>3100</v>
      </c>
      <c r="B351" s="152" t="s">
        <v>3101</v>
      </c>
      <c r="C351" s="152" t="s">
        <v>3102</v>
      </c>
      <c r="D351" s="152" t="s">
        <v>3103</v>
      </c>
      <c r="E351" s="152" t="s">
        <v>3103</v>
      </c>
      <c r="F351" s="152">
        <v>95181</v>
      </c>
      <c r="G351" s="152">
        <v>249</v>
      </c>
      <c r="H351" s="152">
        <v>380</v>
      </c>
      <c r="I351" s="152">
        <v>201738</v>
      </c>
      <c r="J351" s="152">
        <v>873</v>
      </c>
      <c r="K351" s="152">
        <v>88684</v>
      </c>
      <c r="L351" s="159" t="s">
        <v>856</v>
      </c>
      <c r="M351" s="152" t="s">
        <v>92</v>
      </c>
      <c r="N351" s="152" t="s">
        <v>92</v>
      </c>
      <c r="O351" s="159" t="s">
        <v>856</v>
      </c>
      <c r="P351" s="159" t="s">
        <v>856</v>
      </c>
      <c r="Q351" s="152" t="s">
        <v>92</v>
      </c>
      <c r="R351" s="152" t="s">
        <v>92</v>
      </c>
      <c r="S351" s="159" t="s">
        <v>856</v>
      </c>
      <c r="T351" s="159" t="s">
        <v>856</v>
      </c>
      <c r="U351" s="159" t="s">
        <v>856</v>
      </c>
      <c r="V351" s="152" t="s">
        <v>3104</v>
      </c>
      <c r="W351" s="152" t="s">
        <v>858</v>
      </c>
      <c r="X351" s="152" t="s">
        <v>1083</v>
      </c>
      <c r="Y351" s="152">
        <v>334.32</v>
      </c>
      <c r="Z351" s="152">
        <v>2</v>
      </c>
      <c r="AA351" s="152" t="s">
        <v>92</v>
      </c>
      <c r="AB351" s="152">
        <v>388.26</v>
      </c>
      <c r="AC351" s="152">
        <v>2</v>
      </c>
      <c r="AD351" s="152" t="s">
        <v>861</v>
      </c>
      <c r="AE351" s="152">
        <v>194.13</v>
      </c>
      <c r="AF351" s="152">
        <v>194.13</v>
      </c>
      <c r="AG351" s="152">
        <v>325.27999999999997</v>
      </c>
      <c r="AH351" s="152" t="s">
        <v>861</v>
      </c>
      <c r="AI351" s="152" t="s">
        <v>92</v>
      </c>
      <c r="AJ351" s="152" t="s">
        <v>92</v>
      </c>
      <c r="AK351" s="152" t="s">
        <v>912</v>
      </c>
      <c r="AL351" s="159" t="s">
        <v>856</v>
      </c>
      <c r="AP351" s="159" t="s">
        <v>856</v>
      </c>
      <c r="AQ351" s="159" t="s">
        <v>856</v>
      </c>
      <c r="AR351" s="159" t="s">
        <v>863</v>
      </c>
      <c r="AS351" s="159" t="s">
        <v>865</v>
      </c>
      <c r="AT351" s="152" t="str">
        <f t="shared" si="25"/>
        <v>RPYR-141018</v>
      </c>
      <c r="AU351" s="152" t="str">
        <f t="shared" si="26"/>
        <v>ISAAC ALEJANDRO YAX LOPEZ</v>
      </c>
      <c r="AV351" s="159">
        <v>7859.24</v>
      </c>
      <c r="AW351" s="159">
        <v>705958</v>
      </c>
      <c r="AX351" s="159" t="s">
        <v>856</v>
      </c>
      <c r="AY351" s="159" t="s">
        <v>856</v>
      </c>
      <c r="AZ351" s="152" t="s">
        <v>864</v>
      </c>
      <c r="BA351" s="152" t="str">
        <f t="shared" si="27"/>
        <v>L18-974-SP192</v>
      </c>
      <c r="BB351" s="152">
        <v>0</v>
      </c>
      <c r="BC351" s="157">
        <v>43413</v>
      </c>
      <c r="BD351" s="157">
        <v>43413</v>
      </c>
      <c r="BE351" s="158">
        <v>1191127</v>
      </c>
      <c r="BF351" s="152" t="s">
        <v>3105</v>
      </c>
      <c r="BG351" s="159" t="s">
        <v>894</v>
      </c>
      <c r="BH351" s="152">
        <v>194.13</v>
      </c>
      <c r="BI351" s="152">
        <v>194.13</v>
      </c>
      <c r="BJ351" s="152">
        <v>0</v>
      </c>
      <c r="BK351" s="152" t="s">
        <v>995</v>
      </c>
      <c r="BL351" s="152">
        <v>436.79</v>
      </c>
      <c r="BM351" s="152">
        <v>895019</v>
      </c>
      <c r="BN351" s="157" t="s">
        <v>3106</v>
      </c>
    </row>
    <row r="352" spans="1:66">
      <c r="A352" s="152" t="s">
        <v>3108</v>
      </c>
      <c r="B352" s="152" t="s">
        <v>3109</v>
      </c>
      <c r="C352" s="152" t="s">
        <v>3110</v>
      </c>
      <c r="D352" s="152" t="s">
        <v>3111</v>
      </c>
      <c r="E352" s="152" t="s">
        <v>3112</v>
      </c>
      <c r="F352" s="152">
        <v>114</v>
      </c>
      <c r="G352" s="152">
        <v>114</v>
      </c>
      <c r="H352" s="152" t="s">
        <v>3113</v>
      </c>
      <c r="I352" s="152">
        <v>145449</v>
      </c>
      <c r="J352" s="152">
        <v>193.77</v>
      </c>
      <c r="K352" s="152">
        <v>44648</v>
      </c>
      <c r="L352" s="159" t="s">
        <v>3114</v>
      </c>
      <c r="M352" s="152" t="s">
        <v>92</v>
      </c>
      <c r="N352" s="152" t="s">
        <v>883</v>
      </c>
      <c r="O352" s="159">
        <v>4735</v>
      </c>
      <c r="P352" s="159" t="s">
        <v>3114</v>
      </c>
      <c r="Q352" s="152" t="s">
        <v>92</v>
      </c>
      <c r="R352" s="152" t="s">
        <v>883</v>
      </c>
      <c r="S352" s="159">
        <v>4735</v>
      </c>
      <c r="T352" s="159" t="s">
        <v>3115</v>
      </c>
      <c r="U352" s="159" t="s">
        <v>3116</v>
      </c>
      <c r="V352" s="152" t="s">
        <v>857</v>
      </c>
      <c r="W352" s="152" t="s">
        <v>858</v>
      </c>
      <c r="X352" s="152" t="s">
        <v>1083</v>
      </c>
      <c r="Y352" s="152">
        <v>58.17</v>
      </c>
      <c r="Z352" s="152">
        <v>1</v>
      </c>
      <c r="AA352" s="152" t="s">
        <v>92</v>
      </c>
      <c r="AB352" s="152">
        <v>191.54</v>
      </c>
      <c r="AC352" s="152">
        <v>2</v>
      </c>
      <c r="AD352" s="152" t="s">
        <v>861</v>
      </c>
      <c r="AE352" s="152">
        <v>191.54</v>
      </c>
      <c r="AF352" s="152">
        <v>0</v>
      </c>
      <c r="AG352" s="152">
        <v>90</v>
      </c>
      <c r="AH352" s="152" t="s">
        <v>861</v>
      </c>
      <c r="AI352" s="152" t="s">
        <v>92</v>
      </c>
      <c r="AJ352" s="152" t="s">
        <v>92</v>
      </c>
      <c r="AK352" s="152" t="s">
        <v>884</v>
      </c>
      <c r="AL352" s="159" t="s">
        <v>856</v>
      </c>
      <c r="AP352" s="159" t="s">
        <v>856</v>
      </c>
      <c r="AQ352" s="159" t="s">
        <v>856</v>
      </c>
      <c r="AR352" s="159" t="s">
        <v>929</v>
      </c>
      <c r="AS352" s="159" t="s">
        <v>865</v>
      </c>
      <c r="AT352" s="152" t="str">
        <f t="shared" si="25"/>
        <v>VUC8-030318</v>
      </c>
      <c r="AU352" s="152" t="str">
        <f t="shared" si="26"/>
        <v>OBISPO PIOQUINTO CHAJ VASQUEZ</v>
      </c>
      <c r="AV352" s="159">
        <v>2666.5</v>
      </c>
      <c r="AW352" s="159">
        <v>663493</v>
      </c>
      <c r="AX352" s="159">
        <v>841.4</v>
      </c>
      <c r="AY352" s="159">
        <v>663494</v>
      </c>
      <c r="AZ352" s="152" t="s">
        <v>864</v>
      </c>
      <c r="BA352" s="152" t="str">
        <f t="shared" si="27"/>
        <v>L18-168-SP050</v>
      </c>
      <c r="BB352" s="152">
        <v>24</v>
      </c>
      <c r="BC352" s="157">
        <v>43207</v>
      </c>
      <c r="BD352" s="157">
        <v>43572</v>
      </c>
      <c r="BE352" s="158">
        <v>503845.5</v>
      </c>
      <c r="BF352" s="152" t="s">
        <v>3117</v>
      </c>
      <c r="BG352" s="159" t="s">
        <v>3118</v>
      </c>
      <c r="BH352" s="152">
        <v>191.54</v>
      </c>
      <c r="BI352" s="152">
        <v>0</v>
      </c>
      <c r="BJ352" s="152">
        <v>0</v>
      </c>
      <c r="BK352" s="152" t="s">
        <v>132</v>
      </c>
      <c r="BL352" s="152">
        <v>191.54</v>
      </c>
      <c r="BM352" s="152">
        <v>663495</v>
      </c>
      <c r="BN352" s="157" t="s">
        <v>1453</v>
      </c>
    </row>
    <row r="353" spans="1:66">
      <c r="A353" s="152" t="s">
        <v>3119</v>
      </c>
      <c r="B353" s="152" t="s">
        <v>3120</v>
      </c>
      <c r="C353" s="152" t="s">
        <v>3121</v>
      </c>
      <c r="D353" s="152" t="s">
        <v>3122</v>
      </c>
      <c r="E353" s="152" t="s">
        <v>3123</v>
      </c>
      <c r="F353" s="152">
        <v>7986</v>
      </c>
      <c r="G353" s="152">
        <v>486</v>
      </c>
      <c r="H353" s="152" t="s">
        <v>1021</v>
      </c>
      <c r="I353" s="152">
        <v>196281</v>
      </c>
      <c r="J353" s="152">
        <v>1092.02</v>
      </c>
      <c r="K353" s="152">
        <v>84486</v>
      </c>
      <c r="L353" s="159" t="s">
        <v>3124</v>
      </c>
      <c r="M353" s="152" t="s">
        <v>883</v>
      </c>
      <c r="N353" s="152" t="s">
        <v>92</v>
      </c>
      <c r="O353" s="159">
        <v>4430</v>
      </c>
      <c r="P353" s="159" t="s">
        <v>3124</v>
      </c>
      <c r="Q353" s="152" t="s">
        <v>883</v>
      </c>
      <c r="R353" s="152" t="s">
        <v>92</v>
      </c>
      <c r="S353" s="159">
        <v>4430</v>
      </c>
      <c r="T353" s="159" t="s">
        <v>856</v>
      </c>
      <c r="U353" s="159" t="s">
        <v>856</v>
      </c>
      <c r="V353" s="152" t="s">
        <v>2451</v>
      </c>
      <c r="W353" s="152" t="s">
        <v>860</v>
      </c>
      <c r="X353" s="152" t="s">
        <v>3125</v>
      </c>
      <c r="Y353" s="152">
        <v>0</v>
      </c>
      <c r="Z353" s="152">
        <v>1</v>
      </c>
      <c r="AA353" s="152" t="s">
        <v>92</v>
      </c>
      <c r="AB353" s="152">
        <v>495.31</v>
      </c>
      <c r="AC353" s="152">
        <v>1</v>
      </c>
      <c r="AD353" s="152" t="s">
        <v>861</v>
      </c>
      <c r="AE353" s="152">
        <v>0</v>
      </c>
      <c r="AF353" s="152">
        <v>495.31</v>
      </c>
      <c r="AG353" s="152">
        <v>513.25</v>
      </c>
      <c r="AH353" s="152" t="s">
        <v>861</v>
      </c>
      <c r="AI353" s="152" t="s">
        <v>92</v>
      </c>
      <c r="AJ353" s="152" t="s">
        <v>92</v>
      </c>
      <c r="AK353" s="152" t="s">
        <v>884</v>
      </c>
      <c r="AL353" s="159" t="s">
        <v>856</v>
      </c>
      <c r="AP353" s="159" t="s">
        <v>856</v>
      </c>
      <c r="AQ353" s="159" t="s">
        <v>856</v>
      </c>
      <c r="AR353" s="159" t="s">
        <v>873</v>
      </c>
      <c r="AS353" s="159" t="s">
        <v>865</v>
      </c>
      <c r="AT353" s="152" t="str">
        <f t="shared" ref="AT353:AT380" si="28">B353</f>
        <v>RPNB8-120920</v>
      </c>
      <c r="AU353" s="152" t="str">
        <f t="shared" ref="AU353:AU380" si="29">C353</f>
        <v>GUSTAVO ADOLFO BARRIOS</v>
      </c>
      <c r="AV353" s="159">
        <v>10289.370000000001</v>
      </c>
      <c r="AW353" s="159">
        <v>854672</v>
      </c>
      <c r="AX353" s="159">
        <v>151.15</v>
      </c>
      <c r="AY353" s="159">
        <v>854672</v>
      </c>
      <c r="AZ353" s="152" t="s">
        <v>864</v>
      </c>
      <c r="BA353" s="152" t="str">
        <f t="shared" si="27"/>
        <v>L20-286-SP109</v>
      </c>
      <c r="BB353" s="152">
        <v>0</v>
      </c>
      <c r="BC353" s="157">
        <v>44123</v>
      </c>
      <c r="BD353" s="157">
        <v>44123</v>
      </c>
      <c r="BE353" s="158">
        <v>1238275</v>
      </c>
      <c r="BG353" s="159" t="s">
        <v>2033</v>
      </c>
      <c r="BK353" s="152" t="s">
        <v>132</v>
      </c>
      <c r="BN353" s="157" t="s">
        <v>1453</v>
      </c>
    </row>
    <row r="354" spans="1:66">
      <c r="A354" s="152" t="s">
        <v>3126</v>
      </c>
      <c r="B354" s="152" t="s">
        <v>3127</v>
      </c>
      <c r="C354" s="152" t="s">
        <v>3128</v>
      </c>
      <c r="D354" s="152" t="s">
        <v>3129</v>
      </c>
      <c r="E354" s="152" t="s">
        <v>3130</v>
      </c>
      <c r="F354" s="152">
        <v>822</v>
      </c>
      <c r="G354" s="152">
        <v>322</v>
      </c>
      <c r="H354" s="152" t="s">
        <v>3131</v>
      </c>
      <c r="I354" s="152">
        <v>196282</v>
      </c>
      <c r="J354" s="152">
        <v>893.81</v>
      </c>
      <c r="K354" s="152">
        <v>84487</v>
      </c>
      <c r="L354" s="159" t="s">
        <v>3124</v>
      </c>
      <c r="M354" s="152" t="s">
        <v>883</v>
      </c>
      <c r="N354" s="152" t="s">
        <v>92</v>
      </c>
      <c r="O354" s="159">
        <v>4430</v>
      </c>
      <c r="P354" s="159" t="s">
        <v>3124</v>
      </c>
      <c r="Q354" s="152" t="s">
        <v>883</v>
      </c>
      <c r="R354" s="152" t="s">
        <v>92</v>
      </c>
      <c r="S354" s="159">
        <v>4430</v>
      </c>
      <c r="T354" s="159" t="s">
        <v>856</v>
      </c>
      <c r="U354" s="159" t="s">
        <v>856</v>
      </c>
      <c r="V354" s="152" t="s">
        <v>2451</v>
      </c>
      <c r="W354" s="152" t="s">
        <v>860</v>
      </c>
      <c r="X354" s="152" t="s">
        <v>3125</v>
      </c>
      <c r="Y354" s="152">
        <v>0</v>
      </c>
      <c r="Z354" s="152">
        <v>1</v>
      </c>
      <c r="AA354" s="152" t="s">
        <v>92</v>
      </c>
      <c r="AB354" s="152">
        <v>499.12</v>
      </c>
      <c r="AC354" s="152">
        <v>1</v>
      </c>
      <c r="AD354" s="152" t="s">
        <v>861</v>
      </c>
      <c r="AE354" s="152">
        <v>0</v>
      </c>
      <c r="AF354" s="152">
        <v>499.12</v>
      </c>
      <c r="AG354" s="152">
        <v>134.31</v>
      </c>
      <c r="AH354" s="152" t="s">
        <v>861</v>
      </c>
      <c r="AI354" s="152" t="s">
        <v>92</v>
      </c>
      <c r="AJ354" s="152" t="s">
        <v>92</v>
      </c>
      <c r="AK354" s="152" t="s">
        <v>884</v>
      </c>
      <c r="AL354" s="159" t="s">
        <v>856</v>
      </c>
      <c r="AP354" s="159" t="s">
        <v>856</v>
      </c>
      <c r="AQ354" s="159" t="s">
        <v>856</v>
      </c>
      <c r="AR354" s="159" t="s">
        <v>873</v>
      </c>
      <c r="AS354" s="159" t="s">
        <v>865</v>
      </c>
      <c r="AT354" s="152" t="str">
        <f t="shared" si="28"/>
        <v>RPNG8-130920</v>
      </c>
      <c r="AU354" s="152" t="str">
        <f t="shared" si="29"/>
        <v>MARIO FERNANDO GARCIA BARRIOS</v>
      </c>
      <c r="AV354" s="159">
        <v>10402.74</v>
      </c>
      <c r="AW354" s="159">
        <v>854673</v>
      </c>
      <c r="AX354" s="159">
        <v>140.4</v>
      </c>
      <c r="AY354" s="159">
        <v>854673</v>
      </c>
      <c r="AZ354" s="152" t="s">
        <v>864</v>
      </c>
      <c r="BA354" s="152" t="str">
        <f t="shared" si="27"/>
        <v>L20-286-SP108</v>
      </c>
      <c r="BB354" s="152">
        <v>0</v>
      </c>
      <c r="BC354" s="157">
        <v>44123</v>
      </c>
      <c r="BD354" s="157">
        <v>44123</v>
      </c>
      <c r="BE354" s="158">
        <v>1247800</v>
      </c>
      <c r="BG354" s="159" t="s">
        <v>2033</v>
      </c>
      <c r="BK354" s="152" t="s">
        <v>132</v>
      </c>
      <c r="BN354" s="157" t="s">
        <v>1453</v>
      </c>
    </row>
    <row r="355" spans="1:66">
      <c r="A355" s="152" t="s">
        <v>3132</v>
      </c>
      <c r="B355" s="152" t="s">
        <v>3133</v>
      </c>
      <c r="C355" s="152" t="s">
        <v>3134</v>
      </c>
      <c r="D355" s="152" t="s">
        <v>3135</v>
      </c>
      <c r="E355" s="152" t="s">
        <v>3136</v>
      </c>
      <c r="F355" s="152">
        <v>4040</v>
      </c>
      <c r="G355" s="152">
        <v>40</v>
      </c>
      <c r="H355" s="152" t="s">
        <v>1865</v>
      </c>
      <c r="I355" s="152">
        <v>190199</v>
      </c>
      <c r="J355" s="152">
        <v>140</v>
      </c>
      <c r="K355" s="152">
        <v>79971</v>
      </c>
      <c r="L355" s="159" t="s">
        <v>856</v>
      </c>
      <c r="M355" s="152" t="s">
        <v>92</v>
      </c>
      <c r="N355" s="152" t="s">
        <v>92</v>
      </c>
      <c r="O355" s="159" t="s">
        <v>856</v>
      </c>
      <c r="P355" s="159" t="s">
        <v>856</v>
      </c>
      <c r="Q355" s="152" t="s">
        <v>92</v>
      </c>
      <c r="R355" s="152" t="s">
        <v>92</v>
      </c>
      <c r="S355" s="159" t="s">
        <v>856</v>
      </c>
      <c r="T355" s="159" t="s">
        <v>856</v>
      </c>
      <c r="U355" s="159" t="s">
        <v>856</v>
      </c>
      <c r="V355" s="152" t="s">
        <v>857</v>
      </c>
      <c r="W355" s="152" t="s">
        <v>858</v>
      </c>
      <c r="X355" s="152" t="s">
        <v>1083</v>
      </c>
      <c r="Y355" s="152">
        <v>56.96</v>
      </c>
      <c r="Z355" s="152">
        <v>1</v>
      </c>
      <c r="AA355" s="152" t="s">
        <v>92</v>
      </c>
      <c r="AB355" s="152">
        <v>155.54</v>
      </c>
      <c r="AC355" s="152">
        <v>2</v>
      </c>
      <c r="AD355" s="152" t="s">
        <v>861</v>
      </c>
      <c r="AE355" s="152">
        <v>155.54</v>
      </c>
      <c r="AF355" s="152">
        <v>0</v>
      </c>
      <c r="AG355" s="152" t="s">
        <v>861</v>
      </c>
      <c r="AH355" s="152" t="s">
        <v>861</v>
      </c>
      <c r="AI355" s="152" t="s">
        <v>92</v>
      </c>
      <c r="AJ355" s="152" t="s">
        <v>92</v>
      </c>
      <c r="AK355" s="152" t="s">
        <v>912</v>
      </c>
      <c r="AL355" s="159" t="s">
        <v>856</v>
      </c>
      <c r="AP355" s="159" t="s">
        <v>856</v>
      </c>
      <c r="AQ355" s="159" t="s">
        <v>856</v>
      </c>
      <c r="AR355" s="159" t="s">
        <v>863</v>
      </c>
      <c r="AS355" s="159" t="s">
        <v>865</v>
      </c>
      <c r="AT355" s="152" t="str">
        <f t="shared" si="28"/>
        <v>RPT12-020319</v>
      </c>
      <c r="AU355" s="152" t="str">
        <f t="shared" si="29"/>
        <v>TALLERES AUTOTEC, SOCIEDAD ANONIMA</v>
      </c>
      <c r="AV355" s="159">
        <v>2071.4499999999998</v>
      </c>
      <c r="AW355" s="159">
        <v>721128</v>
      </c>
      <c r="AX355" s="159">
        <v>35</v>
      </c>
      <c r="AY355" s="159">
        <v>721127</v>
      </c>
      <c r="AZ355" s="152" t="s">
        <v>864</v>
      </c>
      <c r="BA355" s="152" t="str">
        <f t="shared" si="27"/>
        <v>L19-307-KM090</v>
      </c>
      <c r="BB355" s="152">
        <v>0</v>
      </c>
      <c r="BC355" s="157">
        <v>43594</v>
      </c>
      <c r="BD355" s="157">
        <v>43594</v>
      </c>
      <c r="BE355" s="158">
        <v>408786</v>
      </c>
      <c r="BG355" s="159" t="s">
        <v>2033</v>
      </c>
      <c r="BK355" s="152" t="s">
        <v>132</v>
      </c>
      <c r="BN355" s="157" t="s">
        <v>1453</v>
      </c>
    </row>
    <row r="356" spans="1:66">
      <c r="A356" s="152" t="s">
        <v>3137</v>
      </c>
      <c r="B356" s="152" t="s">
        <v>3138</v>
      </c>
      <c r="C356" s="152" t="s">
        <v>3139</v>
      </c>
      <c r="D356" s="152" t="s">
        <v>3140</v>
      </c>
      <c r="E356" s="152" t="s">
        <v>3141</v>
      </c>
      <c r="F356" s="152">
        <v>1320</v>
      </c>
      <c r="G356" s="152">
        <v>320</v>
      </c>
      <c r="H356" s="152" t="s">
        <v>1859</v>
      </c>
      <c r="I356" s="152">
        <v>199648</v>
      </c>
      <c r="J356" s="152">
        <v>100.05</v>
      </c>
      <c r="K356" s="152">
        <v>87043</v>
      </c>
      <c r="L356" s="159" t="s">
        <v>856</v>
      </c>
      <c r="M356" s="152" t="s">
        <v>92</v>
      </c>
      <c r="N356" s="152" t="s">
        <v>92</v>
      </c>
      <c r="O356" s="159" t="s">
        <v>856</v>
      </c>
      <c r="P356" s="159" t="s">
        <v>856</v>
      </c>
      <c r="Q356" s="152" t="s">
        <v>92</v>
      </c>
      <c r="R356" s="152" t="s">
        <v>92</v>
      </c>
      <c r="S356" s="159" t="s">
        <v>856</v>
      </c>
      <c r="T356" s="159" t="s">
        <v>856</v>
      </c>
      <c r="U356" s="159" t="s">
        <v>856</v>
      </c>
      <c r="V356" s="152" t="s">
        <v>857</v>
      </c>
      <c r="W356" s="152" t="s">
        <v>858</v>
      </c>
      <c r="X356" s="152" t="s">
        <v>1083</v>
      </c>
      <c r="Y356" s="152">
        <v>0</v>
      </c>
      <c r="Z356" s="152">
        <v>1</v>
      </c>
      <c r="AA356" s="152" t="s">
        <v>92</v>
      </c>
      <c r="AB356" s="152">
        <v>67.44</v>
      </c>
      <c r="AC356" s="152">
        <v>1</v>
      </c>
      <c r="AD356" s="152" t="s">
        <v>861</v>
      </c>
      <c r="AE356" s="152">
        <v>67.44</v>
      </c>
      <c r="AF356" s="152">
        <v>0</v>
      </c>
      <c r="AG356" s="152" t="s">
        <v>861</v>
      </c>
      <c r="AH356" s="152" t="s">
        <v>861</v>
      </c>
      <c r="AI356" s="152" t="s">
        <v>92</v>
      </c>
      <c r="AJ356" s="152" t="s">
        <v>92</v>
      </c>
      <c r="AK356" s="152" t="s">
        <v>862</v>
      </c>
      <c r="AL356" s="159" t="s">
        <v>856</v>
      </c>
      <c r="AP356" s="159" t="s">
        <v>856</v>
      </c>
      <c r="AQ356" s="159" t="s">
        <v>856</v>
      </c>
      <c r="AR356" s="159" t="s">
        <v>3142</v>
      </c>
      <c r="AS356" s="159" t="s">
        <v>865</v>
      </c>
      <c r="AT356" s="152" t="str">
        <f t="shared" si="28"/>
        <v>RPNG9-120120</v>
      </c>
      <c r="AU356" s="152" t="str">
        <f t="shared" si="29"/>
        <v>ENGELBER DONALDO GARCIA DE LEON</v>
      </c>
      <c r="AV356" s="159">
        <v>679.8</v>
      </c>
      <c r="AW356" s="159">
        <v>829707</v>
      </c>
      <c r="AX356" s="159" t="s">
        <v>856</v>
      </c>
      <c r="AY356" s="159" t="s">
        <v>856</v>
      </c>
      <c r="AZ356" s="152" t="s">
        <v>864</v>
      </c>
      <c r="BA356" s="152" t="str">
        <f t="shared" si="27"/>
        <v>L20-214-JM054</v>
      </c>
      <c r="BB356" s="152">
        <v>0</v>
      </c>
      <c r="BC356" s="157">
        <v>43992</v>
      </c>
      <c r="BD356" s="157">
        <v>43992</v>
      </c>
      <c r="BE356" s="158">
        <v>134880</v>
      </c>
      <c r="BF356" s="152" t="s">
        <v>3143</v>
      </c>
      <c r="BG356" s="159" t="s">
        <v>894</v>
      </c>
      <c r="BH356" s="152">
        <v>67.44</v>
      </c>
      <c r="BI356" s="152">
        <v>0</v>
      </c>
      <c r="BJ356" s="152">
        <v>0</v>
      </c>
      <c r="BK356" s="152" t="s">
        <v>132</v>
      </c>
      <c r="BL356" s="152">
        <v>67.44</v>
      </c>
      <c r="BM356" s="152">
        <v>832957</v>
      </c>
      <c r="BN356" s="157" t="s">
        <v>1453</v>
      </c>
    </row>
    <row r="357" spans="1:66">
      <c r="A357" s="152" t="s">
        <v>3144</v>
      </c>
      <c r="B357" s="152" t="s">
        <v>3145</v>
      </c>
      <c r="C357" s="152" t="s">
        <v>3146</v>
      </c>
      <c r="D357" s="152" t="s">
        <v>3147</v>
      </c>
      <c r="E357" s="152" t="s">
        <v>3147</v>
      </c>
      <c r="F357" s="152">
        <v>1418</v>
      </c>
      <c r="G357" s="152">
        <v>418</v>
      </c>
      <c r="H357" s="152" t="s">
        <v>3148</v>
      </c>
      <c r="I357" s="152">
        <v>201456</v>
      </c>
      <c r="J357" s="152">
        <v>37.82</v>
      </c>
      <c r="K357" s="152">
        <v>88475</v>
      </c>
      <c r="L357" s="159" t="s">
        <v>856</v>
      </c>
      <c r="M357" s="152" t="s">
        <v>92</v>
      </c>
      <c r="N357" s="152" t="s">
        <v>92</v>
      </c>
      <c r="O357" s="159" t="s">
        <v>856</v>
      </c>
      <c r="P357" s="159" t="s">
        <v>856</v>
      </c>
      <c r="Q357" s="152" t="s">
        <v>92</v>
      </c>
      <c r="R357" s="152" t="s">
        <v>92</v>
      </c>
      <c r="S357" s="159" t="s">
        <v>856</v>
      </c>
      <c r="T357" s="159" t="s">
        <v>856</v>
      </c>
      <c r="U357" s="159" t="s">
        <v>856</v>
      </c>
      <c r="V357" s="152" t="s">
        <v>2320</v>
      </c>
      <c r="W357" s="152" t="s">
        <v>858</v>
      </c>
      <c r="X357" s="152" t="s">
        <v>882</v>
      </c>
      <c r="Y357" s="152">
        <v>0</v>
      </c>
      <c r="Z357" s="152">
        <v>1</v>
      </c>
      <c r="AA357" s="152" t="s">
        <v>92</v>
      </c>
      <c r="AB357" s="152">
        <v>55.74</v>
      </c>
      <c r="AC357" s="152">
        <v>2</v>
      </c>
      <c r="AD357" s="152" t="s">
        <v>861</v>
      </c>
      <c r="AE357" s="152">
        <v>55.74</v>
      </c>
      <c r="AF357" s="152">
        <v>0</v>
      </c>
      <c r="AG357" s="152" t="s">
        <v>861</v>
      </c>
      <c r="AH357" s="152" t="s">
        <v>861</v>
      </c>
      <c r="AI357" s="152" t="s">
        <v>92</v>
      </c>
      <c r="AJ357" s="152" t="s">
        <v>92</v>
      </c>
      <c r="AK357" s="152" t="s">
        <v>884</v>
      </c>
      <c r="AL357" s="159" t="s">
        <v>856</v>
      </c>
      <c r="AP357" s="159" t="s">
        <v>856</v>
      </c>
      <c r="AQ357" s="159" t="s">
        <v>856</v>
      </c>
      <c r="AR357" s="159" t="s">
        <v>1043</v>
      </c>
      <c r="AS357" s="159" t="s">
        <v>865</v>
      </c>
      <c r="AT357" s="152" t="str">
        <f t="shared" si="28"/>
        <v>RPP1-040118</v>
      </c>
      <c r="AU357" s="152" t="str">
        <f t="shared" si="29"/>
        <v>NURIA ZULEIKA PEREZ CARDONA Y CONDUEÑO</v>
      </c>
      <c r="AV357" s="159">
        <v>702.32</v>
      </c>
      <c r="AW357" s="159">
        <v>859683</v>
      </c>
      <c r="AX357" s="159">
        <v>21.25</v>
      </c>
      <c r="AY357" s="159">
        <v>859684</v>
      </c>
      <c r="AZ357" s="152" t="s">
        <v>864</v>
      </c>
      <c r="BA357" s="152" t="str">
        <f t="shared" si="27"/>
        <v>L20-479-MP099</v>
      </c>
      <c r="BB357" s="152">
        <v>0</v>
      </c>
      <c r="BC357" s="157">
        <v>44159</v>
      </c>
      <c r="BD357" s="157">
        <v>44159</v>
      </c>
      <c r="BE357" s="158">
        <v>139350</v>
      </c>
      <c r="BG357" s="159" t="s">
        <v>2033</v>
      </c>
      <c r="BK357" s="152" t="s">
        <v>132</v>
      </c>
      <c r="BN357" s="157" t="s">
        <v>1453</v>
      </c>
    </row>
    <row r="358" spans="1:66">
      <c r="A358" s="152" t="s">
        <v>3149</v>
      </c>
      <c r="B358" s="152" t="s">
        <v>3150</v>
      </c>
      <c r="C358" s="152" t="s">
        <v>3151</v>
      </c>
      <c r="D358" s="152" t="s">
        <v>3152</v>
      </c>
      <c r="E358" s="152" t="s">
        <v>3152</v>
      </c>
      <c r="F358" s="152">
        <v>310893</v>
      </c>
      <c r="G358" s="152">
        <v>93</v>
      </c>
      <c r="H358" s="152">
        <v>727</v>
      </c>
      <c r="I358" s="152">
        <v>169809</v>
      </c>
      <c r="J358" s="152">
        <v>437</v>
      </c>
      <c r="K358" s="152">
        <v>65483</v>
      </c>
      <c r="L358" s="159" t="s">
        <v>856</v>
      </c>
      <c r="M358" s="152" t="s">
        <v>92</v>
      </c>
      <c r="N358" s="152" t="s">
        <v>92</v>
      </c>
      <c r="O358" s="159" t="s">
        <v>856</v>
      </c>
      <c r="P358" s="159" t="s">
        <v>856</v>
      </c>
      <c r="Q358" s="152" t="s">
        <v>92</v>
      </c>
      <c r="R358" s="152" t="s">
        <v>92</v>
      </c>
      <c r="S358" s="159" t="s">
        <v>856</v>
      </c>
      <c r="T358" s="159" t="s">
        <v>856</v>
      </c>
      <c r="U358" s="159" t="s">
        <v>856</v>
      </c>
      <c r="V358" s="152" t="s">
        <v>1550</v>
      </c>
      <c r="W358" s="152" t="s">
        <v>858</v>
      </c>
      <c r="X358" s="152" t="s">
        <v>1083</v>
      </c>
      <c r="Y358" s="152">
        <v>0</v>
      </c>
      <c r="Z358" s="152">
        <v>1</v>
      </c>
      <c r="AA358" s="152" t="s">
        <v>92</v>
      </c>
      <c r="AB358" s="152">
        <v>114</v>
      </c>
      <c r="AC358" s="152">
        <v>2</v>
      </c>
      <c r="AD358" s="152" t="s">
        <v>861</v>
      </c>
      <c r="AE358" s="152">
        <v>114</v>
      </c>
      <c r="AF358" s="152">
        <v>0</v>
      </c>
      <c r="AG358" s="152" t="s">
        <v>861</v>
      </c>
      <c r="AH358" s="152" t="s">
        <v>861</v>
      </c>
      <c r="AI358" s="152" t="s">
        <v>92</v>
      </c>
      <c r="AJ358" s="152" t="s">
        <v>92</v>
      </c>
      <c r="AK358" s="152" t="s">
        <v>862</v>
      </c>
      <c r="AL358" s="159" t="s">
        <v>856</v>
      </c>
      <c r="AP358" s="159" t="s">
        <v>856</v>
      </c>
      <c r="AQ358" s="159" t="s">
        <v>856</v>
      </c>
      <c r="AR358" s="159" t="s">
        <v>863</v>
      </c>
      <c r="AS358" s="159" t="s">
        <v>865</v>
      </c>
      <c r="AT358" s="152" t="str">
        <f t="shared" si="28"/>
        <v>RPNL10-060320</v>
      </c>
      <c r="AU358" s="152" t="str">
        <f t="shared" si="29"/>
        <v>BEATRIZ ADRIANA LOPEZ MENCHU</v>
      </c>
      <c r="AV358" s="159">
        <v>1436.4</v>
      </c>
      <c r="AW358" s="159">
        <v>854039</v>
      </c>
      <c r="AX358" s="159" t="s">
        <v>856</v>
      </c>
      <c r="AY358" s="159" t="s">
        <v>856</v>
      </c>
      <c r="AZ358" s="152" t="s">
        <v>864</v>
      </c>
      <c r="BA358" s="152" t="str">
        <f t="shared" si="27"/>
        <v>L20-497-JM036</v>
      </c>
      <c r="BB358" s="152">
        <v>0</v>
      </c>
      <c r="BC358" s="157">
        <v>44102</v>
      </c>
      <c r="BD358" s="157">
        <v>44102</v>
      </c>
      <c r="BE358" s="158">
        <v>285000</v>
      </c>
      <c r="BG358" s="159" t="s">
        <v>2033</v>
      </c>
      <c r="BK358" s="152" t="s">
        <v>132</v>
      </c>
      <c r="BN358" s="157" t="s">
        <v>1453</v>
      </c>
    </row>
    <row r="359" spans="1:66">
      <c r="A359" s="152" t="s">
        <v>3153</v>
      </c>
      <c r="B359" s="152" t="s">
        <v>3154</v>
      </c>
      <c r="C359" s="152" t="s">
        <v>3155</v>
      </c>
      <c r="D359" s="152" t="s">
        <v>3156</v>
      </c>
      <c r="E359" s="152" t="s">
        <v>3156</v>
      </c>
      <c r="F359" s="152">
        <v>241798</v>
      </c>
      <c r="G359" s="152">
        <v>138</v>
      </c>
      <c r="H359" s="152">
        <v>523</v>
      </c>
      <c r="I359" s="152">
        <v>15364</v>
      </c>
      <c r="J359" s="152">
        <v>893.47</v>
      </c>
      <c r="K359" s="152">
        <v>63417</v>
      </c>
      <c r="L359" s="159" t="s">
        <v>3157</v>
      </c>
      <c r="M359" s="152" t="s">
        <v>883</v>
      </c>
      <c r="N359" s="152" t="s">
        <v>92</v>
      </c>
      <c r="O359" s="159">
        <v>12418</v>
      </c>
      <c r="P359" s="159" t="s">
        <v>3157</v>
      </c>
      <c r="Q359" s="152" t="s">
        <v>883</v>
      </c>
      <c r="R359" s="152" t="s">
        <v>92</v>
      </c>
      <c r="S359" s="159">
        <v>12418</v>
      </c>
      <c r="T359" s="159" t="s">
        <v>856</v>
      </c>
      <c r="U359" s="159" t="s">
        <v>856</v>
      </c>
      <c r="V359" s="152" t="s">
        <v>857</v>
      </c>
      <c r="W359" s="152" t="s">
        <v>858</v>
      </c>
      <c r="X359" s="152" t="s">
        <v>1083</v>
      </c>
      <c r="Y359" s="152">
        <v>0</v>
      </c>
      <c r="Z359" s="152">
        <v>1</v>
      </c>
      <c r="AA359" s="152" t="s">
        <v>92</v>
      </c>
      <c r="AB359" s="152">
        <v>70.400000000000006</v>
      </c>
      <c r="AC359" s="152">
        <v>1</v>
      </c>
      <c r="AD359" s="152" t="s">
        <v>861</v>
      </c>
      <c r="AE359" s="152">
        <v>70.400000000000006</v>
      </c>
      <c r="AF359" s="152">
        <v>0</v>
      </c>
      <c r="AG359" s="152" t="s">
        <v>861</v>
      </c>
      <c r="AH359" s="152" t="s">
        <v>861</v>
      </c>
      <c r="AI359" s="152" t="s">
        <v>92</v>
      </c>
      <c r="AJ359" s="152" t="s">
        <v>92</v>
      </c>
      <c r="AK359" s="152" t="s">
        <v>872</v>
      </c>
      <c r="AL359" s="159" t="s">
        <v>856</v>
      </c>
      <c r="AP359" s="159" t="s">
        <v>856</v>
      </c>
      <c r="AQ359" s="159" t="s">
        <v>856</v>
      </c>
      <c r="AR359" s="159" t="s">
        <v>863</v>
      </c>
      <c r="AS359" s="159" t="s">
        <v>865</v>
      </c>
      <c r="AT359" s="152" t="str">
        <f t="shared" si="28"/>
        <v>C3-09-0617</v>
      </c>
      <c r="AU359" s="152" t="str">
        <f t="shared" si="29"/>
        <v>RAYMUNDA SOCORRO CUCUM TIZOL</v>
      </c>
      <c r="AV359" s="159">
        <v>473.09</v>
      </c>
      <c r="AW359" s="159">
        <v>639404</v>
      </c>
      <c r="AX359" s="159">
        <v>161.28</v>
      </c>
      <c r="AY359" s="159">
        <v>639404</v>
      </c>
      <c r="AZ359" s="152" t="s">
        <v>864</v>
      </c>
      <c r="BA359" s="152" t="str">
        <f t="shared" si="27"/>
        <v>L17-375-C093</v>
      </c>
      <c r="BB359" s="152">
        <v>0</v>
      </c>
      <c r="BC359" s="157">
        <v>42923</v>
      </c>
      <c r="BD359" s="157">
        <v>43046</v>
      </c>
      <c r="BE359" s="158">
        <v>42240</v>
      </c>
      <c r="BG359" s="159" t="s">
        <v>2033</v>
      </c>
      <c r="BK359" s="152" t="s">
        <v>132</v>
      </c>
      <c r="BN359" s="157" t="s">
        <v>1453</v>
      </c>
    </row>
    <row r="360" spans="1:66">
      <c r="A360" s="152" t="s">
        <v>3158</v>
      </c>
      <c r="B360" s="152" t="s">
        <v>3159</v>
      </c>
      <c r="C360" s="152" t="s">
        <v>3160</v>
      </c>
      <c r="D360" s="152" t="s">
        <v>3161</v>
      </c>
      <c r="E360" s="152" t="s">
        <v>3162</v>
      </c>
      <c r="F360" s="152">
        <v>312538</v>
      </c>
      <c r="G360" s="152">
        <v>108</v>
      </c>
      <c r="H360" s="152">
        <v>759</v>
      </c>
      <c r="I360" s="152">
        <v>164310</v>
      </c>
      <c r="J360" s="152">
        <v>427.52</v>
      </c>
      <c r="K360" s="152">
        <v>61831</v>
      </c>
      <c r="L360" s="159" t="s">
        <v>3163</v>
      </c>
      <c r="M360" s="152" t="s">
        <v>92</v>
      </c>
      <c r="N360" s="152" t="s">
        <v>883</v>
      </c>
      <c r="O360" s="159">
        <v>2340</v>
      </c>
      <c r="P360" s="159" t="s">
        <v>3160</v>
      </c>
      <c r="Q360" s="152" t="s">
        <v>92</v>
      </c>
      <c r="R360" s="152" t="s">
        <v>92</v>
      </c>
      <c r="S360" s="159" t="s">
        <v>856</v>
      </c>
      <c r="T360" s="159" t="s">
        <v>856</v>
      </c>
      <c r="U360" s="159" t="s">
        <v>856</v>
      </c>
      <c r="V360" s="152" t="s">
        <v>3164</v>
      </c>
      <c r="W360" s="152" t="s">
        <v>3165</v>
      </c>
      <c r="X360" s="152" t="s">
        <v>3166</v>
      </c>
      <c r="Y360" s="152">
        <v>0</v>
      </c>
      <c r="Z360" s="152">
        <v>0</v>
      </c>
      <c r="AA360" s="152" t="s">
        <v>92</v>
      </c>
      <c r="AB360" s="152">
        <v>7.25</v>
      </c>
      <c r="AC360" s="152">
        <v>1</v>
      </c>
      <c r="AD360" s="152" t="s">
        <v>861</v>
      </c>
      <c r="AE360" s="152">
        <v>0</v>
      </c>
      <c r="AF360" s="152">
        <v>0</v>
      </c>
      <c r="AG360" s="152" t="s">
        <v>861</v>
      </c>
      <c r="AH360" s="152" t="s">
        <v>861</v>
      </c>
      <c r="AI360" s="152" t="s">
        <v>92</v>
      </c>
      <c r="AJ360" s="152" t="s">
        <v>92</v>
      </c>
      <c r="AK360" s="152" t="s">
        <v>861</v>
      </c>
      <c r="AL360" s="159" t="s">
        <v>856</v>
      </c>
      <c r="AP360" s="159" t="s">
        <v>856</v>
      </c>
      <c r="AQ360" s="159" t="s">
        <v>856</v>
      </c>
      <c r="AR360" s="159" t="s">
        <v>863</v>
      </c>
      <c r="AS360" s="159" t="s">
        <v>865</v>
      </c>
      <c r="AT360" s="152" t="str">
        <f t="shared" si="28"/>
        <v>T1-08-1216</v>
      </c>
      <c r="AU360" s="152" t="str">
        <f t="shared" si="29"/>
        <v>MANOLO TRAPAGA SOSA</v>
      </c>
      <c r="AV360" s="159">
        <v>97.44</v>
      </c>
      <c r="AW360" s="159">
        <v>620787</v>
      </c>
      <c r="AX360" s="159" t="s">
        <v>856</v>
      </c>
      <c r="AY360" s="159" t="s">
        <v>856</v>
      </c>
      <c r="AZ360" s="152" t="s">
        <v>864</v>
      </c>
      <c r="BA360" s="152" t="str">
        <f t="shared" si="27"/>
        <v>L17-902-M273</v>
      </c>
      <c r="BB360" s="152">
        <v>0</v>
      </c>
      <c r="BC360" s="157">
        <v>42767</v>
      </c>
      <c r="BD360" s="157">
        <v>42826</v>
      </c>
      <c r="BE360" s="158">
        <v>4350</v>
      </c>
      <c r="BG360" s="159" t="s">
        <v>2033</v>
      </c>
      <c r="BK360" s="152" t="s">
        <v>132</v>
      </c>
      <c r="BN360" s="157" t="s">
        <v>1453</v>
      </c>
    </row>
    <row r="361" spans="1:66">
      <c r="A361" s="152" t="s">
        <v>3167</v>
      </c>
      <c r="B361" s="152" t="s">
        <v>3168</v>
      </c>
      <c r="C361" s="152" t="s">
        <v>3169</v>
      </c>
      <c r="D361" s="152" t="s">
        <v>3170</v>
      </c>
      <c r="E361" s="152" t="s">
        <v>3170</v>
      </c>
      <c r="F361" s="152">
        <v>226436</v>
      </c>
      <c r="G361" s="152">
        <v>4</v>
      </c>
      <c r="H361" s="152">
        <v>473</v>
      </c>
      <c r="I361" s="152">
        <v>151841</v>
      </c>
      <c r="J361" s="152">
        <v>218.5</v>
      </c>
      <c r="K361" s="152">
        <v>49756</v>
      </c>
      <c r="L361" s="159" t="s">
        <v>1051</v>
      </c>
      <c r="M361" s="152" t="s">
        <v>92</v>
      </c>
      <c r="N361" s="152" t="s">
        <v>883</v>
      </c>
      <c r="O361" s="159">
        <v>4346</v>
      </c>
      <c r="P361" s="159" t="s">
        <v>1051</v>
      </c>
      <c r="Q361" s="152" t="s">
        <v>92</v>
      </c>
      <c r="R361" s="152" t="s">
        <v>883</v>
      </c>
      <c r="S361" s="159">
        <v>4346</v>
      </c>
      <c r="T361" s="159" t="s">
        <v>856</v>
      </c>
      <c r="U361" s="159" t="s">
        <v>856</v>
      </c>
      <c r="V361" s="152" t="s">
        <v>3171</v>
      </c>
      <c r="W361" s="152" t="s">
        <v>858</v>
      </c>
      <c r="X361" s="152" t="s">
        <v>1083</v>
      </c>
      <c r="Y361" s="152">
        <v>0</v>
      </c>
      <c r="Z361" s="152">
        <v>2</v>
      </c>
      <c r="AA361" s="152" t="s">
        <v>883</v>
      </c>
      <c r="AB361" s="152">
        <v>129.83000000000001</v>
      </c>
      <c r="AC361" s="152">
        <v>1</v>
      </c>
      <c r="AD361" s="152" t="s">
        <v>861</v>
      </c>
      <c r="AE361" s="152">
        <v>129.83000000000001</v>
      </c>
      <c r="AF361" s="152">
        <v>0</v>
      </c>
      <c r="AG361" s="152" t="s">
        <v>861</v>
      </c>
      <c r="AH361" s="152" t="s">
        <v>861</v>
      </c>
      <c r="AI361" s="152" t="s">
        <v>92</v>
      </c>
      <c r="AJ361" s="152" t="s">
        <v>92</v>
      </c>
      <c r="AK361" s="152" t="s">
        <v>862</v>
      </c>
      <c r="AL361" s="159" t="s">
        <v>856</v>
      </c>
      <c r="AP361" s="159" t="s">
        <v>856</v>
      </c>
      <c r="AQ361" s="159" t="s">
        <v>856</v>
      </c>
      <c r="AR361" s="159" t="s">
        <v>863</v>
      </c>
      <c r="AS361" s="159" t="s">
        <v>865</v>
      </c>
      <c r="AT361" s="152" t="str">
        <f t="shared" si="28"/>
        <v>RPC5-080519</v>
      </c>
      <c r="AU361" s="152" t="str">
        <f t="shared" si="29"/>
        <v>CARMEN TEODORA COYOY GARCIA</v>
      </c>
      <c r="AV361" s="159">
        <v>1535.49</v>
      </c>
      <c r="AW361" s="159">
        <v>724588</v>
      </c>
      <c r="AX361" s="159">
        <v>52.25</v>
      </c>
      <c r="AY361" s="159">
        <v>724589</v>
      </c>
      <c r="AZ361" s="152" t="s">
        <v>864</v>
      </c>
      <c r="BA361" s="152" t="str">
        <f t="shared" si="27"/>
        <v>L19-310-WV053</v>
      </c>
      <c r="BB361" s="152">
        <v>0</v>
      </c>
      <c r="BC361" s="157">
        <v>43620</v>
      </c>
      <c r="BD361" s="157">
        <v>43620</v>
      </c>
      <c r="BE361" s="158">
        <v>267220</v>
      </c>
      <c r="BF361" s="152" t="s">
        <v>3172</v>
      </c>
      <c r="BG361" s="159" t="s">
        <v>3173</v>
      </c>
      <c r="BH361" s="152">
        <v>142.56</v>
      </c>
      <c r="BI361" s="152">
        <v>0</v>
      </c>
      <c r="BJ361" s="152">
        <v>0</v>
      </c>
      <c r="BK361" s="152" t="s">
        <v>132</v>
      </c>
      <c r="BL361" s="152">
        <v>142.56</v>
      </c>
      <c r="BM361" s="152">
        <v>725865</v>
      </c>
      <c r="BN361" s="157" t="s">
        <v>1453</v>
      </c>
    </row>
    <row r="362" spans="1:66">
      <c r="A362" s="152" t="s">
        <v>3174</v>
      </c>
      <c r="B362" s="152" t="s">
        <v>3175</v>
      </c>
      <c r="C362" s="152" t="s">
        <v>3176</v>
      </c>
      <c r="D362" s="152" t="s">
        <v>3178</v>
      </c>
      <c r="E362" s="152" t="s">
        <v>3177</v>
      </c>
      <c r="F362" s="152">
        <v>313243</v>
      </c>
      <c r="G362" s="152">
        <v>213</v>
      </c>
      <c r="H362" s="152">
        <v>761</v>
      </c>
      <c r="I362" s="152">
        <v>183533</v>
      </c>
      <c r="J362" s="152">
        <v>112.04</v>
      </c>
      <c r="K362" s="152">
        <v>74864</v>
      </c>
      <c r="L362" s="159" t="s">
        <v>1508</v>
      </c>
      <c r="M362" s="152" t="s">
        <v>883</v>
      </c>
      <c r="N362" s="152" t="s">
        <v>92</v>
      </c>
      <c r="O362" s="159">
        <v>11147</v>
      </c>
      <c r="P362" s="159" t="s">
        <v>1508</v>
      </c>
      <c r="Q362" s="152" t="s">
        <v>883</v>
      </c>
      <c r="R362" s="152" t="s">
        <v>92</v>
      </c>
      <c r="S362" s="159">
        <v>11147</v>
      </c>
      <c r="T362" s="159" t="s">
        <v>3179</v>
      </c>
      <c r="U362" s="159" t="s">
        <v>3180</v>
      </c>
      <c r="V362" s="152" t="s">
        <v>857</v>
      </c>
      <c r="W362" s="152" t="s">
        <v>858</v>
      </c>
      <c r="X362" s="152" t="s">
        <v>1083</v>
      </c>
      <c r="Y362" s="152">
        <v>50.7</v>
      </c>
      <c r="Z362" s="152">
        <v>1</v>
      </c>
      <c r="AA362" s="152" t="s">
        <v>92</v>
      </c>
      <c r="AB362" s="152">
        <v>90.76</v>
      </c>
      <c r="AC362" s="152">
        <v>1</v>
      </c>
      <c r="AD362" s="152" t="s">
        <v>861</v>
      </c>
      <c r="AE362" s="152">
        <v>90.76</v>
      </c>
      <c r="AF362" s="152">
        <v>0</v>
      </c>
      <c r="AG362" s="152" t="s">
        <v>861</v>
      </c>
      <c r="AH362" s="152" t="s">
        <v>861</v>
      </c>
      <c r="AI362" s="152" t="s">
        <v>92</v>
      </c>
      <c r="AJ362" s="152" t="s">
        <v>92</v>
      </c>
      <c r="AK362" s="152" t="s">
        <v>972</v>
      </c>
      <c r="AL362" s="159" t="s">
        <v>856</v>
      </c>
      <c r="AP362" s="159" t="s">
        <v>856</v>
      </c>
      <c r="AQ362" s="159" t="s">
        <v>856</v>
      </c>
      <c r="AR362" s="159" t="s">
        <v>863</v>
      </c>
      <c r="AS362" s="159" t="s">
        <v>865</v>
      </c>
      <c r="AT362" s="152" t="str">
        <f t="shared" si="28"/>
        <v>VUO12-020418</v>
      </c>
      <c r="AU362" s="152" t="str">
        <f t="shared" si="29"/>
        <v>WILLIAM ARNOLDO OSORIO MARTINEZ</v>
      </c>
      <c r="AV362" s="159">
        <v>1039.43</v>
      </c>
      <c r="AW362" s="159">
        <v>663690</v>
      </c>
      <c r="AX362" s="159">
        <v>224</v>
      </c>
      <c r="AY362" s="159">
        <v>663691</v>
      </c>
      <c r="AZ362" s="152" t="s">
        <v>864</v>
      </c>
      <c r="BA362" s="152" t="str">
        <f t="shared" si="27"/>
        <v>L18-185-SP057</v>
      </c>
      <c r="BB362" s="152">
        <v>15</v>
      </c>
      <c r="BC362" s="157">
        <v>43214</v>
      </c>
      <c r="BD362" s="157">
        <v>43520</v>
      </c>
      <c r="BE362" s="158">
        <v>200105</v>
      </c>
      <c r="BF362" s="152" t="s">
        <v>3181</v>
      </c>
      <c r="BG362" s="159" t="s">
        <v>875</v>
      </c>
      <c r="BH362" s="152">
        <v>90.76</v>
      </c>
      <c r="BI362" s="152">
        <v>0</v>
      </c>
      <c r="BJ362" s="152">
        <v>0</v>
      </c>
      <c r="BK362" s="152" t="s">
        <v>132</v>
      </c>
      <c r="BL362" s="152">
        <v>90.76</v>
      </c>
      <c r="BM362" s="152">
        <v>663693</v>
      </c>
      <c r="BN362" s="157" t="s">
        <v>1453</v>
      </c>
    </row>
    <row r="363" spans="1:66">
      <c r="A363" s="152" t="s">
        <v>3182</v>
      </c>
      <c r="B363" s="152" t="s">
        <v>3183</v>
      </c>
      <c r="C363" s="152" t="s">
        <v>3184</v>
      </c>
      <c r="D363" s="152" t="s">
        <v>3185</v>
      </c>
      <c r="E363" s="152" t="s">
        <v>3185</v>
      </c>
      <c r="F363" s="152">
        <v>343478</v>
      </c>
      <c r="G363" s="152">
        <v>108</v>
      </c>
      <c r="H363" s="152">
        <v>862</v>
      </c>
      <c r="I363" s="152">
        <v>168714</v>
      </c>
      <c r="J363" s="152">
        <v>49.7</v>
      </c>
      <c r="K363" s="152">
        <v>88664</v>
      </c>
      <c r="L363" s="159" t="s">
        <v>856</v>
      </c>
      <c r="M363" s="152" t="s">
        <v>92</v>
      </c>
      <c r="N363" s="152" t="s">
        <v>92</v>
      </c>
      <c r="O363" s="159" t="s">
        <v>856</v>
      </c>
      <c r="P363" s="159" t="s">
        <v>856</v>
      </c>
      <c r="Q363" s="152" t="s">
        <v>92</v>
      </c>
      <c r="R363" s="152" t="s">
        <v>92</v>
      </c>
      <c r="S363" s="159" t="s">
        <v>856</v>
      </c>
      <c r="T363" s="159" t="s">
        <v>856</v>
      </c>
      <c r="U363" s="159" t="s">
        <v>856</v>
      </c>
      <c r="V363" s="152" t="s">
        <v>1550</v>
      </c>
      <c r="W363" s="152" t="s">
        <v>858</v>
      </c>
      <c r="X363" s="152" t="s">
        <v>1083</v>
      </c>
      <c r="Y363" s="152">
        <v>0</v>
      </c>
      <c r="Z363" s="152">
        <v>1</v>
      </c>
      <c r="AA363" s="152" t="s">
        <v>92</v>
      </c>
      <c r="AB363" s="152">
        <v>46.8</v>
      </c>
      <c r="AC363" s="152">
        <v>2</v>
      </c>
      <c r="AD363" s="152" t="s">
        <v>861</v>
      </c>
      <c r="AE363" s="152">
        <v>46.8</v>
      </c>
      <c r="AF363" s="152">
        <v>0</v>
      </c>
      <c r="AG363" s="152" t="s">
        <v>861</v>
      </c>
      <c r="AH363" s="152" t="s">
        <v>861</v>
      </c>
      <c r="AI363" s="152" t="s">
        <v>92</v>
      </c>
      <c r="AJ363" s="152" t="s">
        <v>92</v>
      </c>
      <c r="AK363" s="152" t="s">
        <v>862</v>
      </c>
      <c r="AL363" s="159" t="s">
        <v>856</v>
      </c>
      <c r="AP363" s="159" t="s">
        <v>856</v>
      </c>
      <c r="AQ363" s="159" t="s">
        <v>856</v>
      </c>
      <c r="AR363" s="159" t="s">
        <v>2803</v>
      </c>
      <c r="AS363" s="159" t="s">
        <v>865</v>
      </c>
      <c r="AT363" s="152" t="str">
        <f t="shared" si="28"/>
        <v>RPR1-280718</v>
      </c>
      <c r="AU363" s="152" t="str">
        <f t="shared" si="29"/>
        <v>AMILCAR LEONARDO RACANCOJ ALONZO</v>
      </c>
      <c r="AV363" s="159">
        <v>589.67999999999995</v>
      </c>
      <c r="AW363" s="159">
        <v>672827</v>
      </c>
      <c r="AX363" s="159" t="s">
        <v>856</v>
      </c>
      <c r="AY363" s="159" t="s">
        <v>856</v>
      </c>
      <c r="AZ363" s="152" t="s">
        <v>864</v>
      </c>
      <c r="BA363" s="152" t="str">
        <f t="shared" si="27"/>
        <v>L18-975-MP099</v>
      </c>
      <c r="BB363" s="152">
        <v>0</v>
      </c>
      <c r="BC363" s="157">
        <v>43339</v>
      </c>
      <c r="BD363" s="157">
        <v>43339</v>
      </c>
      <c r="BE363" s="158">
        <v>117000</v>
      </c>
      <c r="BG363" s="159" t="s">
        <v>2033</v>
      </c>
      <c r="BK363" s="152" t="s">
        <v>132</v>
      </c>
      <c r="BN363" s="157" t="s">
        <v>1453</v>
      </c>
    </row>
    <row r="364" spans="1:66">
      <c r="A364" s="152" t="s">
        <v>3186</v>
      </c>
      <c r="B364" s="152" t="s">
        <v>3187</v>
      </c>
      <c r="C364" s="152" t="s">
        <v>3188</v>
      </c>
      <c r="D364" s="152" t="s">
        <v>3189</v>
      </c>
      <c r="E364" s="152" t="s">
        <v>3189</v>
      </c>
      <c r="F364" s="152">
        <v>319313</v>
      </c>
      <c r="G364" s="152">
        <v>273</v>
      </c>
      <c r="H364" s="152">
        <v>782</v>
      </c>
      <c r="I364" s="152">
        <v>197551</v>
      </c>
      <c r="J364" s="152">
        <v>90.51</v>
      </c>
      <c r="K364" s="152">
        <v>85195</v>
      </c>
      <c r="L364" s="159" t="s">
        <v>856</v>
      </c>
      <c r="M364" s="152" t="s">
        <v>92</v>
      </c>
      <c r="N364" s="152" t="s">
        <v>92</v>
      </c>
      <c r="O364" s="159" t="s">
        <v>856</v>
      </c>
      <c r="P364" s="159" t="s">
        <v>856</v>
      </c>
      <c r="Q364" s="152" t="s">
        <v>92</v>
      </c>
      <c r="R364" s="152" t="s">
        <v>92</v>
      </c>
      <c r="S364" s="159" t="s">
        <v>856</v>
      </c>
      <c r="T364" s="159" t="s">
        <v>856</v>
      </c>
      <c r="U364" s="159" t="s">
        <v>856</v>
      </c>
      <c r="V364" s="152" t="s">
        <v>857</v>
      </c>
      <c r="W364" s="152" t="s">
        <v>858</v>
      </c>
      <c r="X364" s="152" t="s">
        <v>1083</v>
      </c>
      <c r="Y364" s="152">
        <v>0</v>
      </c>
      <c r="Z364" s="152">
        <v>1</v>
      </c>
      <c r="AA364" s="152" t="s">
        <v>92</v>
      </c>
      <c r="AB364" s="152">
        <v>90.52</v>
      </c>
      <c r="AC364" s="152">
        <v>1</v>
      </c>
      <c r="AD364" s="152" t="s">
        <v>861</v>
      </c>
      <c r="AE364" s="152">
        <v>90.52</v>
      </c>
      <c r="AF364" s="152">
        <v>0</v>
      </c>
      <c r="AG364" s="152" t="s">
        <v>861</v>
      </c>
      <c r="AH364" s="152" t="s">
        <v>861</v>
      </c>
      <c r="AI364" s="152" t="s">
        <v>92</v>
      </c>
      <c r="AJ364" s="152" t="s">
        <v>92</v>
      </c>
      <c r="AK364" s="152" t="s">
        <v>862</v>
      </c>
      <c r="AL364" s="159" t="s">
        <v>856</v>
      </c>
      <c r="AP364" s="159" t="s">
        <v>856</v>
      </c>
      <c r="AQ364" s="159" t="s">
        <v>856</v>
      </c>
      <c r="AR364" s="159" t="s">
        <v>863</v>
      </c>
      <c r="AS364" s="159" t="s">
        <v>865</v>
      </c>
      <c r="AT364" s="152" t="str">
        <f t="shared" si="28"/>
        <v>RPC1-090518</v>
      </c>
      <c r="AU364" s="152" t="str">
        <f t="shared" si="29"/>
        <v>FRISLI WOSVELI AUGUSTO BARRENO IXCOT</v>
      </c>
      <c r="AV364" s="159">
        <v>912.44</v>
      </c>
      <c r="AW364" s="159">
        <v>666731</v>
      </c>
      <c r="AX364" s="159" t="s">
        <v>856</v>
      </c>
      <c r="AY364" s="159" t="s">
        <v>856</v>
      </c>
      <c r="AZ364" s="152" t="s">
        <v>864</v>
      </c>
      <c r="BA364" s="152" t="str">
        <f t="shared" si="27"/>
        <v>L18-976-SP193</v>
      </c>
      <c r="BB364" s="152">
        <v>0</v>
      </c>
      <c r="BC364" s="157">
        <v>43249</v>
      </c>
      <c r="BD364" s="157">
        <v>43249</v>
      </c>
      <c r="BE364" s="158">
        <v>181040</v>
      </c>
      <c r="BF364" s="152" t="s">
        <v>3190</v>
      </c>
      <c r="BG364" s="159" t="s">
        <v>894</v>
      </c>
      <c r="BH364" s="152">
        <v>90.52</v>
      </c>
      <c r="BI364" s="152">
        <v>0</v>
      </c>
      <c r="BJ364" s="152">
        <v>0</v>
      </c>
      <c r="BK364" s="152" t="s">
        <v>132</v>
      </c>
      <c r="BL364" s="152">
        <v>90.52</v>
      </c>
      <c r="BM364" s="152">
        <v>926106</v>
      </c>
      <c r="BN364" s="157" t="s">
        <v>1453</v>
      </c>
    </row>
    <row r="365" spans="1:66">
      <c r="A365" s="152" t="s">
        <v>3191</v>
      </c>
      <c r="B365" s="152" t="s">
        <v>3192</v>
      </c>
      <c r="C365" s="152" t="s">
        <v>3193</v>
      </c>
      <c r="D365" s="152" t="s">
        <v>3194</v>
      </c>
      <c r="E365" s="152" t="s">
        <v>3194</v>
      </c>
      <c r="F365" s="152">
        <v>278638</v>
      </c>
      <c r="G365" s="152">
        <v>28</v>
      </c>
      <c r="H365" s="152">
        <v>646</v>
      </c>
      <c r="I365" s="152">
        <v>194529</v>
      </c>
      <c r="J365" s="152">
        <v>101.02</v>
      </c>
      <c r="K365" s="152">
        <v>83203</v>
      </c>
      <c r="L365" s="159" t="s">
        <v>3195</v>
      </c>
      <c r="M365" s="152" t="s">
        <v>92</v>
      </c>
      <c r="N365" s="152" t="s">
        <v>883</v>
      </c>
      <c r="O365" s="159">
        <v>4863</v>
      </c>
      <c r="P365" s="159" t="s">
        <v>3196</v>
      </c>
      <c r="Q365" s="152" t="s">
        <v>92</v>
      </c>
      <c r="R365" s="152" t="s">
        <v>92</v>
      </c>
      <c r="S365" s="159" t="s">
        <v>856</v>
      </c>
      <c r="T365" s="159" t="s">
        <v>856</v>
      </c>
      <c r="U365" s="159" t="s">
        <v>856</v>
      </c>
      <c r="V365" s="152" t="s">
        <v>1149</v>
      </c>
      <c r="W365" s="152" t="s">
        <v>858</v>
      </c>
      <c r="X365" s="152" t="s">
        <v>1083</v>
      </c>
      <c r="Y365" s="152">
        <v>9.2899999999999991</v>
      </c>
      <c r="Z365" s="152">
        <v>3</v>
      </c>
      <c r="AA365" s="152" t="s">
        <v>92</v>
      </c>
      <c r="AB365" s="152">
        <v>299.94</v>
      </c>
      <c r="AC365" s="152">
        <v>3</v>
      </c>
      <c r="AD365" s="152" t="s">
        <v>861</v>
      </c>
      <c r="AE365" s="152">
        <v>299.94</v>
      </c>
      <c r="AF365" s="152">
        <v>0</v>
      </c>
      <c r="AG365" s="152" t="s">
        <v>861</v>
      </c>
      <c r="AH365" s="152" t="s">
        <v>861</v>
      </c>
      <c r="AI365" s="152" t="s">
        <v>92</v>
      </c>
      <c r="AJ365" s="152" t="s">
        <v>92</v>
      </c>
      <c r="AK365" s="152" t="s">
        <v>862</v>
      </c>
      <c r="AL365" s="159" t="s">
        <v>856</v>
      </c>
      <c r="AP365" s="159" t="s">
        <v>856</v>
      </c>
      <c r="AQ365" s="159" t="s">
        <v>856</v>
      </c>
      <c r="AR365" s="159" t="s">
        <v>863</v>
      </c>
      <c r="AS365" s="159" t="s">
        <v>865</v>
      </c>
      <c r="AT365" s="152" t="str">
        <f t="shared" si="28"/>
        <v>S6-04-0816</v>
      </c>
      <c r="AU365" s="152" t="str">
        <f t="shared" si="29"/>
        <v>JULIO CESAR SANTIAGO ALVARADO</v>
      </c>
      <c r="AV365" s="159">
        <v>6067.6</v>
      </c>
      <c r="AW365" s="159">
        <v>595022</v>
      </c>
      <c r="AX365" s="159">
        <v>168</v>
      </c>
      <c r="AY365" s="159">
        <v>595023</v>
      </c>
      <c r="AZ365" s="152" t="s">
        <v>864</v>
      </c>
      <c r="BA365" s="152" t="str">
        <f t="shared" si="27"/>
        <v>L16-569-W174</v>
      </c>
      <c r="BB365" s="152">
        <v>0</v>
      </c>
      <c r="BC365" s="157">
        <v>42615</v>
      </c>
      <c r="BD365" s="157">
        <v>42980</v>
      </c>
      <c r="BE365" s="158">
        <v>270875</v>
      </c>
      <c r="BG365" s="159" t="s">
        <v>2033</v>
      </c>
      <c r="BK365" s="152" t="s">
        <v>132</v>
      </c>
      <c r="BN365" s="157" t="s">
        <v>1453</v>
      </c>
    </row>
    <row r="366" spans="1:66">
      <c r="A366" s="152" t="s">
        <v>3197</v>
      </c>
      <c r="B366" s="152" t="s">
        <v>3198</v>
      </c>
      <c r="C366" s="152" t="s">
        <v>3199</v>
      </c>
      <c r="D366" s="152" t="s">
        <v>3200</v>
      </c>
      <c r="E366" s="152" t="s">
        <v>3200</v>
      </c>
      <c r="F366" s="152">
        <v>213686</v>
      </c>
      <c r="G366" s="152">
        <v>136</v>
      </c>
      <c r="H366" s="152">
        <v>432</v>
      </c>
      <c r="I366" s="152">
        <v>155631</v>
      </c>
      <c r="J366" s="152">
        <v>220</v>
      </c>
      <c r="K366" s="152">
        <v>52874</v>
      </c>
      <c r="L366" s="159" t="s">
        <v>1442</v>
      </c>
      <c r="M366" s="152" t="s">
        <v>883</v>
      </c>
      <c r="N366" s="152" t="s">
        <v>92</v>
      </c>
      <c r="O366" s="159">
        <v>3765</v>
      </c>
      <c r="P366" s="159" t="s">
        <v>1442</v>
      </c>
      <c r="Q366" s="152" t="s">
        <v>883</v>
      </c>
      <c r="R366" s="152" t="s">
        <v>92</v>
      </c>
      <c r="S366" s="159">
        <v>3765</v>
      </c>
      <c r="T366" s="159" t="s">
        <v>856</v>
      </c>
      <c r="U366" s="159" t="s">
        <v>856</v>
      </c>
      <c r="V366" s="152" t="s">
        <v>2819</v>
      </c>
      <c r="W366" s="152" t="s">
        <v>3201</v>
      </c>
      <c r="X366" s="152" t="s">
        <v>3202</v>
      </c>
      <c r="Y366" s="152">
        <v>74.64</v>
      </c>
      <c r="Z366" s="152">
        <v>0</v>
      </c>
      <c r="AA366" s="152" t="s">
        <v>92</v>
      </c>
      <c r="AB366" s="152">
        <v>0</v>
      </c>
      <c r="AC366" s="152">
        <v>1</v>
      </c>
      <c r="AD366" s="152" t="s">
        <v>861</v>
      </c>
      <c r="AE366" s="152">
        <v>0</v>
      </c>
      <c r="AF366" s="152">
        <v>0</v>
      </c>
      <c r="AG366" s="152" t="s">
        <v>861</v>
      </c>
      <c r="AH366" s="152" t="s">
        <v>861</v>
      </c>
      <c r="AI366" s="152" t="s">
        <v>92</v>
      </c>
      <c r="AJ366" s="152" t="s">
        <v>92</v>
      </c>
      <c r="AK366" s="152" t="s">
        <v>862</v>
      </c>
      <c r="AL366" s="159" t="s">
        <v>856</v>
      </c>
      <c r="AP366" s="159" t="s">
        <v>856</v>
      </c>
      <c r="AQ366" s="159" t="s">
        <v>856</v>
      </c>
      <c r="AR366" s="159" t="s">
        <v>863</v>
      </c>
      <c r="AS366" s="159" t="s">
        <v>865</v>
      </c>
      <c r="AT366" s="152" t="str">
        <f t="shared" si="28"/>
        <v>A4-03-0717</v>
      </c>
      <c r="AU366" s="152" t="str">
        <f t="shared" si="29"/>
        <v>RUTH NOHEMI ALVAREZ CHAVEZ Y CDUEÑA</v>
      </c>
      <c r="AV366" s="159">
        <v>213.97</v>
      </c>
      <c r="AW366" s="159">
        <v>661804</v>
      </c>
      <c r="AX366" s="159">
        <v>830.48</v>
      </c>
      <c r="AY366" s="159">
        <v>661805</v>
      </c>
      <c r="AZ366" s="152" t="s">
        <v>864</v>
      </c>
      <c r="BA366" s="152" t="str">
        <f t="shared" si="27"/>
        <v>L18-066-WV007</v>
      </c>
      <c r="BB366" s="152">
        <v>12</v>
      </c>
      <c r="BC366" s="157">
        <v>43160</v>
      </c>
      <c r="BD366" s="157">
        <v>43344</v>
      </c>
      <c r="BE366" s="158">
        <v>28380</v>
      </c>
      <c r="BG366" s="159" t="s">
        <v>2033</v>
      </c>
      <c r="BK366" s="152" t="s">
        <v>132</v>
      </c>
      <c r="BN366" s="157" t="s">
        <v>1453</v>
      </c>
    </row>
    <row r="367" spans="1:66">
      <c r="A367" s="152" t="s">
        <v>3203</v>
      </c>
      <c r="B367" s="152" t="s">
        <v>3204</v>
      </c>
      <c r="C367" s="152" t="s">
        <v>3205</v>
      </c>
      <c r="D367" s="152" t="s">
        <v>3206</v>
      </c>
      <c r="E367" s="152" t="s">
        <v>3206</v>
      </c>
      <c r="F367" s="152">
        <v>8991</v>
      </c>
      <c r="G367" s="152">
        <v>491</v>
      </c>
      <c r="H367" s="152" t="s">
        <v>870</v>
      </c>
      <c r="I367" s="152">
        <v>195236</v>
      </c>
      <c r="J367" s="152">
        <v>125.07</v>
      </c>
      <c r="K367" s="152">
        <v>83739</v>
      </c>
      <c r="L367" s="159" t="s">
        <v>856</v>
      </c>
      <c r="M367" s="152" t="s">
        <v>92</v>
      </c>
      <c r="N367" s="152" t="s">
        <v>92</v>
      </c>
      <c r="O367" s="159" t="s">
        <v>856</v>
      </c>
      <c r="P367" s="159" t="s">
        <v>856</v>
      </c>
      <c r="Q367" s="152" t="s">
        <v>92</v>
      </c>
      <c r="R367" s="152" t="s">
        <v>92</v>
      </c>
      <c r="S367" s="159" t="s">
        <v>856</v>
      </c>
      <c r="T367" s="159" t="s">
        <v>856</v>
      </c>
      <c r="U367" s="159" t="s">
        <v>856</v>
      </c>
      <c r="V367" s="152" t="s">
        <v>857</v>
      </c>
      <c r="W367" s="152" t="s">
        <v>858</v>
      </c>
      <c r="X367" s="152" t="s">
        <v>1083</v>
      </c>
      <c r="Y367" s="152">
        <v>25.31</v>
      </c>
      <c r="Z367" s="152">
        <v>1</v>
      </c>
      <c r="AA367" s="152" t="s">
        <v>92</v>
      </c>
      <c r="AB367" s="152">
        <v>258.11</v>
      </c>
      <c r="AC367" s="152">
        <v>3</v>
      </c>
      <c r="AD367" s="152" t="s">
        <v>861</v>
      </c>
      <c r="AE367" s="152">
        <v>258.11</v>
      </c>
      <c r="AF367" s="152">
        <v>0</v>
      </c>
      <c r="AG367" s="152" t="s">
        <v>861</v>
      </c>
      <c r="AH367" s="152" t="s">
        <v>861</v>
      </c>
      <c r="AI367" s="152" t="s">
        <v>92</v>
      </c>
      <c r="AJ367" s="152" t="s">
        <v>92</v>
      </c>
      <c r="AK367" s="152" t="s">
        <v>872</v>
      </c>
      <c r="AL367" s="159" t="s">
        <v>856</v>
      </c>
      <c r="AP367" s="159" t="s">
        <v>856</v>
      </c>
      <c r="AQ367" s="159" t="s">
        <v>856</v>
      </c>
      <c r="AR367" s="159" t="s">
        <v>863</v>
      </c>
      <c r="AS367" s="159" t="s">
        <v>865</v>
      </c>
      <c r="AT367" s="152" t="str">
        <f t="shared" si="28"/>
        <v>RPC9-280818</v>
      </c>
      <c r="AU367" s="152" t="str">
        <f t="shared" si="29"/>
        <v>WERNER JOSE CUESSI CASTRO CONDE</v>
      </c>
      <c r="AV367" s="159">
        <v>3952.22</v>
      </c>
      <c r="AW367" s="159">
        <v>728502</v>
      </c>
      <c r="AX367" s="159">
        <v>196</v>
      </c>
      <c r="AY367" s="159">
        <v>728503</v>
      </c>
      <c r="AZ367" s="152" t="s">
        <v>864</v>
      </c>
      <c r="BA367" s="152" t="str">
        <f t="shared" ref="BA367:BA400" si="30">A367</f>
        <v>L19-981-EC022</v>
      </c>
      <c r="BB367" s="152">
        <v>0</v>
      </c>
      <c r="BC367" s="157">
        <v>43656</v>
      </c>
      <c r="BD367" s="157">
        <v>43656</v>
      </c>
      <c r="BE367" s="158">
        <v>783186.75</v>
      </c>
      <c r="BF367" s="152" t="s">
        <v>3207</v>
      </c>
      <c r="BG367" s="159" t="s">
        <v>875</v>
      </c>
      <c r="BH367" s="152">
        <v>258.11</v>
      </c>
      <c r="BI367" s="152">
        <v>0</v>
      </c>
      <c r="BJ367" s="152">
        <v>0</v>
      </c>
      <c r="BK367" s="152" t="s">
        <v>132</v>
      </c>
      <c r="BL367" s="152">
        <v>258.11</v>
      </c>
      <c r="BM367" s="152">
        <v>819438</v>
      </c>
      <c r="BN367" s="157" t="s">
        <v>1453</v>
      </c>
    </row>
    <row r="368" spans="1:66">
      <c r="A368" s="152" t="s">
        <v>3208</v>
      </c>
      <c r="B368" s="152" t="s">
        <v>3209</v>
      </c>
      <c r="C368" s="152" t="s">
        <v>3210</v>
      </c>
      <c r="D368" s="152" t="s">
        <v>3211</v>
      </c>
      <c r="E368" s="152" t="s">
        <v>3211</v>
      </c>
      <c r="F368" s="152">
        <v>4745</v>
      </c>
      <c r="G368" s="152">
        <v>245</v>
      </c>
      <c r="H368" s="152" t="s">
        <v>2583</v>
      </c>
      <c r="I368" s="152">
        <v>203115</v>
      </c>
      <c r="J368" s="152">
        <v>220</v>
      </c>
      <c r="K368" s="152">
        <v>89804</v>
      </c>
      <c r="L368" s="159" t="s">
        <v>856</v>
      </c>
      <c r="M368" s="152" t="s">
        <v>92</v>
      </c>
      <c r="N368" s="152" t="s">
        <v>92</v>
      </c>
      <c r="O368" s="159" t="s">
        <v>856</v>
      </c>
      <c r="P368" s="159" t="s">
        <v>856</v>
      </c>
      <c r="Q368" s="152" t="s">
        <v>92</v>
      </c>
      <c r="R368" s="152" t="s">
        <v>92</v>
      </c>
      <c r="S368" s="159" t="s">
        <v>856</v>
      </c>
      <c r="T368" s="159" t="s">
        <v>856</v>
      </c>
      <c r="U368" s="159" t="s">
        <v>856</v>
      </c>
      <c r="V368" s="152" t="s">
        <v>857</v>
      </c>
      <c r="W368" s="152" t="s">
        <v>858</v>
      </c>
      <c r="X368" s="152" t="s">
        <v>1083</v>
      </c>
      <c r="Y368" s="152">
        <v>150.85</v>
      </c>
      <c r="Z368" s="152">
        <v>1</v>
      </c>
      <c r="AA368" s="152" t="s">
        <v>92</v>
      </c>
      <c r="AB368" s="152">
        <v>194.1</v>
      </c>
      <c r="AC368" s="152">
        <v>2</v>
      </c>
      <c r="AD368" s="152" t="s">
        <v>861</v>
      </c>
      <c r="AE368" s="152">
        <v>194.1</v>
      </c>
      <c r="AF368" s="152">
        <v>0</v>
      </c>
      <c r="AG368" s="152" t="s">
        <v>861</v>
      </c>
      <c r="AH368" s="152" t="s">
        <v>861</v>
      </c>
      <c r="AI368" s="152" t="s">
        <v>92</v>
      </c>
      <c r="AJ368" s="152" t="s">
        <v>92</v>
      </c>
      <c r="AK368" s="152" t="s">
        <v>972</v>
      </c>
      <c r="AL368" s="159" t="s">
        <v>856</v>
      </c>
      <c r="AP368" s="159" t="s">
        <v>856</v>
      </c>
      <c r="AQ368" s="159" t="s">
        <v>856</v>
      </c>
      <c r="AR368" s="159" t="s">
        <v>873</v>
      </c>
      <c r="AS368" s="159" t="s">
        <v>865</v>
      </c>
      <c r="AT368" s="152" t="str">
        <f t="shared" si="28"/>
        <v>RPNG5-620722</v>
      </c>
      <c r="AU368" s="152" t="str">
        <f t="shared" si="29"/>
        <v>FRANCISCO ALEJANDRO GARCIA VILLATORO</v>
      </c>
      <c r="AV368" s="159">
        <v>2766.53</v>
      </c>
      <c r="AW368" s="159">
        <v>816031</v>
      </c>
      <c r="AX368" s="159">
        <v>50</v>
      </c>
      <c r="AY368" s="159">
        <v>816033</v>
      </c>
      <c r="AZ368" s="152" t="s">
        <v>864</v>
      </c>
      <c r="BA368" s="152" t="str">
        <f t="shared" si="30"/>
        <v>L22-760-MP063</v>
      </c>
      <c r="BB368" s="152">
        <v>0</v>
      </c>
      <c r="BC368" s="157">
        <v>44873</v>
      </c>
      <c r="BD368" s="157">
        <v>44873</v>
      </c>
      <c r="BE368" s="158">
        <v>538887.5</v>
      </c>
      <c r="BF368" s="152" t="s">
        <v>3212</v>
      </c>
      <c r="BG368" s="159" t="s">
        <v>875</v>
      </c>
      <c r="BH368" s="152">
        <v>194.1</v>
      </c>
      <c r="BI368" s="152">
        <v>0</v>
      </c>
      <c r="BJ368" s="152">
        <v>0</v>
      </c>
      <c r="BK368" s="152" t="s">
        <v>132</v>
      </c>
      <c r="BL368" s="152">
        <v>194.1</v>
      </c>
      <c r="BM368" s="152">
        <v>816032</v>
      </c>
      <c r="BN368" s="157" t="s">
        <v>1453</v>
      </c>
    </row>
    <row r="369" spans="1:66">
      <c r="A369" s="152" t="s">
        <v>3213</v>
      </c>
      <c r="B369" s="152" t="s">
        <v>3214</v>
      </c>
      <c r="C369" s="152" t="s">
        <v>3215</v>
      </c>
      <c r="D369" s="152" t="s">
        <v>3216</v>
      </c>
      <c r="E369" s="152" t="s">
        <v>1685</v>
      </c>
      <c r="F369" s="152">
        <v>7942</v>
      </c>
      <c r="G369" s="152">
        <v>442</v>
      </c>
      <c r="H369" s="152" t="s">
        <v>1078</v>
      </c>
      <c r="I369" s="152">
        <v>160388</v>
      </c>
      <c r="J369" s="152">
        <v>80</v>
      </c>
      <c r="K369" s="152">
        <v>58127</v>
      </c>
      <c r="L369" s="159" t="s">
        <v>1058</v>
      </c>
      <c r="M369" s="152" t="s">
        <v>92</v>
      </c>
      <c r="N369" s="152" t="s">
        <v>883</v>
      </c>
      <c r="O369" s="159">
        <v>4267</v>
      </c>
      <c r="P369" s="159" t="s">
        <v>1058</v>
      </c>
      <c r="Q369" s="152" t="s">
        <v>92</v>
      </c>
      <c r="R369" s="152" t="s">
        <v>883</v>
      </c>
      <c r="S369" s="159">
        <v>4267</v>
      </c>
      <c r="T369" s="159" t="s">
        <v>856</v>
      </c>
      <c r="U369" s="159" t="s">
        <v>856</v>
      </c>
      <c r="V369" s="152" t="s">
        <v>857</v>
      </c>
      <c r="W369" s="152" t="s">
        <v>858</v>
      </c>
      <c r="X369" s="152" t="s">
        <v>1083</v>
      </c>
      <c r="Y369" s="152">
        <v>42</v>
      </c>
      <c r="Z369" s="152">
        <v>1</v>
      </c>
      <c r="AA369" s="152" t="s">
        <v>92</v>
      </c>
      <c r="AB369" s="152">
        <v>137</v>
      </c>
      <c r="AC369" s="152">
        <v>2</v>
      </c>
      <c r="AD369" s="152" t="s">
        <v>861</v>
      </c>
      <c r="AE369" s="152">
        <v>137</v>
      </c>
      <c r="AF369" s="152">
        <v>0</v>
      </c>
      <c r="AG369" s="152" t="s">
        <v>861</v>
      </c>
      <c r="AH369" s="152" t="s">
        <v>861</v>
      </c>
      <c r="AI369" s="152" t="s">
        <v>92</v>
      </c>
      <c r="AJ369" s="152" t="s">
        <v>92</v>
      </c>
      <c r="AK369" s="152" t="s">
        <v>884</v>
      </c>
      <c r="AL369" s="159" t="s">
        <v>856</v>
      </c>
      <c r="AP369" s="159" t="s">
        <v>856</v>
      </c>
      <c r="AQ369" s="159" t="s">
        <v>856</v>
      </c>
      <c r="AR369" s="159" t="s">
        <v>873</v>
      </c>
      <c r="AS369" s="159" t="s">
        <v>865</v>
      </c>
      <c r="AT369" s="152" t="str">
        <f t="shared" si="28"/>
        <v>VUNR1-021022</v>
      </c>
      <c r="AU369" s="152" t="str">
        <f t="shared" si="29"/>
        <v>ALBA JEANNETTE RODAS ARRIOLA</v>
      </c>
      <c r="AV369" s="159">
        <v>1808.52</v>
      </c>
      <c r="AW369" s="159">
        <v>910097</v>
      </c>
      <c r="AX369" s="159">
        <v>50</v>
      </c>
      <c r="AY369" s="159">
        <v>910100</v>
      </c>
      <c r="AZ369" s="152" t="s">
        <v>864</v>
      </c>
      <c r="BA369" s="152" t="str">
        <f t="shared" si="30"/>
        <v>L22-843-MP051</v>
      </c>
      <c r="BB369" s="152">
        <v>24</v>
      </c>
      <c r="BC369" s="157">
        <v>44902</v>
      </c>
      <c r="BD369" s="157">
        <v>45267</v>
      </c>
      <c r="BE369" s="158">
        <v>357200</v>
      </c>
      <c r="BF369" s="152" t="s">
        <v>3217</v>
      </c>
      <c r="BG369" s="159" t="s">
        <v>3218</v>
      </c>
      <c r="BH369" s="152">
        <v>137</v>
      </c>
      <c r="BI369" s="152">
        <v>0</v>
      </c>
      <c r="BJ369" s="152">
        <v>0</v>
      </c>
      <c r="BK369" s="152" t="s">
        <v>132</v>
      </c>
      <c r="BL369" s="152">
        <v>137</v>
      </c>
      <c r="BM369" s="152">
        <v>910099</v>
      </c>
      <c r="BN369" s="157" t="s">
        <v>1453</v>
      </c>
    </row>
    <row r="370" spans="1:66">
      <c r="A370" s="152" t="s">
        <v>3219</v>
      </c>
      <c r="B370" s="152" t="s">
        <v>3220</v>
      </c>
      <c r="C370" s="152" t="s">
        <v>3221</v>
      </c>
      <c r="D370" s="152" t="s">
        <v>3222</v>
      </c>
      <c r="E370" s="152" t="s">
        <v>3222</v>
      </c>
      <c r="F370" s="152">
        <v>333367</v>
      </c>
      <c r="G370" s="152">
        <v>197</v>
      </c>
      <c r="H370" s="152">
        <v>828</v>
      </c>
      <c r="I370" s="152">
        <v>181309</v>
      </c>
      <c r="J370" s="152">
        <v>570.26</v>
      </c>
      <c r="K370" s="152">
        <v>73248</v>
      </c>
      <c r="L370" s="159" t="s">
        <v>856</v>
      </c>
      <c r="M370" s="152" t="s">
        <v>92</v>
      </c>
      <c r="N370" s="152" t="s">
        <v>92</v>
      </c>
      <c r="O370" s="159" t="s">
        <v>856</v>
      </c>
      <c r="P370" s="159" t="s">
        <v>856</v>
      </c>
      <c r="Q370" s="152" t="s">
        <v>92</v>
      </c>
      <c r="R370" s="152" t="s">
        <v>92</v>
      </c>
      <c r="S370" s="159" t="s">
        <v>856</v>
      </c>
      <c r="T370" s="159" t="s">
        <v>856</v>
      </c>
      <c r="U370" s="159" t="s">
        <v>856</v>
      </c>
      <c r="V370" s="152" t="s">
        <v>911</v>
      </c>
      <c r="W370" s="152" t="s">
        <v>858</v>
      </c>
      <c r="X370" s="152" t="s">
        <v>1083</v>
      </c>
      <c r="Y370" s="152">
        <v>0</v>
      </c>
      <c r="Z370" s="152">
        <v>1</v>
      </c>
      <c r="AA370" s="152" t="s">
        <v>92</v>
      </c>
      <c r="AB370" s="152">
        <v>99.4</v>
      </c>
      <c r="AC370" s="152">
        <v>1</v>
      </c>
      <c r="AD370" s="152" t="s">
        <v>861</v>
      </c>
      <c r="AE370" s="152">
        <v>99.4</v>
      </c>
      <c r="AF370" s="152">
        <v>0</v>
      </c>
      <c r="AG370" s="152" t="s">
        <v>861</v>
      </c>
      <c r="AH370" s="152" t="s">
        <v>861</v>
      </c>
      <c r="AI370" s="152" t="s">
        <v>92</v>
      </c>
      <c r="AJ370" s="152" t="s">
        <v>92</v>
      </c>
      <c r="AK370" s="152" t="s">
        <v>1085</v>
      </c>
      <c r="AL370" s="159" t="s">
        <v>856</v>
      </c>
      <c r="AP370" s="159" t="s">
        <v>856</v>
      </c>
      <c r="AQ370" s="159" t="s">
        <v>856</v>
      </c>
      <c r="AR370" s="159" t="s">
        <v>3142</v>
      </c>
      <c r="AS370" s="159" t="s">
        <v>865</v>
      </c>
      <c r="AT370" s="152" t="str">
        <f t="shared" si="28"/>
        <v>RPL7-221218</v>
      </c>
      <c r="AU370" s="152" t="str">
        <f t="shared" si="29"/>
        <v>AGUSTIN JULIO LOPEZ CHAN</v>
      </c>
      <c r="AV370" s="159">
        <v>1001.95</v>
      </c>
      <c r="AW370" s="159">
        <v>209867</v>
      </c>
      <c r="AX370" s="159" t="s">
        <v>856</v>
      </c>
      <c r="AY370" s="159" t="s">
        <v>856</v>
      </c>
      <c r="AZ370" s="152" t="s">
        <v>864</v>
      </c>
      <c r="BA370" s="152" t="str">
        <f t="shared" si="30"/>
        <v>L19-705-JM022</v>
      </c>
      <c r="BB370" s="152">
        <v>0</v>
      </c>
      <c r="BC370" s="157">
        <v>43658</v>
      </c>
      <c r="BD370" s="157">
        <v>43658</v>
      </c>
      <c r="BE370" s="158">
        <v>198800</v>
      </c>
      <c r="BG370" s="159" t="s">
        <v>2033</v>
      </c>
      <c r="BK370" s="152" t="s">
        <v>132</v>
      </c>
      <c r="BN370" s="157" t="s">
        <v>1453</v>
      </c>
    </row>
    <row r="371" spans="1:66">
      <c r="A371" s="152" t="s">
        <v>3223</v>
      </c>
      <c r="B371" s="152" t="s">
        <v>3224</v>
      </c>
      <c r="C371" s="152" t="s">
        <v>3221</v>
      </c>
      <c r="D371" s="152" t="s">
        <v>3222</v>
      </c>
      <c r="E371" s="152" t="s">
        <v>3222</v>
      </c>
      <c r="F371" s="152">
        <v>333367</v>
      </c>
      <c r="G371" s="152">
        <v>197</v>
      </c>
      <c r="H371" s="152">
        <v>828</v>
      </c>
      <c r="I371" s="152">
        <v>181309</v>
      </c>
      <c r="J371" s="152">
        <v>570.26</v>
      </c>
      <c r="K371" s="152">
        <v>73248</v>
      </c>
      <c r="L371" s="159" t="s">
        <v>856</v>
      </c>
      <c r="M371" s="152" t="s">
        <v>92</v>
      </c>
      <c r="N371" s="152" t="s">
        <v>92</v>
      </c>
      <c r="O371" s="159" t="s">
        <v>856</v>
      </c>
      <c r="P371" s="159" t="s">
        <v>856</v>
      </c>
      <c r="Q371" s="152" t="s">
        <v>92</v>
      </c>
      <c r="R371" s="152" t="s">
        <v>92</v>
      </c>
      <c r="S371" s="159" t="s">
        <v>856</v>
      </c>
      <c r="T371" s="159" t="s">
        <v>856</v>
      </c>
      <c r="U371" s="159" t="s">
        <v>856</v>
      </c>
      <c r="V371" s="152" t="s">
        <v>1149</v>
      </c>
      <c r="W371" s="152" t="s">
        <v>858</v>
      </c>
      <c r="X371" s="152" t="s">
        <v>1083</v>
      </c>
      <c r="Y371" s="152">
        <v>0</v>
      </c>
      <c r="Z371" s="152">
        <v>1</v>
      </c>
      <c r="AA371" s="152" t="s">
        <v>92</v>
      </c>
      <c r="AB371" s="152">
        <v>131.35</v>
      </c>
      <c r="AC371" s="152">
        <v>1</v>
      </c>
      <c r="AD371" s="152" t="s">
        <v>861</v>
      </c>
      <c r="AE371" s="152">
        <v>131.35</v>
      </c>
      <c r="AF371" s="152">
        <v>0</v>
      </c>
      <c r="AG371" s="152" t="s">
        <v>861</v>
      </c>
      <c r="AH371" s="152" t="s">
        <v>861</v>
      </c>
      <c r="AI371" s="152" t="s">
        <v>92</v>
      </c>
      <c r="AJ371" s="152" t="s">
        <v>92</v>
      </c>
      <c r="AK371" s="152" t="s">
        <v>1085</v>
      </c>
      <c r="AL371" s="159" t="s">
        <v>856</v>
      </c>
      <c r="AP371" s="159" t="s">
        <v>856</v>
      </c>
      <c r="AQ371" s="159" t="s">
        <v>856</v>
      </c>
      <c r="AR371" s="159" t="s">
        <v>3142</v>
      </c>
      <c r="AS371" s="159" t="s">
        <v>865</v>
      </c>
      <c r="AT371" s="152" t="str">
        <f t="shared" si="28"/>
        <v>RPL7-231218</v>
      </c>
      <c r="AU371" s="152" t="str">
        <f t="shared" si="29"/>
        <v>AGUSTIN JULIO LOPEZ CHAN</v>
      </c>
      <c r="AV371" s="159">
        <v>1324.01</v>
      </c>
      <c r="AW371" s="159">
        <v>209989</v>
      </c>
      <c r="AX371" s="159" t="s">
        <v>856</v>
      </c>
      <c r="AY371" s="159" t="s">
        <v>856</v>
      </c>
      <c r="AZ371" s="152" t="s">
        <v>864</v>
      </c>
      <c r="BA371" s="152" t="str">
        <f t="shared" si="30"/>
        <v>L19-706-JM023</v>
      </c>
      <c r="BB371" s="152">
        <v>0</v>
      </c>
      <c r="BC371" s="157">
        <v>43658</v>
      </c>
      <c r="BD371" s="157">
        <v>43658</v>
      </c>
      <c r="BE371" s="158">
        <v>262700</v>
      </c>
      <c r="BG371" s="159" t="s">
        <v>2033</v>
      </c>
      <c r="BK371" s="152" t="s">
        <v>132</v>
      </c>
      <c r="BN371" s="157" t="s">
        <v>1453</v>
      </c>
    </row>
    <row r="372" spans="1:66">
      <c r="A372" s="152" t="s">
        <v>3225</v>
      </c>
      <c r="B372" s="152" t="s">
        <v>3226</v>
      </c>
      <c r="C372" s="152" t="s">
        <v>3227</v>
      </c>
      <c r="D372" s="152" t="s">
        <v>3228</v>
      </c>
      <c r="E372" s="152" t="s">
        <v>3228</v>
      </c>
      <c r="F372" s="152">
        <v>3986</v>
      </c>
      <c r="G372" s="152">
        <v>486</v>
      </c>
      <c r="H372" s="152" t="s">
        <v>1824</v>
      </c>
      <c r="I372" s="152">
        <v>197391</v>
      </c>
      <c r="J372" s="152">
        <v>389.16</v>
      </c>
      <c r="K372" s="152">
        <v>85088</v>
      </c>
      <c r="L372" s="159" t="s">
        <v>1205</v>
      </c>
      <c r="M372" s="152" t="s">
        <v>92</v>
      </c>
      <c r="N372" s="152" t="s">
        <v>883</v>
      </c>
      <c r="O372" s="159">
        <v>4167</v>
      </c>
      <c r="P372" s="159" t="s">
        <v>1205</v>
      </c>
      <c r="Q372" s="152" t="s">
        <v>92</v>
      </c>
      <c r="R372" s="152" t="s">
        <v>883</v>
      </c>
      <c r="S372" s="159">
        <v>4167</v>
      </c>
      <c r="T372" s="159" t="s">
        <v>856</v>
      </c>
      <c r="U372" s="159" t="s">
        <v>856</v>
      </c>
      <c r="V372" s="152" t="s">
        <v>857</v>
      </c>
      <c r="W372" s="152" t="s">
        <v>858</v>
      </c>
      <c r="X372" s="152" t="s">
        <v>1083</v>
      </c>
      <c r="Y372" s="152">
        <v>300.58</v>
      </c>
      <c r="Z372" s="152">
        <v>1</v>
      </c>
      <c r="AA372" s="152" t="s">
        <v>92</v>
      </c>
      <c r="AB372" s="152">
        <v>49.02</v>
      </c>
      <c r="AC372" s="152">
        <v>1</v>
      </c>
      <c r="AD372" s="152" t="s">
        <v>861</v>
      </c>
      <c r="AE372" s="152">
        <v>49.02</v>
      </c>
      <c r="AF372" s="152">
        <v>0</v>
      </c>
      <c r="AG372" s="152" t="s">
        <v>861</v>
      </c>
      <c r="AH372" s="152">
        <v>16.54</v>
      </c>
      <c r="AI372" s="152" t="s">
        <v>92</v>
      </c>
      <c r="AJ372" s="152" t="s">
        <v>883</v>
      </c>
      <c r="AK372" s="152" t="s">
        <v>884</v>
      </c>
      <c r="AL372" s="159" t="s">
        <v>856</v>
      </c>
      <c r="AP372" s="159" t="s">
        <v>856</v>
      </c>
      <c r="AQ372" s="159" t="s">
        <v>856</v>
      </c>
      <c r="AR372" s="159" t="s">
        <v>863</v>
      </c>
      <c r="AS372" s="159" t="s">
        <v>865</v>
      </c>
      <c r="AT372" s="152" t="s">
        <v>3226</v>
      </c>
      <c r="AU372" s="152" t="s">
        <v>3227</v>
      </c>
      <c r="AV372" s="159" t="s">
        <v>2080</v>
      </c>
      <c r="AW372" s="159" t="s">
        <v>2080</v>
      </c>
      <c r="AX372" s="159" t="s">
        <v>856</v>
      </c>
      <c r="AY372" s="159" t="s">
        <v>856</v>
      </c>
      <c r="AZ372" s="152" t="s">
        <v>864</v>
      </c>
      <c r="BA372" s="152" t="s">
        <v>3225</v>
      </c>
      <c r="BB372" s="152">
        <v>15</v>
      </c>
      <c r="BC372" s="157">
        <v>44182</v>
      </c>
      <c r="BD372" s="157">
        <v>44547</v>
      </c>
      <c r="BE372" s="158">
        <v>203243</v>
      </c>
      <c r="BF372" s="152" t="s">
        <v>3229</v>
      </c>
      <c r="BG372" s="159" t="s">
        <v>3230</v>
      </c>
      <c r="BH372" s="152">
        <v>49.02</v>
      </c>
      <c r="BI372" s="152">
        <v>0</v>
      </c>
      <c r="BJ372" s="152">
        <v>0</v>
      </c>
      <c r="BK372" s="152" t="s">
        <v>132</v>
      </c>
      <c r="BL372" s="152">
        <v>49.02</v>
      </c>
      <c r="BM372" s="152">
        <v>575783</v>
      </c>
      <c r="BN372" s="157" t="s">
        <v>1453</v>
      </c>
    </row>
    <row r="373" spans="1:66">
      <c r="A373" s="159" t="s">
        <v>856</v>
      </c>
      <c r="B373" s="152" t="s">
        <v>3231</v>
      </c>
      <c r="C373" s="152" t="s">
        <v>3232</v>
      </c>
      <c r="D373" s="152" t="s">
        <v>3233</v>
      </c>
      <c r="E373" s="152" t="s">
        <v>3233</v>
      </c>
      <c r="F373" s="152">
        <v>9100</v>
      </c>
      <c r="G373" s="152">
        <v>100</v>
      </c>
      <c r="H373" s="152" t="s">
        <v>3234</v>
      </c>
      <c r="I373" s="152">
        <v>202464</v>
      </c>
      <c r="J373" s="152">
        <v>276.75</v>
      </c>
      <c r="K373" s="152">
        <v>89282</v>
      </c>
      <c r="L373" s="159" t="s">
        <v>3235</v>
      </c>
      <c r="M373" s="152" t="s">
        <v>92</v>
      </c>
      <c r="N373" s="152" t="s">
        <v>883</v>
      </c>
      <c r="O373" s="159">
        <v>4159</v>
      </c>
      <c r="P373" s="159" t="s">
        <v>3235</v>
      </c>
      <c r="Q373" s="152" t="s">
        <v>92</v>
      </c>
      <c r="R373" s="152" t="s">
        <v>883</v>
      </c>
      <c r="S373" s="159">
        <v>4159</v>
      </c>
      <c r="T373" s="159" t="s">
        <v>856</v>
      </c>
      <c r="U373" s="159" t="s">
        <v>856</v>
      </c>
      <c r="V373" s="152" t="s">
        <v>3236</v>
      </c>
      <c r="W373" s="159" t="s">
        <v>856</v>
      </c>
      <c r="X373" s="159" t="s">
        <v>856</v>
      </c>
      <c r="Y373" s="152">
        <v>0</v>
      </c>
      <c r="Z373" s="152">
        <v>1</v>
      </c>
      <c r="AA373" s="152" t="s">
        <v>92</v>
      </c>
      <c r="AB373" s="152">
        <v>0</v>
      </c>
      <c r="AC373" s="152">
        <v>1</v>
      </c>
      <c r="AD373" s="152" t="s">
        <v>861</v>
      </c>
      <c r="AE373" s="152">
        <v>0</v>
      </c>
      <c r="AF373" s="152">
        <v>0</v>
      </c>
      <c r="AG373" s="152" t="s">
        <v>861</v>
      </c>
      <c r="AH373" s="152" t="s">
        <v>861</v>
      </c>
      <c r="AI373" s="152" t="s">
        <v>92</v>
      </c>
      <c r="AJ373" s="152" t="s">
        <v>92</v>
      </c>
      <c r="AK373" s="152" t="s">
        <v>1085</v>
      </c>
      <c r="AL373" s="159" t="s">
        <v>856</v>
      </c>
      <c r="AP373" s="159" t="s">
        <v>856</v>
      </c>
      <c r="AQ373" s="159" t="s">
        <v>856</v>
      </c>
      <c r="AR373" s="159" t="s">
        <v>863</v>
      </c>
      <c r="AS373" s="159" t="s">
        <v>865</v>
      </c>
      <c r="AT373" s="152" t="str">
        <f t="shared" si="28"/>
        <v>USB3-060922</v>
      </c>
      <c r="AU373" s="152" t="str">
        <f t="shared" si="29"/>
        <v>ELSA PAOLA BARRIOS HERRERA Y CONDUEÑOS</v>
      </c>
      <c r="AV373" s="159" t="s">
        <v>856</v>
      </c>
      <c r="AW373" s="159" t="s">
        <v>856</v>
      </c>
      <c r="AX373" s="159" t="s">
        <v>856</v>
      </c>
      <c r="AY373" s="159" t="s">
        <v>856</v>
      </c>
      <c r="AZ373" s="152" t="s">
        <v>864</v>
      </c>
      <c r="BA373" s="152" t="str">
        <f t="shared" si="30"/>
        <v>----------</v>
      </c>
      <c r="BB373" s="152">
        <v>0</v>
      </c>
      <c r="BC373" s="157">
        <v>44763</v>
      </c>
      <c r="BD373" s="157">
        <v>45859</v>
      </c>
      <c r="BF373" s="152" t="s">
        <v>3237</v>
      </c>
      <c r="BG373" s="159" t="s">
        <v>3238</v>
      </c>
      <c r="BH373" s="152">
        <v>0</v>
      </c>
      <c r="BI373" s="152">
        <v>0</v>
      </c>
      <c r="BJ373" s="152">
        <v>99.75</v>
      </c>
      <c r="BK373" s="152" t="s">
        <v>958</v>
      </c>
      <c r="BL373" s="152">
        <v>124.69</v>
      </c>
      <c r="BM373" s="152">
        <v>886459</v>
      </c>
      <c r="BN373" s="157">
        <v>45859</v>
      </c>
    </row>
    <row r="374" spans="1:66">
      <c r="A374" s="152" t="s">
        <v>3239</v>
      </c>
      <c r="B374" s="152" t="s">
        <v>3240</v>
      </c>
      <c r="C374" s="152" t="s">
        <v>3241</v>
      </c>
      <c r="D374" s="152" t="s">
        <v>3242</v>
      </c>
      <c r="E374" s="152" t="s">
        <v>2562</v>
      </c>
      <c r="F374" s="152">
        <v>5569</v>
      </c>
      <c r="G374" s="152">
        <v>69</v>
      </c>
      <c r="H374" s="152" t="s">
        <v>1704</v>
      </c>
      <c r="I374" s="152">
        <v>173924</v>
      </c>
      <c r="J374" s="152">
        <v>128</v>
      </c>
      <c r="K374" s="159" t="s">
        <v>865</v>
      </c>
      <c r="L374" s="159" t="s">
        <v>1508</v>
      </c>
      <c r="M374" s="152" t="s">
        <v>883</v>
      </c>
      <c r="N374" s="152" t="s">
        <v>92</v>
      </c>
      <c r="O374" s="159">
        <v>11147</v>
      </c>
      <c r="P374" s="159" t="s">
        <v>1508</v>
      </c>
      <c r="Q374" s="152" t="s">
        <v>883</v>
      </c>
      <c r="R374" s="152" t="s">
        <v>92</v>
      </c>
      <c r="S374" s="159">
        <v>11147</v>
      </c>
      <c r="T374" s="159" t="s">
        <v>2563</v>
      </c>
      <c r="U374" s="159" t="s">
        <v>2564</v>
      </c>
      <c r="V374" s="152" t="s">
        <v>857</v>
      </c>
      <c r="W374" s="152" t="s">
        <v>858</v>
      </c>
      <c r="X374" s="152" t="s">
        <v>1083</v>
      </c>
      <c r="Y374" s="152">
        <v>32.08</v>
      </c>
      <c r="Z374" s="152">
        <v>1</v>
      </c>
      <c r="AA374" s="152" t="s">
        <v>92</v>
      </c>
      <c r="AB374" s="152">
        <v>196.75</v>
      </c>
      <c r="AC374" s="152">
        <v>2</v>
      </c>
      <c r="AD374" s="152" t="s">
        <v>861</v>
      </c>
      <c r="AE374" s="152">
        <v>196.75</v>
      </c>
      <c r="AF374" s="152">
        <v>0</v>
      </c>
      <c r="AG374" s="152" t="s">
        <v>861</v>
      </c>
      <c r="AH374" s="152" t="s">
        <v>861</v>
      </c>
      <c r="AI374" s="152" t="s">
        <v>92</v>
      </c>
      <c r="AJ374" s="152" t="s">
        <v>92</v>
      </c>
      <c r="AK374" s="152" t="s">
        <v>862</v>
      </c>
      <c r="AL374" s="159" t="s">
        <v>856</v>
      </c>
      <c r="AP374" s="159" t="s">
        <v>856</v>
      </c>
      <c r="AQ374" s="159" t="s">
        <v>856</v>
      </c>
      <c r="AR374" s="159" t="s">
        <v>863</v>
      </c>
      <c r="AS374" s="159" t="s">
        <v>865</v>
      </c>
      <c r="AT374" s="152" t="str">
        <f t="shared" si="28"/>
        <v>VUND5-030722</v>
      </c>
      <c r="AU374" s="152" t="str">
        <f t="shared" si="29"/>
        <v>JONI CRISTIAN DE LEON DE LEON</v>
      </c>
      <c r="AV374" s="159">
        <v>2541.9299999999998</v>
      </c>
      <c r="AW374" s="159">
        <v>897066</v>
      </c>
      <c r="AX374" s="159">
        <v>40</v>
      </c>
      <c r="AY374" s="159">
        <v>897069</v>
      </c>
      <c r="AZ374" s="152" t="s">
        <v>864</v>
      </c>
      <c r="BA374" s="152" t="str">
        <f t="shared" si="30"/>
        <v>L22-642-MP022</v>
      </c>
      <c r="BB374" s="152">
        <v>24</v>
      </c>
      <c r="BC374" s="157">
        <v>44813</v>
      </c>
      <c r="BD374" s="157">
        <v>45178</v>
      </c>
      <c r="BE374" s="158">
        <v>503103</v>
      </c>
      <c r="BF374" s="152" t="s">
        <v>3243</v>
      </c>
      <c r="BG374" s="159" t="s">
        <v>875</v>
      </c>
      <c r="BH374" s="152">
        <v>196.75</v>
      </c>
      <c r="BI374" s="152">
        <v>0</v>
      </c>
      <c r="BJ374" s="152">
        <v>0</v>
      </c>
      <c r="BK374" s="152" t="s">
        <v>132</v>
      </c>
      <c r="BL374" s="152">
        <v>196.75</v>
      </c>
      <c r="BM374" s="152">
        <v>897068</v>
      </c>
      <c r="BN374" s="157" t="s">
        <v>1453</v>
      </c>
    </row>
    <row r="375" spans="1:66">
      <c r="A375" s="152" t="s">
        <v>3244</v>
      </c>
      <c r="B375" s="152" t="s">
        <v>3245</v>
      </c>
      <c r="C375" s="152" t="s">
        <v>3246</v>
      </c>
      <c r="D375" s="152" t="s">
        <v>3247</v>
      </c>
      <c r="E375" s="152" t="s">
        <v>3248</v>
      </c>
      <c r="F375" s="152">
        <v>221004</v>
      </c>
      <c r="G375" s="152">
        <v>34</v>
      </c>
      <c r="H375" s="152">
        <v>455</v>
      </c>
      <c r="I375" s="152">
        <v>139015</v>
      </c>
      <c r="J375" s="152">
        <v>195.26</v>
      </c>
      <c r="K375" s="152">
        <v>38018</v>
      </c>
      <c r="L375" s="159" t="s">
        <v>2648</v>
      </c>
      <c r="M375" s="152" t="s">
        <v>883</v>
      </c>
      <c r="N375" s="152" t="s">
        <v>92</v>
      </c>
      <c r="O375" s="159">
        <v>6669</v>
      </c>
      <c r="P375" s="159" t="s">
        <v>2648</v>
      </c>
      <c r="Q375" s="152" t="s">
        <v>883</v>
      </c>
      <c r="R375" s="152" t="s">
        <v>92</v>
      </c>
      <c r="S375" s="159">
        <v>6669</v>
      </c>
      <c r="T375" s="159" t="s">
        <v>3249</v>
      </c>
      <c r="U375" s="159" t="s">
        <v>3250</v>
      </c>
      <c r="V375" s="152" t="s">
        <v>857</v>
      </c>
      <c r="W375" s="152" t="s">
        <v>858</v>
      </c>
      <c r="X375" s="152" t="s">
        <v>1083</v>
      </c>
      <c r="Y375" s="152">
        <v>104.48</v>
      </c>
      <c r="Z375" s="152">
        <v>1</v>
      </c>
      <c r="AA375" s="152" t="s">
        <v>92</v>
      </c>
      <c r="AB375" s="152">
        <v>94.71</v>
      </c>
      <c r="AC375" s="152">
        <v>1</v>
      </c>
      <c r="AD375" s="152" t="s">
        <v>861</v>
      </c>
      <c r="AE375" s="152">
        <v>94.71</v>
      </c>
      <c r="AF375" s="152">
        <v>0</v>
      </c>
      <c r="AG375" s="152" t="s">
        <v>861</v>
      </c>
      <c r="AH375" s="152" t="s">
        <v>861</v>
      </c>
      <c r="AI375" s="152" t="s">
        <v>92</v>
      </c>
      <c r="AJ375" s="152" t="s">
        <v>92</v>
      </c>
      <c r="AK375" s="152" t="s">
        <v>884</v>
      </c>
      <c r="AL375" s="159" t="s">
        <v>856</v>
      </c>
      <c r="AP375" s="159" t="s">
        <v>856</v>
      </c>
      <c r="AQ375" s="159" t="s">
        <v>856</v>
      </c>
      <c r="AR375" s="159" t="s">
        <v>873</v>
      </c>
      <c r="AS375" s="159" t="s">
        <v>865</v>
      </c>
      <c r="AT375" s="152" t="str">
        <f t="shared" si="28"/>
        <v>VUNA1-010722</v>
      </c>
      <c r="AU375" s="152" t="str">
        <f t="shared" si="29"/>
        <v>SHARON NAHOMI ARANA BARRIOS</v>
      </c>
      <c r="AV375" s="159">
        <v>1320.92</v>
      </c>
      <c r="AW375" s="159">
        <v>816110</v>
      </c>
      <c r="AX375" s="159">
        <v>60.3</v>
      </c>
      <c r="AY375" s="159">
        <v>816113</v>
      </c>
      <c r="AZ375" s="152" t="s">
        <v>864</v>
      </c>
      <c r="BA375" s="152" t="str">
        <f t="shared" si="30"/>
        <v>L22-759-LG140</v>
      </c>
      <c r="BB375" s="152">
        <v>15</v>
      </c>
      <c r="BC375" s="157">
        <v>44874</v>
      </c>
      <c r="BD375" s="157">
        <v>45178</v>
      </c>
      <c r="BE375" s="158">
        <v>231370</v>
      </c>
      <c r="BF375" s="152" t="s">
        <v>3251</v>
      </c>
      <c r="BG375" s="159" t="s">
        <v>3252</v>
      </c>
      <c r="BH375" s="152">
        <v>94.71</v>
      </c>
      <c r="BI375" s="152">
        <v>0</v>
      </c>
      <c r="BJ375" s="152">
        <v>0</v>
      </c>
      <c r="BK375" s="152" t="s">
        <v>132</v>
      </c>
      <c r="BL375" s="152">
        <v>94.71</v>
      </c>
      <c r="BM375" s="152">
        <v>816112</v>
      </c>
      <c r="BN375" s="157" t="s">
        <v>1453</v>
      </c>
    </row>
    <row r="376" spans="1:66">
      <c r="A376" s="152" t="s">
        <v>3253</v>
      </c>
      <c r="B376" s="152" t="s">
        <v>3254</v>
      </c>
      <c r="C376" s="152" t="s">
        <v>3255</v>
      </c>
      <c r="D376" s="152" t="s">
        <v>3256</v>
      </c>
      <c r="E376" s="152" t="s">
        <v>3256</v>
      </c>
      <c r="F376" s="152">
        <v>278749</v>
      </c>
      <c r="G376" s="152">
        <v>139</v>
      </c>
      <c r="H376" s="152">
        <v>646</v>
      </c>
      <c r="I376" s="152">
        <v>201123</v>
      </c>
      <c r="J376" s="152">
        <v>108</v>
      </c>
      <c r="K376" s="152">
        <v>88197</v>
      </c>
      <c r="L376" s="159" t="s">
        <v>3257</v>
      </c>
      <c r="M376" s="152" t="s">
        <v>92</v>
      </c>
      <c r="N376" s="152" t="s">
        <v>883</v>
      </c>
      <c r="O376" s="159">
        <v>6436</v>
      </c>
      <c r="P376" s="159" t="s">
        <v>3257</v>
      </c>
      <c r="Q376" s="152" t="s">
        <v>92</v>
      </c>
      <c r="R376" s="152" t="s">
        <v>883</v>
      </c>
      <c r="S376" s="159">
        <v>6436</v>
      </c>
      <c r="T376" s="159" t="s">
        <v>856</v>
      </c>
      <c r="U376" s="159" t="s">
        <v>856</v>
      </c>
      <c r="V376" s="152" t="s">
        <v>857</v>
      </c>
      <c r="W376" s="152" t="s">
        <v>858</v>
      </c>
      <c r="X376" s="152" t="s">
        <v>1083</v>
      </c>
      <c r="Y376" s="152">
        <v>34.270000000000003</v>
      </c>
      <c r="Z376" s="152">
        <v>1</v>
      </c>
      <c r="AA376" s="152" t="s">
        <v>883</v>
      </c>
      <c r="AB376" s="152">
        <v>93.15</v>
      </c>
      <c r="AC376" s="152">
        <v>1</v>
      </c>
      <c r="AD376" s="152" t="s">
        <v>861</v>
      </c>
      <c r="AE376" s="152">
        <v>93.15</v>
      </c>
      <c r="AF376" s="152">
        <v>0</v>
      </c>
      <c r="AG376" s="152" t="s">
        <v>861</v>
      </c>
      <c r="AH376" s="152" t="s">
        <v>861</v>
      </c>
      <c r="AI376" s="152" t="s">
        <v>92</v>
      </c>
      <c r="AJ376" s="152" t="s">
        <v>92</v>
      </c>
      <c r="AK376" s="152" t="s">
        <v>862</v>
      </c>
      <c r="AL376" s="159" t="s">
        <v>856</v>
      </c>
      <c r="AP376" s="159" t="s">
        <v>856</v>
      </c>
      <c r="AQ376" s="159" t="s">
        <v>856</v>
      </c>
      <c r="AR376" s="159" t="s">
        <v>1953</v>
      </c>
      <c r="AS376" s="159" t="s">
        <v>865</v>
      </c>
      <c r="AT376" s="152" t="str">
        <f t="shared" si="28"/>
        <v>RPNG6-351021</v>
      </c>
      <c r="AU376" s="152" t="str">
        <f t="shared" si="29"/>
        <v>JOSE EMILIO GONZALEZ CHAJ</v>
      </c>
      <c r="AV376" s="159">
        <v>1079.92</v>
      </c>
      <c r="AW376" s="159">
        <v>901643</v>
      </c>
      <c r="AX376" s="159">
        <v>30</v>
      </c>
      <c r="AY376" s="159">
        <v>901645</v>
      </c>
      <c r="AZ376" s="152" t="s">
        <v>864</v>
      </c>
      <c r="BA376" s="152" t="str">
        <f t="shared" si="30"/>
        <v>L22-734-SP106</v>
      </c>
      <c r="BB376" s="152">
        <v>0</v>
      </c>
      <c r="BC376" s="157">
        <v>44867</v>
      </c>
      <c r="BD376" s="157">
        <v>44867</v>
      </c>
      <c r="BE376" s="158">
        <v>200754.5</v>
      </c>
      <c r="BF376" s="152" t="s">
        <v>3258</v>
      </c>
      <c r="BG376" s="159" t="s">
        <v>3259</v>
      </c>
      <c r="BH376" s="152">
        <v>93.15</v>
      </c>
      <c r="BI376" s="152">
        <v>0</v>
      </c>
      <c r="BJ376" s="152">
        <v>0</v>
      </c>
      <c r="BK376" s="152" t="s">
        <v>132</v>
      </c>
      <c r="BL376" s="152">
        <v>93.15</v>
      </c>
      <c r="BM376" s="152">
        <v>901644</v>
      </c>
      <c r="BN376" s="157" t="s">
        <v>1453</v>
      </c>
    </row>
    <row r="377" spans="1:66">
      <c r="A377" s="152" t="s">
        <v>3260</v>
      </c>
      <c r="B377" s="152" t="s">
        <v>3261</v>
      </c>
      <c r="C377" s="152" t="s">
        <v>2624</v>
      </c>
      <c r="D377" s="152" t="s">
        <v>3262</v>
      </c>
      <c r="E377" s="152" t="s">
        <v>1410</v>
      </c>
      <c r="F377" s="152">
        <v>9083</v>
      </c>
      <c r="G377" s="152">
        <v>83</v>
      </c>
      <c r="H377" s="152" t="s">
        <v>1459</v>
      </c>
      <c r="I377" s="152">
        <v>198298</v>
      </c>
      <c r="J377" s="152">
        <v>111.92</v>
      </c>
      <c r="K377" s="152">
        <v>85847</v>
      </c>
      <c r="L377" s="159" t="s">
        <v>1412</v>
      </c>
      <c r="M377" s="152" t="s">
        <v>92</v>
      </c>
      <c r="N377" s="152" t="s">
        <v>883</v>
      </c>
      <c r="O377" s="159">
        <v>4534</v>
      </c>
      <c r="P377" s="159" t="s">
        <v>1412</v>
      </c>
      <c r="Q377" s="152" t="s">
        <v>92</v>
      </c>
      <c r="R377" s="152" t="s">
        <v>883</v>
      </c>
      <c r="S377" s="159">
        <v>4534</v>
      </c>
      <c r="T377" s="159" t="s">
        <v>856</v>
      </c>
      <c r="U377" s="159" t="s">
        <v>856</v>
      </c>
      <c r="V377" s="152" t="s">
        <v>857</v>
      </c>
      <c r="W377" s="152" t="s">
        <v>858</v>
      </c>
      <c r="X377" s="152" t="s">
        <v>1083</v>
      </c>
      <c r="Y377" s="152">
        <v>69.819999999999993</v>
      </c>
      <c r="Z377" s="152">
        <v>1</v>
      </c>
      <c r="AA377" s="152" t="s">
        <v>92</v>
      </c>
      <c r="AB377" s="152">
        <v>121.2</v>
      </c>
      <c r="AC377" s="152">
        <v>2</v>
      </c>
      <c r="AD377" s="152" t="s">
        <v>861</v>
      </c>
      <c r="AE377" s="152">
        <v>121.2</v>
      </c>
      <c r="AF377" s="152">
        <v>0</v>
      </c>
      <c r="AG377" s="152" t="s">
        <v>861</v>
      </c>
      <c r="AH377" s="152" t="s">
        <v>861</v>
      </c>
      <c r="AI377" s="152" t="s">
        <v>92</v>
      </c>
      <c r="AJ377" s="152" t="s">
        <v>92</v>
      </c>
      <c r="AK377" s="152" t="s">
        <v>862</v>
      </c>
      <c r="AL377" s="159" t="s">
        <v>856</v>
      </c>
      <c r="AP377" s="159" t="s">
        <v>856</v>
      </c>
      <c r="AQ377" s="159" t="s">
        <v>856</v>
      </c>
      <c r="AR377" s="159" t="s">
        <v>863</v>
      </c>
      <c r="AS377" s="159" t="s">
        <v>865</v>
      </c>
      <c r="AT377" s="152" t="str">
        <f t="shared" si="28"/>
        <v>VUNER-010322</v>
      </c>
      <c r="AU377" s="152" t="str">
        <f t="shared" si="29"/>
        <v>EL PINAL DE OCCIDENTE S.A.</v>
      </c>
      <c r="AV377" s="159">
        <v>1663.97</v>
      </c>
      <c r="AW377" s="159">
        <v>890216</v>
      </c>
      <c r="AX377" s="159">
        <v>35</v>
      </c>
      <c r="AY377" s="159">
        <v>890219</v>
      </c>
      <c r="AZ377" s="152" t="s">
        <v>864</v>
      </c>
      <c r="BA377" s="152" t="str">
        <f t="shared" si="30"/>
        <v>L22-556-JM084</v>
      </c>
      <c r="BB377" s="152">
        <v>24</v>
      </c>
      <c r="BC377" s="157">
        <v>44777</v>
      </c>
      <c r="BD377" s="157">
        <v>45142</v>
      </c>
      <c r="BE377" s="158">
        <v>327437</v>
      </c>
      <c r="BF377" s="152" t="s">
        <v>3263</v>
      </c>
      <c r="BG377" s="159" t="s">
        <v>875</v>
      </c>
      <c r="BH377" s="152">
        <v>121.2</v>
      </c>
      <c r="BI377" s="152">
        <v>0</v>
      </c>
      <c r="BJ377" s="152">
        <v>0</v>
      </c>
      <c r="BK377" s="152" t="s">
        <v>132</v>
      </c>
      <c r="BL377" s="152">
        <v>121.2</v>
      </c>
      <c r="BM377" s="152">
        <v>890218</v>
      </c>
      <c r="BN377" s="157" t="s">
        <v>1453</v>
      </c>
    </row>
    <row r="378" spans="1:66">
      <c r="A378" s="152" t="s">
        <v>3264</v>
      </c>
      <c r="B378" s="152" t="s">
        <v>3265</v>
      </c>
      <c r="C378" s="152" t="s">
        <v>3266</v>
      </c>
      <c r="D378" s="152" t="s">
        <v>3267</v>
      </c>
      <c r="E378" s="152" t="s">
        <v>3268</v>
      </c>
      <c r="F378" s="152">
        <v>284029</v>
      </c>
      <c r="G378" s="152">
        <v>49</v>
      </c>
      <c r="H378" s="152">
        <v>664</v>
      </c>
      <c r="I378" s="152">
        <v>105168</v>
      </c>
      <c r="J378" s="152">
        <v>247.3</v>
      </c>
      <c r="K378" s="152">
        <v>55850</v>
      </c>
      <c r="L378" s="159" t="s">
        <v>3269</v>
      </c>
      <c r="M378" s="152" t="s">
        <v>883</v>
      </c>
      <c r="N378" s="152" t="s">
        <v>92</v>
      </c>
      <c r="O378" s="159">
        <v>10304</v>
      </c>
      <c r="P378" s="159" t="s">
        <v>3269</v>
      </c>
      <c r="Q378" s="152" t="s">
        <v>883</v>
      </c>
      <c r="R378" s="152" t="s">
        <v>92</v>
      </c>
      <c r="S378" s="159">
        <v>10304</v>
      </c>
      <c r="T378" s="159" t="s">
        <v>3270</v>
      </c>
      <c r="U378" s="159" t="s">
        <v>3271</v>
      </c>
      <c r="V378" s="152" t="s">
        <v>1479</v>
      </c>
      <c r="W378" s="152" t="s">
        <v>3272</v>
      </c>
      <c r="X378" s="152" t="s">
        <v>882</v>
      </c>
      <c r="Y378" s="152">
        <v>0</v>
      </c>
      <c r="Z378" s="152">
        <v>0</v>
      </c>
      <c r="AA378" s="152" t="s">
        <v>92</v>
      </c>
      <c r="AB378" s="152">
        <v>143.22</v>
      </c>
      <c r="AC378" s="152">
        <v>1</v>
      </c>
      <c r="AD378" s="152" t="s">
        <v>861</v>
      </c>
      <c r="AE378" s="152">
        <v>0</v>
      </c>
      <c r="AF378" s="152">
        <v>0</v>
      </c>
      <c r="AG378" s="152" t="s">
        <v>861</v>
      </c>
      <c r="AH378" s="152" t="s">
        <v>861</v>
      </c>
      <c r="AI378" s="152" t="s">
        <v>92</v>
      </c>
      <c r="AJ378" s="152" t="s">
        <v>92</v>
      </c>
      <c r="AK378" s="152" t="s">
        <v>884</v>
      </c>
      <c r="AL378" s="159" t="s">
        <v>856</v>
      </c>
      <c r="AP378" s="159" t="s">
        <v>856</v>
      </c>
      <c r="AQ378" s="159" t="s">
        <v>856</v>
      </c>
      <c r="AR378" s="159" t="s">
        <v>856</v>
      </c>
      <c r="AS378" s="159" t="s">
        <v>865</v>
      </c>
      <c r="AT378" s="152" t="str">
        <f t="shared" si="28"/>
        <v>DMNG8-020822</v>
      </c>
      <c r="AU378" s="152" t="str">
        <f t="shared" si="29"/>
        <v>DONAY RAUL GARCIA GRAMAJO</v>
      </c>
      <c r="AV378" s="159">
        <v>143.22</v>
      </c>
      <c r="AW378" s="159">
        <v>815621</v>
      </c>
      <c r="AX378" s="159" t="s">
        <v>856</v>
      </c>
      <c r="AY378" s="159" t="s">
        <v>856</v>
      </c>
      <c r="AZ378" s="152" t="s">
        <v>1008</v>
      </c>
      <c r="BA378" s="152" t="str">
        <f t="shared" si="30"/>
        <v>L22-778-MP026</v>
      </c>
      <c r="BB378" s="152">
        <v>12</v>
      </c>
      <c r="BC378" s="157">
        <v>44880</v>
      </c>
      <c r="BD378" s="157">
        <v>45061</v>
      </c>
      <c r="BE378" s="158">
        <v>14322</v>
      </c>
      <c r="BG378" s="159" t="s">
        <v>2033</v>
      </c>
      <c r="BK378" s="152" t="s">
        <v>132</v>
      </c>
      <c r="BN378" s="157" t="s">
        <v>1453</v>
      </c>
    </row>
    <row r="379" spans="1:66">
      <c r="A379" s="152" t="s">
        <v>3273</v>
      </c>
      <c r="B379" s="152" t="s">
        <v>3274</v>
      </c>
      <c r="C379" s="152" t="s">
        <v>3275</v>
      </c>
      <c r="D379" s="152" t="s">
        <v>3276</v>
      </c>
      <c r="E379" s="152" t="s">
        <v>2344</v>
      </c>
      <c r="F379" s="152">
        <v>339429</v>
      </c>
      <c r="G379" s="152">
        <v>9</v>
      </c>
      <c r="H379" s="152">
        <v>845</v>
      </c>
      <c r="I379" s="152">
        <v>200001</v>
      </c>
      <c r="J379" s="152">
        <v>128</v>
      </c>
      <c r="K379" s="152">
        <v>87307</v>
      </c>
      <c r="L379" s="159" t="s">
        <v>2345</v>
      </c>
      <c r="M379" s="152" t="s">
        <v>92</v>
      </c>
      <c r="N379" s="152" t="s">
        <v>883</v>
      </c>
      <c r="O379" s="159">
        <v>5670</v>
      </c>
      <c r="P379" s="159" t="s">
        <v>2345</v>
      </c>
      <c r="Q379" s="152" t="s">
        <v>92</v>
      </c>
      <c r="R379" s="152" t="s">
        <v>883</v>
      </c>
      <c r="S379" s="159">
        <v>5670</v>
      </c>
      <c r="T379" s="159" t="s">
        <v>3277</v>
      </c>
      <c r="U379" s="159" t="s">
        <v>3278</v>
      </c>
      <c r="V379" s="152" t="s">
        <v>857</v>
      </c>
      <c r="W379" s="152" t="s">
        <v>858</v>
      </c>
      <c r="X379" s="152" t="s">
        <v>1083</v>
      </c>
      <c r="Y379" s="152">
        <v>0</v>
      </c>
      <c r="Z379" s="152">
        <v>1</v>
      </c>
      <c r="AA379" s="152" t="s">
        <v>92</v>
      </c>
      <c r="AB379" s="152">
        <v>94.24</v>
      </c>
      <c r="AC379" s="152">
        <v>1</v>
      </c>
      <c r="AD379" s="152" t="s">
        <v>861</v>
      </c>
      <c r="AE379" s="152">
        <v>94.24</v>
      </c>
      <c r="AF379" s="152">
        <v>0</v>
      </c>
      <c r="AG379" s="152" t="s">
        <v>861</v>
      </c>
      <c r="AH379" s="152" t="s">
        <v>861</v>
      </c>
      <c r="AI379" s="152" t="s">
        <v>92</v>
      </c>
      <c r="AJ379" s="152" t="s">
        <v>92</v>
      </c>
      <c r="AK379" s="152" t="s">
        <v>972</v>
      </c>
      <c r="AL379" s="159" t="s">
        <v>856</v>
      </c>
      <c r="AP379" s="159" t="s">
        <v>856</v>
      </c>
      <c r="AQ379" s="159" t="s">
        <v>856</v>
      </c>
      <c r="AR379" s="159" t="s">
        <v>1937</v>
      </c>
      <c r="AS379" s="159" t="s">
        <v>865</v>
      </c>
      <c r="AT379" s="152" t="str">
        <f t="shared" si="28"/>
        <v>VUNA9-010321</v>
      </c>
      <c r="AU379" s="152" t="str">
        <f t="shared" si="29"/>
        <v>MIRNA JANETH CASTILLO ORTIZ DE ALVAREZ</v>
      </c>
      <c r="AV379" s="159">
        <v>949.94</v>
      </c>
      <c r="AW379" s="159">
        <v>816266</v>
      </c>
      <c r="AX379" s="159">
        <v>42</v>
      </c>
      <c r="AY379" s="159">
        <v>816269</v>
      </c>
      <c r="AZ379" s="152" t="s">
        <v>864</v>
      </c>
      <c r="BA379" s="152" t="str">
        <f t="shared" si="30"/>
        <v>L22-769-NR024</v>
      </c>
      <c r="BB379" s="152">
        <v>15</v>
      </c>
      <c r="BC379" s="157">
        <v>44879</v>
      </c>
      <c r="BD379" s="157">
        <v>45183</v>
      </c>
      <c r="BE379" s="158">
        <v>188480</v>
      </c>
      <c r="BF379" s="152" t="s">
        <v>3279</v>
      </c>
      <c r="BG379" s="159" t="s">
        <v>3280</v>
      </c>
      <c r="BH379" s="152">
        <v>94.24</v>
      </c>
      <c r="BI379" s="152">
        <v>0</v>
      </c>
      <c r="BJ379" s="152">
        <v>0</v>
      </c>
      <c r="BK379" s="152" t="s">
        <v>132</v>
      </c>
      <c r="BL379" s="152">
        <v>94.24</v>
      </c>
      <c r="BM379" s="152">
        <v>816268</v>
      </c>
      <c r="BN379" s="157" t="s">
        <v>1453</v>
      </c>
    </row>
    <row r="380" spans="1:66">
      <c r="A380" s="152" t="s">
        <v>3281</v>
      </c>
      <c r="B380" s="152" t="s">
        <v>3282</v>
      </c>
      <c r="C380" s="152" t="s">
        <v>1079</v>
      </c>
      <c r="D380" s="152" t="s">
        <v>3283</v>
      </c>
      <c r="E380" s="152" t="s">
        <v>1077</v>
      </c>
      <c r="F380" s="152">
        <v>308791</v>
      </c>
      <c r="G380" s="152">
        <v>282</v>
      </c>
      <c r="H380" s="152">
        <v>747</v>
      </c>
      <c r="I380" s="152">
        <v>182982</v>
      </c>
      <c r="J380" s="152">
        <v>112</v>
      </c>
      <c r="K380" s="152">
        <v>74417</v>
      </c>
      <c r="L380" s="159" t="s">
        <v>1079</v>
      </c>
      <c r="M380" s="152" t="s">
        <v>883</v>
      </c>
      <c r="N380" s="152" t="s">
        <v>92</v>
      </c>
      <c r="O380" s="159">
        <v>1617</v>
      </c>
      <c r="P380" s="159" t="s">
        <v>1079</v>
      </c>
      <c r="Q380" s="152" t="s">
        <v>883</v>
      </c>
      <c r="R380" s="152" t="s">
        <v>92</v>
      </c>
      <c r="S380" s="159">
        <v>1617</v>
      </c>
      <c r="T380" s="159" t="s">
        <v>856</v>
      </c>
      <c r="U380" s="159" t="s">
        <v>856</v>
      </c>
      <c r="V380" s="152" t="s">
        <v>857</v>
      </c>
      <c r="W380" s="152" t="s">
        <v>858</v>
      </c>
      <c r="X380" s="152" t="s">
        <v>1083</v>
      </c>
      <c r="Y380" s="152">
        <v>24.5</v>
      </c>
      <c r="Z380" s="152">
        <v>1</v>
      </c>
      <c r="AA380" s="152" t="s">
        <v>92</v>
      </c>
      <c r="AB380" s="152">
        <v>131.97999999999999</v>
      </c>
      <c r="AC380" s="152">
        <v>2</v>
      </c>
      <c r="AD380" s="152" t="s">
        <v>861</v>
      </c>
      <c r="AE380" s="152">
        <v>131.97999999999999</v>
      </c>
      <c r="AF380" s="152">
        <v>0</v>
      </c>
      <c r="AG380" s="152" t="s">
        <v>861</v>
      </c>
      <c r="AH380" s="152" t="s">
        <v>861</v>
      </c>
      <c r="AI380" s="152" t="s">
        <v>92</v>
      </c>
      <c r="AJ380" s="152" t="s">
        <v>92</v>
      </c>
      <c r="AK380" s="152" t="s">
        <v>972</v>
      </c>
      <c r="AL380" s="159" t="s">
        <v>856</v>
      </c>
      <c r="AP380" s="159" t="s">
        <v>856</v>
      </c>
      <c r="AQ380" s="159" t="s">
        <v>856</v>
      </c>
      <c r="AR380" s="159" t="s">
        <v>863</v>
      </c>
      <c r="AS380" s="159" t="s">
        <v>865</v>
      </c>
      <c r="AT380" s="152" t="str">
        <f t="shared" si="28"/>
        <v>VUNM12-020922</v>
      </c>
      <c r="AU380" s="152" t="str">
        <f t="shared" si="29"/>
        <v>VICTOR HORACIO MIJANGOS MARTINEZ</v>
      </c>
      <c r="AV380" s="159">
        <v>1710.97</v>
      </c>
      <c r="AW380" s="159">
        <v>815481</v>
      </c>
      <c r="AX380" s="159">
        <v>35</v>
      </c>
      <c r="AY380" s="159">
        <v>815484</v>
      </c>
      <c r="AZ380" s="152" t="s">
        <v>864</v>
      </c>
      <c r="BA380" s="152" t="str">
        <f t="shared" si="30"/>
        <v>L22-763-JM167</v>
      </c>
      <c r="BB380" s="152">
        <v>24</v>
      </c>
      <c r="BC380" s="157">
        <v>44875</v>
      </c>
      <c r="BD380" s="157">
        <v>45240</v>
      </c>
      <c r="BE380" s="158">
        <v>338525</v>
      </c>
      <c r="BF380" s="152" t="s">
        <v>3284</v>
      </c>
      <c r="BG380" s="159" t="s">
        <v>875</v>
      </c>
      <c r="BH380" s="152">
        <v>131.97999999999999</v>
      </c>
      <c r="BI380" s="152">
        <v>0</v>
      </c>
      <c r="BJ380" s="152">
        <v>0</v>
      </c>
      <c r="BK380" s="152" t="s">
        <v>132</v>
      </c>
      <c r="BL380" s="152">
        <v>131.97999999999999</v>
      </c>
      <c r="BM380" s="152">
        <v>815483</v>
      </c>
      <c r="BN380" s="157" t="s">
        <v>1453</v>
      </c>
    </row>
    <row r="381" spans="1:66">
      <c r="A381" s="152" t="s">
        <v>3285</v>
      </c>
      <c r="B381" s="152" t="s">
        <v>3286</v>
      </c>
      <c r="C381" s="152" t="s">
        <v>3287</v>
      </c>
      <c r="D381" s="152" t="s">
        <v>3288</v>
      </c>
      <c r="E381" s="152" t="s">
        <v>2562</v>
      </c>
      <c r="F381" s="152">
        <v>92857</v>
      </c>
      <c r="G381" s="152">
        <v>226</v>
      </c>
      <c r="H381" s="152">
        <v>374</v>
      </c>
      <c r="I381" s="152">
        <v>118819</v>
      </c>
      <c r="J381" s="152">
        <v>218</v>
      </c>
      <c r="K381" s="152">
        <v>15563</v>
      </c>
      <c r="L381" s="159" t="s">
        <v>1508</v>
      </c>
      <c r="M381" s="152" t="s">
        <v>883</v>
      </c>
      <c r="N381" s="152" t="s">
        <v>92</v>
      </c>
      <c r="O381" s="159">
        <v>11147</v>
      </c>
      <c r="P381" s="159" t="s">
        <v>1508</v>
      </c>
      <c r="Q381" s="152" t="s">
        <v>883</v>
      </c>
      <c r="R381" s="152" t="s">
        <v>92</v>
      </c>
      <c r="S381" s="159">
        <v>11147</v>
      </c>
      <c r="T381" s="159" t="s">
        <v>2563</v>
      </c>
      <c r="U381" s="159" t="s">
        <v>2564</v>
      </c>
      <c r="V381" s="152" t="s">
        <v>911</v>
      </c>
      <c r="W381" s="152" t="s">
        <v>858</v>
      </c>
      <c r="X381" s="152" t="s">
        <v>1083</v>
      </c>
      <c r="Y381" s="152">
        <v>150.96</v>
      </c>
      <c r="Z381" s="152">
        <v>2</v>
      </c>
      <c r="AA381" s="152" t="s">
        <v>92</v>
      </c>
      <c r="AB381" s="152">
        <v>82.77</v>
      </c>
      <c r="AC381" s="152">
        <v>1</v>
      </c>
      <c r="AD381" s="152" t="s">
        <v>861</v>
      </c>
      <c r="AE381" s="152">
        <v>82.77</v>
      </c>
      <c r="AF381" s="152">
        <v>0</v>
      </c>
      <c r="AG381" s="152" t="s">
        <v>861</v>
      </c>
      <c r="AH381" s="152" t="s">
        <v>861</v>
      </c>
      <c r="AI381" s="152" t="s">
        <v>92</v>
      </c>
      <c r="AJ381" s="152" t="s">
        <v>92</v>
      </c>
      <c r="AK381" s="152" t="s">
        <v>912</v>
      </c>
      <c r="AL381" s="159" t="s">
        <v>856</v>
      </c>
      <c r="AP381" s="159" t="s">
        <v>856</v>
      </c>
      <c r="AQ381" s="159" t="s">
        <v>856</v>
      </c>
      <c r="AR381" s="159" t="s">
        <v>863</v>
      </c>
      <c r="AS381" s="159" t="s">
        <v>865</v>
      </c>
      <c r="AT381" s="152" t="str">
        <f t="shared" ref="AT381:AT400" si="31">B381</f>
        <v>VUNT4-010722</v>
      </c>
      <c r="AU381" s="152" t="str">
        <f t="shared" ref="AU381:AU400" si="32">C381</f>
        <v>OLGA VIOLETA TUCUX TAY</v>
      </c>
      <c r="AV381" s="159">
        <v>1223.2</v>
      </c>
      <c r="AW381" s="159">
        <v>904877</v>
      </c>
      <c r="AX381" s="159">
        <v>21.2</v>
      </c>
      <c r="AY381" s="159">
        <v>904877</v>
      </c>
      <c r="AZ381" s="152" t="s">
        <v>864</v>
      </c>
      <c r="BA381" s="152" t="str">
        <f t="shared" si="30"/>
        <v>L22-737-JM156</v>
      </c>
      <c r="BB381" s="152">
        <v>15</v>
      </c>
      <c r="BC381" s="157">
        <v>44861</v>
      </c>
      <c r="BD381" s="157">
        <v>45165</v>
      </c>
      <c r="BE381" s="158">
        <v>221476</v>
      </c>
      <c r="BF381" s="152" t="s">
        <v>3289</v>
      </c>
      <c r="BG381" s="159" t="s">
        <v>3290</v>
      </c>
      <c r="BH381" s="152">
        <v>82.77</v>
      </c>
      <c r="BI381" s="152">
        <v>0</v>
      </c>
      <c r="BJ381" s="152">
        <v>0</v>
      </c>
      <c r="BK381" s="152" t="s">
        <v>132</v>
      </c>
      <c r="BL381" s="152">
        <v>82.77</v>
      </c>
      <c r="BM381" s="152">
        <v>904879</v>
      </c>
      <c r="BN381" s="157" t="s">
        <v>1453</v>
      </c>
    </row>
    <row r="382" spans="1:66">
      <c r="A382" s="159" t="s">
        <v>856</v>
      </c>
      <c r="B382" s="152" t="s">
        <v>3291</v>
      </c>
      <c r="C382" s="152" t="s">
        <v>3292</v>
      </c>
      <c r="D382" s="152" t="s">
        <v>3293</v>
      </c>
      <c r="E382" s="152" t="s">
        <v>3293</v>
      </c>
      <c r="F382" s="152">
        <v>49187</v>
      </c>
      <c r="G382" s="152">
        <v>178</v>
      </c>
      <c r="H382" s="152">
        <v>261</v>
      </c>
      <c r="I382" s="152">
        <v>5219</v>
      </c>
      <c r="J382" s="152">
        <v>436</v>
      </c>
      <c r="K382" s="152">
        <v>5204</v>
      </c>
      <c r="L382" s="159" t="s">
        <v>856</v>
      </c>
      <c r="M382" s="152" t="s">
        <v>92</v>
      </c>
      <c r="N382" s="152" t="s">
        <v>92</v>
      </c>
      <c r="O382" s="159" t="s">
        <v>856</v>
      </c>
      <c r="P382" s="159" t="s">
        <v>856</v>
      </c>
      <c r="Q382" s="152" t="s">
        <v>92</v>
      </c>
      <c r="R382" s="152" t="s">
        <v>92</v>
      </c>
      <c r="S382" s="159" t="s">
        <v>856</v>
      </c>
      <c r="T382" s="159" t="s">
        <v>856</v>
      </c>
      <c r="U382" s="159" t="s">
        <v>856</v>
      </c>
      <c r="V382" s="152" t="s">
        <v>2380</v>
      </c>
      <c r="W382" s="152" t="s">
        <v>858</v>
      </c>
      <c r="X382" s="152" t="s">
        <v>1083</v>
      </c>
      <c r="Y382" s="152">
        <v>0</v>
      </c>
      <c r="Z382" s="152">
        <v>2</v>
      </c>
      <c r="AA382" s="152" t="s">
        <v>92</v>
      </c>
      <c r="AB382" s="152">
        <v>75.7</v>
      </c>
      <c r="AC382" s="152">
        <v>1</v>
      </c>
      <c r="AD382" s="152" t="s">
        <v>861</v>
      </c>
      <c r="AE382" s="152">
        <v>0</v>
      </c>
      <c r="AF382" s="152">
        <v>75.7</v>
      </c>
      <c r="AG382" s="152" t="s">
        <v>861</v>
      </c>
      <c r="AH382" s="152" t="s">
        <v>861</v>
      </c>
      <c r="AI382" s="152" t="s">
        <v>92</v>
      </c>
      <c r="AJ382" s="152" t="s">
        <v>92</v>
      </c>
      <c r="AK382" s="152" t="s">
        <v>1085</v>
      </c>
      <c r="AL382" s="159" t="s">
        <v>856</v>
      </c>
      <c r="AP382" s="159" t="s">
        <v>856</v>
      </c>
      <c r="AQ382" s="159" t="s">
        <v>856</v>
      </c>
      <c r="AR382" s="159" t="s">
        <v>863</v>
      </c>
      <c r="AS382" s="159" t="s">
        <v>865</v>
      </c>
      <c r="AT382" s="152" t="str">
        <f t="shared" si="31"/>
        <v>USD3-030222</v>
      </c>
      <c r="AU382" s="152" t="str">
        <f t="shared" si="32"/>
        <v>ROSALBA CONCEPCION DE LEON CALDERON</v>
      </c>
      <c r="AV382" s="159" t="s">
        <v>856</v>
      </c>
      <c r="AW382" s="159" t="s">
        <v>856</v>
      </c>
      <c r="AX382" s="159" t="s">
        <v>856</v>
      </c>
      <c r="AY382" s="159" t="s">
        <v>856</v>
      </c>
      <c r="AZ382" s="152" t="s">
        <v>864</v>
      </c>
      <c r="BA382" s="152" t="str">
        <f t="shared" si="30"/>
        <v>----------</v>
      </c>
      <c r="BB382" s="152">
        <v>0</v>
      </c>
      <c r="BC382" s="157">
        <v>44676</v>
      </c>
      <c r="BD382" s="157">
        <v>46137</v>
      </c>
      <c r="BF382" s="152" t="s">
        <v>3294</v>
      </c>
      <c r="BG382" s="159" t="s">
        <v>3295</v>
      </c>
      <c r="BH382" s="152">
        <v>0</v>
      </c>
      <c r="BI382" s="152">
        <v>75.7</v>
      </c>
      <c r="BJ382" s="152">
        <v>0</v>
      </c>
      <c r="BK382" s="152" t="s">
        <v>1296</v>
      </c>
      <c r="BL382" s="152">
        <v>94.63</v>
      </c>
      <c r="BM382" s="152">
        <v>793759</v>
      </c>
      <c r="BN382" s="157">
        <v>46137</v>
      </c>
    </row>
    <row r="383" spans="1:66">
      <c r="A383" s="152" t="s">
        <v>3296</v>
      </c>
      <c r="B383" s="152" t="s">
        <v>3297</v>
      </c>
      <c r="C383" s="152" t="s">
        <v>3298</v>
      </c>
      <c r="D383" s="152" t="s">
        <v>3299</v>
      </c>
      <c r="E383" s="152" t="s">
        <v>3299</v>
      </c>
      <c r="F383" s="152">
        <v>5546</v>
      </c>
      <c r="G383" s="152">
        <v>46</v>
      </c>
      <c r="H383" s="152" t="s">
        <v>3300</v>
      </c>
      <c r="I383" s="152">
        <v>202307</v>
      </c>
      <c r="J383" s="152">
        <v>412.05</v>
      </c>
      <c r="K383" s="152">
        <v>89149</v>
      </c>
      <c r="L383" s="159" t="s">
        <v>856</v>
      </c>
      <c r="M383" s="152" t="s">
        <v>92</v>
      </c>
      <c r="N383" s="152" t="s">
        <v>92</v>
      </c>
      <c r="O383" s="159" t="s">
        <v>856</v>
      </c>
      <c r="P383" s="159" t="s">
        <v>856</v>
      </c>
      <c r="Q383" s="152" t="s">
        <v>92</v>
      </c>
      <c r="R383" s="152" t="s">
        <v>92</v>
      </c>
      <c r="S383" s="159" t="s">
        <v>856</v>
      </c>
      <c r="T383" s="159" t="s">
        <v>856</v>
      </c>
      <c r="U383" s="159" t="s">
        <v>856</v>
      </c>
      <c r="V383" s="152" t="s">
        <v>857</v>
      </c>
      <c r="W383" s="152" t="s">
        <v>860</v>
      </c>
      <c r="X383" s="152" t="s">
        <v>3010</v>
      </c>
      <c r="Y383" s="152">
        <v>0</v>
      </c>
      <c r="Z383" s="152">
        <v>1</v>
      </c>
      <c r="AA383" s="152" t="s">
        <v>92</v>
      </c>
      <c r="AB383" s="152">
        <v>83.6</v>
      </c>
      <c r="AC383" s="152">
        <v>1</v>
      </c>
      <c r="AD383" s="152" t="s">
        <v>861</v>
      </c>
      <c r="AE383" s="152">
        <v>83.6</v>
      </c>
      <c r="AF383" s="152">
        <v>0</v>
      </c>
      <c r="AG383" s="152">
        <v>41.25</v>
      </c>
      <c r="AH383" s="152" t="s">
        <v>861</v>
      </c>
      <c r="AI383" s="152" t="s">
        <v>92</v>
      </c>
      <c r="AJ383" s="152" t="s">
        <v>92</v>
      </c>
      <c r="AK383" s="152" t="s">
        <v>1620</v>
      </c>
      <c r="AL383" s="159" t="s">
        <v>856</v>
      </c>
      <c r="AP383" s="159" t="s">
        <v>856</v>
      </c>
      <c r="AQ383" s="159" t="s">
        <v>856</v>
      </c>
      <c r="AR383" s="159" t="s">
        <v>1034</v>
      </c>
      <c r="AS383" s="159" t="s">
        <v>865</v>
      </c>
      <c r="AT383" s="152" t="str">
        <f t="shared" si="31"/>
        <v>RPNIR-240322</v>
      </c>
      <c r="AU383" s="152" t="str">
        <f t="shared" si="32"/>
        <v>HERLINDA NARCISA AJANEL PELICO DE IXCOY</v>
      </c>
      <c r="AV383" s="159">
        <v>561.79</v>
      </c>
      <c r="AW383" s="159">
        <v>794409</v>
      </c>
      <c r="AX383" s="159" t="s">
        <v>856</v>
      </c>
      <c r="AY383" s="159" t="s">
        <v>856</v>
      </c>
      <c r="AZ383" s="152" t="s">
        <v>864</v>
      </c>
      <c r="BA383" s="152" t="str">
        <f t="shared" si="30"/>
        <v>L22-652-LG120</v>
      </c>
      <c r="BB383" s="152">
        <v>0</v>
      </c>
      <c r="BC383" s="157">
        <v>44691</v>
      </c>
      <c r="BD383" s="157">
        <v>44691</v>
      </c>
      <c r="BE383" s="158">
        <v>125400</v>
      </c>
      <c r="BF383" s="152" t="s">
        <v>3301</v>
      </c>
      <c r="BG383" s="159" t="s">
        <v>894</v>
      </c>
      <c r="BH383" s="152">
        <v>83.6</v>
      </c>
      <c r="BI383" s="152">
        <v>0</v>
      </c>
      <c r="BJ383" s="152">
        <v>0</v>
      </c>
      <c r="BK383" s="152" t="s">
        <v>132</v>
      </c>
      <c r="BL383" s="152">
        <v>83.6</v>
      </c>
      <c r="BM383" s="152">
        <v>794410</v>
      </c>
      <c r="BN383" s="157" t="s">
        <v>1453</v>
      </c>
    </row>
    <row r="384" spans="1:66">
      <c r="A384" s="152" t="s">
        <v>3302</v>
      </c>
      <c r="B384" s="152" t="s">
        <v>3303</v>
      </c>
      <c r="C384" s="152" t="s">
        <v>3304</v>
      </c>
      <c r="D384" s="152" t="s">
        <v>3305</v>
      </c>
      <c r="E384" s="152" t="s">
        <v>3306</v>
      </c>
      <c r="F384" s="152">
        <v>231396</v>
      </c>
      <c r="G384" s="152">
        <v>166</v>
      </c>
      <c r="H384" s="152">
        <v>489</v>
      </c>
      <c r="I384" s="152">
        <v>151041</v>
      </c>
      <c r="J384" s="152">
        <v>218</v>
      </c>
      <c r="K384" s="152">
        <v>49017</v>
      </c>
      <c r="L384" s="159" t="s">
        <v>3307</v>
      </c>
      <c r="M384" s="152" t="s">
        <v>92</v>
      </c>
      <c r="N384" s="152" t="s">
        <v>883</v>
      </c>
      <c r="O384" s="159">
        <v>5841</v>
      </c>
      <c r="P384" s="159" t="s">
        <v>3307</v>
      </c>
      <c r="Q384" s="152" t="s">
        <v>92</v>
      </c>
      <c r="R384" s="152" t="s">
        <v>883</v>
      </c>
      <c r="S384" s="159">
        <v>5841</v>
      </c>
      <c r="T384" s="159" t="s">
        <v>856</v>
      </c>
      <c r="U384" s="159" t="s">
        <v>856</v>
      </c>
      <c r="V384" s="152" t="s">
        <v>3308</v>
      </c>
      <c r="W384" s="152" t="s">
        <v>3309</v>
      </c>
      <c r="X384" s="152" t="s">
        <v>882</v>
      </c>
      <c r="Y384" s="152">
        <v>0</v>
      </c>
      <c r="Z384" s="152">
        <v>0</v>
      </c>
      <c r="AA384" s="152" t="s">
        <v>92</v>
      </c>
      <c r="AB384" s="152">
        <v>144.54</v>
      </c>
      <c r="AC384" s="152">
        <v>1</v>
      </c>
      <c r="AD384" s="152" t="s">
        <v>861</v>
      </c>
      <c r="AE384" s="152">
        <v>0</v>
      </c>
      <c r="AF384" s="152">
        <v>0</v>
      </c>
      <c r="AG384" s="152" t="s">
        <v>861</v>
      </c>
      <c r="AH384" s="152" t="s">
        <v>861</v>
      </c>
      <c r="AI384" s="152" t="s">
        <v>92</v>
      </c>
      <c r="AJ384" s="152" t="s">
        <v>92</v>
      </c>
      <c r="AK384" s="152" t="s">
        <v>862</v>
      </c>
      <c r="AL384" s="159" t="s">
        <v>856</v>
      </c>
      <c r="AP384" s="159" t="s">
        <v>856</v>
      </c>
      <c r="AQ384" s="159" t="s">
        <v>856</v>
      </c>
      <c r="AR384" s="159" t="s">
        <v>856</v>
      </c>
      <c r="AS384" s="159" t="s">
        <v>865</v>
      </c>
      <c r="AT384" s="152" t="str">
        <f t="shared" si="31"/>
        <v>DMNJ1-050722</v>
      </c>
      <c r="AU384" s="152" t="str">
        <f t="shared" si="32"/>
        <v>GLADYS NINNETH QUIJIVIX CAYAX DE JUCUP</v>
      </c>
      <c r="AV384" s="159">
        <v>108.41</v>
      </c>
      <c r="AW384" s="159">
        <v>900413</v>
      </c>
      <c r="AX384" s="159" t="s">
        <v>856</v>
      </c>
      <c r="AY384" s="159" t="s">
        <v>856</v>
      </c>
      <c r="AZ384" s="152" t="s">
        <v>1008</v>
      </c>
      <c r="BA384" s="152" t="str">
        <f t="shared" si="30"/>
        <v>L22-677-LG018</v>
      </c>
      <c r="BB384" s="152">
        <v>12</v>
      </c>
      <c r="BC384" s="157">
        <v>44840</v>
      </c>
      <c r="BD384" s="157">
        <v>45022</v>
      </c>
      <c r="BE384" s="158">
        <v>14454</v>
      </c>
      <c r="BG384" s="159" t="s">
        <v>2033</v>
      </c>
      <c r="BK384" s="152" t="s">
        <v>132</v>
      </c>
      <c r="BN384" s="157" t="s">
        <v>1453</v>
      </c>
    </row>
    <row r="385" spans="1:66">
      <c r="A385" s="152" t="s">
        <v>3310</v>
      </c>
      <c r="B385" s="152" t="s">
        <v>3311</v>
      </c>
      <c r="C385" s="152" t="s">
        <v>3312</v>
      </c>
      <c r="D385" s="152" t="s">
        <v>3313</v>
      </c>
      <c r="E385" s="152" t="s">
        <v>3314</v>
      </c>
      <c r="F385" s="152">
        <v>9336</v>
      </c>
      <c r="G385" s="152">
        <v>336</v>
      </c>
      <c r="H385" s="152" t="s">
        <v>3315</v>
      </c>
      <c r="I385" s="152">
        <v>201765</v>
      </c>
      <c r="J385" s="152">
        <v>138.31</v>
      </c>
      <c r="K385" s="152">
        <v>88705</v>
      </c>
      <c r="L385" s="159" t="s">
        <v>1500</v>
      </c>
      <c r="M385" s="152" t="s">
        <v>883</v>
      </c>
      <c r="N385" s="152" t="s">
        <v>92</v>
      </c>
      <c r="O385" s="159">
        <v>18340</v>
      </c>
      <c r="P385" s="159" t="s">
        <v>1500</v>
      </c>
      <c r="Q385" s="152" t="s">
        <v>883</v>
      </c>
      <c r="R385" s="152" t="s">
        <v>92</v>
      </c>
      <c r="S385" s="159">
        <v>18340</v>
      </c>
      <c r="T385" s="159" t="s">
        <v>1500</v>
      </c>
      <c r="U385" s="159" t="s">
        <v>1501</v>
      </c>
      <c r="V385" s="152" t="s">
        <v>857</v>
      </c>
      <c r="W385" s="152" t="s">
        <v>858</v>
      </c>
      <c r="X385" s="152" t="s">
        <v>1083</v>
      </c>
      <c r="Y385" s="152">
        <v>46.8</v>
      </c>
      <c r="Z385" s="152">
        <v>1</v>
      </c>
      <c r="AA385" s="152" t="s">
        <v>92</v>
      </c>
      <c r="AB385" s="152">
        <v>104.87</v>
      </c>
      <c r="AC385" s="152">
        <v>1</v>
      </c>
      <c r="AD385" s="152" t="s">
        <v>861</v>
      </c>
      <c r="AE385" s="152">
        <v>104.87</v>
      </c>
      <c r="AF385" s="152">
        <v>0</v>
      </c>
      <c r="AG385" s="152" t="s">
        <v>861</v>
      </c>
      <c r="AH385" s="152" t="s">
        <v>861</v>
      </c>
      <c r="AI385" s="152" t="s">
        <v>92</v>
      </c>
      <c r="AJ385" s="152" t="s">
        <v>92</v>
      </c>
      <c r="AK385" s="152" t="s">
        <v>862</v>
      </c>
      <c r="AL385" s="159" t="s">
        <v>856</v>
      </c>
      <c r="AP385" s="159" t="s">
        <v>856</v>
      </c>
      <c r="AQ385" s="159" t="s">
        <v>856</v>
      </c>
      <c r="AR385" s="159" t="s">
        <v>2224</v>
      </c>
      <c r="AS385" s="159" t="s">
        <v>865</v>
      </c>
      <c r="AT385" s="152" t="str">
        <f t="shared" si="31"/>
        <v>VUNL8-030722</v>
      </c>
      <c r="AU385" s="152" t="str">
        <f t="shared" si="32"/>
        <v>SANTOS FELICIANO LARIOS PEREZ</v>
      </c>
      <c r="AV385" s="159">
        <v>1237.02</v>
      </c>
      <c r="AW385" s="159">
        <v>818935</v>
      </c>
      <c r="AX385" s="159">
        <v>72.650000000000006</v>
      </c>
      <c r="AY385" s="159">
        <v>818938</v>
      </c>
      <c r="AZ385" s="152" t="s">
        <v>864</v>
      </c>
      <c r="BA385" s="152" t="str">
        <f t="shared" si="30"/>
        <v>L22-835-JM180</v>
      </c>
      <c r="BB385" s="152">
        <v>15</v>
      </c>
      <c r="BC385" s="157">
        <v>44900</v>
      </c>
      <c r="BD385" s="157">
        <v>44839</v>
      </c>
      <c r="BE385" s="158">
        <v>229060</v>
      </c>
      <c r="BF385" s="152" t="s">
        <v>3316</v>
      </c>
      <c r="BG385" s="159" t="s">
        <v>3317</v>
      </c>
      <c r="BH385" s="152">
        <v>104.87</v>
      </c>
      <c r="BI385" s="152">
        <v>0</v>
      </c>
      <c r="BJ385" s="152">
        <v>0</v>
      </c>
      <c r="BK385" s="152" t="s">
        <v>132</v>
      </c>
      <c r="BL385" s="152">
        <v>104.87</v>
      </c>
      <c r="BM385" s="152">
        <v>818937</v>
      </c>
      <c r="BN385" s="157" t="s">
        <v>1453</v>
      </c>
    </row>
    <row r="386" spans="1:66">
      <c r="A386" s="152" t="s">
        <v>3319</v>
      </c>
      <c r="B386" s="152" t="s">
        <v>3320</v>
      </c>
      <c r="C386" s="152" t="s">
        <v>3321</v>
      </c>
      <c r="D386" s="152" t="s">
        <v>3323</v>
      </c>
      <c r="E386" s="152" t="s">
        <v>3322</v>
      </c>
      <c r="F386" s="152">
        <v>437</v>
      </c>
      <c r="G386" s="152">
        <v>437</v>
      </c>
      <c r="H386" s="152" t="s">
        <v>1450</v>
      </c>
      <c r="I386" s="152">
        <v>191030</v>
      </c>
      <c r="J386" s="152">
        <v>365.76</v>
      </c>
      <c r="K386" s="152">
        <v>80627</v>
      </c>
      <c r="L386" s="159" t="s">
        <v>3324</v>
      </c>
      <c r="M386" s="152" t="s">
        <v>883</v>
      </c>
      <c r="N386" s="152" t="s">
        <v>92</v>
      </c>
      <c r="O386" s="159">
        <v>4632</v>
      </c>
      <c r="P386" s="159" t="s">
        <v>3324</v>
      </c>
      <c r="Q386" s="152" t="s">
        <v>883</v>
      </c>
      <c r="R386" s="152" t="s">
        <v>92</v>
      </c>
      <c r="S386" s="159">
        <v>4632</v>
      </c>
      <c r="T386" s="159" t="s">
        <v>856</v>
      </c>
      <c r="U386" s="159" t="s">
        <v>856</v>
      </c>
      <c r="V386" s="152" t="s">
        <v>857</v>
      </c>
      <c r="W386" s="152" t="s">
        <v>858</v>
      </c>
      <c r="X386" s="152" t="s">
        <v>1083</v>
      </c>
      <c r="Y386" s="152">
        <v>28.27</v>
      </c>
      <c r="Z386" s="152">
        <v>1</v>
      </c>
      <c r="AA386" s="152" t="s">
        <v>92</v>
      </c>
      <c r="AB386" s="152">
        <v>273.02</v>
      </c>
      <c r="AC386" s="152">
        <v>2</v>
      </c>
      <c r="AD386" s="152" t="s">
        <v>861</v>
      </c>
      <c r="AE386" s="152">
        <v>273.02</v>
      </c>
      <c r="AF386" s="152">
        <v>0</v>
      </c>
      <c r="AG386" s="152">
        <v>226.77</v>
      </c>
      <c r="AH386" s="152" t="s">
        <v>861</v>
      </c>
      <c r="AI386" s="152" t="s">
        <v>92</v>
      </c>
      <c r="AJ386" s="152" t="s">
        <v>92</v>
      </c>
      <c r="AK386" s="152" t="s">
        <v>872</v>
      </c>
      <c r="AL386" s="159" t="s">
        <v>856</v>
      </c>
      <c r="AP386" s="159" t="s">
        <v>856</v>
      </c>
      <c r="AQ386" s="159" t="s">
        <v>856</v>
      </c>
      <c r="AR386" s="159" t="s">
        <v>863</v>
      </c>
      <c r="AS386" s="159" t="s">
        <v>865</v>
      </c>
      <c r="AT386" s="152" t="str">
        <f t="shared" si="31"/>
        <v>VUNM9-011022</v>
      </c>
      <c r="AU386" s="152" t="str">
        <f t="shared" si="32"/>
        <v>JUAN MANUEL MORALES DE LEON Y CONDUEÑA</v>
      </c>
      <c r="AV386" s="159">
        <v>3495.46</v>
      </c>
      <c r="AW386" s="159">
        <v>911311</v>
      </c>
      <c r="AX386" s="159">
        <v>35</v>
      </c>
      <c r="AY386" s="159">
        <v>911314</v>
      </c>
      <c r="AZ386" s="152" t="s">
        <v>864</v>
      </c>
      <c r="BA386" s="152" t="str">
        <f t="shared" si="30"/>
        <v>L22-858-SP138</v>
      </c>
      <c r="BB386" s="152">
        <v>24</v>
      </c>
      <c r="BC386" s="157">
        <v>44910</v>
      </c>
      <c r="BD386" s="157">
        <v>45275</v>
      </c>
      <c r="BE386" s="158">
        <v>692444.5</v>
      </c>
      <c r="BF386" s="152" t="s">
        <v>3325</v>
      </c>
      <c r="BG386" s="159" t="s">
        <v>875</v>
      </c>
      <c r="BH386" s="152">
        <v>273.02</v>
      </c>
      <c r="BI386" s="152">
        <v>0</v>
      </c>
      <c r="BJ386" s="152">
        <v>0</v>
      </c>
      <c r="BK386" s="152" t="s">
        <v>132</v>
      </c>
      <c r="BL386" s="152">
        <v>273.02</v>
      </c>
      <c r="BM386" s="152">
        <v>911313</v>
      </c>
      <c r="BN386" s="157" t="s">
        <v>1453</v>
      </c>
    </row>
    <row r="387" spans="1:66">
      <c r="A387" s="152" t="s">
        <v>3326</v>
      </c>
      <c r="B387" s="152" t="s">
        <v>3327</v>
      </c>
      <c r="C387" s="152" t="s">
        <v>3328</v>
      </c>
      <c r="D387" s="152" t="s">
        <v>3329</v>
      </c>
      <c r="E387" s="152" t="s">
        <v>3329</v>
      </c>
      <c r="F387" s="152">
        <v>5315</v>
      </c>
      <c r="G387" s="152">
        <v>315</v>
      </c>
      <c r="H387" s="152" t="s">
        <v>900</v>
      </c>
      <c r="I387" s="152">
        <v>202559</v>
      </c>
      <c r="J387" s="152">
        <v>90.5</v>
      </c>
      <c r="K387" s="152">
        <v>89360</v>
      </c>
      <c r="L387" s="159" t="s">
        <v>856</v>
      </c>
      <c r="M387" s="152" t="s">
        <v>92</v>
      </c>
      <c r="N387" s="152" t="s">
        <v>92</v>
      </c>
      <c r="O387" s="159" t="s">
        <v>856</v>
      </c>
      <c r="P387" s="159" t="s">
        <v>856</v>
      </c>
      <c r="Q387" s="152" t="s">
        <v>92</v>
      </c>
      <c r="R387" s="152" t="s">
        <v>92</v>
      </c>
      <c r="S387" s="159" t="s">
        <v>856</v>
      </c>
      <c r="T387" s="159" t="s">
        <v>856</v>
      </c>
      <c r="U387" s="159" t="s">
        <v>856</v>
      </c>
      <c r="V387" s="152" t="s">
        <v>857</v>
      </c>
      <c r="W387" s="152" t="s">
        <v>858</v>
      </c>
      <c r="X387" s="152" t="s">
        <v>1083</v>
      </c>
      <c r="Y387" s="152">
        <v>0</v>
      </c>
      <c r="Z387" s="152">
        <v>1</v>
      </c>
      <c r="AA387" s="152" t="s">
        <v>883</v>
      </c>
      <c r="AB387" s="152">
        <v>94.81</v>
      </c>
      <c r="AC387" s="152">
        <v>1</v>
      </c>
      <c r="AD387" s="152" t="s">
        <v>861</v>
      </c>
      <c r="AE387" s="152">
        <v>94.81</v>
      </c>
      <c r="AF387" s="152">
        <v>0</v>
      </c>
      <c r="AG387" s="152" t="s">
        <v>861</v>
      </c>
      <c r="AH387" s="152" t="s">
        <v>861</v>
      </c>
      <c r="AI387" s="152" t="s">
        <v>92</v>
      </c>
      <c r="AJ387" s="152" t="s">
        <v>92</v>
      </c>
      <c r="AK387" s="152" t="s">
        <v>972</v>
      </c>
      <c r="AL387" s="159" t="s">
        <v>856</v>
      </c>
      <c r="AP387" s="159" t="s">
        <v>856</v>
      </c>
      <c r="AQ387" s="159" t="s">
        <v>856</v>
      </c>
      <c r="AR387" s="159" t="s">
        <v>1953</v>
      </c>
      <c r="AS387" s="159" t="s">
        <v>865</v>
      </c>
      <c r="AT387" s="152" t="str">
        <f t="shared" si="31"/>
        <v>RPNV2-060522</v>
      </c>
      <c r="AU387" s="152" t="str">
        <f t="shared" si="32"/>
        <v>CESAR RONEL VILLAGRAN ULIN</v>
      </c>
      <c r="AV387" s="159">
        <v>955.68</v>
      </c>
      <c r="AW387" s="159">
        <v>804881</v>
      </c>
      <c r="AX387" s="159">
        <v>25.95</v>
      </c>
      <c r="AY387" s="159">
        <v>804883</v>
      </c>
      <c r="AZ387" s="152" t="s">
        <v>864</v>
      </c>
      <c r="BA387" s="152" t="str">
        <f t="shared" si="30"/>
        <v>L22-869-SP149</v>
      </c>
      <c r="BB387" s="152">
        <v>0</v>
      </c>
      <c r="BC387" s="157">
        <v>44728</v>
      </c>
      <c r="BD387" s="157">
        <v>44728</v>
      </c>
      <c r="BE387" s="158">
        <v>189620</v>
      </c>
      <c r="BF387" s="152" t="s">
        <v>3330</v>
      </c>
      <c r="BG387" s="159" t="s">
        <v>894</v>
      </c>
      <c r="BH387" s="152">
        <v>94.81</v>
      </c>
      <c r="BI387" s="152">
        <v>0</v>
      </c>
      <c r="BJ387" s="152">
        <v>0</v>
      </c>
      <c r="BK387" s="152" t="s">
        <v>132</v>
      </c>
      <c r="BL387" s="152">
        <v>94.81</v>
      </c>
      <c r="BM387" s="152">
        <v>804882</v>
      </c>
      <c r="BN387" s="157" t="s">
        <v>1453</v>
      </c>
    </row>
    <row r="388" spans="1:66">
      <c r="A388" s="152" t="s">
        <v>3331</v>
      </c>
      <c r="B388" s="152" t="s">
        <v>3332</v>
      </c>
      <c r="C388" s="152" t="s">
        <v>3333</v>
      </c>
      <c r="D388" s="152" t="s">
        <v>3334</v>
      </c>
      <c r="E388" s="152" t="s">
        <v>3334</v>
      </c>
      <c r="F388" s="152">
        <v>5804</v>
      </c>
      <c r="G388" s="152">
        <v>304</v>
      </c>
      <c r="H388" s="152" t="s">
        <v>3335</v>
      </c>
      <c r="I388" s="152">
        <v>202095</v>
      </c>
      <c r="J388" s="152">
        <v>184.8</v>
      </c>
      <c r="K388" s="152">
        <v>88995</v>
      </c>
      <c r="L388" s="159" t="s">
        <v>2416</v>
      </c>
      <c r="M388" s="152" t="s">
        <v>92</v>
      </c>
      <c r="N388" s="152" t="s">
        <v>883</v>
      </c>
      <c r="O388" s="159">
        <v>5906</v>
      </c>
      <c r="P388" s="159" t="s">
        <v>2416</v>
      </c>
      <c r="Q388" s="152" t="s">
        <v>92</v>
      </c>
      <c r="R388" s="152" t="s">
        <v>883</v>
      </c>
      <c r="S388" s="159">
        <v>5906</v>
      </c>
      <c r="T388" s="159" t="s">
        <v>856</v>
      </c>
      <c r="U388" s="159" t="s">
        <v>856</v>
      </c>
      <c r="V388" s="152" t="s">
        <v>857</v>
      </c>
      <c r="W388" s="152" t="s">
        <v>858</v>
      </c>
      <c r="X388" s="152" t="s">
        <v>1083</v>
      </c>
      <c r="Y388" s="152">
        <v>0</v>
      </c>
      <c r="Z388" s="152">
        <v>1</v>
      </c>
      <c r="AA388" s="152" t="s">
        <v>92</v>
      </c>
      <c r="AB388" s="152">
        <v>114.13</v>
      </c>
      <c r="AC388" s="152">
        <v>2</v>
      </c>
      <c r="AD388" s="152" t="s">
        <v>861</v>
      </c>
      <c r="AE388" s="152">
        <v>114.13</v>
      </c>
      <c r="AF388" s="152">
        <v>0</v>
      </c>
      <c r="AG388" s="152" t="s">
        <v>861</v>
      </c>
      <c r="AH388" s="152" t="s">
        <v>861</v>
      </c>
      <c r="AI388" s="152" t="s">
        <v>92</v>
      </c>
      <c r="AJ388" s="152" t="s">
        <v>92</v>
      </c>
      <c r="AK388" s="152" t="s">
        <v>862</v>
      </c>
      <c r="AL388" s="159" t="s">
        <v>856</v>
      </c>
      <c r="AP388" s="159" t="s">
        <v>856</v>
      </c>
      <c r="AQ388" s="159" t="s">
        <v>856</v>
      </c>
      <c r="AR388" s="159" t="s">
        <v>3142</v>
      </c>
      <c r="AS388" s="159" t="s">
        <v>865</v>
      </c>
      <c r="AT388" s="152" t="str">
        <f t="shared" si="31"/>
        <v>VUNG10-040822</v>
      </c>
      <c r="AU388" s="152" t="str">
        <f t="shared" si="32"/>
        <v>DISMAR ADDERLY GUERRA PEREZ</v>
      </c>
      <c r="AV388" s="159">
        <v>1438.04</v>
      </c>
      <c r="AW388" s="159">
        <v>815909</v>
      </c>
      <c r="AX388" s="159" t="s">
        <v>856</v>
      </c>
      <c r="AY388" s="159" t="s">
        <v>856</v>
      </c>
      <c r="AZ388" s="152" t="s">
        <v>864</v>
      </c>
      <c r="BA388" s="152" t="str">
        <f t="shared" si="30"/>
        <v>L22-804-LG135</v>
      </c>
      <c r="BB388" s="152">
        <v>24</v>
      </c>
      <c r="BC388" s="157">
        <v>44887</v>
      </c>
      <c r="BD388" s="157">
        <v>45252</v>
      </c>
      <c r="BE388" s="158">
        <v>285325</v>
      </c>
      <c r="BF388" s="152" t="s">
        <v>3336</v>
      </c>
      <c r="BG388" s="159" t="s">
        <v>3337</v>
      </c>
      <c r="BH388" s="152">
        <v>114.13</v>
      </c>
      <c r="BI388" s="152">
        <v>0</v>
      </c>
      <c r="BJ388" s="152">
        <v>0</v>
      </c>
      <c r="BK388" s="152" t="s">
        <v>132</v>
      </c>
      <c r="BL388" s="152">
        <v>114.13</v>
      </c>
      <c r="BM388" s="152">
        <v>815911</v>
      </c>
      <c r="BN388" s="157" t="s">
        <v>1453</v>
      </c>
    </row>
    <row r="389" spans="1:66">
      <c r="A389" s="152" t="s">
        <v>3338</v>
      </c>
      <c r="B389" s="152" t="s">
        <v>3339</v>
      </c>
      <c r="C389" s="152" t="s">
        <v>3340</v>
      </c>
      <c r="D389" s="152" t="s">
        <v>3341</v>
      </c>
      <c r="E389" s="152" t="s">
        <v>3341</v>
      </c>
      <c r="F389" s="152">
        <v>1999</v>
      </c>
      <c r="G389" s="152">
        <v>499</v>
      </c>
      <c r="H389" s="152" t="s">
        <v>3342</v>
      </c>
      <c r="I389" s="152">
        <v>203155</v>
      </c>
      <c r="J389" s="152">
        <v>122.04</v>
      </c>
      <c r="K389" s="152">
        <v>89842</v>
      </c>
      <c r="L389" s="159" t="s">
        <v>856</v>
      </c>
      <c r="M389" s="152" t="s">
        <v>92</v>
      </c>
      <c r="N389" s="152" t="s">
        <v>92</v>
      </c>
      <c r="O389" s="159" t="s">
        <v>856</v>
      </c>
      <c r="P389" s="159" t="s">
        <v>856</v>
      </c>
      <c r="Q389" s="152" t="s">
        <v>92</v>
      </c>
      <c r="R389" s="152" t="s">
        <v>92</v>
      </c>
      <c r="S389" s="159" t="s">
        <v>856</v>
      </c>
      <c r="T389" s="159" t="s">
        <v>856</v>
      </c>
      <c r="U389" s="159" t="s">
        <v>856</v>
      </c>
      <c r="V389" s="152" t="s">
        <v>857</v>
      </c>
      <c r="W389" s="152" t="s">
        <v>858</v>
      </c>
      <c r="X389" s="152" t="s">
        <v>1083</v>
      </c>
      <c r="Y389" s="152">
        <v>0</v>
      </c>
      <c r="Z389" s="152">
        <v>1</v>
      </c>
      <c r="AA389" s="152" t="s">
        <v>92</v>
      </c>
      <c r="AB389" s="152">
        <v>122.04</v>
      </c>
      <c r="AC389" s="152">
        <v>1</v>
      </c>
      <c r="AD389" s="152" t="s">
        <v>861</v>
      </c>
      <c r="AE389" s="152">
        <v>122.04</v>
      </c>
      <c r="AF389" s="152">
        <v>0</v>
      </c>
      <c r="AG389" s="152" t="s">
        <v>861</v>
      </c>
      <c r="AH389" s="152" t="s">
        <v>861</v>
      </c>
      <c r="AI389" s="152" t="s">
        <v>92</v>
      </c>
      <c r="AJ389" s="152" t="s">
        <v>92</v>
      </c>
      <c r="AK389" s="152" t="s">
        <v>862</v>
      </c>
      <c r="AL389" s="159" t="s">
        <v>856</v>
      </c>
      <c r="AP389" s="159" t="s">
        <v>856</v>
      </c>
      <c r="AQ389" s="159" t="s">
        <v>856</v>
      </c>
      <c r="AR389" s="159" t="s">
        <v>863</v>
      </c>
      <c r="AS389" s="159" t="s">
        <v>865</v>
      </c>
      <c r="AT389" s="152" t="str">
        <f t="shared" si="31"/>
        <v>RPNP6-360922</v>
      </c>
      <c r="AU389" s="152" t="str">
        <f t="shared" si="32"/>
        <v>ROSARIO GARCIA MORALES DE PEREZ</v>
      </c>
      <c r="AV389" s="159">
        <v>1230.1600000000001</v>
      </c>
      <c r="AW389" s="159">
        <v>816155</v>
      </c>
      <c r="AX389" s="159" t="s">
        <v>856</v>
      </c>
      <c r="AY389" s="159" t="s">
        <v>856</v>
      </c>
      <c r="AZ389" s="152" t="s">
        <v>864</v>
      </c>
      <c r="BA389" s="152" t="str">
        <f t="shared" si="30"/>
        <v>L22-765-JC037</v>
      </c>
      <c r="BB389" s="152">
        <v>0</v>
      </c>
      <c r="BC389" s="157">
        <v>44875</v>
      </c>
      <c r="BD389" s="157">
        <v>44875</v>
      </c>
      <c r="BE389" s="158">
        <v>244080</v>
      </c>
      <c r="BF389" s="152" t="s">
        <v>3343</v>
      </c>
      <c r="BG389" s="159" t="s">
        <v>894</v>
      </c>
      <c r="BH389" s="152">
        <v>122.04</v>
      </c>
      <c r="BI389" s="152">
        <v>0</v>
      </c>
      <c r="BJ389" s="152">
        <v>0</v>
      </c>
      <c r="BK389" s="152" t="s">
        <v>132</v>
      </c>
      <c r="BL389" s="152">
        <v>122.04</v>
      </c>
      <c r="BM389" s="152">
        <v>816156</v>
      </c>
      <c r="BN389" s="157" t="s">
        <v>1453</v>
      </c>
    </row>
    <row r="390" spans="1:66">
      <c r="A390" s="152" t="s">
        <v>3344</v>
      </c>
      <c r="B390" s="152" t="s">
        <v>3345</v>
      </c>
      <c r="C390" s="152" t="s">
        <v>3346</v>
      </c>
      <c r="D390" s="152" t="s">
        <v>3347</v>
      </c>
      <c r="E390" s="152" t="s">
        <v>3347</v>
      </c>
      <c r="F390" s="152">
        <v>6669</v>
      </c>
      <c r="G390" s="152">
        <v>169</v>
      </c>
      <c r="H390" s="152" t="s">
        <v>2802</v>
      </c>
      <c r="I390" s="152">
        <v>203229</v>
      </c>
      <c r="J390" s="152">
        <v>94.5</v>
      </c>
      <c r="K390" s="152">
        <v>89912</v>
      </c>
      <c r="L390" s="159" t="s">
        <v>856</v>
      </c>
      <c r="M390" s="152" t="s">
        <v>92</v>
      </c>
      <c r="N390" s="152" t="s">
        <v>92</v>
      </c>
      <c r="O390" s="159" t="s">
        <v>856</v>
      </c>
      <c r="P390" s="159" t="s">
        <v>856</v>
      </c>
      <c r="Q390" s="152" t="s">
        <v>92</v>
      </c>
      <c r="R390" s="152" t="s">
        <v>92</v>
      </c>
      <c r="S390" s="159" t="s">
        <v>856</v>
      </c>
      <c r="T390" s="159" t="s">
        <v>856</v>
      </c>
      <c r="U390" s="159" t="s">
        <v>856</v>
      </c>
      <c r="V390" s="152" t="s">
        <v>857</v>
      </c>
      <c r="W390" s="152" t="s">
        <v>858</v>
      </c>
      <c r="X390" s="152" t="s">
        <v>1083</v>
      </c>
      <c r="Y390" s="152">
        <v>0</v>
      </c>
      <c r="Z390" s="152">
        <v>1</v>
      </c>
      <c r="AA390" s="152" t="s">
        <v>883</v>
      </c>
      <c r="AB390" s="152">
        <v>98.55</v>
      </c>
      <c r="AC390" s="152">
        <v>1</v>
      </c>
      <c r="AD390" s="152" t="s">
        <v>861</v>
      </c>
      <c r="AE390" s="152">
        <v>98.55</v>
      </c>
      <c r="AF390" s="152">
        <v>0</v>
      </c>
      <c r="AG390" s="152" t="s">
        <v>861</v>
      </c>
      <c r="AH390" s="152" t="s">
        <v>861</v>
      </c>
      <c r="AI390" s="152" t="s">
        <v>92</v>
      </c>
      <c r="AJ390" s="152" t="s">
        <v>92</v>
      </c>
      <c r="AK390" s="152" t="s">
        <v>862</v>
      </c>
      <c r="AL390" s="159" t="s">
        <v>856</v>
      </c>
      <c r="AP390" s="159" t="s">
        <v>856</v>
      </c>
      <c r="AQ390" s="159" t="s">
        <v>856</v>
      </c>
      <c r="AR390" s="159" t="s">
        <v>1953</v>
      </c>
      <c r="AS390" s="159" t="s">
        <v>865</v>
      </c>
      <c r="AT390" s="152" t="str">
        <f t="shared" si="31"/>
        <v>RPNT8-470822</v>
      </c>
      <c r="AU390" s="152" t="str">
        <f t="shared" si="32"/>
        <v>MARIA TOL MACARIO DE TOJ</v>
      </c>
      <c r="AV390" s="159">
        <v>993.38</v>
      </c>
      <c r="AW390" s="159">
        <v>815769</v>
      </c>
      <c r="AX390" s="159">
        <v>35</v>
      </c>
      <c r="AY390" s="159">
        <v>815772</v>
      </c>
      <c r="AZ390" s="152" t="s">
        <v>864</v>
      </c>
      <c r="BA390" s="152" t="str">
        <f t="shared" si="30"/>
        <v>L22-786-SP176</v>
      </c>
      <c r="BB390" s="152">
        <v>0</v>
      </c>
      <c r="BC390" s="157">
        <v>44883</v>
      </c>
      <c r="BD390" s="157">
        <v>44883</v>
      </c>
      <c r="BE390" s="158">
        <v>197100</v>
      </c>
      <c r="BF390" s="152" t="s">
        <v>3348</v>
      </c>
      <c r="BG390" s="159" t="s">
        <v>894</v>
      </c>
      <c r="BH390" s="152">
        <v>98.55</v>
      </c>
      <c r="BI390" s="152">
        <v>0</v>
      </c>
      <c r="BJ390" s="152">
        <v>0</v>
      </c>
      <c r="BK390" s="152" t="s">
        <v>132</v>
      </c>
      <c r="BL390" s="152">
        <v>98.55</v>
      </c>
      <c r="BM390" s="152">
        <v>815771</v>
      </c>
      <c r="BN390" s="157" t="s">
        <v>1453</v>
      </c>
    </row>
    <row r="391" spans="1:66">
      <c r="A391" s="152" t="s">
        <v>3349</v>
      </c>
      <c r="B391" s="152" t="s">
        <v>3350</v>
      </c>
      <c r="C391" s="152" t="s">
        <v>3351</v>
      </c>
      <c r="D391" s="152" t="s">
        <v>3352</v>
      </c>
      <c r="E391" s="152" t="s">
        <v>3352</v>
      </c>
      <c r="F391" s="152">
        <v>334110</v>
      </c>
      <c r="G391" s="152">
        <v>20</v>
      </c>
      <c r="H391" s="152">
        <v>831</v>
      </c>
      <c r="I391" s="152">
        <v>203198</v>
      </c>
      <c r="J391" s="152">
        <v>120</v>
      </c>
      <c r="K391" s="152">
        <v>89882</v>
      </c>
      <c r="L391" s="159" t="s">
        <v>856</v>
      </c>
      <c r="M391" s="152" t="s">
        <v>92</v>
      </c>
      <c r="N391" s="152" t="s">
        <v>92</v>
      </c>
      <c r="O391" s="159" t="s">
        <v>856</v>
      </c>
      <c r="P391" s="159" t="s">
        <v>856</v>
      </c>
      <c r="Q391" s="152" t="s">
        <v>92</v>
      </c>
      <c r="R391" s="152" t="s">
        <v>92</v>
      </c>
      <c r="S391" s="159" t="s">
        <v>856</v>
      </c>
      <c r="T391" s="159" t="s">
        <v>856</v>
      </c>
      <c r="U391" s="159" t="s">
        <v>856</v>
      </c>
      <c r="V391" s="152" t="s">
        <v>857</v>
      </c>
      <c r="W391" s="152" t="s">
        <v>858</v>
      </c>
      <c r="X391" s="152" t="s">
        <v>1083</v>
      </c>
      <c r="Y391" s="152">
        <v>14.51</v>
      </c>
      <c r="Z391" s="152">
        <v>1</v>
      </c>
      <c r="AA391" s="152" t="s">
        <v>883</v>
      </c>
      <c r="AB391" s="152">
        <v>80.17</v>
      </c>
      <c r="AC391" s="152">
        <v>1</v>
      </c>
      <c r="AD391" s="152" t="s">
        <v>861</v>
      </c>
      <c r="AE391" s="152">
        <v>80.17</v>
      </c>
      <c r="AF391" s="152">
        <v>0</v>
      </c>
      <c r="AG391" s="152" t="s">
        <v>861</v>
      </c>
      <c r="AH391" s="152" t="s">
        <v>861</v>
      </c>
      <c r="AI391" s="152" t="s">
        <v>92</v>
      </c>
      <c r="AJ391" s="152" t="s">
        <v>92</v>
      </c>
      <c r="AK391" s="152" t="s">
        <v>2565</v>
      </c>
      <c r="AL391" s="159" t="s">
        <v>856</v>
      </c>
      <c r="AP391" s="159" t="s">
        <v>856</v>
      </c>
      <c r="AQ391" s="159" t="s">
        <v>856</v>
      </c>
      <c r="AR391" s="159" t="s">
        <v>1953</v>
      </c>
      <c r="AS391" s="159" t="s">
        <v>865</v>
      </c>
      <c r="AT391" s="152" t="str">
        <f t="shared" si="31"/>
        <v>RPNC5-720922</v>
      </c>
      <c r="AU391" s="152" t="str">
        <f t="shared" si="32"/>
        <v>FREDY GONZALO CHUVAC LOPEZ</v>
      </c>
      <c r="AV391" s="159">
        <v>836.55</v>
      </c>
      <c r="AW391" s="159">
        <v>912499</v>
      </c>
      <c r="AX391" s="159">
        <v>30</v>
      </c>
      <c r="AY391" s="159">
        <v>912501</v>
      </c>
      <c r="AZ391" s="152" t="s">
        <v>864</v>
      </c>
      <c r="BA391" s="152" t="str">
        <f t="shared" si="30"/>
        <v>L22-866-SP175</v>
      </c>
      <c r="BB391" s="152">
        <v>0</v>
      </c>
      <c r="BC391" s="157">
        <v>44916</v>
      </c>
      <c r="BD391" s="157">
        <v>44916</v>
      </c>
      <c r="BE391" s="158">
        <v>165418.5</v>
      </c>
      <c r="BF391" s="152" t="s">
        <v>3353</v>
      </c>
      <c r="BG391" s="159" t="s">
        <v>894</v>
      </c>
      <c r="BH391" s="152">
        <v>80.17</v>
      </c>
      <c r="BI391" s="152">
        <v>0</v>
      </c>
      <c r="BJ391" s="152">
        <v>0</v>
      </c>
      <c r="BK391" s="152" t="s">
        <v>132</v>
      </c>
      <c r="BL391" s="152">
        <v>80.17</v>
      </c>
      <c r="BM391" s="152">
        <v>912500</v>
      </c>
      <c r="BN391" s="157" t="s">
        <v>1453</v>
      </c>
    </row>
    <row r="392" spans="1:66">
      <c r="A392" s="152" t="s">
        <v>3354</v>
      </c>
      <c r="B392" s="152" t="s">
        <v>3355</v>
      </c>
      <c r="C392" s="152" t="s">
        <v>3356</v>
      </c>
      <c r="D392" s="152" t="s">
        <v>3357</v>
      </c>
      <c r="E392" s="152" t="s">
        <v>3357</v>
      </c>
      <c r="F392" s="152">
        <v>6173</v>
      </c>
      <c r="G392" s="152">
        <v>173</v>
      </c>
      <c r="H392" s="152" t="s">
        <v>3358</v>
      </c>
      <c r="I392" s="152">
        <v>202087</v>
      </c>
      <c r="J392" s="152">
        <v>243.66</v>
      </c>
      <c r="K392" s="152">
        <v>88987</v>
      </c>
      <c r="L392" s="159" t="s">
        <v>856</v>
      </c>
      <c r="M392" s="152" t="s">
        <v>92</v>
      </c>
      <c r="N392" s="152" t="s">
        <v>92</v>
      </c>
      <c r="O392" s="159" t="s">
        <v>856</v>
      </c>
      <c r="P392" s="159" t="s">
        <v>856</v>
      </c>
      <c r="Q392" s="152" t="s">
        <v>92</v>
      </c>
      <c r="R392" s="152" t="s">
        <v>92</v>
      </c>
      <c r="S392" s="159" t="s">
        <v>856</v>
      </c>
      <c r="T392" s="159" t="s">
        <v>856</v>
      </c>
      <c r="U392" s="159" t="s">
        <v>856</v>
      </c>
      <c r="V392" s="152" t="s">
        <v>857</v>
      </c>
      <c r="W392" s="152" t="s">
        <v>858</v>
      </c>
      <c r="X392" s="152" t="s">
        <v>1083</v>
      </c>
      <c r="Y392" s="152">
        <v>3.72</v>
      </c>
      <c r="Z392" s="152">
        <v>1</v>
      </c>
      <c r="AA392" s="152" t="s">
        <v>92</v>
      </c>
      <c r="AB392" s="152">
        <v>119.08</v>
      </c>
      <c r="AC392" s="152">
        <v>1</v>
      </c>
      <c r="AD392" s="152" t="s">
        <v>861</v>
      </c>
      <c r="AE392" s="152">
        <v>119.08</v>
      </c>
      <c r="AF392" s="152">
        <v>0</v>
      </c>
      <c r="AG392" s="152">
        <v>136.44999999999999</v>
      </c>
      <c r="AH392" s="152" t="s">
        <v>861</v>
      </c>
      <c r="AI392" s="152" t="s">
        <v>92</v>
      </c>
      <c r="AJ392" s="152" t="s">
        <v>92</v>
      </c>
      <c r="AK392" s="152" t="s">
        <v>862</v>
      </c>
      <c r="AL392" s="159" t="s">
        <v>856</v>
      </c>
      <c r="AP392" s="159" t="s">
        <v>856</v>
      </c>
      <c r="AQ392" s="159" t="s">
        <v>856</v>
      </c>
      <c r="AR392" s="159" t="s">
        <v>1953</v>
      </c>
      <c r="AS392" s="159" t="s">
        <v>865</v>
      </c>
      <c r="AT392" s="152" t="str">
        <f t="shared" si="31"/>
        <v>RPNM6-330822</v>
      </c>
      <c r="AU392" s="152" t="str">
        <f t="shared" si="32"/>
        <v>AXEL RUBEN MAYORGA RUIZ</v>
      </c>
      <c r="AV392" s="159">
        <v>1207.6199999999999</v>
      </c>
      <c r="AW392" s="159">
        <v>816218</v>
      </c>
      <c r="AX392" s="159">
        <v>54.05</v>
      </c>
      <c r="AY392" s="159">
        <v>816220</v>
      </c>
      <c r="AZ392" s="152" t="s">
        <v>864</v>
      </c>
      <c r="BA392" s="152" t="str">
        <f t="shared" si="30"/>
        <v>L22-766-SP103</v>
      </c>
      <c r="BB392" s="152">
        <v>0</v>
      </c>
      <c r="BC392" s="157">
        <v>44876</v>
      </c>
      <c r="BD392" s="157">
        <v>44876</v>
      </c>
      <c r="BE392" s="158">
        <v>239462</v>
      </c>
      <c r="BF392" s="152" t="s">
        <v>3359</v>
      </c>
      <c r="BG392" s="159" t="s">
        <v>894</v>
      </c>
      <c r="BH392" s="152">
        <v>119.08</v>
      </c>
      <c r="BI392" s="152">
        <v>0</v>
      </c>
      <c r="BJ392" s="152">
        <v>0</v>
      </c>
      <c r="BK392" s="152" t="s">
        <v>132</v>
      </c>
      <c r="BL392" s="152">
        <v>119.08</v>
      </c>
      <c r="BM392" s="152">
        <v>816219</v>
      </c>
      <c r="BN392" s="157" t="s">
        <v>1453</v>
      </c>
    </row>
    <row r="393" spans="1:66">
      <c r="A393" s="152" t="s">
        <v>3360</v>
      </c>
      <c r="B393" s="152" t="s">
        <v>3361</v>
      </c>
      <c r="C393" s="152" t="s">
        <v>3362</v>
      </c>
      <c r="D393" s="152" t="s">
        <v>3363</v>
      </c>
      <c r="E393" s="152" t="s">
        <v>3363</v>
      </c>
      <c r="F393" s="152">
        <v>4322</v>
      </c>
      <c r="G393" s="152">
        <v>322</v>
      </c>
      <c r="H393" s="152" t="s">
        <v>3364</v>
      </c>
      <c r="I393" s="152">
        <v>202985</v>
      </c>
      <c r="J393" s="152">
        <v>36.72</v>
      </c>
      <c r="K393" s="152">
        <v>89695</v>
      </c>
      <c r="L393" s="159" t="s">
        <v>856</v>
      </c>
      <c r="M393" s="152" t="s">
        <v>92</v>
      </c>
      <c r="N393" s="152" t="s">
        <v>92</v>
      </c>
      <c r="O393" s="159" t="s">
        <v>856</v>
      </c>
      <c r="P393" s="159" t="s">
        <v>856</v>
      </c>
      <c r="Q393" s="152" t="s">
        <v>92</v>
      </c>
      <c r="R393" s="152" t="s">
        <v>92</v>
      </c>
      <c r="S393" s="159" t="s">
        <v>856</v>
      </c>
      <c r="T393" s="159" t="s">
        <v>856</v>
      </c>
      <c r="U393" s="159" t="s">
        <v>856</v>
      </c>
      <c r="V393" s="152" t="s">
        <v>857</v>
      </c>
      <c r="W393" s="152" t="s">
        <v>858</v>
      </c>
      <c r="X393" s="152" t="s">
        <v>1083</v>
      </c>
      <c r="Y393" s="152">
        <v>0</v>
      </c>
      <c r="Z393" s="152">
        <v>1</v>
      </c>
      <c r="AA393" s="152" t="s">
        <v>92</v>
      </c>
      <c r="AB393" s="152">
        <v>90.02</v>
      </c>
      <c r="AC393" s="152">
        <v>3</v>
      </c>
      <c r="AD393" s="152" t="s">
        <v>861</v>
      </c>
      <c r="AE393" s="152">
        <v>90.02</v>
      </c>
      <c r="AF393" s="152">
        <v>0</v>
      </c>
      <c r="AG393" s="152" t="s">
        <v>861</v>
      </c>
      <c r="AH393" s="152" t="s">
        <v>861</v>
      </c>
      <c r="AI393" s="152" t="s">
        <v>92</v>
      </c>
      <c r="AJ393" s="152" t="s">
        <v>92</v>
      </c>
      <c r="AK393" s="152" t="s">
        <v>862</v>
      </c>
      <c r="AL393" s="159" t="s">
        <v>856</v>
      </c>
      <c r="AP393" s="159" t="s">
        <v>856</v>
      </c>
      <c r="AQ393" s="159" t="s">
        <v>856</v>
      </c>
      <c r="AR393" s="159" t="s">
        <v>1953</v>
      </c>
      <c r="AS393" s="159" t="s">
        <v>865</v>
      </c>
      <c r="AT393" s="152" t="str">
        <f t="shared" si="31"/>
        <v>RPNL6-110522</v>
      </c>
      <c r="AU393" s="152" t="str">
        <f t="shared" si="32"/>
        <v>JAIME ENRIQUE LOPEZ ALVARADO</v>
      </c>
      <c r="AV393" s="159">
        <v>1361.1</v>
      </c>
      <c r="AW393" s="159">
        <v>803623</v>
      </c>
      <c r="AX393" s="159" t="s">
        <v>856</v>
      </c>
      <c r="AY393" s="159" t="s">
        <v>856</v>
      </c>
      <c r="AZ393" s="152" t="s">
        <v>864</v>
      </c>
      <c r="BA393" s="152" t="str">
        <f t="shared" si="30"/>
        <v>L22-440-SP170</v>
      </c>
      <c r="BB393" s="152">
        <v>0</v>
      </c>
      <c r="BC393" s="157">
        <v>44718</v>
      </c>
      <c r="BD393" s="157">
        <v>44718</v>
      </c>
      <c r="BE393" s="158">
        <v>270060</v>
      </c>
      <c r="BF393" s="152" t="s">
        <v>3365</v>
      </c>
      <c r="BG393" s="159" t="s">
        <v>894</v>
      </c>
      <c r="BH393" s="152">
        <v>90.02</v>
      </c>
      <c r="BI393" s="152">
        <v>0</v>
      </c>
      <c r="BJ393" s="152">
        <v>0</v>
      </c>
      <c r="BK393" s="152" t="s">
        <v>132</v>
      </c>
      <c r="BL393" s="152">
        <v>90.02</v>
      </c>
      <c r="BM393" s="152">
        <v>803624</v>
      </c>
      <c r="BN393" s="157" t="s">
        <v>1453</v>
      </c>
    </row>
    <row r="394" spans="1:66">
      <c r="A394" s="152" t="s">
        <v>3366</v>
      </c>
      <c r="B394" s="152" t="s">
        <v>3367</v>
      </c>
      <c r="C394" s="152" t="s">
        <v>3368</v>
      </c>
      <c r="D394" s="152" t="s">
        <v>3369</v>
      </c>
      <c r="E394" s="152" t="s">
        <v>3370</v>
      </c>
      <c r="F394" s="152">
        <v>1741</v>
      </c>
      <c r="G394" s="152">
        <v>241</v>
      </c>
      <c r="H394" s="152" t="s">
        <v>3371</v>
      </c>
      <c r="I394" s="152">
        <v>198714</v>
      </c>
      <c r="J394" s="152">
        <v>50</v>
      </c>
      <c r="K394" s="152">
        <v>86272</v>
      </c>
      <c r="L394" s="159" t="s">
        <v>1401</v>
      </c>
      <c r="M394" s="152" t="s">
        <v>92</v>
      </c>
      <c r="N394" s="152" t="s">
        <v>883</v>
      </c>
      <c r="O394" s="159">
        <v>4787</v>
      </c>
      <c r="P394" s="159" t="s">
        <v>1401</v>
      </c>
      <c r="Q394" s="152" t="s">
        <v>92</v>
      </c>
      <c r="R394" s="152" t="s">
        <v>883</v>
      </c>
      <c r="S394" s="159">
        <v>4787</v>
      </c>
      <c r="T394" s="159"/>
      <c r="U394" s="159" t="s">
        <v>856</v>
      </c>
      <c r="V394" s="152" t="s">
        <v>1435</v>
      </c>
      <c r="W394" s="152" t="s">
        <v>858</v>
      </c>
      <c r="X394" s="152" t="s">
        <v>1083</v>
      </c>
      <c r="Y394" s="152">
        <v>22.4</v>
      </c>
      <c r="Z394" s="152">
        <v>1</v>
      </c>
      <c r="AA394" s="152" t="s">
        <v>883</v>
      </c>
      <c r="AB394" s="152">
        <v>122.25</v>
      </c>
      <c r="AC394" s="152">
        <v>3</v>
      </c>
      <c r="AD394" s="152" t="s">
        <v>861</v>
      </c>
      <c r="AE394" s="152">
        <v>0</v>
      </c>
      <c r="AF394" s="152">
        <v>122.25</v>
      </c>
      <c r="AG394" s="152" t="s">
        <v>861</v>
      </c>
      <c r="AH394" s="152" t="s">
        <v>861</v>
      </c>
      <c r="AI394" s="152" t="s">
        <v>92</v>
      </c>
      <c r="AJ394" s="152" t="s">
        <v>92</v>
      </c>
      <c r="AK394" s="152" t="s">
        <v>942</v>
      </c>
      <c r="AL394" s="159" t="s">
        <v>856</v>
      </c>
      <c r="AP394" s="159" t="s">
        <v>856</v>
      </c>
      <c r="AQ394" s="159" t="s">
        <v>856</v>
      </c>
      <c r="AR394" s="159" t="s">
        <v>863</v>
      </c>
      <c r="AS394" s="159" t="s">
        <v>865</v>
      </c>
      <c r="AT394" s="152" t="str">
        <f t="shared" si="31"/>
        <v>VUNR3-010720</v>
      </c>
      <c r="AU394" s="152" t="str">
        <f t="shared" si="32"/>
        <v>JUAN RAMON MACARIO</v>
      </c>
      <c r="AV394" s="159">
        <v>2611.15</v>
      </c>
      <c r="AW394" s="159">
        <v>852865</v>
      </c>
      <c r="AX394" s="159">
        <v>25</v>
      </c>
      <c r="AY394" s="159">
        <v>852867</v>
      </c>
      <c r="AZ394" s="152" t="s">
        <v>864</v>
      </c>
      <c r="BA394" s="152" t="str">
        <f t="shared" si="30"/>
        <v>L20-270-EC074</v>
      </c>
      <c r="BB394" s="152">
        <v>24</v>
      </c>
      <c r="BC394" s="157">
        <v>37496</v>
      </c>
      <c r="BD394" s="157">
        <v>44436</v>
      </c>
      <c r="BE394" s="158">
        <v>313465</v>
      </c>
      <c r="BG394" s="159" t="s">
        <v>2033</v>
      </c>
      <c r="BK394" s="152" t="s">
        <v>132</v>
      </c>
      <c r="BN394" s="157" t="s">
        <v>1453</v>
      </c>
    </row>
    <row r="395" spans="1:66">
      <c r="A395" s="152" t="s">
        <v>3372</v>
      </c>
      <c r="B395" s="152" t="s">
        <v>3373</v>
      </c>
      <c r="C395" s="152" t="s">
        <v>3374</v>
      </c>
      <c r="D395" s="152" t="s">
        <v>3375</v>
      </c>
      <c r="E395" s="152" t="s">
        <v>3375</v>
      </c>
      <c r="F395" s="152">
        <v>1856</v>
      </c>
      <c r="G395" s="152">
        <v>356</v>
      </c>
      <c r="H395" s="152" t="s">
        <v>3342</v>
      </c>
      <c r="I395" s="152">
        <v>202594</v>
      </c>
      <c r="J395" s="152">
        <v>1006.09</v>
      </c>
      <c r="K395" s="152">
        <v>89389</v>
      </c>
      <c r="L395" s="159" t="s">
        <v>3376</v>
      </c>
      <c r="M395" s="152" t="s">
        <v>92</v>
      </c>
      <c r="N395" s="152" t="s">
        <v>883</v>
      </c>
      <c r="O395" s="159">
        <v>6541</v>
      </c>
      <c r="P395" s="159" t="s">
        <v>856</v>
      </c>
      <c r="Q395" s="152" t="s">
        <v>92</v>
      </c>
      <c r="R395" s="152" t="s">
        <v>92</v>
      </c>
      <c r="S395" s="159" t="s">
        <v>856</v>
      </c>
      <c r="T395" s="159" t="s">
        <v>856</v>
      </c>
      <c r="U395" s="159" t="s">
        <v>856</v>
      </c>
      <c r="V395" s="152" t="s">
        <v>2380</v>
      </c>
      <c r="W395" s="152" t="s">
        <v>858</v>
      </c>
      <c r="X395" s="152" t="s">
        <v>1083</v>
      </c>
      <c r="Y395" s="152">
        <v>210.97</v>
      </c>
      <c r="Z395" s="152">
        <v>2</v>
      </c>
      <c r="AA395" s="152" t="s">
        <v>92</v>
      </c>
      <c r="AB395" s="152">
        <v>970</v>
      </c>
      <c r="AC395" s="152">
        <v>2</v>
      </c>
      <c r="AD395" s="152" t="s">
        <v>861</v>
      </c>
      <c r="AE395" s="152">
        <v>0</v>
      </c>
      <c r="AF395" s="152">
        <v>970</v>
      </c>
      <c r="AG395" s="152">
        <v>431.69</v>
      </c>
      <c r="AH395" s="152">
        <v>44.01</v>
      </c>
      <c r="AI395" s="152" t="s">
        <v>883</v>
      </c>
      <c r="AJ395" s="152" t="s">
        <v>92</v>
      </c>
      <c r="AK395" s="152" t="s">
        <v>884</v>
      </c>
      <c r="AL395" s="159" t="s">
        <v>856</v>
      </c>
      <c r="AP395" s="159" t="s">
        <v>856</v>
      </c>
      <c r="AQ395" s="159" t="s">
        <v>856</v>
      </c>
      <c r="AR395" s="159" t="s">
        <v>1953</v>
      </c>
      <c r="AS395" s="159" t="s">
        <v>865</v>
      </c>
      <c r="AT395" s="152" t="str">
        <f t="shared" si="31"/>
        <v>RPNM8-240523</v>
      </c>
      <c r="AU395" s="152" t="str">
        <f t="shared" si="32"/>
        <v>RENATO ALBERTO MATUL PAXTOR</v>
      </c>
      <c r="AV395" s="159">
        <v>20783.5</v>
      </c>
      <c r="AW395" s="159">
        <v>12563097</v>
      </c>
      <c r="AX395" s="159" t="s">
        <v>856</v>
      </c>
      <c r="AY395" s="159" t="s">
        <v>856</v>
      </c>
      <c r="AZ395" s="152" t="s">
        <v>864</v>
      </c>
      <c r="BA395" s="152" t="str">
        <f t="shared" si="30"/>
        <v>L23-484-SP060</v>
      </c>
      <c r="BB395" s="152">
        <v>0</v>
      </c>
      <c r="BC395" s="157">
        <v>45210</v>
      </c>
      <c r="BD395" s="157">
        <v>45210</v>
      </c>
      <c r="BE395" s="158">
        <v>2498839.5</v>
      </c>
      <c r="BF395" s="152" t="s">
        <v>3377</v>
      </c>
      <c r="BG395" s="159" t="s">
        <v>3378</v>
      </c>
      <c r="BH395" s="152">
        <v>0</v>
      </c>
      <c r="BI395" s="152">
        <v>970</v>
      </c>
      <c r="BJ395" s="152">
        <v>0</v>
      </c>
      <c r="BK395" s="152" t="s">
        <v>1296</v>
      </c>
      <c r="BL395" s="152">
        <v>1212.5</v>
      </c>
      <c r="BM395" s="152">
        <v>12563097</v>
      </c>
      <c r="BN395" s="157">
        <v>46671</v>
      </c>
    </row>
    <row r="396" spans="1:66">
      <c r="A396" s="152" t="s">
        <v>3379</v>
      </c>
      <c r="B396" s="152" t="s">
        <v>3380</v>
      </c>
      <c r="C396" s="152" t="s">
        <v>3381</v>
      </c>
      <c r="D396" s="152" t="s">
        <v>3382</v>
      </c>
      <c r="E396" s="152" t="s">
        <v>3383</v>
      </c>
      <c r="F396" s="152">
        <v>1064</v>
      </c>
      <c r="G396" s="152">
        <v>64</v>
      </c>
      <c r="H396" s="152" t="s">
        <v>1363</v>
      </c>
      <c r="I396" s="152">
        <v>175549</v>
      </c>
      <c r="J396" s="152">
        <v>203.78</v>
      </c>
      <c r="K396" s="152">
        <v>69416</v>
      </c>
      <c r="L396" s="159" t="s">
        <v>3384</v>
      </c>
      <c r="M396" s="152" t="s">
        <v>92</v>
      </c>
      <c r="N396" s="152" t="s">
        <v>883</v>
      </c>
      <c r="O396" s="159">
        <v>2602</v>
      </c>
      <c r="P396" s="159" t="s">
        <v>3384</v>
      </c>
      <c r="Q396" s="152" t="s">
        <v>92</v>
      </c>
      <c r="R396" s="152" t="s">
        <v>883</v>
      </c>
      <c r="S396" s="159">
        <v>2602</v>
      </c>
      <c r="T396" s="159" t="s">
        <v>856</v>
      </c>
      <c r="U396" s="159" t="s">
        <v>856</v>
      </c>
      <c r="V396" s="152" t="s">
        <v>2819</v>
      </c>
      <c r="W396" s="152" t="s">
        <v>3385</v>
      </c>
      <c r="X396" s="152" t="s">
        <v>3386</v>
      </c>
      <c r="Y396" s="152">
        <v>25.84</v>
      </c>
      <c r="Z396" s="152">
        <v>0</v>
      </c>
      <c r="AA396" s="152" t="s">
        <v>92</v>
      </c>
      <c r="AB396" s="152">
        <v>0</v>
      </c>
      <c r="AC396" s="152">
        <v>1</v>
      </c>
      <c r="AD396" s="152" t="s">
        <v>861</v>
      </c>
      <c r="AE396" s="152">
        <v>0</v>
      </c>
      <c r="AF396" s="152">
        <v>0</v>
      </c>
      <c r="AG396" s="152" t="s">
        <v>861</v>
      </c>
      <c r="AH396" s="152" t="s">
        <v>861</v>
      </c>
      <c r="AI396" s="152" t="s">
        <v>92</v>
      </c>
      <c r="AJ396" s="152" t="s">
        <v>92</v>
      </c>
      <c r="AK396" s="152" t="s">
        <v>942</v>
      </c>
      <c r="AL396" s="159" t="s">
        <v>856</v>
      </c>
      <c r="AP396" s="159" t="s">
        <v>856</v>
      </c>
      <c r="AQ396" s="159" t="s">
        <v>856</v>
      </c>
      <c r="AR396" s="159" t="s">
        <v>1953</v>
      </c>
      <c r="AS396" s="159" t="s">
        <v>865</v>
      </c>
      <c r="AT396" s="152" t="s">
        <v>3380</v>
      </c>
      <c r="AU396" s="152" t="s">
        <v>3381</v>
      </c>
      <c r="AV396" s="159">
        <v>138.85</v>
      </c>
      <c r="AW396" s="159">
        <v>799578</v>
      </c>
      <c r="AX396" s="159">
        <v>52.25</v>
      </c>
      <c r="AY396" s="159">
        <v>799579</v>
      </c>
      <c r="AZ396" s="152" t="s">
        <v>864</v>
      </c>
      <c r="BA396" s="152" t="s">
        <v>3379</v>
      </c>
      <c r="BB396" s="152">
        <v>12</v>
      </c>
      <c r="BC396" s="157">
        <v>44656</v>
      </c>
      <c r="BD396" s="157">
        <v>44839</v>
      </c>
      <c r="BE396" s="158">
        <v>11984</v>
      </c>
      <c r="BG396" s="159" t="s">
        <v>2033</v>
      </c>
      <c r="BK396" s="152" t="s">
        <v>132</v>
      </c>
      <c r="BN396" s="157" t="s">
        <v>1453</v>
      </c>
    </row>
    <row r="397" spans="1:66">
      <c r="A397" s="152" t="s">
        <v>3387</v>
      </c>
      <c r="B397" s="152" t="s">
        <v>3388</v>
      </c>
      <c r="C397" s="152" t="s">
        <v>3389</v>
      </c>
      <c r="D397" s="152" t="s">
        <v>3390</v>
      </c>
      <c r="E397" s="152" t="s">
        <v>3390</v>
      </c>
      <c r="F397" s="152">
        <v>268005</v>
      </c>
      <c r="G397" s="152">
        <v>224</v>
      </c>
      <c r="H397" s="152">
        <v>612</v>
      </c>
      <c r="I397" s="152">
        <v>202018</v>
      </c>
      <c r="J397" s="152">
        <v>80</v>
      </c>
      <c r="K397" s="152">
        <v>88931</v>
      </c>
      <c r="L397" s="159" t="s">
        <v>856</v>
      </c>
      <c r="M397" s="152" t="s">
        <v>92</v>
      </c>
      <c r="N397" s="152" t="s">
        <v>92</v>
      </c>
      <c r="O397" s="159" t="s">
        <v>856</v>
      </c>
      <c r="P397" s="159" t="s">
        <v>856</v>
      </c>
      <c r="Q397" s="152" t="s">
        <v>92</v>
      </c>
      <c r="R397" s="152" t="s">
        <v>92</v>
      </c>
      <c r="S397" s="159" t="s">
        <v>856</v>
      </c>
      <c r="T397" s="159" t="s">
        <v>856</v>
      </c>
      <c r="U397" s="159" t="s">
        <v>856</v>
      </c>
      <c r="V397" s="152" t="s">
        <v>857</v>
      </c>
      <c r="W397" s="152" t="s">
        <v>858</v>
      </c>
      <c r="X397" s="152" t="s">
        <v>1083</v>
      </c>
      <c r="Y397" s="152">
        <v>0</v>
      </c>
      <c r="Z397" s="152">
        <v>1</v>
      </c>
      <c r="AA397" s="152" t="s">
        <v>883</v>
      </c>
      <c r="AB397" s="152">
        <v>66.97</v>
      </c>
      <c r="AC397" s="152">
        <v>1</v>
      </c>
      <c r="AD397" s="152" t="s">
        <v>861</v>
      </c>
      <c r="AE397" s="152">
        <v>66.97</v>
      </c>
      <c r="AF397" s="152">
        <v>0</v>
      </c>
      <c r="AG397" s="152" t="s">
        <v>861</v>
      </c>
      <c r="AH397" s="152" t="s">
        <v>861</v>
      </c>
      <c r="AI397" s="152" t="s">
        <v>92</v>
      </c>
      <c r="AJ397" s="152" t="s">
        <v>92</v>
      </c>
      <c r="AK397" s="152" t="s">
        <v>1620</v>
      </c>
      <c r="AL397" s="159" t="s">
        <v>856</v>
      </c>
      <c r="AP397" s="159" t="s">
        <v>856</v>
      </c>
      <c r="AQ397" s="159" t="s">
        <v>856</v>
      </c>
      <c r="AR397" s="159" t="s">
        <v>1034</v>
      </c>
      <c r="AS397" s="159" t="s">
        <v>865</v>
      </c>
      <c r="AT397" s="152" t="str">
        <f t="shared" si="31"/>
        <v>RPNRR-870921</v>
      </c>
      <c r="AU397" s="152" t="str">
        <f t="shared" si="32"/>
        <v>FEDY JEANETTE JEREZ CLARA</v>
      </c>
      <c r="AV397" s="159">
        <v>675.06</v>
      </c>
      <c r="AW397" s="159">
        <v>775638</v>
      </c>
      <c r="AX397" s="159">
        <v>25</v>
      </c>
      <c r="AY397" s="159">
        <v>775640</v>
      </c>
      <c r="AZ397" s="152" t="s">
        <v>864</v>
      </c>
      <c r="BA397" s="152" t="str">
        <f t="shared" si="30"/>
        <v>L22-794-LG149</v>
      </c>
      <c r="BB397" s="152">
        <v>0</v>
      </c>
      <c r="BC397" s="157">
        <v>44588</v>
      </c>
      <c r="BD397" s="157">
        <v>44588</v>
      </c>
      <c r="BE397" s="158">
        <v>133940</v>
      </c>
      <c r="BF397" s="152" t="s">
        <v>3391</v>
      </c>
      <c r="BG397" s="159" t="s">
        <v>894</v>
      </c>
      <c r="BH397" s="152">
        <v>66.97</v>
      </c>
      <c r="BI397" s="152">
        <v>0</v>
      </c>
      <c r="BJ397" s="152">
        <v>0</v>
      </c>
      <c r="BK397" s="152" t="s">
        <v>132</v>
      </c>
      <c r="BL397" s="152">
        <v>66.97</v>
      </c>
      <c r="BM397" s="152">
        <v>775639</v>
      </c>
      <c r="BN397" s="157" t="s">
        <v>1453</v>
      </c>
    </row>
    <row r="398" spans="1:66">
      <c r="A398" s="152" t="s">
        <v>3392</v>
      </c>
      <c r="B398" s="152" t="s">
        <v>3393</v>
      </c>
      <c r="C398" s="152" t="s">
        <v>3394</v>
      </c>
      <c r="D398" s="152" t="s">
        <v>3395</v>
      </c>
      <c r="E398" s="152" t="s">
        <v>3395</v>
      </c>
      <c r="F398" s="152">
        <v>239311</v>
      </c>
      <c r="G398" s="152">
        <v>111</v>
      </c>
      <c r="H398" s="152">
        <v>515</v>
      </c>
      <c r="I398" s="152">
        <v>26484</v>
      </c>
      <c r="J398" s="152">
        <v>381.02</v>
      </c>
      <c r="K398" s="152">
        <v>90651</v>
      </c>
      <c r="L398" s="159" t="s">
        <v>856</v>
      </c>
      <c r="M398" s="152" t="s">
        <v>92</v>
      </c>
      <c r="N398" s="152" t="s">
        <v>92</v>
      </c>
      <c r="O398" s="159" t="s">
        <v>856</v>
      </c>
      <c r="P398" s="159" t="s">
        <v>856</v>
      </c>
      <c r="Q398" s="152" t="s">
        <v>92</v>
      </c>
      <c r="R398" s="152" t="s">
        <v>92</v>
      </c>
      <c r="S398" s="159" t="s">
        <v>856</v>
      </c>
      <c r="T398" s="159" t="s">
        <v>856</v>
      </c>
      <c r="U398" s="159" t="s">
        <v>856</v>
      </c>
      <c r="V398" s="152" t="s">
        <v>1140</v>
      </c>
      <c r="W398" s="152" t="s">
        <v>858</v>
      </c>
      <c r="X398" s="152" t="s">
        <v>1083</v>
      </c>
      <c r="Y398" s="152">
        <v>0</v>
      </c>
      <c r="Z398" s="152">
        <v>1</v>
      </c>
      <c r="AA398" s="152" t="s">
        <v>883</v>
      </c>
      <c r="AB398" s="152">
        <v>97.31</v>
      </c>
      <c r="AC398" s="152">
        <v>2</v>
      </c>
      <c r="AD398" s="152" t="s">
        <v>861</v>
      </c>
      <c r="AE398" s="152">
        <v>97.31</v>
      </c>
      <c r="AF398" s="152">
        <v>0</v>
      </c>
      <c r="AG398" s="152" t="s">
        <v>861</v>
      </c>
      <c r="AH398" s="152" t="s">
        <v>861</v>
      </c>
      <c r="AI398" s="152" t="s">
        <v>92</v>
      </c>
      <c r="AJ398" s="152" t="s">
        <v>92</v>
      </c>
      <c r="AK398" s="152" t="s">
        <v>912</v>
      </c>
      <c r="AL398" s="159" t="s">
        <v>856</v>
      </c>
      <c r="AP398" s="159" t="s">
        <v>856</v>
      </c>
      <c r="AQ398" s="159" t="s">
        <v>856</v>
      </c>
      <c r="AR398" s="159" t="s">
        <v>2803</v>
      </c>
      <c r="AS398" s="159" t="s">
        <v>865</v>
      </c>
      <c r="AT398" s="152" t="str">
        <f t="shared" si="31"/>
        <v>RPNV4-071021</v>
      </c>
      <c r="AU398" s="152" t="str">
        <f t="shared" si="32"/>
        <v>LUIS FRANCISCO VASQUEZ DE LEON</v>
      </c>
      <c r="AV398" s="159">
        <v>1226.1099999999999</v>
      </c>
      <c r="AW398" s="159">
        <v>777406</v>
      </c>
      <c r="AX398" s="159" t="s">
        <v>856</v>
      </c>
      <c r="AY398" s="159" t="s">
        <v>856</v>
      </c>
      <c r="AZ398" s="152" t="s">
        <v>864</v>
      </c>
      <c r="BA398" s="152" t="str">
        <f t="shared" si="30"/>
        <v>L22-901-JM198</v>
      </c>
      <c r="BB398" s="152">
        <v>0</v>
      </c>
      <c r="BC398" s="157">
        <v>44589</v>
      </c>
      <c r="BD398" s="157">
        <v>44589</v>
      </c>
      <c r="BE398" s="158">
        <v>243275</v>
      </c>
      <c r="BG398" s="159" t="s">
        <v>2033</v>
      </c>
      <c r="BK398" s="152" t="s">
        <v>132</v>
      </c>
      <c r="BN398" s="157" t="s">
        <v>1453</v>
      </c>
    </row>
    <row r="399" spans="1:66">
      <c r="A399" s="152" t="s">
        <v>3396</v>
      </c>
      <c r="B399" s="152" t="s">
        <v>3397</v>
      </c>
      <c r="C399" s="152" t="s">
        <v>3398</v>
      </c>
      <c r="D399" s="152" t="s">
        <v>3399</v>
      </c>
      <c r="E399" s="152" t="s">
        <v>3399</v>
      </c>
      <c r="F399" s="159" t="s">
        <v>856</v>
      </c>
      <c r="G399" s="159" t="s">
        <v>856</v>
      </c>
      <c r="H399" s="159" t="s">
        <v>856</v>
      </c>
      <c r="I399" s="152">
        <v>201761</v>
      </c>
      <c r="J399" s="152">
        <v>160.9</v>
      </c>
      <c r="K399" s="152">
        <v>88702</v>
      </c>
      <c r="L399" s="159" t="s">
        <v>856</v>
      </c>
      <c r="M399" s="152" t="s">
        <v>92</v>
      </c>
      <c r="N399" s="152" t="s">
        <v>92</v>
      </c>
      <c r="O399" s="159" t="s">
        <v>856</v>
      </c>
      <c r="P399" s="159" t="s">
        <v>856</v>
      </c>
      <c r="Q399" s="152" t="s">
        <v>92</v>
      </c>
      <c r="R399" s="152" t="s">
        <v>92</v>
      </c>
      <c r="S399" s="159" t="s">
        <v>856</v>
      </c>
      <c r="T399" s="159" t="s">
        <v>856</v>
      </c>
      <c r="U399" s="159" t="s">
        <v>856</v>
      </c>
      <c r="V399" s="152" t="s">
        <v>857</v>
      </c>
      <c r="W399" s="152" t="s">
        <v>858</v>
      </c>
      <c r="X399" s="152" t="s">
        <v>1083</v>
      </c>
      <c r="Y399" s="152">
        <v>65.7</v>
      </c>
      <c r="Z399" s="152">
        <v>1</v>
      </c>
      <c r="AA399" s="152" t="s">
        <v>92</v>
      </c>
      <c r="AB399" s="152">
        <v>221.97</v>
      </c>
      <c r="AC399" s="152">
        <v>2</v>
      </c>
      <c r="AD399" s="152" t="s">
        <v>861</v>
      </c>
      <c r="AE399" s="152">
        <v>221.97</v>
      </c>
      <c r="AF399" s="152">
        <v>0</v>
      </c>
      <c r="AG399" s="152" t="s">
        <v>861</v>
      </c>
      <c r="AH399" s="152" t="s">
        <v>861</v>
      </c>
      <c r="AI399" s="152" t="s">
        <v>92</v>
      </c>
      <c r="AJ399" s="152" t="s">
        <v>92</v>
      </c>
      <c r="AK399" s="152" t="s">
        <v>862</v>
      </c>
      <c r="AL399" s="159" t="s">
        <v>856</v>
      </c>
      <c r="AP399" s="159" t="s">
        <v>856</v>
      </c>
      <c r="AQ399" s="159" t="s">
        <v>856</v>
      </c>
      <c r="AR399" s="159" t="s">
        <v>3142</v>
      </c>
      <c r="AS399" s="159" t="s">
        <v>865</v>
      </c>
      <c r="AT399" s="152" t="str">
        <f t="shared" si="31"/>
        <v>RPNS1-410821</v>
      </c>
      <c r="AU399" s="152" t="str">
        <f t="shared" si="32"/>
        <v>PABLO DAVID SANCHEZ GALVEZ</v>
      </c>
      <c r="AV399" s="159">
        <v>2995.39</v>
      </c>
      <c r="AW399" s="159">
        <v>775660</v>
      </c>
      <c r="AX399" s="159">
        <v>80</v>
      </c>
      <c r="AY399" s="159">
        <v>775662</v>
      </c>
      <c r="AZ399" s="152" t="s">
        <v>864</v>
      </c>
      <c r="BA399" s="152" t="str">
        <f t="shared" si="30"/>
        <v>L22-529-LG078</v>
      </c>
      <c r="BB399" s="152">
        <v>0</v>
      </c>
      <c r="BC399" s="157">
        <v>44588</v>
      </c>
      <c r="BD399" s="157">
        <v>44588</v>
      </c>
      <c r="BE399" s="158">
        <v>580245.05000000005</v>
      </c>
      <c r="BF399" s="152" t="s">
        <v>3400</v>
      </c>
      <c r="BG399" s="159" t="s">
        <v>894</v>
      </c>
      <c r="BH399" s="152">
        <v>221.97</v>
      </c>
      <c r="BI399" s="152">
        <v>0</v>
      </c>
      <c r="BJ399" s="152">
        <v>0</v>
      </c>
      <c r="BK399" s="152" t="s">
        <v>132</v>
      </c>
      <c r="BL399" s="152">
        <v>260.75</v>
      </c>
      <c r="BM399" s="152">
        <v>775661</v>
      </c>
      <c r="BN399" s="157" t="s">
        <v>1453</v>
      </c>
    </row>
    <row r="400" spans="1:66">
      <c r="A400" s="152" t="s">
        <v>3401</v>
      </c>
      <c r="B400" s="152" t="s">
        <v>3402</v>
      </c>
      <c r="C400" s="152" t="s">
        <v>3403</v>
      </c>
      <c r="D400" s="152" t="s">
        <v>3404</v>
      </c>
      <c r="E400" s="152" t="s">
        <v>3405</v>
      </c>
      <c r="F400" s="152">
        <v>274461</v>
      </c>
      <c r="G400" s="152">
        <v>11</v>
      </c>
      <c r="H400" s="152">
        <v>633</v>
      </c>
      <c r="I400" s="152">
        <v>202530</v>
      </c>
      <c r="J400" s="152">
        <v>91.15</v>
      </c>
      <c r="K400" s="152">
        <v>89333</v>
      </c>
      <c r="L400" s="159" t="s">
        <v>856</v>
      </c>
      <c r="M400" s="152" t="s">
        <v>92</v>
      </c>
      <c r="N400" s="152" t="s">
        <v>92</v>
      </c>
      <c r="O400" s="159" t="s">
        <v>856</v>
      </c>
      <c r="P400" s="159" t="s">
        <v>856</v>
      </c>
      <c r="Q400" s="152" t="s">
        <v>92</v>
      </c>
      <c r="R400" s="152" t="s">
        <v>92</v>
      </c>
      <c r="S400" s="159" t="s">
        <v>856</v>
      </c>
      <c r="T400" s="159" t="s">
        <v>856</v>
      </c>
      <c r="U400" s="159" t="s">
        <v>856</v>
      </c>
      <c r="V400" s="152" t="s">
        <v>857</v>
      </c>
      <c r="W400" s="152" t="s">
        <v>858</v>
      </c>
      <c r="X400" s="152" t="s">
        <v>1083</v>
      </c>
      <c r="Y400" s="152">
        <v>0</v>
      </c>
      <c r="Z400" s="152">
        <v>1</v>
      </c>
      <c r="AA400" s="152" t="s">
        <v>92</v>
      </c>
      <c r="AB400" s="152">
        <v>75.55</v>
      </c>
      <c r="AC400" s="152">
        <v>1</v>
      </c>
      <c r="AD400" s="152" t="s">
        <v>861</v>
      </c>
      <c r="AE400" s="152">
        <v>75.55</v>
      </c>
      <c r="AF400" s="152">
        <v>0</v>
      </c>
      <c r="AG400" s="152" t="s">
        <v>861</v>
      </c>
      <c r="AH400" s="152" t="s">
        <v>861</v>
      </c>
      <c r="AI400" s="152" t="s">
        <v>92</v>
      </c>
      <c r="AJ400" s="152" t="s">
        <v>92</v>
      </c>
      <c r="AK400" s="152" t="s">
        <v>972</v>
      </c>
      <c r="AL400" s="159" t="s">
        <v>856</v>
      </c>
      <c r="AP400" s="159" t="s">
        <v>856</v>
      </c>
      <c r="AQ400" s="159" t="s">
        <v>856</v>
      </c>
      <c r="AR400" s="159" t="s">
        <v>1953</v>
      </c>
      <c r="AS400" s="159" t="s">
        <v>865</v>
      </c>
      <c r="AT400" s="152" t="str">
        <f t="shared" si="31"/>
        <v>RPNL5-531121</v>
      </c>
      <c r="AU400" s="152" t="str">
        <f t="shared" si="32"/>
        <v>CINDY ZUCELI CITALAN LOPEZ DE DE LEON</v>
      </c>
      <c r="AV400" s="159">
        <v>761.54</v>
      </c>
      <c r="AW400" s="159">
        <v>752966</v>
      </c>
      <c r="AX400" s="159" t="s">
        <v>856</v>
      </c>
      <c r="AY400" s="159" t="s">
        <v>856</v>
      </c>
      <c r="AZ400" s="152" t="s">
        <v>864</v>
      </c>
      <c r="BA400" s="152" t="str">
        <f t="shared" si="30"/>
        <v>L22-049-NR212</v>
      </c>
      <c r="BB400" s="152">
        <v>0</v>
      </c>
      <c r="BC400" s="157">
        <v>44575</v>
      </c>
      <c r="BD400" s="157">
        <v>44575</v>
      </c>
      <c r="BE400" s="158">
        <v>151100</v>
      </c>
      <c r="BF400" s="152" t="s">
        <v>3406</v>
      </c>
      <c r="BG400" s="159" t="s">
        <v>894</v>
      </c>
      <c r="BH400" s="152">
        <v>75.55</v>
      </c>
      <c r="BI400" s="152">
        <v>0</v>
      </c>
      <c r="BJ400" s="152">
        <v>0</v>
      </c>
      <c r="BK400" s="152" t="s">
        <v>132</v>
      </c>
      <c r="BL400" s="152">
        <v>75.55</v>
      </c>
      <c r="BM400" s="152">
        <v>752967</v>
      </c>
      <c r="BN400" s="157" t="s">
        <v>1453</v>
      </c>
    </row>
    <row r="401" spans="1:66">
      <c r="A401" s="152" t="s">
        <v>3407</v>
      </c>
      <c r="B401" s="152" t="s">
        <v>3408</v>
      </c>
      <c r="C401" s="152" t="s">
        <v>3409</v>
      </c>
      <c r="D401" s="152" t="s">
        <v>3410</v>
      </c>
      <c r="E401" s="152" t="s">
        <v>3410</v>
      </c>
      <c r="F401" s="152">
        <v>650</v>
      </c>
      <c r="G401" s="152">
        <v>150</v>
      </c>
      <c r="H401" s="152" t="s">
        <v>881</v>
      </c>
      <c r="I401" s="152">
        <v>203289</v>
      </c>
      <c r="J401" s="152">
        <v>96.83</v>
      </c>
      <c r="K401" s="152">
        <v>89968</v>
      </c>
      <c r="L401" s="159" t="s">
        <v>856</v>
      </c>
      <c r="M401" s="152" t="s">
        <v>92</v>
      </c>
      <c r="N401" s="152" t="s">
        <v>92</v>
      </c>
      <c r="O401" s="159" t="s">
        <v>856</v>
      </c>
      <c r="P401" s="159" t="s">
        <v>856</v>
      </c>
      <c r="Q401" s="152" t="s">
        <v>92</v>
      </c>
      <c r="R401" s="152" t="s">
        <v>92</v>
      </c>
      <c r="S401" s="159" t="s">
        <v>856</v>
      </c>
      <c r="T401" s="159" t="s">
        <v>856</v>
      </c>
      <c r="U401" s="159" t="s">
        <v>856</v>
      </c>
      <c r="V401" s="152" t="s">
        <v>857</v>
      </c>
      <c r="W401" s="152" t="s">
        <v>858</v>
      </c>
      <c r="X401" s="152" t="s">
        <v>1083</v>
      </c>
      <c r="Y401" s="152">
        <v>44.95</v>
      </c>
      <c r="Z401" s="152">
        <v>1</v>
      </c>
      <c r="AA401" s="152" t="s">
        <v>92</v>
      </c>
      <c r="AB401" s="152">
        <v>57.51</v>
      </c>
      <c r="AC401" s="152">
        <v>1</v>
      </c>
      <c r="AD401" s="152" t="s">
        <v>861</v>
      </c>
      <c r="AE401" s="152">
        <v>57.51</v>
      </c>
      <c r="AF401" s="152">
        <v>0</v>
      </c>
      <c r="AG401" s="152" t="s">
        <v>861</v>
      </c>
      <c r="AH401" s="152" t="s">
        <v>861</v>
      </c>
      <c r="AI401" s="152" t="s">
        <v>92</v>
      </c>
      <c r="AJ401" s="152" t="s">
        <v>92</v>
      </c>
      <c r="AK401" s="152" t="s">
        <v>912</v>
      </c>
      <c r="AL401" s="159" t="s">
        <v>856</v>
      </c>
      <c r="AP401" s="159" t="s">
        <v>856</v>
      </c>
      <c r="AQ401" s="159" t="s">
        <v>856</v>
      </c>
      <c r="AR401" s="159" t="s">
        <v>1034</v>
      </c>
      <c r="AS401" s="159" t="s">
        <v>865</v>
      </c>
      <c r="AT401" s="152" t="str">
        <f t="shared" ref="AT401:AT464" si="33">B401</f>
        <v>VUNDR-020321</v>
      </c>
      <c r="AU401" s="152" t="str">
        <f t="shared" ref="AU401:AU464" si="34">C401</f>
        <v>ESWIN HUMBERTO DE LEON ROGEL Y CONDUEÑOS</v>
      </c>
      <c r="AV401" s="159" t="s">
        <v>2080</v>
      </c>
      <c r="AW401" s="159" t="s">
        <v>2080</v>
      </c>
      <c r="AX401" s="159" t="s">
        <v>2080</v>
      </c>
      <c r="AY401" s="159" t="s">
        <v>2080</v>
      </c>
      <c r="AZ401" s="152" t="s">
        <v>864</v>
      </c>
      <c r="BA401" s="152" t="str">
        <f t="shared" ref="BA401:BA464" si="35">A401</f>
        <v>L22-014-LG166</v>
      </c>
      <c r="BB401" s="152">
        <v>0</v>
      </c>
      <c r="BC401" s="157">
        <v>44571</v>
      </c>
      <c r="BD401" s="157">
        <v>44571</v>
      </c>
      <c r="BE401" s="158">
        <v>130752.5</v>
      </c>
      <c r="BF401" s="152" t="s">
        <v>3411</v>
      </c>
      <c r="BG401" s="159" t="s">
        <v>894</v>
      </c>
      <c r="BH401" s="152">
        <v>57.51</v>
      </c>
      <c r="BI401" s="152">
        <v>0</v>
      </c>
      <c r="BJ401" s="152">
        <v>0</v>
      </c>
      <c r="BK401" s="152" t="s">
        <v>132</v>
      </c>
      <c r="BL401" s="152">
        <v>57.51</v>
      </c>
      <c r="BM401" s="152">
        <v>750573</v>
      </c>
      <c r="BN401" s="157" t="s">
        <v>1453</v>
      </c>
    </row>
    <row r="402" spans="1:66">
      <c r="A402" s="152" t="s">
        <v>3412</v>
      </c>
      <c r="B402" s="152" t="s">
        <v>3413</v>
      </c>
      <c r="C402" s="152" t="s">
        <v>3414</v>
      </c>
      <c r="D402" s="152" t="s">
        <v>3415</v>
      </c>
      <c r="E402" s="152" t="s">
        <v>3415</v>
      </c>
      <c r="F402" s="152">
        <v>258695</v>
      </c>
      <c r="G402" s="152">
        <v>155</v>
      </c>
      <c r="H402" s="152">
        <v>583</v>
      </c>
      <c r="I402" s="152">
        <v>166862</v>
      </c>
      <c r="J402" s="152">
        <v>189</v>
      </c>
      <c r="K402" s="152">
        <v>63609</v>
      </c>
      <c r="L402" s="159" t="s">
        <v>856</v>
      </c>
      <c r="M402" s="152" t="s">
        <v>92</v>
      </c>
      <c r="N402" s="152" t="s">
        <v>92</v>
      </c>
      <c r="O402" s="159" t="s">
        <v>856</v>
      </c>
      <c r="P402" s="159" t="s">
        <v>856</v>
      </c>
      <c r="Q402" s="152" t="s">
        <v>92</v>
      </c>
      <c r="R402" s="152" t="s">
        <v>92</v>
      </c>
      <c r="S402" s="159" t="s">
        <v>856</v>
      </c>
      <c r="T402" s="159" t="s">
        <v>856</v>
      </c>
      <c r="U402" s="159" t="s">
        <v>856</v>
      </c>
      <c r="V402" s="152" t="s">
        <v>1550</v>
      </c>
      <c r="W402" s="152" t="s">
        <v>858</v>
      </c>
      <c r="X402" s="152" t="s">
        <v>1083</v>
      </c>
      <c r="Y402" s="152">
        <v>0</v>
      </c>
      <c r="Z402" s="152">
        <v>0</v>
      </c>
      <c r="AA402" s="152" t="s">
        <v>92</v>
      </c>
      <c r="AB402" s="152">
        <v>106.18</v>
      </c>
      <c r="AC402" s="152">
        <v>2</v>
      </c>
      <c r="AD402" s="152" t="s">
        <v>861</v>
      </c>
      <c r="AE402" s="152">
        <v>106.18</v>
      </c>
      <c r="AF402" s="152">
        <v>0</v>
      </c>
      <c r="AG402" s="152" t="s">
        <v>861</v>
      </c>
      <c r="AH402" s="152" t="s">
        <v>861</v>
      </c>
      <c r="AI402" s="152" t="s">
        <v>92</v>
      </c>
      <c r="AJ402" s="152" t="s">
        <v>92</v>
      </c>
      <c r="AK402" s="152" t="s">
        <v>942</v>
      </c>
      <c r="AL402" s="159" t="s">
        <v>856</v>
      </c>
      <c r="AP402" s="159" t="s">
        <v>856</v>
      </c>
      <c r="AQ402" s="159" t="s">
        <v>856</v>
      </c>
      <c r="AR402" s="159" t="s">
        <v>2803</v>
      </c>
      <c r="AS402" s="159" t="s">
        <v>865</v>
      </c>
      <c r="AT402" s="152" t="str">
        <f t="shared" si="33"/>
        <v>RPNR3-010122</v>
      </c>
      <c r="AU402" s="152" t="str">
        <f t="shared" si="34"/>
        <v>FRANCK WALTER AARON RIOS MONTERROSO</v>
      </c>
      <c r="AV402" s="159">
        <v>1337.87</v>
      </c>
      <c r="AW402" s="159">
        <v>787380</v>
      </c>
      <c r="AX402" s="159" t="s">
        <v>856</v>
      </c>
      <c r="AY402" s="159" t="s">
        <v>856</v>
      </c>
      <c r="AZ402" s="152" t="s">
        <v>864</v>
      </c>
      <c r="BA402" s="152" t="str">
        <f t="shared" si="35"/>
        <v>L22-1308-JM010</v>
      </c>
      <c r="BB402" s="152">
        <v>0</v>
      </c>
      <c r="BC402" s="157">
        <v>44615</v>
      </c>
      <c r="BD402" s="157">
        <v>44615</v>
      </c>
      <c r="BE402" s="158">
        <v>265450</v>
      </c>
      <c r="BG402" s="159" t="s">
        <v>2033</v>
      </c>
      <c r="BI402" s="152">
        <v>0</v>
      </c>
      <c r="BJ402" s="152">
        <v>0</v>
      </c>
      <c r="BK402" s="152" t="s">
        <v>132</v>
      </c>
      <c r="BN402" s="157" t="s">
        <v>1453</v>
      </c>
    </row>
    <row r="403" spans="1:66">
      <c r="A403" s="152" t="s">
        <v>3416</v>
      </c>
      <c r="B403" s="152" t="s">
        <v>3417</v>
      </c>
      <c r="C403" s="152" t="s">
        <v>3418</v>
      </c>
      <c r="D403" s="152" t="s">
        <v>3419</v>
      </c>
      <c r="E403" s="152" t="s">
        <v>3419</v>
      </c>
      <c r="F403" s="152">
        <v>1479</v>
      </c>
      <c r="G403" s="152">
        <v>479</v>
      </c>
      <c r="H403" s="152" t="s">
        <v>2211</v>
      </c>
      <c r="I403" s="152">
        <v>202201</v>
      </c>
      <c r="J403" s="152">
        <v>114.48</v>
      </c>
      <c r="K403" s="152">
        <v>89090</v>
      </c>
      <c r="L403" s="159" t="s">
        <v>856</v>
      </c>
      <c r="M403" s="152" t="s">
        <v>92</v>
      </c>
      <c r="N403" s="152" t="s">
        <v>92</v>
      </c>
      <c r="O403" s="159" t="s">
        <v>856</v>
      </c>
      <c r="P403" s="159" t="s">
        <v>856</v>
      </c>
      <c r="Q403" s="152" t="s">
        <v>92</v>
      </c>
      <c r="R403" s="152" t="s">
        <v>92</v>
      </c>
      <c r="S403" s="159" t="s">
        <v>856</v>
      </c>
      <c r="T403" s="159" t="s">
        <v>856</v>
      </c>
      <c r="U403" s="159" t="s">
        <v>856</v>
      </c>
      <c r="V403" s="152" t="s">
        <v>857</v>
      </c>
      <c r="W403" s="152" t="s">
        <v>858</v>
      </c>
      <c r="X403" s="152" t="s">
        <v>1083</v>
      </c>
      <c r="Y403" s="152">
        <v>49.21</v>
      </c>
      <c r="Z403" s="152">
        <v>1</v>
      </c>
      <c r="AA403" s="152" t="s">
        <v>883</v>
      </c>
      <c r="AB403" s="152">
        <v>70.2</v>
      </c>
      <c r="AC403" s="152">
        <v>1</v>
      </c>
      <c r="AD403" s="152" t="s">
        <v>861</v>
      </c>
      <c r="AE403" s="152">
        <v>70.2</v>
      </c>
      <c r="AF403" s="152">
        <v>0</v>
      </c>
      <c r="AG403" s="152" t="s">
        <v>861</v>
      </c>
      <c r="AH403" s="152" t="s">
        <v>861</v>
      </c>
      <c r="AI403" s="152" t="s">
        <v>92</v>
      </c>
      <c r="AJ403" s="152" t="s">
        <v>92</v>
      </c>
      <c r="AK403" s="152" t="s">
        <v>912</v>
      </c>
      <c r="AL403" s="159" t="s">
        <v>856</v>
      </c>
      <c r="AP403" s="159" t="s">
        <v>856</v>
      </c>
      <c r="AQ403" s="159" t="s">
        <v>856</v>
      </c>
      <c r="AR403" s="159" t="s">
        <v>992</v>
      </c>
      <c r="AS403" s="159" t="s">
        <v>865</v>
      </c>
      <c r="AT403" s="152" t="str">
        <f t="shared" si="33"/>
        <v>RPNB5-571121</v>
      </c>
      <c r="AU403" s="152" t="str">
        <f t="shared" si="34"/>
        <v>JESSI DIANE BALDWIN</v>
      </c>
      <c r="AV403" s="159">
        <v>804.07</v>
      </c>
      <c r="AW403" s="159">
        <v>787138</v>
      </c>
      <c r="AX403" s="159">
        <v>31.8</v>
      </c>
      <c r="AY403" s="159">
        <v>787140</v>
      </c>
      <c r="AZ403" s="152" t="s">
        <v>864</v>
      </c>
      <c r="BA403" s="152" t="str">
        <f t="shared" si="35"/>
        <v>L22-611-MP025</v>
      </c>
      <c r="BB403" s="152">
        <v>0</v>
      </c>
      <c r="BC403" s="157">
        <v>44613</v>
      </c>
      <c r="BD403" s="157">
        <v>44613</v>
      </c>
      <c r="BE403" s="158">
        <v>157623.5</v>
      </c>
      <c r="BF403" s="152" t="s">
        <v>3420</v>
      </c>
      <c r="BG403" s="159" t="s">
        <v>894</v>
      </c>
      <c r="BH403" s="152">
        <v>70.2</v>
      </c>
      <c r="BI403" s="152">
        <v>0</v>
      </c>
      <c r="BJ403" s="152">
        <v>0</v>
      </c>
      <c r="BK403" s="152" t="s">
        <v>132</v>
      </c>
      <c r="BL403" s="152">
        <v>70.2</v>
      </c>
      <c r="BM403" s="152">
        <v>787139</v>
      </c>
      <c r="BN403" s="157" t="s">
        <v>1453</v>
      </c>
    </row>
    <row r="404" spans="1:66">
      <c r="A404" s="152" t="s">
        <v>3421</v>
      </c>
      <c r="B404" s="152" t="s">
        <v>3422</v>
      </c>
      <c r="C404" s="152" t="s">
        <v>3424</v>
      </c>
      <c r="D404" s="152" t="s">
        <v>3423</v>
      </c>
      <c r="E404" s="152" t="s">
        <v>3423</v>
      </c>
      <c r="F404" s="152">
        <v>5841</v>
      </c>
      <c r="G404" s="152">
        <v>341</v>
      </c>
      <c r="H404" s="152" t="s">
        <v>3300</v>
      </c>
      <c r="I404" s="152">
        <v>202084</v>
      </c>
      <c r="J404" s="152">
        <v>60</v>
      </c>
      <c r="K404" s="152">
        <v>88984</v>
      </c>
      <c r="L404" s="159" t="s">
        <v>856</v>
      </c>
      <c r="M404" s="152" t="s">
        <v>92</v>
      </c>
      <c r="N404" s="152" t="s">
        <v>92</v>
      </c>
      <c r="O404" s="159" t="s">
        <v>856</v>
      </c>
      <c r="P404" s="159" t="s">
        <v>856</v>
      </c>
      <c r="Q404" s="152" t="s">
        <v>92</v>
      </c>
      <c r="R404" s="152" t="s">
        <v>92</v>
      </c>
      <c r="S404" s="159" t="s">
        <v>856</v>
      </c>
      <c r="T404" s="159" t="s">
        <v>856</v>
      </c>
      <c r="U404" s="159" t="s">
        <v>856</v>
      </c>
      <c r="V404" s="152" t="s">
        <v>857</v>
      </c>
      <c r="W404" s="152" t="s">
        <v>858</v>
      </c>
      <c r="X404" s="152" t="s">
        <v>1083</v>
      </c>
      <c r="Y404" s="152">
        <v>0</v>
      </c>
      <c r="Z404" s="152">
        <v>1</v>
      </c>
      <c r="AA404" s="152" t="s">
        <v>92</v>
      </c>
      <c r="AB404" s="152">
        <v>43.74</v>
      </c>
      <c r="AC404" s="152">
        <v>1</v>
      </c>
      <c r="AD404" s="152" t="s">
        <v>861</v>
      </c>
      <c r="AE404" s="152">
        <v>43.74</v>
      </c>
      <c r="AF404" s="152">
        <v>0</v>
      </c>
      <c r="AG404" s="152" t="s">
        <v>861</v>
      </c>
      <c r="AH404" s="152" t="s">
        <v>861</v>
      </c>
      <c r="AI404" s="152" t="s">
        <v>92</v>
      </c>
      <c r="AJ404" s="152" t="s">
        <v>92</v>
      </c>
      <c r="AK404" s="152" t="s">
        <v>912</v>
      </c>
      <c r="AL404" s="159" t="s">
        <v>856</v>
      </c>
      <c r="AP404" s="159" t="s">
        <v>856</v>
      </c>
      <c r="AQ404" s="159" t="s">
        <v>856</v>
      </c>
      <c r="AR404" s="159" t="s">
        <v>1953</v>
      </c>
      <c r="AS404" s="159" t="s">
        <v>865</v>
      </c>
      <c r="AT404" s="152" t="str">
        <f t="shared" si="33"/>
        <v>RPNZ11-010122</v>
      </c>
      <c r="AU404" s="152" t="str">
        <f t="shared" si="34"/>
        <v>ANGELA ARACELY ZAMORA VELASQUEZ DE CHACOJ</v>
      </c>
      <c r="AV404" s="159">
        <v>293.93</v>
      </c>
      <c r="AW404" s="159">
        <v>778414</v>
      </c>
      <c r="AX404" s="159">
        <v>44</v>
      </c>
      <c r="AY404" s="159">
        <v>778416</v>
      </c>
      <c r="AZ404" s="152" t="s">
        <v>864</v>
      </c>
      <c r="BA404" s="152" t="str">
        <f t="shared" si="35"/>
        <v>L22-580-NR096</v>
      </c>
      <c r="BB404" s="152">
        <v>0</v>
      </c>
      <c r="BC404" s="157">
        <v>44602</v>
      </c>
      <c r="BD404" s="157">
        <v>44602</v>
      </c>
      <c r="BE404" s="158">
        <v>65610</v>
      </c>
      <c r="BF404" s="152" t="s">
        <v>3425</v>
      </c>
      <c r="BG404" s="159" t="s">
        <v>894</v>
      </c>
      <c r="BH404" s="152">
        <v>43.74</v>
      </c>
      <c r="BI404" s="152">
        <v>0</v>
      </c>
      <c r="BJ404" s="152">
        <v>0</v>
      </c>
      <c r="BK404" s="152" t="s">
        <v>132</v>
      </c>
      <c r="BL404" s="152">
        <v>43.74</v>
      </c>
      <c r="BM404" s="152">
        <v>778415</v>
      </c>
      <c r="BN404" s="157" t="s">
        <v>1453</v>
      </c>
    </row>
    <row r="405" spans="1:66">
      <c r="A405" s="152" t="s">
        <v>3426</v>
      </c>
      <c r="B405" s="152" t="s">
        <v>3427</v>
      </c>
      <c r="C405" s="152" t="s">
        <v>3428</v>
      </c>
      <c r="D405" s="152" t="s">
        <v>3429</v>
      </c>
      <c r="E405" s="152" t="s">
        <v>3429</v>
      </c>
      <c r="F405" s="152">
        <v>7567</v>
      </c>
      <c r="G405" s="152">
        <v>67</v>
      </c>
      <c r="H405" s="152" t="s">
        <v>3430</v>
      </c>
      <c r="I405" s="152">
        <v>191243</v>
      </c>
      <c r="J405" s="152">
        <v>67.56</v>
      </c>
      <c r="K405" s="152">
        <v>80803</v>
      </c>
      <c r="L405" s="159" t="s">
        <v>971</v>
      </c>
      <c r="M405" s="152" t="s">
        <v>92</v>
      </c>
      <c r="N405" s="152" t="s">
        <v>883</v>
      </c>
      <c r="O405" s="159">
        <v>4445</v>
      </c>
      <c r="P405" s="159" t="s">
        <v>971</v>
      </c>
      <c r="Q405" s="152" t="s">
        <v>92</v>
      </c>
      <c r="R405" s="152" t="s">
        <v>883</v>
      </c>
      <c r="S405" s="159">
        <v>4445</v>
      </c>
      <c r="T405" s="159" t="s">
        <v>3431</v>
      </c>
      <c r="U405" s="159" t="s">
        <v>3432</v>
      </c>
      <c r="V405" s="152" t="s">
        <v>857</v>
      </c>
      <c r="W405" s="152" t="s">
        <v>858</v>
      </c>
      <c r="X405" s="152" t="s">
        <v>1083</v>
      </c>
      <c r="Y405" s="152">
        <v>0</v>
      </c>
      <c r="Z405" s="152">
        <v>1</v>
      </c>
      <c r="AA405" s="152" t="s">
        <v>92</v>
      </c>
      <c r="AB405" s="152">
        <v>67.56</v>
      </c>
      <c r="AC405" s="152">
        <v>1</v>
      </c>
      <c r="AD405" s="152" t="s">
        <v>861</v>
      </c>
      <c r="AE405" s="152">
        <v>67.56</v>
      </c>
      <c r="AF405" s="152">
        <v>0</v>
      </c>
      <c r="AG405" s="152" t="s">
        <v>861</v>
      </c>
      <c r="AH405" s="152" t="s">
        <v>861</v>
      </c>
      <c r="AI405" s="152" t="s">
        <v>92</v>
      </c>
      <c r="AJ405" s="152" t="s">
        <v>92</v>
      </c>
      <c r="AK405" s="152" t="s">
        <v>862</v>
      </c>
      <c r="AL405" s="159" t="s">
        <v>856</v>
      </c>
      <c r="AP405" s="159" t="s">
        <v>856</v>
      </c>
      <c r="AQ405" s="159" t="s">
        <v>856</v>
      </c>
      <c r="AR405" s="159" t="s">
        <v>1953</v>
      </c>
      <c r="AS405" s="159" t="s">
        <v>865</v>
      </c>
      <c r="AT405" s="152" t="str">
        <f t="shared" si="33"/>
        <v>RPNG1-561121</v>
      </c>
      <c r="AU405" s="152" t="str">
        <f t="shared" si="34"/>
        <v>GUSTAVO ANTONIO GARCIA PEREZ</v>
      </c>
      <c r="AV405" s="159">
        <v>681</v>
      </c>
      <c r="AW405" s="159">
        <v>776822</v>
      </c>
      <c r="AX405" s="159" t="s">
        <v>856</v>
      </c>
      <c r="AY405" s="159" t="s">
        <v>856</v>
      </c>
      <c r="AZ405" s="152" t="s">
        <v>864</v>
      </c>
      <c r="BA405" s="152" t="str">
        <f t="shared" si="35"/>
        <v>L22-093-SP207</v>
      </c>
      <c r="BB405" s="152">
        <v>0</v>
      </c>
      <c r="BC405" s="157">
        <v>44593</v>
      </c>
      <c r="BD405" s="157">
        <v>44593</v>
      </c>
      <c r="BE405" s="158">
        <v>135120</v>
      </c>
      <c r="BF405" s="152" t="s">
        <v>3433</v>
      </c>
      <c r="BG405" s="159" t="s">
        <v>894</v>
      </c>
      <c r="BH405" s="152">
        <v>67.56</v>
      </c>
      <c r="BI405" s="152">
        <v>0</v>
      </c>
      <c r="BJ405" s="152">
        <v>0</v>
      </c>
      <c r="BK405" s="152" t="s">
        <v>132</v>
      </c>
      <c r="BL405" s="152">
        <v>67.56</v>
      </c>
      <c r="BM405" s="152">
        <v>776823</v>
      </c>
      <c r="BN405" s="157" t="s">
        <v>1453</v>
      </c>
    </row>
    <row r="406" spans="1:66">
      <c r="A406" s="152" t="s">
        <v>3434</v>
      </c>
      <c r="B406" s="152" t="s">
        <v>3435</v>
      </c>
      <c r="C406" s="152" t="s">
        <v>3436</v>
      </c>
      <c r="D406" s="152" t="s">
        <v>3437</v>
      </c>
      <c r="E406" s="152" t="s">
        <v>3437</v>
      </c>
      <c r="F406" s="152">
        <v>276304</v>
      </c>
      <c r="G406" s="152">
        <v>44</v>
      </c>
      <c r="H406" s="152">
        <v>639</v>
      </c>
      <c r="I406" s="152">
        <v>150712</v>
      </c>
      <c r="J406" s="152">
        <v>420.25</v>
      </c>
      <c r="K406" s="152">
        <v>48728</v>
      </c>
      <c r="L406" s="159" t="s">
        <v>2426</v>
      </c>
      <c r="M406" s="152" t="s">
        <v>92</v>
      </c>
      <c r="N406" s="152" t="s">
        <v>883</v>
      </c>
      <c r="O406" s="159">
        <v>6346</v>
      </c>
      <c r="P406" s="159" t="s">
        <v>2426</v>
      </c>
      <c r="Q406" s="152" t="s">
        <v>92</v>
      </c>
      <c r="R406" s="152" t="s">
        <v>883</v>
      </c>
      <c r="S406" s="159">
        <v>6346</v>
      </c>
      <c r="T406" s="159" t="s">
        <v>856</v>
      </c>
      <c r="U406" s="159" t="s">
        <v>856</v>
      </c>
      <c r="V406" s="152" t="s">
        <v>1550</v>
      </c>
      <c r="W406" s="152" t="s">
        <v>858</v>
      </c>
      <c r="X406" s="152" t="s">
        <v>1083</v>
      </c>
      <c r="Y406" s="152">
        <v>0</v>
      </c>
      <c r="Z406" s="152">
        <v>0</v>
      </c>
      <c r="AA406" s="152" t="s">
        <v>92</v>
      </c>
      <c r="AB406" s="152">
        <v>43</v>
      </c>
      <c r="AC406" s="152">
        <v>2</v>
      </c>
      <c r="AD406" s="152" t="s">
        <v>861</v>
      </c>
      <c r="AE406" s="152">
        <v>43</v>
      </c>
      <c r="AF406" s="152">
        <v>0</v>
      </c>
      <c r="AG406" s="152" t="s">
        <v>861</v>
      </c>
      <c r="AH406" s="152" t="s">
        <v>861</v>
      </c>
      <c r="AI406" s="152" t="s">
        <v>92</v>
      </c>
      <c r="AJ406" s="152" t="s">
        <v>92</v>
      </c>
      <c r="AK406" s="152" t="s">
        <v>912</v>
      </c>
      <c r="AL406" s="159" t="s">
        <v>856</v>
      </c>
      <c r="AP406" s="159" t="s">
        <v>856</v>
      </c>
      <c r="AQ406" s="159" t="s">
        <v>856</v>
      </c>
      <c r="AR406" s="159" t="s">
        <v>2803</v>
      </c>
      <c r="AS406" s="159" t="s">
        <v>865</v>
      </c>
      <c r="AT406" s="152" t="str">
        <f t="shared" si="33"/>
        <v>RPNC8-591221</v>
      </c>
      <c r="AU406" s="152" t="str">
        <f t="shared" si="34"/>
        <v>FERNANDO JESUS CANASTUJ IXCAQUIC</v>
      </c>
      <c r="AV406" s="159">
        <v>541.79999999999995</v>
      </c>
      <c r="AW406" s="159">
        <v>777745</v>
      </c>
      <c r="AX406" s="159" t="s">
        <v>856</v>
      </c>
      <c r="AY406" s="159" t="s">
        <v>856</v>
      </c>
      <c r="AZ406" s="152" t="s">
        <v>864</v>
      </c>
      <c r="BA406" s="152" t="str">
        <f t="shared" si="35"/>
        <v>L22-092-SP219</v>
      </c>
      <c r="BB406" s="152">
        <v>0</v>
      </c>
      <c r="BC406" s="157">
        <v>44594</v>
      </c>
      <c r="BD406" s="157">
        <v>44594</v>
      </c>
      <c r="BE406" s="158">
        <v>107500</v>
      </c>
      <c r="BF406" s="152" t="s">
        <v>3438</v>
      </c>
      <c r="BG406" s="159" t="s">
        <v>894</v>
      </c>
      <c r="BH406" s="152">
        <v>43</v>
      </c>
      <c r="BI406" s="152">
        <v>0</v>
      </c>
      <c r="BJ406" s="152">
        <v>0</v>
      </c>
      <c r="BK406" s="152" t="s">
        <v>132</v>
      </c>
      <c r="BL406" s="152">
        <v>43</v>
      </c>
      <c r="BM406" s="152">
        <v>777746</v>
      </c>
      <c r="BN406" s="157" t="s">
        <v>1453</v>
      </c>
    </row>
    <row r="407" spans="1:66">
      <c r="A407" s="152" t="s">
        <v>3439</v>
      </c>
      <c r="B407" s="152" t="s">
        <v>3440</v>
      </c>
      <c r="C407" s="152" t="s">
        <v>3441</v>
      </c>
      <c r="D407" s="152" t="s">
        <v>3442</v>
      </c>
      <c r="E407" s="152" t="s">
        <v>3442</v>
      </c>
      <c r="F407" s="152">
        <v>7794</v>
      </c>
      <c r="G407" s="152">
        <v>294</v>
      </c>
      <c r="H407" s="152" t="s">
        <v>3443</v>
      </c>
      <c r="I407" s="152">
        <v>202720</v>
      </c>
      <c r="J407" s="152">
        <v>183.05</v>
      </c>
      <c r="K407" s="152">
        <v>89486</v>
      </c>
      <c r="L407" s="159" t="s">
        <v>856</v>
      </c>
      <c r="M407" s="152" t="s">
        <v>92</v>
      </c>
      <c r="N407" s="152" t="s">
        <v>92</v>
      </c>
      <c r="O407" s="159" t="s">
        <v>856</v>
      </c>
      <c r="P407" s="159" t="s">
        <v>856</v>
      </c>
      <c r="Q407" s="152" t="s">
        <v>92</v>
      </c>
      <c r="R407" s="152" t="s">
        <v>92</v>
      </c>
      <c r="S407" s="159" t="s">
        <v>856</v>
      </c>
      <c r="T407" s="159" t="s">
        <v>856</v>
      </c>
      <c r="U407" s="159" t="s">
        <v>856</v>
      </c>
      <c r="V407" s="152" t="s">
        <v>857</v>
      </c>
      <c r="W407" s="152" t="s">
        <v>858</v>
      </c>
      <c r="X407" s="152" t="s">
        <v>1083</v>
      </c>
      <c r="Y407" s="152">
        <v>22</v>
      </c>
      <c r="Z407" s="152">
        <v>1</v>
      </c>
      <c r="AA407" s="152" t="s">
        <v>92</v>
      </c>
      <c r="AB407" s="152">
        <v>55.67</v>
      </c>
      <c r="AC407" s="152">
        <v>1</v>
      </c>
      <c r="AD407" s="152" t="s">
        <v>861</v>
      </c>
      <c r="AE407" s="152">
        <v>55.67</v>
      </c>
      <c r="AF407" s="152">
        <v>0</v>
      </c>
      <c r="AG407" s="152" t="s">
        <v>861</v>
      </c>
      <c r="AH407" s="152" t="s">
        <v>861</v>
      </c>
      <c r="AI407" s="152" t="s">
        <v>92</v>
      </c>
      <c r="AJ407" s="152" t="s">
        <v>92</v>
      </c>
      <c r="AK407" s="152" t="s">
        <v>862</v>
      </c>
      <c r="AL407" s="159" t="s">
        <v>856</v>
      </c>
      <c r="AP407" s="159" t="s">
        <v>856</v>
      </c>
      <c r="AQ407" s="159" t="s">
        <v>856</v>
      </c>
      <c r="AR407" s="159" t="s">
        <v>863</v>
      </c>
      <c r="AS407" s="159" t="s">
        <v>865</v>
      </c>
      <c r="AT407" s="152" t="str">
        <f t="shared" si="33"/>
        <v>RPNH1-721121</v>
      </c>
      <c r="AU407" s="152" t="str">
        <f t="shared" si="34"/>
        <v>IRMA PATRICIA HERNANDEZ IXQUIAC</v>
      </c>
      <c r="AV407" s="159">
        <v>712.27</v>
      </c>
      <c r="AW407" s="159">
        <v>778675</v>
      </c>
      <c r="AX407" s="159">
        <v>41.65</v>
      </c>
      <c r="AY407" s="159">
        <v>778676</v>
      </c>
      <c r="AZ407" s="152" t="s">
        <v>864</v>
      </c>
      <c r="BA407" s="152" t="str">
        <f t="shared" si="35"/>
        <v>L22-917-JM003</v>
      </c>
      <c r="BB407" s="152">
        <v>0</v>
      </c>
      <c r="BC407" s="157">
        <v>44595</v>
      </c>
      <c r="BD407" s="157">
        <v>44595</v>
      </c>
      <c r="BE407" s="158">
        <v>122640</v>
      </c>
      <c r="BG407" s="159" t="s">
        <v>2033</v>
      </c>
      <c r="BI407" s="152">
        <v>0</v>
      </c>
      <c r="BJ407" s="152">
        <v>0</v>
      </c>
      <c r="BK407" s="152" t="s">
        <v>132</v>
      </c>
      <c r="BN407" s="157" t="s">
        <v>1453</v>
      </c>
    </row>
    <row r="408" spans="1:66">
      <c r="A408" s="152" t="s">
        <v>3444</v>
      </c>
      <c r="B408" s="152" t="s">
        <v>3445</v>
      </c>
      <c r="C408" s="152" t="s">
        <v>3446</v>
      </c>
      <c r="D408" s="152" t="s">
        <v>3447</v>
      </c>
      <c r="E408" s="152" t="s">
        <v>2562</v>
      </c>
      <c r="F408" s="152">
        <v>8245</v>
      </c>
      <c r="G408" s="152">
        <v>245</v>
      </c>
      <c r="H408" s="152" t="s">
        <v>3448</v>
      </c>
      <c r="I408" s="152">
        <v>202428</v>
      </c>
      <c r="J408" s="152">
        <v>80.39</v>
      </c>
      <c r="K408" s="152">
        <v>89250</v>
      </c>
      <c r="L408" s="159" t="s">
        <v>856</v>
      </c>
      <c r="M408" s="152" t="s">
        <v>92</v>
      </c>
      <c r="N408" s="152" t="s">
        <v>92</v>
      </c>
      <c r="O408" s="159" t="s">
        <v>856</v>
      </c>
      <c r="P408" s="159" t="s">
        <v>856</v>
      </c>
      <c r="Q408" s="152" t="s">
        <v>92</v>
      </c>
      <c r="R408" s="152" t="s">
        <v>92</v>
      </c>
      <c r="S408" s="159" t="s">
        <v>856</v>
      </c>
      <c r="T408" s="159" t="s">
        <v>856</v>
      </c>
      <c r="U408" s="159" t="s">
        <v>856</v>
      </c>
      <c r="V408" s="152" t="s">
        <v>857</v>
      </c>
      <c r="W408" s="152" t="s">
        <v>858</v>
      </c>
      <c r="X408" s="152" t="s">
        <v>1083</v>
      </c>
      <c r="Y408" s="152">
        <v>0</v>
      </c>
      <c r="Z408" s="152">
        <v>1</v>
      </c>
      <c r="AA408" s="152" t="s">
        <v>883</v>
      </c>
      <c r="AB408" s="152">
        <v>77.040000000000006</v>
      </c>
      <c r="AC408" s="152">
        <v>1</v>
      </c>
      <c r="AD408" s="152" t="s">
        <v>861</v>
      </c>
      <c r="AE408" s="152">
        <v>77.040000000000006</v>
      </c>
      <c r="AF408" s="152">
        <v>0</v>
      </c>
      <c r="AG408" s="152" t="s">
        <v>861</v>
      </c>
      <c r="AH408" s="152" t="s">
        <v>861</v>
      </c>
      <c r="AI408" s="152" t="s">
        <v>92</v>
      </c>
      <c r="AJ408" s="152" t="s">
        <v>92</v>
      </c>
      <c r="AK408" s="152" t="s">
        <v>862</v>
      </c>
      <c r="AL408" s="159" t="s">
        <v>856</v>
      </c>
      <c r="AP408" s="159" t="s">
        <v>856</v>
      </c>
      <c r="AQ408" s="159" t="s">
        <v>856</v>
      </c>
      <c r="AR408" s="159" t="s">
        <v>863</v>
      </c>
      <c r="AS408" s="159" t="s">
        <v>865</v>
      </c>
      <c r="AT408" s="152" t="str">
        <f t="shared" si="33"/>
        <v>RPNL1-751221</v>
      </c>
      <c r="AU408" s="152" t="str">
        <f t="shared" si="34"/>
        <v>ANIBAL EDUARDO LOARCA DE LEON</v>
      </c>
      <c r="AV408" s="159">
        <v>776.56</v>
      </c>
      <c r="AW408" s="159">
        <v>788513</v>
      </c>
      <c r="AX408" s="159" t="s">
        <v>856</v>
      </c>
      <c r="AY408" s="159" t="s">
        <v>856</v>
      </c>
      <c r="AZ408" s="152" t="s">
        <v>864</v>
      </c>
      <c r="BA408" s="152" t="str">
        <f t="shared" si="35"/>
        <v>L22-763-JM013</v>
      </c>
      <c r="BB408" s="152">
        <v>0</v>
      </c>
      <c r="BC408" s="157">
        <v>44617</v>
      </c>
      <c r="BD408" s="157">
        <v>44617</v>
      </c>
      <c r="BE408" s="158">
        <v>154080</v>
      </c>
      <c r="BF408" s="152" t="s">
        <v>3449</v>
      </c>
      <c r="BG408" s="159" t="s">
        <v>894</v>
      </c>
      <c r="BH408" s="152">
        <v>77.040000000000006</v>
      </c>
      <c r="BI408" s="152">
        <v>0</v>
      </c>
      <c r="BJ408" s="152">
        <v>0</v>
      </c>
      <c r="BK408" s="152" t="s">
        <v>132</v>
      </c>
      <c r="BL408" s="152">
        <v>77.040000000000006</v>
      </c>
      <c r="BM408" s="152">
        <v>788514</v>
      </c>
      <c r="BN408" s="157" t="s">
        <v>1453</v>
      </c>
    </row>
    <row r="409" spans="1:66">
      <c r="A409" s="152" t="s">
        <v>3450</v>
      </c>
      <c r="B409" s="152" t="s">
        <v>3451</v>
      </c>
      <c r="C409" s="152" t="s">
        <v>3452</v>
      </c>
      <c r="D409" s="152" t="s">
        <v>3453</v>
      </c>
      <c r="E409" s="152" t="s">
        <v>3453</v>
      </c>
      <c r="F409" s="152">
        <v>3955</v>
      </c>
      <c r="G409" s="152">
        <v>455</v>
      </c>
      <c r="H409" s="152" t="s">
        <v>891</v>
      </c>
      <c r="I409" s="152">
        <v>204500</v>
      </c>
      <c r="J409" s="152">
        <v>131</v>
      </c>
      <c r="K409" s="152">
        <v>90750</v>
      </c>
      <c r="L409" s="159" t="s">
        <v>856</v>
      </c>
      <c r="M409" s="152" t="s">
        <v>92</v>
      </c>
      <c r="N409" s="152" t="s">
        <v>92</v>
      </c>
      <c r="O409" s="159" t="s">
        <v>856</v>
      </c>
      <c r="P409" s="159" t="s">
        <v>856</v>
      </c>
      <c r="Q409" s="152" t="s">
        <v>92</v>
      </c>
      <c r="R409" s="152" t="s">
        <v>92</v>
      </c>
      <c r="S409" s="159" t="s">
        <v>856</v>
      </c>
      <c r="T409" s="159" t="s">
        <v>856</v>
      </c>
      <c r="U409" s="159" t="s">
        <v>856</v>
      </c>
      <c r="V409" s="152" t="s">
        <v>3454</v>
      </c>
      <c r="W409" s="152" t="s">
        <v>858</v>
      </c>
      <c r="X409" s="152" t="s">
        <v>1083</v>
      </c>
      <c r="Y409" s="152">
        <v>0</v>
      </c>
      <c r="Z409" s="152">
        <v>4</v>
      </c>
      <c r="AA409" s="152" t="s">
        <v>92</v>
      </c>
      <c r="AB409" s="152">
        <v>168.09</v>
      </c>
      <c r="AC409" s="152">
        <v>2</v>
      </c>
      <c r="AD409" s="152" t="s">
        <v>861</v>
      </c>
      <c r="AE409" s="152">
        <v>110.76</v>
      </c>
      <c r="AF409" s="152">
        <v>57.33</v>
      </c>
      <c r="AG409" s="152" t="s">
        <v>861</v>
      </c>
      <c r="AH409" s="152" t="s">
        <v>861</v>
      </c>
      <c r="AI409" s="152" t="s">
        <v>92</v>
      </c>
      <c r="AJ409" s="152" t="s">
        <v>92</v>
      </c>
      <c r="AK409" s="152" t="s">
        <v>912</v>
      </c>
      <c r="AL409" s="159" t="s">
        <v>856</v>
      </c>
      <c r="AP409" s="159" t="s">
        <v>856</v>
      </c>
      <c r="AQ409" s="159" t="s">
        <v>856</v>
      </c>
      <c r="AR409" s="159" t="s">
        <v>863</v>
      </c>
      <c r="AS409" s="159" t="s">
        <v>865</v>
      </c>
      <c r="AT409" s="152" t="str">
        <f t="shared" si="33"/>
        <v>RPNA5-270221</v>
      </c>
      <c r="AU409" s="152" t="str">
        <f t="shared" si="34"/>
        <v>MARIA TERESA ALVARADO IXQUIACCHE</v>
      </c>
      <c r="AV409" s="159">
        <v>2599.5100000000002</v>
      </c>
      <c r="AW409" s="159">
        <v>789512</v>
      </c>
      <c r="AX409" s="159">
        <v>112</v>
      </c>
      <c r="AY409" s="159">
        <v>789514</v>
      </c>
      <c r="AZ409" s="152" t="s">
        <v>864</v>
      </c>
      <c r="BA409" s="152" t="str">
        <f t="shared" si="35"/>
        <v>L22-918-JM119</v>
      </c>
      <c r="BB409" s="152">
        <v>0</v>
      </c>
      <c r="BC409" s="157">
        <v>44620</v>
      </c>
      <c r="BD409" s="157">
        <v>44620</v>
      </c>
      <c r="BE409" s="158">
        <v>420225</v>
      </c>
      <c r="BF409" s="152" t="s">
        <v>3456</v>
      </c>
      <c r="BG409" s="159" t="s">
        <v>894</v>
      </c>
      <c r="BH409" s="152">
        <v>110.76</v>
      </c>
      <c r="BI409" s="152">
        <v>57.33</v>
      </c>
      <c r="BJ409" s="152">
        <v>0</v>
      </c>
      <c r="BK409" s="152" t="s">
        <v>995</v>
      </c>
      <c r="BL409" s="152">
        <v>182.42</v>
      </c>
      <c r="BM409" s="152">
        <v>789513</v>
      </c>
      <c r="BN409" s="157" t="s">
        <v>3455</v>
      </c>
    </row>
    <row r="410" spans="1:66">
      <c r="A410" s="152" t="s">
        <v>3457</v>
      </c>
      <c r="B410" s="152" t="s">
        <v>3458</v>
      </c>
      <c r="C410" s="152" t="s">
        <v>3459</v>
      </c>
      <c r="D410" s="152" t="s">
        <v>3460</v>
      </c>
      <c r="E410" s="152" t="s">
        <v>3460</v>
      </c>
      <c r="F410" s="152">
        <v>217353</v>
      </c>
      <c r="G410" s="152">
        <v>193</v>
      </c>
      <c r="H410" s="152">
        <v>444</v>
      </c>
      <c r="I410" s="152">
        <v>18496</v>
      </c>
      <c r="J410" s="152">
        <v>218.5</v>
      </c>
      <c r="K410" s="152">
        <v>21832</v>
      </c>
      <c r="L410" s="159" t="s">
        <v>856</v>
      </c>
      <c r="M410" s="152" t="s">
        <v>92</v>
      </c>
      <c r="N410" s="152" t="s">
        <v>92</v>
      </c>
      <c r="O410" s="159" t="s">
        <v>856</v>
      </c>
      <c r="P410" s="159" t="s">
        <v>856</v>
      </c>
      <c r="Q410" s="152" t="s">
        <v>92</v>
      </c>
      <c r="R410" s="152" t="s">
        <v>92</v>
      </c>
      <c r="S410" s="159" t="s">
        <v>856</v>
      </c>
      <c r="T410" s="159" t="s">
        <v>856</v>
      </c>
      <c r="U410" s="159" t="s">
        <v>856</v>
      </c>
      <c r="V410" s="152" t="s">
        <v>857</v>
      </c>
      <c r="W410" s="152" t="s">
        <v>858</v>
      </c>
      <c r="X410" s="152" t="s">
        <v>1083</v>
      </c>
      <c r="Y410" s="152">
        <v>0</v>
      </c>
      <c r="Z410" s="152">
        <v>1</v>
      </c>
      <c r="AA410" s="152" t="s">
        <v>92</v>
      </c>
      <c r="AB410" s="152">
        <v>261.01</v>
      </c>
      <c r="AC410" s="152">
        <v>3</v>
      </c>
      <c r="AD410" s="152" t="s">
        <v>861</v>
      </c>
      <c r="AE410" s="152">
        <v>261.01</v>
      </c>
      <c r="AF410" s="152">
        <v>0</v>
      </c>
      <c r="AG410" s="152" t="s">
        <v>861</v>
      </c>
      <c r="AH410" s="152" t="s">
        <v>861</v>
      </c>
      <c r="AI410" s="152" t="s">
        <v>92</v>
      </c>
      <c r="AJ410" s="152" t="s">
        <v>92</v>
      </c>
      <c r="AK410" s="152" t="s">
        <v>884</v>
      </c>
      <c r="AL410" s="159" t="s">
        <v>856</v>
      </c>
      <c r="AP410" s="159" t="s">
        <v>856</v>
      </c>
      <c r="AQ410" s="159" t="s">
        <v>856</v>
      </c>
      <c r="AR410" s="159" t="s">
        <v>1034</v>
      </c>
      <c r="AS410" s="159" t="s">
        <v>865</v>
      </c>
      <c r="AT410" s="152" t="str">
        <f t="shared" si="33"/>
        <v>RPNL8-020122</v>
      </c>
      <c r="AU410" s="152" t="str">
        <f t="shared" si="34"/>
        <v>VIVIAN LISBETH LOPEZ BARRIOS DE PEREZ</v>
      </c>
      <c r="AV410" s="159">
        <v>3946.47</v>
      </c>
      <c r="AW410" s="159">
        <v>786125</v>
      </c>
      <c r="AX410" s="159">
        <v>49.75</v>
      </c>
      <c r="AY410" s="159">
        <v>786126</v>
      </c>
      <c r="AZ410" s="152" t="s">
        <v>864</v>
      </c>
      <c r="BA410" s="152" t="str">
        <f t="shared" si="35"/>
        <v>L22-919-AQ133</v>
      </c>
      <c r="BB410" s="152">
        <v>0</v>
      </c>
      <c r="BC410" s="157">
        <v>44606</v>
      </c>
      <c r="BD410" s="157">
        <v>44606</v>
      </c>
      <c r="BE410" s="158">
        <v>783030</v>
      </c>
      <c r="BG410" s="159" t="s">
        <v>2033</v>
      </c>
      <c r="BI410" s="152">
        <v>0</v>
      </c>
      <c r="BJ410" s="152">
        <v>0</v>
      </c>
      <c r="BK410" s="152" t="s">
        <v>132</v>
      </c>
      <c r="BN410" s="157" t="s">
        <v>1453</v>
      </c>
    </row>
    <row r="411" spans="1:66">
      <c r="A411" s="152" t="s">
        <v>3461</v>
      </c>
      <c r="B411" s="152" t="s">
        <v>3462</v>
      </c>
      <c r="C411" s="152" t="s">
        <v>3463</v>
      </c>
      <c r="D411" s="152" t="s">
        <v>3464</v>
      </c>
      <c r="E411" s="152" t="s">
        <v>3464</v>
      </c>
      <c r="F411" s="152">
        <v>8943</v>
      </c>
      <c r="G411" s="152">
        <v>443</v>
      </c>
      <c r="H411" s="152" t="s">
        <v>870</v>
      </c>
      <c r="I411" s="152">
        <v>201811</v>
      </c>
      <c r="J411" s="152">
        <v>144</v>
      </c>
      <c r="K411" s="152">
        <v>88750</v>
      </c>
      <c r="L411" s="159" t="s">
        <v>856</v>
      </c>
      <c r="M411" s="152" t="s">
        <v>92</v>
      </c>
      <c r="N411" s="152" t="s">
        <v>92</v>
      </c>
      <c r="O411" s="159" t="s">
        <v>856</v>
      </c>
      <c r="P411" s="159" t="s">
        <v>856</v>
      </c>
      <c r="Q411" s="152" t="s">
        <v>92</v>
      </c>
      <c r="R411" s="152" t="s">
        <v>92</v>
      </c>
      <c r="S411" s="159" t="s">
        <v>856</v>
      </c>
      <c r="T411" s="159" t="s">
        <v>856</v>
      </c>
      <c r="U411" s="159" t="s">
        <v>856</v>
      </c>
      <c r="V411" s="152" t="s">
        <v>857</v>
      </c>
      <c r="W411" s="152" t="s">
        <v>858</v>
      </c>
      <c r="X411" s="152" t="s">
        <v>1083</v>
      </c>
      <c r="Y411" s="152">
        <v>58.48</v>
      </c>
      <c r="Z411" s="152">
        <v>1</v>
      </c>
      <c r="AA411" s="152" t="s">
        <v>92</v>
      </c>
      <c r="AB411" s="152">
        <v>220.08</v>
      </c>
      <c r="AC411" s="152">
        <v>2</v>
      </c>
      <c r="AD411" s="152" t="s">
        <v>861</v>
      </c>
      <c r="AE411" s="152">
        <v>220.08</v>
      </c>
      <c r="AF411" s="152">
        <v>0</v>
      </c>
      <c r="AG411" s="152" t="s">
        <v>861</v>
      </c>
      <c r="AH411" s="152" t="s">
        <v>861</v>
      </c>
      <c r="AI411" s="152" t="s">
        <v>92</v>
      </c>
      <c r="AJ411" s="152" t="s">
        <v>92</v>
      </c>
      <c r="AK411" s="152" t="s">
        <v>972</v>
      </c>
      <c r="AL411" s="159" t="s">
        <v>856</v>
      </c>
      <c r="AP411" s="159" t="s">
        <v>856</v>
      </c>
      <c r="AQ411" s="159" t="s">
        <v>856</v>
      </c>
      <c r="AR411" s="159" t="s">
        <v>863</v>
      </c>
      <c r="AS411" s="159" t="s">
        <v>865</v>
      </c>
      <c r="AT411" s="152" t="str">
        <f t="shared" si="33"/>
        <v>RPNP5-480821</v>
      </c>
      <c r="AU411" s="152" t="str">
        <f t="shared" si="34"/>
        <v>CARLOS ELISEO PUAC MANTANIC</v>
      </c>
      <c r="AV411" s="159">
        <v>2887.63</v>
      </c>
      <c r="AW411" s="159">
        <v>779936</v>
      </c>
      <c r="AX411" s="159">
        <v>40</v>
      </c>
      <c r="AY411" s="159">
        <v>779938</v>
      </c>
      <c r="AZ411" s="152" t="s">
        <v>864</v>
      </c>
      <c r="BA411" s="152" t="str">
        <f t="shared" si="35"/>
        <v>L22-781-JM179</v>
      </c>
      <c r="BB411" s="152">
        <v>0</v>
      </c>
      <c r="BC411" s="157">
        <v>44600</v>
      </c>
      <c r="BD411" s="157">
        <v>44600</v>
      </c>
      <c r="BE411" s="158">
        <v>570668</v>
      </c>
      <c r="BF411" s="152" t="s">
        <v>3465</v>
      </c>
      <c r="BG411" s="159" t="s">
        <v>894</v>
      </c>
      <c r="BH411" s="152">
        <v>220.08</v>
      </c>
      <c r="BI411" s="152">
        <v>0</v>
      </c>
      <c r="BJ411" s="152">
        <v>0</v>
      </c>
      <c r="BK411" s="152" t="s">
        <v>132</v>
      </c>
      <c r="BL411" s="152">
        <v>220.08</v>
      </c>
      <c r="BM411" s="152">
        <v>779937</v>
      </c>
      <c r="BN411" s="157" t="s">
        <v>1453</v>
      </c>
    </row>
    <row r="412" spans="1:66">
      <c r="A412" s="152" t="s">
        <v>3466</v>
      </c>
      <c r="B412" s="152" t="s">
        <v>3467</v>
      </c>
      <c r="C412" s="152" t="s">
        <v>3468</v>
      </c>
      <c r="D412" s="152" t="s">
        <v>3469</v>
      </c>
      <c r="E412" s="152" t="s">
        <v>3470</v>
      </c>
      <c r="F412" s="152">
        <v>1836</v>
      </c>
      <c r="G412" s="152">
        <v>336</v>
      </c>
      <c r="H412" s="152" t="s">
        <v>3471</v>
      </c>
      <c r="I412" s="152">
        <v>181665</v>
      </c>
      <c r="J412" s="152">
        <v>317.91000000000003</v>
      </c>
      <c r="K412" s="152">
        <v>73487</v>
      </c>
      <c r="L412" s="159" t="s">
        <v>2648</v>
      </c>
      <c r="M412" s="152" t="s">
        <v>883</v>
      </c>
      <c r="N412" s="152" t="s">
        <v>92</v>
      </c>
      <c r="O412" s="159">
        <v>6669</v>
      </c>
      <c r="P412" s="159" t="s">
        <v>2648</v>
      </c>
      <c r="Q412" s="152" t="s">
        <v>883</v>
      </c>
      <c r="R412" s="152" t="s">
        <v>92</v>
      </c>
      <c r="S412" s="159">
        <v>6669</v>
      </c>
      <c r="T412" s="159" t="s">
        <v>3472</v>
      </c>
      <c r="U412" s="159" t="s">
        <v>3473</v>
      </c>
      <c r="V412" s="152" t="s">
        <v>911</v>
      </c>
      <c r="W412" s="152" t="s">
        <v>858</v>
      </c>
      <c r="X412" s="152" t="s">
        <v>1083</v>
      </c>
      <c r="Y412" s="152">
        <v>0</v>
      </c>
      <c r="Z412" s="152">
        <v>2</v>
      </c>
      <c r="AA412" s="152" t="s">
        <v>883</v>
      </c>
      <c r="AB412" s="152">
        <v>286.56</v>
      </c>
      <c r="AC412" s="152">
        <v>3</v>
      </c>
      <c r="AD412" s="152" t="s">
        <v>861</v>
      </c>
      <c r="AE412" s="152">
        <v>286.56</v>
      </c>
      <c r="AF412" s="152">
        <v>0</v>
      </c>
      <c r="AG412" s="152">
        <v>222.71</v>
      </c>
      <c r="AH412" s="152">
        <v>5.6</v>
      </c>
      <c r="AI412" s="152" t="s">
        <v>883</v>
      </c>
      <c r="AJ412" s="152" t="s">
        <v>92</v>
      </c>
      <c r="AK412" s="152" t="s">
        <v>872</v>
      </c>
      <c r="AL412" s="159" t="s">
        <v>856</v>
      </c>
      <c r="AP412" s="159" t="s">
        <v>856</v>
      </c>
      <c r="AQ412" s="159" t="s">
        <v>856</v>
      </c>
      <c r="AR412" s="159" t="s">
        <v>1953</v>
      </c>
      <c r="AS412" s="159" t="s">
        <v>865</v>
      </c>
      <c r="AT412" s="152" t="str">
        <f t="shared" si="33"/>
        <v>VUNL9-041121</v>
      </c>
      <c r="AU412" s="152" t="str">
        <f t="shared" si="34"/>
        <v>YEISY ULIZES LOPEZ LOPEZ</v>
      </c>
      <c r="AV412" s="159">
        <v>4332.79</v>
      </c>
      <c r="AW412" s="159">
        <v>797910</v>
      </c>
      <c r="AX412" s="159" t="s">
        <v>856</v>
      </c>
      <c r="AY412" s="159" t="s">
        <v>856</v>
      </c>
      <c r="AZ412" s="152" t="s">
        <v>864</v>
      </c>
      <c r="BA412" s="152" t="str">
        <f t="shared" si="35"/>
        <v>L22-216-SP025</v>
      </c>
      <c r="BB412" s="152">
        <v>50</v>
      </c>
      <c r="BC412" s="157">
        <v>44648</v>
      </c>
      <c r="BD412" s="157">
        <v>45013</v>
      </c>
      <c r="BE412" s="158">
        <v>859680</v>
      </c>
      <c r="BF412" s="152" t="s">
        <v>3474</v>
      </c>
      <c r="BG412" s="159" t="s">
        <v>3475</v>
      </c>
      <c r="BH412" s="152">
        <v>286.56</v>
      </c>
      <c r="BI412" s="152">
        <v>0</v>
      </c>
      <c r="BJ412" s="152">
        <v>0</v>
      </c>
      <c r="BK412" s="152" t="s">
        <v>132</v>
      </c>
      <c r="BL412" s="152">
        <v>286.56</v>
      </c>
      <c r="BM412" s="152">
        <v>797911</v>
      </c>
      <c r="BN412" s="157" t="s">
        <v>1453</v>
      </c>
    </row>
    <row r="413" spans="1:66">
      <c r="A413" s="152" t="s">
        <v>3476</v>
      </c>
      <c r="B413" s="152" t="s">
        <v>3477</v>
      </c>
      <c r="C413" s="152" t="s">
        <v>3176</v>
      </c>
      <c r="D413" s="152" t="s">
        <v>3478</v>
      </c>
      <c r="E413" s="152" t="s">
        <v>2562</v>
      </c>
      <c r="F413" s="152">
        <v>1130</v>
      </c>
      <c r="G413" s="152">
        <v>130</v>
      </c>
      <c r="H413" s="152" t="s">
        <v>3148</v>
      </c>
      <c r="I413" s="152">
        <v>200584</v>
      </c>
      <c r="J413" s="152">
        <v>105</v>
      </c>
      <c r="K413" s="152">
        <v>87755</v>
      </c>
      <c r="L413" s="159" t="s">
        <v>1508</v>
      </c>
      <c r="M413" s="152" t="s">
        <v>883</v>
      </c>
      <c r="N413" s="152" t="s">
        <v>92</v>
      </c>
      <c r="O413" s="159">
        <v>11147</v>
      </c>
      <c r="P413" s="159" t="s">
        <v>1508</v>
      </c>
      <c r="Q413" s="152" t="s">
        <v>883</v>
      </c>
      <c r="R413" s="152" t="s">
        <v>92</v>
      </c>
      <c r="S413" s="159">
        <v>11147</v>
      </c>
      <c r="T413" s="159" t="s">
        <v>3479</v>
      </c>
      <c r="U413" s="159" t="s">
        <v>3480</v>
      </c>
      <c r="V413" s="152" t="s">
        <v>857</v>
      </c>
      <c r="W413" s="152" t="s">
        <v>858</v>
      </c>
      <c r="X413" s="152" t="s">
        <v>1083</v>
      </c>
      <c r="Y413" s="152">
        <v>0</v>
      </c>
      <c r="Z413" s="152">
        <v>1</v>
      </c>
      <c r="AA413" s="152" t="s">
        <v>92</v>
      </c>
      <c r="AB413" s="152">
        <v>124</v>
      </c>
      <c r="AC413" s="152">
        <v>2</v>
      </c>
      <c r="AD413" s="152" t="s">
        <v>861</v>
      </c>
      <c r="AE413" s="152">
        <v>124</v>
      </c>
      <c r="AF413" s="152">
        <v>0</v>
      </c>
      <c r="AG413" s="152" t="s">
        <v>861</v>
      </c>
      <c r="AH413" s="152" t="s">
        <v>861</v>
      </c>
      <c r="AI413" s="152" t="s">
        <v>92</v>
      </c>
      <c r="AJ413" s="152" t="s">
        <v>92</v>
      </c>
      <c r="AK413" s="152" t="s">
        <v>862</v>
      </c>
      <c r="AL413" s="159" t="s">
        <v>856</v>
      </c>
      <c r="AP413" s="159" t="s">
        <v>856</v>
      </c>
      <c r="AQ413" s="159" t="s">
        <v>856</v>
      </c>
      <c r="AR413" s="159" t="s">
        <v>1953</v>
      </c>
      <c r="AS413" s="159" t="s">
        <v>865</v>
      </c>
      <c r="AT413" s="152" t="str">
        <f t="shared" si="33"/>
        <v>VUNO5-061221</v>
      </c>
      <c r="AU413" s="152" t="str">
        <f t="shared" si="34"/>
        <v>WILLIAM ARNOLDO OSORIO MARTINEZ</v>
      </c>
      <c r="AV413" s="159">
        <v>1562.4</v>
      </c>
      <c r="AW413" s="159">
        <v>798313</v>
      </c>
      <c r="AX413" s="159">
        <v>35</v>
      </c>
      <c r="AY413" s="159">
        <v>798316</v>
      </c>
      <c r="AZ413" s="152" t="s">
        <v>864</v>
      </c>
      <c r="BA413" s="152" t="str">
        <f t="shared" si="35"/>
        <v>L22-221-SP034</v>
      </c>
      <c r="BB413" s="152">
        <v>24</v>
      </c>
      <c r="BC413" s="157">
        <v>44650</v>
      </c>
      <c r="BD413" s="157">
        <v>45015</v>
      </c>
      <c r="BE413" s="158">
        <v>310000</v>
      </c>
      <c r="BF413" s="152" t="s">
        <v>3481</v>
      </c>
      <c r="BG413" s="159" t="s">
        <v>3482</v>
      </c>
      <c r="BH413" s="152">
        <v>124</v>
      </c>
      <c r="BI413" s="152">
        <v>0</v>
      </c>
      <c r="BJ413" s="152">
        <v>0</v>
      </c>
      <c r="BK413" s="152" t="s">
        <v>132</v>
      </c>
      <c r="BL413" s="152">
        <v>124</v>
      </c>
      <c r="BM413" s="152">
        <v>798315</v>
      </c>
      <c r="BN413" s="157" t="s">
        <v>1453</v>
      </c>
    </row>
    <row r="414" spans="1:66">
      <c r="A414" s="152" t="s">
        <v>3483</v>
      </c>
      <c r="B414" s="152" t="s">
        <v>3484</v>
      </c>
      <c r="C414" s="152" t="s">
        <v>3486</v>
      </c>
      <c r="D414" s="152" t="s">
        <v>3485</v>
      </c>
      <c r="E414" s="152" t="s">
        <v>3487</v>
      </c>
      <c r="F414" s="152">
        <v>3524</v>
      </c>
      <c r="G414" s="152">
        <v>24</v>
      </c>
      <c r="H414" s="152" t="s">
        <v>2571</v>
      </c>
      <c r="I414" s="152">
        <v>201526</v>
      </c>
      <c r="J414" s="152">
        <v>175.41</v>
      </c>
      <c r="K414" s="152">
        <v>88523</v>
      </c>
      <c r="L414" s="159" t="s">
        <v>2416</v>
      </c>
      <c r="M414" s="152" t="s">
        <v>92</v>
      </c>
      <c r="N414" s="152" t="s">
        <v>883</v>
      </c>
      <c r="O414" s="159">
        <v>5906</v>
      </c>
      <c r="P414" s="159" t="s">
        <v>2416</v>
      </c>
      <c r="Q414" s="152" t="s">
        <v>92</v>
      </c>
      <c r="R414" s="152" t="s">
        <v>883</v>
      </c>
      <c r="S414" s="159">
        <v>5906</v>
      </c>
      <c r="T414" s="159" t="s">
        <v>856</v>
      </c>
      <c r="U414" s="159" t="s">
        <v>856</v>
      </c>
      <c r="V414" s="152" t="s">
        <v>857</v>
      </c>
      <c r="W414" s="152" t="s">
        <v>858</v>
      </c>
      <c r="X414" s="152" t="s">
        <v>1083</v>
      </c>
      <c r="Y414" s="152">
        <v>90.33</v>
      </c>
      <c r="Z414" s="152">
        <v>1</v>
      </c>
      <c r="AA414" s="152" t="s">
        <v>883</v>
      </c>
      <c r="AB414" s="152">
        <v>111.31</v>
      </c>
      <c r="AC414" s="152">
        <v>1</v>
      </c>
      <c r="AD414" s="152" t="s">
        <v>861</v>
      </c>
      <c r="AE414" s="152">
        <v>111.31</v>
      </c>
      <c r="AF414" s="152">
        <v>0</v>
      </c>
      <c r="AG414" s="152">
        <v>64.900000000000006</v>
      </c>
      <c r="AH414" s="152" t="s">
        <v>861</v>
      </c>
      <c r="AI414" s="152" t="s">
        <v>92</v>
      </c>
      <c r="AJ414" s="152" t="s">
        <v>92</v>
      </c>
      <c r="AK414" s="152" t="s">
        <v>862</v>
      </c>
      <c r="AL414" s="159" t="s">
        <v>856</v>
      </c>
      <c r="AP414" s="159" t="s">
        <v>856</v>
      </c>
      <c r="AQ414" s="159" t="s">
        <v>856</v>
      </c>
      <c r="AR414" s="159" t="s">
        <v>863</v>
      </c>
      <c r="AS414" s="159" t="s">
        <v>865</v>
      </c>
      <c r="AT414" s="152" t="str">
        <f t="shared" si="33"/>
        <v>VUNC10-010222</v>
      </c>
      <c r="AU414" s="152" t="str">
        <f t="shared" si="34"/>
        <v>GERBIN EDUARDO COX VELASQUEZ</v>
      </c>
      <c r="AV414" s="159">
        <v>1399.85</v>
      </c>
      <c r="AW414" s="159">
        <v>798222</v>
      </c>
      <c r="AX414" s="159" t="s">
        <v>856</v>
      </c>
      <c r="AY414" s="159" t="s">
        <v>856</v>
      </c>
      <c r="AZ414" s="152" t="s">
        <v>864</v>
      </c>
      <c r="BA414" s="152" t="str">
        <f t="shared" si="35"/>
        <v>L22-219-SP007</v>
      </c>
      <c r="BB414" s="152">
        <v>15</v>
      </c>
      <c r="BC414" s="157">
        <v>44649</v>
      </c>
      <c r="BD414" s="157">
        <v>45014</v>
      </c>
      <c r="BE414" s="158">
        <v>257595.5</v>
      </c>
      <c r="BF414" s="152" t="s">
        <v>3488</v>
      </c>
      <c r="BG414" s="159" t="s">
        <v>3489</v>
      </c>
      <c r="BH414" s="152">
        <v>111.31</v>
      </c>
      <c r="BI414" s="152">
        <v>0</v>
      </c>
      <c r="BJ414" s="152">
        <v>0</v>
      </c>
      <c r="BK414" s="152" t="s">
        <v>132</v>
      </c>
      <c r="BL414" s="152">
        <v>111.31</v>
      </c>
      <c r="BM414" s="152">
        <v>798224</v>
      </c>
      <c r="BN414" s="157" t="s">
        <v>1453</v>
      </c>
    </row>
    <row r="415" spans="1:66">
      <c r="A415" s="152" t="s">
        <v>3490</v>
      </c>
      <c r="B415" s="152" t="s">
        <v>3491</v>
      </c>
      <c r="C415" s="152" t="s">
        <v>3492</v>
      </c>
      <c r="D415" s="152" t="s">
        <v>3493</v>
      </c>
      <c r="E415" s="152" t="s">
        <v>3494</v>
      </c>
      <c r="F415" s="152">
        <v>332247</v>
      </c>
      <c r="G415" s="152">
        <v>287</v>
      </c>
      <c r="H415" s="152">
        <v>824</v>
      </c>
      <c r="I415" s="152">
        <v>199774</v>
      </c>
      <c r="J415" s="152">
        <v>238.74</v>
      </c>
      <c r="K415" s="152">
        <v>87135</v>
      </c>
      <c r="L415" s="159" t="s">
        <v>3495</v>
      </c>
      <c r="M415" s="152" t="s">
        <v>92</v>
      </c>
      <c r="N415" s="152" t="s">
        <v>883</v>
      </c>
      <c r="O415" s="159">
        <v>4522</v>
      </c>
      <c r="P415" s="159" t="s">
        <v>856</v>
      </c>
      <c r="Q415" s="152" t="s">
        <v>92</v>
      </c>
      <c r="R415" s="152" t="s">
        <v>92</v>
      </c>
      <c r="S415" s="159" t="s">
        <v>856</v>
      </c>
      <c r="T415" s="159" t="s">
        <v>856</v>
      </c>
      <c r="U415" s="159" t="s">
        <v>856</v>
      </c>
      <c r="V415" s="152" t="s">
        <v>2157</v>
      </c>
      <c r="W415" s="152" t="s">
        <v>858</v>
      </c>
      <c r="X415" s="152" t="s">
        <v>1083</v>
      </c>
      <c r="Y415" s="152">
        <v>101.12</v>
      </c>
      <c r="Z415" s="152">
        <v>2</v>
      </c>
      <c r="AA415" s="152" t="s">
        <v>92</v>
      </c>
      <c r="AB415" s="152">
        <v>325.89999999999998</v>
      </c>
      <c r="AC415" s="152">
        <v>2</v>
      </c>
      <c r="AD415" s="152" t="s">
        <v>861</v>
      </c>
      <c r="AE415" s="152">
        <v>325.89999999999998</v>
      </c>
      <c r="AF415" s="152">
        <v>0</v>
      </c>
      <c r="AG415" s="152">
        <v>71.62</v>
      </c>
      <c r="AH415" s="152" t="s">
        <v>861</v>
      </c>
      <c r="AI415" s="152" t="s">
        <v>92</v>
      </c>
      <c r="AJ415" s="152" t="s">
        <v>92</v>
      </c>
      <c r="AK415" s="152" t="s">
        <v>862</v>
      </c>
      <c r="AL415" s="159" t="s">
        <v>856</v>
      </c>
      <c r="AP415" s="159" t="s">
        <v>856</v>
      </c>
      <c r="AQ415" s="159" t="s">
        <v>856</v>
      </c>
      <c r="AR415" s="159" t="s">
        <v>1953</v>
      </c>
      <c r="AS415" s="159" t="s">
        <v>865</v>
      </c>
      <c r="AT415" s="152" t="str">
        <f t="shared" si="33"/>
        <v>RPNP10-020222</v>
      </c>
      <c r="AU415" s="152" t="str">
        <f t="shared" si="34"/>
        <v>JOSUE MARTINEZ PEREZ MIRANDA</v>
      </c>
      <c r="AV415" s="159">
        <v>4435.82</v>
      </c>
      <c r="AW415" s="159">
        <v>795435</v>
      </c>
      <c r="AX415" s="159">
        <v>45.5</v>
      </c>
      <c r="AY415" s="159">
        <v>795437</v>
      </c>
      <c r="AZ415" s="152" t="s">
        <v>864</v>
      </c>
      <c r="BA415" s="152" t="str">
        <f t="shared" si="35"/>
        <v>L22-248-SP014</v>
      </c>
      <c r="BB415" s="152">
        <v>0</v>
      </c>
      <c r="BC415" s="157">
        <v>44635</v>
      </c>
      <c r="BD415" s="157">
        <v>44635</v>
      </c>
      <c r="BE415" s="158">
        <v>854518</v>
      </c>
      <c r="BF415" s="152" t="s">
        <v>3496</v>
      </c>
      <c r="BG415" s="159" t="s">
        <v>894</v>
      </c>
      <c r="BH415" s="152">
        <v>325.89999999999998</v>
      </c>
      <c r="BI415" s="152">
        <v>0</v>
      </c>
      <c r="BJ415" s="152">
        <v>0</v>
      </c>
      <c r="BK415" s="152" t="s">
        <v>132</v>
      </c>
      <c r="BL415" s="152">
        <v>325.89999999999998</v>
      </c>
      <c r="BM415" s="152">
        <v>795436</v>
      </c>
      <c r="BN415" s="157" t="s">
        <v>1453</v>
      </c>
    </row>
    <row r="416" spans="1:66">
      <c r="A416" s="152" t="s">
        <v>3497</v>
      </c>
      <c r="B416" s="152" t="s">
        <v>3498</v>
      </c>
      <c r="C416" s="152" t="s">
        <v>3499</v>
      </c>
      <c r="D416" s="152" t="s">
        <v>3500</v>
      </c>
      <c r="E416" s="152" t="s">
        <v>3500</v>
      </c>
      <c r="F416" s="152">
        <v>8417</v>
      </c>
      <c r="G416" s="152">
        <v>417</v>
      </c>
      <c r="H416" s="152" t="s">
        <v>1345</v>
      </c>
      <c r="I416" s="152">
        <v>206092</v>
      </c>
      <c r="J416" s="152">
        <v>334.4</v>
      </c>
      <c r="K416" s="152">
        <v>91957</v>
      </c>
      <c r="L416" s="159" t="s">
        <v>856</v>
      </c>
      <c r="M416" s="152" t="s">
        <v>92</v>
      </c>
      <c r="N416" s="152" t="s">
        <v>92</v>
      </c>
      <c r="O416" s="159" t="s">
        <v>856</v>
      </c>
      <c r="P416" s="159" t="s">
        <v>856</v>
      </c>
      <c r="Q416" s="152" t="s">
        <v>92</v>
      </c>
      <c r="R416" s="152" t="s">
        <v>92</v>
      </c>
      <c r="S416" s="159" t="s">
        <v>856</v>
      </c>
      <c r="T416" s="159" t="s">
        <v>856</v>
      </c>
      <c r="U416" s="159" t="s">
        <v>856</v>
      </c>
      <c r="V416" s="152" t="s">
        <v>857</v>
      </c>
      <c r="W416" s="152" t="s">
        <v>858</v>
      </c>
      <c r="X416" s="152" t="s">
        <v>1083</v>
      </c>
      <c r="Y416" s="152">
        <v>174.3</v>
      </c>
      <c r="Z416" s="152">
        <v>1</v>
      </c>
      <c r="AA416" s="152" t="s">
        <v>92</v>
      </c>
      <c r="AB416" s="152">
        <v>168.61</v>
      </c>
      <c r="AC416" s="152">
        <v>2</v>
      </c>
      <c r="AD416" s="152" t="s">
        <v>861</v>
      </c>
      <c r="AE416" s="152">
        <v>168.61</v>
      </c>
      <c r="AF416" s="152">
        <v>0</v>
      </c>
      <c r="AG416" s="152">
        <v>76.989999999999995</v>
      </c>
      <c r="AH416" s="152" t="s">
        <v>861</v>
      </c>
      <c r="AI416" s="152" t="s">
        <v>92</v>
      </c>
      <c r="AJ416" s="152" t="s">
        <v>92</v>
      </c>
      <c r="AK416" s="152" t="s">
        <v>1085</v>
      </c>
      <c r="AL416" s="159" t="s">
        <v>856</v>
      </c>
      <c r="AP416" s="159" t="s">
        <v>856</v>
      </c>
      <c r="AQ416" s="159" t="s">
        <v>856</v>
      </c>
      <c r="AR416" s="159" t="s">
        <v>873</v>
      </c>
      <c r="AS416" s="159" t="s">
        <v>865</v>
      </c>
      <c r="AT416" s="152" t="str">
        <f t="shared" si="33"/>
        <v>RPNC3-270924</v>
      </c>
      <c r="AU416" s="152" t="str">
        <f t="shared" si="34"/>
        <v>CARLOS DANILO CITALAN OROXOM</v>
      </c>
      <c r="AV416" s="159">
        <v>2466.11</v>
      </c>
      <c r="AW416" s="159">
        <v>15997491</v>
      </c>
      <c r="AX416" s="159">
        <v>40</v>
      </c>
      <c r="AY416" s="159">
        <v>15997491</v>
      </c>
      <c r="AZ416" s="152" t="s">
        <v>864</v>
      </c>
      <c r="BA416" s="152" t="str">
        <f t="shared" si="35"/>
        <v>L24-942-CB038</v>
      </c>
      <c r="BB416" s="152">
        <v>0</v>
      </c>
      <c r="BC416" s="157">
        <v>45608</v>
      </c>
      <c r="BD416" s="157">
        <v>45608</v>
      </c>
      <c r="BE416" s="158">
        <v>482530</v>
      </c>
      <c r="BG416" s="159" t="s">
        <v>2033</v>
      </c>
      <c r="BI416" s="152">
        <v>0</v>
      </c>
      <c r="BJ416" s="152">
        <v>0</v>
      </c>
      <c r="BK416" s="152" t="s">
        <v>132</v>
      </c>
      <c r="BN416" s="157" t="s">
        <v>1453</v>
      </c>
    </row>
    <row r="417" spans="1:66">
      <c r="A417" s="152" t="s">
        <v>3504</v>
      </c>
      <c r="B417" s="152" t="s">
        <v>3501</v>
      </c>
      <c r="C417" s="152" t="s">
        <v>3505</v>
      </c>
      <c r="D417" s="152" t="s">
        <v>3502</v>
      </c>
      <c r="E417" s="152" t="s">
        <v>3502</v>
      </c>
      <c r="F417" s="152">
        <v>267506</v>
      </c>
      <c r="G417" s="152">
        <v>25</v>
      </c>
      <c r="H417" s="152">
        <v>611</v>
      </c>
      <c r="I417" s="152">
        <v>158800</v>
      </c>
      <c r="J417" s="152">
        <v>136</v>
      </c>
      <c r="K417" s="152">
        <v>55865</v>
      </c>
      <c r="L417" s="159" t="s">
        <v>856</v>
      </c>
      <c r="M417" s="152" t="s">
        <v>92</v>
      </c>
      <c r="N417" s="152" t="s">
        <v>92</v>
      </c>
      <c r="O417" s="159" t="s">
        <v>856</v>
      </c>
      <c r="P417" s="159" t="s">
        <v>856</v>
      </c>
      <c r="Q417" s="152" t="s">
        <v>92</v>
      </c>
      <c r="R417" s="152" t="s">
        <v>92</v>
      </c>
      <c r="S417" s="159" t="s">
        <v>856</v>
      </c>
      <c r="T417" s="159" t="s">
        <v>856</v>
      </c>
      <c r="U417" s="159" t="s">
        <v>856</v>
      </c>
      <c r="V417" s="152" t="s">
        <v>857</v>
      </c>
      <c r="W417" s="152" t="s">
        <v>858</v>
      </c>
      <c r="X417" s="152" t="s">
        <v>1083</v>
      </c>
      <c r="Y417" s="152">
        <v>41.07</v>
      </c>
      <c r="Z417" s="152">
        <v>1</v>
      </c>
      <c r="AA417" s="152" t="s">
        <v>92</v>
      </c>
      <c r="AB417" s="152">
        <v>105.62</v>
      </c>
      <c r="AC417" s="152">
        <v>1</v>
      </c>
      <c r="AD417" s="152" t="s">
        <v>861</v>
      </c>
      <c r="AE417" s="152">
        <v>105.62</v>
      </c>
      <c r="AF417" s="152">
        <v>0</v>
      </c>
      <c r="AG417" s="152" t="s">
        <v>861</v>
      </c>
      <c r="AH417" s="152" t="s">
        <v>861</v>
      </c>
      <c r="AI417" s="152" t="s">
        <v>92</v>
      </c>
      <c r="AJ417" s="152" t="s">
        <v>92</v>
      </c>
      <c r="AK417" s="152" t="s">
        <v>884</v>
      </c>
      <c r="AL417" s="159" t="s">
        <v>856</v>
      </c>
      <c r="AP417" s="159" t="s">
        <v>856</v>
      </c>
      <c r="AQ417" s="159" t="s">
        <v>856</v>
      </c>
      <c r="AR417" s="159" t="s">
        <v>2803</v>
      </c>
      <c r="AS417" s="159" t="s">
        <v>865</v>
      </c>
      <c r="AT417" s="152" t="str">
        <f t="shared" si="33"/>
        <v>RPNZ8-700126</v>
      </c>
      <c r="AU417" s="152" t="str">
        <f t="shared" si="34"/>
        <v xml:space="preserve">ZEA VILLATORO, ERIKSON RUBELSY  </v>
      </c>
      <c r="AV417" s="159" t="s">
        <v>856</v>
      </c>
      <c r="AW417" s="159" t="s">
        <v>856</v>
      </c>
      <c r="AX417" s="159" t="s">
        <v>856</v>
      </c>
      <c r="AY417" s="159" t="s">
        <v>856</v>
      </c>
      <c r="AZ417" s="152" t="s">
        <v>864</v>
      </c>
      <c r="BA417" s="152" t="str">
        <f>A417</f>
        <v>L26-95-WS021</v>
      </c>
      <c r="BB417" s="152">
        <v>0</v>
      </c>
      <c r="BC417" s="157">
        <v>46054</v>
      </c>
      <c r="BD417" s="157">
        <v>46054</v>
      </c>
      <c r="BE417" s="158">
        <v>225614.5</v>
      </c>
      <c r="BF417" s="152" t="s">
        <v>3503</v>
      </c>
      <c r="BG417" s="159" t="s">
        <v>894</v>
      </c>
      <c r="BH417" s="152">
        <v>105.62</v>
      </c>
      <c r="BI417" s="152">
        <v>0</v>
      </c>
      <c r="BJ417" s="152">
        <v>0</v>
      </c>
      <c r="BK417" s="152" t="s">
        <v>132</v>
      </c>
      <c r="BL417" s="152">
        <v>105.62</v>
      </c>
      <c r="BM417" s="152">
        <v>207557</v>
      </c>
      <c r="BN417" s="157" t="s">
        <v>1453</v>
      </c>
    </row>
    <row r="418" spans="1:66">
      <c r="A418" s="152" t="s">
        <v>3506</v>
      </c>
      <c r="B418" s="152" t="s">
        <v>3507</v>
      </c>
      <c r="C418" s="152" t="s">
        <v>3508</v>
      </c>
      <c r="D418" s="152" t="s">
        <v>3509</v>
      </c>
      <c r="E418" s="152" t="s">
        <v>3509</v>
      </c>
      <c r="F418" s="152">
        <v>7560</v>
      </c>
      <c r="G418" s="152">
        <v>60</v>
      </c>
      <c r="H418" s="152" t="s">
        <v>3510</v>
      </c>
      <c r="I418" s="152">
        <v>203092</v>
      </c>
      <c r="J418" s="152">
        <v>189.79</v>
      </c>
      <c r="K418" s="152">
        <v>89786</v>
      </c>
      <c r="L418" s="159" t="s">
        <v>856</v>
      </c>
      <c r="M418" s="152" t="s">
        <v>92</v>
      </c>
      <c r="N418" s="152" t="s">
        <v>92</v>
      </c>
      <c r="O418" s="159" t="s">
        <v>856</v>
      </c>
      <c r="P418" s="159" t="s">
        <v>856</v>
      </c>
      <c r="Q418" s="152" t="s">
        <v>92</v>
      </c>
      <c r="R418" s="152" t="s">
        <v>92</v>
      </c>
      <c r="S418" s="159" t="s">
        <v>856</v>
      </c>
      <c r="T418" s="159" t="s">
        <v>856</v>
      </c>
      <c r="U418" s="159" t="s">
        <v>856</v>
      </c>
      <c r="V418" s="152" t="s">
        <v>1550</v>
      </c>
      <c r="W418" s="152" t="s">
        <v>858</v>
      </c>
      <c r="X418" s="152" t="s">
        <v>1083</v>
      </c>
      <c r="Y418" s="152">
        <v>0</v>
      </c>
      <c r="Z418" s="152">
        <v>0</v>
      </c>
      <c r="AA418" s="152" t="s">
        <v>92</v>
      </c>
      <c r="AB418" s="152">
        <v>51.58</v>
      </c>
      <c r="AC418" s="152">
        <v>2</v>
      </c>
      <c r="AD418" s="152" t="s">
        <v>861</v>
      </c>
      <c r="AE418" s="152">
        <v>51.58</v>
      </c>
      <c r="AF418" s="152">
        <v>0</v>
      </c>
      <c r="AG418" s="152" t="s">
        <v>861</v>
      </c>
      <c r="AH418" s="152" t="s">
        <v>861</v>
      </c>
      <c r="AI418" s="152" t="s">
        <v>92</v>
      </c>
      <c r="AJ418" s="152" t="s">
        <v>92</v>
      </c>
      <c r="AK418" s="152" t="s">
        <v>862</v>
      </c>
      <c r="AL418" s="159" t="s">
        <v>856</v>
      </c>
      <c r="AP418" s="159" t="s">
        <v>856</v>
      </c>
      <c r="AQ418" s="159" t="s">
        <v>856</v>
      </c>
      <c r="AR418" s="159" t="s">
        <v>2803</v>
      </c>
      <c r="AS418" s="159" t="s">
        <v>865</v>
      </c>
      <c r="AT418" s="152" t="str">
        <f t="shared" si="33"/>
        <v>RPNS10-100122</v>
      </c>
      <c r="AU418" s="152" t="str">
        <f t="shared" si="34"/>
        <v>DAVID CANUTO SAQUIC TEPE</v>
      </c>
      <c r="AV418" s="159">
        <v>649.91</v>
      </c>
      <c r="AW418" s="159">
        <v>796449</v>
      </c>
      <c r="AX418" s="159" t="s">
        <v>856</v>
      </c>
      <c r="AY418" s="159" t="s">
        <v>856</v>
      </c>
      <c r="AZ418" s="152" t="s">
        <v>864</v>
      </c>
      <c r="BA418" s="152" t="str">
        <f t="shared" si="35"/>
        <v>L22-186-JJ037</v>
      </c>
      <c r="BB418" s="152">
        <v>0</v>
      </c>
      <c r="BC418" s="157">
        <v>44637</v>
      </c>
      <c r="BD418" s="157">
        <v>44637</v>
      </c>
      <c r="BE418" s="158">
        <v>128950</v>
      </c>
      <c r="BG418" s="159" t="s">
        <v>2033</v>
      </c>
      <c r="BI418" s="152">
        <v>0</v>
      </c>
      <c r="BJ418" s="152">
        <v>0</v>
      </c>
      <c r="BK418" s="152" t="s">
        <v>132</v>
      </c>
      <c r="BN418" s="157" t="s">
        <v>1453</v>
      </c>
    </row>
    <row r="419" spans="1:66">
      <c r="A419" s="152" t="s">
        <v>3511</v>
      </c>
      <c r="B419" s="152" t="s">
        <v>3512</v>
      </c>
      <c r="C419" s="152" t="s">
        <v>3513</v>
      </c>
      <c r="D419" s="152" t="s">
        <v>3514</v>
      </c>
      <c r="E419" s="152" t="s">
        <v>3514</v>
      </c>
      <c r="F419" s="152">
        <v>4081</v>
      </c>
      <c r="G419" s="152">
        <v>81</v>
      </c>
      <c r="H419" s="152" t="s">
        <v>3515</v>
      </c>
      <c r="I419" s="152">
        <v>202152</v>
      </c>
      <c r="J419" s="152">
        <v>140.41999999999999</v>
      </c>
      <c r="K419" s="152">
        <v>89042</v>
      </c>
      <c r="L419" s="159" t="s">
        <v>856</v>
      </c>
      <c r="M419" s="152" t="s">
        <v>92</v>
      </c>
      <c r="N419" s="152" t="s">
        <v>92</v>
      </c>
      <c r="O419" s="159" t="s">
        <v>856</v>
      </c>
      <c r="P419" s="159" t="s">
        <v>856</v>
      </c>
      <c r="Q419" s="152" t="s">
        <v>92</v>
      </c>
      <c r="R419" s="152" t="s">
        <v>92</v>
      </c>
      <c r="S419" s="159" t="s">
        <v>856</v>
      </c>
      <c r="T419" s="159" t="s">
        <v>856</v>
      </c>
      <c r="U419" s="159" t="s">
        <v>856</v>
      </c>
      <c r="V419" s="152" t="s">
        <v>857</v>
      </c>
      <c r="W419" s="152" t="s">
        <v>858</v>
      </c>
      <c r="X419" s="152" t="s">
        <v>1083</v>
      </c>
      <c r="Y419" s="152">
        <v>22.16</v>
      </c>
      <c r="Z419" s="152">
        <v>1</v>
      </c>
      <c r="AA419" s="152" t="s">
        <v>92</v>
      </c>
      <c r="AB419" s="152">
        <v>226.7</v>
      </c>
      <c r="AC419" s="152">
        <v>2</v>
      </c>
      <c r="AD419" s="152" t="s">
        <v>861</v>
      </c>
      <c r="AE419" s="152">
        <v>226.7</v>
      </c>
      <c r="AF419" s="152">
        <v>0</v>
      </c>
      <c r="AG419" s="152" t="s">
        <v>861</v>
      </c>
      <c r="AH419" s="152" t="s">
        <v>861</v>
      </c>
      <c r="AI419" s="152" t="s">
        <v>92</v>
      </c>
      <c r="AJ419" s="152" t="s">
        <v>92</v>
      </c>
      <c r="AK419" s="152" t="s">
        <v>862</v>
      </c>
      <c r="AL419" s="159" t="s">
        <v>856</v>
      </c>
      <c r="AP419" s="159" t="s">
        <v>856</v>
      </c>
      <c r="AQ419" s="159" t="s">
        <v>856</v>
      </c>
      <c r="AR419" s="159" t="s">
        <v>863</v>
      </c>
      <c r="AS419" s="159" t="s">
        <v>865</v>
      </c>
      <c r="AT419" s="152" t="str">
        <f t="shared" si="33"/>
        <v>RPNT11-120122</v>
      </c>
      <c r="AU419" s="152" t="str">
        <f t="shared" si="34"/>
        <v>MARIA EMILIA TZARAX CHUN</v>
      </c>
      <c r="AV419" s="159">
        <v>2899.85</v>
      </c>
      <c r="AW419" s="159">
        <v>797462</v>
      </c>
      <c r="AX419" s="159">
        <v>62.9</v>
      </c>
      <c r="AY419" s="159">
        <v>797464</v>
      </c>
      <c r="AZ419" s="152" t="s">
        <v>864</v>
      </c>
      <c r="BA419" s="152" t="str">
        <f t="shared" si="35"/>
        <v>L22-706-JM20</v>
      </c>
      <c r="BB419" s="152">
        <v>0</v>
      </c>
      <c r="BC419" s="157">
        <v>44641</v>
      </c>
      <c r="BD419" s="157">
        <v>44641</v>
      </c>
      <c r="BE419" s="158">
        <v>574506</v>
      </c>
      <c r="BF419" s="152" t="s">
        <v>3516</v>
      </c>
      <c r="BG419" s="159" t="s">
        <v>894</v>
      </c>
      <c r="BH419" s="152">
        <v>226.7</v>
      </c>
      <c r="BI419" s="152">
        <v>0</v>
      </c>
      <c r="BJ419" s="152">
        <v>0</v>
      </c>
      <c r="BK419" s="152" t="s">
        <v>132</v>
      </c>
      <c r="BL419" s="152">
        <v>226.7</v>
      </c>
      <c r="BM419" s="152">
        <v>797463</v>
      </c>
      <c r="BN419" s="157" t="s">
        <v>1453</v>
      </c>
    </row>
    <row r="420" spans="1:66">
      <c r="A420" s="152" t="s">
        <v>3517</v>
      </c>
      <c r="B420" s="152" t="s">
        <v>3518</v>
      </c>
      <c r="C420" s="152" t="s">
        <v>3519</v>
      </c>
      <c r="D420" s="152" t="s">
        <v>3520</v>
      </c>
      <c r="E420" s="152" t="s">
        <v>3521</v>
      </c>
      <c r="F420" s="159" t="s">
        <v>3522</v>
      </c>
      <c r="G420" s="159" t="s">
        <v>3522</v>
      </c>
      <c r="H420" s="159" t="s">
        <v>3523</v>
      </c>
      <c r="I420" s="152">
        <v>202015</v>
      </c>
      <c r="J420" s="152">
        <v>109.2</v>
      </c>
      <c r="K420" s="152">
        <v>88928</v>
      </c>
      <c r="L420" s="159" t="s">
        <v>856</v>
      </c>
      <c r="M420" s="152" t="s">
        <v>92</v>
      </c>
      <c r="N420" s="152" t="s">
        <v>92</v>
      </c>
      <c r="O420" s="159" t="s">
        <v>856</v>
      </c>
      <c r="P420" s="159" t="s">
        <v>856</v>
      </c>
      <c r="Q420" s="152" t="s">
        <v>92</v>
      </c>
      <c r="R420" s="152" t="s">
        <v>92</v>
      </c>
      <c r="S420" s="159" t="s">
        <v>856</v>
      </c>
      <c r="T420" s="159" t="s">
        <v>856</v>
      </c>
      <c r="U420" s="159" t="s">
        <v>856</v>
      </c>
      <c r="V420" s="152" t="s">
        <v>857</v>
      </c>
      <c r="W420" s="152" t="s">
        <v>858</v>
      </c>
      <c r="X420" s="152" t="s">
        <v>1083</v>
      </c>
      <c r="Y420" s="152">
        <v>0</v>
      </c>
      <c r="Z420" s="152">
        <v>1</v>
      </c>
      <c r="AA420" s="152" t="s">
        <v>92</v>
      </c>
      <c r="AB420" s="152">
        <v>95.72</v>
      </c>
      <c r="AC420" s="152">
        <v>2</v>
      </c>
      <c r="AD420" s="152" t="s">
        <v>861</v>
      </c>
      <c r="AE420" s="152">
        <v>95.72</v>
      </c>
      <c r="AF420" s="152">
        <v>0</v>
      </c>
      <c r="AG420" s="152" t="s">
        <v>861</v>
      </c>
      <c r="AH420" s="152" t="s">
        <v>861</v>
      </c>
      <c r="AI420" s="152" t="s">
        <v>92</v>
      </c>
      <c r="AJ420" s="152" t="s">
        <v>92</v>
      </c>
      <c r="AK420" s="152" t="s">
        <v>912</v>
      </c>
      <c r="AL420" s="159" t="s">
        <v>856</v>
      </c>
      <c r="AP420" s="159" t="s">
        <v>856</v>
      </c>
      <c r="AQ420" s="159" t="s">
        <v>856</v>
      </c>
      <c r="AR420" s="159" t="s">
        <v>863</v>
      </c>
      <c r="AS420" s="159" t="s">
        <v>865</v>
      </c>
      <c r="AT420" s="152" t="str">
        <f t="shared" si="33"/>
        <v>RPNG5-501121</v>
      </c>
      <c r="AU420" s="152" t="str">
        <f t="shared" si="34"/>
        <v xml:space="preserve">SAMUEL NEHEMIAS GOMEZ MARTINEZ </v>
      </c>
      <c r="AV420" s="159">
        <v>1206.07</v>
      </c>
      <c r="AW420" s="159">
        <v>797292</v>
      </c>
      <c r="AX420" s="159">
        <v>33.5</v>
      </c>
      <c r="AY420" s="159">
        <v>797295</v>
      </c>
      <c r="AZ420" s="152" t="s">
        <v>864</v>
      </c>
      <c r="BA420" s="152" t="str">
        <f t="shared" si="35"/>
        <v>L22-528-NR083</v>
      </c>
      <c r="BB420" s="152">
        <v>0</v>
      </c>
      <c r="BC420" s="157">
        <v>44636</v>
      </c>
      <c r="BD420" s="157">
        <v>44636</v>
      </c>
      <c r="BE420" s="158">
        <v>239300</v>
      </c>
      <c r="BF420" s="152" t="s">
        <v>3524</v>
      </c>
      <c r="BG420" s="159" t="s">
        <v>894</v>
      </c>
      <c r="BH420" s="152">
        <v>95.72</v>
      </c>
      <c r="BI420" s="152">
        <v>0</v>
      </c>
      <c r="BJ420" s="152">
        <v>0</v>
      </c>
      <c r="BK420" s="152" t="s">
        <v>132</v>
      </c>
      <c r="BL420" s="152">
        <v>95.72</v>
      </c>
      <c r="BM420" s="152">
        <v>797293</v>
      </c>
      <c r="BN420" s="157" t="s">
        <v>1453</v>
      </c>
    </row>
    <row r="421" spans="1:66">
      <c r="A421" s="152" t="s">
        <v>3525</v>
      </c>
      <c r="B421" s="152" t="s">
        <v>3526</v>
      </c>
      <c r="C421" s="152" t="s">
        <v>3527</v>
      </c>
      <c r="D421" s="152" t="s">
        <v>3528</v>
      </c>
      <c r="E421" s="152" t="s">
        <v>3529</v>
      </c>
      <c r="F421" s="159" t="s">
        <v>3522</v>
      </c>
      <c r="G421" s="159" t="s">
        <v>3522</v>
      </c>
      <c r="H421" s="159" t="s">
        <v>3522</v>
      </c>
      <c r="I421" s="152">
        <v>202011</v>
      </c>
      <c r="J421" s="152">
        <v>655</v>
      </c>
      <c r="K421" s="152">
        <v>88925</v>
      </c>
      <c r="L421" s="159" t="s">
        <v>856</v>
      </c>
      <c r="M421" s="152" t="s">
        <v>92</v>
      </c>
      <c r="N421" s="152" t="s">
        <v>92</v>
      </c>
      <c r="O421" s="159" t="s">
        <v>856</v>
      </c>
      <c r="P421" s="159" t="s">
        <v>856</v>
      </c>
      <c r="Q421" s="152" t="s">
        <v>92</v>
      </c>
      <c r="R421" s="152" t="s">
        <v>92</v>
      </c>
      <c r="S421" s="159" t="s">
        <v>856</v>
      </c>
      <c r="T421" s="159" t="s">
        <v>856</v>
      </c>
      <c r="U421" s="159" t="s">
        <v>856</v>
      </c>
      <c r="V421" s="152" t="s">
        <v>3530</v>
      </c>
      <c r="W421" s="152" t="s">
        <v>858</v>
      </c>
      <c r="X421" s="152" t="s">
        <v>1083</v>
      </c>
      <c r="Y421" s="152">
        <v>0</v>
      </c>
      <c r="Z421" s="152">
        <v>1</v>
      </c>
      <c r="AA421" s="152" t="s">
        <v>92</v>
      </c>
      <c r="AB421" s="152">
        <v>411.68</v>
      </c>
      <c r="AC421" s="152">
        <v>2</v>
      </c>
      <c r="AD421" s="152" t="s">
        <v>861</v>
      </c>
      <c r="AE421" s="152">
        <v>411.68</v>
      </c>
      <c r="AF421" s="152">
        <v>0</v>
      </c>
      <c r="AG421" s="152" t="s">
        <v>861</v>
      </c>
      <c r="AH421" s="152" t="s">
        <v>861</v>
      </c>
      <c r="AI421" s="152" t="s">
        <v>92</v>
      </c>
      <c r="AJ421" s="152" t="s">
        <v>92</v>
      </c>
      <c r="AK421" s="152" t="s">
        <v>1620</v>
      </c>
      <c r="AL421" s="159" t="s">
        <v>856</v>
      </c>
      <c r="AP421" s="159" t="s">
        <v>856</v>
      </c>
      <c r="AQ421" s="159" t="s">
        <v>856</v>
      </c>
      <c r="AR421" s="159" t="s">
        <v>863</v>
      </c>
      <c r="AS421" s="159" t="s">
        <v>865</v>
      </c>
      <c r="AT421" s="152" t="str">
        <f t="shared" si="33"/>
        <v>RPNMR-940221</v>
      </c>
      <c r="AU421" s="152" t="str">
        <f t="shared" si="34"/>
        <v>MARIA GABRIELA MORALES CITALAN</v>
      </c>
      <c r="AV421" s="159">
        <v>5187.17</v>
      </c>
      <c r="AW421" s="159">
        <v>788191</v>
      </c>
      <c r="AX421" s="159">
        <v>104.5</v>
      </c>
      <c r="AY421" s="159">
        <v>788193</v>
      </c>
      <c r="AZ421" s="152" t="s">
        <v>864</v>
      </c>
      <c r="BA421" s="152" t="str">
        <f t="shared" si="35"/>
        <v>L22-596-NR098</v>
      </c>
      <c r="BB421" s="152">
        <v>0</v>
      </c>
      <c r="BC421" s="157">
        <v>44627</v>
      </c>
      <c r="BD421" s="157">
        <v>44627</v>
      </c>
      <c r="BE421" s="158">
        <v>1029200</v>
      </c>
      <c r="BF421" s="152" t="s">
        <v>3531</v>
      </c>
      <c r="BG421" s="159" t="s">
        <v>894</v>
      </c>
      <c r="BH421" s="152">
        <v>411.68</v>
      </c>
      <c r="BI421" s="152">
        <v>0</v>
      </c>
      <c r="BJ421" s="152">
        <v>0</v>
      </c>
      <c r="BK421" s="152" t="s">
        <v>132</v>
      </c>
      <c r="BL421" s="152">
        <v>411.68</v>
      </c>
      <c r="BM421" s="152">
        <v>788192</v>
      </c>
      <c r="BN421" s="157" t="s">
        <v>1453</v>
      </c>
    </row>
    <row r="422" spans="1:66">
      <c r="A422" s="152" t="s">
        <v>3532</v>
      </c>
      <c r="B422" s="152" t="s">
        <v>3533</v>
      </c>
      <c r="C422" s="152" t="s">
        <v>3534</v>
      </c>
      <c r="D422" s="152" t="s">
        <v>3535</v>
      </c>
      <c r="E422" s="152" t="s">
        <v>3535</v>
      </c>
      <c r="F422" s="152">
        <v>4141</v>
      </c>
      <c r="G422" s="152">
        <v>141</v>
      </c>
      <c r="H422" s="152" t="s">
        <v>1865</v>
      </c>
      <c r="I422" s="152">
        <v>180300</v>
      </c>
      <c r="J422" s="152">
        <v>160</v>
      </c>
      <c r="K422" s="152">
        <v>80073</v>
      </c>
      <c r="L422" s="159" t="s">
        <v>856</v>
      </c>
      <c r="M422" s="152" t="s">
        <v>92</v>
      </c>
      <c r="N422" s="152" t="s">
        <v>92</v>
      </c>
      <c r="O422" s="159" t="s">
        <v>856</v>
      </c>
      <c r="P422" s="159" t="s">
        <v>856</v>
      </c>
      <c r="Q422" s="152" t="s">
        <v>92</v>
      </c>
      <c r="R422" s="152" t="s">
        <v>92</v>
      </c>
      <c r="S422" s="159" t="s">
        <v>856</v>
      </c>
      <c r="T422" s="159" t="s">
        <v>856</v>
      </c>
      <c r="U422" s="159" t="s">
        <v>856</v>
      </c>
      <c r="V422" s="152" t="s">
        <v>3530</v>
      </c>
      <c r="W422" s="152" t="s">
        <v>858</v>
      </c>
      <c r="X422" s="152" t="s">
        <v>1083</v>
      </c>
      <c r="Y422" s="152">
        <v>0</v>
      </c>
      <c r="Z422" s="152">
        <v>1</v>
      </c>
      <c r="AA422" s="152" t="s">
        <v>92</v>
      </c>
      <c r="AB422" s="152">
        <v>77.63</v>
      </c>
      <c r="AC422" s="152">
        <v>1</v>
      </c>
      <c r="AD422" s="152" t="s">
        <v>861</v>
      </c>
      <c r="AE422" s="152">
        <v>77.63</v>
      </c>
      <c r="AF422" s="152">
        <v>0</v>
      </c>
      <c r="AG422" s="152" t="s">
        <v>861</v>
      </c>
      <c r="AH422" s="152" t="s">
        <v>861</v>
      </c>
      <c r="AI422" s="152" t="s">
        <v>92</v>
      </c>
      <c r="AJ422" s="152" t="s">
        <v>92</v>
      </c>
      <c r="AK422" s="152" t="s">
        <v>912</v>
      </c>
      <c r="AL422" s="159" t="s">
        <v>856</v>
      </c>
      <c r="AP422" s="159" t="s">
        <v>856</v>
      </c>
      <c r="AQ422" s="159" t="s">
        <v>856</v>
      </c>
      <c r="AR422" s="159" t="s">
        <v>863</v>
      </c>
      <c r="AS422" s="159" t="s">
        <v>865</v>
      </c>
      <c r="AT422" s="152" t="str">
        <f t="shared" si="33"/>
        <v>RPNS12-050222</v>
      </c>
      <c r="AU422" s="152" t="str">
        <f t="shared" si="34"/>
        <v xml:space="preserve">BRYAN EMMANUEL SANCHEZ RUANO </v>
      </c>
      <c r="AV422" s="159">
        <v>782.51</v>
      </c>
      <c r="AW422" s="159">
        <v>798156</v>
      </c>
      <c r="AX422" s="159">
        <v>40</v>
      </c>
      <c r="AY422" s="159">
        <v>798158</v>
      </c>
      <c r="AZ422" s="152" t="s">
        <v>864</v>
      </c>
      <c r="BA422" s="152" t="str">
        <f t="shared" si="35"/>
        <v>L22-218-LG076</v>
      </c>
      <c r="BB422" s="152">
        <v>0</v>
      </c>
      <c r="BC422" s="157">
        <v>44641</v>
      </c>
      <c r="BD422" s="157">
        <v>44641</v>
      </c>
      <c r="BE422" s="158">
        <v>155260</v>
      </c>
      <c r="BF422" s="152" t="s">
        <v>3536</v>
      </c>
      <c r="BG422" s="159" t="s">
        <v>894</v>
      </c>
      <c r="BH422" s="152">
        <v>77.63</v>
      </c>
      <c r="BI422" s="152">
        <v>0</v>
      </c>
      <c r="BJ422" s="152">
        <v>0</v>
      </c>
      <c r="BK422" s="152" t="s">
        <v>132</v>
      </c>
      <c r="BL422" s="152">
        <v>77.63</v>
      </c>
      <c r="BM422" s="152">
        <v>798157</v>
      </c>
      <c r="BN422" s="157" t="s">
        <v>1453</v>
      </c>
    </row>
    <row r="423" spans="1:66">
      <c r="A423" s="152" t="s">
        <v>3537</v>
      </c>
      <c r="B423" s="152" t="s">
        <v>3538</v>
      </c>
      <c r="C423" s="152" t="s">
        <v>3539</v>
      </c>
      <c r="D423" s="152" t="s">
        <v>3540</v>
      </c>
      <c r="E423" s="152" t="s">
        <v>3540</v>
      </c>
      <c r="F423" s="152">
        <v>6221</v>
      </c>
      <c r="G423" s="152">
        <v>221</v>
      </c>
      <c r="H423" s="152" t="s">
        <v>3541</v>
      </c>
      <c r="I423" s="152">
        <v>202079</v>
      </c>
      <c r="J423" s="152">
        <v>105</v>
      </c>
      <c r="K423" s="152">
        <v>88983</v>
      </c>
      <c r="L423" s="159" t="s">
        <v>856</v>
      </c>
      <c r="M423" s="152" t="s">
        <v>92</v>
      </c>
      <c r="N423" s="152" t="s">
        <v>92</v>
      </c>
      <c r="O423" s="159" t="s">
        <v>856</v>
      </c>
      <c r="P423" s="159" t="s">
        <v>856</v>
      </c>
      <c r="Q423" s="152" t="s">
        <v>92</v>
      </c>
      <c r="R423" s="152" t="s">
        <v>92</v>
      </c>
      <c r="S423" s="159" t="s">
        <v>856</v>
      </c>
      <c r="T423" s="159" t="s">
        <v>856</v>
      </c>
      <c r="U423" s="159" t="s">
        <v>856</v>
      </c>
      <c r="V423" s="152" t="s">
        <v>3530</v>
      </c>
      <c r="W423" s="152" t="s">
        <v>858</v>
      </c>
      <c r="X423" s="152" t="s">
        <v>1083</v>
      </c>
      <c r="Y423" s="152">
        <v>37.200000000000003</v>
      </c>
      <c r="Z423" s="152">
        <v>1</v>
      </c>
      <c r="AA423" s="152" t="s">
        <v>92</v>
      </c>
      <c r="AB423" s="152">
        <v>69.3</v>
      </c>
      <c r="AC423" s="152">
        <v>1</v>
      </c>
      <c r="AD423" s="152" t="s">
        <v>861</v>
      </c>
      <c r="AE423" s="152">
        <v>69.3</v>
      </c>
      <c r="AF423" s="152">
        <v>0</v>
      </c>
      <c r="AG423" s="152" t="s">
        <v>861</v>
      </c>
      <c r="AH423" s="152" t="s">
        <v>861</v>
      </c>
      <c r="AI423" s="152" t="s">
        <v>92</v>
      </c>
      <c r="AJ423" s="152" t="s">
        <v>92</v>
      </c>
      <c r="AK423" s="152" t="s">
        <v>884</v>
      </c>
      <c r="AL423" s="159" t="s">
        <v>856</v>
      </c>
      <c r="AP423" s="159" t="s">
        <v>856</v>
      </c>
      <c r="AQ423" s="159" t="s">
        <v>856</v>
      </c>
      <c r="AR423" s="159" t="s">
        <v>863</v>
      </c>
      <c r="AS423" s="159" t="s">
        <v>865</v>
      </c>
      <c r="AT423" s="152" t="str">
        <f t="shared" si="33"/>
        <v>RPNG8-641121</v>
      </c>
      <c r="AU423" s="152" t="str">
        <f t="shared" si="34"/>
        <v xml:space="preserve">HERMINIO GRAMAJO XICARA </v>
      </c>
      <c r="AV423" s="159">
        <v>929.01</v>
      </c>
      <c r="AW423" s="159">
        <v>789345</v>
      </c>
      <c r="AX423" s="159">
        <v>35</v>
      </c>
      <c r="AY423" s="159">
        <v>789347</v>
      </c>
      <c r="AZ423" s="152" t="s">
        <v>864</v>
      </c>
      <c r="BA423" s="152" t="str">
        <f t="shared" si="35"/>
        <v>L22-563-LG089</v>
      </c>
      <c r="BB423" s="152">
        <v>0</v>
      </c>
      <c r="BC423" s="157">
        <v>44630</v>
      </c>
      <c r="BD423" s="157">
        <v>44630</v>
      </c>
      <c r="BE423" s="158">
        <v>156880.5</v>
      </c>
      <c r="BF423" s="152" t="s">
        <v>3542</v>
      </c>
      <c r="BG423" s="159" t="s">
        <v>894</v>
      </c>
      <c r="BH423" s="152">
        <v>69.3</v>
      </c>
      <c r="BI423" s="152">
        <v>0</v>
      </c>
      <c r="BJ423" s="152">
        <v>0</v>
      </c>
      <c r="BK423" s="152" t="s">
        <v>132</v>
      </c>
      <c r="BL423" s="152">
        <v>69.39</v>
      </c>
      <c r="BM423" s="152">
        <v>789346</v>
      </c>
      <c r="BN423" s="157" t="s">
        <v>1453</v>
      </c>
    </row>
    <row r="424" spans="1:66">
      <c r="A424" s="152" t="s">
        <v>3543</v>
      </c>
      <c r="B424" s="152" t="s">
        <v>3544</v>
      </c>
      <c r="C424" s="152" t="s">
        <v>3545</v>
      </c>
      <c r="D424" s="152" t="s">
        <v>3546</v>
      </c>
      <c r="E424" s="152" t="s">
        <v>3547</v>
      </c>
      <c r="F424" s="152">
        <v>797</v>
      </c>
      <c r="G424" s="152">
        <v>297</v>
      </c>
      <c r="H424" s="152" t="s">
        <v>3548</v>
      </c>
      <c r="I424" s="152">
        <v>202090</v>
      </c>
      <c r="J424" s="152">
        <v>105.11</v>
      </c>
      <c r="K424" s="152">
        <v>88990</v>
      </c>
      <c r="L424" s="159" t="s">
        <v>856</v>
      </c>
      <c r="M424" s="152" t="s">
        <v>92</v>
      </c>
      <c r="N424" s="152" t="s">
        <v>92</v>
      </c>
      <c r="O424" s="159" t="s">
        <v>856</v>
      </c>
      <c r="P424" s="159" t="s">
        <v>856</v>
      </c>
      <c r="Q424" s="152" t="s">
        <v>92</v>
      </c>
      <c r="R424" s="152" t="s">
        <v>92</v>
      </c>
      <c r="S424" s="159" t="s">
        <v>856</v>
      </c>
      <c r="T424" s="159" t="s">
        <v>856</v>
      </c>
      <c r="U424" s="159" t="s">
        <v>856</v>
      </c>
      <c r="V424" s="152" t="s">
        <v>3530</v>
      </c>
      <c r="W424" s="152" t="s">
        <v>858</v>
      </c>
      <c r="X424" s="152" t="s">
        <v>1083</v>
      </c>
      <c r="Y424" s="152">
        <v>43.2</v>
      </c>
      <c r="Z424" s="152">
        <v>1</v>
      </c>
      <c r="AA424" s="152" t="s">
        <v>92</v>
      </c>
      <c r="AB424" s="152">
        <v>62.21</v>
      </c>
      <c r="AC424" s="152">
        <v>1</v>
      </c>
      <c r="AD424" s="152" t="s">
        <v>861</v>
      </c>
      <c r="AE424" s="152">
        <v>62.21</v>
      </c>
      <c r="AF424" s="152">
        <v>0</v>
      </c>
      <c r="AG424" s="152" t="s">
        <v>861</v>
      </c>
      <c r="AH424" s="152" t="s">
        <v>861</v>
      </c>
      <c r="AI424" s="152" t="s">
        <v>92</v>
      </c>
      <c r="AJ424" s="152" t="s">
        <v>92</v>
      </c>
      <c r="AK424" s="152" t="s">
        <v>2503</v>
      </c>
      <c r="AL424" s="159" t="s">
        <v>856</v>
      </c>
      <c r="AP424" s="159" t="s">
        <v>856</v>
      </c>
      <c r="AQ424" s="159" t="s">
        <v>856</v>
      </c>
      <c r="AR424" s="159" t="s">
        <v>3549</v>
      </c>
      <c r="AS424" s="159" t="s">
        <v>865</v>
      </c>
      <c r="AT424" s="152" t="str">
        <f t="shared" si="33"/>
        <v>RPNFR-080222</v>
      </c>
      <c r="AU424" s="152" t="str">
        <f t="shared" si="34"/>
        <v xml:space="preserve">MARIA LUCIA FLORES HERRERA </v>
      </c>
      <c r="AV424" s="159">
        <v>578.32000000000005</v>
      </c>
      <c r="AW424" s="159">
        <v>796655</v>
      </c>
      <c r="AX424" s="159" t="s">
        <v>856</v>
      </c>
      <c r="AY424" s="159" t="s">
        <v>856</v>
      </c>
      <c r="AZ424" s="152" t="s">
        <v>864</v>
      </c>
      <c r="BA424" s="152" t="str">
        <f t="shared" si="35"/>
        <v>L22-547-SP097</v>
      </c>
      <c r="BB424" s="152">
        <v>0</v>
      </c>
      <c r="BC424" s="157">
        <v>44641</v>
      </c>
      <c r="BD424" s="157">
        <v>44641</v>
      </c>
      <c r="BE424" s="158">
        <v>110955</v>
      </c>
      <c r="BF424" s="152" t="s">
        <v>3550</v>
      </c>
      <c r="BG424" s="159" t="s">
        <v>894</v>
      </c>
      <c r="BH424" s="152">
        <v>62.21</v>
      </c>
      <c r="BI424" s="152">
        <v>0</v>
      </c>
      <c r="BJ424" s="152">
        <v>0</v>
      </c>
      <c r="BK424" s="152" t="s">
        <v>132</v>
      </c>
      <c r="BL424" s="152">
        <v>62.21</v>
      </c>
      <c r="BM424" s="152">
        <v>796656</v>
      </c>
      <c r="BN424" s="157" t="s">
        <v>1453</v>
      </c>
    </row>
    <row r="425" spans="1:66">
      <c r="A425" s="152" t="s">
        <v>3551</v>
      </c>
      <c r="B425" s="152" t="s">
        <v>3552</v>
      </c>
      <c r="C425" s="152" t="s">
        <v>3553</v>
      </c>
      <c r="D425" s="152" t="s">
        <v>3554</v>
      </c>
      <c r="E425" s="152" t="s">
        <v>3554</v>
      </c>
      <c r="F425" s="152">
        <v>4066</v>
      </c>
      <c r="G425" s="152">
        <v>66</v>
      </c>
      <c r="H425" s="152" t="s">
        <v>3515</v>
      </c>
      <c r="I425" s="152">
        <v>202149</v>
      </c>
      <c r="J425" s="152">
        <v>87.3</v>
      </c>
      <c r="K425" s="152">
        <v>89039</v>
      </c>
      <c r="L425" s="159" t="s">
        <v>856</v>
      </c>
      <c r="M425" s="152" t="s">
        <v>92</v>
      </c>
      <c r="N425" s="152" t="s">
        <v>92</v>
      </c>
      <c r="O425" s="159" t="s">
        <v>856</v>
      </c>
      <c r="P425" s="159" t="s">
        <v>856</v>
      </c>
      <c r="Q425" s="152" t="s">
        <v>92</v>
      </c>
      <c r="R425" s="152" t="s">
        <v>92</v>
      </c>
      <c r="S425" s="159" t="s">
        <v>856</v>
      </c>
      <c r="T425" s="159" t="s">
        <v>856</v>
      </c>
      <c r="U425" s="159" t="s">
        <v>856</v>
      </c>
      <c r="V425" s="152" t="s">
        <v>3530</v>
      </c>
      <c r="W425" s="152" t="s">
        <v>858</v>
      </c>
      <c r="X425" s="152" t="s">
        <v>1083</v>
      </c>
      <c r="Y425" s="152">
        <v>34.06</v>
      </c>
      <c r="Z425" s="152">
        <v>1</v>
      </c>
      <c r="AA425" s="152" t="s">
        <v>92</v>
      </c>
      <c r="AB425" s="152">
        <v>80.62</v>
      </c>
      <c r="AC425" s="152">
        <v>2</v>
      </c>
      <c r="AD425" s="152" t="s">
        <v>861</v>
      </c>
      <c r="AE425" s="152">
        <v>80.62</v>
      </c>
      <c r="AF425" s="152">
        <v>0</v>
      </c>
      <c r="AG425" s="152" t="s">
        <v>861</v>
      </c>
      <c r="AH425" s="152" t="s">
        <v>861</v>
      </c>
      <c r="AI425" s="152" t="s">
        <v>92</v>
      </c>
      <c r="AJ425" s="152" t="s">
        <v>92</v>
      </c>
      <c r="AK425" s="152" t="s">
        <v>3555</v>
      </c>
      <c r="AL425" s="159" t="s">
        <v>856</v>
      </c>
      <c r="AP425" s="159" t="s">
        <v>856</v>
      </c>
      <c r="AQ425" s="159" t="s">
        <v>856</v>
      </c>
      <c r="AR425" s="159" t="s">
        <v>3549</v>
      </c>
      <c r="AS425" s="159" t="s">
        <v>865</v>
      </c>
      <c r="AT425" s="152" t="str">
        <f t="shared" si="33"/>
        <v>RPNP11-080122</v>
      </c>
      <c r="AU425" s="152" t="str">
        <f t="shared" si="34"/>
        <v xml:space="preserve">RAMIRO ALFONZO PINZON ARMAS </v>
      </c>
      <c r="AV425" s="159">
        <v>1082.57</v>
      </c>
      <c r="AW425" s="159">
        <v>796482</v>
      </c>
      <c r="AX425" s="159">
        <v>30</v>
      </c>
      <c r="AY425" s="159">
        <v>796484</v>
      </c>
      <c r="AZ425" s="152" t="s">
        <v>864</v>
      </c>
      <c r="BA425" s="152" t="str">
        <f t="shared" si="35"/>
        <v>L22-702-JM24</v>
      </c>
      <c r="BB425" s="152">
        <v>0</v>
      </c>
      <c r="BC425" s="157">
        <v>44641</v>
      </c>
      <c r="BD425" s="157">
        <v>45372</v>
      </c>
      <c r="BE425" s="158">
        <v>213471</v>
      </c>
      <c r="BF425" s="152" t="s">
        <v>3556</v>
      </c>
      <c r="BG425" s="159" t="s">
        <v>894</v>
      </c>
      <c r="BH425" s="152">
        <v>80.62</v>
      </c>
      <c r="BI425" s="152">
        <v>0</v>
      </c>
      <c r="BJ425" s="152">
        <v>0</v>
      </c>
      <c r="BK425" s="152" t="s">
        <v>132</v>
      </c>
      <c r="BL425" s="152">
        <v>80.62</v>
      </c>
      <c r="BM425" s="152">
        <v>796483</v>
      </c>
      <c r="BN425" s="157" t="s">
        <v>1453</v>
      </c>
    </row>
    <row r="426" spans="1:66">
      <c r="A426" s="152" t="s">
        <v>3557</v>
      </c>
      <c r="B426" s="152" t="s">
        <v>3558</v>
      </c>
      <c r="C426" s="152" t="s">
        <v>3559</v>
      </c>
      <c r="D426" s="152" t="s">
        <v>3560</v>
      </c>
      <c r="E426" s="152" t="s">
        <v>3560</v>
      </c>
      <c r="F426" s="152">
        <v>4122</v>
      </c>
      <c r="G426" s="152">
        <v>122</v>
      </c>
      <c r="H426" s="152" t="s">
        <v>1865</v>
      </c>
      <c r="I426" s="152">
        <v>190281</v>
      </c>
      <c r="J426" s="152">
        <v>160</v>
      </c>
      <c r="K426" s="152">
        <v>80054</v>
      </c>
      <c r="L426" s="159" t="s">
        <v>856</v>
      </c>
      <c r="M426" s="152" t="s">
        <v>92</v>
      </c>
      <c r="N426" s="152" t="s">
        <v>92</v>
      </c>
      <c r="O426" s="159" t="s">
        <v>856</v>
      </c>
      <c r="P426" s="159" t="s">
        <v>856</v>
      </c>
      <c r="Q426" s="152" t="s">
        <v>92</v>
      </c>
      <c r="R426" s="152" t="s">
        <v>92</v>
      </c>
      <c r="S426" s="159" t="s">
        <v>856</v>
      </c>
      <c r="T426" s="159" t="s">
        <v>856</v>
      </c>
      <c r="U426" s="159" t="s">
        <v>856</v>
      </c>
      <c r="V426" s="152" t="s">
        <v>3530</v>
      </c>
      <c r="W426" s="152" t="s">
        <v>858</v>
      </c>
      <c r="X426" s="152" t="s">
        <v>1083</v>
      </c>
      <c r="Y426" s="152">
        <v>0</v>
      </c>
      <c r="Z426" s="152">
        <v>1</v>
      </c>
      <c r="AA426" s="152" t="s">
        <v>92</v>
      </c>
      <c r="AB426" s="152">
        <v>166.24</v>
      </c>
      <c r="AC426" s="152">
        <v>2</v>
      </c>
      <c r="AD426" s="152" t="s">
        <v>861</v>
      </c>
      <c r="AE426" s="152">
        <v>166.24</v>
      </c>
      <c r="AF426" s="152">
        <v>0</v>
      </c>
      <c r="AG426" s="152" t="s">
        <v>861</v>
      </c>
      <c r="AH426" s="152" t="s">
        <v>861</v>
      </c>
      <c r="AI426" s="152" t="s">
        <v>92</v>
      </c>
      <c r="AJ426" s="152" t="s">
        <v>92</v>
      </c>
      <c r="AK426" s="152" t="s">
        <v>3561</v>
      </c>
      <c r="AL426" s="159" t="s">
        <v>856</v>
      </c>
      <c r="AP426" s="159" t="s">
        <v>856</v>
      </c>
      <c r="AQ426" s="159" t="s">
        <v>856</v>
      </c>
      <c r="AR426" s="159" t="s">
        <v>3549</v>
      </c>
      <c r="AS426" s="159" t="s">
        <v>865</v>
      </c>
      <c r="AT426" s="152" t="str">
        <f t="shared" si="33"/>
        <v>RPNP12-211021</v>
      </c>
      <c r="AU426" s="152" t="str">
        <f t="shared" si="34"/>
        <v>MILDRED NINETT PARDO RODAS DE RIVERA</v>
      </c>
      <c r="AV426" s="159">
        <v>2356.17</v>
      </c>
      <c r="AW426" s="159">
        <v>796389</v>
      </c>
      <c r="AX426" s="159">
        <v>40</v>
      </c>
      <c r="AY426" s="159">
        <v>796391</v>
      </c>
      <c r="AZ426" s="152" t="s">
        <v>864</v>
      </c>
      <c r="BA426" s="152" t="str">
        <f t="shared" si="35"/>
        <v>L22-683-NR107</v>
      </c>
      <c r="BB426" s="152">
        <v>0</v>
      </c>
      <c r="BC426" s="157">
        <v>44636</v>
      </c>
      <c r="BD426" s="157">
        <v>44636</v>
      </c>
      <c r="BE426" s="158">
        <v>462304</v>
      </c>
      <c r="BF426" s="152" t="s">
        <v>3562</v>
      </c>
      <c r="BG426" s="159" t="s">
        <v>894</v>
      </c>
      <c r="BH426" s="152">
        <v>166.24</v>
      </c>
      <c r="BI426" s="152">
        <v>0</v>
      </c>
      <c r="BJ426" s="152">
        <v>0</v>
      </c>
      <c r="BK426" s="152" t="s">
        <v>132</v>
      </c>
      <c r="BL426" s="152">
        <v>166.24</v>
      </c>
      <c r="BM426" s="152">
        <v>796390</v>
      </c>
      <c r="BN426" s="157" t="s">
        <v>1453</v>
      </c>
    </row>
    <row r="427" spans="1:66">
      <c r="A427" s="152" t="s">
        <v>3563</v>
      </c>
      <c r="B427" s="152" t="s">
        <v>3564</v>
      </c>
      <c r="C427" s="152" t="s">
        <v>3565</v>
      </c>
      <c r="D427" s="152" t="s">
        <v>3566</v>
      </c>
      <c r="E427" s="152" t="s">
        <v>3566</v>
      </c>
      <c r="F427" s="152">
        <v>4067</v>
      </c>
      <c r="G427" s="152">
        <v>67</v>
      </c>
      <c r="H427" s="152" t="s">
        <v>3515</v>
      </c>
      <c r="I427" s="152">
        <v>202150</v>
      </c>
      <c r="J427" s="152">
        <v>92.34</v>
      </c>
      <c r="K427" s="152">
        <v>89040</v>
      </c>
      <c r="L427" s="159" t="s">
        <v>856</v>
      </c>
      <c r="M427" s="152" t="s">
        <v>92</v>
      </c>
      <c r="N427" s="152" t="s">
        <v>92</v>
      </c>
      <c r="O427" s="159" t="s">
        <v>856</v>
      </c>
      <c r="P427" s="159" t="s">
        <v>856</v>
      </c>
      <c r="Q427" s="152" t="s">
        <v>92</v>
      </c>
      <c r="R427" s="152" t="s">
        <v>92</v>
      </c>
      <c r="S427" s="159" t="s">
        <v>856</v>
      </c>
      <c r="T427" s="159" t="s">
        <v>856</v>
      </c>
      <c r="U427" s="159" t="s">
        <v>856</v>
      </c>
      <c r="V427" s="152" t="s">
        <v>857</v>
      </c>
      <c r="W427" s="152" t="s">
        <v>858</v>
      </c>
      <c r="X427" s="152" t="s">
        <v>1083</v>
      </c>
      <c r="Y427" s="152">
        <v>18.149999999999999</v>
      </c>
      <c r="Z427" s="152">
        <v>1</v>
      </c>
      <c r="AA427" s="152" t="s">
        <v>92</v>
      </c>
      <c r="AB427" s="152">
        <v>51.28</v>
      </c>
      <c r="AC427" s="152">
        <v>1</v>
      </c>
      <c r="AD427" s="152" t="s">
        <v>861</v>
      </c>
      <c r="AE427" s="152">
        <v>51.29</v>
      </c>
      <c r="AF427" s="152">
        <v>0</v>
      </c>
      <c r="AG427" s="152" t="s">
        <v>861</v>
      </c>
      <c r="AH427" s="152" t="s">
        <v>861</v>
      </c>
      <c r="AI427" s="152" t="s">
        <v>92</v>
      </c>
      <c r="AJ427" s="152" t="s">
        <v>92</v>
      </c>
      <c r="AK427" s="152" t="s">
        <v>3555</v>
      </c>
      <c r="AL427" s="159" t="s">
        <v>856</v>
      </c>
      <c r="AP427" s="159" t="s">
        <v>856</v>
      </c>
      <c r="AQ427" s="159" t="s">
        <v>856</v>
      </c>
      <c r="AR427" s="159" t="s">
        <v>3549</v>
      </c>
      <c r="AS427" s="159" t="s">
        <v>865</v>
      </c>
      <c r="AT427" s="152" t="str">
        <f t="shared" si="33"/>
        <v>RPND11-090122</v>
      </c>
      <c r="AU427" s="152" t="str">
        <f t="shared" si="34"/>
        <v xml:space="preserve">MIRNA ELIZABETH DE LEON BOSH </v>
      </c>
      <c r="AV427" s="159">
        <v>552.58000000000004</v>
      </c>
      <c r="AW427" s="159">
        <v>796478</v>
      </c>
      <c r="AX427" s="159">
        <v>30</v>
      </c>
      <c r="AY427" s="159">
        <v>796480</v>
      </c>
      <c r="AZ427" s="152" t="s">
        <v>864</v>
      </c>
      <c r="BA427" s="152" t="str">
        <f t="shared" si="35"/>
        <v>L22-703-JM23</v>
      </c>
      <c r="BB427" s="152">
        <v>0</v>
      </c>
      <c r="BC427" s="157">
        <v>44641</v>
      </c>
      <c r="BD427" s="157">
        <v>44641</v>
      </c>
      <c r="BE427" s="158">
        <v>108932.5</v>
      </c>
      <c r="BF427" s="152" t="s">
        <v>3567</v>
      </c>
      <c r="BG427" s="159" t="s">
        <v>894</v>
      </c>
      <c r="BH427" s="152">
        <v>51.29</v>
      </c>
      <c r="BI427" s="152">
        <v>0</v>
      </c>
      <c r="BJ427" s="152">
        <v>0</v>
      </c>
      <c r="BK427" s="152" t="s">
        <v>132</v>
      </c>
      <c r="BL427" s="152">
        <v>51.29</v>
      </c>
      <c r="BM427" s="152">
        <v>796479</v>
      </c>
      <c r="BN427" s="157" t="s">
        <v>1453</v>
      </c>
    </row>
    <row r="428" spans="1:66">
      <c r="A428" s="152" t="s">
        <v>3568</v>
      </c>
      <c r="B428" s="152" t="s">
        <v>3569</v>
      </c>
      <c r="C428" s="152" t="s">
        <v>3570</v>
      </c>
      <c r="D428" s="152" t="s">
        <v>3571</v>
      </c>
      <c r="E428" s="152" t="s">
        <v>3571</v>
      </c>
      <c r="F428" s="152">
        <v>327313</v>
      </c>
      <c r="G428" s="152">
        <v>33</v>
      </c>
      <c r="H428" s="152">
        <v>311</v>
      </c>
      <c r="I428" s="152">
        <v>201950</v>
      </c>
      <c r="J428" s="152">
        <v>20</v>
      </c>
      <c r="K428" s="152">
        <v>88874</v>
      </c>
      <c r="L428" s="159" t="s">
        <v>856</v>
      </c>
      <c r="M428" s="152" t="s">
        <v>92</v>
      </c>
      <c r="N428" s="152" t="s">
        <v>92</v>
      </c>
      <c r="O428" s="159" t="s">
        <v>856</v>
      </c>
      <c r="P428" s="159" t="s">
        <v>856</v>
      </c>
      <c r="Q428" s="152" t="s">
        <v>92</v>
      </c>
      <c r="R428" s="152" t="s">
        <v>92</v>
      </c>
      <c r="S428" s="159" t="s">
        <v>856</v>
      </c>
      <c r="T428" s="159" t="s">
        <v>856</v>
      </c>
      <c r="U428" s="159" t="s">
        <v>856</v>
      </c>
      <c r="V428" s="152" t="s">
        <v>3530</v>
      </c>
      <c r="W428" s="152" t="s">
        <v>858</v>
      </c>
      <c r="X428" s="152" t="s">
        <v>1083</v>
      </c>
      <c r="Y428" s="152">
        <v>61.78</v>
      </c>
      <c r="Z428" s="152">
        <v>1</v>
      </c>
      <c r="AA428" s="152" t="s">
        <v>92</v>
      </c>
      <c r="AB428" s="152">
        <v>44.36</v>
      </c>
      <c r="AC428" s="152">
        <v>1</v>
      </c>
      <c r="AD428" s="152" t="s">
        <v>861</v>
      </c>
      <c r="AE428" s="152">
        <v>44.36</v>
      </c>
      <c r="AF428" s="152">
        <v>0</v>
      </c>
      <c r="AG428" s="152" t="s">
        <v>861</v>
      </c>
      <c r="AH428" s="152" t="s">
        <v>861</v>
      </c>
      <c r="AI428" s="152" t="s">
        <v>92</v>
      </c>
      <c r="AJ428" s="152" t="s">
        <v>92</v>
      </c>
      <c r="AK428" s="152" t="s">
        <v>872</v>
      </c>
      <c r="AL428" s="159" t="s">
        <v>856</v>
      </c>
      <c r="AP428" s="159" t="s">
        <v>856</v>
      </c>
      <c r="AQ428" s="159" t="s">
        <v>856</v>
      </c>
      <c r="AR428" s="159" t="s">
        <v>3549</v>
      </c>
      <c r="AS428" s="159" t="s">
        <v>865</v>
      </c>
      <c r="AT428" s="152" t="str">
        <f t="shared" si="33"/>
        <v>RPNA3-100121</v>
      </c>
      <c r="AU428" s="152" t="str">
        <f t="shared" si="34"/>
        <v xml:space="preserve">JESUS INOCENTE ALVARADO MEJIA </v>
      </c>
      <c r="AV428" s="159">
        <v>568.23</v>
      </c>
      <c r="AW428" s="159">
        <v>795787</v>
      </c>
      <c r="AX428" s="159" t="s">
        <v>856</v>
      </c>
      <c r="AY428" s="159" t="s">
        <v>856</v>
      </c>
      <c r="AZ428" s="152" t="s">
        <v>864</v>
      </c>
      <c r="BA428" s="152" t="str">
        <f t="shared" si="35"/>
        <v>L22-1008-MP016</v>
      </c>
      <c r="BB428" s="152">
        <v>0</v>
      </c>
      <c r="BC428" s="157">
        <v>44642</v>
      </c>
      <c r="BD428" s="157">
        <v>44642</v>
      </c>
      <c r="BE428" s="158">
        <v>110341.25</v>
      </c>
      <c r="BF428" s="152" t="s">
        <v>3572</v>
      </c>
      <c r="BG428" s="159" t="s">
        <v>894</v>
      </c>
      <c r="BH428" s="152">
        <v>44.36</v>
      </c>
      <c r="BI428" s="152">
        <v>0</v>
      </c>
      <c r="BJ428" s="152">
        <v>0</v>
      </c>
      <c r="BK428" s="152" t="s">
        <v>132</v>
      </c>
      <c r="BL428" s="152">
        <v>44.36</v>
      </c>
      <c r="BM428" s="152">
        <v>795788</v>
      </c>
      <c r="BN428" s="157" t="s">
        <v>1453</v>
      </c>
    </row>
    <row r="429" spans="1:66">
      <c r="A429" s="152" t="s">
        <v>3573</v>
      </c>
      <c r="B429" s="152" t="s">
        <v>3574</v>
      </c>
      <c r="C429" s="152" t="s">
        <v>3575</v>
      </c>
      <c r="D429" s="152" t="s">
        <v>3576</v>
      </c>
      <c r="E429" s="152" t="s">
        <v>3577</v>
      </c>
      <c r="F429" s="152">
        <v>335096</v>
      </c>
      <c r="G429" s="152">
        <v>106</v>
      </c>
      <c r="H429" s="152">
        <v>834</v>
      </c>
      <c r="I429" s="152">
        <v>203704</v>
      </c>
      <c r="J429" s="152">
        <v>121.12</v>
      </c>
      <c r="K429" s="152">
        <v>90278</v>
      </c>
      <c r="L429" s="159" t="s">
        <v>856</v>
      </c>
      <c r="M429" s="152" t="s">
        <v>92</v>
      </c>
      <c r="N429" s="152" t="s">
        <v>92</v>
      </c>
      <c r="O429" s="159" t="s">
        <v>856</v>
      </c>
      <c r="P429" s="159" t="s">
        <v>856</v>
      </c>
      <c r="Q429" s="152" t="s">
        <v>92</v>
      </c>
      <c r="R429" s="152" t="s">
        <v>92</v>
      </c>
      <c r="S429" s="159" t="s">
        <v>856</v>
      </c>
      <c r="T429" s="159" t="s">
        <v>856</v>
      </c>
      <c r="U429" s="159" t="s">
        <v>856</v>
      </c>
      <c r="V429" s="152" t="s">
        <v>857</v>
      </c>
      <c r="W429" s="152" t="s">
        <v>858</v>
      </c>
      <c r="X429" s="152" t="s">
        <v>1083</v>
      </c>
      <c r="Y429" s="152">
        <v>28.88</v>
      </c>
      <c r="Z429" s="152">
        <v>1</v>
      </c>
      <c r="AA429" s="152" t="s">
        <v>92</v>
      </c>
      <c r="AB429" s="152">
        <v>41.08</v>
      </c>
      <c r="AC429" s="152">
        <v>2</v>
      </c>
      <c r="AD429" s="152" t="s">
        <v>861</v>
      </c>
      <c r="AE429" s="152">
        <v>213.79</v>
      </c>
      <c r="AF429" s="152">
        <v>0</v>
      </c>
      <c r="AG429" s="152" t="s">
        <v>861</v>
      </c>
      <c r="AH429" s="152" t="s">
        <v>861</v>
      </c>
      <c r="AI429" s="152" t="s">
        <v>92</v>
      </c>
      <c r="AJ429" s="152" t="s">
        <v>92</v>
      </c>
      <c r="AK429" s="152" t="s">
        <v>3578</v>
      </c>
      <c r="AL429" s="159" t="s">
        <v>856</v>
      </c>
      <c r="AP429" s="159" t="s">
        <v>856</v>
      </c>
      <c r="AQ429" s="159" t="s">
        <v>856</v>
      </c>
      <c r="AR429" s="159" t="s">
        <v>3579</v>
      </c>
      <c r="AS429" s="159" t="s">
        <v>865</v>
      </c>
      <c r="AT429" s="152" t="str">
        <f>B429</f>
        <v>RPNC8-180221</v>
      </c>
      <c r="AU429" s="152" t="str">
        <f>C429</f>
        <v xml:space="preserve">DINORA ESTELA HIDALGO HIDALGO </v>
      </c>
      <c r="AV429" s="159">
        <v>574.20000000000005</v>
      </c>
      <c r="AW429" s="159">
        <v>846686</v>
      </c>
      <c r="AX429" s="159">
        <v>37.5</v>
      </c>
      <c r="AY429" s="159">
        <v>846688</v>
      </c>
      <c r="AZ429" s="152" t="s">
        <v>864</v>
      </c>
      <c r="BA429" s="152" t="str">
        <f>A429</f>
        <v>L23-126-MP126</v>
      </c>
      <c r="BB429" s="152">
        <v>0</v>
      </c>
      <c r="BC429" s="157">
        <v>45013</v>
      </c>
      <c r="BD429" s="157">
        <v>45013</v>
      </c>
      <c r="BE429" s="158">
        <v>112806.25</v>
      </c>
      <c r="BF429" s="152" t="s">
        <v>3580</v>
      </c>
      <c r="BG429" s="159" t="s">
        <v>894</v>
      </c>
      <c r="BH429" s="152">
        <v>213.79</v>
      </c>
      <c r="BI429" s="152">
        <v>0</v>
      </c>
      <c r="BJ429" s="152">
        <v>0</v>
      </c>
      <c r="BK429" s="152" t="s">
        <v>132</v>
      </c>
      <c r="BL429" s="152">
        <v>213.79</v>
      </c>
      <c r="BM429" s="152">
        <v>846687</v>
      </c>
      <c r="BN429" s="157" t="s">
        <v>1453</v>
      </c>
    </row>
    <row r="430" spans="1:66">
      <c r="A430" s="152" t="s">
        <v>3581</v>
      </c>
      <c r="B430" s="152" t="s">
        <v>3582</v>
      </c>
      <c r="C430" s="152" t="s">
        <v>3583</v>
      </c>
      <c r="D430" s="152" t="s">
        <v>3584</v>
      </c>
      <c r="E430" s="152" t="s">
        <v>3584</v>
      </c>
      <c r="F430" s="152">
        <v>5339</v>
      </c>
      <c r="G430" s="152">
        <v>339</v>
      </c>
      <c r="H430" s="152" t="s">
        <v>3585</v>
      </c>
      <c r="I430" s="152">
        <v>203027</v>
      </c>
      <c r="J430" s="152">
        <v>90.5</v>
      </c>
      <c r="K430" s="152">
        <v>89739</v>
      </c>
      <c r="L430" s="159" t="s">
        <v>856</v>
      </c>
      <c r="M430" s="152" t="s">
        <v>92</v>
      </c>
      <c r="N430" s="152" t="s">
        <v>92</v>
      </c>
      <c r="O430" s="159" t="s">
        <v>856</v>
      </c>
      <c r="P430" s="159" t="s">
        <v>856</v>
      </c>
      <c r="Q430" s="152" t="s">
        <v>92</v>
      </c>
      <c r="R430" s="152" t="s">
        <v>92</v>
      </c>
      <c r="S430" s="159" t="s">
        <v>856</v>
      </c>
      <c r="T430" s="159" t="s">
        <v>856</v>
      </c>
      <c r="U430" s="159" t="s">
        <v>856</v>
      </c>
      <c r="V430" s="152" t="s">
        <v>857</v>
      </c>
      <c r="W430" s="152" t="s">
        <v>858</v>
      </c>
      <c r="X430" s="152" t="s">
        <v>1083</v>
      </c>
      <c r="Y430" s="152">
        <v>19.079999999999998</v>
      </c>
      <c r="Z430" s="152">
        <v>1</v>
      </c>
      <c r="AA430" s="152" t="s">
        <v>92</v>
      </c>
      <c r="AB430" s="152">
        <v>98.54</v>
      </c>
      <c r="AC430" s="152">
        <v>2</v>
      </c>
      <c r="AD430" s="152" t="s">
        <v>861</v>
      </c>
      <c r="AE430" s="152">
        <v>98.81</v>
      </c>
      <c r="AF430" s="152">
        <v>0</v>
      </c>
      <c r="AG430" s="152">
        <v>28.56</v>
      </c>
      <c r="AH430" s="152" t="s">
        <v>861</v>
      </c>
      <c r="AI430" s="152" t="s">
        <v>92</v>
      </c>
      <c r="AJ430" s="152" t="s">
        <v>92</v>
      </c>
      <c r="AK430" s="152" t="s">
        <v>862</v>
      </c>
      <c r="AL430" s="159" t="s">
        <v>856</v>
      </c>
      <c r="AP430" s="159" t="s">
        <v>856</v>
      </c>
      <c r="AQ430" s="159" t="s">
        <v>856</v>
      </c>
      <c r="AR430" s="159" t="s">
        <v>3549</v>
      </c>
      <c r="AS430" s="159" t="s">
        <v>865</v>
      </c>
      <c r="AT430" s="152" t="str">
        <f t="shared" si="33"/>
        <v>RPNDR-380622</v>
      </c>
      <c r="AU430" s="152" t="str">
        <f t="shared" si="34"/>
        <v>DESARROLLOS DE SUROCCIDENTE S.A.</v>
      </c>
      <c r="AV430" s="159">
        <v>1432.2</v>
      </c>
      <c r="AW430" s="159">
        <v>894233</v>
      </c>
      <c r="AX430" s="159">
        <v>30</v>
      </c>
      <c r="AY430" s="159">
        <v>894235</v>
      </c>
      <c r="AZ430" s="152" t="s">
        <v>864</v>
      </c>
      <c r="BA430" s="152" t="str">
        <f t="shared" si="35"/>
        <v>L22-622-NR217</v>
      </c>
      <c r="BB430" s="152">
        <v>0</v>
      </c>
      <c r="BC430" s="157">
        <v>44625</v>
      </c>
      <c r="BD430" s="157">
        <v>44625</v>
      </c>
      <c r="BE430" s="158">
        <v>253982</v>
      </c>
      <c r="BF430" s="152" t="s">
        <v>3586</v>
      </c>
      <c r="BG430" s="159" t="s">
        <v>894</v>
      </c>
      <c r="BH430" s="152">
        <v>98.54</v>
      </c>
      <c r="BI430" s="152">
        <v>0</v>
      </c>
      <c r="BJ430" s="152">
        <v>0</v>
      </c>
      <c r="BK430" s="152" t="s">
        <v>132</v>
      </c>
      <c r="BL430" s="152">
        <v>98.54</v>
      </c>
      <c r="BM430" s="152">
        <v>894234</v>
      </c>
      <c r="BN430" s="157" t="s">
        <v>1453</v>
      </c>
    </row>
    <row r="431" spans="1:66">
      <c r="A431" s="152" t="s">
        <v>3587</v>
      </c>
      <c r="B431" s="152" t="s">
        <v>3588</v>
      </c>
      <c r="C431" s="152" t="s">
        <v>3589</v>
      </c>
      <c r="D431" s="152" t="s">
        <v>3590</v>
      </c>
      <c r="E431" s="152" t="s">
        <v>3590</v>
      </c>
      <c r="F431" s="152">
        <v>6970</v>
      </c>
      <c r="G431" s="152">
        <v>470</v>
      </c>
      <c r="H431" s="152" t="s">
        <v>3591</v>
      </c>
      <c r="I431" s="152">
        <v>203475</v>
      </c>
      <c r="J431" s="152">
        <v>107.35</v>
      </c>
      <c r="K431" s="152">
        <v>90079</v>
      </c>
      <c r="L431" s="159" t="s">
        <v>856</v>
      </c>
      <c r="M431" s="152" t="s">
        <v>92</v>
      </c>
      <c r="N431" s="152" t="s">
        <v>92</v>
      </c>
      <c r="O431" s="159" t="s">
        <v>856</v>
      </c>
      <c r="P431" s="159" t="s">
        <v>856</v>
      </c>
      <c r="Q431" s="152" t="s">
        <v>92</v>
      </c>
      <c r="R431" s="152" t="s">
        <v>92</v>
      </c>
      <c r="S431" s="159" t="s">
        <v>856</v>
      </c>
      <c r="T431" s="159" t="s">
        <v>856</v>
      </c>
      <c r="U431" s="159" t="s">
        <v>856</v>
      </c>
      <c r="V431" s="152" t="s">
        <v>3530</v>
      </c>
      <c r="W431" s="152" t="s">
        <v>858</v>
      </c>
      <c r="X431" s="152" t="s">
        <v>1083</v>
      </c>
      <c r="Y431" s="152">
        <v>0</v>
      </c>
      <c r="Z431" s="152">
        <v>1</v>
      </c>
      <c r="AA431" s="152" t="s">
        <v>92</v>
      </c>
      <c r="AB431" s="152">
        <v>97.92</v>
      </c>
      <c r="AC431" s="152">
        <v>2</v>
      </c>
      <c r="AD431" s="152" t="s">
        <v>861</v>
      </c>
      <c r="AE431" s="152">
        <v>97.92</v>
      </c>
      <c r="AF431" s="152">
        <v>0</v>
      </c>
      <c r="AG431" s="152" t="s">
        <v>861</v>
      </c>
      <c r="AH431" s="152" t="s">
        <v>861</v>
      </c>
      <c r="AI431" s="152" t="s">
        <v>92</v>
      </c>
      <c r="AJ431" s="152" t="s">
        <v>92</v>
      </c>
      <c r="AK431" s="152" t="s">
        <v>912</v>
      </c>
      <c r="AL431" s="159" t="s">
        <v>856</v>
      </c>
      <c r="AP431" s="159" t="s">
        <v>856</v>
      </c>
      <c r="AQ431" s="159" t="s">
        <v>856</v>
      </c>
      <c r="AR431" s="159" t="s">
        <v>856</v>
      </c>
      <c r="AS431" s="159" t="s">
        <v>865</v>
      </c>
      <c r="AT431" s="152" t="str">
        <f t="shared" si="33"/>
        <v>RPNG1-030122</v>
      </c>
      <c r="AU431" s="152" t="str">
        <f t="shared" si="34"/>
        <v>MIGUEL ANGEL GONZALES SANTOS</v>
      </c>
      <c r="AV431" s="159">
        <v>1233.79</v>
      </c>
      <c r="AW431" s="159">
        <v>796592</v>
      </c>
      <c r="AX431" s="159" t="s">
        <v>856</v>
      </c>
      <c r="AY431" s="159" t="s">
        <v>856</v>
      </c>
      <c r="AZ431" s="152" t="s">
        <v>864</v>
      </c>
      <c r="BA431" s="152" t="str">
        <f t="shared" si="35"/>
        <v>L24-913-JC001</v>
      </c>
      <c r="BB431" s="152">
        <v>0</v>
      </c>
      <c r="BC431" s="157">
        <v>44641</v>
      </c>
      <c r="BD431" s="157">
        <v>44641</v>
      </c>
      <c r="BE431" s="158">
        <v>244800</v>
      </c>
      <c r="BF431" s="159" t="s">
        <v>3592</v>
      </c>
      <c r="BG431" s="159" t="s">
        <v>2033</v>
      </c>
      <c r="BI431" s="152">
        <v>0</v>
      </c>
      <c r="BJ431" s="152">
        <v>0</v>
      </c>
      <c r="BK431" s="152" t="s">
        <v>132</v>
      </c>
      <c r="BN431" s="157" t="s">
        <v>1453</v>
      </c>
    </row>
    <row r="432" spans="1:66">
      <c r="A432" s="152" t="s">
        <v>3593</v>
      </c>
      <c r="B432" s="152" t="s">
        <v>3594</v>
      </c>
      <c r="C432" s="152" t="s">
        <v>3539</v>
      </c>
      <c r="D432" s="152" t="s">
        <v>3595</v>
      </c>
      <c r="E432" s="152" t="s">
        <v>3595</v>
      </c>
      <c r="F432" s="152">
        <v>6857</v>
      </c>
      <c r="G432" s="152">
        <v>357</v>
      </c>
      <c r="H432" s="152" t="s">
        <v>3591</v>
      </c>
      <c r="I432" s="152">
        <v>202131</v>
      </c>
      <c r="J432" s="152">
        <v>105</v>
      </c>
      <c r="K432" s="152">
        <v>89027</v>
      </c>
      <c r="L432" s="159" t="s">
        <v>856</v>
      </c>
      <c r="M432" s="152" t="s">
        <v>92</v>
      </c>
      <c r="N432" s="152" t="s">
        <v>92</v>
      </c>
      <c r="O432" s="159" t="s">
        <v>856</v>
      </c>
      <c r="P432" s="159" t="s">
        <v>856</v>
      </c>
      <c r="Q432" s="152" t="s">
        <v>92</v>
      </c>
      <c r="R432" s="152" t="s">
        <v>92</v>
      </c>
      <c r="S432" s="159" t="s">
        <v>856</v>
      </c>
      <c r="T432" s="159" t="s">
        <v>856</v>
      </c>
      <c r="U432" s="159" t="s">
        <v>856</v>
      </c>
      <c r="V432" s="152" t="s">
        <v>3530</v>
      </c>
      <c r="W432" s="152" t="s">
        <v>858</v>
      </c>
      <c r="X432" s="152" t="s">
        <v>1083</v>
      </c>
      <c r="Y432" s="152">
        <v>37.229999999999997</v>
      </c>
      <c r="Z432" s="152">
        <v>1</v>
      </c>
      <c r="AA432" s="152" t="s">
        <v>92</v>
      </c>
      <c r="AB432" s="152">
        <v>69.3</v>
      </c>
      <c r="AC432" s="152">
        <v>1</v>
      </c>
      <c r="AD432" s="152" t="s">
        <v>861</v>
      </c>
      <c r="AE432" s="152">
        <v>69.3</v>
      </c>
      <c r="AF432" s="152">
        <v>0</v>
      </c>
      <c r="AG432" s="152" t="s">
        <v>861</v>
      </c>
      <c r="AH432" s="152" t="s">
        <v>861</v>
      </c>
      <c r="AI432" s="152" t="s">
        <v>92</v>
      </c>
      <c r="AJ432" s="152" t="s">
        <v>92</v>
      </c>
      <c r="AK432" s="152" t="s">
        <v>884</v>
      </c>
      <c r="AL432" s="159" t="s">
        <v>856</v>
      </c>
      <c r="AP432" s="159" t="s">
        <v>856</v>
      </c>
      <c r="AQ432" s="159" t="s">
        <v>856</v>
      </c>
      <c r="AR432" s="159" t="s">
        <v>3549</v>
      </c>
      <c r="AS432" s="159" t="s">
        <v>865</v>
      </c>
      <c r="AT432" s="152" t="str">
        <f t="shared" si="33"/>
        <v>RPNG8-030122</v>
      </c>
      <c r="AU432" s="152" t="str">
        <f t="shared" si="34"/>
        <v xml:space="preserve">HERMINIO GRAMAJO XICARA </v>
      </c>
      <c r="AV432" s="159">
        <v>929.01</v>
      </c>
      <c r="AW432" s="159">
        <v>788889</v>
      </c>
      <c r="AX432" s="159">
        <v>35</v>
      </c>
      <c r="AY432" s="159">
        <v>788891</v>
      </c>
      <c r="AZ432" s="152" t="s">
        <v>864</v>
      </c>
      <c r="BA432" s="152" t="str">
        <f t="shared" si="35"/>
        <v>L22-566-LG092</v>
      </c>
      <c r="BB432" s="152">
        <v>0</v>
      </c>
      <c r="BC432" s="157">
        <v>44622</v>
      </c>
      <c r="BD432" s="157">
        <v>44622</v>
      </c>
      <c r="BE432" s="158">
        <v>156880.5</v>
      </c>
      <c r="BF432" s="152" t="s">
        <v>3596</v>
      </c>
      <c r="BG432" s="159" t="s">
        <v>894</v>
      </c>
      <c r="BH432" s="152">
        <v>69.3</v>
      </c>
      <c r="BI432" s="152">
        <v>0</v>
      </c>
      <c r="BJ432" s="152">
        <v>0</v>
      </c>
      <c r="BK432" s="152" t="s">
        <v>132</v>
      </c>
      <c r="BL432" s="152">
        <v>69.3</v>
      </c>
      <c r="BM432" s="152">
        <v>788890</v>
      </c>
      <c r="BN432" s="157" t="s">
        <v>1453</v>
      </c>
    </row>
    <row r="433" spans="1:66">
      <c r="A433" s="152" t="s">
        <v>3597</v>
      </c>
      <c r="B433" s="152" t="s">
        <v>3598</v>
      </c>
      <c r="C433" s="152" t="s">
        <v>3599</v>
      </c>
      <c r="D433" s="152" t="s">
        <v>3600</v>
      </c>
      <c r="E433" s="152" t="s">
        <v>3600</v>
      </c>
      <c r="F433" s="152">
        <v>4046</v>
      </c>
      <c r="G433" s="152">
        <v>46</v>
      </c>
      <c r="H433" s="152" t="s">
        <v>3515</v>
      </c>
      <c r="I433" s="152">
        <v>202156</v>
      </c>
      <c r="J433" s="152">
        <v>76.349999999999994</v>
      </c>
      <c r="K433" s="152">
        <v>89046</v>
      </c>
      <c r="L433" s="159" t="s">
        <v>856</v>
      </c>
      <c r="M433" s="152" t="s">
        <v>92</v>
      </c>
      <c r="N433" s="152" t="s">
        <v>92</v>
      </c>
      <c r="O433" s="159" t="s">
        <v>856</v>
      </c>
      <c r="P433" s="159" t="s">
        <v>856</v>
      </c>
      <c r="Q433" s="152" t="s">
        <v>92</v>
      </c>
      <c r="R433" s="152" t="s">
        <v>92</v>
      </c>
      <c r="S433" s="159" t="s">
        <v>856</v>
      </c>
      <c r="T433" s="159" t="s">
        <v>856</v>
      </c>
      <c r="U433" s="159" t="s">
        <v>856</v>
      </c>
      <c r="V433" s="152" t="s">
        <v>3530</v>
      </c>
      <c r="W433" s="152" t="s">
        <v>858</v>
      </c>
      <c r="X433" s="152" t="s">
        <v>1083</v>
      </c>
      <c r="Y433" s="152">
        <v>0</v>
      </c>
      <c r="Z433" s="152">
        <v>1</v>
      </c>
      <c r="AA433" s="152" t="s">
        <v>92</v>
      </c>
      <c r="AB433" s="152">
        <v>74</v>
      </c>
      <c r="AC433" s="152">
        <v>2</v>
      </c>
      <c r="AD433" s="152" t="s">
        <v>861</v>
      </c>
      <c r="AE433" s="152">
        <v>74</v>
      </c>
      <c r="AF433" s="152">
        <v>0</v>
      </c>
      <c r="AG433" s="152">
        <v>9</v>
      </c>
      <c r="AH433" s="152" t="s">
        <v>861</v>
      </c>
      <c r="AI433" s="152" t="s">
        <v>92</v>
      </c>
      <c r="AJ433" s="152" t="s">
        <v>92</v>
      </c>
      <c r="AK433" s="152" t="s">
        <v>862</v>
      </c>
      <c r="AL433" s="159" t="s">
        <v>856</v>
      </c>
      <c r="AP433" s="159" t="s">
        <v>856</v>
      </c>
      <c r="AQ433" s="159" t="s">
        <v>856</v>
      </c>
      <c r="AR433" s="159" t="s">
        <v>3579</v>
      </c>
      <c r="AS433" s="159" t="s">
        <v>865</v>
      </c>
      <c r="AT433" s="152" t="str">
        <f t="shared" si="33"/>
        <v>RPNM11-040122</v>
      </c>
      <c r="AU433" s="152" t="str">
        <f t="shared" si="34"/>
        <v xml:space="preserve">MYNOR GIOVANNI MALDONADO CORNEJO </v>
      </c>
      <c r="AV433" s="159">
        <v>932.4</v>
      </c>
      <c r="AW433" s="159">
        <v>796466</v>
      </c>
      <c r="AX433" s="159">
        <v>25</v>
      </c>
      <c r="AY433" s="159">
        <v>796468</v>
      </c>
      <c r="AZ433" s="152" t="s">
        <v>864</v>
      </c>
      <c r="BA433" s="152" t="str">
        <f t="shared" si="35"/>
        <v>L22-633-NR104</v>
      </c>
      <c r="BB433" s="152">
        <v>0</v>
      </c>
      <c r="BC433" s="157">
        <v>44641</v>
      </c>
      <c r="BD433" s="157">
        <v>44641</v>
      </c>
      <c r="BE433" s="158">
        <v>185000</v>
      </c>
      <c r="BF433" s="152" t="s">
        <v>3601</v>
      </c>
      <c r="BG433" s="159" t="s">
        <v>894</v>
      </c>
      <c r="BH433" s="152">
        <v>74</v>
      </c>
      <c r="BI433" s="152">
        <v>0</v>
      </c>
      <c r="BJ433" s="152">
        <v>0</v>
      </c>
      <c r="BK433" s="152" t="s">
        <v>132</v>
      </c>
      <c r="BL433" s="152">
        <v>74</v>
      </c>
      <c r="BM433" s="152">
        <v>796467</v>
      </c>
      <c r="BN433" s="157" t="s">
        <v>1453</v>
      </c>
    </row>
    <row r="434" spans="1:66">
      <c r="A434" s="152" t="s">
        <v>3602</v>
      </c>
      <c r="B434" s="152" t="s">
        <v>3603</v>
      </c>
      <c r="C434" s="152" t="s">
        <v>3604</v>
      </c>
      <c r="D434" s="152" t="s">
        <v>3605</v>
      </c>
      <c r="E434" s="152" t="s">
        <v>3606</v>
      </c>
      <c r="F434" s="152">
        <v>4047</v>
      </c>
      <c r="G434" s="152">
        <v>47</v>
      </c>
      <c r="H434" s="152" t="s">
        <v>3515</v>
      </c>
      <c r="I434" s="152">
        <v>202155</v>
      </c>
      <c r="J434" s="152">
        <v>76.599999999999994</v>
      </c>
      <c r="K434" s="152">
        <v>89045</v>
      </c>
      <c r="L434" s="159" t="s">
        <v>856</v>
      </c>
      <c r="M434" s="152" t="s">
        <v>92</v>
      </c>
      <c r="N434" s="152" t="s">
        <v>92</v>
      </c>
      <c r="O434" s="159" t="s">
        <v>856</v>
      </c>
      <c r="P434" s="159" t="s">
        <v>856</v>
      </c>
      <c r="Q434" s="152" t="s">
        <v>92</v>
      </c>
      <c r="R434" s="152" t="s">
        <v>92</v>
      </c>
      <c r="S434" s="159" t="s">
        <v>856</v>
      </c>
      <c r="T434" s="159" t="s">
        <v>856</v>
      </c>
      <c r="U434" s="159" t="s">
        <v>856</v>
      </c>
      <c r="V434" s="152" t="s">
        <v>3530</v>
      </c>
      <c r="W434" s="152" t="s">
        <v>858</v>
      </c>
      <c r="X434" s="152" t="s">
        <v>1083</v>
      </c>
      <c r="Y434" s="152">
        <v>6.66</v>
      </c>
      <c r="Z434" s="152">
        <v>1</v>
      </c>
      <c r="AA434" s="152" t="s">
        <v>92</v>
      </c>
      <c r="AB434" s="152">
        <v>74</v>
      </c>
      <c r="AC434" s="152">
        <v>2</v>
      </c>
      <c r="AD434" s="152" t="s">
        <v>861</v>
      </c>
      <c r="AE434" s="152">
        <v>74</v>
      </c>
      <c r="AF434" s="152">
        <v>0</v>
      </c>
      <c r="AG434" s="152">
        <v>9</v>
      </c>
      <c r="AH434" s="152" t="s">
        <v>861</v>
      </c>
      <c r="AI434" s="152" t="s">
        <v>92</v>
      </c>
      <c r="AJ434" s="152" t="s">
        <v>92</v>
      </c>
      <c r="AK434" s="152" t="s">
        <v>862</v>
      </c>
      <c r="AL434" s="159" t="s">
        <v>856</v>
      </c>
      <c r="AP434" s="159" t="s">
        <v>856</v>
      </c>
      <c r="AQ434" s="159" t="s">
        <v>856</v>
      </c>
      <c r="AR434" s="159" t="s">
        <v>3549</v>
      </c>
      <c r="AS434" s="159" t="s">
        <v>865</v>
      </c>
      <c r="AT434" s="152" t="str">
        <f t="shared" si="33"/>
        <v>RPNA11-050122</v>
      </c>
      <c r="AU434" s="152" t="str">
        <f t="shared" si="34"/>
        <v xml:space="preserve">LUIS FERNANDO ALVARADO MERIDA </v>
      </c>
      <c r="AV434" s="159">
        <v>999</v>
      </c>
      <c r="AW434" s="159">
        <v>796470</v>
      </c>
      <c r="AX434" s="159">
        <v>25</v>
      </c>
      <c r="AY434" s="159">
        <v>796472</v>
      </c>
      <c r="AZ434" s="152" t="s">
        <v>864</v>
      </c>
      <c r="BA434" s="152" t="str">
        <f t="shared" si="35"/>
        <v>L22-635-NR103</v>
      </c>
      <c r="BB434" s="152">
        <v>0</v>
      </c>
      <c r="BC434" s="157">
        <v>44637</v>
      </c>
      <c r="BD434" s="157">
        <v>44637</v>
      </c>
      <c r="BE434" s="158">
        <v>187664</v>
      </c>
      <c r="BF434" s="152" t="s">
        <v>3607</v>
      </c>
      <c r="BG434" s="159" t="s">
        <v>894</v>
      </c>
      <c r="BH434" s="152">
        <v>74</v>
      </c>
      <c r="BI434" s="152">
        <v>0</v>
      </c>
      <c r="BJ434" s="152">
        <v>0</v>
      </c>
      <c r="BK434" s="152" t="s">
        <v>132</v>
      </c>
      <c r="BL434" s="152">
        <v>74</v>
      </c>
      <c r="BM434" s="152">
        <v>796471</v>
      </c>
      <c r="BN434" s="157" t="s">
        <v>1453</v>
      </c>
    </row>
    <row r="435" spans="1:66">
      <c r="A435" s="152" t="s">
        <v>3608</v>
      </c>
      <c r="B435" s="152" t="s">
        <v>3609</v>
      </c>
      <c r="C435" s="152" t="s">
        <v>3610</v>
      </c>
      <c r="D435" s="152" t="s">
        <v>3611</v>
      </c>
      <c r="E435" s="152" t="s">
        <v>3611</v>
      </c>
      <c r="F435" s="152">
        <v>4193</v>
      </c>
      <c r="G435" s="152">
        <v>193</v>
      </c>
      <c r="H435" s="152" t="s">
        <v>1710</v>
      </c>
      <c r="I435" s="152">
        <v>202145</v>
      </c>
      <c r="J435" s="152">
        <v>401.39</v>
      </c>
      <c r="K435" s="152">
        <v>89035</v>
      </c>
      <c r="L435" s="159" t="s">
        <v>856</v>
      </c>
      <c r="M435" s="152" t="s">
        <v>92</v>
      </c>
      <c r="N435" s="152" t="s">
        <v>92</v>
      </c>
      <c r="O435" s="159" t="s">
        <v>856</v>
      </c>
      <c r="P435" s="159" t="s">
        <v>856</v>
      </c>
      <c r="Q435" s="152" t="s">
        <v>92</v>
      </c>
      <c r="R435" s="152" t="s">
        <v>92</v>
      </c>
      <c r="S435" s="159" t="s">
        <v>856</v>
      </c>
      <c r="T435" s="159" t="s">
        <v>856</v>
      </c>
      <c r="U435" s="159" t="s">
        <v>856</v>
      </c>
      <c r="V435" s="152" t="s">
        <v>3530</v>
      </c>
      <c r="W435" s="152" t="s">
        <v>858</v>
      </c>
      <c r="X435" s="152" t="s">
        <v>1083</v>
      </c>
      <c r="Y435" s="152">
        <v>0</v>
      </c>
      <c r="Z435" s="152">
        <v>1</v>
      </c>
      <c r="AA435" s="152" t="s">
        <v>92</v>
      </c>
      <c r="AB435" s="152">
        <v>80.989999999999995</v>
      </c>
      <c r="AC435" s="152">
        <v>1</v>
      </c>
      <c r="AD435" s="152" t="s">
        <v>861</v>
      </c>
      <c r="AE435" s="152">
        <v>80.989999999999995</v>
      </c>
      <c r="AF435" s="152">
        <v>0</v>
      </c>
      <c r="AG435" s="152">
        <v>320.39999999999998</v>
      </c>
      <c r="AH435" s="152" t="s">
        <v>861</v>
      </c>
      <c r="AI435" s="152" t="s">
        <v>92</v>
      </c>
      <c r="AJ435" s="152" t="s">
        <v>92</v>
      </c>
      <c r="AK435" s="152" t="s">
        <v>3555</v>
      </c>
      <c r="AL435" s="159" t="s">
        <v>856</v>
      </c>
      <c r="AP435" s="159" t="s">
        <v>856</v>
      </c>
      <c r="AQ435" s="159" t="s">
        <v>856</v>
      </c>
      <c r="AR435" s="159" t="s">
        <v>3549</v>
      </c>
      <c r="AS435" s="159" t="s">
        <v>865</v>
      </c>
      <c r="AT435" s="152" t="str">
        <f t="shared" si="33"/>
        <v>RPNJ10-501121</v>
      </c>
      <c r="AU435" s="152" t="str">
        <f t="shared" si="34"/>
        <v xml:space="preserve">EDGAR GABRIEL JUCUP TOC </v>
      </c>
      <c r="AV435" s="159" t="s">
        <v>2080</v>
      </c>
      <c r="AW435" s="159" t="s">
        <v>2080</v>
      </c>
      <c r="AX435" s="159">
        <v>88.6</v>
      </c>
      <c r="AY435" s="159">
        <v>798389</v>
      </c>
      <c r="AZ435" s="152" t="s">
        <v>864</v>
      </c>
      <c r="BA435" s="152" t="str">
        <f t="shared" si="35"/>
        <v>L22-225-NR020</v>
      </c>
      <c r="BB435" s="152">
        <v>0</v>
      </c>
      <c r="BC435" s="157">
        <v>44651</v>
      </c>
      <c r="BD435" s="157">
        <v>44651</v>
      </c>
      <c r="BE435" s="158">
        <v>161980</v>
      </c>
      <c r="BF435" s="152" t="s">
        <v>3612</v>
      </c>
      <c r="BG435" s="159" t="s">
        <v>894</v>
      </c>
      <c r="BH435" s="152">
        <v>80.989999999999995</v>
      </c>
      <c r="BI435" s="152">
        <v>0</v>
      </c>
      <c r="BJ435" s="152">
        <v>0</v>
      </c>
      <c r="BK435" s="152" t="s">
        <v>132</v>
      </c>
      <c r="BL435" s="152">
        <v>80.989999999999995</v>
      </c>
      <c r="BM435" s="152">
        <v>798388</v>
      </c>
      <c r="BN435" s="157" t="s">
        <v>1453</v>
      </c>
    </row>
    <row r="436" spans="1:66">
      <c r="A436" s="152" t="s">
        <v>3613</v>
      </c>
      <c r="B436" s="152" t="s">
        <v>3614</v>
      </c>
      <c r="C436" s="152" t="s">
        <v>3615</v>
      </c>
      <c r="D436" s="152" t="s">
        <v>3616</v>
      </c>
      <c r="E436" s="152" t="s">
        <v>3617</v>
      </c>
      <c r="F436" s="152">
        <v>9543</v>
      </c>
      <c r="G436" s="152">
        <v>43</v>
      </c>
      <c r="H436" s="152" t="s">
        <v>2731</v>
      </c>
      <c r="I436" s="152">
        <v>188013</v>
      </c>
      <c r="J436" s="152">
        <v>236</v>
      </c>
      <c r="K436" s="152">
        <v>78137</v>
      </c>
      <c r="L436" s="159" t="s">
        <v>856</v>
      </c>
      <c r="M436" s="152" t="s">
        <v>92</v>
      </c>
      <c r="N436" s="152" t="s">
        <v>92</v>
      </c>
      <c r="O436" s="159" t="s">
        <v>856</v>
      </c>
      <c r="P436" s="159" t="s">
        <v>856</v>
      </c>
      <c r="Q436" s="152" t="s">
        <v>92</v>
      </c>
      <c r="R436" s="152" t="s">
        <v>92</v>
      </c>
      <c r="S436" s="159" t="s">
        <v>856</v>
      </c>
      <c r="T436" s="159" t="s">
        <v>856</v>
      </c>
      <c r="U436" s="159" t="s">
        <v>856</v>
      </c>
      <c r="V436" s="152" t="s">
        <v>3530</v>
      </c>
      <c r="W436" s="152" t="s">
        <v>858</v>
      </c>
      <c r="X436" s="152" t="s">
        <v>1083</v>
      </c>
      <c r="Y436" s="152">
        <v>0</v>
      </c>
      <c r="Z436" s="152">
        <v>1</v>
      </c>
      <c r="AA436" s="152" t="s">
        <v>92</v>
      </c>
      <c r="AB436" s="152">
        <v>194.17</v>
      </c>
      <c r="AC436" s="152">
        <v>2</v>
      </c>
      <c r="AD436" s="152" t="s">
        <v>861</v>
      </c>
      <c r="AE436" s="152">
        <v>194.17</v>
      </c>
      <c r="AF436" s="152">
        <v>0</v>
      </c>
      <c r="AG436" s="152">
        <v>57.52</v>
      </c>
      <c r="AH436" s="152" t="s">
        <v>861</v>
      </c>
      <c r="AI436" s="152" t="s">
        <v>92</v>
      </c>
      <c r="AJ436" s="152" t="s">
        <v>92</v>
      </c>
      <c r="AK436" s="152" t="s">
        <v>912</v>
      </c>
      <c r="AL436" s="159" t="s">
        <v>856</v>
      </c>
      <c r="AP436" s="159" t="s">
        <v>856</v>
      </c>
      <c r="AQ436" s="159" t="s">
        <v>856</v>
      </c>
      <c r="AR436" s="159" t="s">
        <v>3549</v>
      </c>
      <c r="AS436" s="159" t="s">
        <v>865</v>
      </c>
      <c r="AT436" s="152" t="str">
        <f t="shared" si="33"/>
        <v>RPNR12-040222</v>
      </c>
      <c r="AU436" s="152" t="str">
        <f t="shared" si="34"/>
        <v>GIOVANNA KARINA RUANO RUIZ DE GRAMAJO</v>
      </c>
      <c r="AV436" s="159">
        <v>2446.54</v>
      </c>
      <c r="AW436" s="159">
        <v>792571</v>
      </c>
      <c r="AX436" s="159">
        <v>50</v>
      </c>
      <c r="AY436" s="159">
        <v>792573</v>
      </c>
      <c r="AZ436" s="152" t="s">
        <v>864</v>
      </c>
      <c r="BA436" s="152" t="str">
        <f t="shared" si="35"/>
        <v>L22-264-NR042</v>
      </c>
      <c r="BB436" s="152">
        <v>0</v>
      </c>
      <c r="BC436" s="157">
        <v>44670</v>
      </c>
      <c r="BD436" s="157">
        <v>44670</v>
      </c>
      <c r="BE436" s="158">
        <v>485425</v>
      </c>
      <c r="BF436" s="152" t="s">
        <v>3618</v>
      </c>
      <c r="BG436" s="159" t="s">
        <v>894</v>
      </c>
      <c r="BH436" s="152">
        <v>194.17</v>
      </c>
      <c r="BI436" s="152">
        <v>0</v>
      </c>
      <c r="BJ436" s="152">
        <v>0</v>
      </c>
      <c r="BK436" s="152" t="s">
        <v>132</v>
      </c>
      <c r="BL436" s="152">
        <v>194.17</v>
      </c>
      <c r="BM436" s="152">
        <v>792572</v>
      </c>
      <c r="BN436" s="157" t="s">
        <v>1453</v>
      </c>
    </row>
    <row r="437" spans="1:66">
      <c r="A437" s="152" t="s">
        <v>3619</v>
      </c>
      <c r="B437" s="152" t="s">
        <v>3620</v>
      </c>
      <c r="C437" s="152" t="s">
        <v>3621</v>
      </c>
      <c r="D437" s="152" t="s">
        <v>3622</v>
      </c>
      <c r="E437" s="152" t="s">
        <v>3622</v>
      </c>
      <c r="F437" s="152">
        <v>4041</v>
      </c>
      <c r="G437" s="152">
        <v>41</v>
      </c>
      <c r="H437" s="152" t="s">
        <v>3623</v>
      </c>
      <c r="I437" s="152">
        <v>202159</v>
      </c>
      <c r="J437" s="152">
        <v>75.12</v>
      </c>
      <c r="K437" s="152">
        <v>89048</v>
      </c>
      <c r="L437" s="159" t="s">
        <v>856</v>
      </c>
      <c r="M437" s="152" t="s">
        <v>92</v>
      </c>
      <c r="N437" s="152" t="s">
        <v>92</v>
      </c>
      <c r="O437" s="159" t="s">
        <v>856</v>
      </c>
      <c r="P437" s="159" t="s">
        <v>856</v>
      </c>
      <c r="Q437" s="152" t="s">
        <v>92</v>
      </c>
      <c r="R437" s="152" t="s">
        <v>92</v>
      </c>
      <c r="S437" s="159" t="s">
        <v>856</v>
      </c>
      <c r="T437" s="159" t="s">
        <v>856</v>
      </c>
      <c r="U437" s="159" t="s">
        <v>856</v>
      </c>
      <c r="V437" s="152" t="s">
        <v>3624</v>
      </c>
      <c r="W437" s="152" t="s">
        <v>858</v>
      </c>
      <c r="X437" s="152" t="s">
        <v>1083</v>
      </c>
      <c r="Y437" s="152">
        <v>0</v>
      </c>
      <c r="Z437" s="152">
        <v>1</v>
      </c>
      <c r="AA437" s="152" t="s">
        <v>883</v>
      </c>
      <c r="AB437" s="152">
        <v>80.819999999999993</v>
      </c>
      <c r="AC437" s="152">
        <v>2</v>
      </c>
      <c r="AD437" s="152" t="s">
        <v>861</v>
      </c>
      <c r="AE437" s="152">
        <v>80.819999999999993</v>
      </c>
      <c r="AF437" s="152">
        <v>0</v>
      </c>
      <c r="AG437" s="152" t="s">
        <v>861</v>
      </c>
      <c r="AH437" s="152" t="s">
        <v>861</v>
      </c>
      <c r="AI437" s="152" t="s">
        <v>92</v>
      </c>
      <c r="AJ437" s="152" t="s">
        <v>92</v>
      </c>
      <c r="AK437" s="152" t="s">
        <v>3555</v>
      </c>
      <c r="AL437" s="159" t="s">
        <v>856</v>
      </c>
      <c r="AP437" s="159" t="s">
        <v>856</v>
      </c>
      <c r="AQ437" s="159" t="s">
        <v>856</v>
      </c>
      <c r="AR437" s="159" t="s">
        <v>3549</v>
      </c>
      <c r="AS437" s="159" t="s">
        <v>865</v>
      </c>
      <c r="AT437" s="152" t="str">
        <f t="shared" si="33"/>
        <v>RPNC11-020122</v>
      </c>
      <c r="AU437" s="152" t="str">
        <f t="shared" si="34"/>
        <v xml:space="preserve">DULCE ROSARIO CASTILLO SALAZAR </v>
      </c>
      <c r="AV437" s="159">
        <v>1018.33</v>
      </c>
      <c r="AW437" s="159">
        <v>796486</v>
      </c>
      <c r="AX437" s="159">
        <v>25</v>
      </c>
      <c r="AY437" s="159">
        <v>796488</v>
      </c>
      <c r="AZ437" s="152" t="s">
        <v>864</v>
      </c>
      <c r="BA437" s="152" t="str">
        <f t="shared" si="35"/>
        <v>L22-634-NR105</v>
      </c>
      <c r="BB437" s="152">
        <v>0</v>
      </c>
      <c r="BC437" s="157">
        <v>44637</v>
      </c>
      <c r="BD437" s="157">
        <v>44637</v>
      </c>
      <c r="BE437" s="158">
        <v>202050</v>
      </c>
      <c r="BF437" s="152" t="s">
        <v>3625</v>
      </c>
      <c r="BG437" s="159" t="s">
        <v>894</v>
      </c>
      <c r="BH437" s="152">
        <v>80.819999999999993</v>
      </c>
      <c r="BI437" s="152">
        <v>0</v>
      </c>
      <c r="BJ437" s="152">
        <v>0</v>
      </c>
      <c r="BK437" s="152" t="s">
        <v>132</v>
      </c>
      <c r="BL437" s="152">
        <v>80.819999999999993</v>
      </c>
      <c r="BM437" s="152">
        <v>796487</v>
      </c>
      <c r="BN437" s="157" t="s">
        <v>1453</v>
      </c>
    </row>
    <row r="438" spans="1:66">
      <c r="A438" s="152" t="s">
        <v>3626</v>
      </c>
      <c r="B438" s="152" t="s">
        <v>3627</v>
      </c>
      <c r="C438" s="152" t="s">
        <v>3628</v>
      </c>
      <c r="D438" s="152" t="s">
        <v>3546</v>
      </c>
      <c r="E438" s="152" t="s">
        <v>2300</v>
      </c>
      <c r="F438" s="159" t="s">
        <v>3523</v>
      </c>
      <c r="G438" s="159" t="s">
        <v>3523</v>
      </c>
      <c r="H438" s="159" t="s">
        <v>3523</v>
      </c>
      <c r="I438" s="152">
        <v>203154</v>
      </c>
      <c r="J438" s="152">
        <v>109.2</v>
      </c>
      <c r="K438" s="152">
        <v>89841</v>
      </c>
      <c r="L438" s="159" t="s">
        <v>856</v>
      </c>
      <c r="M438" s="152" t="s">
        <v>92</v>
      </c>
      <c r="N438" s="152" t="s">
        <v>92</v>
      </c>
      <c r="O438" s="159" t="s">
        <v>856</v>
      </c>
      <c r="P438" s="159" t="s">
        <v>856</v>
      </c>
      <c r="Q438" s="152" t="s">
        <v>92</v>
      </c>
      <c r="R438" s="152" t="s">
        <v>92</v>
      </c>
      <c r="S438" s="159" t="s">
        <v>856</v>
      </c>
      <c r="T438" s="159" t="s">
        <v>856</v>
      </c>
      <c r="U438" s="159" t="s">
        <v>856</v>
      </c>
      <c r="V438" s="152" t="s">
        <v>3530</v>
      </c>
      <c r="W438" s="152" t="s">
        <v>858</v>
      </c>
      <c r="X438" s="152" t="s">
        <v>1083</v>
      </c>
      <c r="Y438" s="152">
        <v>53.44</v>
      </c>
      <c r="Z438" s="152">
        <v>1</v>
      </c>
      <c r="AA438" s="152" t="s">
        <v>92</v>
      </c>
      <c r="AB438" s="152">
        <v>71.349999999999994</v>
      </c>
      <c r="AC438" s="152">
        <v>1</v>
      </c>
      <c r="AD438" s="152" t="s">
        <v>861</v>
      </c>
      <c r="AE438" s="152">
        <v>71.349999999999994</v>
      </c>
      <c r="AF438" s="152">
        <v>0</v>
      </c>
      <c r="AG438" s="152" t="s">
        <v>861</v>
      </c>
      <c r="AH438" s="152" t="s">
        <v>861</v>
      </c>
      <c r="AI438" s="152" t="s">
        <v>92</v>
      </c>
      <c r="AJ438" s="152" t="s">
        <v>92</v>
      </c>
      <c r="AK438" s="152" t="s">
        <v>2503</v>
      </c>
      <c r="AL438" s="159" t="s">
        <v>856</v>
      </c>
      <c r="AP438" s="159" t="s">
        <v>856</v>
      </c>
      <c r="AQ438" s="159" t="s">
        <v>856</v>
      </c>
      <c r="AR438" s="159" t="s">
        <v>3723</v>
      </c>
      <c r="AS438" s="159" t="s">
        <v>865</v>
      </c>
      <c r="AT438" s="152" t="str">
        <f t="shared" si="33"/>
        <v>RPNSR-160222</v>
      </c>
      <c r="AU438" s="152" t="str">
        <f t="shared" si="34"/>
        <v xml:space="preserve">WILLIAM NOE SUCHI ACABAL </v>
      </c>
      <c r="AV438" s="159">
        <v>823.95</v>
      </c>
      <c r="AW438" s="159">
        <v>790711</v>
      </c>
      <c r="AX438" s="159">
        <v>26.1</v>
      </c>
      <c r="AY438" s="159">
        <v>790713</v>
      </c>
      <c r="AZ438" s="152" t="s">
        <v>864</v>
      </c>
      <c r="BA438" s="152" t="str">
        <f t="shared" si="35"/>
        <v>L22-895-AQ033</v>
      </c>
      <c r="BB438" s="152">
        <v>0</v>
      </c>
      <c r="BC438" s="157">
        <v>44658</v>
      </c>
      <c r="BD438" s="157">
        <v>44658</v>
      </c>
      <c r="BE438" s="158">
        <v>368250</v>
      </c>
      <c r="BF438" s="152" t="s">
        <v>3629</v>
      </c>
      <c r="BG438" s="159" t="s">
        <v>894</v>
      </c>
      <c r="BH438" s="152">
        <v>147.30000000000001</v>
      </c>
      <c r="BI438" s="152">
        <v>0</v>
      </c>
      <c r="BJ438" s="152">
        <v>0</v>
      </c>
      <c r="BK438" s="152" t="s">
        <v>132</v>
      </c>
      <c r="BL438" s="152">
        <v>71.349999999999994</v>
      </c>
      <c r="BM438" s="152">
        <v>790712</v>
      </c>
      <c r="BN438" s="157" t="s">
        <v>1453</v>
      </c>
    </row>
    <row r="439" spans="1:66">
      <c r="A439" s="152" t="s">
        <v>3630</v>
      </c>
      <c r="B439" s="152" t="s">
        <v>3631</v>
      </c>
      <c r="C439" s="152" t="s">
        <v>3632</v>
      </c>
      <c r="D439" s="152" t="s">
        <v>3633</v>
      </c>
      <c r="E439" s="152" t="s">
        <v>3634</v>
      </c>
      <c r="F439" s="152">
        <v>4072</v>
      </c>
      <c r="G439" s="152">
        <v>72</v>
      </c>
      <c r="H439" s="152" t="s">
        <v>3515</v>
      </c>
      <c r="I439" s="152">
        <v>202151</v>
      </c>
      <c r="J439" s="152">
        <v>109.58</v>
      </c>
      <c r="K439" s="152">
        <v>89041</v>
      </c>
      <c r="L439" s="159" t="s">
        <v>856</v>
      </c>
      <c r="M439" s="152" t="s">
        <v>92</v>
      </c>
      <c r="N439" s="152" t="s">
        <v>92</v>
      </c>
      <c r="O439" s="159" t="s">
        <v>856</v>
      </c>
      <c r="P439" s="159" t="s">
        <v>856</v>
      </c>
      <c r="Q439" s="152" t="s">
        <v>92</v>
      </c>
      <c r="R439" s="152" t="s">
        <v>92</v>
      </c>
      <c r="S439" s="159" t="s">
        <v>856</v>
      </c>
      <c r="T439" s="159" t="s">
        <v>856</v>
      </c>
      <c r="U439" s="159" t="s">
        <v>856</v>
      </c>
      <c r="V439" s="152" t="s">
        <v>3530</v>
      </c>
      <c r="W439" s="152" t="s">
        <v>858</v>
      </c>
      <c r="X439" s="152" t="s">
        <v>1083</v>
      </c>
      <c r="Y439" s="152">
        <v>10.199999999999999</v>
      </c>
      <c r="Z439" s="152">
        <v>1</v>
      </c>
      <c r="AA439" s="152" t="s">
        <v>92</v>
      </c>
      <c r="AB439" s="152">
        <v>206.26</v>
      </c>
      <c r="AC439" s="152">
        <v>2</v>
      </c>
      <c r="AD439" s="152" t="s">
        <v>861</v>
      </c>
      <c r="AE439" s="152">
        <v>205.26</v>
      </c>
      <c r="AF439" s="152">
        <v>0</v>
      </c>
      <c r="AG439" s="152" t="s">
        <v>861</v>
      </c>
      <c r="AH439" s="152" t="s">
        <v>861</v>
      </c>
      <c r="AI439" s="152" t="s">
        <v>92</v>
      </c>
      <c r="AJ439" s="152" t="s">
        <v>92</v>
      </c>
      <c r="AK439" s="152" t="s">
        <v>862</v>
      </c>
      <c r="AL439" s="159" t="s">
        <v>856</v>
      </c>
      <c r="AP439" s="159" t="s">
        <v>856</v>
      </c>
      <c r="AQ439" s="159" t="s">
        <v>856</v>
      </c>
      <c r="AR439" s="159" t="s">
        <v>3549</v>
      </c>
      <c r="AS439" s="159" t="s">
        <v>865</v>
      </c>
      <c r="AT439" s="152" t="str">
        <f t="shared" si="33"/>
        <v>RPNS11-100122</v>
      </c>
      <c r="AU439" s="152" t="str">
        <f t="shared" si="34"/>
        <v>FRANCISCO SAQUICH GARCIA</v>
      </c>
      <c r="AV439" s="159">
        <v>2506.27</v>
      </c>
      <c r="AW439" s="159">
        <v>798792</v>
      </c>
      <c r="AX439" s="159">
        <v>30</v>
      </c>
      <c r="AY439" s="159">
        <v>798794</v>
      </c>
      <c r="AZ439" s="152" t="s">
        <v>864</v>
      </c>
      <c r="BA439" s="152" t="str">
        <f t="shared" si="35"/>
        <v>L22-704-JM21</v>
      </c>
      <c r="BB439" s="152">
        <v>0</v>
      </c>
      <c r="BC439" s="157">
        <v>44659</v>
      </c>
      <c r="BD439" s="157">
        <v>44659</v>
      </c>
      <c r="BE439" s="158">
        <v>516720</v>
      </c>
      <c r="BF439" s="152" t="s">
        <v>3635</v>
      </c>
      <c r="BG439" s="159" t="s">
        <v>894</v>
      </c>
      <c r="BH439" s="152">
        <v>205.26</v>
      </c>
      <c r="BI439" s="152">
        <v>0</v>
      </c>
      <c r="BJ439" s="152">
        <v>0</v>
      </c>
      <c r="BK439" s="152" t="s">
        <v>132</v>
      </c>
      <c r="BL439" s="152">
        <v>205.26</v>
      </c>
      <c r="BM439" s="152">
        <v>798793</v>
      </c>
      <c r="BN439" s="157" t="s">
        <v>1453</v>
      </c>
    </row>
    <row r="440" spans="1:66">
      <c r="A440" s="152" t="s">
        <v>3636</v>
      </c>
      <c r="B440" s="152" t="s">
        <v>3637</v>
      </c>
      <c r="C440" s="152" t="s">
        <v>3638</v>
      </c>
      <c r="D440" s="152" t="s">
        <v>3639</v>
      </c>
      <c r="E440" s="152" t="s">
        <v>3640</v>
      </c>
      <c r="F440" s="152">
        <v>4633</v>
      </c>
      <c r="G440" s="152">
        <v>133</v>
      </c>
      <c r="H440" s="152" t="s">
        <v>3641</v>
      </c>
      <c r="I440" s="152">
        <v>202992</v>
      </c>
      <c r="J440" s="152">
        <v>135.09</v>
      </c>
      <c r="K440" s="152">
        <v>89703</v>
      </c>
      <c r="L440" s="159" t="s">
        <v>856</v>
      </c>
      <c r="M440" s="152" t="s">
        <v>92</v>
      </c>
      <c r="N440" s="152" t="s">
        <v>92</v>
      </c>
      <c r="O440" s="159" t="s">
        <v>856</v>
      </c>
      <c r="P440" s="159" t="s">
        <v>856</v>
      </c>
      <c r="Q440" s="152" t="s">
        <v>92</v>
      </c>
      <c r="R440" s="152" t="s">
        <v>92</v>
      </c>
      <c r="S440" s="159" t="s">
        <v>856</v>
      </c>
      <c r="T440" s="159" t="s">
        <v>856</v>
      </c>
      <c r="U440" s="159" t="s">
        <v>856</v>
      </c>
      <c r="V440" s="152" t="s">
        <v>3530</v>
      </c>
      <c r="W440" s="152" t="s">
        <v>858</v>
      </c>
      <c r="X440" s="152" t="s">
        <v>1083</v>
      </c>
      <c r="Y440" s="152">
        <v>0</v>
      </c>
      <c r="Z440" s="152">
        <v>1</v>
      </c>
      <c r="AA440" s="152" t="s">
        <v>92</v>
      </c>
      <c r="AB440" s="152">
        <v>148.18</v>
      </c>
      <c r="AC440" s="152">
        <v>2</v>
      </c>
      <c r="AD440" s="152" t="s">
        <v>861</v>
      </c>
      <c r="AE440" s="152">
        <v>148.18</v>
      </c>
      <c r="AF440" s="152">
        <v>0</v>
      </c>
      <c r="AG440" s="152" t="s">
        <v>861</v>
      </c>
      <c r="AH440" s="152" t="s">
        <v>861</v>
      </c>
      <c r="AI440" s="152" t="s">
        <v>92</v>
      </c>
      <c r="AJ440" s="152" t="s">
        <v>92</v>
      </c>
      <c r="AK440" s="152" t="s">
        <v>862</v>
      </c>
      <c r="AL440" s="159" t="s">
        <v>856</v>
      </c>
      <c r="AP440" s="159" t="s">
        <v>856</v>
      </c>
      <c r="AQ440" s="159" t="s">
        <v>856</v>
      </c>
      <c r="AR440" s="159" t="s">
        <v>3549</v>
      </c>
      <c r="AS440" s="159" t="s">
        <v>865</v>
      </c>
      <c r="AT440" s="152" t="str">
        <f t="shared" si="33"/>
        <v>RPNCR-100222</v>
      </c>
      <c r="AU440" s="152" t="str">
        <f t="shared" si="34"/>
        <v>ALICIA GUADALUPE COTI SAQUICH Y CONDUEÑA</v>
      </c>
      <c r="AV440" s="159">
        <v>1867.07</v>
      </c>
      <c r="AW440" s="159">
        <v>799644</v>
      </c>
      <c r="AX440" s="159">
        <v>45.5</v>
      </c>
      <c r="AY440" s="159">
        <v>799646</v>
      </c>
      <c r="AZ440" s="152" t="s">
        <v>864</v>
      </c>
      <c r="BA440" s="152" t="str">
        <f t="shared" si="35"/>
        <v>L22-247-JM56</v>
      </c>
      <c r="BB440" s="152">
        <v>0</v>
      </c>
      <c r="BC440" s="157">
        <v>44657</v>
      </c>
      <c r="BD440" s="157">
        <v>44657</v>
      </c>
      <c r="BE440" s="158">
        <v>370450</v>
      </c>
      <c r="BF440" s="152" t="s">
        <v>3642</v>
      </c>
      <c r="BG440" s="159" t="s">
        <v>894</v>
      </c>
      <c r="BH440" s="152">
        <v>148.18</v>
      </c>
      <c r="BI440" s="152">
        <v>0</v>
      </c>
      <c r="BJ440" s="152">
        <v>0</v>
      </c>
      <c r="BK440" s="152" t="s">
        <v>132</v>
      </c>
      <c r="BL440" s="152">
        <v>148.18</v>
      </c>
      <c r="BM440" s="152">
        <v>799645</v>
      </c>
      <c r="BN440" s="157" t="s">
        <v>1453</v>
      </c>
    </row>
    <row r="441" spans="1:66">
      <c r="A441" s="152" t="s">
        <v>3643</v>
      </c>
      <c r="B441" s="152" t="s">
        <v>3644</v>
      </c>
      <c r="C441" s="152" t="s">
        <v>3645</v>
      </c>
      <c r="D441" s="152" t="s">
        <v>3646</v>
      </c>
      <c r="E441" s="152" t="s">
        <v>3647</v>
      </c>
      <c r="F441" s="152">
        <v>261277</v>
      </c>
      <c r="G441" s="152">
        <v>77</v>
      </c>
      <c r="H441" s="152">
        <v>591</v>
      </c>
      <c r="I441" s="152">
        <v>154982</v>
      </c>
      <c r="J441" s="152">
        <v>109</v>
      </c>
      <c r="K441" s="152">
        <v>52156</v>
      </c>
      <c r="L441" s="159" t="s">
        <v>2025</v>
      </c>
      <c r="M441" s="152" t="s">
        <v>92</v>
      </c>
      <c r="N441" s="152" t="s">
        <v>883</v>
      </c>
      <c r="O441" s="159">
        <v>3180</v>
      </c>
      <c r="P441" s="159" t="s">
        <v>2025</v>
      </c>
      <c r="Q441" s="152" t="s">
        <v>92</v>
      </c>
      <c r="R441" s="152" t="s">
        <v>883</v>
      </c>
      <c r="S441" s="159">
        <v>3180</v>
      </c>
      <c r="T441" s="159" t="s">
        <v>856</v>
      </c>
      <c r="U441" s="159" t="s">
        <v>856</v>
      </c>
      <c r="V441" s="152" t="s">
        <v>991</v>
      </c>
      <c r="W441" s="152" t="s">
        <v>858</v>
      </c>
      <c r="X441" s="152" t="s">
        <v>1083</v>
      </c>
      <c r="Y441" s="152">
        <v>0</v>
      </c>
      <c r="Z441" s="152">
        <v>2</v>
      </c>
      <c r="AA441" s="152" t="s">
        <v>92</v>
      </c>
      <c r="AB441" s="152">
        <v>109</v>
      </c>
      <c r="AC441" s="152">
        <v>3</v>
      </c>
      <c r="AD441" s="152" t="s">
        <v>861</v>
      </c>
      <c r="AE441" s="152">
        <v>211.83</v>
      </c>
      <c r="AF441" s="152">
        <v>0</v>
      </c>
      <c r="AG441" s="152" t="s">
        <v>861</v>
      </c>
      <c r="AH441" s="152" t="s">
        <v>861</v>
      </c>
      <c r="AI441" s="152" t="s">
        <v>92</v>
      </c>
      <c r="AJ441" s="152" t="s">
        <v>92</v>
      </c>
      <c r="AK441" s="152" t="s">
        <v>3648</v>
      </c>
      <c r="AL441" s="159" t="s">
        <v>856</v>
      </c>
      <c r="AP441" s="159" t="s">
        <v>856</v>
      </c>
      <c r="AQ441" s="159" t="s">
        <v>856</v>
      </c>
      <c r="AR441" s="159" t="s">
        <v>3549</v>
      </c>
      <c r="AS441" s="159" t="s">
        <v>865</v>
      </c>
      <c r="AT441" s="152" t="str">
        <f t="shared" si="33"/>
        <v>RPNF3-331121</v>
      </c>
      <c r="AU441" s="152" t="str">
        <f t="shared" si="34"/>
        <v>WAYNER JOSE MARIA FERNANDEZ GRAMAJO</v>
      </c>
      <c r="AV441" s="159">
        <v>3241.71</v>
      </c>
      <c r="AW441" s="159">
        <v>798494</v>
      </c>
      <c r="AX441" s="159">
        <v>26.1</v>
      </c>
      <c r="AY441" s="159">
        <v>798496</v>
      </c>
      <c r="AZ441" s="152" t="s">
        <v>864</v>
      </c>
      <c r="BA441" s="152" t="str">
        <f t="shared" si="35"/>
        <v>L22-240-NR034</v>
      </c>
      <c r="BB441" s="152">
        <v>0</v>
      </c>
      <c r="BC441" s="157">
        <v>44652</v>
      </c>
      <c r="BD441" s="157">
        <v>44652</v>
      </c>
      <c r="BE441" s="158">
        <v>627330</v>
      </c>
      <c r="BF441" s="152" t="s">
        <v>3649</v>
      </c>
      <c r="BG441" s="159" t="s">
        <v>3650</v>
      </c>
      <c r="BH441" s="152">
        <v>195.51</v>
      </c>
      <c r="BI441" s="152">
        <v>0</v>
      </c>
      <c r="BJ441" s="152">
        <v>0</v>
      </c>
      <c r="BK441" s="152" t="s">
        <v>995</v>
      </c>
      <c r="BL441" s="152">
        <v>20.399999999999999</v>
      </c>
      <c r="BM441" s="152">
        <v>798495</v>
      </c>
      <c r="BN441" s="157">
        <v>44747</v>
      </c>
    </row>
    <row r="442" spans="1:66">
      <c r="A442" s="152" t="s">
        <v>3651</v>
      </c>
      <c r="B442" s="152" t="s">
        <v>3652</v>
      </c>
      <c r="C442" s="152" t="s">
        <v>3653</v>
      </c>
      <c r="D442" s="152" t="s">
        <v>3654</v>
      </c>
      <c r="E442" s="152" t="s">
        <v>3654</v>
      </c>
      <c r="F442" s="152">
        <v>250856</v>
      </c>
      <c r="G442" s="152">
        <v>46</v>
      </c>
      <c r="H442" s="152">
        <v>557</v>
      </c>
      <c r="I442" s="152">
        <v>202388</v>
      </c>
      <c r="J442" s="152">
        <v>436</v>
      </c>
      <c r="K442" s="152">
        <v>89214</v>
      </c>
      <c r="L442" s="159" t="s">
        <v>856</v>
      </c>
      <c r="M442" s="152" t="s">
        <v>92</v>
      </c>
      <c r="N442" s="152" t="s">
        <v>92</v>
      </c>
      <c r="O442" s="159" t="s">
        <v>856</v>
      </c>
      <c r="P442" s="159" t="s">
        <v>856</v>
      </c>
      <c r="Q442" s="152" t="s">
        <v>92</v>
      </c>
      <c r="R442" s="152" t="s">
        <v>92</v>
      </c>
      <c r="S442" s="159" t="s">
        <v>856</v>
      </c>
      <c r="T442" s="159" t="s">
        <v>856</v>
      </c>
      <c r="U442" s="159" t="s">
        <v>856</v>
      </c>
      <c r="V442" s="152" t="s">
        <v>3655</v>
      </c>
      <c r="W442" s="152" t="s">
        <v>858</v>
      </c>
      <c r="X442" s="152" t="s">
        <v>1083</v>
      </c>
      <c r="Y442" s="152">
        <v>0</v>
      </c>
      <c r="Z442" s="152">
        <v>4</v>
      </c>
      <c r="AA442" s="152" t="s">
        <v>92</v>
      </c>
      <c r="AB442" s="152">
        <v>722</v>
      </c>
      <c r="AC442" s="152">
        <v>3</v>
      </c>
      <c r="AD442" s="152" t="s">
        <v>861</v>
      </c>
      <c r="AE442" s="152">
        <v>722</v>
      </c>
      <c r="AF442" s="152">
        <v>0</v>
      </c>
      <c r="AG442" s="152" t="s">
        <v>861</v>
      </c>
      <c r="AH442" s="152" t="s">
        <v>861</v>
      </c>
      <c r="AI442" s="152" t="s">
        <v>92</v>
      </c>
      <c r="AJ442" s="152" t="s">
        <v>92</v>
      </c>
      <c r="AK442" s="152" t="s">
        <v>3561</v>
      </c>
      <c r="AL442" s="159" t="s">
        <v>856</v>
      </c>
      <c r="AP442" s="159" t="s">
        <v>856</v>
      </c>
      <c r="AQ442" s="159" t="s">
        <v>856</v>
      </c>
      <c r="AR442" s="159" t="s">
        <v>863</v>
      </c>
      <c r="AS442" s="159" t="s">
        <v>865</v>
      </c>
      <c r="AT442" s="152" t="str">
        <f t="shared" si="33"/>
        <v>RPNG10-190122</v>
      </c>
      <c r="AU442" s="152" t="str">
        <f t="shared" si="34"/>
        <v xml:space="preserve">IMELDA GUZMAN GUERRA </v>
      </c>
      <c r="AV442" s="159">
        <v>10916.64</v>
      </c>
      <c r="AW442" s="159">
        <v>798967</v>
      </c>
      <c r="AX442" s="159">
        <v>185.85</v>
      </c>
      <c r="AY442" s="159">
        <v>798969</v>
      </c>
      <c r="AZ442" s="152" t="s">
        <v>864</v>
      </c>
      <c r="BA442" s="152" t="str">
        <f t="shared" si="35"/>
        <v>L22-258-LG119</v>
      </c>
      <c r="BB442" s="152">
        <v>0</v>
      </c>
      <c r="BC442" s="157">
        <v>44669</v>
      </c>
      <c r="BD442" s="157">
        <v>44669</v>
      </c>
      <c r="BE442" s="158">
        <v>2166000</v>
      </c>
      <c r="BF442" s="152" t="s">
        <v>3656</v>
      </c>
      <c r="BG442" s="159" t="s">
        <v>894</v>
      </c>
      <c r="BH442" s="152">
        <v>722</v>
      </c>
      <c r="BI442" s="152">
        <v>0</v>
      </c>
      <c r="BJ442" s="152">
        <v>0</v>
      </c>
      <c r="BK442" s="152" t="s">
        <v>132</v>
      </c>
      <c r="BL442" s="152">
        <v>722</v>
      </c>
      <c r="BM442" s="152">
        <v>798968</v>
      </c>
      <c r="BN442" s="157" t="s">
        <v>1453</v>
      </c>
    </row>
    <row r="443" spans="1:66">
      <c r="A443" s="152" t="s">
        <v>3657</v>
      </c>
      <c r="B443" s="152" t="s">
        <v>3658</v>
      </c>
      <c r="C443" s="152" t="s">
        <v>3659</v>
      </c>
      <c r="D443" s="152" t="s">
        <v>3660</v>
      </c>
      <c r="E443" s="152" t="s">
        <v>3660</v>
      </c>
      <c r="F443" s="152">
        <v>4045</v>
      </c>
      <c r="G443" s="152">
        <v>45</v>
      </c>
      <c r="H443" s="152" t="s">
        <v>3515</v>
      </c>
      <c r="I443" s="152">
        <v>202157</v>
      </c>
      <c r="J443" s="152">
        <v>76.099999999999994</v>
      </c>
      <c r="K443" s="152">
        <v>89047</v>
      </c>
      <c r="L443" s="159" t="s">
        <v>856</v>
      </c>
      <c r="M443" s="152" t="s">
        <v>92</v>
      </c>
      <c r="N443" s="152" t="s">
        <v>92</v>
      </c>
      <c r="O443" s="159" t="s">
        <v>856</v>
      </c>
      <c r="P443" s="159" t="s">
        <v>856</v>
      </c>
      <c r="Q443" s="152" t="s">
        <v>92</v>
      </c>
      <c r="R443" s="152" t="s">
        <v>92</v>
      </c>
      <c r="S443" s="159" t="s">
        <v>856</v>
      </c>
      <c r="T443" s="159" t="s">
        <v>856</v>
      </c>
      <c r="U443" s="159" t="s">
        <v>856</v>
      </c>
      <c r="V443" s="152" t="s">
        <v>3530</v>
      </c>
      <c r="W443" s="152" t="s">
        <v>858</v>
      </c>
      <c r="X443" s="152" t="s">
        <v>1083</v>
      </c>
      <c r="Y443" s="152">
        <v>0</v>
      </c>
      <c r="Z443" s="152">
        <v>1</v>
      </c>
      <c r="AA443" s="152" t="s">
        <v>92</v>
      </c>
      <c r="AB443" s="152">
        <v>131.66</v>
      </c>
      <c r="AC443" s="152">
        <v>2</v>
      </c>
      <c r="AD443" s="152" t="s">
        <v>861</v>
      </c>
      <c r="AE443" s="152">
        <v>131.66</v>
      </c>
      <c r="AF443" s="152">
        <v>0</v>
      </c>
      <c r="AG443" s="152">
        <v>10.29</v>
      </c>
      <c r="AH443" s="152" t="s">
        <v>861</v>
      </c>
      <c r="AI443" s="152" t="s">
        <v>92</v>
      </c>
      <c r="AJ443" s="152" t="s">
        <v>92</v>
      </c>
      <c r="AK443" s="152" t="s">
        <v>3555</v>
      </c>
      <c r="AL443" s="159" t="s">
        <v>856</v>
      </c>
      <c r="AP443" s="159" t="s">
        <v>856</v>
      </c>
      <c r="AQ443" s="159" t="s">
        <v>856</v>
      </c>
      <c r="AR443" s="159" t="s">
        <v>3549</v>
      </c>
      <c r="AS443" s="159" t="s">
        <v>865</v>
      </c>
      <c r="AT443" s="152" t="str">
        <f t="shared" si="33"/>
        <v>RPNO11-030122</v>
      </c>
      <c r="AU443" s="152" t="str">
        <f t="shared" si="34"/>
        <v xml:space="preserve">LIDIA ESPERANZA JENOVEVA ORDOÑEZ HERNANDEZ </v>
      </c>
      <c r="AV443" s="159">
        <v>1658.92</v>
      </c>
      <c r="AW443" s="159">
        <v>798796</v>
      </c>
      <c r="AX443" s="159">
        <v>25</v>
      </c>
      <c r="AY443" s="159">
        <v>798798</v>
      </c>
      <c r="AZ443" s="152" t="s">
        <v>864</v>
      </c>
      <c r="BA443" s="152" t="str">
        <f t="shared" si="35"/>
        <v>L22-631-NR101</v>
      </c>
      <c r="BB443" s="152">
        <v>0</v>
      </c>
      <c r="BC443" s="157">
        <v>44659</v>
      </c>
      <c r="BD443" s="157">
        <v>44659</v>
      </c>
      <c r="BE443" s="158">
        <v>329150</v>
      </c>
      <c r="BF443" s="152" t="s">
        <v>3661</v>
      </c>
      <c r="BG443" s="159" t="s">
        <v>894</v>
      </c>
      <c r="BH443" s="152">
        <v>131.66</v>
      </c>
      <c r="BI443" s="152">
        <v>0</v>
      </c>
      <c r="BJ443" s="152">
        <v>0</v>
      </c>
      <c r="BK443" s="152" t="s">
        <v>132</v>
      </c>
      <c r="BL443" s="152">
        <v>131.66</v>
      </c>
      <c r="BM443" s="152">
        <v>798797</v>
      </c>
      <c r="BN443" s="157" t="s">
        <v>1453</v>
      </c>
    </row>
    <row r="444" spans="1:66">
      <c r="A444" s="152" t="s">
        <v>3662</v>
      </c>
      <c r="B444" s="152" t="s">
        <v>3663</v>
      </c>
      <c r="C444" s="152" t="s">
        <v>3664</v>
      </c>
      <c r="D444" s="152" t="s">
        <v>3665</v>
      </c>
      <c r="E444" s="152" t="s">
        <v>3665</v>
      </c>
      <c r="F444" s="152">
        <v>236728</v>
      </c>
      <c r="G444" s="152">
        <v>298</v>
      </c>
      <c r="H444" s="152">
        <v>506</v>
      </c>
      <c r="I444" s="152">
        <v>191825</v>
      </c>
      <c r="J444" s="152">
        <v>3987</v>
      </c>
      <c r="K444" s="152">
        <v>81281</v>
      </c>
      <c r="L444" s="159" t="s">
        <v>856</v>
      </c>
      <c r="M444" s="152" t="s">
        <v>92</v>
      </c>
      <c r="N444" s="152" t="s">
        <v>92</v>
      </c>
      <c r="O444" s="159" t="s">
        <v>856</v>
      </c>
      <c r="P444" s="159" t="s">
        <v>856</v>
      </c>
      <c r="Q444" s="152" t="s">
        <v>92</v>
      </c>
      <c r="R444" s="152" t="s">
        <v>92</v>
      </c>
      <c r="S444" s="159" t="s">
        <v>856</v>
      </c>
      <c r="T444" s="159" t="s">
        <v>856</v>
      </c>
      <c r="U444" s="159" t="s">
        <v>856</v>
      </c>
      <c r="V444" s="152" t="s">
        <v>3666</v>
      </c>
      <c r="W444" s="152" t="s">
        <v>858</v>
      </c>
      <c r="X444" s="152" t="s">
        <v>1083</v>
      </c>
      <c r="Y444" s="152">
        <v>1152.8499999999999</v>
      </c>
      <c r="Z444" s="152">
        <v>1</v>
      </c>
      <c r="AA444" s="152" t="s">
        <v>92</v>
      </c>
      <c r="AB444" s="152">
        <v>32.229999999999997</v>
      </c>
      <c r="AC444" s="152">
        <v>1</v>
      </c>
      <c r="AD444" s="152" t="s">
        <v>861</v>
      </c>
      <c r="AE444" s="152">
        <v>32.33</v>
      </c>
      <c r="AF444" s="152">
        <v>0</v>
      </c>
      <c r="AG444" s="152" t="s">
        <v>861</v>
      </c>
      <c r="AH444" s="152" t="s">
        <v>861</v>
      </c>
      <c r="AI444" s="152" t="s">
        <v>92</v>
      </c>
      <c r="AJ444" s="152" t="s">
        <v>92</v>
      </c>
      <c r="AK444" s="152" t="s">
        <v>2503</v>
      </c>
      <c r="AL444" s="159" t="s">
        <v>856</v>
      </c>
      <c r="AP444" s="159" t="s">
        <v>856</v>
      </c>
      <c r="AQ444" s="159" t="s">
        <v>856</v>
      </c>
      <c r="AR444" s="159" t="s">
        <v>3549</v>
      </c>
      <c r="AS444" s="159" t="s">
        <v>865</v>
      </c>
      <c r="AT444" s="152" t="str">
        <f t="shared" si="33"/>
        <v>RPNVR-950821</v>
      </c>
      <c r="AU444" s="152" t="str">
        <f t="shared" si="34"/>
        <v xml:space="preserve">GLORIA CORINA TOC QUIXTAN DE VASQUEZ </v>
      </c>
      <c r="AV444" s="159">
        <v>3341.79</v>
      </c>
      <c r="AW444" s="159">
        <v>790447</v>
      </c>
      <c r="AX444" s="159">
        <v>266.35000000000002</v>
      </c>
      <c r="AY444" s="159">
        <v>790448</v>
      </c>
      <c r="AZ444" s="152" t="s">
        <v>864</v>
      </c>
      <c r="BA444" s="152" t="str">
        <f t="shared" si="35"/>
        <v>L22-459-NR077</v>
      </c>
      <c r="BB444" s="152">
        <v>0</v>
      </c>
      <c r="BC444" s="157">
        <v>44652</v>
      </c>
      <c r="BD444" s="157">
        <v>44652</v>
      </c>
      <c r="BE444" s="158">
        <v>486755.5</v>
      </c>
      <c r="BG444" s="159" t="s">
        <v>2033</v>
      </c>
      <c r="BI444" s="152">
        <v>0</v>
      </c>
      <c r="BJ444" s="152">
        <v>0</v>
      </c>
      <c r="BK444" s="152" t="s">
        <v>132</v>
      </c>
      <c r="BN444" s="157" t="s">
        <v>1453</v>
      </c>
    </row>
    <row r="445" spans="1:66">
      <c r="A445" s="152" t="s">
        <v>3667</v>
      </c>
      <c r="B445" s="152" t="s">
        <v>3668</v>
      </c>
      <c r="C445" s="152" t="s">
        <v>3669</v>
      </c>
      <c r="D445" s="152" t="s">
        <v>3670</v>
      </c>
      <c r="E445" s="152" t="s">
        <v>3671</v>
      </c>
      <c r="F445" s="152">
        <v>8896</v>
      </c>
      <c r="G445" s="152">
        <v>396</v>
      </c>
      <c r="H445" s="152" t="s">
        <v>3430</v>
      </c>
      <c r="I445" s="152">
        <v>191058</v>
      </c>
      <c r="J445" s="152">
        <v>153.28</v>
      </c>
      <c r="K445" s="152">
        <v>80655</v>
      </c>
      <c r="L445" s="159" t="s">
        <v>1508</v>
      </c>
      <c r="M445" s="152" t="s">
        <v>883</v>
      </c>
      <c r="N445" s="152" t="s">
        <v>92</v>
      </c>
      <c r="O445" s="159">
        <v>11147</v>
      </c>
      <c r="P445" s="159" t="s">
        <v>1508</v>
      </c>
      <c r="Q445" s="152" t="s">
        <v>883</v>
      </c>
      <c r="R445" s="152" t="s">
        <v>92</v>
      </c>
      <c r="S445" s="159">
        <v>11147</v>
      </c>
      <c r="T445" s="159" t="s">
        <v>856</v>
      </c>
      <c r="U445" s="159" t="s">
        <v>856</v>
      </c>
      <c r="V445" s="152" t="s">
        <v>3672</v>
      </c>
      <c r="W445" s="152" t="s">
        <v>858</v>
      </c>
      <c r="X445" s="152" t="s">
        <v>1083</v>
      </c>
      <c r="Y445" s="152">
        <v>0</v>
      </c>
      <c r="Z445" s="152">
        <v>4</v>
      </c>
      <c r="AA445" s="152" t="s">
        <v>92</v>
      </c>
      <c r="AB445" s="152">
        <v>188.1</v>
      </c>
      <c r="AC445" s="152">
        <v>4</v>
      </c>
      <c r="AD445" s="152" t="s">
        <v>861</v>
      </c>
      <c r="AE445" s="152">
        <v>188.1</v>
      </c>
      <c r="AF445" s="152">
        <v>0</v>
      </c>
      <c r="AG445" s="152" t="s">
        <v>861</v>
      </c>
      <c r="AH445" s="152" t="s">
        <v>861</v>
      </c>
      <c r="AI445" s="152" t="s">
        <v>92</v>
      </c>
      <c r="AJ445" s="152" t="s">
        <v>92</v>
      </c>
      <c r="AK445" s="152" t="s">
        <v>3648</v>
      </c>
      <c r="AL445" s="159" t="s">
        <v>856</v>
      </c>
      <c r="AP445" s="159" t="s">
        <v>856</v>
      </c>
      <c r="AQ445" s="159" t="s">
        <v>856</v>
      </c>
      <c r="AR445" s="159" t="s">
        <v>3673</v>
      </c>
      <c r="AS445" s="159" t="s">
        <v>865</v>
      </c>
      <c r="AT445" s="152" t="str">
        <f t="shared" si="33"/>
        <v>RPNM3-311221</v>
      </c>
      <c r="AU445" s="152" t="str">
        <f t="shared" si="34"/>
        <v xml:space="preserve">CARMEN JULISSA ALFARO LETONA DE MORALES </v>
      </c>
      <c r="AV445" s="159">
        <v>2946.85</v>
      </c>
      <c r="AW445" s="159">
        <v>792732</v>
      </c>
      <c r="AX445" s="159" t="s">
        <v>856</v>
      </c>
      <c r="AY445" s="159" t="s">
        <v>856</v>
      </c>
      <c r="AZ445" s="152" t="s">
        <v>864</v>
      </c>
      <c r="BA445" s="152" t="str">
        <f t="shared" si="35"/>
        <v>L22-277-JM83</v>
      </c>
      <c r="BB445" s="152">
        <v>0</v>
      </c>
      <c r="BC445" s="157">
        <v>44673</v>
      </c>
      <c r="BD445" s="157">
        <v>44673</v>
      </c>
      <c r="BE445" s="158">
        <v>555560</v>
      </c>
      <c r="BF445" s="152" t="s">
        <v>3674</v>
      </c>
      <c r="BG445" s="159" t="s">
        <v>894</v>
      </c>
      <c r="BH445" s="152">
        <v>188.1</v>
      </c>
      <c r="BI445" s="152">
        <v>0</v>
      </c>
      <c r="BJ445" s="152">
        <v>0</v>
      </c>
      <c r="BK445" s="152" t="s">
        <v>995</v>
      </c>
      <c r="BL445" s="152">
        <v>192.47</v>
      </c>
      <c r="BM445" s="152">
        <v>792733</v>
      </c>
      <c r="BN445" s="157" t="s">
        <v>1453</v>
      </c>
    </row>
    <row r="446" spans="1:66">
      <c r="A446" s="152" t="s">
        <v>3675</v>
      </c>
      <c r="B446" s="152" t="s">
        <v>3676</v>
      </c>
      <c r="C446" s="152" t="s">
        <v>3677</v>
      </c>
      <c r="D446" s="152" t="s">
        <v>3678</v>
      </c>
      <c r="E446" s="152" t="s">
        <v>3678</v>
      </c>
      <c r="F446" s="152">
        <v>4086</v>
      </c>
      <c r="G446" s="152">
        <v>86</v>
      </c>
      <c r="H446" s="152" t="s">
        <v>3515</v>
      </c>
      <c r="I446" s="152">
        <v>202154</v>
      </c>
      <c r="J446" s="152">
        <v>81.02</v>
      </c>
      <c r="K446" s="152">
        <v>89044</v>
      </c>
      <c r="L446" s="159" t="s">
        <v>856</v>
      </c>
      <c r="M446" s="152" t="s">
        <v>92</v>
      </c>
      <c r="N446" s="152" t="s">
        <v>92</v>
      </c>
      <c r="O446" s="159" t="s">
        <v>856</v>
      </c>
      <c r="P446" s="159" t="s">
        <v>856</v>
      </c>
      <c r="Q446" s="152" t="s">
        <v>92</v>
      </c>
      <c r="R446" s="152" t="s">
        <v>92</v>
      </c>
      <c r="S446" s="159" t="s">
        <v>856</v>
      </c>
      <c r="T446" s="159" t="s">
        <v>856</v>
      </c>
      <c r="U446" s="159" t="s">
        <v>856</v>
      </c>
      <c r="V446" s="152" t="s">
        <v>857</v>
      </c>
      <c r="W446" s="152" t="s">
        <v>858</v>
      </c>
      <c r="X446" s="152" t="s">
        <v>1083</v>
      </c>
      <c r="Y446" s="152">
        <v>28.75</v>
      </c>
      <c r="Z446" s="152">
        <v>1</v>
      </c>
      <c r="AA446" s="152" t="s">
        <v>92</v>
      </c>
      <c r="AB446" s="152">
        <v>129.1</v>
      </c>
      <c r="AC446" s="152">
        <v>2</v>
      </c>
      <c r="AD446" s="152" t="s">
        <v>861</v>
      </c>
      <c r="AE446" s="152">
        <v>129.1</v>
      </c>
      <c r="AF446" s="152">
        <v>0</v>
      </c>
      <c r="AG446" s="152">
        <v>16.34</v>
      </c>
      <c r="AH446" s="152" t="s">
        <v>861</v>
      </c>
      <c r="AI446" s="152" t="s">
        <v>92</v>
      </c>
      <c r="AJ446" s="152" t="s">
        <v>92</v>
      </c>
      <c r="AK446" s="152" t="s">
        <v>3555</v>
      </c>
      <c r="AL446" s="159" t="s">
        <v>856</v>
      </c>
      <c r="AP446" s="159" t="s">
        <v>856</v>
      </c>
      <c r="AQ446" s="159" t="s">
        <v>856</v>
      </c>
      <c r="AR446" s="159" t="s">
        <v>3549</v>
      </c>
      <c r="AS446" s="159" t="s">
        <v>865</v>
      </c>
      <c r="AT446" s="152" t="str">
        <f t="shared" si="33"/>
        <v>RPNPM-060122</v>
      </c>
      <c r="AU446" s="152" t="str">
        <f t="shared" si="34"/>
        <v xml:space="preserve">KAREN YULISA PINEDA GARCIA </v>
      </c>
      <c r="AV446" s="159">
        <v>2030.56</v>
      </c>
      <c r="AW446" s="159">
        <v>799742</v>
      </c>
      <c r="AX446" s="159">
        <v>25.1</v>
      </c>
      <c r="AY446" s="159">
        <v>799744</v>
      </c>
      <c r="AZ446" s="152" t="s">
        <v>864</v>
      </c>
      <c r="BA446" s="152" t="str">
        <f t="shared" si="35"/>
        <v>L22-632-NR102</v>
      </c>
      <c r="BB446" s="152">
        <v>0</v>
      </c>
      <c r="BC446" s="157">
        <v>44662</v>
      </c>
      <c r="BD446" s="157">
        <v>44662</v>
      </c>
      <c r="BE446" s="158">
        <v>338130</v>
      </c>
      <c r="BF446" s="152" t="s">
        <v>3679</v>
      </c>
      <c r="BG446" s="159" t="s">
        <v>894</v>
      </c>
      <c r="BH446" s="152">
        <v>129.1</v>
      </c>
      <c r="BI446" s="152">
        <v>0</v>
      </c>
      <c r="BJ446" s="152">
        <v>0</v>
      </c>
      <c r="BK446" s="152" t="s">
        <v>132</v>
      </c>
      <c r="BL446" s="152">
        <v>129.1</v>
      </c>
      <c r="BM446" s="152">
        <v>799743</v>
      </c>
      <c r="BN446" s="157" t="s">
        <v>1453</v>
      </c>
    </row>
    <row r="447" spans="1:66">
      <c r="A447" s="152" t="s">
        <v>3680</v>
      </c>
      <c r="B447" s="152" t="s">
        <v>3681</v>
      </c>
      <c r="C447" s="152" t="s">
        <v>3682</v>
      </c>
      <c r="D447" s="152" t="s">
        <v>3546</v>
      </c>
      <c r="E447" s="152" t="s">
        <v>3683</v>
      </c>
      <c r="F447" s="152">
        <v>4550</v>
      </c>
      <c r="G447" s="152">
        <v>50</v>
      </c>
      <c r="H447" s="152" t="s">
        <v>3684</v>
      </c>
      <c r="I447" s="152">
        <v>201512</v>
      </c>
      <c r="J447" s="152">
        <v>735.22</v>
      </c>
      <c r="K447" s="152">
        <v>88517</v>
      </c>
      <c r="L447" s="159" t="s">
        <v>3685</v>
      </c>
      <c r="M447" s="152" t="s">
        <v>92</v>
      </c>
      <c r="N447" s="152" t="s">
        <v>883</v>
      </c>
      <c r="O447" s="159">
        <v>4910</v>
      </c>
      <c r="P447" s="159" t="s">
        <v>3685</v>
      </c>
      <c r="Q447" s="152" t="s">
        <v>92</v>
      </c>
      <c r="R447" s="152" t="s">
        <v>883</v>
      </c>
      <c r="S447" s="159">
        <v>4910</v>
      </c>
      <c r="T447" s="159" t="s">
        <v>856</v>
      </c>
      <c r="U447" s="159" t="s">
        <v>856</v>
      </c>
      <c r="V447" s="152" t="s">
        <v>3530</v>
      </c>
      <c r="W447" s="152" t="s">
        <v>858</v>
      </c>
      <c r="X447" s="152" t="s">
        <v>1083</v>
      </c>
      <c r="Y447" s="152">
        <v>0</v>
      </c>
      <c r="Z447" s="152">
        <v>1</v>
      </c>
      <c r="AA447" s="152" t="s">
        <v>92</v>
      </c>
      <c r="AB447" s="152">
        <v>159.5</v>
      </c>
      <c r="AC447" s="152">
        <v>1</v>
      </c>
      <c r="AD447" s="152" t="s">
        <v>861</v>
      </c>
      <c r="AE447" s="152">
        <v>159.5</v>
      </c>
      <c r="AF447" s="152">
        <v>0</v>
      </c>
      <c r="AG447" s="152" t="s">
        <v>861</v>
      </c>
      <c r="AH447" s="152" t="s">
        <v>861</v>
      </c>
      <c r="AI447" s="152" t="s">
        <v>92</v>
      </c>
      <c r="AJ447" s="152" t="s">
        <v>92</v>
      </c>
      <c r="AK447" s="152" t="s">
        <v>1620</v>
      </c>
      <c r="AL447" s="159" t="s">
        <v>856</v>
      </c>
      <c r="AP447" s="159" t="s">
        <v>856</v>
      </c>
      <c r="AQ447" s="159" t="s">
        <v>856</v>
      </c>
      <c r="AR447" s="159" t="s">
        <v>856</v>
      </c>
      <c r="AS447" s="159" t="s">
        <v>865</v>
      </c>
      <c r="AT447" s="152" t="str">
        <f t="shared" si="33"/>
        <v>RPNMR-180322</v>
      </c>
      <c r="AU447" s="152" t="str">
        <f t="shared" si="34"/>
        <v xml:space="preserve">EDILZAR GABRIEL MACHA BAUTISTA </v>
      </c>
      <c r="AV447" s="159">
        <v>2009.7</v>
      </c>
      <c r="AW447" s="159">
        <v>794926</v>
      </c>
      <c r="AX447" s="159" t="s">
        <v>856</v>
      </c>
      <c r="AY447" s="159" t="s">
        <v>856</v>
      </c>
      <c r="AZ447" s="152" t="s">
        <v>864</v>
      </c>
      <c r="BA447" s="152" t="str">
        <f t="shared" si="35"/>
        <v>L22-289-AP044</v>
      </c>
      <c r="BB447" s="152">
        <v>0</v>
      </c>
      <c r="BC447" s="157">
        <v>44679</v>
      </c>
      <c r="BD447" s="157">
        <v>44679</v>
      </c>
      <c r="BE447" s="158">
        <v>398750</v>
      </c>
      <c r="BF447" s="152" t="s">
        <v>3686</v>
      </c>
      <c r="BG447" s="159" t="s">
        <v>894</v>
      </c>
      <c r="BH447" s="152">
        <v>159.5</v>
      </c>
      <c r="BI447" s="152">
        <v>0</v>
      </c>
      <c r="BJ447" s="152">
        <v>0</v>
      </c>
      <c r="BK447" s="152" t="s">
        <v>132</v>
      </c>
      <c r="BL447" s="152">
        <v>159.5</v>
      </c>
      <c r="BM447" s="152">
        <v>794927</v>
      </c>
      <c r="BN447" s="157" t="s">
        <v>1453</v>
      </c>
    </row>
    <row r="448" spans="1:66">
      <c r="A448" s="152" t="s">
        <v>3687</v>
      </c>
      <c r="B448" s="152" t="s">
        <v>3688</v>
      </c>
      <c r="C448" s="152" t="s">
        <v>3689</v>
      </c>
      <c r="D448" s="152" t="s">
        <v>3690</v>
      </c>
      <c r="E448" s="152" t="s">
        <v>3691</v>
      </c>
      <c r="F448" s="152">
        <v>4219</v>
      </c>
      <c r="G448" s="152">
        <v>219</v>
      </c>
      <c r="H448" s="152" t="s">
        <v>1388</v>
      </c>
      <c r="I448" s="152">
        <v>202520</v>
      </c>
      <c r="J448" s="152">
        <v>436.81</v>
      </c>
      <c r="K448" s="152">
        <v>89328</v>
      </c>
      <c r="L448" s="159" t="s">
        <v>856</v>
      </c>
      <c r="M448" s="152" t="s">
        <v>92</v>
      </c>
      <c r="N448" s="152" t="s">
        <v>92</v>
      </c>
      <c r="O448" s="159" t="s">
        <v>856</v>
      </c>
      <c r="P448" s="159" t="s">
        <v>856</v>
      </c>
      <c r="Q448" s="152" t="s">
        <v>92</v>
      </c>
      <c r="R448" s="152" t="s">
        <v>92</v>
      </c>
      <c r="S448" s="159" t="s">
        <v>856</v>
      </c>
      <c r="T448" s="159" t="s">
        <v>856</v>
      </c>
      <c r="U448" s="159" t="s">
        <v>856</v>
      </c>
      <c r="V448" s="152" t="s">
        <v>3530</v>
      </c>
      <c r="W448" s="152" t="s">
        <v>858</v>
      </c>
      <c r="X448" s="152" t="s">
        <v>1083</v>
      </c>
      <c r="Y448" s="152">
        <v>22.3</v>
      </c>
      <c r="Z448" s="152">
        <v>1</v>
      </c>
      <c r="AA448" s="152" t="s">
        <v>883</v>
      </c>
      <c r="AB448" s="152">
        <v>381.64</v>
      </c>
      <c r="AC448" s="152">
        <v>2</v>
      </c>
      <c r="AD448" s="152" t="s">
        <v>861</v>
      </c>
      <c r="AE448" s="152">
        <v>381.64</v>
      </c>
      <c r="AF448" s="152">
        <v>0</v>
      </c>
      <c r="AG448" s="152" t="s">
        <v>861</v>
      </c>
      <c r="AH448" s="152" t="s">
        <v>861</v>
      </c>
      <c r="AI448" s="152" t="s">
        <v>92</v>
      </c>
      <c r="AJ448" s="152" t="s">
        <v>92</v>
      </c>
      <c r="AK448" s="152" t="s">
        <v>3561</v>
      </c>
      <c r="AL448" s="159" t="s">
        <v>856</v>
      </c>
      <c r="AP448" s="159" t="s">
        <v>856</v>
      </c>
      <c r="AQ448" s="159" t="s">
        <v>856</v>
      </c>
      <c r="AR448" s="159" t="s">
        <v>3692</v>
      </c>
      <c r="AS448" s="159" t="s">
        <v>865</v>
      </c>
      <c r="AT448" s="152" t="str">
        <f t="shared" si="33"/>
        <v>RPNS10-220422</v>
      </c>
      <c r="AU448" s="152" t="str">
        <f t="shared" si="34"/>
        <v xml:space="preserve">JOSE ANSELMO SACALXOT PEREZ </v>
      </c>
      <c r="AV448" s="159">
        <v>4852.37</v>
      </c>
      <c r="AW448" s="159">
        <v>803720</v>
      </c>
      <c r="AX448" s="159" t="s">
        <v>856</v>
      </c>
      <c r="AY448" s="159" t="s">
        <v>856</v>
      </c>
      <c r="AZ448" s="152" t="s">
        <v>864</v>
      </c>
      <c r="BA448" s="152" t="str">
        <f t="shared" si="35"/>
        <v>L22-426-MP042</v>
      </c>
      <c r="BB448" s="152">
        <v>0</v>
      </c>
      <c r="BC448" s="157">
        <v>44712</v>
      </c>
      <c r="BD448" s="157">
        <v>44712</v>
      </c>
      <c r="BE448" s="158">
        <v>961905</v>
      </c>
      <c r="BF448" s="152" t="s">
        <v>3693</v>
      </c>
      <c r="BG448" s="159" t="s">
        <v>894</v>
      </c>
      <c r="BH448" s="152">
        <v>381.64</v>
      </c>
      <c r="BI448" s="152">
        <v>0</v>
      </c>
      <c r="BJ448" s="152">
        <v>0</v>
      </c>
      <c r="BK448" s="152" t="s">
        <v>132</v>
      </c>
      <c r="BL448" s="152">
        <v>381.64</v>
      </c>
      <c r="BM448" s="152">
        <v>803721</v>
      </c>
      <c r="BN448" s="157" t="s">
        <v>1453</v>
      </c>
    </row>
    <row r="449" spans="1:66">
      <c r="A449" s="152" t="s">
        <v>3694</v>
      </c>
      <c r="B449" s="152" t="s">
        <v>3695</v>
      </c>
      <c r="C449" s="152" t="s">
        <v>3696</v>
      </c>
      <c r="D449" s="152" t="s">
        <v>3697</v>
      </c>
      <c r="E449" s="152" t="s">
        <v>3697</v>
      </c>
      <c r="F449" s="152">
        <v>6830</v>
      </c>
      <c r="G449" s="152">
        <v>330</v>
      </c>
      <c r="H449" s="152" t="s">
        <v>2826</v>
      </c>
      <c r="I449" s="152">
        <v>202747</v>
      </c>
      <c r="J449" s="152">
        <v>90</v>
      </c>
      <c r="K449" s="152">
        <v>89502</v>
      </c>
      <c r="L449" s="159" t="s">
        <v>856</v>
      </c>
      <c r="M449" s="152" t="s">
        <v>92</v>
      </c>
      <c r="N449" s="152" t="s">
        <v>92</v>
      </c>
      <c r="O449" s="159" t="s">
        <v>856</v>
      </c>
      <c r="P449" s="159" t="s">
        <v>856</v>
      </c>
      <c r="Q449" s="152" t="s">
        <v>92</v>
      </c>
      <c r="R449" s="152" t="s">
        <v>92</v>
      </c>
      <c r="S449" s="159" t="s">
        <v>856</v>
      </c>
      <c r="T449" s="159" t="s">
        <v>856</v>
      </c>
      <c r="U449" s="159" t="s">
        <v>856</v>
      </c>
      <c r="V449" s="152" t="s">
        <v>3530</v>
      </c>
      <c r="W449" s="152" t="s">
        <v>858</v>
      </c>
      <c r="X449" s="152" t="s">
        <v>1083</v>
      </c>
      <c r="Y449" s="152">
        <v>0</v>
      </c>
      <c r="Z449" s="152">
        <v>1</v>
      </c>
      <c r="AA449" s="152" t="s">
        <v>883</v>
      </c>
      <c r="AB449" s="152">
        <v>14.21</v>
      </c>
      <c r="AC449" s="152">
        <v>3</v>
      </c>
      <c r="AD449" s="152" t="s">
        <v>861</v>
      </c>
      <c r="AE449" s="152">
        <v>159.86000000000001</v>
      </c>
      <c r="AF449" s="152">
        <v>0</v>
      </c>
      <c r="AG449" s="152" t="s">
        <v>861</v>
      </c>
      <c r="AH449" s="152" t="s">
        <v>861</v>
      </c>
      <c r="AI449" s="152" t="s">
        <v>92</v>
      </c>
      <c r="AJ449" s="152" t="s">
        <v>92</v>
      </c>
      <c r="AK449" s="152" t="s">
        <v>972</v>
      </c>
      <c r="AL449" s="159" t="s">
        <v>856</v>
      </c>
      <c r="AP449" s="159" t="s">
        <v>856</v>
      </c>
      <c r="AQ449" s="159" t="s">
        <v>856</v>
      </c>
      <c r="AR449" s="159" t="s">
        <v>3698</v>
      </c>
      <c r="AS449" s="159" t="s">
        <v>865</v>
      </c>
      <c r="AT449" s="152" t="str">
        <f t="shared" si="33"/>
        <v>RPNA11-690621</v>
      </c>
      <c r="AU449" s="152" t="str">
        <f t="shared" si="34"/>
        <v xml:space="preserve">ELUBIA TRINIDAD URIZAR RAMOS DE ARCHILA </v>
      </c>
      <c r="AV449" s="159">
        <v>2487.96</v>
      </c>
      <c r="AW449" s="159">
        <v>794484</v>
      </c>
      <c r="AX449" s="159">
        <v>30</v>
      </c>
      <c r="AY449" s="159">
        <v>794485</v>
      </c>
      <c r="AZ449" s="152" t="s">
        <v>864</v>
      </c>
      <c r="BA449" s="152" t="str">
        <f t="shared" si="35"/>
        <v>L22-335-NR224</v>
      </c>
      <c r="BB449" s="152">
        <v>0</v>
      </c>
      <c r="BC449" s="157">
        <v>44692</v>
      </c>
      <c r="BD449" s="157">
        <v>44692</v>
      </c>
      <c r="BE449" s="158">
        <v>492236</v>
      </c>
      <c r="BG449" s="159" t="s">
        <v>2033</v>
      </c>
      <c r="BI449" s="152">
        <v>0</v>
      </c>
      <c r="BJ449" s="152">
        <v>0</v>
      </c>
      <c r="BK449" s="152" t="s">
        <v>132</v>
      </c>
      <c r="BN449" s="157" t="s">
        <v>1453</v>
      </c>
    </row>
    <row r="450" spans="1:66">
      <c r="A450" s="152" t="s">
        <v>3699</v>
      </c>
      <c r="B450" s="152" t="s">
        <v>3700</v>
      </c>
      <c r="C450" s="152" t="s">
        <v>3701</v>
      </c>
      <c r="D450" s="152" t="s">
        <v>3702</v>
      </c>
      <c r="E450" s="152" t="s">
        <v>3702</v>
      </c>
      <c r="F450" s="159" t="s">
        <v>3703</v>
      </c>
      <c r="G450" s="159" t="s">
        <v>3522</v>
      </c>
      <c r="H450" s="159" t="s">
        <v>3523</v>
      </c>
      <c r="I450" s="152">
        <v>202257</v>
      </c>
      <c r="J450" s="152">
        <v>100.25</v>
      </c>
      <c r="K450" s="152">
        <v>89114</v>
      </c>
      <c r="L450" s="159" t="s">
        <v>856</v>
      </c>
      <c r="M450" s="152" t="s">
        <v>92</v>
      </c>
      <c r="N450" s="152" t="s">
        <v>92</v>
      </c>
      <c r="O450" s="159" t="s">
        <v>856</v>
      </c>
      <c r="P450" s="159" t="s">
        <v>856</v>
      </c>
      <c r="Q450" s="152" t="s">
        <v>92</v>
      </c>
      <c r="R450" s="152" t="s">
        <v>92</v>
      </c>
      <c r="S450" s="159" t="s">
        <v>856</v>
      </c>
      <c r="T450" s="159" t="s">
        <v>856</v>
      </c>
      <c r="U450" s="159" t="s">
        <v>856</v>
      </c>
      <c r="V450" s="152" t="s">
        <v>3704</v>
      </c>
      <c r="W450" s="152" t="s">
        <v>858</v>
      </c>
      <c r="X450" s="152" t="s">
        <v>1083</v>
      </c>
      <c r="Y450" s="152">
        <v>0</v>
      </c>
      <c r="Z450" s="152">
        <v>2</v>
      </c>
      <c r="AA450" s="152" t="s">
        <v>92</v>
      </c>
      <c r="AD450" s="152" t="s">
        <v>861</v>
      </c>
      <c r="AE450" s="152">
        <v>0</v>
      </c>
      <c r="AF450" s="152">
        <v>0</v>
      </c>
      <c r="AG450" s="152" t="s">
        <v>861</v>
      </c>
      <c r="AH450" s="152" t="s">
        <v>861</v>
      </c>
      <c r="AI450" s="152" t="s">
        <v>92</v>
      </c>
      <c r="AJ450" s="152" t="s">
        <v>92</v>
      </c>
      <c r="AK450" s="152" t="s">
        <v>3561</v>
      </c>
      <c r="AL450" s="159" t="s">
        <v>856</v>
      </c>
      <c r="AP450" s="159" t="s">
        <v>856</v>
      </c>
      <c r="AQ450" s="159" t="s">
        <v>856</v>
      </c>
      <c r="AR450" s="159" t="s">
        <v>856</v>
      </c>
      <c r="AS450" s="159" t="s">
        <v>865</v>
      </c>
      <c r="AT450" s="152" t="str">
        <f t="shared" si="33"/>
        <v>UST11-020222</v>
      </c>
      <c r="AU450" s="152" t="str">
        <f t="shared" si="34"/>
        <v>HEYDI MARIA TISTOJ AJCA</v>
      </c>
      <c r="AV450" s="159" t="s">
        <v>856</v>
      </c>
      <c r="AW450" s="159" t="s">
        <v>856</v>
      </c>
      <c r="AX450" s="159" t="s">
        <v>856</v>
      </c>
      <c r="AY450" s="159" t="s">
        <v>856</v>
      </c>
      <c r="AZ450" s="152" t="s">
        <v>864</v>
      </c>
      <c r="BA450" s="152" t="str">
        <f t="shared" si="35"/>
        <v>LUS22-282-SP056</v>
      </c>
      <c r="BB450" s="152">
        <v>0</v>
      </c>
      <c r="BF450" s="152" t="s">
        <v>3699</v>
      </c>
      <c r="BG450" s="159" t="s">
        <v>3705</v>
      </c>
      <c r="BI450" s="152">
        <v>50</v>
      </c>
      <c r="BJ450" s="152">
        <v>0</v>
      </c>
      <c r="BK450" s="152" t="s">
        <v>1296</v>
      </c>
      <c r="BL450" s="152">
        <v>62.5</v>
      </c>
      <c r="BM450" s="152">
        <v>800817</v>
      </c>
      <c r="BN450" s="157">
        <v>45423</v>
      </c>
    </row>
    <row r="451" spans="1:66">
      <c r="A451" s="152" t="s">
        <v>3706</v>
      </c>
      <c r="B451" s="152" t="s">
        <v>3707</v>
      </c>
      <c r="C451" s="152" t="s">
        <v>3708</v>
      </c>
      <c r="D451" s="152" t="s">
        <v>3709</v>
      </c>
      <c r="E451" s="152" t="s">
        <v>3710</v>
      </c>
      <c r="F451" s="152">
        <v>539</v>
      </c>
      <c r="G451" s="152">
        <v>39</v>
      </c>
      <c r="H451" s="152" t="s">
        <v>3711</v>
      </c>
      <c r="I451" s="152">
        <v>202385</v>
      </c>
      <c r="J451" s="152">
        <v>655</v>
      </c>
      <c r="K451" s="152">
        <v>89209</v>
      </c>
      <c r="L451" s="159" t="s">
        <v>856</v>
      </c>
      <c r="M451" s="152" t="s">
        <v>92</v>
      </c>
      <c r="N451" s="152" t="s">
        <v>92</v>
      </c>
      <c r="O451" s="159" t="s">
        <v>856</v>
      </c>
      <c r="P451" s="159" t="s">
        <v>856</v>
      </c>
      <c r="Q451" s="152" t="s">
        <v>92</v>
      </c>
      <c r="R451" s="152" t="s">
        <v>92</v>
      </c>
      <c r="S451" s="159" t="s">
        <v>856</v>
      </c>
      <c r="T451" s="159" t="s">
        <v>856</v>
      </c>
      <c r="U451" s="159" t="s">
        <v>856</v>
      </c>
      <c r="V451" s="152" t="s">
        <v>3530</v>
      </c>
      <c r="W451" s="152" t="s">
        <v>858</v>
      </c>
      <c r="X451" s="152" t="s">
        <v>1083</v>
      </c>
      <c r="Y451" s="152">
        <v>0</v>
      </c>
      <c r="Z451" s="152">
        <v>1</v>
      </c>
      <c r="AA451" s="152" t="s">
        <v>92</v>
      </c>
      <c r="AB451" s="152">
        <v>100.63</v>
      </c>
      <c r="AC451" s="152">
        <v>1</v>
      </c>
      <c r="AD451" s="152" t="s">
        <v>861</v>
      </c>
      <c r="AE451" s="152">
        <v>100.63</v>
      </c>
      <c r="AF451" s="152">
        <v>0</v>
      </c>
      <c r="AG451" s="152" t="s">
        <v>861</v>
      </c>
      <c r="AH451" s="152" t="s">
        <v>861</v>
      </c>
      <c r="AI451" s="152" t="s">
        <v>92</v>
      </c>
      <c r="AJ451" s="152" t="s">
        <v>92</v>
      </c>
      <c r="AK451" s="152" t="s">
        <v>3712</v>
      </c>
      <c r="AL451" s="159" t="s">
        <v>856</v>
      </c>
      <c r="AP451" s="159" t="s">
        <v>856</v>
      </c>
      <c r="AQ451" s="159" t="s">
        <v>856</v>
      </c>
      <c r="AR451" s="159" t="s">
        <v>3698</v>
      </c>
      <c r="AS451" s="159" t="s">
        <v>865</v>
      </c>
      <c r="AT451" s="152" t="str">
        <f t="shared" si="33"/>
        <v>RPNH9-110322</v>
      </c>
      <c r="AU451" s="152" t="str">
        <f t="shared" si="34"/>
        <v xml:space="preserve">ELSA HERNANDEZ MENCHU </v>
      </c>
      <c r="AV451" s="159">
        <v>1014.35</v>
      </c>
      <c r="AW451" s="159">
        <v>802261</v>
      </c>
      <c r="AX451" s="159" t="s">
        <v>856</v>
      </c>
      <c r="AY451" s="159" t="s">
        <v>856</v>
      </c>
      <c r="AZ451" s="152" t="s">
        <v>864</v>
      </c>
      <c r="BA451" s="152" t="str">
        <f t="shared" si="35"/>
        <v>L22--891-SP173</v>
      </c>
      <c r="BB451" s="152">
        <v>0</v>
      </c>
      <c r="BC451" s="157">
        <v>44705</v>
      </c>
      <c r="BD451" s="157">
        <v>44705</v>
      </c>
      <c r="BE451" s="158">
        <v>201260</v>
      </c>
      <c r="BF451" s="152" t="s">
        <v>3713</v>
      </c>
      <c r="BG451" s="159" t="s">
        <v>894</v>
      </c>
      <c r="BH451" s="152">
        <v>100.63</v>
      </c>
      <c r="BI451" s="152">
        <v>0</v>
      </c>
      <c r="BJ451" s="152">
        <v>0</v>
      </c>
      <c r="BK451" s="152" t="s">
        <v>132</v>
      </c>
      <c r="BL451" s="152">
        <v>100.63</v>
      </c>
      <c r="BM451" s="152">
        <v>802262</v>
      </c>
      <c r="BN451" s="157" t="s">
        <v>1453</v>
      </c>
    </row>
    <row r="452" spans="1:66">
      <c r="A452" s="152" t="s">
        <v>3714</v>
      </c>
      <c r="B452" s="152" t="s">
        <v>3715</v>
      </c>
      <c r="C452" s="152" t="s">
        <v>3716</v>
      </c>
      <c r="D452" s="152" t="s">
        <v>3717</v>
      </c>
      <c r="E452" s="152" t="s">
        <v>3717</v>
      </c>
      <c r="F452" s="152">
        <v>8256</v>
      </c>
      <c r="G452" s="152">
        <v>256</v>
      </c>
      <c r="H452" s="152" t="s">
        <v>1007</v>
      </c>
      <c r="I452" s="152">
        <v>202551</v>
      </c>
      <c r="J452" s="152">
        <v>90</v>
      </c>
      <c r="K452" s="152">
        <v>89355</v>
      </c>
      <c r="L452" s="159" t="s">
        <v>856</v>
      </c>
      <c r="M452" s="152" t="s">
        <v>92</v>
      </c>
      <c r="N452" s="152" t="s">
        <v>92</v>
      </c>
      <c r="O452" s="159" t="s">
        <v>856</v>
      </c>
      <c r="P452" s="159" t="s">
        <v>856</v>
      </c>
      <c r="Q452" s="152" t="s">
        <v>92</v>
      </c>
      <c r="R452" s="152" t="s">
        <v>92</v>
      </c>
      <c r="S452" s="159" t="s">
        <v>856</v>
      </c>
      <c r="T452" s="159" t="s">
        <v>856</v>
      </c>
      <c r="U452" s="159" t="s">
        <v>856</v>
      </c>
      <c r="V452" s="152" t="s">
        <v>3530</v>
      </c>
      <c r="W452" s="152" t="s">
        <v>858</v>
      </c>
      <c r="X452" s="152" t="s">
        <v>1083</v>
      </c>
      <c r="Y452" s="152">
        <v>24.16</v>
      </c>
      <c r="Z452" s="152">
        <v>1</v>
      </c>
      <c r="AA452" s="152" t="s">
        <v>883</v>
      </c>
      <c r="AB452" s="152">
        <v>171.47</v>
      </c>
      <c r="AC452" s="152">
        <v>3</v>
      </c>
      <c r="AD452" s="152" t="s">
        <v>861</v>
      </c>
      <c r="AE452" s="152">
        <v>171.47</v>
      </c>
      <c r="AF452" s="152">
        <v>0</v>
      </c>
      <c r="AG452" s="152" t="s">
        <v>861</v>
      </c>
      <c r="AH452" s="152" t="s">
        <v>861</v>
      </c>
      <c r="AI452" s="152" t="s">
        <v>92</v>
      </c>
      <c r="AJ452" s="152" t="s">
        <v>92</v>
      </c>
      <c r="AK452" s="152" t="s">
        <v>3555</v>
      </c>
      <c r="AL452" s="159" t="s">
        <v>856</v>
      </c>
      <c r="AP452" s="159" t="s">
        <v>856</v>
      </c>
      <c r="AQ452" s="159" t="s">
        <v>856</v>
      </c>
      <c r="AR452" s="159" t="s">
        <v>3723</v>
      </c>
      <c r="AS452" s="159" t="s">
        <v>865</v>
      </c>
      <c r="AT452" s="152" t="str">
        <f t="shared" si="33"/>
        <v>RPNA11-210422</v>
      </c>
      <c r="AU452" s="152" t="str">
        <f t="shared" si="34"/>
        <v xml:space="preserve">CESAR FERNANDO ALVARADO </v>
      </c>
      <c r="AV452" s="159">
        <v>2710.04</v>
      </c>
      <c r="AW452" s="159">
        <v>803330</v>
      </c>
      <c r="AX452" s="159">
        <v>30</v>
      </c>
      <c r="AY452" s="159">
        <v>803332</v>
      </c>
      <c r="AZ452" s="152" t="s">
        <v>864</v>
      </c>
      <c r="BA452" s="152" t="str">
        <f t="shared" si="35"/>
        <v>L22-424-LG159</v>
      </c>
      <c r="BB452" s="152">
        <v>0</v>
      </c>
      <c r="BC452" s="157">
        <v>44712</v>
      </c>
      <c r="BD452" s="157">
        <v>44712</v>
      </c>
      <c r="BE452" s="158">
        <v>525201.19999999995</v>
      </c>
      <c r="BF452" s="152" t="s">
        <v>3724</v>
      </c>
      <c r="BG452" s="159" t="s">
        <v>894</v>
      </c>
      <c r="BH452" s="152">
        <v>171.47</v>
      </c>
      <c r="BI452" s="152">
        <v>0</v>
      </c>
      <c r="BJ452" s="152">
        <v>0</v>
      </c>
      <c r="BK452" s="152" t="s">
        <v>132</v>
      </c>
      <c r="BL452" s="152">
        <v>171.47</v>
      </c>
      <c r="BM452" s="152">
        <v>803331</v>
      </c>
      <c r="BN452" s="157" t="s">
        <v>1453</v>
      </c>
    </row>
    <row r="453" spans="1:66">
      <c r="A453" s="152" t="s">
        <v>3718</v>
      </c>
      <c r="B453" s="152" t="s">
        <v>3719</v>
      </c>
      <c r="C453" s="152" t="s">
        <v>3720</v>
      </c>
      <c r="D453" s="152" t="s">
        <v>3721</v>
      </c>
      <c r="E453" s="152" t="s">
        <v>3721</v>
      </c>
      <c r="F453" s="152">
        <v>680</v>
      </c>
      <c r="G453" s="152">
        <v>180</v>
      </c>
      <c r="H453" s="152" t="s">
        <v>3722</v>
      </c>
      <c r="I453" s="152">
        <v>202425</v>
      </c>
      <c r="J453" s="152">
        <v>331.24</v>
      </c>
      <c r="K453" s="152">
        <v>89247</v>
      </c>
      <c r="L453" s="159" t="s">
        <v>3731</v>
      </c>
      <c r="M453" s="152" t="s">
        <v>92</v>
      </c>
      <c r="N453" s="152" t="s">
        <v>92</v>
      </c>
      <c r="O453" s="159" t="s">
        <v>856</v>
      </c>
      <c r="P453" s="159" t="s">
        <v>856</v>
      </c>
      <c r="Q453" s="152" t="s">
        <v>92</v>
      </c>
      <c r="R453" s="152" t="s">
        <v>92</v>
      </c>
      <c r="S453" s="159" t="s">
        <v>856</v>
      </c>
      <c r="T453" s="159" t="s">
        <v>856</v>
      </c>
      <c r="U453" s="159" t="s">
        <v>856</v>
      </c>
      <c r="V453" s="152" t="s">
        <v>3530</v>
      </c>
      <c r="W453" s="152" t="s">
        <v>858</v>
      </c>
      <c r="X453" s="152" t="s">
        <v>1083</v>
      </c>
      <c r="Y453" s="152">
        <v>0</v>
      </c>
      <c r="Z453" s="152">
        <v>1</v>
      </c>
      <c r="AA453" s="152" t="s">
        <v>92</v>
      </c>
      <c r="AB453" s="152">
        <v>37.369999999999997</v>
      </c>
      <c r="AC453" s="152">
        <v>1</v>
      </c>
      <c r="AD453" s="152" t="s">
        <v>861</v>
      </c>
      <c r="AE453" s="152">
        <v>37.369999999999997</v>
      </c>
      <c r="AF453" s="152">
        <v>0</v>
      </c>
      <c r="AG453" s="152" t="s">
        <v>861</v>
      </c>
      <c r="AH453" s="152" t="s">
        <v>861</v>
      </c>
      <c r="AI453" s="152" t="s">
        <v>92</v>
      </c>
      <c r="AJ453" s="152" t="s">
        <v>92</v>
      </c>
      <c r="AK453" s="152" t="s">
        <v>884</v>
      </c>
      <c r="AL453" s="159" t="s">
        <v>856</v>
      </c>
      <c r="AP453" s="159" t="s">
        <v>856</v>
      </c>
      <c r="AQ453" s="159" t="s">
        <v>856</v>
      </c>
      <c r="AR453" s="159" t="s">
        <v>3732</v>
      </c>
      <c r="AS453" s="159" t="s">
        <v>865</v>
      </c>
      <c r="AT453" s="152" t="str">
        <f t="shared" si="33"/>
        <v>RPNC9-120422</v>
      </c>
      <c r="AU453" s="152" t="str">
        <f t="shared" si="34"/>
        <v xml:space="preserve">MIGUEL ANGEL CARILLO PEREZ </v>
      </c>
      <c r="AV453" s="159">
        <v>156.96</v>
      </c>
      <c r="AW453" s="159">
        <v>801529</v>
      </c>
      <c r="AX453" s="159" t="s">
        <v>856</v>
      </c>
      <c r="AY453" s="159" t="s">
        <v>856</v>
      </c>
      <c r="AZ453" s="152" t="s">
        <v>864</v>
      </c>
      <c r="BA453" s="152" t="str">
        <f t="shared" si="35"/>
        <v>L22-745-MP031</v>
      </c>
      <c r="BB453" s="152">
        <v>0</v>
      </c>
      <c r="BC453" s="157">
        <v>44700</v>
      </c>
      <c r="BD453" s="157">
        <v>44700</v>
      </c>
      <c r="BE453" s="158">
        <v>37370</v>
      </c>
      <c r="BF453" s="152" t="s">
        <v>3725</v>
      </c>
      <c r="BG453" s="159" t="s">
        <v>894</v>
      </c>
      <c r="BH453" s="152">
        <v>37.369999999999997</v>
      </c>
      <c r="BI453" s="152">
        <v>0</v>
      </c>
      <c r="BJ453" s="152">
        <v>0</v>
      </c>
      <c r="BK453" s="152" t="s">
        <v>132</v>
      </c>
      <c r="BL453" s="152">
        <v>37.369999999999997</v>
      </c>
      <c r="BM453" s="152">
        <v>801530</v>
      </c>
      <c r="BN453" s="157" t="s">
        <v>1453</v>
      </c>
    </row>
    <row r="454" spans="1:66">
      <c r="A454" s="152" t="s">
        <v>3726</v>
      </c>
      <c r="B454" s="152" t="s">
        <v>3727</v>
      </c>
      <c r="C454" s="152" t="s">
        <v>3728</v>
      </c>
      <c r="D454" s="152" t="s">
        <v>3729</v>
      </c>
      <c r="E454" s="152" t="s">
        <v>3730</v>
      </c>
      <c r="F454" s="152">
        <v>6811</v>
      </c>
      <c r="G454" s="152">
        <v>311</v>
      </c>
      <c r="H454" s="152" t="s">
        <v>1848</v>
      </c>
      <c r="I454" s="152">
        <v>202447</v>
      </c>
      <c r="J454" s="152">
        <v>128.80000000000001</v>
      </c>
      <c r="K454" s="152">
        <v>89267</v>
      </c>
      <c r="L454" s="159" t="s">
        <v>856</v>
      </c>
      <c r="M454" s="152" t="s">
        <v>92</v>
      </c>
      <c r="N454" s="152" t="s">
        <v>92</v>
      </c>
      <c r="O454" s="159" t="s">
        <v>856</v>
      </c>
      <c r="P454" s="159" t="s">
        <v>856</v>
      </c>
      <c r="Q454" s="152" t="s">
        <v>92</v>
      </c>
      <c r="R454" s="152" t="s">
        <v>92</v>
      </c>
      <c r="S454" s="159" t="s">
        <v>856</v>
      </c>
      <c r="T454" s="159" t="s">
        <v>856</v>
      </c>
      <c r="U454" s="159" t="s">
        <v>856</v>
      </c>
      <c r="V454" s="152" t="s">
        <v>3530</v>
      </c>
      <c r="W454" s="152" t="s">
        <v>858</v>
      </c>
      <c r="X454" s="152" t="s">
        <v>1083</v>
      </c>
      <c r="Y454" s="152">
        <v>37.119999999999997</v>
      </c>
      <c r="Z454" s="152">
        <v>2</v>
      </c>
      <c r="AA454" s="152" t="s">
        <v>92</v>
      </c>
      <c r="AB454" s="152">
        <v>121.4</v>
      </c>
      <c r="AC454" s="152">
        <v>2</v>
      </c>
      <c r="AD454" s="152" t="s">
        <v>861</v>
      </c>
      <c r="AE454" s="152">
        <v>121.4</v>
      </c>
      <c r="AF454" s="152">
        <v>0</v>
      </c>
      <c r="AG454" s="152" t="s">
        <v>861</v>
      </c>
      <c r="AH454" s="152" t="s">
        <v>861</v>
      </c>
      <c r="AI454" s="152" t="s">
        <v>92</v>
      </c>
      <c r="AJ454" s="152" t="s">
        <v>92</v>
      </c>
      <c r="AK454" s="152" t="s">
        <v>1620</v>
      </c>
      <c r="AL454" s="159" t="s">
        <v>856</v>
      </c>
      <c r="AP454" s="159" t="s">
        <v>856</v>
      </c>
      <c r="AQ454" s="159" t="s">
        <v>856</v>
      </c>
      <c r="AR454" s="159" t="s">
        <v>1034</v>
      </c>
      <c r="AS454" s="159" t="s">
        <v>865</v>
      </c>
      <c r="AT454" s="152" t="str">
        <f t="shared" si="33"/>
        <v>RPNAR-250322</v>
      </c>
      <c r="AU454" s="152" t="str">
        <f t="shared" si="34"/>
        <v>MARVIN AUGUSTO AMBROCIO GUTIERREZ</v>
      </c>
      <c r="AV454" s="159">
        <v>1602.4</v>
      </c>
      <c r="AW454" s="159">
        <v>794395</v>
      </c>
      <c r="AX454" s="159">
        <v>35</v>
      </c>
      <c r="AY454" s="159">
        <v>794397</v>
      </c>
      <c r="AZ454" s="152" t="s">
        <v>864</v>
      </c>
      <c r="BA454" s="152" t="str">
        <f t="shared" si="35"/>
        <v>L22-324-LG142</v>
      </c>
      <c r="BB454" s="152">
        <v>0</v>
      </c>
      <c r="BC454" s="157">
        <v>44691</v>
      </c>
      <c r="BD454" s="157">
        <v>44691</v>
      </c>
      <c r="BE454" s="158">
        <v>316492</v>
      </c>
      <c r="BF454" s="152" t="s">
        <v>3733</v>
      </c>
      <c r="BG454" s="159" t="s">
        <v>894</v>
      </c>
      <c r="BH454" s="152">
        <v>121.4</v>
      </c>
      <c r="BI454" s="152">
        <v>0</v>
      </c>
      <c r="BJ454" s="152">
        <v>0</v>
      </c>
      <c r="BK454" s="152" t="s">
        <v>132</v>
      </c>
      <c r="BL454" s="152">
        <v>121.4</v>
      </c>
      <c r="BM454" s="152">
        <v>794396</v>
      </c>
      <c r="BN454" s="157" t="s">
        <v>1453</v>
      </c>
    </row>
    <row r="455" spans="1:66">
      <c r="A455" s="152" t="s">
        <v>3734</v>
      </c>
      <c r="B455" s="152" t="s">
        <v>3735</v>
      </c>
      <c r="C455" s="152" t="s">
        <v>3736</v>
      </c>
      <c r="D455" s="152" t="s">
        <v>3737</v>
      </c>
      <c r="E455" s="152" t="s">
        <v>3738</v>
      </c>
      <c r="F455" s="152">
        <v>335109</v>
      </c>
      <c r="G455" s="152">
        <v>119</v>
      </c>
      <c r="H455" s="152">
        <v>834</v>
      </c>
      <c r="I455" s="152">
        <v>203269</v>
      </c>
      <c r="J455" s="152">
        <v>121.12</v>
      </c>
      <c r="K455" s="152">
        <v>89951</v>
      </c>
      <c r="L455" s="159" t="s">
        <v>856</v>
      </c>
      <c r="M455" s="152" t="s">
        <v>92</v>
      </c>
      <c r="N455" s="152" t="s">
        <v>92</v>
      </c>
      <c r="O455" s="159" t="s">
        <v>856</v>
      </c>
      <c r="P455" s="159" t="s">
        <v>856</v>
      </c>
      <c r="Q455" s="152" t="s">
        <v>92</v>
      </c>
      <c r="R455" s="152" t="s">
        <v>92</v>
      </c>
      <c r="S455" s="159" t="s">
        <v>856</v>
      </c>
      <c r="T455" s="159" t="s">
        <v>856</v>
      </c>
      <c r="U455" s="159" t="s">
        <v>856</v>
      </c>
      <c r="V455" s="152" t="s">
        <v>3530</v>
      </c>
      <c r="W455" s="152" t="s">
        <v>858</v>
      </c>
      <c r="X455" s="152" t="s">
        <v>1083</v>
      </c>
      <c r="Y455" s="152">
        <v>47.94</v>
      </c>
      <c r="Z455" s="152">
        <v>1</v>
      </c>
      <c r="AA455" s="152" t="s">
        <v>883</v>
      </c>
      <c r="AB455" s="152">
        <v>204.25</v>
      </c>
      <c r="AC455" s="152">
        <v>2</v>
      </c>
      <c r="AD455" s="152" t="s">
        <v>861</v>
      </c>
      <c r="AE455" s="152">
        <v>204.25</v>
      </c>
      <c r="AF455" s="152">
        <v>0</v>
      </c>
      <c r="AG455" s="152" t="s">
        <v>861</v>
      </c>
      <c r="AH455" s="152" t="s">
        <v>861</v>
      </c>
      <c r="AI455" s="152" t="s">
        <v>92</v>
      </c>
      <c r="AJ455" s="152" t="s">
        <v>92</v>
      </c>
      <c r="AK455" s="152" t="s">
        <v>3578</v>
      </c>
      <c r="AL455" s="159" t="s">
        <v>856</v>
      </c>
      <c r="AP455" s="159" t="s">
        <v>856</v>
      </c>
      <c r="AQ455" s="159" t="s">
        <v>856</v>
      </c>
      <c r="AR455" s="159" t="s">
        <v>3723</v>
      </c>
      <c r="AS455" s="159" t="s">
        <v>865</v>
      </c>
      <c r="AT455" s="152" t="str">
        <f t="shared" si="33"/>
        <v>RPNG8-150422</v>
      </c>
      <c r="AU455" s="152" t="str">
        <f t="shared" si="34"/>
        <v xml:space="preserve">MARCO ANTONIO GOMEZ ESCALANTE </v>
      </c>
      <c r="AV455" s="159">
        <v>2692.71</v>
      </c>
      <c r="AW455" s="159">
        <v>794280</v>
      </c>
      <c r="AX455" s="159">
        <v>37.5</v>
      </c>
      <c r="AY455" s="159">
        <v>794282</v>
      </c>
      <c r="AZ455" s="152" t="s">
        <v>864</v>
      </c>
      <c r="BA455" s="152" t="str">
        <f t="shared" si="35"/>
        <v>L22-309-JJ45</v>
      </c>
      <c r="BB455" s="152">
        <v>0</v>
      </c>
      <c r="BC455" s="157">
        <v>44687</v>
      </c>
      <c r="BD455" s="157">
        <v>44687</v>
      </c>
      <c r="BE455" s="158">
        <v>528244</v>
      </c>
      <c r="BF455" s="152" t="s">
        <v>3739</v>
      </c>
      <c r="BG455" s="159" t="s">
        <v>894</v>
      </c>
      <c r="BH455" s="152">
        <v>204.25</v>
      </c>
      <c r="BI455" s="152">
        <v>0</v>
      </c>
      <c r="BJ455" s="152">
        <v>0</v>
      </c>
      <c r="BK455" s="152" t="s">
        <v>132</v>
      </c>
      <c r="BL455" s="152">
        <v>204.25</v>
      </c>
      <c r="BM455" s="152">
        <v>794281</v>
      </c>
      <c r="BN455" s="157" t="s">
        <v>1453</v>
      </c>
    </row>
    <row r="456" spans="1:66">
      <c r="A456" s="152" t="s">
        <v>3740</v>
      </c>
      <c r="B456" s="152" t="s">
        <v>3741</v>
      </c>
      <c r="C456" s="152" t="s">
        <v>3742</v>
      </c>
      <c r="D456" s="152" t="s">
        <v>3743</v>
      </c>
      <c r="E456" s="152" t="s">
        <v>3744</v>
      </c>
      <c r="F456" s="152">
        <v>4146</v>
      </c>
      <c r="G456" s="152">
        <v>146</v>
      </c>
      <c r="H456" s="152" t="s">
        <v>1865</v>
      </c>
      <c r="I456" s="152">
        <v>190305</v>
      </c>
      <c r="J456" s="152">
        <v>160</v>
      </c>
      <c r="K456" s="152">
        <v>80078</v>
      </c>
      <c r="L456" s="159" t="s">
        <v>856</v>
      </c>
      <c r="M456" s="152" t="s">
        <v>92</v>
      </c>
      <c r="N456" s="152" t="s">
        <v>92</v>
      </c>
      <c r="O456" s="159" t="s">
        <v>856</v>
      </c>
      <c r="P456" s="159" t="s">
        <v>856</v>
      </c>
      <c r="Q456" s="152" t="s">
        <v>92</v>
      </c>
      <c r="R456" s="152" t="s">
        <v>92</v>
      </c>
      <c r="S456" s="159" t="s">
        <v>856</v>
      </c>
      <c r="T456" s="159" t="s">
        <v>856</v>
      </c>
      <c r="U456" s="159" t="s">
        <v>856</v>
      </c>
      <c r="V456" s="152" t="s">
        <v>3530</v>
      </c>
      <c r="W456" s="152" t="s">
        <v>858</v>
      </c>
      <c r="X456" s="152" t="s">
        <v>1083</v>
      </c>
      <c r="Y456" s="152">
        <v>111.6</v>
      </c>
      <c r="Z456" s="152">
        <v>1</v>
      </c>
      <c r="AA456" s="152" t="s">
        <v>883</v>
      </c>
      <c r="AB456" s="152">
        <v>169.23</v>
      </c>
      <c r="AC456" s="152">
        <v>2</v>
      </c>
      <c r="AD456" s="152">
        <v>1</v>
      </c>
      <c r="AE456" s="152">
        <v>169.23</v>
      </c>
      <c r="AF456" s="152">
        <v>0</v>
      </c>
      <c r="AG456" s="152" t="s">
        <v>861</v>
      </c>
      <c r="AH456" s="152" t="s">
        <v>861</v>
      </c>
      <c r="AI456" s="152" t="s">
        <v>92</v>
      </c>
      <c r="AJ456" s="152" t="s">
        <v>92</v>
      </c>
      <c r="AK456" s="152" t="s">
        <v>912</v>
      </c>
      <c r="AL456" s="159" t="s">
        <v>856</v>
      </c>
      <c r="AP456" s="159" t="s">
        <v>856</v>
      </c>
      <c r="AQ456" s="159" t="s">
        <v>856</v>
      </c>
      <c r="AR456" s="159" t="s">
        <v>3698</v>
      </c>
      <c r="AS456" s="159" t="s">
        <v>865</v>
      </c>
      <c r="AT456" s="152" t="str">
        <f t="shared" si="33"/>
        <v>RPNL12-060122</v>
      </c>
      <c r="AU456" s="152" t="str">
        <f t="shared" si="34"/>
        <v xml:space="preserve">YURI FILEMON RIVERA DE LEON </v>
      </c>
      <c r="AV456" s="159">
        <v>2546.0300000000002</v>
      </c>
      <c r="AW456" s="159">
        <v>803269</v>
      </c>
      <c r="AX456" s="159">
        <v>40</v>
      </c>
      <c r="AY456" s="159">
        <v>803271</v>
      </c>
      <c r="AZ456" s="152" t="s">
        <v>864</v>
      </c>
      <c r="BA456" s="152" t="str">
        <f t="shared" si="35"/>
        <v>L22-418-JM43</v>
      </c>
      <c r="BB456" s="152">
        <v>0</v>
      </c>
      <c r="BC456" s="157">
        <v>44711</v>
      </c>
      <c r="BD456" s="157">
        <v>44711</v>
      </c>
      <c r="BE456" s="158">
        <v>468635</v>
      </c>
      <c r="BF456" s="152" t="s">
        <v>3745</v>
      </c>
      <c r="BG456" s="159" t="s">
        <v>894</v>
      </c>
      <c r="BH456" s="152">
        <v>169.23</v>
      </c>
      <c r="BI456" s="152">
        <v>0</v>
      </c>
      <c r="BJ456" s="152">
        <v>0</v>
      </c>
      <c r="BK456" s="152" t="s">
        <v>132</v>
      </c>
      <c r="BL456" s="152">
        <v>169.23</v>
      </c>
      <c r="BM456" s="152">
        <v>803270</v>
      </c>
      <c r="BN456" s="157" t="s">
        <v>1453</v>
      </c>
    </row>
    <row r="457" spans="1:66">
      <c r="A457" s="152" t="s">
        <v>3746</v>
      </c>
      <c r="B457" s="152" t="s">
        <v>3747</v>
      </c>
      <c r="C457" s="152" t="s">
        <v>3748</v>
      </c>
      <c r="D457" s="152" t="s">
        <v>3749</v>
      </c>
      <c r="E457" s="152" t="s">
        <v>3749</v>
      </c>
      <c r="F457" s="152">
        <v>9511</v>
      </c>
      <c r="G457" s="152">
        <v>11</v>
      </c>
      <c r="H457" s="152" t="s">
        <v>3750</v>
      </c>
      <c r="I457" s="152">
        <v>203432</v>
      </c>
      <c r="J457" s="152">
        <v>135</v>
      </c>
      <c r="K457" s="152">
        <v>90043</v>
      </c>
      <c r="L457" s="159" t="s">
        <v>856</v>
      </c>
      <c r="M457" s="152" t="s">
        <v>92</v>
      </c>
      <c r="N457" s="152" t="s">
        <v>92</v>
      </c>
      <c r="O457" s="159" t="s">
        <v>856</v>
      </c>
      <c r="P457" s="159" t="s">
        <v>856</v>
      </c>
      <c r="Q457" s="152" t="s">
        <v>92</v>
      </c>
      <c r="R457" s="152" t="s">
        <v>92</v>
      </c>
      <c r="S457" s="159" t="s">
        <v>856</v>
      </c>
      <c r="T457" s="159" t="s">
        <v>856</v>
      </c>
      <c r="U457" s="159" t="s">
        <v>856</v>
      </c>
      <c r="V457" s="152" t="s">
        <v>3530</v>
      </c>
      <c r="W457" s="152" t="s">
        <v>858</v>
      </c>
      <c r="X457" s="152" t="s">
        <v>1083</v>
      </c>
      <c r="Y457" s="152">
        <v>33.770000000000003</v>
      </c>
      <c r="Z457" s="152">
        <v>1</v>
      </c>
      <c r="AA457" s="152" t="s">
        <v>92</v>
      </c>
      <c r="AB457" s="152">
        <v>240.02</v>
      </c>
      <c r="AC457" s="152">
        <v>2</v>
      </c>
      <c r="AD457" s="152" t="s">
        <v>861</v>
      </c>
      <c r="AE457" s="152">
        <v>240.02</v>
      </c>
      <c r="AF457" s="152">
        <v>0</v>
      </c>
      <c r="AG457" s="152" t="s">
        <v>861</v>
      </c>
      <c r="AH457" s="152" t="s">
        <v>861</v>
      </c>
      <c r="AI457" s="152" t="s">
        <v>92</v>
      </c>
      <c r="AJ457" s="152" t="s">
        <v>92</v>
      </c>
      <c r="AK457" s="152" t="s">
        <v>3555</v>
      </c>
      <c r="AL457" s="159" t="s">
        <v>856</v>
      </c>
      <c r="AP457" s="159" t="s">
        <v>856</v>
      </c>
      <c r="AQ457" s="159" t="s">
        <v>856</v>
      </c>
      <c r="AR457" s="159" t="s">
        <v>1953</v>
      </c>
      <c r="AS457" s="159" t="s">
        <v>865</v>
      </c>
      <c r="AT457" s="152" t="str">
        <f t="shared" si="33"/>
        <v>RPNCR-120122</v>
      </c>
      <c r="AU457" s="152" t="str">
        <f t="shared" si="34"/>
        <v>YOVARISIS OTONIEL AVILLELMAN CRUZ CIFUENTES</v>
      </c>
      <c r="AV457" s="159">
        <v>3090.44</v>
      </c>
      <c r="AW457" s="159">
        <v>801389</v>
      </c>
      <c r="AX457" s="159">
        <v>103.25</v>
      </c>
      <c r="AY457" s="159">
        <v>801391</v>
      </c>
      <c r="AZ457" s="152" t="s">
        <v>864</v>
      </c>
      <c r="BA457" s="152" t="str">
        <f t="shared" si="35"/>
        <v>L22-331-SP178</v>
      </c>
      <c r="BB457" s="152">
        <v>0</v>
      </c>
      <c r="BC457" s="157">
        <v>44694</v>
      </c>
      <c r="BD457" s="157">
        <v>44694</v>
      </c>
      <c r="BE457" s="158">
        <v>611869.5</v>
      </c>
      <c r="BF457" s="152" t="s">
        <v>3751</v>
      </c>
      <c r="BG457" s="159" t="s">
        <v>894</v>
      </c>
      <c r="BH457" s="152">
        <v>240.02</v>
      </c>
      <c r="BI457" s="152">
        <v>0</v>
      </c>
      <c r="BJ457" s="152">
        <v>0</v>
      </c>
      <c r="BK457" s="152" t="s">
        <v>132</v>
      </c>
      <c r="BL457" s="152">
        <v>240.02</v>
      </c>
      <c r="BM457" s="152">
        <v>801390</v>
      </c>
      <c r="BN457" s="157" t="s">
        <v>1453</v>
      </c>
    </row>
    <row r="458" spans="1:66">
      <c r="A458" s="152" t="s">
        <v>3752</v>
      </c>
      <c r="B458" s="152" t="s">
        <v>3753</v>
      </c>
      <c r="C458" s="152" t="s">
        <v>3754</v>
      </c>
      <c r="D458" s="152" t="s">
        <v>3755</v>
      </c>
      <c r="E458" s="152" t="s">
        <v>3755</v>
      </c>
      <c r="F458" s="159" t="s">
        <v>3523</v>
      </c>
      <c r="G458" s="159" t="s">
        <v>3522</v>
      </c>
      <c r="H458" s="159" t="s">
        <v>3756</v>
      </c>
      <c r="I458" s="152">
        <v>203248</v>
      </c>
      <c r="J458" s="152">
        <v>261.56</v>
      </c>
      <c r="K458" s="152">
        <v>89931</v>
      </c>
      <c r="L458" s="159" t="s">
        <v>2818</v>
      </c>
      <c r="M458" s="152" t="s">
        <v>883</v>
      </c>
      <c r="N458" s="152" t="s">
        <v>92</v>
      </c>
      <c r="O458" s="159">
        <v>3258</v>
      </c>
      <c r="P458" s="159" t="s">
        <v>2818</v>
      </c>
      <c r="Q458" s="152" t="s">
        <v>883</v>
      </c>
      <c r="R458" s="152" t="s">
        <v>92</v>
      </c>
      <c r="S458" s="159">
        <v>3258</v>
      </c>
      <c r="T458" s="159" t="s">
        <v>856</v>
      </c>
      <c r="U458" s="159" t="s">
        <v>856</v>
      </c>
      <c r="V458" s="152" t="s">
        <v>857</v>
      </c>
      <c r="W458" s="152" t="s">
        <v>858</v>
      </c>
      <c r="X458" s="152" t="s">
        <v>1083</v>
      </c>
      <c r="Y458" s="152">
        <v>152.97</v>
      </c>
      <c r="Z458" s="152">
        <v>1</v>
      </c>
      <c r="AA458" s="152" t="s">
        <v>92</v>
      </c>
      <c r="AB458" s="152">
        <v>69.66</v>
      </c>
      <c r="AC458" s="152">
        <v>2</v>
      </c>
      <c r="AD458" s="152" t="s">
        <v>861</v>
      </c>
      <c r="AE458" s="152">
        <v>69.66</v>
      </c>
      <c r="AF458" s="152">
        <v>0</v>
      </c>
      <c r="AG458" s="152" t="s">
        <v>861</v>
      </c>
      <c r="AH458" s="152" t="s">
        <v>861</v>
      </c>
      <c r="AI458" s="152" t="s">
        <v>92</v>
      </c>
      <c r="AJ458" s="152" t="s">
        <v>92</v>
      </c>
      <c r="AK458" s="152" t="s">
        <v>1620</v>
      </c>
      <c r="AL458" s="159" t="s">
        <v>856</v>
      </c>
      <c r="AP458" s="159" t="s">
        <v>856</v>
      </c>
      <c r="AQ458" s="159" t="s">
        <v>856</v>
      </c>
      <c r="AR458" s="159" t="s">
        <v>3698</v>
      </c>
      <c r="AS458" s="159" t="s">
        <v>865</v>
      </c>
      <c r="AT458" s="152" t="str">
        <f t="shared" si="33"/>
        <v>RPNVR-140322</v>
      </c>
      <c r="AU458" s="152" t="str">
        <f t="shared" si="34"/>
        <v xml:space="preserve">BERTA FLORIDALMA ROJAS VELASQUE DE VENTURA </v>
      </c>
      <c r="AV458" s="159">
        <v>1762.68</v>
      </c>
      <c r="AW458" s="159">
        <v>801435</v>
      </c>
      <c r="AX458" s="159">
        <v>167.5</v>
      </c>
      <c r="AY458" s="159">
        <v>801437</v>
      </c>
      <c r="AZ458" s="152" t="s">
        <v>864</v>
      </c>
      <c r="BA458" s="152" t="str">
        <f t="shared" si="35"/>
        <v>L22-336-SP180</v>
      </c>
      <c r="BB458" s="152">
        <v>0</v>
      </c>
      <c r="BC458" s="157">
        <v>44697</v>
      </c>
      <c r="BD458" s="157">
        <v>44697</v>
      </c>
      <c r="BE458" s="158">
        <v>227689.5</v>
      </c>
      <c r="BF458" s="152" t="s">
        <v>3757</v>
      </c>
      <c r="BG458" s="159" t="s">
        <v>3758</v>
      </c>
      <c r="BH458" s="152">
        <v>69.66</v>
      </c>
      <c r="BI458" s="152">
        <v>0</v>
      </c>
      <c r="BJ458" s="152">
        <v>0</v>
      </c>
      <c r="BK458" s="152" t="s">
        <v>3759</v>
      </c>
      <c r="BL458" s="152">
        <v>87.08</v>
      </c>
      <c r="BM458" s="152">
        <v>801436</v>
      </c>
      <c r="BN458" s="157">
        <v>45428</v>
      </c>
    </row>
    <row r="459" spans="1:66">
      <c r="A459" s="152" t="s">
        <v>3760</v>
      </c>
      <c r="B459" s="152" t="s">
        <v>3761</v>
      </c>
      <c r="C459" s="152" t="s">
        <v>3762</v>
      </c>
      <c r="D459" s="152" t="s">
        <v>3763</v>
      </c>
      <c r="E459" s="152" t="s">
        <v>3865</v>
      </c>
      <c r="F459" s="152">
        <v>92517</v>
      </c>
      <c r="G459" s="152">
        <v>290</v>
      </c>
      <c r="H459" s="152">
        <v>371</v>
      </c>
      <c r="I459" s="152">
        <v>2036</v>
      </c>
      <c r="J459" s="152">
        <v>132.25</v>
      </c>
      <c r="K459" s="152">
        <v>2841</v>
      </c>
      <c r="L459" s="159" t="s">
        <v>3764</v>
      </c>
      <c r="M459" s="152" t="s">
        <v>92</v>
      </c>
      <c r="N459" s="152" t="s">
        <v>883</v>
      </c>
      <c r="O459" s="159">
        <v>4744</v>
      </c>
      <c r="P459" s="159" t="s">
        <v>3764</v>
      </c>
      <c r="Q459" s="152" t="s">
        <v>92</v>
      </c>
      <c r="R459" s="152" t="s">
        <v>883</v>
      </c>
      <c r="S459" s="159">
        <v>4744</v>
      </c>
      <c r="T459" s="159" t="s">
        <v>856</v>
      </c>
      <c r="U459" s="159" t="s">
        <v>856</v>
      </c>
      <c r="V459" s="152" t="s">
        <v>3852</v>
      </c>
      <c r="W459" s="152" t="s">
        <v>858</v>
      </c>
      <c r="X459" s="152" t="s">
        <v>1083</v>
      </c>
      <c r="Y459" s="152">
        <v>0</v>
      </c>
      <c r="Z459" s="152">
        <v>4</v>
      </c>
      <c r="AA459" s="152" t="s">
        <v>92</v>
      </c>
      <c r="AB459" s="152">
        <v>340.4</v>
      </c>
      <c r="AC459" s="152">
        <v>3</v>
      </c>
      <c r="AD459" s="152" t="s">
        <v>861</v>
      </c>
      <c r="AE459" s="152">
        <v>333.46</v>
      </c>
      <c r="AF459" s="152">
        <v>0</v>
      </c>
      <c r="AG459" s="152" t="s">
        <v>861</v>
      </c>
      <c r="AH459" s="152" t="s">
        <v>861</v>
      </c>
      <c r="AI459" s="152" t="s">
        <v>92</v>
      </c>
      <c r="AJ459" s="152" t="s">
        <v>92</v>
      </c>
      <c r="AK459" s="152" t="s">
        <v>1085</v>
      </c>
      <c r="AL459" s="159" t="s">
        <v>856</v>
      </c>
      <c r="AP459" s="159" t="s">
        <v>856</v>
      </c>
      <c r="AQ459" s="159" t="s">
        <v>856</v>
      </c>
      <c r="AR459" s="159" t="s">
        <v>3765</v>
      </c>
      <c r="AS459" s="159" t="s">
        <v>865</v>
      </c>
      <c r="AT459" s="152" t="str">
        <f t="shared" si="33"/>
        <v>RPNC3-050422</v>
      </c>
      <c r="AU459" s="152" t="str">
        <f t="shared" si="34"/>
        <v xml:space="preserve">FILOMENA OROXOM VENTURA DE CITALAN </v>
      </c>
      <c r="AV459" s="159">
        <v>4346.83</v>
      </c>
      <c r="AW459" s="159">
        <v>900162</v>
      </c>
      <c r="AX459" s="159" t="s">
        <v>856</v>
      </c>
      <c r="AY459" s="159" t="s">
        <v>856</v>
      </c>
      <c r="AZ459" s="152" t="s">
        <v>864</v>
      </c>
      <c r="BA459" s="152" t="str">
        <f t="shared" si="35"/>
        <v>L22-712-NR099</v>
      </c>
      <c r="BB459" s="152">
        <v>0</v>
      </c>
      <c r="BC459" s="157">
        <v>44834</v>
      </c>
      <c r="BD459" s="157">
        <v>44834</v>
      </c>
      <c r="BE459" s="158">
        <v>851000</v>
      </c>
      <c r="BF459" s="152" t="s">
        <v>3766</v>
      </c>
      <c r="BG459" s="159" t="s">
        <v>3767</v>
      </c>
      <c r="BH459" s="152">
        <v>333.46</v>
      </c>
      <c r="BI459" s="152">
        <v>0</v>
      </c>
      <c r="BJ459" s="152">
        <v>0</v>
      </c>
      <c r="BK459" s="152" t="s">
        <v>995</v>
      </c>
      <c r="BL459" s="152">
        <v>342.12</v>
      </c>
      <c r="BM459" s="152">
        <v>900163</v>
      </c>
      <c r="BN459" s="157" t="s">
        <v>1453</v>
      </c>
    </row>
    <row r="460" spans="1:66">
      <c r="A460" s="152" t="s">
        <v>3768</v>
      </c>
      <c r="B460" s="152" t="s">
        <v>3769</v>
      </c>
      <c r="C460" s="152" t="s">
        <v>3773</v>
      </c>
      <c r="D460" s="152" t="s">
        <v>3770</v>
      </c>
      <c r="E460" s="152" t="s">
        <v>3850</v>
      </c>
      <c r="F460" s="152">
        <v>2628</v>
      </c>
      <c r="G460" s="152">
        <v>128</v>
      </c>
      <c r="H460" s="152" t="s">
        <v>3771</v>
      </c>
      <c r="I460" s="152">
        <v>200940</v>
      </c>
      <c r="J460" s="152">
        <v>82.46</v>
      </c>
      <c r="K460" s="152">
        <v>88036</v>
      </c>
      <c r="L460" s="159" t="s">
        <v>3772</v>
      </c>
      <c r="M460" s="152" t="s">
        <v>92</v>
      </c>
      <c r="N460" s="152" t="s">
        <v>883</v>
      </c>
      <c r="O460" s="159">
        <v>4293</v>
      </c>
      <c r="P460" s="159" t="s">
        <v>3772</v>
      </c>
      <c r="Q460" s="152" t="s">
        <v>92</v>
      </c>
      <c r="R460" s="152" t="s">
        <v>883</v>
      </c>
      <c r="S460" s="159">
        <v>4293</v>
      </c>
      <c r="T460" s="159" t="s">
        <v>856</v>
      </c>
      <c r="U460" s="159" t="s">
        <v>856</v>
      </c>
      <c r="V460" s="152" t="s">
        <v>857</v>
      </c>
      <c r="W460" s="152" t="s">
        <v>858</v>
      </c>
      <c r="X460" s="152" t="s">
        <v>1083</v>
      </c>
      <c r="Y460" s="152">
        <v>0</v>
      </c>
      <c r="Z460" s="152">
        <v>1</v>
      </c>
      <c r="AA460" s="152" t="s">
        <v>92</v>
      </c>
      <c r="AB460" s="152">
        <v>125.53</v>
      </c>
      <c r="AC460" s="152">
        <v>2</v>
      </c>
      <c r="AD460" s="152" t="s">
        <v>861</v>
      </c>
      <c r="AE460" s="152">
        <v>125.53</v>
      </c>
      <c r="AF460" s="152">
        <v>0</v>
      </c>
      <c r="AG460" s="152" t="s">
        <v>861</v>
      </c>
      <c r="AH460" s="152" t="s">
        <v>861</v>
      </c>
      <c r="AI460" s="152" t="s">
        <v>92</v>
      </c>
      <c r="AJ460" s="152" t="s">
        <v>92</v>
      </c>
      <c r="AK460" s="152" t="s">
        <v>912</v>
      </c>
      <c r="AL460" s="159" t="s">
        <v>856</v>
      </c>
      <c r="AP460" s="159" t="s">
        <v>856</v>
      </c>
      <c r="AQ460" s="159" t="s">
        <v>856</v>
      </c>
      <c r="AR460" s="159" t="s">
        <v>1034</v>
      </c>
      <c r="AS460" s="159" t="s">
        <v>865</v>
      </c>
      <c r="AT460" s="152" t="str">
        <f t="shared" si="33"/>
        <v>RPND11-350722</v>
      </c>
      <c r="AU460" s="152" t="str">
        <f t="shared" si="34"/>
        <v xml:space="preserve">DESARROLLOS HABITACIONALES DEL SUR OCCIDENTE </v>
      </c>
      <c r="AV460" s="159">
        <v>1581.68</v>
      </c>
      <c r="AW460" s="159">
        <v>902552</v>
      </c>
      <c r="AX460" s="159">
        <v>50</v>
      </c>
      <c r="AY460" s="159">
        <v>902555</v>
      </c>
      <c r="AZ460" s="152" t="s">
        <v>864</v>
      </c>
      <c r="BA460" s="152" t="str">
        <f t="shared" si="35"/>
        <v>L22-662-LG086</v>
      </c>
      <c r="BB460" s="152">
        <v>0</v>
      </c>
      <c r="BC460" s="157">
        <v>44837</v>
      </c>
      <c r="BD460" s="157">
        <v>44837</v>
      </c>
      <c r="BE460" s="158">
        <v>313825</v>
      </c>
      <c r="BF460" s="152" t="s">
        <v>3774</v>
      </c>
      <c r="BG460" s="159" t="s">
        <v>875</v>
      </c>
      <c r="BH460" s="152">
        <v>125.53</v>
      </c>
      <c r="BI460" s="152">
        <v>0</v>
      </c>
      <c r="BJ460" s="152">
        <v>0</v>
      </c>
      <c r="BK460" s="152" t="s">
        <v>132</v>
      </c>
      <c r="BL460" s="152">
        <v>125.53</v>
      </c>
      <c r="BM460" s="152">
        <v>902554</v>
      </c>
      <c r="BN460" s="157" t="s">
        <v>1453</v>
      </c>
    </row>
    <row r="461" spans="1:66">
      <c r="A461" s="152" t="s">
        <v>3775</v>
      </c>
      <c r="B461" s="152" t="s">
        <v>3776</v>
      </c>
      <c r="C461" s="152" t="s">
        <v>3853</v>
      </c>
      <c r="D461" s="152" t="s">
        <v>3777</v>
      </c>
      <c r="E461" s="152" t="s">
        <v>3850</v>
      </c>
      <c r="F461" s="152">
        <v>2633</v>
      </c>
      <c r="G461" s="152">
        <v>133</v>
      </c>
      <c r="H461" s="152" t="s">
        <v>3771</v>
      </c>
      <c r="I461" s="152">
        <v>200957</v>
      </c>
      <c r="J461" s="152">
        <v>81</v>
      </c>
      <c r="K461" s="152">
        <v>88053</v>
      </c>
      <c r="L461" s="159" t="s">
        <v>3772</v>
      </c>
      <c r="M461" s="152" t="s">
        <v>92</v>
      </c>
      <c r="N461" s="152" t="s">
        <v>883</v>
      </c>
      <c r="O461" s="159">
        <v>4293</v>
      </c>
      <c r="P461" s="159" t="s">
        <v>3772</v>
      </c>
      <c r="Q461" s="152" t="s">
        <v>92</v>
      </c>
      <c r="R461" s="152" t="s">
        <v>883</v>
      </c>
      <c r="S461" s="159">
        <v>4293</v>
      </c>
      <c r="T461" s="159" t="s">
        <v>856</v>
      </c>
      <c r="U461" s="159" t="s">
        <v>856</v>
      </c>
      <c r="V461" s="152" t="s">
        <v>3530</v>
      </c>
      <c r="W461" s="152" t="s">
        <v>858</v>
      </c>
      <c r="X461" s="152" t="s">
        <v>1083</v>
      </c>
      <c r="Y461" s="152">
        <v>0</v>
      </c>
      <c r="Z461" s="152">
        <v>1</v>
      </c>
      <c r="AA461" s="152" t="s">
        <v>92</v>
      </c>
      <c r="AB461" s="152">
        <v>105.77</v>
      </c>
      <c r="AC461" s="152">
        <v>2</v>
      </c>
      <c r="AD461" s="152" t="s">
        <v>861</v>
      </c>
      <c r="AE461" s="152">
        <v>105.77</v>
      </c>
      <c r="AF461" s="152">
        <v>0</v>
      </c>
      <c r="AG461" s="152" t="s">
        <v>861</v>
      </c>
      <c r="AH461" s="152" t="s">
        <v>861</v>
      </c>
      <c r="AI461" s="152" t="s">
        <v>92</v>
      </c>
      <c r="AJ461" s="152" t="s">
        <v>92</v>
      </c>
      <c r="AK461" s="152" t="s">
        <v>912</v>
      </c>
      <c r="AL461" s="159" t="s">
        <v>856</v>
      </c>
      <c r="AP461" s="159" t="s">
        <v>856</v>
      </c>
      <c r="AQ461" s="159" t="s">
        <v>856</v>
      </c>
      <c r="AR461" s="159" t="s">
        <v>1034</v>
      </c>
      <c r="AS461" s="159" t="s">
        <v>865</v>
      </c>
      <c r="AT461" s="152" t="str">
        <f t="shared" si="33"/>
        <v>RPND11-370722</v>
      </c>
      <c r="AU461" s="152" t="str">
        <f t="shared" si="34"/>
        <v>DES. HABITACIONALES DEL SUR OCCIDENTE, S.A.</v>
      </c>
      <c r="AV461" s="159">
        <v>1332.7</v>
      </c>
      <c r="AW461" s="159">
        <v>902544</v>
      </c>
      <c r="AX461" s="159">
        <v>50</v>
      </c>
      <c r="AY461" s="159">
        <v>902547</v>
      </c>
      <c r="AZ461" s="152" t="s">
        <v>864</v>
      </c>
      <c r="BA461" s="152" t="str">
        <f t="shared" si="35"/>
        <v>L22-664-LG088</v>
      </c>
      <c r="BB461" s="152">
        <v>0</v>
      </c>
      <c r="BC461" s="157">
        <v>44837</v>
      </c>
      <c r="BD461" s="157">
        <v>44837</v>
      </c>
      <c r="BE461" s="158">
        <v>264425</v>
      </c>
      <c r="BF461" s="152" t="s">
        <v>3778</v>
      </c>
      <c r="BG461" s="159" t="s">
        <v>3779</v>
      </c>
      <c r="BH461" s="152">
        <v>105.77</v>
      </c>
      <c r="BI461" s="152">
        <v>0</v>
      </c>
      <c r="BJ461" s="152">
        <v>0</v>
      </c>
      <c r="BK461" s="152" t="s">
        <v>132</v>
      </c>
      <c r="BL461" s="152">
        <v>105.77</v>
      </c>
      <c r="BM461" s="152">
        <v>902546</v>
      </c>
      <c r="BN461" s="157" t="s">
        <v>1453</v>
      </c>
    </row>
    <row r="462" spans="1:66">
      <c r="A462" s="152" t="s">
        <v>3780</v>
      </c>
      <c r="B462" s="152" t="s">
        <v>3781</v>
      </c>
      <c r="C462" s="152" t="s">
        <v>3782</v>
      </c>
      <c r="D462" s="152" t="s">
        <v>3783</v>
      </c>
      <c r="E462" s="152" t="s">
        <v>3783</v>
      </c>
      <c r="F462" s="152">
        <v>99400</v>
      </c>
      <c r="G462" s="152">
        <v>36</v>
      </c>
      <c r="H462" s="152">
        <v>395</v>
      </c>
      <c r="I462" s="152">
        <v>116133</v>
      </c>
      <c r="J462" s="152">
        <v>95.19</v>
      </c>
      <c r="K462" s="152">
        <v>12565</v>
      </c>
      <c r="L462" s="159" t="s">
        <v>1972</v>
      </c>
      <c r="M462" s="152" t="s">
        <v>92</v>
      </c>
      <c r="N462" s="152" t="s">
        <v>883</v>
      </c>
      <c r="O462" s="159">
        <v>6608</v>
      </c>
      <c r="P462" s="159" t="s">
        <v>1972</v>
      </c>
      <c r="Q462" s="152" t="s">
        <v>92</v>
      </c>
      <c r="R462" s="152" t="s">
        <v>883</v>
      </c>
      <c r="S462" s="159">
        <v>6608</v>
      </c>
      <c r="T462" s="159" t="s">
        <v>856</v>
      </c>
      <c r="U462" s="159" t="s">
        <v>856</v>
      </c>
      <c r="V462" s="152" t="s">
        <v>1550</v>
      </c>
      <c r="W462" s="152" t="s">
        <v>858</v>
      </c>
      <c r="X462" s="152" t="s">
        <v>1083</v>
      </c>
      <c r="Y462" s="152">
        <v>0</v>
      </c>
      <c r="Z462" s="152">
        <v>0</v>
      </c>
      <c r="AA462" s="152" t="s">
        <v>883</v>
      </c>
      <c r="AB462" s="152">
        <v>98.42</v>
      </c>
      <c r="AC462" s="152">
        <v>1</v>
      </c>
      <c r="AD462" s="152" t="s">
        <v>861</v>
      </c>
      <c r="AE462" s="152">
        <v>98.42</v>
      </c>
      <c r="AF462" s="152">
        <v>0</v>
      </c>
      <c r="AG462" s="152" t="s">
        <v>861</v>
      </c>
      <c r="AH462" s="152" t="s">
        <v>861</v>
      </c>
      <c r="AI462" s="152" t="s">
        <v>92</v>
      </c>
      <c r="AJ462" s="152" t="s">
        <v>92</v>
      </c>
      <c r="AK462" s="152" t="s">
        <v>862</v>
      </c>
      <c r="AL462" s="159" t="s">
        <v>856</v>
      </c>
      <c r="AP462" s="159" t="s">
        <v>856</v>
      </c>
      <c r="AQ462" s="159" t="s">
        <v>856</v>
      </c>
      <c r="AR462" s="159" t="s">
        <v>3784</v>
      </c>
      <c r="AS462" s="159" t="s">
        <v>865</v>
      </c>
      <c r="AT462" s="152" t="str">
        <f t="shared" si="33"/>
        <v>RPNH1-150522</v>
      </c>
      <c r="AU462" s="152" t="str">
        <f t="shared" si="34"/>
        <v xml:space="preserve">CESAR JOSUE HERNANDEZ ESCOBAR </v>
      </c>
      <c r="AV462" s="159">
        <v>289.60000000000002</v>
      </c>
      <c r="AW462" s="159">
        <v>791823</v>
      </c>
      <c r="AX462" s="159" t="s">
        <v>856</v>
      </c>
      <c r="AY462" s="159" t="s">
        <v>856</v>
      </c>
      <c r="AZ462" s="152" t="s">
        <v>864</v>
      </c>
      <c r="BA462" s="152" t="str">
        <f t="shared" si="35"/>
        <v>L22-461-MP009</v>
      </c>
      <c r="BB462" s="152">
        <v>0</v>
      </c>
      <c r="BC462" s="157">
        <v>44728</v>
      </c>
      <c r="BD462" s="157">
        <v>44728</v>
      </c>
      <c r="BE462" s="158">
        <v>57460</v>
      </c>
      <c r="BF462" s="152" t="s">
        <v>3785</v>
      </c>
      <c r="BG462" s="159" t="s">
        <v>3786</v>
      </c>
      <c r="BH462" s="152">
        <v>98.42</v>
      </c>
      <c r="BI462" s="152">
        <v>0</v>
      </c>
      <c r="BJ462" s="152">
        <v>0</v>
      </c>
      <c r="BK462" s="152" t="s">
        <v>132</v>
      </c>
      <c r="BL462" s="152">
        <v>28.73</v>
      </c>
      <c r="BM462" s="152">
        <v>791824</v>
      </c>
      <c r="BN462" s="157" t="s">
        <v>1453</v>
      </c>
    </row>
    <row r="463" spans="1:66">
      <c r="A463" s="152" t="s">
        <v>3787</v>
      </c>
      <c r="B463" s="152" t="s">
        <v>3788</v>
      </c>
      <c r="C463" s="152" t="s">
        <v>3854</v>
      </c>
      <c r="D463" s="152" t="s">
        <v>3789</v>
      </c>
      <c r="E463" s="152" t="s">
        <v>3851</v>
      </c>
      <c r="F463" s="152">
        <v>230774</v>
      </c>
      <c r="G463" s="152">
        <v>165</v>
      </c>
      <c r="H463" s="152">
        <v>487</v>
      </c>
      <c r="I463" s="152">
        <v>199680</v>
      </c>
      <c r="J463" s="152">
        <v>144</v>
      </c>
      <c r="K463" s="152">
        <v>87063</v>
      </c>
      <c r="L463" s="159" t="s">
        <v>2648</v>
      </c>
      <c r="M463" s="152" t="s">
        <v>883</v>
      </c>
      <c r="N463" s="152" t="s">
        <v>92</v>
      </c>
      <c r="O463" s="159">
        <v>6669</v>
      </c>
      <c r="P463" s="159" t="s">
        <v>2648</v>
      </c>
      <c r="Q463" s="152" t="s">
        <v>883</v>
      </c>
      <c r="R463" s="152" t="s">
        <v>92</v>
      </c>
      <c r="S463" s="159">
        <v>6669</v>
      </c>
      <c r="T463" s="159" t="s">
        <v>856</v>
      </c>
      <c r="U463" s="159" t="s">
        <v>856</v>
      </c>
      <c r="V463" s="152" t="s">
        <v>857</v>
      </c>
      <c r="W463" s="152" t="s">
        <v>858</v>
      </c>
      <c r="X463" s="152" t="s">
        <v>1083</v>
      </c>
      <c r="Y463" s="152">
        <v>41.76</v>
      </c>
      <c r="Z463" s="152">
        <v>1</v>
      </c>
      <c r="AA463" s="152" t="s">
        <v>92</v>
      </c>
      <c r="AB463" s="152">
        <v>115.42</v>
      </c>
      <c r="AC463" s="152">
        <v>1</v>
      </c>
      <c r="AD463" s="152" t="s">
        <v>861</v>
      </c>
      <c r="AE463" s="152">
        <v>115.42</v>
      </c>
      <c r="AF463" s="152">
        <v>0</v>
      </c>
      <c r="AG463" s="152">
        <v>28.58</v>
      </c>
      <c r="AH463" s="152" t="s">
        <v>861</v>
      </c>
      <c r="AI463" s="152" t="s">
        <v>92</v>
      </c>
      <c r="AJ463" s="152" t="s">
        <v>92</v>
      </c>
      <c r="AK463" s="152" t="s">
        <v>884</v>
      </c>
      <c r="AL463" s="159" t="s">
        <v>856</v>
      </c>
      <c r="AP463" s="159" t="s">
        <v>856</v>
      </c>
      <c r="AQ463" s="159" t="s">
        <v>856</v>
      </c>
      <c r="AR463" s="159" t="s">
        <v>3790</v>
      </c>
      <c r="AS463" s="159" t="s">
        <v>865</v>
      </c>
      <c r="AT463" s="152" t="str">
        <f t="shared" si="33"/>
        <v>RPNJ8-190522</v>
      </c>
      <c r="AU463" s="152" t="str">
        <f t="shared" si="34"/>
        <v xml:space="preserve">BASILIA JIMENEZ PABLO Y CONDUEÑO </v>
      </c>
      <c r="AV463" s="159">
        <v>1343.26</v>
      </c>
      <c r="AW463" s="159">
        <v>804005</v>
      </c>
      <c r="AX463" s="159">
        <v>45</v>
      </c>
      <c r="AY463" s="159">
        <v>804007</v>
      </c>
      <c r="AZ463" s="152" t="s">
        <v>864</v>
      </c>
      <c r="BA463" s="152" t="str">
        <f t="shared" si="35"/>
        <v>L22-531-NR053</v>
      </c>
      <c r="BB463" s="152">
        <v>0</v>
      </c>
      <c r="BC463" s="157">
        <v>44719</v>
      </c>
      <c r="BD463" s="157">
        <v>44719</v>
      </c>
      <c r="BE463" s="158">
        <v>248722</v>
      </c>
      <c r="BF463" s="152" t="s">
        <v>3791</v>
      </c>
      <c r="BG463" s="159" t="s">
        <v>894</v>
      </c>
      <c r="BH463" s="152">
        <v>115.42</v>
      </c>
      <c r="BI463" s="152">
        <v>0</v>
      </c>
      <c r="BJ463" s="152">
        <v>0</v>
      </c>
      <c r="BK463" s="152" t="s">
        <v>132</v>
      </c>
      <c r="BL463" s="152">
        <v>115.42</v>
      </c>
      <c r="BM463" s="152">
        <v>804006</v>
      </c>
      <c r="BN463" s="157" t="s">
        <v>1453</v>
      </c>
    </row>
    <row r="464" spans="1:66">
      <c r="A464" s="152" t="s">
        <v>3792</v>
      </c>
      <c r="B464" s="152" t="s">
        <v>3793</v>
      </c>
      <c r="C464" s="152" t="s">
        <v>3855</v>
      </c>
      <c r="D464" s="152" t="s">
        <v>3794</v>
      </c>
      <c r="E464" s="152" t="s">
        <v>3856</v>
      </c>
      <c r="F464" s="152">
        <v>5611</v>
      </c>
      <c r="G464" s="152">
        <v>111</v>
      </c>
      <c r="H464" s="152" t="s">
        <v>1686</v>
      </c>
      <c r="I464" s="152">
        <v>198388</v>
      </c>
      <c r="J464" s="152">
        <v>133.94</v>
      </c>
      <c r="K464" s="152">
        <v>85942</v>
      </c>
      <c r="L464" s="159" t="s">
        <v>3022</v>
      </c>
      <c r="M464" s="152" t="s">
        <v>92</v>
      </c>
      <c r="N464" s="152" t="s">
        <v>883</v>
      </c>
      <c r="O464" s="159">
        <v>4320</v>
      </c>
      <c r="P464" s="159" t="s">
        <v>1732</v>
      </c>
      <c r="Q464" s="152" t="s">
        <v>92</v>
      </c>
      <c r="R464" s="152" t="s">
        <v>883</v>
      </c>
      <c r="S464" s="159">
        <v>4320</v>
      </c>
      <c r="T464" s="159" t="s">
        <v>856</v>
      </c>
      <c r="U464" s="159" t="s">
        <v>856</v>
      </c>
      <c r="V464" s="152" t="s">
        <v>1550</v>
      </c>
      <c r="W464" s="152" t="s">
        <v>858</v>
      </c>
      <c r="X464" s="152" t="s">
        <v>1083</v>
      </c>
      <c r="Y464" s="152">
        <v>0</v>
      </c>
      <c r="Z464" s="152">
        <v>0</v>
      </c>
      <c r="AA464" s="152" t="s">
        <v>92</v>
      </c>
      <c r="AB464" s="152">
        <v>75.31</v>
      </c>
      <c r="AC464" s="152">
        <v>2</v>
      </c>
      <c r="AD464" s="152" t="s">
        <v>861</v>
      </c>
      <c r="AE464" s="152">
        <v>75.31</v>
      </c>
      <c r="AF464" s="152">
        <v>0</v>
      </c>
      <c r="AG464" s="152" t="s">
        <v>861</v>
      </c>
      <c r="AH464" s="152" t="s">
        <v>861</v>
      </c>
      <c r="AI464" s="152" t="s">
        <v>92</v>
      </c>
      <c r="AJ464" s="152" t="s">
        <v>92</v>
      </c>
      <c r="AK464" s="152" t="s">
        <v>884</v>
      </c>
      <c r="AL464" s="159" t="s">
        <v>856</v>
      </c>
      <c r="AP464" s="159" t="s">
        <v>856</v>
      </c>
      <c r="AQ464" s="159" t="s">
        <v>856</v>
      </c>
      <c r="AR464" s="159" t="s">
        <v>1953</v>
      </c>
      <c r="AS464" s="159" t="s">
        <v>865</v>
      </c>
      <c r="AT464" s="152" t="str">
        <f t="shared" si="33"/>
        <v>RPNC7-080422</v>
      </c>
      <c r="AU464" s="152" t="str">
        <f t="shared" si="34"/>
        <v>MATILDA ABAC AJIATAZ DE CUTZ</v>
      </c>
      <c r="AV464" s="159">
        <v>948.91</v>
      </c>
      <c r="AW464" s="159">
        <v>804280</v>
      </c>
      <c r="AX464" s="159" t="s">
        <v>856</v>
      </c>
      <c r="AY464" s="159" t="s">
        <v>856</v>
      </c>
      <c r="AZ464" s="152" t="s">
        <v>864</v>
      </c>
      <c r="BA464" s="152" t="str">
        <f t="shared" si="35"/>
        <v>L22-446-SP061</v>
      </c>
      <c r="BB464" s="152">
        <v>0</v>
      </c>
      <c r="BC464" s="157">
        <v>44720</v>
      </c>
      <c r="BD464" s="157">
        <v>44720</v>
      </c>
      <c r="BE464" s="158">
        <v>188275</v>
      </c>
      <c r="BF464" s="152" t="s">
        <v>3795</v>
      </c>
      <c r="BG464" s="159" t="s">
        <v>894</v>
      </c>
      <c r="BH464" s="152">
        <v>75.31</v>
      </c>
      <c r="BI464" s="152">
        <v>0</v>
      </c>
      <c r="BJ464" s="152">
        <v>0</v>
      </c>
      <c r="BK464" s="152" t="s">
        <v>132</v>
      </c>
      <c r="BL464" s="152">
        <v>75.31</v>
      </c>
      <c r="BM464" s="152">
        <v>804281</v>
      </c>
      <c r="BN464" s="157" t="s">
        <v>1453</v>
      </c>
    </row>
    <row r="465" spans="1:66">
      <c r="A465" s="152" t="s">
        <v>3796</v>
      </c>
      <c r="B465" s="152" t="s">
        <v>3797</v>
      </c>
      <c r="C465" s="152" t="s">
        <v>3798</v>
      </c>
      <c r="D465" s="152" t="s">
        <v>3799</v>
      </c>
      <c r="E465" s="152" t="s">
        <v>3799</v>
      </c>
      <c r="F465" s="152">
        <v>281777</v>
      </c>
      <c r="G465" s="152">
        <v>218</v>
      </c>
      <c r="H465" s="152">
        <v>655</v>
      </c>
      <c r="I465" s="152">
        <v>16737</v>
      </c>
      <c r="J465" s="152">
        <v>358.3</v>
      </c>
      <c r="K465" s="152">
        <v>57188</v>
      </c>
      <c r="L465" s="159" t="s">
        <v>3800</v>
      </c>
      <c r="M465" s="152" t="s">
        <v>883</v>
      </c>
      <c r="N465" s="152" t="s">
        <v>92</v>
      </c>
      <c r="O465" s="159">
        <v>8185</v>
      </c>
      <c r="P465" s="159" t="s">
        <v>3800</v>
      </c>
      <c r="Q465" s="152" t="s">
        <v>883</v>
      </c>
      <c r="R465" s="152" t="s">
        <v>92</v>
      </c>
      <c r="S465" s="159">
        <v>8185</v>
      </c>
      <c r="T465" s="159" t="s">
        <v>3857</v>
      </c>
      <c r="U465" s="162">
        <v>1946733830901</v>
      </c>
      <c r="V465" s="152" t="s">
        <v>857</v>
      </c>
      <c r="W465" s="152" t="s">
        <v>858</v>
      </c>
      <c r="X465" s="152" t="s">
        <v>1083</v>
      </c>
      <c r="Y465" s="152">
        <v>0</v>
      </c>
      <c r="Z465" s="152">
        <v>1</v>
      </c>
      <c r="AA465" s="152" t="s">
        <v>883</v>
      </c>
      <c r="AB465" s="152">
        <v>244.41</v>
      </c>
      <c r="AC465" s="152">
        <v>2</v>
      </c>
      <c r="AD465" s="152" t="s">
        <v>861</v>
      </c>
      <c r="AE465" s="152">
        <v>244.41</v>
      </c>
      <c r="AF465" s="152">
        <v>0</v>
      </c>
      <c r="AG465" s="152">
        <v>81.2</v>
      </c>
      <c r="AH465" s="152" t="s">
        <v>861</v>
      </c>
      <c r="AI465" s="152" t="s">
        <v>92</v>
      </c>
      <c r="AJ465" s="152" t="s">
        <v>92</v>
      </c>
      <c r="AK465" s="152" t="s">
        <v>884</v>
      </c>
      <c r="AL465" s="159" t="s">
        <v>856</v>
      </c>
      <c r="AP465" s="159" t="s">
        <v>856</v>
      </c>
      <c r="AQ465" s="159" t="s">
        <v>856</v>
      </c>
      <c r="AR465" s="159" t="s">
        <v>1953</v>
      </c>
      <c r="AS465" s="159" t="s">
        <v>865</v>
      </c>
      <c r="AT465" s="152" t="str">
        <f t="shared" ref="AT465:AT567" si="36">B465</f>
        <v>RPNA7-100522</v>
      </c>
      <c r="AU465" s="152" t="str">
        <f t="shared" ref="AU465:AU652" si="37">C465</f>
        <v>ANA MARIA AGUSTIN</v>
      </c>
      <c r="AV465" s="159">
        <v>3079.57</v>
      </c>
      <c r="AW465" s="159">
        <v>792231</v>
      </c>
      <c r="AX465" s="159">
        <v>113</v>
      </c>
      <c r="AY465" s="159">
        <v>792232</v>
      </c>
      <c r="AZ465" s="152" t="s">
        <v>864</v>
      </c>
      <c r="BA465" s="152" t="str">
        <f t="shared" ref="BA465:BA669" si="38">A465</f>
        <v>L22-477-NR073</v>
      </c>
      <c r="BB465" s="152">
        <v>0</v>
      </c>
      <c r="BC465" s="157">
        <v>44733</v>
      </c>
      <c r="BD465" s="157">
        <v>44733</v>
      </c>
      <c r="BE465" s="158">
        <v>611025</v>
      </c>
      <c r="BF465" s="159"/>
      <c r="BG465" s="159" t="s">
        <v>2033</v>
      </c>
      <c r="BH465" s="159"/>
      <c r="BI465" s="152">
        <v>0</v>
      </c>
      <c r="BJ465" s="152">
        <v>0</v>
      </c>
      <c r="BK465" s="152" t="s">
        <v>132</v>
      </c>
      <c r="BL465" s="159"/>
      <c r="BM465" s="159"/>
      <c r="BN465" s="157" t="s">
        <v>1453</v>
      </c>
    </row>
    <row r="466" spans="1:66">
      <c r="A466" s="152" t="s">
        <v>3801</v>
      </c>
      <c r="B466" s="152" t="s">
        <v>3802</v>
      </c>
      <c r="C466" s="152" t="s">
        <v>3803</v>
      </c>
      <c r="D466" s="152" t="s">
        <v>3804</v>
      </c>
      <c r="E466" s="152" t="s">
        <v>3804</v>
      </c>
      <c r="F466" s="152">
        <v>9629</v>
      </c>
      <c r="G466" s="152">
        <v>129</v>
      </c>
      <c r="H466" s="152" t="s">
        <v>3805</v>
      </c>
      <c r="I466" s="152">
        <v>202492</v>
      </c>
      <c r="J466" s="152">
        <v>172.15</v>
      </c>
      <c r="K466" s="152">
        <v>89304</v>
      </c>
      <c r="L466" s="159" t="s">
        <v>856</v>
      </c>
      <c r="M466" s="152" t="s">
        <v>92</v>
      </c>
      <c r="N466" s="152" t="s">
        <v>92</v>
      </c>
      <c r="O466" s="159" t="s">
        <v>856</v>
      </c>
      <c r="P466" s="159" t="s">
        <v>856</v>
      </c>
      <c r="Q466" s="152" t="s">
        <v>92</v>
      </c>
      <c r="R466" s="152" t="s">
        <v>92</v>
      </c>
      <c r="S466" s="159" t="s">
        <v>856</v>
      </c>
      <c r="T466" s="159" t="s">
        <v>856</v>
      </c>
      <c r="U466" s="159" t="s">
        <v>856</v>
      </c>
      <c r="V466" s="152" t="s">
        <v>857</v>
      </c>
      <c r="W466" s="152" t="s">
        <v>858</v>
      </c>
      <c r="X466" s="152" t="s">
        <v>1083</v>
      </c>
      <c r="Y466" s="152">
        <v>16.7</v>
      </c>
      <c r="Z466" s="152">
        <v>1</v>
      </c>
      <c r="AA466" s="152" t="s">
        <v>883</v>
      </c>
      <c r="AB466" s="152">
        <v>169.65</v>
      </c>
      <c r="AC466" s="152">
        <v>1</v>
      </c>
      <c r="AD466" s="152" t="s">
        <v>861</v>
      </c>
      <c r="AE466" s="152">
        <v>169.65</v>
      </c>
      <c r="AF466" s="152">
        <v>0</v>
      </c>
      <c r="AG466" s="152" t="s">
        <v>861</v>
      </c>
      <c r="AH466" s="152" t="s">
        <v>861</v>
      </c>
      <c r="AI466" s="152" t="s">
        <v>92</v>
      </c>
      <c r="AJ466" s="152" t="s">
        <v>92</v>
      </c>
      <c r="AK466" s="152" t="s">
        <v>972</v>
      </c>
      <c r="AL466" s="159" t="s">
        <v>856</v>
      </c>
      <c r="AP466" s="159" t="s">
        <v>856</v>
      </c>
      <c r="AQ466" s="159" t="s">
        <v>856</v>
      </c>
      <c r="AR466" s="159" t="s">
        <v>1953</v>
      </c>
      <c r="AS466" s="159" t="s">
        <v>865</v>
      </c>
      <c r="AT466" s="152" t="str">
        <f t="shared" si="36"/>
        <v>RPNM5-240522</v>
      </c>
      <c r="AU466" s="152" t="str">
        <f t="shared" si="37"/>
        <v>MIGUEL DE JESUS MISELEM VELASQUEZ</v>
      </c>
      <c r="AV466" s="159">
        <v>2170.3200000000002</v>
      </c>
      <c r="AW466" s="159">
        <v>792228</v>
      </c>
      <c r="AX466" s="159">
        <v>51.65</v>
      </c>
      <c r="AY466" s="159">
        <v>792230</v>
      </c>
      <c r="AZ466" s="152" t="s">
        <v>864</v>
      </c>
      <c r="BA466" s="152" t="str">
        <f t="shared" si="38"/>
        <v>L22-466-SP113</v>
      </c>
      <c r="BB466" s="152">
        <v>0</v>
      </c>
      <c r="BC466" s="157">
        <v>44732</v>
      </c>
      <c r="BD466" s="157">
        <v>44732</v>
      </c>
      <c r="BE466" s="158">
        <v>429970</v>
      </c>
      <c r="BF466" s="152" t="s">
        <v>3806</v>
      </c>
      <c r="BG466" s="159" t="s">
        <v>894</v>
      </c>
      <c r="BH466" s="152">
        <v>169.65</v>
      </c>
      <c r="BI466" s="152">
        <v>0</v>
      </c>
      <c r="BJ466" s="152">
        <v>0</v>
      </c>
      <c r="BK466" s="152" t="s">
        <v>132</v>
      </c>
      <c r="BL466" s="152">
        <v>169.65</v>
      </c>
      <c r="BM466" s="152">
        <v>792229</v>
      </c>
      <c r="BN466" s="157" t="s">
        <v>1453</v>
      </c>
    </row>
    <row r="467" spans="1:66">
      <c r="A467" s="152" t="s">
        <v>3807</v>
      </c>
      <c r="B467" s="152" t="s">
        <v>3808</v>
      </c>
      <c r="C467" s="152" t="s">
        <v>3809</v>
      </c>
      <c r="D467" s="152" t="s">
        <v>3810</v>
      </c>
      <c r="E467" s="152" t="s">
        <v>3810</v>
      </c>
      <c r="F467" s="152">
        <v>8257</v>
      </c>
      <c r="G467" s="152">
        <v>257</v>
      </c>
      <c r="H467" s="152" t="s">
        <v>3811</v>
      </c>
      <c r="I467" s="152">
        <v>203235</v>
      </c>
      <c r="J467" s="152">
        <v>177.32</v>
      </c>
      <c r="K467" s="152">
        <v>89918</v>
      </c>
      <c r="L467" s="159" t="s">
        <v>856</v>
      </c>
      <c r="M467" s="152" t="s">
        <v>92</v>
      </c>
      <c r="N467" s="152" t="s">
        <v>92</v>
      </c>
      <c r="O467" s="159" t="s">
        <v>856</v>
      </c>
      <c r="P467" s="159" t="s">
        <v>856</v>
      </c>
      <c r="Q467" s="152" t="s">
        <v>92</v>
      </c>
      <c r="R467" s="152" t="s">
        <v>92</v>
      </c>
      <c r="S467" s="159" t="s">
        <v>856</v>
      </c>
      <c r="T467" s="159" t="s">
        <v>856</v>
      </c>
      <c r="U467" s="159" t="s">
        <v>856</v>
      </c>
      <c r="V467" s="152" t="s">
        <v>3858</v>
      </c>
      <c r="W467" s="152" t="s">
        <v>858</v>
      </c>
      <c r="X467" s="152" t="s">
        <v>1083</v>
      </c>
      <c r="Y467" s="152">
        <v>67.2</v>
      </c>
      <c r="Z467" s="152">
        <v>1</v>
      </c>
      <c r="AA467" s="152" t="s">
        <v>92</v>
      </c>
      <c r="AB467" s="152">
        <v>35.299999999999997</v>
      </c>
      <c r="AC467" s="152">
        <v>1</v>
      </c>
      <c r="AD467" s="152" t="s">
        <v>861</v>
      </c>
      <c r="AE467" s="152">
        <v>35.299999999999997</v>
      </c>
      <c r="AF467" s="152">
        <v>0</v>
      </c>
      <c r="AG467" s="152" t="s">
        <v>861</v>
      </c>
      <c r="AH467" s="152" t="s">
        <v>861</v>
      </c>
      <c r="AI467" s="152" t="s">
        <v>92</v>
      </c>
      <c r="AJ467" s="152" t="s">
        <v>92</v>
      </c>
      <c r="AK467" s="152" t="s">
        <v>862</v>
      </c>
      <c r="AL467" s="159" t="s">
        <v>856</v>
      </c>
      <c r="AP467" s="159" t="s">
        <v>856</v>
      </c>
      <c r="AQ467" s="159" t="s">
        <v>856</v>
      </c>
      <c r="AR467" s="159" t="s">
        <v>1953</v>
      </c>
      <c r="AS467" s="159" t="s">
        <v>865</v>
      </c>
      <c r="AT467" s="152" t="str">
        <f t="shared" si="36"/>
        <v>RPNM10-240522</v>
      </c>
      <c r="AU467" s="152" t="str">
        <f t="shared" si="37"/>
        <v>LIDIA GLORIA MARIN PEREZ</v>
      </c>
      <c r="AV467" s="159">
        <v>469.73</v>
      </c>
      <c r="AW467" s="159">
        <v>885109</v>
      </c>
      <c r="AX467" s="159">
        <v>45.75</v>
      </c>
      <c r="AY467" s="159">
        <v>885110</v>
      </c>
      <c r="AZ467" s="152" t="s">
        <v>864</v>
      </c>
      <c r="BA467" s="152" t="str">
        <f t="shared" si="38"/>
        <v>L22-482-NR215</v>
      </c>
      <c r="BB467" s="152">
        <v>0</v>
      </c>
      <c r="BC467" s="157">
        <v>44736</v>
      </c>
      <c r="BD467" s="157">
        <v>44736</v>
      </c>
      <c r="BE467" s="158">
        <v>79830</v>
      </c>
      <c r="BF467" s="159"/>
      <c r="BG467" s="159" t="s">
        <v>2033</v>
      </c>
      <c r="BI467" s="152">
        <v>0</v>
      </c>
      <c r="BJ467" s="152">
        <v>0</v>
      </c>
      <c r="BK467" s="152" t="s">
        <v>132</v>
      </c>
      <c r="BN467" s="157" t="s">
        <v>1453</v>
      </c>
    </row>
    <row r="468" spans="1:66">
      <c r="A468" s="152" t="s">
        <v>3812</v>
      </c>
      <c r="B468" s="152" t="s">
        <v>3813</v>
      </c>
      <c r="C468" s="152" t="s">
        <v>3814</v>
      </c>
      <c r="D468" s="152" t="s">
        <v>3815</v>
      </c>
      <c r="E468" s="152" t="s">
        <v>3815</v>
      </c>
      <c r="F468" s="152">
        <v>3368</v>
      </c>
      <c r="G468" s="152">
        <v>368</v>
      </c>
      <c r="H468" s="152" t="s">
        <v>3816</v>
      </c>
      <c r="I468" s="152">
        <v>202549</v>
      </c>
      <c r="J468" s="152">
        <v>174.3</v>
      </c>
      <c r="K468" s="152">
        <v>89353</v>
      </c>
      <c r="L468" s="159" t="s">
        <v>856</v>
      </c>
      <c r="M468" s="152" t="s">
        <v>92</v>
      </c>
      <c r="N468" s="152" t="s">
        <v>92</v>
      </c>
      <c r="O468" s="159" t="s">
        <v>856</v>
      </c>
      <c r="P468" s="159" t="s">
        <v>856</v>
      </c>
      <c r="Q468" s="152" t="s">
        <v>92</v>
      </c>
      <c r="R468" s="152" t="s">
        <v>92</v>
      </c>
      <c r="S468" s="159" t="s">
        <v>856</v>
      </c>
      <c r="T468" s="159" t="s">
        <v>856</v>
      </c>
      <c r="U468" s="159" t="s">
        <v>856</v>
      </c>
      <c r="V468" s="152" t="s">
        <v>857</v>
      </c>
      <c r="W468" s="152" t="s">
        <v>858</v>
      </c>
      <c r="X468" s="152" t="s">
        <v>1083</v>
      </c>
      <c r="Y468" s="152">
        <v>0</v>
      </c>
      <c r="Z468" s="152">
        <v>1</v>
      </c>
      <c r="AA468" s="152" t="s">
        <v>92</v>
      </c>
      <c r="AB468" s="152">
        <v>159.19</v>
      </c>
      <c r="AC468" s="152">
        <v>2</v>
      </c>
      <c r="AD468" s="152" t="s">
        <v>861</v>
      </c>
      <c r="AE468" s="152">
        <v>159.19</v>
      </c>
      <c r="AF468" s="152">
        <v>0</v>
      </c>
      <c r="AG468" s="152" t="s">
        <v>861</v>
      </c>
      <c r="AH468" s="152" t="s">
        <v>861</v>
      </c>
      <c r="AI468" s="152" t="s">
        <v>92</v>
      </c>
      <c r="AJ468" s="152" t="s">
        <v>92</v>
      </c>
      <c r="AK468" s="152" t="s">
        <v>972</v>
      </c>
      <c r="AL468" s="159" t="s">
        <v>856</v>
      </c>
      <c r="AP468" s="159" t="s">
        <v>856</v>
      </c>
      <c r="AQ468" s="159" t="s">
        <v>856</v>
      </c>
      <c r="AR468" s="159" t="s">
        <v>1953</v>
      </c>
      <c r="AS468" s="159" t="s">
        <v>865</v>
      </c>
      <c r="AT468" s="152" t="str">
        <f t="shared" si="36"/>
        <v>RPNV5-250522</v>
      </c>
      <c r="AU468" s="152" t="str">
        <f t="shared" si="37"/>
        <v>JUAN PABLO VILLAGRAN CIFUENTES</v>
      </c>
      <c r="AV468" s="159">
        <v>2005.79</v>
      </c>
      <c r="AW468" s="159">
        <v>885563</v>
      </c>
      <c r="AX468" s="159">
        <v>93.6</v>
      </c>
      <c r="AY468" s="159">
        <v>885565</v>
      </c>
      <c r="AZ468" s="152" t="s">
        <v>864</v>
      </c>
      <c r="BA468" s="152" t="str">
        <f t="shared" si="38"/>
        <v>L22-479-SP133</v>
      </c>
      <c r="BB468" s="152">
        <v>0</v>
      </c>
      <c r="BC468" s="157">
        <v>44734</v>
      </c>
      <c r="BD468" s="157">
        <v>44703</v>
      </c>
      <c r="BE468" s="158">
        <v>397975</v>
      </c>
      <c r="BF468" s="152" t="s">
        <v>3817</v>
      </c>
      <c r="BG468" s="159" t="s">
        <v>894</v>
      </c>
      <c r="BH468" s="152">
        <v>159.19</v>
      </c>
      <c r="BI468" s="152">
        <v>0</v>
      </c>
      <c r="BJ468" s="152">
        <v>0</v>
      </c>
      <c r="BK468" s="152" t="s">
        <v>132</v>
      </c>
      <c r="BL468" s="152">
        <v>159.19</v>
      </c>
      <c r="BM468" s="152">
        <v>885564</v>
      </c>
      <c r="BN468" s="157" t="s">
        <v>1453</v>
      </c>
    </row>
    <row r="469" spans="1:66">
      <c r="A469" s="152" t="s">
        <v>3859</v>
      </c>
      <c r="B469" s="152" t="s">
        <v>3818</v>
      </c>
      <c r="C469" s="152" t="s">
        <v>3848</v>
      </c>
      <c r="D469" s="152" t="s">
        <v>3819</v>
      </c>
      <c r="E469" s="152" t="s">
        <v>3820</v>
      </c>
      <c r="F469" s="152">
        <v>219108</v>
      </c>
      <c r="G469" s="152">
        <v>250</v>
      </c>
      <c r="H469" s="152">
        <v>447</v>
      </c>
      <c r="I469" s="152">
        <v>16264</v>
      </c>
      <c r="J469" s="152">
        <v>2221.4699999999998</v>
      </c>
      <c r="K469" s="152">
        <v>55417</v>
      </c>
      <c r="L469" s="159" t="s">
        <v>856</v>
      </c>
      <c r="M469" s="152" t="s">
        <v>92</v>
      </c>
      <c r="N469" s="152" t="s">
        <v>92</v>
      </c>
      <c r="O469" s="159" t="s">
        <v>856</v>
      </c>
      <c r="P469" s="159" t="s">
        <v>856</v>
      </c>
      <c r="Q469" s="152" t="s">
        <v>92</v>
      </c>
      <c r="R469" s="152" t="s">
        <v>92</v>
      </c>
      <c r="S469" s="159" t="s">
        <v>856</v>
      </c>
      <c r="T469" s="159" t="s">
        <v>856</v>
      </c>
      <c r="U469" s="159" t="s">
        <v>856</v>
      </c>
      <c r="V469" s="152" t="s">
        <v>3530</v>
      </c>
      <c r="W469" s="152" t="s">
        <v>858</v>
      </c>
      <c r="X469" s="152" t="s">
        <v>1083</v>
      </c>
      <c r="Y469" s="152">
        <v>0</v>
      </c>
      <c r="Z469" s="152">
        <v>1</v>
      </c>
      <c r="AA469" s="152" t="s">
        <v>92</v>
      </c>
      <c r="AB469" s="152">
        <v>90.05</v>
      </c>
      <c r="AC469" s="152">
        <v>1</v>
      </c>
      <c r="AD469" s="152" t="s">
        <v>861</v>
      </c>
      <c r="AE469" s="152">
        <v>90.05</v>
      </c>
      <c r="AF469" s="152">
        <v>0</v>
      </c>
      <c r="AG469" s="152" t="s">
        <v>861</v>
      </c>
      <c r="AH469" s="152" t="s">
        <v>861</v>
      </c>
      <c r="AI469" s="152" t="s">
        <v>92</v>
      </c>
      <c r="AJ469" s="152" t="s">
        <v>92</v>
      </c>
      <c r="AK469" s="152" t="s">
        <v>912</v>
      </c>
      <c r="AL469" s="159" t="s">
        <v>856</v>
      </c>
      <c r="AP469" s="159" t="s">
        <v>856</v>
      </c>
      <c r="AQ469" s="159" t="s">
        <v>856</v>
      </c>
      <c r="AR469" s="159" t="s">
        <v>3821</v>
      </c>
      <c r="AS469" s="159" t="s">
        <v>865</v>
      </c>
      <c r="AT469" s="152" t="str">
        <f t="shared" si="36"/>
        <v>RPNT5-300522</v>
      </c>
      <c r="AU469" s="152" t="str">
        <f t="shared" si="37"/>
        <v>GABRIELA NATHALY MONTERROSO CANASTUJ Y CONDUEÑO</v>
      </c>
      <c r="AV469" s="159">
        <v>907.7</v>
      </c>
      <c r="AW469" s="159">
        <v>885358</v>
      </c>
      <c r="AX469" s="159" t="s">
        <v>856</v>
      </c>
      <c r="AY469" s="159" t="s">
        <v>856</v>
      </c>
      <c r="AZ469" s="152" t="s">
        <v>864</v>
      </c>
      <c r="BA469" s="152" t="str">
        <f t="shared" si="38"/>
        <v>L22-492-JM100</v>
      </c>
      <c r="BB469" s="152">
        <v>0</v>
      </c>
      <c r="BC469" s="157">
        <v>44742</v>
      </c>
      <c r="BD469" s="157">
        <v>44742</v>
      </c>
      <c r="BE469" s="158">
        <v>180100</v>
      </c>
      <c r="BF469" s="152" t="s">
        <v>3860</v>
      </c>
      <c r="BG469" s="159" t="s">
        <v>894</v>
      </c>
      <c r="BH469" s="152">
        <v>90.05</v>
      </c>
      <c r="BI469" s="152">
        <v>0</v>
      </c>
      <c r="BJ469" s="152">
        <v>0</v>
      </c>
      <c r="BK469" s="152" t="s">
        <v>132</v>
      </c>
      <c r="BL469" s="152">
        <v>90.05</v>
      </c>
      <c r="BM469" s="152">
        <v>885359</v>
      </c>
      <c r="BN469" s="157" t="s">
        <v>1453</v>
      </c>
    </row>
    <row r="470" spans="1:66">
      <c r="A470" s="152" t="s">
        <v>3822</v>
      </c>
      <c r="B470" s="152" t="s">
        <v>3823</v>
      </c>
      <c r="C470" s="152" t="s">
        <v>3824</v>
      </c>
      <c r="D470" s="152" t="s">
        <v>3825</v>
      </c>
      <c r="E470" s="152" t="s">
        <v>3825</v>
      </c>
      <c r="F470" s="152">
        <v>275764</v>
      </c>
      <c r="G470" s="152">
        <v>114</v>
      </c>
      <c r="H470" s="152">
        <v>637</v>
      </c>
      <c r="I470" s="152">
        <v>202734</v>
      </c>
      <c r="J470" s="152">
        <v>183.04</v>
      </c>
      <c r="K470" s="152">
        <v>89499</v>
      </c>
      <c r="L470" s="159" t="s">
        <v>856</v>
      </c>
      <c r="M470" s="152" t="s">
        <v>92</v>
      </c>
      <c r="N470" s="152" t="s">
        <v>92</v>
      </c>
      <c r="O470" s="159" t="s">
        <v>856</v>
      </c>
      <c r="P470" s="159" t="s">
        <v>856</v>
      </c>
      <c r="Q470" s="152" t="s">
        <v>92</v>
      </c>
      <c r="R470" s="152" t="s">
        <v>92</v>
      </c>
      <c r="S470" s="159" t="s">
        <v>856</v>
      </c>
      <c r="T470" s="159" t="s">
        <v>856</v>
      </c>
      <c r="U470" s="159" t="s">
        <v>856</v>
      </c>
      <c r="V470" s="152" t="s">
        <v>857</v>
      </c>
      <c r="W470" s="152" t="s">
        <v>858</v>
      </c>
      <c r="X470" s="152" t="s">
        <v>1083</v>
      </c>
      <c r="Y470" s="152">
        <v>64</v>
      </c>
      <c r="Z470" s="152">
        <v>1</v>
      </c>
      <c r="AA470" s="152" t="s">
        <v>883</v>
      </c>
      <c r="AB470" s="152">
        <v>304.98</v>
      </c>
      <c r="AC470" s="152">
        <v>2</v>
      </c>
      <c r="AD470" s="152" t="s">
        <v>861</v>
      </c>
      <c r="AE470" s="152">
        <v>304.98</v>
      </c>
      <c r="AF470" s="152">
        <v>0</v>
      </c>
      <c r="AG470" s="152" t="s">
        <v>861</v>
      </c>
      <c r="AH470" s="152" t="s">
        <v>861</v>
      </c>
      <c r="AI470" s="152" t="s">
        <v>92</v>
      </c>
      <c r="AJ470" s="152" t="s">
        <v>92</v>
      </c>
      <c r="AK470" s="152" t="s">
        <v>884</v>
      </c>
      <c r="AL470" s="159" t="s">
        <v>856</v>
      </c>
      <c r="AP470" s="159" t="s">
        <v>856</v>
      </c>
      <c r="AQ470" s="159" t="s">
        <v>856</v>
      </c>
      <c r="AR470" s="159" t="s">
        <v>1953</v>
      </c>
      <c r="AS470" s="159" t="s">
        <v>865</v>
      </c>
      <c r="AT470" s="152" t="str">
        <f t="shared" si="36"/>
        <v>RPNP8-230422</v>
      </c>
      <c r="AU470" s="152" t="str">
        <f t="shared" si="37"/>
        <v>ANA LETICIA PINEDA CISNEROS</v>
      </c>
      <c r="AV470" s="159">
        <v>3968.19</v>
      </c>
      <c r="AW470" s="159">
        <v>885099</v>
      </c>
      <c r="AX470" s="159">
        <v>40</v>
      </c>
      <c r="AY470" s="159">
        <v>885101</v>
      </c>
      <c r="AZ470" s="152" t="s">
        <v>864</v>
      </c>
      <c r="BA470" s="152" t="str">
        <f t="shared" si="38"/>
        <v>L22-481-SP174</v>
      </c>
      <c r="BB470" s="152">
        <v>0</v>
      </c>
      <c r="BC470" s="157">
        <v>44736</v>
      </c>
      <c r="BD470" s="157">
        <v>44736</v>
      </c>
      <c r="BE470" s="158">
        <v>784850</v>
      </c>
      <c r="BF470" s="152" t="s">
        <v>3826</v>
      </c>
      <c r="BG470" s="159" t="s">
        <v>894</v>
      </c>
      <c r="BH470" s="152">
        <v>304.98</v>
      </c>
      <c r="BI470" s="152">
        <v>0</v>
      </c>
      <c r="BJ470" s="152">
        <v>0</v>
      </c>
      <c r="BK470" s="152" t="s">
        <v>132</v>
      </c>
      <c r="BL470" s="152">
        <v>304.98</v>
      </c>
      <c r="BM470" s="152">
        <v>885100</v>
      </c>
      <c r="BN470" s="157" t="s">
        <v>1453</v>
      </c>
    </row>
    <row r="471" spans="1:66">
      <c r="A471" s="152" t="s">
        <v>3827</v>
      </c>
      <c r="B471" s="152" t="s">
        <v>3828</v>
      </c>
      <c r="C471" s="152" t="s">
        <v>3829</v>
      </c>
      <c r="D471" s="152" t="s">
        <v>3830</v>
      </c>
      <c r="E471" s="152" t="s">
        <v>1231</v>
      </c>
      <c r="F471" s="152">
        <v>2548</v>
      </c>
      <c r="G471" s="152">
        <v>48</v>
      </c>
      <c r="H471" s="152" t="s">
        <v>3831</v>
      </c>
      <c r="I471" s="152">
        <v>179723</v>
      </c>
      <c r="J471" s="152">
        <v>75</v>
      </c>
      <c r="K471" s="152">
        <v>72588</v>
      </c>
      <c r="L471" s="159" t="s">
        <v>3832</v>
      </c>
      <c r="M471" s="152" t="s">
        <v>883</v>
      </c>
      <c r="N471" s="152" t="s">
        <v>92</v>
      </c>
      <c r="O471" s="159">
        <v>9360</v>
      </c>
      <c r="P471" s="159" t="s">
        <v>3832</v>
      </c>
      <c r="Q471" s="152" t="s">
        <v>883</v>
      </c>
      <c r="R471" s="152" t="s">
        <v>92</v>
      </c>
      <c r="S471" s="159">
        <v>9360</v>
      </c>
      <c r="T471" s="159" t="s">
        <v>856</v>
      </c>
      <c r="U471" s="159" t="s">
        <v>856</v>
      </c>
      <c r="V471" s="152" t="s">
        <v>857</v>
      </c>
      <c r="W471" s="152" t="s">
        <v>858</v>
      </c>
      <c r="X471" s="152" t="s">
        <v>1083</v>
      </c>
      <c r="Y471" s="152">
        <v>0</v>
      </c>
      <c r="Z471" s="152">
        <v>1</v>
      </c>
      <c r="AA471" s="152" t="s">
        <v>883</v>
      </c>
      <c r="AB471" s="152">
        <v>144.08000000000001</v>
      </c>
      <c r="AC471" s="152">
        <v>2</v>
      </c>
      <c r="AD471" s="152" t="s">
        <v>861</v>
      </c>
      <c r="AE471" s="152">
        <v>144.08000000000001</v>
      </c>
      <c r="AF471" s="152">
        <v>0</v>
      </c>
      <c r="AG471" s="152" t="s">
        <v>861</v>
      </c>
      <c r="AH471" s="152" t="s">
        <v>861</v>
      </c>
      <c r="AI471" s="152" t="s">
        <v>92</v>
      </c>
      <c r="AJ471" s="152" t="s">
        <v>92</v>
      </c>
      <c r="AK471" s="152" t="s">
        <v>862</v>
      </c>
      <c r="AL471" s="159" t="s">
        <v>856</v>
      </c>
      <c r="AP471" s="159" t="s">
        <v>856</v>
      </c>
      <c r="AQ471" s="159" t="s">
        <v>856</v>
      </c>
      <c r="AR471" s="159" t="s">
        <v>1953</v>
      </c>
      <c r="AS471" s="159" t="s">
        <v>865</v>
      </c>
      <c r="AT471" s="152" t="str">
        <f t="shared" si="36"/>
        <v>RPNG1-170522</v>
      </c>
      <c r="AU471" s="152" t="str">
        <f t="shared" si="37"/>
        <v>JOSE OSCAR GONZALEZ JUCUP</v>
      </c>
      <c r="AV471" s="159">
        <v>1815.41</v>
      </c>
      <c r="AW471" s="159">
        <v>803549</v>
      </c>
      <c r="AX471" s="159">
        <v>32.75</v>
      </c>
      <c r="AY471" s="159">
        <v>803551</v>
      </c>
      <c r="AZ471" s="152" t="s">
        <v>864</v>
      </c>
      <c r="BA471" s="152" t="str">
        <f t="shared" si="38"/>
        <v>L22-438-SP067</v>
      </c>
      <c r="BB471" s="152">
        <v>0</v>
      </c>
      <c r="BC471" s="157">
        <v>44715</v>
      </c>
      <c r="BD471" s="157">
        <v>44715</v>
      </c>
      <c r="BE471" s="158">
        <v>360200</v>
      </c>
      <c r="BF471" s="152" t="s">
        <v>3833</v>
      </c>
      <c r="BG471" s="159" t="s">
        <v>894</v>
      </c>
      <c r="BH471" s="152">
        <v>144.08000000000001</v>
      </c>
      <c r="BI471" s="152">
        <v>0</v>
      </c>
      <c r="BJ471" s="152">
        <v>0</v>
      </c>
      <c r="BK471" s="152" t="s">
        <v>132</v>
      </c>
      <c r="BL471" s="152">
        <v>144.08000000000001</v>
      </c>
      <c r="BM471" s="152">
        <v>803550</v>
      </c>
      <c r="BN471" s="157" t="s">
        <v>1453</v>
      </c>
    </row>
    <row r="472" spans="1:66">
      <c r="A472" s="152" t="s">
        <v>3834</v>
      </c>
      <c r="B472" s="152" t="s">
        <v>3835</v>
      </c>
      <c r="C472" s="152" t="s">
        <v>3866</v>
      </c>
      <c r="D472" s="152" t="s">
        <v>3836</v>
      </c>
      <c r="E472" s="152" t="s">
        <v>3836</v>
      </c>
      <c r="F472" s="152">
        <v>243522</v>
      </c>
      <c r="G472" s="152">
        <v>52</v>
      </c>
      <c r="H472" s="152">
        <v>529</v>
      </c>
      <c r="I472" s="152">
        <v>143505</v>
      </c>
      <c r="J472" s="152">
        <v>218.5</v>
      </c>
      <c r="K472" s="152">
        <v>42911</v>
      </c>
      <c r="L472" s="159" t="s">
        <v>3837</v>
      </c>
      <c r="M472" s="152" t="s">
        <v>883</v>
      </c>
      <c r="N472" s="152" t="s">
        <v>92</v>
      </c>
      <c r="O472" s="159">
        <v>17794</v>
      </c>
      <c r="P472" s="159" t="s">
        <v>3837</v>
      </c>
      <c r="Q472" s="152" t="s">
        <v>883</v>
      </c>
      <c r="R472" s="152" t="s">
        <v>92</v>
      </c>
      <c r="S472" s="159">
        <v>17794</v>
      </c>
      <c r="T472" s="159" t="s">
        <v>856</v>
      </c>
      <c r="U472" s="159" t="s">
        <v>856</v>
      </c>
      <c r="V472" s="152" t="s">
        <v>3838</v>
      </c>
      <c r="W472" s="152" t="s">
        <v>858</v>
      </c>
      <c r="X472" s="152" t="s">
        <v>1083</v>
      </c>
      <c r="Y472" s="152">
        <v>136.6</v>
      </c>
      <c r="Z472" s="152">
        <v>4</v>
      </c>
      <c r="AA472" s="152" t="s">
        <v>92</v>
      </c>
      <c r="AB472" s="152">
        <v>259.27</v>
      </c>
      <c r="AC472" s="152">
        <v>2</v>
      </c>
      <c r="AD472" s="152" t="s">
        <v>861</v>
      </c>
      <c r="AE472" s="152">
        <v>259.27</v>
      </c>
      <c r="AF472" s="152">
        <v>0</v>
      </c>
      <c r="AG472" s="152" t="s">
        <v>861</v>
      </c>
      <c r="AH472" s="152" t="s">
        <v>861</v>
      </c>
      <c r="AI472" s="152" t="s">
        <v>92</v>
      </c>
      <c r="AJ472" s="152" t="s">
        <v>92</v>
      </c>
      <c r="AK472" s="152" t="s">
        <v>972</v>
      </c>
      <c r="AL472" s="159" t="s">
        <v>856</v>
      </c>
      <c r="AP472" s="159" t="s">
        <v>856</v>
      </c>
      <c r="AQ472" s="159" t="s">
        <v>856</v>
      </c>
      <c r="AR472" s="159" t="s">
        <v>2224</v>
      </c>
      <c r="AS472" s="159" t="s">
        <v>865</v>
      </c>
      <c r="AT472" s="152" t="str">
        <f t="shared" si="36"/>
        <v>RPNC2-010222</v>
      </c>
      <c r="AU472" s="152" t="str">
        <f t="shared" si="37"/>
        <v>MIRIAM BEATRIZ CUC TECUM DE SOC</v>
      </c>
      <c r="AV472" s="159">
        <v>3316.03</v>
      </c>
      <c r="AW472" s="159">
        <v>885039</v>
      </c>
      <c r="AX472" s="159">
        <v>51.7</v>
      </c>
      <c r="AY472" s="159">
        <v>885041</v>
      </c>
      <c r="AZ472" s="152" t="s">
        <v>864</v>
      </c>
      <c r="BA472" s="152" t="str">
        <f t="shared" si="38"/>
        <v>L22-485-JM91</v>
      </c>
      <c r="BB472" s="152">
        <v>0</v>
      </c>
      <c r="BC472" s="157">
        <v>44735</v>
      </c>
      <c r="BD472" s="157">
        <v>44735</v>
      </c>
      <c r="BE472" s="158">
        <v>547620</v>
      </c>
      <c r="BF472" s="152" t="s">
        <v>3839</v>
      </c>
      <c r="BG472" s="159" t="s">
        <v>3840</v>
      </c>
      <c r="BH472" s="152">
        <v>259.27</v>
      </c>
      <c r="BI472" s="152">
        <v>0</v>
      </c>
      <c r="BJ472" s="152">
        <v>0</v>
      </c>
      <c r="BK472" s="152" t="s">
        <v>995</v>
      </c>
      <c r="BL472" s="152">
        <v>290.58</v>
      </c>
      <c r="BM472" s="152">
        <v>885040</v>
      </c>
      <c r="BN472" s="157" t="s">
        <v>1453</v>
      </c>
    </row>
    <row r="473" spans="1:66">
      <c r="A473" s="152" t="s">
        <v>3841</v>
      </c>
      <c r="B473" s="152" t="s">
        <v>3842</v>
      </c>
      <c r="C473" s="152" t="s">
        <v>3849</v>
      </c>
      <c r="D473" s="152" t="s">
        <v>3843</v>
      </c>
      <c r="E473" s="152" t="s">
        <v>3844</v>
      </c>
      <c r="F473" s="152">
        <v>7726</v>
      </c>
      <c r="G473" s="152">
        <v>276</v>
      </c>
      <c r="H473" s="152" t="s">
        <v>3845</v>
      </c>
      <c r="I473" s="152">
        <v>204281</v>
      </c>
      <c r="J473" s="152">
        <v>114.04</v>
      </c>
      <c r="K473" s="152">
        <v>90615</v>
      </c>
      <c r="L473" s="159" t="s">
        <v>856</v>
      </c>
      <c r="M473" s="152" t="s">
        <v>92</v>
      </c>
      <c r="N473" s="152" t="s">
        <v>92</v>
      </c>
      <c r="O473" s="159" t="s">
        <v>856</v>
      </c>
      <c r="P473" s="159" t="s">
        <v>856</v>
      </c>
      <c r="Q473" s="152" t="s">
        <v>92</v>
      </c>
      <c r="R473" s="152" t="s">
        <v>92</v>
      </c>
      <c r="S473" s="159" t="s">
        <v>856</v>
      </c>
      <c r="T473" s="159" t="s">
        <v>856</v>
      </c>
      <c r="U473" s="159" t="s">
        <v>856</v>
      </c>
      <c r="V473" s="152" t="s">
        <v>857</v>
      </c>
      <c r="W473" s="152" t="s">
        <v>858</v>
      </c>
      <c r="X473" s="152" t="s">
        <v>1083</v>
      </c>
      <c r="Y473" s="152">
        <v>0</v>
      </c>
      <c r="Z473" s="152">
        <v>1</v>
      </c>
      <c r="AA473" s="152" t="s">
        <v>92</v>
      </c>
      <c r="AB473" s="152">
        <v>108.1</v>
      </c>
      <c r="AC473" s="152">
        <v>2</v>
      </c>
      <c r="AD473" s="152" t="s">
        <v>861</v>
      </c>
      <c r="AE473" s="152">
        <v>108.1</v>
      </c>
      <c r="AF473" s="152">
        <v>0</v>
      </c>
      <c r="AG473" s="152" t="s">
        <v>861</v>
      </c>
      <c r="AH473" s="152" t="s">
        <v>861</v>
      </c>
      <c r="AI473" s="152" t="s">
        <v>92</v>
      </c>
      <c r="AJ473" s="152" t="s">
        <v>92</v>
      </c>
      <c r="AK473" s="152" t="s">
        <v>862</v>
      </c>
      <c r="AL473" s="159" t="s">
        <v>856</v>
      </c>
      <c r="AP473" s="159" t="s">
        <v>856</v>
      </c>
      <c r="AQ473" s="159" t="s">
        <v>856</v>
      </c>
      <c r="AR473" s="159" t="s">
        <v>3846</v>
      </c>
      <c r="AS473" s="159" t="s">
        <v>865</v>
      </c>
      <c r="AT473" s="152" t="str">
        <f t="shared" si="36"/>
        <v>RPNM6-010819</v>
      </c>
      <c r="AU473" s="152" t="str">
        <f t="shared" si="37"/>
        <v>EDGAR LIBNY RAMOS CINTO Y CONDUEÑA</v>
      </c>
      <c r="AV473" s="159">
        <v>1362.06</v>
      </c>
      <c r="AW473" s="159">
        <v>791669</v>
      </c>
      <c r="AX473" s="159">
        <v>31.6</v>
      </c>
      <c r="AY473" s="159">
        <v>791671</v>
      </c>
      <c r="AZ473" s="152" t="s">
        <v>864</v>
      </c>
      <c r="BA473" s="152" t="str">
        <f t="shared" si="38"/>
        <v>L22-455-AQ126</v>
      </c>
      <c r="BB473" s="152">
        <v>0</v>
      </c>
      <c r="BC473" s="157">
        <v>44727</v>
      </c>
      <c r="BD473" s="157">
        <v>44727</v>
      </c>
      <c r="BE473" s="158">
        <v>270250</v>
      </c>
      <c r="BF473" s="152" t="s">
        <v>3847</v>
      </c>
      <c r="BG473" s="159" t="s">
        <v>894</v>
      </c>
      <c r="BH473" s="152">
        <v>108.1</v>
      </c>
      <c r="BI473" s="152">
        <v>0</v>
      </c>
      <c r="BJ473" s="152">
        <v>0</v>
      </c>
      <c r="BK473" s="152" t="s">
        <v>132</v>
      </c>
      <c r="BL473" s="152">
        <v>108.1</v>
      </c>
      <c r="BM473" s="152">
        <v>791670</v>
      </c>
      <c r="BN473" s="157" t="s">
        <v>1453</v>
      </c>
    </row>
    <row r="474" spans="1:66">
      <c r="A474" s="152" t="s">
        <v>3869</v>
      </c>
      <c r="B474" s="152" t="s">
        <v>3870</v>
      </c>
      <c r="C474" s="152" t="s">
        <v>3871</v>
      </c>
      <c r="D474" s="152" t="s">
        <v>3872</v>
      </c>
      <c r="E474" s="152" t="s">
        <v>3873</v>
      </c>
      <c r="F474" s="152">
        <v>4420</v>
      </c>
      <c r="G474" s="152">
        <v>420</v>
      </c>
      <c r="H474" s="152" t="s">
        <v>3515</v>
      </c>
      <c r="I474" s="152">
        <v>195832</v>
      </c>
      <c r="J474" s="152">
        <v>450</v>
      </c>
      <c r="K474" s="152">
        <v>84198</v>
      </c>
      <c r="L474" s="159" t="s">
        <v>856</v>
      </c>
      <c r="M474" s="152" t="s">
        <v>92</v>
      </c>
      <c r="N474" s="152" t="s">
        <v>92</v>
      </c>
      <c r="O474" s="159" t="s">
        <v>856</v>
      </c>
      <c r="P474" s="159" t="s">
        <v>856</v>
      </c>
      <c r="Q474" s="152" t="s">
        <v>92</v>
      </c>
      <c r="R474" s="152" t="s">
        <v>92</v>
      </c>
      <c r="S474" s="159" t="s">
        <v>856</v>
      </c>
      <c r="T474" s="159" t="s">
        <v>856</v>
      </c>
      <c r="U474" s="159" t="s">
        <v>856</v>
      </c>
      <c r="V474" s="152" t="s">
        <v>3874</v>
      </c>
      <c r="W474" s="152" t="s">
        <v>858</v>
      </c>
      <c r="X474" s="152" t="s">
        <v>1083</v>
      </c>
      <c r="Y474" s="152">
        <v>0</v>
      </c>
      <c r="Z474" s="152">
        <v>1</v>
      </c>
      <c r="AA474" s="152" t="s">
        <v>92</v>
      </c>
      <c r="AB474" s="152">
        <v>234.54</v>
      </c>
      <c r="AC474" s="152">
        <v>1</v>
      </c>
      <c r="AD474" s="152" t="s">
        <v>861</v>
      </c>
      <c r="AE474" s="152">
        <v>450</v>
      </c>
      <c r="AF474" s="152">
        <v>0</v>
      </c>
      <c r="AG474" s="152" t="s">
        <v>861</v>
      </c>
      <c r="AH474" s="152" t="s">
        <v>861</v>
      </c>
      <c r="AI474" s="152" t="s">
        <v>92</v>
      </c>
      <c r="AJ474" s="152" t="s">
        <v>92</v>
      </c>
      <c r="AK474" s="152" t="s">
        <v>912</v>
      </c>
      <c r="AL474" s="159" t="s">
        <v>856</v>
      </c>
      <c r="AP474" s="159" t="s">
        <v>856</v>
      </c>
      <c r="AQ474" s="159" t="s">
        <v>856</v>
      </c>
      <c r="AR474" s="159" t="s">
        <v>3723</v>
      </c>
      <c r="AS474" s="159" t="s">
        <v>865</v>
      </c>
      <c r="AT474" s="152" t="str">
        <f t="shared" si="36"/>
        <v>RPNT5-030122</v>
      </c>
      <c r="AU474" s="152" t="str">
        <f t="shared" si="37"/>
        <v>ESTELA FLORINDA TZUL SAY</v>
      </c>
      <c r="AV474" s="159">
        <v>2955.2</v>
      </c>
      <c r="AW474" s="159">
        <v>888156</v>
      </c>
      <c r="AX474" s="159" t="s">
        <v>856</v>
      </c>
      <c r="AY474" s="159" t="s">
        <v>856</v>
      </c>
      <c r="AZ474" s="152" t="s">
        <v>864</v>
      </c>
      <c r="BA474" s="152" t="str">
        <f t="shared" si="38"/>
        <v>L22-499-JJ32</v>
      </c>
      <c r="BB474" s="152">
        <v>0</v>
      </c>
      <c r="BC474" s="157">
        <v>44747</v>
      </c>
      <c r="BD474" s="157">
        <v>44747</v>
      </c>
      <c r="BE474" s="158">
        <v>586350</v>
      </c>
      <c r="BF474" s="152" t="s">
        <v>3875</v>
      </c>
      <c r="BG474" s="159" t="s">
        <v>894</v>
      </c>
      <c r="BH474" s="152">
        <v>450</v>
      </c>
      <c r="BI474" s="152">
        <v>0</v>
      </c>
      <c r="BJ474" s="152">
        <v>0</v>
      </c>
      <c r="BK474" s="152" t="s">
        <v>132</v>
      </c>
      <c r="BL474" s="152">
        <v>150</v>
      </c>
      <c r="BM474" s="152">
        <v>888157</v>
      </c>
      <c r="BN474" s="157" t="s">
        <v>1453</v>
      </c>
    </row>
    <row r="475" spans="1:66">
      <c r="A475" s="152" t="s">
        <v>3876</v>
      </c>
      <c r="B475" s="152" t="s">
        <v>3877</v>
      </c>
      <c r="C475" s="152" t="s">
        <v>3878</v>
      </c>
      <c r="D475" s="152" t="s">
        <v>3879</v>
      </c>
      <c r="E475" s="152" t="s">
        <v>3880</v>
      </c>
      <c r="F475" s="152">
        <v>8760</v>
      </c>
      <c r="G475" s="152">
        <v>260</v>
      </c>
      <c r="H475" s="152" t="s">
        <v>870</v>
      </c>
      <c r="I475" s="152">
        <v>203744</v>
      </c>
      <c r="J475" s="152">
        <v>119</v>
      </c>
      <c r="K475" s="152">
        <v>90308</v>
      </c>
      <c r="L475" s="159" t="s">
        <v>856</v>
      </c>
      <c r="M475" s="152" t="s">
        <v>92</v>
      </c>
      <c r="N475" s="152" t="s">
        <v>92</v>
      </c>
      <c r="O475" s="159" t="s">
        <v>856</v>
      </c>
      <c r="P475" s="159" t="s">
        <v>856</v>
      </c>
      <c r="Q475" s="152" t="s">
        <v>92</v>
      </c>
      <c r="R475" s="152" t="s">
        <v>92</v>
      </c>
      <c r="S475" s="159" t="s">
        <v>856</v>
      </c>
      <c r="T475" s="159" t="s">
        <v>856</v>
      </c>
      <c r="U475" s="159" t="s">
        <v>856</v>
      </c>
      <c r="V475" s="152" t="s">
        <v>857</v>
      </c>
      <c r="W475" s="152" t="s">
        <v>858</v>
      </c>
      <c r="X475" s="152" t="s">
        <v>1083</v>
      </c>
      <c r="Y475" s="152">
        <v>37.799999999999997</v>
      </c>
      <c r="Z475" s="152">
        <v>1</v>
      </c>
      <c r="AA475" s="152" t="s">
        <v>92</v>
      </c>
      <c r="AB475" s="152">
        <v>211.4</v>
      </c>
      <c r="AC475" s="152">
        <v>2</v>
      </c>
      <c r="AD475" s="152" t="s">
        <v>861</v>
      </c>
      <c r="AE475" s="152">
        <v>211.4</v>
      </c>
      <c r="AF475" s="152">
        <v>0</v>
      </c>
      <c r="AG475" s="152" t="s">
        <v>861</v>
      </c>
      <c r="AH475" s="152" t="s">
        <v>861</v>
      </c>
      <c r="AI475" s="152" t="s">
        <v>92</v>
      </c>
      <c r="AJ475" s="152" t="s">
        <v>92</v>
      </c>
      <c r="AK475" s="152" t="s">
        <v>884</v>
      </c>
      <c r="AL475" s="159" t="s">
        <v>856</v>
      </c>
      <c r="AP475" s="159" t="s">
        <v>856</v>
      </c>
      <c r="AQ475" s="159" t="s">
        <v>856</v>
      </c>
      <c r="AR475" s="159" t="s">
        <v>3698</v>
      </c>
      <c r="AS475" s="159" t="s">
        <v>865</v>
      </c>
      <c r="AT475" s="152" t="str">
        <f t="shared" si="36"/>
        <v>RPNC8-280522</v>
      </c>
      <c r="AU475" s="152" t="str">
        <f t="shared" si="37"/>
        <v xml:space="preserve">JUANA JACINTA CHAVEZ Y CHAVEZ </v>
      </c>
      <c r="AV475" s="159">
        <v>2737.73</v>
      </c>
      <c r="AW475" s="159">
        <v>888805</v>
      </c>
      <c r="AX475" s="159">
        <v>35</v>
      </c>
      <c r="AY475" s="159">
        <v>888807</v>
      </c>
      <c r="AZ475" s="152" t="s">
        <v>864</v>
      </c>
      <c r="BA475" s="152" t="str">
        <f t="shared" si="38"/>
        <v>L22-541-SP186</v>
      </c>
      <c r="BB475" s="152">
        <v>0</v>
      </c>
      <c r="BC475" s="157">
        <v>44761</v>
      </c>
      <c r="BD475" s="157">
        <v>44761</v>
      </c>
      <c r="BE475" s="158">
        <v>541730</v>
      </c>
      <c r="BF475" s="152" t="s">
        <v>3881</v>
      </c>
      <c r="BG475" s="159" t="s">
        <v>894</v>
      </c>
      <c r="BH475" s="152">
        <v>211.4</v>
      </c>
      <c r="BI475" s="152">
        <v>0</v>
      </c>
      <c r="BJ475" s="152">
        <v>0</v>
      </c>
      <c r="BK475" s="152" t="s">
        <v>132</v>
      </c>
      <c r="BL475" s="152">
        <v>211.4</v>
      </c>
      <c r="BM475" s="152">
        <v>888806</v>
      </c>
      <c r="BN475" s="157" t="s">
        <v>1453</v>
      </c>
    </row>
    <row r="476" spans="1:66">
      <c r="A476" s="152" t="s">
        <v>3882</v>
      </c>
      <c r="B476" s="152" t="s">
        <v>3883</v>
      </c>
      <c r="C476" s="152" t="s">
        <v>2292</v>
      </c>
      <c r="D476" s="152" t="s">
        <v>3884</v>
      </c>
      <c r="E476" s="152" t="s">
        <v>3885</v>
      </c>
      <c r="F476" s="152">
        <v>277474</v>
      </c>
      <c r="G476" s="152">
        <v>284</v>
      </c>
      <c r="H476" s="152">
        <v>642</v>
      </c>
      <c r="I476" s="152">
        <v>5158</v>
      </c>
      <c r="J476" s="152">
        <v>147.78</v>
      </c>
      <c r="K476" s="152">
        <v>88307</v>
      </c>
      <c r="L476" s="159" t="s">
        <v>856</v>
      </c>
      <c r="M476" s="152" t="s">
        <v>92</v>
      </c>
      <c r="N476" s="152" t="s">
        <v>92</v>
      </c>
      <c r="O476" s="159" t="s">
        <v>856</v>
      </c>
      <c r="P476" s="159" t="s">
        <v>856</v>
      </c>
      <c r="Q476" s="152" t="s">
        <v>92</v>
      </c>
      <c r="R476" s="152" t="s">
        <v>92</v>
      </c>
      <c r="S476" s="159" t="s">
        <v>856</v>
      </c>
      <c r="T476" s="159" t="s">
        <v>856</v>
      </c>
      <c r="U476" s="159" t="s">
        <v>856</v>
      </c>
      <c r="V476" s="152" t="s">
        <v>3886</v>
      </c>
      <c r="W476" s="152" t="s">
        <v>858</v>
      </c>
      <c r="X476" s="152" t="s">
        <v>1083</v>
      </c>
      <c r="Y476" s="152">
        <v>0</v>
      </c>
      <c r="Z476" s="152">
        <v>0</v>
      </c>
      <c r="AA476" s="152" t="s">
        <v>92</v>
      </c>
      <c r="AB476" s="152">
        <v>50.22</v>
      </c>
      <c r="AC476" s="152">
        <v>3</v>
      </c>
      <c r="AD476" s="152" t="s">
        <v>861</v>
      </c>
      <c r="AE476" s="152">
        <v>50.22</v>
      </c>
      <c r="AF476" s="152">
        <v>0</v>
      </c>
      <c r="AG476" s="152" t="s">
        <v>861</v>
      </c>
      <c r="AH476" s="152" t="s">
        <v>861</v>
      </c>
      <c r="AI476" s="152" t="s">
        <v>92</v>
      </c>
      <c r="AJ476" s="152" t="s">
        <v>92</v>
      </c>
      <c r="AK476" s="152" t="s">
        <v>872</v>
      </c>
      <c r="AL476" s="159" t="s">
        <v>856</v>
      </c>
      <c r="AP476" s="159" t="s">
        <v>856</v>
      </c>
      <c r="AQ476" s="159" t="s">
        <v>856</v>
      </c>
      <c r="AR476" s="159" t="s">
        <v>1953</v>
      </c>
      <c r="AS476" s="159" t="s">
        <v>865</v>
      </c>
      <c r="AT476" s="152" t="str">
        <f t="shared" si="36"/>
        <v>RPNM3-120522</v>
      </c>
      <c r="AU476" s="152" t="str">
        <f t="shared" si="37"/>
        <v>SANTOS JULIAN MEJIA VASQUEZ</v>
      </c>
      <c r="AV476" s="159">
        <v>759.33</v>
      </c>
      <c r="AW476" s="159">
        <v>886895</v>
      </c>
      <c r="AX476" s="159" t="s">
        <v>856</v>
      </c>
      <c r="AY476" s="159" t="s">
        <v>856</v>
      </c>
      <c r="AZ476" s="152" t="s">
        <v>864</v>
      </c>
      <c r="BA476" s="152" t="str">
        <f t="shared" si="38"/>
        <v>L22-543-SP172</v>
      </c>
      <c r="BB476" s="152">
        <v>0</v>
      </c>
      <c r="BC476" s="157">
        <v>44771</v>
      </c>
      <c r="BD476" s="157">
        <v>44771</v>
      </c>
      <c r="BE476" s="158">
        <v>150660</v>
      </c>
      <c r="BF476" s="152" t="s">
        <v>3887</v>
      </c>
      <c r="BG476" s="159" t="s">
        <v>894</v>
      </c>
      <c r="BH476" s="152">
        <v>50.22</v>
      </c>
      <c r="BI476" s="152">
        <v>0</v>
      </c>
      <c r="BJ476" s="152">
        <v>0</v>
      </c>
      <c r="BK476" s="152" t="s">
        <v>132</v>
      </c>
      <c r="BL476" s="152">
        <v>50.22</v>
      </c>
      <c r="BM476" s="152">
        <v>886895</v>
      </c>
      <c r="BN476" s="157" t="s">
        <v>1453</v>
      </c>
    </row>
    <row r="477" spans="1:66">
      <c r="A477" s="152" t="s">
        <v>3888</v>
      </c>
      <c r="B477" s="152" t="s">
        <v>3889</v>
      </c>
      <c r="C477" s="152" t="s">
        <v>3890</v>
      </c>
      <c r="D477" s="152" t="s">
        <v>3891</v>
      </c>
      <c r="E477" s="152" t="s">
        <v>3892</v>
      </c>
      <c r="F477" s="152">
        <v>7407</v>
      </c>
      <c r="G477" s="152">
        <v>407</v>
      </c>
      <c r="H477" s="152" t="s">
        <v>1057</v>
      </c>
      <c r="I477" s="152">
        <v>201194</v>
      </c>
      <c r="J477" s="152">
        <v>140.41</v>
      </c>
      <c r="K477" s="152">
        <v>88259</v>
      </c>
      <c r="L477" s="159" t="s">
        <v>3893</v>
      </c>
      <c r="M477" s="152" t="s">
        <v>883</v>
      </c>
      <c r="N477" s="152" t="s">
        <v>92</v>
      </c>
      <c r="O477" s="159">
        <v>8967</v>
      </c>
      <c r="P477" s="159" t="s">
        <v>3893</v>
      </c>
      <c r="Q477" s="152" t="s">
        <v>883</v>
      </c>
      <c r="R477" s="152" t="s">
        <v>92</v>
      </c>
      <c r="S477" s="159">
        <v>8967</v>
      </c>
      <c r="T477" s="159" t="s">
        <v>856</v>
      </c>
      <c r="U477" s="159" t="s">
        <v>856</v>
      </c>
      <c r="V477" s="152" t="s">
        <v>3894</v>
      </c>
      <c r="W477" s="152" t="s">
        <v>858</v>
      </c>
      <c r="X477" s="152" t="s">
        <v>1083</v>
      </c>
      <c r="Y477" s="152">
        <v>0</v>
      </c>
      <c r="Z477" s="152">
        <v>2</v>
      </c>
      <c r="AA477" s="152" t="s">
        <v>92</v>
      </c>
      <c r="AB477" s="152">
        <v>54.02</v>
      </c>
      <c r="AC477" s="152">
        <v>1</v>
      </c>
      <c r="AD477" s="152" t="s">
        <v>861</v>
      </c>
      <c r="AE477" s="152">
        <v>54.02</v>
      </c>
      <c r="AF477" s="152">
        <v>0</v>
      </c>
      <c r="AG477" s="152" t="s">
        <v>861</v>
      </c>
      <c r="AH477" s="152" t="s">
        <v>861</v>
      </c>
      <c r="AI477" s="152" t="s">
        <v>92</v>
      </c>
      <c r="AJ477" s="152" t="s">
        <v>92</v>
      </c>
      <c r="AK477" s="152" t="s">
        <v>862</v>
      </c>
      <c r="AL477" s="159" t="s">
        <v>856</v>
      </c>
      <c r="AP477" s="159" t="s">
        <v>856</v>
      </c>
      <c r="AQ477" s="159" t="s">
        <v>856</v>
      </c>
      <c r="AR477" s="159" t="s">
        <v>3698</v>
      </c>
      <c r="AS477" s="159" t="s">
        <v>865</v>
      </c>
      <c r="AT477" s="152" t="str">
        <f t="shared" si="36"/>
        <v>VUNS9-010222</v>
      </c>
      <c r="AU477" s="152" t="str">
        <f t="shared" si="37"/>
        <v>AGUSTINA SOTO ROMERO Y CONDUEÑA</v>
      </c>
      <c r="AV477" s="159">
        <v>910.9</v>
      </c>
      <c r="AW477" s="159">
        <v>887275</v>
      </c>
      <c r="AX477" s="159">
        <v>47.3</v>
      </c>
      <c r="AY477" s="159">
        <v>887278</v>
      </c>
      <c r="AZ477" s="152" t="s">
        <v>864</v>
      </c>
      <c r="BA477" s="152" t="str">
        <f t="shared" si="38"/>
        <v>L22-544-JM93</v>
      </c>
      <c r="BB477" s="152">
        <v>0</v>
      </c>
      <c r="BC477" s="157">
        <v>44770</v>
      </c>
      <c r="BD477" s="157">
        <v>44770</v>
      </c>
      <c r="BE477" s="158">
        <v>111988</v>
      </c>
      <c r="BF477" s="152" t="s">
        <v>3895</v>
      </c>
      <c r="BG477" s="159" t="s">
        <v>894</v>
      </c>
      <c r="BH477" s="152">
        <v>54.02</v>
      </c>
      <c r="BI477" s="152">
        <v>0</v>
      </c>
      <c r="BJ477" s="152">
        <v>0</v>
      </c>
      <c r="BK477" s="152" t="s">
        <v>3759</v>
      </c>
      <c r="BL477" s="152">
        <v>67.53</v>
      </c>
      <c r="BM477" s="152">
        <v>887277</v>
      </c>
      <c r="BN477" s="157">
        <v>45501</v>
      </c>
    </row>
    <row r="478" spans="1:66">
      <c r="A478" s="152" t="s">
        <v>3896</v>
      </c>
      <c r="B478" s="152" t="s">
        <v>3897</v>
      </c>
      <c r="C478" s="152" t="s">
        <v>3898</v>
      </c>
      <c r="D478" s="152" t="s">
        <v>3899</v>
      </c>
      <c r="E478" s="152" t="s">
        <v>3900</v>
      </c>
      <c r="F478" s="152">
        <v>3370</v>
      </c>
      <c r="G478" s="152">
        <v>370</v>
      </c>
      <c r="H478" s="152" t="s">
        <v>3816</v>
      </c>
      <c r="I478" s="152">
        <v>202438</v>
      </c>
      <c r="J478" s="152">
        <v>173.37</v>
      </c>
      <c r="K478" s="152">
        <v>89261</v>
      </c>
      <c r="L478" s="159" t="s">
        <v>856</v>
      </c>
      <c r="M478" s="152" t="s">
        <v>92</v>
      </c>
      <c r="N478" s="152" t="s">
        <v>92</v>
      </c>
      <c r="O478" s="159" t="s">
        <v>856</v>
      </c>
      <c r="P478" s="159" t="s">
        <v>856</v>
      </c>
      <c r="Q478" s="152" t="s">
        <v>92</v>
      </c>
      <c r="R478" s="152" t="s">
        <v>92</v>
      </c>
      <c r="S478" s="159" t="s">
        <v>856</v>
      </c>
      <c r="T478" s="159" t="s">
        <v>856</v>
      </c>
      <c r="U478" s="159" t="s">
        <v>856</v>
      </c>
      <c r="V478" s="152" t="s">
        <v>3530</v>
      </c>
      <c r="W478" s="152" t="s">
        <v>858</v>
      </c>
      <c r="X478" s="152" t="s">
        <v>1083</v>
      </c>
      <c r="Y478" s="152">
        <v>0</v>
      </c>
      <c r="Z478" s="152">
        <v>1</v>
      </c>
      <c r="AA478" s="152" t="s">
        <v>92</v>
      </c>
      <c r="AB478" s="152">
        <v>92.34</v>
      </c>
      <c r="AC478" s="152">
        <v>1</v>
      </c>
      <c r="AD478" s="152" t="s">
        <v>861</v>
      </c>
      <c r="AE478" s="152">
        <v>92.34</v>
      </c>
      <c r="AF478" s="152">
        <v>0</v>
      </c>
      <c r="AG478" s="152" t="s">
        <v>861</v>
      </c>
      <c r="AH478" s="152" t="s">
        <v>861</v>
      </c>
      <c r="AI478" s="152" t="s">
        <v>92</v>
      </c>
      <c r="AJ478" s="152" t="s">
        <v>92</v>
      </c>
      <c r="AK478" s="152" t="s">
        <v>972</v>
      </c>
      <c r="AL478" s="159" t="s">
        <v>856</v>
      </c>
      <c r="AP478" s="159" t="s">
        <v>856</v>
      </c>
      <c r="AQ478" s="159" t="s">
        <v>856</v>
      </c>
      <c r="AR478" s="159" t="s">
        <v>3698</v>
      </c>
      <c r="AS478" s="159" t="s">
        <v>865</v>
      </c>
      <c r="AT478" s="152" t="str">
        <f t="shared" si="36"/>
        <v>RPNR5-260522</v>
      </c>
      <c r="AU478" s="152" t="str">
        <f t="shared" si="37"/>
        <v>TANIA GABRIELA RODAS GARCIA</v>
      </c>
      <c r="AV478" s="159">
        <v>930.79</v>
      </c>
      <c r="AW478" s="159">
        <v>885453</v>
      </c>
      <c r="AX478" s="159">
        <v>37.5</v>
      </c>
      <c r="AY478" s="159">
        <v>885452</v>
      </c>
      <c r="AZ478" s="152" t="s">
        <v>864</v>
      </c>
      <c r="BA478" s="152" t="str">
        <f t="shared" si="38"/>
        <v>L22-504-SP110</v>
      </c>
      <c r="BB478" s="152">
        <v>0</v>
      </c>
      <c r="BC478" s="157">
        <v>44747</v>
      </c>
      <c r="BD478" s="157">
        <v>44747</v>
      </c>
      <c r="BE478" s="158">
        <v>184680</v>
      </c>
      <c r="BF478" s="152" t="s">
        <v>3901</v>
      </c>
      <c r="BG478" s="159" t="s">
        <v>894</v>
      </c>
      <c r="BH478" s="152">
        <v>92.34</v>
      </c>
      <c r="BI478" s="152">
        <v>0</v>
      </c>
      <c r="BJ478" s="152">
        <v>0</v>
      </c>
      <c r="BK478" s="152" t="s">
        <v>132</v>
      </c>
      <c r="BN478" s="157" t="s">
        <v>1453</v>
      </c>
    </row>
    <row r="479" spans="1:66">
      <c r="A479" s="152" t="s">
        <v>3907</v>
      </c>
      <c r="B479" s="152" t="s">
        <v>3903</v>
      </c>
      <c r="C479" s="152" t="s">
        <v>3904</v>
      </c>
      <c r="D479" s="152" t="s">
        <v>3905</v>
      </c>
      <c r="E479" s="152" t="s">
        <v>3905</v>
      </c>
      <c r="F479" s="152">
        <v>251265</v>
      </c>
      <c r="G479" s="152">
        <v>155</v>
      </c>
      <c r="H479" s="152">
        <v>558</v>
      </c>
      <c r="I479" s="152">
        <v>202621</v>
      </c>
      <c r="J479" s="152">
        <v>183.72</v>
      </c>
      <c r="K479" s="152">
        <v>89408</v>
      </c>
      <c r="L479" s="159" t="s">
        <v>856</v>
      </c>
      <c r="M479" s="152" t="s">
        <v>92</v>
      </c>
      <c r="N479" s="152" t="s">
        <v>92</v>
      </c>
      <c r="O479" s="159" t="s">
        <v>856</v>
      </c>
      <c r="P479" s="159" t="s">
        <v>856</v>
      </c>
      <c r="Q479" s="152" t="s">
        <v>92</v>
      </c>
      <c r="R479" s="152" t="s">
        <v>92</v>
      </c>
      <c r="S479" s="159" t="s">
        <v>856</v>
      </c>
      <c r="T479" s="159" t="s">
        <v>856</v>
      </c>
      <c r="U479" s="159" t="s">
        <v>856</v>
      </c>
      <c r="V479" s="152" t="s">
        <v>2157</v>
      </c>
      <c r="W479" s="152" t="s">
        <v>858</v>
      </c>
      <c r="X479" s="152" t="s">
        <v>1083</v>
      </c>
      <c r="Y479" s="152">
        <v>18.03</v>
      </c>
      <c r="Z479" s="152">
        <v>2</v>
      </c>
      <c r="AA479" s="152" t="s">
        <v>883</v>
      </c>
      <c r="AB479" s="152">
        <v>366.67</v>
      </c>
      <c r="AC479" s="152">
        <v>2</v>
      </c>
      <c r="AD479" s="152" t="s">
        <v>861</v>
      </c>
      <c r="AE479" s="152">
        <v>366.67</v>
      </c>
      <c r="AF479" s="152">
        <v>0</v>
      </c>
      <c r="AG479" s="152" t="s">
        <v>861</v>
      </c>
      <c r="AH479" s="152" t="s">
        <v>861</v>
      </c>
      <c r="AI479" s="152" t="s">
        <v>92</v>
      </c>
      <c r="AJ479" s="152" t="s">
        <v>92</v>
      </c>
      <c r="AK479" s="152" t="s">
        <v>884</v>
      </c>
      <c r="AL479" s="159" t="s">
        <v>856</v>
      </c>
      <c r="AP479" s="159" t="s">
        <v>856</v>
      </c>
      <c r="AQ479" s="159" t="s">
        <v>856</v>
      </c>
      <c r="AR479" s="159" t="s">
        <v>885</v>
      </c>
      <c r="AS479" s="159" t="s">
        <v>865</v>
      </c>
      <c r="AT479" s="152" t="str">
        <f t="shared" si="36"/>
        <v>RPNA9-290921</v>
      </c>
      <c r="AU479" s="152" t="str">
        <f t="shared" si="37"/>
        <v>PATRICIA ALEJANDRA ALEJANDRO RELAC</v>
      </c>
      <c r="AV479" s="159">
        <v>4655.38</v>
      </c>
      <c r="AW479" s="159">
        <v>888487</v>
      </c>
      <c r="AX479" s="159">
        <v>52.5</v>
      </c>
      <c r="AY479" s="159">
        <v>888489</v>
      </c>
      <c r="AZ479" s="152" t="s">
        <v>864</v>
      </c>
      <c r="BA479" s="152" t="str">
        <f t="shared" si="38"/>
        <v>L22-519-MP058</v>
      </c>
      <c r="BB479" s="152">
        <v>0</v>
      </c>
      <c r="BC479" s="157">
        <v>44755</v>
      </c>
      <c r="BD479" s="157">
        <v>44755</v>
      </c>
      <c r="BE479" s="158">
        <v>922985.5</v>
      </c>
      <c r="BF479" s="152" t="s">
        <v>3906</v>
      </c>
      <c r="BG479" s="159" t="s">
        <v>894</v>
      </c>
      <c r="BH479" s="152">
        <v>366.67</v>
      </c>
      <c r="BI479" s="152">
        <v>0</v>
      </c>
      <c r="BJ479" s="152">
        <v>0</v>
      </c>
      <c r="BK479" s="152" t="s">
        <v>132</v>
      </c>
      <c r="BL479" s="152">
        <v>366.67</v>
      </c>
      <c r="BM479" s="152">
        <v>888488</v>
      </c>
      <c r="BN479" s="157" t="s">
        <v>1453</v>
      </c>
    </row>
    <row r="480" spans="1:66">
      <c r="A480" s="152" t="s">
        <v>3908</v>
      </c>
      <c r="B480" s="152" t="s">
        <v>3909</v>
      </c>
      <c r="C480" s="152" t="s">
        <v>3910</v>
      </c>
      <c r="D480" s="152" t="s">
        <v>3911</v>
      </c>
      <c r="E480" s="152" t="s">
        <v>3911</v>
      </c>
      <c r="F480" s="152">
        <v>3914</v>
      </c>
      <c r="G480" s="152">
        <v>414</v>
      </c>
      <c r="H480" s="152" t="s">
        <v>3912</v>
      </c>
      <c r="I480" s="152">
        <v>192908</v>
      </c>
      <c r="J480" s="152">
        <v>161.72999999999999</v>
      </c>
      <c r="K480" s="152">
        <v>82031</v>
      </c>
      <c r="L480" s="159" t="s">
        <v>3913</v>
      </c>
      <c r="M480" s="152" t="s">
        <v>883</v>
      </c>
      <c r="N480" s="152" t="s">
        <v>92</v>
      </c>
      <c r="O480" s="159">
        <v>11709</v>
      </c>
      <c r="P480" s="159" t="s">
        <v>3913</v>
      </c>
      <c r="Q480" s="152" t="s">
        <v>883</v>
      </c>
      <c r="R480" s="152" t="s">
        <v>92</v>
      </c>
      <c r="S480" s="159">
        <v>11709</v>
      </c>
      <c r="T480" s="159" t="s">
        <v>856</v>
      </c>
      <c r="U480" s="159" t="s">
        <v>856</v>
      </c>
      <c r="V480" s="152" t="s">
        <v>3914</v>
      </c>
      <c r="W480" s="152" t="s">
        <v>858</v>
      </c>
      <c r="X480" s="152" t="s">
        <v>1083</v>
      </c>
      <c r="Y480" s="152">
        <v>67.5</v>
      </c>
      <c r="Z480" s="152">
        <v>1</v>
      </c>
      <c r="AA480" s="152" t="s">
        <v>92</v>
      </c>
      <c r="AB480" s="152">
        <v>132.30000000000001</v>
      </c>
      <c r="AC480" s="152">
        <v>1</v>
      </c>
      <c r="AD480" s="152" t="s">
        <v>861</v>
      </c>
      <c r="AE480" s="152">
        <v>132.30000000000001</v>
      </c>
      <c r="AF480" s="152">
        <v>0</v>
      </c>
      <c r="AG480" s="152" t="s">
        <v>861</v>
      </c>
      <c r="AH480" s="152" t="s">
        <v>861</v>
      </c>
      <c r="AI480" s="152" t="s">
        <v>92</v>
      </c>
      <c r="AJ480" s="152" t="s">
        <v>92</v>
      </c>
      <c r="AK480" s="152" t="s">
        <v>884</v>
      </c>
      <c r="AL480" s="159" t="s">
        <v>856</v>
      </c>
      <c r="AP480" s="159" t="s">
        <v>856</v>
      </c>
      <c r="AQ480" s="159" t="s">
        <v>856</v>
      </c>
      <c r="AR480" s="159" t="s">
        <v>1953</v>
      </c>
      <c r="AS480" s="159" t="s">
        <v>865</v>
      </c>
      <c r="AT480" s="152" t="str">
        <f t="shared" si="36"/>
        <v>RPNC9-060322</v>
      </c>
      <c r="AU480" s="152" t="str">
        <f t="shared" si="37"/>
        <v xml:space="preserve">MARTINA CIFUENTES GOMEZ </v>
      </c>
      <c r="AV480" s="159">
        <v>1984.5</v>
      </c>
      <c r="AW480" s="159">
        <v>888520</v>
      </c>
      <c r="AX480" s="159">
        <v>45</v>
      </c>
      <c r="AY480" s="159">
        <v>888522</v>
      </c>
      <c r="AZ480" s="152" t="s">
        <v>864</v>
      </c>
      <c r="BA480" s="152" t="str">
        <f t="shared" si="38"/>
        <v>L22-520-SP042</v>
      </c>
      <c r="BB480" s="152">
        <v>0</v>
      </c>
      <c r="BC480" s="157">
        <v>44755</v>
      </c>
      <c r="BD480" s="157">
        <v>44755</v>
      </c>
      <c r="BE480" s="158">
        <v>354375</v>
      </c>
      <c r="BF480" s="152" t="s">
        <v>3915</v>
      </c>
      <c r="BG480" s="159" t="s">
        <v>3916</v>
      </c>
      <c r="BH480" s="152">
        <v>132.30000000000001</v>
      </c>
      <c r="BI480" s="152">
        <v>0</v>
      </c>
      <c r="BJ480" s="152">
        <v>0</v>
      </c>
      <c r="BK480" s="152" t="s">
        <v>3917</v>
      </c>
      <c r="BL480" s="152">
        <v>165.38</v>
      </c>
      <c r="BM480" s="152">
        <v>888521</v>
      </c>
      <c r="BN480" s="157">
        <v>45486</v>
      </c>
    </row>
    <row r="481" spans="1:66">
      <c r="A481" s="152" t="s">
        <v>3918</v>
      </c>
      <c r="B481" s="152" t="s">
        <v>3919</v>
      </c>
      <c r="C481" s="152" t="s">
        <v>3920</v>
      </c>
      <c r="D481" s="152" t="s">
        <v>3921</v>
      </c>
      <c r="E481" s="152" t="s">
        <v>3922</v>
      </c>
      <c r="F481" s="152">
        <v>4755</v>
      </c>
      <c r="G481" s="152">
        <v>255</v>
      </c>
      <c r="H481" s="152" t="s">
        <v>2583</v>
      </c>
      <c r="I481" s="152">
        <v>202512</v>
      </c>
      <c r="J481" s="152">
        <v>200</v>
      </c>
      <c r="K481" s="152">
        <v>89321</v>
      </c>
      <c r="L481" s="159" t="s">
        <v>856</v>
      </c>
      <c r="M481" s="152" t="s">
        <v>92</v>
      </c>
      <c r="N481" s="152" t="s">
        <v>92</v>
      </c>
      <c r="O481" s="159" t="s">
        <v>856</v>
      </c>
      <c r="P481" s="159" t="s">
        <v>856</v>
      </c>
      <c r="Q481" s="152" t="s">
        <v>92</v>
      </c>
      <c r="R481" s="152" t="s">
        <v>92</v>
      </c>
      <c r="S481" s="159" t="s">
        <v>856</v>
      </c>
      <c r="T481" s="159" t="s">
        <v>856</v>
      </c>
      <c r="U481" s="159" t="s">
        <v>856</v>
      </c>
      <c r="V481" s="152" t="s">
        <v>3530</v>
      </c>
      <c r="W481" s="152" t="s">
        <v>858</v>
      </c>
      <c r="X481" s="152" t="s">
        <v>1083</v>
      </c>
      <c r="Y481" s="152">
        <v>150.77000000000001</v>
      </c>
      <c r="Z481" s="152">
        <v>1</v>
      </c>
      <c r="AA481" s="152" t="s">
        <v>92</v>
      </c>
      <c r="AB481" s="152">
        <v>122.96</v>
      </c>
      <c r="AC481" s="152">
        <v>2</v>
      </c>
      <c r="AD481" s="152" t="s">
        <v>861</v>
      </c>
      <c r="AE481" s="152">
        <v>122.96</v>
      </c>
      <c r="AF481" s="152">
        <v>0</v>
      </c>
      <c r="AG481" s="152" t="s">
        <v>861</v>
      </c>
      <c r="AH481" s="152" t="s">
        <v>861</v>
      </c>
      <c r="AI481" s="152" t="s">
        <v>92</v>
      </c>
      <c r="AJ481" s="152" t="s">
        <v>92</v>
      </c>
      <c r="AK481" s="152" t="s">
        <v>972</v>
      </c>
      <c r="AL481" s="159" t="s">
        <v>856</v>
      </c>
      <c r="AP481" s="159" t="s">
        <v>856</v>
      </c>
      <c r="AQ481" s="159" t="s">
        <v>856</v>
      </c>
      <c r="AR481" s="159" t="s">
        <v>3698</v>
      </c>
      <c r="AS481" s="159" t="s">
        <v>865</v>
      </c>
      <c r="AT481" s="152" t="str">
        <f t="shared" si="36"/>
        <v>RPNB5-270522</v>
      </c>
      <c r="AU481" s="152" t="str">
        <f t="shared" si="37"/>
        <v>JACKELINE VANESSA BELTRAN RODRIGUEZ</v>
      </c>
      <c r="AV481" s="159">
        <v>1844.81</v>
      </c>
      <c r="AW481" s="159">
        <v>885448</v>
      </c>
      <c r="AX481" s="159">
        <v>50</v>
      </c>
      <c r="AY481" s="159">
        <v>885449</v>
      </c>
      <c r="AZ481" s="152" t="s">
        <v>864</v>
      </c>
      <c r="BA481" s="152" t="str">
        <f t="shared" si="38"/>
        <v>L22-503-SP131</v>
      </c>
      <c r="BB481" s="152">
        <v>0</v>
      </c>
      <c r="BC481" s="157">
        <v>44747</v>
      </c>
      <c r="BD481" s="157">
        <v>44747</v>
      </c>
      <c r="BE481" s="158">
        <v>360169.5</v>
      </c>
      <c r="BF481" s="152" t="s">
        <v>3923</v>
      </c>
      <c r="BG481" s="159" t="s">
        <v>894</v>
      </c>
      <c r="BH481" s="152">
        <v>122.96</v>
      </c>
      <c r="BI481" s="152">
        <v>0</v>
      </c>
      <c r="BJ481" s="152">
        <v>0</v>
      </c>
      <c r="BK481" s="152" t="s">
        <v>132</v>
      </c>
      <c r="BL481" s="152">
        <v>122.96</v>
      </c>
      <c r="BM481" s="152">
        <v>885447</v>
      </c>
      <c r="BN481" s="157" t="s">
        <v>1453</v>
      </c>
    </row>
    <row r="482" spans="1:66">
      <c r="A482" s="152" t="s">
        <v>3924</v>
      </c>
      <c r="B482" s="152" t="s">
        <v>3925</v>
      </c>
      <c r="C482" s="152" t="s">
        <v>3926</v>
      </c>
      <c r="D482" s="152" t="s">
        <v>3927</v>
      </c>
      <c r="E482" s="152" t="s">
        <v>3928</v>
      </c>
      <c r="F482" s="152">
        <v>5556</v>
      </c>
      <c r="G482" s="152">
        <v>56</v>
      </c>
      <c r="H482" s="152" t="s">
        <v>1704</v>
      </c>
      <c r="I482" s="152">
        <v>173911</v>
      </c>
      <c r="J482" s="152">
        <v>128</v>
      </c>
      <c r="K482" s="159" t="s">
        <v>856</v>
      </c>
      <c r="L482" s="159" t="s">
        <v>4009</v>
      </c>
      <c r="M482" s="152" t="s">
        <v>92</v>
      </c>
      <c r="N482" s="152" t="s">
        <v>883</v>
      </c>
      <c r="O482" s="159">
        <v>4720</v>
      </c>
      <c r="P482" s="159" t="s">
        <v>4009</v>
      </c>
      <c r="Q482" s="152" t="s">
        <v>92</v>
      </c>
      <c r="R482" s="152" t="s">
        <v>883</v>
      </c>
      <c r="S482" s="159">
        <v>4720</v>
      </c>
      <c r="T482" s="159" t="s">
        <v>856</v>
      </c>
      <c r="U482" s="159" t="s">
        <v>856</v>
      </c>
      <c r="V482" s="152" t="s">
        <v>857</v>
      </c>
      <c r="W482" s="152" t="s">
        <v>858</v>
      </c>
      <c r="X482" s="152" t="s">
        <v>1083</v>
      </c>
      <c r="Y482" s="152">
        <v>50.96</v>
      </c>
      <c r="Z482" s="152">
        <v>1</v>
      </c>
      <c r="AA482" s="152" t="s">
        <v>92</v>
      </c>
      <c r="AB482" s="152">
        <v>229.65</v>
      </c>
      <c r="AC482" s="152">
        <v>3</v>
      </c>
      <c r="AD482" s="152" t="s">
        <v>861</v>
      </c>
      <c r="AE482" s="152">
        <v>229.65</v>
      </c>
      <c r="AF482" s="152">
        <v>0</v>
      </c>
      <c r="AG482" s="152" t="s">
        <v>861</v>
      </c>
      <c r="AH482" s="152" t="s">
        <v>861</v>
      </c>
      <c r="AI482" s="152" t="s">
        <v>92</v>
      </c>
      <c r="AJ482" s="152" t="s">
        <v>92</v>
      </c>
      <c r="AK482" s="152" t="s">
        <v>862</v>
      </c>
      <c r="AL482" s="159" t="s">
        <v>856</v>
      </c>
      <c r="AP482" s="159" t="s">
        <v>856</v>
      </c>
      <c r="AQ482" s="159" t="s">
        <v>856</v>
      </c>
      <c r="AR482" s="159" t="s">
        <v>2295</v>
      </c>
      <c r="AS482" s="159" t="s">
        <v>865</v>
      </c>
      <c r="AT482" s="152" t="str">
        <f t="shared" si="36"/>
        <v>VUNC5-070422</v>
      </c>
      <c r="AU482" s="152" t="str">
        <f t="shared" si="37"/>
        <v>BENSAITEN AGUSTIN CHUC GARCIA</v>
      </c>
      <c r="AV482" s="159">
        <v>3672.19</v>
      </c>
      <c r="AW482" s="159">
        <v>889413</v>
      </c>
      <c r="AX482" s="159">
        <v>40</v>
      </c>
      <c r="AY482" s="159">
        <v>889416</v>
      </c>
      <c r="AZ482" s="152" t="s">
        <v>864</v>
      </c>
      <c r="BA482" s="152" t="str">
        <f t="shared" si="38"/>
        <v>L22-525-MP015</v>
      </c>
      <c r="BB482" s="152">
        <v>0</v>
      </c>
      <c r="BC482" s="157">
        <v>44760</v>
      </c>
      <c r="BD482" s="157">
        <v>44760</v>
      </c>
      <c r="BE482" s="158">
        <v>706786</v>
      </c>
      <c r="BF482" s="152" t="s">
        <v>4010</v>
      </c>
      <c r="BG482" s="159" t="s">
        <v>894</v>
      </c>
      <c r="BH482" s="152">
        <v>229.65</v>
      </c>
      <c r="BI482" s="152">
        <v>0</v>
      </c>
      <c r="BJ482" s="152">
        <v>0</v>
      </c>
      <c r="BK482" s="152" t="s">
        <v>132</v>
      </c>
      <c r="BL482" s="152">
        <v>229.65</v>
      </c>
      <c r="BM482" s="152">
        <v>889415</v>
      </c>
      <c r="BN482" s="157" t="s">
        <v>1453</v>
      </c>
    </row>
    <row r="483" spans="1:66">
      <c r="A483" s="152" t="s">
        <v>3929</v>
      </c>
      <c r="B483" s="152" t="s">
        <v>3930</v>
      </c>
      <c r="C483" s="152" t="s">
        <v>3931</v>
      </c>
      <c r="D483" s="152" t="s">
        <v>3932</v>
      </c>
      <c r="E483" s="152" t="s">
        <v>3932</v>
      </c>
      <c r="F483" s="152">
        <v>2570</v>
      </c>
      <c r="G483" s="152">
        <v>70</v>
      </c>
      <c r="H483" s="152" t="s">
        <v>2509</v>
      </c>
      <c r="I483" s="152">
        <v>203174</v>
      </c>
      <c r="J483" s="152">
        <v>436.9</v>
      </c>
      <c r="K483" s="152">
        <v>89859</v>
      </c>
      <c r="L483" s="159" t="s">
        <v>856</v>
      </c>
      <c r="M483" s="152" t="s">
        <v>92</v>
      </c>
      <c r="N483" s="152" t="s">
        <v>92</v>
      </c>
      <c r="O483" s="159" t="s">
        <v>856</v>
      </c>
      <c r="P483" s="159" t="s">
        <v>856</v>
      </c>
      <c r="Q483" s="152" t="s">
        <v>92</v>
      </c>
      <c r="R483" s="152" t="s">
        <v>92</v>
      </c>
      <c r="S483" s="159" t="s">
        <v>856</v>
      </c>
      <c r="T483" s="159" t="s">
        <v>856</v>
      </c>
      <c r="U483" s="159" t="s">
        <v>856</v>
      </c>
      <c r="V483" s="152" t="s">
        <v>3530</v>
      </c>
      <c r="W483" s="152" t="s">
        <v>858</v>
      </c>
      <c r="X483" s="152" t="s">
        <v>1083</v>
      </c>
      <c r="Y483" s="152">
        <v>0</v>
      </c>
      <c r="Z483" s="152">
        <v>1</v>
      </c>
      <c r="AA483" s="152" t="s">
        <v>92</v>
      </c>
      <c r="AB483" s="152">
        <v>88.27</v>
      </c>
      <c r="AC483" s="152">
        <v>1</v>
      </c>
      <c r="AD483" s="152" t="s">
        <v>861</v>
      </c>
      <c r="AE483" s="152">
        <v>88.27</v>
      </c>
      <c r="AF483" s="152">
        <v>0</v>
      </c>
      <c r="AG483" s="152" t="s">
        <v>861</v>
      </c>
      <c r="AH483" s="152" t="s">
        <v>861</v>
      </c>
      <c r="AI483" s="152" t="s">
        <v>92</v>
      </c>
      <c r="AJ483" s="152" t="s">
        <v>92</v>
      </c>
      <c r="AK483" s="152" t="s">
        <v>862</v>
      </c>
      <c r="AL483" s="159" t="s">
        <v>856</v>
      </c>
      <c r="AP483" s="159" t="s">
        <v>856</v>
      </c>
      <c r="AQ483" s="159" t="s">
        <v>856</v>
      </c>
      <c r="AR483" s="159" t="s">
        <v>3821</v>
      </c>
      <c r="AS483" s="159" t="s">
        <v>865</v>
      </c>
      <c r="AT483" s="152" t="str">
        <f t="shared" si="36"/>
        <v>RPND6-240722</v>
      </c>
      <c r="AU483" s="152" t="str">
        <f t="shared" si="37"/>
        <v>CINDY LUCERO DE LEON ARAGON</v>
      </c>
      <c r="AV483" s="159">
        <v>889.76</v>
      </c>
      <c r="AW483" s="159">
        <v>890779</v>
      </c>
      <c r="AX483" s="159" t="s">
        <v>856</v>
      </c>
      <c r="AY483" s="159" t="s">
        <v>856</v>
      </c>
      <c r="AZ483" s="152" t="s">
        <v>864</v>
      </c>
      <c r="BA483" s="152" t="str">
        <f t="shared" si="38"/>
        <v>L22-571-JM115</v>
      </c>
      <c r="BB483" s="152">
        <v>0</v>
      </c>
      <c r="BC483" s="157">
        <v>44782</v>
      </c>
      <c r="BD483" s="157">
        <v>44782</v>
      </c>
      <c r="BE483" s="158">
        <v>176540</v>
      </c>
      <c r="BF483" s="152" t="s">
        <v>3933</v>
      </c>
      <c r="BG483" s="159" t="s">
        <v>894</v>
      </c>
      <c r="BH483" s="152">
        <v>88.27</v>
      </c>
      <c r="BI483" s="152">
        <v>0</v>
      </c>
      <c r="BJ483" s="152">
        <v>0</v>
      </c>
      <c r="BK483" s="152" t="s">
        <v>132</v>
      </c>
      <c r="BL483" s="152">
        <v>88.27</v>
      </c>
      <c r="BM483" s="152">
        <v>890780</v>
      </c>
      <c r="BN483" s="157" t="s">
        <v>1453</v>
      </c>
    </row>
    <row r="484" spans="1:66">
      <c r="A484" s="152" t="s">
        <v>3935</v>
      </c>
      <c r="B484" s="152" t="s">
        <v>3936</v>
      </c>
      <c r="C484" s="152" t="s">
        <v>3938</v>
      </c>
      <c r="D484" s="152" t="s">
        <v>3937</v>
      </c>
      <c r="E484" s="152" t="s">
        <v>3939</v>
      </c>
      <c r="F484" s="152">
        <v>313157</v>
      </c>
      <c r="G484" s="152">
        <v>127</v>
      </c>
      <c r="H484" s="152">
        <v>761</v>
      </c>
      <c r="I484" s="152">
        <v>166193</v>
      </c>
      <c r="J484" s="152">
        <v>87</v>
      </c>
      <c r="K484" s="152">
        <v>63094</v>
      </c>
      <c r="L484" s="159" t="s">
        <v>3940</v>
      </c>
      <c r="M484" s="152" t="s">
        <v>883</v>
      </c>
      <c r="N484" s="152" t="s">
        <v>92</v>
      </c>
      <c r="O484" s="159">
        <v>11147</v>
      </c>
      <c r="P484" s="159" t="s">
        <v>1508</v>
      </c>
      <c r="Q484" s="152" t="s">
        <v>883</v>
      </c>
      <c r="R484" s="152" t="s">
        <v>92</v>
      </c>
      <c r="S484" s="159">
        <v>11147</v>
      </c>
      <c r="T484" s="159" t="s">
        <v>856</v>
      </c>
      <c r="U484" s="159" t="s">
        <v>856</v>
      </c>
      <c r="V484" s="152" t="s">
        <v>3530</v>
      </c>
      <c r="W484" s="152" t="s">
        <v>858</v>
      </c>
      <c r="X484" s="152" t="s">
        <v>1083</v>
      </c>
      <c r="Y484" s="152">
        <v>59.22</v>
      </c>
      <c r="Z484" s="152">
        <v>1</v>
      </c>
      <c r="AA484" s="152" t="s">
        <v>92</v>
      </c>
      <c r="AB484" s="152">
        <v>128.41999999999999</v>
      </c>
      <c r="AC484" s="152">
        <v>1</v>
      </c>
      <c r="AD484" s="152" t="s">
        <v>861</v>
      </c>
      <c r="AE484" s="152">
        <v>128.41999999999999</v>
      </c>
      <c r="AF484" s="152">
        <v>0</v>
      </c>
      <c r="AG484" s="152" t="s">
        <v>861</v>
      </c>
      <c r="AH484" s="152" t="s">
        <v>861</v>
      </c>
      <c r="AI484" s="152" t="s">
        <v>92</v>
      </c>
      <c r="AJ484" s="152" t="s">
        <v>92</v>
      </c>
      <c r="AK484" s="152" t="s">
        <v>972</v>
      </c>
      <c r="AL484" s="159" t="s">
        <v>856</v>
      </c>
      <c r="AP484" s="159" t="s">
        <v>856</v>
      </c>
      <c r="AQ484" s="159" t="s">
        <v>856</v>
      </c>
      <c r="AR484" s="159" t="s">
        <v>3549</v>
      </c>
      <c r="AS484" s="159" t="s">
        <v>865</v>
      </c>
      <c r="AT484" s="152" t="str">
        <f t="shared" si="36"/>
        <v>VUNT12-010522</v>
      </c>
      <c r="AU484" s="152" t="str">
        <f>D484</f>
        <v xml:space="preserve">1A. AVENIDA 5-32 LOTE 427 ZONA 12 </v>
      </c>
      <c r="AV484" s="159">
        <v>1759.36</v>
      </c>
      <c r="AW484" s="159">
        <v>891713</v>
      </c>
      <c r="AX484" s="159">
        <v>30</v>
      </c>
      <c r="AY484" s="159">
        <v>891716</v>
      </c>
      <c r="AZ484" s="152" t="s">
        <v>864</v>
      </c>
      <c r="BA484" s="152" t="str">
        <f t="shared" si="38"/>
        <v>L22-585-JM103</v>
      </c>
      <c r="BB484" s="152">
        <v>0</v>
      </c>
      <c r="BC484" s="157">
        <v>44789</v>
      </c>
      <c r="BD484" s="157">
        <v>44789</v>
      </c>
      <c r="BE484" s="158">
        <v>342617</v>
      </c>
      <c r="BF484" s="152" t="s">
        <v>3941</v>
      </c>
      <c r="BG484" s="159" t="s">
        <v>3779</v>
      </c>
      <c r="BH484" s="152">
        <v>128.41999999999999</v>
      </c>
      <c r="BI484" s="152">
        <v>0</v>
      </c>
      <c r="BJ484" s="152">
        <v>0</v>
      </c>
      <c r="BK484" s="152" t="s">
        <v>132</v>
      </c>
      <c r="BL484" s="152">
        <v>128.41999999999999</v>
      </c>
      <c r="BM484" s="152">
        <v>891715</v>
      </c>
      <c r="BN484" s="157" t="s">
        <v>1453</v>
      </c>
    </row>
    <row r="485" spans="1:66">
      <c r="A485" s="152" t="s">
        <v>3942</v>
      </c>
      <c r="B485" s="152" t="s">
        <v>3943</v>
      </c>
      <c r="C485" s="152" t="s">
        <v>3944</v>
      </c>
      <c r="D485" s="152" t="s">
        <v>3945</v>
      </c>
      <c r="E485" s="152" t="s">
        <v>3946</v>
      </c>
      <c r="F485" s="152">
        <v>47938</v>
      </c>
      <c r="G485" s="152">
        <v>171</v>
      </c>
      <c r="H485" s="152">
        <v>256</v>
      </c>
      <c r="I485" s="152">
        <v>9104</v>
      </c>
      <c r="J485" s="152">
        <v>218.5</v>
      </c>
      <c r="K485" s="152">
        <v>797</v>
      </c>
      <c r="L485" s="159" t="s">
        <v>3947</v>
      </c>
      <c r="M485" s="152" t="s">
        <v>883</v>
      </c>
      <c r="N485" s="152" t="s">
        <v>92</v>
      </c>
      <c r="O485" s="159">
        <v>16171</v>
      </c>
      <c r="P485" s="159" t="s">
        <v>3948</v>
      </c>
      <c r="Q485" s="152" t="s">
        <v>883</v>
      </c>
      <c r="R485" s="152" t="s">
        <v>92</v>
      </c>
      <c r="S485" s="159">
        <v>16171</v>
      </c>
      <c r="T485" s="159" t="s">
        <v>856</v>
      </c>
      <c r="U485" s="159" t="s">
        <v>856</v>
      </c>
      <c r="V485" s="152" t="s">
        <v>3949</v>
      </c>
      <c r="W485" s="152" t="s">
        <v>858</v>
      </c>
      <c r="X485" s="152" t="s">
        <v>1083</v>
      </c>
      <c r="Y485" s="152">
        <v>64.22</v>
      </c>
      <c r="Z485" s="152">
        <v>3</v>
      </c>
      <c r="AA485" s="152" t="s">
        <v>92</v>
      </c>
      <c r="AB485" s="152">
        <v>289.64</v>
      </c>
      <c r="AC485" s="152">
        <v>1</v>
      </c>
      <c r="AD485" s="152" t="s">
        <v>861</v>
      </c>
      <c r="AE485" s="152">
        <v>289.64</v>
      </c>
      <c r="AF485" s="152">
        <v>0</v>
      </c>
      <c r="AG485" s="152" t="s">
        <v>861</v>
      </c>
      <c r="AH485" s="152" t="s">
        <v>861</v>
      </c>
      <c r="AI485" s="152" t="s">
        <v>92</v>
      </c>
      <c r="AJ485" s="152" t="s">
        <v>92</v>
      </c>
      <c r="AK485" s="152" t="s">
        <v>972</v>
      </c>
      <c r="AL485" s="159" t="s">
        <v>856</v>
      </c>
      <c r="AP485" s="159" t="s">
        <v>856</v>
      </c>
      <c r="AQ485" s="159" t="s">
        <v>856</v>
      </c>
      <c r="AR485" s="159" t="s">
        <v>2224</v>
      </c>
      <c r="AS485" s="159" t="s">
        <v>865</v>
      </c>
      <c r="AT485" s="152" t="str">
        <f t="shared" si="36"/>
        <v>VUNR2-020322</v>
      </c>
      <c r="AU485" s="152" t="str">
        <f t="shared" si="37"/>
        <v xml:space="preserve">VICTOR MARIO REYES TZUL </v>
      </c>
      <c r="AV485" s="159">
        <v>3828.59</v>
      </c>
      <c r="AW485" s="159">
        <v>890371</v>
      </c>
      <c r="AX485" s="159">
        <v>54.2</v>
      </c>
      <c r="AY485" s="159">
        <v>890374</v>
      </c>
      <c r="AZ485" s="152" t="s">
        <v>864</v>
      </c>
      <c r="BA485" s="152" t="str">
        <f t="shared" si="38"/>
        <v>L22-648-LG074</v>
      </c>
      <c r="BB485" s="152">
        <v>0</v>
      </c>
      <c r="BC485" s="157">
        <v>44781</v>
      </c>
      <c r="BD485" s="157">
        <v>44781</v>
      </c>
      <c r="BE485" s="158">
        <v>626560.30000000005</v>
      </c>
      <c r="BF485" s="152" t="s">
        <v>3950</v>
      </c>
      <c r="BG485" s="159" t="s">
        <v>3951</v>
      </c>
      <c r="BH485" s="152">
        <v>289.64</v>
      </c>
      <c r="BI485" s="152">
        <v>0</v>
      </c>
      <c r="BJ485" s="152">
        <v>0</v>
      </c>
      <c r="BK485" s="152" t="s">
        <v>995</v>
      </c>
      <c r="BL485" s="152">
        <v>325.85000000000002</v>
      </c>
      <c r="BM485" s="152">
        <v>890373</v>
      </c>
      <c r="BN485" s="157">
        <v>45512</v>
      </c>
    </row>
    <row r="486" spans="1:66">
      <c r="A486" s="152" t="s">
        <v>3952</v>
      </c>
      <c r="B486" s="152" t="s">
        <v>3953</v>
      </c>
      <c r="C486" s="152" t="s">
        <v>3954</v>
      </c>
      <c r="D486" s="152" t="s">
        <v>3955</v>
      </c>
      <c r="E486" s="152" t="s">
        <v>3956</v>
      </c>
      <c r="F486" s="152">
        <v>270778</v>
      </c>
      <c r="G486" s="152">
        <v>248</v>
      </c>
      <c r="H486" s="152">
        <v>621</v>
      </c>
      <c r="I486" s="152">
        <v>205902</v>
      </c>
      <c r="J486" s="152">
        <v>122</v>
      </c>
      <c r="K486" s="152">
        <v>91793</v>
      </c>
      <c r="L486" s="159" t="s">
        <v>856</v>
      </c>
      <c r="M486" s="152" t="s">
        <v>92</v>
      </c>
      <c r="N486" s="152" t="s">
        <v>92</v>
      </c>
      <c r="O486" s="159" t="s">
        <v>856</v>
      </c>
      <c r="P486" s="159" t="s">
        <v>856</v>
      </c>
      <c r="Q486" s="152" t="s">
        <v>92</v>
      </c>
      <c r="R486" s="152" t="s">
        <v>92</v>
      </c>
      <c r="S486" s="159" t="s">
        <v>856</v>
      </c>
      <c r="T486" s="159" t="s">
        <v>856</v>
      </c>
      <c r="U486" s="159" t="s">
        <v>856</v>
      </c>
      <c r="V486" s="152" t="s">
        <v>3957</v>
      </c>
      <c r="W486" s="152" t="s">
        <v>858</v>
      </c>
      <c r="X486" s="152" t="s">
        <v>1083</v>
      </c>
      <c r="Y486" s="152">
        <v>0</v>
      </c>
      <c r="Z486" s="152">
        <v>1</v>
      </c>
      <c r="AA486" s="152" t="s">
        <v>92</v>
      </c>
      <c r="AB486" s="152">
        <v>34.51</v>
      </c>
      <c r="AC486" s="152">
        <v>1</v>
      </c>
      <c r="AD486" s="152" t="s">
        <v>861</v>
      </c>
      <c r="AE486" s="152">
        <v>34.51</v>
      </c>
      <c r="AF486" s="152">
        <v>0</v>
      </c>
      <c r="AG486" s="152" t="s">
        <v>861</v>
      </c>
      <c r="AH486" s="152" t="s">
        <v>861</v>
      </c>
      <c r="AI486" s="152" t="s">
        <v>92</v>
      </c>
      <c r="AJ486" s="152" t="s">
        <v>92</v>
      </c>
      <c r="AK486" s="152" t="s">
        <v>862</v>
      </c>
      <c r="AL486" s="159" t="s">
        <v>856</v>
      </c>
      <c r="AP486" s="159" t="s">
        <v>856</v>
      </c>
      <c r="AQ486" s="159" t="s">
        <v>856</v>
      </c>
      <c r="AR486" s="159" t="s">
        <v>3784</v>
      </c>
      <c r="AS486" s="159" t="s">
        <v>865</v>
      </c>
      <c r="AT486" s="152" t="str">
        <f t="shared" si="36"/>
        <v>RPNB6-220622</v>
      </c>
      <c r="AU486" s="152" t="str">
        <f t="shared" si="37"/>
        <v>VALERY REGINA BATZ CAYAX</v>
      </c>
      <c r="AV486" s="159">
        <v>144.94</v>
      </c>
      <c r="AW486" s="159">
        <v>891209</v>
      </c>
      <c r="AX486" s="159" t="s">
        <v>856</v>
      </c>
      <c r="AY486" s="159" t="s">
        <v>856</v>
      </c>
      <c r="AZ486" s="152" t="s">
        <v>864</v>
      </c>
      <c r="BA486" s="152" t="str">
        <f t="shared" si="38"/>
        <v>L22-570-JM108</v>
      </c>
      <c r="BB486" s="152">
        <v>0</v>
      </c>
      <c r="BC486" s="157">
        <v>44783</v>
      </c>
      <c r="BD486" s="157">
        <v>44783</v>
      </c>
      <c r="BE486" s="158">
        <v>34510</v>
      </c>
      <c r="BG486" s="159" t="s">
        <v>2033</v>
      </c>
      <c r="BI486" s="152">
        <v>0</v>
      </c>
      <c r="BJ486" s="152">
        <v>0</v>
      </c>
      <c r="BK486" s="152" t="s">
        <v>132</v>
      </c>
      <c r="BN486" s="157" t="s">
        <v>1453</v>
      </c>
    </row>
    <row r="487" spans="1:66">
      <c r="A487" s="152" t="s">
        <v>3958</v>
      </c>
      <c r="B487" s="152" t="s">
        <v>3959</v>
      </c>
      <c r="C487" s="152" t="s">
        <v>3960</v>
      </c>
      <c r="D487" s="152" t="s">
        <v>3961</v>
      </c>
      <c r="E487" s="152" t="s">
        <v>3962</v>
      </c>
      <c r="F487" s="152">
        <v>9511</v>
      </c>
      <c r="G487" s="152">
        <v>11</v>
      </c>
      <c r="H487" s="152" t="s">
        <v>2731</v>
      </c>
      <c r="I487" s="152">
        <v>187980</v>
      </c>
      <c r="J487" s="152">
        <v>399.49</v>
      </c>
      <c r="K487" s="152">
        <v>78105</v>
      </c>
      <c r="L487" s="159" t="s">
        <v>1564</v>
      </c>
      <c r="M487" s="152" t="s">
        <v>92</v>
      </c>
      <c r="N487" s="152" t="s">
        <v>883</v>
      </c>
      <c r="O487" s="159">
        <v>3010</v>
      </c>
      <c r="P487" s="159" t="s">
        <v>1564</v>
      </c>
      <c r="Q487" s="152" t="s">
        <v>92</v>
      </c>
      <c r="R487" s="152" t="s">
        <v>883</v>
      </c>
      <c r="S487" s="159">
        <v>3010</v>
      </c>
      <c r="T487" s="159" t="s">
        <v>856</v>
      </c>
      <c r="U487" s="159" t="s">
        <v>856</v>
      </c>
      <c r="V487" s="152" t="s">
        <v>3530</v>
      </c>
      <c r="W487" s="152" t="s">
        <v>858</v>
      </c>
      <c r="X487" s="152" t="s">
        <v>1083</v>
      </c>
      <c r="Y487" s="152">
        <v>297.83999999999997</v>
      </c>
      <c r="Z487" s="152">
        <v>1</v>
      </c>
      <c r="AA487" s="152" t="s">
        <v>92</v>
      </c>
      <c r="AB487" s="152">
        <v>254.02</v>
      </c>
      <c r="AC487" s="152">
        <v>3</v>
      </c>
      <c r="AD487" s="152" t="s">
        <v>861</v>
      </c>
      <c r="AE487" s="152">
        <v>254.02</v>
      </c>
      <c r="AF487" s="152">
        <v>0</v>
      </c>
      <c r="AG487" s="152">
        <v>245.28</v>
      </c>
      <c r="AH487" s="152" t="s">
        <v>861</v>
      </c>
      <c r="AI487" s="152" t="s">
        <v>92</v>
      </c>
      <c r="AJ487" s="152" t="s">
        <v>92</v>
      </c>
      <c r="AK487" s="152" t="s">
        <v>912</v>
      </c>
      <c r="AL487" s="159" t="s">
        <v>856</v>
      </c>
      <c r="AP487" s="159" t="s">
        <v>856</v>
      </c>
      <c r="AQ487" s="159" t="s">
        <v>856</v>
      </c>
      <c r="AR487" s="159" t="s">
        <v>1953</v>
      </c>
      <c r="AS487" s="159" t="s">
        <v>865</v>
      </c>
      <c r="AT487" s="152" t="str">
        <f t="shared" si="36"/>
        <v>RPNA12-090722</v>
      </c>
      <c r="AU487" s="152" t="str">
        <f t="shared" si="37"/>
        <v>RENE GUILLERMO AMEZQUITA BARRIOS</v>
      </c>
      <c r="AV487" s="159">
        <v>4613.55</v>
      </c>
      <c r="AW487" s="159">
        <v>893392</v>
      </c>
      <c r="AX487" s="159">
        <v>133.25</v>
      </c>
      <c r="AY487" s="159">
        <v>883394</v>
      </c>
      <c r="AZ487" s="152" t="s">
        <v>864</v>
      </c>
      <c r="BA487" s="152" t="str">
        <f t="shared" si="38"/>
        <v>L22-650-NR092</v>
      </c>
      <c r="BB487" s="152">
        <v>0</v>
      </c>
      <c r="BC487" s="157">
        <v>44803</v>
      </c>
      <c r="BD487" s="157">
        <v>44803</v>
      </c>
      <c r="BE487" s="158">
        <v>872604</v>
      </c>
      <c r="BF487" s="152" t="s">
        <v>3963</v>
      </c>
      <c r="BG487" s="159" t="s">
        <v>894</v>
      </c>
      <c r="BH487" s="152">
        <v>254.02</v>
      </c>
      <c r="BI487" s="152">
        <v>0</v>
      </c>
      <c r="BJ487" s="152">
        <v>0</v>
      </c>
      <c r="BK487" s="152" t="s">
        <v>132</v>
      </c>
      <c r="BL487" s="152">
        <v>254.02</v>
      </c>
      <c r="BM487" s="152">
        <v>893397</v>
      </c>
      <c r="BN487" s="157" t="s">
        <v>1453</v>
      </c>
    </row>
    <row r="488" spans="1:66">
      <c r="A488" s="152" t="s">
        <v>3964</v>
      </c>
      <c r="B488" s="152" t="s">
        <v>3965</v>
      </c>
      <c r="C488" s="152" t="s">
        <v>3966</v>
      </c>
      <c r="D488" s="152" t="s">
        <v>3967</v>
      </c>
      <c r="E488" s="152" t="s">
        <v>3968</v>
      </c>
      <c r="F488" s="159" t="s">
        <v>865</v>
      </c>
      <c r="G488" s="159" t="s">
        <v>865</v>
      </c>
      <c r="H488" s="159" t="s">
        <v>865</v>
      </c>
      <c r="I488" s="152">
        <v>204882</v>
      </c>
      <c r="J488" s="152">
        <v>151</v>
      </c>
      <c r="K488" s="152">
        <v>91025</v>
      </c>
      <c r="L488" s="159" t="s">
        <v>856</v>
      </c>
      <c r="M488" s="152" t="s">
        <v>92</v>
      </c>
      <c r="N488" s="152" t="s">
        <v>92</v>
      </c>
      <c r="O488" s="159" t="s">
        <v>856</v>
      </c>
      <c r="P488" s="159" t="s">
        <v>856</v>
      </c>
      <c r="Q488" s="152" t="s">
        <v>92</v>
      </c>
      <c r="R488" s="152" t="s">
        <v>92</v>
      </c>
      <c r="S488" s="159" t="s">
        <v>856</v>
      </c>
      <c r="T488" s="159" t="s">
        <v>856</v>
      </c>
      <c r="U488" s="159" t="s">
        <v>856</v>
      </c>
      <c r="V488" s="152" t="s">
        <v>3530</v>
      </c>
      <c r="W488" s="152" t="s">
        <v>858</v>
      </c>
      <c r="X488" s="152" t="s">
        <v>1083</v>
      </c>
      <c r="Y488" s="152">
        <v>40.520000000000003</v>
      </c>
      <c r="Z488" s="152">
        <v>1</v>
      </c>
      <c r="AA488" s="152" t="s">
        <v>92</v>
      </c>
      <c r="AB488" s="152">
        <v>129.04</v>
      </c>
      <c r="AC488" s="152">
        <v>1</v>
      </c>
      <c r="AD488" s="152" t="s">
        <v>861</v>
      </c>
      <c r="AE488" s="152">
        <v>129.04</v>
      </c>
      <c r="AF488" s="152">
        <v>0</v>
      </c>
      <c r="AG488" s="152" t="s">
        <v>861</v>
      </c>
      <c r="AH488" s="152" t="s">
        <v>861</v>
      </c>
      <c r="AI488" s="152" t="s">
        <v>92</v>
      </c>
      <c r="AJ488" s="152" t="s">
        <v>92</v>
      </c>
      <c r="AK488" s="152" t="s">
        <v>1620</v>
      </c>
      <c r="AL488" s="159" t="s">
        <v>856</v>
      </c>
      <c r="AP488" s="159" t="s">
        <v>856</v>
      </c>
      <c r="AQ488" s="159" t="s">
        <v>856</v>
      </c>
      <c r="AR488" s="159" t="s">
        <v>3723</v>
      </c>
      <c r="AS488" s="159" t="s">
        <v>865</v>
      </c>
      <c r="AT488" s="152" t="str">
        <f t="shared" si="36"/>
        <v>RPNMR-130222</v>
      </c>
      <c r="AU488" s="152" t="str">
        <f t="shared" si="37"/>
        <v>MARIA OFELIA GARCIA SON DE MAZARIEGOS</v>
      </c>
      <c r="AV488" s="159">
        <v>1380.15</v>
      </c>
      <c r="AW488" s="159">
        <v>892155</v>
      </c>
      <c r="AX488" s="159">
        <v>50</v>
      </c>
      <c r="AY488" s="159">
        <v>892157</v>
      </c>
      <c r="AZ488" s="152" t="s">
        <v>864</v>
      </c>
      <c r="BA488" s="152" t="str">
        <f t="shared" si="38"/>
        <v>L22-600-AQ147</v>
      </c>
      <c r="BB488" s="152">
        <v>0</v>
      </c>
      <c r="BC488" s="157">
        <v>44801</v>
      </c>
      <c r="BD488" s="157">
        <v>44801</v>
      </c>
      <c r="BE488" s="158">
        <v>272263.40000000002</v>
      </c>
      <c r="BF488" s="152" t="s">
        <v>3969</v>
      </c>
      <c r="BG488" s="159" t="s">
        <v>894</v>
      </c>
      <c r="BH488" s="152">
        <v>129.04</v>
      </c>
      <c r="BI488" s="152">
        <v>0</v>
      </c>
      <c r="BJ488" s="152">
        <v>0</v>
      </c>
      <c r="BK488" s="152" t="s">
        <v>132</v>
      </c>
      <c r="BL488" s="152">
        <v>129.04</v>
      </c>
      <c r="BM488" s="152">
        <v>892156</v>
      </c>
      <c r="BN488" s="157" t="s">
        <v>1453</v>
      </c>
    </row>
    <row r="489" spans="1:66">
      <c r="A489" s="152" t="s">
        <v>3970</v>
      </c>
      <c r="B489" s="152" t="s">
        <v>3971</v>
      </c>
      <c r="C489" s="152" t="s">
        <v>3972</v>
      </c>
      <c r="D489" s="152" t="s">
        <v>3973</v>
      </c>
      <c r="E489" s="152" t="s">
        <v>3974</v>
      </c>
      <c r="F489" s="152">
        <v>323020</v>
      </c>
      <c r="G489" s="152">
        <v>90</v>
      </c>
      <c r="H489" s="152">
        <v>795</v>
      </c>
      <c r="I489" s="152">
        <v>199976</v>
      </c>
      <c r="J489" s="152">
        <v>250.1</v>
      </c>
      <c r="K489" s="152">
        <v>87287</v>
      </c>
      <c r="L489" s="159" t="s">
        <v>3975</v>
      </c>
      <c r="M489" s="152" t="s">
        <v>92</v>
      </c>
      <c r="N489" s="152" t="s">
        <v>883</v>
      </c>
      <c r="O489" s="159">
        <v>483</v>
      </c>
      <c r="P489" s="159" t="s">
        <v>3976</v>
      </c>
      <c r="Q489" s="152" t="s">
        <v>92</v>
      </c>
      <c r="R489" s="152" t="s">
        <v>883</v>
      </c>
      <c r="S489" s="159">
        <v>483</v>
      </c>
      <c r="T489" s="159" t="s">
        <v>856</v>
      </c>
      <c r="U489" s="159" t="s">
        <v>856</v>
      </c>
      <c r="V489" s="152" t="s">
        <v>3977</v>
      </c>
      <c r="W489" s="152" t="s">
        <v>858</v>
      </c>
      <c r="X489" s="152" t="s">
        <v>1083</v>
      </c>
      <c r="Y489" s="152">
        <v>0</v>
      </c>
      <c r="Z489" s="152">
        <v>5</v>
      </c>
      <c r="AA489" s="152" t="s">
        <v>92</v>
      </c>
      <c r="AB489" s="152">
        <v>872.97</v>
      </c>
      <c r="AC489" s="152">
        <v>2</v>
      </c>
      <c r="AD489" s="152" t="s">
        <v>861</v>
      </c>
      <c r="AE489" s="152">
        <v>872.97</v>
      </c>
      <c r="AF489" s="152">
        <v>0</v>
      </c>
      <c r="AG489" s="152" t="s">
        <v>861</v>
      </c>
      <c r="AH489" s="152" t="s">
        <v>861</v>
      </c>
      <c r="AI489" s="152" t="s">
        <v>92</v>
      </c>
      <c r="AJ489" s="152" t="s">
        <v>92</v>
      </c>
      <c r="AK489" s="152" t="s">
        <v>872</v>
      </c>
      <c r="AL489" s="159" t="s">
        <v>856</v>
      </c>
      <c r="AP489" s="159" t="s">
        <v>856</v>
      </c>
      <c r="AQ489" s="159" t="s">
        <v>856</v>
      </c>
      <c r="AR489" s="159" t="s">
        <v>1953</v>
      </c>
      <c r="AS489" s="159" t="s">
        <v>865</v>
      </c>
      <c r="AT489" s="152" t="str">
        <f t="shared" si="36"/>
        <v>VUNP9-041221</v>
      </c>
      <c r="AU489" s="152" t="str">
        <f t="shared" si="37"/>
        <v xml:space="preserve">MILDRED NINETT PARDO RODAS </v>
      </c>
      <c r="AV489" s="159">
        <v>11005.69</v>
      </c>
      <c r="AW489" s="159">
        <v>891162</v>
      </c>
      <c r="AX489" s="159">
        <v>73.599999999999994</v>
      </c>
      <c r="AY489" s="159">
        <v>891165</v>
      </c>
      <c r="AZ489" s="152" t="s">
        <v>864</v>
      </c>
      <c r="BA489" s="152" t="str">
        <f t="shared" si="38"/>
        <v>L22-565-NR038</v>
      </c>
      <c r="BB489" s="152">
        <v>0</v>
      </c>
      <c r="BC489" s="157">
        <v>44782</v>
      </c>
      <c r="BD489" s="157">
        <v>44782</v>
      </c>
      <c r="BE489" s="158">
        <v>1857295</v>
      </c>
      <c r="BF489" s="152" t="s">
        <v>3978</v>
      </c>
      <c r="BG489" s="159" t="s">
        <v>3979</v>
      </c>
      <c r="BH489" s="152">
        <v>872.97</v>
      </c>
      <c r="BI489" s="152">
        <v>0</v>
      </c>
      <c r="BJ489" s="152">
        <v>0</v>
      </c>
      <c r="BK489" s="152" t="s">
        <v>995</v>
      </c>
      <c r="BL489" s="152">
        <v>989.41</v>
      </c>
      <c r="BM489" s="152">
        <v>891164</v>
      </c>
      <c r="BN489" s="157">
        <v>45513</v>
      </c>
    </row>
    <row r="490" spans="1:66">
      <c r="A490" s="152" t="s">
        <v>3980</v>
      </c>
      <c r="B490" s="152" t="s">
        <v>3981</v>
      </c>
      <c r="C490" s="152" t="s">
        <v>3982</v>
      </c>
      <c r="D490" s="152" t="s">
        <v>3983</v>
      </c>
      <c r="E490" s="152" t="s">
        <v>3983</v>
      </c>
      <c r="F490" s="152">
        <v>3583</v>
      </c>
      <c r="G490" s="152">
        <v>83</v>
      </c>
      <c r="H490" s="152" t="s">
        <v>3984</v>
      </c>
      <c r="I490" s="152">
        <v>205451</v>
      </c>
      <c r="J490" s="152">
        <v>90</v>
      </c>
      <c r="K490" s="152">
        <v>91470</v>
      </c>
      <c r="L490" s="159" t="s">
        <v>856</v>
      </c>
      <c r="M490" s="152" t="s">
        <v>92</v>
      </c>
      <c r="N490" s="152" t="s">
        <v>92</v>
      </c>
      <c r="O490" s="159" t="s">
        <v>856</v>
      </c>
      <c r="P490" s="159" t="s">
        <v>856</v>
      </c>
      <c r="Q490" s="152" t="s">
        <v>92</v>
      </c>
      <c r="R490" s="152" t="s">
        <v>92</v>
      </c>
      <c r="S490" s="159" t="s">
        <v>856</v>
      </c>
      <c r="T490" s="159" t="s">
        <v>856</v>
      </c>
      <c r="U490" s="159" t="s">
        <v>856</v>
      </c>
      <c r="V490" s="152" t="s">
        <v>3530</v>
      </c>
      <c r="W490" s="152" t="s">
        <v>858</v>
      </c>
      <c r="X490" s="152" t="s">
        <v>1083</v>
      </c>
      <c r="Y490" s="152">
        <v>0</v>
      </c>
      <c r="Z490" s="152">
        <v>1</v>
      </c>
      <c r="AA490" s="152" t="s">
        <v>92</v>
      </c>
      <c r="AB490" s="152">
        <v>65.62</v>
      </c>
      <c r="AC490" s="152">
        <v>1</v>
      </c>
      <c r="AD490" s="152" t="s">
        <v>861</v>
      </c>
      <c r="AE490" s="152">
        <v>65.62</v>
      </c>
      <c r="AF490" s="152">
        <v>0</v>
      </c>
      <c r="AG490" s="152" t="s">
        <v>861</v>
      </c>
      <c r="AH490" s="152" t="s">
        <v>861</v>
      </c>
      <c r="AI490" s="152" t="s">
        <v>92</v>
      </c>
      <c r="AJ490" s="152" t="s">
        <v>92</v>
      </c>
      <c r="AK490" s="152" t="s">
        <v>972</v>
      </c>
      <c r="AL490" s="159" t="s">
        <v>856</v>
      </c>
      <c r="AP490" s="159" t="s">
        <v>856</v>
      </c>
      <c r="AQ490" s="159" t="s">
        <v>856</v>
      </c>
      <c r="AR490" s="159" t="s">
        <v>3821</v>
      </c>
      <c r="AS490" s="159" t="s">
        <v>865</v>
      </c>
      <c r="AT490" s="152" t="str">
        <f t="shared" si="36"/>
        <v>RPNP11-230722</v>
      </c>
      <c r="AU490" s="152" t="str">
        <f t="shared" si="37"/>
        <v>BRANDON JACINTO ISAAC PEREZ BERNAL</v>
      </c>
      <c r="AV490" s="159">
        <v>661.45</v>
      </c>
      <c r="AW490" s="159">
        <v>890728</v>
      </c>
      <c r="AX490" s="159">
        <v>30</v>
      </c>
      <c r="AY490" s="159">
        <v>890730</v>
      </c>
      <c r="AZ490" s="152" t="s">
        <v>864</v>
      </c>
      <c r="BA490" s="152" t="str">
        <f t="shared" si="38"/>
        <v>L22-578-KM003</v>
      </c>
      <c r="BB490" s="152">
        <v>0</v>
      </c>
      <c r="BC490" s="157">
        <v>44781</v>
      </c>
      <c r="BD490" s="157">
        <v>44781</v>
      </c>
      <c r="BE490" s="158">
        <v>131240</v>
      </c>
      <c r="BF490" s="152" t="s">
        <v>3985</v>
      </c>
      <c r="BG490" s="159" t="s">
        <v>894</v>
      </c>
      <c r="BH490" s="152">
        <v>65.62</v>
      </c>
      <c r="BI490" s="152">
        <v>0</v>
      </c>
      <c r="BJ490" s="152">
        <v>0</v>
      </c>
      <c r="BK490" s="152" t="s">
        <v>132</v>
      </c>
      <c r="BL490" s="152">
        <v>65.62</v>
      </c>
      <c r="BM490" s="152">
        <v>890729</v>
      </c>
      <c r="BN490" s="157" t="s">
        <v>1453</v>
      </c>
    </row>
    <row r="491" spans="1:66">
      <c r="A491" s="152" t="s">
        <v>3986</v>
      </c>
      <c r="B491" s="152" t="s">
        <v>3987</v>
      </c>
      <c r="C491" s="152" t="s">
        <v>3988</v>
      </c>
      <c r="D491" s="152" t="s">
        <v>3989</v>
      </c>
      <c r="E491" s="152" t="s">
        <v>3990</v>
      </c>
      <c r="F491" s="152">
        <v>1582</v>
      </c>
      <c r="G491" s="152">
        <v>82</v>
      </c>
      <c r="H491" s="152" t="s">
        <v>3991</v>
      </c>
      <c r="I491" s="152">
        <v>200892</v>
      </c>
      <c r="J491" s="152">
        <v>85.56</v>
      </c>
      <c r="K491" s="152">
        <v>87989</v>
      </c>
      <c r="L491" s="159" t="s">
        <v>3992</v>
      </c>
      <c r="M491" s="152" t="s">
        <v>883</v>
      </c>
      <c r="N491" s="152" t="s">
        <v>92</v>
      </c>
      <c r="O491" s="159">
        <v>19798</v>
      </c>
      <c r="P491" s="159" t="s">
        <v>3992</v>
      </c>
      <c r="Q491" s="152" t="s">
        <v>883</v>
      </c>
      <c r="R491" s="152" t="s">
        <v>92</v>
      </c>
      <c r="S491" s="159">
        <v>19798</v>
      </c>
      <c r="T491" s="159" t="s">
        <v>856</v>
      </c>
      <c r="U491" s="159" t="s">
        <v>856</v>
      </c>
      <c r="V491" s="152" t="s">
        <v>3530</v>
      </c>
      <c r="W491" s="152" t="s">
        <v>858</v>
      </c>
      <c r="X491" s="152" t="s">
        <v>1083</v>
      </c>
      <c r="Y491" s="152">
        <v>24.2</v>
      </c>
      <c r="Z491" s="152">
        <v>1</v>
      </c>
      <c r="AA491" s="152" t="s">
        <v>92</v>
      </c>
      <c r="AB491" s="152">
        <v>67.95</v>
      </c>
      <c r="AC491" s="152">
        <v>1</v>
      </c>
      <c r="AD491" s="152" t="s">
        <v>861</v>
      </c>
      <c r="AE491" s="152">
        <v>67.95</v>
      </c>
      <c r="AF491" s="152">
        <v>0</v>
      </c>
      <c r="AG491" s="152" t="s">
        <v>861</v>
      </c>
      <c r="AH491" s="152" t="s">
        <v>861</v>
      </c>
      <c r="AI491" s="152" t="s">
        <v>92</v>
      </c>
      <c r="AJ491" s="152" t="s">
        <v>92</v>
      </c>
      <c r="AK491" s="152" t="s">
        <v>912</v>
      </c>
      <c r="AL491" s="159" t="s">
        <v>856</v>
      </c>
      <c r="AP491" s="159" t="s">
        <v>856</v>
      </c>
      <c r="AQ491" s="159" t="s">
        <v>856</v>
      </c>
      <c r="AR491" s="159" t="s">
        <v>3549</v>
      </c>
      <c r="AS491" s="159" t="s">
        <v>865</v>
      </c>
      <c r="AT491" s="152" t="str">
        <f t="shared" si="36"/>
        <v>VUNA6-010222</v>
      </c>
      <c r="AU491" s="152" t="str">
        <f t="shared" si="37"/>
        <v xml:space="preserve">SANTOS ALVAREZ GARCIA </v>
      </c>
      <c r="AV491" s="159">
        <v>732.37</v>
      </c>
      <c r="AW491" s="159">
        <v>891743</v>
      </c>
      <c r="AX491" s="159">
        <v>50.5</v>
      </c>
      <c r="AY491" s="159">
        <v>891746</v>
      </c>
      <c r="AZ491" s="152" t="s">
        <v>864</v>
      </c>
      <c r="BA491" s="152" t="str">
        <f t="shared" si="38"/>
        <v>L22-584-JM118</v>
      </c>
      <c r="BB491" s="152">
        <v>0</v>
      </c>
      <c r="BC491" s="157">
        <v>44789</v>
      </c>
      <c r="BD491" s="157">
        <v>44789</v>
      </c>
      <c r="BE491" s="158">
        <v>144370</v>
      </c>
      <c r="BF491" s="152" t="s">
        <v>3993</v>
      </c>
      <c r="BG491" s="159" t="s">
        <v>3994</v>
      </c>
      <c r="BH491" s="152">
        <v>67.95</v>
      </c>
      <c r="BI491" s="152">
        <v>0</v>
      </c>
      <c r="BJ491" s="152">
        <v>0</v>
      </c>
      <c r="BK491" s="152" t="s">
        <v>132</v>
      </c>
      <c r="BL491" s="152">
        <v>67.95</v>
      </c>
      <c r="BM491" s="152">
        <v>891745</v>
      </c>
      <c r="BN491" s="157" t="s">
        <v>1453</v>
      </c>
    </row>
    <row r="492" spans="1:66">
      <c r="A492" s="152" t="s">
        <v>3995</v>
      </c>
      <c r="B492" s="152" t="s">
        <v>3996</v>
      </c>
      <c r="C492" s="152" t="s">
        <v>3997</v>
      </c>
      <c r="D492" s="152" t="s">
        <v>3998</v>
      </c>
      <c r="E492" s="152" t="s">
        <v>3999</v>
      </c>
      <c r="F492" s="152">
        <v>9858</v>
      </c>
      <c r="G492" s="152">
        <v>358</v>
      </c>
      <c r="H492" s="152" t="s">
        <v>1422</v>
      </c>
      <c r="I492" s="152">
        <v>201700</v>
      </c>
      <c r="J492" s="152">
        <v>506.55</v>
      </c>
      <c r="K492" s="152">
        <v>88265</v>
      </c>
      <c r="L492" s="159" t="s">
        <v>3772</v>
      </c>
      <c r="M492" s="152" t="s">
        <v>92</v>
      </c>
      <c r="N492" s="152" t="s">
        <v>883</v>
      </c>
      <c r="O492" s="159">
        <v>4293</v>
      </c>
      <c r="P492" s="159" t="s">
        <v>3997</v>
      </c>
      <c r="Q492" s="152" t="s">
        <v>883</v>
      </c>
      <c r="R492" s="152" t="s">
        <v>92</v>
      </c>
      <c r="S492" s="159">
        <v>1067</v>
      </c>
      <c r="T492" s="159" t="s">
        <v>856</v>
      </c>
      <c r="U492" s="159" t="s">
        <v>856</v>
      </c>
      <c r="V492" s="152" t="s">
        <v>4000</v>
      </c>
      <c r="W492" s="152" t="s">
        <v>858</v>
      </c>
      <c r="X492" s="152" t="s">
        <v>1083</v>
      </c>
      <c r="Y492" s="152">
        <v>111.51</v>
      </c>
      <c r="Z492" s="152">
        <v>0</v>
      </c>
      <c r="AA492" s="152" t="s">
        <v>92</v>
      </c>
      <c r="AB492" s="152">
        <v>35.520000000000003</v>
      </c>
      <c r="AC492" s="152">
        <v>1</v>
      </c>
      <c r="AD492" s="152" t="s">
        <v>861</v>
      </c>
      <c r="AE492" s="152">
        <v>0</v>
      </c>
      <c r="AF492" s="152">
        <v>0</v>
      </c>
      <c r="AG492" s="152" t="s">
        <v>861</v>
      </c>
      <c r="AH492" s="152" t="s">
        <v>861</v>
      </c>
      <c r="AI492" s="152" t="s">
        <v>92</v>
      </c>
      <c r="AJ492" s="152" t="s">
        <v>92</v>
      </c>
      <c r="AK492" s="152" t="s">
        <v>862</v>
      </c>
      <c r="AL492" s="159" t="s">
        <v>856</v>
      </c>
      <c r="AP492" s="159" t="s">
        <v>856</v>
      </c>
      <c r="AQ492" s="159" t="s">
        <v>856</v>
      </c>
      <c r="AR492" s="159" t="s">
        <v>3698</v>
      </c>
      <c r="AS492" s="159" t="s">
        <v>865</v>
      </c>
      <c r="AT492" s="152" t="str">
        <f t="shared" si="36"/>
        <v>RPNM11-170222</v>
      </c>
      <c r="AU492" s="152" t="str">
        <f t="shared" si="37"/>
        <v xml:space="preserve">CESAR AUGUSTO MORALES YAX </v>
      </c>
      <c r="AV492" s="159">
        <v>1264.28</v>
      </c>
      <c r="AW492" s="159">
        <v>886073</v>
      </c>
      <c r="AX492" s="159" t="s">
        <v>856</v>
      </c>
      <c r="AY492" s="159" t="s">
        <v>856</v>
      </c>
      <c r="AZ492" s="152" t="s">
        <v>864</v>
      </c>
      <c r="BA492" s="152" t="str">
        <f t="shared" si="38"/>
        <v>L22-506-NR100</v>
      </c>
      <c r="BB492" s="152">
        <v>0</v>
      </c>
      <c r="BC492" s="157">
        <v>44749</v>
      </c>
      <c r="BD492" s="157">
        <v>44749</v>
      </c>
      <c r="BE492" s="158">
        <v>80124</v>
      </c>
      <c r="BF492" s="152" t="s">
        <v>4001</v>
      </c>
      <c r="BG492" s="159" t="s">
        <v>4002</v>
      </c>
      <c r="BH492" s="152">
        <v>35.520000000000003</v>
      </c>
      <c r="BI492" s="152">
        <v>0</v>
      </c>
      <c r="BJ492" s="152">
        <v>0</v>
      </c>
      <c r="BK492" s="152" t="s">
        <v>132</v>
      </c>
      <c r="BL492" s="152">
        <v>35.520000000000003</v>
      </c>
      <c r="BM492" s="152">
        <v>886074</v>
      </c>
      <c r="BN492" s="157" t="s">
        <v>1453</v>
      </c>
    </row>
    <row r="493" spans="1:66">
      <c r="A493" s="152" t="s">
        <v>4003</v>
      </c>
      <c r="B493" s="152" t="s">
        <v>4004</v>
      </c>
      <c r="C493" s="152" t="s">
        <v>3997</v>
      </c>
      <c r="D493" s="152" t="s">
        <v>3998</v>
      </c>
      <c r="E493" s="152" t="s">
        <v>3999</v>
      </c>
      <c r="F493" s="152">
        <v>9859</v>
      </c>
      <c r="G493" s="152">
        <v>358</v>
      </c>
      <c r="H493" s="152" t="s">
        <v>1422</v>
      </c>
      <c r="I493" s="152">
        <v>201700</v>
      </c>
      <c r="J493" s="152">
        <v>506.55</v>
      </c>
      <c r="K493" s="152">
        <v>88265</v>
      </c>
      <c r="L493" s="159" t="s">
        <v>3772</v>
      </c>
      <c r="M493" s="152" t="s">
        <v>92</v>
      </c>
      <c r="N493" s="152" t="s">
        <v>883</v>
      </c>
      <c r="O493" s="159">
        <v>4293</v>
      </c>
      <c r="P493" s="159" t="s">
        <v>3997</v>
      </c>
      <c r="Q493" s="152" t="s">
        <v>883</v>
      </c>
      <c r="R493" s="152" t="s">
        <v>92</v>
      </c>
      <c r="S493" s="159">
        <v>1067</v>
      </c>
      <c r="T493" s="159" t="s">
        <v>856</v>
      </c>
      <c r="U493" s="159" t="s">
        <v>856</v>
      </c>
      <c r="V493" s="152" t="s">
        <v>4005</v>
      </c>
      <c r="W493" s="152" t="s">
        <v>858</v>
      </c>
      <c r="X493" s="152" t="s">
        <v>1083</v>
      </c>
      <c r="Y493" s="152">
        <v>0</v>
      </c>
      <c r="Z493" s="152">
        <v>1</v>
      </c>
      <c r="AA493" s="152" t="s">
        <v>92</v>
      </c>
      <c r="AB493" s="152">
        <v>265.16000000000003</v>
      </c>
      <c r="AC493" s="152">
        <v>1</v>
      </c>
      <c r="AD493" s="152" t="s">
        <v>861</v>
      </c>
      <c r="AE493" s="152">
        <v>265.16000000000003</v>
      </c>
      <c r="AF493" s="152">
        <v>0</v>
      </c>
      <c r="AG493" s="152" t="s">
        <v>861</v>
      </c>
      <c r="AH493" s="152" t="s">
        <v>861</v>
      </c>
      <c r="AI493" s="152" t="s">
        <v>92</v>
      </c>
      <c r="AJ493" s="152" t="s">
        <v>92</v>
      </c>
      <c r="AL493" s="159" t="s">
        <v>856</v>
      </c>
      <c r="AP493" s="159" t="s">
        <v>4006</v>
      </c>
      <c r="AQ493" s="159" t="s">
        <v>4007</v>
      </c>
      <c r="AR493" s="159" t="s">
        <v>1953</v>
      </c>
      <c r="AS493" s="159" t="s">
        <v>865</v>
      </c>
      <c r="AT493" s="152" t="str">
        <f t="shared" si="36"/>
        <v>VUNM11-010222</v>
      </c>
      <c r="AU493" s="152" t="str">
        <f t="shared" si="37"/>
        <v xml:space="preserve">CESAR AUGUSTO MORALES YAX </v>
      </c>
      <c r="AV493" s="159">
        <v>5568.36</v>
      </c>
      <c r="AW493" s="159">
        <v>484745</v>
      </c>
      <c r="AX493" s="159" t="s">
        <v>856</v>
      </c>
      <c r="AY493" s="159" t="s">
        <v>856</v>
      </c>
      <c r="AZ493" s="152" t="s">
        <v>864</v>
      </c>
      <c r="BA493" s="152" t="str">
        <f t="shared" si="38"/>
        <v>L23-486-NR029</v>
      </c>
      <c r="BB493" s="152">
        <v>0</v>
      </c>
      <c r="BC493" s="157">
        <v>45226</v>
      </c>
      <c r="BD493" s="157">
        <v>45226</v>
      </c>
      <c r="BE493" s="158">
        <v>662900</v>
      </c>
      <c r="BF493" s="152" t="s">
        <v>4008</v>
      </c>
      <c r="BG493" s="159" t="s">
        <v>4002</v>
      </c>
      <c r="BH493" s="152">
        <v>265.16000000000003</v>
      </c>
      <c r="BI493" s="152">
        <v>0</v>
      </c>
      <c r="BJ493" s="152">
        <v>0</v>
      </c>
      <c r="BK493" s="152" t="s">
        <v>3759</v>
      </c>
      <c r="BL493" s="152">
        <v>331.45</v>
      </c>
      <c r="BM493" s="152">
        <v>484745</v>
      </c>
      <c r="BN493" s="157">
        <v>45957</v>
      </c>
    </row>
    <row r="494" spans="1:66">
      <c r="A494" s="152" t="s">
        <v>4011</v>
      </c>
      <c r="B494" s="152" t="s">
        <v>4012</v>
      </c>
      <c r="C494" s="152" t="s">
        <v>4013</v>
      </c>
      <c r="D494" s="152" t="s">
        <v>4014</v>
      </c>
      <c r="E494" s="152" t="s">
        <v>4014</v>
      </c>
      <c r="F494" s="152">
        <v>9128</v>
      </c>
      <c r="G494" s="152">
        <v>128</v>
      </c>
      <c r="H494" s="152" t="s">
        <v>4015</v>
      </c>
      <c r="I494" s="152">
        <v>200179</v>
      </c>
      <c r="J494" s="152">
        <v>109</v>
      </c>
      <c r="K494" s="152">
        <v>87420</v>
      </c>
      <c r="L494" s="159" t="s">
        <v>4016</v>
      </c>
      <c r="M494" s="152" t="s">
        <v>883</v>
      </c>
      <c r="N494" s="152" t="s">
        <v>92</v>
      </c>
      <c r="O494" s="159">
        <v>6627</v>
      </c>
      <c r="P494" s="159" t="s">
        <v>4016</v>
      </c>
      <c r="Q494" s="152" t="s">
        <v>883</v>
      </c>
      <c r="R494" s="152" t="s">
        <v>92</v>
      </c>
      <c r="S494" s="159">
        <v>6627</v>
      </c>
      <c r="T494" s="159" t="s">
        <v>856</v>
      </c>
      <c r="U494" s="159" t="s">
        <v>856</v>
      </c>
      <c r="V494" s="152" t="s">
        <v>4017</v>
      </c>
      <c r="W494" s="152" t="s">
        <v>858</v>
      </c>
      <c r="X494" s="152" t="s">
        <v>1083</v>
      </c>
      <c r="Y494" s="152">
        <v>0</v>
      </c>
      <c r="Z494" s="152">
        <v>0</v>
      </c>
      <c r="AA494" s="152" t="s">
        <v>92</v>
      </c>
      <c r="AB494" s="152">
        <v>43.4</v>
      </c>
      <c r="AC494" s="152">
        <v>1</v>
      </c>
      <c r="AD494" s="152" t="s">
        <v>861</v>
      </c>
      <c r="AE494" s="152">
        <v>43.4</v>
      </c>
      <c r="AF494" s="152">
        <v>0</v>
      </c>
      <c r="AG494" s="152" t="s">
        <v>861</v>
      </c>
      <c r="AH494" s="152" t="s">
        <v>861</v>
      </c>
      <c r="AI494" s="152" t="s">
        <v>92</v>
      </c>
      <c r="AJ494" s="152" t="s">
        <v>92</v>
      </c>
      <c r="AK494" s="152" t="s">
        <v>972</v>
      </c>
      <c r="AL494" s="159" t="s">
        <v>856</v>
      </c>
      <c r="AP494" s="159" t="s">
        <v>856</v>
      </c>
      <c r="AQ494" s="159" t="s">
        <v>856</v>
      </c>
      <c r="AR494" s="159" t="s">
        <v>1034</v>
      </c>
      <c r="AS494" s="159" t="s">
        <v>865</v>
      </c>
      <c r="AT494" s="152" t="str">
        <f t="shared" si="36"/>
        <v>RPNA1-110222</v>
      </c>
      <c r="AU494" s="152" t="str">
        <f t="shared" si="37"/>
        <v xml:space="preserve">AMILCAR EMILIANO AJCA HERNANDEZ </v>
      </c>
      <c r="AV494" s="159">
        <v>48.61</v>
      </c>
      <c r="AW494" s="159">
        <v>799037</v>
      </c>
      <c r="AX494" s="159" t="s">
        <v>856</v>
      </c>
      <c r="AY494" s="159" t="s">
        <v>856</v>
      </c>
      <c r="AZ494" s="152" t="s">
        <v>864</v>
      </c>
      <c r="BA494" s="152" t="str">
        <f t="shared" si="38"/>
        <v>L22-212-LG038</v>
      </c>
      <c r="BB494" s="152">
        <v>0</v>
      </c>
      <c r="BC494" s="157">
        <v>44801</v>
      </c>
      <c r="BD494" s="157">
        <v>44801</v>
      </c>
      <c r="BE494" s="158">
        <v>8680</v>
      </c>
      <c r="BG494" s="159" t="s">
        <v>2033</v>
      </c>
      <c r="BI494" s="152">
        <v>0</v>
      </c>
      <c r="BJ494" s="152">
        <v>0</v>
      </c>
      <c r="BK494" s="152" t="s">
        <v>132</v>
      </c>
      <c r="BN494" s="157" t="s">
        <v>1453</v>
      </c>
    </row>
    <row r="495" spans="1:66">
      <c r="A495" s="152" t="s">
        <v>4018</v>
      </c>
      <c r="B495" s="152" t="s">
        <v>4019</v>
      </c>
      <c r="C495" s="152" t="s">
        <v>4013</v>
      </c>
      <c r="D495" s="152" t="s">
        <v>4014</v>
      </c>
      <c r="E495" s="152" t="s">
        <v>4014</v>
      </c>
      <c r="F495" s="152">
        <v>9128</v>
      </c>
      <c r="G495" s="152">
        <v>128</v>
      </c>
      <c r="H495" s="152" t="s">
        <v>4015</v>
      </c>
      <c r="I495" s="152">
        <v>200179</v>
      </c>
      <c r="J495" s="152">
        <v>109</v>
      </c>
      <c r="K495" s="152">
        <v>87420</v>
      </c>
      <c r="L495" s="159" t="s">
        <v>4016</v>
      </c>
      <c r="M495" s="152" t="s">
        <v>883</v>
      </c>
      <c r="N495" s="152" t="s">
        <v>92</v>
      </c>
      <c r="O495" s="159">
        <v>6627</v>
      </c>
      <c r="P495" s="159" t="s">
        <v>4016</v>
      </c>
      <c r="Q495" s="152" t="s">
        <v>883</v>
      </c>
      <c r="R495" s="152" t="s">
        <v>92</v>
      </c>
      <c r="S495" s="159">
        <v>6627</v>
      </c>
      <c r="T495" s="159" t="s">
        <v>856</v>
      </c>
      <c r="U495" s="159" t="s">
        <v>856</v>
      </c>
      <c r="V495" s="152" t="s">
        <v>4020</v>
      </c>
      <c r="W495" s="152" t="s">
        <v>858</v>
      </c>
      <c r="X495" s="152" t="s">
        <v>1083</v>
      </c>
      <c r="Y495" s="152">
        <v>0</v>
      </c>
      <c r="Z495" s="152">
        <v>3</v>
      </c>
      <c r="AA495" s="152" t="s">
        <v>92</v>
      </c>
      <c r="AB495" s="152">
        <v>0</v>
      </c>
      <c r="AC495" s="152">
        <v>1</v>
      </c>
      <c r="AD495" s="152" t="s">
        <v>861</v>
      </c>
      <c r="AE495" s="152">
        <v>0</v>
      </c>
      <c r="AF495" s="152">
        <v>43.9</v>
      </c>
      <c r="AG495" s="152" t="s">
        <v>861</v>
      </c>
      <c r="AH495" s="152" t="s">
        <v>861</v>
      </c>
      <c r="AI495" s="152" t="s">
        <v>92</v>
      </c>
      <c r="AJ495" s="152" t="s">
        <v>92</v>
      </c>
      <c r="AK495" s="152" t="s">
        <v>972</v>
      </c>
      <c r="AL495" s="159" t="s">
        <v>856</v>
      </c>
      <c r="AP495" s="159" t="s">
        <v>856</v>
      </c>
      <c r="AQ495" s="159" t="s">
        <v>856</v>
      </c>
      <c r="AR495" s="159" t="s">
        <v>856</v>
      </c>
      <c r="AS495" s="159" t="s">
        <v>865</v>
      </c>
      <c r="AT495" s="152" t="str">
        <f t="shared" si="36"/>
        <v>USA1-010921</v>
      </c>
      <c r="AU495" s="152" t="str">
        <f t="shared" si="37"/>
        <v xml:space="preserve">AMILCAR EMILIANO AJCA HERNANDEZ </v>
      </c>
      <c r="AV495" s="159" t="s">
        <v>856</v>
      </c>
      <c r="AW495" s="159" t="s">
        <v>856</v>
      </c>
      <c r="AX495" s="159" t="s">
        <v>856</v>
      </c>
      <c r="AY495" s="159" t="s">
        <v>856</v>
      </c>
      <c r="AZ495" s="152" t="s">
        <v>864</v>
      </c>
      <c r="BA495" s="152" t="str">
        <f t="shared" si="38"/>
        <v>LUS22-537-MP025</v>
      </c>
      <c r="BB495" s="152">
        <v>0</v>
      </c>
      <c r="BC495" s="157">
        <v>44804</v>
      </c>
      <c r="BF495" s="152" t="s">
        <v>4018</v>
      </c>
      <c r="BG495" s="159" t="s">
        <v>4021</v>
      </c>
      <c r="BH495" s="152">
        <v>43.9</v>
      </c>
      <c r="BI495" s="152">
        <v>0</v>
      </c>
      <c r="BJ495" s="152">
        <v>0</v>
      </c>
      <c r="BK495" s="152" t="s">
        <v>1296</v>
      </c>
      <c r="BL495" s="152">
        <v>54.88</v>
      </c>
      <c r="BM495" s="152">
        <v>893426</v>
      </c>
      <c r="BN495" s="157">
        <v>45535</v>
      </c>
    </row>
    <row r="496" spans="1:66">
      <c r="A496" s="152" t="s">
        <v>4022</v>
      </c>
      <c r="B496" s="152" t="s">
        <v>4023</v>
      </c>
      <c r="C496" s="152" t="s">
        <v>3583</v>
      </c>
      <c r="D496" s="152" t="s">
        <v>4024</v>
      </c>
      <c r="E496" s="152" t="s">
        <v>4025</v>
      </c>
      <c r="F496" s="152">
        <v>5335</v>
      </c>
      <c r="G496" s="152">
        <v>335</v>
      </c>
      <c r="H496" s="152" t="s">
        <v>3585</v>
      </c>
      <c r="I496" s="152">
        <v>203023</v>
      </c>
      <c r="J496" s="152">
        <v>89.87</v>
      </c>
      <c r="K496" s="152">
        <v>89735</v>
      </c>
      <c r="L496" s="159" t="s">
        <v>856</v>
      </c>
      <c r="M496" s="152" t="s">
        <v>92</v>
      </c>
      <c r="N496" s="152" t="s">
        <v>92</v>
      </c>
      <c r="O496" s="159" t="s">
        <v>856</v>
      </c>
      <c r="P496" s="159" t="s">
        <v>856</v>
      </c>
      <c r="Q496" s="152" t="s">
        <v>92</v>
      </c>
      <c r="R496" s="152" t="s">
        <v>92</v>
      </c>
      <c r="S496" s="159" t="s">
        <v>856</v>
      </c>
      <c r="T496" s="159" t="s">
        <v>856</v>
      </c>
      <c r="U496" s="159" t="s">
        <v>856</v>
      </c>
      <c r="V496" s="152" t="s">
        <v>3530</v>
      </c>
      <c r="W496" s="152" t="s">
        <v>858</v>
      </c>
      <c r="X496" s="152" t="s">
        <v>1083</v>
      </c>
      <c r="Y496" s="152">
        <v>18.21</v>
      </c>
      <c r="Z496" s="152">
        <v>1</v>
      </c>
      <c r="AA496" s="152" t="s">
        <v>92</v>
      </c>
      <c r="AB496" s="152">
        <v>48.28</v>
      </c>
      <c r="AC496" s="152">
        <v>1</v>
      </c>
      <c r="AD496" s="152" t="s">
        <v>861</v>
      </c>
      <c r="AE496" s="152">
        <v>48.28</v>
      </c>
      <c r="AF496" s="152">
        <v>0</v>
      </c>
      <c r="AG496" s="152">
        <v>24.05</v>
      </c>
      <c r="AH496" s="152" t="s">
        <v>861</v>
      </c>
      <c r="AI496" s="152" t="s">
        <v>92</v>
      </c>
      <c r="AJ496" s="152" t="s">
        <v>92</v>
      </c>
      <c r="AK496" s="152" t="s">
        <v>862</v>
      </c>
      <c r="AL496" s="159" t="s">
        <v>856</v>
      </c>
      <c r="AP496" s="159" t="s">
        <v>856</v>
      </c>
      <c r="AQ496" s="159" t="s">
        <v>856</v>
      </c>
      <c r="AR496" s="159" t="s">
        <v>3698</v>
      </c>
      <c r="AS496" s="159" t="s">
        <v>865</v>
      </c>
      <c r="AT496" s="152" t="str">
        <f t="shared" si="36"/>
        <v>RPNDR-390622</v>
      </c>
      <c r="AU496" s="152" t="str">
        <f t="shared" si="37"/>
        <v>DESARROLLOS DE SUROCCIDENTE S.A.</v>
      </c>
      <c r="AV496" s="159">
        <v>668.76</v>
      </c>
      <c r="AW496" s="159">
        <v>894239</v>
      </c>
      <c r="AX496" s="159">
        <v>29.75</v>
      </c>
      <c r="AY496" s="159">
        <v>894241</v>
      </c>
      <c r="AZ496" s="152" t="s">
        <v>864</v>
      </c>
      <c r="BA496" s="152" t="str">
        <f t="shared" si="38"/>
        <v>L22-623-NR216</v>
      </c>
      <c r="BB496" s="152">
        <v>0</v>
      </c>
      <c r="BC496" s="157">
        <v>44809</v>
      </c>
      <c r="BD496" s="157">
        <v>44809</v>
      </c>
      <c r="BE496" s="158">
        <v>103844</v>
      </c>
      <c r="BF496" s="152" t="s">
        <v>4026</v>
      </c>
      <c r="BG496" s="159" t="s">
        <v>894</v>
      </c>
      <c r="BH496" s="152">
        <v>48.28</v>
      </c>
      <c r="BI496" s="152">
        <v>0</v>
      </c>
      <c r="BJ496" s="152">
        <v>0</v>
      </c>
      <c r="BK496" s="152" t="s">
        <v>132</v>
      </c>
      <c r="BL496" s="152">
        <v>48.28</v>
      </c>
      <c r="BM496" s="152">
        <v>894240</v>
      </c>
      <c r="BN496" s="157" t="s">
        <v>1453</v>
      </c>
    </row>
    <row r="497" spans="1:66">
      <c r="A497" s="152" t="s">
        <v>4027</v>
      </c>
      <c r="B497" s="152" t="s">
        <v>4028</v>
      </c>
      <c r="C497" s="152" t="s">
        <v>3583</v>
      </c>
      <c r="D497" s="152" t="s">
        <v>4029</v>
      </c>
      <c r="E497" s="152" t="s">
        <v>1762</v>
      </c>
      <c r="F497" s="152">
        <v>5340</v>
      </c>
      <c r="G497" s="152">
        <v>340</v>
      </c>
      <c r="H497" s="152" t="s">
        <v>3585</v>
      </c>
      <c r="I497" s="152">
        <v>203028</v>
      </c>
      <c r="J497" s="152">
        <v>90.53</v>
      </c>
      <c r="K497" s="152">
        <v>89740</v>
      </c>
      <c r="L497" s="159" t="s">
        <v>856</v>
      </c>
      <c r="M497" s="152" t="s">
        <v>92</v>
      </c>
      <c r="N497" s="152" t="s">
        <v>92</v>
      </c>
      <c r="O497" s="159" t="s">
        <v>856</v>
      </c>
      <c r="P497" s="159" t="s">
        <v>856</v>
      </c>
      <c r="Q497" s="152" t="s">
        <v>92</v>
      </c>
      <c r="R497" s="152" t="s">
        <v>92</v>
      </c>
      <c r="S497" s="159" t="s">
        <v>856</v>
      </c>
      <c r="T497" s="159" t="s">
        <v>856</v>
      </c>
      <c r="U497" s="159" t="s">
        <v>856</v>
      </c>
      <c r="V497" s="152" t="s">
        <v>3530</v>
      </c>
      <c r="W497" s="152" t="s">
        <v>858</v>
      </c>
      <c r="X497" s="152" t="s">
        <v>1083</v>
      </c>
      <c r="Y497" s="152">
        <v>19.079999999999998</v>
      </c>
      <c r="Z497" s="152">
        <v>1</v>
      </c>
      <c r="AA497" s="152" t="s">
        <v>92</v>
      </c>
      <c r="AB497" s="152">
        <v>99.16</v>
      </c>
      <c r="AC497" s="152">
        <v>2</v>
      </c>
      <c r="AD497" s="152" t="s">
        <v>861</v>
      </c>
      <c r="AE497" s="152">
        <v>99.16</v>
      </c>
      <c r="AF497" s="152">
        <v>0</v>
      </c>
      <c r="AG497" s="152">
        <v>41.57</v>
      </c>
      <c r="AH497" s="152" t="s">
        <v>861</v>
      </c>
      <c r="AI497" s="152" t="s">
        <v>92</v>
      </c>
      <c r="AJ497" s="152" t="s">
        <v>92</v>
      </c>
      <c r="AK497" s="152" t="s">
        <v>862</v>
      </c>
      <c r="AL497" s="159" t="s">
        <v>856</v>
      </c>
      <c r="AP497" s="159" t="s">
        <v>856</v>
      </c>
      <c r="AQ497" s="159" t="s">
        <v>856</v>
      </c>
      <c r="AR497" s="159" t="s">
        <v>3698</v>
      </c>
      <c r="AS497" s="159" t="s">
        <v>865</v>
      </c>
      <c r="AT497" s="152" t="str">
        <f t="shared" si="36"/>
        <v>RPNDR-360622</v>
      </c>
      <c r="AU497" s="152" t="str">
        <f t="shared" si="37"/>
        <v>DESARROLLOS DE SUROCCIDENTE S.A.</v>
      </c>
      <c r="AV497" s="159">
        <v>1440.22</v>
      </c>
      <c r="AW497" s="159">
        <v>894236</v>
      </c>
      <c r="AX497" s="159">
        <v>30</v>
      </c>
      <c r="AY497" s="159">
        <v>894238</v>
      </c>
      <c r="AZ497" s="152" t="s">
        <v>864</v>
      </c>
      <c r="BA497" s="152" t="str">
        <f t="shared" si="38"/>
        <v>L22-620-NR219</v>
      </c>
      <c r="BB497" s="152">
        <v>0</v>
      </c>
      <c r="BC497" s="157">
        <v>44809</v>
      </c>
      <c r="BD497" s="157">
        <v>44809</v>
      </c>
      <c r="BE497" s="158">
        <v>255532</v>
      </c>
      <c r="BF497" s="152" t="s">
        <v>4030</v>
      </c>
      <c r="BG497" s="159" t="s">
        <v>894</v>
      </c>
      <c r="BH497" s="152">
        <v>99.16</v>
      </c>
      <c r="BI497" s="152">
        <v>0</v>
      </c>
      <c r="BJ497" s="152">
        <v>0</v>
      </c>
      <c r="BK497" s="152" t="s">
        <v>132</v>
      </c>
      <c r="BL497" s="152">
        <v>99.16</v>
      </c>
      <c r="BM497" s="152">
        <v>894237</v>
      </c>
      <c r="BN497" s="157" t="s">
        <v>1453</v>
      </c>
    </row>
    <row r="498" spans="1:66">
      <c r="A498" s="152" t="s">
        <v>4031</v>
      </c>
      <c r="B498" s="152" t="s">
        <v>4032</v>
      </c>
      <c r="C498" s="152" t="s">
        <v>4033</v>
      </c>
      <c r="D498" s="152" t="s">
        <v>4034</v>
      </c>
      <c r="E498" s="152" t="s">
        <v>4035</v>
      </c>
      <c r="F498" s="159" t="s">
        <v>3703</v>
      </c>
      <c r="G498" s="159" t="s">
        <v>856</v>
      </c>
      <c r="H498" s="159" t="s">
        <v>856</v>
      </c>
      <c r="I498" s="152">
        <v>158452</v>
      </c>
      <c r="J498" s="159" t="s">
        <v>3703</v>
      </c>
      <c r="K498" s="159" t="s">
        <v>856</v>
      </c>
      <c r="L498" s="159" t="s">
        <v>4036</v>
      </c>
      <c r="M498" s="152" t="s">
        <v>92</v>
      </c>
      <c r="N498" s="152" t="s">
        <v>883</v>
      </c>
      <c r="O498" s="159">
        <v>6462</v>
      </c>
      <c r="P498" s="159" t="s">
        <v>4036</v>
      </c>
      <c r="Q498" s="152" t="s">
        <v>92</v>
      </c>
      <c r="R498" s="152" t="s">
        <v>883</v>
      </c>
      <c r="S498" s="159">
        <v>6462</v>
      </c>
      <c r="T498" s="159" t="s">
        <v>856</v>
      </c>
      <c r="U498" s="159" t="s">
        <v>856</v>
      </c>
      <c r="V498" s="152" t="s">
        <v>4037</v>
      </c>
      <c r="W498" s="152" t="s">
        <v>858</v>
      </c>
      <c r="X498" s="152" t="s">
        <v>1083</v>
      </c>
      <c r="Y498" s="152">
        <v>0</v>
      </c>
      <c r="Z498" s="152">
        <v>0</v>
      </c>
      <c r="AA498" s="152" t="s">
        <v>92</v>
      </c>
      <c r="AB498" s="152">
        <v>293.67</v>
      </c>
      <c r="AC498" s="152">
        <v>1</v>
      </c>
      <c r="AD498" s="152" t="s">
        <v>861</v>
      </c>
      <c r="AE498" s="152">
        <v>293.67</v>
      </c>
      <c r="AF498" s="152">
        <v>0</v>
      </c>
      <c r="AG498" s="152" t="s">
        <v>861</v>
      </c>
      <c r="AH498" s="152" t="s">
        <v>861</v>
      </c>
      <c r="AI498" s="152" t="s">
        <v>92</v>
      </c>
      <c r="AJ498" s="152" t="s">
        <v>92</v>
      </c>
      <c r="AK498" s="152" t="s">
        <v>1085</v>
      </c>
      <c r="AL498" s="159" t="s">
        <v>856</v>
      </c>
      <c r="AP498" s="159" t="s">
        <v>856</v>
      </c>
      <c r="AQ498" s="159" t="s">
        <v>856</v>
      </c>
      <c r="AR498" s="159" t="s">
        <v>3723</v>
      </c>
      <c r="AS498" s="159" t="s">
        <v>865</v>
      </c>
      <c r="AT498" s="152" t="str">
        <f t="shared" si="36"/>
        <v>DMNL3-050622</v>
      </c>
      <c r="AU498" s="152" t="str">
        <f t="shared" si="37"/>
        <v xml:space="preserve">GLADYS ARACELY LOPEZ AMBROSIO </v>
      </c>
      <c r="AV498" s="159">
        <v>220.25</v>
      </c>
      <c r="AW498" s="159">
        <v>891373</v>
      </c>
      <c r="AX498" s="159" t="s">
        <v>856</v>
      </c>
      <c r="AY498" s="159" t="s">
        <v>856</v>
      </c>
      <c r="AZ498" s="152" t="s">
        <v>864</v>
      </c>
      <c r="BA498" s="152" t="str">
        <f t="shared" si="38"/>
        <v>L22-583-LG075</v>
      </c>
      <c r="BB498" s="152">
        <v>0</v>
      </c>
      <c r="BC498" s="157">
        <v>44788</v>
      </c>
      <c r="BD498" s="157">
        <v>44788</v>
      </c>
      <c r="BE498" s="158">
        <v>29367</v>
      </c>
      <c r="BG498" s="159" t="s">
        <v>2033</v>
      </c>
      <c r="BI498" s="152">
        <v>0</v>
      </c>
      <c r="BJ498" s="152">
        <v>0</v>
      </c>
      <c r="BK498" s="152" t="s">
        <v>132</v>
      </c>
      <c r="BN498" s="157" t="s">
        <v>1453</v>
      </c>
    </row>
    <row r="499" spans="1:66">
      <c r="A499" s="152" t="s">
        <v>4038</v>
      </c>
      <c r="B499" s="152" t="s">
        <v>4039</v>
      </c>
      <c r="C499" s="152" t="s">
        <v>4040</v>
      </c>
      <c r="D499" s="152" t="s">
        <v>4041</v>
      </c>
      <c r="E499" s="152" t="s">
        <v>4041</v>
      </c>
      <c r="F499" s="152">
        <v>7652</v>
      </c>
      <c r="G499" s="152">
        <v>152</v>
      </c>
      <c r="H499" s="152" t="s">
        <v>2333</v>
      </c>
      <c r="I499" s="152">
        <v>205155</v>
      </c>
      <c r="J499" s="152">
        <v>98.48</v>
      </c>
      <c r="K499" s="152">
        <v>91217</v>
      </c>
      <c r="L499" s="159" t="s">
        <v>856</v>
      </c>
      <c r="M499" s="152" t="s">
        <v>92</v>
      </c>
      <c r="N499" s="152" t="s">
        <v>92</v>
      </c>
      <c r="O499" s="159" t="s">
        <v>856</v>
      </c>
      <c r="P499" s="159" t="s">
        <v>856</v>
      </c>
      <c r="Q499" s="152" t="s">
        <v>92</v>
      </c>
      <c r="R499" s="152" t="s">
        <v>92</v>
      </c>
      <c r="S499" s="159" t="s">
        <v>856</v>
      </c>
      <c r="T499" s="159" t="s">
        <v>856</v>
      </c>
      <c r="U499" s="159" t="s">
        <v>856</v>
      </c>
      <c r="V499" s="152" t="s">
        <v>3624</v>
      </c>
      <c r="W499" s="152" t="s">
        <v>858</v>
      </c>
      <c r="X499" s="152" t="s">
        <v>1083</v>
      </c>
      <c r="Y499" s="152">
        <v>0</v>
      </c>
      <c r="Z499" s="152">
        <v>1</v>
      </c>
      <c r="AA499" s="152" t="s">
        <v>92</v>
      </c>
      <c r="AB499" s="152">
        <v>83.68</v>
      </c>
      <c r="AC499" s="152">
        <v>1</v>
      </c>
      <c r="AD499" s="152" t="s">
        <v>861</v>
      </c>
      <c r="AE499" s="152">
        <v>83.68</v>
      </c>
      <c r="AF499" s="152">
        <v>0</v>
      </c>
      <c r="AG499" s="152" t="s">
        <v>861</v>
      </c>
      <c r="AH499" s="152" t="s">
        <v>861</v>
      </c>
      <c r="AI499" s="152" t="s">
        <v>92</v>
      </c>
      <c r="AJ499" s="152" t="s">
        <v>92</v>
      </c>
      <c r="AK499" s="152" t="s">
        <v>972</v>
      </c>
      <c r="AL499" s="159" t="s">
        <v>856</v>
      </c>
      <c r="AP499" s="159" t="s">
        <v>856</v>
      </c>
      <c r="AQ499" s="159" t="s">
        <v>856</v>
      </c>
      <c r="AR499" s="159" t="s">
        <v>4042</v>
      </c>
      <c r="AS499" s="159" t="s">
        <v>865</v>
      </c>
      <c r="AT499" s="152" t="str">
        <f t="shared" si="36"/>
        <v>RPNL11-250722</v>
      </c>
      <c r="AU499" s="152" t="str">
        <f t="shared" si="37"/>
        <v xml:space="preserve">VISENIA MARBELY LOPEZ GARCIA </v>
      </c>
      <c r="AV499" s="159">
        <v>843.49</v>
      </c>
      <c r="AW499" s="159">
        <v>890721</v>
      </c>
      <c r="AX499" s="159">
        <v>29.2</v>
      </c>
      <c r="AY499" s="159">
        <v>890722</v>
      </c>
      <c r="AZ499" s="152" t="s">
        <v>864</v>
      </c>
      <c r="BA499" s="152" t="str">
        <f t="shared" si="38"/>
        <v>L22-573-KM100</v>
      </c>
      <c r="BB499" s="152">
        <v>0</v>
      </c>
      <c r="BC499" s="157">
        <v>44781</v>
      </c>
      <c r="BD499" s="157">
        <v>44781</v>
      </c>
      <c r="BE499" s="158">
        <v>167360</v>
      </c>
      <c r="BG499" s="159" t="s">
        <v>2033</v>
      </c>
      <c r="BI499" s="152">
        <v>0</v>
      </c>
      <c r="BJ499" s="152">
        <v>0</v>
      </c>
      <c r="BK499" s="152" t="s">
        <v>132</v>
      </c>
      <c r="BN499" s="157" t="s">
        <v>1453</v>
      </c>
    </row>
    <row r="500" spans="1:66">
      <c r="A500" s="152" t="s">
        <v>4043</v>
      </c>
      <c r="B500" s="152" t="s">
        <v>4044</v>
      </c>
      <c r="C500" s="152" t="s">
        <v>4045</v>
      </c>
      <c r="D500" s="152" t="s">
        <v>4046</v>
      </c>
      <c r="E500" s="152" t="s">
        <v>4047</v>
      </c>
      <c r="F500" s="152">
        <v>6831</v>
      </c>
      <c r="G500" s="152">
        <v>331</v>
      </c>
      <c r="H500" s="152" t="s">
        <v>2826</v>
      </c>
      <c r="I500" s="152">
        <v>205154</v>
      </c>
      <c r="J500" s="152">
        <v>90</v>
      </c>
      <c r="K500" s="152">
        <v>91218</v>
      </c>
      <c r="L500" s="159" t="s">
        <v>856</v>
      </c>
      <c r="M500" s="152" t="s">
        <v>92</v>
      </c>
      <c r="N500" s="152" t="s">
        <v>92</v>
      </c>
      <c r="O500" s="159" t="s">
        <v>856</v>
      </c>
      <c r="P500" s="159" t="s">
        <v>856</v>
      </c>
      <c r="Q500" s="152" t="s">
        <v>92</v>
      </c>
      <c r="R500" s="152" t="s">
        <v>92</v>
      </c>
      <c r="S500" s="159" t="s">
        <v>856</v>
      </c>
      <c r="T500" s="159" t="s">
        <v>856</v>
      </c>
      <c r="U500" s="159" t="s">
        <v>856</v>
      </c>
      <c r="V500" s="152" t="s">
        <v>3530</v>
      </c>
      <c r="W500" s="152" t="s">
        <v>858</v>
      </c>
      <c r="X500" s="152" t="s">
        <v>1083</v>
      </c>
      <c r="Y500" s="152">
        <v>30.36</v>
      </c>
      <c r="Z500" s="152">
        <v>1</v>
      </c>
      <c r="AA500" s="152" t="s">
        <v>883</v>
      </c>
      <c r="AB500" s="152">
        <v>137.63999999999999</v>
      </c>
      <c r="AC500" s="152">
        <v>2</v>
      </c>
      <c r="AD500" s="152" t="s">
        <v>861</v>
      </c>
      <c r="AE500" s="152">
        <v>137.63999999999999</v>
      </c>
      <c r="AF500" s="152">
        <v>0</v>
      </c>
      <c r="AG500" s="152" t="s">
        <v>861</v>
      </c>
      <c r="AH500" s="152" t="s">
        <v>861</v>
      </c>
      <c r="AI500" s="152" t="s">
        <v>92</v>
      </c>
      <c r="AJ500" s="152" t="s">
        <v>92</v>
      </c>
      <c r="AK500" s="152" t="s">
        <v>972</v>
      </c>
      <c r="AL500" s="159" t="s">
        <v>856</v>
      </c>
      <c r="AP500" s="159" t="s">
        <v>856</v>
      </c>
      <c r="AQ500" s="159" t="s">
        <v>856</v>
      </c>
      <c r="AR500" s="159" t="s">
        <v>4048</v>
      </c>
      <c r="AS500" s="159" t="s">
        <v>865</v>
      </c>
      <c r="AT500" s="152" t="str">
        <f t="shared" si="36"/>
        <v>RPNA11-270722</v>
      </c>
      <c r="AU500" s="152" t="str">
        <f t="shared" si="37"/>
        <v xml:space="preserve">ALICIA EUGENIA AJQUI VELASQUEZ </v>
      </c>
      <c r="AV500" s="159">
        <v>2037.86</v>
      </c>
      <c r="AW500" s="159">
        <v>890734</v>
      </c>
      <c r="AX500" s="159">
        <v>30</v>
      </c>
      <c r="AY500" s="159">
        <v>890736</v>
      </c>
      <c r="AZ500" s="152" t="s">
        <v>864</v>
      </c>
      <c r="BA500" s="152" t="str">
        <f t="shared" si="38"/>
        <v>L22-575-KM100</v>
      </c>
      <c r="BB500" s="152">
        <v>0</v>
      </c>
      <c r="BC500" s="157">
        <v>44781</v>
      </c>
      <c r="BD500" s="157">
        <v>44781</v>
      </c>
      <c r="BE500" s="158">
        <v>356244</v>
      </c>
      <c r="BF500" s="152" t="s">
        <v>4049</v>
      </c>
      <c r="BG500" s="159" t="s">
        <v>894</v>
      </c>
      <c r="BH500" s="152">
        <v>137.63999999999999</v>
      </c>
      <c r="BI500" s="152">
        <v>0</v>
      </c>
      <c r="BJ500" s="152">
        <v>0</v>
      </c>
      <c r="BK500" s="152" t="s">
        <v>132</v>
      </c>
      <c r="BL500" s="152">
        <v>137.63999999999999</v>
      </c>
      <c r="BM500" s="152">
        <v>890735</v>
      </c>
      <c r="BN500" s="157" t="s">
        <v>1453</v>
      </c>
    </row>
    <row r="501" spans="1:66">
      <c r="A501" s="152" t="s">
        <v>4050</v>
      </c>
      <c r="B501" s="152" t="s">
        <v>4051</v>
      </c>
      <c r="C501" s="152" t="s">
        <v>4052</v>
      </c>
      <c r="D501" s="152" t="s">
        <v>4053</v>
      </c>
      <c r="E501" s="152" t="s">
        <v>4054</v>
      </c>
      <c r="F501" s="152">
        <v>3069</v>
      </c>
      <c r="G501" s="152">
        <v>69</v>
      </c>
      <c r="H501" s="152" t="s">
        <v>4055</v>
      </c>
      <c r="I501" s="152">
        <v>202890</v>
      </c>
      <c r="J501" s="152">
        <v>112.5</v>
      </c>
      <c r="K501" s="152">
        <v>89630</v>
      </c>
      <c r="L501" s="159" t="s">
        <v>856</v>
      </c>
      <c r="M501" s="152" t="s">
        <v>92</v>
      </c>
      <c r="N501" s="152" t="s">
        <v>92</v>
      </c>
      <c r="O501" s="159" t="s">
        <v>856</v>
      </c>
      <c r="P501" s="159" t="s">
        <v>856</v>
      </c>
      <c r="Q501" s="152" t="s">
        <v>92</v>
      </c>
      <c r="R501" s="152" t="s">
        <v>92</v>
      </c>
      <c r="S501" s="159" t="s">
        <v>856</v>
      </c>
      <c r="T501" s="159" t="s">
        <v>856</v>
      </c>
      <c r="U501" s="159" t="s">
        <v>856</v>
      </c>
      <c r="V501" s="152" t="s">
        <v>4059</v>
      </c>
      <c r="W501" s="152" t="s">
        <v>858</v>
      </c>
      <c r="X501" s="152" t="s">
        <v>1083</v>
      </c>
      <c r="Y501" s="152">
        <v>20.55</v>
      </c>
      <c r="Z501" s="152">
        <v>2</v>
      </c>
      <c r="AA501" s="152" t="s">
        <v>92</v>
      </c>
      <c r="AB501" s="152">
        <v>147.65</v>
      </c>
      <c r="AC501" s="152">
        <v>2</v>
      </c>
      <c r="AD501" s="152" t="s">
        <v>861</v>
      </c>
      <c r="AE501" s="152">
        <v>147.65</v>
      </c>
      <c r="AF501" s="152">
        <v>0</v>
      </c>
      <c r="AG501" s="152" t="s">
        <v>861</v>
      </c>
      <c r="AH501" s="152" t="s">
        <v>861</v>
      </c>
      <c r="AI501" s="152" t="s">
        <v>92</v>
      </c>
      <c r="AJ501" s="152" t="s">
        <v>92</v>
      </c>
      <c r="AK501" s="152" t="s">
        <v>884</v>
      </c>
      <c r="AL501" s="159" t="s">
        <v>856</v>
      </c>
      <c r="AP501" s="159" t="s">
        <v>856</v>
      </c>
      <c r="AQ501" s="159" t="s">
        <v>856</v>
      </c>
      <c r="AR501" s="159" t="s">
        <v>4056</v>
      </c>
      <c r="AS501" s="159" t="s">
        <v>865</v>
      </c>
      <c r="AT501" s="152" t="str">
        <f t="shared" si="36"/>
        <v>RPNS10-300722</v>
      </c>
      <c r="AU501" s="152" t="str">
        <f t="shared" si="37"/>
        <v>JOSE LUIS SACALXOT PAC</v>
      </c>
      <c r="AV501" s="159">
        <v>2020.2</v>
      </c>
      <c r="AW501" s="159">
        <v>892142</v>
      </c>
      <c r="AX501" s="159">
        <v>37.5</v>
      </c>
      <c r="AY501" s="159">
        <v>892144</v>
      </c>
      <c r="AZ501" s="152" t="s">
        <v>864</v>
      </c>
      <c r="BA501" s="152" t="str">
        <f t="shared" si="38"/>
        <v>L23-907-JM117</v>
      </c>
      <c r="BB501" s="152">
        <v>0</v>
      </c>
      <c r="BC501" s="157">
        <v>44799</v>
      </c>
      <c r="BD501" s="157">
        <v>44799</v>
      </c>
      <c r="BE501" s="158">
        <v>376317.5</v>
      </c>
      <c r="BF501" s="152" t="s">
        <v>4057</v>
      </c>
      <c r="BG501" s="159" t="s">
        <v>4058</v>
      </c>
      <c r="BH501" s="152">
        <v>147.65</v>
      </c>
      <c r="BI501" s="152">
        <v>0</v>
      </c>
      <c r="BJ501" s="152">
        <v>0</v>
      </c>
      <c r="BK501" s="152" t="s">
        <v>995</v>
      </c>
      <c r="BL501" s="152">
        <v>151.21</v>
      </c>
      <c r="BM501" s="152">
        <v>892143</v>
      </c>
      <c r="BN501" s="157">
        <v>45530</v>
      </c>
    </row>
    <row r="502" spans="1:66">
      <c r="A502" s="152" t="s">
        <v>4060</v>
      </c>
      <c r="B502" s="152" t="s">
        <v>4061</v>
      </c>
      <c r="C502" s="152" t="s">
        <v>4063</v>
      </c>
      <c r="D502" s="152" t="s">
        <v>4062</v>
      </c>
      <c r="E502" s="152" t="s">
        <v>4064</v>
      </c>
      <c r="F502" s="152">
        <v>5337</v>
      </c>
      <c r="G502" s="152">
        <v>337</v>
      </c>
      <c r="H502" s="152" t="s">
        <v>1507</v>
      </c>
      <c r="I502" s="152">
        <v>203175</v>
      </c>
      <c r="J502" s="152">
        <v>436</v>
      </c>
      <c r="K502" s="152">
        <v>89860</v>
      </c>
      <c r="L502" s="159" t="s">
        <v>856</v>
      </c>
      <c r="M502" s="152" t="s">
        <v>92</v>
      </c>
      <c r="N502" s="152" t="s">
        <v>92</v>
      </c>
      <c r="O502" s="159" t="s">
        <v>856</v>
      </c>
      <c r="P502" s="159" t="s">
        <v>856</v>
      </c>
      <c r="Q502" s="152" t="s">
        <v>92</v>
      </c>
      <c r="R502" s="152" t="s">
        <v>92</v>
      </c>
      <c r="S502" s="159" t="s">
        <v>856</v>
      </c>
      <c r="T502" s="159" t="s">
        <v>856</v>
      </c>
      <c r="U502" s="159" t="s">
        <v>856</v>
      </c>
      <c r="V502" s="152" t="s">
        <v>3530</v>
      </c>
      <c r="W502" s="152" t="s">
        <v>858</v>
      </c>
      <c r="X502" s="152" t="s">
        <v>1083</v>
      </c>
      <c r="Y502" s="152">
        <v>0</v>
      </c>
      <c r="Z502" s="152">
        <v>1</v>
      </c>
      <c r="AA502" s="152" t="s">
        <v>92</v>
      </c>
      <c r="AB502" s="152">
        <v>251.9</v>
      </c>
      <c r="AC502" s="152">
        <v>2</v>
      </c>
      <c r="AD502" s="152" t="s">
        <v>861</v>
      </c>
      <c r="AE502" s="152">
        <v>251.9</v>
      </c>
      <c r="AF502" s="152">
        <v>0</v>
      </c>
      <c r="AG502" s="152" t="s">
        <v>861</v>
      </c>
      <c r="AH502" s="152" t="s">
        <v>861</v>
      </c>
      <c r="AI502" s="152" t="s">
        <v>92</v>
      </c>
      <c r="AJ502" s="152" t="s">
        <v>92</v>
      </c>
      <c r="AK502" s="152" t="s">
        <v>862</v>
      </c>
      <c r="AL502" s="159" t="s">
        <v>856</v>
      </c>
      <c r="AP502" s="159" t="s">
        <v>856</v>
      </c>
      <c r="AQ502" s="159" t="s">
        <v>856</v>
      </c>
      <c r="AR502" s="159" t="s">
        <v>3821</v>
      </c>
      <c r="AS502" s="159" t="s">
        <v>865</v>
      </c>
      <c r="AT502" s="152" t="str">
        <f t="shared" si="36"/>
        <v>RPND6-250722</v>
      </c>
      <c r="AU502" s="152" t="str">
        <f t="shared" si="37"/>
        <v xml:space="preserve">JACKELINE ROSMERY DE LEON ARAGON DE MALDONADO </v>
      </c>
      <c r="AV502" s="159">
        <v>3173.94</v>
      </c>
      <c r="AW502" s="159">
        <v>891174</v>
      </c>
      <c r="AX502" s="159" t="s">
        <v>856</v>
      </c>
      <c r="AY502" s="159" t="s">
        <v>856</v>
      </c>
      <c r="AZ502" s="152" t="s">
        <v>864</v>
      </c>
      <c r="BA502" s="152" t="str">
        <f t="shared" si="38"/>
        <v>L22-572-JM114</v>
      </c>
      <c r="BB502" s="152">
        <v>0</v>
      </c>
      <c r="BC502" s="157">
        <v>44782</v>
      </c>
      <c r="BD502" s="157">
        <v>44782</v>
      </c>
      <c r="BE502" s="158">
        <v>629750</v>
      </c>
      <c r="BF502" s="152" t="s">
        <v>4065</v>
      </c>
      <c r="BG502" s="159" t="s">
        <v>894</v>
      </c>
      <c r="BH502" s="152">
        <v>251.9</v>
      </c>
      <c r="BI502" s="152">
        <v>0</v>
      </c>
      <c r="BJ502" s="152">
        <v>0</v>
      </c>
      <c r="BK502" s="152" t="s">
        <v>132</v>
      </c>
      <c r="BL502" s="152">
        <v>251.9</v>
      </c>
      <c r="BM502" s="152">
        <v>891175</v>
      </c>
      <c r="BN502" s="157" t="s">
        <v>1453</v>
      </c>
    </row>
    <row r="503" spans="1:66">
      <c r="A503" s="152" t="s">
        <v>4066</v>
      </c>
      <c r="B503" s="152" t="s">
        <v>4067</v>
      </c>
      <c r="C503" s="152" t="s">
        <v>4068</v>
      </c>
      <c r="D503" s="152" t="s">
        <v>4069</v>
      </c>
      <c r="E503" s="152" t="s">
        <v>4070</v>
      </c>
      <c r="F503" s="152">
        <v>9863</v>
      </c>
      <c r="G503" s="152">
        <v>363</v>
      </c>
      <c r="H503" s="152" t="s">
        <v>4071</v>
      </c>
      <c r="I503" s="152">
        <v>202980</v>
      </c>
      <c r="J503" s="152">
        <v>248.02</v>
      </c>
      <c r="K503" s="152">
        <v>89690</v>
      </c>
      <c r="L503" s="159" t="s">
        <v>856</v>
      </c>
      <c r="M503" s="152" t="s">
        <v>92</v>
      </c>
      <c r="N503" s="152" t="s">
        <v>92</v>
      </c>
      <c r="O503" s="159" t="s">
        <v>856</v>
      </c>
      <c r="P503" s="159" t="s">
        <v>856</v>
      </c>
      <c r="Q503" s="152" t="s">
        <v>92</v>
      </c>
      <c r="R503" s="152" t="s">
        <v>92</v>
      </c>
      <c r="S503" s="159" t="s">
        <v>856</v>
      </c>
      <c r="T503" s="159" t="s">
        <v>856</v>
      </c>
      <c r="U503" s="159" t="s">
        <v>856</v>
      </c>
      <c r="V503" s="152" t="s">
        <v>3530</v>
      </c>
      <c r="W503" s="152" t="s">
        <v>858</v>
      </c>
      <c r="X503" s="152" t="s">
        <v>1083</v>
      </c>
      <c r="Y503" s="152">
        <v>0</v>
      </c>
      <c r="Z503" s="152">
        <v>1</v>
      </c>
      <c r="AA503" s="152" t="s">
        <v>92</v>
      </c>
      <c r="AB503" s="152">
        <v>40.92</v>
      </c>
      <c r="AC503" s="152">
        <v>1</v>
      </c>
      <c r="AD503" s="152" t="s">
        <v>861</v>
      </c>
      <c r="AE503" s="152">
        <v>40.92</v>
      </c>
      <c r="AF503" s="152">
        <v>0</v>
      </c>
      <c r="AG503" s="152" t="s">
        <v>861</v>
      </c>
      <c r="AH503" s="152" t="s">
        <v>861</v>
      </c>
      <c r="AI503" s="152" t="s">
        <v>92</v>
      </c>
      <c r="AJ503" s="152" t="s">
        <v>92</v>
      </c>
      <c r="AK503" s="152" t="s">
        <v>4072</v>
      </c>
      <c r="AL503" s="159" t="s">
        <v>856</v>
      </c>
      <c r="AP503" s="159" t="s">
        <v>856</v>
      </c>
      <c r="AQ503" s="159" t="s">
        <v>856</v>
      </c>
      <c r="AR503" s="152" t="s">
        <v>3821</v>
      </c>
      <c r="AS503" s="159" t="s">
        <v>865</v>
      </c>
      <c r="AT503" s="152" t="str">
        <f t="shared" si="36"/>
        <v>RPNHR-450722</v>
      </c>
      <c r="AU503" s="152" t="str">
        <f t="shared" si="37"/>
        <v>BERNABE UVALDO HERNANDEZ LOPEZ</v>
      </c>
      <c r="AV503" s="152">
        <v>412.47</v>
      </c>
      <c r="AW503" s="152">
        <v>892408</v>
      </c>
      <c r="AX503" s="159" t="s">
        <v>856</v>
      </c>
      <c r="AY503" s="159" t="s">
        <v>856</v>
      </c>
      <c r="AZ503" s="152" t="s">
        <v>864</v>
      </c>
      <c r="BA503" s="152" t="str">
        <f t="shared" si="38"/>
        <v>L22-613-JC036</v>
      </c>
      <c r="BB503" s="152">
        <v>0</v>
      </c>
      <c r="BC503" s="157">
        <v>44804</v>
      </c>
      <c r="BD503" s="157">
        <v>44804</v>
      </c>
      <c r="BE503" s="158">
        <v>81840</v>
      </c>
      <c r="BF503" s="152" t="s">
        <v>4073</v>
      </c>
      <c r="BG503" s="152" t="s">
        <v>894</v>
      </c>
      <c r="BH503" s="152">
        <v>40.92</v>
      </c>
      <c r="BI503" s="152">
        <v>0</v>
      </c>
      <c r="BJ503" s="152">
        <v>0</v>
      </c>
      <c r="BK503" s="152" t="s">
        <v>132</v>
      </c>
      <c r="BL503" s="152">
        <v>40.92</v>
      </c>
      <c r="BM503" s="152">
        <v>892409</v>
      </c>
      <c r="BN503" s="157" t="s">
        <v>1453</v>
      </c>
    </row>
    <row r="504" spans="1:66">
      <c r="A504" s="152" t="s">
        <v>4074</v>
      </c>
      <c r="B504" s="152" t="s">
        <v>4075</v>
      </c>
      <c r="C504" s="152" t="s">
        <v>4076</v>
      </c>
      <c r="D504" s="152" t="s">
        <v>4077</v>
      </c>
      <c r="E504" s="152" t="s">
        <v>4078</v>
      </c>
      <c r="F504" s="152">
        <v>270735</v>
      </c>
      <c r="G504" s="152">
        <v>205</v>
      </c>
      <c r="H504" s="152">
        <v>621</v>
      </c>
      <c r="I504" s="152">
        <v>158624</v>
      </c>
      <c r="J504" s="152">
        <v>694</v>
      </c>
      <c r="K504" s="152">
        <v>55685</v>
      </c>
      <c r="L504" s="152" t="s">
        <v>4079</v>
      </c>
      <c r="M504" s="152" t="s">
        <v>883</v>
      </c>
      <c r="N504" s="152" t="s">
        <v>92</v>
      </c>
      <c r="O504" s="152">
        <v>4977</v>
      </c>
      <c r="P504" s="152" t="s">
        <v>4079</v>
      </c>
      <c r="Q504" s="152" t="s">
        <v>883</v>
      </c>
      <c r="R504" s="152" t="s">
        <v>92</v>
      </c>
      <c r="S504" s="152">
        <v>4977</v>
      </c>
      <c r="T504" s="159" t="s">
        <v>856</v>
      </c>
      <c r="U504" s="159" t="s">
        <v>856</v>
      </c>
      <c r="V504" s="152" t="s">
        <v>3655</v>
      </c>
      <c r="W504" s="152" t="s">
        <v>858</v>
      </c>
      <c r="X504" s="152" t="s">
        <v>1083</v>
      </c>
      <c r="Y504" s="152">
        <v>56.03</v>
      </c>
      <c r="Z504" s="152">
        <v>1</v>
      </c>
      <c r="AA504" s="152" t="s">
        <v>92</v>
      </c>
      <c r="AB504" s="152">
        <v>315.61</v>
      </c>
      <c r="AC504" s="152">
        <v>2</v>
      </c>
      <c r="AD504" s="152" t="s">
        <v>861</v>
      </c>
      <c r="AE504" s="152">
        <v>315.61</v>
      </c>
      <c r="AF504" s="152">
        <v>0</v>
      </c>
      <c r="AG504" s="152">
        <v>57.16</v>
      </c>
      <c r="AH504" s="152" t="s">
        <v>861</v>
      </c>
      <c r="AI504" s="152" t="s">
        <v>92</v>
      </c>
      <c r="AJ504" s="152" t="s">
        <v>92</v>
      </c>
      <c r="AK504" s="152" t="s">
        <v>884</v>
      </c>
      <c r="AL504" s="159" t="s">
        <v>856</v>
      </c>
      <c r="AP504" s="159" t="s">
        <v>856</v>
      </c>
      <c r="AQ504" s="159" t="s">
        <v>856</v>
      </c>
      <c r="AR504" s="152" t="s">
        <v>3698</v>
      </c>
      <c r="AS504" s="159" t="s">
        <v>865</v>
      </c>
      <c r="AT504" s="152" t="str">
        <f t="shared" si="36"/>
        <v>VUNS7-020722</v>
      </c>
      <c r="AU504" s="152" t="str">
        <f t="shared" si="37"/>
        <v xml:space="preserve">JOSE ROLANDO SANTOS CALDERON </v>
      </c>
      <c r="AV504" s="152">
        <v>4553.72</v>
      </c>
      <c r="AW504" s="152">
        <v>890548</v>
      </c>
      <c r="AX504" s="152">
        <v>220.35</v>
      </c>
      <c r="AY504" s="152">
        <v>890551</v>
      </c>
      <c r="AZ504" s="152" t="s">
        <v>864</v>
      </c>
      <c r="BA504" s="152" t="str">
        <f t="shared" si="38"/>
        <v>L22-550-NR091</v>
      </c>
      <c r="BB504" s="152">
        <v>24</v>
      </c>
      <c r="BC504" s="157">
        <v>44777</v>
      </c>
      <c r="BD504" s="157">
        <v>45142</v>
      </c>
      <c r="BE504" s="158">
        <v>824207.75</v>
      </c>
      <c r="BF504" s="152" t="s">
        <v>4080</v>
      </c>
      <c r="BG504" s="152" t="s">
        <v>4081</v>
      </c>
      <c r="BH504" s="152">
        <v>315.61</v>
      </c>
      <c r="BI504" s="152">
        <v>0</v>
      </c>
      <c r="BJ504" s="152">
        <v>0</v>
      </c>
      <c r="BK504" s="152" t="s">
        <v>132</v>
      </c>
      <c r="BL504" s="152">
        <v>315.61</v>
      </c>
      <c r="BM504" s="152">
        <v>890550</v>
      </c>
      <c r="BN504" s="157" t="s">
        <v>1453</v>
      </c>
    </row>
    <row r="505" spans="1:66">
      <c r="A505" s="152" t="s">
        <v>4082</v>
      </c>
      <c r="B505" s="152" t="s">
        <v>4083</v>
      </c>
      <c r="C505" s="152" t="s">
        <v>4084</v>
      </c>
      <c r="D505" s="152" t="s">
        <v>4085</v>
      </c>
      <c r="E505" s="152" t="s">
        <v>4086</v>
      </c>
      <c r="F505" s="152">
        <v>7084</v>
      </c>
      <c r="G505" s="152">
        <v>84</v>
      </c>
      <c r="H505" s="152" t="s">
        <v>1655</v>
      </c>
      <c r="I505" s="152">
        <v>205450</v>
      </c>
      <c r="J505" s="152">
        <v>90</v>
      </c>
      <c r="K505" s="152">
        <v>91469</v>
      </c>
      <c r="L505" s="159" t="s">
        <v>856</v>
      </c>
      <c r="M505" s="152" t="s">
        <v>92</v>
      </c>
      <c r="N505" s="152" t="s">
        <v>92</v>
      </c>
      <c r="O505" s="159" t="s">
        <v>856</v>
      </c>
      <c r="P505" s="159" t="s">
        <v>856</v>
      </c>
      <c r="Q505" s="152" t="s">
        <v>92</v>
      </c>
      <c r="R505" s="152" t="s">
        <v>92</v>
      </c>
      <c r="S505" s="159" t="s">
        <v>856</v>
      </c>
      <c r="T505" s="159" t="s">
        <v>856</v>
      </c>
      <c r="U505" s="159" t="s">
        <v>856</v>
      </c>
      <c r="V505" s="152" t="s">
        <v>3530</v>
      </c>
      <c r="W505" s="152" t="s">
        <v>858</v>
      </c>
      <c r="X505" s="152" t="s">
        <v>1083</v>
      </c>
      <c r="Y505" s="152">
        <v>15.52</v>
      </c>
      <c r="Z505" s="152">
        <v>1</v>
      </c>
      <c r="AA505" s="152" t="s">
        <v>92</v>
      </c>
      <c r="AB505" s="152">
        <v>62.4</v>
      </c>
      <c r="AC505" s="152">
        <v>1</v>
      </c>
      <c r="AD505" s="152" t="s">
        <v>861</v>
      </c>
      <c r="AE505" s="152">
        <v>62.4</v>
      </c>
      <c r="AF505" s="152">
        <v>0</v>
      </c>
      <c r="AG505" s="152" t="s">
        <v>861</v>
      </c>
      <c r="AH505" s="152" t="s">
        <v>861</v>
      </c>
      <c r="AI505" s="152" t="s">
        <v>92</v>
      </c>
      <c r="AJ505" s="152" t="s">
        <v>92</v>
      </c>
      <c r="AK505" s="152" t="s">
        <v>972</v>
      </c>
      <c r="AL505" s="159" t="s">
        <v>856</v>
      </c>
      <c r="AP505" s="159" t="s">
        <v>856</v>
      </c>
      <c r="AQ505" s="159" t="s">
        <v>856</v>
      </c>
      <c r="AR505" s="152" t="s">
        <v>3821</v>
      </c>
      <c r="AS505" s="159" t="s">
        <v>865</v>
      </c>
      <c r="AT505" s="152" t="str">
        <f t="shared" si="36"/>
        <v>RPNM11-260722</v>
      </c>
      <c r="AU505" s="152" t="str">
        <f t="shared" si="37"/>
        <v xml:space="preserve">LEONOR MARTIN ALVARADO </v>
      </c>
      <c r="AV505" s="152">
        <v>784.19</v>
      </c>
      <c r="AW505" s="152">
        <v>890726</v>
      </c>
      <c r="AX505" s="152">
        <v>105</v>
      </c>
      <c r="AY505" s="152">
        <v>890727</v>
      </c>
      <c r="AZ505" s="152" t="s">
        <v>864</v>
      </c>
      <c r="BA505" s="152" t="str">
        <f t="shared" si="38"/>
        <v>L22-578-KM005</v>
      </c>
      <c r="BB505" s="152">
        <v>0</v>
      </c>
      <c r="BC505" s="157">
        <v>44781</v>
      </c>
      <c r="BD505" s="157">
        <v>44781</v>
      </c>
      <c r="BE505" s="158">
        <v>131008</v>
      </c>
    </row>
    <row r="506" spans="1:66">
      <c r="A506" s="152" t="s">
        <v>4087</v>
      </c>
      <c r="B506" s="152" t="s">
        <v>4088</v>
      </c>
      <c r="C506" s="152" t="s">
        <v>3938</v>
      </c>
      <c r="D506" s="152" t="s">
        <v>3937</v>
      </c>
      <c r="E506" s="152" t="s">
        <v>3939</v>
      </c>
      <c r="F506" s="152">
        <v>313157</v>
      </c>
      <c r="G506" s="152">
        <v>127</v>
      </c>
      <c r="H506" s="152">
        <v>761</v>
      </c>
      <c r="I506" s="152">
        <v>166193</v>
      </c>
      <c r="J506" s="152">
        <v>87</v>
      </c>
      <c r="K506" s="152">
        <v>63094</v>
      </c>
      <c r="L506" s="152" t="s">
        <v>3940</v>
      </c>
      <c r="M506" s="152" t="s">
        <v>883</v>
      </c>
      <c r="N506" s="152" t="s">
        <v>92</v>
      </c>
      <c r="O506" s="159">
        <v>11147</v>
      </c>
      <c r="P506" s="152" t="s">
        <v>1508</v>
      </c>
      <c r="Q506" s="152" t="s">
        <v>883</v>
      </c>
      <c r="R506" s="152" t="s">
        <v>92</v>
      </c>
      <c r="S506" s="152">
        <v>11147</v>
      </c>
      <c r="T506" s="159" t="s">
        <v>856</v>
      </c>
      <c r="U506" s="159" t="s">
        <v>856</v>
      </c>
      <c r="V506" s="152" t="s">
        <v>4089</v>
      </c>
      <c r="W506" s="152" t="s">
        <v>4090</v>
      </c>
      <c r="X506" s="159" t="s">
        <v>856</v>
      </c>
      <c r="Y506" s="152">
        <v>0</v>
      </c>
      <c r="Z506" s="152">
        <v>0</v>
      </c>
      <c r="AA506" s="152" t="s">
        <v>92</v>
      </c>
      <c r="AB506" s="152">
        <v>0</v>
      </c>
      <c r="AC506" s="152">
        <v>1</v>
      </c>
      <c r="AD506" s="152" t="s">
        <v>861</v>
      </c>
      <c r="AE506" s="152">
        <v>0</v>
      </c>
      <c r="AF506" s="152">
        <v>0</v>
      </c>
      <c r="AG506" s="152" t="s">
        <v>861</v>
      </c>
      <c r="AH506" s="152" t="s">
        <v>861</v>
      </c>
      <c r="AI506" s="152" t="s">
        <v>92</v>
      </c>
      <c r="AJ506" s="152" t="s">
        <v>92</v>
      </c>
      <c r="AK506" s="152" t="s">
        <v>972</v>
      </c>
      <c r="AL506" s="159" t="s">
        <v>856</v>
      </c>
      <c r="AP506" s="159" t="s">
        <v>856</v>
      </c>
      <c r="AQ506" s="159" t="s">
        <v>856</v>
      </c>
      <c r="AR506" s="159" t="s">
        <v>856</v>
      </c>
      <c r="AS506" s="159" t="s">
        <v>865</v>
      </c>
      <c r="AT506" s="152" t="str">
        <f t="shared" si="36"/>
        <v>MVNT12-010522</v>
      </c>
      <c r="AU506" s="152" t="str">
        <f t="shared" si="37"/>
        <v xml:space="preserve">BENITO HIPOLITO TERRAZA CEDILLO </v>
      </c>
      <c r="AV506" s="152">
        <v>67.5</v>
      </c>
      <c r="AW506" s="152">
        <v>892559</v>
      </c>
      <c r="AX506" s="159" t="s">
        <v>856</v>
      </c>
      <c r="AY506" s="159" t="s">
        <v>856</v>
      </c>
      <c r="AZ506" s="152" t="s">
        <v>4091</v>
      </c>
      <c r="BA506" s="152" t="str">
        <f t="shared" si="38"/>
        <v>L22-596-JM106</v>
      </c>
      <c r="BB506" s="152">
        <v>12</v>
      </c>
      <c r="BC506" s="157">
        <v>44788</v>
      </c>
      <c r="BD506" s="157">
        <v>44972</v>
      </c>
      <c r="BE506" s="158">
        <v>9000</v>
      </c>
    </row>
    <row r="507" spans="1:66">
      <c r="A507" s="152" t="s">
        <v>4092</v>
      </c>
      <c r="B507" s="152" t="s">
        <v>4093</v>
      </c>
      <c r="C507" s="152" t="s">
        <v>3583</v>
      </c>
      <c r="D507" s="152" t="s">
        <v>4094</v>
      </c>
      <c r="E507" s="152" t="s">
        <v>4025</v>
      </c>
      <c r="F507" s="152">
        <v>5336</v>
      </c>
      <c r="G507" s="152">
        <v>336</v>
      </c>
      <c r="H507" s="152" t="s">
        <v>3585</v>
      </c>
      <c r="I507" s="152">
        <v>203024</v>
      </c>
      <c r="J507" s="152">
        <v>90.52</v>
      </c>
      <c r="K507" s="152">
        <v>89736</v>
      </c>
      <c r="L507" s="159" t="s">
        <v>856</v>
      </c>
      <c r="M507" s="152" t="s">
        <v>92</v>
      </c>
      <c r="N507" s="152" t="s">
        <v>92</v>
      </c>
      <c r="O507" s="159" t="s">
        <v>856</v>
      </c>
      <c r="P507" s="159" t="s">
        <v>856</v>
      </c>
      <c r="Q507" s="152" t="s">
        <v>92</v>
      </c>
      <c r="R507" s="152" t="s">
        <v>92</v>
      </c>
      <c r="S507" s="159" t="s">
        <v>856</v>
      </c>
      <c r="T507" s="159" t="s">
        <v>856</v>
      </c>
      <c r="U507" s="159" t="s">
        <v>856</v>
      </c>
      <c r="V507" s="152" t="s">
        <v>3624</v>
      </c>
      <c r="W507" s="152" t="s">
        <v>858</v>
      </c>
      <c r="X507" s="152" t="s">
        <v>1083</v>
      </c>
      <c r="Y507" s="152">
        <v>18.239999999999998</v>
      </c>
      <c r="Z507" s="152">
        <v>1</v>
      </c>
      <c r="AA507" s="152" t="s">
        <v>92</v>
      </c>
      <c r="AB507" s="152">
        <v>54.35</v>
      </c>
      <c r="AC507" s="152">
        <v>1</v>
      </c>
      <c r="AD507" s="152" t="s">
        <v>861</v>
      </c>
      <c r="AE507" s="152">
        <v>54.35</v>
      </c>
      <c r="AF507" s="152">
        <v>0</v>
      </c>
      <c r="AG507" s="152">
        <v>19.45</v>
      </c>
      <c r="AH507" s="152" t="s">
        <v>861</v>
      </c>
      <c r="AI507" s="152" t="s">
        <v>92</v>
      </c>
      <c r="AJ507" s="152" t="s">
        <v>92</v>
      </c>
      <c r="AK507" s="152" t="s">
        <v>862</v>
      </c>
      <c r="AL507" s="159" t="s">
        <v>856</v>
      </c>
      <c r="AP507" s="159" t="s">
        <v>856</v>
      </c>
      <c r="AQ507" s="159" t="s">
        <v>856</v>
      </c>
      <c r="AR507" s="152" t="s">
        <v>1953</v>
      </c>
      <c r="AS507" s="159" t="s">
        <v>865</v>
      </c>
      <c r="AT507" s="152" t="str">
        <f t="shared" si="36"/>
        <v>RPNDR-370622</v>
      </c>
      <c r="AU507" s="152" t="str">
        <f t="shared" si="37"/>
        <v>DESARROLLOS DE SUROCCIDENTE S.A.</v>
      </c>
      <c r="AV507" s="152">
        <v>730.25</v>
      </c>
      <c r="AW507" s="152">
        <v>894230</v>
      </c>
      <c r="AX507" s="152">
        <v>30</v>
      </c>
      <c r="AY507" s="152">
        <v>894232</v>
      </c>
      <c r="AZ507" s="152" t="s">
        <v>864</v>
      </c>
      <c r="BA507" s="152" t="str">
        <f t="shared" si="38"/>
        <v>L22-621-NR218</v>
      </c>
      <c r="BB507" s="152">
        <v>0</v>
      </c>
      <c r="BC507" s="157">
        <v>44809</v>
      </c>
      <c r="BD507" s="157">
        <v>44809</v>
      </c>
      <c r="BE507" s="158">
        <v>115996</v>
      </c>
      <c r="BF507" s="152" t="s">
        <v>4095</v>
      </c>
      <c r="BG507" s="152" t="s">
        <v>894</v>
      </c>
      <c r="BH507" s="152">
        <v>54.35</v>
      </c>
      <c r="BI507" s="152">
        <v>0</v>
      </c>
      <c r="BJ507" s="152">
        <v>0</v>
      </c>
      <c r="BK507" s="152" t="s">
        <v>132</v>
      </c>
      <c r="BL507" s="152">
        <v>54.35</v>
      </c>
      <c r="BM507" s="152">
        <v>894231</v>
      </c>
      <c r="BN507" s="157" t="s">
        <v>1453</v>
      </c>
    </row>
    <row r="508" spans="1:66">
      <c r="A508" s="152" t="s">
        <v>4096</v>
      </c>
      <c r="B508" s="152" t="s">
        <v>4097</v>
      </c>
      <c r="C508" s="152" t="s">
        <v>3583</v>
      </c>
      <c r="D508" s="152" t="s">
        <v>4098</v>
      </c>
      <c r="E508" s="152" t="s">
        <v>4098</v>
      </c>
      <c r="F508" s="152">
        <v>5337</v>
      </c>
      <c r="G508" s="152">
        <v>337</v>
      </c>
      <c r="H508" s="152" t="s">
        <v>3585</v>
      </c>
      <c r="I508" s="152">
        <v>203025</v>
      </c>
      <c r="J508" s="152">
        <v>90.53</v>
      </c>
      <c r="K508" s="152">
        <v>89737</v>
      </c>
      <c r="L508" s="159" t="s">
        <v>856</v>
      </c>
      <c r="M508" s="152" t="s">
        <v>92</v>
      </c>
      <c r="N508" s="152" t="s">
        <v>92</v>
      </c>
      <c r="O508" s="159" t="s">
        <v>856</v>
      </c>
      <c r="P508" s="159" t="s">
        <v>856</v>
      </c>
      <c r="Q508" s="152" t="s">
        <v>92</v>
      </c>
      <c r="R508" s="152" t="s">
        <v>92</v>
      </c>
      <c r="S508" s="159" t="s">
        <v>856</v>
      </c>
      <c r="T508" s="159" t="s">
        <v>856</v>
      </c>
      <c r="U508" s="159" t="s">
        <v>856</v>
      </c>
      <c r="V508" s="152" t="s">
        <v>857</v>
      </c>
      <c r="W508" s="152" t="s">
        <v>858</v>
      </c>
      <c r="X508" s="152" t="s">
        <v>1083</v>
      </c>
      <c r="Y508" s="152">
        <v>41.31</v>
      </c>
      <c r="Z508" s="152">
        <v>1</v>
      </c>
      <c r="AA508" s="152" t="s">
        <v>92</v>
      </c>
      <c r="AB508" s="152">
        <v>95.84</v>
      </c>
      <c r="AC508" s="152">
        <v>2</v>
      </c>
      <c r="AD508" s="152" t="s">
        <v>861</v>
      </c>
      <c r="AE508" s="152">
        <v>95.84</v>
      </c>
      <c r="AF508" s="152">
        <v>0</v>
      </c>
      <c r="AG508" s="152">
        <v>29.51</v>
      </c>
      <c r="AH508" s="152" t="s">
        <v>861</v>
      </c>
      <c r="AI508" s="152" t="s">
        <v>92</v>
      </c>
      <c r="AJ508" s="152" t="s">
        <v>92</v>
      </c>
      <c r="AK508" s="152" t="s">
        <v>862</v>
      </c>
      <c r="AL508" s="159" t="s">
        <v>856</v>
      </c>
      <c r="AP508" s="159" t="s">
        <v>856</v>
      </c>
      <c r="AQ508" s="159" t="s">
        <v>856</v>
      </c>
      <c r="AR508" s="152" t="s">
        <v>1953</v>
      </c>
      <c r="AS508" s="159" t="s">
        <v>865</v>
      </c>
      <c r="AT508" s="152" t="str">
        <f t="shared" si="36"/>
        <v>RPNDR-400622</v>
      </c>
      <c r="AU508" s="152" t="str">
        <f t="shared" si="37"/>
        <v>DESARROLLOS DE SUROCCIDENTE S.A.</v>
      </c>
      <c r="AV508" s="152">
        <v>1643.36</v>
      </c>
      <c r="AW508" s="152">
        <v>894245</v>
      </c>
      <c r="AX508" s="152">
        <v>30</v>
      </c>
      <c r="AY508" s="152">
        <v>894247</v>
      </c>
      <c r="AZ508" s="152" t="s">
        <v>864</v>
      </c>
      <c r="BA508" s="152" t="str">
        <f t="shared" si="38"/>
        <v>L22-625-NR221</v>
      </c>
      <c r="BB508" s="152">
        <v>0</v>
      </c>
      <c r="BC508" s="157">
        <v>44809</v>
      </c>
      <c r="BD508" s="157">
        <v>44809</v>
      </c>
      <c r="BE508" s="158">
        <v>256124</v>
      </c>
      <c r="BF508" s="152" t="s">
        <v>4099</v>
      </c>
      <c r="BG508" s="152" t="s">
        <v>894</v>
      </c>
      <c r="BH508" s="152">
        <v>95.84</v>
      </c>
      <c r="BI508" s="152">
        <v>0</v>
      </c>
      <c r="BJ508" s="152">
        <v>0</v>
      </c>
      <c r="BK508" s="152" t="s">
        <v>132</v>
      </c>
      <c r="BL508" s="152">
        <v>97.64</v>
      </c>
      <c r="BM508" s="152">
        <v>894246</v>
      </c>
      <c r="BN508" s="157" t="s">
        <v>4100</v>
      </c>
    </row>
    <row r="509" spans="1:66">
      <c r="A509" s="152" t="s">
        <v>4101</v>
      </c>
      <c r="B509" s="152" t="s">
        <v>4102</v>
      </c>
      <c r="C509" s="152" t="s">
        <v>3583</v>
      </c>
      <c r="D509" s="152" t="s">
        <v>4103</v>
      </c>
      <c r="E509" s="152" t="s">
        <v>4104</v>
      </c>
      <c r="F509" s="152">
        <v>5338</v>
      </c>
      <c r="G509" s="152">
        <v>338</v>
      </c>
      <c r="H509" s="152" t="s">
        <v>3585</v>
      </c>
      <c r="I509" s="152">
        <v>203026</v>
      </c>
      <c r="J509" s="152">
        <v>94.64</v>
      </c>
      <c r="K509" s="152">
        <v>89738</v>
      </c>
      <c r="L509" s="159" t="s">
        <v>856</v>
      </c>
      <c r="M509" s="152" t="s">
        <v>92</v>
      </c>
      <c r="N509" s="152" t="s">
        <v>92</v>
      </c>
      <c r="O509" s="159" t="s">
        <v>856</v>
      </c>
      <c r="P509" s="159" t="s">
        <v>856</v>
      </c>
      <c r="Q509" s="152" t="s">
        <v>92</v>
      </c>
      <c r="R509" s="152" t="s">
        <v>92</v>
      </c>
      <c r="S509" s="159" t="s">
        <v>856</v>
      </c>
      <c r="T509" s="159" t="s">
        <v>856</v>
      </c>
      <c r="U509" s="159" t="s">
        <v>856</v>
      </c>
      <c r="V509" s="152" t="s">
        <v>3530</v>
      </c>
      <c r="W509" s="152" t="s">
        <v>858</v>
      </c>
      <c r="X509" s="152" t="s">
        <v>1083</v>
      </c>
      <c r="Y509" s="152">
        <v>41.31</v>
      </c>
      <c r="Z509" s="152">
        <v>1</v>
      </c>
      <c r="AA509" s="152" t="s">
        <v>92</v>
      </c>
      <c r="AB509" s="152">
        <v>97.64</v>
      </c>
      <c r="AC509" s="152">
        <v>2</v>
      </c>
      <c r="AD509" s="152" t="s">
        <v>861</v>
      </c>
      <c r="AE509" s="152">
        <v>97.64</v>
      </c>
      <c r="AF509" s="152">
        <v>0</v>
      </c>
      <c r="AG509" s="152">
        <v>25.7</v>
      </c>
      <c r="AH509" s="152" t="s">
        <v>861</v>
      </c>
      <c r="AI509" s="152" t="s">
        <v>92</v>
      </c>
      <c r="AJ509" s="152" t="s">
        <v>92</v>
      </c>
      <c r="AK509" s="152" t="s">
        <v>862</v>
      </c>
      <c r="AL509" s="159" t="s">
        <v>856</v>
      </c>
      <c r="AP509" s="159" t="s">
        <v>856</v>
      </c>
      <c r="AQ509" s="159" t="s">
        <v>856</v>
      </c>
      <c r="AR509" s="152" t="s">
        <v>1953</v>
      </c>
      <c r="AS509" s="159" t="s">
        <v>865</v>
      </c>
      <c r="AT509" s="152" t="str">
        <f t="shared" si="36"/>
        <v>RPNDR-410622</v>
      </c>
      <c r="AU509" s="152" t="str">
        <f t="shared" si="37"/>
        <v>DESARROLLOS DE SUROCCIDENTE S.A.</v>
      </c>
      <c r="AV509" s="152">
        <v>1620.68</v>
      </c>
      <c r="AW509" s="152">
        <v>894242</v>
      </c>
      <c r="AX509" s="152">
        <v>30</v>
      </c>
      <c r="AY509" s="152">
        <v>894244</v>
      </c>
      <c r="AZ509" s="152" t="s">
        <v>864</v>
      </c>
      <c r="BA509" s="152" t="str">
        <f t="shared" si="38"/>
        <v>L22-623-NR220</v>
      </c>
      <c r="BB509" s="152">
        <v>0</v>
      </c>
      <c r="BC509" s="157">
        <v>44809</v>
      </c>
      <c r="BD509" s="157">
        <v>44809</v>
      </c>
      <c r="BE509" s="158">
        <v>250624</v>
      </c>
      <c r="BF509" s="152" t="s">
        <v>4105</v>
      </c>
      <c r="BG509" s="152" t="s">
        <v>894</v>
      </c>
      <c r="BH509" s="152">
        <v>97.64</v>
      </c>
      <c r="BI509" s="152">
        <v>9</v>
      </c>
      <c r="BJ509" s="152">
        <v>0</v>
      </c>
      <c r="BK509" s="152" t="s">
        <v>132</v>
      </c>
      <c r="BL509" s="152">
        <v>95.84</v>
      </c>
      <c r="BM509" s="152">
        <v>894243</v>
      </c>
      <c r="BN509" s="157" t="s">
        <v>1453</v>
      </c>
    </row>
    <row r="510" spans="1:66">
      <c r="A510" s="152" t="s">
        <v>4106</v>
      </c>
      <c r="B510" s="152" t="s">
        <v>4107</v>
      </c>
      <c r="C510" s="152" t="s">
        <v>4108</v>
      </c>
      <c r="D510" s="152" t="s">
        <v>4109</v>
      </c>
      <c r="E510" s="152" t="s">
        <v>4110</v>
      </c>
      <c r="F510" s="152">
        <v>332197</v>
      </c>
      <c r="G510" s="152">
        <v>237</v>
      </c>
      <c r="H510" s="152">
        <v>824</v>
      </c>
      <c r="I510" s="152">
        <v>134940</v>
      </c>
      <c r="J510" s="152">
        <v>110.25</v>
      </c>
      <c r="K510" s="152">
        <v>33439</v>
      </c>
      <c r="L510" s="159" t="s">
        <v>856</v>
      </c>
      <c r="M510" s="152" t="s">
        <v>92</v>
      </c>
      <c r="N510" s="152" t="s">
        <v>92</v>
      </c>
      <c r="O510" s="159" t="s">
        <v>856</v>
      </c>
      <c r="P510" s="159" t="s">
        <v>856</v>
      </c>
      <c r="Q510" s="152" t="s">
        <v>92</v>
      </c>
      <c r="R510" s="152" t="s">
        <v>92</v>
      </c>
      <c r="S510" s="159" t="s">
        <v>856</v>
      </c>
      <c r="T510" s="159" t="s">
        <v>856</v>
      </c>
      <c r="U510" s="159" t="s">
        <v>856</v>
      </c>
      <c r="V510" s="152" t="s">
        <v>3530</v>
      </c>
      <c r="W510" s="152" t="s">
        <v>858</v>
      </c>
      <c r="X510" s="152" t="s">
        <v>1083</v>
      </c>
      <c r="Y510" s="152">
        <v>0</v>
      </c>
      <c r="Z510" s="152">
        <v>1</v>
      </c>
      <c r="AA510" s="152" t="s">
        <v>92</v>
      </c>
      <c r="AB510" s="152">
        <v>144.9</v>
      </c>
      <c r="AC510" s="152">
        <v>2</v>
      </c>
      <c r="AD510" s="152" t="s">
        <v>861</v>
      </c>
      <c r="AE510" s="152">
        <v>144.9</v>
      </c>
      <c r="AF510" s="152">
        <v>0</v>
      </c>
      <c r="AG510" s="152" t="s">
        <v>861</v>
      </c>
      <c r="AH510" s="152" t="s">
        <v>861</v>
      </c>
      <c r="AI510" s="152" t="s">
        <v>92</v>
      </c>
      <c r="AJ510" s="152" t="s">
        <v>92</v>
      </c>
      <c r="AK510" s="152" t="s">
        <v>4111</v>
      </c>
      <c r="AL510" s="159" t="s">
        <v>856</v>
      </c>
      <c r="AP510" s="159" t="s">
        <v>856</v>
      </c>
      <c r="AQ510" s="159" t="s">
        <v>856</v>
      </c>
      <c r="AR510" s="152" t="s">
        <v>3698</v>
      </c>
      <c r="AS510" s="159" t="s">
        <v>865</v>
      </c>
      <c r="AT510" s="152" t="str">
        <f t="shared" si="36"/>
        <v>RPNG4-060722</v>
      </c>
      <c r="AU510" s="152" t="str">
        <f t="shared" si="37"/>
        <v xml:space="preserve">ELVIRA MARISOL GOMEZ CIFUENTES </v>
      </c>
      <c r="AV510" s="152">
        <v>1825.74</v>
      </c>
      <c r="AW510" s="152">
        <v>894812</v>
      </c>
      <c r="AX510" s="152">
        <v>26.25</v>
      </c>
      <c r="AY510" s="152">
        <v>894814</v>
      </c>
      <c r="AZ510" s="152" t="s">
        <v>864</v>
      </c>
      <c r="BA510" s="152" t="str">
        <f t="shared" si="38"/>
        <v>L22-890-JM137</v>
      </c>
      <c r="BB510" s="152">
        <v>0</v>
      </c>
      <c r="BC510" s="157">
        <v>44810</v>
      </c>
      <c r="BD510" s="157">
        <v>44810</v>
      </c>
      <c r="BE510" s="158">
        <v>362250</v>
      </c>
      <c r="BF510" s="152" t="s">
        <v>4112</v>
      </c>
      <c r="BG510" s="152" t="s">
        <v>894</v>
      </c>
      <c r="BH510" s="152">
        <v>144.9</v>
      </c>
      <c r="BI510" s="152">
        <v>0</v>
      </c>
      <c r="BJ510" s="152">
        <v>0</v>
      </c>
      <c r="BK510" s="152" t="s">
        <v>132</v>
      </c>
      <c r="BL510" s="152">
        <v>144.9</v>
      </c>
      <c r="BM510" s="152">
        <v>894813</v>
      </c>
      <c r="BN510" s="157" t="s">
        <v>1453</v>
      </c>
    </row>
    <row r="511" spans="1:66">
      <c r="A511" s="152" t="s">
        <v>4113</v>
      </c>
      <c r="B511" s="152" t="s">
        <v>4114</v>
      </c>
      <c r="C511" s="152" t="s">
        <v>3773</v>
      </c>
      <c r="D511" s="152" t="s">
        <v>4115</v>
      </c>
      <c r="E511" s="152" t="s">
        <v>3850</v>
      </c>
      <c r="F511" s="152">
        <v>2626</v>
      </c>
      <c r="G511" s="152">
        <v>126</v>
      </c>
      <c r="H511" s="152" t="s">
        <v>3771</v>
      </c>
      <c r="I511" s="152">
        <v>200938</v>
      </c>
      <c r="J511" s="152">
        <v>81.319999999999993</v>
      </c>
      <c r="K511" s="152">
        <v>88034</v>
      </c>
      <c r="L511" s="152" t="s">
        <v>3772</v>
      </c>
      <c r="M511" s="152" t="s">
        <v>92</v>
      </c>
      <c r="N511" s="152" t="s">
        <v>883</v>
      </c>
      <c r="O511" s="152">
        <v>4293</v>
      </c>
      <c r="P511" s="152" t="s">
        <v>3772</v>
      </c>
      <c r="Q511" s="152" t="s">
        <v>92</v>
      </c>
      <c r="R511" s="152" t="s">
        <v>883</v>
      </c>
      <c r="S511" s="152">
        <v>4293</v>
      </c>
      <c r="T511" s="159" t="s">
        <v>856</v>
      </c>
      <c r="U511" s="159" t="s">
        <v>856</v>
      </c>
      <c r="V511" s="152" t="s">
        <v>3530</v>
      </c>
      <c r="W511" s="152" t="s">
        <v>858</v>
      </c>
      <c r="X511" s="152" t="s">
        <v>1083</v>
      </c>
      <c r="Y511" s="152">
        <v>0</v>
      </c>
      <c r="Z511" s="152">
        <v>1</v>
      </c>
      <c r="AA511" s="152" t="s">
        <v>92</v>
      </c>
      <c r="AB511" s="152">
        <v>123.57</v>
      </c>
      <c r="AC511" s="152">
        <v>2</v>
      </c>
      <c r="AD511" s="152" t="s">
        <v>861</v>
      </c>
      <c r="AE511" s="152">
        <v>123.57</v>
      </c>
      <c r="AF511" s="152">
        <v>0</v>
      </c>
      <c r="AG511" s="152" t="s">
        <v>861</v>
      </c>
      <c r="AH511" s="152" t="s">
        <v>861</v>
      </c>
      <c r="AI511" s="152" t="s">
        <v>92</v>
      </c>
      <c r="AJ511" s="152" t="s">
        <v>92</v>
      </c>
      <c r="AK511" s="152" t="s">
        <v>912</v>
      </c>
      <c r="AL511" s="159" t="s">
        <v>856</v>
      </c>
      <c r="AP511" s="159" t="s">
        <v>856</v>
      </c>
      <c r="AQ511" s="159" t="s">
        <v>856</v>
      </c>
      <c r="AR511" s="152" t="s">
        <v>1034</v>
      </c>
      <c r="AS511" s="159" t="s">
        <v>865</v>
      </c>
      <c r="AT511" s="152" t="str">
        <f t="shared" si="36"/>
        <v>RPND11-360722</v>
      </c>
      <c r="AU511" s="152" t="str">
        <f t="shared" si="37"/>
        <v xml:space="preserve">DESARROLLOS HABITACIONALES DEL SUR OCCIDENTE </v>
      </c>
      <c r="AV511" s="152">
        <v>1556.08</v>
      </c>
      <c r="AW511" s="152">
        <v>902536</v>
      </c>
      <c r="AX511" s="152">
        <v>50</v>
      </c>
      <c r="AY511" s="152">
        <v>902539</v>
      </c>
      <c r="AZ511" s="152" t="s">
        <v>864</v>
      </c>
      <c r="BA511" s="152" t="str">
        <f t="shared" si="38"/>
        <v>L22-884-LG0087</v>
      </c>
      <c r="BB511" s="152">
        <v>0</v>
      </c>
      <c r="BC511" s="157">
        <v>44814</v>
      </c>
      <c r="BD511" s="157">
        <v>44814</v>
      </c>
      <c r="BE511" s="158">
        <v>308925</v>
      </c>
      <c r="BF511" s="152" t="s">
        <v>4116</v>
      </c>
      <c r="BG511" s="152" t="s">
        <v>3779</v>
      </c>
      <c r="BH511" s="152">
        <v>123.57</v>
      </c>
      <c r="BI511" s="152">
        <v>0</v>
      </c>
      <c r="BJ511" s="152">
        <v>0</v>
      </c>
      <c r="BK511" s="152" t="s">
        <v>132</v>
      </c>
      <c r="BL511" s="152">
        <v>123.57</v>
      </c>
      <c r="BM511" s="152">
        <v>902538</v>
      </c>
      <c r="BN511" s="157" t="s">
        <v>1453</v>
      </c>
    </row>
    <row r="512" spans="1:66">
      <c r="A512" s="152" t="s">
        <v>4117</v>
      </c>
      <c r="B512" s="152" t="s">
        <v>4118</v>
      </c>
      <c r="C512" s="152" t="s">
        <v>3773</v>
      </c>
      <c r="D512" s="152" t="s">
        <v>4119</v>
      </c>
      <c r="E512" s="152" t="s">
        <v>3850</v>
      </c>
      <c r="F512" s="152">
        <v>2629</v>
      </c>
      <c r="G512" s="152">
        <v>129</v>
      </c>
      <c r="H512" s="152" t="s">
        <v>3771</v>
      </c>
      <c r="I512" s="152">
        <v>200941</v>
      </c>
      <c r="J512" s="152">
        <v>83.03</v>
      </c>
      <c r="K512" s="152">
        <v>88037</v>
      </c>
      <c r="L512" s="152" t="s">
        <v>3772</v>
      </c>
      <c r="M512" s="152" t="s">
        <v>92</v>
      </c>
      <c r="N512" s="152" t="s">
        <v>883</v>
      </c>
      <c r="O512" s="152">
        <v>4293</v>
      </c>
      <c r="P512" s="152" t="s">
        <v>3772</v>
      </c>
      <c r="Q512" s="152" t="s">
        <v>92</v>
      </c>
      <c r="R512" s="152" t="s">
        <v>883</v>
      </c>
      <c r="S512" s="152">
        <v>4293</v>
      </c>
      <c r="T512" s="159" t="s">
        <v>856</v>
      </c>
      <c r="U512" s="159" t="s">
        <v>856</v>
      </c>
      <c r="V512" s="152" t="s">
        <v>3530</v>
      </c>
      <c r="W512" s="152" t="s">
        <v>858</v>
      </c>
      <c r="X512" s="152" t="s">
        <v>1083</v>
      </c>
      <c r="Y512" s="152">
        <v>0</v>
      </c>
      <c r="Z512" s="152">
        <v>1</v>
      </c>
      <c r="AA512" s="152" t="s">
        <v>92</v>
      </c>
      <c r="AB512" s="152">
        <v>134.96</v>
      </c>
      <c r="AC512" s="152">
        <v>2</v>
      </c>
      <c r="AD512" s="152" t="s">
        <v>861</v>
      </c>
      <c r="AE512" s="152">
        <v>134.96</v>
      </c>
      <c r="AF512" s="152">
        <v>0</v>
      </c>
      <c r="AG512" s="152" t="s">
        <v>861</v>
      </c>
      <c r="AH512" s="152" t="s">
        <v>861</v>
      </c>
      <c r="AI512" s="152" t="s">
        <v>92</v>
      </c>
      <c r="AJ512" s="152" t="s">
        <v>92</v>
      </c>
      <c r="AK512" s="152" t="s">
        <v>912</v>
      </c>
      <c r="AL512" s="159" t="s">
        <v>856</v>
      </c>
      <c r="AP512" s="159" t="s">
        <v>856</v>
      </c>
      <c r="AQ512" s="159" t="s">
        <v>856</v>
      </c>
      <c r="AR512" s="152" t="s">
        <v>4120</v>
      </c>
      <c r="AS512" s="159" t="s">
        <v>865</v>
      </c>
      <c r="AT512" s="152" t="str">
        <f t="shared" si="36"/>
        <v>RPND11-380722</v>
      </c>
      <c r="AU512" s="152" t="str">
        <f t="shared" si="37"/>
        <v xml:space="preserve">DESARROLLOS HABITACIONALES DEL SUR OCCIDENTE </v>
      </c>
      <c r="AV512" s="152">
        <v>1700.5</v>
      </c>
      <c r="AW512" s="152">
        <v>902548</v>
      </c>
      <c r="AX512" s="152">
        <v>50</v>
      </c>
      <c r="AY512" s="152">
        <v>902551</v>
      </c>
      <c r="AZ512" s="152" t="s">
        <v>864</v>
      </c>
      <c r="BA512" s="152" t="str">
        <f t="shared" si="38"/>
        <v>L22-663-LG085</v>
      </c>
      <c r="BB512" s="152">
        <v>0</v>
      </c>
      <c r="BC512" s="157">
        <v>44823</v>
      </c>
      <c r="BD512" s="157">
        <v>44823</v>
      </c>
      <c r="BE512" s="158">
        <v>337400</v>
      </c>
      <c r="BF512" s="152" t="s">
        <v>4121</v>
      </c>
      <c r="BG512" s="152" t="s">
        <v>3779</v>
      </c>
      <c r="BH512" s="152">
        <v>134.96</v>
      </c>
      <c r="BI512" s="152">
        <v>0</v>
      </c>
      <c r="BJ512" s="152">
        <v>0</v>
      </c>
      <c r="BK512" s="152" t="s">
        <v>132</v>
      </c>
      <c r="BL512" s="152">
        <v>134.96</v>
      </c>
      <c r="BM512" s="152">
        <v>902550</v>
      </c>
      <c r="BN512" s="157" t="s">
        <v>1453</v>
      </c>
    </row>
    <row r="513" spans="1:66">
      <c r="A513" s="152" t="s">
        <v>4122</v>
      </c>
      <c r="B513" s="152" t="s">
        <v>4123</v>
      </c>
      <c r="C513" s="152" t="s">
        <v>4124</v>
      </c>
      <c r="D513" s="152" t="s">
        <v>4125</v>
      </c>
      <c r="E513" s="152" t="s">
        <v>4125</v>
      </c>
      <c r="F513" s="152">
        <v>213434</v>
      </c>
      <c r="G513" s="152">
        <v>186</v>
      </c>
      <c r="H513" s="152">
        <v>431</v>
      </c>
      <c r="I513" s="152">
        <v>116679</v>
      </c>
      <c r="J513" s="152">
        <v>218</v>
      </c>
      <c r="K513" s="152">
        <v>13184</v>
      </c>
      <c r="L513" s="159" t="s">
        <v>3703</v>
      </c>
      <c r="M513" s="152" t="s">
        <v>92</v>
      </c>
      <c r="N513" s="152" t="s">
        <v>92</v>
      </c>
      <c r="O513" s="159" t="s">
        <v>856</v>
      </c>
      <c r="P513" s="159" t="s">
        <v>856</v>
      </c>
      <c r="Q513" s="152" t="s">
        <v>92</v>
      </c>
      <c r="R513" s="152" t="s">
        <v>92</v>
      </c>
      <c r="S513" s="159" t="s">
        <v>856</v>
      </c>
      <c r="T513" s="159" t="s">
        <v>856</v>
      </c>
      <c r="U513" s="159" t="s">
        <v>856</v>
      </c>
      <c r="V513" s="152" t="s">
        <v>4126</v>
      </c>
      <c r="W513" s="152" t="s">
        <v>858</v>
      </c>
      <c r="X513" s="152" t="s">
        <v>1083</v>
      </c>
      <c r="Y513" s="152">
        <v>90.62</v>
      </c>
      <c r="Z513" s="152">
        <v>2</v>
      </c>
      <c r="AA513" s="152" t="s">
        <v>92</v>
      </c>
      <c r="AB513" s="152">
        <v>84.95</v>
      </c>
      <c r="AC513" s="152">
        <v>1</v>
      </c>
      <c r="AD513" s="152" t="s">
        <v>861</v>
      </c>
      <c r="AE513" s="152">
        <v>84.95</v>
      </c>
      <c r="AF513" s="152">
        <v>0</v>
      </c>
      <c r="AG513" s="152" t="s">
        <v>861</v>
      </c>
      <c r="AH513" s="152" t="s">
        <v>861</v>
      </c>
      <c r="AI513" s="152" t="s">
        <v>92</v>
      </c>
      <c r="AJ513" s="152" t="s">
        <v>92</v>
      </c>
      <c r="AK513" s="152" t="s">
        <v>884</v>
      </c>
      <c r="AL513" s="159" t="s">
        <v>856</v>
      </c>
      <c r="AP513" s="159" t="s">
        <v>856</v>
      </c>
      <c r="AQ513" s="159" t="s">
        <v>856</v>
      </c>
      <c r="AR513" s="152" t="s">
        <v>1034</v>
      </c>
      <c r="AS513" s="159" t="s">
        <v>865</v>
      </c>
      <c r="AT513" s="152" t="str">
        <f t="shared" si="36"/>
        <v>RPNF9-270622</v>
      </c>
      <c r="AU513" s="152" t="str">
        <f t="shared" si="37"/>
        <v xml:space="preserve">WALTER ERAZMO FLORES ORELLANA </v>
      </c>
      <c r="AV513" s="152">
        <v>1414.47</v>
      </c>
      <c r="AW513" s="152">
        <v>896750</v>
      </c>
      <c r="AX513" s="152">
        <v>52.25</v>
      </c>
      <c r="AY513" s="152">
        <v>896752</v>
      </c>
      <c r="AZ513" s="152" t="s">
        <v>864</v>
      </c>
      <c r="BA513" s="152" t="str">
        <f t="shared" si="38"/>
        <v>L22-651-AQ041</v>
      </c>
      <c r="BB513" s="152">
        <v>0</v>
      </c>
      <c r="BC513" s="157">
        <v>44826</v>
      </c>
      <c r="BD513" s="157">
        <v>44826</v>
      </c>
      <c r="BE513" s="158">
        <v>217238.39999999999</v>
      </c>
      <c r="BF513" s="152" t="s">
        <v>4127</v>
      </c>
      <c r="BG513" s="152" t="s">
        <v>4128</v>
      </c>
      <c r="BH513" s="152">
        <v>84.95</v>
      </c>
      <c r="BI513" s="152">
        <v>0</v>
      </c>
      <c r="BJ513" s="152">
        <v>0</v>
      </c>
      <c r="BK513" s="152" t="s">
        <v>995</v>
      </c>
      <c r="BL513" s="152">
        <v>90.35</v>
      </c>
      <c r="BM513" s="152">
        <v>896751</v>
      </c>
      <c r="BN513" s="157">
        <v>45557</v>
      </c>
    </row>
    <row r="514" spans="1:66">
      <c r="A514" s="152" t="s">
        <v>4129</v>
      </c>
      <c r="B514" s="152" t="s">
        <v>4130</v>
      </c>
      <c r="C514" s="152" t="s">
        <v>4131</v>
      </c>
      <c r="D514" s="152" t="s">
        <v>4132</v>
      </c>
      <c r="E514" s="152" t="s">
        <v>4133</v>
      </c>
      <c r="F514" s="152">
        <v>272799</v>
      </c>
      <c r="G514" s="152">
        <v>139</v>
      </c>
      <c r="H514" s="152">
        <v>628</v>
      </c>
      <c r="I514" s="152">
        <v>26084</v>
      </c>
      <c r="J514" s="152">
        <v>90</v>
      </c>
      <c r="K514" s="152">
        <v>48879</v>
      </c>
      <c r="L514" s="152" t="s">
        <v>4134</v>
      </c>
      <c r="M514" s="152" t="s">
        <v>92</v>
      </c>
      <c r="N514" s="152" t="s">
        <v>883</v>
      </c>
      <c r="O514" s="152">
        <v>4669</v>
      </c>
      <c r="P514" s="152" t="s">
        <v>4134</v>
      </c>
      <c r="Q514" s="152" t="s">
        <v>92</v>
      </c>
      <c r="R514" s="152" t="s">
        <v>883</v>
      </c>
      <c r="S514" s="152">
        <v>4669</v>
      </c>
      <c r="T514" s="159" t="s">
        <v>856</v>
      </c>
      <c r="U514" s="159" t="s">
        <v>856</v>
      </c>
      <c r="V514" s="152" t="s">
        <v>1550</v>
      </c>
      <c r="W514" s="152" t="s">
        <v>858</v>
      </c>
      <c r="X514" s="152" t="s">
        <v>1083</v>
      </c>
      <c r="Y514" s="152">
        <v>0</v>
      </c>
      <c r="Z514" s="152">
        <v>0</v>
      </c>
      <c r="AA514" s="152" t="s">
        <v>92</v>
      </c>
      <c r="AB514" s="152">
        <v>32.08</v>
      </c>
      <c r="AC514" s="152">
        <v>2</v>
      </c>
      <c r="AD514" s="152" t="s">
        <v>861</v>
      </c>
      <c r="AE514" s="152">
        <v>32.08</v>
      </c>
      <c r="AF514" s="152">
        <v>0</v>
      </c>
      <c r="AG514" s="152" t="s">
        <v>861</v>
      </c>
      <c r="AH514" s="152" t="s">
        <v>861</v>
      </c>
      <c r="AI514" s="152" t="s">
        <v>92</v>
      </c>
      <c r="AJ514" s="152" t="s">
        <v>92</v>
      </c>
      <c r="AK514" s="152" t="s">
        <v>884</v>
      </c>
      <c r="AL514" s="159" t="s">
        <v>856</v>
      </c>
      <c r="AP514" s="159" t="s">
        <v>856</v>
      </c>
      <c r="AQ514" s="159" t="s">
        <v>856</v>
      </c>
      <c r="AR514" s="152" t="s">
        <v>1240</v>
      </c>
      <c r="AS514" s="159" t="s">
        <v>865</v>
      </c>
      <c r="AT514" s="152" t="str">
        <f t="shared" si="36"/>
        <v>ANTN-A7-040522</v>
      </c>
      <c r="AU514" s="152" t="str">
        <f t="shared" si="37"/>
        <v>FLOR DE MARIA ALVARADO SOLORZANO</v>
      </c>
      <c r="AV514" s="152">
        <v>404.21</v>
      </c>
      <c r="AW514" s="152">
        <v>902841</v>
      </c>
      <c r="AX514" s="159" t="s">
        <v>856</v>
      </c>
      <c r="AY514" s="159" t="s">
        <v>856</v>
      </c>
      <c r="AZ514" s="152" t="s">
        <v>864</v>
      </c>
      <c r="BA514" s="152" t="str">
        <f t="shared" si="38"/>
        <v>L22-672-MP023</v>
      </c>
      <c r="BB514" s="152">
        <v>0</v>
      </c>
      <c r="BC514" s="157">
        <v>44827</v>
      </c>
      <c r="BD514" s="157">
        <v>45192</v>
      </c>
      <c r="BE514" s="158">
        <v>80200</v>
      </c>
      <c r="BF514" s="152" t="s">
        <v>4135</v>
      </c>
      <c r="BG514" s="152" t="s">
        <v>894</v>
      </c>
      <c r="BH514" s="152">
        <v>32.08</v>
      </c>
      <c r="BI514" s="152">
        <v>0</v>
      </c>
      <c r="BJ514" s="152">
        <v>0</v>
      </c>
      <c r="BK514" s="152" t="s">
        <v>132</v>
      </c>
      <c r="BL514" s="152">
        <v>32.08</v>
      </c>
      <c r="BM514" s="152">
        <v>902842</v>
      </c>
      <c r="BN514" s="157" t="s">
        <v>1453</v>
      </c>
    </row>
    <row r="515" spans="1:66">
      <c r="A515" s="152" t="s">
        <v>4136</v>
      </c>
      <c r="B515" s="152" t="s">
        <v>4137</v>
      </c>
      <c r="C515" s="152" t="s">
        <v>4138</v>
      </c>
      <c r="D515" s="152" t="s">
        <v>4139</v>
      </c>
      <c r="E515" s="152" t="s">
        <v>4140</v>
      </c>
      <c r="F515" s="152">
        <v>214</v>
      </c>
      <c r="G515" s="152">
        <v>214</v>
      </c>
      <c r="H515" s="152" t="s">
        <v>2966</v>
      </c>
      <c r="I515" s="152">
        <v>203743</v>
      </c>
      <c r="J515" s="152">
        <v>128</v>
      </c>
      <c r="K515" s="152">
        <v>90307</v>
      </c>
      <c r="L515" s="159" t="s">
        <v>856</v>
      </c>
      <c r="M515" s="152" t="s">
        <v>92</v>
      </c>
      <c r="N515" s="152" t="s">
        <v>92</v>
      </c>
      <c r="O515" s="159" t="s">
        <v>856</v>
      </c>
      <c r="P515" s="159" t="s">
        <v>856</v>
      </c>
      <c r="Q515" s="152" t="s">
        <v>92</v>
      </c>
      <c r="R515" s="152" t="s">
        <v>92</v>
      </c>
      <c r="S515" s="159" t="s">
        <v>856</v>
      </c>
      <c r="T515" s="159" t="s">
        <v>856</v>
      </c>
      <c r="U515" s="159" t="s">
        <v>856</v>
      </c>
      <c r="V515" s="152" t="s">
        <v>3530</v>
      </c>
      <c r="W515" s="152" t="s">
        <v>858</v>
      </c>
      <c r="X515" s="152" t="s">
        <v>1083</v>
      </c>
      <c r="Y515" s="152">
        <v>63</v>
      </c>
      <c r="Z515" s="152">
        <v>1</v>
      </c>
      <c r="AA515" s="152" t="s">
        <v>883</v>
      </c>
      <c r="AB515" s="152">
        <v>133.87</v>
      </c>
      <c r="AC515" s="152">
        <v>2</v>
      </c>
      <c r="AD515" s="152" t="s">
        <v>861</v>
      </c>
      <c r="AE515" s="152">
        <v>133.87</v>
      </c>
      <c r="AF515" s="152">
        <v>0</v>
      </c>
      <c r="AG515" s="152" t="s">
        <v>861</v>
      </c>
      <c r="AH515" s="152" t="s">
        <v>861</v>
      </c>
      <c r="AI515" s="152" t="s">
        <v>92</v>
      </c>
      <c r="AJ515" s="152" t="s">
        <v>92</v>
      </c>
      <c r="AK515" s="152" t="s">
        <v>884</v>
      </c>
      <c r="AL515" s="159" t="s">
        <v>856</v>
      </c>
      <c r="AP515" s="159" t="s">
        <v>856</v>
      </c>
      <c r="AQ515" s="159" t="s">
        <v>856</v>
      </c>
      <c r="AR515" s="152" t="s">
        <v>3698</v>
      </c>
      <c r="AS515" s="159" t="s">
        <v>865</v>
      </c>
      <c r="AT515" s="152" t="str">
        <f t="shared" si="36"/>
        <v>RPNJ10-290622</v>
      </c>
      <c r="AU515" s="152" t="str">
        <f t="shared" si="37"/>
        <v>HUGO LEONEL JUAREZ IBARRA</v>
      </c>
      <c r="AV515" s="152">
        <v>1936.24</v>
      </c>
      <c r="AW515" s="152">
        <v>895641</v>
      </c>
      <c r="AX515" s="152">
        <v>40</v>
      </c>
      <c r="AY515" s="152">
        <v>895643</v>
      </c>
      <c r="AZ515" s="152" t="s">
        <v>864</v>
      </c>
      <c r="BA515" s="152" t="str">
        <f t="shared" si="38"/>
        <v>L22-638-SP183</v>
      </c>
      <c r="BB515" s="152">
        <v>0</v>
      </c>
      <c r="BC515" s="157">
        <v>44812</v>
      </c>
      <c r="BD515" s="157">
        <v>44812</v>
      </c>
      <c r="BE515" s="158">
        <v>360925</v>
      </c>
      <c r="BF515" s="152" t="s">
        <v>4141</v>
      </c>
      <c r="BG515" s="152" t="s">
        <v>894</v>
      </c>
      <c r="BH515" s="152">
        <v>133.87</v>
      </c>
      <c r="BI515" s="152">
        <v>0</v>
      </c>
      <c r="BJ515" s="152">
        <v>0</v>
      </c>
      <c r="BK515" s="152" t="s">
        <v>132</v>
      </c>
      <c r="BL515" s="152">
        <v>133.87</v>
      </c>
      <c r="BM515" s="152">
        <v>895642</v>
      </c>
      <c r="BN515" s="157" t="s">
        <v>1453</v>
      </c>
    </row>
    <row r="516" spans="1:66">
      <c r="A516" s="152" t="s">
        <v>4142</v>
      </c>
      <c r="B516" s="152" t="s">
        <v>4143</v>
      </c>
      <c r="C516" s="152" t="s">
        <v>4144</v>
      </c>
      <c r="D516" s="152" t="s">
        <v>2300</v>
      </c>
      <c r="E516" s="152" t="s">
        <v>2300</v>
      </c>
      <c r="F516" s="152">
        <v>2228</v>
      </c>
      <c r="G516" s="152">
        <v>228</v>
      </c>
      <c r="H516" s="152" t="s">
        <v>4145</v>
      </c>
      <c r="I516" s="152">
        <v>203234</v>
      </c>
      <c r="J516" s="152">
        <v>547.11</v>
      </c>
      <c r="K516" s="152">
        <v>89917</v>
      </c>
      <c r="L516" s="159" t="s">
        <v>856</v>
      </c>
      <c r="M516" s="152" t="s">
        <v>92</v>
      </c>
      <c r="N516" s="152" t="s">
        <v>92</v>
      </c>
      <c r="O516" s="159" t="s">
        <v>856</v>
      </c>
      <c r="P516" s="159" t="s">
        <v>856</v>
      </c>
      <c r="Q516" s="152" t="s">
        <v>92</v>
      </c>
      <c r="R516" s="152" t="s">
        <v>92</v>
      </c>
      <c r="S516" s="159" t="s">
        <v>856</v>
      </c>
      <c r="T516" s="159" t="s">
        <v>856</v>
      </c>
      <c r="U516" s="159" t="s">
        <v>856</v>
      </c>
      <c r="V516" s="152" t="s">
        <v>3530</v>
      </c>
      <c r="W516" s="152" t="s">
        <v>858</v>
      </c>
      <c r="X516" s="152" t="s">
        <v>1083</v>
      </c>
      <c r="Y516" s="152">
        <v>0</v>
      </c>
      <c r="Z516" s="152">
        <v>1</v>
      </c>
      <c r="AA516" s="152" t="s">
        <v>92</v>
      </c>
      <c r="AB516" s="152">
        <v>120.95</v>
      </c>
      <c r="AC516" s="152">
        <v>1</v>
      </c>
      <c r="AD516" s="152" t="s">
        <v>861</v>
      </c>
      <c r="AE516" s="152">
        <v>120.95</v>
      </c>
      <c r="AF516" s="152">
        <v>0</v>
      </c>
      <c r="AG516" s="152" t="s">
        <v>861</v>
      </c>
      <c r="AH516" s="152" t="s">
        <v>861</v>
      </c>
      <c r="AI516" s="152" t="s">
        <v>92</v>
      </c>
      <c r="AJ516" s="152" t="s">
        <v>92</v>
      </c>
      <c r="AK516" s="152" t="s">
        <v>1620</v>
      </c>
      <c r="AL516" s="159" t="s">
        <v>856</v>
      </c>
      <c r="AP516" s="159" t="s">
        <v>856</v>
      </c>
      <c r="AQ516" s="159" t="s">
        <v>856</v>
      </c>
      <c r="AR516" s="152" t="s">
        <v>3723</v>
      </c>
      <c r="AS516" s="159" t="s">
        <v>865</v>
      </c>
      <c r="AT516" s="152" t="str">
        <f t="shared" si="36"/>
        <v>RPNZR-470522</v>
      </c>
      <c r="AU516" s="152" t="str">
        <f t="shared" si="37"/>
        <v>CHRISTIAN ARNOLDO ZEPEDA RAMIREZ</v>
      </c>
      <c r="AV516" s="152">
        <v>1219.18</v>
      </c>
      <c r="AW516" s="152">
        <v>900128</v>
      </c>
      <c r="AX516" s="159" t="s">
        <v>856</v>
      </c>
      <c r="AY516" s="159" t="s">
        <v>856</v>
      </c>
      <c r="AZ516" s="152" t="s">
        <v>864</v>
      </c>
      <c r="BA516" s="152" t="str">
        <f t="shared" si="38"/>
        <v>L22-912-NR213</v>
      </c>
      <c r="BB516" s="152">
        <v>0</v>
      </c>
      <c r="BC516" s="157">
        <v>44834</v>
      </c>
      <c r="BD516" s="157">
        <v>44834</v>
      </c>
      <c r="BE516" s="158">
        <v>241900</v>
      </c>
    </row>
    <row r="517" spans="1:66">
      <c r="A517" s="152" t="s">
        <v>4146</v>
      </c>
      <c r="B517" s="152" t="s">
        <v>4147</v>
      </c>
      <c r="C517" s="152" t="s">
        <v>4148</v>
      </c>
      <c r="D517" s="152" t="s">
        <v>4149</v>
      </c>
      <c r="E517" s="152" t="s">
        <v>4150</v>
      </c>
      <c r="F517" s="152">
        <v>241902</v>
      </c>
      <c r="G517" s="152">
        <v>242</v>
      </c>
      <c r="H517" s="152">
        <v>523</v>
      </c>
      <c r="I517" s="152">
        <v>198243</v>
      </c>
      <c r="J517" s="152">
        <v>437.28</v>
      </c>
      <c r="K517" s="152">
        <v>85794</v>
      </c>
      <c r="L517" s="152" t="s">
        <v>4151</v>
      </c>
      <c r="M517" s="152" t="s">
        <v>883</v>
      </c>
      <c r="N517" s="152" t="s">
        <v>92</v>
      </c>
      <c r="O517" s="152">
        <v>8666</v>
      </c>
      <c r="P517" s="152" t="s">
        <v>4151</v>
      </c>
      <c r="Q517" s="152" t="s">
        <v>883</v>
      </c>
      <c r="R517" s="152" t="s">
        <v>92</v>
      </c>
      <c r="S517" s="152">
        <v>8666</v>
      </c>
      <c r="T517" s="159" t="s">
        <v>856</v>
      </c>
      <c r="U517" s="159" t="s">
        <v>856</v>
      </c>
      <c r="V517" s="152" t="s">
        <v>3530</v>
      </c>
      <c r="W517" s="152" t="s">
        <v>858</v>
      </c>
      <c r="X517" s="152" t="s">
        <v>1083</v>
      </c>
      <c r="Y517" s="152">
        <v>39.659999999999997</v>
      </c>
      <c r="Z517" s="152">
        <v>1</v>
      </c>
      <c r="AA517" s="152" t="s">
        <v>92</v>
      </c>
      <c r="AB517" s="152">
        <v>63.81</v>
      </c>
      <c r="AC517" s="152">
        <v>1</v>
      </c>
      <c r="AD517" s="152" t="s">
        <v>861</v>
      </c>
      <c r="AE517" s="152">
        <v>63.81</v>
      </c>
      <c r="AF517" s="152">
        <v>0</v>
      </c>
      <c r="AG517" s="152" t="s">
        <v>861</v>
      </c>
      <c r="AH517" s="152" t="s">
        <v>861</v>
      </c>
      <c r="AI517" s="152" t="s">
        <v>92</v>
      </c>
      <c r="AJ517" s="152" t="s">
        <v>92</v>
      </c>
      <c r="AK517" s="152" t="s">
        <v>912</v>
      </c>
      <c r="AL517" s="159" t="s">
        <v>856</v>
      </c>
      <c r="AP517" s="159" t="s">
        <v>856</v>
      </c>
      <c r="AQ517" s="159" t="s">
        <v>856</v>
      </c>
      <c r="AR517" s="152" t="s">
        <v>1034</v>
      </c>
      <c r="AS517" s="159" t="s">
        <v>865</v>
      </c>
      <c r="AT517" s="152" t="str">
        <f t="shared" si="36"/>
        <v>VUNC4-010222</v>
      </c>
      <c r="AU517" s="152" t="str">
        <f t="shared" si="37"/>
        <v xml:space="preserve">IRMA YOLANDA CAYAX GARCIA </v>
      </c>
      <c r="AV517" s="152">
        <v>796.55</v>
      </c>
      <c r="AW517" s="152">
        <v>896998</v>
      </c>
      <c r="AX517" s="152">
        <v>40</v>
      </c>
      <c r="AY517" s="152">
        <v>903501</v>
      </c>
      <c r="AZ517" s="152" t="s">
        <v>864</v>
      </c>
      <c r="BA517" s="152" t="str">
        <f t="shared" si="38"/>
        <v>L22-654-LG081</v>
      </c>
      <c r="BB517" s="152">
        <v>15</v>
      </c>
      <c r="BC517" s="157">
        <v>44832</v>
      </c>
      <c r="BD517" s="157">
        <v>44770</v>
      </c>
      <c r="BE517" s="158">
        <v>144022.39999999999</v>
      </c>
      <c r="BF517" s="152" t="s">
        <v>4152</v>
      </c>
      <c r="BG517" s="152" t="s">
        <v>4153</v>
      </c>
      <c r="BH517" s="152">
        <v>63.81</v>
      </c>
      <c r="BI517" s="152">
        <v>0</v>
      </c>
      <c r="BJ517" s="152">
        <v>0</v>
      </c>
      <c r="BK517" s="152" t="s">
        <v>132</v>
      </c>
      <c r="BL517" s="152">
        <v>63.81</v>
      </c>
      <c r="BM517" s="152">
        <v>897000</v>
      </c>
      <c r="BN517" s="157" t="s">
        <v>1453</v>
      </c>
    </row>
    <row r="518" spans="1:66">
      <c r="A518" s="152" t="s">
        <v>4154</v>
      </c>
      <c r="B518" s="152" t="s">
        <v>4155</v>
      </c>
      <c r="C518" s="152" t="s">
        <v>4156</v>
      </c>
      <c r="D518" s="152" t="s">
        <v>4157</v>
      </c>
      <c r="E518" s="152" t="s">
        <v>4158</v>
      </c>
      <c r="F518" s="152">
        <v>6087</v>
      </c>
      <c r="G518" s="152">
        <v>87</v>
      </c>
      <c r="H518" s="152" t="s">
        <v>1147</v>
      </c>
      <c r="I518" s="152">
        <v>201268</v>
      </c>
      <c r="J518" s="152">
        <v>59.8</v>
      </c>
      <c r="K518" s="152">
        <v>88312</v>
      </c>
      <c r="L518" s="152" t="s">
        <v>4159</v>
      </c>
      <c r="M518" s="152" t="s">
        <v>883</v>
      </c>
      <c r="N518" s="152" t="s">
        <v>92</v>
      </c>
      <c r="O518" s="152">
        <v>9437</v>
      </c>
      <c r="P518" s="152" t="s">
        <v>4159</v>
      </c>
      <c r="Q518" s="152" t="s">
        <v>883</v>
      </c>
      <c r="R518" s="152" t="s">
        <v>92</v>
      </c>
      <c r="S518" s="152">
        <v>9437</v>
      </c>
      <c r="T518" s="159" t="s">
        <v>856</v>
      </c>
      <c r="U518" s="159" t="s">
        <v>856</v>
      </c>
      <c r="V518" s="152" t="s">
        <v>857</v>
      </c>
      <c r="W518" s="152" t="s">
        <v>858</v>
      </c>
      <c r="X518" s="152" t="s">
        <v>1083</v>
      </c>
      <c r="Y518" s="152">
        <v>20.9</v>
      </c>
      <c r="Z518" s="152">
        <v>1</v>
      </c>
      <c r="AA518" s="152" t="s">
        <v>92</v>
      </c>
      <c r="AB518" s="152">
        <v>106.95</v>
      </c>
      <c r="AC518" s="152">
        <v>2</v>
      </c>
      <c r="AD518" s="152" t="s">
        <v>861</v>
      </c>
      <c r="AE518" s="152">
        <v>106.95</v>
      </c>
      <c r="AF518" s="152">
        <v>0</v>
      </c>
      <c r="AG518" s="152" t="s">
        <v>861</v>
      </c>
      <c r="AH518" s="152" t="s">
        <v>861</v>
      </c>
      <c r="AI518" s="152" t="s">
        <v>92</v>
      </c>
      <c r="AJ518" s="152" t="s">
        <v>92</v>
      </c>
      <c r="AK518" s="152" t="s">
        <v>912</v>
      </c>
      <c r="AL518" s="159" t="s">
        <v>856</v>
      </c>
      <c r="AP518" s="159" t="s">
        <v>856</v>
      </c>
      <c r="AQ518" s="159" t="s">
        <v>856</v>
      </c>
      <c r="AR518" s="152" t="s">
        <v>3723</v>
      </c>
      <c r="AS518" s="159" t="s">
        <v>865</v>
      </c>
      <c r="AT518" s="152" t="str">
        <f t="shared" si="36"/>
        <v>VUNF9-011221</v>
      </c>
      <c r="AU518" s="152" t="str">
        <f t="shared" si="37"/>
        <v xml:space="preserve">LEONARDO FUENTES LOAYES </v>
      </c>
      <c r="AV518" s="152">
        <v>1388.53</v>
      </c>
      <c r="AW518" s="152">
        <v>902684</v>
      </c>
      <c r="AX518" s="152">
        <v>18.899999999999999</v>
      </c>
      <c r="AY518" s="152">
        <v>902687</v>
      </c>
      <c r="AZ518" s="152" t="s">
        <v>864</v>
      </c>
      <c r="BA518" s="152" t="str">
        <f t="shared" si="38"/>
        <v>L22-644-LG097</v>
      </c>
      <c r="BB518" s="152">
        <v>24</v>
      </c>
      <c r="BC518" s="157">
        <v>44824</v>
      </c>
      <c r="BD518" s="157">
        <v>45189</v>
      </c>
      <c r="BE518" s="158">
        <v>274688.59999999998</v>
      </c>
      <c r="BF518" s="152" t="s">
        <v>4160</v>
      </c>
      <c r="BG518" s="152" t="s">
        <v>4161</v>
      </c>
      <c r="BH518" s="152">
        <v>106.95</v>
      </c>
      <c r="BI518" s="152">
        <v>0</v>
      </c>
      <c r="BJ518" s="152">
        <v>0</v>
      </c>
      <c r="BK518" s="152" t="s">
        <v>132</v>
      </c>
      <c r="BL518" s="152">
        <v>106.95</v>
      </c>
      <c r="BM518" s="152">
        <v>902686</v>
      </c>
      <c r="BN518" s="157" t="s">
        <v>1453</v>
      </c>
    </row>
    <row r="519" spans="1:66">
      <c r="A519" s="152" t="s">
        <v>4162</v>
      </c>
      <c r="B519" s="152" t="s">
        <v>4163</v>
      </c>
      <c r="C519" s="152" t="s">
        <v>4164</v>
      </c>
      <c r="D519" s="152" t="s">
        <v>4165</v>
      </c>
      <c r="E519" s="152" t="s">
        <v>4166</v>
      </c>
      <c r="F519" s="152">
        <v>3556</v>
      </c>
      <c r="G519" s="152">
        <v>56</v>
      </c>
      <c r="H519" s="152" t="s">
        <v>4167</v>
      </c>
      <c r="I519" s="152">
        <v>202009</v>
      </c>
      <c r="J519" s="152">
        <v>176.09</v>
      </c>
      <c r="K519" s="152">
        <v>88923</v>
      </c>
      <c r="L519" s="152" t="s">
        <v>4168</v>
      </c>
      <c r="M519" s="152" t="s">
        <v>883</v>
      </c>
      <c r="N519" s="152" t="s">
        <v>92</v>
      </c>
      <c r="O519" s="152">
        <v>15447</v>
      </c>
      <c r="P519" s="152" t="s">
        <v>4168</v>
      </c>
      <c r="Q519" s="152" t="s">
        <v>883</v>
      </c>
      <c r="R519" s="152" t="s">
        <v>92</v>
      </c>
      <c r="S519" s="152">
        <v>15447</v>
      </c>
      <c r="T519" s="159" t="s">
        <v>856</v>
      </c>
      <c r="U519" s="159" t="s">
        <v>856</v>
      </c>
      <c r="V519" s="152" t="s">
        <v>3530</v>
      </c>
      <c r="W519" s="152" t="s">
        <v>858</v>
      </c>
      <c r="X519" s="152" t="s">
        <v>1083</v>
      </c>
      <c r="Y519" s="152">
        <v>45.12</v>
      </c>
      <c r="Z519" s="152">
        <v>1</v>
      </c>
      <c r="AA519" s="152" t="s">
        <v>92</v>
      </c>
      <c r="AB519" s="152">
        <v>141.84</v>
      </c>
      <c r="AC519" s="152">
        <v>2</v>
      </c>
      <c r="AD519" s="152" t="s">
        <v>861</v>
      </c>
      <c r="AE519" s="152">
        <v>141.84</v>
      </c>
      <c r="AF519" s="152">
        <v>0</v>
      </c>
      <c r="AG519" s="152" t="s">
        <v>861</v>
      </c>
      <c r="AH519" s="152" t="s">
        <v>861</v>
      </c>
      <c r="AI519" s="152" t="s">
        <v>92</v>
      </c>
      <c r="AJ519" s="152" t="s">
        <v>92</v>
      </c>
      <c r="AK519" s="152" t="s">
        <v>912</v>
      </c>
      <c r="AL519" s="159" t="s">
        <v>856</v>
      </c>
      <c r="AP519" s="159" t="s">
        <v>856</v>
      </c>
      <c r="AQ519" s="159" t="s">
        <v>856</v>
      </c>
      <c r="AR519" s="152" t="s">
        <v>3723</v>
      </c>
      <c r="AS519" s="159" t="s">
        <v>865</v>
      </c>
      <c r="AT519" s="152" t="str">
        <f t="shared" si="36"/>
        <v>VUNJ4-020722</v>
      </c>
      <c r="AU519" s="152" t="str">
        <f t="shared" si="37"/>
        <v>KARLA AMARILIS ARREAGA RIVEREA DE JUAREZ</v>
      </c>
      <c r="AV519" s="152">
        <v>1875.62</v>
      </c>
      <c r="AW519" s="152">
        <v>896434</v>
      </c>
      <c r="AX519" s="152">
        <v>46.95</v>
      </c>
      <c r="AY519" s="152">
        <v>896437</v>
      </c>
      <c r="AZ519" s="152" t="s">
        <v>864</v>
      </c>
      <c r="BA519" s="152" t="str">
        <f t="shared" si="38"/>
        <v>L22-643-LG117</v>
      </c>
      <c r="BB519" s="152">
        <v>24</v>
      </c>
      <c r="BC519" s="157">
        <v>44817</v>
      </c>
      <c r="BD519" s="157">
        <v>45182</v>
      </c>
      <c r="BE519" s="158">
        <v>370392</v>
      </c>
      <c r="BF519" s="152" t="s">
        <v>4169</v>
      </c>
      <c r="BG519" s="152" t="s">
        <v>4170</v>
      </c>
      <c r="BH519" s="152">
        <v>141.84</v>
      </c>
      <c r="BI519" s="152">
        <v>0</v>
      </c>
      <c r="BJ519" s="152">
        <v>0</v>
      </c>
      <c r="BK519" s="152" t="s">
        <v>132</v>
      </c>
      <c r="BL519" s="152">
        <v>141.84</v>
      </c>
      <c r="BM519" s="152">
        <v>896436</v>
      </c>
      <c r="BN519" s="157" t="s">
        <v>1453</v>
      </c>
    </row>
    <row r="520" spans="1:66">
      <c r="A520" s="152" t="s">
        <v>4171</v>
      </c>
      <c r="B520" s="152" t="s">
        <v>4172</v>
      </c>
      <c r="C520" s="152" t="s">
        <v>4173</v>
      </c>
      <c r="D520" s="152" t="s">
        <v>4174</v>
      </c>
      <c r="E520" s="152" t="s">
        <v>4174</v>
      </c>
      <c r="F520" s="152">
        <v>17262</v>
      </c>
      <c r="G520" s="152">
        <v>146</v>
      </c>
      <c r="H520" s="152">
        <v>108</v>
      </c>
      <c r="I520" s="152">
        <v>131903</v>
      </c>
      <c r="J520" s="152">
        <v>2703.66</v>
      </c>
      <c r="K520" s="152">
        <v>30026</v>
      </c>
      <c r="L520" s="152" t="s">
        <v>4175</v>
      </c>
      <c r="M520" s="152" t="s">
        <v>883</v>
      </c>
      <c r="N520" s="152" t="s">
        <v>92</v>
      </c>
      <c r="O520" s="152">
        <v>7245</v>
      </c>
      <c r="P520" s="152" t="s">
        <v>4175</v>
      </c>
      <c r="Q520" s="152" t="s">
        <v>883</v>
      </c>
      <c r="R520" s="152" t="s">
        <v>92</v>
      </c>
      <c r="S520" s="152">
        <v>7245</v>
      </c>
      <c r="T520" s="159" t="s">
        <v>856</v>
      </c>
      <c r="U520" s="159" t="s">
        <v>856</v>
      </c>
      <c r="V520" s="152" t="s">
        <v>4089</v>
      </c>
      <c r="W520" s="152" t="s">
        <v>4176</v>
      </c>
      <c r="X520" s="159" t="s">
        <v>856</v>
      </c>
      <c r="Y520" s="152">
        <v>0</v>
      </c>
      <c r="Z520" s="152">
        <v>0</v>
      </c>
      <c r="AA520" s="152" t="s">
        <v>92</v>
      </c>
      <c r="AB520" s="152">
        <v>0</v>
      </c>
      <c r="AC520" s="152">
        <v>1</v>
      </c>
      <c r="AD520" s="152" t="s">
        <v>861</v>
      </c>
      <c r="AE520" s="152">
        <v>0</v>
      </c>
      <c r="AF520" s="152">
        <v>0</v>
      </c>
      <c r="AG520" s="152" t="s">
        <v>861</v>
      </c>
      <c r="AH520" s="152" t="s">
        <v>861</v>
      </c>
      <c r="AI520" s="152" t="s">
        <v>92</v>
      </c>
      <c r="AJ520" s="152" t="s">
        <v>92</v>
      </c>
      <c r="AK520" s="152" t="s">
        <v>2503</v>
      </c>
      <c r="AL520" s="159" t="s">
        <v>856</v>
      </c>
      <c r="AP520" s="159" t="s">
        <v>856</v>
      </c>
      <c r="AQ520" s="159" t="s">
        <v>856</v>
      </c>
      <c r="AR520" s="159" t="s">
        <v>856</v>
      </c>
      <c r="AS520" s="159" t="s">
        <v>865</v>
      </c>
      <c r="AT520" s="152" t="str">
        <f t="shared" si="36"/>
        <v>MVNTR-010722</v>
      </c>
      <c r="AU520" s="152" t="str">
        <f t="shared" si="37"/>
        <v xml:space="preserve">GERSON ELIU TIRADO CARDENAS </v>
      </c>
      <c r="AV520" s="152">
        <v>11171.25</v>
      </c>
      <c r="AW520" s="152">
        <v>894195</v>
      </c>
      <c r="AX520" s="159" t="s">
        <v>856</v>
      </c>
      <c r="AY520" s="159" t="s">
        <v>856</v>
      </c>
      <c r="AZ520" s="152" t="s">
        <v>4091</v>
      </c>
      <c r="BA520" s="152" t="str">
        <f t="shared" si="38"/>
        <v>L22-618-LG079</v>
      </c>
      <c r="BB520" s="152">
        <v>24</v>
      </c>
      <c r="BC520" s="157">
        <v>44806</v>
      </c>
      <c r="BD520" s="157">
        <v>44622</v>
      </c>
      <c r="BE520" s="158">
        <v>1489500</v>
      </c>
    </row>
    <row r="521" spans="1:66">
      <c r="A521" s="152" t="s">
        <v>4177</v>
      </c>
      <c r="B521" s="152" t="s">
        <v>4178</v>
      </c>
      <c r="C521" s="152" t="s">
        <v>4179</v>
      </c>
      <c r="D521" s="152" t="s">
        <v>4180</v>
      </c>
      <c r="E521" s="152" t="s">
        <v>4181</v>
      </c>
      <c r="F521" s="152">
        <v>297009</v>
      </c>
      <c r="G521" s="152">
        <v>289</v>
      </c>
      <c r="H521" s="152">
        <v>708</v>
      </c>
      <c r="I521" s="152">
        <v>1820</v>
      </c>
      <c r="J521" s="152">
        <v>50</v>
      </c>
      <c r="K521" s="152">
        <v>56472</v>
      </c>
      <c r="L521" s="152" t="s">
        <v>937</v>
      </c>
      <c r="M521" s="152" t="s">
        <v>883</v>
      </c>
      <c r="N521" s="152" t="s">
        <v>92</v>
      </c>
      <c r="O521" s="152">
        <v>2431</v>
      </c>
      <c r="P521" s="152" t="s">
        <v>937</v>
      </c>
      <c r="Q521" s="152" t="s">
        <v>883</v>
      </c>
      <c r="R521" s="152" t="s">
        <v>92</v>
      </c>
      <c r="S521" s="152">
        <v>2431</v>
      </c>
      <c r="T521" s="159" t="s">
        <v>856</v>
      </c>
      <c r="U521" s="159" t="s">
        <v>856</v>
      </c>
      <c r="V521" s="152" t="s">
        <v>4182</v>
      </c>
      <c r="W521" s="152" t="s">
        <v>858</v>
      </c>
      <c r="X521" s="152" t="s">
        <v>1083</v>
      </c>
      <c r="Y521" s="152">
        <v>0</v>
      </c>
      <c r="Z521" s="152">
        <v>2</v>
      </c>
      <c r="AA521" s="152" t="s">
        <v>92</v>
      </c>
      <c r="AB521" s="152">
        <v>150</v>
      </c>
      <c r="AC521" s="152">
        <v>3</v>
      </c>
      <c r="AD521" s="152" t="s">
        <v>861</v>
      </c>
      <c r="AE521" s="152">
        <v>150</v>
      </c>
      <c r="AF521" s="152">
        <v>0</v>
      </c>
      <c r="AG521" s="152" t="s">
        <v>861</v>
      </c>
      <c r="AH521" s="152" t="s">
        <v>861</v>
      </c>
      <c r="AI521" s="152" t="s">
        <v>92</v>
      </c>
      <c r="AJ521" s="152" t="s">
        <v>92</v>
      </c>
      <c r="AK521" s="152" t="s">
        <v>1085</v>
      </c>
      <c r="AL521" s="159" t="s">
        <v>856</v>
      </c>
      <c r="AP521" s="159" t="s">
        <v>856</v>
      </c>
      <c r="AQ521" s="159" t="s">
        <v>856</v>
      </c>
      <c r="AR521" s="152" t="s">
        <v>1953</v>
      </c>
      <c r="AS521" s="159" t="s">
        <v>865</v>
      </c>
      <c r="AT521" s="152" t="str">
        <f t="shared" si="36"/>
        <v>RPNM3-040920</v>
      </c>
      <c r="AU521" s="152" t="str">
        <f t="shared" si="37"/>
        <v>EFRAIN MACARIO GOMEZ</v>
      </c>
      <c r="AV521" s="152">
        <v>2562</v>
      </c>
      <c r="AW521" s="152">
        <v>895362</v>
      </c>
      <c r="AX521" s="152">
        <v>25</v>
      </c>
      <c r="AY521" s="152">
        <v>895364</v>
      </c>
      <c r="AZ521" s="152" t="s">
        <v>864</v>
      </c>
      <c r="BA521" s="152" t="str">
        <f t="shared" si="38"/>
        <v>L22-636-SP116</v>
      </c>
      <c r="BB521" s="152">
        <v>0</v>
      </c>
      <c r="BC521" s="157">
        <v>44810</v>
      </c>
      <c r="BD521" s="157">
        <v>44810</v>
      </c>
      <c r="BE521" s="158">
        <v>425000</v>
      </c>
      <c r="BF521" s="152" t="s">
        <v>4183</v>
      </c>
      <c r="BG521" s="152" t="s">
        <v>894</v>
      </c>
      <c r="BH521" s="152">
        <v>150</v>
      </c>
      <c r="BI521" s="152">
        <v>0</v>
      </c>
      <c r="BJ521" s="152">
        <v>0</v>
      </c>
      <c r="BK521" s="152" t="s">
        <v>4184</v>
      </c>
      <c r="BL521" s="152">
        <v>162.5</v>
      </c>
      <c r="BM521" s="152">
        <v>895363</v>
      </c>
      <c r="BN521" s="157" t="s">
        <v>1453</v>
      </c>
    </row>
    <row r="522" spans="1:66">
      <c r="A522" s="152" t="s">
        <v>4185</v>
      </c>
      <c r="B522" s="152" t="s">
        <v>4186</v>
      </c>
      <c r="C522" s="152" t="s">
        <v>4187</v>
      </c>
      <c r="D522" s="152" t="s">
        <v>4188</v>
      </c>
      <c r="E522" s="152" t="s">
        <v>4188</v>
      </c>
      <c r="F522" s="159" t="s">
        <v>856</v>
      </c>
      <c r="G522" s="159" t="s">
        <v>856</v>
      </c>
      <c r="H522" s="159" t="s">
        <v>856</v>
      </c>
      <c r="I522" s="152">
        <v>201510</v>
      </c>
      <c r="J522" s="152">
        <v>192.37</v>
      </c>
      <c r="K522" s="152">
        <v>88515</v>
      </c>
      <c r="L522" s="152" t="s">
        <v>1972</v>
      </c>
      <c r="M522" s="152" t="s">
        <v>92</v>
      </c>
      <c r="N522" s="152" t="s">
        <v>883</v>
      </c>
      <c r="O522" s="152">
        <v>6608</v>
      </c>
      <c r="P522" s="152" t="s">
        <v>1972</v>
      </c>
      <c r="Q522" s="152" t="s">
        <v>92</v>
      </c>
      <c r="R522" s="152" t="s">
        <v>883</v>
      </c>
      <c r="S522" s="152">
        <v>6608</v>
      </c>
      <c r="T522" s="159" t="s">
        <v>856</v>
      </c>
      <c r="U522" s="159" t="s">
        <v>856</v>
      </c>
      <c r="V522" s="152" t="s">
        <v>911</v>
      </c>
      <c r="W522" s="152" t="s">
        <v>858</v>
      </c>
      <c r="X522" s="152" t="s">
        <v>1083</v>
      </c>
      <c r="Y522" s="152">
        <v>5.76</v>
      </c>
      <c r="Z522" s="152">
        <v>2</v>
      </c>
      <c r="AA522" s="152" t="s">
        <v>92</v>
      </c>
      <c r="AB522" s="152">
        <v>148.38</v>
      </c>
      <c r="AC522" s="152">
        <v>2</v>
      </c>
      <c r="AD522" s="152" t="s">
        <v>861</v>
      </c>
      <c r="AE522" s="152">
        <v>148.38</v>
      </c>
      <c r="AF522" s="152">
        <v>0</v>
      </c>
      <c r="AG522" s="152" t="s">
        <v>861</v>
      </c>
      <c r="AH522" s="152" t="s">
        <v>861</v>
      </c>
      <c r="AI522" s="152" t="s">
        <v>92</v>
      </c>
      <c r="AJ522" s="152" t="s">
        <v>92</v>
      </c>
      <c r="AK522" s="152" t="s">
        <v>1620</v>
      </c>
      <c r="AL522" s="159" t="s">
        <v>856</v>
      </c>
      <c r="AP522" s="159" t="s">
        <v>856</v>
      </c>
      <c r="AQ522" s="159" t="s">
        <v>856</v>
      </c>
      <c r="AR522" s="152" t="s">
        <v>1953</v>
      </c>
      <c r="AS522" s="159" t="s">
        <v>865</v>
      </c>
      <c r="AT522" s="152" t="str">
        <f t="shared" si="36"/>
        <v>RPNMR-430722</v>
      </c>
      <c r="AU522" s="152" t="str">
        <f t="shared" si="37"/>
        <v>YOSSELIN MARIELA MEJIA GONZALEZ</v>
      </c>
      <c r="AV522" s="152">
        <v>1506.96</v>
      </c>
      <c r="AW522" s="152">
        <v>904128</v>
      </c>
      <c r="AX522" s="159" t="s">
        <v>856</v>
      </c>
      <c r="AY522" s="159" t="s">
        <v>856</v>
      </c>
      <c r="AZ522" s="152" t="s">
        <v>864</v>
      </c>
      <c r="BA522" s="152" t="str">
        <f t="shared" si="38"/>
        <v>L22-682-JM125</v>
      </c>
      <c r="BB522" s="152">
        <v>0</v>
      </c>
      <c r="BC522" s="157">
        <v>44840</v>
      </c>
      <c r="BD522" s="157">
        <v>44840</v>
      </c>
      <c r="BE522" s="158">
        <v>298776</v>
      </c>
      <c r="BF522" s="152" t="s">
        <v>4189</v>
      </c>
      <c r="BG522" s="152" t="s">
        <v>894</v>
      </c>
      <c r="BH522" s="152">
        <v>148.38</v>
      </c>
      <c r="BI522" s="152">
        <v>0</v>
      </c>
      <c r="BJ522" s="152">
        <v>0</v>
      </c>
      <c r="BK522" s="152" t="s">
        <v>132</v>
      </c>
      <c r="BL522" s="152">
        <v>148.38</v>
      </c>
      <c r="BM522" s="152">
        <v>904129</v>
      </c>
      <c r="BN522" s="157" t="s">
        <v>1453</v>
      </c>
    </row>
    <row r="523" spans="1:66">
      <c r="A523" s="152" t="s">
        <v>4190</v>
      </c>
      <c r="B523" s="152" t="s">
        <v>4191</v>
      </c>
      <c r="C523" s="152" t="s">
        <v>4192</v>
      </c>
      <c r="D523" s="152" t="s">
        <v>4193</v>
      </c>
      <c r="E523" s="152" t="s">
        <v>4194</v>
      </c>
      <c r="F523" s="152">
        <v>2612</v>
      </c>
      <c r="G523" s="152">
        <v>112</v>
      </c>
      <c r="H523" s="152" t="s">
        <v>4195</v>
      </c>
      <c r="I523" s="152">
        <v>203295</v>
      </c>
      <c r="J523" s="152">
        <v>400.43</v>
      </c>
      <c r="K523" s="152">
        <v>89973</v>
      </c>
      <c r="L523" s="159" t="s">
        <v>856</v>
      </c>
      <c r="M523" s="152" t="s">
        <v>92</v>
      </c>
      <c r="N523" s="152" t="s">
        <v>92</v>
      </c>
      <c r="O523" s="159" t="s">
        <v>856</v>
      </c>
      <c r="P523" s="159" t="s">
        <v>856</v>
      </c>
      <c r="Q523" s="152" t="s">
        <v>92</v>
      </c>
      <c r="R523" s="152" t="s">
        <v>92</v>
      </c>
      <c r="S523" s="159" t="s">
        <v>856</v>
      </c>
      <c r="T523" s="159" t="s">
        <v>856</v>
      </c>
      <c r="U523" s="159" t="s">
        <v>856</v>
      </c>
      <c r="V523" s="152" t="s">
        <v>4196</v>
      </c>
      <c r="W523" s="152" t="s">
        <v>858</v>
      </c>
      <c r="X523" s="152" t="s">
        <v>1083</v>
      </c>
      <c r="Y523" s="152">
        <v>0</v>
      </c>
      <c r="Z523" s="152">
        <v>2</v>
      </c>
      <c r="AA523" s="152" t="s">
        <v>92</v>
      </c>
      <c r="AB523" s="152">
        <v>150.49</v>
      </c>
      <c r="AC523" s="152">
        <v>1</v>
      </c>
      <c r="AD523" s="152" t="s">
        <v>861</v>
      </c>
      <c r="AE523" s="152">
        <v>150.49</v>
      </c>
      <c r="AF523" s="152">
        <v>0</v>
      </c>
      <c r="AG523" s="152" t="s">
        <v>861</v>
      </c>
      <c r="AH523" s="152" t="s">
        <v>861</v>
      </c>
      <c r="AI523" s="152" t="s">
        <v>92</v>
      </c>
      <c r="AJ523" s="152" t="s">
        <v>92</v>
      </c>
      <c r="AK523" s="152" t="s">
        <v>972</v>
      </c>
      <c r="AL523" s="159" t="s">
        <v>856</v>
      </c>
      <c r="AP523" s="159" t="s">
        <v>856</v>
      </c>
      <c r="AQ523" s="159" t="s">
        <v>856</v>
      </c>
      <c r="AR523" s="152" t="s">
        <v>3698</v>
      </c>
      <c r="AS523" s="159" t="s">
        <v>865</v>
      </c>
      <c r="AT523" s="152" t="str">
        <f t="shared" si="36"/>
        <v>RPNG5-460822</v>
      </c>
      <c r="AU523" s="152" t="str">
        <f t="shared" si="37"/>
        <v xml:space="preserve">CAROLINA GONZALES TZUL </v>
      </c>
      <c r="AV523" s="152">
        <v>1635.42</v>
      </c>
      <c r="AW523" s="152">
        <v>904897</v>
      </c>
      <c r="AX523" s="152">
        <v>52.25</v>
      </c>
      <c r="AY523" s="152">
        <v>904899</v>
      </c>
      <c r="AZ523" s="152" t="s">
        <v>864</v>
      </c>
      <c r="BA523" s="152" t="str">
        <f t="shared" si="38"/>
        <v>L22-709-NR112</v>
      </c>
      <c r="BB523" s="152">
        <v>0</v>
      </c>
      <c r="BC523" s="157">
        <v>44862</v>
      </c>
      <c r="BD523" s="157">
        <v>44862</v>
      </c>
      <c r="BE523" s="158">
        <v>306405</v>
      </c>
      <c r="BF523" s="152" t="s">
        <v>4197</v>
      </c>
      <c r="BG523" s="152" t="s">
        <v>894</v>
      </c>
      <c r="BH523" s="152">
        <v>150.49</v>
      </c>
      <c r="BI523" s="152">
        <v>0</v>
      </c>
      <c r="BJ523" s="152">
        <v>0</v>
      </c>
      <c r="BK523" s="152" t="s">
        <v>995</v>
      </c>
      <c r="BL523" s="152">
        <v>153.19999999999999</v>
      </c>
      <c r="BM523" s="152">
        <v>904898</v>
      </c>
      <c r="BN523" s="157">
        <v>45593</v>
      </c>
    </row>
    <row r="524" spans="1:66">
      <c r="A524" s="152" t="s">
        <v>4198</v>
      </c>
      <c r="B524" s="152" t="s">
        <v>4199</v>
      </c>
      <c r="C524" s="152" t="s">
        <v>4200</v>
      </c>
      <c r="D524" s="152" t="s">
        <v>4201</v>
      </c>
      <c r="E524" s="152" t="s">
        <v>4202</v>
      </c>
      <c r="F524" s="152">
        <v>1489</v>
      </c>
      <c r="G524" s="152">
        <v>489</v>
      </c>
      <c r="H524" s="152" t="s">
        <v>2211</v>
      </c>
      <c r="I524" s="152">
        <v>202178</v>
      </c>
      <c r="J524" s="152">
        <v>108</v>
      </c>
      <c r="K524" s="152">
        <v>89069</v>
      </c>
      <c r="L524" s="152" t="s">
        <v>4203</v>
      </c>
      <c r="M524" s="152" t="s">
        <v>92</v>
      </c>
      <c r="N524" s="152" t="s">
        <v>883</v>
      </c>
      <c r="O524" s="152">
        <v>6147</v>
      </c>
      <c r="P524" s="152" t="s">
        <v>4204</v>
      </c>
      <c r="Q524" s="152" t="s">
        <v>92</v>
      </c>
      <c r="R524" s="152" t="s">
        <v>883</v>
      </c>
      <c r="S524" s="152">
        <v>6147</v>
      </c>
      <c r="T524" s="159" t="s">
        <v>856</v>
      </c>
      <c r="U524" s="159" t="s">
        <v>856</v>
      </c>
      <c r="V524" s="152" t="s">
        <v>3530</v>
      </c>
      <c r="W524" s="152" t="s">
        <v>858</v>
      </c>
      <c r="X524" s="152" t="s">
        <v>1083</v>
      </c>
      <c r="Y524" s="152">
        <v>107.14</v>
      </c>
      <c r="Z524" s="152">
        <v>1</v>
      </c>
      <c r="AA524" s="152" t="s">
        <v>92</v>
      </c>
      <c r="AB524" s="152">
        <v>42.82</v>
      </c>
      <c r="AC524" s="152">
        <v>1</v>
      </c>
      <c r="AD524" s="152" t="s">
        <v>861</v>
      </c>
      <c r="AE524" s="152">
        <v>42.82</v>
      </c>
      <c r="AF524" s="152">
        <v>0</v>
      </c>
      <c r="AG524" s="152" t="s">
        <v>861</v>
      </c>
      <c r="AH524" s="152" t="s">
        <v>861</v>
      </c>
      <c r="AI524" s="152" t="s">
        <v>92</v>
      </c>
      <c r="AJ524" s="152" t="s">
        <v>92</v>
      </c>
      <c r="AK524" s="152" t="s">
        <v>912</v>
      </c>
      <c r="AL524" s="159" t="s">
        <v>856</v>
      </c>
      <c r="AP524" s="159" t="s">
        <v>856</v>
      </c>
      <c r="AQ524" s="159" t="s">
        <v>856</v>
      </c>
      <c r="AR524" s="152" t="s">
        <v>1529</v>
      </c>
      <c r="AS524" s="159" t="s">
        <v>865</v>
      </c>
      <c r="AT524" s="152" t="str">
        <f t="shared" si="36"/>
        <v>RPNM5-520822</v>
      </c>
      <c r="AU524" s="152" t="str">
        <f t="shared" si="37"/>
        <v>LESBIA ROXANA NOHEMI MEJIA MORALES Y CONDUEÑO</v>
      </c>
      <c r="AV524" s="152">
        <v>742.42</v>
      </c>
      <c r="AW524" s="152">
        <v>901571</v>
      </c>
      <c r="AX524" s="152">
        <v>30</v>
      </c>
      <c r="AY524" s="152">
        <v>901571</v>
      </c>
      <c r="AZ524" s="152" t="s">
        <v>864</v>
      </c>
      <c r="BA524" s="152" t="str">
        <f t="shared" si="38"/>
        <v>L22-871-SP101</v>
      </c>
      <c r="BB524" s="152">
        <v>0</v>
      </c>
      <c r="BC524" s="157">
        <v>44862</v>
      </c>
      <c r="BD524" s="157">
        <v>44862</v>
      </c>
      <c r="BE524" s="158">
        <v>126499</v>
      </c>
      <c r="BF524" s="152" t="s">
        <v>4205</v>
      </c>
      <c r="BG524" s="152" t="s">
        <v>894</v>
      </c>
      <c r="BH524" s="152">
        <v>42.82</v>
      </c>
      <c r="BI524" s="152">
        <v>0</v>
      </c>
      <c r="BJ524" s="152">
        <v>0</v>
      </c>
      <c r="BK524" s="152" t="s">
        <v>132</v>
      </c>
      <c r="BL524" s="152">
        <v>42.82</v>
      </c>
      <c r="BM524" s="152">
        <v>901570</v>
      </c>
      <c r="BN524" s="157" t="s">
        <v>4100</v>
      </c>
    </row>
    <row r="525" spans="1:66">
      <c r="A525" s="152" t="s">
        <v>4206</v>
      </c>
      <c r="B525" s="152" t="s">
        <v>4207</v>
      </c>
      <c r="C525" s="152" t="s">
        <v>4208</v>
      </c>
      <c r="D525" s="152" t="s">
        <v>4209</v>
      </c>
      <c r="E525" s="152" t="s">
        <v>4210</v>
      </c>
      <c r="F525" s="159" t="s">
        <v>856</v>
      </c>
      <c r="G525" s="159" t="s">
        <v>856</v>
      </c>
      <c r="H525" s="159" t="s">
        <v>856</v>
      </c>
      <c r="I525" s="152">
        <v>203019</v>
      </c>
      <c r="J525" s="152">
        <v>72</v>
      </c>
      <c r="K525" s="152">
        <v>89731</v>
      </c>
      <c r="L525" s="159" t="s">
        <v>856</v>
      </c>
      <c r="M525" s="152" t="s">
        <v>92</v>
      </c>
      <c r="N525" s="152" t="s">
        <v>92</v>
      </c>
      <c r="O525" s="159" t="s">
        <v>856</v>
      </c>
      <c r="P525" s="159" t="s">
        <v>856</v>
      </c>
      <c r="Q525" s="152" t="s">
        <v>92</v>
      </c>
      <c r="R525" s="152" t="s">
        <v>92</v>
      </c>
      <c r="S525" s="159" t="s">
        <v>856</v>
      </c>
      <c r="T525" s="159" t="s">
        <v>856</v>
      </c>
      <c r="U525" s="159" t="s">
        <v>856</v>
      </c>
      <c r="V525" s="152" t="s">
        <v>3530</v>
      </c>
      <c r="W525" s="152" t="s">
        <v>858</v>
      </c>
      <c r="X525" s="152" t="s">
        <v>1083</v>
      </c>
      <c r="Y525" s="152">
        <v>0</v>
      </c>
      <c r="Z525" s="152">
        <v>1</v>
      </c>
      <c r="AA525" s="152" t="s">
        <v>92</v>
      </c>
      <c r="AB525" s="152">
        <v>42.08</v>
      </c>
      <c r="AC525" s="152">
        <v>1</v>
      </c>
      <c r="AD525" s="152" t="s">
        <v>861</v>
      </c>
      <c r="AE525" s="152">
        <v>42.08</v>
      </c>
      <c r="AF525" s="152">
        <v>0</v>
      </c>
      <c r="AG525" s="152" t="s">
        <v>861</v>
      </c>
      <c r="AH525" s="152" t="s">
        <v>861</v>
      </c>
      <c r="AI525" s="152" t="s">
        <v>92</v>
      </c>
      <c r="AJ525" s="152" t="s">
        <v>92</v>
      </c>
      <c r="AK525" s="152" t="s">
        <v>884</v>
      </c>
      <c r="AL525" s="159" t="s">
        <v>856</v>
      </c>
      <c r="AP525" s="159" t="s">
        <v>856</v>
      </c>
      <c r="AQ525" s="159" t="s">
        <v>856</v>
      </c>
      <c r="AR525" s="152" t="s">
        <v>3723</v>
      </c>
      <c r="AS525" s="159" t="s">
        <v>865</v>
      </c>
      <c r="AT525" s="152" t="str">
        <f t="shared" si="36"/>
        <v>RPNC8-390822</v>
      </c>
      <c r="AU525" s="152" t="str">
        <f t="shared" si="37"/>
        <v xml:space="preserve">NELSON JAVIER COYOY VELASQUEZ </v>
      </c>
      <c r="AV525" s="152">
        <v>282.77999999999997</v>
      </c>
      <c r="AW525" s="152">
        <v>901549</v>
      </c>
      <c r="AX525" s="152">
        <v>22.5</v>
      </c>
      <c r="AY525" s="152">
        <v>901551</v>
      </c>
      <c r="AZ525" s="152" t="s">
        <v>864</v>
      </c>
      <c r="BA525" s="152" t="str">
        <f t="shared" si="38"/>
        <v>L22-710-AQ118</v>
      </c>
      <c r="BB525" s="152">
        <v>0</v>
      </c>
      <c r="BC525" s="157">
        <v>44862</v>
      </c>
      <c r="BD525" s="157">
        <v>44862</v>
      </c>
      <c r="BE525" s="158">
        <v>63120</v>
      </c>
      <c r="BF525" s="152" t="s">
        <v>4211</v>
      </c>
      <c r="BG525" s="152" t="s">
        <v>894</v>
      </c>
      <c r="BH525" s="152">
        <v>42.08</v>
      </c>
      <c r="BI525" s="152">
        <v>0</v>
      </c>
      <c r="BJ525" s="152">
        <v>0</v>
      </c>
      <c r="BK525" s="152" t="s">
        <v>4184</v>
      </c>
      <c r="BL525" s="152">
        <v>42.08</v>
      </c>
      <c r="BM525" s="152">
        <v>901550</v>
      </c>
      <c r="BN525" s="157" t="s">
        <v>4100</v>
      </c>
    </row>
    <row r="526" spans="1:66">
      <c r="A526" s="152" t="s">
        <v>4212</v>
      </c>
      <c r="B526" s="152" t="s">
        <v>4213</v>
      </c>
      <c r="C526" s="152" t="s">
        <v>4214</v>
      </c>
      <c r="D526" s="152" t="s">
        <v>4215</v>
      </c>
      <c r="E526" s="152" t="s">
        <v>4174</v>
      </c>
      <c r="F526" s="152">
        <v>745</v>
      </c>
      <c r="G526" s="152">
        <v>245</v>
      </c>
      <c r="H526" s="152" t="s">
        <v>4216</v>
      </c>
      <c r="I526" s="152">
        <v>203465</v>
      </c>
      <c r="J526" s="152">
        <v>859.32</v>
      </c>
      <c r="K526" s="152">
        <v>90069</v>
      </c>
      <c r="L526" s="159" t="s">
        <v>856</v>
      </c>
      <c r="M526" s="152" t="s">
        <v>92</v>
      </c>
      <c r="N526" s="152" t="s">
        <v>92</v>
      </c>
      <c r="O526" s="159" t="s">
        <v>856</v>
      </c>
      <c r="P526" s="159" t="s">
        <v>856</v>
      </c>
      <c r="Q526" s="152" t="s">
        <v>92</v>
      </c>
      <c r="R526" s="152" t="s">
        <v>92</v>
      </c>
      <c r="S526" s="159" t="s">
        <v>856</v>
      </c>
      <c r="T526" s="159" t="s">
        <v>856</v>
      </c>
      <c r="U526" s="159" t="s">
        <v>856</v>
      </c>
      <c r="V526" s="152" t="s">
        <v>3530</v>
      </c>
      <c r="W526" s="152" t="s">
        <v>858</v>
      </c>
      <c r="X526" s="152" t="s">
        <v>1083</v>
      </c>
      <c r="Y526" s="152">
        <v>195.8</v>
      </c>
      <c r="Z526" s="152">
        <v>1</v>
      </c>
      <c r="AA526" s="152" t="s">
        <v>92</v>
      </c>
      <c r="AB526" s="152">
        <v>550.72</v>
      </c>
      <c r="AC526" s="152">
        <v>3</v>
      </c>
      <c r="AD526" s="152" t="s">
        <v>861</v>
      </c>
      <c r="AE526" s="152">
        <v>550.72</v>
      </c>
      <c r="AF526" s="152">
        <v>0</v>
      </c>
      <c r="AG526" s="152" t="s">
        <v>861</v>
      </c>
      <c r="AH526" s="152" t="s">
        <v>861</v>
      </c>
      <c r="AI526" s="152" t="s">
        <v>92</v>
      </c>
      <c r="AJ526" s="152" t="s">
        <v>92</v>
      </c>
      <c r="AK526" s="152" t="s">
        <v>4219</v>
      </c>
      <c r="AL526" s="159" t="s">
        <v>856</v>
      </c>
      <c r="AP526" s="159" t="s">
        <v>856</v>
      </c>
      <c r="AQ526" s="159" t="s">
        <v>856</v>
      </c>
      <c r="AR526" s="152" t="s">
        <v>4217</v>
      </c>
      <c r="AS526" s="159" t="s">
        <v>865</v>
      </c>
      <c r="AT526" s="152" t="str">
        <f t="shared" si="36"/>
        <v>RPNCR-480822</v>
      </c>
      <c r="AU526" s="152" t="str">
        <f t="shared" si="37"/>
        <v xml:space="preserve">SARA CASTILLO LOPEZ </v>
      </c>
      <c r="AV526" s="152">
        <v>9121.0499999999993</v>
      </c>
      <c r="AW526" s="152">
        <v>900441</v>
      </c>
      <c r="AX526" s="152">
        <v>98.15</v>
      </c>
      <c r="AY526" s="152">
        <v>900443</v>
      </c>
      <c r="AZ526" s="152" t="s">
        <v>864</v>
      </c>
      <c r="BA526" s="152" t="str">
        <f t="shared" si="38"/>
        <v>L22-678-JM139</v>
      </c>
      <c r="BB526" s="152">
        <v>0</v>
      </c>
      <c r="BC526" s="157">
        <v>44840</v>
      </c>
      <c r="BD526" s="157">
        <v>44840</v>
      </c>
      <c r="BE526" s="158">
        <v>1734370</v>
      </c>
      <c r="BF526" s="152" t="s">
        <v>4218</v>
      </c>
      <c r="BG526" s="152" t="s">
        <v>894</v>
      </c>
      <c r="BH526" s="152">
        <v>550.72</v>
      </c>
      <c r="BI526" s="152">
        <v>0</v>
      </c>
      <c r="BJ526" s="152">
        <v>0</v>
      </c>
      <c r="BK526" s="152" t="s">
        <v>132</v>
      </c>
      <c r="BL526" s="152">
        <v>550.72</v>
      </c>
      <c r="BM526" s="152">
        <v>900442</v>
      </c>
      <c r="BN526" s="157" t="s">
        <v>1453</v>
      </c>
    </row>
    <row r="527" spans="1:66">
      <c r="A527" s="152" t="s">
        <v>4220</v>
      </c>
      <c r="B527" s="152" t="s">
        <v>4221</v>
      </c>
      <c r="C527" s="152" t="s">
        <v>4222</v>
      </c>
      <c r="D527" s="152" t="s">
        <v>4223</v>
      </c>
      <c r="E527" s="152" t="s">
        <v>4224</v>
      </c>
      <c r="F527" s="152">
        <v>259238</v>
      </c>
      <c r="G527" s="152">
        <v>79</v>
      </c>
      <c r="H527" s="152">
        <v>585</v>
      </c>
      <c r="I527" s="152">
        <v>158686</v>
      </c>
      <c r="J527" s="152">
        <v>120</v>
      </c>
      <c r="K527" s="152">
        <v>55698</v>
      </c>
      <c r="L527" s="152" t="s">
        <v>4225</v>
      </c>
      <c r="M527" s="152" t="s">
        <v>92</v>
      </c>
      <c r="N527" s="152" t="s">
        <v>883</v>
      </c>
      <c r="O527" s="152">
        <v>4658</v>
      </c>
      <c r="P527" s="152" t="s">
        <v>4225</v>
      </c>
      <c r="Q527" s="152" t="s">
        <v>92</v>
      </c>
      <c r="R527" s="152" t="s">
        <v>883</v>
      </c>
      <c r="S527" s="152">
        <v>4658</v>
      </c>
      <c r="T527" s="159" t="s">
        <v>856</v>
      </c>
      <c r="U527" s="159" t="s">
        <v>856</v>
      </c>
      <c r="V527" s="152" t="s">
        <v>3530</v>
      </c>
      <c r="W527" s="152" t="s">
        <v>858</v>
      </c>
      <c r="X527" s="152" t="s">
        <v>1083</v>
      </c>
      <c r="Y527" s="152">
        <v>57.12</v>
      </c>
      <c r="Z527" s="152">
        <v>1</v>
      </c>
      <c r="AA527" s="152" t="s">
        <v>92</v>
      </c>
      <c r="AB527" s="152">
        <v>82.37</v>
      </c>
      <c r="AC527" s="152">
        <v>1</v>
      </c>
      <c r="AD527" s="152" t="s">
        <v>861</v>
      </c>
      <c r="AE527" s="152">
        <v>82.37</v>
      </c>
      <c r="AF527" s="152">
        <v>0</v>
      </c>
      <c r="AG527" s="152" t="s">
        <v>861</v>
      </c>
      <c r="AH527" s="152" t="s">
        <v>861</v>
      </c>
      <c r="AI527" s="152" t="s">
        <v>92</v>
      </c>
      <c r="AJ527" s="152" t="s">
        <v>92</v>
      </c>
      <c r="AK527" s="152" t="s">
        <v>3578</v>
      </c>
      <c r="AL527" s="159" t="s">
        <v>856</v>
      </c>
      <c r="AP527" s="159" t="s">
        <v>856</v>
      </c>
      <c r="AQ527" s="159" t="s">
        <v>856</v>
      </c>
      <c r="AR527" s="152" t="s">
        <v>4226</v>
      </c>
      <c r="AS527" s="159" t="s">
        <v>865</v>
      </c>
      <c r="AT527" s="152" t="str">
        <f t="shared" si="36"/>
        <v>VUND7-020722</v>
      </c>
      <c r="AU527" s="152" t="str">
        <f t="shared" si="37"/>
        <v xml:space="preserve">ANGELA DEMECIO JUAREZ </v>
      </c>
      <c r="AV527" s="152">
        <v>1015.56</v>
      </c>
      <c r="AW527" s="152">
        <v>901406</v>
      </c>
      <c r="AX527" s="152">
        <v>30</v>
      </c>
      <c r="AY527" s="152">
        <v>901409</v>
      </c>
      <c r="AZ527" s="152" t="s">
        <v>864</v>
      </c>
      <c r="BA527" s="152" t="str">
        <f t="shared" si="38"/>
        <v>L22-698-MP029</v>
      </c>
      <c r="BB527" s="152">
        <v>15</v>
      </c>
      <c r="BC527" s="157">
        <v>44859</v>
      </c>
      <c r="BD527" s="157">
        <v>45163</v>
      </c>
      <c r="BE527" s="158">
        <v>187176</v>
      </c>
      <c r="BF527" s="152" t="s">
        <v>4227</v>
      </c>
      <c r="BG527" s="152" t="s">
        <v>4228</v>
      </c>
      <c r="BH527" s="152">
        <v>82.37</v>
      </c>
      <c r="BI527" s="152">
        <v>0</v>
      </c>
      <c r="BJ527" s="152">
        <v>0</v>
      </c>
      <c r="BK527" s="152" t="s">
        <v>132</v>
      </c>
      <c r="BL527" s="152">
        <v>82.37</v>
      </c>
      <c r="BM527" s="152">
        <v>901408</v>
      </c>
      <c r="BN527" s="157" t="s">
        <v>1453</v>
      </c>
    </row>
    <row r="528" spans="1:66">
      <c r="A528" s="152" t="s">
        <v>4229</v>
      </c>
      <c r="B528" s="152" t="s">
        <v>4230</v>
      </c>
      <c r="C528" s="152" t="s">
        <v>4231</v>
      </c>
      <c r="D528" s="152" t="s">
        <v>4232</v>
      </c>
      <c r="E528" s="152" t="s">
        <v>3865</v>
      </c>
      <c r="F528" s="152">
        <v>288839</v>
      </c>
      <c r="G528" s="152">
        <v>99</v>
      </c>
      <c r="H528" s="152">
        <v>680</v>
      </c>
      <c r="I528" s="152">
        <v>201115</v>
      </c>
      <c r="J528" s="152">
        <v>437</v>
      </c>
      <c r="K528" s="152">
        <v>88190</v>
      </c>
      <c r="L528" s="152" t="s">
        <v>3384</v>
      </c>
      <c r="M528" s="152" t="s">
        <v>92</v>
      </c>
      <c r="N528" s="152" t="s">
        <v>883</v>
      </c>
      <c r="O528" s="152">
        <v>2602</v>
      </c>
      <c r="P528" s="152" t="s">
        <v>3384</v>
      </c>
      <c r="Q528" s="152" t="s">
        <v>92</v>
      </c>
      <c r="R528" s="152" t="s">
        <v>883</v>
      </c>
      <c r="S528" s="152">
        <v>2602</v>
      </c>
      <c r="T528" s="159" t="s">
        <v>856</v>
      </c>
      <c r="U528" s="159" t="s">
        <v>856</v>
      </c>
      <c r="V528" s="152" t="s">
        <v>3530</v>
      </c>
      <c r="W528" s="152" t="s">
        <v>858</v>
      </c>
      <c r="X528" s="152" t="s">
        <v>1083</v>
      </c>
      <c r="Y528" s="152">
        <v>0</v>
      </c>
      <c r="Z528" s="152">
        <v>1</v>
      </c>
      <c r="AA528" s="152" t="s">
        <v>92</v>
      </c>
      <c r="AB528" s="152">
        <v>222.04</v>
      </c>
      <c r="AC528" s="152">
        <v>2</v>
      </c>
      <c r="AD528" s="152" t="s">
        <v>861</v>
      </c>
      <c r="AE528" s="152">
        <v>222.04</v>
      </c>
      <c r="AF528" s="152">
        <v>0</v>
      </c>
      <c r="AG528" s="152" t="s">
        <v>861</v>
      </c>
      <c r="AH528" s="152" t="s">
        <v>861</v>
      </c>
      <c r="AI528" s="152" t="s">
        <v>92</v>
      </c>
      <c r="AJ528" s="152" t="s">
        <v>92</v>
      </c>
      <c r="AK528" s="152" t="s">
        <v>912</v>
      </c>
      <c r="AL528" s="159" t="s">
        <v>856</v>
      </c>
      <c r="AP528" s="159" t="s">
        <v>856</v>
      </c>
      <c r="AQ528" s="159" t="s">
        <v>856</v>
      </c>
      <c r="AR528" s="152" t="s">
        <v>4233</v>
      </c>
      <c r="AS528" s="159" t="s">
        <v>865</v>
      </c>
      <c r="AT528" s="152" t="str">
        <f t="shared" si="36"/>
        <v>VUNP5-040822</v>
      </c>
      <c r="AU528" s="152" t="str">
        <f t="shared" si="37"/>
        <v xml:space="preserve">GYLMAR AMARILDO PEREZ XILOJ </v>
      </c>
      <c r="AV528" s="152">
        <v>2797.7</v>
      </c>
      <c r="AW528" s="152">
        <v>902246</v>
      </c>
      <c r="AX528" s="152">
        <v>47</v>
      </c>
      <c r="AY528" s="152">
        <v>902249</v>
      </c>
      <c r="AZ528" s="152" t="s">
        <v>864</v>
      </c>
      <c r="BA528" s="152" t="str">
        <f t="shared" si="38"/>
        <v>L22-699-JM152</v>
      </c>
      <c r="BB528" s="152">
        <v>24</v>
      </c>
      <c r="BC528" s="157">
        <v>44859</v>
      </c>
      <c r="BD528" s="157">
        <v>45224</v>
      </c>
      <c r="BE528" s="158">
        <v>555100</v>
      </c>
      <c r="BF528" s="152" t="s">
        <v>4234</v>
      </c>
      <c r="BG528" s="152" t="s">
        <v>4235</v>
      </c>
      <c r="BH528" s="152">
        <v>222.04</v>
      </c>
      <c r="BI528" s="152">
        <v>0</v>
      </c>
      <c r="BJ528" s="152">
        <v>0</v>
      </c>
      <c r="BK528" s="152" t="s">
        <v>132</v>
      </c>
      <c r="BL528" s="152">
        <v>22.04</v>
      </c>
      <c r="BM528" s="152">
        <v>902248</v>
      </c>
      <c r="BN528" s="157" t="s">
        <v>1453</v>
      </c>
    </row>
    <row r="529" spans="1:66">
      <c r="A529" s="152" t="s">
        <v>4236</v>
      </c>
      <c r="B529" s="152" t="s">
        <v>4237</v>
      </c>
      <c r="C529" s="152" t="s">
        <v>4238</v>
      </c>
      <c r="D529" s="152" t="s">
        <v>4239</v>
      </c>
      <c r="E529" s="152" t="s">
        <v>4239</v>
      </c>
      <c r="F529" s="152">
        <v>294888</v>
      </c>
      <c r="G529" s="152">
        <v>118</v>
      </c>
      <c r="H529" s="152">
        <v>700</v>
      </c>
      <c r="I529" s="152">
        <v>202088</v>
      </c>
      <c r="J529" s="152">
        <v>150</v>
      </c>
      <c r="K529" s="152">
        <v>88988</v>
      </c>
      <c r="L529" s="152" t="s">
        <v>4240</v>
      </c>
      <c r="M529" s="152" t="s">
        <v>92</v>
      </c>
      <c r="N529" s="152" t="s">
        <v>883</v>
      </c>
      <c r="O529" s="152">
        <v>3454</v>
      </c>
      <c r="P529" s="152" t="s">
        <v>4241</v>
      </c>
      <c r="Q529" s="152" t="s">
        <v>92</v>
      </c>
      <c r="R529" s="152" t="s">
        <v>883</v>
      </c>
      <c r="S529" s="152">
        <v>3454</v>
      </c>
      <c r="T529" s="159" t="s">
        <v>856</v>
      </c>
      <c r="U529" s="159" t="s">
        <v>856</v>
      </c>
      <c r="V529" s="152" t="s">
        <v>3530</v>
      </c>
      <c r="W529" s="152" t="s">
        <v>858</v>
      </c>
      <c r="X529" s="152" t="s">
        <v>1083</v>
      </c>
      <c r="Y529" s="152">
        <v>18.36</v>
      </c>
      <c r="Z529" s="152">
        <v>1</v>
      </c>
      <c r="AA529" s="152" t="s">
        <v>92</v>
      </c>
      <c r="AB529" s="152">
        <v>166.62</v>
      </c>
      <c r="AC529" s="152">
        <v>2</v>
      </c>
      <c r="AD529" s="152" t="s">
        <v>861</v>
      </c>
      <c r="AE529" s="152">
        <v>166.62</v>
      </c>
      <c r="AF529" s="152">
        <v>0</v>
      </c>
      <c r="AG529" s="152" t="s">
        <v>861</v>
      </c>
      <c r="AH529" s="152" t="s">
        <v>861</v>
      </c>
      <c r="AI529" s="152" t="s">
        <v>92</v>
      </c>
      <c r="AJ529" s="152" t="s">
        <v>92</v>
      </c>
      <c r="AK529" s="152" t="s">
        <v>862</v>
      </c>
      <c r="AL529" s="159" t="s">
        <v>856</v>
      </c>
      <c r="AP529" s="159" t="s">
        <v>856</v>
      </c>
      <c r="AQ529" s="159" t="s">
        <v>856</v>
      </c>
      <c r="AR529" s="152" t="s">
        <v>4217</v>
      </c>
      <c r="AS529" s="159" t="s">
        <v>865</v>
      </c>
      <c r="AT529" s="152" t="str">
        <f t="shared" si="36"/>
        <v>VUNM7-020722</v>
      </c>
      <c r="AU529" s="152" t="str">
        <f t="shared" si="37"/>
        <v xml:space="preserve">IRMA YOLANDA DE LEON CARDENAS DE MOLINA </v>
      </c>
      <c r="AV529" s="152">
        <v>2135.4</v>
      </c>
      <c r="AW529" s="152">
        <v>900346</v>
      </c>
      <c r="AX529" s="152">
        <v>50</v>
      </c>
      <c r="AY529" s="152">
        <v>900349</v>
      </c>
      <c r="AZ529" s="152" t="s">
        <v>864</v>
      </c>
      <c r="BA529" s="152" t="str">
        <f t="shared" si="38"/>
        <v>L22-669-JM141</v>
      </c>
      <c r="BB529" s="152">
        <v>24</v>
      </c>
      <c r="BC529" s="157">
        <v>44839</v>
      </c>
      <c r="BD529" s="157">
        <v>45204</v>
      </c>
      <c r="BE529" s="158">
        <v>422976</v>
      </c>
      <c r="BF529" s="152" t="s">
        <v>4242</v>
      </c>
      <c r="BG529" s="152" t="s">
        <v>4243</v>
      </c>
      <c r="BH529" s="152">
        <v>166.62</v>
      </c>
      <c r="BI529" s="152">
        <v>0</v>
      </c>
      <c r="BJ529" s="152">
        <v>0</v>
      </c>
      <c r="BK529" s="152" t="s">
        <v>132</v>
      </c>
      <c r="BL529" s="152">
        <v>166.62</v>
      </c>
      <c r="BM529" s="152">
        <v>900348</v>
      </c>
      <c r="BN529" s="157" t="s">
        <v>1453</v>
      </c>
    </row>
    <row r="530" spans="1:66">
      <c r="A530" s="152" t="s">
        <v>4244</v>
      </c>
      <c r="B530" s="152" t="s">
        <v>4245</v>
      </c>
      <c r="C530" s="152" t="s">
        <v>4246</v>
      </c>
      <c r="D530" s="152" t="s">
        <v>4247</v>
      </c>
      <c r="E530" s="152" t="s">
        <v>4248</v>
      </c>
      <c r="F530" s="152">
        <v>6125</v>
      </c>
      <c r="G530" s="152">
        <v>125</v>
      </c>
      <c r="H530" s="152" t="s">
        <v>1537</v>
      </c>
      <c r="I530" s="152">
        <v>198228</v>
      </c>
      <c r="J530" s="152">
        <v>104.5</v>
      </c>
      <c r="K530" s="152">
        <v>85777</v>
      </c>
      <c r="L530" s="152" t="s">
        <v>1972</v>
      </c>
      <c r="M530" s="152" t="s">
        <v>92</v>
      </c>
      <c r="N530" s="152" t="s">
        <v>883</v>
      </c>
      <c r="O530" s="152">
        <v>6608</v>
      </c>
      <c r="P530" s="152" t="s">
        <v>1972</v>
      </c>
      <c r="Q530" s="152" t="s">
        <v>92</v>
      </c>
      <c r="R530" s="152" t="s">
        <v>883</v>
      </c>
      <c r="S530" s="152">
        <v>6608</v>
      </c>
      <c r="T530" s="159" t="s">
        <v>856</v>
      </c>
      <c r="U530" s="159" t="s">
        <v>856</v>
      </c>
      <c r="V530" s="152" t="s">
        <v>3530</v>
      </c>
      <c r="W530" s="152" t="s">
        <v>858</v>
      </c>
      <c r="X530" s="152" t="s">
        <v>1083</v>
      </c>
      <c r="Y530" s="152">
        <v>0</v>
      </c>
      <c r="Z530" s="152">
        <v>1</v>
      </c>
      <c r="AA530" s="152" t="s">
        <v>92</v>
      </c>
      <c r="AB530" s="152">
        <v>79.45</v>
      </c>
      <c r="AC530" s="152">
        <v>1</v>
      </c>
      <c r="AD530" s="152" t="s">
        <v>861</v>
      </c>
      <c r="AE530" s="152">
        <v>79.45</v>
      </c>
      <c r="AF530" s="152">
        <v>0</v>
      </c>
      <c r="AG530" s="152" t="s">
        <v>861</v>
      </c>
      <c r="AH530" s="152" t="s">
        <v>861</v>
      </c>
      <c r="AI530" s="152" t="s">
        <v>92</v>
      </c>
      <c r="AJ530" s="152" t="s">
        <v>92</v>
      </c>
      <c r="AK530" s="152" t="s">
        <v>912</v>
      </c>
      <c r="AL530" s="159" t="s">
        <v>856</v>
      </c>
      <c r="AP530" s="159" t="s">
        <v>856</v>
      </c>
      <c r="AQ530" s="159" t="s">
        <v>856</v>
      </c>
      <c r="AR530" s="152" t="s">
        <v>1034</v>
      </c>
      <c r="AS530" s="159" t="s">
        <v>865</v>
      </c>
      <c r="AT530" s="152" t="str">
        <f t="shared" si="36"/>
        <v>RPNA5-330622</v>
      </c>
      <c r="AU530" s="152" t="str">
        <f t="shared" si="37"/>
        <v xml:space="preserve">SILVIA MARIBEL RAMOS AMBROSIO DE ALVAREZ </v>
      </c>
      <c r="AV530" s="152">
        <v>533.9</v>
      </c>
      <c r="AW530" s="152">
        <v>897363</v>
      </c>
      <c r="AX530" s="159" t="s">
        <v>856</v>
      </c>
      <c r="AY530" s="159" t="s">
        <v>856</v>
      </c>
      <c r="AZ530" s="152" t="s">
        <v>864</v>
      </c>
      <c r="BA530" s="152" t="str">
        <f t="shared" si="38"/>
        <v>L22-673-LG094</v>
      </c>
      <c r="BB530" s="152">
        <v>0</v>
      </c>
      <c r="BC530" s="157">
        <v>44823</v>
      </c>
      <c r="BD530" s="157">
        <v>44823</v>
      </c>
      <c r="BE530" s="158">
        <v>119175</v>
      </c>
    </row>
    <row r="531" spans="1:66">
      <c r="A531" s="152" t="s">
        <v>4249</v>
      </c>
      <c r="B531" s="152" t="s">
        <v>4250</v>
      </c>
      <c r="C531" s="152" t="s">
        <v>4251</v>
      </c>
      <c r="D531" s="152" t="s">
        <v>4252</v>
      </c>
      <c r="E531" s="152" t="s">
        <v>3939</v>
      </c>
      <c r="F531" s="152">
        <v>2836</v>
      </c>
      <c r="G531" s="152">
        <v>336</v>
      </c>
      <c r="H531" s="152" t="s">
        <v>4253</v>
      </c>
      <c r="I531" s="152">
        <v>198550</v>
      </c>
      <c r="J531" s="152">
        <v>167.1</v>
      </c>
      <c r="K531" s="152">
        <v>86111</v>
      </c>
      <c r="L531" s="152" t="s">
        <v>3940</v>
      </c>
      <c r="M531" s="152" t="s">
        <v>883</v>
      </c>
      <c r="N531" s="152" t="s">
        <v>92</v>
      </c>
      <c r="O531" s="152">
        <v>11147</v>
      </c>
      <c r="P531" s="152" t="s">
        <v>1508</v>
      </c>
      <c r="Q531" s="152" t="s">
        <v>883</v>
      </c>
      <c r="R531" s="152" t="s">
        <v>92</v>
      </c>
      <c r="S531" s="152">
        <v>11147</v>
      </c>
      <c r="T531" s="159" t="s">
        <v>856</v>
      </c>
      <c r="U531" s="159" t="s">
        <v>856</v>
      </c>
      <c r="V531" s="152" t="s">
        <v>3530</v>
      </c>
      <c r="W531" s="152" t="s">
        <v>858</v>
      </c>
      <c r="X531" s="152" t="s">
        <v>1083</v>
      </c>
      <c r="Y531" s="152">
        <v>84.21</v>
      </c>
      <c r="Z531" s="152">
        <v>1</v>
      </c>
      <c r="AA531" s="152" t="s">
        <v>92</v>
      </c>
      <c r="AB531" s="152">
        <v>200.77</v>
      </c>
      <c r="AC531" s="152">
        <v>2</v>
      </c>
      <c r="AD531" s="152" t="s">
        <v>861</v>
      </c>
      <c r="AE531" s="152">
        <v>200.77</v>
      </c>
      <c r="AF531" s="152">
        <v>0</v>
      </c>
      <c r="AG531" s="152" t="s">
        <v>861</v>
      </c>
      <c r="AH531" s="152" t="s">
        <v>861</v>
      </c>
      <c r="AI531" s="152" t="s">
        <v>92</v>
      </c>
      <c r="AJ531" s="152" t="s">
        <v>92</v>
      </c>
      <c r="AK531" s="152" t="s">
        <v>862</v>
      </c>
      <c r="AL531" s="159" t="s">
        <v>856</v>
      </c>
      <c r="AP531" s="159" t="s">
        <v>856</v>
      </c>
      <c r="AQ531" s="159" t="s">
        <v>856</v>
      </c>
      <c r="AR531" s="152" t="s">
        <v>1953</v>
      </c>
      <c r="AS531" s="159" t="s">
        <v>865</v>
      </c>
      <c r="AT531" s="152" t="str">
        <f t="shared" si="36"/>
        <v>VUNMR-020722</v>
      </c>
      <c r="AU531" s="152" t="str">
        <f t="shared" si="37"/>
        <v xml:space="preserve">HEBER JOSUE MENCHU JUAREZ </v>
      </c>
      <c r="AV531" s="152">
        <v>2766.63</v>
      </c>
      <c r="AW531" s="152">
        <v>894180</v>
      </c>
      <c r="AX531" s="152">
        <v>50.9</v>
      </c>
      <c r="AY531" s="152">
        <v>894183</v>
      </c>
      <c r="AZ531" s="152" t="s">
        <v>864</v>
      </c>
      <c r="BA531" s="152" t="str">
        <f t="shared" si="38"/>
        <v>L22-614-NR093</v>
      </c>
      <c r="BB531" s="152">
        <v>24</v>
      </c>
      <c r="BC531" s="157">
        <v>44805</v>
      </c>
      <c r="BD531" s="157">
        <v>45170</v>
      </c>
      <c r="BE531" s="158">
        <v>533794.5</v>
      </c>
      <c r="BF531" s="152" t="s">
        <v>4254</v>
      </c>
      <c r="BG531" s="152" t="s">
        <v>875</v>
      </c>
      <c r="BH531" s="152">
        <v>200.77</v>
      </c>
      <c r="BI531" s="152">
        <v>0</v>
      </c>
      <c r="BJ531" s="152">
        <v>0</v>
      </c>
      <c r="BK531" s="152" t="s">
        <v>132</v>
      </c>
      <c r="BL531" s="152">
        <v>200.77</v>
      </c>
      <c r="BM531" s="152">
        <v>894182</v>
      </c>
      <c r="BN531" s="157" t="s">
        <v>1453</v>
      </c>
    </row>
    <row r="532" spans="1:66">
      <c r="A532" s="152" t="s">
        <v>4255</v>
      </c>
      <c r="B532" s="152" t="s">
        <v>4256</v>
      </c>
      <c r="C532" s="152" t="s">
        <v>4258</v>
      </c>
      <c r="D532" s="152" t="s">
        <v>4257</v>
      </c>
      <c r="E532" s="152" t="s">
        <v>4257</v>
      </c>
      <c r="F532" s="152">
        <v>277274</v>
      </c>
      <c r="G532" s="152">
        <v>84</v>
      </c>
      <c r="H532" s="152">
        <v>642</v>
      </c>
      <c r="I532" s="152">
        <v>203466</v>
      </c>
      <c r="J532" s="152">
        <v>120</v>
      </c>
      <c r="K532" s="152">
        <v>90070</v>
      </c>
      <c r="L532" s="152" t="s">
        <v>4259</v>
      </c>
      <c r="M532" s="152" t="s">
        <v>883</v>
      </c>
      <c r="N532" s="152" t="s">
        <v>92</v>
      </c>
      <c r="O532" s="152">
        <v>13646</v>
      </c>
      <c r="P532" s="152" t="s">
        <v>4259</v>
      </c>
      <c r="Q532" s="152" t="s">
        <v>883</v>
      </c>
      <c r="R532" s="152" t="s">
        <v>92</v>
      </c>
      <c r="S532" s="152">
        <v>13646</v>
      </c>
      <c r="T532" s="159" t="s">
        <v>856</v>
      </c>
      <c r="U532" s="159" t="s">
        <v>856</v>
      </c>
      <c r="V532" s="152" t="s">
        <v>3530</v>
      </c>
      <c r="W532" s="152" t="s">
        <v>858</v>
      </c>
      <c r="X532" s="152" t="s">
        <v>1083</v>
      </c>
      <c r="Y532" s="152">
        <v>73.5</v>
      </c>
      <c r="Z532" s="152">
        <v>1</v>
      </c>
      <c r="AA532" s="152" t="s">
        <v>92</v>
      </c>
      <c r="AB532" s="152">
        <v>75</v>
      </c>
      <c r="AC532" s="152">
        <v>1</v>
      </c>
      <c r="AD532" s="152" t="s">
        <v>861</v>
      </c>
      <c r="AE532" s="152">
        <v>75</v>
      </c>
      <c r="AF532" s="152">
        <v>0</v>
      </c>
      <c r="AG532" s="152">
        <v>15</v>
      </c>
      <c r="AH532" s="152" t="s">
        <v>861</v>
      </c>
      <c r="AI532" s="152" t="s">
        <v>92</v>
      </c>
      <c r="AJ532" s="152" t="s">
        <v>92</v>
      </c>
      <c r="AK532" s="152" t="s">
        <v>912</v>
      </c>
      <c r="AL532" s="159" t="s">
        <v>856</v>
      </c>
      <c r="AP532" s="159" t="s">
        <v>856</v>
      </c>
      <c r="AQ532" s="159" t="s">
        <v>856</v>
      </c>
      <c r="AR532" s="152" t="s">
        <v>885</v>
      </c>
      <c r="AS532" s="159" t="s">
        <v>865</v>
      </c>
      <c r="AT532" s="152" t="str">
        <f t="shared" si="36"/>
        <v>RPNC10-7421125</v>
      </c>
      <c r="AU532" s="152" t="str">
        <f t="shared" si="37"/>
        <v xml:space="preserve">RAUL ORLANDO CATU SALAZAR </v>
      </c>
      <c r="AV532" s="152">
        <v>900.06</v>
      </c>
      <c r="AW532" s="152">
        <v>19319119</v>
      </c>
      <c r="AX532" s="152">
        <v>30</v>
      </c>
      <c r="AY532" s="152">
        <v>19319119</v>
      </c>
      <c r="AZ532" s="152" t="s">
        <v>864</v>
      </c>
      <c r="BA532" s="152" t="str">
        <f t="shared" si="38"/>
        <v>L25-1000-JJ176</v>
      </c>
      <c r="BB532" s="152">
        <v>0</v>
      </c>
      <c r="BC532" s="157">
        <v>45993</v>
      </c>
      <c r="BD532" s="157">
        <v>45993</v>
      </c>
      <c r="BE532" s="158">
        <v>175725</v>
      </c>
      <c r="BF532" s="152" t="s">
        <v>4260</v>
      </c>
      <c r="BG532" s="152" t="s">
        <v>894</v>
      </c>
      <c r="BH532" s="152">
        <v>75</v>
      </c>
      <c r="BI532" s="152">
        <v>0</v>
      </c>
      <c r="BJ532" s="152">
        <v>0</v>
      </c>
      <c r="BK532" s="152" t="s">
        <v>132</v>
      </c>
      <c r="BL532" s="152">
        <v>75</v>
      </c>
      <c r="BM532" s="152">
        <v>19319119</v>
      </c>
      <c r="BN532" s="157" t="s">
        <v>1453</v>
      </c>
    </row>
    <row r="533" spans="1:66">
      <c r="A533" s="152" t="s">
        <v>4261</v>
      </c>
      <c r="B533" s="152" t="s">
        <v>4262</v>
      </c>
      <c r="C533" s="152" t="s">
        <v>4263</v>
      </c>
      <c r="D533" s="152" t="s">
        <v>4264</v>
      </c>
      <c r="E533" s="152" t="s">
        <v>4265</v>
      </c>
      <c r="F533" s="152">
        <v>277269</v>
      </c>
      <c r="G533" s="152">
        <v>79</v>
      </c>
      <c r="H533" s="152">
        <v>642</v>
      </c>
      <c r="I533" s="152">
        <v>202513</v>
      </c>
      <c r="J533" s="152">
        <v>120</v>
      </c>
      <c r="K533" s="152">
        <v>89322</v>
      </c>
      <c r="L533" s="152" t="s">
        <v>4266</v>
      </c>
      <c r="M533" s="152" t="s">
        <v>92</v>
      </c>
      <c r="N533" s="152" t="s">
        <v>883</v>
      </c>
      <c r="O533" s="152">
        <v>1981</v>
      </c>
      <c r="P533" s="152" t="s">
        <v>4266</v>
      </c>
      <c r="Q533" s="152" t="s">
        <v>92</v>
      </c>
      <c r="R533" s="152" t="s">
        <v>883</v>
      </c>
      <c r="S533" s="152">
        <v>1981</v>
      </c>
      <c r="T533" s="159" t="s">
        <v>856</v>
      </c>
      <c r="U533" s="159" t="s">
        <v>856</v>
      </c>
      <c r="V533" s="152" t="s">
        <v>3530</v>
      </c>
      <c r="W533" s="152" t="s">
        <v>858</v>
      </c>
      <c r="X533" s="152" t="s">
        <v>1083</v>
      </c>
      <c r="Y533" s="152">
        <v>0</v>
      </c>
      <c r="Z533" s="152">
        <v>1</v>
      </c>
      <c r="AA533" s="152" t="s">
        <v>92</v>
      </c>
      <c r="AB533" s="152">
        <v>301.45999999999998</v>
      </c>
      <c r="AC533" s="152">
        <v>3</v>
      </c>
      <c r="AD533" s="152" t="s">
        <v>861</v>
      </c>
      <c r="AE533" s="152">
        <v>301.45999999999998</v>
      </c>
      <c r="AF533" s="152">
        <v>0</v>
      </c>
      <c r="AG533" s="152" t="s">
        <v>861</v>
      </c>
      <c r="AH533" s="152" t="s">
        <v>861</v>
      </c>
      <c r="AI533" s="152" t="s">
        <v>92</v>
      </c>
      <c r="AJ533" s="152" t="s">
        <v>92</v>
      </c>
      <c r="AK533" s="152" t="s">
        <v>912</v>
      </c>
      <c r="AL533" s="159" t="s">
        <v>856</v>
      </c>
      <c r="AP533" s="159" t="s">
        <v>856</v>
      </c>
      <c r="AQ533" s="159" t="s">
        <v>856</v>
      </c>
      <c r="AR533" s="152" t="s">
        <v>3692</v>
      </c>
      <c r="AS533" s="159" t="s">
        <v>865</v>
      </c>
      <c r="AT533" s="152" t="str">
        <f t="shared" si="36"/>
        <v>RPNT10-3550625</v>
      </c>
      <c r="AU533" s="152" t="str">
        <f t="shared" si="37"/>
        <v xml:space="preserve">BLANCA DELMI YARELINNE TUMACAJ DE PAZ </v>
      </c>
      <c r="AV533" s="152">
        <v>4558.08</v>
      </c>
      <c r="AW533" s="152">
        <v>18273344</v>
      </c>
      <c r="AX533" s="152">
        <v>30</v>
      </c>
      <c r="AY533" s="152">
        <v>18273344</v>
      </c>
      <c r="AZ533" s="152" t="s">
        <v>864</v>
      </c>
      <c r="BA533" s="152" t="str">
        <f t="shared" si="38"/>
        <v>L25-593-JJ079</v>
      </c>
      <c r="BB533" s="152">
        <v>0</v>
      </c>
      <c r="BC533" s="157">
        <v>45859</v>
      </c>
      <c r="BD533" s="157">
        <v>45859</v>
      </c>
      <c r="BE533" s="158">
        <v>904380</v>
      </c>
      <c r="BF533" s="152" t="s">
        <v>4267</v>
      </c>
      <c r="BG533" s="152" t="s">
        <v>894</v>
      </c>
      <c r="BH533" s="152">
        <v>301.45999999999998</v>
      </c>
      <c r="BI533" s="152">
        <v>0</v>
      </c>
      <c r="BJ533" s="152">
        <v>0</v>
      </c>
      <c r="BK533" s="152" t="s">
        <v>132</v>
      </c>
      <c r="BL533" s="152">
        <v>301.45999999999998</v>
      </c>
      <c r="BM533" s="152">
        <v>18273344</v>
      </c>
      <c r="BN533" s="157" t="s">
        <v>4100</v>
      </c>
    </row>
    <row r="534" spans="1:66">
      <c r="A534" s="152" t="s">
        <v>4268</v>
      </c>
      <c r="B534" s="152" t="s">
        <v>4269</v>
      </c>
      <c r="C534" s="152" t="s">
        <v>4270</v>
      </c>
      <c r="D534" s="152" t="s">
        <v>4271</v>
      </c>
      <c r="E534" s="152" t="s">
        <v>4272</v>
      </c>
      <c r="F534" s="152">
        <v>322654</v>
      </c>
      <c r="G534" s="152">
        <v>14</v>
      </c>
      <c r="H534" s="152">
        <v>794</v>
      </c>
      <c r="I534" s="152">
        <v>167074</v>
      </c>
      <c r="J534" s="152">
        <v>133</v>
      </c>
      <c r="K534" s="152">
        <v>63745</v>
      </c>
      <c r="L534" s="152" t="s">
        <v>4273</v>
      </c>
      <c r="M534" s="152" t="s">
        <v>92</v>
      </c>
      <c r="N534" s="152" t="s">
        <v>883</v>
      </c>
      <c r="O534" s="152">
        <v>7253</v>
      </c>
      <c r="P534" s="152" t="s">
        <v>4273</v>
      </c>
      <c r="Q534" s="152" t="s">
        <v>92</v>
      </c>
      <c r="R534" s="152" t="s">
        <v>883</v>
      </c>
      <c r="S534" s="152">
        <v>7253</v>
      </c>
      <c r="T534" s="159" t="s">
        <v>856</v>
      </c>
      <c r="U534" s="159" t="s">
        <v>856</v>
      </c>
      <c r="V534" s="152" t="s">
        <v>3624</v>
      </c>
      <c r="W534" s="152" t="s">
        <v>858</v>
      </c>
      <c r="X534" s="152" t="s">
        <v>1083</v>
      </c>
      <c r="Y534" s="152">
        <v>46.74</v>
      </c>
      <c r="Z534" s="152">
        <v>1</v>
      </c>
      <c r="AA534" s="152" t="s">
        <v>92</v>
      </c>
      <c r="AB534" s="152">
        <v>214.67</v>
      </c>
      <c r="AC534" s="152">
        <v>2</v>
      </c>
      <c r="AD534" s="152" t="s">
        <v>861</v>
      </c>
      <c r="AE534" s="152">
        <v>214.67</v>
      </c>
      <c r="AF534" s="152">
        <v>0</v>
      </c>
      <c r="AG534" s="152" t="s">
        <v>861</v>
      </c>
      <c r="AH534" s="152" t="s">
        <v>861</v>
      </c>
      <c r="AI534" s="152" t="s">
        <v>92</v>
      </c>
      <c r="AJ534" s="152" t="s">
        <v>92</v>
      </c>
      <c r="AK534" s="152" t="s">
        <v>972</v>
      </c>
      <c r="AL534" s="159" t="s">
        <v>856</v>
      </c>
      <c r="AP534" s="159" t="s">
        <v>856</v>
      </c>
      <c r="AQ534" s="159" t="s">
        <v>856</v>
      </c>
      <c r="AR534" s="152" t="s">
        <v>4217</v>
      </c>
      <c r="AS534" s="159" t="s">
        <v>865</v>
      </c>
      <c r="AT534" s="152" t="str">
        <f t="shared" si="36"/>
        <v>RPNL12-4730825</v>
      </c>
      <c r="AU534" s="152" t="str">
        <f t="shared" si="37"/>
        <v xml:space="preserve">HECTOR EDUARDO LOPEZ DOMINGUEZ </v>
      </c>
      <c r="AV534" s="152">
        <v>2796.45</v>
      </c>
      <c r="AW534" s="152">
        <v>18532111</v>
      </c>
      <c r="AX534" s="152">
        <v>35</v>
      </c>
      <c r="AY534" s="152">
        <v>18532111</v>
      </c>
      <c r="AZ534" s="152" t="s">
        <v>864</v>
      </c>
      <c r="BA534" s="152" t="str">
        <f t="shared" si="38"/>
        <v>L25-727-KM027</v>
      </c>
      <c r="BB534" s="152">
        <v>0</v>
      </c>
      <c r="BC534" s="157">
        <v>45895</v>
      </c>
      <c r="BD534" s="157">
        <v>45895</v>
      </c>
      <c r="BE534" s="158">
        <v>553034</v>
      </c>
      <c r="BF534" s="152" t="s">
        <v>4274</v>
      </c>
      <c r="BG534" s="152" t="s">
        <v>4275</v>
      </c>
      <c r="BH534" s="152">
        <v>214.67</v>
      </c>
      <c r="BI534" s="152">
        <v>0</v>
      </c>
      <c r="BJ534" s="152">
        <v>0</v>
      </c>
      <c r="BK534" s="152" t="s">
        <v>4184</v>
      </c>
      <c r="BL534" s="152">
        <v>214.67</v>
      </c>
      <c r="BM534" s="152">
        <v>18532111</v>
      </c>
      <c r="BN534" s="157" t="s">
        <v>1453</v>
      </c>
    </row>
    <row r="535" spans="1:66">
      <c r="A535" s="152" t="s">
        <v>4276</v>
      </c>
      <c r="B535" s="152" t="s">
        <v>4277</v>
      </c>
      <c r="C535" s="152" t="s">
        <v>4278</v>
      </c>
      <c r="D535" s="152" t="s">
        <v>4279</v>
      </c>
      <c r="E535" s="152" t="s">
        <v>4279</v>
      </c>
      <c r="F535" s="152">
        <v>308785</v>
      </c>
      <c r="G535" s="152">
        <v>276</v>
      </c>
      <c r="H535" s="152">
        <v>747</v>
      </c>
      <c r="I535" s="152">
        <v>176819</v>
      </c>
      <c r="J535" s="152">
        <v>112</v>
      </c>
      <c r="K535" s="152">
        <v>70447</v>
      </c>
      <c r="L535" s="152" t="s">
        <v>4278</v>
      </c>
      <c r="M535" s="152" t="s">
        <v>883</v>
      </c>
      <c r="N535" s="152" t="s">
        <v>92</v>
      </c>
      <c r="O535" s="152">
        <v>6035</v>
      </c>
      <c r="P535" s="152" t="s">
        <v>4278</v>
      </c>
      <c r="Q535" s="152" t="s">
        <v>883</v>
      </c>
      <c r="R535" s="152" t="s">
        <v>92</v>
      </c>
      <c r="S535" s="152">
        <v>6035</v>
      </c>
      <c r="T535" s="159" t="s">
        <v>856</v>
      </c>
      <c r="U535" s="159" t="s">
        <v>856</v>
      </c>
      <c r="V535" s="152" t="s">
        <v>3530</v>
      </c>
      <c r="W535" s="152" t="s">
        <v>858</v>
      </c>
      <c r="X535" s="152" t="s">
        <v>1083</v>
      </c>
      <c r="Y535" s="152">
        <v>0</v>
      </c>
      <c r="Z535" s="152">
        <v>1</v>
      </c>
      <c r="AA535" s="152" t="s">
        <v>92</v>
      </c>
      <c r="AB535" s="152">
        <v>128.4</v>
      </c>
      <c r="AC535" s="152">
        <v>2</v>
      </c>
      <c r="AD535" s="152" t="s">
        <v>861</v>
      </c>
      <c r="AE535" s="152">
        <v>128.4</v>
      </c>
      <c r="AF535" s="152">
        <v>0</v>
      </c>
      <c r="AG535" s="152" t="s">
        <v>861</v>
      </c>
      <c r="AH535" s="152" t="s">
        <v>861</v>
      </c>
      <c r="AI535" s="152" t="s">
        <v>92</v>
      </c>
      <c r="AJ535" s="152" t="s">
        <v>92</v>
      </c>
      <c r="AK535" s="152" t="s">
        <v>972</v>
      </c>
      <c r="AL535" s="159" t="s">
        <v>856</v>
      </c>
      <c r="AP535" s="159" t="s">
        <v>856</v>
      </c>
      <c r="AQ535" s="159" t="s">
        <v>856</v>
      </c>
      <c r="AR535" s="152" t="s">
        <v>1953</v>
      </c>
      <c r="AS535" s="159" t="s">
        <v>865</v>
      </c>
      <c r="AT535" s="152" t="str">
        <f t="shared" si="36"/>
        <v>RPNG12-101123</v>
      </c>
      <c r="AU535" s="152" t="str">
        <f t="shared" si="37"/>
        <v xml:space="preserve">MOISES GARCIA ESCALANTE </v>
      </c>
      <c r="AV535" s="152">
        <v>1617.84</v>
      </c>
      <c r="AW535" s="152">
        <v>13239630</v>
      </c>
      <c r="AX535" s="152">
        <v>35</v>
      </c>
      <c r="AY535" s="152">
        <v>13239630</v>
      </c>
      <c r="AZ535" s="152" t="s">
        <v>864</v>
      </c>
      <c r="BA535" s="152" t="str">
        <f t="shared" si="38"/>
        <v>L24-055-AQ100</v>
      </c>
      <c r="BB535" s="152">
        <v>0</v>
      </c>
      <c r="BC535" s="157">
        <v>45301</v>
      </c>
      <c r="BD535" s="157">
        <v>45301</v>
      </c>
      <c r="BE535" s="158">
        <v>321000</v>
      </c>
      <c r="BF535" s="152" t="s">
        <v>4280</v>
      </c>
      <c r="BG535" s="152" t="s">
        <v>4281</v>
      </c>
      <c r="BH535" s="152">
        <v>128.4</v>
      </c>
      <c r="BI535" s="152">
        <v>0</v>
      </c>
      <c r="BJ535" s="152">
        <v>0</v>
      </c>
      <c r="BK535" s="152" t="s">
        <v>132</v>
      </c>
      <c r="BL535" s="152">
        <v>128.4</v>
      </c>
      <c r="BM535" s="152">
        <v>13239630</v>
      </c>
      <c r="BN535" s="157" t="s">
        <v>4100</v>
      </c>
    </row>
    <row r="536" spans="1:66">
      <c r="A536" s="152" t="s">
        <v>4282</v>
      </c>
      <c r="B536" s="152" t="s">
        <v>4283</v>
      </c>
      <c r="C536" s="152" t="s">
        <v>4284</v>
      </c>
      <c r="D536" s="152" t="s">
        <v>4285</v>
      </c>
      <c r="E536" s="152" t="s">
        <v>4286</v>
      </c>
      <c r="F536" s="152">
        <v>308790</v>
      </c>
      <c r="G536" s="152">
        <v>281</v>
      </c>
      <c r="H536" s="152">
        <v>747</v>
      </c>
      <c r="I536" s="152">
        <v>182379</v>
      </c>
      <c r="J536" s="152">
        <v>112</v>
      </c>
      <c r="K536" s="152">
        <v>74035</v>
      </c>
      <c r="L536" s="152" t="s">
        <v>4287</v>
      </c>
      <c r="M536" s="152" t="s">
        <v>883</v>
      </c>
      <c r="N536" s="152" t="s">
        <v>92</v>
      </c>
      <c r="O536" s="152">
        <v>10435</v>
      </c>
      <c r="P536" s="152" t="s">
        <v>4287</v>
      </c>
      <c r="Q536" s="152" t="s">
        <v>883</v>
      </c>
      <c r="R536" s="152" t="s">
        <v>92</v>
      </c>
      <c r="S536" s="152">
        <v>10435</v>
      </c>
      <c r="T536" s="159" t="s">
        <v>856</v>
      </c>
      <c r="U536" s="159" t="s">
        <v>856</v>
      </c>
      <c r="V536" s="152" t="s">
        <v>857</v>
      </c>
      <c r="W536" s="152" t="s">
        <v>858</v>
      </c>
      <c r="X536" s="152" t="s">
        <v>1083</v>
      </c>
      <c r="Y536" s="152">
        <v>75.819999999999993</v>
      </c>
      <c r="Z536" s="152">
        <v>1</v>
      </c>
      <c r="AA536" s="152" t="s">
        <v>92</v>
      </c>
      <c r="AB536" s="152">
        <v>57.4</v>
      </c>
      <c r="AC536" s="152">
        <v>1</v>
      </c>
      <c r="AD536" s="152" t="s">
        <v>861</v>
      </c>
      <c r="AE536" s="152">
        <v>57.4</v>
      </c>
      <c r="AF536" s="152">
        <v>0</v>
      </c>
      <c r="AG536" s="152" t="s">
        <v>861</v>
      </c>
      <c r="AH536" s="152" t="s">
        <v>861</v>
      </c>
      <c r="AI536" s="152" t="s">
        <v>92</v>
      </c>
      <c r="AJ536" s="152" t="s">
        <v>92</v>
      </c>
      <c r="AK536" s="152" t="s">
        <v>972</v>
      </c>
      <c r="AL536" s="159" t="s">
        <v>856</v>
      </c>
      <c r="AP536" s="159" t="s">
        <v>856</v>
      </c>
      <c r="AQ536" s="159" t="s">
        <v>856</v>
      </c>
      <c r="AR536" s="152" t="s">
        <v>1953</v>
      </c>
      <c r="AS536" s="159" t="s">
        <v>865</v>
      </c>
      <c r="AT536" s="152" t="str">
        <f t="shared" si="36"/>
        <v>VUNP12-010424</v>
      </c>
      <c r="AU536" s="152" t="str">
        <f t="shared" si="37"/>
        <v xml:space="preserve">CESAR JEOVANI PEREZ LOPEZ </v>
      </c>
      <c r="AV536" s="152">
        <v>727.2</v>
      </c>
      <c r="AW536" s="152">
        <v>14617259</v>
      </c>
      <c r="AX536" s="152">
        <v>35</v>
      </c>
      <c r="AY536" s="152">
        <v>727.2</v>
      </c>
      <c r="AZ536" s="152" t="s">
        <v>864</v>
      </c>
      <c r="BA536" s="152" t="str">
        <f t="shared" si="38"/>
        <v>L24-355-SP044</v>
      </c>
      <c r="BB536" s="152">
        <v>15</v>
      </c>
      <c r="BC536" s="157">
        <v>45433</v>
      </c>
      <c r="BD536" s="157">
        <v>45737</v>
      </c>
      <c r="BE536" s="158">
        <v>141337</v>
      </c>
      <c r="BF536" s="152" t="s">
        <v>4288</v>
      </c>
      <c r="BG536" s="152" t="s">
        <v>4281</v>
      </c>
      <c r="BH536" s="152">
        <v>57.4</v>
      </c>
      <c r="BI536" s="152">
        <v>0</v>
      </c>
      <c r="BJ536" s="152">
        <v>0</v>
      </c>
      <c r="BK536" s="152" t="s">
        <v>132</v>
      </c>
      <c r="BL536" s="152">
        <v>57.4</v>
      </c>
      <c r="BM536" s="152">
        <v>1461725</v>
      </c>
      <c r="BN536" s="157" t="s">
        <v>1453</v>
      </c>
    </row>
    <row r="537" spans="1:66">
      <c r="A537" s="152" t="s">
        <v>4289</v>
      </c>
      <c r="B537" s="152" t="s">
        <v>4290</v>
      </c>
      <c r="C537" s="152" t="s">
        <v>4291</v>
      </c>
      <c r="D537" s="152" t="s">
        <v>4292</v>
      </c>
      <c r="E537" s="152" t="s">
        <v>1685</v>
      </c>
      <c r="F537" s="152">
        <v>322696</v>
      </c>
      <c r="G537" s="152">
        <v>56</v>
      </c>
      <c r="H537" s="152">
        <v>794</v>
      </c>
      <c r="I537" s="152">
        <v>171902</v>
      </c>
      <c r="J537" s="152">
        <v>112</v>
      </c>
      <c r="K537" s="152">
        <v>66950</v>
      </c>
      <c r="L537" s="152" t="s">
        <v>1058</v>
      </c>
      <c r="M537" s="152" t="s">
        <v>92</v>
      </c>
      <c r="N537" s="152" t="s">
        <v>883</v>
      </c>
      <c r="O537" s="152">
        <v>4267</v>
      </c>
      <c r="P537" s="152" t="s">
        <v>1058</v>
      </c>
      <c r="Q537" s="152" t="s">
        <v>92</v>
      </c>
      <c r="R537" s="152" t="s">
        <v>883</v>
      </c>
      <c r="S537" s="152">
        <v>4267</v>
      </c>
      <c r="T537" s="159" t="s">
        <v>856</v>
      </c>
      <c r="U537" s="159" t="s">
        <v>856</v>
      </c>
      <c r="V537" s="152" t="s">
        <v>857</v>
      </c>
      <c r="W537" s="152" t="s">
        <v>858</v>
      </c>
      <c r="X537" s="152" t="s">
        <v>1083</v>
      </c>
      <c r="Y537" s="152">
        <v>35.11</v>
      </c>
      <c r="Z537" s="152">
        <v>1</v>
      </c>
      <c r="AA537" s="152" t="s">
        <v>883</v>
      </c>
      <c r="AB537" s="152">
        <v>214.3</v>
      </c>
      <c r="AC537" s="152">
        <v>2</v>
      </c>
      <c r="AD537" s="152" t="s">
        <v>861</v>
      </c>
      <c r="AE537" s="152">
        <v>214.3</v>
      </c>
      <c r="AF537" s="152">
        <v>0</v>
      </c>
      <c r="AG537" s="152" t="s">
        <v>861</v>
      </c>
      <c r="AH537" s="152" t="s">
        <v>861</v>
      </c>
      <c r="AI537" s="152" t="s">
        <v>92</v>
      </c>
      <c r="AJ537" s="152" t="s">
        <v>92</v>
      </c>
      <c r="AK537" s="152" t="s">
        <v>972</v>
      </c>
      <c r="AL537" s="159" t="s">
        <v>856</v>
      </c>
      <c r="AP537" s="159" t="s">
        <v>856</v>
      </c>
      <c r="AQ537" s="159" t="s">
        <v>856</v>
      </c>
      <c r="AR537" s="152" t="s">
        <v>992</v>
      </c>
      <c r="AS537" s="159" t="s">
        <v>865</v>
      </c>
      <c r="AT537" s="152" t="str">
        <f t="shared" si="36"/>
        <v>RPNR12-070424</v>
      </c>
      <c r="AU537" s="152" t="str">
        <f t="shared" si="37"/>
        <v xml:space="preserve">SELVIN EDUARDO RAMIREZ HIDALGO </v>
      </c>
      <c r="AV537" s="152">
        <v>2769</v>
      </c>
      <c r="AW537" s="152">
        <v>14655310</v>
      </c>
      <c r="AX537" s="152">
        <v>35</v>
      </c>
      <c r="AY537" s="152">
        <v>14655310</v>
      </c>
      <c r="AZ537" s="152" t="s">
        <v>864</v>
      </c>
      <c r="BA537" s="152" t="str">
        <f t="shared" si="38"/>
        <v>L24-417-MP033</v>
      </c>
      <c r="BB537" s="152">
        <v>0</v>
      </c>
      <c r="BC537" s="157">
        <v>45447</v>
      </c>
      <c r="BD537" s="157">
        <v>45447</v>
      </c>
      <c r="BE537" s="158">
        <v>548038.5</v>
      </c>
      <c r="BF537" s="152" t="s">
        <v>4293</v>
      </c>
      <c r="BG537" s="152" t="s">
        <v>875</v>
      </c>
      <c r="BH537" s="152">
        <v>214.3</v>
      </c>
      <c r="BI537" s="152">
        <v>0</v>
      </c>
      <c r="BJ537" s="152">
        <v>0</v>
      </c>
      <c r="BK537" s="152" t="s">
        <v>132</v>
      </c>
      <c r="BL537" s="152">
        <v>214.3</v>
      </c>
      <c r="BM537" s="152">
        <v>14655310</v>
      </c>
      <c r="BN537" s="157" t="s">
        <v>1453</v>
      </c>
    </row>
    <row r="538" spans="1:66">
      <c r="A538" s="152" t="s">
        <v>4294</v>
      </c>
      <c r="B538" s="152" t="s">
        <v>4295</v>
      </c>
      <c r="C538" s="152" t="s">
        <v>4296</v>
      </c>
      <c r="D538" s="152" t="s">
        <v>4297</v>
      </c>
      <c r="E538" s="152" t="s">
        <v>4298</v>
      </c>
      <c r="F538" s="152">
        <v>322734</v>
      </c>
      <c r="G538" s="152">
        <v>94</v>
      </c>
      <c r="H538" s="152">
        <v>794</v>
      </c>
      <c r="I538" s="163">
        <v>180726</v>
      </c>
      <c r="J538" s="152">
        <v>112</v>
      </c>
      <c r="K538" s="152">
        <v>77872</v>
      </c>
      <c r="L538" s="152" t="s">
        <v>4299</v>
      </c>
      <c r="M538" s="152" t="s">
        <v>92</v>
      </c>
      <c r="N538" s="152" t="s">
        <v>883</v>
      </c>
      <c r="O538" s="152">
        <v>5574</v>
      </c>
      <c r="P538" s="152" t="s">
        <v>4299</v>
      </c>
      <c r="Q538" s="152" t="s">
        <v>92</v>
      </c>
      <c r="R538" s="152" t="s">
        <v>883</v>
      </c>
      <c r="S538" s="152">
        <v>5574</v>
      </c>
      <c r="T538" s="159" t="s">
        <v>856</v>
      </c>
      <c r="U538" s="159" t="s">
        <v>856</v>
      </c>
      <c r="V538" s="152" t="s">
        <v>3530</v>
      </c>
      <c r="W538" s="152" t="s">
        <v>858</v>
      </c>
      <c r="X538" s="152" t="s">
        <v>1083</v>
      </c>
      <c r="Y538" s="152">
        <v>0</v>
      </c>
      <c r="Z538" s="152">
        <v>1</v>
      </c>
      <c r="AA538" s="152" t="s">
        <v>92</v>
      </c>
      <c r="AB538" s="152">
        <v>165.7</v>
      </c>
      <c r="AC538" s="152">
        <v>1</v>
      </c>
      <c r="AD538" s="152" t="s">
        <v>861</v>
      </c>
      <c r="AE538" s="152">
        <v>165.7</v>
      </c>
      <c r="AF538" s="152">
        <v>0</v>
      </c>
      <c r="AG538" s="152" t="s">
        <v>861</v>
      </c>
      <c r="AH538" s="152" t="s">
        <v>861</v>
      </c>
      <c r="AI538" s="152" t="s">
        <v>92</v>
      </c>
      <c r="AJ538" s="152" t="s">
        <v>92</v>
      </c>
      <c r="AK538" s="152" t="s">
        <v>972</v>
      </c>
      <c r="AL538" s="159" t="s">
        <v>856</v>
      </c>
      <c r="AP538" s="159" t="s">
        <v>856</v>
      </c>
      <c r="AQ538" s="159" t="s">
        <v>856</v>
      </c>
      <c r="AR538" s="152" t="s">
        <v>4217</v>
      </c>
      <c r="AS538" s="159" t="s">
        <v>865</v>
      </c>
      <c r="AT538" s="152" t="str">
        <f t="shared" si="36"/>
        <v>VUNM12-011124</v>
      </c>
      <c r="AU538" s="152" t="str">
        <f t="shared" si="37"/>
        <v xml:space="preserve">BERTA JOSEFINA MERIDA PIEDRASANTA </v>
      </c>
      <c r="AV538" s="152">
        <v>2087.8200000000002</v>
      </c>
      <c r="AW538" s="152">
        <v>16009717</v>
      </c>
      <c r="AX538" s="152">
        <v>35</v>
      </c>
      <c r="AY538" s="152">
        <v>16009717</v>
      </c>
      <c r="AZ538" s="152" t="s">
        <v>864</v>
      </c>
      <c r="BA538" s="152" t="str">
        <f t="shared" si="38"/>
        <v>L24-979-JC091</v>
      </c>
      <c r="BB538" s="152">
        <v>24</v>
      </c>
      <c r="BC538" s="157">
        <v>45610</v>
      </c>
      <c r="BD538" s="157">
        <v>45975</v>
      </c>
      <c r="BE538" s="158">
        <v>414250</v>
      </c>
      <c r="BF538" s="152" t="s">
        <v>4300</v>
      </c>
      <c r="BG538" s="152" t="s">
        <v>875</v>
      </c>
      <c r="BH538" s="152">
        <v>165.7</v>
      </c>
      <c r="BI538" s="152">
        <v>0</v>
      </c>
      <c r="BJ538" s="152">
        <v>0</v>
      </c>
      <c r="BK538" s="152" t="s">
        <v>132</v>
      </c>
      <c r="BL538" s="152">
        <v>165.7</v>
      </c>
      <c r="BM538" s="152">
        <v>16009717</v>
      </c>
      <c r="BN538" s="157" t="s">
        <v>1453</v>
      </c>
    </row>
    <row r="539" spans="1:66">
      <c r="A539" s="152" t="s">
        <v>4301</v>
      </c>
      <c r="B539" s="152" t="s">
        <v>4302</v>
      </c>
      <c r="C539" s="152" t="s">
        <v>4303</v>
      </c>
      <c r="D539" s="152" t="s">
        <v>4304</v>
      </c>
      <c r="E539" s="152" t="s">
        <v>4305</v>
      </c>
      <c r="F539" s="152">
        <v>322905</v>
      </c>
      <c r="G539" s="152">
        <v>265</v>
      </c>
      <c r="H539" s="152">
        <v>794</v>
      </c>
      <c r="I539" s="152">
        <v>169599</v>
      </c>
      <c r="J539" s="152">
        <v>112</v>
      </c>
      <c r="K539" s="152">
        <v>65340</v>
      </c>
      <c r="L539" s="152" t="s">
        <v>4306</v>
      </c>
      <c r="M539" s="152" t="s">
        <v>92</v>
      </c>
      <c r="N539" s="152" t="s">
        <v>883</v>
      </c>
      <c r="O539" s="152">
        <v>1380</v>
      </c>
      <c r="P539" s="152" t="s">
        <v>4307</v>
      </c>
      <c r="Q539" s="152" t="s">
        <v>92</v>
      </c>
      <c r="R539" s="152" t="s">
        <v>883</v>
      </c>
      <c r="S539" s="152">
        <v>1380</v>
      </c>
      <c r="T539" s="159" t="s">
        <v>856</v>
      </c>
      <c r="U539" s="159" t="s">
        <v>856</v>
      </c>
      <c r="V539" s="152" t="s">
        <v>3530</v>
      </c>
      <c r="W539" s="152" t="s">
        <v>858</v>
      </c>
      <c r="X539" s="152" t="s">
        <v>1083</v>
      </c>
      <c r="Y539" s="152">
        <v>26.57</v>
      </c>
      <c r="Z539" s="152">
        <v>1</v>
      </c>
      <c r="AA539" s="152" t="s">
        <v>92</v>
      </c>
      <c r="AB539" s="152">
        <v>281.33</v>
      </c>
      <c r="AC539" s="152">
        <v>3</v>
      </c>
      <c r="AD539" s="152" t="s">
        <v>861</v>
      </c>
      <c r="AE539" s="152">
        <v>281.33</v>
      </c>
      <c r="AF539" s="152">
        <v>0</v>
      </c>
      <c r="AG539" s="152" t="s">
        <v>861</v>
      </c>
      <c r="AH539" s="152" t="s">
        <v>861</v>
      </c>
      <c r="AI539" s="152" t="s">
        <v>92</v>
      </c>
      <c r="AJ539" s="152" t="s">
        <v>92</v>
      </c>
      <c r="AK539" s="152" t="s">
        <v>972</v>
      </c>
      <c r="AL539" s="159" t="s">
        <v>856</v>
      </c>
      <c r="AP539" s="159" t="s">
        <v>856</v>
      </c>
      <c r="AQ539" s="159" t="s">
        <v>856</v>
      </c>
      <c r="AR539" s="152" t="s">
        <v>4308</v>
      </c>
      <c r="AS539" s="159" t="s">
        <v>865</v>
      </c>
      <c r="AT539" s="152" t="str">
        <f t="shared" si="36"/>
        <v>RPNA12-241224</v>
      </c>
      <c r="AU539" s="152" t="str">
        <f t="shared" si="37"/>
        <v xml:space="preserve">LUIS GUILLERMO ANTONIO ANGEL </v>
      </c>
      <c r="AV539" s="152">
        <v>4305.79</v>
      </c>
      <c r="AW539" s="152">
        <v>16602448</v>
      </c>
      <c r="AX539" s="152">
        <v>35</v>
      </c>
      <c r="AY539" s="152">
        <v>16602448</v>
      </c>
      <c r="AZ539" s="152" t="s">
        <v>864</v>
      </c>
      <c r="BA539" s="152" t="str">
        <f t="shared" si="38"/>
        <v>L25-46-WS002</v>
      </c>
      <c r="BB539" s="152">
        <v>0</v>
      </c>
      <c r="BC539" s="157">
        <v>45674</v>
      </c>
      <c r="BD539" s="157">
        <v>45674</v>
      </c>
      <c r="BE539" s="158">
        <v>853289.5</v>
      </c>
      <c r="BF539" s="152" t="s">
        <v>4309</v>
      </c>
      <c r="BG539" s="152" t="s">
        <v>894</v>
      </c>
      <c r="BH539" s="152">
        <v>281.33</v>
      </c>
      <c r="BI539" s="152">
        <v>0</v>
      </c>
      <c r="BJ539" s="152">
        <v>0</v>
      </c>
      <c r="BK539" s="152" t="s">
        <v>132</v>
      </c>
      <c r="BL539" s="152">
        <v>281.33</v>
      </c>
      <c r="BM539" s="152">
        <v>16602448</v>
      </c>
      <c r="BN539" s="157" t="s">
        <v>1453</v>
      </c>
    </row>
    <row r="540" spans="1:66">
      <c r="A540" s="152" t="s">
        <v>4310</v>
      </c>
      <c r="B540" s="152" t="s">
        <v>4311</v>
      </c>
      <c r="C540" s="152" t="s">
        <v>4312</v>
      </c>
      <c r="D540" s="152" t="s">
        <v>4313</v>
      </c>
      <c r="E540" s="152" t="s">
        <v>4314</v>
      </c>
      <c r="F540" s="152">
        <v>322695</v>
      </c>
      <c r="G540" s="152">
        <v>55</v>
      </c>
      <c r="H540" s="152">
        <v>794</v>
      </c>
      <c r="I540" s="152">
        <v>196488</v>
      </c>
      <c r="J540" s="152">
        <v>112</v>
      </c>
      <c r="K540" s="152">
        <v>84617</v>
      </c>
      <c r="L540" s="152" t="s">
        <v>4315</v>
      </c>
      <c r="M540" s="152" t="s">
        <v>92</v>
      </c>
      <c r="N540" s="152" t="s">
        <v>883</v>
      </c>
      <c r="O540" s="152">
        <v>6060</v>
      </c>
      <c r="P540" s="152" t="s">
        <v>4316</v>
      </c>
      <c r="Q540" s="152" t="s">
        <v>92</v>
      </c>
      <c r="R540" s="152" t="s">
        <v>883</v>
      </c>
      <c r="S540" s="152">
        <v>6060</v>
      </c>
      <c r="T540" s="159" t="s">
        <v>856</v>
      </c>
      <c r="U540" s="159" t="s">
        <v>856</v>
      </c>
      <c r="V540" s="152" t="s">
        <v>3530</v>
      </c>
      <c r="W540" s="152" t="s">
        <v>858</v>
      </c>
      <c r="X540" s="152" t="s">
        <v>1083</v>
      </c>
      <c r="Y540" s="152">
        <v>0</v>
      </c>
      <c r="Z540" s="152">
        <v>1</v>
      </c>
      <c r="AA540" s="152" t="s">
        <v>92</v>
      </c>
      <c r="AB540" s="152">
        <v>112</v>
      </c>
      <c r="AC540" s="152">
        <v>1</v>
      </c>
      <c r="AD540" s="152" t="s">
        <v>861</v>
      </c>
      <c r="AE540" s="152">
        <v>112</v>
      </c>
      <c r="AF540" s="152">
        <v>0</v>
      </c>
      <c r="AG540" s="152" t="s">
        <v>861</v>
      </c>
      <c r="AH540" s="152" t="s">
        <v>861</v>
      </c>
      <c r="AI540" s="152" t="s">
        <v>92</v>
      </c>
      <c r="AJ540" s="152" t="s">
        <v>92</v>
      </c>
      <c r="AK540" s="152" t="s">
        <v>972</v>
      </c>
      <c r="AL540" s="159" t="s">
        <v>856</v>
      </c>
      <c r="AP540" s="159" t="s">
        <v>856</v>
      </c>
      <c r="AQ540" s="159" t="s">
        <v>856</v>
      </c>
      <c r="AR540" s="152" t="s">
        <v>992</v>
      </c>
      <c r="AS540" s="159" t="s">
        <v>865</v>
      </c>
      <c r="AT540" s="152" t="str">
        <f t="shared" si="36"/>
        <v>RPNL12-080923</v>
      </c>
      <c r="AU540" s="152" t="str">
        <f t="shared" si="37"/>
        <v xml:space="preserve">ALICIA ANA JUAREZ LOPEZ DE LOPEZ </v>
      </c>
      <c r="AV540" s="152">
        <v>1128.96</v>
      </c>
      <c r="AW540" s="152">
        <v>13016947</v>
      </c>
      <c r="AX540" s="152">
        <v>35</v>
      </c>
      <c r="AY540" s="152">
        <v>13016947</v>
      </c>
      <c r="AZ540" s="152" t="s">
        <v>864</v>
      </c>
      <c r="BA540" s="152" t="str">
        <f t="shared" si="38"/>
        <v>L23-619-MP098</v>
      </c>
      <c r="BB540" s="152">
        <v>0</v>
      </c>
      <c r="BC540" s="157">
        <v>45273</v>
      </c>
      <c r="BD540" s="157">
        <v>45273</v>
      </c>
      <c r="BE540" s="158">
        <v>224000</v>
      </c>
      <c r="BF540" s="152" t="s">
        <v>4317</v>
      </c>
      <c r="BG540" s="152" t="s">
        <v>4318</v>
      </c>
      <c r="BH540" s="152">
        <v>112</v>
      </c>
      <c r="BI540" s="152">
        <v>0</v>
      </c>
      <c r="BJ540" s="152">
        <v>0</v>
      </c>
      <c r="BK540" s="152" t="s">
        <v>132</v>
      </c>
      <c r="BL540" s="152">
        <v>112</v>
      </c>
      <c r="BM540" s="152">
        <v>13016947</v>
      </c>
      <c r="BN540" s="157" t="s">
        <v>1453</v>
      </c>
    </row>
    <row r="541" spans="1:66">
      <c r="A541" s="152" t="s">
        <v>4319</v>
      </c>
      <c r="B541" s="152" t="s">
        <v>4320</v>
      </c>
      <c r="C541" s="152" t="s">
        <v>4321</v>
      </c>
      <c r="D541" s="152" t="s">
        <v>4322</v>
      </c>
      <c r="E541" s="152" t="s">
        <v>4323</v>
      </c>
      <c r="F541" s="152">
        <v>322754</v>
      </c>
      <c r="G541" s="152">
        <v>114</v>
      </c>
      <c r="H541" s="152">
        <v>794</v>
      </c>
      <c r="I541" s="152">
        <v>183887</v>
      </c>
      <c r="J541" s="152">
        <v>112</v>
      </c>
      <c r="K541" s="152">
        <v>75142</v>
      </c>
      <c r="L541" s="152" t="s">
        <v>4324</v>
      </c>
      <c r="M541" s="152" t="s">
        <v>92</v>
      </c>
      <c r="N541" s="152" t="s">
        <v>883</v>
      </c>
      <c r="O541" s="152">
        <v>1646</v>
      </c>
      <c r="P541" s="152" t="s">
        <v>4324</v>
      </c>
      <c r="Q541" s="152" t="s">
        <v>92</v>
      </c>
      <c r="R541" s="152" t="s">
        <v>883</v>
      </c>
      <c r="S541" s="152">
        <v>1646</v>
      </c>
      <c r="T541" s="159" t="s">
        <v>856</v>
      </c>
      <c r="U541" s="159" t="s">
        <v>856</v>
      </c>
      <c r="V541" s="152" t="s">
        <v>3624</v>
      </c>
      <c r="W541" s="152" t="s">
        <v>858</v>
      </c>
      <c r="X541" s="152" t="s">
        <v>1083</v>
      </c>
      <c r="Y541" s="152">
        <v>71.23</v>
      </c>
      <c r="Z541" s="152">
        <v>1</v>
      </c>
      <c r="AA541" s="152" t="s">
        <v>92</v>
      </c>
      <c r="AB541" s="152">
        <v>127.72</v>
      </c>
      <c r="AC541" s="152">
        <v>2</v>
      </c>
      <c r="AD541" s="152" t="s">
        <v>861</v>
      </c>
      <c r="AE541" s="152">
        <v>127.72</v>
      </c>
      <c r="AF541" s="152">
        <v>0</v>
      </c>
      <c r="AG541" s="152">
        <v>45.04</v>
      </c>
      <c r="AH541" s="152" t="s">
        <v>861</v>
      </c>
      <c r="AI541" s="152" t="s">
        <v>92</v>
      </c>
      <c r="AJ541" s="152" t="s">
        <v>92</v>
      </c>
      <c r="AK541" s="152" t="s">
        <v>972</v>
      </c>
      <c r="AL541" s="159" t="s">
        <v>856</v>
      </c>
      <c r="AP541" s="159" t="s">
        <v>856</v>
      </c>
      <c r="AQ541" s="159" t="s">
        <v>856</v>
      </c>
      <c r="AR541" s="152" t="s">
        <v>992</v>
      </c>
      <c r="AS541" s="159" t="s">
        <v>865</v>
      </c>
      <c r="AT541" s="152" t="str">
        <f t="shared" si="36"/>
        <v>VUNR12-021023</v>
      </c>
      <c r="AU541" s="152" t="str">
        <f t="shared" si="37"/>
        <v>FREDY VINICIO DE LEON VASCONCELOS</v>
      </c>
      <c r="AV541" s="152">
        <v>1842.48</v>
      </c>
      <c r="AW541" s="152">
        <v>12850377</v>
      </c>
      <c r="AX541" s="152">
        <v>35</v>
      </c>
      <c r="AY541" s="152">
        <v>12850377</v>
      </c>
      <c r="AZ541" s="152" t="s">
        <v>864</v>
      </c>
      <c r="BA541" s="152" t="str">
        <f t="shared" si="38"/>
        <v>L23-539-JJ68</v>
      </c>
      <c r="BB541" s="152">
        <v>24</v>
      </c>
      <c r="BC541" s="157">
        <v>45251</v>
      </c>
      <c r="BD541" s="157">
        <v>45617</v>
      </c>
      <c r="BE541" s="158">
        <v>347350.5</v>
      </c>
      <c r="BF541" s="152" t="s">
        <v>4325</v>
      </c>
      <c r="BG541" s="152" t="s">
        <v>4326</v>
      </c>
      <c r="BH541" s="152">
        <v>127.72</v>
      </c>
      <c r="BI541" s="152">
        <v>0</v>
      </c>
      <c r="BJ541" s="152">
        <v>0</v>
      </c>
      <c r="BK541" s="152" t="s">
        <v>132</v>
      </c>
      <c r="BL541" s="152">
        <v>127.72</v>
      </c>
      <c r="BM541" s="152">
        <v>12850377</v>
      </c>
      <c r="BN541" s="157" t="s">
        <v>1453</v>
      </c>
    </row>
    <row r="542" spans="1:66">
      <c r="A542" s="152" t="s">
        <v>4327</v>
      </c>
      <c r="B542" s="152" t="s">
        <v>4328</v>
      </c>
      <c r="C542" s="152" t="s">
        <v>4329</v>
      </c>
      <c r="D542" s="152" t="s">
        <v>4330</v>
      </c>
      <c r="E542" s="152" t="s">
        <v>4330</v>
      </c>
      <c r="F542" s="152">
        <v>219625</v>
      </c>
      <c r="G542" s="152">
        <v>162</v>
      </c>
      <c r="H542" s="152">
        <v>449</v>
      </c>
      <c r="I542" s="152">
        <v>16478</v>
      </c>
      <c r="J542" s="152">
        <v>180.04</v>
      </c>
      <c r="K542" s="152">
        <v>38405</v>
      </c>
      <c r="L542" s="152" t="s">
        <v>4331</v>
      </c>
      <c r="M542" s="152" t="s">
        <v>883</v>
      </c>
      <c r="N542" s="152" t="s">
        <v>92</v>
      </c>
      <c r="O542" s="152">
        <v>5110</v>
      </c>
      <c r="P542" s="152" t="s">
        <v>4332</v>
      </c>
      <c r="Q542" s="152" t="s">
        <v>883</v>
      </c>
      <c r="R542" s="152" t="s">
        <v>92</v>
      </c>
      <c r="S542" s="152">
        <v>5110</v>
      </c>
      <c r="T542" s="159" t="s">
        <v>856</v>
      </c>
      <c r="U542" s="159" t="s">
        <v>856</v>
      </c>
      <c r="V542" s="152" t="s">
        <v>3530</v>
      </c>
      <c r="W542" s="152" t="s">
        <v>858</v>
      </c>
      <c r="X542" s="152" t="s">
        <v>1083</v>
      </c>
      <c r="Y542" s="152">
        <v>0</v>
      </c>
      <c r="Z542" s="152">
        <v>1</v>
      </c>
      <c r="AA542" s="152" t="s">
        <v>92</v>
      </c>
      <c r="AB542" s="152">
        <v>46.91</v>
      </c>
      <c r="AC542" s="152">
        <v>2</v>
      </c>
      <c r="AD542" s="152" t="s">
        <v>861</v>
      </c>
      <c r="AE542" s="152">
        <v>46.91</v>
      </c>
      <c r="AF542" s="152">
        <v>0</v>
      </c>
      <c r="AG542" s="152">
        <v>32.29</v>
      </c>
      <c r="AH542" s="152" t="s">
        <v>861</v>
      </c>
      <c r="AI542" s="152" t="s">
        <v>92</v>
      </c>
      <c r="AJ542" s="152" t="s">
        <v>92</v>
      </c>
      <c r="AK542" s="152" t="s">
        <v>872</v>
      </c>
      <c r="AL542" s="159" t="s">
        <v>856</v>
      </c>
      <c r="AP542" s="159" t="s">
        <v>856</v>
      </c>
      <c r="AQ542" s="159" t="s">
        <v>856</v>
      </c>
      <c r="AR542" s="152" t="s">
        <v>4333</v>
      </c>
      <c r="AS542" s="159" t="s">
        <v>865</v>
      </c>
      <c r="AT542" s="152" t="str">
        <f t="shared" si="36"/>
        <v>RPNS3-3020625</v>
      </c>
      <c r="AU542" s="152" t="str">
        <f t="shared" si="37"/>
        <v xml:space="preserve">ISRAELITO OVIDIO SANCHEZ QUEJNAY </v>
      </c>
      <c r="AV542" s="152">
        <v>591.07000000000005</v>
      </c>
      <c r="AW542" s="152">
        <v>18248157</v>
      </c>
      <c r="AX542" s="159" t="s">
        <v>856</v>
      </c>
      <c r="AY542" s="159" t="s">
        <v>856</v>
      </c>
      <c r="AZ542" s="152" t="s">
        <v>864</v>
      </c>
      <c r="BA542" s="152" t="str">
        <f t="shared" si="38"/>
        <v>L25-566-CB062</v>
      </c>
      <c r="BB542" s="152">
        <v>0</v>
      </c>
      <c r="BC542" s="157">
        <v>45849</v>
      </c>
      <c r="BD542" s="157">
        <v>45849</v>
      </c>
      <c r="BE542" s="158">
        <v>117275</v>
      </c>
      <c r="BF542" s="152" t="s">
        <v>4334</v>
      </c>
      <c r="BG542" s="152" t="s">
        <v>894</v>
      </c>
      <c r="BH542" s="152">
        <v>46.91</v>
      </c>
      <c r="BI542" s="152">
        <v>0</v>
      </c>
      <c r="BJ542" s="152">
        <v>0</v>
      </c>
      <c r="BK542" s="152" t="s">
        <v>132</v>
      </c>
      <c r="BL542" s="152">
        <v>136.91</v>
      </c>
      <c r="BM542" s="152">
        <v>18248157</v>
      </c>
      <c r="BN542" s="157" t="s">
        <v>1453</v>
      </c>
    </row>
    <row r="543" spans="1:66">
      <c r="A543" s="152" t="s">
        <v>4335</v>
      </c>
      <c r="B543" s="152" t="s">
        <v>4336</v>
      </c>
      <c r="C543" s="152" t="s">
        <v>4337</v>
      </c>
      <c r="D543" s="152" t="s">
        <v>4338</v>
      </c>
      <c r="E543" s="152" t="s">
        <v>4339</v>
      </c>
      <c r="F543" s="152">
        <v>2133</v>
      </c>
      <c r="G543" s="152">
        <v>133</v>
      </c>
      <c r="H543" s="152" t="s">
        <v>4340</v>
      </c>
      <c r="I543" s="152">
        <v>1385</v>
      </c>
      <c r="J543" s="152">
        <v>316.26</v>
      </c>
      <c r="K543" s="152">
        <v>92354</v>
      </c>
      <c r="L543" s="152" t="s">
        <v>4341</v>
      </c>
      <c r="M543" s="152" t="s">
        <v>92</v>
      </c>
      <c r="N543" s="152" t="s">
        <v>883</v>
      </c>
      <c r="O543" s="152">
        <v>3482</v>
      </c>
      <c r="P543" s="152" t="s">
        <v>4341</v>
      </c>
      <c r="Q543" s="152" t="s">
        <v>92</v>
      </c>
      <c r="R543" s="152" t="s">
        <v>883</v>
      </c>
      <c r="S543" s="152">
        <v>3482</v>
      </c>
      <c r="T543" s="159" t="s">
        <v>856</v>
      </c>
      <c r="U543" s="159" t="s">
        <v>856</v>
      </c>
      <c r="V543" s="152" t="s">
        <v>4342</v>
      </c>
      <c r="W543" s="152" t="s">
        <v>4343</v>
      </c>
      <c r="X543" s="159" t="s">
        <v>856</v>
      </c>
      <c r="Y543" s="152">
        <v>0</v>
      </c>
      <c r="Z543" s="152">
        <v>2</v>
      </c>
      <c r="AA543" s="152" t="s">
        <v>92</v>
      </c>
      <c r="AB543" s="152">
        <v>703.1</v>
      </c>
      <c r="AC543" s="152">
        <v>3</v>
      </c>
      <c r="AD543" s="152" t="s">
        <v>861</v>
      </c>
      <c r="AE543" s="152">
        <v>703.1</v>
      </c>
      <c r="AF543" s="152">
        <v>0</v>
      </c>
      <c r="AG543" s="152" t="s">
        <v>861</v>
      </c>
      <c r="AH543" s="152" t="s">
        <v>861</v>
      </c>
      <c r="AI543" s="152" t="s">
        <v>92</v>
      </c>
      <c r="AJ543" s="152" t="s">
        <v>92</v>
      </c>
      <c r="AK543" s="152" t="s">
        <v>4365</v>
      </c>
      <c r="AL543" s="159" t="s">
        <v>856</v>
      </c>
      <c r="AP543" s="159" t="s">
        <v>856</v>
      </c>
      <c r="AQ543" s="159" t="s">
        <v>856</v>
      </c>
      <c r="AR543" s="152" t="s">
        <v>1953</v>
      </c>
      <c r="AS543" s="159" t="s">
        <v>865</v>
      </c>
      <c r="AT543" s="152" t="str">
        <f t="shared" si="36"/>
        <v>RPNC3-2230525</v>
      </c>
      <c r="AU543" s="152" t="str">
        <f t="shared" si="37"/>
        <v>COOPEASRURAL R.L.</v>
      </c>
      <c r="AV543" s="152">
        <v>5941.2</v>
      </c>
      <c r="AW543" s="152">
        <v>17673408</v>
      </c>
      <c r="AX543" s="152">
        <v>200</v>
      </c>
      <c r="AY543" s="152">
        <v>17673408</v>
      </c>
      <c r="AZ543" s="152" t="s">
        <v>864</v>
      </c>
      <c r="BA543" s="152" t="str">
        <f t="shared" si="38"/>
        <v>L25-349-JC031</v>
      </c>
      <c r="BB543" s="152">
        <v>0</v>
      </c>
      <c r="BC543" s="157">
        <v>45786</v>
      </c>
      <c r="BD543" s="157">
        <v>45786</v>
      </c>
      <c r="BE543" s="158">
        <v>281240</v>
      </c>
      <c r="BF543" s="152" t="s">
        <v>4366</v>
      </c>
      <c r="BG543" s="152" t="s">
        <v>4367</v>
      </c>
      <c r="BH543" s="152">
        <v>703.1</v>
      </c>
      <c r="BI543" s="152">
        <v>0</v>
      </c>
      <c r="BJ543" s="152">
        <v>0</v>
      </c>
      <c r="BK543" s="152" t="s">
        <v>1296</v>
      </c>
      <c r="BL543" s="152">
        <v>878.88</v>
      </c>
      <c r="BM543" s="152">
        <v>17673408</v>
      </c>
      <c r="BN543" s="157" t="s">
        <v>1453</v>
      </c>
    </row>
    <row r="544" spans="1:66">
      <c r="A544" s="152" t="s">
        <v>4344</v>
      </c>
      <c r="B544" s="152" t="s">
        <v>4345</v>
      </c>
      <c r="C544" s="152" t="s">
        <v>4346</v>
      </c>
      <c r="D544" s="152" t="s">
        <v>4347</v>
      </c>
      <c r="E544" s="152" t="s">
        <v>4348</v>
      </c>
      <c r="F544" s="152">
        <v>316850</v>
      </c>
      <c r="G544" s="152">
        <v>50</v>
      </c>
      <c r="H544" s="152">
        <v>774</v>
      </c>
      <c r="I544" s="152">
        <v>203602</v>
      </c>
      <c r="J544" s="152">
        <v>85.6</v>
      </c>
      <c r="K544" s="152">
        <v>90178</v>
      </c>
      <c r="L544" s="152" t="s">
        <v>4349</v>
      </c>
      <c r="M544" s="152" t="s">
        <v>92</v>
      </c>
      <c r="N544" s="152" t="s">
        <v>883</v>
      </c>
      <c r="O544" s="152">
        <v>7515</v>
      </c>
      <c r="P544" s="152" t="s">
        <v>4349</v>
      </c>
      <c r="Q544" s="152" t="s">
        <v>92</v>
      </c>
      <c r="R544" s="152" t="s">
        <v>883</v>
      </c>
      <c r="S544" s="152">
        <v>7515</v>
      </c>
      <c r="T544" s="159" t="s">
        <v>856</v>
      </c>
      <c r="U544" s="159" t="s">
        <v>856</v>
      </c>
      <c r="V544" s="152" t="s">
        <v>1751</v>
      </c>
      <c r="W544" s="152" t="s">
        <v>858</v>
      </c>
      <c r="X544" s="152" t="s">
        <v>1083</v>
      </c>
      <c r="Y544" s="152">
        <v>21.46</v>
      </c>
      <c r="Z544" s="152">
        <v>3</v>
      </c>
      <c r="AA544" s="152" t="s">
        <v>92</v>
      </c>
      <c r="AB544" s="152">
        <v>153.19999999999999</v>
      </c>
      <c r="AC544" s="152">
        <v>2</v>
      </c>
      <c r="AD544" s="152" t="s">
        <v>861</v>
      </c>
      <c r="AE544" s="152">
        <v>153.19999999999999</v>
      </c>
      <c r="AF544" s="152">
        <v>0</v>
      </c>
      <c r="AG544" s="152">
        <v>7.2</v>
      </c>
      <c r="AH544" s="152" t="s">
        <v>861</v>
      </c>
      <c r="AI544" s="152" t="s">
        <v>92</v>
      </c>
      <c r="AJ544" s="152" t="s">
        <v>92</v>
      </c>
      <c r="AK544" s="152" t="s">
        <v>862</v>
      </c>
      <c r="AL544" s="159" t="s">
        <v>856</v>
      </c>
      <c r="AP544" s="159" t="s">
        <v>856</v>
      </c>
      <c r="AQ544" s="159" t="s">
        <v>856</v>
      </c>
      <c r="AR544" s="152" t="s">
        <v>992</v>
      </c>
      <c r="AS544" s="159" t="s">
        <v>865</v>
      </c>
      <c r="AT544" s="152" t="str">
        <f t="shared" si="36"/>
        <v>VUNX10-011124</v>
      </c>
      <c r="AU544" s="152" t="str">
        <f t="shared" si="37"/>
        <v xml:space="preserve">CLAUDIA JEANETH XILOJ GIRON </v>
      </c>
      <c r="AV544" s="152">
        <v>2294.35</v>
      </c>
      <c r="AW544" s="152">
        <v>16245837</v>
      </c>
      <c r="AX544" s="152">
        <v>53.5</v>
      </c>
      <c r="AY544" s="152">
        <v>16245837</v>
      </c>
      <c r="AZ544" s="152" t="s">
        <v>864</v>
      </c>
      <c r="BA544" s="152" t="str">
        <f t="shared" si="38"/>
        <v>L24-1078-JJ160</v>
      </c>
      <c r="BB544" s="152">
        <v>24</v>
      </c>
      <c r="BC544" s="157">
        <v>45644</v>
      </c>
      <c r="BD544" s="157">
        <v>46009</v>
      </c>
      <c r="BE544" s="158">
        <v>390511</v>
      </c>
      <c r="BF544" s="152" t="s">
        <v>4350</v>
      </c>
      <c r="BG544" s="152" t="s">
        <v>4351</v>
      </c>
      <c r="BH544" s="152">
        <v>153.19999999999999</v>
      </c>
      <c r="BI544" s="152">
        <v>0</v>
      </c>
      <c r="BJ544" s="152">
        <v>0</v>
      </c>
      <c r="BK544" s="152" t="s">
        <v>132</v>
      </c>
      <c r="BL544" s="152">
        <v>162.78</v>
      </c>
      <c r="BM544" s="152">
        <v>16245837</v>
      </c>
      <c r="BN544" s="157" t="s">
        <v>1453</v>
      </c>
    </row>
    <row r="545" spans="1:66">
      <c r="A545" s="152" t="s">
        <v>4352</v>
      </c>
      <c r="B545" s="152" t="s">
        <v>4353</v>
      </c>
      <c r="C545" s="152" t="s">
        <v>4354</v>
      </c>
      <c r="D545" s="152" t="s">
        <v>4355</v>
      </c>
      <c r="E545" s="152" t="s">
        <v>4355</v>
      </c>
      <c r="F545" s="152">
        <v>224259</v>
      </c>
      <c r="G545" s="152">
        <v>259</v>
      </c>
      <c r="H545" s="152">
        <v>465</v>
      </c>
      <c r="I545" s="152">
        <v>3665</v>
      </c>
      <c r="J545" s="152">
        <v>946</v>
      </c>
      <c r="K545" s="152">
        <v>57073</v>
      </c>
      <c r="L545" s="152" t="s">
        <v>4356</v>
      </c>
      <c r="M545" s="152" t="s">
        <v>92</v>
      </c>
      <c r="N545" s="152" t="s">
        <v>883</v>
      </c>
      <c r="O545" s="152">
        <v>7185</v>
      </c>
      <c r="P545" s="152" t="s">
        <v>4356</v>
      </c>
      <c r="Q545" s="152" t="s">
        <v>92</v>
      </c>
      <c r="R545" s="152" t="s">
        <v>883</v>
      </c>
      <c r="S545" s="152">
        <v>7185</v>
      </c>
      <c r="T545" s="159" t="s">
        <v>856</v>
      </c>
      <c r="U545" s="159" t="s">
        <v>856</v>
      </c>
      <c r="V545" s="152" t="s">
        <v>4357</v>
      </c>
      <c r="W545" s="152" t="s">
        <v>858</v>
      </c>
      <c r="X545" s="152" t="s">
        <v>1083</v>
      </c>
      <c r="Y545" s="152">
        <v>411.65</v>
      </c>
      <c r="Z545" s="152">
        <v>2</v>
      </c>
      <c r="AA545" s="152" t="s">
        <v>92</v>
      </c>
      <c r="AB545" s="152">
        <v>307.56</v>
      </c>
      <c r="AC545" s="152">
        <v>2</v>
      </c>
      <c r="AD545" s="152" t="s">
        <v>861</v>
      </c>
      <c r="AE545" s="152">
        <v>307.56</v>
      </c>
      <c r="AF545" s="152">
        <v>0</v>
      </c>
      <c r="AG545" s="152" t="s">
        <v>861</v>
      </c>
      <c r="AH545" s="152" t="s">
        <v>861</v>
      </c>
      <c r="AI545" s="152" t="s">
        <v>92</v>
      </c>
      <c r="AJ545" s="152" t="s">
        <v>92</v>
      </c>
      <c r="AK545" s="152" t="s">
        <v>1085</v>
      </c>
      <c r="AL545" s="159" t="s">
        <v>856</v>
      </c>
      <c r="AP545" s="159" t="s">
        <v>856</v>
      </c>
      <c r="AQ545" s="159" t="s">
        <v>856</v>
      </c>
      <c r="AR545" s="152" t="s">
        <v>1953</v>
      </c>
      <c r="AS545" s="159" t="s">
        <v>865</v>
      </c>
      <c r="AT545" s="152" t="str">
        <f t="shared" si="36"/>
        <v>VUNB3-010424</v>
      </c>
      <c r="AU545" s="152" t="str">
        <f t="shared" si="37"/>
        <v>SOCIEDAD ANONIMA BENSO</v>
      </c>
      <c r="AV545" s="152">
        <v>6732.59</v>
      </c>
      <c r="AW545" s="152">
        <v>14389478</v>
      </c>
      <c r="AX545" s="152">
        <v>133.75</v>
      </c>
      <c r="AY545" s="152">
        <v>14389478</v>
      </c>
      <c r="AZ545" s="152" t="s">
        <v>864</v>
      </c>
      <c r="BA545" s="152" t="str">
        <f t="shared" si="38"/>
        <v>L24-246-JC031</v>
      </c>
      <c r="BB545" s="152">
        <v>24</v>
      </c>
      <c r="BC545" s="157">
        <v>45404</v>
      </c>
      <c r="BD545" s="157">
        <v>45769</v>
      </c>
      <c r="BE545" s="158">
        <v>832341</v>
      </c>
      <c r="BF545" s="152" t="s">
        <v>4358</v>
      </c>
      <c r="BG545" s="152" t="s">
        <v>4359</v>
      </c>
      <c r="BH545" s="152">
        <v>307.56</v>
      </c>
      <c r="BI545" s="152">
        <v>0</v>
      </c>
      <c r="BJ545" s="152">
        <v>0</v>
      </c>
      <c r="BK545" s="152" t="s">
        <v>1296</v>
      </c>
      <c r="BL545" s="152">
        <v>335.59</v>
      </c>
      <c r="BM545" s="152">
        <v>14389478</v>
      </c>
      <c r="BN545" s="157" t="s">
        <v>1453</v>
      </c>
    </row>
    <row r="546" spans="1:66">
      <c r="A546" s="152" t="s">
        <v>4360</v>
      </c>
      <c r="B546" s="152" t="s">
        <v>4361</v>
      </c>
      <c r="C546" s="152" t="s">
        <v>4362</v>
      </c>
      <c r="D546" s="152" t="s">
        <v>4363</v>
      </c>
      <c r="E546" s="152" t="s">
        <v>4363</v>
      </c>
      <c r="F546" s="152">
        <v>6981</v>
      </c>
      <c r="G546" s="152">
        <v>481</v>
      </c>
      <c r="H546" s="152" t="s">
        <v>2826</v>
      </c>
      <c r="I546" s="152">
        <v>158466</v>
      </c>
      <c r="J546" s="152">
        <v>436.81</v>
      </c>
      <c r="K546" s="152">
        <v>932</v>
      </c>
      <c r="L546" s="152" t="s">
        <v>2244</v>
      </c>
      <c r="M546" s="152" t="s">
        <v>883</v>
      </c>
      <c r="N546" s="152" t="s">
        <v>92</v>
      </c>
      <c r="O546" s="152">
        <v>10339</v>
      </c>
      <c r="P546" s="152" t="s">
        <v>2244</v>
      </c>
      <c r="Q546" s="152" t="s">
        <v>883</v>
      </c>
      <c r="R546" s="152" t="s">
        <v>92</v>
      </c>
      <c r="S546" s="152">
        <v>10339</v>
      </c>
      <c r="T546" s="159" t="s">
        <v>856</v>
      </c>
      <c r="U546" s="159" t="s">
        <v>856</v>
      </c>
      <c r="V546" s="152" t="s">
        <v>1149</v>
      </c>
      <c r="W546" s="152" t="s">
        <v>858</v>
      </c>
      <c r="X546" s="152" t="s">
        <v>1083</v>
      </c>
      <c r="Y546" s="152">
        <v>140.63</v>
      </c>
      <c r="Z546" s="152">
        <v>4</v>
      </c>
      <c r="AA546" s="152" t="s">
        <v>92</v>
      </c>
      <c r="AB546" s="152">
        <v>508.77</v>
      </c>
      <c r="AC546" s="152">
        <v>3</v>
      </c>
      <c r="AD546" s="152" t="s">
        <v>861</v>
      </c>
      <c r="AE546" s="152">
        <v>508.77</v>
      </c>
      <c r="AF546" s="152">
        <v>0</v>
      </c>
      <c r="AG546" s="152">
        <v>110.66</v>
      </c>
      <c r="AH546" s="152" t="s">
        <v>861</v>
      </c>
      <c r="AI546" s="152" t="s">
        <v>92</v>
      </c>
      <c r="AJ546" s="152" t="s">
        <v>92</v>
      </c>
      <c r="AK546" s="152" t="s">
        <v>884</v>
      </c>
      <c r="AL546" s="159" t="s">
        <v>856</v>
      </c>
      <c r="AP546" s="159" t="s">
        <v>856</v>
      </c>
      <c r="AQ546" s="159" t="s">
        <v>856</v>
      </c>
      <c r="AR546" s="152" t="s">
        <v>873</v>
      </c>
      <c r="AS546" s="159" t="s">
        <v>865</v>
      </c>
      <c r="AT546" s="152" t="str">
        <f t="shared" si="36"/>
        <v>VUND1-1320425</v>
      </c>
      <c r="AU546" s="152" t="str">
        <f t="shared" si="37"/>
        <v>ANIBAL DIAZ VICENTE</v>
      </c>
      <c r="AV546" s="152">
        <v>7968.24</v>
      </c>
      <c r="AW546" s="152">
        <v>17454776</v>
      </c>
      <c r="AX546" s="152">
        <v>227.5</v>
      </c>
      <c r="AY546" s="152">
        <v>17454776</v>
      </c>
      <c r="AZ546" s="152" t="s">
        <v>864</v>
      </c>
      <c r="BA546" s="152" t="str">
        <f t="shared" si="38"/>
        <v>L25-263-CB051</v>
      </c>
      <c r="BB546" s="152">
        <v>50</v>
      </c>
      <c r="BC546" s="157">
        <v>45756</v>
      </c>
      <c r="BD546" s="157">
        <v>46182</v>
      </c>
      <c r="BE546" s="158">
        <v>1575530.5</v>
      </c>
      <c r="BF546" s="152" t="s">
        <v>4364</v>
      </c>
      <c r="BG546" s="152" t="s">
        <v>4281</v>
      </c>
      <c r="BH546" s="152">
        <v>508.77</v>
      </c>
      <c r="BI546" s="152">
        <v>0</v>
      </c>
      <c r="BJ546" s="152">
        <v>0</v>
      </c>
      <c r="BK546" s="152" t="s">
        <v>132</v>
      </c>
      <c r="BL546" s="152">
        <v>508.77</v>
      </c>
      <c r="BM546" s="152">
        <v>17454776</v>
      </c>
      <c r="BN546" s="157" t="s">
        <v>1453</v>
      </c>
    </row>
    <row r="547" spans="1:66" s="165" customFormat="1">
      <c r="A547" s="165" t="s">
        <v>4368</v>
      </c>
      <c r="B547" s="165" t="s">
        <v>4369</v>
      </c>
      <c r="C547" s="165" t="s">
        <v>4370</v>
      </c>
      <c r="D547" s="165" t="s">
        <v>4377</v>
      </c>
      <c r="E547" s="165" t="s">
        <v>4378</v>
      </c>
      <c r="F547" s="165">
        <v>252</v>
      </c>
      <c r="G547" s="165">
        <v>252</v>
      </c>
      <c r="H547" s="165" t="s">
        <v>3021</v>
      </c>
      <c r="I547" s="165">
        <v>205511</v>
      </c>
      <c r="J547" s="165">
        <v>95.5</v>
      </c>
      <c r="K547" s="165">
        <v>91523</v>
      </c>
      <c r="L547" s="167" t="s">
        <v>856</v>
      </c>
      <c r="M547" s="165" t="s">
        <v>92</v>
      </c>
      <c r="N547" s="165" t="s">
        <v>92</v>
      </c>
      <c r="O547" s="165" t="s">
        <v>856</v>
      </c>
      <c r="P547" s="165" t="s">
        <v>856</v>
      </c>
      <c r="Q547" s="165" t="s">
        <v>92</v>
      </c>
      <c r="R547" s="165" t="s">
        <v>92</v>
      </c>
      <c r="S547" s="165" t="s">
        <v>856</v>
      </c>
      <c r="T547" s="165" t="s">
        <v>856</v>
      </c>
      <c r="U547" s="165" t="s">
        <v>856</v>
      </c>
      <c r="V547" s="165" t="s">
        <v>857</v>
      </c>
      <c r="W547" s="165" t="s">
        <v>858</v>
      </c>
      <c r="X547" s="165" t="s">
        <v>1083</v>
      </c>
      <c r="Y547" s="165">
        <v>31.24</v>
      </c>
      <c r="Z547" s="165">
        <v>1</v>
      </c>
      <c r="AA547" s="165" t="s">
        <v>92</v>
      </c>
      <c r="AB547" s="165">
        <v>169.9</v>
      </c>
      <c r="AC547" s="165">
        <v>2</v>
      </c>
      <c r="AD547" s="165" t="s">
        <v>861</v>
      </c>
      <c r="AE547" s="165">
        <v>169.9</v>
      </c>
      <c r="AF547" s="165">
        <v>0</v>
      </c>
      <c r="AG547" s="165" t="s">
        <v>861</v>
      </c>
      <c r="AH547" s="165" t="s">
        <v>861</v>
      </c>
      <c r="AI547" s="165" t="s">
        <v>92</v>
      </c>
      <c r="AJ547" s="165" t="s">
        <v>92</v>
      </c>
      <c r="AK547" s="165" t="s">
        <v>912</v>
      </c>
      <c r="AL547" s="165" t="s">
        <v>856</v>
      </c>
      <c r="AP547" s="165" t="s">
        <v>856</v>
      </c>
      <c r="AQ547" s="165" t="s">
        <v>856</v>
      </c>
      <c r="AR547" s="165" t="s">
        <v>3821</v>
      </c>
      <c r="AS547" s="167" t="s">
        <v>865</v>
      </c>
      <c r="AT547" s="165" t="str">
        <f t="shared" si="36"/>
        <v>RPNI4-070722</v>
      </c>
      <c r="AU547" s="165" t="str">
        <f t="shared" si="37"/>
        <v>DOMINGO ITZEP LOPEZ</v>
      </c>
      <c r="AV547" s="167">
        <v>2201.9699999999998</v>
      </c>
      <c r="AW547" s="165">
        <v>901192</v>
      </c>
      <c r="AX547" s="165">
        <v>25</v>
      </c>
      <c r="AY547" s="165">
        <v>901194</v>
      </c>
      <c r="AZ547" s="165" t="s">
        <v>864</v>
      </c>
      <c r="BA547" s="165" t="str">
        <f t="shared" si="38"/>
        <v>L22-691-KM111</v>
      </c>
      <c r="BB547" s="165">
        <v>0</v>
      </c>
      <c r="BC547" s="168">
        <v>44855</v>
      </c>
      <c r="BD547" s="168">
        <v>44855</v>
      </c>
      <c r="BE547" s="169">
        <v>435684</v>
      </c>
      <c r="BF547" s="165" t="s">
        <v>4379</v>
      </c>
      <c r="BG547" s="165" t="s">
        <v>894</v>
      </c>
      <c r="BH547" s="165">
        <v>169.9</v>
      </c>
      <c r="BI547" s="165">
        <v>0</v>
      </c>
      <c r="BJ547" s="165">
        <v>0</v>
      </c>
      <c r="BK547" s="165" t="s">
        <v>132</v>
      </c>
      <c r="BL547" s="165">
        <v>169.9</v>
      </c>
      <c r="BM547" s="165">
        <v>901193</v>
      </c>
      <c r="BN547" s="168" t="s">
        <v>1453</v>
      </c>
    </row>
    <row r="548" spans="1:66">
      <c r="A548" s="152" t="s">
        <v>4380</v>
      </c>
      <c r="B548" s="152" t="s">
        <v>4381</v>
      </c>
      <c r="C548" s="152" t="s">
        <v>4382</v>
      </c>
      <c r="D548" s="152" t="s">
        <v>4383</v>
      </c>
      <c r="E548" s="152" t="s">
        <v>4384</v>
      </c>
      <c r="F548" s="152">
        <v>1343</v>
      </c>
      <c r="G548" s="152">
        <v>343</v>
      </c>
      <c r="H548" s="152" t="s">
        <v>4385</v>
      </c>
      <c r="I548" s="152">
        <v>202724</v>
      </c>
      <c r="J548" s="152">
        <v>190</v>
      </c>
      <c r="K548" s="152">
        <v>89490</v>
      </c>
      <c r="L548" s="159" t="s">
        <v>856</v>
      </c>
      <c r="M548" s="152" t="s">
        <v>92</v>
      </c>
      <c r="N548" s="152" t="s">
        <v>92</v>
      </c>
      <c r="O548" s="159" t="s">
        <v>856</v>
      </c>
      <c r="P548" s="159" t="s">
        <v>856</v>
      </c>
      <c r="Q548" s="152" t="s">
        <v>92</v>
      </c>
      <c r="R548" s="152" t="s">
        <v>92</v>
      </c>
      <c r="S548" s="152" t="s">
        <v>856</v>
      </c>
      <c r="T548" s="152" t="s">
        <v>856</v>
      </c>
      <c r="U548" s="152" t="s">
        <v>856</v>
      </c>
      <c r="V548" s="152" t="s">
        <v>1550</v>
      </c>
      <c r="W548" s="152" t="s">
        <v>858</v>
      </c>
      <c r="X548" s="152" t="s">
        <v>1083</v>
      </c>
      <c r="Y548" s="152">
        <v>0</v>
      </c>
      <c r="Z548" s="152">
        <v>1</v>
      </c>
      <c r="AA548" s="152" t="s">
        <v>92</v>
      </c>
      <c r="AB548" s="152">
        <v>78.510000000000005</v>
      </c>
      <c r="AC548" s="152">
        <v>2</v>
      </c>
      <c r="AD548" s="152" t="s">
        <v>861</v>
      </c>
      <c r="AE548" s="152">
        <v>78.510000000000005</v>
      </c>
      <c r="AF548" s="152">
        <v>0</v>
      </c>
      <c r="AG548" s="152" t="s">
        <v>861</v>
      </c>
      <c r="AH548" s="152" t="s">
        <v>861</v>
      </c>
      <c r="AI548" s="152" t="s">
        <v>92</v>
      </c>
      <c r="AJ548" s="152" t="s">
        <v>92</v>
      </c>
      <c r="AK548" s="152" t="s">
        <v>862</v>
      </c>
      <c r="AL548" s="152" t="s">
        <v>856</v>
      </c>
      <c r="AP548" s="152" t="s">
        <v>856</v>
      </c>
      <c r="AQ548" s="152" t="s">
        <v>856</v>
      </c>
      <c r="AR548" s="152" t="s">
        <v>3821</v>
      </c>
      <c r="AS548" s="159" t="s">
        <v>865</v>
      </c>
      <c r="AT548" s="152" t="str">
        <f t="shared" si="36"/>
        <v>RPNA10-400822</v>
      </c>
      <c r="AU548" s="152" t="str">
        <f t="shared" si="37"/>
        <v>KEYLA ABIGAIL CASTRO ORTIZ</v>
      </c>
      <c r="AV548" s="152">
        <v>989.23</v>
      </c>
      <c r="AW548" s="152">
        <v>900885</v>
      </c>
      <c r="AX548" s="159" t="s">
        <v>856</v>
      </c>
      <c r="AY548" s="159" t="s">
        <v>856</v>
      </c>
      <c r="AZ548" s="152" t="s">
        <v>864</v>
      </c>
      <c r="BA548" s="152" t="str">
        <f t="shared" si="38"/>
        <v>L22-688-JM143</v>
      </c>
      <c r="BB548" s="152">
        <v>0</v>
      </c>
      <c r="BC548" s="157">
        <v>44852</v>
      </c>
      <c r="BD548" s="157">
        <v>44852</v>
      </c>
      <c r="BE548" s="158">
        <v>196275</v>
      </c>
      <c r="BF548" s="152" t="s">
        <v>4388</v>
      </c>
      <c r="BG548" s="152" t="s">
        <v>894</v>
      </c>
      <c r="BH548" s="152">
        <v>78.510000000000005</v>
      </c>
      <c r="BI548" s="152">
        <v>0</v>
      </c>
      <c r="BJ548" s="152">
        <v>0</v>
      </c>
      <c r="BK548" s="152" t="s">
        <v>132</v>
      </c>
      <c r="BL548" s="152">
        <v>78.510000000000005</v>
      </c>
      <c r="BM548" s="152">
        <v>900886</v>
      </c>
      <c r="BN548" s="157" t="s">
        <v>1453</v>
      </c>
    </row>
    <row r="549" spans="1:66">
      <c r="A549" s="152" t="s">
        <v>4393</v>
      </c>
      <c r="B549" s="152" t="s">
        <v>4394</v>
      </c>
      <c r="C549" s="152" t="s">
        <v>4395</v>
      </c>
      <c r="D549" s="152" t="s">
        <v>4396</v>
      </c>
      <c r="E549" s="152" t="s">
        <v>4396</v>
      </c>
      <c r="F549" s="152">
        <v>3741</v>
      </c>
      <c r="G549" s="152">
        <v>241</v>
      </c>
      <c r="H549" s="152" t="s">
        <v>4397</v>
      </c>
      <c r="I549" s="152">
        <v>203543</v>
      </c>
      <c r="J549" s="152">
        <v>55.82</v>
      </c>
      <c r="K549" s="152">
        <v>90131</v>
      </c>
      <c r="L549" s="159" t="s">
        <v>856</v>
      </c>
      <c r="M549" s="152" t="s">
        <v>92</v>
      </c>
      <c r="N549" s="152" t="s">
        <v>92</v>
      </c>
      <c r="O549" s="152" t="s">
        <v>856</v>
      </c>
      <c r="P549" s="152" t="s">
        <v>856</v>
      </c>
      <c r="Q549" s="152" t="s">
        <v>92</v>
      </c>
      <c r="R549" s="152" t="s">
        <v>92</v>
      </c>
      <c r="S549" s="152" t="s">
        <v>856</v>
      </c>
      <c r="T549" s="152" t="s">
        <v>856</v>
      </c>
      <c r="U549" s="152" t="s">
        <v>856</v>
      </c>
      <c r="V549" s="152" t="s">
        <v>3530</v>
      </c>
      <c r="W549" s="152" t="s">
        <v>858</v>
      </c>
      <c r="X549" s="152" t="s">
        <v>1083</v>
      </c>
      <c r="Y549" s="152">
        <v>0</v>
      </c>
      <c r="Z549" s="152">
        <v>1</v>
      </c>
      <c r="AA549" s="152" t="s">
        <v>92</v>
      </c>
      <c r="AB549" s="152">
        <v>111.64</v>
      </c>
      <c r="AC549" s="152">
        <v>2</v>
      </c>
      <c r="AD549" s="152" t="s">
        <v>861</v>
      </c>
      <c r="AE549" s="152">
        <v>111.64</v>
      </c>
      <c r="AF549" s="152">
        <v>0</v>
      </c>
      <c r="AG549" s="152" t="s">
        <v>861</v>
      </c>
      <c r="AH549" s="152" t="s">
        <v>861</v>
      </c>
      <c r="AI549" s="152" t="s">
        <v>92</v>
      </c>
      <c r="AJ549" s="152" t="s">
        <v>92</v>
      </c>
      <c r="AK549" s="152" t="s">
        <v>884</v>
      </c>
      <c r="AL549" s="152" t="s">
        <v>856</v>
      </c>
      <c r="AP549" s="152" t="s">
        <v>856</v>
      </c>
      <c r="AQ549" s="152" t="s">
        <v>856</v>
      </c>
      <c r="AR549" s="152" t="s">
        <v>1529</v>
      </c>
      <c r="AS549" s="159" t="s">
        <v>865</v>
      </c>
      <c r="AT549" s="152" t="str">
        <f t="shared" si="36"/>
        <v>RPNS7-170822</v>
      </c>
      <c r="AU549" s="152" t="str">
        <f t="shared" si="37"/>
        <v xml:space="preserve">INGRID JEANNETH TZOC SOMOZA </v>
      </c>
      <c r="AV549" s="152">
        <v>1406.66</v>
      </c>
      <c r="AW549" s="152">
        <v>904611</v>
      </c>
      <c r="AX549" s="159" t="s">
        <v>856</v>
      </c>
      <c r="AY549" s="159" t="s">
        <v>856</v>
      </c>
      <c r="AZ549" s="152" t="s">
        <v>864</v>
      </c>
      <c r="BA549" s="152" t="str">
        <f t="shared" si="38"/>
        <v>L22-695-SP182</v>
      </c>
      <c r="BB549" s="152">
        <v>0</v>
      </c>
      <c r="BC549" s="157">
        <v>44858</v>
      </c>
      <c r="BD549" s="157">
        <v>44858</v>
      </c>
      <c r="BE549" s="158">
        <v>279100</v>
      </c>
      <c r="BF549" s="152" t="s">
        <v>4398</v>
      </c>
      <c r="BG549" s="152" t="s">
        <v>894</v>
      </c>
      <c r="BH549" s="152">
        <v>111.64</v>
      </c>
      <c r="BI549" s="152">
        <v>0</v>
      </c>
      <c r="BJ549" s="152">
        <v>0</v>
      </c>
      <c r="BK549" s="152" t="s">
        <v>132</v>
      </c>
      <c r="BL549" s="152">
        <v>111.64</v>
      </c>
      <c r="BM549" s="152">
        <v>904612</v>
      </c>
      <c r="BN549" s="157" t="s">
        <v>1453</v>
      </c>
    </row>
    <row r="550" spans="1:66">
      <c r="A550" s="152" t="s">
        <v>4399</v>
      </c>
      <c r="B550" s="152" t="s">
        <v>4400</v>
      </c>
      <c r="C550" s="152" t="s">
        <v>4401</v>
      </c>
      <c r="D550" s="152" t="s">
        <v>4402</v>
      </c>
      <c r="E550" s="152" t="s">
        <v>4402</v>
      </c>
      <c r="F550" s="159" t="s">
        <v>856</v>
      </c>
      <c r="G550" s="159" t="s">
        <v>856</v>
      </c>
      <c r="H550" s="159" t="s">
        <v>856</v>
      </c>
      <c r="I550" s="152">
        <v>201640</v>
      </c>
      <c r="J550" s="152">
        <v>337</v>
      </c>
      <c r="K550" s="152">
        <v>88602</v>
      </c>
      <c r="L550" s="152" t="s">
        <v>856</v>
      </c>
      <c r="M550" s="152" t="s">
        <v>92</v>
      </c>
      <c r="N550" s="152" t="s">
        <v>92</v>
      </c>
      <c r="O550" s="152" t="s">
        <v>856</v>
      </c>
      <c r="P550" s="152" t="s">
        <v>856</v>
      </c>
      <c r="Q550" s="152" t="s">
        <v>92</v>
      </c>
      <c r="R550" s="152" t="s">
        <v>92</v>
      </c>
      <c r="S550" s="152" t="s">
        <v>856</v>
      </c>
      <c r="T550" s="152" t="s">
        <v>856</v>
      </c>
      <c r="U550" s="152" t="s">
        <v>856</v>
      </c>
      <c r="V550" s="152" t="s">
        <v>3530</v>
      </c>
      <c r="W550" s="152" t="s">
        <v>858</v>
      </c>
      <c r="X550" s="152" t="s">
        <v>1083</v>
      </c>
      <c r="Y550" s="152">
        <v>0</v>
      </c>
      <c r="Z550" s="152">
        <v>1</v>
      </c>
      <c r="AA550" s="152" t="s">
        <v>92</v>
      </c>
      <c r="AB550" s="152">
        <v>49.5</v>
      </c>
      <c r="AC550" s="152">
        <v>1</v>
      </c>
      <c r="AD550" s="152" t="s">
        <v>861</v>
      </c>
      <c r="AE550" s="152">
        <v>49.5</v>
      </c>
      <c r="AF550" s="152">
        <v>0</v>
      </c>
      <c r="AG550" s="152" t="s">
        <v>861</v>
      </c>
      <c r="AH550" s="152" t="s">
        <v>861</v>
      </c>
      <c r="AI550" s="152" t="s">
        <v>92</v>
      </c>
      <c r="AJ550" s="152" t="s">
        <v>92</v>
      </c>
      <c r="AK550" s="152" t="s">
        <v>4111</v>
      </c>
      <c r="AL550" s="152" t="s">
        <v>856</v>
      </c>
      <c r="AP550" s="152" t="s">
        <v>856</v>
      </c>
      <c r="AQ550" s="152" t="s">
        <v>856</v>
      </c>
      <c r="AR550" s="152" t="s">
        <v>3784</v>
      </c>
      <c r="AS550" s="159" t="s">
        <v>865</v>
      </c>
      <c r="AT550" s="152" t="str">
        <f t="shared" si="36"/>
        <v>VUNG11-010522</v>
      </c>
      <c r="AU550" s="152" t="str">
        <f t="shared" si="37"/>
        <v>CATARINA HILARIO DE GONZALEZ</v>
      </c>
      <c r="AV550" s="152" t="s">
        <v>2080</v>
      </c>
      <c r="AW550" s="152" t="s">
        <v>2080</v>
      </c>
      <c r="AX550" s="152" t="s">
        <v>2080</v>
      </c>
      <c r="AY550" s="152" t="s">
        <v>2080</v>
      </c>
      <c r="AZ550" s="152" t="s">
        <v>864</v>
      </c>
      <c r="BA550" s="152" t="str">
        <f t="shared" si="38"/>
        <v>L22-681-JM135</v>
      </c>
      <c r="BB550" s="152">
        <v>0</v>
      </c>
      <c r="BC550" s="157">
        <v>44845</v>
      </c>
      <c r="BD550" s="157">
        <v>44845</v>
      </c>
      <c r="BE550" s="158">
        <v>74250</v>
      </c>
      <c r="BF550" s="152" t="s">
        <v>4403</v>
      </c>
      <c r="BG550" s="159" t="s">
        <v>856</v>
      </c>
      <c r="BH550" s="152">
        <v>49.5</v>
      </c>
      <c r="BI550" s="152">
        <v>0</v>
      </c>
      <c r="BJ550" s="152">
        <v>0</v>
      </c>
      <c r="BK550" s="152" t="s">
        <v>4184</v>
      </c>
      <c r="BL550" s="152">
        <v>49.5</v>
      </c>
      <c r="BM550" s="152">
        <v>900934</v>
      </c>
      <c r="BN550" s="157" t="s">
        <v>4100</v>
      </c>
    </row>
    <row r="551" spans="1:66">
      <c r="A551" s="152" t="s">
        <v>4404</v>
      </c>
      <c r="B551" s="152" t="s">
        <v>4405</v>
      </c>
      <c r="C551" s="152" t="s">
        <v>4406</v>
      </c>
      <c r="D551" s="152" t="s">
        <v>4407</v>
      </c>
      <c r="E551" s="152" t="s">
        <v>4408</v>
      </c>
      <c r="F551" s="152">
        <v>1353</v>
      </c>
      <c r="G551" s="152">
        <v>353</v>
      </c>
      <c r="H551" s="152" t="s">
        <v>1174</v>
      </c>
      <c r="I551" s="152">
        <v>197734</v>
      </c>
      <c r="J551" s="152">
        <v>101.03</v>
      </c>
      <c r="K551" s="152">
        <v>85347</v>
      </c>
      <c r="L551" s="152" t="s">
        <v>2244</v>
      </c>
      <c r="M551" s="152" t="s">
        <v>883</v>
      </c>
      <c r="N551" s="152" t="s">
        <v>92</v>
      </c>
      <c r="O551" s="152">
        <v>10339</v>
      </c>
      <c r="P551" s="152" t="s">
        <v>2244</v>
      </c>
      <c r="Q551" s="152" t="s">
        <v>883</v>
      </c>
      <c r="R551" s="152" t="s">
        <v>92</v>
      </c>
      <c r="S551" s="152">
        <v>10339</v>
      </c>
      <c r="T551" s="152" t="s">
        <v>856</v>
      </c>
      <c r="U551" s="152" t="s">
        <v>856</v>
      </c>
      <c r="V551" s="152" t="s">
        <v>3530</v>
      </c>
      <c r="W551" s="152" t="s">
        <v>858</v>
      </c>
      <c r="X551" s="152" t="s">
        <v>1083</v>
      </c>
      <c r="Y551" s="152">
        <v>61.06</v>
      </c>
      <c r="Z551" s="152">
        <v>1</v>
      </c>
      <c r="AA551" s="152" t="s">
        <v>92</v>
      </c>
      <c r="AB551" s="152">
        <v>73.19</v>
      </c>
      <c r="AC551" s="152">
        <v>1</v>
      </c>
      <c r="AD551" s="152" t="s">
        <v>861</v>
      </c>
      <c r="AE551" s="152">
        <v>73.19</v>
      </c>
      <c r="AF551" s="152">
        <v>0</v>
      </c>
      <c r="AG551" s="152" t="s">
        <v>861</v>
      </c>
      <c r="AH551" s="152" t="s">
        <v>861</v>
      </c>
      <c r="AI551" s="159" t="s">
        <v>92</v>
      </c>
      <c r="AJ551" s="152" t="s">
        <v>92</v>
      </c>
      <c r="AK551" s="152" t="s">
        <v>884</v>
      </c>
      <c r="AL551" s="152" t="s">
        <v>856</v>
      </c>
      <c r="AP551" s="152" t="s">
        <v>856</v>
      </c>
      <c r="AQ551" s="152" t="s">
        <v>856</v>
      </c>
      <c r="AR551" s="152" t="s">
        <v>1529</v>
      </c>
      <c r="AS551" s="159" t="s">
        <v>865</v>
      </c>
      <c r="AT551" s="152" t="str">
        <f t="shared" si="36"/>
        <v>VUNC6-060922</v>
      </c>
      <c r="AU551" s="152" t="str">
        <f t="shared" si="37"/>
        <v xml:space="preserve">JUAN JOSE CUY CHAJCHIC Y CONDUEÑA </v>
      </c>
      <c r="AV551" s="152">
        <v>857.43</v>
      </c>
      <c r="AW551" s="152">
        <v>904643</v>
      </c>
      <c r="AX551" s="152">
        <v>35</v>
      </c>
      <c r="AY551" s="152">
        <v>904646</v>
      </c>
      <c r="AZ551" s="152" t="s">
        <v>864</v>
      </c>
      <c r="BA551" s="152" t="str">
        <f t="shared" si="38"/>
        <v>L22-697-SP104</v>
      </c>
      <c r="BB551" s="152">
        <v>15</v>
      </c>
      <c r="BC551" s="157">
        <v>44858</v>
      </c>
      <c r="BD551" s="157">
        <v>44797</v>
      </c>
      <c r="BE551" s="158">
        <v>167751</v>
      </c>
      <c r="BF551" s="152" t="s">
        <v>4409</v>
      </c>
      <c r="BG551" s="152" t="s">
        <v>894</v>
      </c>
      <c r="BH551" s="152">
        <v>73.19</v>
      </c>
      <c r="BI551" s="152">
        <v>0</v>
      </c>
      <c r="BJ551" s="152">
        <v>0</v>
      </c>
      <c r="BK551" s="152" t="s">
        <v>132</v>
      </c>
      <c r="BL551" s="152">
        <v>73.19</v>
      </c>
      <c r="BM551" s="152">
        <v>904645</v>
      </c>
      <c r="BN551" s="157" t="s">
        <v>1453</v>
      </c>
    </row>
    <row r="552" spans="1:66">
      <c r="A552" s="152" t="s">
        <v>4411</v>
      </c>
      <c r="B552" s="152" t="s">
        <v>4412</v>
      </c>
      <c r="C552" s="152" t="s">
        <v>4413</v>
      </c>
      <c r="D552" s="152" t="s">
        <v>4414</v>
      </c>
      <c r="E552" s="152" t="s">
        <v>4415</v>
      </c>
      <c r="F552" s="152">
        <v>7227</v>
      </c>
      <c r="G552" s="152">
        <v>2287</v>
      </c>
      <c r="H552" s="152" t="s">
        <v>2039</v>
      </c>
      <c r="I552" s="152">
        <v>203737</v>
      </c>
      <c r="J552" s="152">
        <v>44.18</v>
      </c>
      <c r="K552" s="152">
        <v>90303</v>
      </c>
      <c r="L552" s="152" t="s">
        <v>856</v>
      </c>
      <c r="M552" s="152" t="s">
        <v>92</v>
      </c>
      <c r="N552" s="152" t="s">
        <v>92</v>
      </c>
      <c r="O552" s="152" t="s">
        <v>856</v>
      </c>
      <c r="P552" s="152" t="s">
        <v>856</v>
      </c>
      <c r="Q552" s="152" t="s">
        <v>92</v>
      </c>
      <c r="R552" s="152" t="s">
        <v>92</v>
      </c>
      <c r="S552" s="152" t="s">
        <v>856</v>
      </c>
      <c r="T552" s="152" t="s">
        <v>856</v>
      </c>
      <c r="U552" s="152" t="s">
        <v>856</v>
      </c>
      <c r="V552" s="152" t="s">
        <v>3530</v>
      </c>
      <c r="W552" s="152" t="s">
        <v>858</v>
      </c>
      <c r="X552" s="152" t="s">
        <v>1083</v>
      </c>
      <c r="Y552" s="152">
        <v>0</v>
      </c>
      <c r="Z552" s="152">
        <v>1</v>
      </c>
      <c r="AA552" s="152" t="s">
        <v>92</v>
      </c>
      <c r="AB552" s="152">
        <v>159.13</v>
      </c>
      <c r="AC552" s="152">
        <v>3</v>
      </c>
      <c r="AD552" s="152">
        <v>1</v>
      </c>
      <c r="AE552" s="152">
        <v>159.13</v>
      </c>
      <c r="AF552" s="152">
        <v>0</v>
      </c>
      <c r="AG552" s="152" t="s">
        <v>861</v>
      </c>
      <c r="AH552" s="152" t="s">
        <v>861</v>
      </c>
      <c r="AI552" s="152" t="s">
        <v>92</v>
      </c>
      <c r="AJ552" s="152" t="s">
        <v>92</v>
      </c>
      <c r="AK552" s="152" t="s">
        <v>884</v>
      </c>
      <c r="AL552" s="152" t="s">
        <v>856</v>
      </c>
      <c r="AP552" s="152" t="s">
        <v>856</v>
      </c>
      <c r="AQ552" s="152" t="s">
        <v>856</v>
      </c>
      <c r="AR552" s="152" t="s">
        <v>3846</v>
      </c>
      <c r="AS552" s="159" t="s">
        <v>865</v>
      </c>
      <c r="AT552" s="152" t="str">
        <f t="shared" si="36"/>
        <v>RPNL8-410722</v>
      </c>
      <c r="AU552" s="152" t="str">
        <f t="shared" si="37"/>
        <v>FELIZA CARMELINA RIXQUIACCHE SALANIC DE LOPEZ</v>
      </c>
      <c r="AV552" s="152">
        <v>2406.0500000000002</v>
      </c>
      <c r="AW552" s="152">
        <v>815278</v>
      </c>
      <c r="AX552" s="152">
        <v>30.9</v>
      </c>
      <c r="AY552" s="152">
        <v>815280</v>
      </c>
      <c r="AZ552" s="152" t="s">
        <v>864</v>
      </c>
      <c r="BA552" s="152" t="str">
        <f t="shared" si="38"/>
        <v>L22-753-AQ120</v>
      </c>
      <c r="BB552" s="152">
        <v>0</v>
      </c>
      <c r="BC552" s="157">
        <v>44842</v>
      </c>
      <c r="BD552" s="157">
        <v>44842</v>
      </c>
      <c r="BE552" s="158">
        <v>477390</v>
      </c>
      <c r="BF552" s="152" t="s">
        <v>4416</v>
      </c>
      <c r="BG552" s="152" t="s">
        <v>894</v>
      </c>
      <c r="BH552" s="152">
        <v>159.13</v>
      </c>
      <c r="BI552" s="152">
        <v>0</v>
      </c>
      <c r="BJ552" s="152">
        <v>0</v>
      </c>
      <c r="BK552" s="152" t="s">
        <v>132</v>
      </c>
      <c r="BL552" s="152">
        <v>159.13</v>
      </c>
      <c r="BM552" s="152">
        <v>815279</v>
      </c>
      <c r="BN552" s="157" t="s">
        <v>1453</v>
      </c>
    </row>
    <row r="553" spans="1:66">
      <c r="A553" s="152" t="s">
        <v>4417</v>
      </c>
      <c r="B553" s="152" t="s">
        <v>4418</v>
      </c>
      <c r="C553" s="152" t="s">
        <v>4419</v>
      </c>
      <c r="D553" s="152" t="s">
        <v>4420</v>
      </c>
      <c r="E553" s="152" t="s">
        <v>4420</v>
      </c>
      <c r="F553" s="152">
        <v>301910</v>
      </c>
      <c r="G553" s="152">
        <v>10</v>
      </c>
      <c r="H553" s="152">
        <v>724</v>
      </c>
      <c r="I553" s="152">
        <v>161696</v>
      </c>
      <c r="J553" s="152">
        <v>106.05</v>
      </c>
      <c r="K553" s="152">
        <v>59689</v>
      </c>
      <c r="L553" s="152" t="s">
        <v>856</v>
      </c>
      <c r="M553" s="152" t="s">
        <v>92</v>
      </c>
      <c r="N553" s="152" t="s">
        <v>92</v>
      </c>
      <c r="O553" s="152" t="s">
        <v>856</v>
      </c>
      <c r="P553" s="152" t="s">
        <v>856</v>
      </c>
      <c r="Q553" s="152" t="s">
        <v>92</v>
      </c>
      <c r="R553" s="152" t="s">
        <v>92</v>
      </c>
      <c r="S553" s="152" t="s">
        <v>856</v>
      </c>
      <c r="T553" s="152" t="s">
        <v>856</v>
      </c>
      <c r="U553" s="152" t="s">
        <v>856</v>
      </c>
      <c r="V553" s="152" t="s">
        <v>3530</v>
      </c>
      <c r="W553" s="152" t="s">
        <v>858</v>
      </c>
      <c r="X553" s="152" t="s">
        <v>1083</v>
      </c>
      <c r="Y553" s="152">
        <v>18.399999999999999</v>
      </c>
      <c r="Z553" s="152">
        <v>1</v>
      </c>
      <c r="AA553" s="152" t="s">
        <v>92</v>
      </c>
      <c r="AB553" s="152">
        <v>228.28</v>
      </c>
      <c r="AC553" s="152">
        <v>3</v>
      </c>
      <c r="AD553" s="152" t="s">
        <v>861</v>
      </c>
      <c r="AE553" s="152">
        <v>228.28</v>
      </c>
      <c r="AF553" s="152">
        <v>0</v>
      </c>
      <c r="AG553" s="152" t="s">
        <v>861</v>
      </c>
      <c r="AH553" s="152" t="s">
        <v>861</v>
      </c>
      <c r="AI553" s="152" t="s">
        <v>92</v>
      </c>
      <c r="AJ553" s="152" t="s">
        <v>92</v>
      </c>
      <c r="AK553" s="152" t="s">
        <v>884</v>
      </c>
      <c r="AL553" s="152" t="s">
        <v>856</v>
      </c>
      <c r="AP553" s="152" t="s">
        <v>856</v>
      </c>
      <c r="AQ553" s="152" t="s">
        <v>856</v>
      </c>
      <c r="AR553" s="152" t="s">
        <v>3846</v>
      </c>
      <c r="AS553" s="159" t="s">
        <v>865</v>
      </c>
      <c r="AT553" s="152" t="str">
        <f t="shared" si="36"/>
        <v>RPNN8-420822</v>
      </c>
      <c r="AU553" s="152" t="str">
        <f t="shared" si="37"/>
        <v xml:space="preserve">WANDA BRIGITTE NUFIO GALDAMEZ Y CONDUEÑO </v>
      </c>
      <c r="AV553" s="152">
        <v>3487.66</v>
      </c>
      <c r="AW553" s="152">
        <v>817578</v>
      </c>
      <c r="AX553" s="152">
        <v>35.5</v>
      </c>
      <c r="AY553" s="152">
        <v>817580</v>
      </c>
      <c r="AZ553" s="152" t="s">
        <v>864</v>
      </c>
      <c r="BA553" s="152" t="str">
        <f t="shared" si="38"/>
        <v>L22-750-AQ117</v>
      </c>
      <c r="BB553" s="152">
        <v>0</v>
      </c>
      <c r="BC553" s="157">
        <v>44869</v>
      </c>
      <c r="BD553" s="157">
        <v>44869</v>
      </c>
      <c r="BE553" s="158">
        <v>691280</v>
      </c>
      <c r="BF553" s="152" t="s">
        <v>4421</v>
      </c>
      <c r="BG553" s="152" t="s">
        <v>4275</v>
      </c>
      <c r="BH553" s="152">
        <v>228.28</v>
      </c>
      <c r="BI553" s="152">
        <v>0</v>
      </c>
      <c r="BJ553" s="152">
        <v>0</v>
      </c>
      <c r="BK553" s="152" t="s">
        <v>4184</v>
      </c>
      <c r="BL553" s="152">
        <v>228.28</v>
      </c>
      <c r="BM553" s="152">
        <v>817579</v>
      </c>
      <c r="BN553" s="157" t="s">
        <v>1453</v>
      </c>
    </row>
    <row r="554" spans="1:66">
      <c r="A554" s="152" t="s">
        <v>4422</v>
      </c>
      <c r="B554" s="152" t="s">
        <v>4423</v>
      </c>
      <c r="C554" s="152" t="s">
        <v>4424</v>
      </c>
      <c r="D554" s="152" t="s">
        <v>4425</v>
      </c>
      <c r="E554" s="152" t="s">
        <v>4425</v>
      </c>
      <c r="F554" s="152">
        <v>7427</v>
      </c>
      <c r="G554" s="152">
        <v>427</v>
      </c>
      <c r="H554" s="152" t="s">
        <v>2039</v>
      </c>
      <c r="I554" s="152">
        <v>203059</v>
      </c>
      <c r="J554" s="152">
        <v>137.81</v>
      </c>
      <c r="K554" s="152">
        <v>89764</v>
      </c>
      <c r="L554" s="152" t="s">
        <v>856</v>
      </c>
      <c r="M554" s="152" t="s">
        <v>92</v>
      </c>
      <c r="N554" s="152" t="s">
        <v>92</v>
      </c>
      <c r="O554" s="152" t="s">
        <v>856</v>
      </c>
      <c r="P554" s="152" t="s">
        <v>856</v>
      </c>
      <c r="Q554" s="152" t="s">
        <v>92</v>
      </c>
      <c r="R554" s="152" t="s">
        <v>92</v>
      </c>
      <c r="S554" s="152" t="s">
        <v>856</v>
      </c>
      <c r="T554" s="152" t="s">
        <v>856</v>
      </c>
      <c r="U554" s="152" t="s">
        <v>856</v>
      </c>
      <c r="V554" s="152" t="s">
        <v>3957</v>
      </c>
      <c r="W554" s="152" t="s">
        <v>858</v>
      </c>
      <c r="X554" s="152" t="s">
        <v>1083</v>
      </c>
      <c r="Y554" s="152">
        <v>74.900000000000006</v>
      </c>
      <c r="Z554" s="152">
        <v>1</v>
      </c>
      <c r="AA554" s="152" t="s">
        <v>92</v>
      </c>
      <c r="AB554" s="152">
        <v>62.7</v>
      </c>
      <c r="AC554" s="152">
        <v>1</v>
      </c>
      <c r="AD554" s="152" t="s">
        <v>861</v>
      </c>
      <c r="AE554" s="152">
        <v>62.7</v>
      </c>
      <c r="AF554" s="152">
        <v>0</v>
      </c>
      <c r="AG554" s="152" t="s">
        <v>861</v>
      </c>
      <c r="AH554" s="152" t="s">
        <v>861</v>
      </c>
      <c r="AI554" s="152" t="s">
        <v>92</v>
      </c>
      <c r="AJ554" s="152" t="s">
        <v>92</v>
      </c>
      <c r="AK554" s="152" t="s">
        <v>862</v>
      </c>
      <c r="AL554" s="152" t="s">
        <v>856</v>
      </c>
      <c r="AP554" s="152" t="s">
        <v>856</v>
      </c>
      <c r="AQ554" s="152" t="s">
        <v>856</v>
      </c>
      <c r="AR554" s="152" t="s">
        <v>863</v>
      </c>
      <c r="AS554" s="159" t="s">
        <v>865</v>
      </c>
      <c r="AT554" s="152" t="str">
        <f t="shared" si="36"/>
        <v>RPNC9-310822</v>
      </c>
      <c r="AU554" s="152" t="str">
        <f t="shared" si="37"/>
        <v xml:space="preserve">ONORIO ENEMIAS CASIMIRO CHAJ </v>
      </c>
      <c r="AV554" s="152">
        <v>872.06</v>
      </c>
      <c r="AW554" s="152">
        <v>815502</v>
      </c>
      <c r="AX554" s="152">
        <v>58.75</v>
      </c>
      <c r="AY554" s="152">
        <v>815504</v>
      </c>
      <c r="AZ554" s="152" t="s">
        <v>864</v>
      </c>
      <c r="BA554" s="152" t="str">
        <f t="shared" si="38"/>
        <v>L22-775-SP177</v>
      </c>
      <c r="BB554" s="152">
        <v>0</v>
      </c>
      <c r="BC554" s="157">
        <v>44875</v>
      </c>
      <c r="BD554" s="157">
        <v>44875</v>
      </c>
      <c r="BE554" s="158">
        <v>154723</v>
      </c>
      <c r="BF554" s="152" t="s">
        <v>4426</v>
      </c>
      <c r="BG554" s="152" t="s">
        <v>894</v>
      </c>
      <c r="BH554" s="152">
        <v>62.7</v>
      </c>
      <c r="BI554" s="152">
        <v>0</v>
      </c>
      <c r="BJ554" s="152">
        <v>0</v>
      </c>
      <c r="BK554" s="152" t="s">
        <v>132</v>
      </c>
      <c r="BL554" s="152">
        <v>62.7</v>
      </c>
      <c r="BM554" s="152">
        <v>815503</v>
      </c>
      <c r="BN554" s="157" t="s">
        <v>4100</v>
      </c>
    </row>
    <row r="555" spans="1:66">
      <c r="A555" s="152" t="s">
        <v>4427</v>
      </c>
      <c r="B555" s="152" t="s">
        <v>4428</v>
      </c>
      <c r="C555" s="152" t="s">
        <v>4429</v>
      </c>
      <c r="D555" s="152" t="s">
        <v>4430</v>
      </c>
      <c r="E555" s="152" t="s">
        <v>4431</v>
      </c>
      <c r="F555" s="152">
        <v>5500</v>
      </c>
      <c r="G555" s="152">
        <v>500</v>
      </c>
      <c r="H555" s="152">
        <v>211</v>
      </c>
      <c r="I555" s="152">
        <v>203263</v>
      </c>
      <c r="J555" s="152">
        <v>30.25</v>
      </c>
      <c r="K555" s="152">
        <v>89946</v>
      </c>
      <c r="L555" s="152" t="s">
        <v>856</v>
      </c>
      <c r="M555" s="152" t="s">
        <v>92</v>
      </c>
      <c r="N555" s="152" t="s">
        <v>92</v>
      </c>
      <c r="O555" s="164" t="s">
        <v>856</v>
      </c>
      <c r="P555" s="164" t="s">
        <v>856</v>
      </c>
      <c r="Q555" s="152" t="s">
        <v>92</v>
      </c>
      <c r="R555" s="152" t="s">
        <v>92</v>
      </c>
      <c r="S555" s="164" t="s">
        <v>856</v>
      </c>
      <c r="T555" s="164" t="s">
        <v>856</v>
      </c>
      <c r="U555" s="164" t="s">
        <v>856</v>
      </c>
      <c r="V555" s="152" t="s">
        <v>3624</v>
      </c>
      <c r="W555" s="152" t="s">
        <v>858</v>
      </c>
      <c r="X555" s="152" t="s">
        <v>1083</v>
      </c>
      <c r="Y555" s="152">
        <v>0</v>
      </c>
      <c r="Z555" s="152">
        <v>1</v>
      </c>
      <c r="AA555" s="152" t="s">
        <v>92</v>
      </c>
      <c r="AB555" s="152">
        <v>90.75</v>
      </c>
      <c r="AC555" s="152">
        <v>3</v>
      </c>
      <c r="AD555" s="152" t="s">
        <v>861</v>
      </c>
      <c r="AE555" s="152">
        <v>90.75</v>
      </c>
      <c r="AF555" s="152">
        <v>0</v>
      </c>
      <c r="AG555" s="152" t="s">
        <v>861</v>
      </c>
      <c r="AH555" s="152" t="s">
        <v>861</v>
      </c>
      <c r="AI555" s="152" t="s">
        <v>92</v>
      </c>
      <c r="AJ555" s="152" t="s">
        <v>92</v>
      </c>
      <c r="AK555" s="152" t="s">
        <v>884</v>
      </c>
      <c r="AL555" s="152" t="s">
        <v>856</v>
      </c>
      <c r="AP555" s="152" t="s">
        <v>856</v>
      </c>
      <c r="AQ555" s="152" t="s">
        <v>856</v>
      </c>
      <c r="AR555" s="152" t="s">
        <v>3821</v>
      </c>
      <c r="AS555" s="159" t="s">
        <v>865</v>
      </c>
      <c r="AT555" s="152" t="str">
        <f t="shared" si="36"/>
        <v>RPNT1-340822</v>
      </c>
      <c r="AU555" s="152" t="str">
        <f t="shared" si="37"/>
        <v xml:space="preserve">CLAUDIA BARBARA MARCELA TEPE MEJIA </v>
      </c>
      <c r="AV555" s="152">
        <v>1372.14</v>
      </c>
      <c r="AW555" s="152">
        <v>815890</v>
      </c>
      <c r="AX555" s="159" t="s">
        <v>856</v>
      </c>
      <c r="AY555" s="159" t="s">
        <v>856</v>
      </c>
      <c r="AZ555" s="152" t="s">
        <v>864</v>
      </c>
      <c r="BA555" s="152" t="str">
        <f t="shared" si="38"/>
        <v>L23-796-JM160</v>
      </c>
      <c r="BB555" s="152">
        <v>0</v>
      </c>
      <c r="BC555" s="157">
        <v>44886</v>
      </c>
      <c r="BD555" s="157">
        <v>44886</v>
      </c>
      <c r="BE555" s="158">
        <v>272250</v>
      </c>
      <c r="BF555" s="152" t="s">
        <v>4432</v>
      </c>
      <c r="BG555" s="152" t="s">
        <v>894</v>
      </c>
      <c r="BH555" s="152">
        <v>90.75</v>
      </c>
      <c r="BI555" s="152">
        <v>0</v>
      </c>
      <c r="BJ555" s="152">
        <v>0</v>
      </c>
      <c r="BK555" s="152" t="s">
        <v>132</v>
      </c>
      <c r="BL555" s="152">
        <v>90.75</v>
      </c>
      <c r="BM555" s="152">
        <v>815891</v>
      </c>
      <c r="BN555" s="157" t="s">
        <v>1453</v>
      </c>
    </row>
    <row r="556" spans="1:66">
      <c r="A556" s="152" t="s">
        <v>4433</v>
      </c>
      <c r="B556" s="152" t="s">
        <v>4434</v>
      </c>
      <c r="C556" s="152" t="s">
        <v>4435</v>
      </c>
      <c r="D556" s="152" t="s">
        <v>4436</v>
      </c>
      <c r="E556" s="152" t="s">
        <v>4437</v>
      </c>
      <c r="F556" s="152">
        <v>2619</v>
      </c>
      <c r="G556" s="152">
        <v>119</v>
      </c>
      <c r="H556" s="152" t="s">
        <v>4438</v>
      </c>
      <c r="I556" s="152">
        <v>203553</v>
      </c>
      <c r="J556" s="152">
        <v>116.37</v>
      </c>
      <c r="K556" s="152">
        <v>90140</v>
      </c>
      <c r="L556" s="152" t="s">
        <v>856</v>
      </c>
      <c r="M556" s="152" t="s">
        <v>92</v>
      </c>
      <c r="N556" s="152" t="s">
        <v>92</v>
      </c>
      <c r="O556" s="164" t="s">
        <v>856</v>
      </c>
      <c r="P556" s="164" t="s">
        <v>856</v>
      </c>
      <c r="Q556" s="152" t="s">
        <v>92</v>
      </c>
      <c r="R556" s="152" t="s">
        <v>92</v>
      </c>
      <c r="S556" s="164" t="s">
        <v>856</v>
      </c>
      <c r="T556" s="164" t="s">
        <v>856</v>
      </c>
      <c r="U556" s="164" t="s">
        <v>856</v>
      </c>
      <c r="V556" s="152" t="s">
        <v>3530</v>
      </c>
      <c r="W556" s="152" t="s">
        <v>858</v>
      </c>
      <c r="X556" s="152" t="s">
        <v>1083</v>
      </c>
      <c r="Y556" s="152">
        <v>41.41</v>
      </c>
      <c r="Z556" s="152">
        <v>1</v>
      </c>
      <c r="AA556" s="152" t="s">
        <v>92</v>
      </c>
      <c r="AB556" s="152">
        <v>57.58</v>
      </c>
      <c r="AC556" s="152">
        <v>1</v>
      </c>
      <c r="AD556" s="152" t="s">
        <v>861</v>
      </c>
      <c r="AE556" s="152">
        <v>57.58</v>
      </c>
      <c r="AF556" s="152">
        <v>0</v>
      </c>
      <c r="AG556" s="152" t="s">
        <v>861</v>
      </c>
      <c r="AH556" s="152" t="s">
        <v>861</v>
      </c>
      <c r="AI556" s="152" t="s">
        <v>92</v>
      </c>
      <c r="AJ556" s="152" t="s">
        <v>92</v>
      </c>
      <c r="AK556" s="152" t="s">
        <v>972</v>
      </c>
      <c r="AL556" s="152" t="s">
        <v>856</v>
      </c>
      <c r="AP556" s="152" t="s">
        <v>856</v>
      </c>
      <c r="AQ556" s="152" t="s">
        <v>856</v>
      </c>
      <c r="AR556" s="152" t="s">
        <v>1529</v>
      </c>
      <c r="AS556" s="159" t="s">
        <v>865</v>
      </c>
      <c r="AT556" s="152" t="str">
        <f t="shared" si="36"/>
        <v>RPNJ2-110822</v>
      </c>
      <c r="AU556" s="152" t="str">
        <f t="shared" si="37"/>
        <v>BYRON MANOLO JORGE AJIATAZ</v>
      </c>
      <c r="AV556" s="152">
        <v>661.57</v>
      </c>
      <c r="AW556" s="152">
        <v>816665</v>
      </c>
      <c r="AX556" s="152">
        <v>26.7</v>
      </c>
      <c r="AY556" s="152">
        <v>816667</v>
      </c>
      <c r="AZ556" s="152" t="s">
        <v>864</v>
      </c>
      <c r="BA556" s="152" t="str">
        <f t="shared" si="38"/>
        <v>L22-801-SP181</v>
      </c>
      <c r="BB556" s="152">
        <v>0</v>
      </c>
      <c r="BC556" s="157">
        <v>373605</v>
      </c>
      <c r="BD556" s="157">
        <v>44887</v>
      </c>
      <c r="BE556" s="158">
        <v>129653.5</v>
      </c>
      <c r="BF556" s="152" t="s">
        <v>4439</v>
      </c>
      <c r="BG556" s="152" t="s">
        <v>894</v>
      </c>
      <c r="BH556" s="152">
        <v>57.58</v>
      </c>
      <c r="BI556" s="152">
        <v>0</v>
      </c>
      <c r="BJ556" s="152">
        <v>0</v>
      </c>
      <c r="BK556" s="152" t="s">
        <v>132</v>
      </c>
      <c r="BL556" s="152">
        <v>57.85</v>
      </c>
      <c r="BM556" s="152">
        <v>816666</v>
      </c>
      <c r="BN556" s="157" t="s">
        <v>1453</v>
      </c>
    </row>
    <row r="557" spans="1:66" s="165" customFormat="1">
      <c r="A557" s="165" t="s">
        <v>4440</v>
      </c>
      <c r="B557" s="165" t="s">
        <v>4441</v>
      </c>
      <c r="C557" s="165" t="s">
        <v>4442</v>
      </c>
      <c r="D557" s="165" t="s">
        <v>4443</v>
      </c>
      <c r="E557" s="165" t="s">
        <v>4443</v>
      </c>
      <c r="F557" s="165">
        <v>268205</v>
      </c>
      <c r="G557" s="165">
        <v>122</v>
      </c>
      <c r="H557" s="165">
        <v>613</v>
      </c>
      <c r="I557" s="165">
        <v>154343</v>
      </c>
      <c r="J557" s="165">
        <v>108.68</v>
      </c>
      <c r="K557" s="165">
        <v>51574</v>
      </c>
      <c r="L557" s="165" t="s">
        <v>856</v>
      </c>
      <c r="M557" s="165" t="s">
        <v>92</v>
      </c>
      <c r="N557" s="165" t="s">
        <v>92</v>
      </c>
      <c r="O557" s="166" t="s">
        <v>856</v>
      </c>
      <c r="P557" s="166" t="s">
        <v>856</v>
      </c>
      <c r="Q557" s="165" t="s">
        <v>92</v>
      </c>
      <c r="R557" s="165" t="s">
        <v>92</v>
      </c>
      <c r="S557" s="166" t="s">
        <v>856</v>
      </c>
      <c r="T557" s="166" t="s">
        <v>856</v>
      </c>
      <c r="U557" s="166" t="s">
        <v>856</v>
      </c>
      <c r="V557" s="165" t="s">
        <v>3530</v>
      </c>
      <c r="W557" s="165" t="s">
        <v>858</v>
      </c>
      <c r="X557" s="165" t="s">
        <v>1083</v>
      </c>
      <c r="Y557" s="165">
        <v>9</v>
      </c>
      <c r="Z557" s="165">
        <v>1</v>
      </c>
      <c r="AA557" s="165" t="s">
        <v>92</v>
      </c>
      <c r="AB557" s="165">
        <v>216.12</v>
      </c>
      <c r="AC557" s="165">
        <v>3</v>
      </c>
      <c r="AD557" s="165" t="s">
        <v>861</v>
      </c>
      <c r="AE557" s="165">
        <v>216.12</v>
      </c>
      <c r="AF557" s="165">
        <v>0</v>
      </c>
      <c r="AG557" s="165" t="s">
        <v>861</v>
      </c>
      <c r="AH557" s="165" t="s">
        <v>861</v>
      </c>
      <c r="AI557" s="165" t="s">
        <v>92</v>
      </c>
      <c r="AJ557" s="165" t="s">
        <v>92</v>
      </c>
      <c r="AK557" s="165" t="s">
        <v>862</v>
      </c>
      <c r="AL557" s="165" t="s">
        <v>856</v>
      </c>
      <c r="AP557" s="165" t="s">
        <v>856</v>
      </c>
      <c r="AQ557" s="165" t="s">
        <v>856</v>
      </c>
      <c r="AR557" s="165" t="s">
        <v>4042</v>
      </c>
      <c r="AS557" s="167" t="s">
        <v>865</v>
      </c>
      <c r="AT557" s="165" t="str">
        <f t="shared" si="36"/>
        <v>RPNJ1-370722</v>
      </c>
      <c r="AU557" s="165" t="str">
        <f t="shared" si="37"/>
        <v>BERTA JIGUAN RAMIREZ</v>
      </c>
      <c r="AV557" s="165">
        <v>3267.73</v>
      </c>
      <c r="AW557" s="165">
        <v>816355</v>
      </c>
      <c r="AX557" s="165">
        <v>108.8</v>
      </c>
      <c r="AY557" s="165">
        <v>816357</v>
      </c>
      <c r="AZ557" s="165" t="s">
        <v>864</v>
      </c>
      <c r="BA557" s="165" t="str">
        <f t="shared" si="38"/>
        <v>L22-774-JM166</v>
      </c>
      <c r="BB557" s="165">
        <v>0</v>
      </c>
      <c r="BC557" s="168">
        <v>44880</v>
      </c>
      <c r="BD557" s="168">
        <v>44880</v>
      </c>
      <c r="BE557" s="169">
        <v>648360</v>
      </c>
      <c r="BF557" s="165" t="s">
        <v>4444</v>
      </c>
      <c r="BG557" s="165" t="s">
        <v>894</v>
      </c>
      <c r="BH557" s="165">
        <v>216.12</v>
      </c>
      <c r="BI557" s="165">
        <v>0</v>
      </c>
      <c r="BJ557" s="165">
        <v>0</v>
      </c>
      <c r="BK557" s="165" t="s">
        <v>132</v>
      </c>
      <c r="BL557" s="165">
        <v>216.12</v>
      </c>
      <c r="BM557" s="165">
        <v>816356</v>
      </c>
      <c r="BN557" s="168" t="s">
        <v>1453</v>
      </c>
    </row>
    <row r="558" spans="1:66">
      <c r="A558" s="152" t="s">
        <v>4445</v>
      </c>
      <c r="B558" s="152" t="s">
        <v>4446</v>
      </c>
      <c r="C558" s="152" t="s">
        <v>4447</v>
      </c>
      <c r="D558" s="152" t="s">
        <v>4448</v>
      </c>
      <c r="E558" s="152" t="s">
        <v>4449</v>
      </c>
      <c r="F558" s="152">
        <v>288620</v>
      </c>
      <c r="G558" s="152">
        <v>130</v>
      </c>
      <c r="H558" s="152">
        <v>679</v>
      </c>
      <c r="I558" s="152">
        <v>201927</v>
      </c>
      <c r="J558" s="152">
        <v>55.44</v>
      </c>
      <c r="K558" s="152">
        <v>88856</v>
      </c>
      <c r="L558" s="152" t="s">
        <v>1175</v>
      </c>
      <c r="M558" s="152" t="s">
        <v>883</v>
      </c>
      <c r="N558" s="152" t="s">
        <v>92</v>
      </c>
      <c r="O558" s="152">
        <v>9716</v>
      </c>
      <c r="P558" s="152" t="s">
        <v>1175</v>
      </c>
      <c r="Q558" s="152" t="s">
        <v>883</v>
      </c>
      <c r="R558" s="152" t="s">
        <v>92</v>
      </c>
      <c r="S558" s="152">
        <v>9716</v>
      </c>
      <c r="T558" s="164" t="s">
        <v>856</v>
      </c>
      <c r="U558" s="164" t="s">
        <v>856</v>
      </c>
      <c r="V558" s="152" t="s">
        <v>1550</v>
      </c>
      <c r="W558" s="152" t="s">
        <v>858</v>
      </c>
      <c r="X558" s="152" t="s">
        <v>1083</v>
      </c>
      <c r="Y558" s="152">
        <v>0</v>
      </c>
      <c r="Z558" s="152">
        <v>1</v>
      </c>
      <c r="AA558" s="152" t="s">
        <v>92</v>
      </c>
      <c r="AB558" s="152">
        <v>35.630000000000003</v>
      </c>
      <c r="AC558" s="152">
        <v>1</v>
      </c>
      <c r="AD558" s="152" t="s">
        <v>861</v>
      </c>
      <c r="AE558" s="152">
        <v>35.630000000000003</v>
      </c>
      <c r="AF558" s="152">
        <v>0</v>
      </c>
      <c r="AG558" s="152" t="s">
        <v>861</v>
      </c>
      <c r="AH558" s="152" t="s">
        <v>861</v>
      </c>
      <c r="AI558" s="152" t="s">
        <v>92</v>
      </c>
      <c r="AJ558" s="152" t="s">
        <v>92</v>
      </c>
      <c r="AK558" s="152" t="s">
        <v>884</v>
      </c>
      <c r="AL558" s="152" t="s">
        <v>856</v>
      </c>
      <c r="AP558" s="152" t="s">
        <v>856</v>
      </c>
      <c r="AQ558" s="152" t="s">
        <v>856</v>
      </c>
      <c r="AR558" s="152" t="s">
        <v>863</v>
      </c>
      <c r="AS558" s="159" t="s">
        <v>865</v>
      </c>
      <c r="AT558" s="152" t="str">
        <f t="shared" si="36"/>
        <v>VUNL1-020822</v>
      </c>
      <c r="AU558" s="152" t="str">
        <f t="shared" si="37"/>
        <v xml:space="preserve">LUZ EMILIA MENDEZ MONTEROS DE LOPEZ </v>
      </c>
      <c r="AV558" s="152">
        <v>359.15</v>
      </c>
      <c r="AW558" s="152">
        <v>816289</v>
      </c>
      <c r="AX558" s="152">
        <v>20</v>
      </c>
      <c r="AY558" s="152">
        <v>816292</v>
      </c>
      <c r="AZ558" s="152" t="s">
        <v>864</v>
      </c>
      <c r="BA558" s="152" t="str">
        <f t="shared" si="38"/>
        <v>L22-770-JM158</v>
      </c>
      <c r="BB558" s="152">
        <v>15</v>
      </c>
      <c r="BC558" s="157">
        <v>44879</v>
      </c>
      <c r="BD558" s="157">
        <v>44818</v>
      </c>
      <c r="BE558" s="158">
        <v>71260</v>
      </c>
      <c r="BF558" s="152" t="s">
        <v>4450</v>
      </c>
      <c r="BG558" s="159" t="s">
        <v>856</v>
      </c>
      <c r="BH558" s="152">
        <v>35.630000000000003</v>
      </c>
      <c r="BI558" s="152">
        <v>0</v>
      </c>
      <c r="BJ558" s="152">
        <v>0</v>
      </c>
      <c r="BK558" s="152" t="s">
        <v>132</v>
      </c>
      <c r="BL558" s="152">
        <v>35.630000000000003</v>
      </c>
      <c r="BM558" s="152">
        <v>816291</v>
      </c>
      <c r="BN558" s="157" t="s">
        <v>1453</v>
      </c>
    </row>
    <row r="559" spans="1:66">
      <c r="A559" s="152" t="s">
        <v>4451</v>
      </c>
      <c r="B559" s="152" t="s">
        <v>4452</v>
      </c>
      <c r="C559" s="152" t="s">
        <v>4453</v>
      </c>
      <c r="D559" s="152" t="s">
        <v>4454</v>
      </c>
      <c r="E559" s="152" t="s">
        <v>4455</v>
      </c>
      <c r="F559" s="152">
        <v>2826</v>
      </c>
      <c r="G559" s="152">
        <v>326</v>
      </c>
      <c r="H559" s="152" t="s">
        <v>4456</v>
      </c>
      <c r="I559" s="152">
        <v>203015</v>
      </c>
      <c r="J559" s="152">
        <v>122.5</v>
      </c>
      <c r="K559" s="152">
        <v>89727</v>
      </c>
      <c r="L559" s="152" t="s">
        <v>856</v>
      </c>
      <c r="M559" s="152" t="s">
        <v>92</v>
      </c>
      <c r="N559" s="152" t="s">
        <v>92</v>
      </c>
      <c r="O559" s="164" t="s">
        <v>856</v>
      </c>
      <c r="P559" s="164" t="s">
        <v>856</v>
      </c>
      <c r="Q559" s="152" t="s">
        <v>92</v>
      </c>
      <c r="R559" s="152" t="s">
        <v>92</v>
      </c>
      <c r="S559" s="164" t="s">
        <v>856</v>
      </c>
      <c r="T559" s="164" t="s">
        <v>856</v>
      </c>
      <c r="U559" s="164" t="s">
        <v>856</v>
      </c>
      <c r="V559" s="152" t="s">
        <v>3530</v>
      </c>
      <c r="W559" s="152" t="s">
        <v>858</v>
      </c>
      <c r="X559" s="152" t="s">
        <v>1083</v>
      </c>
      <c r="Y559" s="152">
        <v>36.380000000000003</v>
      </c>
      <c r="Z559" s="152">
        <v>1</v>
      </c>
      <c r="AA559" s="152" t="s">
        <v>92</v>
      </c>
      <c r="AB559" s="152">
        <v>84.07</v>
      </c>
      <c r="AC559" s="152">
        <v>1</v>
      </c>
      <c r="AD559" s="152" t="s">
        <v>861</v>
      </c>
      <c r="AE559" s="152">
        <v>84.07</v>
      </c>
      <c r="AF559" s="152">
        <v>0</v>
      </c>
      <c r="AG559" s="152" t="s">
        <v>861</v>
      </c>
      <c r="AH559" s="152" t="s">
        <v>861</v>
      </c>
      <c r="AI559" s="152" t="s">
        <v>92</v>
      </c>
      <c r="AJ559" s="152" t="s">
        <v>92</v>
      </c>
      <c r="AK559" s="152" t="s">
        <v>884</v>
      </c>
      <c r="AL559" s="152" t="s">
        <v>856</v>
      </c>
      <c r="AP559" s="152" t="s">
        <v>856</v>
      </c>
      <c r="AQ559" s="152" t="s">
        <v>856</v>
      </c>
      <c r="AR559" s="152" t="s">
        <v>1953</v>
      </c>
      <c r="AS559" s="159" t="s">
        <v>865</v>
      </c>
      <c r="AT559" s="152" t="str">
        <f t="shared" si="36"/>
        <v>RPNV9-220522</v>
      </c>
      <c r="AU559" s="152" t="str">
        <f t="shared" si="37"/>
        <v>EDINHIO LISARDO VASQUEZ MENDOZA</v>
      </c>
      <c r="AV559" s="152">
        <v>686.66</v>
      </c>
      <c r="AW559" s="152">
        <v>901274</v>
      </c>
      <c r="AX559" s="159" t="s">
        <v>856</v>
      </c>
      <c r="AY559" s="159" t="s">
        <v>856</v>
      </c>
      <c r="AZ559" s="152" t="s">
        <v>864</v>
      </c>
      <c r="BA559" s="152" t="str">
        <f t="shared" si="38"/>
        <v>L22-694-SP184</v>
      </c>
      <c r="BB559" s="152">
        <v>0</v>
      </c>
      <c r="BC559" s="157">
        <v>44858</v>
      </c>
      <c r="BD559" s="157">
        <v>44858</v>
      </c>
      <c r="BE559" s="158">
        <v>140518</v>
      </c>
      <c r="BF559" s="152" t="s">
        <v>4457</v>
      </c>
      <c r="BG559" s="152" t="s">
        <v>894</v>
      </c>
      <c r="BH559" s="152">
        <v>84.07</v>
      </c>
      <c r="BI559" s="152">
        <v>0</v>
      </c>
      <c r="BJ559" s="152">
        <v>0</v>
      </c>
      <c r="BK559" s="152" t="s">
        <v>132</v>
      </c>
      <c r="BL559" s="152">
        <v>84.07</v>
      </c>
      <c r="BM559" s="152">
        <v>901275</v>
      </c>
      <c r="BN559" s="157" t="s">
        <v>1453</v>
      </c>
    </row>
    <row r="560" spans="1:66">
      <c r="A560" s="152" t="s">
        <v>4458</v>
      </c>
      <c r="B560" s="152" t="s">
        <v>4459</v>
      </c>
      <c r="C560" s="152" t="s">
        <v>4460</v>
      </c>
      <c r="D560" s="152" t="s">
        <v>4461</v>
      </c>
      <c r="E560" s="152" t="s">
        <v>4461</v>
      </c>
      <c r="F560" s="152">
        <v>6185</v>
      </c>
      <c r="G560" s="152">
        <v>185</v>
      </c>
      <c r="H560" s="152" t="s">
        <v>4462</v>
      </c>
      <c r="I560" s="152">
        <v>203273</v>
      </c>
      <c r="J560" s="152">
        <v>307.57</v>
      </c>
      <c r="K560" s="152">
        <v>89956</v>
      </c>
      <c r="L560" s="152" t="s">
        <v>856</v>
      </c>
      <c r="M560" s="152" t="s">
        <v>92</v>
      </c>
      <c r="N560" s="152" t="s">
        <v>92</v>
      </c>
      <c r="O560" s="164" t="s">
        <v>856</v>
      </c>
      <c r="P560" s="164" t="s">
        <v>856</v>
      </c>
      <c r="Q560" s="152" t="s">
        <v>92</v>
      </c>
      <c r="R560" s="152" t="s">
        <v>92</v>
      </c>
      <c r="S560" s="164" t="s">
        <v>856</v>
      </c>
      <c r="T560" s="164" t="s">
        <v>856</v>
      </c>
      <c r="U560" s="164" t="s">
        <v>856</v>
      </c>
      <c r="V560" s="152" t="s">
        <v>3957</v>
      </c>
      <c r="W560" s="152" t="s">
        <v>858</v>
      </c>
      <c r="X560" s="152" t="s">
        <v>1083</v>
      </c>
      <c r="Y560" s="152">
        <v>74.88</v>
      </c>
      <c r="Z560" s="152">
        <v>1</v>
      </c>
      <c r="AA560" s="152" t="s">
        <v>92</v>
      </c>
      <c r="AB560" s="152">
        <v>191.46</v>
      </c>
      <c r="AC560" s="152">
        <v>2</v>
      </c>
      <c r="AD560" s="152" t="s">
        <v>861</v>
      </c>
      <c r="AE560" s="152">
        <v>191.46</v>
      </c>
      <c r="AF560" s="152">
        <v>0</v>
      </c>
      <c r="AG560" s="152" t="s">
        <v>861</v>
      </c>
      <c r="AH560" s="152" t="s">
        <v>861</v>
      </c>
      <c r="AI560" s="152" t="s">
        <v>92</v>
      </c>
      <c r="AJ560" s="152" t="s">
        <v>92</v>
      </c>
      <c r="AK560" s="152" t="s">
        <v>972</v>
      </c>
      <c r="AL560" s="152" t="s">
        <v>856</v>
      </c>
      <c r="AP560" s="152" t="s">
        <v>856</v>
      </c>
      <c r="AQ560" s="152" t="s">
        <v>856</v>
      </c>
      <c r="AR560" s="152" t="s">
        <v>863</v>
      </c>
      <c r="AS560" s="159" t="s">
        <v>865</v>
      </c>
      <c r="AT560" s="152" t="str">
        <f t="shared" si="36"/>
        <v>RPND5-560822</v>
      </c>
      <c r="AU560" s="152" t="str">
        <f t="shared" si="37"/>
        <v xml:space="preserve">PAOLA MERCEDES DE LEON </v>
      </c>
      <c r="AV560" s="152">
        <v>2559.16</v>
      </c>
      <c r="AW560" s="152">
        <v>902253</v>
      </c>
      <c r="AX560" s="152">
        <v>46.6</v>
      </c>
      <c r="AY560" s="152">
        <v>902255</v>
      </c>
      <c r="AZ560" s="152" t="s">
        <v>864</v>
      </c>
      <c r="BA560" s="152" t="str">
        <f t="shared" si="38"/>
        <v>L22-916-JM149</v>
      </c>
      <c r="BB560" s="152">
        <v>0</v>
      </c>
      <c r="BC560" s="157">
        <v>44859</v>
      </c>
      <c r="BD560" s="157">
        <v>44859</v>
      </c>
      <c r="BE560" s="158">
        <v>504858</v>
      </c>
      <c r="BF560" s="152" t="s">
        <v>4463</v>
      </c>
      <c r="BG560" s="152" t="s">
        <v>4243</v>
      </c>
      <c r="BH560" s="152">
        <v>191.46</v>
      </c>
      <c r="BI560" s="152">
        <v>0</v>
      </c>
      <c r="BJ560" s="152">
        <v>0</v>
      </c>
      <c r="BK560" s="152" t="s">
        <v>132</v>
      </c>
      <c r="BL560" s="152">
        <v>191.46</v>
      </c>
      <c r="BM560" s="152">
        <v>902254</v>
      </c>
      <c r="BN560" s="157" t="s">
        <v>1453</v>
      </c>
    </row>
    <row r="561" spans="1:66">
      <c r="A561" s="152" t="s">
        <v>4464</v>
      </c>
      <c r="B561" s="152" t="s">
        <v>4465</v>
      </c>
      <c r="C561" s="152" t="s">
        <v>4466</v>
      </c>
      <c r="D561" s="152" t="s">
        <v>4467</v>
      </c>
      <c r="E561" s="152" t="s">
        <v>3939</v>
      </c>
      <c r="F561" s="152">
        <v>95020</v>
      </c>
      <c r="G561" s="152">
        <v>88</v>
      </c>
      <c r="H561" s="152">
        <v>380</v>
      </c>
      <c r="I561" s="152">
        <v>202072</v>
      </c>
      <c r="J561" s="152">
        <v>76.58</v>
      </c>
      <c r="K561" s="152">
        <v>88979</v>
      </c>
      <c r="L561" s="152" t="s">
        <v>1508</v>
      </c>
      <c r="M561" s="152" t="s">
        <v>883</v>
      </c>
      <c r="N561" s="152" t="s">
        <v>92</v>
      </c>
      <c r="O561" s="152">
        <v>11147</v>
      </c>
      <c r="P561" s="152" t="s">
        <v>1508</v>
      </c>
      <c r="Q561" s="152" t="s">
        <v>883</v>
      </c>
      <c r="R561" s="152" t="s">
        <v>92</v>
      </c>
      <c r="S561" s="152">
        <v>11147</v>
      </c>
      <c r="T561" s="164" t="s">
        <v>856</v>
      </c>
      <c r="U561" s="164" t="s">
        <v>856</v>
      </c>
      <c r="V561" s="152" t="s">
        <v>3957</v>
      </c>
      <c r="W561" s="152" t="s">
        <v>858</v>
      </c>
      <c r="X561" s="152" t="s">
        <v>1083</v>
      </c>
      <c r="Y561" s="152">
        <v>15.09</v>
      </c>
      <c r="Z561" s="152">
        <v>1</v>
      </c>
      <c r="AA561" s="152" t="s">
        <v>92</v>
      </c>
      <c r="AB561" s="152">
        <v>59.67</v>
      </c>
      <c r="AC561" s="152">
        <v>1</v>
      </c>
      <c r="AD561" s="152" t="s">
        <v>861</v>
      </c>
      <c r="AE561" s="152">
        <v>59.67</v>
      </c>
      <c r="AF561" s="152">
        <v>0</v>
      </c>
      <c r="AG561" s="152" t="s">
        <v>861</v>
      </c>
      <c r="AH561" s="152" t="s">
        <v>861</v>
      </c>
      <c r="AI561" s="152" t="s">
        <v>92</v>
      </c>
      <c r="AJ561" s="152" t="s">
        <v>92</v>
      </c>
      <c r="AK561" s="152" t="s">
        <v>912</v>
      </c>
      <c r="AL561" s="152" t="s">
        <v>856</v>
      </c>
      <c r="AP561" s="152" t="s">
        <v>856</v>
      </c>
      <c r="AQ561" s="152" t="s">
        <v>856</v>
      </c>
      <c r="AR561" s="152" t="s">
        <v>992</v>
      </c>
      <c r="AS561" s="159" t="s">
        <v>865</v>
      </c>
      <c r="AT561" s="152" t="str">
        <f t="shared" si="36"/>
        <v>VUNA6-020722</v>
      </c>
      <c r="AU561" s="152" t="str">
        <f t="shared" si="37"/>
        <v>BRENDA JOHANNA ALVARADO BAMACA</v>
      </c>
      <c r="AV561" s="152">
        <v>631.04999999999995</v>
      </c>
      <c r="AW561" s="152">
        <v>904881</v>
      </c>
      <c r="AX561" s="152">
        <v>77.55</v>
      </c>
      <c r="AY561" s="152">
        <v>904884</v>
      </c>
      <c r="AZ561" s="152" t="s">
        <v>864</v>
      </c>
      <c r="BA561" s="152" t="str">
        <f t="shared" si="38"/>
        <v>L22-736-MP032</v>
      </c>
      <c r="BB561" s="152">
        <v>15</v>
      </c>
      <c r="BC561" s="157">
        <v>44861</v>
      </c>
      <c r="BD561" s="157">
        <v>44800</v>
      </c>
      <c r="BE561" s="158">
        <v>124621</v>
      </c>
      <c r="BF561" s="152" t="s">
        <v>4468</v>
      </c>
      <c r="BG561" s="152" t="s">
        <v>4469</v>
      </c>
      <c r="BH561" s="152">
        <v>59.67</v>
      </c>
      <c r="BI561" s="152">
        <v>0</v>
      </c>
      <c r="BJ561" s="152">
        <v>0</v>
      </c>
      <c r="BK561" s="152" t="s">
        <v>132</v>
      </c>
      <c r="BL561" s="152">
        <v>59.67</v>
      </c>
      <c r="BM561" s="152">
        <v>904883</v>
      </c>
      <c r="BN561" s="157" t="s">
        <v>1453</v>
      </c>
    </row>
    <row r="562" spans="1:66">
      <c r="A562" s="152" t="s">
        <v>4470</v>
      </c>
      <c r="B562" s="152" t="s">
        <v>4471</v>
      </c>
      <c r="C562" s="152" t="s">
        <v>4472</v>
      </c>
      <c r="D562" s="152" t="s">
        <v>4473</v>
      </c>
      <c r="E562" s="152" t="s">
        <v>4473</v>
      </c>
      <c r="F562" s="152">
        <v>1067</v>
      </c>
      <c r="G562" s="152">
        <v>67</v>
      </c>
      <c r="H562" s="152" t="s">
        <v>1363</v>
      </c>
      <c r="I562" s="152">
        <v>183551</v>
      </c>
      <c r="J562" s="152">
        <v>90.16</v>
      </c>
      <c r="K562" s="152">
        <v>74882</v>
      </c>
      <c r="L562" s="152" t="s">
        <v>3022</v>
      </c>
      <c r="M562" s="152" t="s">
        <v>92</v>
      </c>
      <c r="N562" s="152" t="s">
        <v>883</v>
      </c>
      <c r="O562" s="152">
        <v>4320</v>
      </c>
      <c r="P562" s="152" t="s">
        <v>1732</v>
      </c>
      <c r="Q562" s="152" t="s">
        <v>92</v>
      </c>
      <c r="R562" s="152" t="s">
        <v>883</v>
      </c>
      <c r="S562" s="152">
        <v>4320</v>
      </c>
      <c r="T562" s="164" t="s">
        <v>856</v>
      </c>
      <c r="U562" s="164" t="s">
        <v>856</v>
      </c>
      <c r="V562" s="152" t="s">
        <v>4037</v>
      </c>
      <c r="W562" s="152" t="s">
        <v>3309</v>
      </c>
      <c r="X562" s="152" t="s">
        <v>4474</v>
      </c>
      <c r="Y562" s="152">
        <v>0</v>
      </c>
      <c r="Z562" s="152">
        <v>0</v>
      </c>
      <c r="AA562" s="152" t="s">
        <v>92</v>
      </c>
      <c r="AB562" s="152">
        <v>72.5</v>
      </c>
      <c r="AC562" s="152">
        <v>1</v>
      </c>
      <c r="AD562" s="152" t="s">
        <v>861</v>
      </c>
      <c r="AE562" s="152">
        <v>72.5</v>
      </c>
      <c r="AF562" s="152">
        <v>0</v>
      </c>
      <c r="AG562" s="152" t="s">
        <v>861</v>
      </c>
      <c r="AH562" s="152" t="s">
        <v>861</v>
      </c>
      <c r="AI562" s="152" t="s">
        <v>92</v>
      </c>
      <c r="AJ562" s="152" t="s">
        <v>92</v>
      </c>
      <c r="AK562" s="152" t="s">
        <v>972</v>
      </c>
      <c r="AL562" s="152" t="s">
        <v>856</v>
      </c>
      <c r="AP562" s="152" t="s">
        <v>856</v>
      </c>
      <c r="AQ562" s="152" t="s">
        <v>856</v>
      </c>
      <c r="AR562" s="152" t="s">
        <v>1953</v>
      </c>
      <c r="AS562" s="159" t="s">
        <v>865</v>
      </c>
      <c r="AT562" s="152" t="str">
        <f t="shared" si="36"/>
        <v>DMNP9-010922</v>
      </c>
      <c r="AU562" s="152" t="str">
        <f t="shared" si="37"/>
        <v xml:space="preserve">JOSE ANIBAL PUAC SAQUIC </v>
      </c>
      <c r="AV562" s="152">
        <v>54.38</v>
      </c>
      <c r="AW562" s="152">
        <v>815593</v>
      </c>
      <c r="AX562" s="159" t="s">
        <v>856</v>
      </c>
      <c r="AY562" s="159" t="s">
        <v>856</v>
      </c>
      <c r="AZ562" s="152" t="s">
        <v>1008</v>
      </c>
      <c r="BA562" s="152" t="str">
        <f t="shared" si="38"/>
        <v>L22-772-SP114</v>
      </c>
      <c r="BB562" s="152">
        <v>12</v>
      </c>
      <c r="BC562" s="157">
        <v>44880</v>
      </c>
      <c r="BD562" s="157">
        <v>45245</v>
      </c>
      <c r="BE562" s="158">
        <v>7250</v>
      </c>
    </row>
    <row r="563" spans="1:66">
      <c r="A563" s="152" t="s">
        <v>4475</v>
      </c>
      <c r="B563" s="152" t="s">
        <v>4476</v>
      </c>
      <c r="C563" s="152" t="s">
        <v>4477</v>
      </c>
      <c r="D563" s="152" t="s">
        <v>4478</v>
      </c>
      <c r="E563" s="152" t="s">
        <v>4478</v>
      </c>
      <c r="F563" s="152">
        <v>254018</v>
      </c>
      <c r="G563" s="152">
        <v>118</v>
      </c>
      <c r="H563" s="152">
        <v>567</v>
      </c>
      <c r="I563" s="152">
        <v>146780</v>
      </c>
      <c r="J563" s="152">
        <v>124.04</v>
      </c>
      <c r="K563" s="152">
        <v>45527</v>
      </c>
      <c r="L563" s="152" t="s">
        <v>4479</v>
      </c>
      <c r="M563" s="152" t="s">
        <v>883</v>
      </c>
      <c r="N563" s="152" t="s">
        <v>92</v>
      </c>
      <c r="O563" s="152">
        <v>6858</v>
      </c>
      <c r="P563" s="152" t="s">
        <v>4479</v>
      </c>
      <c r="Q563" s="152" t="s">
        <v>883</v>
      </c>
      <c r="R563" s="152" t="s">
        <v>92</v>
      </c>
      <c r="S563" s="152">
        <v>6858</v>
      </c>
      <c r="T563" s="164" t="s">
        <v>856</v>
      </c>
      <c r="U563" s="164" t="s">
        <v>856</v>
      </c>
      <c r="V563" s="152" t="s">
        <v>1550</v>
      </c>
      <c r="W563" s="152" t="s">
        <v>858</v>
      </c>
      <c r="X563" s="152" t="s">
        <v>1083</v>
      </c>
      <c r="Y563" s="152">
        <v>0</v>
      </c>
      <c r="Z563" s="152">
        <v>0</v>
      </c>
      <c r="AA563" s="152" t="s">
        <v>92</v>
      </c>
      <c r="AB563" s="152">
        <v>106.72</v>
      </c>
      <c r="AC563" s="152">
        <v>1</v>
      </c>
      <c r="AD563" s="152" t="s">
        <v>861</v>
      </c>
      <c r="AE563" s="152">
        <v>106.72</v>
      </c>
      <c r="AF563" s="152">
        <v>0</v>
      </c>
      <c r="AG563" s="152" t="s">
        <v>861</v>
      </c>
      <c r="AH563" s="152" t="s">
        <v>861</v>
      </c>
      <c r="AI563" s="152" t="s">
        <v>92</v>
      </c>
      <c r="AJ563" s="152" t="s">
        <v>92</v>
      </c>
      <c r="AK563" s="152" t="s">
        <v>884</v>
      </c>
      <c r="AL563" s="152" t="s">
        <v>856</v>
      </c>
      <c r="AP563" s="152" t="s">
        <v>856</v>
      </c>
      <c r="AQ563" s="152" t="s">
        <v>856</v>
      </c>
      <c r="AR563" s="152" t="s">
        <v>3846</v>
      </c>
      <c r="AS563" s="159" t="s">
        <v>865</v>
      </c>
      <c r="AT563" s="152" t="str">
        <f t="shared" si="36"/>
        <v>VUNM8-020822</v>
      </c>
      <c r="AU563" s="152" t="str">
        <f t="shared" si="37"/>
        <v xml:space="preserve">VICTOR MANUEL MAZARIEGOS OCHOA </v>
      </c>
      <c r="AV563" s="152">
        <v>1344.67</v>
      </c>
      <c r="AW563" s="152">
        <v>816392</v>
      </c>
      <c r="AX563" s="152">
        <v>40</v>
      </c>
      <c r="AY563" s="152">
        <v>816395</v>
      </c>
      <c r="AZ563" s="152" t="s">
        <v>864</v>
      </c>
      <c r="BA563" s="152" t="str">
        <f t="shared" si="38"/>
        <v>L22-776-LG139</v>
      </c>
      <c r="BB563" s="152">
        <v>24</v>
      </c>
      <c r="BC563" s="157">
        <v>44881</v>
      </c>
      <c r="BD563" s="157">
        <v>45246</v>
      </c>
      <c r="BE563" s="158">
        <v>266800</v>
      </c>
      <c r="BF563" s="152" t="s">
        <v>4480</v>
      </c>
      <c r="BG563" s="152" t="s">
        <v>4481</v>
      </c>
      <c r="BH563" s="152">
        <v>106.72</v>
      </c>
      <c r="BI563" s="152">
        <v>0</v>
      </c>
      <c r="BJ563" s="159">
        <v>0</v>
      </c>
      <c r="BK563" s="152" t="s">
        <v>132</v>
      </c>
      <c r="BL563" s="152">
        <v>106.72</v>
      </c>
      <c r="BM563" s="152">
        <v>816394</v>
      </c>
      <c r="BN563" s="157" t="s">
        <v>1453</v>
      </c>
    </row>
    <row r="564" spans="1:66">
      <c r="A564" s="152" t="s">
        <v>4483</v>
      </c>
      <c r="B564" s="152" t="s">
        <v>4484</v>
      </c>
      <c r="C564" s="152" t="s">
        <v>4485</v>
      </c>
      <c r="D564" s="152" t="s">
        <v>4486</v>
      </c>
      <c r="E564" s="152" t="s">
        <v>4487</v>
      </c>
      <c r="F564" s="152">
        <v>2946</v>
      </c>
      <c r="G564" s="152">
        <v>446</v>
      </c>
      <c r="H564" s="152" t="s">
        <v>4488</v>
      </c>
      <c r="I564" s="152">
        <v>153812</v>
      </c>
      <c r="J564" s="152">
        <v>128</v>
      </c>
      <c r="K564" s="152">
        <v>62208</v>
      </c>
      <c r="L564" s="152" t="s">
        <v>4489</v>
      </c>
      <c r="M564" s="152" t="s">
        <v>92</v>
      </c>
      <c r="N564" s="152" t="s">
        <v>883</v>
      </c>
      <c r="O564" s="152">
        <v>6329</v>
      </c>
      <c r="P564" s="152" t="s">
        <v>4489</v>
      </c>
      <c r="Q564" s="152" t="s">
        <v>92</v>
      </c>
      <c r="R564" s="152" t="s">
        <v>883</v>
      </c>
      <c r="S564" s="152">
        <v>6329</v>
      </c>
      <c r="T564" s="164" t="s">
        <v>856</v>
      </c>
      <c r="U564" s="164" t="s">
        <v>856</v>
      </c>
      <c r="V564" s="152" t="s">
        <v>4490</v>
      </c>
      <c r="W564" s="152" t="s">
        <v>858</v>
      </c>
      <c r="X564" s="152" t="s">
        <v>1083</v>
      </c>
      <c r="Y564" s="152">
        <v>48.03</v>
      </c>
      <c r="Z564" s="152">
        <v>1</v>
      </c>
      <c r="AA564" s="152" t="s">
        <v>92</v>
      </c>
      <c r="AB564" s="152">
        <v>216</v>
      </c>
      <c r="AC564" s="152">
        <v>2</v>
      </c>
      <c r="AD564" s="152" t="s">
        <v>861</v>
      </c>
      <c r="AE564" s="152">
        <v>216</v>
      </c>
      <c r="AF564" s="152">
        <v>0</v>
      </c>
      <c r="AG564" s="152" t="s">
        <v>861</v>
      </c>
      <c r="AH564" s="152" t="s">
        <v>861</v>
      </c>
      <c r="AI564" s="152" t="s">
        <v>92</v>
      </c>
      <c r="AJ564" s="152" t="s">
        <v>92</v>
      </c>
      <c r="AK564" s="152" t="s">
        <v>862</v>
      </c>
      <c r="AL564" s="152" t="s">
        <v>856</v>
      </c>
      <c r="AP564" s="152" t="s">
        <v>856</v>
      </c>
      <c r="AQ564" s="152" t="s">
        <v>856</v>
      </c>
      <c r="AR564" s="152" t="s">
        <v>863</v>
      </c>
      <c r="AS564" s="159" t="s">
        <v>865</v>
      </c>
      <c r="AT564" s="152" t="str">
        <f t="shared" si="36"/>
        <v>VUNG11-020922</v>
      </c>
      <c r="AU564" s="152" t="str">
        <f t="shared" si="37"/>
        <v xml:space="preserve">LEYDY TERESA GONZALEZ GRAMAJO Y CONDUEÑO </v>
      </c>
      <c r="AV564" s="152">
        <v>2815.74</v>
      </c>
      <c r="AW564" s="152">
        <v>818239</v>
      </c>
      <c r="AX564" s="152">
        <v>40</v>
      </c>
      <c r="AY564" s="152">
        <v>818242</v>
      </c>
      <c r="AZ564" s="152" t="s">
        <v>864</v>
      </c>
      <c r="BA564" s="152" t="str">
        <f t="shared" si="38"/>
        <v>L22-785-JM175</v>
      </c>
      <c r="BB564" s="152">
        <v>24</v>
      </c>
      <c r="BC564" s="157">
        <v>44881</v>
      </c>
      <c r="BD564" s="157">
        <v>45246</v>
      </c>
      <c r="BE564" s="158">
        <v>556810.5</v>
      </c>
      <c r="BF564" s="152" t="s">
        <v>4491</v>
      </c>
      <c r="BG564" s="152" t="s">
        <v>4492</v>
      </c>
      <c r="BH564" s="152">
        <v>216</v>
      </c>
      <c r="BI564" s="152">
        <v>0</v>
      </c>
      <c r="BJ564" s="152">
        <v>0</v>
      </c>
      <c r="BK564" s="152" t="s">
        <v>132</v>
      </c>
      <c r="BL564" s="152">
        <v>216</v>
      </c>
      <c r="BM564" s="152">
        <v>818241</v>
      </c>
      <c r="BN564" s="157" t="s">
        <v>1453</v>
      </c>
    </row>
    <row r="565" spans="1:66">
      <c r="A565" s="152" t="s">
        <v>4494</v>
      </c>
      <c r="B565" s="152" t="s">
        <v>4495</v>
      </c>
      <c r="C565" s="152" t="s">
        <v>4496</v>
      </c>
      <c r="D565" s="152" t="s">
        <v>4497</v>
      </c>
      <c r="E565" s="152" t="s">
        <v>4497</v>
      </c>
      <c r="F565" s="152">
        <v>2619</v>
      </c>
      <c r="G565" s="152">
        <v>119</v>
      </c>
      <c r="H565" s="152" t="s">
        <v>4498</v>
      </c>
      <c r="I565" s="152">
        <v>203173</v>
      </c>
      <c r="J565" s="152">
        <v>293.22000000000003</v>
      </c>
      <c r="K565" s="152">
        <v>89858</v>
      </c>
      <c r="L565" s="152" t="s">
        <v>856</v>
      </c>
      <c r="M565" s="152" t="s">
        <v>92</v>
      </c>
      <c r="N565" s="152" t="s">
        <v>92</v>
      </c>
      <c r="O565" s="164" t="s">
        <v>856</v>
      </c>
      <c r="P565" s="164" t="s">
        <v>856</v>
      </c>
      <c r="Q565" s="152" t="s">
        <v>92</v>
      </c>
      <c r="R565" s="152" t="s">
        <v>92</v>
      </c>
      <c r="S565" s="164" t="s">
        <v>856</v>
      </c>
      <c r="T565" s="164" t="s">
        <v>856</v>
      </c>
      <c r="U565" s="164" t="s">
        <v>856</v>
      </c>
      <c r="V565" s="152" t="s">
        <v>3957</v>
      </c>
      <c r="W565" s="152" t="s">
        <v>858</v>
      </c>
      <c r="X565" s="152" t="s">
        <v>1083</v>
      </c>
      <c r="Y565" s="152">
        <v>0</v>
      </c>
      <c r="Z565" s="152">
        <v>1</v>
      </c>
      <c r="AA565" s="152" t="s">
        <v>92</v>
      </c>
      <c r="AB565" s="152">
        <v>60.4</v>
      </c>
      <c r="AC565" s="152">
        <v>1</v>
      </c>
      <c r="AD565" s="152" t="s">
        <v>861</v>
      </c>
      <c r="AE565" s="152">
        <v>60.4</v>
      </c>
      <c r="AF565" s="152">
        <v>0</v>
      </c>
      <c r="AG565" s="152" t="s">
        <v>861</v>
      </c>
      <c r="AH565" s="152" t="s">
        <v>861</v>
      </c>
      <c r="AI565" s="152" t="s">
        <v>92</v>
      </c>
      <c r="AJ565" s="152" t="s">
        <v>92</v>
      </c>
      <c r="AK565" s="152" t="s">
        <v>862</v>
      </c>
      <c r="AL565" s="152" t="s">
        <v>856</v>
      </c>
      <c r="AP565" s="152" t="s">
        <v>856</v>
      </c>
      <c r="AQ565" s="152" t="s">
        <v>856</v>
      </c>
      <c r="AR565" s="152" t="s">
        <v>863</v>
      </c>
      <c r="AS565" s="159" t="s">
        <v>865</v>
      </c>
      <c r="AT565" s="152" t="str">
        <f t="shared" si="36"/>
        <v>RPNT1-320822</v>
      </c>
      <c r="AU565" s="152" t="str">
        <f t="shared" si="37"/>
        <v xml:space="preserve">HENRY TOC COTOM </v>
      </c>
      <c r="AV565" s="152">
        <v>608.83000000000004</v>
      </c>
      <c r="AW565" s="152">
        <v>901740</v>
      </c>
      <c r="AX565" s="159" t="s">
        <v>856</v>
      </c>
      <c r="AY565" s="159" t="s">
        <v>856</v>
      </c>
      <c r="AZ565" s="152" t="s">
        <v>864</v>
      </c>
      <c r="BA565" s="152" t="str">
        <f t="shared" si="38"/>
        <v>L22-739-JM162</v>
      </c>
      <c r="BB565" s="152">
        <v>0</v>
      </c>
      <c r="BC565" s="157">
        <v>44868</v>
      </c>
      <c r="BD565" s="157">
        <v>44868</v>
      </c>
      <c r="BE565" s="158">
        <v>120800</v>
      </c>
      <c r="BF565" s="152" t="s">
        <v>4499</v>
      </c>
      <c r="BG565" s="152" t="s">
        <v>894</v>
      </c>
      <c r="BH565" s="152">
        <f>AE565</f>
        <v>60.4</v>
      </c>
      <c r="BI565" s="152">
        <v>0</v>
      </c>
      <c r="BJ565" s="152">
        <v>0</v>
      </c>
      <c r="BK565" s="152" t="s">
        <v>132</v>
      </c>
      <c r="BL565" s="152">
        <v>60.4</v>
      </c>
      <c r="BM565" s="152">
        <v>901741</v>
      </c>
      <c r="BN565" s="157" t="s">
        <v>1453</v>
      </c>
    </row>
    <row r="566" spans="1:66">
      <c r="A566" s="152" t="s">
        <v>4500</v>
      </c>
      <c r="B566" s="152" t="s">
        <v>4501</v>
      </c>
      <c r="C566" s="152" t="s">
        <v>4502</v>
      </c>
      <c r="D566" s="152" t="s">
        <v>4503</v>
      </c>
      <c r="E566" s="152" t="s">
        <v>2562</v>
      </c>
      <c r="F566" s="152">
        <v>312837</v>
      </c>
      <c r="G566" s="152">
        <v>107</v>
      </c>
      <c r="H566" s="152">
        <v>760</v>
      </c>
      <c r="I566" s="152">
        <v>202351</v>
      </c>
      <c r="J566" s="152">
        <v>108</v>
      </c>
      <c r="K566" s="152">
        <v>89186</v>
      </c>
      <c r="L566" s="152" t="s">
        <v>1508</v>
      </c>
      <c r="M566" s="152" t="s">
        <v>883</v>
      </c>
      <c r="N566" s="152" t="s">
        <v>92</v>
      </c>
      <c r="O566" s="152">
        <v>11147</v>
      </c>
      <c r="P566" s="152" t="s">
        <v>1508</v>
      </c>
      <c r="Q566" s="152" t="s">
        <v>883</v>
      </c>
      <c r="R566" s="152" t="s">
        <v>92</v>
      </c>
      <c r="S566" s="152">
        <v>11147</v>
      </c>
      <c r="T566" s="164" t="s">
        <v>856</v>
      </c>
      <c r="U566" s="164" t="s">
        <v>856</v>
      </c>
      <c r="V566" s="152" t="s">
        <v>3957</v>
      </c>
      <c r="W566" s="152" t="s">
        <v>858</v>
      </c>
      <c r="X566" s="152" t="s">
        <v>1083</v>
      </c>
      <c r="Y566" s="152">
        <v>57.15</v>
      </c>
      <c r="Z566" s="152">
        <v>1</v>
      </c>
      <c r="AA566" s="152" t="s">
        <v>92</v>
      </c>
      <c r="AB566" s="152">
        <v>150.81</v>
      </c>
      <c r="AC566" s="152">
        <v>2</v>
      </c>
      <c r="AD566" s="152" t="s">
        <v>861</v>
      </c>
      <c r="AE566" s="152">
        <v>150.81</v>
      </c>
      <c r="AF566" s="152">
        <v>0</v>
      </c>
      <c r="AG566" s="152" t="s">
        <v>861</v>
      </c>
      <c r="AH566" s="152" t="s">
        <v>861</v>
      </c>
      <c r="AI566" s="152" t="s">
        <v>92</v>
      </c>
      <c r="AJ566" s="152" t="s">
        <v>92</v>
      </c>
      <c r="AK566" s="152" t="s">
        <v>972</v>
      </c>
      <c r="AL566" s="152" t="s">
        <v>856</v>
      </c>
      <c r="AP566" s="152" t="s">
        <v>856</v>
      </c>
      <c r="AQ566" s="152" t="s">
        <v>856</v>
      </c>
      <c r="AR566" s="152" t="s">
        <v>863</v>
      </c>
      <c r="AS566" s="159" t="s">
        <v>865</v>
      </c>
      <c r="AT566" s="152" t="str">
        <f t="shared" si="36"/>
        <v>RPNG12-131022</v>
      </c>
      <c r="AU566" s="152" t="str">
        <f t="shared" si="37"/>
        <v xml:space="preserve">ESVIN OSBELY GONZALEZ GIRON </v>
      </c>
      <c r="AV566" s="152">
        <v>2168.2199999999998</v>
      </c>
      <c r="AW566" s="152">
        <v>818530</v>
      </c>
      <c r="AX566" s="152">
        <v>40</v>
      </c>
      <c r="AY566" s="152">
        <v>818532</v>
      </c>
      <c r="AZ566" s="152" t="s">
        <v>864</v>
      </c>
      <c r="BA566" s="152" t="str">
        <f t="shared" si="38"/>
        <v>L22-809-JM179</v>
      </c>
      <c r="BB566" s="152">
        <v>0</v>
      </c>
      <c r="BC566" s="157">
        <v>44890</v>
      </c>
      <c r="BD566" s="157">
        <v>44890</v>
      </c>
      <c r="BE566" s="158">
        <v>402227.5</v>
      </c>
      <c r="BF566" s="152" t="s">
        <v>4504</v>
      </c>
      <c r="BG566" s="152" t="s">
        <v>4243</v>
      </c>
      <c r="BH566" s="152">
        <v>150.81</v>
      </c>
      <c r="BI566" s="152">
        <v>0</v>
      </c>
      <c r="BJ566" s="152">
        <v>0</v>
      </c>
      <c r="BK566" s="152" t="s">
        <v>132</v>
      </c>
      <c r="BL566" s="152">
        <v>150.81</v>
      </c>
      <c r="BM566" s="152">
        <v>818531</v>
      </c>
      <c r="BN566" s="157" t="s">
        <v>1453</v>
      </c>
    </row>
    <row r="567" spans="1:66" s="165" customFormat="1">
      <c r="A567" s="165" t="s">
        <v>4505</v>
      </c>
      <c r="B567" s="165" t="s">
        <v>4506</v>
      </c>
      <c r="C567" s="165" t="s">
        <v>4507</v>
      </c>
      <c r="D567" s="165" t="s">
        <v>4508</v>
      </c>
      <c r="E567" s="165" t="s">
        <v>2562</v>
      </c>
      <c r="F567" s="165">
        <v>267138</v>
      </c>
      <c r="G567" s="165">
        <v>268</v>
      </c>
      <c r="H567" s="165">
        <v>609</v>
      </c>
      <c r="I567" s="165">
        <v>150542</v>
      </c>
      <c r="J567" s="165">
        <v>82</v>
      </c>
      <c r="K567" s="165">
        <v>48691</v>
      </c>
      <c r="L567" s="165" t="s">
        <v>1508</v>
      </c>
      <c r="M567" s="165" t="s">
        <v>883</v>
      </c>
      <c r="N567" s="165" t="s">
        <v>92</v>
      </c>
      <c r="O567" s="165">
        <v>11147</v>
      </c>
      <c r="P567" s="165" t="s">
        <v>1508</v>
      </c>
      <c r="Q567" s="165" t="s">
        <v>883</v>
      </c>
      <c r="R567" s="165" t="s">
        <v>92</v>
      </c>
      <c r="S567" s="165">
        <v>11147</v>
      </c>
      <c r="T567" s="166" t="s">
        <v>856</v>
      </c>
      <c r="U567" s="166" t="s">
        <v>856</v>
      </c>
      <c r="V567" s="165" t="s">
        <v>4037</v>
      </c>
      <c r="W567" s="165" t="s">
        <v>858</v>
      </c>
      <c r="X567" s="165" t="s">
        <v>1083</v>
      </c>
      <c r="Y567" s="165">
        <v>0</v>
      </c>
      <c r="Z567" s="165">
        <v>0</v>
      </c>
      <c r="AA567" s="165" t="s">
        <v>92</v>
      </c>
      <c r="AB567" s="165">
        <v>87.62</v>
      </c>
      <c r="AC567" s="165">
        <v>1</v>
      </c>
      <c r="AD567" s="165" t="s">
        <v>861</v>
      </c>
      <c r="AE567" s="165">
        <v>0</v>
      </c>
      <c r="AF567" s="165">
        <v>0</v>
      </c>
      <c r="AG567" s="165" t="s">
        <v>861</v>
      </c>
      <c r="AH567" s="165" t="s">
        <v>861</v>
      </c>
      <c r="AI567" s="165" t="s">
        <v>92</v>
      </c>
      <c r="AJ567" s="165" t="s">
        <v>92</v>
      </c>
      <c r="AK567" s="165" t="s">
        <v>884</v>
      </c>
      <c r="AL567" s="165" t="s">
        <v>856</v>
      </c>
      <c r="AP567" s="165" t="s">
        <v>856</v>
      </c>
      <c r="AQ567" s="165" t="s">
        <v>856</v>
      </c>
      <c r="AR567" s="165" t="s">
        <v>4509</v>
      </c>
      <c r="AS567" s="167" t="s">
        <v>865</v>
      </c>
      <c r="AT567" s="165" t="str">
        <f t="shared" si="36"/>
        <v>DMNN1-020322</v>
      </c>
      <c r="AU567" s="165" t="str">
        <f t="shared" si="37"/>
        <v xml:space="preserve">JAIME ARTURO NORIEGA PEREZ </v>
      </c>
      <c r="AV567" s="165">
        <v>65.72</v>
      </c>
      <c r="AW567" s="165">
        <v>901793</v>
      </c>
      <c r="AX567" s="167" t="s">
        <v>856</v>
      </c>
      <c r="AY567" s="167" t="s">
        <v>856</v>
      </c>
      <c r="AZ567" s="165" t="s">
        <v>1008</v>
      </c>
      <c r="BA567" s="165" t="str">
        <f t="shared" si="38"/>
        <v>L22-743-LG127</v>
      </c>
      <c r="BB567" s="165">
        <v>12</v>
      </c>
      <c r="BC567" s="168">
        <v>44869</v>
      </c>
      <c r="BD567" s="168">
        <v>45050</v>
      </c>
      <c r="BE567" s="169">
        <v>8762</v>
      </c>
      <c r="BN567" s="168"/>
    </row>
    <row r="568" spans="1:66">
      <c r="A568" s="152" t="s">
        <v>4510</v>
      </c>
      <c r="B568" s="152" t="s">
        <v>4511</v>
      </c>
      <c r="C568" s="152" t="s">
        <v>4512</v>
      </c>
      <c r="D568" s="152" t="s">
        <v>4513</v>
      </c>
      <c r="E568" s="152" t="s">
        <v>4514</v>
      </c>
      <c r="F568" s="159" t="s">
        <v>856</v>
      </c>
      <c r="G568" s="159" t="s">
        <v>856</v>
      </c>
      <c r="H568" s="159" t="s">
        <v>856</v>
      </c>
      <c r="I568" s="152">
        <v>201990</v>
      </c>
      <c r="J568" s="152">
        <v>269.49</v>
      </c>
      <c r="K568" s="152">
        <v>88913</v>
      </c>
      <c r="L568" s="152" t="s">
        <v>4515</v>
      </c>
      <c r="M568" s="152" t="s">
        <v>883</v>
      </c>
      <c r="N568" s="152" t="s">
        <v>92</v>
      </c>
      <c r="O568" s="152">
        <v>13463</v>
      </c>
      <c r="P568" s="152" t="s">
        <v>4516</v>
      </c>
      <c r="Q568" s="152" t="s">
        <v>883</v>
      </c>
      <c r="R568" s="152" t="s">
        <v>92</v>
      </c>
      <c r="S568" s="152">
        <v>13463</v>
      </c>
      <c r="T568" s="164" t="s">
        <v>856</v>
      </c>
      <c r="U568" s="164" t="s">
        <v>856</v>
      </c>
      <c r="V568" s="152" t="s">
        <v>3957</v>
      </c>
      <c r="W568" s="152" t="s">
        <v>858</v>
      </c>
      <c r="X568" s="152" t="s">
        <v>1083</v>
      </c>
      <c r="Y568" s="152">
        <v>34.299999999999997</v>
      </c>
      <c r="Z568" s="152">
        <v>1</v>
      </c>
      <c r="AA568" s="152" t="s">
        <v>883</v>
      </c>
      <c r="AB568" s="152">
        <v>280.57</v>
      </c>
      <c r="AC568" s="152">
        <v>2</v>
      </c>
      <c r="AD568" s="152" t="s">
        <v>861</v>
      </c>
      <c r="AE568" s="152">
        <v>280.57</v>
      </c>
      <c r="AF568" s="152">
        <v>0</v>
      </c>
      <c r="AG568" s="152" t="s">
        <v>861</v>
      </c>
      <c r="AH568" s="152" t="s">
        <v>861</v>
      </c>
      <c r="AI568" s="152" t="s">
        <v>92</v>
      </c>
      <c r="AJ568" s="152" t="s">
        <v>92</v>
      </c>
      <c r="AK568" s="152" t="s">
        <v>872</v>
      </c>
      <c r="AL568" s="152" t="s">
        <v>856</v>
      </c>
      <c r="AP568" s="152" t="s">
        <v>856</v>
      </c>
      <c r="AQ568" s="152" t="s">
        <v>856</v>
      </c>
      <c r="AR568" s="152" t="s">
        <v>1043</v>
      </c>
      <c r="AS568" s="159" t="s">
        <v>865</v>
      </c>
      <c r="AT568" s="152" t="str">
        <f t="shared" ref="AT568:AT631" si="39">B568</f>
        <v>RPNP9-280922</v>
      </c>
      <c r="AU568" s="152" t="str">
        <f t="shared" si="37"/>
        <v>MAGDALENA EMPERATRIZ LOPEZ COTOM DE PASTOR</v>
      </c>
      <c r="AV568" s="152">
        <v>3602.41</v>
      </c>
      <c r="AW568" s="152">
        <v>816622</v>
      </c>
      <c r="AX568" s="152">
        <v>47.5</v>
      </c>
      <c r="AY568" s="152">
        <v>816624</v>
      </c>
      <c r="AZ568" s="152" t="s">
        <v>864</v>
      </c>
      <c r="BA568" s="152" t="str">
        <f t="shared" si="38"/>
        <v>L22-795-MP039</v>
      </c>
      <c r="BB568" s="152">
        <v>0</v>
      </c>
      <c r="BC568" s="157">
        <v>44886</v>
      </c>
      <c r="BD568" s="157">
        <v>44886</v>
      </c>
      <c r="BE568" s="158">
        <v>713430</v>
      </c>
      <c r="BF568" s="152" t="s">
        <v>4517</v>
      </c>
      <c r="BG568" s="152" t="s">
        <v>894</v>
      </c>
      <c r="BH568" s="152">
        <v>280.57</v>
      </c>
      <c r="BI568" s="152">
        <v>0</v>
      </c>
      <c r="BJ568" s="152">
        <v>0</v>
      </c>
      <c r="BK568" s="152" t="s">
        <v>4184</v>
      </c>
      <c r="BL568" s="152">
        <v>280.57</v>
      </c>
      <c r="BM568" s="152">
        <v>816623</v>
      </c>
      <c r="BN568" s="157" t="s">
        <v>1453</v>
      </c>
    </row>
    <row r="569" spans="1:66">
      <c r="A569" s="152" t="s">
        <v>4518</v>
      </c>
      <c r="B569" s="152" t="s">
        <v>4519</v>
      </c>
      <c r="C569" s="152" t="s">
        <v>4520</v>
      </c>
      <c r="D569" s="152" t="s">
        <v>4521</v>
      </c>
      <c r="E569" s="152" t="s">
        <v>4522</v>
      </c>
      <c r="F569" s="152">
        <v>1510</v>
      </c>
      <c r="G569" s="152">
        <v>10</v>
      </c>
      <c r="H569" s="152" t="s">
        <v>2217</v>
      </c>
      <c r="I569" s="152">
        <v>202006</v>
      </c>
      <c r="J569" s="152">
        <v>119.55</v>
      </c>
      <c r="K569" s="152">
        <v>88920</v>
      </c>
      <c r="L569" s="152" t="s">
        <v>4520</v>
      </c>
      <c r="M569" s="152" t="s">
        <v>92</v>
      </c>
      <c r="N569" s="152" t="s">
        <v>883</v>
      </c>
      <c r="O569" s="152">
        <v>5433</v>
      </c>
      <c r="P569" s="152" t="s">
        <v>4520</v>
      </c>
      <c r="Q569" s="152" t="s">
        <v>92</v>
      </c>
      <c r="R569" s="152" t="s">
        <v>883</v>
      </c>
      <c r="S569" s="152">
        <v>5433</v>
      </c>
      <c r="T569" s="164" t="s">
        <v>856</v>
      </c>
      <c r="U569" s="164" t="s">
        <v>856</v>
      </c>
      <c r="V569" s="152" t="s">
        <v>857</v>
      </c>
      <c r="W569" s="152" t="s">
        <v>858</v>
      </c>
      <c r="X569" s="152" t="s">
        <v>1083</v>
      </c>
      <c r="Y569" s="152">
        <v>38.01</v>
      </c>
      <c r="Z569" s="152">
        <v>1</v>
      </c>
      <c r="AA569" s="152" t="s">
        <v>92</v>
      </c>
      <c r="AB569" s="152">
        <v>51.92</v>
      </c>
      <c r="AC569" s="152">
        <v>1</v>
      </c>
      <c r="AD569" s="152" t="s">
        <v>861</v>
      </c>
      <c r="AE569" s="152">
        <v>51.92</v>
      </c>
      <c r="AF569" s="152">
        <v>0</v>
      </c>
      <c r="AG569" s="152" t="s">
        <v>861</v>
      </c>
      <c r="AH569" s="152" t="s">
        <v>861</v>
      </c>
      <c r="AI569" s="152" t="s">
        <v>92</v>
      </c>
      <c r="AJ569" s="152" t="s">
        <v>92</v>
      </c>
      <c r="AK569" s="152" t="s">
        <v>912</v>
      </c>
      <c r="AL569" s="152" t="s">
        <v>856</v>
      </c>
      <c r="AP569" s="152" t="s">
        <v>856</v>
      </c>
      <c r="AQ569" s="152" t="s">
        <v>856</v>
      </c>
      <c r="AR569" s="152" t="s">
        <v>1953</v>
      </c>
      <c r="AS569" s="159" t="s">
        <v>865</v>
      </c>
      <c r="AT569" s="152" t="str">
        <f t="shared" si="39"/>
        <v>RPNR5-601022</v>
      </c>
      <c r="AU569" s="152" t="str">
        <f t="shared" si="37"/>
        <v xml:space="preserve">KELLY ROXANA KUNZE PIEDRASANTA </v>
      </c>
      <c r="AV569" s="152">
        <v>903.45</v>
      </c>
      <c r="AW569" s="152">
        <v>818308</v>
      </c>
      <c r="AX569" s="152">
        <v>33.5</v>
      </c>
      <c r="AY569" s="152">
        <v>818310</v>
      </c>
      <c r="AZ569" s="152" t="s">
        <v>864</v>
      </c>
      <c r="BA569" s="152" t="str">
        <f t="shared" si="38"/>
        <v>L22-793-SP116</v>
      </c>
      <c r="BB569" s="152">
        <v>0</v>
      </c>
      <c r="BC569" s="157">
        <v>44886</v>
      </c>
      <c r="BD569" s="157">
        <v>44886</v>
      </c>
      <c r="BE569" s="158">
        <v>119044</v>
      </c>
      <c r="BF569" s="152" t="s">
        <v>4523</v>
      </c>
      <c r="BG569" s="152" t="s">
        <v>894</v>
      </c>
      <c r="BH569" s="152">
        <v>51.92</v>
      </c>
      <c r="BI569" s="152">
        <v>0</v>
      </c>
      <c r="BJ569" s="152">
        <v>0</v>
      </c>
      <c r="BK569" s="152" t="s">
        <v>132</v>
      </c>
      <c r="BL569" s="152">
        <v>51.92</v>
      </c>
      <c r="BM569" s="152">
        <v>818309</v>
      </c>
      <c r="BN569" s="157" t="s">
        <v>1453</v>
      </c>
    </row>
    <row r="570" spans="1:66">
      <c r="A570" s="152" t="s">
        <v>4524</v>
      </c>
      <c r="B570" s="152" t="s">
        <v>4525</v>
      </c>
      <c r="C570" s="152" t="s">
        <v>4526</v>
      </c>
      <c r="D570" s="152" t="s">
        <v>4527</v>
      </c>
      <c r="E570" s="152" t="s">
        <v>4527</v>
      </c>
      <c r="F570" s="152">
        <v>3673</v>
      </c>
      <c r="G570" s="152">
        <v>173</v>
      </c>
      <c r="H570" s="152" t="s">
        <v>2352</v>
      </c>
      <c r="I570" s="152">
        <v>179045</v>
      </c>
      <c r="J570" s="152">
        <v>210.48</v>
      </c>
      <c r="K570" s="152">
        <v>51863</v>
      </c>
      <c r="L570" s="152" t="s">
        <v>856</v>
      </c>
      <c r="M570" s="152" t="s">
        <v>92</v>
      </c>
      <c r="N570" s="152" t="s">
        <v>92</v>
      </c>
      <c r="O570" s="164" t="s">
        <v>856</v>
      </c>
      <c r="P570" s="164" t="s">
        <v>856</v>
      </c>
      <c r="Q570" s="152" t="s">
        <v>92</v>
      </c>
      <c r="R570" s="152" t="s">
        <v>92</v>
      </c>
      <c r="S570" s="164" t="s">
        <v>856</v>
      </c>
      <c r="T570" s="164" t="s">
        <v>856</v>
      </c>
      <c r="U570" s="164" t="s">
        <v>856</v>
      </c>
      <c r="V570" s="152" t="s">
        <v>911</v>
      </c>
      <c r="W570" s="152" t="s">
        <v>858</v>
      </c>
      <c r="X570" s="152" t="s">
        <v>1083</v>
      </c>
      <c r="Y570" s="152">
        <v>0</v>
      </c>
      <c r="Z570" s="152">
        <v>1</v>
      </c>
      <c r="AA570" s="152" t="s">
        <v>92</v>
      </c>
      <c r="AB570" s="152">
        <v>100.9</v>
      </c>
      <c r="AC570" s="152">
        <v>1</v>
      </c>
      <c r="AD570" s="152" t="s">
        <v>861</v>
      </c>
      <c r="AE570" s="152">
        <v>100.9</v>
      </c>
      <c r="AF570" s="152">
        <v>0</v>
      </c>
      <c r="AG570" s="152" t="s">
        <v>861</v>
      </c>
      <c r="AH570" s="152" t="s">
        <v>861</v>
      </c>
      <c r="AI570" s="152" t="s">
        <v>92</v>
      </c>
      <c r="AJ570" s="152" t="s">
        <v>92</v>
      </c>
      <c r="AK570" s="152" t="s">
        <v>912</v>
      </c>
      <c r="AL570" s="152" t="s">
        <v>856</v>
      </c>
      <c r="AP570" s="152" t="s">
        <v>856</v>
      </c>
      <c r="AQ570" s="152" t="s">
        <v>856</v>
      </c>
      <c r="AR570" s="152" t="s">
        <v>1529</v>
      </c>
      <c r="AS570" s="159" t="s">
        <v>865</v>
      </c>
      <c r="AT570" s="152" t="str">
        <f t="shared" si="39"/>
        <v>RPNO10-430822</v>
      </c>
      <c r="AU570" s="152" t="str">
        <f t="shared" si="37"/>
        <v xml:space="preserve">MARIA ADELA OROZCO CITALAN </v>
      </c>
      <c r="AV570" s="152">
        <v>1017.07</v>
      </c>
      <c r="AW570" s="152">
        <v>817791</v>
      </c>
      <c r="AX570" s="152">
        <v>40.549999999999997</v>
      </c>
      <c r="AY570" s="152">
        <v>817793</v>
      </c>
      <c r="AZ570" s="152" t="s">
        <v>864</v>
      </c>
      <c r="BA570" s="152" t="str">
        <f t="shared" si="38"/>
        <v>L22-752-SP188</v>
      </c>
      <c r="BB570" s="152">
        <v>0</v>
      </c>
      <c r="BC570" s="157">
        <v>44873</v>
      </c>
      <c r="BD570" s="157">
        <v>44873</v>
      </c>
      <c r="BE570" s="158">
        <v>201800</v>
      </c>
      <c r="BF570" s="152" t="s">
        <v>4528</v>
      </c>
      <c r="BG570" s="152" t="s">
        <v>894</v>
      </c>
      <c r="BH570" s="152">
        <v>100.9</v>
      </c>
      <c r="BI570" s="152">
        <v>0</v>
      </c>
      <c r="BJ570" s="152">
        <v>0</v>
      </c>
      <c r="BK570" s="152" t="s">
        <v>132</v>
      </c>
      <c r="BL570" s="152">
        <v>100.9</v>
      </c>
      <c r="BM570" s="152">
        <v>817792</v>
      </c>
      <c r="BN570" s="157" t="s">
        <v>1453</v>
      </c>
    </row>
    <row r="571" spans="1:66">
      <c r="A571" s="152" t="s">
        <v>4529</v>
      </c>
      <c r="B571" s="152" t="s">
        <v>4530</v>
      </c>
      <c r="C571" s="152" t="s">
        <v>4531</v>
      </c>
      <c r="D571" s="152" t="s">
        <v>4532</v>
      </c>
      <c r="E571" s="152" t="s">
        <v>4532</v>
      </c>
      <c r="F571" s="152">
        <v>3686</v>
      </c>
      <c r="G571" s="152">
        <v>186</v>
      </c>
      <c r="H571" s="152" t="s">
        <v>4533</v>
      </c>
      <c r="I571" s="152">
        <v>202356</v>
      </c>
      <c r="J571" s="152">
        <v>136</v>
      </c>
      <c r="K571" s="152">
        <v>89191</v>
      </c>
      <c r="L571" s="152" t="s">
        <v>1972</v>
      </c>
      <c r="M571" s="152" t="s">
        <v>92</v>
      </c>
      <c r="N571" s="152" t="s">
        <v>883</v>
      </c>
      <c r="O571" s="152">
        <v>6608</v>
      </c>
      <c r="P571" s="152" t="s">
        <v>1972</v>
      </c>
      <c r="Q571" s="152" t="s">
        <v>92</v>
      </c>
      <c r="R571" s="152" t="s">
        <v>883</v>
      </c>
      <c r="S571" s="152">
        <v>6608</v>
      </c>
      <c r="T571" s="164" t="s">
        <v>856</v>
      </c>
      <c r="U571" s="164" t="s">
        <v>856</v>
      </c>
      <c r="V571" s="152" t="s">
        <v>857</v>
      </c>
      <c r="W571" s="152" t="s">
        <v>858</v>
      </c>
      <c r="X571" s="152" t="s">
        <v>1083</v>
      </c>
      <c r="Y571" s="152">
        <v>123.48</v>
      </c>
      <c r="Z571" s="152">
        <v>1</v>
      </c>
      <c r="AA571" s="152" t="s">
        <v>92</v>
      </c>
      <c r="AB571" s="152">
        <v>117.18</v>
      </c>
      <c r="AC571" s="152">
        <v>2</v>
      </c>
      <c r="AD571" s="152" t="s">
        <v>861</v>
      </c>
      <c r="AE571" s="152">
        <v>117.18</v>
      </c>
      <c r="AF571" s="152">
        <v>0</v>
      </c>
      <c r="AG571" s="152" t="s">
        <v>861</v>
      </c>
      <c r="AH571" s="152" t="s">
        <v>861</v>
      </c>
      <c r="AI571" s="152" t="s">
        <v>92</v>
      </c>
      <c r="AJ571" s="152" t="s">
        <v>92</v>
      </c>
      <c r="AK571" s="152" t="s">
        <v>884</v>
      </c>
      <c r="AL571" s="152" t="s">
        <v>856</v>
      </c>
      <c r="AP571" s="152" t="s">
        <v>856</v>
      </c>
      <c r="AQ571" s="152" t="s">
        <v>856</v>
      </c>
      <c r="AR571" s="152" t="s">
        <v>1953</v>
      </c>
      <c r="AS571" s="159" t="s">
        <v>865</v>
      </c>
      <c r="AT571" s="152" t="str">
        <f t="shared" si="39"/>
        <v>VUNR8-010922</v>
      </c>
      <c r="AU571" s="152" t="str">
        <f t="shared" si="37"/>
        <v xml:space="preserve">MIRIAM ELIZABETH RANERO RECINOS </v>
      </c>
      <c r="AV571" s="152">
        <v>1862.85</v>
      </c>
      <c r="AW571" s="152">
        <v>818289</v>
      </c>
      <c r="AX571" s="152">
        <v>40</v>
      </c>
      <c r="AY571" s="152">
        <v>818292</v>
      </c>
      <c r="AZ571" s="152" t="s">
        <v>864</v>
      </c>
      <c r="BA571" s="152" t="str">
        <f t="shared" si="38"/>
        <v>L22-800-SP115</v>
      </c>
      <c r="BB571" s="152">
        <v>24</v>
      </c>
      <c r="BC571" s="157">
        <v>44886</v>
      </c>
      <c r="BD571" s="157">
        <v>45251</v>
      </c>
      <c r="BE571" s="158">
        <v>340980</v>
      </c>
      <c r="BF571" s="152" t="s">
        <v>4534</v>
      </c>
      <c r="BG571" s="152" t="s">
        <v>4535</v>
      </c>
      <c r="BH571" s="152">
        <v>117.18</v>
      </c>
      <c r="BI571" s="152">
        <v>0</v>
      </c>
      <c r="BJ571" s="152">
        <v>0</v>
      </c>
      <c r="BK571" s="152" t="s">
        <v>132</v>
      </c>
      <c r="BL571" s="152">
        <v>117.18</v>
      </c>
      <c r="BM571" s="152">
        <v>818291</v>
      </c>
      <c r="BN571" s="157" t="s">
        <v>4100</v>
      </c>
    </row>
    <row r="572" spans="1:66">
      <c r="A572" s="152" t="s">
        <v>4536</v>
      </c>
      <c r="B572" s="152" t="s">
        <v>4537</v>
      </c>
      <c r="C572" s="152" t="s">
        <v>4538</v>
      </c>
      <c r="D572" s="152" t="s">
        <v>4539</v>
      </c>
      <c r="E572" s="152" t="s">
        <v>4539</v>
      </c>
      <c r="F572" s="152">
        <v>230508</v>
      </c>
      <c r="G572" s="152">
        <v>206</v>
      </c>
      <c r="H572" s="152">
        <v>486</v>
      </c>
      <c r="I572" s="152">
        <v>18263</v>
      </c>
      <c r="J572" s="152">
        <v>680.83</v>
      </c>
      <c r="K572" s="152">
        <v>62636</v>
      </c>
      <c r="L572" s="152" t="s">
        <v>856</v>
      </c>
      <c r="M572" s="152" t="s">
        <v>92</v>
      </c>
      <c r="N572" s="152" t="s">
        <v>92</v>
      </c>
      <c r="O572" s="164" t="s">
        <v>856</v>
      </c>
      <c r="P572" s="164" t="s">
        <v>856</v>
      </c>
      <c r="Q572" s="152" t="s">
        <v>92</v>
      </c>
      <c r="R572" s="152" t="s">
        <v>92</v>
      </c>
      <c r="S572" s="164" t="s">
        <v>856</v>
      </c>
      <c r="T572" s="164" t="s">
        <v>856</v>
      </c>
      <c r="U572" s="164" t="s">
        <v>856</v>
      </c>
      <c r="V572" s="152" t="s">
        <v>3886</v>
      </c>
      <c r="W572" s="152" t="s">
        <v>858</v>
      </c>
      <c r="X572" s="152" t="s">
        <v>1083</v>
      </c>
      <c r="Y572" s="152">
        <v>0</v>
      </c>
      <c r="Z572" s="152">
        <v>0</v>
      </c>
      <c r="AA572" s="152" t="s">
        <v>92</v>
      </c>
      <c r="AB572" s="152">
        <v>185.49</v>
      </c>
      <c r="AC572" s="152">
        <v>2</v>
      </c>
      <c r="AD572" s="152" t="s">
        <v>861</v>
      </c>
      <c r="AE572" s="152">
        <v>185.49</v>
      </c>
      <c r="AF572" s="152">
        <v>0</v>
      </c>
      <c r="AG572" s="152" t="s">
        <v>861</v>
      </c>
      <c r="AH572" s="152" t="s">
        <v>861</v>
      </c>
      <c r="AI572" s="152" t="s">
        <v>92</v>
      </c>
      <c r="AJ572" s="152" t="s">
        <v>92</v>
      </c>
      <c r="AK572" s="152" t="s">
        <v>3578</v>
      </c>
      <c r="AL572" s="152" t="s">
        <v>856</v>
      </c>
      <c r="AP572" s="152" t="s">
        <v>856</v>
      </c>
      <c r="AQ572" s="152" t="s">
        <v>856</v>
      </c>
      <c r="AR572" s="152" t="s">
        <v>3846</v>
      </c>
      <c r="AS572" s="159" t="s">
        <v>865</v>
      </c>
      <c r="AT572" s="152" t="str">
        <f t="shared" si="39"/>
        <v>RPNV9-340822</v>
      </c>
      <c r="AU572" s="152" t="str">
        <f t="shared" si="37"/>
        <v xml:space="preserve">PASTOR GUILLERMO VASQUEZ </v>
      </c>
      <c r="AV572" s="152">
        <v>2337.17</v>
      </c>
      <c r="AW572" s="152">
        <v>818366</v>
      </c>
      <c r="AX572" s="159" t="s">
        <v>856</v>
      </c>
      <c r="AY572" s="159" t="s">
        <v>856</v>
      </c>
      <c r="AZ572" s="152" t="s">
        <v>864</v>
      </c>
      <c r="BA572" s="152" t="str">
        <f t="shared" si="38"/>
        <v>L22-798-AQ092</v>
      </c>
      <c r="BB572" s="152">
        <v>0</v>
      </c>
      <c r="BC572" s="157">
        <v>44887</v>
      </c>
      <c r="BD572" s="157">
        <v>44887</v>
      </c>
      <c r="BE572" s="158">
        <v>463725</v>
      </c>
    </row>
    <row r="573" spans="1:66">
      <c r="A573" s="152" t="s">
        <v>4540</v>
      </c>
      <c r="B573" s="152" t="s">
        <v>4541</v>
      </c>
      <c r="C573" s="152" t="s">
        <v>4542</v>
      </c>
      <c r="D573" s="152" t="s">
        <v>4543</v>
      </c>
      <c r="E573" s="152" t="s">
        <v>4543</v>
      </c>
      <c r="F573" s="152">
        <v>306599</v>
      </c>
      <c r="G573" s="152">
        <v>189</v>
      </c>
      <c r="H573" s="152">
        <v>739</v>
      </c>
      <c r="I573" s="152">
        <v>184133</v>
      </c>
      <c r="J573" s="152">
        <v>171.93</v>
      </c>
      <c r="K573" s="152">
        <v>75288</v>
      </c>
      <c r="L573" s="152" t="s">
        <v>856</v>
      </c>
      <c r="M573" s="152" t="s">
        <v>92</v>
      </c>
      <c r="N573" s="152" t="s">
        <v>92</v>
      </c>
      <c r="O573" s="164" t="s">
        <v>856</v>
      </c>
      <c r="P573" s="164" t="s">
        <v>856</v>
      </c>
      <c r="Q573" s="152" t="s">
        <v>92</v>
      </c>
      <c r="R573" s="152" t="s">
        <v>92</v>
      </c>
      <c r="S573" s="164" t="s">
        <v>856</v>
      </c>
      <c r="T573" s="164" t="s">
        <v>856</v>
      </c>
      <c r="U573" s="164" t="s">
        <v>856</v>
      </c>
      <c r="V573" s="152" t="s">
        <v>857</v>
      </c>
      <c r="W573" s="152" t="s">
        <v>858</v>
      </c>
      <c r="X573" s="152" t="s">
        <v>1083</v>
      </c>
      <c r="Y573" s="152">
        <v>0</v>
      </c>
      <c r="Z573" s="152">
        <v>1</v>
      </c>
      <c r="AA573" s="152" t="s">
        <v>92</v>
      </c>
      <c r="AB573" s="152">
        <v>92.3</v>
      </c>
      <c r="AC573" s="152">
        <v>2</v>
      </c>
      <c r="AD573" s="152" t="s">
        <v>861</v>
      </c>
      <c r="AE573" s="152">
        <v>92.3</v>
      </c>
      <c r="AF573" s="152">
        <v>0</v>
      </c>
      <c r="AG573" s="152" t="s">
        <v>861</v>
      </c>
      <c r="AH573" s="152" t="s">
        <v>861</v>
      </c>
      <c r="AI573" s="152" t="s">
        <v>92</v>
      </c>
      <c r="AJ573" s="152" t="s">
        <v>92</v>
      </c>
      <c r="AK573" s="152" t="s">
        <v>884</v>
      </c>
      <c r="AL573" s="152" t="s">
        <v>856</v>
      </c>
      <c r="AP573" s="152" t="s">
        <v>856</v>
      </c>
      <c r="AQ573" s="152" t="s">
        <v>856</v>
      </c>
      <c r="AR573" s="152" t="s">
        <v>3846</v>
      </c>
      <c r="AS573" s="159" t="s">
        <v>865</v>
      </c>
      <c r="AT573" s="152" t="str">
        <f t="shared" si="39"/>
        <v>RPNL9-300822</v>
      </c>
      <c r="AU573" s="152" t="str">
        <f t="shared" si="37"/>
        <v xml:space="preserve">MARTINA LOPEZ DE LOS SANTOS Y CONDUEÑO </v>
      </c>
      <c r="AV573" s="152">
        <v>1162.98</v>
      </c>
      <c r="AW573" s="152">
        <v>817776</v>
      </c>
      <c r="AX573" s="152">
        <v>35.75</v>
      </c>
      <c r="AY573" s="152">
        <v>817778</v>
      </c>
      <c r="AZ573" s="152" t="s">
        <v>864</v>
      </c>
      <c r="BA573" s="152" t="str">
        <f t="shared" si="38"/>
        <v>L22-761-AQ093</v>
      </c>
      <c r="BB573" s="152">
        <v>0</v>
      </c>
      <c r="BC573" s="157">
        <v>44873</v>
      </c>
      <c r="BD573" s="157">
        <v>44873</v>
      </c>
      <c r="BE573" s="158">
        <v>230750</v>
      </c>
      <c r="BF573" s="152" t="s">
        <v>4544</v>
      </c>
      <c r="BG573" s="152" t="s">
        <v>894</v>
      </c>
      <c r="BH573" s="152">
        <v>92.3</v>
      </c>
      <c r="BI573" s="152">
        <v>0</v>
      </c>
      <c r="BJ573" s="152">
        <v>0</v>
      </c>
      <c r="BK573" s="152" t="s">
        <v>4184</v>
      </c>
      <c r="BL573" s="152">
        <v>92.3</v>
      </c>
      <c r="BM573" s="152">
        <v>817777</v>
      </c>
      <c r="BN573" s="157" t="s">
        <v>1453</v>
      </c>
    </row>
    <row r="574" spans="1:66">
      <c r="A574" s="152" t="s">
        <v>4545</v>
      </c>
      <c r="B574" s="152" t="s">
        <v>4546</v>
      </c>
      <c r="C574" s="152" t="s">
        <v>4547</v>
      </c>
      <c r="D574" s="152" t="s">
        <v>4548</v>
      </c>
      <c r="E574" s="152" t="s">
        <v>4548</v>
      </c>
      <c r="F574" s="152">
        <v>231264</v>
      </c>
      <c r="G574" s="152">
        <v>34</v>
      </c>
      <c r="H574" s="152">
        <v>489</v>
      </c>
      <c r="I574" s="152">
        <v>119137</v>
      </c>
      <c r="J574" s="152">
        <v>436.81</v>
      </c>
      <c r="K574" s="152">
        <v>15940</v>
      </c>
      <c r="L574" s="152" t="s">
        <v>4549</v>
      </c>
      <c r="M574" s="152" t="s">
        <v>92</v>
      </c>
      <c r="N574" s="152" t="s">
        <v>883</v>
      </c>
      <c r="O574" s="152">
        <v>6541</v>
      </c>
      <c r="P574" s="152" t="s">
        <v>4550</v>
      </c>
      <c r="Q574" s="152" t="s">
        <v>92</v>
      </c>
      <c r="R574" s="152" t="s">
        <v>883</v>
      </c>
      <c r="S574" s="152">
        <v>6541</v>
      </c>
      <c r="T574" s="164" t="s">
        <v>856</v>
      </c>
      <c r="U574" s="164" t="s">
        <v>856</v>
      </c>
      <c r="V574" s="152" t="s">
        <v>857</v>
      </c>
      <c r="W574" s="152" t="s">
        <v>858</v>
      </c>
      <c r="X574" s="152" t="s">
        <v>1083</v>
      </c>
      <c r="Y574" s="152">
        <v>0</v>
      </c>
      <c r="Z574" s="152">
        <v>1</v>
      </c>
      <c r="AA574" s="152" t="s">
        <v>92</v>
      </c>
      <c r="AB574" s="152">
        <v>147</v>
      </c>
      <c r="AC574" s="152">
        <v>2</v>
      </c>
      <c r="AD574" s="152" t="s">
        <v>861</v>
      </c>
      <c r="AE574" s="152">
        <v>147</v>
      </c>
      <c r="AF574" s="152">
        <v>0</v>
      </c>
      <c r="AG574" s="152" t="s">
        <v>861</v>
      </c>
      <c r="AH574" s="152" t="s">
        <v>861</v>
      </c>
      <c r="AI574" s="152" t="s">
        <v>92</v>
      </c>
      <c r="AJ574" s="152" t="s">
        <v>92</v>
      </c>
      <c r="AK574" s="152" t="s">
        <v>862</v>
      </c>
      <c r="AL574" s="152" t="s">
        <v>856</v>
      </c>
      <c r="AP574" s="152" t="s">
        <v>856</v>
      </c>
      <c r="AQ574" s="152" t="s">
        <v>856</v>
      </c>
      <c r="AR574" s="152" t="s">
        <v>873</v>
      </c>
      <c r="AS574" s="159" t="s">
        <v>865</v>
      </c>
      <c r="AT574" s="152" t="str">
        <f t="shared" si="39"/>
        <v>VUNC6-090822</v>
      </c>
      <c r="AU574" s="152" t="str">
        <f t="shared" si="37"/>
        <v xml:space="preserve">PEDRO GABRIEL CHAN </v>
      </c>
      <c r="AV574" s="152">
        <v>1852.2</v>
      </c>
      <c r="AW574" s="152">
        <v>901691</v>
      </c>
      <c r="AX574" s="152">
        <v>35</v>
      </c>
      <c r="AY574" s="152">
        <v>901694</v>
      </c>
      <c r="AZ574" s="152" t="s">
        <v>864</v>
      </c>
      <c r="BA574" s="152" t="str">
        <f t="shared" si="38"/>
        <v>L22-735-SP105</v>
      </c>
      <c r="BB574" s="152">
        <v>24</v>
      </c>
      <c r="BC574" s="157">
        <v>44867</v>
      </c>
      <c r="BD574" s="157">
        <v>45232</v>
      </c>
      <c r="BE574" s="158">
        <v>367500</v>
      </c>
      <c r="BF574" s="152" t="s">
        <v>4551</v>
      </c>
      <c r="BG574" s="152" t="s">
        <v>4552</v>
      </c>
      <c r="BH574" s="152">
        <v>147</v>
      </c>
      <c r="BI574" s="152">
        <v>0</v>
      </c>
      <c r="BJ574" s="152">
        <v>0</v>
      </c>
      <c r="BK574" s="152" t="s">
        <v>132</v>
      </c>
      <c r="BL574" s="152">
        <v>147</v>
      </c>
      <c r="BM574" s="152">
        <v>901693</v>
      </c>
      <c r="BN574" s="157" t="s">
        <v>1453</v>
      </c>
    </row>
    <row r="575" spans="1:66">
      <c r="A575" s="152" t="s">
        <v>4553</v>
      </c>
      <c r="B575" s="152" t="s">
        <v>4554</v>
      </c>
      <c r="C575" s="152" t="s">
        <v>4555</v>
      </c>
      <c r="D575" s="152" t="s">
        <v>4556</v>
      </c>
      <c r="E575" s="152" t="s">
        <v>4556</v>
      </c>
      <c r="F575" s="159" t="s">
        <v>856</v>
      </c>
      <c r="G575" s="159" t="s">
        <v>856</v>
      </c>
      <c r="H575" s="159" t="s">
        <v>856</v>
      </c>
      <c r="I575" s="152">
        <v>203103</v>
      </c>
      <c r="J575" s="152">
        <v>69.3</v>
      </c>
      <c r="K575" s="152">
        <v>89887</v>
      </c>
      <c r="L575" s="152" t="s">
        <v>856</v>
      </c>
      <c r="M575" s="152" t="s">
        <v>92</v>
      </c>
      <c r="N575" s="152" t="s">
        <v>92</v>
      </c>
      <c r="O575" s="164" t="s">
        <v>856</v>
      </c>
      <c r="P575" s="164" t="s">
        <v>856</v>
      </c>
      <c r="Q575" s="152" t="s">
        <v>92</v>
      </c>
      <c r="R575" s="152" t="s">
        <v>92</v>
      </c>
      <c r="S575" s="164" t="s">
        <v>856</v>
      </c>
      <c r="T575" s="164" t="s">
        <v>856</v>
      </c>
      <c r="U575" s="164" t="s">
        <v>856</v>
      </c>
      <c r="V575" s="152" t="s">
        <v>857</v>
      </c>
      <c r="W575" s="152" t="s">
        <v>858</v>
      </c>
      <c r="X575" s="152" t="s">
        <v>1083</v>
      </c>
      <c r="Y575" s="152">
        <v>0</v>
      </c>
      <c r="Z575" s="152">
        <v>1</v>
      </c>
      <c r="AA575" s="152" t="s">
        <v>92</v>
      </c>
      <c r="AB575" s="152">
        <v>66.069999999999993</v>
      </c>
      <c r="AC575" s="152">
        <v>1</v>
      </c>
      <c r="AD575" s="152" t="s">
        <v>861</v>
      </c>
      <c r="AE575" s="152">
        <v>66.069999999999993</v>
      </c>
      <c r="AF575" s="152">
        <v>0</v>
      </c>
      <c r="AG575" s="152" t="s">
        <v>861</v>
      </c>
      <c r="AH575" s="152" t="s">
        <v>861</v>
      </c>
      <c r="AI575" s="152" t="s">
        <v>92</v>
      </c>
      <c r="AJ575" s="152" t="s">
        <v>92</v>
      </c>
      <c r="AK575" s="152" t="s">
        <v>1620</v>
      </c>
      <c r="AL575" s="152" t="s">
        <v>856</v>
      </c>
      <c r="AP575" s="152" t="s">
        <v>856</v>
      </c>
      <c r="AQ575" s="152" t="s">
        <v>856</v>
      </c>
      <c r="AR575" s="152" t="s">
        <v>3846</v>
      </c>
      <c r="AS575" s="159" t="s">
        <v>865</v>
      </c>
      <c r="AT575" s="152" t="str">
        <f t="shared" si="39"/>
        <v>RPNTR-540922</v>
      </c>
      <c r="AU575" s="152" t="str">
        <f t="shared" si="37"/>
        <v xml:space="preserve">MIGUEL ANGEL TZOC COX </v>
      </c>
      <c r="AV575" s="152">
        <v>665.99</v>
      </c>
      <c r="AW575" s="152">
        <v>819101</v>
      </c>
      <c r="AX575" s="152">
        <v>45.25</v>
      </c>
      <c r="AY575" s="152">
        <v>819103</v>
      </c>
      <c r="AZ575" s="152" t="s">
        <v>864</v>
      </c>
      <c r="BA575" s="152" t="str">
        <f t="shared" si="38"/>
        <v>L22-817-AQ050</v>
      </c>
      <c r="BB575" s="152">
        <v>0</v>
      </c>
      <c r="BC575" s="157">
        <v>44891</v>
      </c>
      <c r="BD575" s="157">
        <v>44891</v>
      </c>
      <c r="BE575" s="158">
        <v>132140</v>
      </c>
      <c r="BF575" s="152" t="s">
        <v>4557</v>
      </c>
      <c r="BG575" s="152" t="s">
        <v>894</v>
      </c>
      <c r="BH575" s="152">
        <v>66.069999999999993</v>
      </c>
      <c r="BI575" s="152">
        <v>0</v>
      </c>
      <c r="BJ575" s="152">
        <v>0</v>
      </c>
      <c r="BK575" s="152" t="s">
        <v>132</v>
      </c>
      <c r="BL575" s="152">
        <v>66.069999999999993</v>
      </c>
      <c r="BM575" s="152">
        <v>819102</v>
      </c>
      <c r="BN575" s="157" t="s">
        <v>1453</v>
      </c>
    </row>
    <row r="576" spans="1:66">
      <c r="A576" s="152" t="s">
        <v>4558</v>
      </c>
      <c r="B576" s="152" t="s">
        <v>4559</v>
      </c>
      <c r="C576" s="152" t="s">
        <v>4560</v>
      </c>
      <c r="D576" s="152" t="s">
        <v>4561</v>
      </c>
      <c r="E576" s="152" t="s">
        <v>4562</v>
      </c>
      <c r="F576" s="152">
        <v>1405</v>
      </c>
      <c r="G576" s="152">
        <v>405</v>
      </c>
      <c r="H576" s="152" t="s">
        <v>920</v>
      </c>
      <c r="I576" s="152">
        <v>195315</v>
      </c>
      <c r="J576" s="152">
        <v>177.34</v>
      </c>
      <c r="K576" s="152">
        <v>83815</v>
      </c>
      <c r="L576" s="152" t="s">
        <v>856</v>
      </c>
      <c r="M576" s="152" t="s">
        <v>92</v>
      </c>
      <c r="N576" s="152" t="s">
        <v>92</v>
      </c>
      <c r="O576" s="164" t="s">
        <v>856</v>
      </c>
      <c r="P576" s="164" t="s">
        <v>856</v>
      </c>
      <c r="Q576" s="152" t="s">
        <v>92</v>
      </c>
      <c r="R576" s="152" t="s">
        <v>92</v>
      </c>
      <c r="S576" s="164" t="s">
        <v>856</v>
      </c>
      <c r="T576" s="164" t="s">
        <v>856</v>
      </c>
      <c r="U576" s="164" t="s">
        <v>856</v>
      </c>
      <c r="V576" s="152" t="s">
        <v>1995</v>
      </c>
      <c r="W576" s="152" t="s">
        <v>858</v>
      </c>
      <c r="X576" s="152" t="s">
        <v>1083</v>
      </c>
      <c r="Y576" s="152">
        <v>0</v>
      </c>
      <c r="Z576" s="152">
        <v>0</v>
      </c>
      <c r="AA576" s="152" t="s">
        <v>92</v>
      </c>
      <c r="AB576" s="152">
        <v>0</v>
      </c>
      <c r="AC576" s="152">
        <v>2</v>
      </c>
      <c r="AD576" s="152" t="s">
        <v>861</v>
      </c>
      <c r="AE576" s="152">
        <v>0</v>
      </c>
      <c r="AF576" s="152">
        <v>0</v>
      </c>
      <c r="AG576" s="152" t="s">
        <v>861</v>
      </c>
      <c r="AH576" s="152" t="s">
        <v>861</v>
      </c>
      <c r="AI576" s="152" t="s">
        <v>92</v>
      </c>
      <c r="AJ576" s="152" t="s">
        <v>92</v>
      </c>
      <c r="AK576" s="152" t="s">
        <v>862</v>
      </c>
      <c r="AL576" s="152" t="s">
        <v>856</v>
      </c>
      <c r="AP576" s="152" t="s">
        <v>856</v>
      </c>
      <c r="AQ576" s="152" t="s">
        <v>856</v>
      </c>
      <c r="AR576" s="152" t="s">
        <v>1234</v>
      </c>
      <c r="AS576" s="159" t="s">
        <v>865</v>
      </c>
      <c r="AT576" s="152" t="str">
        <f t="shared" si="39"/>
        <v>VUNV5-030822</v>
      </c>
      <c r="AU576" s="152" t="str">
        <f t="shared" si="37"/>
        <v xml:space="preserve">SERGIO ESTUARDO VIDAL PRADO </v>
      </c>
      <c r="AV576" s="152">
        <v>1406.43</v>
      </c>
      <c r="AW576" s="152">
        <v>818155</v>
      </c>
      <c r="AX576" s="159" t="s">
        <v>856</v>
      </c>
      <c r="AY576" s="159" t="s">
        <v>856</v>
      </c>
      <c r="AZ576" s="152" t="s">
        <v>4563</v>
      </c>
      <c r="BA576" s="152" t="str">
        <f t="shared" si="38"/>
        <v>L22-779-MP034</v>
      </c>
      <c r="BB576" s="152">
        <v>12</v>
      </c>
      <c r="BC576" s="157">
        <v>44881</v>
      </c>
      <c r="BD576" s="157">
        <v>45062</v>
      </c>
      <c r="BE576" s="158">
        <v>535917.80000000005</v>
      </c>
    </row>
    <row r="577" spans="1:66" s="165" customFormat="1">
      <c r="A577" s="165" t="s">
        <v>4564</v>
      </c>
      <c r="B577" s="165" t="s">
        <v>4565</v>
      </c>
      <c r="C577" s="165" t="s">
        <v>4566</v>
      </c>
      <c r="D577" s="165" t="s">
        <v>4567</v>
      </c>
      <c r="E577" s="165" t="s">
        <v>4567</v>
      </c>
      <c r="F577" s="165">
        <v>127</v>
      </c>
      <c r="G577" s="165">
        <v>127</v>
      </c>
      <c r="H577" s="165" t="s">
        <v>4568</v>
      </c>
      <c r="I577" s="165">
        <v>203251</v>
      </c>
      <c r="J577" s="165">
        <v>348</v>
      </c>
      <c r="K577" s="165">
        <v>89934</v>
      </c>
      <c r="L577" s="165" t="s">
        <v>856</v>
      </c>
      <c r="M577" s="165" t="s">
        <v>92</v>
      </c>
      <c r="N577" s="165" t="s">
        <v>92</v>
      </c>
      <c r="O577" s="166" t="s">
        <v>856</v>
      </c>
      <c r="P577" s="166" t="s">
        <v>856</v>
      </c>
      <c r="Q577" s="165" t="s">
        <v>92</v>
      </c>
      <c r="R577" s="165" t="s">
        <v>92</v>
      </c>
      <c r="S577" s="166" t="s">
        <v>856</v>
      </c>
      <c r="T577" s="166" t="s">
        <v>856</v>
      </c>
      <c r="U577" s="166" t="s">
        <v>856</v>
      </c>
      <c r="V577" s="165" t="s">
        <v>857</v>
      </c>
      <c r="W577" s="165" t="s">
        <v>858</v>
      </c>
      <c r="X577" s="165" t="s">
        <v>1083</v>
      </c>
      <c r="Y577" s="165">
        <v>268.45999999999998</v>
      </c>
      <c r="Z577" s="165">
        <v>1</v>
      </c>
      <c r="AA577" s="165" t="s">
        <v>92</v>
      </c>
      <c r="AB577" s="165">
        <v>491.3</v>
      </c>
      <c r="AC577" s="165">
        <v>3</v>
      </c>
      <c r="AD577" s="165">
        <v>1</v>
      </c>
      <c r="AE577" s="165">
        <v>491.3</v>
      </c>
      <c r="AF577" s="165">
        <v>0</v>
      </c>
      <c r="AG577" s="165" t="s">
        <v>861</v>
      </c>
      <c r="AH577" s="165" t="s">
        <v>861</v>
      </c>
      <c r="AI577" s="165" t="s">
        <v>92</v>
      </c>
      <c r="AJ577" s="165" t="s">
        <v>92</v>
      </c>
      <c r="AK577" s="165" t="s">
        <v>872</v>
      </c>
      <c r="AL577" s="165" t="s">
        <v>856</v>
      </c>
      <c r="AP577" s="165" t="s">
        <v>856</v>
      </c>
      <c r="AQ577" s="165" t="s">
        <v>856</v>
      </c>
      <c r="AR577" s="165" t="s">
        <v>1953</v>
      </c>
      <c r="AS577" s="167" t="s">
        <v>865</v>
      </c>
      <c r="AT577" s="165" t="str">
        <f t="shared" si="39"/>
        <v>RPNI9-150522</v>
      </c>
      <c r="AU577" s="165" t="str">
        <f t="shared" si="37"/>
        <v xml:space="preserve">ENRIQUE GABRIEL IXCOY XILOJ </v>
      </c>
      <c r="AV577" s="165">
        <v>3942.02</v>
      </c>
      <c r="AW577" s="165">
        <v>816604</v>
      </c>
      <c r="AX577" s="165">
        <v>60</v>
      </c>
      <c r="AY577" s="165">
        <v>816606</v>
      </c>
      <c r="AZ577" s="165" t="s">
        <v>864</v>
      </c>
      <c r="BA577" s="165" t="str">
        <f t="shared" si="38"/>
        <v>L22-792-NR214</v>
      </c>
      <c r="BB577" s="165">
        <v>0</v>
      </c>
      <c r="BC577" s="168">
        <v>44886</v>
      </c>
      <c r="BD577" s="168">
        <v>44886</v>
      </c>
      <c r="BE577" s="169">
        <v>1567861</v>
      </c>
      <c r="BF577" s="165" t="s">
        <v>4569</v>
      </c>
      <c r="BG577" s="165" t="s">
        <v>894</v>
      </c>
      <c r="BH577" s="165">
        <v>491.3</v>
      </c>
      <c r="BI577" s="165">
        <v>0</v>
      </c>
      <c r="BJ577" s="165">
        <v>0</v>
      </c>
      <c r="BK577" s="165" t="s">
        <v>4184</v>
      </c>
      <c r="BL577" s="165">
        <v>491.3</v>
      </c>
      <c r="BM577" s="165">
        <v>816605</v>
      </c>
      <c r="BN577" s="168" t="s">
        <v>1453</v>
      </c>
    </row>
    <row r="578" spans="1:66">
      <c r="A578" s="152" t="s">
        <v>4570</v>
      </c>
      <c r="B578" s="152" t="s">
        <v>4571</v>
      </c>
      <c r="C578" s="152" t="s">
        <v>4572</v>
      </c>
      <c r="D578" s="152" t="s">
        <v>4573</v>
      </c>
      <c r="E578" s="152" t="s">
        <v>4573</v>
      </c>
      <c r="F578" s="152">
        <v>266396</v>
      </c>
      <c r="G578" s="152">
        <v>146</v>
      </c>
      <c r="H578" s="152">
        <v>607</v>
      </c>
      <c r="I578" s="152">
        <v>144111</v>
      </c>
      <c r="J578" s="152">
        <v>431.3</v>
      </c>
      <c r="K578" s="152">
        <v>50557</v>
      </c>
      <c r="L578" s="152" t="s">
        <v>856</v>
      </c>
      <c r="M578" s="152" t="s">
        <v>92</v>
      </c>
      <c r="N578" s="152" t="s">
        <v>92</v>
      </c>
      <c r="O578" s="164" t="s">
        <v>856</v>
      </c>
      <c r="P578" s="164" t="s">
        <v>856</v>
      </c>
      <c r="Q578" s="152" t="s">
        <v>92</v>
      </c>
      <c r="R578" s="152" t="s">
        <v>92</v>
      </c>
      <c r="S578" s="164" t="s">
        <v>856</v>
      </c>
      <c r="T578" s="164" t="s">
        <v>856</v>
      </c>
      <c r="U578" s="164" t="s">
        <v>856</v>
      </c>
      <c r="V578" s="152" t="s">
        <v>3886</v>
      </c>
      <c r="W578" s="152" t="s">
        <v>858</v>
      </c>
      <c r="X578" s="152" t="s">
        <v>1083</v>
      </c>
      <c r="Y578" s="152">
        <v>0</v>
      </c>
      <c r="Z578" s="152">
        <v>1</v>
      </c>
      <c r="AA578" s="152" t="s">
        <v>92</v>
      </c>
      <c r="AB578" s="152">
        <v>151.59</v>
      </c>
      <c r="AC578" s="152">
        <v>2</v>
      </c>
      <c r="AD578" s="152" t="s">
        <v>861</v>
      </c>
      <c r="AE578" s="152">
        <v>151.59</v>
      </c>
      <c r="AF578" s="152">
        <v>0</v>
      </c>
      <c r="AG578" s="152" t="s">
        <v>861</v>
      </c>
      <c r="AH578" s="152" t="s">
        <v>861</v>
      </c>
      <c r="AI578" s="152" t="s">
        <v>92</v>
      </c>
      <c r="AJ578" s="152" t="s">
        <v>92</v>
      </c>
      <c r="AK578" s="152" t="s">
        <v>3578</v>
      </c>
      <c r="AL578" s="152" t="s">
        <v>856</v>
      </c>
      <c r="AP578" s="152" t="s">
        <v>856</v>
      </c>
      <c r="AQ578" s="152" t="s">
        <v>856</v>
      </c>
      <c r="AR578" s="152" t="s">
        <v>3846</v>
      </c>
      <c r="AS578" s="159" t="s">
        <v>865</v>
      </c>
      <c r="AT578" s="152" t="str">
        <f t="shared" si="39"/>
        <v>RPNB8-440922</v>
      </c>
      <c r="AU578" s="152" t="str">
        <f t="shared" si="37"/>
        <v xml:space="preserve">JUANA ELIZABETH XURUC LOPEZ </v>
      </c>
      <c r="AV578" s="152">
        <v>1910.03</v>
      </c>
      <c r="AW578" s="152">
        <v>901870</v>
      </c>
      <c r="AX578" s="159" t="s">
        <v>856</v>
      </c>
      <c r="AY578" s="159" t="s">
        <v>856</v>
      </c>
      <c r="AZ578" s="152" t="s">
        <v>864</v>
      </c>
      <c r="BA578" s="152" t="str">
        <f t="shared" si="38"/>
        <v>L22-748-AQ107</v>
      </c>
      <c r="BB578" s="152">
        <v>0</v>
      </c>
      <c r="BC578" s="157">
        <v>44872</v>
      </c>
      <c r="BD578" s="157">
        <v>44872</v>
      </c>
      <c r="BE578" s="158">
        <v>378975</v>
      </c>
      <c r="BF578" s="152" t="s">
        <v>4574</v>
      </c>
      <c r="BG578" s="152" t="s">
        <v>894</v>
      </c>
      <c r="BH578" s="152">
        <v>151.59</v>
      </c>
      <c r="BI578" s="152">
        <v>0</v>
      </c>
      <c r="BJ578" s="152">
        <v>0</v>
      </c>
      <c r="BK578" s="152" t="s">
        <v>132</v>
      </c>
      <c r="BL578" s="152">
        <v>151.59</v>
      </c>
      <c r="BM578" s="152">
        <v>901871</v>
      </c>
      <c r="BN578" s="157" t="s">
        <v>1453</v>
      </c>
    </row>
    <row r="579" spans="1:66">
      <c r="A579" s="152" t="s">
        <v>4584</v>
      </c>
      <c r="B579" s="152" t="s">
        <v>4575</v>
      </c>
      <c r="C579" s="152" t="s">
        <v>4576</v>
      </c>
      <c r="D579" s="152" t="s">
        <v>4577</v>
      </c>
      <c r="E579" s="152" t="s">
        <v>4578</v>
      </c>
      <c r="F579" s="152">
        <v>4915</v>
      </c>
      <c r="G579" s="152">
        <v>415</v>
      </c>
      <c r="H579" s="152" t="s">
        <v>2583</v>
      </c>
      <c r="I579" s="152">
        <v>198473</v>
      </c>
      <c r="J579" s="152">
        <v>96.31</v>
      </c>
      <c r="K579" s="152">
        <v>86030</v>
      </c>
      <c r="L579" s="152" t="s">
        <v>4579</v>
      </c>
      <c r="M579" s="152" t="s">
        <v>92</v>
      </c>
      <c r="N579" s="152" t="s">
        <v>883</v>
      </c>
      <c r="O579" s="152">
        <v>6395</v>
      </c>
      <c r="P579" s="152" t="s">
        <v>988</v>
      </c>
      <c r="Q579" s="152" t="s">
        <v>92</v>
      </c>
      <c r="R579" s="152" t="s">
        <v>883</v>
      </c>
      <c r="S579" s="152">
        <v>6395</v>
      </c>
      <c r="T579" s="164" t="s">
        <v>856</v>
      </c>
      <c r="U579" s="164" t="s">
        <v>856</v>
      </c>
      <c r="V579" s="152" t="s">
        <v>857</v>
      </c>
      <c r="W579" s="152" t="s">
        <v>858</v>
      </c>
      <c r="X579" s="152" t="s">
        <v>1083</v>
      </c>
      <c r="Y579" s="152" t="s">
        <v>4580</v>
      </c>
      <c r="Z579" s="152">
        <v>1</v>
      </c>
      <c r="AA579" s="152" t="s">
        <v>92</v>
      </c>
      <c r="AB579" s="152">
        <v>68.569999999999993</v>
      </c>
      <c r="AC579" s="152">
        <v>1</v>
      </c>
      <c r="AD579" s="152" t="s">
        <v>861</v>
      </c>
      <c r="AE579" s="152">
        <v>68.569999999999993</v>
      </c>
      <c r="AF579" s="152">
        <v>0</v>
      </c>
      <c r="AG579" s="152" t="s">
        <v>861</v>
      </c>
      <c r="AH579" s="152" t="s">
        <v>861</v>
      </c>
      <c r="AI579" s="152" t="s">
        <v>92</v>
      </c>
      <c r="AJ579" s="152" t="s">
        <v>92</v>
      </c>
      <c r="AK579" s="152" t="s">
        <v>862</v>
      </c>
      <c r="AL579" s="152" t="s">
        <v>856</v>
      </c>
      <c r="AP579" s="152" t="s">
        <v>856</v>
      </c>
      <c r="AQ579" s="152" t="s">
        <v>856</v>
      </c>
      <c r="AR579" s="152" t="s">
        <v>4581</v>
      </c>
      <c r="AS579" s="159" t="s">
        <v>865</v>
      </c>
      <c r="AT579" s="152" t="str">
        <f t="shared" si="39"/>
        <v>VUNG10-030322</v>
      </c>
      <c r="AU579" s="152" t="str">
        <f t="shared" si="37"/>
        <v xml:space="preserve">ARTEMIO GUOX VICENTE </v>
      </c>
      <c r="AV579" s="152">
        <v>717.88</v>
      </c>
      <c r="AW579" s="152">
        <v>817684</v>
      </c>
      <c r="AX579" s="152">
        <v>99.3</v>
      </c>
      <c r="AY579" s="152">
        <v>817687</v>
      </c>
      <c r="AZ579" s="152" t="s">
        <v>864</v>
      </c>
      <c r="BA579" s="152" t="str">
        <f t="shared" si="38"/>
        <v>L22-747-JM154</v>
      </c>
      <c r="BB579" s="152">
        <v>15</v>
      </c>
      <c r="BC579" s="157">
        <v>44872</v>
      </c>
      <c r="BD579" s="157">
        <v>45176</v>
      </c>
      <c r="BE579" s="158">
        <v>141907</v>
      </c>
      <c r="BF579" s="152" t="s">
        <v>4582</v>
      </c>
      <c r="BG579" s="152" t="s">
        <v>4583</v>
      </c>
      <c r="BH579" s="152">
        <v>68.569999999999993</v>
      </c>
      <c r="BI579" s="152">
        <v>0</v>
      </c>
      <c r="BJ579" s="152">
        <v>0</v>
      </c>
      <c r="BK579" s="152" t="s">
        <v>132</v>
      </c>
      <c r="BL579" s="152">
        <v>68.569999999999993</v>
      </c>
      <c r="BM579" s="152">
        <v>817686</v>
      </c>
      <c r="BN579" s="157" t="s">
        <v>1453</v>
      </c>
    </row>
    <row r="580" spans="1:66">
      <c r="A580" s="152" t="s">
        <v>4585</v>
      </c>
      <c r="B580" s="152" t="s">
        <v>4586</v>
      </c>
      <c r="C580" s="152" t="s">
        <v>4587</v>
      </c>
      <c r="D580" s="152" t="s">
        <v>4588</v>
      </c>
      <c r="E580" s="152" t="s">
        <v>4589</v>
      </c>
      <c r="F580" s="152">
        <v>261967</v>
      </c>
      <c r="G580" s="152">
        <v>147</v>
      </c>
      <c r="H580" s="152">
        <v>593</v>
      </c>
      <c r="I580" s="152">
        <v>197574</v>
      </c>
      <c r="J580" s="152">
        <v>48</v>
      </c>
      <c r="K580" s="152">
        <v>85210</v>
      </c>
      <c r="L580" s="152" t="s">
        <v>1590</v>
      </c>
      <c r="M580" s="152" t="s">
        <v>92</v>
      </c>
      <c r="N580" s="152" t="s">
        <v>883</v>
      </c>
      <c r="O580" s="152">
        <v>2367</v>
      </c>
      <c r="P580" s="152" t="s">
        <v>4590</v>
      </c>
      <c r="Q580" s="152" t="s">
        <v>92</v>
      </c>
      <c r="R580" s="152" t="s">
        <v>883</v>
      </c>
      <c r="S580" s="152">
        <v>2367</v>
      </c>
      <c r="T580" s="164" t="s">
        <v>856</v>
      </c>
      <c r="U580" s="164" t="s">
        <v>856</v>
      </c>
      <c r="V580" s="152" t="s">
        <v>857</v>
      </c>
      <c r="W580" s="152" t="s">
        <v>858</v>
      </c>
      <c r="X580" s="152" t="s">
        <v>1083</v>
      </c>
      <c r="Y580" s="152">
        <v>12.25</v>
      </c>
      <c r="Z580" s="152">
        <v>1</v>
      </c>
      <c r="AA580" s="152" t="s">
        <v>92</v>
      </c>
      <c r="AB580" s="152">
        <v>81.92</v>
      </c>
      <c r="AC580" s="152">
        <v>1</v>
      </c>
      <c r="AD580" s="152" t="s">
        <v>861</v>
      </c>
      <c r="AE580" s="152">
        <v>81.92</v>
      </c>
      <c r="AF580" s="152">
        <v>0</v>
      </c>
      <c r="AG580" s="152" t="s">
        <v>861</v>
      </c>
      <c r="AH580" s="152" t="s">
        <v>861</v>
      </c>
      <c r="AI580" s="152" t="s">
        <v>92</v>
      </c>
      <c r="AJ580" s="152" t="s">
        <v>92</v>
      </c>
      <c r="AK580" s="152" t="s">
        <v>862</v>
      </c>
      <c r="AL580" s="152" t="s">
        <v>856</v>
      </c>
      <c r="AP580" s="152" t="s">
        <v>856</v>
      </c>
      <c r="AQ580" s="152" t="s">
        <v>856</v>
      </c>
      <c r="AR580" s="152" t="s">
        <v>992</v>
      </c>
      <c r="AS580" s="159" t="s">
        <v>865</v>
      </c>
      <c r="AT580" s="152" t="str">
        <f t="shared" si="39"/>
        <v>VUNO5-020922</v>
      </c>
      <c r="AU580" s="152" t="str">
        <f t="shared" si="37"/>
        <v xml:space="preserve">ROCIO BEATRIZ ORDOÑEZ CANASTUJ Y CONDUEÑA </v>
      </c>
      <c r="AV580" s="152">
        <v>1056.2</v>
      </c>
      <c r="AW580" s="152">
        <v>818233</v>
      </c>
      <c r="AX580" s="152">
        <v>21.35</v>
      </c>
      <c r="AY580" s="152">
        <v>818236</v>
      </c>
      <c r="AZ580" s="152" t="s">
        <v>864</v>
      </c>
      <c r="BA580" s="152" t="str">
        <f t="shared" si="38"/>
        <v>L22-784-MP040</v>
      </c>
      <c r="BB580" s="152">
        <v>24</v>
      </c>
      <c r="BC580" s="157">
        <v>44881</v>
      </c>
      <c r="BD580" s="157">
        <v>45246</v>
      </c>
      <c r="BE580" s="158">
        <v>209087.5</v>
      </c>
      <c r="BF580" s="152" t="s">
        <v>4591</v>
      </c>
      <c r="BG580" s="152" t="s">
        <v>4592</v>
      </c>
      <c r="BH580" s="152">
        <v>81.92</v>
      </c>
      <c r="BI580" s="152">
        <v>0</v>
      </c>
      <c r="BJ580" s="152">
        <v>0</v>
      </c>
      <c r="BK580" s="152" t="s">
        <v>132</v>
      </c>
      <c r="BL580" s="152">
        <v>81.92</v>
      </c>
      <c r="BM580" s="152">
        <v>818235</v>
      </c>
      <c r="BN580" s="157" t="s">
        <v>1453</v>
      </c>
    </row>
    <row r="581" spans="1:66">
      <c r="A581" s="152" t="s">
        <v>4593</v>
      </c>
      <c r="B581" s="152" t="s">
        <v>4594</v>
      </c>
      <c r="C581" s="152" t="s">
        <v>4595</v>
      </c>
      <c r="D581" s="152" t="s">
        <v>4596</v>
      </c>
      <c r="E581" s="152" t="s">
        <v>4597</v>
      </c>
      <c r="F581" s="152">
        <v>5566</v>
      </c>
      <c r="G581" s="152">
        <v>66</v>
      </c>
      <c r="H581" s="152" t="s">
        <v>4598</v>
      </c>
      <c r="I581" s="152">
        <v>200324</v>
      </c>
      <c r="J581" s="152">
        <v>129.11000000000001</v>
      </c>
      <c r="K581" s="152">
        <v>97830</v>
      </c>
      <c r="L581" s="152" t="s">
        <v>4599</v>
      </c>
      <c r="M581" s="152" t="s">
        <v>92</v>
      </c>
      <c r="N581" s="152" t="s">
        <v>883</v>
      </c>
      <c r="O581" s="152">
        <v>6492</v>
      </c>
      <c r="P581" s="152" t="s">
        <v>4599</v>
      </c>
      <c r="Q581" s="152" t="s">
        <v>92</v>
      </c>
      <c r="R581" s="152" t="s">
        <v>883</v>
      </c>
      <c r="S581" s="152">
        <v>6492</v>
      </c>
      <c r="T581" s="164" t="s">
        <v>856</v>
      </c>
      <c r="U581" s="164" t="s">
        <v>856</v>
      </c>
      <c r="V581" s="152" t="s">
        <v>857</v>
      </c>
      <c r="W581" s="152" t="s">
        <v>858</v>
      </c>
      <c r="X581" s="152" t="s">
        <v>1083</v>
      </c>
      <c r="Y581" s="152">
        <v>106.5</v>
      </c>
      <c r="Z581" s="152">
        <v>1</v>
      </c>
      <c r="AA581" s="152" t="s">
        <v>92</v>
      </c>
      <c r="AB581" s="152">
        <v>49.99</v>
      </c>
      <c r="AC581" s="152">
        <v>1</v>
      </c>
      <c r="AD581" s="152" t="s">
        <v>861</v>
      </c>
      <c r="AE581" s="152">
        <v>49.99</v>
      </c>
      <c r="AF581" s="152">
        <v>0</v>
      </c>
      <c r="AG581" s="152" t="s">
        <v>861</v>
      </c>
      <c r="AH581" s="152" t="s">
        <v>861</v>
      </c>
      <c r="AI581" s="152" t="s">
        <v>92</v>
      </c>
      <c r="AJ581" s="152" t="s">
        <v>92</v>
      </c>
      <c r="AK581" s="152" t="s">
        <v>912</v>
      </c>
      <c r="AL581" s="152" t="s">
        <v>856</v>
      </c>
      <c r="AP581" s="152" t="s">
        <v>856</v>
      </c>
      <c r="AQ581" s="152" t="s">
        <v>856</v>
      </c>
      <c r="AR581" s="152" t="s">
        <v>4600</v>
      </c>
      <c r="AS581" s="159" t="s">
        <v>865</v>
      </c>
      <c r="AT581" s="152" t="str">
        <f t="shared" si="39"/>
        <v>VUNL5-010122</v>
      </c>
      <c r="AU581" s="152" t="str">
        <f t="shared" si="37"/>
        <v xml:space="preserve">AURA ELIZABETH LOPEZ ROBLES </v>
      </c>
      <c r="AV581" s="152">
        <v>825.8</v>
      </c>
      <c r="AW581" s="152">
        <v>816824</v>
      </c>
      <c r="AX581" s="152">
        <v>60</v>
      </c>
      <c r="AY581" s="152">
        <v>816827</v>
      </c>
      <c r="AZ581" s="152" t="s">
        <v>864</v>
      </c>
      <c r="BA581" s="152" t="str">
        <f t="shared" si="38"/>
        <v>L22-811-JM09</v>
      </c>
      <c r="BB581" s="152">
        <v>15</v>
      </c>
      <c r="BC581" s="157">
        <v>44893</v>
      </c>
      <c r="BD581" s="157" t="s">
        <v>4601</v>
      </c>
      <c r="BE581" s="158">
        <v>141027</v>
      </c>
      <c r="BF581" s="152" t="s">
        <v>4602</v>
      </c>
      <c r="BG581" s="152" t="s">
        <v>4603</v>
      </c>
      <c r="BH581" s="152">
        <v>49.99</v>
      </c>
      <c r="BI581" s="152">
        <v>0</v>
      </c>
      <c r="BJ581" s="152">
        <v>0</v>
      </c>
      <c r="BK581" s="152" t="s">
        <v>132</v>
      </c>
      <c r="BL581" s="152">
        <v>49.99</v>
      </c>
      <c r="BM581" s="152">
        <v>816823</v>
      </c>
      <c r="BN581" s="157" t="s">
        <v>1453</v>
      </c>
    </row>
    <row r="582" spans="1:66">
      <c r="A582" s="152" t="s">
        <v>4604</v>
      </c>
      <c r="B582" s="152" t="s">
        <v>4605</v>
      </c>
      <c r="C582" s="152" t="s">
        <v>4606</v>
      </c>
      <c r="D582" s="152" t="s">
        <v>4607</v>
      </c>
      <c r="E582" s="152" t="s">
        <v>4607</v>
      </c>
      <c r="F582" s="152">
        <v>35547</v>
      </c>
      <c r="G582" s="152">
        <v>145</v>
      </c>
      <c r="H582" s="152">
        <v>202</v>
      </c>
      <c r="I582" s="152">
        <v>9035</v>
      </c>
      <c r="J582" s="152">
        <v>243.88</v>
      </c>
      <c r="K582" s="152">
        <v>18436</v>
      </c>
      <c r="L582" s="152" t="s">
        <v>4608</v>
      </c>
      <c r="M582" s="152" t="s">
        <v>883</v>
      </c>
      <c r="N582" s="152" t="s">
        <v>92</v>
      </c>
      <c r="O582" s="152">
        <v>13136</v>
      </c>
      <c r="P582" s="152" t="s">
        <v>1042</v>
      </c>
      <c r="Q582" s="152" t="s">
        <v>883</v>
      </c>
      <c r="R582" s="152" t="s">
        <v>92</v>
      </c>
      <c r="S582" s="152">
        <v>13136</v>
      </c>
      <c r="T582" s="164" t="s">
        <v>856</v>
      </c>
      <c r="U582" s="164" t="s">
        <v>856</v>
      </c>
      <c r="V582" s="152" t="s">
        <v>4037</v>
      </c>
      <c r="W582" s="152" t="s">
        <v>4609</v>
      </c>
      <c r="X582" s="164" t="s">
        <v>856</v>
      </c>
      <c r="Y582" s="152">
        <v>0</v>
      </c>
      <c r="Z582" s="159">
        <v>0</v>
      </c>
      <c r="AA582" s="152" t="s">
        <v>92</v>
      </c>
      <c r="AB582" s="152">
        <v>106.85</v>
      </c>
      <c r="AC582" s="152">
        <v>1</v>
      </c>
      <c r="AD582" s="152" t="s">
        <v>861</v>
      </c>
      <c r="AE582" s="152">
        <v>106.82</v>
      </c>
      <c r="AF582" s="152">
        <v>0</v>
      </c>
      <c r="AG582" s="152" t="s">
        <v>861</v>
      </c>
      <c r="AH582" s="152" t="s">
        <v>861</v>
      </c>
      <c r="AI582" s="152" t="s">
        <v>92</v>
      </c>
      <c r="AJ582" s="152" t="s">
        <v>92</v>
      </c>
      <c r="AK582" s="152" t="s">
        <v>972</v>
      </c>
      <c r="AL582" s="152" t="s">
        <v>856</v>
      </c>
      <c r="AP582" s="152" t="s">
        <v>856</v>
      </c>
      <c r="AQ582" s="152" t="s">
        <v>856</v>
      </c>
      <c r="AR582" s="152" t="s">
        <v>4509</v>
      </c>
      <c r="AS582" s="159" t="s">
        <v>865</v>
      </c>
      <c r="AT582" s="152" t="str">
        <f t="shared" si="39"/>
        <v>DMNP2-030922</v>
      </c>
      <c r="AU582" s="152" t="str">
        <f t="shared" si="37"/>
        <v xml:space="preserve">ERICK EMILIO PUM MARTINEZ Y CONDUEÑA </v>
      </c>
      <c r="AV582" s="152">
        <v>80.12</v>
      </c>
      <c r="AW582" s="152">
        <v>818403</v>
      </c>
      <c r="AX582" s="159" t="s">
        <v>856</v>
      </c>
      <c r="AY582" s="159" t="s">
        <v>856</v>
      </c>
      <c r="AZ582" s="152" t="s">
        <v>1008</v>
      </c>
      <c r="BA582" s="152" t="str">
        <f t="shared" si="38"/>
        <v>L22-805-JM177</v>
      </c>
      <c r="BB582" s="152">
        <v>12</v>
      </c>
      <c r="BC582" s="157">
        <v>44887</v>
      </c>
      <c r="BD582" s="157">
        <v>45068</v>
      </c>
      <c r="BE582" s="158">
        <v>10682</v>
      </c>
    </row>
    <row r="583" spans="1:66">
      <c r="A583" s="152" t="s">
        <v>4610</v>
      </c>
      <c r="B583" s="152" t="s">
        <v>4611</v>
      </c>
      <c r="C583" s="152" t="s">
        <v>4612</v>
      </c>
      <c r="D583" s="152" t="s">
        <v>4613</v>
      </c>
      <c r="E583" s="152" t="s">
        <v>4613</v>
      </c>
      <c r="F583" s="152">
        <v>5412</v>
      </c>
      <c r="G583" s="152">
        <v>412</v>
      </c>
      <c r="H583" s="152" t="s">
        <v>1507</v>
      </c>
      <c r="I583" s="152">
        <v>203078</v>
      </c>
      <c r="J583" s="152">
        <v>192</v>
      </c>
      <c r="K583" s="152">
        <v>89772</v>
      </c>
      <c r="L583" s="152" t="s">
        <v>856</v>
      </c>
      <c r="M583" s="152" t="s">
        <v>92</v>
      </c>
      <c r="N583" s="152" t="s">
        <v>92</v>
      </c>
      <c r="O583" s="164" t="s">
        <v>856</v>
      </c>
      <c r="P583" s="164" t="s">
        <v>856</v>
      </c>
      <c r="Q583" s="152" t="s">
        <v>92</v>
      </c>
      <c r="R583" s="152" t="s">
        <v>92</v>
      </c>
      <c r="S583" s="164" t="s">
        <v>856</v>
      </c>
      <c r="T583" s="164" t="s">
        <v>856</v>
      </c>
      <c r="U583" s="164" t="s">
        <v>856</v>
      </c>
      <c r="V583" s="152" t="s">
        <v>857</v>
      </c>
      <c r="W583" s="152" t="s">
        <v>4609</v>
      </c>
      <c r="X583" s="152" t="s">
        <v>1083</v>
      </c>
      <c r="Y583" s="152">
        <v>27.65</v>
      </c>
      <c r="Z583" s="152">
        <v>1</v>
      </c>
      <c r="AA583" s="152" t="s">
        <v>92</v>
      </c>
      <c r="AB583" s="152">
        <v>346.74</v>
      </c>
      <c r="AC583" s="152">
        <v>2</v>
      </c>
      <c r="AD583" s="152" t="s">
        <v>861</v>
      </c>
      <c r="AE583" s="152">
        <v>346.74</v>
      </c>
      <c r="AF583" s="152">
        <v>0</v>
      </c>
      <c r="AG583" s="152" t="s">
        <v>861</v>
      </c>
      <c r="AH583" s="152" t="s">
        <v>861</v>
      </c>
      <c r="AI583" s="152" t="s">
        <v>92</v>
      </c>
      <c r="AJ583" s="152" t="s">
        <v>92</v>
      </c>
      <c r="AK583" s="152" t="s">
        <v>972</v>
      </c>
      <c r="AL583" s="152" t="s">
        <v>856</v>
      </c>
      <c r="AP583" s="152" t="s">
        <v>856</v>
      </c>
      <c r="AQ583" s="152" t="s">
        <v>856</v>
      </c>
      <c r="AR583" s="152" t="s">
        <v>1043</v>
      </c>
      <c r="AS583" s="159" t="s">
        <v>865</v>
      </c>
      <c r="AT583" s="152" t="str">
        <f t="shared" si="39"/>
        <v>RPNM5-630822</v>
      </c>
      <c r="AU583" s="152" t="str">
        <f t="shared" si="37"/>
        <v xml:space="preserve">MONICA CELITA MAHELIY MIRANDA LOPEZ </v>
      </c>
      <c r="AV583" s="152">
        <v>4423.12</v>
      </c>
      <c r="AW583" s="152">
        <v>815232</v>
      </c>
      <c r="AX583" s="152">
        <v>40</v>
      </c>
      <c r="AY583" s="152">
        <v>815234</v>
      </c>
      <c r="AZ583" s="152" t="s">
        <v>864</v>
      </c>
      <c r="BA583" s="152" t="str">
        <f t="shared" si="38"/>
        <v>L22-749-MP062</v>
      </c>
      <c r="BB583" s="152">
        <v>0</v>
      </c>
      <c r="BC583" s="157">
        <v>44872</v>
      </c>
      <c r="BD583" s="157">
        <v>44872</v>
      </c>
      <c r="BE583" s="158">
        <v>876527.5</v>
      </c>
      <c r="BF583" s="152" t="s">
        <v>4614</v>
      </c>
      <c r="BG583" s="152" t="s">
        <v>4615</v>
      </c>
      <c r="BH583" s="152">
        <v>346.74</v>
      </c>
      <c r="BI583" s="152">
        <v>0</v>
      </c>
      <c r="BJ583" s="152">
        <v>0</v>
      </c>
      <c r="BK583" s="152" t="s">
        <v>4184</v>
      </c>
      <c r="BL583" s="152">
        <v>346.74</v>
      </c>
      <c r="BM583" s="152">
        <v>815233</v>
      </c>
      <c r="BN583" s="157" t="s">
        <v>1453</v>
      </c>
    </row>
    <row r="584" spans="1:66">
      <c r="A584" s="152" t="s">
        <v>4616</v>
      </c>
      <c r="B584" s="152" t="s">
        <v>4617</v>
      </c>
      <c r="C584" s="152" t="s">
        <v>4618</v>
      </c>
      <c r="D584" s="152" t="s">
        <v>4619</v>
      </c>
      <c r="E584" s="152" t="s">
        <v>4620</v>
      </c>
      <c r="F584" s="152">
        <v>4038</v>
      </c>
      <c r="G584" s="152">
        <v>38</v>
      </c>
      <c r="H584" s="152" t="s">
        <v>3515</v>
      </c>
      <c r="I584" s="152">
        <v>201845</v>
      </c>
      <c r="J584" s="152">
        <v>90</v>
      </c>
      <c r="K584" s="152">
        <v>88783</v>
      </c>
      <c r="L584" s="152" t="s">
        <v>4621</v>
      </c>
      <c r="M584" s="152" t="s">
        <v>92</v>
      </c>
      <c r="N584" s="152" t="s">
        <v>883</v>
      </c>
      <c r="O584" s="152">
        <v>4074</v>
      </c>
      <c r="P584" s="152" t="s">
        <v>4621</v>
      </c>
      <c r="Q584" s="152" t="s">
        <v>92</v>
      </c>
      <c r="R584" s="152" t="s">
        <v>883</v>
      </c>
      <c r="S584" s="152">
        <v>4074</v>
      </c>
      <c r="T584" s="164" t="s">
        <v>856</v>
      </c>
      <c r="U584" s="164" t="s">
        <v>856</v>
      </c>
      <c r="V584" s="152" t="s">
        <v>857</v>
      </c>
      <c r="W584" s="152" t="s">
        <v>4609</v>
      </c>
      <c r="X584" s="152" t="s">
        <v>1083</v>
      </c>
      <c r="Y584" s="152">
        <v>0</v>
      </c>
      <c r="Z584" s="152">
        <v>1</v>
      </c>
      <c r="AA584" s="152" t="s">
        <v>883</v>
      </c>
      <c r="AB584" s="152">
        <v>161.99</v>
      </c>
      <c r="AC584" s="152">
        <v>2</v>
      </c>
      <c r="AD584" s="152" t="s">
        <v>861</v>
      </c>
      <c r="AE584" s="152">
        <v>161.99</v>
      </c>
      <c r="AF584" s="152">
        <v>0</v>
      </c>
      <c r="AG584" s="152" t="s">
        <v>861</v>
      </c>
      <c r="AH584" s="152" t="s">
        <v>861</v>
      </c>
      <c r="AI584" s="152" t="s">
        <v>92</v>
      </c>
      <c r="AJ584" s="152" t="s">
        <v>92</v>
      </c>
      <c r="AK584" s="152" t="s">
        <v>862</v>
      </c>
      <c r="AL584" s="152" t="s">
        <v>856</v>
      </c>
      <c r="AP584" s="152" t="s">
        <v>856</v>
      </c>
      <c r="AQ584" s="152" t="s">
        <v>856</v>
      </c>
      <c r="AR584" s="152" t="s">
        <v>873</v>
      </c>
      <c r="AS584" s="159" t="s">
        <v>865</v>
      </c>
      <c r="AT584" s="152" t="str">
        <f t="shared" si="39"/>
        <v>VUNM11-050922</v>
      </c>
      <c r="AU584" s="152" t="str">
        <f t="shared" si="37"/>
        <v xml:space="preserve">JULIO JOSE MORAN SOLOGAISTOA </v>
      </c>
      <c r="AV584" s="152">
        <v>2041.07</v>
      </c>
      <c r="AW584" s="152">
        <v>818543</v>
      </c>
      <c r="AX584" s="152">
        <v>30</v>
      </c>
      <c r="AY584" s="152">
        <v>818546</v>
      </c>
      <c r="AZ584" s="152" t="s">
        <v>864</v>
      </c>
      <c r="BA584" s="152" t="str">
        <f t="shared" si="38"/>
        <v>L22-810-MP043</v>
      </c>
      <c r="BB584" s="152">
        <v>24</v>
      </c>
      <c r="BC584" s="157">
        <v>44890</v>
      </c>
      <c r="BD584" s="157">
        <v>45255</v>
      </c>
      <c r="BE584" s="158">
        <v>404975</v>
      </c>
      <c r="BF584" s="152" t="s">
        <v>4622</v>
      </c>
      <c r="BG584" s="152" t="s">
        <v>4615</v>
      </c>
      <c r="BH584" s="152">
        <v>161.99</v>
      </c>
      <c r="BI584" s="152">
        <v>0</v>
      </c>
      <c r="BJ584" s="152">
        <v>0</v>
      </c>
      <c r="BK584" s="152" t="s">
        <v>132</v>
      </c>
      <c r="BL584" s="152">
        <v>161.99</v>
      </c>
      <c r="BM584" s="152">
        <v>818545</v>
      </c>
      <c r="BN584" s="157" t="s">
        <v>1453</v>
      </c>
    </row>
    <row r="585" spans="1:66">
      <c r="A585" s="152" t="s">
        <v>4623</v>
      </c>
      <c r="B585" s="152" t="s">
        <v>4624</v>
      </c>
      <c r="C585" s="152" t="s">
        <v>4625</v>
      </c>
      <c r="D585" s="152" t="s">
        <v>4626</v>
      </c>
      <c r="E585" s="152" t="s">
        <v>4626</v>
      </c>
      <c r="F585" s="152">
        <v>8491</v>
      </c>
      <c r="G585" s="152">
        <v>491</v>
      </c>
      <c r="H585" s="152" t="s">
        <v>2178</v>
      </c>
      <c r="I585" s="152">
        <v>189468</v>
      </c>
      <c r="J585" s="152">
        <v>264.67</v>
      </c>
      <c r="K585" s="152">
        <v>79376</v>
      </c>
      <c r="L585" s="152" t="s">
        <v>856</v>
      </c>
      <c r="M585" s="152" t="s">
        <v>92</v>
      </c>
      <c r="N585" s="152" t="s">
        <v>92</v>
      </c>
      <c r="O585" s="164" t="s">
        <v>856</v>
      </c>
      <c r="P585" s="164" t="s">
        <v>856</v>
      </c>
      <c r="Q585" s="152" t="s">
        <v>92</v>
      </c>
      <c r="R585" s="152" t="s">
        <v>92</v>
      </c>
      <c r="S585" s="164" t="s">
        <v>856</v>
      </c>
      <c r="T585" s="164" t="s">
        <v>856</v>
      </c>
      <c r="U585" s="164" t="s">
        <v>856</v>
      </c>
      <c r="V585" s="152" t="s">
        <v>857</v>
      </c>
      <c r="W585" s="152" t="s">
        <v>4609</v>
      </c>
      <c r="X585" s="152" t="s">
        <v>1083</v>
      </c>
      <c r="Y585" s="152">
        <v>114.41</v>
      </c>
      <c r="Z585" s="152">
        <v>1</v>
      </c>
      <c r="AA585" s="152" t="s">
        <v>92</v>
      </c>
      <c r="AB585" s="152">
        <v>168.5</v>
      </c>
      <c r="AC585" s="152">
        <v>2</v>
      </c>
      <c r="AD585" s="152" t="s">
        <v>861</v>
      </c>
      <c r="AE585" s="152">
        <v>168.5</v>
      </c>
      <c r="AF585" s="152">
        <v>0</v>
      </c>
      <c r="AG585" s="152" t="s">
        <v>861</v>
      </c>
      <c r="AH585" s="152" t="s">
        <v>861</v>
      </c>
      <c r="AI585" s="152" t="s">
        <v>92</v>
      </c>
      <c r="AJ585" s="152" t="s">
        <v>92</v>
      </c>
      <c r="AK585" s="152" t="s">
        <v>862</v>
      </c>
      <c r="AL585" s="152" t="s">
        <v>856</v>
      </c>
      <c r="AP585" s="152" t="s">
        <v>856</v>
      </c>
      <c r="AQ585" s="152" t="s">
        <v>856</v>
      </c>
      <c r="AR585" s="152" t="s">
        <v>3846</v>
      </c>
      <c r="AS585" s="159" t="s">
        <v>865</v>
      </c>
      <c r="AT585" s="152" t="str">
        <f t="shared" si="39"/>
        <v>RPNE10-460822</v>
      </c>
      <c r="AU585" s="152" t="str">
        <f t="shared" si="37"/>
        <v xml:space="preserve">WILLIAM ALEXIS ESTRADA GARCIA </v>
      </c>
      <c r="AV585" s="152">
        <v>3395.7</v>
      </c>
      <c r="AW585" s="152">
        <v>818189</v>
      </c>
      <c r="AX585" s="152">
        <v>73.5</v>
      </c>
      <c r="AY585" s="152">
        <v>818191</v>
      </c>
      <c r="AZ585" s="152" t="s">
        <v>864</v>
      </c>
      <c r="BA585" s="152" t="str">
        <f t="shared" si="38"/>
        <v>L22-782-AQ106</v>
      </c>
      <c r="BB585" s="152">
        <v>0</v>
      </c>
      <c r="BC585" s="157">
        <v>44882</v>
      </c>
      <c r="BD585" s="157">
        <v>44882</v>
      </c>
      <c r="BE585" s="158">
        <v>471297.2</v>
      </c>
      <c r="BF585" s="152" t="s">
        <v>4627</v>
      </c>
      <c r="BG585" s="152" t="s">
        <v>894</v>
      </c>
      <c r="BH585" s="152">
        <v>168.5</v>
      </c>
      <c r="BI585" s="152">
        <v>0</v>
      </c>
      <c r="BJ585" s="152">
        <v>0</v>
      </c>
      <c r="BK585" s="152" t="s">
        <v>132</v>
      </c>
      <c r="BL585" s="152">
        <v>168.5</v>
      </c>
      <c r="BM585" s="152">
        <v>818190</v>
      </c>
      <c r="BN585" s="157" t="s">
        <v>1453</v>
      </c>
    </row>
    <row r="586" spans="1:66">
      <c r="A586" s="152" t="s">
        <v>4628</v>
      </c>
      <c r="B586" s="152" t="s">
        <v>4629</v>
      </c>
      <c r="C586" s="152" t="s">
        <v>4630</v>
      </c>
      <c r="D586" s="152" t="s">
        <v>4631</v>
      </c>
      <c r="E586" s="152" t="s">
        <v>4632</v>
      </c>
      <c r="F586" s="152">
        <v>1476</v>
      </c>
      <c r="G586" s="152">
        <v>476</v>
      </c>
      <c r="H586" s="152" t="s">
        <v>920</v>
      </c>
      <c r="I586" s="152">
        <v>195350</v>
      </c>
      <c r="J586" s="152">
        <v>128</v>
      </c>
      <c r="K586" s="152">
        <v>83851</v>
      </c>
      <c r="L586" s="152" t="s">
        <v>4633</v>
      </c>
      <c r="M586" s="152" t="s">
        <v>883</v>
      </c>
      <c r="N586" s="152" t="s">
        <v>92</v>
      </c>
      <c r="O586" s="152">
        <v>14965</v>
      </c>
      <c r="P586" s="152" t="s">
        <v>4633</v>
      </c>
      <c r="Q586" s="152" t="s">
        <v>883</v>
      </c>
      <c r="R586" s="152" t="s">
        <v>92</v>
      </c>
      <c r="S586" s="152">
        <v>14965</v>
      </c>
      <c r="T586" s="164" t="s">
        <v>856</v>
      </c>
      <c r="U586" s="164" t="s">
        <v>856</v>
      </c>
      <c r="V586" s="152" t="s">
        <v>857</v>
      </c>
      <c r="W586" s="152" t="s">
        <v>4609</v>
      </c>
      <c r="X586" s="152" t="s">
        <v>1083</v>
      </c>
      <c r="Y586" s="152">
        <v>36.049999999999997</v>
      </c>
      <c r="Z586" s="152">
        <v>1</v>
      </c>
      <c r="AA586" s="152" t="s">
        <v>92</v>
      </c>
      <c r="AB586" s="152">
        <v>102.5</v>
      </c>
      <c r="AC586" s="152">
        <v>1</v>
      </c>
      <c r="AD586" s="152" t="s">
        <v>861</v>
      </c>
      <c r="AE586" s="152">
        <v>102.5</v>
      </c>
      <c r="AF586" s="152">
        <v>0</v>
      </c>
      <c r="AG586" s="152" t="s">
        <v>861</v>
      </c>
      <c r="AH586" s="152" t="s">
        <v>861</v>
      </c>
      <c r="AI586" s="152" t="s">
        <v>92</v>
      </c>
      <c r="AJ586" s="152" t="s">
        <v>92</v>
      </c>
      <c r="AK586" s="152" t="s">
        <v>862</v>
      </c>
      <c r="AL586" s="152" t="s">
        <v>856</v>
      </c>
      <c r="AP586" s="152" t="s">
        <v>856</v>
      </c>
      <c r="AQ586" s="152" t="s">
        <v>856</v>
      </c>
      <c r="AR586" s="152" t="s">
        <v>1988</v>
      </c>
      <c r="AS586" s="159" t="s">
        <v>865</v>
      </c>
      <c r="AT586" s="152" t="str">
        <f t="shared" si="39"/>
        <v>VUND5-040922</v>
      </c>
      <c r="AU586" s="152" t="str">
        <f t="shared" si="37"/>
        <v xml:space="preserve">VIVIAN LUCRECIA DE LEON SANDOVAL </v>
      </c>
      <c r="AV586" s="152">
        <v>1103.8599999999999</v>
      </c>
      <c r="AW586" s="152">
        <v>817828</v>
      </c>
      <c r="AX586" s="152">
        <v>40</v>
      </c>
      <c r="AY586" s="152">
        <v>817831</v>
      </c>
      <c r="AZ586" s="152" t="s">
        <v>864</v>
      </c>
      <c r="BA586" s="152" t="str">
        <f t="shared" si="38"/>
        <v>L22-756-MP035</v>
      </c>
      <c r="BB586" s="152">
        <v>15</v>
      </c>
      <c r="BC586" s="157">
        <v>44874</v>
      </c>
      <c r="BD586" s="157">
        <v>45178</v>
      </c>
      <c r="BE586" s="158">
        <v>217617.5</v>
      </c>
      <c r="BF586" s="152" t="s">
        <v>4634</v>
      </c>
      <c r="BG586" s="152" t="s">
        <v>4615</v>
      </c>
      <c r="BH586" s="152">
        <v>102.5</v>
      </c>
      <c r="BI586" s="152">
        <v>0</v>
      </c>
      <c r="BJ586" s="152">
        <v>0</v>
      </c>
      <c r="BK586" s="152" t="s">
        <v>132</v>
      </c>
      <c r="BL586" s="152">
        <v>102.5</v>
      </c>
      <c r="BM586" s="152">
        <v>817830</v>
      </c>
      <c r="BN586" s="157" t="s">
        <v>1453</v>
      </c>
    </row>
    <row r="587" spans="1:66" s="165" customFormat="1">
      <c r="A587" s="165" t="s">
        <v>4636</v>
      </c>
      <c r="B587" s="165" t="s">
        <v>4637</v>
      </c>
      <c r="C587" s="165" t="s">
        <v>4638</v>
      </c>
      <c r="D587" s="165" t="s">
        <v>4639</v>
      </c>
      <c r="E587" s="165" t="s">
        <v>4640</v>
      </c>
      <c r="F587" s="165">
        <v>339201</v>
      </c>
      <c r="G587" s="165">
        <v>41</v>
      </c>
      <c r="H587" s="165">
        <v>848</v>
      </c>
      <c r="I587" s="165">
        <v>202010</v>
      </c>
      <c r="J587" s="165">
        <v>184.5</v>
      </c>
      <c r="K587" s="165">
        <v>88924</v>
      </c>
      <c r="L587" s="165" t="s">
        <v>4641</v>
      </c>
      <c r="M587" s="165" t="s">
        <v>92</v>
      </c>
      <c r="N587" s="165" t="s">
        <v>883</v>
      </c>
      <c r="O587" s="165">
        <v>3655</v>
      </c>
      <c r="P587" s="165" t="s">
        <v>4641</v>
      </c>
      <c r="Q587" s="165" t="s">
        <v>92</v>
      </c>
      <c r="R587" s="165" t="s">
        <v>883</v>
      </c>
      <c r="S587" s="165">
        <v>3655</v>
      </c>
      <c r="T587" s="166" t="s">
        <v>856</v>
      </c>
      <c r="U587" s="166" t="s">
        <v>856</v>
      </c>
      <c r="V587" s="165" t="s">
        <v>857</v>
      </c>
      <c r="W587" s="165" t="s">
        <v>4609</v>
      </c>
      <c r="X587" s="165" t="s">
        <v>1083</v>
      </c>
      <c r="Y587" s="165">
        <v>0</v>
      </c>
      <c r="Z587" s="165">
        <v>1</v>
      </c>
      <c r="AA587" s="165" t="s">
        <v>92</v>
      </c>
      <c r="AB587" s="165">
        <v>209.17</v>
      </c>
      <c r="AC587" s="165">
        <v>2</v>
      </c>
      <c r="AD587" s="165" t="s">
        <v>861</v>
      </c>
      <c r="AE587" s="165">
        <v>209.17</v>
      </c>
      <c r="AF587" s="165">
        <v>0</v>
      </c>
      <c r="AG587" s="165" t="s">
        <v>861</v>
      </c>
      <c r="AH587" s="165" t="s">
        <v>861</v>
      </c>
      <c r="AI587" s="165" t="s">
        <v>92</v>
      </c>
      <c r="AJ587" s="165" t="s">
        <v>92</v>
      </c>
      <c r="AK587" s="165" t="s">
        <v>884</v>
      </c>
      <c r="AL587" s="165" t="s">
        <v>856</v>
      </c>
      <c r="AP587" s="165" t="s">
        <v>856</v>
      </c>
      <c r="AQ587" s="165" t="s">
        <v>856</v>
      </c>
      <c r="AR587" s="165" t="s">
        <v>3846</v>
      </c>
      <c r="AS587" s="167" t="s">
        <v>865</v>
      </c>
      <c r="AT587" s="165" t="str">
        <f t="shared" si="39"/>
        <v>VUNG9-020822</v>
      </c>
      <c r="AU587" s="165" t="str">
        <f t="shared" si="37"/>
        <v xml:space="preserve">RAUL ERNESTO GAYTAN ROSALES </v>
      </c>
      <c r="AV587" s="165">
        <v>2635.54</v>
      </c>
      <c r="AW587" s="165">
        <v>817558</v>
      </c>
      <c r="AX587" s="165">
        <v>75</v>
      </c>
      <c r="AY587" s="165">
        <v>817560</v>
      </c>
      <c r="AZ587" s="165" t="s">
        <v>864</v>
      </c>
      <c r="BA587" s="165" t="str">
        <f t="shared" si="38"/>
        <v>L22-740-LG126</v>
      </c>
      <c r="BB587" s="165">
        <v>24</v>
      </c>
      <c r="BC587" s="168">
        <v>44868</v>
      </c>
      <c r="BD587" s="168">
        <v>45233</v>
      </c>
      <c r="BE587" s="169">
        <v>522925</v>
      </c>
      <c r="BF587" s="165" t="s">
        <v>4642</v>
      </c>
      <c r="BG587" s="165" t="s">
        <v>4643</v>
      </c>
      <c r="BH587" s="165">
        <v>209.17</v>
      </c>
      <c r="BI587" s="165">
        <v>0</v>
      </c>
      <c r="BJ587" s="165">
        <v>0</v>
      </c>
      <c r="BK587" s="165" t="s">
        <v>132</v>
      </c>
      <c r="BL587" s="165">
        <v>209.17</v>
      </c>
      <c r="BM587" s="165">
        <v>817559</v>
      </c>
      <c r="BN587" s="168" t="s">
        <v>1453</v>
      </c>
    </row>
    <row r="588" spans="1:66">
      <c r="A588" s="152" t="s">
        <v>4644</v>
      </c>
      <c r="B588" s="152" t="s">
        <v>4645</v>
      </c>
      <c r="C588" s="152" t="s">
        <v>4646</v>
      </c>
      <c r="D588" s="152" t="s">
        <v>4647</v>
      </c>
      <c r="E588" s="152" t="s">
        <v>4648</v>
      </c>
      <c r="F588" s="152">
        <v>221039</v>
      </c>
      <c r="G588" s="152">
        <v>69</v>
      </c>
      <c r="H588" s="152">
        <v>455</v>
      </c>
      <c r="I588" s="152">
        <v>169801</v>
      </c>
      <c r="J588" s="152">
        <v>163.92</v>
      </c>
      <c r="K588" s="152">
        <v>65475</v>
      </c>
      <c r="L588" s="152" t="s">
        <v>4649</v>
      </c>
      <c r="M588" s="152" t="s">
        <v>92</v>
      </c>
      <c r="N588" s="152" t="s">
        <v>883</v>
      </c>
      <c r="O588" s="152">
        <v>6179</v>
      </c>
      <c r="P588" s="152" t="s">
        <v>4649</v>
      </c>
      <c r="Q588" s="152" t="s">
        <v>92</v>
      </c>
      <c r="R588" s="152" t="s">
        <v>883</v>
      </c>
      <c r="S588" s="152">
        <v>6179</v>
      </c>
      <c r="T588" s="164" t="s">
        <v>856</v>
      </c>
      <c r="U588" s="164" t="s">
        <v>856</v>
      </c>
      <c r="V588" s="152" t="s">
        <v>1149</v>
      </c>
      <c r="W588" s="152" t="s">
        <v>4609</v>
      </c>
      <c r="X588" s="152" t="s">
        <v>1083</v>
      </c>
      <c r="Y588" s="152">
        <v>42.62</v>
      </c>
      <c r="Z588" s="152">
        <v>4</v>
      </c>
      <c r="AA588" s="152" t="s">
        <v>92</v>
      </c>
      <c r="AB588" s="152">
        <v>342.62</v>
      </c>
      <c r="AC588" s="152">
        <v>3</v>
      </c>
      <c r="AD588" s="152" t="s">
        <v>861</v>
      </c>
      <c r="AE588" s="152">
        <v>342.62</v>
      </c>
      <c r="AF588" s="152">
        <v>0</v>
      </c>
      <c r="AG588" s="152" t="s">
        <v>861</v>
      </c>
      <c r="AH588" s="152" t="s">
        <v>861</v>
      </c>
      <c r="AI588" s="152" t="s">
        <v>92</v>
      </c>
      <c r="AJ588" s="152" t="s">
        <v>92</v>
      </c>
      <c r="AK588" s="152" t="s">
        <v>884</v>
      </c>
      <c r="AL588" s="152" t="s">
        <v>856</v>
      </c>
      <c r="AP588" s="152" t="s">
        <v>856</v>
      </c>
      <c r="AQ588" s="152" t="s">
        <v>856</v>
      </c>
      <c r="AR588" s="152" t="s">
        <v>3846</v>
      </c>
      <c r="AS588" s="159" t="s">
        <v>865</v>
      </c>
      <c r="AT588" s="152" t="str">
        <f t="shared" si="39"/>
        <v>VUNH1-010722</v>
      </c>
      <c r="AU588" s="152" t="str">
        <f t="shared" si="37"/>
        <v xml:space="preserve">SILVIA JUDITH HERNANDEZ LOPEZ </v>
      </c>
      <c r="AV588" s="152">
        <v>5263.96</v>
      </c>
      <c r="AW588" s="152">
        <v>815287</v>
      </c>
      <c r="AX588" s="152">
        <v>40</v>
      </c>
      <c r="AY588" s="152">
        <v>815290</v>
      </c>
      <c r="AZ588" s="152" t="s">
        <v>864</v>
      </c>
      <c r="BA588" s="152" t="str">
        <f t="shared" si="38"/>
        <v>L22-751-LG137</v>
      </c>
      <c r="BB588" s="152">
        <v>50</v>
      </c>
      <c r="BC588" s="157">
        <v>44873</v>
      </c>
      <c r="BD588" s="157">
        <v>45299</v>
      </c>
      <c r="BE588" s="158">
        <v>1042778.4</v>
      </c>
      <c r="BF588" s="152" t="s">
        <v>4650</v>
      </c>
      <c r="BG588" s="152" t="s">
        <v>4651</v>
      </c>
      <c r="BH588" s="152">
        <v>342.62</v>
      </c>
      <c r="BI588" s="152">
        <v>0</v>
      </c>
      <c r="BJ588" s="152">
        <v>0</v>
      </c>
      <c r="BK588" s="152" t="s">
        <v>132</v>
      </c>
      <c r="BL588" s="152">
        <v>342.62</v>
      </c>
      <c r="BM588" s="152">
        <v>815289</v>
      </c>
      <c r="BN588" s="157" t="s">
        <v>1453</v>
      </c>
    </row>
    <row r="589" spans="1:66">
      <c r="A589" s="152" t="s">
        <v>4652</v>
      </c>
      <c r="B589" s="152" t="s">
        <v>4653</v>
      </c>
      <c r="C589" s="152" t="s">
        <v>4654</v>
      </c>
      <c r="D589" s="152" t="s">
        <v>2300</v>
      </c>
      <c r="E589" s="152" t="s">
        <v>2300</v>
      </c>
      <c r="F589" s="159" t="s">
        <v>856</v>
      </c>
      <c r="G589" s="159" t="s">
        <v>856</v>
      </c>
      <c r="H589" s="164" t="s">
        <v>856</v>
      </c>
      <c r="I589" s="152">
        <v>206454</v>
      </c>
      <c r="J589" s="152">
        <v>212.43</v>
      </c>
      <c r="K589" s="152">
        <v>92216</v>
      </c>
      <c r="L589" s="164" t="s">
        <v>856</v>
      </c>
      <c r="M589" s="152" t="s">
        <v>92</v>
      </c>
      <c r="N589" s="152" t="s">
        <v>92</v>
      </c>
      <c r="O589" s="164" t="s">
        <v>856</v>
      </c>
      <c r="P589" s="164" t="s">
        <v>856</v>
      </c>
      <c r="Q589" s="152" t="s">
        <v>92</v>
      </c>
      <c r="R589" s="152" t="s">
        <v>92</v>
      </c>
      <c r="S589" s="164" t="s">
        <v>856</v>
      </c>
      <c r="T589" s="164" t="s">
        <v>856</v>
      </c>
      <c r="U589" s="164" t="s">
        <v>856</v>
      </c>
      <c r="V589" s="152" t="s">
        <v>857</v>
      </c>
      <c r="W589" s="152" t="s">
        <v>4609</v>
      </c>
      <c r="X589" s="152" t="s">
        <v>1083</v>
      </c>
      <c r="Y589" s="152">
        <v>0</v>
      </c>
      <c r="Z589" s="152">
        <v>1</v>
      </c>
      <c r="AA589" s="152" t="s">
        <v>92</v>
      </c>
      <c r="AB589" s="152">
        <v>23.41</v>
      </c>
      <c r="AC589" s="152">
        <v>1</v>
      </c>
      <c r="AD589" s="152" t="s">
        <v>861</v>
      </c>
      <c r="AE589" s="152">
        <v>23.41</v>
      </c>
      <c r="AF589" s="152">
        <v>0</v>
      </c>
      <c r="AG589" s="152" t="s">
        <v>861</v>
      </c>
      <c r="AH589" s="152" t="s">
        <v>861</v>
      </c>
      <c r="AI589" s="152" t="s">
        <v>92</v>
      </c>
      <c r="AJ589" s="152" t="s">
        <v>92</v>
      </c>
      <c r="AK589" s="152" t="s">
        <v>2503</v>
      </c>
      <c r="AL589" s="152" t="s">
        <v>856</v>
      </c>
      <c r="AP589" s="152" t="s">
        <v>856</v>
      </c>
      <c r="AQ589" s="152" t="s">
        <v>856</v>
      </c>
      <c r="AR589" s="152" t="s">
        <v>1953</v>
      </c>
      <c r="AS589" s="159" t="s">
        <v>865</v>
      </c>
      <c r="AT589" s="152" t="str">
        <f t="shared" si="39"/>
        <v>RPNVR-490322</v>
      </c>
      <c r="AU589" s="152" t="str">
        <f t="shared" si="37"/>
        <v xml:space="preserve">ROSA ELVIRA UTUC VELASQUEZ </v>
      </c>
      <c r="AV589" s="152">
        <v>98.32</v>
      </c>
      <c r="AW589" s="152">
        <v>816670</v>
      </c>
      <c r="AX589" s="159" t="s">
        <v>856</v>
      </c>
      <c r="AY589" s="159" t="s">
        <v>856</v>
      </c>
      <c r="AZ589" s="152" t="s">
        <v>864</v>
      </c>
      <c r="BA589" s="152" t="str">
        <f t="shared" si="38"/>
        <v>L22-803-SP189</v>
      </c>
      <c r="BB589" s="152">
        <v>0</v>
      </c>
      <c r="BC589" s="157">
        <v>44887</v>
      </c>
      <c r="BD589" s="157">
        <v>44887</v>
      </c>
      <c r="BE589" s="158">
        <v>23410</v>
      </c>
      <c r="BF589" s="152" t="s">
        <v>4655</v>
      </c>
      <c r="BG589" s="152" t="s">
        <v>894</v>
      </c>
      <c r="BH589" s="152">
        <v>23.41</v>
      </c>
      <c r="BI589" s="152">
        <v>0</v>
      </c>
      <c r="BJ589" s="152">
        <v>0</v>
      </c>
      <c r="BK589" s="152" t="s">
        <v>132</v>
      </c>
      <c r="BL589" s="152">
        <v>23.41</v>
      </c>
      <c r="BM589" s="152">
        <v>816671</v>
      </c>
      <c r="BN589" s="157" t="s">
        <v>1453</v>
      </c>
    </row>
    <row r="590" spans="1:66">
      <c r="A590" s="152" t="s">
        <v>4656</v>
      </c>
      <c r="B590" s="152" t="s">
        <v>4657</v>
      </c>
      <c r="C590" s="152" t="s">
        <v>4658</v>
      </c>
      <c r="D590" s="152" t="s">
        <v>4659</v>
      </c>
      <c r="E590" s="152" t="s">
        <v>4660</v>
      </c>
      <c r="F590" s="152">
        <v>8314</v>
      </c>
      <c r="G590" s="152">
        <v>314</v>
      </c>
      <c r="H590" s="152" t="s">
        <v>2178</v>
      </c>
      <c r="I590" s="152">
        <v>196861</v>
      </c>
      <c r="J590" s="152">
        <v>144.86000000000001</v>
      </c>
      <c r="K590" s="152">
        <v>94799</v>
      </c>
      <c r="L590" s="152" t="s">
        <v>4661</v>
      </c>
      <c r="M590" s="152" t="s">
        <v>92</v>
      </c>
      <c r="N590" s="152" t="s">
        <v>883</v>
      </c>
      <c r="O590" s="152">
        <v>4641</v>
      </c>
      <c r="P590" s="152" t="s">
        <v>4661</v>
      </c>
      <c r="Q590" s="152" t="s">
        <v>92</v>
      </c>
      <c r="R590" s="152" t="s">
        <v>883</v>
      </c>
      <c r="S590" s="152">
        <v>4641</v>
      </c>
      <c r="T590" s="164" t="s">
        <v>856</v>
      </c>
      <c r="U590" s="164" t="s">
        <v>856</v>
      </c>
      <c r="V590" s="152" t="s">
        <v>857</v>
      </c>
      <c r="W590" s="152" t="s">
        <v>4609</v>
      </c>
      <c r="X590" s="152" t="s">
        <v>1083</v>
      </c>
      <c r="Y590" s="152">
        <v>123.88</v>
      </c>
      <c r="Z590" s="152">
        <v>1</v>
      </c>
      <c r="AA590" s="152" t="s">
        <v>92</v>
      </c>
      <c r="AB590" s="152">
        <v>200.51</v>
      </c>
      <c r="AC590" s="152">
        <v>2</v>
      </c>
      <c r="AD590" s="152" t="s">
        <v>861</v>
      </c>
      <c r="AE590" s="152">
        <v>200.51</v>
      </c>
      <c r="AF590" s="152">
        <v>0</v>
      </c>
      <c r="AG590" s="152" t="s">
        <v>861</v>
      </c>
      <c r="AH590" s="152" t="s">
        <v>861</v>
      </c>
      <c r="AI590" s="152" t="s">
        <v>92</v>
      </c>
      <c r="AJ590" s="152" t="s">
        <v>92</v>
      </c>
      <c r="AK590" s="152" t="s">
        <v>3578</v>
      </c>
      <c r="AL590" s="152" t="s">
        <v>856</v>
      </c>
      <c r="AP590" s="152" t="s">
        <v>856</v>
      </c>
      <c r="AQ590" s="152" t="s">
        <v>856</v>
      </c>
      <c r="AR590" s="152" t="s">
        <v>1953</v>
      </c>
      <c r="AS590" s="159" t="s">
        <v>865</v>
      </c>
      <c r="AT590" s="152" t="str">
        <f t="shared" si="39"/>
        <v>VUNB6-031022</v>
      </c>
      <c r="AU590" s="152" t="str">
        <f t="shared" si="37"/>
        <v>HAROLDO SAMUEL BARRIOS RAMIREZ</v>
      </c>
      <c r="AV590" s="152">
        <v>2837.27</v>
      </c>
      <c r="AW590" s="152">
        <v>819105</v>
      </c>
      <c r="AX590" s="159" t="s">
        <v>856</v>
      </c>
      <c r="AY590" s="159" t="s">
        <v>856</v>
      </c>
      <c r="AZ590" s="152" t="s">
        <v>864</v>
      </c>
      <c r="BA590" s="152" t="str">
        <f t="shared" si="38"/>
        <v>L22-812-SP127</v>
      </c>
      <c r="BB590" s="152">
        <v>24</v>
      </c>
      <c r="BC590" s="157">
        <v>44893</v>
      </c>
      <c r="BD590" s="157">
        <v>45258</v>
      </c>
      <c r="BE590" s="158">
        <v>546901</v>
      </c>
      <c r="BF590" s="152" t="s">
        <v>4662</v>
      </c>
      <c r="BG590" s="152" t="s">
        <v>4663</v>
      </c>
      <c r="BH590" s="152">
        <v>200.51</v>
      </c>
      <c r="BI590" s="152">
        <v>0</v>
      </c>
      <c r="BJ590" s="152">
        <v>0</v>
      </c>
      <c r="BK590" s="152" t="s">
        <v>132</v>
      </c>
      <c r="BL590" s="152">
        <v>200.51</v>
      </c>
      <c r="BM590" s="152">
        <v>819107</v>
      </c>
      <c r="BN590" s="157" t="s">
        <v>1453</v>
      </c>
    </row>
    <row r="591" spans="1:66">
      <c r="A591" s="152" t="s">
        <v>4664</v>
      </c>
      <c r="B591" s="152" t="s">
        <v>4665</v>
      </c>
      <c r="C591" s="152" t="s">
        <v>4666</v>
      </c>
      <c r="D591" s="152" t="s">
        <v>4667</v>
      </c>
      <c r="E591" s="152" t="s">
        <v>4667</v>
      </c>
      <c r="F591" s="152">
        <v>217874</v>
      </c>
      <c r="G591" s="152">
        <v>120</v>
      </c>
      <c r="H591" s="152">
        <v>446</v>
      </c>
      <c r="I591" s="152">
        <v>206621</v>
      </c>
      <c r="J591" s="152">
        <v>873</v>
      </c>
      <c r="K591" s="152">
        <v>92359</v>
      </c>
      <c r="L591" s="164" t="s">
        <v>856</v>
      </c>
      <c r="M591" s="152" t="s">
        <v>92</v>
      </c>
      <c r="N591" s="152" t="s">
        <v>92</v>
      </c>
      <c r="O591" s="164" t="s">
        <v>856</v>
      </c>
      <c r="P591" s="164" t="s">
        <v>856</v>
      </c>
      <c r="Q591" s="152" t="s">
        <v>92</v>
      </c>
      <c r="R591" s="152" t="s">
        <v>92</v>
      </c>
      <c r="S591" s="164" t="s">
        <v>856</v>
      </c>
      <c r="T591" s="164" t="s">
        <v>856</v>
      </c>
      <c r="U591" s="164" t="s">
        <v>856</v>
      </c>
      <c r="V591" s="152" t="s">
        <v>857</v>
      </c>
      <c r="W591" s="152" t="s">
        <v>4609</v>
      </c>
      <c r="X591" s="152" t="s">
        <v>1083</v>
      </c>
      <c r="Y591" s="152">
        <v>0</v>
      </c>
      <c r="Z591" s="152">
        <v>1</v>
      </c>
      <c r="AA591" s="152" t="s">
        <v>92</v>
      </c>
      <c r="AB591" s="152">
        <v>82.94</v>
      </c>
      <c r="AC591" s="152">
        <v>1</v>
      </c>
      <c r="AD591" s="152" t="s">
        <v>861</v>
      </c>
      <c r="AE591" s="152">
        <v>82.94</v>
      </c>
      <c r="AF591" s="152">
        <v>0</v>
      </c>
      <c r="AG591" s="152" t="s">
        <v>861</v>
      </c>
      <c r="AH591" s="152" t="s">
        <v>861</v>
      </c>
      <c r="AI591" s="152" t="s">
        <v>92</v>
      </c>
      <c r="AJ591" s="152" t="s">
        <v>92</v>
      </c>
      <c r="AK591" s="152" t="s">
        <v>3561</v>
      </c>
      <c r="AL591" s="152" t="s">
        <v>856</v>
      </c>
      <c r="AP591" s="152" t="s">
        <v>856</v>
      </c>
      <c r="AQ591" s="152" t="s">
        <v>856</v>
      </c>
      <c r="AR591" s="152" t="s">
        <v>4668</v>
      </c>
      <c r="AS591" s="159" t="s">
        <v>865</v>
      </c>
      <c r="AT591" s="152" t="str">
        <f t="shared" si="39"/>
        <v>RPNH6-320722</v>
      </c>
      <c r="AU591" s="152" t="str">
        <f t="shared" si="37"/>
        <v xml:space="preserve">JUANA HERNANDEZ BARRENO </v>
      </c>
      <c r="AV591" s="152">
        <v>836.04</v>
      </c>
      <c r="AW591" s="152">
        <v>816661</v>
      </c>
      <c r="AX591" s="159" t="s">
        <v>856</v>
      </c>
      <c r="AY591" s="159" t="s">
        <v>856</v>
      </c>
      <c r="AZ591" s="152" t="s">
        <v>864</v>
      </c>
      <c r="BA591" s="152" t="str">
        <f t="shared" si="38"/>
        <v>L22-799-SP190</v>
      </c>
      <c r="BB591" s="152">
        <v>0</v>
      </c>
      <c r="BC591" s="157">
        <v>44887</v>
      </c>
      <c r="BD591" s="157">
        <v>44887</v>
      </c>
      <c r="BE591" s="158">
        <v>165880</v>
      </c>
      <c r="BF591" s="152" t="s">
        <v>4669</v>
      </c>
      <c r="BG591" s="152" t="s">
        <v>894</v>
      </c>
      <c r="BH591" s="152">
        <v>82.94</v>
      </c>
      <c r="BI591" s="152">
        <v>0</v>
      </c>
      <c r="BJ591" s="152">
        <v>0</v>
      </c>
      <c r="BK591" s="152" t="s">
        <v>132</v>
      </c>
      <c r="BL591" s="152">
        <v>82.94</v>
      </c>
      <c r="BM591" s="152">
        <v>816662</v>
      </c>
      <c r="BN591" s="157" t="s">
        <v>1453</v>
      </c>
    </row>
    <row r="592" spans="1:66">
      <c r="A592" s="152" t="s">
        <v>4670</v>
      </c>
      <c r="B592" s="152" t="s">
        <v>4671</v>
      </c>
      <c r="C592" s="152" t="s">
        <v>4672</v>
      </c>
      <c r="D592" s="152" t="s">
        <v>4673</v>
      </c>
      <c r="E592" s="152" t="s">
        <v>4673</v>
      </c>
      <c r="F592" s="152">
        <v>630</v>
      </c>
      <c r="G592" s="152">
        <v>130</v>
      </c>
      <c r="H592" s="152" t="s">
        <v>4216</v>
      </c>
      <c r="I592" s="152">
        <v>153797</v>
      </c>
      <c r="J592" s="152">
        <v>128</v>
      </c>
      <c r="K592" s="152">
        <v>68052</v>
      </c>
      <c r="L592" s="164" t="s">
        <v>856</v>
      </c>
      <c r="M592" s="152" t="s">
        <v>92</v>
      </c>
      <c r="N592" s="152" t="s">
        <v>92</v>
      </c>
      <c r="O592" s="164" t="s">
        <v>856</v>
      </c>
      <c r="P592" s="164" t="s">
        <v>856</v>
      </c>
      <c r="Q592" s="152" t="s">
        <v>92</v>
      </c>
      <c r="R592" s="152" t="s">
        <v>92</v>
      </c>
      <c r="S592" s="164" t="s">
        <v>856</v>
      </c>
      <c r="T592" s="164" t="s">
        <v>856</v>
      </c>
      <c r="U592" s="164" t="s">
        <v>856</v>
      </c>
      <c r="V592" s="152" t="s">
        <v>857</v>
      </c>
      <c r="W592" s="152" t="s">
        <v>4609</v>
      </c>
      <c r="X592" s="152" t="s">
        <v>1083</v>
      </c>
      <c r="Y592" s="152">
        <v>0</v>
      </c>
      <c r="Z592" s="152">
        <v>1</v>
      </c>
      <c r="AA592" s="152" t="s">
        <v>92</v>
      </c>
      <c r="AB592" s="152">
        <v>154.6</v>
      </c>
      <c r="AC592" s="152">
        <v>2</v>
      </c>
      <c r="AD592" s="152" t="s">
        <v>861</v>
      </c>
      <c r="AE592" s="152">
        <v>154.6</v>
      </c>
      <c r="AF592" s="152">
        <v>0</v>
      </c>
      <c r="AG592" s="152" t="s">
        <v>861</v>
      </c>
      <c r="AH592" s="152" t="s">
        <v>861</v>
      </c>
      <c r="AI592" s="152" t="s">
        <v>92</v>
      </c>
      <c r="AJ592" s="152" t="s">
        <v>92</v>
      </c>
      <c r="AK592" s="152" t="s">
        <v>862</v>
      </c>
      <c r="AL592" s="152" t="s">
        <v>856</v>
      </c>
      <c r="AP592" s="152" t="s">
        <v>856</v>
      </c>
      <c r="AQ592" s="152" t="s">
        <v>856</v>
      </c>
      <c r="AR592" s="152" t="s">
        <v>3846</v>
      </c>
      <c r="AS592" s="159" t="s">
        <v>865</v>
      </c>
      <c r="AT592" s="152" t="str">
        <f t="shared" si="39"/>
        <v>RPNR11-430722</v>
      </c>
      <c r="AU592" s="152" t="str">
        <f t="shared" si="37"/>
        <v xml:space="preserve">ROLANDO EUSEBIO REYES RODAS </v>
      </c>
      <c r="AV592" s="152">
        <v>1947.96</v>
      </c>
      <c r="AW592" s="152">
        <v>901837</v>
      </c>
      <c r="AX592" s="152">
        <v>120</v>
      </c>
      <c r="AY592" s="152">
        <v>901839</v>
      </c>
      <c r="AZ592" s="152" t="s">
        <v>864</v>
      </c>
      <c r="BA592" s="152" t="str">
        <f t="shared" si="38"/>
        <v>L22-746-AQ131</v>
      </c>
      <c r="BB592" s="152">
        <v>0</v>
      </c>
      <c r="BC592" s="157">
        <v>44872</v>
      </c>
      <c r="BD592" s="157">
        <v>44872</v>
      </c>
      <c r="BE592" s="158">
        <v>386500</v>
      </c>
      <c r="BF592" s="152" t="s">
        <v>4674</v>
      </c>
      <c r="BG592" s="152" t="s">
        <v>894</v>
      </c>
      <c r="BH592" s="152">
        <v>154.6</v>
      </c>
      <c r="BI592" s="152">
        <v>0</v>
      </c>
      <c r="BJ592" s="152">
        <v>0</v>
      </c>
      <c r="BK592" s="152" t="s">
        <v>132</v>
      </c>
      <c r="BL592" s="152">
        <v>154.6</v>
      </c>
      <c r="BM592" s="152">
        <v>901838</v>
      </c>
      <c r="BN592" s="157" t="s">
        <v>1453</v>
      </c>
    </row>
    <row r="593" spans="1:66">
      <c r="A593" s="152" t="s">
        <v>4675</v>
      </c>
      <c r="B593" s="152" t="s">
        <v>4676</v>
      </c>
      <c r="C593" s="152" t="s">
        <v>4677</v>
      </c>
      <c r="D593" s="152" t="s">
        <v>4678</v>
      </c>
      <c r="E593" s="152" t="s">
        <v>4679</v>
      </c>
      <c r="F593" s="152">
        <v>9234</v>
      </c>
      <c r="G593" s="152">
        <v>234</v>
      </c>
      <c r="H593" s="152" t="s">
        <v>4680</v>
      </c>
      <c r="I593" s="152">
        <v>197265</v>
      </c>
      <c r="J593" s="152">
        <v>1000</v>
      </c>
      <c r="K593" s="152">
        <v>85006</v>
      </c>
      <c r="L593" s="152" t="s">
        <v>4681</v>
      </c>
      <c r="M593" s="152" t="s">
        <v>92</v>
      </c>
      <c r="N593" s="152" t="s">
        <v>883</v>
      </c>
      <c r="O593" s="152">
        <v>6738</v>
      </c>
      <c r="P593" s="152" t="s">
        <v>4681</v>
      </c>
      <c r="Q593" s="152" t="s">
        <v>92</v>
      </c>
      <c r="R593" s="152" t="s">
        <v>883</v>
      </c>
      <c r="S593" s="152">
        <v>6738</v>
      </c>
      <c r="T593" s="164" t="s">
        <v>856</v>
      </c>
      <c r="U593" s="164" t="s">
        <v>856</v>
      </c>
      <c r="V593" s="152" t="s">
        <v>4682</v>
      </c>
      <c r="W593" s="152" t="s">
        <v>4609</v>
      </c>
      <c r="X593" s="152" t="s">
        <v>1083</v>
      </c>
      <c r="Y593" s="152">
        <v>0</v>
      </c>
      <c r="Z593" s="152">
        <v>2</v>
      </c>
      <c r="AA593" s="152" t="s">
        <v>92</v>
      </c>
      <c r="AB593" s="152">
        <v>200.48</v>
      </c>
      <c r="AC593" s="152">
        <v>2</v>
      </c>
      <c r="AD593" s="152" t="s">
        <v>861</v>
      </c>
      <c r="AE593" s="152">
        <v>200.48</v>
      </c>
      <c r="AF593" s="152">
        <v>0</v>
      </c>
      <c r="AG593" s="152" t="s">
        <v>861</v>
      </c>
      <c r="AH593" s="152" t="s">
        <v>861</v>
      </c>
      <c r="AI593" s="152" t="s">
        <v>92</v>
      </c>
      <c r="AJ593" s="152" t="s">
        <v>92</v>
      </c>
      <c r="AK593" s="152" t="s">
        <v>912</v>
      </c>
      <c r="AL593" s="152" t="s">
        <v>856</v>
      </c>
      <c r="AP593" s="152" t="s">
        <v>856</v>
      </c>
      <c r="AQ593" s="152" t="s">
        <v>856</v>
      </c>
      <c r="AR593" s="152" t="s">
        <v>3846</v>
      </c>
      <c r="AS593" s="159" t="s">
        <v>865</v>
      </c>
      <c r="AT593" s="152" t="str">
        <f t="shared" si="39"/>
        <v>VUNC4-020922</v>
      </c>
      <c r="AU593" s="152" t="str">
        <f t="shared" si="37"/>
        <v xml:space="preserve">CARLOS HEDIBERTO CASTILLO CASTILLO </v>
      </c>
      <c r="AV593" s="152">
        <v>2526.0500000000002</v>
      </c>
      <c r="AW593" s="152">
        <v>819257</v>
      </c>
      <c r="AX593" s="159" t="s">
        <v>856</v>
      </c>
      <c r="AY593" s="159" t="s">
        <v>856</v>
      </c>
      <c r="AZ593" s="152" t="s">
        <v>864</v>
      </c>
      <c r="BA593" s="152" t="str">
        <f t="shared" si="38"/>
        <v>L22-827-JM189</v>
      </c>
      <c r="BB593" s="152">
        <v>24</v>
      </c>
      <c r="BC593" s="157">
        <v>44895</v>
      </c>
      <c r="BD593" s="157">
        <v>45260</v>
      </c>
      <c r="BE593" s="158">
        <v>501200</v>
      </c>
      <c r="BF593" s="152" t="s">
        <v>4683</v>
      </c>
      <c r="BG593" s="152" t="s">
        <v>4684</v>
      </c>
      <c r="BH593" s="152">
        <v>200.48</v>
      </c>
      <c r="BI593" s="152">
        <v>0</v>
      </c>
      <c r="BJ593" s="152">
        <v>0</v>
      </c>
      <c r="BK593" s="152" t="s">
        <v>132</v>
      </c>
      <c r="BL593" s="152">
        <v>200.48</v>
      </c>
      <c r="BM593" s="152">
        <v>819259</v>
      </c>
      <c r="BN593" s="157" t="s">
        <v>1453</v>
      </c>
    </row>
    <row r="594" spans="1:66">
      <c r="A594" s="152" t="s">
        <v>4685</v>
      </c>
      <c r="B594" s="152" t="s">
        <v>4686</v>
      </c>
      <c r="C594" s="152" t="s">
        <v>4687</v>
      </c>
      <c r="D594" s="152" t="s">
        <v>4688</v>
      </c>
      <c r="E594" s="152" t="s">
        <v>4688</v>
      </c>
      <c r="F594" s="152">
        <v>301129</v>
      </c>
      <c r="G594" s="152">
        <v>159</v>
      </c>
      <c r="H594" s="152">
        <v>721</v>
      </c>
      <c r="I594" s="152">
        <v>203537</v>
      </c>
      <c r="J594" s="152">
        <v>218.41</v>
      </c>
      <c r="K594" s="152">
        <v>90125</v>
      </c>
      <c r="L594" s="164" t="s">
        <v>856</v>
      </c>
      <c r="M594" s="152" t="s">
        <v>92</v>
      </c>
      <c r="N594" s="152" t="s">
        <v>92</v>
      </c>
      <c r="O594" s="164" t="s">
        <v>856</v>
      </c>
      <c r="P594" s="164" t="s">
        <v>856</v>
      </c>
      <c r="Q594" s="152" t="s">
        <v>92</v>
      </c>
      <c r="R594" s="152" t="s">
        <v>92</v>
      </c>
      <c r="S594" s="164" t="s">
        <v>856</v>
      </c>
      <c r="T594" s="164" t="s">
        <v>856</v>
      </c>
      <c r="U594" s="164" t="s">
        <v>856</v>
      </c>
      <c r="V594" s="152" t="s">
        <v>857</v>
      </c>
      <c r="W594" s="152" t="s">
        <v>4609</v>
      </c>
      <c r="X594" s="152" t="s">
        <v>1083</v>
      </c>
      <c r="Y594" s="152">
        <v>0</v>
      </c>
      <c r="Z594" s="152">
        <v>1</v>
      </c>
      <c r="AA594" s="152" t="s">
        <v>92</v>
      </c>
      <c r="AB594" s="152">
        <v>57.64</v>
      </c>
      <c r="AC594" s="152">
        <v>1</v>
      </c>
      <c r="AD594" s="152" t="s">
        <v>861</v>
      </c>
      <c r="AE594" s="152">
        <v>57.64</v>
      </c>
      <c r="AF594" s="152">
        <v>0</v>
      </c>
      <c r="AG594" s="152" t="s">
        <v>861</v>
      </c>
      <c r="AH594" s="152" t="s">
        <v>861</v>
      </c>
      <c r="AI594" s="152" t="s">
        <v>92</v>
      </c>
      <c r="AJ594" s="152" t="s">
        <v>92</v>
      </c>
      <c r="AK594" s="152" t="s">
        <v>3578</v>
      </c>
      <c r="AL594" s="152" t="s">
        <v>856</v>
      </c>
      <c r="AP594" s="152" t="s">
        <v>856</v>
      </c>
      <c r="AQ594" s="152" t="s">
        <v>856</v>
      </c>
      <c r="AR594" s="152" t="s">
        <v>3846</v>
      </c>
      <c r="AS594" s="159" t="s">
        <v>865</v>
      </c>
      <c r="AT594" s="152" t="str">
        <f t="shared" si="39"/>
        <v>RPND9-351022</v>
      </c>
      <c r="AU594" s="152" t="str">
        <f t="shared" si="37"/>
        <v xml:space="preserve">EMILIO DE LEON SIGUENZA </v>
      </c>
      <c r="AV594" s="152">
        <v>387.34</v>
      </c>
      <c r="AW594" s="152">
        <v>912723</v>
      </c>
      <c r="AX594" s="159" t="s">
        <v>856</v>
      </c>
      <c r="AY594" s="159" t="s">
        <v>856</v>
      </c>
      <c r="AZ594" s="152" t="s">
        <v>864</v>
      </c>
      <c r="BA594" s="152" t="str">
        <f t="shared" si="38"/>
        <v>L22-911-AQ091</v>
      </c>
      <c r="BB594" s="152">
        <v>0</v>
      </c>
      <c r="BC594" s="157">
        <v>44924</v>
      </c>
      <c r="BD594" s="157">
        <v>44924</v>
      </c>
      <c r="BE594" s="158">
        <v>86450</v>
      </c>
    </row>
    <row r="595" spans="1:66">
      <c r="A595" s="152" t="s">
        <v>4689</v>
      </c>
      <c r="B595" s="152" t="s">
        <v>4690</v>
      </c>
      <c r="C595" s="152" t="s">
        <v>4691</v>
      </c>
      <c r="D595" s="152" t="s">
        <v>4692</v>
      </c>
      <c r="E595" s="152" t="s">
        <v>4692</v>
      </c>
      <c r="F595" s="152">
        <v>1526</v>
      </c>
      <c r="G595" s="152">
        <v>26</v>
      </c>
      <c r="H595" s="152" t="s">
        <v>1116</v>
      </c>
      <c r="I595" s="152">
        <v>203379</v>
      </c>
      <c r="J595" s="152">
        <v>128</v>
      </c>
      <c r="K595" s="152">
        <v>90010</v>
      </c>
      <c r="L595" s="164" t="s">
        <v>856</v>
      </c>
      <c r="M595" s="152" t="s">
        <v>92</v>
      </c>
      <c r="N595" s="152" t="s">
        <v>92</v>
      </c>
      <c r="O595" s="164" t="s">
        <v>856</v>
      </c>
      <c r="P595" s="164" t="s">
        <v>856</v>
      </c>
      <c r="Q595" s="152" t="s">
        <v>92</v>
      </c>
      <c r="R595" s="152" t="s">
        <v>92</v>
      </c>
      <c r="S595" s="164" t="s">
        <v>856</v>
      </c>
      <c r="T595" s="164" t="s">
        <v>856</v>
      </c>
      <c r="U595" s="164" t="s">
        <v>856</v>
      </c>
      <c r="V595" s="152" t="s">
        <v>857</v>
      </c>
      <c r="W595" s="152" t="s">
        <v>4609</v>
      </c>
      <c r="X595" s="152" t="s">
        <v>1083</v>
      </c>
      <c r="Y595" s="152">
        <v>0</v>
      </c>
      <c r="Z595" s="152">
        <v>1</v>
      </c>
      <c r="AA595" s="152" t="s">
        <v>92</v>
      </c>
      <c r="AB595" s="152">
        <v>128</v>
      </c>
      <c r="AC595" s="152">
        <v>2</v>
      </c>
      <c r="AD595" s="152" t="s">
        <v>861</v>
      </c>
      <c r="AE595" s="152">
        <v>128</v>
      </c>
      <c r="AF595" s="152">
        <v>0</v>
      </c>
      <c r="AG595" s="152" t="s">
        <v>861</v>
      </c>
      <c r="AH595" s="152" t="s">
        <v>861</v>
      </c>
      <c r="AI595" s="152" t="s">
        <v>92</v>
      </c>
      <c r="AJ595" s="152" t="s">
        <v>92</v>
      </c>
      <c r="AK595" s="152" t="s">
        <v>862</v>
      </c>
      <c r="AL595" s="152" t="s">
        <v>856</v>
      </c>
      <c r="AP595" s="152" t="s">
        <v>856</v>
      </c>
      <c r="AQ595" s="152" t="s">
        <v>856</v>
      </c>
      <c r="AR595" s="152" t="s">
        <v>3846</v>
      </c>
      <c r="AS595" s="159" t="s">
        <v>865</v>
      </c>
      <c r="AT595" s="152" t="str">
        <f t="shared" si="39"/>
        <v>RPNR11-511122</v>
      </c>
      <c r="AU595" s="152" t="str">
        <f t="shared" si="37"/>
        <v xml:space="preserve">FREDY WILSON REYES MAZARIEGOS </v>
      </c>
      <c r="AV595" s="152">
        <v>1612.8</v>
      </c>
      <c r="AW595" s="152">
        <v>819567</v>
      </c>
      <c r="AX595" s="152">
        <v>120</v>
      </c>
      <c r="AY595" s="152">
        <v>819569</v>
      </c>
      <c r="AZ595" s="152" t="s">
        <v>864</v>
      </c>
      <c r="BA595" s="152" t="str">
        <f t="shared" si="38"/>
        <v>L22-908-AQ072</v>
      </c>
      <c r="BB595" s="152">
        <v>0</v>
      </c>
      <c r="BC595" s="157">
        <v>44900</v>
      </c>
      <c r="BD595" s="157">
        <v>44900</v>
      </c>
      <c r="BE595" s="158">
        <v>320000</v>
      </c>
      <c r="BF595" s="152" t="s">
        <v>4693</v>
      </c>
      <c r="BG595" s="152" t="s">
        <v>894</v>
      </c>
      <c r="BH595" s="152">
        <v>128</v>
      </c>
      <c r="BI595" s="152">
        <v>0</v>
      </c>
      <c r="BJ595" s="152">
        <v>0</v>
      </c>
      <c r="BK595" s="152" t="s">
        <v>132</v>
      </c>
      <c r="BL595" s="152">
        <v>128</v>
      </c>
      <c r="BM595" s="152">
        <v>819568</v>
      </c>
      <c r="BN595" s="157" t="s">
        <v>1453</v>
      </c>
    </row>
    <row r="596" spans="1:66">
      <c r="A596" s="152" t="s">
        <v>4697</v>
      </c>
      <c r="B596" s="152" t="s">
        <v>4698</v>
      </c>
      <c r="C596" s="152" t="s">
        <v>4699</v>
      </c>
      <c r="D596" s="152" t="s">
        <v>4215</v>
      </c>
      <c r="E596" s="152" t="s">
        <v>4174</v>
      </c>
      <c r="F596" s="152">
        <v>272137</v>
      </c>
      <c r="G596" s="152">
        <v>77</v>
      </c>
      <c r="H596" s="152">
        <v>626</v>
      </c>
      <c r="I596" s="152">
        <v>203665</v>
      </c>
      <c r="J596" s="152">
        <v>274.10000000000002</v>
      </c>
      <c r="K596" s="152">
        <v>90242</v>
      </c>
      <c r="L596" s="164" t="s">
        <v>856</v>
      </c>
      <c r="M596" s="152" t="s">
        <v>92</v>
      </c>
      <c r="N596" s="152" t="s">
        <v>92</v>
      </c>
      <c r="O596" s="164" t="s">
        <v>856</v>
      </c>
      <c r="P596" s="164" t="s">
        <v>856</v>
      </c>
      <c r="Q596" s="152" t="s">
        <v>92</v>
      </c>
      <c r="R596" s="152" t="s">
        <v>92</v>
      </c>
      <c r="S596" s="164" t="s">
        <v>856</v>
      </c>
      <c r="T596" s="164" t="s">
        <v>856</v>
      </c>
      <c r="U596" s="164" t="s">
        <v>856</v>
      </c>
      <c r="V596" s="152" t="s">
        <v>857</v>
      </c>
      <c r="W596" s="152" t="s">
        <v>4609</v>
      </c>
      <c r="X596" s="152" t="s">
        <v>1083</v>
      </c>
      <c r="Y596" s="152">
        <v>181.2</v>
      </c>
      <c r="Z596" s="152">
        <v>1</v>
      </c>
      <c r="AA596" s="152" t="s">
        <v>883</v>
      </c>
      <c r="AB596" s="152">
        <v>110.38</v>
      </c>
      <c r="AC596" s="152">
        <v>1</v>
      </c>
      <c r="AD596" s="152" t="s">
        <v>861</v>
      </c>
      <c r="AE596" s="152">
        <v>110.38</v>
      </c>
      <c r="AF596" s="152">
        <v>0</v>
      </c>
      <c r="AG596" s="152">
        <v>136.9</v>
      </c>
      <c r="AH596" s="152" t="s">
        <v>861</v>
      </c>
      <c r="AI596" s="152" t="s">
        <v>92</v>
      </c>
      <c r="AJ596" s="152" t="s">
        <v>92</v>
      </c>
      <c r="AK596" s="152" t="s">
        <v>1620</v>
      </c>
      <c r="AL596" s="152" t="s">
        <v>856</v>
      </c>
      <c r="AP596" s="152" t="s">
        <v>856</v>
      </c>
      <c r="AQ596" s="152" t="s">
        <v>856</v>
      </c>
      <c r="AR596" s="152" t="s">
        <v>863</v>
      </c>
      <c r="AS596" s="159" t="s">
        <v>865</v>
      </c>
      <c r="AT596" s="152" t="str">
        <f t="shared" si="39"/>
        <v>RPNRR-320522</v>
      </c>
      <c r="AU596" s="152" t="str">
        <f t="shared" si="37"/>
        <v xml:space="preserve">JOSEFINA DEL ROSARIO SOBERANIS MALDONADO DE REYNA </v>
      </c>
      <c r="AV596" s="152">
        <v>1597.98</v>
      </c>
      <c r="AW596" s="152">
        <v>817361</v>
      </c>
      <c r="AX596" s="152">
        <v>60.5</v>
      </c>
      <c r="AY596" s="152">
        <v>817363</v>
      </c>
      <c r="AZ596" s="152" t="s">
        <v>864</v>
      </c>
      <c r="BA596" s="152" t="str">
        <f t="shared" si="38"/>
        <v>L22-840-NR222</v>
      </c>
      <c r="BB596" s="152">
        <v>0</v>
      </c>
      <c r="BC596" s="157">
        <v>44902</v>
      </c>
      <c r="BD596" s="157">
        <v>44902</v>
      </c>
      <c r="BE596" s="158">
        <v>288520</v>
      </c>
      <c r="BF596" s="152" t="s">
        <v>4700</v>
      </c>
      <c r="BG596" s="152" t="s">
        <v>894</v>
      </c>
      <c r="BH596" s="152">
        <v>110.38</v>
      </c>
      <c r="BI596" s="152">
        <v>0</v>
      </c>
      <c r="BJ596" s="152">
        <v>0</v>
      </c>
      <c r="BK596" s="152" t="s">
        <v>132</v>
      </c>
      <c r="BL596" s="152">
        <v>110.38</v>
      </c>
      <c r="BM596" s="152">
        <v>817362</v>
      </c>
      <c r="BN596" s="157" t="s">
        <v>1453</v>
      </c>
    </row>
    <row r="597" spans="1:66" s="165" customFormat="1">
      <c r="A597" s="165" t="s">
        <v>4701</v>
      </c>
      <c r="B597" s="165" t="s">
        <v>4702</v>
      </c>
      <c r="C597" s="165" t="s">
        <v>4703</v>
      </c>
      <c r="D597" s="165" t="s">
        <v>4704</v>
      </c>
      <c r="E597" s="165" t="s">
        <v>4704</v>
      </c>
      <c r="F597" s="165">
        <v>297998</v>
      </c>
      <c r="G597" s="165">
        <v>78</v>
      </c>
      <c r="H597" s="165">
        <v>712</v>
      </c>
      <c r="I597" s="165">
        <v>164019</v>
      </c>
      <c r="J597" s="165">
        <v>84</v>
      </c>
      <c r="K597" s="165">
        <v>61579</v>
      </c>
      <c r="L597" s="166" t="s">
        <v>856</v>
      </c>
      <c r="M597" s="165" t="s">
        <v>92</v>
      </c>
      <c r="N597" s="165" t="s">
        <v>92</v>
      </c>
      <c r="O597" s="166" t="s">
        <v>856</v>
      </c>
      <c r="P597" s="166" t="s">
        <v>856</v>
      </c>
      <c r="Q597" s="165" t="s">
        <v>92</v>
      </c>
      <c r="R597" s="165" t="s">
        <v>92</v>
      </c>
      <c r="S597" s="166" t="s">
        <v>856</v>
      </c>
      <c r="T597" s="166" t="s">
        <v>856</v>
      </c>
      <c r="U597" s="166" t="s">
        <v>856</v>
      </c>
      <c r="V597" s="165" t="s">
        <v>1550</v>
      </c>
      <c r="W597" s="165" t="s">
        <v>4609</v>
      </c>
      <c r="X597" s="165" t="s">
        <v>1083</v>
      </c>
      <c r="Y597" s="165">
        <v>53.06</v>
      </c>
      <c r="Z597" s="165">
        <v>0</v>
      </c>
      <c r="AA597" s="165" t="s">
        <v>92</v>
      </c>
      <c r="AB597" s="165">
        <v>13.87</v>
      </c>
      <c r="AC597" s="165">
        <v>1</v>
      </c>
      <c r="AD597" s="165" t="s">
        <v>861</v>
      </c>
      <c r="AE597" s="165">
        <v>13.87</v>
      </c>
      <c r="AF597" s="165">
        <v>0</v>
      </c>
      <c r="AG597" s="165" t="s">
        <v>861</v>
      </c>
      <c r="AH597" s="165" t="s">
        <v>861</v>
      </c>
      <c r="AI597" s="165" t="s">
        <v>92</v>
      </c>
      <c r="AJ597" s="165" t="s">
        <v>92</v>
      </c>
      <c r="AK597" s="165" t="s">
        <v>884</v>
      </c>
      <c r="AL597" s="165" t="s">
        <v>856</v>
      </c>
      <c r="AP597" s="165" t="s">
        <v>856</v>
      </c>
      <c r="AQ597" s="165" t="s">
        <v>856</v>
      </c>
      <c r="AR597" s="165" t="s">
        <v>992</v>
      </c>
      <c r="AS597" s="167" t="s">
        <v>865</v>
      </c>
      <c r="AT597" s="165" t="str">
        <f t="shared" si="39"/>
        <v>RPNC7-240922</v>
      </c>
      <c r="AU597" s="165" t="str">
        <f t="shared" si="37"/>
        <v xml:space="preserve">SHERYL MALENA CIFUENTES SANTIZO </v>
      </c>
      <c r="AV597" s="165">
        <v>302.8</v>
      </c>
      <c r="AW597" s="165">
        <v>819821</v>
      </c>
      <c r="AX597" s="165">
        <v>35</v>
      </c>
      <c r="AY597" s="165">
        <v>819823</v>
      </c>
      <c r="AZ597" s="165" t="s">
        <v>864</v>
      </c>
      <c r="BA597" s="165" t="str">
        <f t="shared" si="38"/>
        <v>L22-849-MP046</v>
      </c>
      <c r="BB597" s="165">
        <v>0</v>
      </c>
      <c r="BC597" s="168">
        <v>44903</v>
      </c>
      <c r="BD597" s="168">
        <v>44903</v>
      </c>
      <c r="BE597" s="169">
        <v>42896</v>
      </c>
      <c r="BF597" s="165" t="s">
        <v>4705</v>
      </c>
      <c r="BG597" s="165" t="s">
        <v>894</v>
      </c>
      <c r="BH597" s="165">
        <v>13.87</v>
      </c>
      <c r="BI597" s="165">
        <v>0</v>
      </c>
      <c r="BJ597" s="165">
        <v>0</v>
      </c>
      <c r="BK597" s="165" t="s">
        <v>132</v>
      </c>
      <c r="BL597" s="165">
        <v>13.87</v>
      </c>
      <c r="BM597" s="165">
        <v>819822</v>
      </c>
      <c r="BN597" s="168" t="s">
        <v>1453</v>
      </c>
    </row>
    <row r="598" spans="1:66">
      <c r="A598" s="152" t="s">
        <v>4706</v>
      </c>
      <c r="B598" s="152" t="s">
        <v>4707</v>
      </c>
      <c r="C598" s="152" t="s">
        <v>4708</v>
      </c>
      <c r="D598" s="152" t="s">
        <v>4215</v>
      </c>
      <c r="E598" s="152" t="s">
        <v>4174</v>
      </c>
      <c r="F598" s="152">
        <v>5092</v>
      </c>
      <c r="G598" s="152">
        <v>92</v>
      </c>
      <c r="H598" s="152" t="s">
        <v>1525</v>
      </c>
      <c r="I598" s="152">
        <v>203774</v>
      </c>
      <c r="J598" s="152">
        <v>200</v>
      </c>
      <c r="K598" s="152">
        <v>90323</v>
      </c>
      <c r="L598" s="164" t="s">
        <v>856</v>
      </c>
      <c r="M598" s="152" t="s">
        <v>92</v>
      </c>
      <c r="N598" s="152" t="s">
        <v>92</v>
      </c>
      <c r="O598" s="164" t="s">
        <v>856</v>
      </c>
      <c r="P598" s="164" t="s">
        <v>856</v>
      </c>
      <c r="Q598" s="152" t="s">
        <v>92</v>
      </c>
      <c r="R598" s="152" t="s">
        <v>92</v>
      </c>
      <c r="S598" s="164" t="s">
        <v>856</v>
      </c>
      <c r="T598" s="164" t="s">
        <v>856</v>
      </c>
      <c r="U598" s="164" t="s">
        <v>856</v>
      </c>
      <c r="V598" s="152" t="s">
        <v>857</v>
      </c>
      <c r="W598" s="152" t="s">
        <v>4609</v>
      </c>
      <c r="X598" s="152" t="s">
        <v>1083</v>
      </c>
      <c r="Y598" s="152">
        <v>0</v>
      </c>
      <c r="Z598" s="152">
        <v>1</v>
      </c>
      <c r="AA598" s="152" t="s">
        <v>92</v>
      </c>
      <c r="AB598" s="152">
        <v>74.19</v>
      </c>
      <c r="AC598" s="152">
        <v>1</v>
      </c>
      <c r="AD598" s="152" t="s">
        <v>861</v>
      </c>
      <c r="AE598" s="152">
        <v>74.19</v>
      </c>
      <c r="AF598" s="152">
        <v>0</v>
      </c>
      <c r="AG598" s="152" t="s">
        <v>861</v>
      </c>
      <c r="AH598" s="152" t="s">
        <v>861</v>
      </c>
      <c r="AI598" s="152" t="s">
        <v>92</v>
      </c>
      <c r="AJ598" s="152" t="s">
        <v>92</v>
      </c>
      <c r="AK598" s="152" t="s">
        <v>2503</v>
      </c>
      <c r="AL598" s="152" t="s">
        <v>856</v>
      </c>
      <c r="AP598" s="152" t="s">
        <v>856</v>
      </c>
      <c r="AQ598" s="152" t="s">
        <v>856</v>
      </c>
      <c r="AR598" s="152" t="s">
        <v>3846</v>
      </c>
      <c r="AS598" s="159" t="s">
        <v>865</v>
      </c>
      <c r="AT598" s="152" t="str">
        <f t="shared" si="39"/>
        <v>RPNLR-590822</v>
      </c>
      <c r="AU598" s="152" t="str">
        <f t="shared" si="37"/>
        <v xml:space="preserve">JUANA ESTELINA BATZ FLORES DE LOPEZ </v>
      </c>
      <c r="AV598" s="152">
        <v>747.84</v>
      </c>
      <c r="AW598" s="152">
        <v>817456</v>
      </c>
      <c r="AX598" s="152">
        <v>50</v>
      </c>
      <c r="AY598" s="152">
        <v>817458</v>
      </c>
      <c r="AZ598" s="152" t="s">
        <v>864</v>
      </c>
      <c r="BA598" s="152" t="str">
        <f t="shared" si="38"/>
        <v>L22-1304-AQ152</v>
      </c>
      <c r="BB598" s="152">
        <v>0</v>
      </c>
      <c r="BC598" s="157">
        <v>44904</v>
      </c>
      <c r="BD598" s="157">
        <v>44904</v>
      </c>
      <c r="BE598" s="158">
        <v>148380</v>
      </c>
      <c r="BF598" s="152" t="s">
        <v>4709</v>
      </c>
      <c r="BG598" s="152" t="s">
        <v>894</v>
      </c>
      <c r="BH598" s="152">
        <v>74.19</v>
      </c>
      <c r="BI598" s="152">
        <v>0</v>
      </c>
      <c r="BJ598" s="152">
        <v>0</v>
      </c>
      <c r="BK598" s="152" t="s">
        <v>132</v>
      </c>
      <c r="BL598" s="152">
        <v>74.19</v>
      </c>
      <c r="BM598" s="152">
        <v>817457</v>
      </c>
      <c r="BN598" s="157" t="s">
        <v>1453</v>
      </c>
    </row>
    <row r="599" spans="1:66">
      <c r="A599" s="152" t="s">
        <v>4710</v>
      </c>
      <c r="B599" s="152" t="s">
        <v>4711</v>
      </c>
      <c r="C599" s="152" t="s">
        <v>4712</v>
      </c>
      <c r="D599" s="152" t="s">
        <v>4713</v>
      </c>
      <c r="E599" s="152" t="s">
        <v>4714</v>
      </c>
      <c r="F599" s="152">
        <v>6911</v>
      </c>
      <c r="G599" s="152">
        <v>411</v>
      </c>
      <c r="H599" s="152" t="s">
        <v>2826</v>
      </c>
      <c r="I599" s="152">
        <v>204162</v>
      </c>
      <c r="J599" s="152">
        <v>378.76</v>
      </c>
      <c r="K599" s="152">
        <v>90538</v>
      </c>
      <c r="L599" s="164" t="s">
        <v>856</v>
      </c>
      <c r="M599" s="152" t="s">
        <v>92</v>
      </c>
      <c r="N599" s="152" t="s">
        <v>92</v>
      </c>
      <c r="O599" s="164" t="s">
        <v>856</v>
      </c>
      <c r="P599" s="164" t="s">
        <v>856</v>
      </c>
      <c r="Q599" s="152" t="s">
        <v>92</v>
      </c>
      <c r="R599" s="152" t="s">
        <v>92</v>
      </c>
      <c r="S599" s="164" t="s">
        <v>856</v>
      </c>
      <c r="T599" s="164" t="s">
        <v>856</v>
      </c>
      <c r="U599" s="164" t="s">
        <v>856</v>
      </c>
      <c r="V599" s="152" t="s">
        <v>857</v>
      </c>
      <c r="W599" s="152" t="s">
        <v>4609</v>
      </c>
      <c r="X599" s="152" t="s">
        <v>1083</v>
      </c>
      <c r="Y599" s="152">
        <v>139.06</v>
      </c>
      <c r="Z599" s="152">
        <v>1</v>
      </c>
      <c r="AA599" s="152" t="s">
        <v>92</v>
      </c>
      <c r="AB599" s="152">
        <v>143.55000000000001</v>
      </c>
      <c r="AC599" s="152">
        <v>1</v>
      </c>
      <c r="AD599" s="152" t="s">
        <v>861</v>
      </c>
      <c r="AE599" s="152">
        <v>143.55000000000001</v>
      </c>
      <c r="AF599" s="152">
        <v>0</v>
      </c>
      <c r="AG599" s="152" t="s">
        <v>861</v>
      </c>
      <c r="AH599" s="152" t="s">
        <v>861</v>
      </c>
      <c r="AI599" s="152" t="s">
        <v>92</v>
      </c>
      <c r="AJ599" s="152" t="s">
        <v>92</v>
      </c>
      <c r="AK599" s="152" t="s">
        <v>972</v>
      </c>
      <c r="AL599" s="152" t="s">
        <v>856</v>
      </c>
      <c r="AP599" s="152" t="s">
        <v>856</v>
      </c>
      <c r="AQ599" s="152" t="s">
        <v>856</v>
      </c>
      <c r="AR599" s="152" t="s">
        <v>885</v>
      </c>
      <c r="AS599" s="159" t="s">
        <v>865</v>
      </c>
      <c r="AT599" s="152" t="str">
        <f t="shared" si="39"/>
        <v>RPNM5-640822</v>
      </c>
      <c r="AU599" s="152" t="str">
        <f t="shared" si="37"/>
        <v xml:space="preserve">JOSE ANGEL MORAN VALDEZ Y CONDUEÑO </v>
      </c>
      <c r="AV599" s="152">
        <v>1963.14</v>
      </c>
      <c r="AW599" s="152">
        <v>901761</v>
      </c>
      <c r="AX599" s="152">
        <v>75</v>
      </c>
      <c r="AY599" s="152">
        <v>901762</v>
      </c>
      <c r="AZ599" s="152" t="s">
        <v>864</v>
      </c>
      <c r="BA599" s="152" t="str">
        <f t="shared" si="38"/>
        <v>L22-741-MP070</v>
      </c>
      <c r="BB599" s="152">
        <v>0</v>
      </c>
      <c r="BC599" s="157">
        <v>44896</v>
      </c>
      <c r="BD599" s="157">
        <v>44896</v>
      </c>
      <c r="BE599" s="158">
        <v>343891</v>
      </c>
    </row>
    <row r="600" spans="1:66">
      <c r="A600" s="152" t="s">
        <v>4715</v>
      </c>
      <c r="B600" s="152" t="s">
        <v>4716</v>
      </c>
      <c r="C600" s="152" t="s">
        <v>4717</v>
      </c>
      <c r="D600" s="152" t="s">
        <v>4718</v>
      </c>
      <c r="E600" s="152" t="s">
        <v>4719</v>
      </c>
      <c r="F600" s="152">
        <v>5836</v>
      </c>
      <c r="G600" s="152">
        <v>336</v>
      </c>
      <c r="H600" s="152" t="s">
        <v>1428</v>
      </c>
      <c r="I600" s="152">
        <v>203206</v>
      </c>
      <c r="J600" s="152">
        <v>25</v>
      </c>
      <c r="K600" s="152">
        <v>89890</v>
      </c>
      <c r="L600" s="164" t="s">
        <v>856</v>
      </c>
      <c r="M600" s="152" t="s">
        <v>92</v>
      </c>
      <c r="N600" s="152" t="s">
        <v>92</v>
      </c>
      <c r="O600" s="164" t="s">
        <v>856</v>
      </c>
      <c r="P600" s="164" t="s">
        <v>856</v>
      </c>
      <c r="Q600" s="152" t="s">
        <v>92</v>
      </c>
      <c r="R600" s="152" t="s">
        <v>92</v>
      </c>
      <c r="S600" s="164" t="s">
        <v>856</v>
      </c>
      <c r="T600" s="164" t="s">
        <v>856</v>
      </c>
      <c r="U600" s="164" t="s">
        <v>856</v>
      </c>
      <c r="V600" s="152" t="s">
        <v>857</v>
      </c>
      <c r="W600" s="152" t="s">
        <v>4609</v>
      </c>
      <c r="X600" s="152" t="s">
        <v>1083</v>
      </c>
      <c r="Y600" s="152">
        <v>0</v>
      </c>
      <c r="Z600" s="152">
        <v>1</v>
      </c>
      <c r="AA600" s="152" t="s">
        <v>92</v>
      </c>
      <c r="AB600" s="152">
        <v>50</v>
      </c>
      <c r="AC600" s="152">
        <v>2</v>
      </c>
      <c r="AD600" s="152" t="s">
        <v>861</v>
      </c>
      <c r="AE600" s="152">
        <v>50</v>
      </c>
      <c r="AF600" s="152">
        <v>0</v>
      </c>
      <c r="AG600" s="152" t="s">
        <v>861</v>
      </c>
      <c r="AH600" s="152" t="s">
        <v>861</v>
      </c>
      <c r="AI600" s="152" t="s">
        <v>92</v>
      </c>
      <c r="AJ600" s="152" t="s">
        <v>92</v>
      </c>
      <c r="AK600" s="152" t="s">
        <v>912</v>
      </c>
      <c r="AL600" s="152" t="s">
        <v>856</v>
      </c>
      <c r="AP600" s="152" t="s">
        <v>856</v>
      </c>
      <c r="AQ600" s="152" t="s">
        <v>856</v>
      </c>
      <c r="AR600" s="152" t="s">
        <v>4720</v>
      </c>
      <c r="AS600" s="159" t="s">
        <v>865</v>
      </c>
      <c r="AT600" s="152" t="str">
        <f t="shared" si="39"/>
        <v>RPNV5-730722</v>
      </c>
      <c r="AU600" s="152" t="str">
        <f t="shared" si="37"/>
        <v xml:space="preserve">TELMA MARINA VASQUEZ </v>
      </c>
      <c r="AV600" s="152">
        <v>630</v>
      </c>
      <c r="AW600" s="152">
        <v>817355</v>
      </c>
      <c r="AX600" s="159" t="s">
        <v>856</v>
      </c>
      <c r="AY600" s="159" t="s">
        <v>856</v>
      </c>
      <c r="AZ600" s="152" t="s">
        <v>864</v>
      </c>
      <c r="BA600" s="152" t="str">
        <f t="shared" si="38"/>
        <v>L22-842-MP071</v>
      </c>
      <c r="BB600" s="152">
        <v>0</v>
      </c>
      <c r="BC600" s="157">
        <v>44902</v>
      </c>
      <c r="BD600" s="157">
        <v>44902</v>
      </c>
      <c r="BE600" s="158">
        <v>125000</v>
      </c>
    </row>
    <row r="601" spans="1:66">
      <c r="A601" s="152" t="s">
        <v>4721</v>
      </c>
      <c r="B601" s="152" t="s">
        <v>4722</v>
      </c>
      <c r="C601" s="152" t="s">
        <v>4723</v>
      </c>
      <c r="D601" s="152" t="s">
        <v>4724</v>
      </c>
      <c r="E601" s="152" t="s">
        <v>4724</v>
      </c>
      <c r="F601" s="152">
        <v>335104</v>
      </c>
      <c r="G601" s="152">
        <v>114</v>
      </c>
      <c r="H601" s="152">
        <v>834</v>
      </c>
      <c r="I601" s="152">
        <v>204622</v>
      </c>
      <c r="J601" s="152">
        <v>121.12</v>
      </c>
      <c r="K601" s="152">
        <v>90833</v>
      </c>
      <c r="L601" s="164" t="s">
        <v>856</v>
      </c>
      <c r="M601" s="152" t="s">
        <v>92</v>
      </c>
      <c r="N601" s="152" t="s">
        <v>92</v>
      </c>
      <c r="O601" s="164" t="s">
        <v>856</v>
      </c>
      <c r="P601" s="164" t="s">
        <v>856</v>
      </c>
      <c r="Q601" s="152" t="s">
        <v>92</v>
      </c>
      <c r="R601" s="152" t="s">
        <v>92</v>
      </c>
      <c r="S601" s="164" t="s">
        <v>856</v>
      </c>
      <c r="T601" s="164" t="s">
        <v>856</v>
      </c>
      <c r="U601" s="164" t="s">
        <v>856</v>
      </c>
      <c r="V601" s="152" t="s">
        <v>857</v>
      </c>
      <c r="W601" s="152" t="s">
        <v>4609</v>
      </c>
      <c r="X601" s="152" t="s">
        <v>1083</v>
      </c>
      <c r="Y601" s="152">
        <v>0</v>
      </c>
      <c r="Z601" s="152">
        <v>1</v>
      </c>
      <c r="AA601" s="152" t="s">
        <v>92</v>
      </c>
      <c r="AB601" s="152">
        <v>196.25</v>
      </c>
      <c r="AC601" s="152">
        <v>2</v>
      </c>
      <c r="AD601" s="152" t="s">
        <v>861</v>
      </c>
      <c r="AE601" s="152">
        <v>196.25</v>
      </c>
      <c r="AF601" s="152">
        <v>0</v>
      </c>
      <c r="AG601" s="152" t="s">
        <v>861</v>
      </c>
      <c r="AH601" s="152" t="s">
        <v>861</v>
      </c>
      <c r="AI601" s="152" t="s">
        <v>92</v>
      </c>
      <c r="AJ601" s="152" t="s">
        <v>92</v>
      </c>
      <c r="AK601" s="152" t="s">
        <v>884</v>
      </c>
      <c r="AL601" s="152" t="s">
        <v>856</v>
      </c>
      <c r="AP601" s="152" t="s">
        <v>856</v>
      </c>
      <c r="AQ601" s="152" t="s">
        <v>856</v>
      </c>
      <c r="AR601" s="152" t="s">
        <v>873</v>
      </c>
      <c r="AS601" s="159" t="s">
        <v>865</v>
      </c>
      <c r="AT601" s="152" t="str">
        <f t="shared" si="39"/>
        <v>RPNM8-480922</v>
      </c>
      <c r="AU601" s="152" t="str">
        <f t="shared" si="37"/>
        <v xml:space="preserve">JARRY GERSON MATIAS LOPEZ </v>
      </c>
      <c r="AV601" s="152">
        <v>2472.75</v>
      </c>
      <c r="AW601" s="152">
        <v>910157</v>
      </c>
      <c r="AX601" s="152">
        <v>37.5</v>
      </c>
      <c r="AY601" s="152">
        <v>910159</v>
      </c>
      <c r="AZ601" s="152" t="s">
        <v>864</v>
      </c>
      <c r="BA601" s="152" t="str">
        <f t="shared" si="38"/>
        <v>L22-848-MP072</v>
      </c>
      <c r="BB601" s="152">
        <v>0</v>
      </c>
      <c r="BC601" s="157">
        <v>44903</v>
      </c>
      <c r="BD601" s="157">
        <v>44903</v>
      </c>
      <c r="BE601" s="158">
        <v>490625</v>
      </c>
      <c r="BF601" s="152" t="s">
        <v>4725</v>
      </c>
      <c r="BG601" s="152" t="s">
        <v>894</v>
      </c>
      <c r="BH601" s="152">
        <v>196.25</v>
      </c>
      <c r="BI601" s="152">
        <v>0</v>
      </c>
      <c r="BJ601" s="152">
        <v>0</v>
      </c>
      <c r="BK601" s="152" t="s">
        <v>4184</v>
      </c>
      <c r="BL601" s="152">
        <v>196.25</v>
      </c>
      <c r="BM601" s="152">
        <v>910158</v>
      </c>
      <c r="BN601" s="157" t="s">
        <v>1453</v>
      </c>
    </row>
    <row r="602" spans="1:66">
      <c r="A602" s="152" t="s">
        <v>4726</v>
      </c>
      <c r="B602" s="152" t="s">
        <v>4727</v>
      </c>
      <c r="C602" s="152" t="s">
        <v>4728</v>
      </c>
      <c r="D602" s="152" t="s">
        <v>4729</v>
      </c>
      <c r="E602" s="152" t="s">
        <v>4729</v>
      </c>
      <c r="F602" s="152">
        <v>7705</v>
      </c>
      <c r="G602" s="152">
        <v>205</v>
      </c>
      <c r="H602" s="152" t="s">
        <v>4730</v>
      </c>
      <c r="I602" s="152">
        <v>203437</v>
      </c>
      <c r="J602" s="152">
        <v>73.099999999999994</v>
      </c>
      <c r="K602" s="152">
        <v>90051</v>
      </c>
      <c r="L602" s="164" t="s">
        <v>856</v>
      </c>
      <c r="M602" s="152" t="s">
        <v>92</v>
      </c>
      <c r="N602" s="152" t="s">
        <v>92</v>
      </c>
      <c r="O602" s="164" t="s">
        <v>856</v>
      </c>
      <c r="P602" s="164" t="s">
        <v>856</v>
      </c>
      <c r="Q602" s="152" t="s">
        <v>92</v>
      </c>
      <c r="R602" s="152" t="s">
        <v>92</v>
      </c>
      <c r="S602" s="164" t="s">
        <v>856</v>
      </c>
      <c r="T602" s="164" t="s">
        <v>856</v>
      </c>
      <c r="U602" s="164" t="s">
        <v>856</v>
      </c>
      <c r="V602" s="152" t="s">
        <v>857</v>
      </c>
      <c r="W602" s="152" t="s">
        <v>4609</v>
      </c>
      <c r="X602" s="152" t="s">
        <v>1083</v>
      </c>
      <c r="Y602" s="152">
        <v>0</v>
      </c>
      <c r="Z602" s="152">
        <v>1</v>
      </c>
      <c r="AA602" s="152" t="s">
        <v>92</v>
      </c>
      <c r="AB602" s="152">
        <v>110.47</v>
      </c>
      <c r="AC602" s="152">
        <v>2</v>
      </c>
      <c r="AD602" s="152" t="s">
        <v>861</v>
      </c>
      <c r="AE602" s="152">
        <v>110.47</v>
      </c>
      <c r="AF602" s="152">
        <v>0</v>
      </c>
      <c r="AG602" s="152" t="s">
        <v>861</v>
      </c>
      <c r="AH602" s="152" t="s">
        <v>861</v>
      </c>
      <c r="AI602" s="152" t="s">
        <v>92</v>
      </c>
      <c r="AJ602" s="152" t="s">
        <v>92</v>
      </c>
      <c r="AK602" s="152" t="s">
        <v>3578</v>
      </c>
      <c r="AL602" s="152" t="s">
        <v>856</v>
      </c>
      <c r="AP602" s="152" t="s">
        <v>856</v>
      </c>
      <c r="AQ602" s="152" t="s">
        <v>856</v>
      </c>
      <c r="AR602" s="152" t="s">
        <v>3846</v>
      </c>
      <c r="AS602" s="159" t="s">
        <v>865</v>
      </c>
      <c r="AT602" s="152" t="str">
        <f t="shared" si="39"/>
        <v>RPNP6-380922</v>
      </c>
      <c r="AU602" s="152" t="str">
        <f t="shared" si="37"/>
        <v xml:space="preserve">FRANCISCO RULAMAN PEREZ Y PEREZ </v>
      </c>
      <c r="AV602" s="152">
        <v>1391.92</v>
      </c>
      <c r="AW602" s="152">
        <v>817236</v>
      </c>
      <c r="AX602" s="152">
        <v>39.75</v>
      </c>
      <c r="AY602" s="152">
        <v>817238</v>
      </c>
      <c r="AZ602" s="152" t="s">
        <v>864</v>
      </c>
      <c r="BA602" s="152" t="str">
        <f t="shared" si="38"/>
        <v>L22-838-AQ094</v>
      </c>
      <c r="BB602" s="152">
        <v>0</v>
      </c>
      <c r="BC602" s="157">
        <v>44901</v>
      </c>
      <c r="BD602" s="157">
        <v>44901</v>
      </c>
      <c r="BE602" s="158">
        <v>276175</v>
      </c>
      <c r="BF602" s="152" t="s">
        <v>4731</v>
      </c>
      <c r="BG602" s="152" t="s">
        <v>894</v>
      </c>
      <c r="BH602" s="152">
        <v>110.47</v>
      </c>
      <c r="BI602" s="152">
        <v>0</v>
      </c>
      <c r="BJ602" s="152">
        <v>0</v>
      </c>
      <c r="BK602" s="152" t="s">
        <v>132</v>
      </c>
      <c r="BL602" s="152">
        <v>110.47</v>
      </c>
      <c r="BM602" s="152">
        <v>817237</v>
      </c>
      <c r="BN602" s="157" t="s">
        <v>1453</v>
      </c>
    </row>
    <row r="603" spans="1:66">
      <c r="A603" s="152" t="s">
        <v>4732</v>
      </c>
      <c r="B603" s="152" t="s">
        <v>4733</v>
      </c>
      <c r="C603" s="152" t="s">
        <v>4694</v>
      </c>
      <c r="D603" s="152" t="s">
        <v>4695</v>
      </c>
      <c r="E603" s="152" t="s">
        <v>4696</v>
      </c>
      <c r="F603" s="152">
        <v>8334</v>
      </c>
      <c r="G603" s="152">
        <v>334</v>
      </c>
      <c r="H603" s="152" t="s">
        <v>2325</v>
      </c>
      <c r="I603" s="152">
        <v>201611</v>
      </c>
      <c r="J603" s="152">
        <v>106.59</v>
      </c>
      <c r="K603" s="152">
        <v>88577</v>
      </c>
      <c r="L603" s="152" t="s">
        <v>2632</v>
      </c>
      <c r="M603" s="152" t="s">
        <v>92</v>
      </c>
      <c r="N603" s="152" t="s">
        <v>883</v>
      </c>
      <c r="O603" s="152">
        <v>6734</v>
      </c>
      <c r="P603" s="152" t="s">
        <v>2632</v>
      </c>
      <c r="Q603" s="152" t="s">
        <v>92</v>
      </c>
      <c r="R603" s="152" t="s">
        <v>883</v>
      </c>
      <c r="S603" s="152">
        <v>6734</v>
      </c>
      <c r="T603" s="164" t="s">
        <v>856</v>
      </c>
      <c r="U603" s="164" t="s">
        <v>856</v>
      </c>
      <c r="V603" s="152" t="s">
        <v>857</v>
      </c>
      <c r="W603" s="152" t="s">
        <v>4609</v>
      </c>
      <c r="X603" s="152" t="s">
        <v>1083</v>
      </c>
      <c r="Y603" s="152">
        <v>13.54</v>
      </c>
      <c r="Z603" s="152">
        <v>1</v>
      </c>
      <c r="AA603" s="152" t="s">
        <v>92</v>
      </c>
      <c r="AB603" s="152">
        <v>172.14</v>
      </c>
      <c r="AC603" s="152">
        <v>2</v>
      </c>
      <c r="AD603" s="152" t="s">
        <v>861</v>
      </c>
      <c r="AE603" s="152">
        <v>172.14</v>
      </c>
      <c r="AF603" s="152">
        <v>0</v>
      </c>
      <c r="AG603" s="152" t="s">
        <v>861</v>
      </c>
      <c r="AH603" s="152" t="s">
        <v>861</v>
      </c>
      <c r="AI603" s="152" t="s">
        <v>92</v>
      </c>
      <c r="AJ603" s="152" t="s">
        <v>92</v>
      </c>
      <c r="AK603" s="152" t="s">
        <v>862</v>
      </c>
      <c r="AL603" s="152" t="s">
        <v>856</v>
      </c>
      <c r="AP603" s="152" t="s">
        <v>856</v>
      </c>
      <c r="AQ603" s="152" t="s">
        <v>856</v>
      </c>
      <c r="AR603" s="152" t="s">
        <v>1953</v>
      </c>
      <c r="AS603" s="159" t="s">
        <v>865</v>
      </c>
      <c r="AT603" s="152" t="str">
        <f t="shared" si="39"/>
        <v>VUNI10-021022</v>
      </c>
      <c r="AU603" s="152" t="str">
        <f t="shared" si="37"/>
        <v xml:space="preserve">MARIA DE LOS ANGELES IXQUIAC IXQUIAC </v>
      </c>
      <c r="AV603" s="152">
        <v>2195.5</v>
      </c>
      <c r="AW603" s="152">
        <v>911533</v>
      </c>
      <c r="AX603" s="152">
        <v>25.5</v>
      </c>
      <c r="AY603" s="152">
        <v>911536</v>
      </c>
      <c r="AZ603" s="152" t="s">
        <v>864</v>
      </c>
      <c r="BA603" s="152" t="str">
        <f t="shared" si="38"/>
        <v>L22-867-SP123</v>
      </c>
      <c r="BB603" s="152">
        <v>24</v>
      </c>
      <c r="BC603" s="157">
        <v>44915</v>
      </c>
      <c r="BD603" s="157">
        <v>45280</v>
      </c>
      <c r="BE603" s="158">
        <v>435089</v>
      </c>
      <c r="BF603" s="152" t="s">
        <v>4734</v>
      </c>
      <c r="BG603" s="152" t="s">
        <v>4735</v>
      </c>
      <c r="BH603" s="152">
        <v>172.14</v>
      </c>
      <c r="BI603" s="152">
        <v>0</v>
      </c>
      <c r="BJ603" s="152">
        <v>0</v>
      </c>
      <c r="BK603" s="152" t="s">
        <v>132</v>
      </c>
      <c r="BL603" s="152">
        <v>172.12</v>
      </c>
      <c r="BM603" s="152">
        <v>911535</v>
      </c>
      <c r="BN603" s="157" t="s">
        <v>1453</v>
      </c>
    </row>
    <row r="604" spans="1:66">
      <c r="A604" s="152" t="s">
        <v>4736</v>
      </c>
      <c r="B604" s="152" t="s">
        <v>4737</v>
      </c>
      <c r="C604" s="152" t="s">
        <v>4738</v>
      </c>
      <c r="D604" s="152" t="s">
        <v>4739</v>
      </c>
      <c r="E604" s="152" t="s">
        <v>4739</v>
      </c>
      <c r="F604" s="152">
        <v>6628</v>
      </c>
      <c r="G604" s="152">
        <v>128</v>
      </c>
      <c r="H604" s="152" t="s">
        <v>908</v>
      </c>
      <c r="I604" s="152">
        <v>203260</v>
      </c>
      <c r="J604" s="152">
        <v>105.42</v>
      </c>
      <c r="K604" s="152">
        <v>89943</v>
      </c>
      <c r="L604" s="164" t="s">
        <v>856</v>
      </c>
      <c r="M604" s="152" t="s">
        <v>92</v>
      </c>
      <c r="N604" s="152" t="s">
        <v>92</v>
      </c>
      <c r="O604" s="164" t="s">
        <v>856</v>
      </c>
      <c r="P604" s="164" t="s">
        <v>856</v>
      </c>
      <c r="Q604" s="152" t="s">
        <v>92</v>
      </c>
      <c r="R604" s="152" t="s">
        <v>92</v>
      </c>
      <c r="S604" s="164" t="s">
        <v>856</v>
      </c>
      <c r="T604" s="164" t="s">
        <v>856</v>
      </c>
      <c r="U604" s="164" t="s">
        <v>856</v>
      </c>
      <c r="V604" s="152" t="s">
        <v>911</v>
      </c>
      <c r="W604" s="152" t="s">
        <v>4609</v>
      </c>
      <c r="X604" s="152" t="s">
        <v>1083</v>
      </c>
      <c r="Y604" s="152">
        <v>0</v>
      </c>
      <c r="Z604" s="152">
        <v>1</v>
      </c>
      <c r="AA604" s="152" t="s">
        <v>92</v>
      </c>
      <c r="AB604" s="152">
        <v>109.48</v>
      </c>
      <c r="AC604" s="152">
        <v>2</v>
      </c>
      <c r="AD604" s="152" t="s">
        <v>861</v>
      </c>
      <c r="AE604" s="152">
        <v>109.48</v>
      </c>
      <c r="AF604" s="152">
        <v>0</v>
      </c>
      <c r="AG604" s="152" t="s">
        <v>861</v>
      </c>
      <c r="AH604" s="152" t="s">
        <v>861</v>
      </c>
      <c r="AI604" s="152" t="s">
        <v>92</v>
      </c>
      <c r="AJ604" s="152" t="s">
        <v>92</v>
      </c>
      <c r="AK604" s="152" t="s">
        <v>862</v>
      </c>
      <c r="AL604" s="152" t="s">
        <v>856</v>
      </c>
      <c r="AP604" s="152" t="s">
        <v>856</v>
      </c>
      <c r="AQ604" s="152" t="s">
        <v>856</v>
      </c>
      <c r="AR604" s="152" t="s">
        <v>2224</v>
      </c>
      <c r="AS604" s="159" t="s">
        <v>865</v>
      </c>
      <c r="AT604" s="152" t="str">
        <f t="shared" si="39"/>
        <v>RPNM1-330822</v>
      </c>
      <c r="AU604" s="152" t="str">
        <f t="shared" si="37"/>
        <v xml:space="preserve">GRACIELA FLORIDALMA OROZCO O. DE MALDONADO </v>
      </c>
      <c r="AV604" s="152">
        <v>1379.45</v>
      </c>
      <c r="AW604" s="152">
        <v>910216</v>
      </c>
      <c r="AX604" s="152">
        <v>25.5</v>
      </c>
      <c r="AY604" s="152">
        <v>910218</v>
      </c>
      <c r="AZ604" s="152" t="s">
        <v>864</v>
      </c>
      <c r="BA604" s="152" t="str">
        <f t="shared" si="38"/>
        <v>L22-905-JM161</v>
      </c>
      <c r="BB604" s="152">
        <v>0</v>
      </c>
      <c r="BC604" s="157">
        <v>44904</v>
      </c>
      <c r="BD604" s="157">
        <v>44904</v>
      </c>
      <c r="BE604" s="158">
        <v>273700</v>
      </c>
      <c r="BF604" s="152" t="s">
        <v>4740</v>
      </c>
      <c r="BG604" s="152" t="s">
        <v>894</v>
      </c>
      <c r="BH604" s="152">
        <v>109.48</v>
      </c>
      <c r="BI604" s="152">
        <v>0</v>
      </c>
      <c r="BJ604" s="152">
        <v>0</v>
      </c>
      <c r="BK604" s="152" t="s">
        <v>132</v>
      </c>
      <c r="BL604" s="152">
        <v>109.48</v>
      </c>
      <c r="BM604" s="152">
        <v>910217</v>
      </c>
      <c r="BN604" s="157" t="s">
        <v>1453</v>
      </c>
    </row>
    <row r="605" spans="1:66">
      <c r="A605" s="152" t="s">
        <v>4741</v>
      </c>
      <c r="B605" s="152" t="s">
        <v>4742</v>
      </c>
      <c r="C605" s="152" t="s">
        <v>4743</v>
      </c>
      <c r="D605" s="152" t="s">
        <v>4744</v>
      </c>
      <c r="E605" s="152" t="s">
        <v>4744</v>
      </c>
      <c r="F605" s="152">
        <v>9736</v>
      </c>
      <c r="G605" s="152">
        <v>236</v>
      </c>
      <c r="H605" s="152" t="s">
        <v>2264</v>
      </c>
      <c r="I605" s="152">
        <v>194084</v>
      </c>
      <c r="J605" s="152">
        <v>416.44</v>
      </c>
      <c r="K605" s="152">
        <v>82935</v>
      </c>
      <c r="L605" s="164" t="s">
        <v>856</v>
      </c>
      <c r="M605" s="152" t="s">
        <v>92</v>
      </c>
      <c r="N605" s="152" t="s">
        <v>92</v>
      </c>
      <c r="O605" s="164" t="s">
        <v>856</v>
      </c>
      <c r="P605" s="164" t="s">
        <v>856</v>
      </c>
      <c r="Q605" s="152" t="s">
        <v>92</v>
      </c>
      <c r="R605" s="152" t="s">
        <v>92</v>
      </c>
      <c r="S605" s="164" t="s">
        <v>856</v>
      </c>
      <c r="T605" s="164" t="s">
        <v>856</v>
      </c>
      <c r="U605" s="164" t="s">
        <v>856</v>
      </c>
      <c r="V605" s="152" t="s">
        <v>3886</v>
      </c>
      <c r="W605" s="152" t="s">
        <v>4609</v>
      </c>
      <c r="X605" s="152" t="s">
        <v>1083</v>
      </c>
      <c r="Y605" s="152">
        <v>0</v>
      </c>
      <c r="Z605" s="152">
        <v>1</v>
      </c>
      <c r="AA605" s="152" t="s">
        <v>92</v>
      </c>
      <c r="AB605" s="152">
        <v>95.93</v>
      </c>
      <c r="AC605" s="152">
        <v>1</v>
      </c>
      <c r="AD605" s="152" t="s">
        <v>861</v>
      </c>
      <c r="AE605" s="152">
        <v>95.93</v>
      </c>
      <c r="AF605" s="152">
        <v>0</v>
      </c>
      <c r="AG605" s="152" t="s">
        <v>861</v>
      </c>
      <c r="AH605" s="152" t="s">
        <v>861</v>
      </c>
      <c r="AI605" s="152" t="s">
        <v>92</v>
      </c>
      <c r="AJ605" s="152" t="s">
        <v>92</v>
      </c>
      <c r="AK605" s="152" t="s">
        <v>862</v>
      </c>
      <c r="AL605" s="152" t="s">
        <v>856</v>
      </c>
      <c r="AP605" s="152" t="s">
        <v>856</v>
      </c>
      <c r="AQ605" s="152" t="s">
        <v>856</v>
      </c>
      <c r="AR605" s="152" t="s">
        <v>863</v>
      </c>
      <c r="AS605" s="159" t="s">
        <v>865</v>
      </c>
      <c r="AT605" s="152" t="str">
        <f t="shared" si="39"/>
        <v>RPNX10-440822</v>
      </c>
      <c r="AU605" s="152" t="str">
        <f t="shared" si="37"/>
        <v xml:space="preserve">SANTIAGO XICARA GOMEZ Y CONDUEÑA </v>
      </c>
      <c r="AV605" s="152">
        <v>1208.72</v>
      </c>
      <c r="AW605" s="152">
        <v>912376</v>
      </c>
      <c r="AX605" s="159" t="s">
        <v>856</v>
      </c>
      <c r="AY605" s="159" t="s">
        <v>856</v>
      </c>
      <c r="AZ605" s="152" t="s">
        <v>864</v>
      </c>
      <c r="BA605" s="152" t="str">
        <f t="shared" si="38"/>
        <v>L22-914-JM157</v>
      </c>
      <c r="BB605" s="152">
        <v>0</v>
      </c>
      <c r="BC605" s="157">
        <v>44914</v>
      </c>
      <c r="BD605" s="157">
        <v>44914</v>
      </c>
      <c r="BE605" s="158">
        <v>239825</v>
      </c>
      <c r="BF605" s="152" t="s">
        <v>4745</v>
      </c>
      <c r="BG605" s="152" t="s">
        <v>894</v>
      </c>
      <c r="BH605" s="152">
        <v>95.93</v>
      </c>
      <c r="BI605" s="152">
        <v>0</v>
      </c>
      <c r="BJ605" s="152">
        <v>0</v>
      </c>
      <c r="BK605" s="152" t="s">
        <v>132</v>
      </c>
      <c r="BL605" s="152">
        <v>95.93</v>
      </c>
      <c r="BM605" s="152">
        <v>912377</v>
      </c>
      <c r="BN605" s="157" t="s">
        <v>1453</v>
      </c>
    </row>
    <row r="606" spans="1:66">
      <c r="A606" s="152" t="s">
        <v>4746</v>
      </c>
      <c r="B606" s="152" t="s">
        <v>4747</v>
      </c>
      <c r="C606" s="152" t="s">
        <v>4748</v>
      </c>
      <c r="D606" s="152" t="s">
        <v>4749</v>
      </c>
      <c r="E606" s="152" t="s">
        <v>4749</v>
      </c>
      <c r="F606" s="152">
        <v>8295</v>
      </c>
      <c r="G606" s="152">
        <v>295</v>
      </c>
      <c r="H606" s="152" t="s">
        <v>4750</v>
      </c>
      <c r="I606" s="152">
        <v>203163</v>
      </c>
      <c r="J606" s="152">
        <v>138.86000000000001</v>
      </c>
      <c r="K606" s="152">
        <v>89848</v>
      </c>
      <c r="L606" s="164" t="s">
        <v>856</v>
      </c>
      <c r="M606" s="152" t="s">
        <v>92</v>
      </c>
      <c r="N606" s="152" t="s">
        <v>92</v>
      </c>
      <c r="O606" s="164" t="s">
        <v>856</v>
      </c>
      <c r="P606" s="164" t="s">
        <v>856</v>
      </c>
      <c r="Q606" s="152" t="s">
        <v>92</v>
      </c>
      <c r="R606" s="152" t="s">
        <v>92</v>
      </c>
      <c r="S606" s="164" t="s">
        <v>856</v>
      </c>
      <c r="T606" s="164" t="s">
        <v>856</v>
      </c>
      <c r="U606" s="164" t="s">
        <v>856</v>
      </c>
      <c r="V606" s="152" t="s">
        <v>857</v>
      </c>
      <c r="W606" s="152" t="s">
        <v>4609</v>
      </c>
      <c r="X606" s="152" t="s">
        <v>1083</v>
      </c>
      <c r="Y606" s="152">
        <v>45.66</v>
      </c>
      <c r="Z606" s="152">
        <v>1</v>
      </c>
      <c r="AA606" s="152" t="s">
        <v>92</v>
      </c>
      <c r="AB606" s="152">
        <v>173.8</v>
      </c>
      <c r="AC606" s="152">
        <v>2</v>
      </c>
      <c r="AD606" s="152" t="s">
        <v>861</v>
      </c>
      <c r="AE606" s="152">
        <v>173.8</v>
      </c>
      <c r="AF606" s="152">
        <v>0</v>
      </c>
      <c r="AG606" s="152" t="s">
        <v>861</v>
      </c>
      <c r="AH606" s="152" t="s">
        <v>861</v>
      </c>
      <c r="AI606" s="152" t="s">
        <v>92</v>
      </c>
      <c r="AJ606" s="152" t="s">
        <v>92</v>
      </c>
      <c r="AK606" s="152" t="s">
        <v>912</v>
      </c>
      <c r="AL606" s="152" t="s">
        <v>856</v>
      </c>
      <c r="AP606" s="152" t="s">
        <v>856</v>
      </c>
      <c r="AQ606" s="152" t="s">
        <v>856</v>
      </c>
      <c r="AR606" s="152" t="s">
        <v>863</v>
      </c>
      <c r="AS606" s="159" t="s">
        <v>865</v>
      </c>
      <c r="AT606" s="152" t="str">
        <f t="shared" si="39"/>
        <v>RPNG5-700922</v>
      </c>
      <c r="AU606" s="152" t="str">
        <f t="shared" si="37"/>
        <v xml:space="preserve">ANA MARINA GONZALEZ LEIVA </v>
      </c>
      <c r="AV606" s="152">
        <v>2279.37</v>
      </c>
      <c r="AW606" s="152">
        <v>817268</v>
      </c>
      <c r="AX606" s="152">
        <v>55.15</v>
      </c>
      <c r="AY606" s="152">
        <v>817270</v>
      </c>
      <c r="AZ606" s="152" t="s">
        <v>864</v>
      </c>
      <c r="BA606" s="152" t="str">
        <f t="shared" si="38"/>
        <v>L22-902-JM187</v>
      </c>
      <c r="BB606" s="152">
        <v>0</v>
      </c>
      <c r="BC606" s="157">
        <v>44901</v>
      </c>
      <c r="BD606" s="157">
        <v>44901</v>
      </c>
      <c r="BE606" s="158">
        <v>450481</v>
      </c>
      <c r="BF606" s="152" t="s">
        <v>4751</v>
      </c>
      <c r="BG606" s="152" t="s">
        <v>894</v>
      </c>
      <c r="BH606" s="152">
        <v>173.8</v>
      </c>
      <c r="BI606" s="152">
        <v>0</v>
      </c>
      <c r="BJ606" s="152">
        <v>0</v>
      </c>
      <c r="BK606" s="152" t="s">
        <v>132</v>
      </c>
      <c r="BL606" s="152">
        <v>173.8</v>
      </c>
      <c r="BM606" s="152">
        <v>817269</v>
      </c>
      <c r="BN606" s="157" t="s">
        <v>1453</v>
      </c>
    </row>
    <row r="607" spans="1:66" s="165" customFormat="1">
      <c r="A607" s="165" t="s">
        <v>4752</v>
      </c>
      <c r="B607" s="165" t="s">
        <v>4753</v>
      </c>
      <c r="C607" s="165" t="s">
        <v>4472</v>
      </c>
      <c r="D607" s="165" t="s">
        <v>4473</v>
      </c>
      <c r="E607" s="165" t="s">
        <v>4473</v>
      </c>
      <c r="F607" s="165">
        <v>1067</v>
      </c>
      <c r="G607" s="165">
        <v>67</v>
      </c>
      <c r="H607" s="165" t="s">
        <v>1363</v>
      </c>
      <c r="I607" s="165">
        <v>183551</v>
      </c>
      <c r="J607" s="165">
        <v>90.16</v>
      </c>
      <c r="K607" s="165">
        <v>74882</v>
      </c>
      <c r="L607" s="165" t="s">
        <v>3022</v>
      </c>
      <c r="M607" s="165" t="s">
        <v>92</v>
      </c>
      <c r="N607" s="165" t="s">
        <v>883</v>
      </c>
      <c r="O607" s="165">
        <v>4320</v>
      </c>
      <c r="P607" s="165" t="s">
        <v>1732</v>
      </c>
      <c r="Q607" s="165" t="s">
        <v>92</v>
      </c>
      <c r="R607" s="165" t="s">
        <v>883</v>
      </c>
      <c r="S607" s="165">
        <v>4320</v>
      </c>
      <c r="T607" s="166" t="s">
        <v>856</v>
      </c>
      <c r="U607" s="166" t="s">
        <v>856</v>
      </c>
      <c r="V607" s="165" t="s">
        <v>4126</v>
      </c>
      <c r="W607" s="165" t="s">
        <v>4609</v>
      </c>
      <c r="X607" s="165" t="s">
        <v>1083</v>
      </c>
      <c r="Y607" s="165">
        <v>40.28</v>
      </c>
      <c r="Z607" s="165">
        <v>2</v>
      </c>
      <c r="AA607" s="165" t="s">
        <v>92</v>
      </c>
      <c r="AB607" s="165">
        <v>126.25</v>
      </c>
      <c r="AC607" s="165">
        <v>2</v>
      </c>
      <c r="AD607" s="165" t="s">
        <v>861</v>
      </c>
      <c r="AE607" s="165">
        <v>126.25</v>
      </c>
      <c r="AF607" s="165">
        <v>0</v>
      </c>
      <c r="AG607" s="165" t="s">
        <v>861</v>
      </c>
      <c r="AH607" s="165" t="s">
        <v>861</v>
      </c>
      <c r="AI607" s="165" t="s">
        <v>92</v>
      </c>
      <c r="AJ607" s="165" t="s">
        <v>92</v>
      </c>
      <c r="AK607" s="165" t="s">
        <v>972</v>
      </c>
      <c r="AL607" s="165" t="s">
        <v>856</v>
      </c>
      <c r="AP607" s="165" t="s">
        <v>856</v>
      </c>
      <c r="AQ607" s="165" t="s">
        <v>856</v>
      </c>
      <c r="AR607" s="165" t="s">
        <v>863</v>
      </c>
      <c r="AS607" s="167" t="s">
        <v>865</v>
      </c>
      <c r="AT607" s="165" t="str">
        <f t="shared" si="39"/>
        <v>VUNP9-020922</v>
      </c>
      <c r="AU607" s="165" t="str">
        <f t="shared" si="37"/>
        <v xml:space="preserve">JOSE ANIBAL PUAC SAQUIC </v>
      </c>
      <c r="AV607" s="165">
        <v>1899.35</v>
      </c>
      <c r="AW607" s="165">
        <v>911010</v>
      </c>
      <c r="AX607" s="165">
        <v>47.5</v>
      </c>
      <c r="AY607" s="165">
        <v>911013</v>
      </c>
      <c r="AZ607" s="165" t="s">
        <v>864</v>
      </c>
      <c r="BA607" s="165" t="str">
        <f t="shared" si="38"/>
        <v>L22-855-SP136</v>
      </c>
      <c r="BB607" s="165">
        <v>24</v>
      </c>
      <c r="BC607" s="168">
        <v>44907</v>
      </c>
      <c r="BD607" s="168">
        <v>45272</v>
      </c>
      <c r="BE607" s="169">
        <v>329723</v>
      </c>
      <c r="BF607" s="165" t="s">
        <v>4754</v>
      </c>
      <c r="BG607" s="165" t="s">
        <v>4755</v>
      </c>
      <c r="BH607" s="165">
        <v>126.25</v>
      </c>
      <c r="BI607" s="165">
        <v>0</v>
      </c>
      <c r="BJ607" s="165">
        <v>0</v>
      </c>
      <c r="BK607" s="165" t="s">
        <v>995</v>
      </c>
      <c r="BL607" s="165">
        <v>133.09</v>
      </c>
      <c r="BM607" s="165">
        <v>911012</v>
      </c>
      <c r="BN607" s="168">
        <v>45638</v>
      </c>
    </row>
    <row r="608" spans="1:66">
      <c r="A608" s="152" t="s">
        <v>4756</v>
      </c>
      <c r="B608" s="152" t="s">
        <v>4757</v>
      </c>
      <c r="C608" s="152" t="s">
        <v>4758</v>
      </c>
      <c r="D608" s="152" t="s">
        <v>4759</v>
      </c>
      <c r="E608" s="152" t="s">
        <v>4759</v>
      </c>
      <c r="F608" s="152">
        <v>6307</v>
      </c>
      <c r="G608" s="152">
        <v>307</v>
      </c>
      <c r="H608" s="152" t="s">
        <v>1848</v>
      </c>
      <c r="I608" s="152">
        <v>202988</v>
      </c>
      <c r="J608" s="152">
        <v>128.80000000000001</v>
      </c>
      <c r="K608" s="152">
        <v>89699</v>
      </c>
      <c r="L608" s="164" t="s">
        <v>856</v>
      </c>
      <c r="M608" s="152" t="s">
        <v>92</v>
      </c>
      <c r="N608" s="152" t="s">
        <v>92</v>
      </c>
      <c r="O608" s="164" t="s">
        <v>856</v>
      </c>
      <c r="P608" s="164" t="s">
        <v>856</v>
      </c>
      <c r="Q608" s="152" t="s">
        <v>92</v>
      </c>
      <c r="R608" s="152" t="s">
        <v>92</v>
      </c>
      <c r="S608" s="164" t="s">
        <v>856</v>
      </c>
      <c r="T608" s="164" t="s">
        <v>856</v>
      </c>
      <c r="U608" s="164" t="s">
        <v>856</v>
      </c>
      <c r="V608" s="152" t="s">
        <v>857</v>
      </c>
      <c r="W608" s="152" t="s">
        <v>4609</v>
      </c>
      <c r="X608" s="152" t="s">
        <v>1083</v>
      </c>
      <c r="Y608" s="152">
        <v>0</v>
      </c>
      <c r="Z608" s="152">
        <v>1</v>
      </c>
      <c r="AA608" s="152" t="s">
        <v>92</v>
      </c>
      <c r="AB608" s="152">
        <v>220.55</v>
      </c>
      <c r="AC608" s="152">
        <v>2</v>
      </c>
      <c r="AD608" s="152" t="s">
        <v>861</v>
      </c>
      <c r="AE608" s="152">
        <v>220.55</v>
      </c>
      <c r="AF608" s="152">
        <v>0</v>
      </c>
      <c r="AG608" s="152">
        <v>9.5</v>
      </c>
      <c r="AH608" s="152" t="s">
        <v>861</v>
      </c>
      <c r="AI608" s="152" t="s">
        <v>92</v>
      </c>
      <c r="AJ608" s="152" t="s">
        <v>92</v>
      </c>
      <c r="AK608" s="152" t="s">
        <v>1620</v>
      </c>
      <c r="AL608" s="152" t="s">
        <v>856</v>
      </c>
      <c r="AP608" s="152" t="s">
        <v>856</v>
      </c>
      <c r="AQ608" s="152" t="s">
        <v>856</v>
      </c>
      <c r="AR608" s="152" t="s">
        <v>1953</v>
      </c>
      <c r="AS608" s="159" t="s">
        <v>865</v>
      </c>
      <c r="AT608" s="152" t="str">
        <f t="shared" si="39"/>
        <v>RPNHR-641022</v>
      </c>
      <c r="AU608" s="152" t="str">
        <f t="shared" si="37"/>
        <v xml:space="preserve">LEYVI YOJANA JUAREZ LOPEZ DE HERNANDEZ </v>
      </c>
      <c r="AV608" s="152">
        <v>2778.93</v>
      </c>
      <c r="AW608" s="152">
        <v>910877</v>
      </c>
      <c r="AX608" s="152">
        <v>35</v>
      </c>
      <c r="AY608" s="152">
        <v>910879</v>
      </c>
      <c r="AZ608" s="152" t="s">
        <v>864</v>
      </c>
      <c r="BA608" s="152" t="str">
        <f t="shared" si="38"/>
        <v>L22-887-NR027</v>
      </c>
      <c r="BB608" s="152">
        <v>0</v>
      </c>
      <c r="BC608" s="157">
        <v>44923</v>
      </c>
      <c r="BD608" s="157">
        <v>44923</v>
      </c>
      <c r="BE608" s="158">
        <v>551375</v>
      </c>
      <c r="BF608" s="152" t="s">
        <v>4760</v>
      </c>
      <c r="BG608" s="152" t="s">
        <v>894</v>
      </c>
      <c r="BH608" s="152">
        <v>220.55</v>
      </c>
      <c r="BI608" s="152">
        <v>0</v>
      </c>
      <c r="BJ608" s="152">
        <v>0</v>
      </c>
      <c r="BK608" s="152" t="s">
        <v>132</v>
      </c>
      <c r="BL608" s="152">
        <v>220.55</v>
      </c>
      <c r="BM608" s="152">
        <v>910878</v>
      </c>
      <c r="BN608" s="157" t="s">
        <v>1453</v>
      </c>
    </row>
    <row r="609" spans="1:66">
      <c r="A609" s="152" t="s">
        <v>4761</v>
      </c>
      <c r="B609" s="152" t="s">
        <v>4762</v>
      </c>
      <c r="C609" s="152" t="s">
        <v>4763</v>
      </c>
      <c r="D609" s="152" t="s">
        <v>4764</v>
      </c>
      <c r="E609" s="152" t="s">
        <v>4764</v>
      </c>
      <c r="F609" s="152">
        <v>309992</v>
      </c>
      <c r="G609" s="152">
        <v>282</v>
      </c>
      <c r="H609" s="152">
        <v>750</v>
      </c>
      <c r="I609" s="152">
        <v>203508</v>
      </c>
      <c r="J609" s="152">
        <v>144</v>
      </c>
      <c r="K609" s="152">
        <v>90100</v>
      </c>
      <c r="L609" s="164" t="s">
        <v>856</v>
      </c>
      <c r="M609" s="152" t="s">
        <v>92</v>
      </c>
      <c r="N609" s="152" t="s">
        <v>92</v>
      </c>
      <c r="O609" s="164" t="s">
        <v>856</v>
      </c>
      <c r="P609" s="164" t="s">
        <v>856</v>
      </c>
      <c r="Q609" s="152" t="s">
        <v>92</v>
      </c>
      <c r="R609" s="152" t="s">
        <v>92</v>
      </c>
      <c r="S609" s="164" t="s">
        <v>856</v>
      </c>
      <c r="T609" s="164" t="s">
        <v>856</v>
      </c>
      <c r="U609" s="164" t="s">
        <v>856</v>
      </c>
      <c r="V609" s="152" t="s">
        <v>857</v>
      </c>
      <c r="W609" s="152" t="s">
        <v>4609</v>
      </c>
      <c r="X609" s="152" t="s">
        <v>1083</v>
      </c>
      <c r="Y609" s="152">
        <v>18.2</v>
      </c>
      <c r="Z609" s="152">
        <v>1</v>
      </c>
      <c r="AA609" s="152" t="s">
        <v>883</v>
      </c>
      <c r="AB609" s="152">
        <v>139.66</v>
      </c>
      <c r="AC609" s="152">
        <v>1</v>
      </c>
      <c r="AD609" s="152" t="s">
        <v>861</v>
      </c>
      <c r="AE609" s="152">
        <v>139.66</v>
      </c>
      <c r="AF609" s="152">
        <v>0</v>
      </c>
      <c r="AG609" s="152" t="s">
        <v>861</v>
      </c>
      <c r="AH609" s="152" t="s">
        <v>861</v>
      </c>
      <c r="AI609" s="152" t="s">
        <v>92</v>
      </c>
      <c r="AJ609" s="152" t="s">
        <v>92</v>
      </c>
      <c r="AK609" s="152" t="s">
        <v>884</v>
      </c>
      <c r="AL609" s="152" t="s">
        <v>856</v>
      </c>
      <c r="AP609" s="152" t="s">
        <v>856</v>
      </c>
      <c r="AQ609" s="152" t="s">
        <v>856</v>
      </c>
      <c r="AR609" s="152" t="s">
        <v>885</v>
      </c>
      <c r="AS609" s="159" t="s">
        <v>865</v>
      </c>
      <c r="AT609" s="152" t="str">
        <f t="shared" si="39"/>
        <v>RPNP6-430522</v>
      </c>
      <c r="AU609" s="152" t="str">
        <f t="shared" si="37"/>
        <v xml:space="preserve">TERESA PEREZ PEREZ DE PEREZ Y CONDUEÑO </v>
      </c>
      <c r="AV609" s="152">
        <v>1443.44</v>
      </c>
      <c r="AW609" s="152">
        <v>819623</v>
      </c>
      <c r="AX609" s="152">
        <v>40</v>
      </c>
      <c r="AY609" s="152">
        <v>819625</v>
      </c>
      <c r="AZ609" s="152" t="s">
        <v>864</v>
      </c>
      <c r="BA609" s="152" t="str">
        <f t="shared" si="38"/>
        <v>L22-910-MP068</v>
      </c>
      <c r="BB609" s="152">
        <v>0</v>
      </c>
      <c r="BC609" s="157">
        <v>44901</v>
      </c>
      <c r="BD609" s="157">
        <v>44901</v>
      </c>
      <c r="BE609" s="158">
        <v>285690</v>
      </c>
      <c r="BF609" s="152" t="s">
        <v>4765</v>
      </c>
      <c r="BG609" s="152" t="s">
        <v>894</v>
      </c>
      <c r="BH609" s="152">
        <v>139.66</v>
      </c>
      <c r="BI609" s="152">
        <v>0</v>
      </c>
      <c r="BJ609" s="152">
        <v>0</v>
      </c>
      <c r="BK609" s="152" t="s">
        <v>132</v>
      </c>
      <c r="BL609" s="152">
        <v>139.66</v>
      </c>
      <c r="BM609" s="152">
        <v>819624</v>
      </c>
      <c r="BN609" s="157" t="s">
        <v>1453</v>
      </c>
    </row>
    <row r="610" spans="1:66">
      <c r="A610" s="152" t="s">
        <v>4766</v>
      </c>
      <c r="B610" s="152" t="s">
        <v>4767</v>
      </c>
      <c r="C610" s="152" t="s">
        <v>4768</v>
      </c>
      <c r="D610" s="152" t="s">
        <v>4769</v>
      </c>
      <c r="E610" s="152" t="s">
        <v>4769</v>
      </c>
      <c r="F610" s="152">
        <v>4734</v>
      </c>
      <c r="G610" s="152">
        <v>234</v>
      </c>
      <c r="H610" s="152" t="s">
        <v>2583</v>
      </c>
      <c r="I610" s="152">
        <v>202355</v>
      </c>
      <c r="J610" s="152">
        <v>220</v>
      </c>
      <c r="K610" s="152">
        <v>89190</v>
      </c>
      <c r="L610" s="152" t="s">
        <v>4770</v>
      </c>
      <c r="M610" s="152" t="s">
        <v>883</v>
      </c>
      <c r="N610" s="152" t="s">
        <v>92</v>
      </c>
      <c r="O610" s="152">
        <v>12144</v>
      </c>
      <c r="P610" s="152" t="s">
        <v>4770</v>
      </c>
      <c r="Q610" s="152" t="s">
        <v>883</v>
      </c>
      <c r="R610" s="152" t="s">
        <v>92</v>
      </c>
      <c r="S610" s="152">
        <v>12144</v>
      </c>
      <c r="T610" s="164" t="s">
        <v>856</v>
      </c>
      <c r="U610" s="164" t="s">
        <v>856</v>
      </c>
      <c r="V610" s="152" t="s">
        <v>857</v>
      </c>
      <c r="W610" s="152" t="s">
        <v>4609</v>
      </c>
      <c r="X610" s="152" t="s">
        <v>1083</v>
      </c>
      <c r="Y610" s="152">
        <v>82.72</v>
      </c>
      <c r="Z610" s="152">
        <v>1</v>
      </c>
      <c r="AA610" s="152" t="s">
        <v>92</v>
      </c>
      <c r="AB610" s="152">
        <v>180.54</v>
      </c>
      <c r="AC610" s="152">
        <v>2</v>
      </c>
      <c r="AD610" s="152" t="s">
        <v>861</v>
      </c>
      <c r="AE610" s="152">
        <v>180.54</v>
      </c>
      <c r="AF610" s="152">
        <v>0</v>
      </c>
      <c r="AG610" s="152">
        <v>58.92</v>
      </c>
      <c r="AH610" s="152" t="s">
        <v>861</v>
      </c>
      <c r="AI610" s="152" t="s">
        <v>92</v>
      </c>
      <c r="AJ610" s="152" t="s">
        <v>92</v>
      </c>
      <c r="AK610" s="152" t="s">
        <v>972</v>
      </c>
      <c r="AL610" s="152" t="s">
        <v>856</v>
      </c>
      <c r="AP610" s="152" t="s">
        <v>856</v>
      </c>
      <c r="AQ610" s="152" t="s">
        <v>856</v>
      </c>
      <c r="AR610" s="152" t="s">
        <v>3846</v>
      </c>
      <c r="AS610" s="159" t="s">
        <v>865</v>
      </c>
      <c r="AT610" s="152" t="str">
        <f t="shared" si="39"/>
        <v>VUNR5-081022</v>
      </c>
      <c r="AU610" s="152" t="str">
        <f t="shared" si="37"/>
        <v xml:space="preserve">HELIDA MARIBEL RAMIREZ RAMOS </v>
      </c>
      <c r="AV610" s="152">
        <v>2436.94</v>
      </c>
      <c r="AW610" s="152">
        <v>911501</v>
      </c>
      <c r="AX610" s="152">
        <v>50</v>
      </c>
      <c r="AY610" s="152">
        <v>911503</v>
      </c>
      <c r="AZ610" s="152" t="s">
        <v>864</v>
      </c>
      <c r="BA610" s="152" t="str">
        <f t="shared" si="38"/>
        <v>L22-860-LG153</v>
      </c>
      <c r="BB610" s="152">
        <v>24</v>
      </c>
      <c r="BC610" s="157">
        <v>44915</v>
      </c>
      <c r="BD610" s="157">
        <v>45280</v>
      </c>
      <c r="BE610" s="158">
        <v>480302</v>
      </c>
      <c r="BF610" s="152" t="s">
        <v>4771</v>
      </c>
      <c r="BG610" s="152" t="s">
        <v>3779</v>
      </c>
      <c r="BH610" s="152">
        <v>180.54</v>
      </c>
      <c r="BI610" s="152">
        <v>0</v>
      </c>
      <c r="BJ610" s="152">
        <v>0</v>
      </c>
      <c r="BK610" s="152" t="s">
        <v>132</v>
      </c>
      <c r="BL610" s="152">
        <v>180.54</v>
      </c>
      <c r="BM610" s="152">
        <v>911502</v>
      </c>
      <c r="BN610" s="157" t="s">
        <v>1453</v>
      </c>
    </row>
    <row r="611" spans="1:66">
      <c r="A611" s="152" t="s">
        <v>4772</v>
      </c>
      <c r="B611" s="152" t="s">
        <v>4773</v>
      </c>
      <c r="C611" s="152" t="s">
        <v>4774</v>
      </c>
      <c r="D611" s="152" t="s">
        <v>4775</v>
      </c>
      <c r="E611" s="152" t="s">
        <v>4775</v>
      </c>
      <c r="F611" s="152">
        <v>5836</v>
      </c>
      <c r="G611" s="152">
        <v>336</v>
      </c>
      <c r="H611" s="152" t="s">
        <v>1704</v>
      </c>
      <c r="I611" s="152">
        <v>174151</v>
      </c>
      <c r="J611" s="152">
        <v>128</v>
      </c>
      <c r="K611" s="164" t="s">
        <v>856</v>
      </c>
      <c r="L611" s="152" t="s">
        <v>4776</v>
      </c>
      <c r="M611" s="152" t="s">
        <v>92</v>
      </c>
      <c r="N611" s="152" t="s">
        <v>883</v>
      </c>
      <c r="O611" s="152">
        <v>5513</v>
      </c>
      <c r="P611" s="152" t="s">
        <v>4776</v>
      </c>
      <c r="Q611" s="152" t="s">
        <v>92</v>
      </c>
      <c r="R611" s="152" t="s">
        <v>883</v>
      </c>
      <c r="S611" s="152">
        <v>5513</v>
      </c>
      <c r="T611" s="164" t="s">
        <v>856</v>
      </c>
      <c r="U611" s="164" t="s">
        <v>856</v>
      </c>
      <c r="V611" s="152" t="s">
        <v>857</v>
      </c>
      <c r="W611" s="152" t="s">
        <v>4609</v>
      </c>
      <c r="X611" s="152" t="s">
        <v>1083</v>
      </c>
      <c r="Y611" s="152">
        <v>64.5</v>
      </c>
      <c r="Z611" s="152">
        <v>1</v>
      </c>
      <c r="AA611" s="152" t="s">
        <v>92</v>
      </c>
      <c r="AB611" s="152">
        <v>162.07</v>
      </c>
      <c r="AC611" s="152">
        <v>2</v>
      </c>
      <c r="AD611" s="152" t="s">
        <v>861</v>
      </c>
      <c r="AE611" s="152">
        <v>162.07</v>
      </c>
      <c r="AF611" s="152">
        <v>0</v>
      </c>
      <c r="AG611" s="152" t="s">
        <v>861</v>
      </c>
      <c r="AH611" s="152" t="s">
        <v>861</v>
      </c>
      <c r="AI611" s="152" t="s">
        <v>92</v>
      </c>
      <c r="AJ611" s="152" t="s">
        <v>92</v>
      </c>
      <c r="AK611" s="152" t="s">
        <v>862</v>
      </c>
      <c r="AL611" s="152" t="s">
        <v>856</v>
      </c>
      <c r="AP611" s="152" t="s">
        <v>856</v>
      </c>
      <c r="AQ611" s="152" t="s">
        <v>856</v>
      </c>
      <c r="AR611" s="152" t="s">
        <v>863</v>
      </c>
      <c r="AS611" s="159" t="s">
        <v>865</v>
      </c>
      <c r="AT611" s="152" t="str">
        <f t="shared" si="39"/>
        <v>VUNL5-031122</v>
      </c>
      <c r="AU611" s="152" t="str">
        <f t="shared" si="37"/>
        <v xml:space="preserve">KENNY JUVINY LOPEZ LOPEZ </v>
      </c>
      <c r="AV611" s="152">
        <v>2168.5</v>
      </c>
      <c r="AW611" s="152">
        <v>912322</v>
      </c>
      <c r="AX611" s="152">
        <v>40</v>
      </c>
      <c r="AY611" s="152">
        <v>912322</v>
      </c>
      <c r="AZ611" s="152" t="s">
        <v>864</v>
      </c>
      <c r="BA611" s="152" t="str">
        <f t="shared" si="38"/>
        <v>L22-861-JM190</v>
      </c>
      <c r="BB611" s="152">
        <v>24</v>
      </c>
      <c r="BC611" s="157">
        <v>44914</v>
      </c>
      <c r="BD611" s="157">
        <v>45279</v>
      </c>
      <c r="BE611" s="158">
        <v>427750</v>
      </c>
      <c r="BF611" s="152" t="s">
        <v>4777</v>
      </c>
      <c r="BG611" s="152" t="s">
        <v>4243</v>
      </c>
      <c r="BH611" s="152">
        <v>162.07</v>
      </c>
      <c r="BI611" s="152">
        <v>0</v>
      </c>
      <c r="BJ611" s="152">
        <v>0</v>
      </c>
      <c r="BK611" s="152" t="s">
        <v>132</v>
      </c>
      <c r="BL611" s="152">
        <v>162.07</v>
      </c>
      <c r="BM611" s="152">
        <v>912321</v>
      </c>
      <c r="BN611" s="157" t="s">
        <v>1453</v>
      </c>
    </row>
    <row r="612" spans="1:66">
      <c r="A612" s="152" t="s">
        <v>4778</v>
      </c>
      <c r="B612" s="152" t="s">
        <v>4779</v>
      </c>
      <c r="C612" s="152" t="s">
        <v>4780</v>
      </c>
      <c r="D612" s="152" t="s">
        <v>4781</v>
      </c>
      <c r="E612" s="152" t="s">
        <v>4781</v>
      </c>
      <c r="F612" s="152">
        <v>275543</v>
      </c>
      <c r="G612" s="152">
        <v>193</v>
      </c>
      <c r="H612" s="152">
        <v>636</v>
      </c>
      <c r="I612" s="152">
        <v>205066</v>
      </c>
      <c r="J612" s="152">
        <v>194.52</v>
      </c>
      <c r="K612" s="152">
        <v>91153</v>
      </c>
      <c r="L612" s="164" t="s">
        <v>856</v>
      </c>
      <c r="M612" s="152" t="s">
        <v>92</v>
      </c>
      <c r="N612" s="152" t="s">
        <v>92</v>
      </c>
      <c r="O612" s="164" t="s">
        <v>856</v>
      </c>
      <c r="P612" s="164" t="s">
        <v>856</v>
      </c>
      <c r="Q612" s="152" t="s">
        <v>92</v>
      </c>
      <c r="R612" s="152" t="s">
        <v>92</v>
      </c>
      <c r="S612" s="164" t="s">
        <v>856</v>
      </c>
      <c r="T612" s="164" t="s">
        <v>856</v>
      </c>
      <c r="U612" s="164" t="s">
        <v>856</v>
      </c>
      <c r="V612" s="152" t="s">
        <v>3655</v>
      </c>
      <c r="W612" s="152" t="s">
        <v>4609</v>
      </c>
      <c r="X612" s="152" t="s">
        <v>1083</v>
      </c>
      <c r="Y612" s="152">
        <v>98.4</v>
      </c>
      <c r="Z612" s="152">
        <v>1</v>
      </c>
      <c r="AA612" s="152" t="s">
        <v>92</v>
      </c>
      <c r="AB612" s="152">
        <v>332.13</v>
      </c>
      <c r="AC612" s="152">
        <v>3</v>
      </c>
      <c r="AD612" s="152" t="s">
        <v>861</v>
      </c>
      <c r="AE612" s="152">
        <v>332.13</v>
      </c>
      <c r="AF612" s="152">
        <v>0</v>
      </c>
      <c r="AG612" s="152" t="s">
        <v>861</v>
      </c>
      <c r="AH612" s="152" t="s">
        <v>861</v>
      </c>
      <c r="AI612" s="152" t="s">
        <v>92</v>
      </c>
      <c r="AJ612" s="152" t="s">
        <v>92</v>
      </c>
      <c r="AK612" s="152" t="s">
        <v>884</v>
      </c>
      <c r="AL612" s="152" t="s">
        <v>856</v>
      </c>
      <c r="AP612" s="164" t="s">
        <v>856</v>
      </c>
      <c r="AQ612" s="164" t="s">
        <v>856</v>
      </c>
      <c r="AR612" s="152" t="s">
        <v>1234</v>
      </c>
      <c r="AS612" s="159" t="s">
        <v>865</v>
      </c>
      <c r="AT612" s="152" t="str">
        <f t="shared" si="39"/>
        <v>RPNE8-420921</v>
      </c>
      <c r="AU612" s="152" t="str">
        <f t="shared" si="37"/>
        <v xml:space="preserve">LUISANA YAJAIRA ESTRADA OVALLE </v>
      </c>
      <c r="AV612" s="152">
        <v>5535.07</v>
      </c>
      <c r="AW612" s="152">
        <v>910128</v>
      </c>
      <c r="AX612" s="152">
        <v>58</v>
      </c>
      <c r="AY612" s="152">
        <v>910130</v>
      </c>
      <c r="AZ612" s="152" t="s">
        <v>864</v>
      </c>
      <c r="BA612" s="152" t="str">
        <f t="shared" si="38"/>
        <v>L22-847-JM169</v>
      </c>
      <c r="BB612" s="152">
        <v>0</v>
      </c>
      <c r="BC612" s="157">
        <v>44903</v>
      </c>
      <c r="BD612" s="157">
        <v>44903</v>
      </c>
      <c r="BE612" s="158">
        <v>1041510</v>
      </c>
      <c r="BF612" s="152" t="s">
        <v>4782</v>
      </c>
      <c r="BG612" s="152" t="s">
        <v>894</v>
      </c>
      <c r="BH612" s="152">
        <v>332.13</v>
      </c>
      <c r="BI612" s="152">
        <v>0</v>
      </c>
      <c r="BJ612" s="152">
        <v>0</v>
      </c>
      <c r="BK612" s="152" t="s">
        <v>132</v>
      </c>
      <c r="BL612" s="152">
        <v>332.13</v>
      </c>
      <c r="BM612" s="152">
        <v>910129</v>
      </c>
      <c r="BN612" s="157" t="s">
        <v>1453</v>
      </c>
    </row>
    <row r="613" spans="1:66">
      <c r="A613" s="152" t="s">
        <v>4783</v>
      </c>
      <c r="B613" s="152" t="s">
        <v>4784</v>
      </c>
      <c r="C613" s="152" t="s">
        <v>4785</v>
      </c>
      <c r="D613" s="152" t="s">
        <v>4786</v>
      </c>
      <c r="E613" s="152" t="s">
        <v>4786</v>
      </c>
      <c r="F613" s="152">
        <v>5456</v>
      </c>
      <c r="G613" s="152">
        <v>456</v>
      </c>
      <c r="H613" s="152" t="s">
        <v>4787</v>
      </c>
      <c r="I613" s="152">
        <v>187886</v>
      </c>
      <c r="J613" s="152">
        <v>1236.26</v>
      </c>
      <c r="K613" s="152">
        <v>78018</v>
      </c>
      <c r="L613" s="152" t="s">
        <v>4788</v>
      </c>
      <c r="M613" s="152" t="s">
        <v>92</v>
      </c>
      <c r="N613" s="152" t="s">
        <v>883</v>
      </c>
      <c r="O613" s="152">
        <v>4158</v>
      </c>
      <c r="P613" s="152" t="s">
        <v>4788</v>
      </c>
      <c r="Q613" s="152" t="s">
        <v>92</v>
      </c>
      <c r="R613" s="152" t="s">
        <v>883</v>
      </c>
      <c r="S613" s="152">
        <v>4158</v>
      </c>
      <c r="T613" s="164" t="s">
        <v>856</v>
      </c>
      <c r="U613" s="164" t="s">
        <v>856</v>
      </c>
      <c r="V613" s="152" t="s">
        <v>2937</v>
      </c>
      <c r="W613" s="152" t="s">
        <v>4789</v>
      </c>
      <c r="X613" s="152" t="s">
        <v>4790</v>
      </c>
      <c r="Y613" s="152">
        <v>35</v>
      </c>
      <c r="Z613" s="152">
        <v>0</v>
      </c>
      <c r="AA613" s="152" t="s">
        <v>92</v>
      </c>
      <c r="AB613" s="152">
        <v>0</v>
      </c>
      <c r="AC613" s="152">
        <v>0</v>
      </c>
      <c r="AD613" s="152" t="s">
        <v>861</v>
      </c>
      <c r="AE613" s="152">
        <v>0</v>
      </c>
      <c r="AF613" s="152">
        <v>0</v>
      </c>
      <c r="AG613" s="152" t="s">
        <v>861</v>
      </c>
      <c r="AH613" s="152" t="s">
        <v>861</v>
      </c>
      <c r="AI613" s="152" t="s">
        <v>92</v>
      </c>
      <c r="AJ613" s="152" t="s">
        <v>92</v>
      </c>
      <c r="AK613" s="152" t="s">
        <v>884</v>
      </c>
      <c r="AL613" s="152" t="s">
        <v>856</v>
      </c>
      <c r="AP613" s="152" t="s">
        <v>856</v>
      </c>
      <c r="AQ613" s="152" t="s">
        <v>856</v>
      </c>
      <c r="AR613" s="152" t="s">
        <v>992</v>
      </c>
      <c r="AS613" s="159" t="s">
        <v>865</v>
      </c>
      <c r="AT613" s="152" t="str">
        <f t="shared" si="39"/>
        <v>VUND7-010423</v>
      </c>
      <c r="AU613" s="152" t="str">
        <f t="shared" si="37"/>
        <v xml:space="preserve">HELLEN ELIZABETH RIVERA FAJARDO DE DE LA CRUZ </v>
      </c>
      <c r="AV613" s="152">
        <v>452.48</v>
      </c>
      <c r="AW613" s="152">
        <v>12584599</v>
      </c>
      <c r="AX613" s="152">
        <v>41.35</v>
      </c>
      <c r="AY613" s="152">
        <v>12584599</v>
      </c>
      <c r="AZ613" s="152" t="s">
        <v>864</v>
      </c>
      <c r="BA613" s="152" t="str">
        <f t="shared" si="38"/>
        <v>L23-450-MP079</v>
      </c>
      <c r="BB613" s="152">
        <v>12</v>
      </c>
      <c r="BC613" s="157">
        <v>45217</v>
      </c>
      <c r="BD613" s="157">
        <v>45400</v>
      </c>
      <c r="BE613" s="158">
        <v>17416</v>
      </c>
    </row>
    <row r="614" spans="1:66">
      <c r="A614" s="152" t="s">
        <v>4791</v>
      </c>
      <c r="B614" s="152" t="s">
        <v>4792</v>
      </c>
      <c r="C614" s="152" t="s">
        <v>4694</v>
      </c>
      <c r="D614" s="152" t="s">
        <v>4695</v>
      </c>
      <c r="E614" s="152" t="s">
        <v>4695</v>
      </c>
      <c r="F614" s="152">
        <v>8334</v>
      </c>
      <c r="G614" s="152">
        <v>334</v>
      </c>
      <c r="H614" s="152" t="s">
        <v>2325</v>
      </c>
      <c r="I614" s="152">
        <v>201611</v>
      </c>
      <c r="J614" s="152">
        <v>106.59</v>
      </c>
      <c r="K614" s="152">
        <v>88577</v>
      </c>
      <c r="L614" s="152" t="s">
        <v>2632</v>
      </c>
      <c r="M614" s="152" t="s">
        <v>92</v>
      </c>
      <c r="N614" s="152" t="s">
        <v>883</v>
      </c>
      <c r="O614" s="152">
        <v>6734</v>
      </c>
      <c r="P614" s="152" t="s">
        <v>2632</v>
      </c>
      <c r="Q614" s="152" t="s">
        <v>92</v>
      </c>
      <c r="R614" s="152" t="s">
        <v>883</v>
      </c>
      <c r="S614" s="152">
        <v>6734</v>
      </c>
      <c r="T614" s="164" t="s">
        <v>856</v>
      </c>
      <c r="U614" s="164" t="s">
        <v>856</v>
      </c>
      <c r="V614" s="152" t="s">
        <v>4037</v>
      </c>
      <c r="W614" s="152" t="s">
        <v>3309</v>
      </c>
      <c r="X614" s="152" t="s">
        <v>4793</v>
      </c>
      <c r="Y614" s="152">
        <v>0</v>
      </c>
      <c r="Z614" s="152">
        <v>0</v>
      </c>
      <c r="AA614" s="152" t="s">
        <v>92</v>
      </c>
      <c r="AB614" s="152">
        <v>61.54</v>
      </c>
      <c r="AC614" s="152">
        <v>0</v>
      </c>
      <c r="AD614" s="152" t="s">
        <v>861</v>
      </c>
      <c r="AE614" s="152">
        <v>0</v>
      </c>
      <c r="AF614" s="152">
        <v>0</v>
      </c>
      <c r="AG614" s="152" t="s">
        <v>861</v>
      </c>
      <c r="AH614" s="152" t="s">
        <v>861</v>
      </c>
      <c r="AI614" s="152" t="s">
        <v>92</v>
      </c>
      <c r="AJ614" s="152" t="s">
        <v>92</v>
      </c>
      <c r="AK614" s="152" t="s">
        <v>862</v>
      </c>
      <c r="AL614" s="152" t="s">
        <v>856</v>
      </c>
      <c r="AP614" s="152" t="s">
        <v>856</v>
      </c>
      <c r="AQ614" s="152" t="s">
        <v>856</v>
      </c>
      <c r="AR614" s="152" t="s">
        <v>863</v>
      </c>
      <c r="AS614" s="159" t="s">
        <v>865</v>
      </c>
      <c r="AT614" s="152" t="str">
        <f t="shared" si="39"/>
        <v>DMNI10-010122</v>
      </c>
      <c r="AU614" s="152" t="str">
        <f t="shared" si="37"/>
        <v xml:space="preserve">MARIA DE LOS ANGELES IXQUIAC IXQUIAC </v>
      </c>
      <c r="AV614" s="152">
        <v>46.16</v>
      </c>
      <c r="AW614" s="152">
        <v>911532</v>
      </c>
      <c r="AX614" s="159" t="s">
        <v>856</v>
      </c>
      <c r="AY614" s="159" t="s">
        <v>856</v>
      </c>
      <c r="AZ614" s="152" t="s">
        <v>1008</v>
      </c>
      <c r="BA614" s="152" t="str">
        <f t="shared" si="38"/>
        <v>L22-868-SP122</v>
      </c>
      <c r="BB614" s="152">
        <v>12</v>
      </c>
      <c r="BC614" s="157">
        <v>44915</v>
      </c>
      <c r="BD614" s="157">
        <v>45280</v>
      </c>
      <c r="BE614" s="158">
        <v>6154</v>
      </c>
    </row>
    <row r="615" spans="1:66">
      <c r="A615" s="152" t="s">
        <v>4794</v>
      </c>
      <c r="B615" s="152" t="s">
        <v>4795</v>
      </c>
      <c r="C615" s="152" t="s">
        <v>4796</v>
      </c>
      <c r="D615" s="152" t="s">
        <v>4797</v>
      </c>
      <c r="E615" s="152" t="s">
        <v>4797</v>
      </c>
      <c r="F615" s="152">
        <v>265217</v>
      </c>
      <c r="G615" s="152">
        <v>244</v>
      </c>
      <c r="H615" s="152">
        <v>604</v>
      </c>
      <c r="I615" s="152">
        <v>182561</v>
      </c>
      <c r="J615" s="152">
        <v>436.81</v>
      </c>
      <c r="K615" s="152">
        <v>74159</v>
      </c>
      <c r="L615" s="164" t="s">
        <v>856</v>
      </c>
      <c r="M615" s="152" t="s">
        <v>92</v>
      </c>
      <c r="N615" s="152" t="s">
        <v>92</v>
      </c>
      <c r="O615" s="164" t="s">
        <v>856</v>
      </c>
      <c r="P615" s="164" t="s">
        <v>856</v>
      </c>
      <c r="Q615" s="152" t="s">
        <v>92</v>
      </c>
      <c r="R615" s="152" t="s">
        <v>92</v>
      </c>
      <c r="S615" s="164" t="s">
        <v>856</v>
      </c>
      <c r="T615" s="164" t="s">
        <v>856</v>
      </c>
      <c r="U615" s="164" t="s">
        <v>856</v>
      </c>
      <c r="V615" s="152" t="s">
        <v>3171</v>
      </c>
      <c r="W615" s="152" t="s">
        <v>4609</v>
      </c>
      <c r="X615" s="152" t="s">
        <v>1083</v>
      </c>
      <c r="Y615" s="152">
        <v>0</v>
      </c>
      <c r="Z615" s="152">
        <v>3</v>
      </c>
      <c r="AA615" s="152" t="s">
        <v>92</v>
      </c>
      <c r="AB615" s="152">
        <v>169.66</v>
      </c>
      <c r="AC615" s="152">
        <v>0</v>
      </c>
      <c r="AD615" s="152" t="s">
        <v>861</v>
      </c>
      <c r="AE615" s="152">
        <v>169.66</v>
      </c>
      <c r="AF615" s="152">
        <v>0</v>
      </c>
      <c r="AG615" s="152" t="s">
        <v>861</v>
      </c>
      <c r="AH615" s="152" t="s">
        <v>861</v>
      </c>
      <c r="AI615" s="152" t="s">
        <v>92</v>
      </c>
      <c r="AJ615" s="152" t="s">
        <v>92</v>
      </c>
      <c r="AK615" s="152" t="s">
        <v>884</v>
      </c>
      <c r="AL615" s="152" t="s">
        <v>856</v>
      </c>
      <c r="AP615" s="152" t="s">
        <v>856</v>
      </c>
      <c r="AQ615" s="152" t="s">
        <v>856</v>
      </c>
      <c r="AR615" s="152" t="s">
        <v>863</v>
      </c>
      <c r="AS615" s="159" t="s">
        <v>865</v>
      </c>
      <c r="AT615" s="152" t="str">
        <f t="shared" si="39"/>
        <v>RPNA9-341021</v>
      </c>
      <c r="AU615" s="152" t="str">
        <f t="shared" si="37"/>
        <v xml:space="preserve">MAGDA MARGORY ALVARADO QUIROA </v>
      </c>
      <c r="AV615" s="152">
        <v>1827.35</v>
      </c>
      <c r="AW615" s="152">
        <v>588583</v>
      </c>
      <c r="AX615" s="159" t="s">
        <v>856</v>
      </c>
      <c r="AY615" s="159" t="s">
        <v>856</v>
      </c>
      <c r="AZ615" s="152" t="s">
        <v>864</v>
      </c>
      <c r="BA615" s="152" t="str">
        <f t="shared" si="38"/>
        <v>L22-889-NR207</v>
      </c>
      <c r="BB615" s="152">
        <v>0</v>
      </c>
      <c r="BC615" s="157">
        <v>44846</v>
      </c>
      <c r="BD615" s="157">
        <v>44846</v>
      </c>
      <c r="BE615" s="158">
        <v>362570</v>
      </c>
    </row>
    <row r="616" spans="1:66">
      <c r="A616" s="152" t="s">
        <v>4803</v>
      </c>
      <c r="B616" s="152" t="s">
        <v>4798</v>
      </c>
      <c r="C616" s="152" t="s">
        <v>4799</v>
      </c>
      <c r="D616" s="152" t="s">
        <v>4800</v>
      </c>
      <c r="E616" s="152" t="s">
        <v>4801</v>
      </c>
      <c r="F616" s="152">
        <v>2619</v>
      </c>
      <c r="G616" s="152">
        <v>119</v>
      </c>
      <c r="H616" s="152" t="s">
        <v>4456</v>
      </c>
      <c r="I616" s="152">
        <v>202283</v>
      </c>
      <c r="J616" s="152">
        <v>181.05</v>
      </c>
      <c r="K616" s="152">
        <v>89135</v>
      </c>
      <c r="L616" s="152" t="s">
        <v>4802</v>
      </c>
      <c r="M616" s="152" t="s">
        <v>883</v>
      </c>
      <c r="N616" s="152" t="s">
        <v>92</v>
      </c>
      <c r="O616" s="152">
        <v>15383</v>
      </c>
      <c r="P616" s="152" t="s">
        <v>4802</v>
      </c>
      <c r="Q616" s="152" t="s">
        <v>883</v>
      </c>
      <c r="R616" s="152" t="s">
        <v>92</v>
      </c>
      <c r="S616" s="152">
        <v>15383</v>
      </c>
      <c r="T616" s="164" t="s">
        <v>856</v>
      </c>
      <c r="U616" s="164" t="s">
        <v>856</v>
      </c>
      <c r="V616" s="152" t="s">
        <v>857</v>
      </c>
      <c r="W616" s="152" t="s">
        <v>4609</v>
      </c>
      <c r="X616" s="152" t="s">
        <v>1083</v>
      </c>
      <c r="Y616" s="152">
        <v>79.31</v>
      </c>
      <c r="Z616" s="152">
        <v>1</v>
      </c>
      <c r="AA616" s="152" t="s">
        <v>92</v>
      </c>
      <c r="AB616" s="152">
        <v>220.84</v>
      </c>
      <c r="AC616" s="152">
        <v>2</v>
      </c>
      <c r="AD616" s="152" t="s">
        <v>861</v>
      </c>
      <c r="AE616" s="152">
        <v>220.84</v>
      </c>
      <c r="AF616" s="152">
        <v>0</v>
      </c>
      <c r="AG616" s="152" t="s">
        <v>861</v>
      </c>
      <c r="AH616" s="152" t="s">
        <v>861</v>
      </c>
      <c r="AI616" s="152" t="s">
        <v>92</v>
      </c>
      <c r="AJ616" s="152" t="s">
        <v>92</v>
      </c>
      <c r="AK616" s="152" t="s">
        <v>884</v>
      </c>
      <c r="AL616" s="152" t="s">
        <v>856</v>
      </c>
      <c r="AP616" s="152" t="s">
        <v>856</v>
      </c>
      <c r="AQ616" s="152" t="s">
        <v>856</v>
      </c>
      <c r="AR616" s="152" t="s">
        <v>1953</v>
      </c>
      <c r="AS616" s="159" t="s">
        <v>865</v>
      </c>
      <c r="AT616" s="152" t="str">
        <f t="shared" si="39"/>
        <v>VUNG8-111022</v>
      </c>
      <c r="AU616" s="152" t="str">
        <f t="shared" si="37"/>
        <v xml:space="preserve">TEREZA MARINA GARCIA HERNANDEZ </v>
      </c>
      <c r="AV616" s="152">
        <v>3119.23</v>
      </c>
      <c r="AW616" s="152">
        <v>928571</v>
      </c>
      <c r="AX616" s="152">
        <v>40</v>
      </c>
      <c r="AY616" s="152">
        <v>928574</v>
      </c>
      <c r="AZ616" s="152" t="s">
        <v>864</v>
      </c>
      <c r="BA616" s="152" t="str">
        <f t="shared" si="38"/>
        <v>L23-022-SP145</v>
      </c>
      <c r="BB616" s="152">
        <v>24</v>
      </c>
      <c r="BC616" s="157">
        <v>44942</v>
      </c>
      <c r="BD616" s="157">
        <v>45307</v>
      </c>
      <c r="BE616" s="158">
        <v>585898.5</v>
      </c>
      <c r="BF616" s="152" t="s">
        <v>4804</v>
      </c>
      <c r="BG616" s="152" t="s">
        <v>3779</v>
      </c>
      <c r="BH616" s="152">
        <v>220.84</v>
      </c>
      <c r="BI616" s="152">
        <v>0</v>
      </c>
      <c r="BJ616" s="152">
        <v>0</v>
      </c>
      <c r="BK616" s="152" t="s">
        <v>4184</v>
      </c>
      <c r="BL616" s="152">
        <v>220.84</v>
      </c>
      <c r="BM616" s="152">
        <v>928573</v>
      </c>
      <c r="BN616" s="157" t="s">
        <v>1453</v>
      </c>
    </row>
    <row r="617" spans="1:66" s="165" customFormat="1">
      <c r="A617" s="165" t="s">
        <v>4805</v>
      </c>
      <c r="B617" s="165" t="s">
        <v>4806</v>
      </c>
      <c r="C617" s="165" t="s">
        <v>4807</v>
      </c>
      <c r="D617" s="165" t="s">
        <v>4808</v>
      </c>
      <c r="E617" s="165" t="s">
        <v>4809</v>
      </c>
      <c r="F617" s="165">
        <v>5873</v>
      </c>
      <c r="G617" s="165">
        <v>373</v>
      </c>
      <c r="H617" s="165" t="s">
        <v>1704</v>
      </c>
      <c r="I617" s="165">
        <v>174176</v>
      </c>
      <c r="J617" s="165">
        <v>128</v>
      </c>
      <c r="K617" s="166" t="s">
        <v>856</v>
      </c>
      <c r="L617" s="165" t="s">
        <v>4810</v>
      </c>
      <c r="M617" s="165" t="s">
        <v>92</v>
      </c>
      <c r="N617" s="165" t="s">
        <v>883</v>
      </c>
      <c r="O617" s="165">
        <v>2878</v>
      </c>
      <c r="P617" s="165" t="s">
        <v>4810</v>
      </c>
      <c r="Q617" s="165" t="s">
        <v>92</v>
      </c>
      <c r="R617" s="165" t="s">
        <v>883</v>
      </c>
      <c r="S617" s="165">
        <v>2878</v>
      </c>
      <c r="T617" s="166" t="s">
        <v>856</v>
      </c>
      <c r="U617" s="166" t="s">
        <v>856</v>
      </c>
      <c r="V617" s="165" t="s">
        <v>857</v>
      </c>
      <c r="W617" s="165" t="s">
        <v>4609</v>
      </c>
      <c r="X617" s="165" t="s">
        <v>1083</v>
      </c>
      <c r="Y617" s="165">
        <v>58.28</v>
      </c>
      <c r="Z617" s="165">
        <v>1</v>
      </c>
      <c r="AA617" s="165" t="s">
        <v>92</v>
      </c>
      <c r="AB617" s="165">
        <v>185.5</v>
      </c>
      <c r="AC617" s="165">
        <v>2</v>
      </c>
      <c r="AD617" s="165" t="s">
        <v>861</v>
      </c>
      <c r="AE617" s="165">
        <v>185.5</v>
      </c>
      <c r="AF617" s="165">
        <v>0</v>
      </c>
      <c r="AG617" s="165" t="s">
        <v>861</v>
      </c>
      <c r="AH617" s="165" t="s">
        <v>861</v>
      </c>
      <c r="AI617" s="165" t="s">
        <v>92</v>
      </c>
      <c r="AJ617" s="165" t="s">
        <v>92</v>
      </c>
      <c r="AK617" s="165" t="s">
        <v>862</v>
      </c>
      <c r="AL617" s="165" t="s">
        <v>856</v>
      </c>
      <c r="AP617" s="165" t="s">
        <v>856</v>
      </c>
      <c r="AQ617" s="165" t="s">
        <v>856</v>
      </c>
      <c r="AR617" s="165" t="s">
        <v>1953</v>
      </c>
      <c r="AS617" s="167" t="s">
        <v>865</v>
      </c>
      <c r="AT617" s="165" t="str">
        <f t="shared" si="39"/>
        <v>VUNQ5-011122</v>
      </c>
      <c r="AU617" s="165" t="str">
        <f t="shared" si="37"/>
        <v xml:space="preserve">ORLANDO RAMIRO QUEME VELASQUEZ </v>
      </c>
      <c r="AV617" s="165">
        <v>2451.5300000000002</v>
      </c>
      <c r="AW617" s="165">
        <v>914420</v>
      </c>
      <c r="AX617" s="165">
        <v>40</v>
      </c>
      <c r="AY617" s="165">
        <v>914423</v>
      </c>
      <c r="AZ617" s="165" t="s">
        <v>864</v>
      </c>
      <c r="BA617" s="165" t="str">
        <f t="shared" si="38"/>
        <v>L23-002-SP146</v>
      </c>
      <c r="BB617" s="165">
        <v>24</v>
      </c>
      <c r="BC617" s="168">
        <v>44931</v>
      </c>
      <c r="BD617" s="168">
        <v>45296</v>
      </c>
      <c r="BE617" s="169">
        <v>484148</v>
      </c>
      <c r="BF617" s="165" t="s">
        <v>4811</v>
      </c>
      <c r="BG617" s="165" t="s">
        <v>3779</v>
      </c>
      <c r="BH617" s="165">
        <v>185.5</v>
      </c>
      <c r="BI617" s="165">
        <v>0</v>
      </c>
      <c r="BJ617" s="165">
        <v>0</v>
      </c>
      <c r="BK617" s="165" t="s">
        <v>132</v>
      </c>
      <c r="BL617" s="165">
        <v>135.5</v>
      </c>
      <c r="BM617" s="165">
        <v>914422</v>
      </c>
      <c r="BN617" s="168" t="s">
        <v>1453</v>
      </c>
    </row>
    <row r="618" spans="1:66">
      <c r="A618" s="152" t="s">
        <v>4812</v>
      </c>
      <c r="B618" s="152" t="s">
        <v>4813</v>
      </c>
      <c r="C618" s="152" t="s">
        <v>4814</v>
      </c>
      <c r="D618" s="152" t="s">
        <v>4815</v>
      </c>
      <c r="E618" s="152" t="s">
        <v>4816</v>
      </c>
      <c r="F618" s="152">
        <v>9579</v>
      </c>
      <c r="G618" s="152">
        <v>79</v>
      </c>
      <c r="H618" s="152" t="s">
        <v>2731</v>
      </c>
      <c r="I618" s="152">
        <v>188044</v>
      </c>
      <c r="J618" s="152">
        <v>240</v>
      </c>
      <c r="K618" s="152">
        <v>78168</v>
      </c>
      <c r="L618" s="152" t="s">
        <v>4817</v>
      </c>
      <c r="M618" s="152" t="s">
        <v>92</v>
      </c>
      <c r="N618" s="152" t="s">
        <v>883</v>
      </c>
      <c r="O618" s="152">
        <v>6385</v>
      </c>
      <c r="P618" s="152" t="s">
        <v>4817</v>
      </c>
      <c r="Q618" s="152" t="s">
        <v>92</v>
      </c>
      <c r="R618" s="152" t="s">
        <v>883</v>
      </c>
      <c r="S618" s="152">
        <v>6385</v>
      </c>
      <c r="T618" s="164" t="s">
        <v>856</v>
      </c>
      <c r="U618" s="164" t="s">
        <v>856</v>
      </c>
      <c r="V618" s="152" t="s">
        <v>4089</v>
      </c>
      <c r="W618" s="152" t="s">
        <v>4818</v>
      </c>
      <c r="X618" s="164" t="s">
        <v>856</v>
      </c>
      <c r="Y618" s="152">
        <v>0</v>
      </c>
      <c r="Z618" s="152">
        <v>0</v>
      </c>
      <c r="AA618" s="152" t="s">
        <v>92</v>
      </c>
      <c r="AB618" s="152">
        <v>206.4</v>
      </c>
      <c r="AC618" s="152">
        <v>0</v>
      </c>
      <c r="AD618" s="152" t="s">
        <v>861</v>
      </c>
      <c r="AE618" s="152">
        <v>0</v>
      </c>
      <c r="AF618" s="152">
        <v>0</v>
      </c>
      <c r="AG618" s="152" t="s">
        <v>861</v>
      </c>
      <c r="AH618" s="152" t="s">
        <v>861</v>
      </c>
      <c r="AI618" s="152" t="s">
        <v>92</v>
      </c>
      <c r="AJ618" s="152" t="s">
        <v>92</v>
      </c>
      <c r="AK618" s="152" t="s">
        <v>912</v>
      </c>
      <c r="AL618" s="152" t="s">
        <v>856</v>
      </c>
      <c r="AP618" s="152" t="s">
        <v>856</v>
      </c>
      <c r="AQ618" s="152" t="s">
        <v>856</v>
      </c>
      <c r="AR618" s="152" t="s">
        <v>1953</v>
      </c>
      <c r="AS618" s="159" t="s">
        <v>865</v>
      </c>
      <c r="AT618" s="152" t="str">
        <f t="shared" si="39"/>
        <v>MVNS12-021222</v>
      </c>
      <c r="AU618" s="152" t="str">
        <f t="shared" si="37"/>
        <v xml:space="preserve">ESTER BETZABE LIMA DE SERRANO </v>
      </c>
      <c r="AV618" s="152">
        <v>154.80000000000001</v>
      </c>
      <c r="AW618" s="152">
        <v>914815</v>
      </c>
      <c r="AX618" s="159" t="s">
        <v>856</v>
      </c>
      <c r="AY618" s="159" t="s">
        <v>856</v>
      </c>
      <c r="AZ618" s="152" t="s">
        <v>4091</v>
      </c>
      <c r="BA618" s="152" t="str">
        <f t="shared" si="38"/>
        <v>L23-003-NE116</v>
      </c>
      <c r="BB618" s="152">
        <v>24</v>
      </c>
      <c r="BC618" s="157">
        <v>44932</v>
      </c>
      <c r="BD618" s="157">
        <v>45297</v>
      </c>
      <c r="BE618" s="158">
        <v>20640</v>
      </c>
    </row>
    <row r="619" spans="1:66">
      <c r="A619" s="152" t="s">
        <v>4819</v>
      </c>
      <c r="B619" s="152" t="s">
        <v>4820</v>
      </c>
      <c r="C619" s="152" t="s">
        <v>4821</v>
      </c>
      <c r="D619" s="152" t="s">
        <v>2111</v>
      </c>
      <c r="E619" s="152" t="s">
        <v>4822</v>
      </c>
      <c r="F619" s="152">
        <v>221</v>
      </c>
      <c r="G619" s="152">
        <v>221</v>
      </c>
      <c r="H619" s="152" t="s">
        <v>4568</v>
      </c>
      <c r="I619" s="152">
        <v>200359</v>
      </c>
      <c r="J619" s="152">
        <v>2625.5</v>
      </c>
      <c r="K619" s="152">
        <v>87564</v>
      </c>
      <c r="L619" s="152" t="s">
        <v>1132</v>
      </c>
      <c r="M619" s="152" t="s">
        <v>883</v>
      </c>
      <c r="N619" s="152" t="s">
        <v>92</v>
      </c>
      <c r="O619" s="152">
        <v>11249</v>
      </c>
      <c r="P619" s="152" t="s">
        <v>1132</v>
      </c>
      <c r="Q619" s="152" t="s">
        <v>883</v>
      </c>
      <c r="R619" s="152" t="s">
        <v>92</v>
      </c>
      <c r="S619" s="152">
        <v>11249</v>
      </c>
      <c r="T619" s="164" t="s">
        <v>856</v>
      </c>
      <c r="U619" s="164" t="s">
        <v>856</v>
      </c>
      <c r="V619" s="152" t="s">
        <v>857</v>
      </c>
      <c r="W619" s="152" t="s">
        <v>4609</v>
      </c>
      <c r="X619" s="152" t="s">
        <v>1083</v>
      </c>
      <c r="Y619" s="152">
        <v>0</v>
      </c>
      <c r="Z619" s="152">
        <v>1</v>
      </c>
      <c r="AA619" s="152" t="s">
        <v>92</v>
      </c>
      <c r="AB619" s="152">
        <v>80</v>
      </c>
      <c r="AC619" s="152">
        <v>1</v>
      </c>
      <c r="AD619" s="152" t="s">
        <v>861</v>
      </c>
      <c r="AE619" s="152">
        <v>80</v>
      </c>
      <c r="AF619" s="152">
        <v>0</v>
      </c>
      <c r="AG619" s="152" t="s">
        <v>861</v>
      </c>
      <c r="AH619" s="152" t="s">
        <v>861</v>
      </c>
      <c r="AI619" s="152" t="s">
        <v>92</v>
      </c>
      <c r="AJ619" s="152" t="s">
        <v>92</v>
      </c>
      <c r="AK619" s="152" t="s">
        <v>862</v>
      </c>
      <c r="AL619" s="152" t="s">
        <v>856</v>
      </c>
      <c r="AP619" s="152" t="s">
        <v>856</v>
      </c>
      <c r="AQ619" s="152" t="s">
        <v>856</v>
      </c>
      <c r="AR619" s="152" t="s">
        <v>4823</v>
      </c>
      <c r="AS619" s="159" t="s">
        <v>865</v>
      </c>
      <c r="AT619" s="152" t="str">
        <f t="shared" si="39"/>
        <v>VUNLR-041021</v>
      </c>
      <c r="AU619" s="152" t="str">
        <f t="shared" si="37"/>
        <v>GERMAN ROMEO LOPEZ PACAJOJ</v>
      </c>
      <c r="AV619" s="152">
        <v>806.4</v>
      </c>
      <c r="AW619" s="152">
        <v>926746</v>
      </c>
      <c r="AX619" s="152">
        <v>50</v>
      </c>
      <c r="AY619" s="152">
        <v>926749</v>
      </c>
      <c r="AZ619" s="152" t="s">
        <v>864</v>
      </c>
      <c r="BA619" s="152" t="str">
        <f t="shared" si="38"/>
        <v>L23-014-JM153</v>
      </c>
      <c r="BB619" s="152">
        <v>15</v>
      </c>
      <c r="BC619" s="157">
        <v>44938</v>
      </c>
      <c r="BD619" s="157">
        <v>45242</v>
      </c>
      <c r="BE619" s="158">
        <v>160000</v>
      </c>
      <c r="BF619" s="152" t="s">
        <v>4824</v>
      </c>
      <c r="BG619" s="152" t="s">
        <v>4825</v>
      </c>
      <c r="BH619" s="152">
        <v>80</v>
      </c>
      <c r="BI619" s="152">
        <v>0</v>
      </c>
      <c r="BJ619" s="152">
        <v>0</v>
      </c>
      <c r="BK619" s="152" t="s">
        <v>4184</v>
      </c>
      <c r="BL619" s="152">
        <v>80</v>
      </c>
      <c r="BM619" s="152">
        <v>926748</v>
      </c>
      <c r="BN619" s="157" t="s">
        <v>1453</v>
      </c>
    </row>
    <row r="620" spans="1:66">
      <c r="A620" s="152" t="s">
        <v>4826</v>
      </c>
      <c r="B620" s="152" t="s">
        <v>4827</v>
      </c>
      <c r="C620" s="152" t="s">
        <v>4828</v>
      </c>
      <c r="D620" s="152" t="s">
        <v>4829</v>
      </c>
      <c r="E620" s="152" t="s">
        <v>4830</v>
      </c>
      <c r="F620" s="152">
        <v>5993</v>
      </c>
      <c r="G620" s="152">
        <v>493</v>
      </c>
      <c r="H620" s="152" t="s">
        <v>2438</v>
      </c>
      <c r="I620" s="152">
        <v>202543</v>
      </c>
      <c r="J620" s="152">
        <v>75</v>
      </c>
      <c r="K620" s="152">
        <v>89347</v>
      </c>
      <c r="L620" s="152" t="s">
        <v>4831</v>
      </c>
      <c r="M620" s="152" t="s">
        <v>92</v>
      </c>
      <c r="N620" s="152" t="s">
        <v>883</v>
      </c>
      <c r="O620" s="152">
        <v>4435</v>
      </c>
      <c r="P620" s="152" t="s">
        <v>4831</v>
      </c>
      <c r="Q620" s="152" t="s">
        <v>92</v>
      </c>
      <c r="R620" s="152" t="s">
        <v>883</v>
      </c>
      <c r="S620" s="152">
        <v>4435</v>
      </c>
      <c r="T620" s="164" t="s">
        <v>856</v>
      </c>
      <c r="U620" s="164" t="s">
        <v>856</v>
      </c>
      <c r="V620" s="152" t="s">
        <v>857</v>
      </c>
      <c r="W620" s="152" t="s">
        <v>4609</v>
      </c>
      <c r="X620" s="152" t="s">
        <v>1083</v>
      </c>
      <c r="Y620" s="152">
        <v>18.72</v>
      </c>
      <c r="Z620" s="152">
        <v>1</v>
      </c>
      <c r="AA620" s="152" t="s">
        <v>92</v>
      </c>
      <c r="AB620" s="152">
        <v>134.28</v>
      </c>
      <c r="AC620" s="152">
        <v>2</v>
      </c>
      <c r="AD620" s="152" t="s">
        <v>861</v>
      </c>
      <c r="AE620" s="152">
        <v>134.28</v>
      </c>
      <c r="AF620" s="152">
        <v>0</v>
      </c>
      <c r="AG620" s="152" t="s">
        <v>861</v>
      </c>
      <c r="AH620" s="152" t="s">
        <v>861</v>
      </c>
      <c r="AI620" s="152" t="s">
        <v>92</v>
      </c>
      <c r="AJ620" s="152" t="s">
        <v>92</v>
      </c>
      <c r="AK620" s="152" t="s">
        <v>862</v>
      </c>
      <c r="AL620" s="152" t="s">
        <v>856</v>
      </c>
      <c r="AP620" s="152" t="s">
        <v>856</v>
      </c>
      <c r="AQ620" s="152" t="s">
        <v>856</v>
      </c>
      <c r="AR620" s="152" t="s">
        <v>1953</v>
      </c>
      <c r="AS620" s="159" t="s">
        <v>865</v>
      </c>
      <c r="AT620" s="152" t="str">
        <f t="shared" si="39"/>
        <v>VUNA11-011122</v>
      </c>
      <c r="AU620" s="152" t="str">
        <f t="shared" si="37"/>
        <v xml:space="preserve">JORGE AGUILAR GARCIA </v>
      </c>
      <c r="AV620" s="152">
        <v>1728.62</v>
      </c>
      <c r="AW620" s="152">
        <v>927255</v>
      </c>
      <c r="AX620" s="152">
        <v>25</v>
      </c>
      <c r="AY620" s="152">
        <v>927258</v>
      </c>
      <c r="AZ620" s="152" t="s">
        <v>864</v>
      </c>
      <c r="BA620" s="152" t="str">
        <f t="shared" si="38"/>
        <v>L23-013-SP155</v>
      </c>
      <c r="BB620" s="152">
        <v>24</v>
      </c>
      <c r="BC620" s="157">
        <v>44936</v>
      </c>
      <c r="BD620" s="157">
        <v>45301</v>
      </c>
      <c r="BE620" s="158">
        <v>342252</v>
      </c>
      <c r="BF620" s="152" t="s">
        <v>4832</v>
      </c>
      <c r="BG620" s="152" t="s">
        <v>3779</v>
      </c>
      <c r="BH620" s="152">
        <v>134.28</v>
      </c>
      <c r="BI620" s="152">
        <v>0</v>
      </c>
      <c r="BJ620" s="152">
        <v>0</v>
      </c>
      <c r="BK620" s="152" t="s">
        <v>132</v>
      </c>
      <c r="BL620" s="152">
        <v>134.28</v>
      </c>
      <c r="BM620" s="152">
        <v>927257</v>
      </c>
      <c r="BN620" s="157" t="s">
        <v>1453</v>
      </c>
    </row>
    <row r="621" spans="1:66">
      <c r="A621" s="152" t="s">
        <v>4833</v>
      </c>
      <c r="B621" s="152" t="s">
        <v>4834</v>
      </c>
      <c r="C621" s="152" t="s">
        <v>4837</v>
      </c>
      <c r="D621" s="152" t="s">
        <v>4835</v>
      </c>
      <c r="E621" s="152" t="s">
        <v>4836</v>
      </c>
      <c r="F621" s="152">
        <v>6100</v>
      </c>
      <c r="G621" s="152">
        <v>100</v>
      </c>
      <c r="H621" s="152" t="s">
        <v>1067</v>
      </c>
      <c r="I621" s="152">
        <v>174323</v>
      </c>
      <c r="J621" s="152">
        <v>128</v>
      </c>
      <c r="K621" s="164" t="s">
        <v>856</v>
      </c>
      <c r="L621" s="152" t="s">
        <v>4837</v>
      </c>
      <c r="M621" s="152" t="s">
        <v>883</v>
      </c>
      <c r="N621" s="152" t="s">
        <v>92</v>
      </c>
      <c r="O621" s="152">
        <v>10381</v>
      </c>
      <c r="P621" s="152" t="s">
        <v>4837</v>
      </c>
      <c r="Q621" s="152" t="s">
        <v>883</v>
      </c>
      <c r="R621" s="152" t="s">
        <v>92</v>
      </c>
      <c r="S621" s="152">
        <v>10381</v>
      </c>
      <c r="T621" s="164" t="s">
        <v>856</v>
      </c>
      <c r="U621" s="164" t="s">
        <v>856</v>
      </c>
      <c r="V621" s="152" t="s">
        <v>857</v>
      </c>
      <c r="W621" s="152" t="s">
        <v>4609</v>
      </c>
      <c r="X621" s="152" t="s">
        <v>1083</v>
      </c>
      <c r="Y621" s="152">
        <v>47.23</v>
      </c>
      <c r="Z621" s="152">
        <v>1</v>
      </c>
      <c r="AA621" s="152" t="s">
        <v>92</v>
      </c>
      <c r="AB621" s="152">
        <v>192.52</v>
      </c>
      <c r="AC621" s="152">
        <v>2</v>
      </c>
      <c r="AD621" s="152" t="s">
        <v>861</v>
      </c>
      <c r="AE621" s="152">
        <v>192.52</v>
      </c>
      <c r="AF621" s="152">
        <v>0</v>
      </c>
      <c r="AG621" s="152" t="s">
        <v>861</v>
      </c>
      <c r="AH621" s="152" t="s">
        <v>861</v>
      </c>
      <c r="AI621" s="152" t="s">
        <v>92</v>
      </c>
      <c r="AJ621" s="152" t="s">
        <v>92</v>
      </c>
      <c r="AK621" s="152" t="s">
        <v>862</v>
      </c>
      <c r="AL621" s="152" t="s">
        <v>856</v>
      </c>
      <c r="AP621" s="152" t="s">
        <v>856</v>
      </c>
      <c r="AQ621" s="152" t="s">
        <v>856</v>
      </c>
      <c r="AR621" s="152" t="s">
        <v>1953</v>
      </c>
      <c r="AS621" s="159" t="s">
        <v>865</v>
      </c>
      <c r="AT621" s="152" t="str">
        <f t="shared" si="39"/>
        <v>VUNS5-061122</v>
      </c>
      <c r="AU621" s="152" t="str">
        <f t="shared" si="37"/>
        <v xml:space="preserve">EDGAR ROLANDO SAPON MEJIA </v>
      </c>
      <c r="AV621" s="152">
        <v>2613.84</v>
      </c>
      <c r="AW621" s="152">
        <v>925397</v>
      </c>
      <c r="AX621" s="152">
        <v>40</v>
      </c>
      <c r="AY621" s="152">
        <v>925400</v>
      </c>
      <c r="AZ621" s="152" t="s">
        <v>864</v>
      </c>
      <c r="BA621" s="152" t="str">
        <f t="shared" si="38"/>
        <v>L23-009-SP156</v>
      </c>
      <c r="BB621" s="152">
        <v>24</v>
      </c>
      <c r="BC621" s="157">
        <v>44935</v>
      </c>
      <c r="BD621" s="157">
        <v>45300</v>
      </c>
      <c r="BE621" s="158">
        <v>501014.5</v>
      </c>
      <c r="BF621" s="152" t="s">
        <v>4838</v>
      </c>
      <c r="BG621" s="152" t="s">
        <v>3779</v>
      </c>
      <c r="BH621" s="152">
        <v>192.52</v>
      </c>
      <c r="BI621" s="152">
        <v>0</v>
      </c>
      <c r="BJ621" s="152">
        <v>0</v>
      </c>
      <c r="BK621" s="152" t="s">
        <v>132</v>
      </c>
      <c r="BL621" s="152">
        <v>192.52</v>
      </c>
      <c r="BM621" s="152">
        <v>925399</v>
      </c>
      <c r="BN621" s="157" t="s">
        <v>1453</v>
      </c>
    </row>
    <row r="622" spans="1:66">
      <c r="A622" s="152" t="s">
        <v>4839</v>
      </c>
      <c r="B622" s="152" t="s">
        <v>4840</v>
      </c>
      <c r="C622" s="152" t="s">
        <v>4841</v>
      </c>
      <c r="D622" s="152" t="s">
        <v>3546</v>
      </c>
      <c r="E622" s="152" t="s">
        <v>4842</v>
      </c>
      <c r="F622" s="159" t="s">
        <v>856</v>
      </c>
      <c r="G622" s="159" t="s">
        <v>856</v>
      </c>
      <c r="H622" s="159" t="s">
        <v>856</v>
      </c>
      <c r="I622" s="152">
        <v>203199</v>
      </c>
      <c r="J622" s="152">
        <v>218.5</v>
      </c>
      <c r="K622" s="152">
        <v>89883</v>
      </c>
      <c r="L622" s="164" t="s">
        <v>856</v>
      </c>
      <c r="M622" s="152" t="s">
        <v>92</v>
      </c>
      <c r="N622" s="152" t="s">
        <v>92</v>
      </c>
      <c r="O622" s="164" t="s">
        <v>856</v>
      </c>
      <c r="P622" s="164" t="s">
        <v>856</v>
      </c>
      <c r="Q622" s="152" t="s">
        <v>92</v>
      </c>
      <c r="R622" s="152" t="s">
        <v>92</v>
      </c>
      <c r="S622" s="164" t="s">
        <v>856</v>
      </c>
      <c r="T622" s="164" t="s">
        <v>856</v>
      </c>
      <c r="U622" s="164" t="s">
        <v>856</v>
      </c>
      <c r="V622" s="152" t="s">
        <v>857</v>
      </c>
      <c r="W622" s="152" t="s">
        <v>4609</v>
      </c>
      <c r="X622" s="152" t="s">
        <v>1083</v>
      </c>
      <c r="Y622" s="152">
        <v>100.1</v>
      </c>
      <c r="Z622" s="152">
        <v>1</v>
      </c>
      <c r="AA622" s="152" t="s">
        <v>883</v>
      </c>
      <c r="AB622" s="152">
        <v>331.4</v>
      </c>
      <c r="AC622" s="152">
        <v>2</v>
      </c>
      <c r="AD622" s="152" t="s">
        <v>861</v>
      </c>
      <c r="AE622" s="152">
        <v>331.4</v>
      </c>
      <c r="AF622" s="152">
        <v>0</v>
      </c>
      <c r="AG622" s="152" t="s">
        <v>861</v>
      </c>
      <c r="AH622" s="152" t="s">
        <v>861</v>
      </c>
      <c r="AI622" s="152" t="s">
        <v>92</v>
      </c>
      <c r="AJ622" s="152" t="s">
        <v>92</v>
      </c>
      <c r="AK622" s="152" t="s">
        <v>2503</v>
      </c>
      <c r="AL622" s="152" t="s">
        <v>856</v>
      </c>
      <c r="AP622" s="152" t="s">
        <v>856</v>
      </c>
      <c r="AQ622" s="152" t="s">
        <v>856</v>
      </c>
      <c r="AR622" s="152" t="s">
        <v>873</v>
      </c>
      <c r="AS622" s="159" t="s">
        <v>865</v>
      </c>
      <c r="AT622" s="152" t="str">
        <f t="shared" si="39"/>
        <v>RPNVR-630822</v>
      </c>
      <c r="AU622" s="152" t="str">
        <f t="shared" si="37"/>
        <v xml:space="preserve">ROGELIO VELASQUEZ SACALXOT </v>
      </c>
      <c r="AV622" s="152">
        <v>4453.2</v>
      </c>
      <c r="AW622" s="152">
        <v>927710</v>
      </c>
      <c r="AX622" s="159" t="s">
        <v>856</v>
      </c>
      <c r="AY622" s="159" t="s">
        <v>856</v>
      </c>
      <c r="AZ622" s="152" t="s">
        <v>864</v>
      </c>
      <c r="BA622" s="152" t="str">
        <f t="shared" si="38"/>
        <v>L23-413-MP066</v>
      </c>
      <c r="BB622" s="152">
        <v>0</v>
      </c>
      <c r="BC622" s="157">
        <v>44939</v>
      </c>
      <c r="BD622" s="157">
        <v>44939</v>
      </c>
      <c r="BE622" s="158">
        <v>866247</v>
      </c>
    </row>
    <row r="623" spans="1:66">
      <c r="A623" s="152" t="s">
        <v>4843</v>
      </c>
      <c r="B623" s="152" t="s">
        <v>4844</v>
      </c>
      <c r="C623" s="152" t="s">
        <v>4845</v>
      </c>
      <c r="D623" s="152" t="s">
        <v>4846</v>
      </c>
      <c r="E623" s="152" t="s">
        <v>4847</v>
      </c>
      <c r="F623" s="152">
        <v>5564</v>
      </c>
      <c r="G623" s="152">
        <v>64</v>
      </c>
      <c r="H623" s="152" t="s">
        <v>1704</v>
      </c>
      <c r="I623" s="152">
        <v>173919</v>
      </c>
      <c r="J623" s="152">
        <v>128</v>
      </c>
      <c r="K623" s="164" t="s">
        <v>856</v>
      </c>
      <c r="L623" s="152" t="s">
        <v>4848</v>
      </c>
      <c r="M623" s="152" t="s">
        <v>92</v>
      </c>
      <c r="N623" s="152" t="s">
        <v>883</v>
      </c>
      <c r="O623" s="152">
        <v>5484</v>
      </c>
      <c r="P623" s="152" t="s">
        <v>4848</v>
      </c>
      <c r="Q623" s="152" t="s">
        <v>92</v>
      </c>
      <c r="R623" s="152" t="s">
        <v>883</v>
      </c>
      <c r="S623" s="152">
        <v>5484</v>
      </c>
      <c r="T623" s="164" t="s">
        <v>856</v>
      </c>
      <c r="U623" s="164" t="s">
        <v>856</v>
      </c>
      <c r="V623" s="152" t="s">
        <v>1550</v>
      </c>
      <c r="W623" s="152" t="s">
        <v>4609</v>
      </c>
      <c r="X623" s="152" t="s">
        <v>1083</v>
      </c>
      <c r="Y623" s="152">
        <v>41.6</v>
      </c>
      <c r="Z623" s="152">
        <v>0</v>
      </c>
      <c r="AA623" s="152" t="s">
        <v>92</v>
      </c>
      <c r="AB623" s="152">
        <v>152.26</v>
      </c>
      <c r="AC623" s="152">
        <v>2</v>
      </c>
      <c r="AD623" s="152" t="s">
        <v>861</v>
      </c>
      <c r="AE623" s="152">
        <v>152.26</v>
      </c>
      <c r="AF623" s="152">
        <v>0</v>
      </c>
      <c r="AG623" s="152" t="s">
        <v>861</v>
      </c>
      <c r="AH623" s="152" t="s">
        <v>861</v>
      </c>
      <c r="AI623" s="152" t="s">
        <v>92</v>
      </c>
      <c r="AJ623" s="152" t="s">
        <v>92</v>
      </c>
      <c r="AK623" s="152" t="s">
        <v>862</v>
      </c>
      <c r="AL623" s="152" t="s">
        <v>856</v>
      </c>
      <c r="AP623" s="152" t="s">
        <v>856</v>
      </c>
      <c r="AQ623" s="152" t="s">
        <v>856</v>
      </c>
      <c r="AR623" s="152" t="s">
        <v>3846</v>
      </c>
      <c r="AS623" s="159" t="s">
        <v>865</v>
      </c>
      <c r="AT623" s="152" t="str">
        <f t="shared" si="39"/>
        <v>VUNF5-021122</v>
      </c>
      <c r="AU623" s="152" t="str">
        <f t="shared" si="37"/>
        <v>CLEOTOCINDA GLADIS GUILLEN SUAREZ DE FUNES</v>
      </c>
      <c r="AV623" s="152">
        <v>2000.01</v>
      </c>
      <c r="AW623" s="152">
        <v>927034</v>
      </c>
      <c r="AX623" s="152">
        <v>40</v>
      </c>
      <c r="AY623" s="152">
        <v>927037</v>
      </c>
      <c r="AZ623" s="152" t="s">
        <v>864</v>
      </c>
      <c r="BA623" s="152" t="str">
        <f t="shared" si="38"/>
        <v>L23-008-LG156</v>
      </c>
      <c r="BB623" s="152">
        <v>24</v>
      </c>
      <c r="BC623" s="157">
        <v>44935</v>
      </c>
      <c r="BD623" s="157">
        <v>45300</v>
      </c>
      <c r="BE623" s="158">
        <v>395210</v>
      </c>
      <c r="BF623" s="152" t="s">
        <v>4849</v>
      </c>
      <c r="BG623" s="152" t="s">
        <v>3779</v>
      </c>
      <c r="BH623" s="152">
        <v>152.26</v>
      </c>
      <c r="BI623" s="152">
        <v>0</v>
      </c>
      <c r="BJ623" s="152">
        <v>0</v>
      </c>
      <c r="BK623" s="152" t="s">
        <v>4184</v>
      </c>
      <c r="BL623" s="152">
        <v>152.26</v>
      </c>
      <c r="BM623" s="152">
        <v>927036</v>
      </c>
      <c r="BN623" s="157" t="s">
        <v>1453</v>
      </c>
    </row>
    <row r="624" spans="1:66">
      <c r="A624" s="152" t="s">
        <v>4850</v>
      </c>
      <c r="B624" s="152" t="s">
        <v>4851</v>
      </c>
      <c r="C624" s="152" t="s">
        <v>4852</v>
      </c>
      <c r="D624" s="152" t="s">
        <v>4853</v>
      </c>
      <c r="E624" s="152" t="s">
        <v>4853</v>
      </c>
      <c r="F624" s="152">
        <v>284029</v>
      </c>
      <c r="G624" s="152">
        <v>49</v>
      </c>
      <c r="H624" s="152">
        <v>664</v>
      </c>
      <c r="I624" s="152">
        <v>105168</v>
      </c>
      <c r="J624" s="152">
        <v>247.3</v>
      </c>
      <c r="K624" s="152">
        <v>55850</v>
      </c>
      <c r="L624" s="152" t="s">
        <v>3269</v>
      </c>
      <c r="M624" s="152" t="s">
        <v>883</v>
      </c>
      <c r="N624" s="152" t="s">
        <v>92</v>
      </c>
      <c r="O624" s="152">
        <v>10304</v>
      </c>
      <c r="P624" s="152" t="s">
        <v>3269</v>
      </c>
      <c r="Q624" s="152" t="s">
        <v>883</v>
      </c>
      <c r="R624" s="152" t="s">
        <v>92</v>
      </c>
      <c r="S624" s="152">
        <v>10304</v>
      </c>
      <c r="T624" s="164" t="s">
        <v>856</v>
      </c>
      <c r="U624" s="164" t="s">
        <v>856</v>
      </c>
      <c r="V624" s="152" t="s">
        <v>4854</v>
      </c>
      <c r="W624" s="152" t="s">
        <v>4609</v>
      </c>
      <c r="X624" s="152" t="s">
        <v>1083</v>
      </c>
      <c r="Y624" s="152">
        <v>117.9</v>
      </c>
      <c r="Z624" s="152">
        <v>2</v>
      </c>
      <c r="AA624" s="152" t="s">
        <v>92</v>
      </c>
      <c r="AB624" s="152">
        <v>137.94</v>
      </c>
      <c r="AC624" s="152">
        <v>2</v>
      </c>
      <c r="AD624" s="152" t="s">
        <v>861</v>
      </c>
      <c r="AE624" s="152">
        <v>0</v>
      </c>
      <c r="AF624" s="152">
        <v>137.94</v>
      </c>
      <c r="AG624" s="152" t="s">
        <v>861</v>
      </c>
      <c r="AH624" s="152" t="s">
        <v>861</v>
      </c>
      <c r="AI624" s="152" t="s">
        <v>92</v>
      </c>
      <c r="AJ624" s="152" t="s">
        <v>92</v>
      </c>
      <c r="AK624" s="152" t="s">
        <v>884</v>
      </c>
      <c r="AL624" s="152" t="s">
        <v>856</v>
      </c>
      <c r="AP624" s="152" t="s">
        <v>856</v>
      </c>
      <c r="AQ624" s="152" t="s">
        <v>856</v>
      </c>
      <c r="AR624" s="152" t="s">
        <v>4855</v>
      </c>
      <c r="AS624" s="159" t="s">
        <v>865</v>
      </c>
      <c r="AT624" s="152" t="str">
        <f t="shared" si="39"/>
        <v>VUNG8-070822</v>
      </c>
      <c r="AU624" s="152" t="str">
        <f t="shared" si="37"/>
        <v xml:space="preserve">DONAY RAUL GARCIA GRAMAJO </v>
      </c>
      <c r="AV624" s="152">
        <v>3243.02</v>
      </c>
      <c r="AW624" s="152">
        <v>928148</v>
      </c>
      <c r="AX624" s="152">
        <v>53.5</v>
      </c>
      <c r="AY624" s="152">
        <v>928151</v>
      </c>
      <c r="AZ624" s="152" t="s">
        <v>864</v>
      </c>
      <c r="BA624" s="152" t="str">
        <f t="shared" si="38"/>
        <v>L23-025-MP003</v>
      </c>
      <c r="BB624" s="152">
        <v>24</v>
      </c>
      <c r="BC624" s="157">
        <v>44944</v>
      </c>
      <c r="BD624" s="157">
        <v>45309</v>
      </c>
      <c r="BE624" s="158">
        <v>389955</v>
      </c>
      <c r="BF624" s="152" t="s">
        <v>4856</v>
      </c>
      <c r="BG624" s="152" t="s">
        <v>4857</v>
      </c>
      <c r="BH624" s="152">
        <v>137.94</v>
      </c>
      <c r="BI624" s="152">
        <v>0</v>
      </c>
      <c r="BJ624" s="152">
        <v>0</v>
      </c>
      <c r="BK624" s="152" t="s">
        <v>1296</v>
      </c>
      <c r="BL624" s="152">
        <v>172.43</v>
      </c>
      <c r="BM624" s="152">
        <v>928150</v>
      </c>
      <c r="BN624" s="157">
        <v>45309</v>
      </c>
    </row>
    <row r="625" spans="1:66">
      <c r="A625" s="152" t="s">
        <v>4858</v>
      </c>
      <c r="B625" s="152" t="s">
        <v>4859</v>
      </c>
      <c r="C625" s="152" t="s">
        <v>4860</v>
      </c>
      <c r="D625" s="152" t="s">
        <v>4861</v>
      </c>
      <c r="E625" s="152" t="s">
        <v>4861</v>
      </c>
      <c r="F625" s="152">
        <v>241651</v>
      </c>
      <c r="G625" s="152">
        <v>301</v>
      </c>
      <c r="H625" s="152">
        <v>522</v>
      </c>
      <c r="I625" s="152">
        <v>154446</v>
      </c>
      <c r="J625" s="152">
        <v>145.32</v>
      </c>
      <c r="K625" s="152">
        <v>51660</v>
      </c>
      <c r="L625" s="152" t="s">
        <v>4315</v>
      </c>
      <c r="M625" s="152" t="s">
        <v>92</v>
      </c>
      <c r="N625" s="152" t="s">
        <v>883</v>
      </c>
      <c r="O625" s="152">
        <v>6060</v>
      </c>
      <c r="P625" s="152" t="s">
        <v>4316</v>
      </c>
      <c r="Q625" s="152" t="s">
        <v>92</v>
      </c>
      <c r="R625" s="152" t="s">
        <v>883</v>
      </c>
      <c r="S625" s="152">
        <v>6060</v>
      </c>
      <c r="T625" s="164" t="s">
        <v>856</v>
      </c>
      <c r="U625" s="164" t="s">
        <v>856</v>
      </c>
      <c r="V625" s="152" t="s">
        <v>3957</v>
      </c>
      <c r="W625" s="152" t="s">
        <v>4609</v>
      </c>
      <c r="X625" s="152" t="s">
        <v>1083</v>
      </c>
      <c r="Y625" s="152">
        <v>217.16</v>
      </c>
      <c r="Z625" s="152">
        <v>1</v>
      </c>
      <c r="AA625" s="152" t="s">
        <v>92</v>
      </c>
      <c r="AB625" s="152">
        <v>38.76</v>
      </c>
      <c r="AC625" s="152">
        <v>2</v>
      </c>
      <c r="AD625" s="152" t="s">
        <v>861</v>
      </c>
      <c r="AE625" s="152">
        <v>38.76</v>
      </c>
      <c r="AF625" s="152">
        <v>0</v>
      </c>
      <c r="AG625" s="152">
        <v>110.03</v>
      </c>
      <c r="AH625" s="152" t="s">
        <v>861</v>
      </c>
      <c r="AI625" s="152" t="s">
        <v>92</v>
      </c>
      <c r="AJ625" s="152" t="s">
        <v>92</v>
      </c>
      <c r="AK625" s="152" t="s">
        <v>872</v>
      </c>
      <c r="AL625" s="152" t="s">
        <v>856</v>
      </c>
      <c r="AP625" s="152" t="s">
        <v>856</v>
      </c>
      <c r="AQ625" s="152" t="s">
        <v>856</v>
      </c>
      <c r="AR625" s="152" t="s">
        <v>4862</v>
      </c>
      <c r="AS625" s="159" t="s">
        <v>865</v>
      </c>
      <c r="AT625" s="152" t="str">
        <f t="shared" si="39"/>
        <v>RPNZ3-151123</v>
      </c>
      <c r="AU625" s="152" t="str">
        <f t="shared" si="37"/>
        <v>JOSE EDDY ARMANDO ZET ESCOBAR</v>
      </c>
      <c r="AV625" s="152">
        <v>1083.21</v>
      </c>
      <c r="AW625" s="152">
        <v>13287362</v>
      </c>
      <c r="AX625" s="152">
        <v>41.8</v>
      </c>
      <c r="AY625" s="152">
        <v>13287362</v>
      </c>
      <c r="AZ625" s="152" t="s">
        <v>864</v>
      </c>
      <c r="BA625" s="152" t="str">
        <f t="shared" si="38"/>
        <v>L24-105-JJ98</v>
      </c>
      <c r="BB625" s="152">
        <v>0</v>
      </c>
      <c r="BC625" s="157">
        <v>45306</v>
      </c>
      <c r="BD625" s="157">
        <v>45306</v>
      </c>
      <c r="BE625" s="158">
        <v>178546</v>
      </c>
      <c r="BF625" s="152" t="s">
        <v>4863</v>
      </c>
      <c r="BG625" s="152" t="s">
        <v>894</v>
      </c>
      <c r="BH625" s="152">
        <v>38.76</v>
      </c>
      <c r="BI625" s="152">
        <v>0</v>
      </c>
      <c r="BJ625" s="152">
        <v>0</v>
      </c>
      <c r="BK625" s="152" t="s">
        <v>132</v>
      </c>
      <c r="BL625" s="152">
        <v>38.76</v>
      </c>
      <c r="BM625" s="152">
        <v>13287362</v>
      </c>
      <c r="BN625" s="157" t="s">
        <v>1453</v>
      </c>
    </row>
    <row r="626" spans="1:66">
      <c r="A626" s="152" t="s">
        <v>4864</v>
      </c>
      <c r="B626" s="152" t="s">
        <v>4865</v>
      </c>
      <c r="C626" s="152" t="s">
        <v>4845</v>
      </c>
      <c r="D626" s="152" t="s">
        <v>4866</v>
      </c>
      <c r="E626" s="152" t="s">
        <v>4866</v>
      </c>
      <c r="F626" s="152">
        <v>5562</v>
      </c>
      <c r="G626" s="152">
        <v>62</v>
      </c>
      <c r="H626" s="152" t="s">
        <v>1704</v>
      </c>
      <c r="I626" s="152">
        <v>173917</v>
      </c>
      <c r="J626" s="152">
        <v>128</v>
      </c>
      <c r="K626" s="164" t="s">
        <v>856</v>
      </c>
      <c r="L626" s="152" t="s">
        <v>4848</v>
      </c>
      <c r="M626" s="152" t="s">
        <v>92</v>
      </c>
      <c r="N626" s="152" t="s">
        <v>883</v>
      </c>
      <c r="O626" s="152">
        <v>5484</v>
      </c>
      <c r="P626" s="152" t="s">
        <v>4848</v>
      </c>
      <c r="Q626" s="152" t="s">
        <v>92</v>
      </c>
      <c r="R626" s="152" t="s">
        <v>883</v>
      </c>
      <c r="S626" s="152">
        <v>5484</v>
      </c>
      <c r="T626" s="164" t="s">
        <v>856</v>
      </c>
      <c r="U626" s="164" t="s">
        <v>856</v>
      </c>
      <c r="V626" s="152" t="s">
        <v>857</v>
      </c>
      <c r="W626" s="152" t="s">
        <v>4609</v>
      </c>
      <c r="X626" s="152" t="s">
        <v>1083</v>
      </c>
      <c r="Y626" s="152">
        <v>75.040000000000006</v>
      </c>
      <c r="Z626" s="152">
        <v>1</v>
      </c>
      <c r="AA626" s="152" t="s">
        <v>92</v>
      </c>
      <c r="AB626" s="152">
        <v>163.74</v>
      </c>
      <c r="AC626" s="152">
        <v>2</v>
      </c>
      <c r="AD626" s="152" t="s">
        <v>861</v>
      </c>
      <c r="AE626" s="152">
        <v>163.74</v>
      </c>
      <c r="AF626" s="152">
        <v>0</v>
      </c>
      <c r="AG626" s="152" t="s">
        <v>861</v>
      </c>
      <c r="AH626" s="152" t="s">
        <v>861</v>
      </c>
      <c r="AI626" s="152" t="s">
        <v>92</v>
      </c>
      <c r="AJ626" s="152" t="s">
        <v>92</v>
      </c>
      <c r="AK626" s="152" t="s">
        <v>862</v>
      </c>
      <c r="AL626" s="152" t="s">
        <v>856</v>
      </c>
      <c r="AP626" s="152" t="s">
        <v>856</v>
      </c>
      <c r="AQ626" s="152" t="s">
        <v>856</v>
      </c>
      <c r="AR626" s="152" t="s">
        <v>3846</v>
      </c>
      <c r="AS626" s="159" t="s">
        <v>865</v>
      </c>
      <c r="AT626" s="152" t="str">
        <f t="shared" si="39"/>
        <v>VUNF5-011122</v>
      </c>
      <c r="AU626" s="152" t="str">
        <f t="shared" si="37"/>
        <v>CLEOTOCINDA GLADIS GUILLEN SUAREZ DE FUNES</v>
      </c>
      <c r="AV626" s="152">
        <v>2235.4</v>
      </c>
      <c r="AW626" s="152">
        <v>927030</v>
      </c>
      <c r="AX626" s="152">
        <v>40</v>
      </c>
      <c r="AY626" s="152">
        <v>927033</v>
      </c>
      <c r="AZ626" s="152" t="s">
        <v>864</v>
      </c>
      <c r="BA626" s="152" t="str">
        <f t="shared" si="38"/>
        <v>L23-007-LG155</v>
      </c>
      <c r="BB626" s="152">
        <v>24</v>
      </c>
      <c r="BC626" s="157">
        <v>44935</v>
      </c>
      <c r="BD626" s="157">
        <v>45300</v>
      </c>
      <c r="BE626" s="158">
        <v>436454</v>
      </c>
      <c r="BF626" s="152" t="s">
        <v>4867</v>
      </c>
      <c r="BG626" s="152" t="s">
        <v>3779</v>
      </c>
      <c r="BH626" s="152">
        <v>163.74</v>
      </c>
      <c r="BI626" s="152">
        <v>0</v>
      </c>
      <c r="BJ626" s="152">
        <v>0</v>
      </c>
      <c r="BK626" s="152" t="s">
        <v>132</v>
      </c>
      <c r="BL626" s="152">
        <v>163.74</v>
      </c>
      <c r="BM626" s="152">
        <v>927032</v>
      </c>
      <c r="BN626" s="157" t="s">
        <v>1453</v>
      </c>
    </row>
    <row r="627" spans="1:66" s="165" customFormat="1">
      <c r="A627" s="165" t="s">
        <v>4868</v>
      </c>
      <c r="B627" s="165" t="s">
        <v>4869</v>
      </c>
      <c r="C627" s="165" t="s">
        <v>4870</v>
      </c>
      <c r="D627" s="165" t="s">
        <v>4871</v>
      </c>
      <c r="E627" s="165" t="s">
        <v>4871</v>
      </c>
      <c r="F627" s="165">
        <v>1465</v>
      </c>
      <c r="G627" s="165">
        <v>465</v>
      </c>
      <c r="H627" s="165" t="s">
        <v>920</v>
      </c>
      <c r="I627" s="165">
        <v>187854</v>
      </c>
      <c r="J627" s="165">
        <v>128</v>
      </c>
      <c r="K627" s="165">
        <v>77988</v>
      </c>
      <c r="L627" s="165" t="s">
        <v>4872</v>
      </c>
      <c r="M627" s="165" t="s">
        <v>92</v>
      </c>
      <c r="N627" s="165" t="s">
        <v>883</v>
      </c>
      <c r="O627" s="165">
        <v>6078</v>
      </c>
      <c r="P627" s="165" t="s">
        <v>4873</v>
      </c>
      <c r="Q627" s="165" t="s">
        <v>92</v>
      </c>
      <c r="R627" s="165" t="s">
        <v>883</v>
      </c>
      <c r="S627" s="165">
        <v>6078</v>
      </c>
      <c r="T627" s="166" t="s">
        <v>856</v>
      </c>
      <c r="U627" s="166" t="s">
        <v>856</v>
      </c>
      <c r="V627" s="165" t="s">
        <v>857</v>
      </c>
      <c r="W627" s="165" t="s">
        <v>4609</v>
      </c>
      <c r="X627" s="165" t="s">
        <v>1083</v>
      </c>
      <c r="Y627" s="165">
        <v>108.9</v>
      </c>
      <c r="Z627" s="165">
        <v>1</v>
      </c>
      <c r="AA627" s="165" t="s">
        <v>92</v>
      </c>
      <c r="AB627" s="165">
        <v>141.56</v>
      </c>
      <c r="AC627" s="165">
        <v>2</v>
      </c>
      <c r="AD627" s="165" t="s">
        <v>861</v>
      </c>
      <c r="AE627" s="165">
        <v>141.56</v>
      </c>
      <c r="AF627" s="165">
        <v>0</v>
      </c>
      <c r="AG627" s="165" t="s">
        <v>861</v>
      </c>
      <c r="AH627" s="165" t="s">
        <v>861</v>
      </c>
      <c r="AI627" s="165" t="s">
        <v>92</v>
      </c>
      <c r="AJ627" s="165" t="s">
        <v>92</v>
      </c>
      <c r="AK627" s="165" t="s">
        <v>862</v>
      </c>
      <c r="AL627" s="165" t="s">
        <v>856</v>
      </c>
      <c r="AP627" s="165" t="s">
        <v>856</v>
      </c>
      <c r="AQ627" s="165" t="s">
        <v>856</v>
      </c>
      <c r="AR627" s="165" t="s">
        <v>1953</v>
      </c>
      <c r="AS627" s="167" t="s">
        <v>865</v>
      </c>
      <c r="AT627" s="165" t="str">
        <f t="shared" si="39"/>
        <v>VUNA5-021022</v>
      </c>
      <c r="AU627" s="165" t="str">
        <f t="shared" si="37"/>
        <v xml:space="preserve">EDSON FERNANDO ALVISUREZ CHAVEZ </v>
      </c>
      <c r="AV627" s="165">
        <v>2176.14</v>
      </c>
      <c r="AW627" s="165">
        <v>927226</v>
      </c>
      <c r="AX627" s="165">
        <v>40</v>
      </c>
      <c r="AY627" s="165">
        <v>927229</v>
      </c>
      <c r="AZ627" s="165" t="s">
        <v>864</v>
      </c>
      <c r="BA627" s="165" t="str">
        <f t="shared" si="38"/>
        <v>L23-012-SP150</v>
      </c>
      <c r="BB627" s="165">
        <v>24</v>
      </c>
      <c r="BC627" s="168">
        <v>44936</v>
      </c>
      <c r="BD627" s="168">
        <v>45301</v>
      </c>
      <c r="BE627" s="169">
        <v>397983</v>
      </c>
      <c r="BF627" s="165" t="s">
        <v>4874</v>
      </c>
      <c r="BG627" s="165" t="s">
        <v>894</v>
      </c>
      <c r="BH627" s="165">
        <v>141.56</v>
      </c>
      <c r="BI627" s="165">
        <v>0</v>
      </c>
      <c r="BJ627" s="165">
        <v>0</v>
      </c>
      <c r="BK627" s="165" t="s">
        <v>132</v>
      </c>
      <c r="BL627" s="165">
        <v>141.56</v>
      </c>
      <c r="BM627" s="165">
        <v>927228</v>
      </c>
      <c r="BN627" s="168" t="s">
        <v>1453</v>
      </c>
    </row>
    <row r="628" spans="1:66">
      <c r="A628" s="152" t="s">
        <v>4875</v>
      </c>
      <c r="B628" s="152" t="s">
        <v>4876</v>
      </c>
      <c r="C628" s="152" t="s">
        <v>4877</v>
      </c>
      <c r="D628" s="152" t="s">
        <v>4878</v>
      </c>
      <c r="E628" s="152" t="s">
        <v>4878</v>
      </c>
      <c r="F628" s="152">
        <v>3361</v>
      </c>
      <c r="G628" s="152">
        <v>361</v>
      </c>
      <c r="H628" s="152" t="s">
        <v>4879</v>
      </c>
      <c r="I628" s="152">
        <v>201881</v>
      </c>
      <c r="J628" s="152">
        <v>108</v>
      </c>
      <c r="K628" s="152">
        <v>88820</v>
      </c>
      <c r="L628" s="152" t="s">
        <v>4880</v>
      </c>
      <c r="M628" s="152" t="s">
        <v>883</v>
      </c>
      <c r="N628" s="152" t="s">
        <v>92</v>
      </c>
      <c r="O628" s="152">
        <v>18319</v>
      </c>
      <c r="P628" s="152" t="s">
        <v>4880</v>
      </c>
      <c r="Q628" s="152" t="s">
        <v>883</v>
      </c>
      <c r="R628" s="152" t="s">
        <v>92</v>
      </c>
      <c r="S628" s="152">
        <v>18319</v>
      </c>
      <c r="T628" s="164" t="s">
        <v>856</v>
      </c>
      <c r="U628" s="164" t="s">
        <v>856</v>
      </c>
      <c r="V628" s="152" t="s">
        <v>857</v>
      </c>
      <c r="W628" s="152" t="s">
        <v>4609</v>
      </c>
      <c r="X628" s="152" t="s">
        <v>1083</v>
      </c>
      <c r="Y628" s="152">
        <v>48.91</v>
      </c>
      <c r="Z628" s="152">
        <v>1</v>
      </c>
      <c r="AA628" s="152" t="s">
        <v>92</v>
      </c>
      <c r="AB628" s="152">
        <v>183.54</v>
      </c>
      <c r="AC628" s="152">
        <v>2</v>
      </c>
      <c r="AD628" s="152" t="s">
        <v>861</v>
      </c>
      <c r="AE628" s="152">
        <v>183.54</v>
      </c>
      <c r="AF628" s="152">
        <v>0</v>
      </c>
      <c r="AG628" s="152" t="s">
        <v>861</v>
      </c>
      <c r="AH628" s="152" t="s">
        <v>861</v>
      </c>
      <c r="AI628" s="152" t="s">
        <v>92</v>
      </c>
      <c r="AJ628" s="152" t="s">
        <v>92</v>
      </c>
      <c r="AK628" s="152" t="s">
        <v>3578</v>
      </c>
      <c r="AL628" s="152" t="s">
        <v>856</v>
      </c>
      <c r="AP628" s="152" t="s">
        <v>856</v>
      </c>
      <c r="AQ628" s="152" t="s">
        <v>856</v>
      </c>
      <c r="AR628" s="152" t="s">
        <v>863</v>
      </c>
      <c r="AS628" s="159" t="s">
        <v>865</v>
      </c>
      <c r="AT628" s="152" t="str">
        <f t="shared" si="39"/>
        <v>VUNE9-011122</v>
      </c>
      <c r="AU628" s="152" t="str">
        <f t="shared" si="37"/>
        <v xml:space="preserve">CARLOS EDUARDO ESTACUY LOPEZ </v>
      </c>
      <c r="AV628" s="152">
        <v>2408.4699999999998</v>
      </c>
      <c r="AW628" s="152">
        <v>927880</v>
      </c>
      <c r="AX628" s="152">
        <v>45</v>
      </c>
      <c r="AY628" s="152">
        <v>927883</v>
      </c>
      <c r="AZ628" s="152" t="s">
        <v>864</v>
      </c>
      <c r="BA628" s="152" t="str">
        <f t="shared" si="38"/>
        <v>L23-021-JM006</v>
      </c>
      <c r="BB628" s="152">
        <v>24</v>
      </c>
      <c r="BC628" s="157">
        <v>44943</v>
      </c>
      <c r="BD628" s="157">
        <v>45308</v>
      </c>
      <c r="BE628" s="158">
        <v>475968.5</v>
      </c>
      <c r="BF628" s="152" t="s">
        <v>4881</v>
      </c>
      <c r="BG628" s="152" t="s">
        <v>4882</v>
      </c>
      <c r="BH628" s="152">
        <v>183.54</v>
      </c>
      <c r="BI628" s="152">
        <v>0</v>
      </c>
      <c r="BJ628" s="152">
        <v>0</v>
      </c>
      <c r="BK628" s="152" t="s">
        <v>132</v>
      </c>
      <c r="BL628" s="152">
        <v>183.54</v>
      </c>
      <c r="BM628" s="152">
        <v>927882</v>
      </c>
      <c r="BN628" s="157" t="s">
        <v>1453</v>
      </c>
    </row>
    <row r="629" spans="1:66">
      <c r="A629" s="152" t="s">
        <v>4883</v>
      </c>
      <c r="B629" s="152" t="s">
        <v>4884</v>
      </c>
      <c r="C629" s="152" t="s">
        <v>4885</v>
      </c>
      <c r="D629" s="152" t="s">
        <v>4886</v>
      </c>
      <c r="E629" s="152" t="s">
        <v>4886</v>
      </c>
      <c r="F629" s="152">
        <v>321753</v>
      </c>
      <c r="G629" s="152">
        <v>73</v>
      </c>
      <c r="H629" s="152">
        <v>790</v>
      </c>
      <c r="I629" s="152">
        <v>174727</v>
      </c>
      <c r="J629" s="152">
        <v>42.6</v>
      </c>
      <c r="K629" s="152">
        <v>68681</v>
      </c>
      <c r="L629" s="164" t="s">
        <v>856</v>
      </c>
      <c r="M629" s="152" t="s">
        <v>92</v>
      </c>
      <c r="N629" s="152" t="s">
        <v>92</v>
      </c>
      <c r="O629" s="164" t="s">
        <v>856</v>
      </c>
      <c r="P629" s="164" t="s">
        <v>856</v>
      </c>
      <c r="Q629" s="152" t="s">
        <v>92</v>
      </c>
      <c r="R629" s="152" t="s">
        <v>92</v>
      </c>
      <c r="S629" s="164" t="s">
        <v>856</v>
      </c>
      <c r="T629" s="164" t="s">
        <v>856</v>
      </c>
      <c r="U629" s="164" t="s">
        <v>856</v>
      </c>
      <c r="V629" s="152" t="s">
        <v>1550</v>
      </c>
      <c r="W629" s="152" t="s">
        <v>4609</v>
      </c>
      <c r="X629" s="152" t="s">
        <v>1083</v>
      </c>
      <c r="Y629" s="152">
        <v>0</v>
      </c>
      <c r="Z629" s="152">
        <v>0</v>
      </c>
      <c r="AA629" s="152" t="s">
        <v>883</v>
      </c>
      <c r="AB629" s="152">
        <v>101.03</v>
      </c>
      <c r="AC629" s="152">
        <v>3</v>
      </c>
      <c r="AD629" s="152" t="s">
        <v>861</v>
      </c>
      <c r="AE629" s="152">
        <v>101.03</v>
      </c>
      <c r="AF629" s="152">
        <v>0</v>
      </c>
      <c r="AG629" s="152" t="s">
        <v>861</v>
      </c>
      <c r="AH629" s="152" t="s">
        <v>861</v>
      </c>
      <c r="AI629" s="152" t="s">
        <v>92</v>
      </c>
      <c r="AJ629" s="152" t="s">
        <v>92</v>
      </c>
      <c r="AK629" s="152" t="s">
        <v>3578</v>
      </c>
      <c r="AL629" s="152" t="s">
        <v>856</v>
      </c>
      <c r="AP629" s="152" t="s">
        <v>856</v>
      </c>
      <c r="AQ629" s="152" t="s">
        <v>856</v>
      </c>
      <c r="AR629" s="152" t="s">
        <v>4887</v>
      </c>
      <c r="AS629" s="159" t="s">
        <v>865</v>
      </c>
      <c r="AT629" s="152" t="str">
        <f t="shared" si="39"/>
        <v>RPNL8-110223</v>
      </c>
      <c r="AU629" s="152" t="str">
        <f t="shared" si="37"/>
        <v xml:space="preserve">JOHNY ALBERTO LOPEZ LOARCA </v>
      </c>
      <c r="AV629" s="152">
        <v>1527.57</v>
      </c>
      <c r="AW629" s="152">
        <v>828428</v>
      </c>
      <c r="AX629" s="159" t="s">
        <v>856</v>
      </c>
      <c r="AY629" s="159" t="s">
        <v>856</v>
      </c>
      <c r="AZ629" s="152" t="s">
        <v>864</v>
      </c>
      <c r="BA629" s="152" t="str">
        <f t="shared" si="38"/>
        <v>L23-522-MP088</v>
      </c>
      <c r="BB629" s="152">
        <v>0</v>
      </c>
      <c r="BC629" s="157">
        <v>44985</v>
      </c>
      <c r="BD629" s="157">
        <v>44985</v>
      </c>
      <c r="BE629" s="158">
        <v>303090</v>
      </c>
      <c r="BF629" s="152" t="s">
        <v>4888</v>
      </c>
      <c r="BG629" s="152" t="s">
        <v>894</v>
      </c>
      <c r="BH629" s="152">
        <v>101.03</v>
      </c>
      <c r="BI629" s="152">
        <v>0</v>
      </c>
      <c r="BJ629" s="152">
        <v>0</v>
      </c>
      <c r="BK629" s="152" t="s">
        <v>132</v>
      </c>
      <c r="BL629" s="152">
        <v>47.83</v>
      </c>
      <c r="BM629" s="152">
        <v>828429</v>
      </c>
      <c r="BN629" s="157" t="s">
        <v>1453</v>
      </c>
    </row>
    <row r="630" spans="1:66">
      <c r="A630" s="152" t="s">
        <v>4889</v>
      </c>
      <c r="B630" s="152" t="s">
        <v>4890</v>
      </c>
      <c r="C630" s="152" t="s">
        <v>4084</v>
      </c>
      <c r="D630" s="152" t="s">
        <v>4891</v>
      </c>
      <c r="E630" s="152" t="s">
        <v>4891</v>
      </c>
      <c r="F630" s="152">
        <v>5979</v>
      </c>
      <c r="G630" s="152">
        <v>479</v>
      </c>
      <c r="H630" s="152" t="s">
        <v>2438</v>
      </c>
      <c r="I630" s="152">
        <v>202482</v>
      </c>
      <c r="J630" s="152">
        <v>75</v>
      </c>
      <c r="K630" s="152">
        <v>89297</v>
      </c>
      <c r="L630" s="152" t="s">
        <v>4579</v>
      </c>
      <c r="M630" s="152" t="s">
        <v>92</v>
      </c>
      <c r="N630" s="152" t="s">
        <v>883</v>
      </c>
      <c r="O630" s="152">
        <v>6395</v>
      </c>
      <c r="P630" s="152" t="s">
        <v>988</v>
      </c>
      <c r="Q630" s="152" t="s">
        <v>92</v>
      </c>
      <c r="R630" s="152" t="s">
        <v>883</v>
      </c>
      <c r="S630" s="152">
        <v>6395</v>
      </c>
      <c r="T630" s="164" t="s">
        <v>856</v>
      </c>
      <c r="U630" s="164" t="s">
        <v>856</v>
      </c>
      <c r="V630" s="152" t="s">
        <v>3530</v>
      </c>
      <c r="W630" s="152" t="s">
        <v>4609</v>
      </c>
      <c r="X630" s="152" t="s">
        <v>1083</v>
      </c>
      <c r="Y630" s="152">
        <v>29.86</v>
      </c>
      <c r="Z630" s="152">
        <v>1</v>
      </c>
      <c r="AA630" s="152" t="s">
        <v>92</v>
      </c>
      <c r="AB630" s="152">
        <v>60.12</v>
      </c>
      <c r="AC630" s="152">
        <v>1</v>
      </c>
      <c r="AD630" s="152" t="s">
        <v>861</v>
      </c>
      <c r="AE630" s="152">
        <v>60.12</v>
      </c>
      <c r="AF630" s="152">
        <v>0</v>
      </c>
      <c r="AG630" s="152" t="s">
        <v>861</v>
      </c>
      <c r="AH630" s="152" t="s">
        <v>861</v>
      </c>
      <c r="AI630" s="152" t="s">
        <v>92</v>
      </c>
      <c r="AJ630" s="152" t="s">
        <v>92</v>
      </c>
      <c r="AK630" s="152" t="s">
        <v>862</v>
      </c>
      <c r="AL630" s="152" t="s">
        <v>856</v>
      </c>
      <c r="AP630" s="152" t="s">
        <v>856</v>
      </c>
      <c r="AQ630" s="152" t="s">
        <v>856</v>
      </c>
      <c r="AR630" s="152" t="s">
        <v>3846</v>
      </c>
      <c r="AS630" s="159" t="s">
        <v>865</v>
      </c>
      <c r="AT630" s="152" t="str">
        <f t="shared" si="39"/>
        <v>VUNM11-061122</v>
      </c>
      <c r="AU630" s="152" t="str">
        <f t="shared" si="37"/>
        <v xml:space="preserve">LEONOR MARTIN ALVARADO </v>
      </c>
      <c r="AV630" s="152">
        <v>742.08</v>
      </c>
      <c r="AW630" s="152">
        <v>926847</v>
      </c>
      <c r="AX630" s="152">
        <v>25</v>
      </c>
      <c r="AY630" s="152">
        <v>926850</v>
      </c>
      <c r="AZ630" s="152" t="s">
        <v>864</v>
      </c>
      <c r="BA630" s="152" t="str">
        <f t="shared" si="38"/>
        <v>L23-015-LG158</v>
      </c>
      <c r="BB630" s="152">
        <v>15</v>
      </c>
      <c r="BC630" s="157">
        <v>44938</v>
      </c>
      <c r="BD630" s="157">
        <v>45242</v>
      </c>
      <c r="BE630" s="158">
        <v>133274.6</v>
      </c>
      <c r="BF630" s="152" t="s">
        <v>4892</v>
      </c>
      <c r="BG630" s="152" t="s">
        <v>3779</v>
      </c>
      <c r="BH630" s="152">
        <v>60.12</v>
      </c>
      <c r="BI630" s="152">
        <v>0</v>
      </c>
      <c r="BJ630" s="152">
        <v>0</v>
      </c>
      <c r="BK630" s="152" t="s">
        <v>132</v>
      </c>
      <c r="BL630" s="152">
        <v>60.12</v>
      </c>
      <c r="BM630" s="152">
        <v>926849</v>
      </c>
      <c r="BN630" s="157" t="s">
        <v>1453</v>
      </c>
    </row>
    <row r="631" spans="1:66">
      <c r="A631" s="152" t="s">
        <v>4893</v>
      </c>
      <c r="B631" s="152" t="s">
        <v>4894</v>
      </c>
      <c r="C631" s="152" t="s">
        <v>4895</v>
      </c>
      <c r="D631" s="152" t="s">
        <v>4896</v>
      </c>
      <c r="E631" s="152" t="s">
        <v>4896</v>
      </c>
      <c r="F631" s="152">
        <v>206552</v>
      </c>
      <c r="G631" s="152">
        <v>71</v>
      </c>
      <c r="H631" s="152">
        <v>416</v>
      </c>
      <c r="I631" s="152">
        <v>138932</v>
      </c>
      <c r="J631" s="152">
        <v>200</v>
      </c>
      <c r="K631" s="152">
        <v>37935</v>
      </c>
      <c r="L631" s="152" t="s">
        <v>4897</v>
      </c>
      <c r="M631" s="152" t="s">
        <v>883</v>
      </c>
      <c r="N631" s="152" t="s">
        <v>92</v>
      </c>
      <c r="O631" s="152">
        <v>6254</v>
      </c>
      <c r="P631" s="152" t="s">
        <v>4897</v>
      </c>
      <c r="Q631" s="152" t="s">
        <v>883</v>
      </c>
      <c r="R631" s="152" t="s">
        <v>92</v>
      </c>
      <c r="S631" s="152">
        <v>6254</v>
      </c>
      <c r="T631" s="164" t="s">
        <v>856</v>
      </c>
      <c r="U631" s="164" t="s">
        <v>856</v>
      </c>
      <c r="V631" s="152" t="s">
        <v>3886</v>
      </c>
      <c r="W631" s="152" t="s">
        <v>4609</v>
      </c>
      <c r="X631" s="152" t="s">
        <v>1083</v>
      </c>
      <c r="Y631" s="152">
        <v>103.68</v>
      </c>
      <c r="Z631" s="152">
        <v>1</v>
      </c>
      <c r="AA631" s="152" t="s">
        <v>92</v>
      </c>
      <c r="AB631" s="152">
        <v>121.85</v>
      </c>
      <c r="AC631" s="152">
        <v>2</v>
      </c>
      <c r="AD631" s="152" t="s">
        <v>861</v>
      </c>
      <c r="AE631" s="152">
        <v>121.85</v>
      </c>
      <c r="AF631" s="152">
        <v>0</v>
      </c>
      <c r="AG631" s="152" t="s">
        <v>861</v>
      </c>
      <c r="AH631" s="152" t="s">
        <v>861</v>
      </c>
      <c r="AI631" s="152" t="s">
        <v>92</v>
      </c>
      <c r="AJ631" s="152" t="s">
        <v>92</v>
      </c>
      <c r="AK631" s="152" t="s">
        <v>884</v>
      </c>
      <c r="AL631" s="152" t="s">
        <v>856</v>
      </c>
      <c r="AP631" s="152" t="s">
        <v>856</v>
      </c>
      <c r="AQ631" s="152" t="s">
        <v>856</v>
      </c>
      <c r="AR631" s="152" t="s">
        <v>3846</v>
      </c>
      <c r="AS631" s="159" t="s">
        <v>865</v>
      </c>
      <c r="AT631" s="152" t="str">
        <f t="shared" si="39"/>
        <v>RPNM1-531222</v>
      </c>
      <c r="AU631" s="152" t="str">
        <f t="shared" si="37"/>
        <v>ERIKA PAMELA MERIDA HERRARTE</v>
      </c>
      <c r="AV631" s="152">
        <v>1738.52</v>
      </c>
      <c r="AW631" s="152">
        <v>823459</v>
      </c>
      <c r="AX631" s="159" t="s">
        <v>856</v>
      </c>
      <c r="AY631" s="159" t="s">
        <v>856</v>
      </c>
      <c r="AZ631" s="152" t="s">
        <v>864</v>
      </c>
      <c r="BA631" s="152" t="str">
        <f t="shared" si="38"/>
        <v>L23-100-LG161</v>
      </c>
      <c r="BB631" s="152">
        <v>0</v>
      </c>
      <c r="BC631" s="157">
        <v>44958</v>
      </c>
      <c r="BD631" s="157">
        <v>44958</v>
      </c>
      <c r="BE631" s="158">
        <v>340913</v>
      </c>
    </row>
    <row r="632" spans="1:66">
      <c r="A632" s="152" t="s">
        <v>4898</v>
      </c>
      <c r="B632" s="152" t="s">
        <v>4899</v>
      </c>
      <c r="C632" s="152" t="s">
        <v>4900</v>
      </c>
      <c r="D632" s="152" t="s">
        <v>4901</v>
      </c>
      <c r="E632" s="152" t="s">
        <v>4901</v>
      </c>
      <c r="F632" s="152">
        <v>232331</v>
      </c>
      <c r="G632" s="152">
        <v>171</v>
      </c>
      <c r="H632" s="152">
        <v>492</v>
      </c>
      <c r="I632" s="152">
        <v>23158</v>
      </c>
      <c r="J632" s="152">
        <v>888</v>
      </c>
      <c r="K632" s="152">
        <v>53168</v>
      </c>
      <c r="L632" s="152" t="s">
        <v>4900</v>
      </c>
      <c r="M632" s="152" t="s">
        <v>92</v>
      </c>
      <c r="N632" s="152" t="s">
        <v>883</v>
      </c>
      <c r="O632" s="152">
        <v>4264</v>
      </c>
      <c r="P632" s="152" t="s">
        <v>4900</v>
      </c>
      <c r="Q632" s="152" t="s">
        <v>92</v>
      </c>
      <c r="R632" s="152" t="s">
        <v>883</v>
      </c>
      <c r="S632" s="152">
        <v>4264</v>
      </c>
      <c r="T632" s="164" t="s">
        <v>856</v>
      </c>
      <c r="U632" s="164" t="s">
        <v>856</v>
      </c>
      <c r="V632" s="152" t="s">
        <v>4037</v>
      </c>
      <c r="W632" s="152" t="s">
        <v>860</v>
      </c>
      <c r="X632" s="152" t="s">
        <v>859</v>
      </c>
      <c r="Y632" s="152">
        <v>0</v>
      </c>
      <c r="Z632" s="152">
        <v>0</v>
      </c>
      <c r="AA632" s="152" t="s">
        <v>92</v>
      </c>
      <c r="AB632" s="152">
        <v>173.76</v>
      </c>
      <c r="AC632" s="152">
        <v>1</v>
      </c>
      <c r="AD632" s="152" t="s">
        <v>861</v>
      </c>
      <c r="AE632" s="152">
        <v>0</v>
      </c>
      <c r="AF632" s="152">
        <v>0</v>
      </c>
      <c r="AG632" s="152" t="s">
        <v>861</v>
      </c>
      <c r="AH632" s="152" t="s">
        <v>861</v>
      </c>
      <c r="AI632" s="152" t="s">
        <v>92</v>
      </c>
      <c r="AJ632" s="152" t="s">
        <v>92</v>
      </c>
      <c r="AK632" s="152" t="s">
        <v>3578</v>
      </c>
      <c r="AL632" s="152" t="s">
        <v>856</v>
      </c>
      <c r="AP632" s="152" t="s">
        <v>856</v>
      </c>
      <c r="AQ632" s="152" t="s">
        <v>856</v>
      </c>
      <c r="AR632" s="152" t="s">
        <v>1953</v>
      </c>
      <c r="AS632" s="159" t="s">
        <v>865</v>
      </c>
      <c r="AT632" s="152" t="str">
        <f t="shared" ref="AT632:AT663" si="40">B632</f>
        <v>DMNC7-041022</v>
      </c>
      <c r="AU632" s="152" t="str">
        <f t="shared" si="37"/>
        <v xml:space="preserve">MARIA DE LOS ANGELES CIFUENTES Y CIFUENTES </v>
      </c>
      <c r="AV632" s="152">
        <v>130.32</v>
      </c>
      <c r="AW632" s="152">
        <v>926338</v>
      </c>
      <c r="AX632" s="159" t="s">
        <v>856</v>
      </c>
      <c r="AY632" s="159" t="s">
        <v>856</v>
      </c>
      <c r="AZ632" s="152" t="s">
        <v>1008</v>
      </c>
      <c r="BA632" s="152" t="str">
        <f t="shared" si="38"/>
        <v>L23-011-SP139</v>
      </c>
      <c r="BB632" s="152">
        <v>12</v>
      </c>
      <c r="BC632" s="157">
        <v>44936</v>
      </c>
      <c r="BD632" s="157">
        <v>45301</v>
      </c>
      <c r="BE632" s="158">
        <v>17376</v>
      </c>
    </row>
    <row r="633" spans="1:66">
      <c r="A633" s="152" t="s">
        <v>4902</v>
      </c>
      <c r="B633" s="152" t="s">
        <v>4903</v>
      </c>
      <c r="C633" s="152" t="s">
        <v>4904</v>
      </c>
      <c r="D633" s="152" t="s">
        <v>4905</v>
      </c>
      <c r="E633" s="152" t="s">
        <v>4905</v>
      </c>
      <c r="F633" s="152">
        <v>6873</v>
      </c>
      <c r="G633" s="152">
        <v>373</v>
      </c>
      <c r="H633" s="152" t="s">
        <v>1848</v>
      </c>
      <c r="I633" s="152">
        <v>185778</v>
      </c>
      <c r="J633" s="152">
        <v>90</v>
      </c>
      <c r="K633" s="152">
        <v>76421</v>
      </c>
      <c r="L633" s="164" t="s">
        <v>856</v>
      </c>
      <c r="M633" s="152" t="s">
        <v>92</v>
      </c>
      <c r="N633" s="152" t="s">
        <v>92</v>
      </c>
      <c r="O633" s="164" t="s">
        <v>856</v>
      </c>
      <c r="P633" s="164" t="s">
        <v>856</v>
      </c>
      <c r="Q633" s="152" t="s">
        <v>92</v>
      </c>
      <c r="R633" s="152" t="s">
        <v>92</v>
      </c>
      <c r="S633" s="164" t="s">
        <v>856</v>
      </c>
      <c r="T633" s="164" t="s">
        <v>856</v>
      </c>
      <c r="U633" s="164" t="s">
        <v>856</v>
      </c>
      <c r="V633" s="152" t="s">
        <v>857</v>
      </c>
      <c r="W633" s="152" t="s">
        <v>4609</v>
      </c>
      <c r="X633" s="152" t="s">
        <v>1083</v>
      </c>
      <c r="Y633" s="152">
        <v>0</v>
      </c>
      <c r="Z633" s="152">
        <v>1</v>
      </c>
      <c r="AA633" s="152" t="s">
        <v>92</v>
      </c>
      <c r="AB633" s="152">
        <v>51.62</v>
      </c>
      <c r="AC633" s="152">
        <v>1</v>
      </c>
      <c r="AD633" s="152" t="s">
        <v>861</v>
      </c>
      <c r="AE633" s="152">
        <v>51.62</v>
      </c>
      <c r="AF633" s="152">
        <v>0</v>
      </c>
      <c r="AG633" s="152" t="s">
        <v>861</v>
      </c>
      <c r="AH633" s="152" t="s">
        <v>861</v>
      </c>
      <c r="AI633" s="152" t="s">
        <v>92</v>
      </c>
      <c r="AJ633" s="152" t="s">
        <v>92</v>
      </c>
      <c r="AK633" s="152" t="s">
        <v>862</v>
      </c>
      <c r="AL633" s="152" t="s">
        <v>856</v>
      </c>
      <c r="AP633" s="152" t="s">
        <v>856</v>
      </c>
      <c r="AQ633" s="152" t="s">
        <v>856</v>
      </c>
      <c r="AR633" s="152" t="s">
        <v>3846</v>
      </c>
      <c r="AS633" s="159" t="s">
        <v>865</v>
      </c>
      <c r="AT633" s="152" t="str">
        <f t="shared" si="40"/>
        <v>RPNB11-010123</v>
      </c>
      <c r="AU633" s="152" t="str">
        <f t="shared" si="37"/>
        <v>WALFRE SERGIO BARRIOS</v>
      </c>
      <c r="AV633" s="152">
        <v>520.33000000000004</v>
      </c>
      <c r="AW633" s="152">
        <v>825053</v>
      </c>
      <c r="AX633" s="159" t="s">
        <v>856</v>
      </c>
      <c r="AY633" s="159" t="s">
        <v>856</v>
      </c>
      <c r="AZ633" s="152" t="s">
        <v>864</v>
      </c>
      <c r="BA633" s="152" t="str">
        <f t="shared" si="38"/>
        <v>L23-067-AQ132</v>
      </c>
      <c r="BB633" s="152">
        <v>0</v>
      </c>
      <c r="BC633" s="157">
        <v>44972</v>
      </c>
      <c r="BD633" s="157">
        <v>44972</v>
      </c>
      <c r="BE633" s="158">
        <v>103240</v>
      </c>
    </row>
    <row r="634" spans="1:66">
      <c r="A634" s="152" t="s">
        <v>4906</v>
      </c>
      <c r="B634" s="152" t="s">
        <v>4907</v>
      </c>
      <c r="C634" s="152" t="s">
        <v>4908</v>
      </c>
      <c r="D634" s="152" t="s">
        <v>4909</v>
      </c>
      <c r="E634" s="152" t="s">
        <v>4909</v>
      </c>
      <c r="F634" s="152">
        <v>312980</v>
      </c>
      <c r="G634" s="152">
        <v>250</v>
      </c>
      <c r="H634" s="152">
        <v>760</v>
      </c>
      <c r="I634" s="152">
        <v>202481</v>
      </c>
      <c r="J634" s="152">
        <v>81</v>
      </c>
      <c r="K634" s="152">
        <v>89296</v>
      </c>
      <c r="L634" s="152" t="s">
        <v>1508</v>
      </c>
      <c r="M634" s="152" t="s">
        <v>883</v>
      </c>
      <c r="N634" s="152" t="s">
        <v>92</v>
      </c>
      <c r="O634" s="152">
        <v>11147</v>
      </c>
      <c r="P634" s="152" t="s">
        <v>1508</v>
      </c>
      <c r="Q634" s="152" t="s">
        <v>883</v>
      </c>
      <c r="R634" s="152" t="s">
        <v>92</v>
      </c>
      <c r="S634" s="152">
        <v>11147</v>
      </c>
      <c r="T634" s="164" t="s">
        <v>856</v>
      </c>
      <c r="U634" s="164" t="s">
        <v>856</v>
      </c>
      <c r="V634" s="152" t="s">
        <v>857</v>
      </c>
      <c r="W634" s="152" t="s">
        <v>4609</v>
      </c>
      <c r="X634" s="152" t="s">
        <v>1083</v>
      </c>
      <c r="Y634" s="152">
        <v>19.43</v>
      </c>
      <c r="Z634" s="152">
        <v>1</v>
      </c>
      <c r="AA634" s="152" t="s">
        <v>883</v>
      </c>
      <c r="AB634" s="152">
        <v>150.5</v>
      </c>
      <c r="AC634" s="152">
        <v>2</v>
      </c>
      <c r="AD634" s="152" t="s">
        <v>861</v>
      </c>
      <c r="AE634" s="152">
        <v>150.5</v>
      </c>
      <c r="AF634" s="152">
        <v>0</v>
      </c>
      <c r="AG634" s="152" t="s">
        <v>861</v>
      </c>
      <c r="AH634" s="152" t="s">
        <v>861</v>
      </c>
      <c r="AI634" s="152" t="s">
        <v>92</v>
      </c>
      <c r="AJ634" s="152" t="s">
        <v>92</v>
      </c>
      <c r="AK634" s="152" t="s">
        <v>972</v>
      </c>
      <c r="AL634" s="152" t="s">
        <v>856</v>
      </c>
      <c r="AP634" s="152" t="s">
        <v>856</v>
      </c>
      <c r="AQ634" s="152" t="s">
        <v>856</v>
      </c>
      <c r="AR634" s="152" t="s">
        <v>992</v>
      </c>
      <c r="AS634" s="159" t="s">
        <v>865</v>
      </c>
      <c r="AT634" s="152" t="str">
        <f t="shared" si="40"/>
        <v>RPNO12-020123</v>
      </c>
      <c r="AU634" s="152" t="str">
        <f t="shared" si="37"/>
        <v xml:space="preserve">WILLIAM ARNOLDO OSORIO MARTINEZ </v>
      </c>
      <c r="AV634" s="152">
        <v>1959.58</v>
      </c>
      <c r="AW634" s="152">
        <v>828084</v>
      </c>
      <c r="AX634" s="152">
        <v>30</v>
      </c>
      <c r="AY634" s="152">
        <v>828086</v>
      </c>
      <c r="AZ634" s="152" t="s">
        <v>864</v>
      </c>
      <c r="BA634" s="152" t="str">
        <f t="shared" si="38"/>
        <v>L23-915-MP011</v>
      </c>
      <c r="BB634" s="152">
        <v>0</v>
      </c>
      <c r="BC634" s="157">
        <v>44979</v>
      </c>
      <c r="BD634" s="157">
        <v>44979</v>
      </c>
      <c r="BE634" s="158">
        <v>383890.5</v>
      </c>
      <c r="BF634" s="152" t="s">
        <v>4910</v>
      </c>
      <c r="BG634" s="152" t="s">
        <v>4615</v>
      </c>
      <c r="BH634" s="152">
        <v>150.5</v>
      </c>
      <c r="BI634" s="152">
        <v>0</v>
      </c>
      <c r="BJ634" s="152">
        <v>0</v>
      </c>
      <c r="BK634" s="152" t="s">
        <v>4184</v>
      </c>
      <c r="BL634" s="152">
        <v>150.5</v>
      </c>
      <c r="BM634" s="152">
        <v>828085</v>
      </c>
      <c r="BN634" s="157" t="s">
        <v>1453</v>
      </c>
    </row>
    <row r="635" spans="1:66">
      <c r="A635" s="152" t="s">
        <v>4911</v>
      </c>
      <c r="B635" s="152" t="s">
        <v>4912</v>
      </c>
      <c r="C635" s="152" t="s">
        <v>4913</v>
      </c>
      <c r="D635" s="152" t="s">
        <v>4914</v>
      </c>
      <c r="E635" s="152" t="s">
        <v>4914</v>
      </c>
      <c r="F635" s="159" t="s">
        <v>856</v>
      </c>
      <c r="G635" s="159" t="s">
        <v>856</v>
      </c>
      <c r="H635" s="159" t="s">
        <v>856</v>
      </c>
      <c r="I635" s="152">
        <v>202365</v>
      </c>
      <c r="J635" s="152">
        <v>102.05</v>
      </c>
      <c r="K635" s="152">
        <v>69197</v>
      </c>
      <c r="L635" s="152" t="s">
        <v>1508</v>
      </c>
      <c r="M635" s="152" t="s">
        <v>883</v>
      </c>
      <c r="N635" s="152" t="s">
        <v>92</v>
      </c>
      <c r="O635" s="152">
        <v>11147</v>
      </c>
      <c r="P635" s="152" t="s">
        <v>1508</v>
      </c>
      <c r="Q635" s="152" t="s">
        <v>883</v>
      </c>
      <c r="R635" s="152" t="s">
        <v>92</v>
      </c>
      <c r="S635" s="152">
        <v>11147</v>
      </c>
      <c r="T635" s="164" t="s">
        <v>856</v>
      </c>
      <c r="U635" s="164" t="s">
        <v>856</v>
      </c>
      <c r="V635" s="152" t="s">
        <v>3530</v>
      </c>
      <c r="W635" s="152" t="s">
        <v>4609</v>
      </c>
      <c r="X635" s="152" t="s">
        <v>1083</v>
      </c>
      <c r="Y635" s="152">
        <v>0</v>
      </c>
      <c r="Z635" s="152">
        <v>1</v>
      </c>
      <c r="AA635" s="152" t="s">
        <v>883</v>
      </c>
      <c r="AB635" s="152">
        <v>116.22</v>
      </c>
      <c r="AC635" s="152">
        <v>1</v>
      </c>
      <c r="AD635" s="152" t="s">
        <v>861</v>
      </c>
      <c r="AE635" s="152">
        <v>116.22</v>
      </c>
      <c r="AF635" s="152">
        <v>0</v>
      </c>
      <c r="AG635" s="152" t="s">
        <v>861</v>
      </c>
      <c r="AH635" s="152" t="s">
        <v>861</v>
      </c>
      <c r="AI635" s="152" t="s">
        <v>92</v>
      </c>
      <c r="AJ635" s="152" t="s">
        <v>92</v>
      </c>
      <c r="AK635" s="152" t="s">
        <v>912</v>
      </c>
      <c r="AL635" s="152" t="s">
        <v>856</v>
      </c>
      <c r="AP635" s="152" t="s">
        <v>856</v>
      </c>
      <c r="AQ635" s="152" t="s">
        <v>856</v>
      </c>
      <c r="AR635" s="152" t="s">
        <v>992</v>
      </c>
      <c r="AS635" s="159" t="s">
        <v>865</v>
      </c>
      <c r="AT635" s="152" t="str">
        <f t="shared" si="40"/>
        <v>RPNC11-481122</v>
      </c>
      <c r="AU635" s="152" t="str">
        <f t="shared" si="37"/>
        <v xml:space="preserve">BRENDA LETICIA CAYAX TORRES </v>
      </c>
      <c r="AV635" s="152">
        <v>1171.5</v>
      </c>
      <c r="AW635" s="152">
        <v>827357</v>
      </c>
      <c r="AX635" s="152">
        <v>26</v>
      </c>
      <c r="AY635" s="152">
        <v>827359</v>
      </c>
      <c r="AZ635" s="152" t="s">
        <v>864</v>
      </c>
      <c r="BA635" s="152" t="str">
        <f t="shared" si="38"/>
        <v>L23-417-MP021</v>
      </c>
      <c r="BB635" s="152">
        <v>0</v>
      </c>
      <c r="BC635" s="157">
        <v>44979</v>
      </c>
      <c r="BD635" s="157">
        <v>44979</v>
      </c>
      <c r="BE635" s="158">
        <v>232440</v>
      </c>
      <c r="BF635" s="152" t="s">
        <v>4915</v>
      </c>
      <c r="BG635" s="152" t="s">
        <v>894</v>
      </c>
      <c r="BH635" s="152">
        <v>116.22</v>
      </c>
      <c r="BI635" s="152">
        <v>0</v>
      </c>
      <c r="BJ635" s="152">
        <v>0</v>
      </c>
      <c r="BK635" s="152" t="s">
        <v>132</v>
      </c>
      <c r="BL635" s="152">
        <v>116.22</v>
      </c>
      <c r="BM635" s="152">
        <v>827358</v>
      </c>
      <c r="BN635" s="157" t="s">
        <v>1453</v>
      </c>
    </row>
    <row r="636" spans="1:66">
      <c r="A636" s="152" t="s">
        <v>4916</v>
      </c>
      <c r="B636" s="152" t="s">
        <v>4917</v>
      </c>
      <c r="C636" s="152" t="s">
        <v>4814</v>
      </c>
      <c r="D636" s="152" t="s">
        <v>4815</v>
      </c>
      <c r="E636" s="152" t="s">
        <v>4815</v>
      </c>
      <c r="F636" s="152">
        <v>9579</v>
      </c>
      <c r="G636" s="152">
        <v>79</v>
      </c>
      <c r="H636" s="152" t="s">
        <v>2731</v>
      </c>
      <c r="I636" s="152">
        <v>188044</v>
      </c>
      <c r="J636" s="152">
        <v>240</v>
      </c>
      <c r="K636" s="152">
        <v>78168</v>
      </c>
      <c r="L636" s="152" t="s">
        <v>4817</v>
      </c>
      <c r="M636" s="152" t="s">
        <v>92</v>
      </c>
      <c r="N636" s="152" t="s">
        <v>883</v>
      </c>
      <c r="O636" s="152">
        <v>6385</v>
      </c>
      <c r="P636" s="152" t="s">
        <v>4817</v>
      </c>
      <c r="Q636" s="152" t="s">
        <v>92</v>
      </c>
      <c r="R636" s="152" t="s">
        <v>883</v>
      </c>
      <c r="S636" s="152">
        <v>6385</v>
      </c>
      <c r="T636" s="164" t="s">
        <v>856</v>
      </c>
      <c r="U636" s="164" t="s">
        <v>856</v>
      </c>
      <c r="V636" s="152" t="s">
        <v>857</v>
      </c>
      <c r="W636" s="152" t="s">
        <v>4609</v>
      </c>
      <c r="X636" s="152" t="s">
        <v>1083</v>
      </c>
      <c r="Y636" s="152">
        <v>220.85</v>
      </c>
      <c r="Z636" s="152">
        <v>1</v>
      </c>
      <c r="AA636" s="152" t="s">
        <v>92</v>
      </c>
      <c r="AB636" s="152">
        <v>214.2</v>
      </c>
      <c r="AC636" s="152">
        <v>2</v>
      </c>
      <c r="AD636" s="152">
        <v>1</v>
      </c>
      <c r="AE636" s="152">
        <v>214.2</v>
      </c>
      <c r="AF636" s="152">
        <v>0</v>
      </c>
      <c r="AG636" s="152">
        <v>162.4</v>
      </c>
      <c r="AH636" s="152" t="s">
        <v>861</v>
      </c>
      <c r="AI636" s="152" t="s">
        <v>92</v>
      </c>
      <c r="AJ636" s="152" t="s">
        <v>92</v>
      </c>
      <c r="AK636" s="152" t="s">
        <v>912</v>
      </c>
      <c r="AL636" s="152" t="s">
        <v>856</v>
      </c>
      <c r="AP636" s="152" t="s">
        <v>856</v>
      </c>
      <c r="AQ636" s="152" t="s">
        <v>856</v>
      </c>
      <c r="AR636" s="152" t="s">
        <v>1953</v>
      </c>
      <c r="AS636" s="159" t="s">
        <v>865</v>
      </c>
      <c r="AT636" s="152" t="str">
        <f t="shared" si="40"/>
        <v>VUNS12-021222</v>
      </c>
      <c r="AU636" s="152" t="str">
        <f t="shared" si="37"/>
        <v xml:space="preserve">ESTER BETZABE LIMA DE SERRANO </v>
      </c>
      <c r="AV636" s="152">
        <v>3833.93</v>
      </c>
      <c r="AW636" s="152">
        <v>914811</v>
      </c>
      <c r="AX636" s="152">
        <v>40</v>
      </c>
      <c r="AY636" s="152">
        <v>914814</v>
      </c>
      <c r="AZ636" s="152" t="s">
        <v>864</v>
      </c>
      <c r="BA636" s="152" t="str">
        <f t="shared" si="38"/>
        <v>L23-004-NR118</v>
      </c>
      <c r="BB636" s="152">
        <v>50</v>
      </c>
      <c r="BC636" s="157">
        <v>44932</v>
      </c>
      <c r="BD636" s="157">
        <v>45357</v>
      </c>
      <c r="BE636" s="158">
        <v>725309.5</v>
      </c>
      <c r="BF636" s="152" t="s">
        <v>4918</v>
      </c>
      <c r="BG636" s="152" t="s">
        <v>3779</v>
      </c>
      <c r="BH636" s="152">
        <v>214.2</v>
      </c>
      <c r="BI636" s="152">
        <v>0</v>
      </c>
      <c r="BJ636" s="152">
        <v>0</v>
      </c>
      <c r="BK636" s="152" t="s">
        <v>132</v>
      </c>
      <c r="BL636" s="152">
        <v>214.2</v>
      </c>
      <c r="BM636" s="152">
        <v>914813</v>
      </c>
      <c r="BN636" s="157" t="s">
        <v>1453</v>
      </c>
    </row>
    <row r="637" spans="1:66" s="165" customFormat="1">
      <c r="A637" s="165" t="s">
        <v>4919</v>
      </c>
      <c r="B637" s="165" t="s">
        <v>4920</v>
      </c>
      <c r="C637" s="165" t="s">
        <v>4921</v>
      </c>
      <c r="D637" s="165" t="s">
        <v>4922</v>
      </c>
      <c r="E637" s="165" t="s">
        <v>4922</v>
      </c>
      <c r="F637" s="165">
        <v>1346</v>
      </c>
      <c r="G637" s="165">
        <v>346</v>
      </c>
      <c r="H637" s="165" t="s">
        <v>4923</v>
      </c>
      <c r="I637" s="165">
        <v>202168</v>
      </c>
      <c r="J637" s="165">
        <v>222.95</v>
      </c>
      <c r="K637" s="165">
        <v>89059</v>
      </c>
      <c r="L637" s="165" t="s">
        <v>4924</v>
      </c>
      <c r="M637" s="165" t="s">
        <v>883</v>
      </c>
      <c r="N637" s="165" t="s">
        <v>92</v>
      </c>
      <c r="O637" s="165">
        <v>19151</v>
      </c>
      <c r="P637" s="165" t="s">
        <v>4924</v>
      </c>
      <c r="Q637" s="165" t="s">
        <v>883</v>
      </c>
      <c r="R637" s="165" t="s">
        <v>92</v>
      </c>
      <c r="S637" s="165">
        <v>19151</v>
      </c>
      <c r="T637" s="170" t="s">
        <v>856</v>
      </c>
      <c r="U637" s="170" t="s">
        <v>856</v>
      </c>
      <c r="V637" s="165" t="s">
        <v>857</v>
      </c>
      <c r="W637" s="165" t="s">
        <v>4609</v>
      </c>
      <c r="X637" s="165" t="s">
        <v>1083</v>
      </c>
      <c r="Y637" s="165">
        <v>31.81</v>
      </c>
      <c r="Z637" s="165">
        <v>1</v>
      </c>
      <c r="AA637" s="165" t="s">
        <v>92</v>
      </c>
      <c r="AB637" s="165">
        <v>97.45</v>
      </c>
      <c r="AC637" s="165">
        <v>1</v>
      </c>
      <c r="AD637" s="165" t="s">
        <v>861</v>
      </c>
      <c r="AE637" s="165">
        <v>97.45</v>
      </c>
      <c r="AF637" s="165">
        <v>0</v>
      </c>
      <c r="AG637" s="165" t="s">
        <v>861</v>
      </c>
      <c r="AH637" s="165" t="s">
        <v>861</v>
      </c>
      <c r="AI637" s="165" t="s">
        <v>92</v>
      </c>
      <c r="AJ637" s="165" t="s">
        <v>92</v>
      </c>
      <c r="AK637" s="165" t="s">
        <v>884</v>
      </c>
      <c r="AL637" s="165" t="s">
        <v>856</v>
      </c>
      <c r="AP637" s="165" t="s">
        <v>856</v>
      </c>
      <c r="AQ637" s="165" t="s">
        <v>856</v>
      </c>
      <c r="AR637" s="165" t="s">
        <v>3846</v>
      </c>
      <c r="AS637" s="167" t="s">
        <v>865</v>
      </c>
      <c r="AT637" s="165" t="str">
        <f t="shared" si="40"/>
        <v>VUNA3-030822</v>
      </c>
      <c r="AU637" s="165" t="str">
        <f t="shared" si="37"/>
        <v xml:space="preserve">EDGAR RENE ALVAREZ HERNANDEZ Y CONDUEÑO </v>
      </c>
      <c r="AV637" s="165">
        <v>1044.6400000000001</v>
      </c>
      <c r="AW637" s="165">
        <v>914590</v>
      </c>
      <c r="AX637" s="165">
        <v>32.299999999999997</v>
      </c>
      <c r="AY637" s="165">
        <v>914593</v>
      </c>
      <c r="AZ637" s="165" t="s">
        <v>864</v>
      </c>
      <c r="BA637" s="165" t="str">
        <f t="shared" si="38"/>
        <v>L23-005-LG151</v>
      </c>
      <c r="BB637" s="165">
        <v>15</v>
      </c>
      <c r="BC637" s="168">
        <v>44931</v>
      </c>
      <c r="BD637" s="168">
        <v>45235</v>
      </c>
      <c r="BE637" s="169">
        <v>206032.8</v>
      </c>
      <c r="BF637" s="165" t="s">
        <v>4925</v>
      </c>
      <c r="BG637" s="165" t="s">
        <v>4926</v>
      </c>
      <c r="BH637" s="165">
        <v>97.45</v>
      </c>
      <c r="BI637" s="165">
        <v>0</v>
      </c>
      <c r="BJ637" s="165">
        <v>0</v>
      </c>
      <c r="BK637" s="165" t="s">
        <v>132</v>
      </c>
      <c r="BL637" s="165">
        <v>97.45</v>
      </c>
      <c r="BM637" s="165">
        <v>914592</v>
      </c>
      <c r="BN637" s="168" t="s">
        <v>1453</v>
      </c>
    </row>
    <row r="638" spans="1:66">
      <c r="A638" s="152" t="s">
        <v>4927</v>
      </c>
      <c r="B638" s="152" t="s">
        <v>4928</v>
      </c>
      <c r="C638" s="152" t="s">
        <v>4929</v>
      </c>
      <c r="D638" s="152" t="s">
        <v>4930</v>
      </c>
      <c r="E638" s="152" t="s">
        <v>4930</v>
      </c>
      <c r="F638" s="152">
        <v>9467</v>
      </c>
      <c r="G638" s="152">
        <v>467</v>
      </c>
      <c r="H638" s="152" t="s">
        <v>4931</v>
      </c>
      <c r="I638" s="152">
        <v>202214</v>
      </c>
      <c r="J638" s="152">
        <v>348</v>
      </c>
      <c r="K638" s="152">
        <v>89101</v>
      </c>
      <c r="L638" s="152" t="s">
        <v>4932</v>
      </c>
      <c r="M638" s="152" t="s">
        <v>92</v>
      </c>
      <c r="N638" s="152" t="s">
        <v>883</v>
      </c>
      <c r="O638" s="152">
        <v>1094</v>
      </c>
      <c r="P638" s="152" t="s">
        <v>4932</v>
      </c>
      <c r="Q638" s="152" t="s">
        <v>92</v>
      </c>
      <c r="R638" s="152" t="s">
        <v>883</v>
      </c>
      <c r="S638" s="152">
        <v>1094</v>
      </c>
      <c r="T638" s="164" t="s">
        <v>856</v>
      </c>
      <c r="U638" s="164" t="s">
        <v>856</v>
      </c>
      <c r="V638" s="152" t="s">
        <v>857</v>
      </c>
      <c r="W638" s="152" t="s">
        <v>4609</v>
      </c>
      <c r="X638" s="152" t="s">
        <v>1083</v>
      </c>
      <c r="Y638" s="152">
        <v>143.07</v>
      </c>
      <c r="Z638" s="152">
        <v>1</v>
      </c>
      <c r="AA638" s="152" t="s">
        <v>92</v>
      </c>
      <c r="AB638" s="152">
        <v>320.89</v>
      </c>
      <c r="AC638" s="152">
        <v>2</v>
      </c>
      <c r="AD638" s="152" t="s">
        <v>861</v>
      </c>
      <c r="AE638" s="152">
        <v>320.89</v>
      </c>
      <c r="AF638" s="152">
        <v>0</v>
      </c>
      <c r="AG638" s="152" t="s">
        <v>861</v>
      </c>
      <c r="AH638" s="152" t="s">
        <v>861</v>
      </c>
      <c r="AI638" s="152" t="s">
        <v>92</v>
      </c>
      <c r="AJ638" s="152" t="s">
        <v>92</v>
      </c>
      <c r="AK638" s="152" t="s">
        <v>3648</v>
      </c>
      <c r="AL638" s="152" t="s">
        <v>856</v>
      </c>
      <c r="AP638" s="152" t="s">
        <v>856</v>
      </c>
      <c r="AQ638" s="152" t="s">
        <v>856</v>
      </c>
      <c r="AR638" s="152" t="s">
        <v>3846</v>
      </c>
      <c r="AS638" s="159" t="s">
        <v>865</v>
      </c>
      <c r="AT638" s="152" t="str">
        <f t="shared" si="40"/>
        <v>VUNR9-021222</v>
      </c>
      <c r="AU638" s="152" t="str">
        <f t="shared" si="37"/>
        <v xml:space="preserve">JUAN MANUEL RODRIGUEZ MALDONADO </v>
      </c>
      <c r="AV638" s="152">
        <v>311</v>
      </c>
      <c r="AW638" s="152">
        <v>927332</v>
      </c>
      <c r="AX638" s="159" t="s">
        <v>856</v>
      </c>
      <c r="AY638" s="159" t="s">
        <v>856</v>
      </c>
      <c r="AZ638" s="152" t="s">
        <v>864</v>
      </c>
      <c r="BA638" s="152" t="str">
        <f t="shared" si="38"/>
        <v>L23-020-LG001</v>
      </c>
      <c r="BB638" s="152">
        <v>24</v>
      </c>
      <c r="BC638" s="157">
        <v>44937</v>
      </c>
      <c r="BD638" s="157">
        <v>45302</v>
      </c>
      <c r="BE638" s="158">
        <v>852297.75</v>
      </c>
      <c r="BF638" s="152" t="s">
        <v>4933</v>
      </c>
      <c r="BG638" s="152" t="s">
        <v>894</v>
      </c>
      <c r="BH638" s="152">
        <v>320.89</v>
      </c>
      <c r="BI638" s="152">
        <v>0</v>
      </c>
      <c r="BJ638" s="152">
        <v>0</v>
      </c>
      <c r="BK638" s="152" t="s">
        <v>132</v>
      </c>
      <c r="BL638" s="152">
        <v>320.89</v>
      </c>
      <c r="BM638" s="152">
        <v>927334</v>
      </c>
      <c r="BN638" s="157" t="s">
        <v>1453</v>
      </c>
    </row>
    <row r="639" spans="1:66">
      <c r="A639" s="152" t="s">
        <v>4934</v>
      </c>
      <c r="B639" s="152" t="s">
        <v>4935</v>
      </c>
      <c r="C639" s="152" t="s">
        <v>4936</v>
      </c>
      <c r="D639" s="152" t="s">
        <v>4937</v>
      </c>
      <c r="E639" s="152" t="s">
        <v>4938</v>
      </c>
      <c r="F639" s="152">
        <v>2139</v>
      </c>
      <c r="G639" s="152">
        <v>139</v>
      </c>
      <c r="H639" s="152" t="s">
        <v>4939</v>
      </c>
      <c r="I639" s="152">
        <v>193423</v>
      </c>
      <c r="J639" s="152">
        <v>180</v>
      </c>
      <c r="K639" s="152">
        <v>82455</v>
      </c>
      <c r="L639" s="152" t="s">
        <v>1132</v>
      </c>
      <c r="M639" s="152" t="s">
        <v>883</v>
      </c>
      <c r="N639" s="152" t="s">
        <v>92</v>
      </c>
      <c r="O639" s="152">
        <v>11249</v>
      </c>
      <c r="P639" s="152" t="s">
        <v>1132</v>
      </c>
      <c r="Q639" s="152" t="s">
        <v>883</v>
      </c>
      <c r="R639" s="152" t="s">
        <v>92</v>
      </c>
      <c r="S639" s="152">
        <v>11249</v>
      </c>
      <c r="T639" s="164" t="s">
        <v>856</v>
      </c>
      <c r="U639" s="164" t="s">
        <v>856</v>
      </c>
      <c r="V639" s="152" t="s">
        <v>3655</v>
      </c>
      <c r="W639" s="152" t="s">
        <v>4609</v>
      </c>
      <c r="X639" s="152" t="s">
        <v>1083</v>
      </c>
      <c r="Y639" s="152">
        <v>0</v>
      </c>
      <c r="Z639" s="152">
        <v>1</v>
      </c>
      <c r="AA639" s="152" t="s">
        <v>92</v>
      </c>
      <c r="AB639" s="152">
        <v>83.59</v>
      </c>
      <c r="AC639" s="152">
        <v>1</v>
      </c>
      <c r="AD639" s="152" t="s">
        <v>861</v>
      </c>
      <c r="AE639" s="152">
        <v>83.59</v>
      </c>
      <c r="AF639" s="152">
        <v>0</v>
      </c>
      <c r="AG639" s="152" t="s">
        <v>861</v>
      </c>
      <c r="AH639" s="152" t="s">
        <v>861</v>
      </c>
      <c r="AI639" s="152" t="s">
        <v>92</v>
      </c>
      <c r="AJ639" s="152" t="s">
        <v>92</v>
      </c>
      <c r="AK639" s="152" t="s">
        <v>2503</v>
      </c>
      <c r="AL639" s="152" t="s">
        <v>856</v>
      </c>
      <c r="AP639" s="152" t="s">
        <v>856</v>
      </c>
      <c r="AQ639" s="152" t="s">
        <v>856</v>
      </c>
      <c r="AR639" s="152" t="s">
        <v>1043</v>
      </c>
      <c r="AS639" s="159" t="s">
        <v>865</v>
      </c>
      <c r="AT639" s="152" t="str">
        <f t="shared" si="40"/>
        <v>RPNC10-521222</v>
      </c>
      <c r="AU639" s="152" t="str">
        <f t="shared" si="37"/>
        <v xml:space="preserve">GERBERTH VINICIO CASTILLO CANO </v>
      </c>
      <c r="AV639" s="152">
        <v>561.72</v>
      </c>
      <c r="AW639" s="152">
        <v>928015</v>
      </c>
      <c r="AX639" s="159" t="s">
        <v>856</v>
      </c>
      <c r="AY639" s="159" t="s">
        <v>856</v>
      </c>
      <c r="AZ639" s="152" t="s">
        <v>864</v>
      </c>
      <c r="BA639" s="152" t="str">
        <f t="shared" si="38"/>
        <v>L23-024-MP001</v>
      </c>
      <c r="BB639" s="152">
        <v>0</v>
      </c>
      <c r="BC639" s="157">
        <v>44943</v>
      </c>
      <c r="BD639" s="157">
        <v>44943</v>
      </c>
      <c r="BE639" s="158">
        <v>125385</v>
      </c>
    </row>
    <row r="640" spans="1:66">
      <c r="A640" s="152" t="s">
        <v>4940</v>
      </c>
      <c r="B640" s="152" t="s">
        <v>4941</v>
      </c>
      <c r="C640" s="152" t="s">
        <v>4942</v>
      </c>
      <c r="D640" s="152" t="s">
        <v>4943</v>
      </c>
      <c r="E640" s="152" t="s">
        <v>4943</v>
      </c>
      <c r="F640" s="152">
        <v>248873</v>
      </c>
      <c r="G640" s="152">
        <v>173</v>
      </c>
      <c r="H640" s="152">
        <v>546</v>
      </c>
      <c r="I640" s="152">
        <v>145461</v>
      </c>
      <c r="J640" s="152">
        <v>320</v>
      </c>
      <c r="K640" s="152">
        <v>44553</v>
      </c>
      <c r="L640" s="152" t="s">
        <v>4944</v>
      </c>
      <c r="M640" s="152" t="s">
        <v>92</v>
      </c>
      <c r="N640" s="152" t="s">
        <v>883</v>
      </c>
      <c r="O640" s="152">
        <v>4266</v>
      </c>
      <c r="P640" s="152" t="s">
        <v>4944</v>
      </c>
      <c r="Q640" s="152" t="s">
        <v>92</v>
      </c>
      <c r="R640" s="152" t="s">
        <v>883</v>
      </c>
      <c r="S640" s="152">
        <v>4266</v>
      </c>
      <c r="T640" s="164" t="s">
        <v>856</v>
      </c>
      <c r="U640" s="164" t="s">
        <v>856</v>
      </c>
      <c r="V640" s="152" t="s">
        <v>857</v>
      </c>
      <c r="W640" s="152" t="s">
        <v>4609</v>
      </c>
      <c r="X640" s="152" t="s">
        <v>1083</v>
      </c>
      <c r="Y640" s="152">
        <v>134.38999999999999</v>
      </c>
      <c r="Z640" s="152">
        <v>1</v>
      </c>
      <c r="AA640" s="152" t="s">
        <v>92</v>
      </c>
      <c r="AB640" s="152">
        <v>253.4</v>
      </c>
      <c r="AC640" s="152">
        <v>2</v>
      </c>
      <c r="AD640" s="152" t="s">
        <v>861</v>
      </c>
      <c r="AE640" s="152">
        <v>253.4</v>
      </c>
      <c r="AF640" s="152">
        <v>0</v>
      </c>
      <c r="AG640" s="152" t="s">
        <v>861</v>
      </c>
      <c r="AH640" s="152" t="s">
        <v>861</v>
      </c>
      <c r="AI640" s="152" t="s">
        <v>92</v>
      </c>
      <c r="AJ640" s="152" t="s">
        <v>92</v>
      </c>
      <c r="AK640" s="152" t="s">
        <v>884</v>
      </c>
      <c r="AL640" s="152" t="s">
        <v>856</v>
      </c>
      <c r="AP640" s="152" t="s">
        <v>856</v>
      </c>
      <c r="AQ640" s="152" t="s">
        <v>856</v>
      </c>
      <c r="AR640" s="152" t="s">
        <v>1953</v>
      </c>
      <c r="AS640" s="159" t="s">
        <v>865</v>
      </c>
      <c r="AT640" s="152" t="str">
        <f t="shared" si="40"/>
        <v>VUNR7-011222</v>
      </c>
      <c r="AU640" s="152" t="str">
        <f t="shared" si="37"/>
        <v xml:space="preserve">ANDREA ELOISA ROJAS PEREZ </v>
      </c>
      <c r="AV640" s="152">
        <v>3456.24</v>
      </c>
      <c r="AW640" s="152">
        <v>925715</v>
      </c>
      <c r="AX640" s="152">
        <v>46.65</v>
      </c>
      <c r="AY640" s="152">
        <v>925718</v>
      </c>
      <c r="AZ640" s="152" t="s">
        <v>864</v>
      </c>
      <c r="BA640" s="152" t="str">
        <f t="shared" si="38"/>
        <v>L23-023-SP154</v>
      </c>
      <c r="BB640" s="152">
        <v>24</v>
      </c>
      <c r="BC640" s="157">
        <v>44937</v>
      </c>
      <c r="BD640" s="157">
        <v>45302</v>
      </c>
      <c r="BE640" s="158">
        <v>680536.5</v>
      </c>
      <c r="BF640" s="152" t="s">
        <v>4945</v>
      </c>
      <c r="BG640" s="152" t="s">
        <v>3779</v>
      </c>
      <c r="BH640" s="152">
        <v>253.4</v>
      </c>
      <c r="BI640" s="152">
        <v>0</v>
      </c>
      <c r="BJ640" s="152">
        <v>0</v>
      </c>
      <c r="BK640" s="152" t="s">
        <v>132</v>
      </c>
      <c r="BL640" s="152">
        <v>253.4</v>
      </c>
      <c r="BM640" s="152">
        <v>925717</v>
      </c>
      <c r="BN640" s="157" t="s">
        <v>1453</v>
      </c>
    </row>
    <row r="641" spans="1:66">
      <c r="A641" s="152" t="s">
        <v>4946</v>
      </c>
      <c r="B641" s="152" t="s">
        <v>4947</v>
      </c>
      <c r="C641" s="152" t="s">
        <v>4948</v>
      </c>
      <c r="D641" s="152" t="s">
        <v>4949</v>
      </c>
      <c r="E641" s="152" t="s">
        <v>4949</v>
      </c>
      <c r="F641" s="152">
        <v>327875</v>
      </c>
      <c r="G641" s="152">
        <v>100</v>
      </c>
      <c r="H641" s="152">
        <v>811</v>
      </c>
      <c r="I641" s="152">
        <v>192279</v>
      </c>
      <c r="J641" s="152">
        <v>436.72</v>
      </c>
      <c r="K641" s="152">
        <v>81598</v>
      </c>
      <c r="L641" s="152" t="s">
        <v>4950</v>
      </c>
      <c r="M641" s="152" t="s">
        <v>92</v>
      </c>
      <c r="N641" s="152" t="s">
        <v>883</v>
      </c>
      <c r="O641" s="152">
        <v>6956</v>
      </c>
      <c r="P641" s="152" t="s">
        <v>4950</v>
      </c>
      <c r="Q641" s="152" t="s">
        <v>92</v>
      </c>
      <c r="R641" s="152" t="s">
        <v>883</v>
      </c>
      <c r="S641" s="152">
        <v>6956</v>
      </c>
      <c r="T641" s="164" t="s">
        <v>856</v>
      </c>
      <c r="U641" s="164" t="s">
        <v>856</v>
      </c>
      <c r="V641" s="152" t="s">
        <v>3655</v>
      </c>
      <c r="W641" s="152" t="s">
        <v>4609</v>
      </c>
      <c r="X641" s="152" t="s">
        <v>1083</v>
      </c>
      <c r="Y641" s="152">
        <v>248.18</v>
      </c>
      <c r="Z641" s="152">
        <v>1</v>
      </c>
      <c r="AA641" s="152" t="s">
        <v>92</v>
      </c>
      <c r="AB641" s="152">
        <v>260.79000000000002</v>
      </c>
      <c r="AC641" s="152">
        <v>2</v>
      </c>
      <c r="AD641" s="152" t="s">
        <v>861</v>
      </c>
      <c r="AE641" s="152">
        <v>260.79000000000002</v>
      </c>
      <c r="AF641" s="152">
        <v>0</v>
      </c>
      <c r="AG641" s="152" t="s">
        <v>861</v>
      </c>
      <c r="AH641" s="152" t="s">
        <v>861</v>
      </c>
      <c r="AI641" s="152" t="s">
        <v>92</v>
      </c>
      <c r="AJ641" s="152" t="s">
        <v>92</v>
      </c>
      <c r="AK641" s="152" t="s">
        <v>3578</v>
      </c>
      <c r="AL641" s="152" t="s">
        <v>856</v>
      </c>
      <c r="AP641" s="152" t="s">
        <v>856</v>
      </c>
      <c r="AQ641" s="152" t="s">
        <v>856</v>
      </c>
      <c r="AR641" s="152" t="s">
        <v>1953</v>
      </c>
      <c r="AS641" s="159" t="s">
        <v>865</v>
      </c>
      <c r="AT641" s="152" t="str">
        <f t="shared" si="40"/>
        <v>VUNB8-011122</v>
      </c>
      <c r="AU641" s="152" t="str">
        <f t="shared" si="37"/>
        <v xml:space="preserve">LUIS MANUEL BENITEZ DE LEON Y CONDUEÑA </v>
      </c>
      <c r="AV641" s="152">
        <v>3933.67</v>
      </c>
      <c r="AW641" s="152">
        <v>926913</v>
      </c>
      <c r="AX641" s="152">
        <v>68</v>
      </c>
      <c r="AY641" s="152">
        <v>926916</v>
      </c>
      <c r="AZ641" s="152" t="s">
        <v>864</v>
      </c>
      <c r="BA641" s="152" t="str">
        <f t="shared" si="38"/>
        <v>L23-018-SP147</v>
      </c>
      <c r="BB641" s="152">
        <v>24</v>
      </c>
      <c r="BC641" s="157">
        <v>44939</v>
      </c>
      <c r="BD641" s="157">
        <v>45304</v>
      </c>
      <c r="BE641" s="158">
        <v>744214</v>
      </c>
      <c r="BF641" s="152" t="s">
        <v>4951</v>
      </c>
      <c r="BG641" s="152" t="s">
        <v>4952</v>
      </c>
      <c r="BH641" s="152">
        <v>260.79000000000002</v>
      </c>
      <c r="BI641" s="152">
        <v>0</v>
      </c>
      <c r="BJ641" s="152">
        <v>0</v>
      </c>
      <c r="BK641" s="152" t="s">
        <v>132</v>
      </c>
      <c r="BL641" s="152">
        <v>260.79000000000002</v>
      </c>
      <c r="BM641" s="152">
        <v>926915</v>
      </c>
      <c r="BN641" s="157" t="s">
        <v>1453</v>
      </c>
    </row>
    <row r="642" spans="1:66">
      <c r="A642" s="152" t="s">
        <v>4953</v>
      </c>
      <c r="B642" s="152" t="s">
        <v>4954</v>
      </c>
      <c r="C642" s="152" t="s">
        <v>4955</v>
      </c>
      <c r="D642" s="152" t="s">
        <v>4956</v>
      </c>
      <c r="E642" s="152" t="s">
        <v>4956</v>
      </c>
      <c r="F642" s="152">
        <v>5608</v>
      </c>
      <c r="G642" s="152">
        <v>108</v>
      </c>
      <c r="H642" s="152" t="s">
        <v>1330</v>
      </c>
      <c r="I642" s="152">
        <v>203245</v>
      </c>
      <c r="J642" s="152">
        <v>135.56</v>
      </c>
      <c r="K642" s="152">
        <v>89928</v>
      </c>
      <c r="L642" s="164" t="s">
        <v>856</v>
      </c>
      <c r="M642" s="152" t="s">
        <v>92</v>
      </c>
      <c r="N642" s="152" t="s">
        <v>92</v>
      </c>
      <c r="O642" s="164" t="s">
        <v>856</v>
      </c>
      <c r="P642" s="164" t="s">
        <v>856</v>
      </c>
      <c r="Q642" s="152" t="s">
        <v>92</v>
      </c>
      <c r="R642" s="152" t="s">
        <v>92</v>
      </c>
      <c r="S642" s="164" t="s">
        <v>856</v>
      </c>
      <c r="T642" s="164" t="s">
        <v>856</v>
      </c>
      <c r="U642" s="164" t="s">
        <v>856</v>
      </c>
      <c r="V642" s="152" t="s">
        <v>857</v>
      </c>
      <c r="W642" s="152" t="s">
        <v>4609</v>
      </c>
      <c r="X642" s="152" t="s">
        <v>1083</v>
      </c>
      <c r="Y642" s="152">
        <v>20.48</v>
      </c>
      <c r="Z642" s="152">
        <v>1</v>
      </c>
      <c r="AA642" s="152" t="s">
        <v>883</v>
      </c>
      <c r="AB642" s="152">
        <v>150.63</v>
      </c>
      <c r="AC642" s="152">
        <v>2</v>
      </c>
      <c r="AD642" s="152" t="s">
        <v>861</v>
      </c>
      <c r="AE642" s="152">
        <v>150.63</v>
      </c>
      <c r="AF642" s="152">
        <v>0</v>
      </c>
      <c r="AG642" s="152" t="s">
        <v>861</v>
      </c>
      <c r="AH642" s="152" t="s">
        <v>861</v>
      </c>
      <c r="AI642" s="152" t="s">
        <v>92</v>
      </c>
      <c r="AJ642" s="152" t="s">
        <v>92</v>
      </c>
      <c r="AK642" s="152" t="s">
        <v>862</v>
      </c>
      <c r="AL642" s="152" t="s">
        <v>856</v>
      </c>
      <c r="AP642" s="152" t="s">
        <v>856</v>
      </c>
      <c r="AQ642" s="152" t="s">
        <v>856</v>
      </c>
      <c r="AR642" s="152" t="s">
        <v>3846</v>
      </c>
      <c r="AS642" s="159" t="s">
        <v>865</v>
      </c>
      <c r="AT642" s="152" t="str">
        <f t="shared" si="40"/>
        <v>RPND4-120922</v>
      </c>
      <c r="AU642" s="152" t="str">
        <f t="shared" si="37"/>
        <v xml:space="preserve">FEDERICO ALFONSO DIAZ HERRERA </v>
      </c>
      <c r="AV642" s="152">
        <v>1938.08</v>
      </c>
      <c r="AW642" s="152">
        <v>925869</v>
      </c>
      <c r="AX642" s="159" t="s">
        <v>856</v>
      </c>
      <c r="AY642" s="159" t="s">
        <v>856</v>
      </c>
      <c r="AZ642" s="152" t="s">
        <v>864</v>
      </c>
      <c r="BA642" s="152" t="str">
        <f t="shared" si="38"/>
        <v>L23-542-MP095</v>
      </c>
      <c r="BB642" s="152">
        <v>0</v>
      </c>
      <c r="BC642" s="157">
        <v>44938</v>
      </c>
      <c r="BD642" s="157">
        <v>44938</v>
      </c>
      <c r="BE642" s="158">
        <v>383743</v>
      </c>
      <c r="BF642" s="152" t="s">
        <v>4957</v>
      </c>
      <c r="BG642" s="152" t="s">
        <v>894</v>
      </c>
      <c r="BH642" s="152">
        <v>150.63</v>
      </c>
      <c r="BI642" s="152">
        <v>0</v>
      </c>
      <c r="BJ642" s="152">
        <v>0</v>
      </c>
      <c r="BK642" s="152" t="s">
        <v>132</v>
      </c>
      <c r="BL642" s="152">
        <v>150.63</v>
      </c>
      <c r="BM642" s="152">
        <v>925870</v>
      </c>
      <c r="BN642" s="157" t="s">
        <v>1453</v>
      </c>
    </row>
    <row r="643" spans="1:66">
      <c r="A643" s="152" t="s">
        <v>4958</v>
      </c>
      <c r="B643" s="152" t="s">
        <v>4959</v>
      </c>
      <c r="C643" s="152" t="s">
        <v>4960</v>
      </c>
      <c r="D643" s="152" t="s">
        <v>4961</v>
      </c>
      <c r="E643" s="152" t="s">
        <v>4961</v>
      </c>
      <c r="F643" s="152">
        <v>298043</v>
      </c>
      <c r="G643" s="152">
        <v>123</v>
      </c>
      <c r="H643" s="152">
        <v>712</v>
      </c>
      <c r="I643" s="152">
        <v>190695</v>
      </c>
      <c r="J643" s="152">
        <v>84</v>
      </c>
      <c r="K643" s="152">
        <v>80377</v>
      </c>
      <c r="L643" s="152" t="s">
        <v>4962</v>
      </c>
      <c r="M643" s="152" t="s">
        <v>92</v>
      </c>
      <c r="N643" s="152" t="s">
        <v>883</v>
      </c>
      <c r="O643" s="152">
        <v>6233</v>
      </c>
      <c r="P643" s="152" t="s">
        <v>4962</v>
      </c>
      <c r="Q643" s="152" t="s">
        <v>92</v>
      </c>
      <c r="R643" s="152" t="s">
        <v>883</v>
      </c>
      <c r="S643" s="152">
        <v>6233</v>
      </c>
      <c r="T643" s="164" t="s">
        <v>856</v>
      </c>
      <c r="U643" s="164" t="s">
        <v>856</v>
      </c>
      <c r="V643" s="152" t="s">
        <v>857</v>
      </c>
      <c r="W643" s="152" t="s">
        <v>4609</v>
      </c>
      <c r="X643" s="152" t="s">
        <v>1083</v>
      </c>
      <c r="Y643" s="152">
        <v>39.6</v>
      </c>
      <c r="Z643" s="152">
        <v>1</v>
      </c>
      <c r="AA643" s="152" t="s">
        <v>92</v>
      </c>
      <c r="AB643" s="152">
        <v>140</v>
      </c>
      <c r="AC643" s="152">
        <v>2</v>
      </c>
      <c r="AD643" s="152" t="s">
        <v>861</v>
      </c>
      <c r="AE643" s="152">
        <v>140</v>
      </c>
      <c r="AF643" s="152">
        <v>0</v>
      </c>
      <c r="AG643" s="152" t="s">
        <v>861</v>
      </c>
      <c r="AH643" s="152" t="s">
        <v>861</v>
      </c>
      <c r="AI643" s="152" t="s">
        <v>92</v>
      </c>
      <c r="AJ643" s="152" t="s">
        <v>92</v>
      </c>
      <c r="AK643" s="152" t="s">
        <v>3578</v>
      </c>
      <c r="AL643" s="152" t="s">
        <v>856</v>
      </c>
      <c r="AP643" s="152" t="s">
        <v>856</v>
      </c>
      <c r="AQ643" s="152" t="s">
        <v>856</v>
      </c>
      <c r="AR643" s="152" t="s">
        <v>1953</v>
      </c>
      <c r="AS643" s="159" t="s">
        <v>865</v>
      </c>
      <c r="AT643" s="152" t="str">
        <f t="shared" si="40"/>
        <v>VUNC7-030522</v>
      </c>
      <c r="AU643" s="152" t="str">
        <f t="shared" si="37"/>
        <v xml:space="preserve">PRICILA ISABEL CLEMENTE ROJAS </v>
      </c>
      <c r="AV643" s="152">
        <v>1841.62</v>
      </c>
      <c r="AW643" s="152">
        <v>824586</v>
      </c>
      <c r="AX643" s="152">
        <v>35</v>
      </c>
      <c r="AY643" s="152">
        <v>824589</v>
      </c>
      <c r="AZ643" s="152" t="s">
        <v>864</v>
      </c>
      <c r="BA643" s="152" t="str">
        <f t="shared" si="38"/>
        <v>L23-059-SP017</v>
      </c>
      <c r="BB643" s="152">
        <v>24</v>
      </c>
      <c r="BC643" s="157">
        <v>44964</v>
      </c>
      <c r="BD643" s="157">
        <v>45329</v>
      </c>
      <c r="BE643" s="158">
        <v>363860</v>
      </c>
      <c r="BF643" s="152" t="s">
        <v>4963</v>
      </c>
      <c r="BG643" s="152" t="s">
        <v>894</v>
      </c>
      <c r="BH643" s="152">
        <v>140</v>
      </c>
      <c r="BI643" s="152">
        <v>0</v>
      </c>
      <c r="BJ643" s="152">
        <v>0</v>
      </c>
      <c r="BK643" s="152" t="s">
        <v>132</v>
      </c>
      <c r="BL643" s="152">
        <v>140</v>
      </c>
      <c r="BM643" s="152">
        <v>824588</v>
      </c>
      <c r="BN643" s="157" t="s">
        <v>1453</v>
      </c>
    </row>
    <row r="644" spans="1:66">
      <c r="A644" s="152" t="s">
        <v>4964</v>
      </c>
      <c r="B644" s="152" t="s">
        <v>4965</v>
      </c>
      <c r="C644" s="152" t="s">
        <v>4966</v>
      </c>
      <c r="D644" s="152" t="s">
        <v>4967</v>
      </c>
      <c r="E644" s="152" t="s">
        <v>4967</v>
      </c>
      <c r="F644" s="152">
        <v>9567</v>
      </c>
      <c r="G644" s="152">
        <v>67</v>
      </c>
      <c r="H644" s="152" t="s">
        <v>4968</v>
      </c>
      <c r="I644" s="152">
        <v>203255</v>
      </c>
      <c r="J644" s="152">
        <v>86.9</v>
      </c>
      <c r="K644" s="152">
        <v>89938</v>
      </c>
      <c r="L644" s="164" t="s">
        <v>856</v>
      </c>
      <c r="M644" s="152" t="s">
        <v>92</v>
      </c>
      <c r="N644" s="152" t="s">
        <v>92</v>
      </c>
      <c r="O644" s="164" t="s">
        <v>856</v>
      </c>
      <c r="P644" s="164" t="s">
        <v>856</v>
      </c>
      <c r="Q644" s="152" t="s">
        <v>92</v>
      </c>
      <c r="R644" s="152" t="s">
        <v>92</v>
      </c>
      <c r="S644" s="164" t="s">
        <v>856</v>
      </c>
      <c r="T644" s="164" t="s">
        <v>856</v>
      </c>
      <c r="U644" s="164" t="s">
        <v>856</v>
      </c>
      <c r="V644" s="152" t="s">
        <v>857</v>
      </c>
      <c r="W644" s="152" t="s">
        <v>4609</v>
      </c>
      <c r="X644" s="152" t="s">
        <v>1083</v>
      </c>
      <c r="Y644" s="152">
        <v>0</v>
      </c>
      <c r="Z644" s="152">
        <v>1</v>
      </c>
      <c r="AA644" s="152" t="s">
        <v>92</v>
      </c>
      <c r="AB644" s="152">
        <v>217.75</v>
      </c>
      <c r="AC644" s="152">
        <v>3</v>
      </c>
      <c r="AD644" s="152" t="s">
        <v>861</v>
      </c>
      <c r="AE644" s="152">
        <v>217.75</v>
      </c>
      <c r="AF644" s="152">
        <v>0</v>
      </c>
      <c r="AG644" s="152" t="s">
        <v>861</v>
      </c>
      <c r="AH644" s="152" t="s">
        <v>861</v>
      </c>
      <c r="AI644" s="152" t="s">
        <v>92</v>
      </c>
      <c r="AJ644" s="152" t="s">
        <v>92</v>
      </c>
      <c r="AK644" s="152" t="s">
        <v>912</v>
      </c>
      <c r="AL644" s="152" t="s">
        <v>856</v>
      </c>
      <c r="AP644" s="152" t="s">
        <v>856</v>
      </c>
      <c r="AQ644" s="152" t="s">
        <v>856</v>
      </c>
      <c r="AR644" s="152" t="s">
        <v>885</v>
      </c>
      <c r="AS644" s="159" t="s">
        <v>865</v>
      </c>
      <c r="AT644" s="152" t="str">
        <f t="shared" si="40"/>
        <v>RPNM6-050123</v>
      </c>
      <c r="AU644" s="152" t="str">
        <f t="shared" si="37"/>
        <v xml:space="preserve">REINA MORALES VICENTE </v>
      </c>
      <c r="AV644" s="152">
        <v>3292.38</v>
      </c>
      <c r="AW644" s="152">
        <v>828180</v>
      </c>
      <c r="AX644" s="152">
        <v>27.5</v>
      </c>
      <c r="AY644" s="152">
        <v>828182</v>
      </c>
      <c r="AZ644" s="152" t="s">
        <v>864</v>
      </c>
      <c r="BA644" s="152" t="str">
        <f t="shared" si="38"/>
        <v>L23-391-MP071</v>
      </c>
      <c r="BB644" s="152">
        <v>0</v>
      </c>
      <c r="BC644" s="157">
        <v>44980</v>
      </c>
      <c r="BD644" s="157">
        <v>44980</v>
      </c>
      <c r="BE644" s="158">
        <v>653250</v>
      </c>
      <c r="BF644" s="152" t="s">
        <v>4969</v>
      </c>
      <c r="BG644" s="152" t="s">
        <v>894</v>
      </c>
      <c r="BH644" s="152">
        <v>217.75</v>
      </c>
      <c r="BI644" s="152">
        <v>0</v>
      </c>
      <c r="BJ644" s="152">
        <v>0</v>
      </c>
      <c r="BK644" s="152" t="s">
        <v>132</v>
      </c>
      <c r="BL644" s="152">
        <v>217.75</v>
      </c>
      <c r="BM644" s="152">
        <v>828181</v>
      </c>
      <c r="BN644" s="157" t="s">
        <v>1453</v>
      </c>
    </row>
    <row r="645" spans="1:66">
      <c r="A645" s="152" t="s">
        <v>4970</v>
      </c>
      <c r="B645" s="152" t="s">
        <v>4971</v>
      </c>
      <c r="C645" s="152" t="s">
        <v>4972</v>
      </c>
      <c r="D645" s="152" t="s">
        <v>4973</v>
      </c>
      <c r="E645" s="152" t="s">
        <v>4973</v>
      </c>
      <c r="F645" s="152">
        <v>806</v>
      </c>
      <c r="G645" s="152">
        <v>306</v>
      </c>
      <c r="H645" s="152" t="s">
        <v>4216</v>
      </c>
      <c r="I645" s="152">
        <v>202013</v>
      </c>
      <c r="J645" s="152">
        <v>600</v>
      </c>
      <c r="K645" s="152">
        <v>88927</v>
      </c>
      <c r="L645" s="152" t="s">
        <v>3022</v>
      </c>
      <c r="M645" s="152" t="s">
        <v>92</v>
      </c>
      <c r="N645" s="152" t="s">
        <v>883</v>
      </c>
      <c r="O645" s="152">
        <v>4320</v>
      </c>
      <c r="P645" s="152" t="s">
        <v>1732</v>
      </c>
      <c r="Q645" s="152" t="s">
        <v>92</v>
      </c>
      <c r="R645" s="152" t="s">
        <v>883</v>
      </c>
      <c r="S645" s="152">
        <v>4320</v>
      </c>
      <c r="T645" s="164" t="s">
        <v>856</v>
      </c>
      <c r="U645" s="164" t="s">
        <v>856</v>
      </c>
      <c r="V645" s="152" t="s">
        <v>911</v>
      </c>
      <c r="W645" s="152" t="s">
        <v>4609</v>
      </c>
      <c r="X645" s="152" t="s">
        <v>1083</v>
      </c>
      <c r="Y645" s="152">
        <v>0</v>
      </c>
      <c r="Z645" s="152">
        <v>2</v>
      </c>
      <c r="AA645" s="152" t="s">
        <v>92</v>
      </c>
      <c r="AB645" s="152">
        <v>133.22999999999999</v>
      </c>
      <c r="AC645" s="152">
        <v>1</v>
      </c>
      <c r="AD645" s="152" t="s">
        <v>861</v>
      </c>
      <c r="AE645" s="152">
        <v>133.22999999999999</v>
      </c>
      <c r="AF645" s="152">
        <v>0</v>
      </c>
      <c r="AG645" s="152" t="s">
        <v>861</v>
      </c>
      <c r="AH645" s="152" t="s">
        <v>861</v>
      </c>
      <c r="AI645" s="152" t="s">
        <v>92</v>
      </c>
      <c r="AJ645" s="152" t="s">
        <v>92</v>
      </c>
      <c r="AK645" s="152" t="s">
        <v>862</v>
      </c>
      <c r="AL645" s="152" t="s">
        <v>856</v>
      </c>
      <c r="AP645" s="152" t="s">
        <v>856</v>
      </c>
      <c r="AQ645" s="152" t="s">
        <v>856</v>
      </c>
      <c r="AR645" s="152" t="s">
        <v>863</v>
      </c>
      <c r="AS645" s="159" t="s">
        <v>865</v>
      </c>
      <c r="AT645" s="152" t="str">
        <f t="shared" si="40"/>
        <v>VUNL9-010822</v>
      </c>
      <c r="AU645" s="152" t="str">
        <f t="shared" si="37"/>
        <v xml:space="preserve">ROXANA VALEZKA MAZARIEGOS DE LOPEZ </v>
      </c>
      <c r="AV645" s="152">
        <v>1967.56</v>
      </c>
      <c r="AW645" s="152">
        <v>928810</v>
      </c>
      <c r="AX645" s="152">
        <v>98.85</v>
      </c>
      <c r="AY645" s="152">
        <v>928813</v>
      </c>
      <c r="AZ645" s="152" t="s">
        <v>864</v>
      </c>
      <c r="BA645" s="152" t="str">
        <f t="shared" si="38"/>
        <v>L23-027-JM001</v>
      </c>
      <c r="BB645" s="152">
        <v>15</v>
      </c>
      <c r="BC645" s="157">
        <v>44945</v>
      </c>
      <c r="BD645" s="157">
        <v>45249</v>
      </c>
      <c r="BE645" s="158">
        <v>287280</v>
      </c>
      <c r="BF645" s="152" t="s">
        <v>4974</v>
      </c>
      <c r="BG645" s="152" t="s">
        <v>4975</v>
      </c>
      <c r="BH645" s="152">
        <v>133.22999999999999</v>
      </c>
      <c r="BI645" s="152">
        <v>0</v>
      </c>
      <c r="BJ645" s="152">
        <v>0</v>
      </c>
      <c r="BK645" s="152" t="s">
        <v>132</v>
      </c>
      <c r="BL645" s="152">
        <v>133.22999999999999</v>
      </c>
      <c r="BM645" s="152">
        <v>928812</v>
      </c>
      <c r="BN645" s="157" t="s">
        <v>1453</v>
      </c>
    </row>
    <row r="646" spans="1:66">
      <c r="A646" s="152" t="s">
        <v>4976</v>
      </c>
      <c r="B646" s="152" t="s">
        <v>4977</v>
      </c>
      <c r="C646" s="152" t="s">
        <v>4978</v>
      </c>
      <c r="D646" s="152" t="s">
        <v>4979</v>
      </c>
      <c r="E646" s="152" t="s">
        <v>4979</v>
      </c>
      <c r="F646" s="159" t="s">
        <v>856</v>
      </c>
      <c r="G646" s="159" t="s">
        <v>856</v>
      </c>
      <c r="H646" s="159" t="s">
        <v>856</v>
      </c>
      <c r="I646" s="152">
        <v>204234</v>
      </c>
      <c r="J646" s="152">
        <v>80</v>
      </c>
      <c r="K646" s="152">
        <v>90584</v>
      </c>
      <c r="L646" s="164" t="s">
        <v>856</v>
      </c>
      <c r="M646" s="152" t="s">
        <v>92</v>
      </c>
      <c r="N646" s="152" t="s">
        <v>92</v>
      </c>
      <c r="O646" s="164" t="s">
        <v>856</v>
      </c>
      <c r="P646" s="164" t="s">
        <v>856</v>
      </c>
      <c r="Q646" s="152" t="s">
        <v>92</v>
      </c>
      <c r="R646" s="152" t="s">
        <v>92</v>
      </c>
      <c r="S646" s="164" t="s">
        <v>856</v>
      </c>
      <c r="T646" s="164" t="s">
        <v>856</v>
      </c>
      <c r="U646" s="164" t="s">
        <v>856</v>
      </c>
      <c r="V646" s="152" t="s">
        <v>857</v>
      </c>
      <c r="W646" s="152" t="s">
        <v>4609</v>
      </c>
      <c r="X646" s="152" t="s">
        <v>1083</v>
      </c>
      <c r="Y646" s="152">
        <v>0</v>
      </c>
      <c r="Z646" s="152">
        <v>1</v>
      </c>
      <c r="AA646" s="152" t="s">
        <v>92</v>
      </c>
      <c r="AB646" s="152">
        <v>115.49</v>
      </c>
      <c r="AC646" s="152">
        <v>2</v>
      </c>
      <c r="AD646" s="152" t="s">
        <v>861</v>
      </c>
      <c r="AE646" s="152">
        <v>115.49</v>
      </c>
      <c r="AF646" s="152">
        <v>0</v>
      </c>
      <c r="AG646" s="152" t="s">
        <v>861</v>
      </c>
      <c r="AH646" s="152" t="s">
        <v>861</v>
      </c>
      <c r="AI646" s="152" t="s">
        <v>92</v>
      </c>
      <c r="AJ646" s="152" t="s">
        <v>92</v>
      </c>
      <c r="AK646" s="152" t="s">
        <v>862</v>
      </c>
      <c r="AL646" s="152" t="s">
        <v>856</v>
      </c>
      <c r="AP646" s="152" t="s">
        <v>856</v>
      </c>
      <c r="AQ646" s="152" t="s">
        <v>856</v>
      </c>
      <c r="AR646" s="152" t="s">
        <v>3846</v>
      </c>
      <c r="AS646" s="159" t="s">
        <v>865</v>
      </c>
      <c r="AT646" s="152" t="str">
        <f t="shared" si="40"/>
        <v>RPNP10-480922</v>
      </c>
      <c r="AU646" s="152" t="str">
        <f t="shared" si="37"/>
        <v xml:space="preserve">PABLO GENARO </v>
      </c>
      <c r="AV646" s="152">
        <v>1455.17</v>
      </c>
      <c r="AW646" s="152">
        <v>911930</v>
      </c>
      <c r="AX646" s="159" t="s">
        <v>856</v>
      </c>
      <c r="AY646" s="159" t="s">
        <v>856</v>
      </c>
      <c r="AZ646" s="152" t="s">
        <v>864</v>
      </c>
      <c r="BA646" s="152" t="str">
        <f t="shared" si="38"/>
        <v>L23-699-AQ128</v>
      </c>
      <c r="BB646" s="152">
        <v>0</v>
      </c>
      <c r="BC646" s="157">
        <v>44929</v>
      </c>
      <c r="BD646" s="157">
        <v>44929</v>
      </c>
      <c r="BE646" s="158">
        <v>288725</v>
      </c>
      <c r="BF646" s="152" t="s">
        <v>4980</v>
      </c>
      <c r="BG646" s="152" t="s">
        <v>894</v>
      </c>
      <c r="BH646" s="152">
        <v>115.49</v>
      </c>
      <c r="BI646" s="152">
        <v>0</v>
      </c>
      <c r="BJ646" s="152">
        <v>0</v>
      </c>
      <c r="BK646" s="152" t="s">
        <v>132</v>
      </c>
      <c r="BL646" s="152">
        <v>115.49</v>
      </c>
      <c r="BM646" s="152">
        <v>911931</v>
      </c>
      <c r="BN646" s="157" t="s">
        <v>1453</v>
      </c>
    </row>
    <row r="647" spans="1:66" s="165" customFormat="1">
      <c r="A647" s="165" t="s">
        <v>4981</v>
      </c>
      <c r="B647" s="165" t="s">
        <v>4982</v>
      </c>
      <c r="C647" s="165" t="s">
        <v>4983</v>
      </c>
      <c r="D647" s="165" t="s">
        <v>4984</v>
      </c>
      <c r="E647" s="165" t="s">
        <v>4984</v>
      </c>
      <c r="F647" s="165">
        <v>9065</v>
      </c>
      <c r="G647" s="165">
        <v>65</v>
      </c>
      <c r="H647" s="165" t="s">
        <v>4985</v>
      </c>
      <c r="I647" s="165">
        <v>203775</v>
      </c>
      <c r="J647" s="165">
        <v>42</v>
      </c>
      <c r="K647" s="165">
        <v>90324</v>
      </c>
      <c r="L647" s="166" t="s">
        <v>856</v>
      </c>
      <c r="M647" s="165" t="s">
        <v>92</v>
      </c>
      <c r="N647" s="165" t="s">
        <v>92</v>
      </c>
      <c r="O647" s="166" t="s">
        <v>856</v>
      </c>
      <c r="P647" s="166" t="s">
        <v>856</v>
      </c>
      <c r="Q647" s="165" t="s">
        <v>92</v>
      </c>
      <c r="R647" s="165" t="s">
        <v>92</v>
      </c>
      <c r="S647" s="166" t="s">
        <v>856</v>
      </c>
      <c r="T647" s="166" t="s">
        <v>856</v>
      </c>
      <c r="U647" s="166" t="s">
        <v>856</v>
      </c>
      <c r="V647" s="165" t="s">
        <v>857</v>
      </c>
      <c r="W647" s="165" t="s">
        <v>4609</v>
      </c>
      <c r="X647" s="165" t="s">
        <v>1083</v>
      </c>
      <c r="Y647" s="165">
        <v>0</v>
      </c>
      <c r="Z647" s="165">
        <v>1</v>
      </c>
      <c r="AA647" s="165" t="s">
        <v>92</v>
      </c>
      <c r="AB647" s="165">
        <v>92.91</v>
      </c>
      <c r="AC647" s="165">
        <v>2</v>
      </c>
      <c r="AD647" s="165" t="s">
        <v>861</v>
      </c>
      <c r="AE647" s="165">
        <v>92.91</v>
      </c>
      <c r="AF647" s="165">
        <v>0</v>
      </c>
      <c r="AG647" s="165" t="s">
        <v>861</v>
      </c>
      <c r="AH647" s="165" t="s">
        <v>861</v>
      </c>
      <c r="AI647" s="165" t="s">
        <v>92</v>
      </c>
      <c r="AJ647" s="165" t="s">
        <v>92</v>
      </c>
      <c r="AK647" s="165" t="s">
        <v>862</v>
      </c>
      <c r="AL647" s="165" t="s">
        <v>856</v>
      </c>
      <c r="AP647" s="165" t="s">
        <v>856</v>
      </c>
      <c r="AQ647" s="165" t="s">
        <v>856</v>
      </c>
      <c r="AR647" s="165" t="s">
        <v>3846</v>
      </c>
      <c r="AS647" s="167" t="s">
        <v>865</v>
      </c>
      <c r="AT647" s="165" t="str">
        <f t="shared" si="40"/>
        <v>RPNX10-050123</v>
      </c>
      <c r="AU647" s="165" t="str">
        <f t="shared" si="37"/>
        <v xml:space="preserve">JOCIAS EMANUEL XICARA CHACLAN </v>
      </c>
      <c r="AV647" s="165">
        <v>1170.67</v>
      </c>
      <c r="AW647" s="165">
        <v>827227</v>
      </c>
      <c r="AX647" s="167" t="s">
        <v>856</v>
      </c>
      <c r="AY647" s="167" t="s">
        <v>856</v>
      </c>
      <c r="AZ647" s="165" t="s">
        <v>864</v>
      </c>
      <c r="BA647" s="165" t="str">
        <f t="shared" si="38"/>
        <v>L23-635-JJ102</v>
      </c>
      <c r="BB647" s="165">
        <v>0</v>
      </c>
      <c r="BC647" s="168">
        <v>44977</v>
      </c>
      <c r="BD647" s="168">
        <v>44977</v>
      </c>
      <c r="BE647" s="169">
        <v>232275</v>
      </c>
      <c r="BF647" s="165" t="s">
        <v>4986</v>
      </c>
      <c r="BG647" s="165" t="s">
        <v>894</v>
      </c>
      <c r="BH647" s="165">
        <v>92.91</v>
      </c>
      <c r="BI647" s="165">
        <v>0</v>
      </c>
      <c r="BJ647" s="165">
        <v>0</v>
      </c>
      <c r="BK647" s="165" t="s">
        <v>132</v>
      </c>
      <c r="BL647" s="165">
        <v>92.91</v>
      </c>
      <c r="BM647" s="165">
        <v>827228</v>
      </c>
      <c r="BN647" s="168" t="s">
        <v>1453</v>
      </c>
    </row>
    <row r="648" spans="1:66">
      <c r="A648" s="152" t="s">
        <v>4987</v>
      </c>
      <c r="B648" s="152" t="s">
        <v>4988</v>
      </c>
      <c r="C648" s="152" t="s">
        <v>4989</v>
      </c>
      <c r="D648" s="152" t="s">
        <v>4990</v>
      </c>
      <c r="E648" s="152" t="s">
        <v>4990</v>
      </c>
      <c r="F648" s="152">
        <v>1819</v>
      </c>
      <c r="G648" s="152">
        <v>319</v>
      </c>
      <c r="H648" s="152" t="s">
        <v>3371</v>
      </c>
      <c r="I648" s="152">
        <v>203384</v>
      </c>
      <c r="J648" s="152">
        <v>219</v>
      </c>
      <c r="K648" s="152">
        <v>90014</v>
      </c>
      <c r="L648" s="152" t="s">
        <v>3837</v>
      </c>
      <c r="M648" s="152" t="s">
        <v>883</v>
      </c>
      <c r="N648" s="152" t="s">
        <v>92</v>
      </c>
      <c r="O648" s="152">
        <v>17794</v>
      </c>
      <c r="P648" s="152" t="s">
        <v>3837</v>
      </c>
      <c r="Q648" s="152" t="s">
        <v>883</v>
      </c>
      <c r="R648" s="152" t="s">
        <v>92</v>
      </c>
      <c r="S648" s="152">
        <v>17794</v>
      </c>
      <c r="T648" s="164" t="s">
        <v>856</v>
      </c>
      <c r="U648" s="164" t="s">
        <v>856</v>
      </c>
      <c r="V648" s="152" t="s">
        <v>2380</v>
      </c>
      <c r="W648" s="152" t="s">
        <v>4609</v>
      </c>
      <c r="X648" s="152" t="s">
        <v>1083</v>
      </c>
      <c r="Y648" s="152">
        <v>106.18</v>
      </c>
      <c r="Z648" s="152">
        <v>2</v>
      </c>
      <c r="AA648" s="152" t="s">
        <v>92</v>
      </c>
      <c r="AB648" s="152">
        <v>97.57</v>
      </c>
      <c r="AC648" s="152">
        <v>2</v>
      </c>
      <c r="AD648" s="152" t="s">
        <v>861</v>
      </c>
      <c r="AE648" s="152">
        <v>97.57</v>
      </c>
      <c r="AF648" s="152">
        <v>0</v>
      </c>
      <c r="AG648" s="152" t="s">
        <v>861</v>
      </c>
      <c r="AH648" s="152" t="s">
        <v>861</v>
      </c>
      <c r="AI648" s="152" t="s">
        <v>92</v>
      </c>
      <c r="AJ648" s="152" t="s">
        <v>92</v>
      </c>
      <c r="AK648" s="152" t="s">
        <v>972</v>
      </c>
      <c r="AL648" s="152" t="s">
        <v>856</v>
      </c>
      <c r="AP648" s="152" t="s">
        <v>856</v>
      </c>
      <c r="AQ648" s="152" t="s">
        <v>856</v>
      </c>
      <c r="AR648" s="152" t="s">
        <v>4991</v>
      </c>
      <c r="AS648" s="159" t="s">
        <v>865</v>
      </c>
      <c r="AT648" s="152" t="str">
        <f t="shared" si="40"/>
        <v>RPNT2-020222</v>
      </c>
      <c r="AU648" s="152" t="str">
        <f t="shared" si="37"/>
        <v xml:space="preserve">SERGIO TUY RALAC </v>
      </c>
      <c r="AV648" s="152">
        <v>2257.08</v>
      </c>
      <c r="AW648" s="152">
        <v>822128</v>
      </c>
      <c r="AX648" s="159">
        <v>56.15</v>
      </c>
      <c r="AY648" s="159">
        <v>822130</v>
      </c>
      <c r="AZ648" s="152" t="s">
        <v>864</v>
      </c>
      <c r="BA648" s="152" t="str">
        <f t="shared" si="38"/>
        <v>L23-0054-JM002</v>
      </c>
      <c r="BB648" s="152">
        <v>0</v>
      </c>
      <c r="BC648" s="157">
        <v>44960</v>
      </c>
      <c r="BD648" s="157">
        <v>44960</v>
      </c>
      <c r="BE648" s="158">
        <v>281088</v>
      </c>
      <c r="BF648" s="152" t="s">
        <v>4992</v>
      </c>
      <c r="BG648" s="152" t="s">
        <v>4993</v>
      </c>
      <c r="BH648" s="152">
        <v>97.57</v>
      </c>
      <c r="BI648" s="152">
        <v>0</v>
      </c>
      <c r="BJ648" s="152">
        <v>0</v>
      </c>
      <c r="BK648" s="152" t="s">
        <v>1296</v>
      </c>
      <c r="BL648" s="152">
        <v>121.96</v>
      </c>
      <c r="BM648" s="152">
        <v>822129</v>
      </c>
      <c r="BN648" s="157">
        <v>45691</v>
      </c>
    </row>
    <row r="649" spans="1:66">
      <c r="A649" s="152" t="s">
        <v>4994</v>
      </c>
      <c r="B649" s="152" t="s">
        <v>4995</v>
      </c>
      <c r="C649" s="152" t="s">
        <v>4996</v>
      </c>
      <c r="D649" s="152" t="s">
        <v>4997</v>
      </c>
      <c r="E649" s="152" t="s">
        <v>4997</v>
      </c>
      <c r="F649" s="152">
        <v>1344</v>
      </c>
      <c r="G649" s="152">
        <v>344</v>
      </c>
      <c r="H649" s="152" t="s">
        <v>1174</v>
      </c>
      <c r="I649" s="152">
        <v>198019</v>
      </c>
      <c r="J649" s="152">
        <v>116.65</v>
      </c>
      <c r="K649" s="152">
        <v>85584</v>
      </c>
      <c r="L649" s="152" t="s">
        <v>4998</v>
      </c>
      <c r="M649" s="152" t="s">
        <v>92</v>
      </c>
      <c r="N649" s="152" t="s">
        <v>883</v>
      </c>
      <c r="O649" s="152">
        <v>6862</v>
      </c>
      <c r="P649" s="152" t="s">
        <v>4998</v>
      </c>
      <c r="Q649" s="152" t="s">
        <v>92</v>
      </c>
      <c r="R649" s="152" t="s">
        <v>883</v>
      </c>
      <c r="S649" s="152">
        <v>6862</v>
      </c>
      <c r="T649" s="164" t="s">
        <v>856</v>
      </c>
      <c r="U649" s="164" t="s">
        <v>856</v>
      </c>
      <c r="V649" s="152" t="s">
        <v>857</v>
      </c>
      <c r="W649" s="152" t="s">
        <v>4609</v>
      </c>
      <c r="X649" s="152" t="s">
        <v>1083</v>
      </c>
      <c r="Y649" s="152">
        <v>39.200000000000003</v>
      </c>
      <c r="Z649" s="152">
        <v>1</v>
      </c>
      <c r="AA649" s="152" t="s">
        <v>92</v>
      </c>
      <c r="AB649" s="152">
        <v>195</v>
      </c>
      <c r="AC649" s="152">
        <v>2</v>
      </c>
      <c r="AD649" s="152" t="s">
        <v>861</v>
      </c>
      <c r="AE649" s="152">
        <v>195</v>
      </c>
      <c r="AF649" s="152">
        <v>0</v>
      </c>
      <c r="AG649" s="152" t="s">
        <v>861</v>
      </c>
      <c r="AH649" s="152" t="s">
        <v>861</v>
      </c>
      <c r="AI649" s="152" t="s">
        <v>92</v>
      </c>
      <c r="AJ649" s="152" t="s">
        <v>92</v>
      </c>
      <c r="AK649" s="152" t="s">
        <v>3578</v>
      </c>
      <c r="AL649" s="152" t="s">
        <v>856</v>
      </c>
      <c r="AP649" s="152" t="s">
        <v>856</v>
      </c>
      <c r="AQ649" s="152" t="s">
        <v>856</v>
      </c>
      <c r="AR649" s="152" t="s">
        <v>873</v>
      </c>
      <c r="AS649" s="159" t="s">
        <v>865</v>
      </c>
      <c r="AT649" s="152" t="str">
        <f t="shared" si="40"/>
        <v>VUNC6-011122</v>
      </c>
      <c r="AU649" s="152" t="str">
        <f t="shared" si="37"/>
        <v xml:space="preserve">ROSA DEL CARMEN CASTILLO VILLAGRAN </v>
      </c>
      <c r="AV649" s="152">
        <v>2533.83</v>
      </c>
      <c r="AW649" s="152">
        <v>928057</v>
      </c>
      <c r="AX649" s="152">
        <v>35</v>
      </c>
      <c r="AY649" s="152">
        <v>928060</v>
      </c>
      <c r="AZ649" s="152" t="s">
        <v>864</v>
      </c>
      <c r="BA649" s="152" t="str">
        <f t="shared" si="38"/>
        <v>L23-25-MP002</v>
      </c>
      <c r="BB649" s="152">
        <v>24</v>
      </c>
      <c r="BC649" s="157">
        <v>44944</v>
      </c>
      <c r="BD649" s="157">
        <v>45309</v>
      </c>
      <c r="BE649" s="158">
        <v>501220</v>
      </c>
      <c r="BF649" s="152" t="s">
        <v>4999</v>
      </c>
      <c r="BG649" s="152" t="s">
        <v>5000</v>
      </c>
      <c r="BH649" s="152">
        <v>195</v>
      </c>
      <c r="BI649" s="152">
        <v>0</v>
      </c>
      <c r="BJ649" s="152">
        <v>0</v>
      </c>
      <c r="BK649" s="152" t="s">
        <v>132</v>
      </c>
      <c r="BL649" s="152">
        <v>195</v>
      </c>
      <c r="BM649" s="152">
        <v>928059</v>
      </c>
      <c r="BN649" s="157" t="s">
        <v>1453</v>
      </c>
    </row>
    <row r="650" spans="1:66">
      <c r="A650" s="152" t="s">
        <v>5001</v>
      </c>
      <c r="B650" s="152" t="s">
        <v>5002</v>
      </c>
      <c r="C650" s="152" t="s">
        <v>5003</v>
      </c>
      <c r="D650" s="152" t="s">
        <v>5004</v>
      </c>
      <c r="E650" s="152" t="s">
        <v>5004</v>
      </c>
      <c r="F650" s="159" t="s">
        <v>856</v>
      </c>
      <c r="G650" s="159" t="s">
        <v>856</v>
      </c>
      <c r="H650" s="159" t="s">
        <v>856</v>
      </c>
      <c r="I650" s="152">
        <v>203464</v>
      </c>
      <c r="J650" s="152">
        <v>40.89</v>
      </c>
      <c r="K650" s="152">
        <v>90068</v>
      </c>
      <c r="L650" s="164" t="s">
        <v>856</v>
      </c>
      <c r="M650" s="152" t="s">
        <v>92</v>
      </c>
      <c r="N650" s="152" t="s">
        <v>92</v>
      </c>
      <c r="O650" s="164" t="s">
        <v>856</v>
      </c>
      <c r="P650" s="164" t="s">
        <v>856</v>
      </c>
      <c r="Q650" s="152" t="s">
        <v>92</v>
      </c>
      <c r="R650" s="152" t="s">
        <v>92</v>
      </c>
      <c r="S650" s="164" t="s">
        <v>856</v>
      </c>
      <c r="T650" s="164" t="s">
        <v>856</v>
      </c>
      <c r="U650" s="164" t="s">
        <v>856</v>
      </c>
      <c r="V650" s="152" t="s">
        <v>857</v>
      </c>
      <c r="W650" s="152" t="s">
        <v>4609</v>
      </c>
      <c r="X650" s="152" t="s">
        <v>1083</v>
      </c>
      <c r="Y650" s="152">
        <v>0</v>
      </c>
      <c r="Z650" s="152">
        <v>1</v>
      </c>
      <c r="AA650" s="152" t="s">
        <v>92</v>
      </c>
      <c r="AB650" s="152">
        <v>88.36</v>
      </c>
      <c r="AC650" s="152">
        <v>2</v>
      </c>
      <c r="AD650" s="152" t="s">
        <v>861</v>
      </c>
      <c r="AE650" s="152">
        <v>88.36</v>
      </c>
      <c r="AF650" s="152">
        <v>0</v>
      </c>
      <c r="AG650" s="152" t="s">
        <v>861</v>
      </c>
      <c r="AH650" s="152" t="s">
        <v>861</v>
      </c>
      <c r="AI650" s="152" t="s">
        <v>92</v>
      </c>
      <c r="AJ650" s="152" t="s">
        <v>92</v>
      </c>
      <c r="AK650" s="152" t="s">
        <v>872</v>
      </c>
      <c r="AL650" s="152" t="s">
        <v>856</v>
      </c>
      <c r="AP650" s="152" t="s">
        <v>856</v>
      </c>
      <c r="AQ650" s="152" t="s">
        <v>856</v>
      </c>
      <c r="AR650" s="152" t="s">
        <v>1953</v>
      </c>
      <c r="AS650" s="159" t="s">
        <v>865</v>
      </c>
      <c r="AT650" s="152" t="str">
        <f t="shared" si="40"/>
        <v>RPNG1-040123</v>
      </c>
      <c r="AU650" s="152" t="str">
        <f t="shared" si="37"/>
        <v xml:space="preserve">BARBARA ROCIO GIRON ANDRADE </v>
      </c>
      <c r="AV650" s="152">
        <v>1113.3399999999999</v>
      </c>
      <c r="AW650" s="152">
        <v>827806</v>
      </c>
      <c r="AX650" s="152">
        <v>15.85</v>
      </c>
      <c r="AY650" s="152">
        <v>827808</v>
      </c>
      <c r="AZ650" s="152" t="s">
        <v>864</v>
      </c>
      <c r="BA650" s="152" t="str">
        <f t="shared" si="38"/>
        <v>L23-504-NR032</v>
      </c>
      <c r="BB650" s="152">
        <v>0</v>
      </c>
      <c r="BC650" s="157">
        <v>44977</v>
      </c>
      <c r="BD650" s="157">
        <v>44977</v>
      </c>
      <c r="BE650" s="158">
        <v>220900</v>
      </c>
      <c r="BF650" s="152" t="s">
        <v>5005</v>
      </c>
      <c r="BG650" s="152" t="s">
        <v>894</v>
      </c>
      <c r="BH650" s="152">
        <v>88.36</v>
      </c>
      <c r="BI650" s="152">
        <v>0</v>
      </c>
      <c r="BJ650" s="152">
        <v>0</v>
      </c>
      <c r="BK650" s="152" t="s">
        <v>132</v>
      </c>
      <c r="BL650" s="152">
        <v>88.36</v>
      </c>
      <c r="BM650" s="152">
        <v>827807</v>
      </c>
      <c r="BN650" s="157" t="s">
        <v>1453</v>
      </c>
    </row>
    <row r="651" spans="1:66">
      <c r="A651" s="152" t="s">
        <v>5006</v>
      </c>
      <c r="B651" s="152" t="s">
        <v>5007</v>
      </c>
      <c r="C651" s="152" t="s">
        <v>5008</v>
      </c>
      <c r="D651" s="152" t="s">
        <v>5009</v>
      </c>
      <c r="E651" s="152" t="s">
        <v>5009</v>
      </c>
      <c r="F651" s="152">
        <v>206554</v>
      </c>
      <c r="G651" s="152">
        <v>73</v>
      </c>
      <c r="H651" s="152">
        <v>416</v>
      </c>
      <c r="I651" s="152">
        <v>138934</v>
      </c>
      <c r="J651" s="152">
        <v>200</v>
      </c>
      <c r="K651" s="152">
        <v>37937</v>
      </c>
      <c r="L651" s="152" t="s">
        <v>5010</v>
      </c>
      <c r="M651" s="152" t="s">
        <v>92</v>
      </c>
      <c r="N651" s="152" t="s">
        <v>883</v>
      </c>
      <c r="O651" s="152">
        <v>4668</v>
      </c>
      <c r="P651" s="152" t="s">
        <v>5010</v>
      </c>
      <c r="Q651" s="152" t="s">
        <v>92</v>
      </c>
      <c r="R651" s="152" t="s">
        <v>883</v>
      </c>
      <c r="S651" s="152">
        <v>4668</v>
      </c>
      <c r="T651" s="164" t="s">
        <v>856</v>
      </c>
      <c r="U651" s="164" t="s">
        <v>856</v>
      </c>
      <c r="V651" s="152" t="s">
        <v>5011</v>
      </c>
      <c r="W651" s="152" t="s">
        <v>4609</v>
      </c>
      <c r="X651" s="152" t="s">
        <v>1083</v>
      </c>
      <c r="Y651" s="152">
        <v>0</v>
      </c>
      <c r="Z651" s="152">
        <v>0</v>
      </c>
      <c r="AA651" s="152" t="s">
        <v>92</v>
      </c>
      <c r="AB651" s="152">
        <v>53.56</v>
      </c>
      <c r="AC651" s="152">
        <v>3</v>
      </c>
      <c r="AD651" s="152" t="s">
        <v>861</v>
      </c>
      <c r="AE651" s="152">
        <v>53.56</v>
      </c>
      <c r="AF651" s="152">
        <v>0</v>
      </c>
      <c r="AG651" s="152" t="s">
        <v>861</v>
      </c>
      <c r="AH651" s="152" t="s">
        <v>861</v>
      </c>
      <c r="AI651" s="152" t="s">
        <v>92</v>
      </c>
      <c r="AJ651" s="152" t="s">
        <v>92</v>
      </c>
      <c r="AK651" s="152" t="s">
        <v>3578</v>
      </c>
      <c r="AL651" s="152" t="s">
        <v>856</v>
      </c>
      <c r="AP651" s="152" t="s">
        <v>856</v>
      </c>
      <c r="AQ651" s="152" t="s">
        <v>856</v>
      </c>
      <c r="AR651" s="152" t="s">
        <v>3846</v>
      </c>
      <c r="AS651" s="159" t="s">
        <v>865</v>
      </c>
      <c r="AT651" s="152" t="str">
        <f t="shared" si="40"/>
        <v>RPNA1-290922</v>
      </c>
      <c r="AU651" s="152" t="str">
        <f t="shared" si="37"/>
        <v xml:space="preserve">CANDIDO ABAC VICENTE Y CONDUEÑA </v>
      </c>
      <c r="AV651" s="152">
        <v>674.86</v>
      </c>
      <c r="AW651" s="152">
        <v>827647</v>
      </c>
      <c r="AX651" s="159" t="s">
        <v>856</v>
      </c>
      <c r="AY651" s="159" t="s">
        <v>856</v>
      </c>
      <c r="AZ651" s="152" t="s">
        <v>864</v>
      </c>
      <c r="BA651" s="152" t="str">
        <f t="shared" si="38"/>
        <v>L23-080-LG003</v>
      </c>
      <c r="BB651" s="152">
        <v>0</v>
      </c>
      <c r="BC651" s="157">
        <v>44974</v>
      </c>
      <c r="BD651" s="157">
        <v>44974</v>
      </c>
      <c r="BE651" s="158">
        <v>133900</v>
      </c>
    </row>
    <row r="652" spans="1:66" s="172" customFormat="1">
      <c r="A652" s="172" t="s">
        <v>5012</v>
      </c>
      <c r="B652" s="172" t="s">
        <v>5013</v>
      </c>
      <c r="AT652" s="172" t="str">
        <f t="shared" si="40"/>
        <v>RPNO10-050122</v>
      </c>
      <c r="AU652" s="152">
        <f t="shared" si="37"/>
        <v>0</v>
      </c>
      <c r="BA652" s="172" t="str">
        <f t="shared" si="38"/>
        <v>L23-085-SP133</v>
      </c>
      <c r="BC652" s="173"/>
      <c r="BD652" s="173"/>
      <c r="BE652" s="174"/>
      <c r="BN652" s="173"/>
    </row>
    <row r="653" spans="1:66" s="172" customFormat="1">
      <c r="A653" s="172" t="s">
        <v>5014</v>
      </c>
      <c r="B653" s="172" t="s">
        <v>5015</v>
      </c>
      <c r="AT653" s="172" t="str">
        <f t="shared" si="40"/>
        <v>RPNC10-060122</v>
      </c>
      <c r="AU653" s="152">
        <f t="shared" ref="AU653:AU694" si="41">C653</f>
        <v>0</v>
      </c>
      <c r="BA653" s="172" t="str">
        <f t="shared" si="38"/>
        <v>L23-086-SP131</v>
      </c>
      <c r="BC653" s="173"/>
      <c r="BD653" s="173"/>
      <c r="BE653" s="174"/>
      <c r="BN653" s="173"/>
    </row>
    <row r="654" spans="1:66">
      <c r="A654" s="152" t="s">
        <v>5016</v>
      </c>
      <c r="B654" s="152" t="s">
        <v>5017</v>
      </c>
      <c r="C654" s="152" t="s">
        <v>5018</v>
      </c>
      <c r="D654" s="152" t="s">
        <v>5019</v>
      </c>
      <c r="E654" s="152" t="s">
        <v>5019</v>
      </c>
      <c r="F654" s="152">
        <v>4455</v>
      </c>
      <c r="G654" s="152">
        <v>455</v>
      </c>
      <c r="H654" s="152" t="s">
        <v>2577</v>
      </c>
      <c r="I654" s="152">
        <v>203515</v>
      </c>
      <c r="J654" s="152">
        <v>90</v>
      </c>
      <c r="K654" s="152">
        <v>90108</v>
      </c>
      <c r="L654" s="164" t="s">
        <v>856</v>
      </c>
      <c r="M654" s="152" t="s">
        <v>92</v>
      </c>
      <c r="N654" s="152" t="s">
        <v>92</v>
      </c>
      <c r="O654" s="164" t="s">
        <v>856</v>
      </c>
      <c r="P654" s="164" t="s">
        <v>856</v>
      </c>
      <c r="Q654" s="152" t="s">
        <v>92</v>
      </c>
      <c r="R654" s="152" t="s">
        <v>92</v>
      </c>
      <c r="S654" s="164" t="s">
        <v>856</v>
      </c>
      <c r="T654" s="164" t="s">
        <v>856</v>
      </c>
      <c r="U654" s="164" t="s">
        <v>856</v>
      </c>
      <c r="V654" s="152" t="s">
        <v>3655</v>
      </c>
      <c r="W654" s="152" t="s">
        <v>4609</v>
      </c>
      <c r="X654" s="152" t="s">
        <v>1083</v>
      </c>
      <c r="Y654" s="152">
        <v>0</v>
      </c>
      <c r="Z654" s="152">
        <v>1</v>
      </c>
      <c r="AA654" s="152" t="s">
        <v>92</v>
      </c>
      <c r="AB654" s="152">
        <v>67.12</v>
      </c>
      <c r="AC654" s="152">
        <v>1</v>
      </c>
      <c r="AD654" s="152" t="s">
        <v>861</v>
      </c>
      <c r="AE654" s="152">
        <v>67.12</v>
      </c>
      <c r="AF654" s="152">
        <v>0</v>
      </c>
      <c r="AG654" s="152" t="s">
        <v>861</v>
      </c>
      <c r="AH654" s="152" t="s">
        <v>861</v>
      </c>
      <c r="AI654" s="152" t="s">
        <v>92</v>
      </c>
      <c r="AJ654" s="152" t="s">
        <v>92</v>
      </c>
      <c r="AK654" s="152" t="s">
        <v>1620</v>
      </c>
      <c r="AL654" s="152" t="s">
        <v>856</v>
      </c>
      <c r="AP654" s="152" t="s">
        <v>856</v>
      </c>
      <c r="AQ654" s="152" t="s">
        <v>856</v>
      </c>
      <c r="AR654" s="152" t="s">
        <v>3698</v>
      </c>
      <c r="AS654" s="159" t="s">
        <v>865</v>
      </c>
      <c r="AT654" s="152" t="str">
        <f t="shared" si="40"/>
        <v>RPNZ6-010123</v>
      </c>
      <c r="AU654" s="152" t="str">
        <f t="shared" si="41"/>
        <v xml:space="preserve">SEENDYE PAMELA FIGUEROA VENTURA </v>
      </c>
      <c r="AV654" s="152">
        <v>676.57</v>
      </c>
      <c r="AW654" s="152">
        <v>825810</v>
      </c>
      <c r="AX654" s="152">
        <v>43.25</v>
      </c>
      <c r="AY654" s="152">
        <v>825812</v>
      </c>
      <c r="AZ654" s="152" t="s">
        <v>864</v>
      </c>
      <c r="BA654" s="152" t="str">
        <f t="shared" si="38"/>
        <v>L23-525-NR033</v>
      </c>
      <c r="BB654" s="152">
        <v>0</v>
      </c>
      <c r="BC654" s="157">
        <v>44978</v>
      </c>
      <c r="BD654" s="157">
        <v>44978</v>
      </c>
      <c r="BE654" s="158">
        <v>134240</v>
      </c>
      <c r="BF654" s="152" t="s">
        <v>5020</v>
      </c>
      <c r="BG654" s="152" t="s">
        <v>894</v>
      </c>
      <c r="BH654" s="152">
        <v>67.12</v>
      </c>
      <c r="BI654" s="152">
        <v>0</v>
      </c>
      <c r="BJ654" s="152">
        <v>0</v>
      </c>
      <c r="BK654" s="152" t="s">
        <v>4184</v>
      </c>
      <c r="BL654" s="152">
        <v>67.12</v>
      </c>
      <c r="BM654" s="152">
        <v>825811</v>
      </c>
      <c r="BN654" s="157" t="s">
        <v>1453</v>
      </c>
    </row>
    <row r="655" spans="1:66">
      <c r="A655" s="152" t="s">
        <v>5021</v>
      </c>
      <c r="B655" s="152" t="s">
        <v>5022</v>
      </c>
      <c r="C655" s="152" t="s">
        <v>5023</v>
      </c>
      <c r="D655" s="152" t="s">
        <v>5024</v>
      </c>
      <c r="E655" s="152" t="s">
        <v>5024</v>
      </c>
      <c r="F655" s="152">
        <v>7398</v>
      </c>
      <c r="G655" s="152">
        <v>398</v>
      </c>
      <c r="H655" s="152" t="s">
        <v>5025</v>
      </c>
      <c r="I655" s="152">
        <v>206264</v>
      </c>
      <c r="J655" s="152">
        <v>58.17</v>
      </c>
      <c r="K655" s="152">
        <v>92094</v>
      </c>
      <c r="L655" s="164" t="s">
        <v>856</v>
      </c>
      <c r="M655" s="152" t="s">
        <v>92</v>
      </c>
      <c r="N655" s="152" t="s">
        <v>92</v>
      </c>
      <c r="O655" s="164" t="s">
        <v>856</v>
      </c>
      <c r="P655" s="164" t="s">
        <v>856</v>
      </c>
      <c r="Q655" s="152" t="s">
        <v>92</v>
      </c>
      <c r="R655" s="152" t="s">
        <v>92</v>
      </c>
      <c r="S655" s="164" t="s">
        <v>856</v>
      </c>
      <c r="T655" s="164" t="s">
        <v>856</v>
      </c>
      <c r="U655" s="164" t="s">
        <v>856</v>
      </c>
      <c r="V655" s="152" t="s">
        <v>857</v>
      </c>
      <c r="W655" s="152" t="s">
        <v>4609</v>
      </c>
      <c r="X655" s="152" t="s">
        <v>1083</v>
      </c>
      <c r="Y655" s="152">
        <v>0</v>
      </c>
      <c r="Z655" s="152">
        <v>1</v>
      </c>
      <c r="AA655" s="152" t="s">
        <v>883</v>
      </c>
      <c r="AB655" s="152">
        <v>122.71</v>
      </c>
      <c r="AC655" s="152">
        <v>2</v>
      </c>
      <c r="AD655" s="152" t="s">
        <v>861</v>
      </c>
      <c r="AE655" s="152">
        <v>122.71</v>
      </c>
      <c r="AF655" s="152">
        <v>0</v>
      </c>
      <c r="AG655" s="152" t="s">
        <v>861</v>
      </c>
      <c r="AH655" s="152" t="s">
        <v>861</v>
      </c>
      <c r="AI655" s="152" t="s">
        <v>92</v>
      </c>
      <c r="AJ655" s="152" t="s">
        <v>92</v>
      </c>
      <c r="AK655" s="152" t="s">
        <v>862</v>
      </c>
      <c r="AL655" s="152" t="s">
        <v>856</v>
      </c>
      <c r="AP655" s="152" t="s">
        <v>856</v>
      </c>
      <c r="AQ655" s="152" t="s">
        <v>856</v>
      </c>
      <c r="AR655" s="152" t="s">
        <v>1953</v>
      </c>
      <c r="AS655" s="159" t="s">
        <v>865</v>
      </c>
      <c r="AT655" s="152" t="str">
        <f t="shared" si="40"/>
        <v>RPNC10-040122</v>
      </c>
      <c r="AU655" s="152" t="str">
        <f t="shared" si="41"/>
        <v xml:space="preserve">RUBI ARLETTE COYOY ORDOÑEZ </v>
      </c>
      <c r="AV655" s="152">
        <v>1546.15</v>
      </c>
      <c r="AW655" s="152">
        <v>827047</v>
      </c>
      <c r="AX655" s="152">
        <v>37.299999999999997</v>
      </c>
      <c r="AY655" s="152">
        <v>827049</v>
      </c>
      <c r="AZ655" s="152" t="s">
        <v>864</v>
      </c>
      <c r="BA655" s="152" t="str">
        <f t="shared" si="38"/>
        <v>L23-088-SP132</v>
      </c>
      <c r="BB655" s="152">
        <v>0</v>
      </c>
      <c r="BC655" s="157">
        <v>44974</v>
      </c>
      <c r="BD655" s="157">
        <v>44974</v>
      </c>
      <c r="BE655" s="158">
        <v>305775</v>
      </c>
      <c r="BF655" s="152" t="s">
        <v>5026</v>
      </c>
      <c r="BG655" s="152" t="s">
        <v>894</v>
      </c>
      <c r="BH655" s="152">
        <v>122.71</v>
      </c>
      <c r="BI655" s="152">
        <v>0</v>
      </c>
      <c r="BJ655" s="152">
        <v>0</v>
      </c>
      <c r="BK655" s="152" t="s">
        <v>132</v>
      </c>
      <c r="BL655" s="152">
        <v>122.71</v>
      </c>
      <c r="BM655" s="152">
        <v>827048</v>
      </c>
      <c r="BN655" s="157" t="s">
        <v>1453</v>
      </c>
    </row>
    <row r="656" spans="1:66">
      <c r="A656" s="152" t="s">
        <v>5027</v>
      </c>
      <c r="B656" s="152" t="s">
        <v>5028</v>
      </c>
      <c r="C656" s="152" t="s">
        <v>5029</v>
      </c>
      <c r="D656" s="152" t="s">
        <v>5030</v>
      </c>
      <c r="E656" s="152" t="s">
        <v>5030</v>
      </c>
      <c r="F656" s="152">
        <v>665</v>
      </c>
      <c r="G656" s="152">
        <v>165</v>
      </c>
      <c r="H656" s="152" t="s">
        <v>3131</v>
      </c>
      <c r="I656" s="152">
        <v>203358</v>
      </c>
      <c r="J656" s="152">
        <v>124.06</v>
      </c>
      <c r="K656" s="152">
        <v>89992</v>
      </c>
      <c r="L656" s="164" t="s">
        <v>856</v>
      </c>
      <c r="M656" s="152" t="s">
        <v>92</v>
      </c>
      <c r="N656" s="152" t="s">
        <v>92</v>
      </c>
      <c r="O656" s="164" t="s">
        <v>856</v>
      </c>
      <c r="P656" s="164" t="s">
        <v>856</v>
      </c>
      <c r="Q656" s="152" t="s">
        <v>92</v>
      </c>
      <c r="R656" s="152" t="s">
        <v>92</v>
      </c>
      <c r="S656" s="164" t="s">
        <v>856</v>
      </c>
      <c r="T656" s="164" t="s">
        <v>856</v>
      </c>
      <c r="U656" s="164" t="s">
        <v>856</v>
      </c>
      <c r="V656" s="152" t="s">
        <v>857</v>
      </c>
      <c r="W656" s="152" t="s">
        <v>4609</v>
      </c>
      <c r="X656" s="152" t="s">
        <v>1083</v>
      </c>
      <c r="Y656" s="152">
        <v>8.4</v>
      </c>
      <c r="Z656" s="152">
        <v>1</v>
      </c>
      <c r="AA656" s="152" t="s">
        <v>883</v>
      </c>
      <c r="AB656" s="152">
        <v>121.49</v>
      </c>
      <c r="AC656" s="152">
        <v>2</v>
      </c>
      <c r="AD656" s="152" t="s">
        <v>861</v>
      </c>
      <c r="AE656" s="152">
        <v>121.49</v>
      </c>
      <c r="AF656" s="152">
        <v>0</v>
      </c>
      <c r="AG656" s="152" t="s">
        <v>861</v>
      </c>
      <c r="AH656" s="152" t="s">
        <v>861</v>
      </c>
      <c r="AI656" s="152" t="s">
        <v>92</v>
      </c>
      <c r="AJ656" s="152" t="s">
        <v>92</v>
      </c>
      <c r="AK656" s="152" t="s">
        <v>862</v>
      </c>
      <c r="AL656" s="152" t="s">
        <v>856</v>
      </c>
      <c r="AP656" s="152" t="s">
        <v>856</v>
      </c>
      <c r="AQ656" s="152" t="s">
        <v>856</v>
      </c>
      <c r="AR656" s="152" t="s">
        <v>992</v>
      </c>
      <c r="AS656" s="159" t="s">
        <v>865</v>
      </c>
      <c r="AT656" s="152" t="str">
        <f t="shared" si="40"/>
        <v>RPNA1-581122</v>
      </c>
      <c r="AU656" s="152" t="str">
        <f t="shared" si="41"/>
        <v xml:space="preserve">ROLANDO CRUZ AJPACAJA HERNANDEZ </v>
      </c>
      <c r="AV656" s="152">
        <v>1572.44</v>
      </c>
      <c r="AW656" s="152">
        <v>823783</v>
      </c>
      <c r="AX656" s="152">
        <v>32.5</v>
      </c>
      <c r="AY656" s="152">
        <v>823785</v>
      </c>
      <c r="AZ656" s="152" t="s">
        <v>864</v>
      </c>
      <c r="BA656" s="152" t="str">
        <f t="shared" si="38"/>
        <v>L23-423-MP077</v>
      </c>
      <c r="BB656" s="152">
        <v>0</v>
      </c>
      <c r="BC656" s="157">
        <v>44950</v>
      </c>
      <c r="BD656" s="157">
        <v>44950</v>
      </c>
      <c r="BE656" s="158">
        <v>307505</v>
      </c>
      <c r="BF656" s="152" t="s">
        <v>5031</v>
      </c>
      <c r="BG656" s="152" t="s">
        <v>894</v>
      </c>
      <c r="BH656" s="152">
        <v>121.49</v>
      </c>
      <c r="BI656" s="152">
        <v>0</v>
      </c>
      <c r="BJ656" s="152">
        <v>0</v>
      </c>
      <c r="BK656" s="152" t="s">
        <v>132</v>
      </c>
      <c r="BL656" s="152">
        <v>121.49</v>
      </c>
      <c r="BM656" s="152">
        <v>823784</v>
      </c>
      <c r="BN656" s="157" t="s">
        <v>1453</v>
      </c>
    </row>
    <row r="657" spans="1:66" s="165" customFormat="1">
      <c r="A657" s="165" t="s">
        <v>5032</v>
      </c>
      <c r="B657" s="165" t="s">
        <v>5033</v>
      </c>
      <c r="C657" s="165" t="s">
        <v>5034</v>
      </c>
      <c r="D657" s="165" t="s">
        <v>5035</v>
      </c>
      <c r="E657" s="165" t="s">
        <v>5035</v>
      </c>
      <c r="F657" s="165">
        <v>6865</v>
      </c>
      <c r="G657" s="165">
        <v>365</v>
      </c>
      <c r="H657" s="165" t="s">
        <v>2826</v>
      </c>
      <c r="I657" s="165">
        <v>209908</v>
      </c>
      <c r="J657" s="165">
        <v>90</v>
      </c>
      <c r="K657" s="165">
        <v>94239</v>
      </c>
      <c r="L657" s="166" t="s">
        <v>856</v>
      </c>
      <c r="M657" s="165" t="s">
        <v>92</v>
      </c>
      <c r="N657" s="165" t="s">
        <v>92</v>
      </c>
      <c r="O657" s="166" t="s">
        <v>856</v>
      </c>
      <c r="P657" s="166" t="s">
        <v>856</v>
      </c>
      <c r="Q657" s="165" t="s">
        <v>92</v>
      </c>
      <c r="R657" s="165" t="s">
        <v>92</v>
      </c>
      <c r="S657" s="166" t="s">
        <v>856</v>
      </c>
      <c r="T657" s="166" t="s">
        <v>856</v>
      </c>
      <c r="U657" s="166" t="s">
        <v>856</v>
      </c>
      <c r="V657" s="165" t="s">
        <v>857</v>
      </c>
      <c r="W657" s="165" t="s">
        <v>4609</v>
      </c>
      <c r="X657" s="165" t="s">
        <v>1083</v>
      </c>
      <c r="Y657" s="165">
        <v>0</v>
      </c>
      <c r="Z657" s="165">
        <v>1</v>
      </c>
      <c r="AA657" s="165" t="s">
        <v>883</v>
      </c>
      <c r="AB657" s="165">
        <v>153.80000000000001</v>
      </c>
      <c r="AC657" s="165">
        <v>2</v>
      </c>
      <c r="AD657" s="165" t="s">
        <v>861</v>
      </c>
      <c r="AE657" s="165">
        <v>153.80000000000001</v>
      </c>
      <c r="AF657" s="165">
        <v>0</v>
      </c>
      <c r="AG657" s="165" t="s">
        <v>861</v>
      </c>
      <c r="AH657" s="165" t="s">
        <v>861</v>
      </c>
      <c r="AI657" s="165" t="s">
        <v>92</v>
      </c>
      <c r="AJ657" s="165" t="s">
        <v>92</v>
      </c>
      <c r="AK657" s="165" t="s">
        <v>972</v>
      </c>
      <c r="AL657" s="165" t="s">
        <v>856</v>
      </c>
      <c r="AP657" s="165" t="s">
        <v>856</v>
      </c>
      <c r="AQ657" s="165" t="s">
        <v>856</v>
      </c>
      <c r="AR657" s="165" t="s">
        <v>1234</v>
      </c>
      <c r="AS657" s="167" t="s">
        <v>865</v>
      </c>
      <c r="AT657" s="165" t="str">
        <f t="shared" si="40"/>
        <v>RPNR11-340321</v>
      </c>
      <c r="AU657" s="165" t="str">
        <f t="shared" si="41"/>
        <v xml:space="preserve">EVANGELINA MUÑOZ OLIVA DE RUIZ </v>
      </c>
      <c r="AV657" s="165">
        <v>1768.79</v>
      </c>
      <c r="AW657" s="165">
        <v>808395</v>
      </c>
      <c r="AX657" s="165">
        <v>30</v>
      </c>
      <c r="AY657" s="165">
        <v>808397</v>
      </c>
      <c r="AZ657" s="165" t="s">
        <v>864</v>
      </c>
      <c r="BA657" s="165" t="str">
        <f t="shared" si="38"/>
        <v>L22-416-KM141</v>
      </c>
      <c r="BB657" s="165">
        <v>0</v>
      </c>
      <c r="BC657" s="168">
        <v>44708</v>
      </c>
      <c r="BD657" s="168">
        <v>44708</v>
      </c>
      <c r="BE657" s="169">
        <v>384500</v>
      </c>
      <c r="BF657" s="165" t="s">
        <v>5036</v>
      </c>
      <c r="BG657" s="165" t="s">
        <v>894</v>
      </c>
      <c r="BH657" s="165">
        <v>153.80000000000001</v>
      </c>
      <c r="BI657" s="165">
        <v>0</v>
      </c>
      <c r="BJ657" s="165">
        <v>0</v>
      </c>
      <c r="BK657" s="165" t="s">
        <v>132</v>
      </c>
      <c r="BL657" s="165">
        <v>140.38</v>
      </c>
      <c r="BM657" s="165">
        <v>808396</v>
      </c>
      <c r="BN657" s="168" t="s">
        <v>1453</v>
      </c>
    </row>
    <row r="658" spans="1:66">
      <c r="A658" s="152" t="s">
        <v>5037</v>
      </c>
      <c r="B658" s="152" t="s">
        <v>5038</v>
      </c>
      <c r="C658" s="152" t="s">
        <v>5039</v>
      </c>
      <c r="D658" s="152" t="s">
        <v>5040</v>
      </c>
      <c r="E658" s="152" t="s">
        <v>5040</v>
      </c>
      <c r="F658" s="152">
        <v>1516</v>
      </c>
      <c r="G658" s="152">
        <v>16</v>
      </c>
      <c r="H658" s="152" t="s">
        <v>2217</v>
      </c>
      <c r="I658" s="152">
        <v>204389</v>
      </c>
      <c r="J658" s="152">
        <v>119</v>
      </c>
      <c r="K658" s="152">
        <v>90676</v>
      </c>
      <c r="L658" s="164" t="s">
        <v>856</v>
      </c>
      <c r="M658" s="152" t="s">
        <v>92</v>
      </c>
      <c r="N658" s="164" t="s">
        <v>92</v>
      </c>
      <c r="O658" s="164" t="s">
        <v>856</v>
      </c>
      <c r="P658" s="164" t="s">
        <v>856</v>
      </c>
      <c r="Q658" s="152" t="s">
        <v>92</v>
      </c>
      <c r="R658" s="152" t="s">
        <v>92</v>
      </c>
      <c r="S658" s="164" t="s">
        <v>856</v>
      </c>
      <c r="T658" s="164" t="s">
        <v>856</v>
      </c>
      <c r="U658" s="164" t="s">
        <v>856</v>
      </c>
      <c r="V658" s="152" t="s">
        <v>857</v>
      </c>
      <c r="W658" s="152" t="s">
        <v>4609</v>
      </c>
      <c r="X658" s="152" t="s">
        <v>1083</v>
      </c>
      <c r="Y658" s="152">
        <v>42.31</v>
      </c>
      <c r="Z658" s="152">
        <v>1</v>
      </c>
      <c r="AA658" s="152" t="s">
        <v>92</v>
      </c>
      <c r="AB658" s="152">
        <v>99.75</v>
      </c>
      <c r="AC658" s="152">
        <v>1</v>
      </c>
      <c r="AD658" s="152" t="s">
        <v>861</v>
      </c>
      <c r="AE658" s="152">
        <v>99.75</v>
      </c>
      <c r="AF658" s="152">
        <v>0</v>
      </c>
      <c r="AG658" s="152" t="s">
        <v>861</v>
      </c>
      <c r="AH658" s="152" t="s">
        <v>861</v>
      </c>
      <c r="AI658" s="152" t="s">
        <v>92</v>
      </c>
      <c r="AJ658" s="152" t="s">
        <v>92</v>
      </c>
      <c r="AK658" s="152" t="s">
        <v>912</v>
      </c>
      <c r="AL658" s="152" t="s">
        <v>856</v>
      </c>
      <c r="AP658" s="152" t="s">
        <v>856</v>
      </c>
      <c r="AQ658" s="152" t="s">
        <v>856</v>
      </c>
      <c r="AR658" s="152" t="s">
        <v>1234</v>
      </c>
      <c r="AS658" s="159" t="s">
        <v>865</v>
      </c>
      <c r="AT658" s="152" t="str">
        <f t="shared" si="40"/>
        <v>RPNG5-611022</v>
      </c>
      <c r="AU658" s="152" t="str">
        <f t="shared" si="41"/>
        <v>EDNA ELIZABETH DAMIAN GIRON DE GONZALEZ</v>
      </c>
      <c r="AV658" s="152">
        <v>1088.4100000000001</v>
      </c>
      <c r="AW658" s="152">
        <v>820385</v>
      </c>
      <c r="AX658" s="152">
        <v>35</v>
      </c>
      <c r="AY658" s="152">
        <v>820387</v>
      </c>
      <c r="AZ658" s="152" t="s">
        <v>864</v>
      </c>
      <c r="BA658" s="152" t="str">
        <f t="shared" si="38"/>
        <v>L23-1256-KM011</v>
      </c>
      <c r="BB658" s="152">
        <v>0</v>
      </c>
      <c r="BC658" s="157">
        <v>44956</v>
      </c>
      <c r="BD658" s="157">
        <v>44956</v>
      </c>
      <c r="BE658" s="158">
        <v>214308.5</v>
      </c>
      <c r="BF658" s="152" t="s">
        <v>5041</v>
      </c>
      <c r="BG658" s="152" t="s">
        <v>894</v>
      </c>
      <c r="BH658" s="152">
        <v>99.75</v>
      </c>
      <c r="BI658" s="152">
        <v>0</v>
      </c>
      <c r="BJ658" s="152">
        <v>0</v>
      </c>
      <c r="BK658" s="152" t="s">
        <v>132</v>
      </c>
      <c r="BL658" s="152">
        <v>99.75</v>
      </c>
      <c r="BM658" s="152">
        <v>820386</v>
      </c>
      <c r="BN658" s="157" t="s">
        <v>1453</v>
      </c>
    </row>
    <row r="659" spans="1:66">
      <c r="A659" s="152" t="s">
        <v>5042</v>
      </c>
      <c r="B659" s="152" t="s">
        <v>5043</v>
      </c>
      <c r="C659" s="152" t="s">
        <v>5044</v>
      </c>
      <c r="D659" s="152" t="s">
        <v>5045</v>
      </c>
      <c r="E659" s="152" t="s">
        <v>5045</v>
      </c>
      <c r="F659" s="152">
        <v>5040</v>
      </c>
      <c r="G659" s="152">
        <v>40</v>
      </c>
      <c r="H659" s="152" t="s">
        <v>1030</v>
      </c>
      <c r="I659" s="152">
        <v>203697</v>
      </c>
      <c r="J659" s="152">
        <v>119.84</v>
      </c>
      <c r="K659" s="152">
        <v>90270</v>
      </c>
      <c r="L659" s="164" t="s">
        <v>856</v>
      </c>
      <c r="M659" s="152" t="s">
        <v>92</v>
      </c>
      <c r="N659" s="152" t="s">
        <v>92</v>
      </c>
      <c r="O659" s="164" t="s">
        <v>856</v>
      </c>
      <c r="P659" s="164" t="s">
        <v>856</v>
      </c>
      <c r="Q659" s="152" t="s">
        <v>92</v>
      </c>
      <c r="R659" s="152" t="s">
        <v>92</v>
      </c>
      <c r="S659" s="164" t="s">
        <v>856</v>
      </c>
      <c r="T659" s="164" t="s">
        <v>856</v>
      </c>
      <c r="U659" s="164" t="s">
        <v>856</v>
      </c>
      <c r="V659" s="152" t="s">
        <v>5046</v>
      </c>
      <c r="W659" s="152" t="s">
        <v>4609</v>
      </c>
      <c r="X659" s="152" t="s">
        <v>1083</v>
      </c>
      <c r="Y659" s="152">
        <v>0</v>
      </c>
      <c r="Z659" s="152">
        <v>1</v>
      </c>
      <c r="AA659" s="152" t="s">
        <v>92</v>
      </c>
      <c r="AB659" s="152">
        <v>73.06</v>
      </c>
      <c r="AC659" s="152">
        <v>2</v>
      </c>
      <c r="AD659" s="152" t="s">
        <v>861</v>
      </c>
      <c r="AE659" s="152">
        <v>73.06</v>
      </c>
      <c r="AF659" s="152">
        <v>0</v>
      </c>
      <c r="AG659" s="152" t="s">
        <v>861</v>
      </c>
      <c r="AH659" s="152" t="s">
        <v>861</v>
      </c>
      <c r="AI659" s="152" t="s">
        <v>92</v>
      </c>
      <c r="AJ659" s="152" t="s">
        <v>92</v>
      </c>
      <c r="AK659" s="152" t="s">
        <v>884</v>
      </c>
      <c r="AL659" s="152" t="s">
        <v>856</v>
      </c>
      <c r="AP659" s="152" t="s">
        <v>856</v>
      </c>
      <c r="AQ659" s="152" t="s">
        <v>856</v>
      </c>
      <c r="AR659" s="152" t="s">
        <v>1234</v>
      </c>
      <c r="AS659" s="159" t="s">
        <v>865</v>
      </c>
      <c r="AT659" s="152" t="str">
        <f t="shared" si="40"/>
        <v>RPNC1-050123</v>
      </c>
      <c r="AU659" s="152" t="str">
        <f t="shared" si="41"/>
        <v xml:space="preserve">AROLDO RULAMAN LOARCAR BARRIOS </v>
      </c>
      <c r="AV659" s="152">
        <v>920.56</v>
      </c>
      <c r="AW659" s="152">
        <v>826370</v>
      </c>
      <c r="AX659" s="159" t="s">
        <v>856</v>
      </c>
      <c r="AY659" s="159" t="s">
        <v>856</v>
      </c>
      <c r="AZ659" s="152" t="s">
        <v>864</v>
      </c>
      <c r="BA659" s="152" t="str">
        <f t="shared" si="38"/>
        <v>L23-119-JM018</v>
      </c>
      <c r="BB659" s="152">
        <v>0</v>
      </c>
      <c r="BC659" s="157">
        <v>44980</v>
      </c>
      <c r="BD659" s="157">
        <v>44980</v>
      </c>
      <c r="BE659" s="158">
        <v>182650</v>
      </c>
      <c r="BF659" s="152" t="s">
        <v>5047</v>
      </c>
      <c r="BG659" s="152" t="s">
        <v>894</v>
      </c>
      <c r="BH659" s="152">
        <v>73.06</v>
      </c>
      <c r="BI659" s="152">
        <v>0</v>
      </c>
      <c r="BJ659" s="152">
        <v>0</v>
      </c>
      <c r="BK659" s="152" t="s">
        <v>132</v>
      </c>
      <c r="BL659" s="152">
        <v>73.06</v>
      </c>
      <c r="BM659" s="152">
        <v>826371</v>
      </c>
      <c r="BN659" s="157" t="s">
        <v>1453</v>
      </c>
    </row>
    <row r="660" spans="1:66">
      <c r="A660" s="152" t="s">
        <v>5048</v>
      </c>
      <c r="B660" s="152" t="s">
        <v>5049</v>
      </c>
      <c r="C660" s="152" t="s">
        <v>5050</v>
      </c>
      <c r="D660" s="152" t="s">
        <v>5051</v>
      </c>
      <c r="E660" s="152" t="s">
        <v>5051</v>
      </c>
      <c r="F660" s="152">
        <v>4998</v>
      </c>
      <c r="G660" s="152">
        <v>498</v>
      </c>
      <c r="H660" s="152" t="s">
        <v>2379</v>
      </c>
      <c r="I660" s="152">
        <v>204268</v>
      </c>
      <c r="J660" s="152">
        <v>372.95</v>
      </c>
      <c r="K660" s="152">
        <v>90604</v>
      </c>
      <c r="L660" s="164" t="s">
        <v>856</v>
      </c>
      <c r="M660" s="152" t="s">
        <v>92</v>
      </c>
      <c r="N660" s="152" t="s">
        <v>92</v>
      </c>
      <c r="O660" s="164" t="s">
        <v>856</v>
      </c>
      <c r="P660" s="164" t="s">
        <v>856</v>
      </c>
      <c r="Q660" s="152" t="s">
        <v>92</v>
      </c>
      <c r="R660" s="152" t="s">
        <v>92</v>
      </c>
      <c r="S660" s="164" t="s">
        <v>856</v>
      </c>
      <c r="T660" s="164" t="s">
        <v>856</v>
      </c>
      <c r="U660" s="164" t="s">
        <v>856</v>
      </c>
      <c r="V660" s="152" t="s">
        <v>5052</v>
      </c>
      <c r="W660" s="152" t="s">
        <v>4609</v>
      </c>
      <c r="X660" s="152" t="s">
        <v>1083</v>
      </c>
      <c r="Y660" s="152">
        <v>0</v>
      </c>
      <c r="Z660" s="152">
        <v>2</v>
      </c>
      <c r="AA660" s="152" t="s">
        <v>92</v>
      </c>
      <c r="AB660" s="152">
        <v>115.23</v>
      </c>
      <c r="AC660" s="152">
        <v>2</v>
      </c>
      <c r="AD660" s="152" t="s">
        <v>861</v>
      </c>
      <c r="AE660" s="152">
        <v>115.23</v>
      </c>
      <c r="AF660" s="152">
        <v>0</v>
      </c>
      <c r="AG660" s="152" t="s">
        <v>861</v>
      </c>
      <c r="AH660" s="152" t="s">
        <v>861</v>
      </c>
      <c r="AI660" s="152" t="s">
        <v>92</v>
      </c>
      <c r="AJ660" s="152" t="s">
        <v>92</v>
      </c>
      <c r="AK660" s="152" t="s">
        <v>884</v>
      </c>
      <c r="AL660" s="152" t="s">
        <v>856</v>
      </c>
      <c r="AP660" s="152" t="s">
        <v>856</v>
      </c>
      <c r="AQ660" s="152" t="s">
        <v>856</v>
      </c>
      <c r="AR660" s="152" t="s">
        <v>1234</v>
      </c>
      <c r="AS660" s="159" t="s">
        <v>865</v>
      </c>
      <c r="AT660" s="152" t="str">
        <f t="shared" si="40"/>
        <v>RPNG8-010123</v>
      </c>
      <c r="AU660" s="152" t="str">
        <f t="shared" si="41"/>
        <v xml:space="preserve">MOISES GONZALEZ MACARIO </v>
      </c>
      <c r="AV660" s="152">
        <v>2419.83</v>
      </c>
      <c r="AW660" s="152">
        <v>927850</v>
      </c>
      <c r="AX660" s="159" t="s">
        <v>856</v>
      </c>
      <c r="AY660" s="159" t="s">
        <v>856</v>
      </c>
      <c r="AZ660" s="152" t="s">
        <v>864</v>
      </c>
      <c r="BA660" s="152" t="str">
        <f t="shared" si="38"/>
        <v>L23-030-JC001</v>
      </c>
      <c r="BB660" s="152">
        <v>0</v>
      </c>
      <c r="BC660" s="157">
        <v>44942</v>
      </c>
      <c r="BD660" s="157">
        <v>44942</v>
      </c>
      <c r="BE660" s="158">
        <v>288075</v>
      </c>
    </row>
    <row r="661" spans="1:66">
      <c r="A661" s="152" t="s">
        <v>5053</v>
      </c>
      <c r="B661" s="152" t="s">
        <v>5054</v>
      </c>
      <c r="C661" s="152" t="s">
        <v>5055</v>
      </c>
      <c r="D661" s="152" t="s">
        <v>5056</v>
      </c>
      <c r="E661" s="152" t="s">
        <v>5056</v>
      </c>
      <c r="F661" s="152">
        <v>5047</v>
      </c>
      <c r="G661" s="152">
        <v>47</v>
      </c>
      <c r="H661" s="152" t="s">
        <v>5057</v>
      </c>
      <c r="I661" s="152">
        <v>203218</v>
      </c>
      <c r="J661" s="152">
        <v>128</v>
      </c>
      <c r="K661" s="152">
        <v>89902</v>
      </c>
      <c r="L661" s="164" t="s">
        <v>856</v>
      </c>
      <c r="M661" s="152" t="s">
        <v>92</v>
      </c>
      <c r="N661" s="152" t="s">
        <v>92</v>
      </c>
      <c r="O661" s="164" t="s">
        <v>856</v>
      </c>
      <c r="P661" s="164" t="s">
        <v>856</v>
      </c>
      <c r="Q661" s="152" t="s">
        <v>92</v>
      </c>
      <c r="R661" s="152" t="s">
        <v>92</v>
      </c>
      <c r="S661" s="164" t="s">
        <v>856</v>
      </c>
      <c r="T661" s="164" t="s">
        <v>856</v>
      </c>
      <c r="U661" s="164" t="s">
        <v>856</v>
      </c>
      <c r="V661" s="152" t="s">
        <v>857</v>
      </c>
      <c r="W661" s="152" t="s">
        <v>4609</v>
      </c>
      <c r="X661" s="152" t="s">
        <v>1083</v>
      </c>
      <c r="Y661" s="152">
        <v>3.08</v>
      </c>
      <c r="Z661" s="152">
        <v>1</v>
      </c>
      <c r="AA661" s="152" t="s">
        <v>92</v>
      </c>
      <c r="AB661" s="152">
        <v>117.83</v>
      </c>
      <c r="AC661" s="152">
        <v>1</v>
      </c>
      <c r="AD661" s="152" t="s">
        <v>861</v>
      </c>
      <c r="AE661" s="152">
        <v>117.83</v>
      </c>
      <c r="AF661" s="152">
        <v>0</v>
      </c>
      <c r="AG661" s="152">
        <v>2.17</v>
      </c>
      <c r="AH661" s="152" t="s">
        <v>861</v>
      </c>
      <c r="AI661" s="152" t="s">
        <v>92</v>
      </c>
      <c r="AJ661" s="152" t="s">
        <v>92</v>
      </c>
      <c r="AK661" s="152" t="s">
        <v>862</v>
      </c>
      <c r="AL661" s="152" t="s">
        <v>856</v>
      </c>
      <c r="AP661" s="152" t="s">
        <v>856</v>
      </c>
      <c r="AQ661" s="152" t="s">
        <v>856</v>
      </c>
      <c r="AR661" s="152" t="s">
        <v>1953</v>
      </c>
      <c r="AS661" s="159" t="s">
        <v>865</v>
      </c>
      <c r="AT661" s="152" t="str">
        <f t="shared" si="40"/>
        <v>RPNR1-601022</v>
      </c>
      <c r="AU661" s="152" t="str">
        <f t="shared" si="41"/>
        <v xml:space="preserve">ERICK GILBERTO RACANCOJ MORALES </v>
      </c>
      <c r="AV661" s="152">
        <v>1193.76</v>
      </c>
      <c r="AW661" s="152">
        <v>820187</v>
      </c>
      <c r="AX661" s="152">
        <v>40</v>
      </c>
      <c r="AY661" s="152">
        <v>820189</v>
      </c>
      <c r="AZ661" s="152" t="s">
        <v>864</v>
      </c>
      <c r="BA661" s="152" t="str">
        <f t="shared" si="38"/>
        <v>L23-384-NR001</v>
      </c>
      <c r="BB661" s="152">
        <v>0</v>
      </c>
      <c r="BC661" s="157">
        <v>44953</v>
      </c>
      <c r="BD661" s="157">
        <v>44953</v>
      </c>
      <c r="BE661" s="158">
        <v>236738</v>
      </c>
      <c r="BF661" s="152" t="s">
        <v>5058</v>
      </c>
      <c r="BG661" s="152" t="s">
        <v>894</v>
      </c>
      <c r="BH661" s="152">
        <v>117.83</v>
      </c>
      <c r="BI661" s="152">
        <v>0</v>
      </c>
      <c r="BJ661" s="152">
        <v>0</v>
      </c>
      <c r="BK661" s="152" t="s">
        <v>4184</v>
      </c>
      <c r="BL661" s="152">
        <v>117.83</v>
      </c>
      <c r="BM661" s="152">
        <v>820188</v>
      </c>
      <c r="BN661" s="157" t="s">
        <v>1453</v>
      </c>
    </row>
    <row r="662" spans="1:66">
      <c r="A662" s="152" t="s">
        <v>5059</v>
      </c>
      <c r="B662" s="152" t="s">
        <v>5060</v>
      </c>
      <c r="C662" s="152" t="s">
        <v>5061</v>
      </c>
      <c r="D662" s="152" t="s">
        <v>5062</v>
      </c>
      <c r="E662" s="152" t="s">
        <v>5062</v>
      </c>
      <c r="F662" s="152">
        <v>2788</v>
      </c>
      <c r="G662" s="152">
        <v>288</v>
      </c>
      <c r="H662" s="152" t="s">
        <v>3771</v>
      </c>
      <c r="I662" s="152">
        <v>203389</v>
      </c>
      <c r="J662" s="152">
        <v>64.069999999999993</v>
      </c>
      <c r="K662" s="152">
        <v>90019</v>
      </c>
      <c r="L662" s="164" t="s">
        <v>856</v>
      </c>
      <c r="M662" s="152" t="s">
        <v>92</v>
      </c>
      <c r="N662" s="152" t="s">
        <v>92</v>
      </c>
      <c r="O662" s="164" t="s">
        <v>856</v>
      </c>
      <c r="P662" s="164" t="s">
        <v>856</v>
      </c>
      <c r="Q662" s="152" t="s">
        <v>92</v>
      </c>
      <c r="R662" s="152" t="s">
        <v>92</v>
      </c>
      <c r="S662" s="164" t="s">
        <v>856</v>
      </c>
      <c r="T662" s="164" t="s">
        <v>856</v>
      </c>
      <c r="U662" s="164" t="s">
        <v>856</v>
      </c>
      <c r="V662" s="152" t="s">
        <v>3530</v>
      </c>
      <c r="W662" s="152" t="s">
        <v>4609</v>
      </c>
      <c r="X662" s="152" t="s">
        <v>1083</v>
      </c>
      <c r="Y662" s="152">
        <v>0</v>
      </c>
      <c r="Z662" s="152">
        <v>1</v>
      </c>
      <c r="AA662" s="152" t="s">
        <v>92</v>
      </c>
      <c r="AB662" s="152">
        <v>146.32</v>
      </c>
      <c r="AC662" s="152">
        <v>3</v>
      </c>
      <c r="AD662" s="152" t="s">
        <v>861</v>
      </c>
      <c r="AE662" s="152">
        <v>146.32</v>
      </c>
      <c r="AF662" s="152">
        <v>0</v>
      </c>
      <c r="AG662" s="152" t="s">
        <v>861</v>
      </c>
      <c r="AH662" s="152" t="s">
        <v>861</v>
      </c>
      <c r="AI662" s="152" t="s">
        <v>92</v>
      </c>
      <c r="AJ662" s="152" t="s">
        <v>92</v>
      </c>
      <c r="AK662" s="152" t="s">
        <v>912</v>
      </c>
      <c r="AL662" s="152" t="s">
        <v>856</v>
      </c>
      <c r="AP662" s="152" t="s">
        <v>856</v>
      </c>
      <c r="AQ662" s="152" t="s">
        <v>856</v>
      </c>
      <c r="AR662" s="152" t="s">
        <v>1953</v>
      </c>
      <c r="AS662" s="159" t="s">
        <v>865</v>
      </c>
      <c r="AT662" s="152" t="str">
        <f t="shared" si="40"/>
        <v>RPNA6-030123</v>
      </c>
      <c r="AU662" s="152" t="str">
        <f t="shared" si="41"/>
        <v xml:space="preserve">MANUEL ENRIQUE ALVAREZ ALVARADO </v>
      </c>
      <c r="AV662" s="152">
        <v>2212.36</v>
      </c>
      <c r="AW662" s="152">
        <v>825175</v>
      </c>
      <c r="AX662" s="152">
        <v>22.65</v>
      </c>
      <c r="AY662" s="152">
        <v>825176</v>
      </c>
      <c r="AZ662" s="152" t="s">
        <v>864</v>
      </c>
      <c r="BA662" s="152" t="str">
        <f t="shared" si="38"/>
        <v>L23-502-SP081</v>
      </c>
      <c r="BB662" s="152">
        <v>0</v>
      </c>
      <c r="BC662" s="157">
        <v>44972</v>
      </c>
      <c r="BD662" s="157">
        <v>44972</v>
      </c>
      <c r="BE662" s="158">
        <v>438960</v>
      </c>
    </row>
    <row r="663" spans="1:66">
      <c r="A663" s="152" t="s">
        <v>5063</v>
      </c>
      <c r="B663" s="152" t="s">
        <v>5064</v>
      </c>
      <c r="C663" s="152" t="s">
        <v>5065</v>
      </c>
      <c r="D663" s="152" t="s">
        <v>5066</v>
      </c>
      <c r="E663" s="152" t="s">
        <v>5066</v>
      </c>
      <c r="F663" s="152">
        <v>9708</v>
      </c>
      <c r="G663" s="152">
        <v>208</v>
      </c>
      <c r="H663" s="152" t="s">
        <v>5067</v>
      </c>
      <c r="I663" s="152">
        <v>203166</v>
      </c>
      <c r="J663" s="152">
        <v>241.4</v>
      </c>
      <c r="K663" s="152">
        <v>89851</v>
      </c>
      <c r="L663" s="164" t="s">
        <v>856</v>
      </c>
      <c r="M663" s="152" t="s">
        <v>92</v>
      </c>
      <c r="N663" s="152" t="s">
        <v>92</v>
      </c>
      <c r="O663" s="164" t="s">
        <v>856</v>
      </c>
      <c r="P663" s="164" t="s">
        <v>856</v>
      </c>
      <c r="Q663" s="152" t="s">
        <v>92</v>
      </c>
      <c r="R663" s="152" t="s">
        <v>92</v>
      </c>
      <c r="S663" s="164" t="s">
        <v>856</v>
      </c>
      <c r="T663" s="164" t="s">
        <v>856</v>
      </c>
      <c r="U663" s="164" t="s">
        <v>856</v>
      </c>
      <c r="V663" s="152" t="s">
        <v>857</v>
      </c>
      <c r="W663" s="152" t="s">
        <v>4609</v>
      </c>
      <c r="X663" s="152" t="s">
        <v>1083</v>
      </c>
      <c r="Y663" s="152">
        <v>2.2799999999999998</v>
      </c>
      <c r="Z663" s="152">
        <v>1</v>
      </c>
      <c r="AA663" s="152" t="s">
        <v>883</v>
      </c>
      <c r="AB663" s="152">
        <v>251.52</v>
      </c>
      <c r="AC663" s="152">
        <v>2</v>
      </c>
      <c r="AD663" s="152" t="s">
        <v>861</v>
      </c>
      <c r="AE663" s="152">
        <v>251.52</v>
      </c>
      <c r="AF663" s="152">
        <v>0</v>
      </c>
      <c r="AG663" s="152" t="s">
        <v>861</v>
      </c>
      <c r="AH663" s="152" t="s">
        <v>861</v>
      </c>
      <c r="AI663" s="152" t="s">
        <v>92</v>
      </c>
      <c r="AJ663" s="152" t="s">
        <v>92</v>
      </c>
      <c r="AK663" s="152" t="s">
        <v>912</v>
      </c>
      <c r="AL663" s="152" t="s">
        <v>856</v>
      </c>
      <c r="AP663" s="152" t="s">
        <v>856</v>
      </c>
      <c r="AQ663" s="152" t="s">
        <v>856</v>
      </c>
      <c r="AR663" s="152" t="s">
        <v>863</v>
      </c>
      <c r="AS663" s="159" t="s">
        <v>865</v>
      </c>
      <c r="AT663" s="152" t="str">
        <f t="shared" si="40"/>
        <v>RPNP6-481021</v>
      </c>
      <c r="AU663" s="152" t="str">
        <f t="shared" si="41"/>
        <v xml:space="preserve">DANY UZZIEL PEREIRA OSORIO </v>
      </c>
      <c r="AV663" s="152">
        <v>2981.46</v>
      </c>
      <c r="AW663" s="152">
        <v>927777</v>
      </c>
      <c r="AX663" s="152">
        <v>63.45</v>
      </c>
      <c r="AY663" s="152">
        <v>927779</v>
      </c>
      <c r="AZ663" s="152" t="s">
        <v>864</v>
      </c>
      <c r="BA663" s="152" t="str">
        <f t="shared" si="38"/>
        <v>L23-028-MP131</v>
      </c>
      <c r="BB663" s="152">
        <v>0</v>
      </c>
      <c r="BC663" s="157">
        <v>44942</v>
      </c>
      <c r="BD663" s="157">
        <v>44942</v>
      </c>
      <c r="BE663" s="158">
        <v>579278</v>
      </c>
      <c r="BF663" s="152" t="s">
        <v>5068</v>
      </c>
      <c r="BG663" s="152" t="s">
        <v>894</v>
      </c>
      <c r="BH663" s="152">
        <v>251.52</v>
      </c>
      <c r="BI663" s="152">
        <v>0</v>
      </c>
      <c r="BJ663" s="152">
        <v>0</v>
      </c>
      <c r="BK663" s="152" t="s">
        <v>4184</v>
      </c>
      <c r="BL663" s="152">
        <v>196.9</v>
      </c>
      <c r="BM663" s="152">
        <v>927778</v>
      </c>
      <c r="BN663" s="157" t="s">
        <v>1453</v>
      </c>
    </row>
    <row r="664" spans="1:66">
      <c r="A664" s="152" t="s">
        <v>5069</v>
      </c>
      <c r="B664" s="152" t="s">
        <v>5070</v>
      </c>
      <c r="C664" s="152" t="s">
        <v>5071</v>
      </c>
      <c r="D664" s="152" t="s">
        <v>5072</v>
      </c>
      <c r="E664" s="152" t="s">
        <v>5072</v>
      </c>
      <c r="F664" s="152">
        <v>822</v>
      </c>
      <c r="G664" s="152">
        <v>322</v>
      </c>
      <c r="H664" s="152" t="s">
        <v>3722</v>
      </c>
      <c r="I664" s="152">
        <v>177227</v>
      </c>
      <c r="J664" s="152">
        <v>32.65</v>
      </c>
      <c r="K664" s="152">
        <v>70752</v>
      </c>
      <c r="L664" s="164" t="s">
        <v>856</v>
      </c>
      <c r="M664" s="152" t="s">
        <v>92</v>
      </c>
      <c r="N664" s="152" t="s">
        <v>92</v>
      </c>
      <c r="O664" s="164" t="s">
        <v>856</v>
      </c>
      <c r="P664" s="164" t="s">
        <v>856</v>
      </c>
      <c r="Q664" s="152" t="s">
        <v>92</v>
      </c>
      <c r="R664" s="152" t="s">
        <v>92</v>
      </c>
      <c r="S664" s="164" t="s">
        <v>856</v>
      </c>
      <c r="T664" s="164" t="s">
        <v>856</v>
      </c>
      <c r="U664" s="164" t="s">
        <v>856</v>
      </c>
      <c r="V664" s="152" t="s">
        <v>5073</v>
      </c>
      <c r="W664" s="152" t="s">
        <v>4609</v>
      </c>
      <c r="X664" s="152" t="s">
        <v>1083</v>
      </c>
      <c r="Y664" s="152">
        <v>0</v>
      </c>
      <c r="Z664" s="152">
        <v>0</v>
      </c>
      <c r="AA664" s="152" t="s">
        <v>92</v>
      </c>
      <c r="AB664" s="152">
        <v>32.65</v>
      </c>
      <c r="AC664" s="152">
        <v>2</v>
      </c>
      <c r="AD664" s="152" t="s">
        <v>861</v>
      </c>
      <c r="AE664" s="152">
        <v>32.65</v>
      </c>
      <c r="AF664" s="152">
        <v>0</v>
      </c>
      <c r="AG664" s="152" t="s">
        <v>861</v>
      </c>
      <c r="AH664" s="152" t="s">
        <v>861</v>
      </c>
      <c r="AI664" s="152" t="s">
        <v>92</v>
      </c>
      <c r="AJ664" s="152" t="s">
        <v>92</v>
      </c>
      <c r="AK664" s="152" t="s">
        <v>912</v>
      </c>
      <c r="AL664" s="152" t="s">
        <v>856</v>
      </c>
      <c r="AP664" s="152" t="s">
        <v>856</v>
      </c>
      <c r="AQ664" s="152" t="s">
        <v>856</v>
      </c>
      <c r="AR664" s="152" t="s">
        <v>863</v>
      </c>
      <c r="AS664" s="159" t="s">
        <v>865</v>
      </c>
      <c r="AT664" s="152" t="str">
        <f t="shared" ref="AT664:AT694" si="42">B664</f>
        <v>RPNL4-110822</v>
      </c>
      <c r="AU664" s="152" t="str">
        <f t="shared" si="41"/>
        <v xml:space="preserve">EDGAR AROLDO LOPEZ MORALES </v>
      </c>
      <c r="AV664" s="152">
        <v>411.39</v>
      </c>
      <c r="AW664" s="152">
        <v>929941</v>
      </c>
      <c r="AX664" s="159" t="s">
        <v>856</v>
      </c>
      <c r="AY664" s="159" t="s">
        <v>856</v>
      </c>
      <c r="AZ664" s="152" t="s">
        <v>864</v>
      </c>
      <c r="BA664" s="152" t="str">
        <f t="shared" si="38"/>
        <v>L23-665-JM185</v>
      </c>
      <c r="BB664" s="152">
        <v>0</v>
      </c>
      <c r="BC664" s="157">
        <v>44946</v>
      </c>
      <c r="BD664" s="157">
        <v>44946</v>
      </c>
      <c r="BE664" s="158">
        <v>81625</v>
      </c>
    </row>
    <row r="665" spans="1:66">
      <c r="A665" s="152" t="s">
        <v>5074</v>
      </c>
      <c r="B665" s="152" t="s">
        <v>5075</v>
      </c>
      <c r="C665" s="152" t="s">
        <v>5076</v>
      </c>
      <c r="D665" s="152" t="s">
        <v>5077</v>
      </c>
      <c r="E665" s="152" t="s">
        <v>5078</v>
      </c>
      <c r="F665" s="152">
        <v>334004</v>
      </c>
      <c r="G665" s="152">
        <v>214</v>
      </c>
      <c r="H665" s="152">
        <v>830</v>
      </c>
      <c r="I665" s="152">
        <v>203157</v>
      </c>
      <c r="J665" s="152">
        <v>158.80000000000001</v>
      </c>
      <c r="K665" s="152">
        <v>89844</v>
      </c>
      <c r="L665" s="164" t="s">
        <v>856</v>
      </c>
      <c r="M665" s="152" t="s">
        <v>92</v>
      </c>
      <c r="N665" s="152" t="s">
        <v>92</v>
      </c>
      <c r="O665" s="164" t="s">
        <v>856</v>
      </c>
      <c r="P665" s="164" t="s">
        <v>856</v>
      </c>
      <c r="Q665" s="152" t="s">
        <v>92</v>
      </c>
      <c r="R665" s="152" t="s">
        <v>92</v>
      </c>
      <c r="S665" s="164" t="s">
        <v>856</v>
      </c>
      <c r="T665" s="164" t="s">
        <v>856</v>
      </c>
      <c r="U665" s="164" t="s">
        <v>856</v>
      </c>
      <c r="V665" s="152" t="s">
        <v>3530</v>
      </c>
      <c r="W665" s="152" t="s">
        <v>4609</v>
      </c>
      <c r="X665" s="152" t="s">
        <v>1083</v>
      </c>
      <c r="Y665" s="152">
        <v>95.04</v>
      </c>
      <c r="Z665" s="152">
        <v>1</v>
      </c>
      <c r="AA665" s="152" t="s">
        <v>92</v>
      </c>
      <c r="AB665" s="152">
        <v>140</v>
      </c>
      <c r="AC665" s="152">
        <v>2</v>
      </c>
      <c r="AD665" s="152" t="s">
        <v>861</v>
      </c>
      <c r="AE665" s="152">
        <v>140</v>
      </c>
      <c r="AF665" s="152">
        <v>0</v>
      </c>
      <c r="AG665" s="152" t="s">
        <v>861</v>
      </c>
      <c r="AH665" s="152" t="s">
        <v>861</v>
      </c>
      <c r="AI665" s="152" t="s">
        <v>92</v>
      </c>
      <c r="AJ665" s="152" t="s">
        <v>92</v>
      </c>
      <c r="AK665" s="152" t="s">
        <v>912</v>
      </c>
      <c r="AL665" s="152" t="s">
        <v>856</v>
      </c>
      <c r="AP665" s="152" t="s">
        <v>856</v>
      </c>
      <c r="AQ665" s="152" t="s">
        <v>856</v>
      </c>
      <c r="AR665" s="152" t="s">
        <v>863</v>
      </c>
      <c r="AS665" s="159" t="s">
        <v>865</v>
      </c>
      <c r="AT665" s="152" t="str">
        <f t="shared" si="42"/>
        <v>RPNS5-791022</v>
      </c>
      <c r="AU665" s="152" t="str">
        <f t="shared" si="41"/>
        <v xml:space="preserve">HIGINIO SOBERANIS HERRERA </v>
      </c>
      <c r="AV665" s="152">
        <v>1950.28</v>
      </c>
      <c r="AW665" s="152">
        <v>823009</v>
      </c>
      <c r="AX665" s="152">
        <v>40</v>
      </c>
      <c r="AY665" s="152">
        <v>823011</v>
      </c>
      <c r="AZ665" s="152" t="s">
        <v>864</v>
      </c>
      <c r="BA665" s="152" t="str">
        <f t="shared" si="38"/>
        <v>L23-437-SP073</v>
      </c>
      <c r="BB665" s="152">
        <v>0</v>
      </c>
      <c r="BC665" s="157">
        <v>44953</v>
      </c>
      <c r="BD665" s="157">
        <v>44953</v>
      </c>
      <c r="BE665" s="158">
        <v>383264</v>
      </c>
      <c r="BF665" s="152" t="s">
        <v>5079</v>
      </c>
      <c r="BG665" s="152" t="s">
        <v>894</v>
      </c>
      <c r="BH665" s="152">
        <v>140</v>
      </c>
      <c r="BI665" s="152">
        <v>0</v>
      </c>
      <c r="BJ665" s="152">
        <v>0</v>
      </c>
      <c r="BK665" s="152" t="s">
        <v>4184</v>
      </c>
      <c r="BL665" s="152">
        <v>140</v>
      </c>
      <c r="BM665" s="152">
        <v>823010</v>
      </c>
      <c r="BN665" s="157" t="s">
        <v>1453</v>
      </c>
    </row>
    <row r="666" spans="1:66">
      <c r="A666" s="152" t="s">
        <v>5080</v>
      </c>
      <c r="B666" s="152" t="s">
        <v>5081</v>
      </c>
      <c r="C666" s="152" t="s">
        <v>5082</v>
      </c>
      <c r="D666" s="152" t="s">
        <v>5083</v>
      </c>
      <c r="E666" s="152" t="s">
        <v>5083</v>
      </c>
      <c r="F666" s="152">
        <v>309990</v>
      </c>
      <c r="G666" s="152">
        <v>280</v>
      </c>
      <c r="H666" s="152">
        <v>750</v>
      </c>
      <c r="I666" s="152">
        <v>202982</v>
      </c>
      <c r="J666" s="152">
        <v>144</v>
      </c>
      <c r="K666" s="152">
        <v>89692</v>
      </c>
      <c r="L666" s="164" t="s">
        <v>856</v>
      </c>
      <c r="M666" s="152" t="s">
        <v>92</v>
      </c>
      <c r="N666" s="152" t="s">
        <v>92</v>
      </c>
      <c r="O666" s="164" t="s">
        <v>856</v>
      </c>
      <c r="P666" s="164" t="s">
        <v>856</v>
      </c>
      <c r="Q666" s="152" t="s">
        <v>92</v>
      </c>
      <c r="R666" s="152" t="s">
        <v>92</v>
      </c>
      <c r="S666" s="164" t="s">
        <v>856</v>
      </c>
      <c r="T666" s="164" t="s">
        <v>856</v>
      </c>
      <c r="U666" s="164" t="s">
        <v>856</v>
      </c>
      <c r="V666" s="152" t="s">
        <v>857</v>
      </c>
      <c r="W666" s="152" t="s">
        <v>4609</v>
      </c>
      <c r="X666" s="152" t="s">
        <v>1083</v>
      </c>
      <c r="Y666" s="152">
        <v>26.56</v>
      </c>
      <c r="Z666" s="152">
        <v>1</v>
      </c>
      <c r="AA666" s="152" t="s">
        <v>92</v>
      </c>
      <c r="AB666" s="152">
        <v>124.63</v>
      </c>
      <c r="AC666" s="152">
        <v>1</v>
      </c>
      <c r="AD666" s="152" t="s">
        <v>861</v>
      </c>
      <c r="AE666" s="152">
        <v>124.63</v>
      </c>
      <c r="AF666" s="152">
        <v>0</v>
      </c>
      <c r="AG666" s="152" t="s">
        <v>861</v>
      </c>
      <c r="AH666" s="152" t="s">
        <v>861</v>
      </c>
      <c r="AI666" s="152" t="s">
        <v>92</v>
      </c>
      <c r="AJ666" s="152" t="s">
        <v>92</v>
      </c>
      <c r="AK666" s="152" t="s">
        <v>884</v>
      </c>
      <c r="AL666" s="152" t="s">
        <v>856</v>
      </c>
      <c r="AP666" s="152" t="s">
        <v>856</v>
      </c>
      <c r="AQ666" s="152" t="s">
        <v>856</v>
      </c>
      <c r="AR666" s="152" t="s">
        <v>3846</v>
      </c>
      <c r="AS666" s="159" t="s">
        <v>865</v>
      </c>
      <c r="AT666" s="152" t="str">
        <f t="shared" si="42"/>
        <v>RPNP6-461122</v>
      </c>
      <c r="AU666" s="152" t="str">
        <f t="shared" si="41"/>
        <v xml:space="preserve">EDY ADOLFO PEREZ PEREZ </v>
      </c>
      <c r="AV666" s="152">
        <v>1333.53</v>
      </c>
      <c r="AW666" s="152">
        <v>914429</v>
      </c>
      <c r="AX666" s="152">
        <v>40</v>
      </c>
      <c r="AY666" s="152">
        <v>914432</v>
      </c>
      <c r="AZ666" s="152" t="s">
        <v>864</v>
      </c>
      <c r="BA666" s="152" t="str">
        <f t="shared" si="38"/>
        <v>L23-346-AQ019</v>
      </c>
      <c r="BB666" s="152">
        <v>0</v>
      </c>
      <c r="BC666" s="157">
        <v>44931</v>
      </c>
      <c r="BD666" s="157">
        <v>44931</v>
      </c>
      <c r="BE666" s="158">
        <v>259396</v>
      </c>
      <c r="BF666" s="152" t="s">
        <v>5084</v>
      </c>
      <c r="BG666" s="152" t="s">
        <v>894</v>
      </c>
      <c r="BH666" s="152">
        <v>124.63</v>
      </c>
      <c r="BI666" s="152">
        <v>0</v>
      </c>
      <c r="BJ666" s="152">
        <v>0</v>
      </c>
      <c r="BK666" s="152" t="s">
        <v>132</v>
      </c>
      <c r="BL666" s="152">
        <v>124.63</v>
      </c>
      <c r="BM666" s="152">
        <v>914430</v>
      </c>
      <c r="BN666" s="157" t="s">
        <v>1453</v>
      </c>
    </row>
    <row r="667" spans="1:66" s="165" customFormat="1">
      <c r="A667" s="165" t="s">
        <v>5085</v>
      </c>
      <c r="B667" s="165" t="s">
        <v>5086</v>
      </c>
      <c r="C667" s="165" t="s">
        <v>5087</v>
      </c>
      <c r="D667" s="165" t="s">
        <v>5088</v>
      </c>
      <c r="E667" s="165" t="s">
        <v>5088</v>
      </c>
      <c r="F667" s="165">
        <v>5258</v>
      </c>
      <c r="G667" s="165">
        <v>258</v>
      </c>
      <c r="H667" s="165" t="s">
        <v>5057</v>
      </c>
      <c r="I667" s="165">
        <v>203259</v>
      </c>
      <c r="J667" s="165">
        <v>64</v>
      </c>
      <c r="K667" s="165">
        <v>89942</v>
      </c>
      <c r="L667" s="166" t="s">
        <v>856</v>
      </c>
      <c r="M667" s="165" t="s">
        <v>92</v>
      </c>
      <c r="N667" s="166" t="s">
        <v>92</v>
      </c>
      <c r="O667" s="166" t="s">
        <v>856</v>
      </c>
      <c r="P667" s="166" t="s">
        <v>856</v>
      </c>
      <c r="Q667" s="165" t="s">
        <v>92</v>
      </c>
      <c r="R667" s="165" t="s">
        <v>92</v>
      </c>
      <c r="S667" s="166" t="s">
        <v>856</v>
      </c>
      <c r="T667" s="166" t="s">
        <v>856</v>
      </c>
      <c r="U667" s="166" t="s">
        <v>856</v>
      </c>
      <c r="V667" s="165" t="s">
        <v>857</v>
      </c>
      <c r="W667" s="165" t="s">
        <v>4609</v>
      </c>
      <c r="X667" s="165" t="s">
        <v>1083</v>
      </c>
      <c r="Y667" s="165">
        <v>0</v>
      </c>
      <c r="Z667" s="165">
        <v>1</v>
      </c>
      <c r="AA667" s="165" t="s">
        <v>92</v>
      </c>
      <c r="AB667" s="165">
        <v>68</v>
      </c>
      <c r="AC667" s="165">
        <v>1</v>
      </c>
      <c r="AD667" s="165" t="s">
        <v>861</v>
      </c>
      <c r="AE667" s="165">
        <v>68</v>
      </c>
      <c r="AF667" s="165">
        <v>0</v>
      </c>
      <c r="AG667" s="165" t="s">
        <v>861</v>
      </c>
      <c r="AH667" s="165" t="s">
        <v>861</v>
      </c>
      <c r="AI667" s="165" t="s">
        <v>92</v>
      </c>
      <c r="AJ667" s="165" t="s">
        <v>92</v>
      </c>
      <c r="AK667" s="165" t="s">
        <v>862</v>
      </c>
      <c r="AL667" s="165" t="s">
        <v>856</v>
      </c>
      <c r="AP667" s="165" t="s">
        <v>856</v>
      </c>
      <c r="AQ667" s="165" t="s">
        <v>856</v>
      </c>
      <c r="AR667" s="165" t="s">
        <v>4720</v>
      </c>
      <c r="AS667" s="167" t="s">
        <v>865</v>
      </c>
      <c r="AT667" s="165" t="str">
        <f t="shared" si="42"/>
        <v>RPNA3-010123</v>
      </c>
      <c r="AU667" s="165" t="str">
        <f t="shared" si="41"/>
        <v xml:space="preserve">GERSON DAVID ALVAREZ PEREZ </v>
      </c>
      <c r="AV667" s="165">
        <v>685.44</v>
      </c>
      <c r="AW667" s="165">
        <v>825938</v>
      </c>
      <c r="AX667" s="167" t="s">
        <v>856</v>
      </c>
      <c r="AY667" s="167" t="s">
        <v>856</v>
      </c>
      <c r="AZ667" s="165" t="s">
        <v>864</v>
      </c>
      <c r="BA667" s="165" t="str">
        <f t="shared" si="38"/>
        <v>L23-383-JM16</v>
      </c>
      <c r="BB667" s="165">
        <v>0</v>
      </c>
      <c r="BC667" s="168">
        <v>44979</v>
      </c>
      <c r="BD667" s="168">
        <v>44979</v>
      </c>
      <c r="BE667" s="169">
        <v>136000</v>
      </c>
      <c r="BF667" s="165" t="s">
        <v>5089</v>
      </c>
      <c r="BG667" s="165" t="s">
        <v>894</v>
      </c>
      <c r="BH667" s="165">
        <v>68</v>
      </c>
      <c r="BI667" s="165">
        <v>0</v>
      </c>
      <c r="BJ667" s="165">
        <v>0</v>
      </c>
      <c r="BK667" s="165" t="s">
        <v>132</v>
      </c>
      <c r="BL667" s="165">
        <v>68</v>
      </c>
      <c r="BM667" s="165">
        <v>825939</v>
      </c>
      <c r="BN667" s="168" t="s">
        <v>1453</v>
      </c>
    </row>
    <row r="668" spans="1:66">
      <c r="A668" s="152" t="s">
        <v>5090</v>
      </c>
      <c r="B668" s="152" t="s">
        <v>5091</v>
      </c>
      <c r="C668" s="152" t="s">
        <v>5092</v>
      </c>
      <c r="D668" s="152" t="s">
        <v>5093</v>
      </c>
      <c r="E668" s="152" t="s">
        <v>5093</v>
      </c>
      <c r="F668" s="159" t="s">
        <v>856</v>
      </c>
      <c r="G668" s="159" t="s">
        <v>856</v>
      </c>
      <c r="H668" s="159" t="s">
        <v>856</v>
      </c>
      <c r="I668" s="159">
        <v>203168</v>
      </c>
      <c r="J668" s="152">
        <v>218</v>
      </c>
      <c r="K668" s="152">
        <v>89853</v>
      </c>
      <c r="L668" s="164" t="s">
        <v>856</v>
      </c>
      <c r="M668" s="152" t="s">
        <v>92</v>
      </c>
      <c r="N668" s="152" t="s">
        <v>92</v>
      </c>
      <c r="O668" s="164" t="s">
        <v>856</v>
      </c>
      <c r="P668" s="164" t="s">
        <v>856</v>
      </c>
      <c r="Q668" s="152" t="s">
        <v>92</v>
      </c>
      <c r="R668" s="152" t="s">
        <v>92</v>
      </c>
      <c r="S668" s="164" t="s">
        <v>856</v>
      </c>
      <c r="T668" s="164" t="s">
        <v>856</v>
      </c>
      <c r="U668" s="164" t="s">
        <v>856</v>
      </c>
      <c r="V668" s="152" t="s">
        <v>857</v>
      </c>
      <c r="W668" s="152" t="s">
        <v>4609</v>
      </c>
      <c r="X668" s="152" t="s">
        <v>1083</v>
      </c>
      <c r="Y668" s="152">
        <v>0</v>
      </c>
      <c r="Z668" s="152">
        <v>1</v>
      </c>
      <c r="AA668" s="152" t="s">
        <v>92</v>
      </c>
      <c r="AB668" s="152">
        <v>136.07</v>
      </c>
      <c r="AC668" s="152">
        <v>1</v>
      </c>
      <c r="AD668" s="152" t="s">
        <v>861</v>
      </c>
      <c r="AE668" s="152">
        <v>136.07</v>
      </c>
      <c r="AF668" s="152">
        <v>0</v>
      </c>
      <c r="AG668" s="152" t="s">
        <v>861</v>
      </c>
      <c r="AH668" s="152" t="s">
        <v>861</v>
      </c>
      <c r="AI668" s="152" t="s">
        <v>92</v>
      </c>
      <c r="AJ668" s="152" t="s">
        <v>92</v>
      </c>
      <c r="AK668" s="152" t="s">
        <v>1620</v>
      </c>
      <c r="AL668" s="152" t="s">
        <v>856</v>
      </c>
      <c r="AP668" s="152" t="s">
        <v>856</v>
      </c>
      <c r="AQ668" s="152" t="s">
        <v>856</v>
      </c>
      <c r="AR668" s="152" t="s">
        <v>1953</v>
      </c>
      <c r="AS668" s="159" t="s">
        <v>865</v>
      </c>
      <c r="AT668" s="152" t="str">
        <f t="shared" si="42"/>
        <v>RPNRR-010123</v>
      </c>
      <c r="AU668" s="152" t="str">
        <f t="shared" si="41"/>
        <v xml:space="preserve">MARIA ROMELIA VELASQUEZ MARIN DE RAMOS </v>
      </c>
      <c r="AV668" s="152">
        <v>1522.79</v>
      </c>
      <c r="AW668" s="152">
        <v>821069</v>
      </c>
      <c r="AX668" s="152">
        <v>52.25</v>
      </c>
      <c r="AY668" s="152">
        <v>821071</v>
      </c>
      <c r="AZ668" s="152" t="s">
        <v>864</v>
      </c>
      <c r="BA668" s="152" t="str">
        <f t="shared" si="38"/>
        <v>L23-48-SP074</v>
      </c>
      <c r="BB668" s="152">
        <v>0</v>
      </c>
      <c r="BC668" s="157">
        <v>44958</v>
      </c>
      <c r="BD668" s="157">
        <v>44958</v>
      </c>
      <c r="BE668" s="158">
        <v>277180</v>
      </c>
      <c r="BF668" s="152" t="s">
        <v>5094</v>
      </c>
      <c r="BG668" s="152" t="s">
        <v>894</v>
      </c>
      <c r="BH668" s="152">
        <v>136.07</v>
      </c>
      <c r="BI668" s="152">
        <v>0</v>
      </c>
      <c r="BJ668" s="152">
        <v>0</v>
      </c>
      <c r="BK668" s="152" t="s">
        <v>132</v>
      </c>
      <c r="BL668" s="152">
        <v>136.07</v>
      </c>
      <c r="BM668" s="152">
        <v>821070</v>
      </c>
      <c r="BN668" s="157" t="s">
        <v>1453</v>
      </c>
    </row>
    <row r="669" spans="1:66">
      <c r="A669" s="152" t="s">
        <v>5095</v>
      </c>
      <c r="B669" s="152" t="s">
        <v>5096</v>
      </c>
      <c r="C669" s="152" t="s">
        <v>5097</v>
      </c>
      <c r="D669" s="152" t="s">
        <v>5098</v>
      </c>
      <c r="E669" s="152" t="s">
        <v>5098</v>
      </c>
      <c r="F669" s="152">
        <v>4109</v>
      </c>
      <c r="G669" s="152">
        <v>109</v>
      </c>
      <c r="H669" s="152" t="s">
        <v>3515</v>
      </c>
      <c r="I669" s="152">
        <v>200052</v>
      </c>
      <c r="J669" s="152">
        <v>126</v>
      </c>
      <c r="K669" s="152">
        <v>87339</v>
      </c>
      <c r="L669" s="164" t="s">
        <v>5099</v>
      </c>
      <c r="M669" s="152" t="s">
        <v>92</v>
      </c>
      <c r="N669" s="152" t="s">
        <v>883</v>
      </c>
      <c r="O669" s="152">
        <v>4787</v>
      </c>
      <c r="P669" s="152" t="s">
        <v>1401</v>
      </c>
      <c r="Q669" s="152" t="s">
        <v>92</v>
      </c>
      <c r="R669" s="152" t="s">
        <v>883</v>
      </c>
      <c r="S669" s="152">
        <v>4787</v>
      </c>
      <c r="T669" s="152" t="s">
        <v>856</v>
      </c>
      <c r="U669" s="152" t="s">
        <v>856</v>
      </c>
      <c r="V669" s="152" t="s">
        <v>857</v>
      </c>
      <c r="W669" s="152" t="s">
        <v>5100</v>
      </c>
      <c r="X669" s="152" t="s">
        <v>1083</v>
      </c>
      <c r="Y669" s="152">
        <v>32.770000000000003</v>
      </c>
      <c r="Z669" s="152">
        <v>1</v>
      </c>
      <c r="AA669" s="152" t="s">
        <v>92</v>
      </c>
      <c r="AB669" s="152">
        <v>89.32</v>
      </c>
      <c r="AC669" s="152">
        <v>1</v>
      </c>
      <c r="AD669" s="152" t="s">
        <v>861</v>
      </c>
      <c r="AE669" s="152">
        <v>89.32</v>
      </c>
      <c r="AF669" s="152">
        <v>0</v>
      </c>
      <c r="AG669" s="152" t="s">
        <v>861</v>
      </c>
      <c r="AH669" s="152" t="s">
        <v>861</v>
      </c>
      <c r="AI669" s="152" t="s">
        <v>92</v>
      </c>
      <c r="AJ669" s="152" t="s">
        <v>92</v>
      </c>
      <c r="AK669" s="152" t="s">
        <v>972</v>
      </c>
      <c r="AL669" s="152" t="s">
        <v>856</v>
      </c>
      <c r="AP669" s="152" t="s">
        <v>856</v>
      </c>
      <c r="AQ669" s="152" t="s">
        <v>856</v>
      </c>
      <c r="AR669" s="152" t="s">
        <v>3846</v>
      </c>
      <c r="AS669" s="152" t="s">
        <v>865</v>
      </c>
      <c r="AT669" s="152" t="str">
        <f t="shared" si="42"/>
        <v>RPNS5-801222</v>
      </c>
      <c r="AU669" s="152" t="str">
        <f t="shared" si="41"/>
        <v>CARLOS EDUARDO SAY CUXULIC</v>
      </c>
      <c r="AV669" s="152">
        <v>964.57</v>
      </c>
      <c r="AW669" s="152">
        <v>829028</v>
      </c>
      <c r="AX669" s="152">
        <v>35</v>
      </c>
      <c r="AY669" s="152">
        <v>829030</v>
      </c>
      <c r="AZ669" s="152" t="s">
        <v>864</v>
      </c>
      <c r="BA669" s="152" t="str">
        <f t="shared" si="38"/>
        <v>L23-124-LG009</v>
      </c>
      <c r="BB669" s="152">
        <v>0</v>
      </c>
      <c r="BC669" s="157">
        <v>46082</v>
      </c>
      <c r="BD669" s="157">
        <v>44986</v>
      </c>
      <c r="BE669" s="158">
        <v>190108.79999999999</v>
      </c>
      <c r="BF669" s="152" t="s">
        <v>5101</v>
      </c>
      <c r="BG669" s="152" t="s">
        <v>3779</v>
      </c>
      <c r="BH669" s="152">
        <v>89.32</v>
      </c>
      <c r="BI669" s="152">
        <v>0</v>
      </c>
      <c r="BJ669" s="152">
        <v>0</v>
      </c>
      <c r="BK669" s="152" t="s">
        <v>132</v>
      </c>
      <c r="BL669" s="152">
        <v>89.32</v>
      </c>
      <c r="BM669" s="152">
        <v>829029</v>
      </c>
      <c r="BN669" s="157" t="s">
        <v>5102</v>
      </c>
    </row>
    <row r="670" spans="1:66">
      <c r="A670" s="152" t="s">
        <v>5103</v>
      </c>
      <c r="B670" s="152" t="s">
        <v>5104</v>
      </c>
      <c r="C670" s="152" t="s">
        <v>1609</v>
      </c>
      <c r="D670" s="152" t="s">
        <v>5108</v>
      </c>
      <c r="E670" s="152" t="s">
        <v>5108</v>
      </c>
      <c r="F670" s="152">
        <v>8625</v>
      </c>
      <c r="G670" s="152">
        <v>125</v>
      </c>
      <c r="H670" s="152" t="s">
        <v>1611</v>
      </c>
      <c r="I670" s="152">
        <v>200847</v>
      </c>
      <c r="J670" s="152">
        <v>112</v>
      </c>
      <c r="K670" s="152">
        <v>87950</v>
      </c>
      <c r="L670" s="152" t="s">
        <v>2280</v>
      </c>
      <c r="M670" s="152" t="s">
        <v>883</v>
      </c>
      <c r="N670" s="152" t="s">
        <v>92</v>
      </c>
      <c r="O670" s="152">
        <v>10664</v>
      </c>
      <c r="P670" s="152" t="s">
        <v>2280</v>
      </c>
      <c r="Q670" s="152" t="s">
        <v>883</v>
      </c>
      <c r="R670" s="152" t="s">
        <v>92</v>
      </c>
      <c r="S670" s="152">
        <v>10664</v>
      </c>
      <c r="T670" s="152" t="s">
        <v>856</v>
      </c>
      <c r="U670" s="152" t="s">
        <v>856</v>
      </c>
      <c r="V670" s="152" t="s">
        <v>857</v>
      </c>
      <c r="W670" s="152" t="s">
        <v>5100</v>
      </c>
      <c r="X670" s="152" t="s">
        <v>1083</v>
      </c>
      <c r="Y670" s="152">
        <v>22.27</v>
      </c>
      <c r="Z670" s="152">
        <v>1</v>
      </c>
      <c r="AA670" s="152" t="s">
        <v>92</v>
      </c>
      <c r="AB670" s="152">
        <v>131.18</v>
      </c>
      <c r="AC670" s="152">
        <v>2</v>
      </c>
      <c r="AD670" s="152" t="s">
        <v>861</v>
      </c>
      <c r="AE670" s="152">
        <v>131.18</v>
      </c>
      <c r="AF670" s="152">
        <v>0</v>
      </c>
      <c r="AG670" s="152" t="s">
        <v>861</v>
      </c>
      <c r="AH670" s="152" t="s">
        <v>861</v>
      </c>
      <c r="AI670" s="152" t="s">
        <v>92</v>
      </c>
      <c r="AJ670" s="152" t="s">
        <v>92</v>
      </c>
      <c r="AK670" s="152" t="s">
        <v>972</v>
      </c>
      <c r="AL670" s="152" t="s">
        <v>856</v>
      </c>
      <c r="AP670" s="152" t="s">
        <v>856</v>
      </c>
      <c r="AQ670" s="152" t="s">
        <v>856</v>
      </c>
      <c r="AR670" s="152" t="s">
        <v>5105</v>
      </c>
      <c r="AS670" s="152" t="s">
        <v>865</v>
      </c>
      <c r="AT670" s="152" t="str">
        <f t="shared" si="42"/>
        <v>VUNI12-131222</v>
      </c>
      <c r="AU670" s="152" t="str">
        <f t="shared" si="41"/>
        <v>IMPULSADORA DE VIVIENDAS QUETZALTECAS S.A.</v>
      </c>
      <c r="AV670" s="175">
        <v>1696.52</v>
      </c>
      <c r="AW670" s="152">
        <v>849927</v>
      </c>
      <c r="AX670" s="152">
        <v>35</v>
      </c>
      <c r="AY670" s="152">
        <v>849930</v>
      </c>
      <c r="AZ670" s="152" t="s">
        <v>864</v>
      </c>
      <c r="BA670" s="152" t="str">
        <f t="shared" ref="BA670:BA701" si="43">A670</f>
        <v>L23-209-NR014</v>
      </c>
      <c r="BB670" s="152">
        <v>24</v>
      </c>
      <c r="BC670" s="157">
        <v>45008</v>
      </c>
      <c r="BD670" s="157">
        <v>45374</v>
      </c>
      <c r="BE670" s="158">
        <v>335744.5</v>
      </c>
      <c r="BF670" s="152" t="s">
        <v>5106</v>
      </c>
      <c r="BG670" s="152" t="s">
        <v>5107</v>
      </c>
      <c r="BH670" s="152">
        <v>131.18</v>
      </c>
      <c r="BI670" s="152">
        <v>0</v>
      </c>
      <c r="BJ670" s="152">
        <v>0</v>
      </c>
      <c r="BK670" s="152" t="s">
        <v>132</v>
      </c>
      <c r="BL670" s="152">
        <v>131.18</v>
      </c>
      <c r="BM670" s="152">
        <v>849929</v>
      </c>
      <c r="BN670" s="157" t="s">
        <v>1453</v>
      </c>
    </row>
    <row r="671" spans="1:66">
      <c r="A671" s="152" t="s">
        <v>5113</v>
      </c>
      <c r="B671" s="152" t="s">
        <v>5109</v>
      </c>
      <c r="C671" s="152" t="s">
        <v>5110</v>
      </c>
      <c r="D671" s="152" t="s">
        <v>5111</v>
      </c>
      <c r="E671" s="152" t="s">
        <v>5111</v>
      </c>
      <c r="F671" s="152">
        <v>335147</v>
      </c>
      <c r="G671" s="152">
        <v>157</v>
      </c>
      <c r="H671" s="152">
        <v>834</v>
      </c>
      <c r="I671" s="152">
        <v>203435</v>
      </c>
      <c r="J671" s="152">
        <v>120</v>
      </c>
      <c r="K671" s="152">
        <v>90049</v>
      </c>
      <c r="L671" s="152" t="s">
        <v>856</v>
      </c>
      <c r="M671" s="152" t="s">
        <v>92</v>
      </c>
      <c r="N671" s="152" t="s">
        <v>92</v>
      </c>
      <c r="O671" s="152" t="s">
        <v>856</v>
      </c>
      <c r="P671" s="152" t="s">
        <v>856</v>
      </c>
      <c r="Q671" s="152" t="s">
        <v>92</v>
      </c>
      <c r="R671" s="152" t="s">
        <v>92</v>
      </c>
      <c r="S671" s="152" t="s">
        <v>856</v>
      </c>
      <c r="T671" s="152" t="s">
        <v>856</v>
      </c>
      <c r="U671" s="152" t="s">
        <v>856</v>
      </c>
      <c r="V671" s="152" t="s">
        <v>857</v>
      </c>
      <c r="W671" s="152" t="s">
        <v>5100</v>
      </c>
      <c r="X671" s="152" t="s">
        <v>1083</v>
      </c>
      <c r="Y671" s="152">
        <v>9.18</v>
      </c>
      <c r="Z671" s="152">
        <v>1</v>
      </c>
      <c r="AA671" s="152" t="s">
        <v>92</v>
      </c>
      <c r="AB671" s="152">
        <v>282.99</v>
      </c>
      <c r="AC671" s="152">
        <v>3</v>
      </c>
      <c r="AD671" s="152" t="s">
        <v>861</v>
      </c>
      <c r="AE671" s="152">
        <v>282.99</v>
      </c>
      <c r="AF671" s="152">
        <v>0</v>
      </c>
      <c r="AG671" s="152" t="s">
        <v>861</v>
      </c>
      <c r="AH671" s="152" t="s">
        <v>861</v>
      </c>
      <c r="AI671" s="152" t="s">
        <v>92</v>
      </c>
      <c r="AJ671" s="152" t="s">
        <v>92</v>
      </c>
      <c r="AK671" s="152" t="s">
        <v>884</v>
      </c>
      <c r="AL671" s="152" t="s">
        <v>856</v>
      </c>
      <c r="AP671" s="152" t="s">
        <v>856</v>
      </c>
      <c r="AQ671" s="152" t="s">
        <v>856</v>
      </c>
      <c r="AR671" s="152" t="s">
        <v>1529</v>
      </c>
      <c r="AS671" s="152" t="s">
        <v>865</v>
      </c>
      <c r="AT671" s="152" t="str">
        <f t="shared" si="42"/>
        <v>RPNR8-360722</v>
      </c>
      <c r="AU671" s="152" t="str">
        <f t="shared" si="41"/>
        <v>LIDIA MARIELA VEGA VILLATORO DE REQUENA</v>
      </c>
      <c r="AV671" s="175">
        <v>4296.8</v>
      </c>
      <c r="AW671" s="152">
        <v>829608</v>
      </c>
      <c r="AX671" s="152">
        <v>117.5</v>
      </c>
      <c r="AY671" s="152">
        <v>829610</v>
      </c>
      <c r="AZ671" s="152" t="s">
        <v>864</v>
      </c>
      <c r="BA671" s="152" t="str">
        <f t="shared" si="43"/>
        <v>L23-121-MP105</v>
      </c>
      <c r="BB671" s="152">
        <v>0</v>
      </c>
      <c r="BC671" s="157">
        <v>44986</v>
      </c>
      <c r="BD671" s="157">
        <v>44986</v>
      </c>
      <c r="BE671" s="158">
        <v>852183</v>
      </c>
      <c r="BF671" s="152" t="s">
        <v>5112</v>
      </c>
      <c r="BG671" s="152" t="s">
        <v>894</v>
      </c>
      <c r="BH671" s="152">
        <v>282.99</v>
      </c>
      <c r="BI671" s="152">
        <v>0</v>
      </c>
      <c r="BJ671" s="152">
        <v>0</v>
      </c>
      <c r="BK671" s="152" t="s">
        <v>132</v>
      </c>
      <c r="BL671" s="152">
        <v>282.99</v>
      </c>
      <c r="BM671" s="152">
        <v>829609</v>
      </c>
      <c r="BN671" s="157" t="s">
        <v>1453</v>
      </c>
    </row>
    <row r="672" spans="1:66" s="177" customFormat="1">
      <c r="B672" s="177" t="s">
        <v>5114</v>
      </c>
      <c r="C672" s="177" t="s">
        <v>5115</v>
      </c>
      <c r="D672" s="177" t="s">
        <v>5116</v>
      </c>
      <c r="E672" s="177" t="s">
        <v>5116</v>
      </c>
      <c r="F672" s="177">
        <v>3022</v>
      </c>
      <c r="G672" s="177">
        <v>22</v>
      </c>
      <c r="H672" s="177" t="s">
        <v>5117</v>
      </c>
      <c r="I672" s="177">
        <v>150255</v>
      </c>
      <c r="J672" s="177">
        <v>126.05</v>
      </c>
      <c r="K672" s="177">
        <v>87114</v>
      </c>
      <c r="L672" s="177" t="s">
        <v>5118</v>
      </c>
      <c r="M672" s="177" t="s">
        <v>92</v>
      </c>
      <c r="N672" s="177" t="s">
        <v>883</v>
      </c>
      <c r="O672" s="177">
        <v>3189</v>
      </c>
      <c r="P672" s="177" t="s">
        <v>5118</v>
      </c>
      <c r="Q672" s="177" t="s">
        <v>92</v>
      </c>
      <c r="R672" s="177" t="s">
        <v>883</v>
      </c>
      <c r="S672" s="177">
        <v>3189</v>
      </c>
      <c r="T672" s="177" t="s">
        <v>856</v>
      </c>
      <c r="U672" s="177" t="s">
        <v>856</v>
      </c>
      <c r="V672" s="177" t="s">
        <v>5119</v>
      </c>
      <c r="Y672" s="177">
        <v>0</v>
      </c>
      <c r="Z672" s="177">
        <v>0</v>
      </c>
      <c r="AA672" s="177" t="s">
        <v>92</v>
      </c>
      <c r="AB672" s="177">
        <v>0</v>
      </c>
      <c r="AC672" s="177">
        <v>0</v>
      </c>
      <c r="AD672" s="177" t="s">
        <v>861</v>
      </c>
      <c r="AE672" s="177">
        <v>0</v>
      </c>
      <c r="AF672" s="177">
        <v>252.1</v>
      </c>
      <c r="AG672" s="177" t="s">
        <v>861</v>
      </c>
      <c r="AH672" s="177" t="s">
        <v>861</v>
      </c>
      <c r="AI672" s="177" t="s">
        <v>92</v>
      </c>
      <c r="AJ672" s="177" t="s">
        <v>92</v>
      </c>
      <c r="AR672" s="177" t="s">
        <v>856</v>
      </c>
      <c r="AT672" s="177" t="str">
        <f t="shared" si="42"/>
        <v>USD1-041222</v>
      </c>
      <c r="AU672" s="177" t="str">
        <f t="shared" si="41"/>
        <v xml:space="preserve">LUIS ALFONSO DE LEON MALDONADO </v>
      </c>
      <c r="AV672" s="178"/>
      <c r="BA672" s="177">
        <f t="shared" si="43"/>
        <v>0</v>
      </c>
      <c r="BC672" s="179"/>
      <c r="BD672" s="179"/>
      <c r="BE672" s="180"/>
      <c r="BF672" s="177" t="s">
        <v>5120</v>
      </c>
      <c r="BG672" s="177" t="s">
        <v>5121</v>
      </c>
      <c r="BH672" s="177">
        <v>0</v>
      </c>
      <c r="BI672" s="177">
        <v>252.1</v>
      </c>
      <c r="BJ672" s="177">
        <v>0</v>
      </c>
      <c r="BK672" s="177" t="s">
        <v>1296</v>
      </c>
      <c r="BL672" s="177">
        <v>315.13</v>
      </c>
      <c r="BM672" s="177">
        <v>846299</v>
      </c>
      <c r="BN672" s="179">
        <v>45743</v>
      </c>
    </row>
    <row r="673" spans="1:66">
      <c r="A673" s="152" t="s">
        <v>5122</v>
      </c>
      <c r="B673" s="152" t="s">
        <v>5123</v>
      </c>
      <c r="C673" s="152" t="s">
        <v>5124</v>
      </c>
      <c r="D673" s="152" t="s">
        <v>5125</v>
      </c>
      <c r="E673" s="152" t="s">
        <v>5125</v>
      </c>
      <c r="F673" s="152">
        <v>3360</v>
      </c>
      <c r="G673" s="152">
        <v>360</v>
      </c>
      <c r="H673" s="152" t="s">
        <v>3816</v>
      </c>
      <c r="I673" s="152">
        <v>203381</v>
      </c>
      <c r="J673" s="152">
        <v>140</v>
      </c>
      <c r="K673" s="152">
        <v>90012</v>
      </c>
      <c r="L673" s="152" t="s">
        <v>856</v>
      </c>
      <c r="M673" s="152" t="s">
        <v>92</v>
      </c>
      <c r="N673" s="152" t="s">
        <v>92</v>
      </c>
      <c r="O673" s="152" t="s">
        <v>856</v>
      </c>
      <c r="P673" s="152" t="s">
        <v>856</v>
      </c>
      <c r="Q673" s="152" t="s">
        <v>92</v>
      </c>
      <c r="R673" s="152" t="s">
        <v>92</v>
      </c>
      <c r="S673" s="164" t="s">
        <v>856</v>
      </c>
      <c r="T673" s="164" t="s">
        <v>856</v>
      </c>
      <c r="U673" s="164" t="s">
        <v>856</v>
      </c>
      <c r="V673" s="152" t="s">
        <v>3530</v>
      </c>
      <c r="W673" s="152" t="s">
        <v>5100</v>
      </c>
      <c r="X673" s="152" t="s">
        <v>1083</v>
      </c>
      <c r="Y673" s="152">
        <v>54.36</v>
      </c>
      <c r="Z673" s="152">
        <v>1</v>
      </c>
      <c r="AA673" s="152" t="s">
        <v>883</v>
      </c>
      <c r="AB673" s="152">
        <v>66.58</v>
      </c>
      <c r="AC673" s="152">
        <v>1</v>
      </c>
      <c r="AD673" s="152" t="s">
        <v>861</v>
      </c>
      <c r="AE673" s="152">
        <v>66.58</v>
      </c>
      <c r="AF673" s="152">
        <v>0</v>
      </c>
      <c r="AG673" s="152" t="s">
        <v>861</v>
      </c>
      <c r="AH673" s="152" t="s">
        <v>861</v>
      </c>
      <c r="AI673" s="152" t="s">
        <v>92</v>
      </c>
      <c r="AJ673" s="152" t="s">
        <v>92</v>
      </c>
      <c r="AK673" s="152" t="s">
        <v>972</v>
      </c>
      <c r="AL673" s="152" t="s">
        <v>856</v>
      </c>
      <c r="AP673" s="152" t="s">
        <v>856</v>
      </c>
      <c r="AQ673" s="152" t="s">
        <v>856</v>
      </c>
      <c r="AR673" s="152" t="s">
        <v>1234</v>
      </c>
      <c r="AS673" s="152" t="s">
        <v>865</v>
      </c>
      <c r="AT673" s="152" t="str">
        <f t="shared" si="42"/>
        <v>RPNC5-030123</v>
      </c>
      <c r="AU673" s="152" t="str">
        <f t="shared" si="41"/>
        <v>ZULMA M. CHAVEZ PEREZ DE COLLINS Y CONDUEÑO</v>
      </c>
      <c r="AV673" s="152">
        <v>851.11</v>
      </c>
      <c r="AW673" s="152">
        <v>821879</v>
      </c>
      <c r="AX673" s="152">
        <v>35</v>
      </c>
      <c r="AY673" s="152">
        <v>821881</v>
      </c>
      <c r="AZ673" s="152" t="s">
        <v>864</v>
      </c>
      <c r="BA673" s="152" t="str">
        <f t="shared" si="43"/>
        <v>L23-071-JM13</v>
      </c>
      <c r="BB673" s="152">
        <v>0</v>
      </c>
      <c r="BC673" s="157">
        <v>44972</v>
      </c>
      <c r="BD673" s="157">
        <v>44972</v>
      </c>
      <c r="BE673" s="158">
        <v>154634</v>
      </c>
      <c r="BF673" s="152" t="s">
        <v>5126</v>
      </c>
      <c r="BG673" s="152" t="s">
        <v>894</v>
      </c>
      <c r="BH673" s="152">
        <v>66.58</v>
      </c>
      <c r="BI673" s="152">
        <v>0</v>
      </c>
      <c r="BJ673" s="152">
        <v>0</v>
      </c>
      <c r="BK673" s="152" t="s">
        <v>132</v>
      </c>
      <c r="BL673" s="152">
        <v>66.58</v>
      </c>
      <c r="BM673" s="152">
        <v>821880</v>
      </c>
      <c r="BN673" s="157" t="s">
        <v>1453</v>
      </c>
    </row>
    <row r="674" spans="1:66">
      <c r="A674" s="152" t="s">
        <v>5128</v>
      </c>
      <c r="B674" s="152" t="s">
        <v>5127</v>
      </c>
      <c r="C674" s="152" t="s">
        <v>5129</v>
      </c>
      <c r="D674" s="152" t="s">
        <v>5130</v>
      </c>
      <c r="E674" s="152" t="s">
        <v>5131</v>
      </c>
      <c r="F674" s="159" t="s">
        <v>856</v>
      </c>
      <c r="G674" s="159" t="s">
        <v>856</v>
      </c>
      <c r="H674" s="159" t="s">
        <v>856</v>
      </c>
      <c r="I674" s="152">
        <v>203254</v>
      </c>
      <c r="J674" s="152">
        <v>144.62</v>
      </c>
      <c r="K674" s="152">
        <v>89937</v>
      </c>
      <c r="L674" s="152" t="s">
        <v>856</v>
      </c>
      <c r="M674" s="152" t="s">
        <v>92</v>
      </c>
      <c r="N674" s="152" t="s">
        <v>92</v>
      </c>
      <c r="O674" s="164" t="s">
        <v>856</v>
      </c>
      <c r="P674" s="164" t="s">
        <v>856</v>
      </c>
      <c r="Q674" s="152" t="s">
        <v>92</v>
      </c>
      <c r="R674" s="152" t="s">
        <v>92</v>
      </c>
      <c r="S674" s="164" t="s">
        <v>856</v>
      </c>
      <c r="T674" s="164" t="s">
        <v>856</v>
      </c>
      <c r="U674" s="164" t="s">
        <v>856</v>
      </c>
      <c r="V674" s="152" t="s">
        <v>3655</v>
      </c>
      <c r="W674" s="152" t="s">
        <v>5100</v>
      </c>
      <c r="X674" s="152" t="s">
        <v>1083</v>
      </c>
      <c r="Y674" s="152">
        <v>0</v>
      </c>
      <c r="Z674" s="152">
        <v>1</v>
      </c>
      <c r="AA674" s="152" t="s">
        <v>92</v>
      </c>
      <c r="AB674" s="152">
        <v>259.92</v>
      </c>
      <c r="AC674" s="152">
        <v>2</v>
      </c>
      <c r="AD674" s="152" t="s">
        <v>861</v>
      </c>
      <c r="AE674" s="152">
        <v>259.92</v>
      </c>
      <c r="AF674" s="152">
        <v>0</v>
      </c>
      <c r="AG674" s="152" t="s">
        <v>861</v>
      </c>
      <c r="AH674" s="152" t="s">
        <v>861</v>
      </c>
      <c r="AI674" s="152" t="s">
        <v>92</v>
      </c>
      <c r="AJ674" s="152" t="s">
        <v>92</v>
      </c>
      <c r="AK674" s="152" t="s">
        <v>862</v>
      </c>
      <c r="AL674" s="152" t="s">
        <v>856</v>
      </c>
      <c r="AP674" s="152" t="s">
        <v>856</v>
      </c>
      <c r="AQ674" s="152" t="s">
        <v>856</v>
      </c>
      <c r="AR674" s="152" t="s">
        <v>1953</v>
      </c>
      <c r="AS674" s="152" t="s">
        <v>865</v>
      </c>
      <c r="AT674" s="152" t="str">
        <f t="shared" si="42"/>
        <v>RPNM6-160322</v>
      </c>
      <c r="AU674" s="152" t="str">
        <f t="shared" si="41"/>
        <v xml:space="preserve">LUIS ALFONSO MARTINEZ GARCIA </v>
      </c>
      <c r="AV674" s="152">
        <v>2729.16</v>
      </c>
      <c r="AW674" s="152">
        <v>925183</v>
      </c>
      <c r="AX674" s="152">
        <v>129.4</v>
      </c>
      <c r="AY674" s="152">
        <v>925184</v>
      </c>
      <c r="AZ674" s="152" t="s">
        <v>864</v>
      </c>
      <c r="BA674" s="152" t="str">
        <f t="shared" si="43"/>
        <v>L22-010-SP179</v>
      </c>
      <c r="BB674" s="152">
        <v>0</v>
      </c>
      <c r="BC674" s="157">
        <v>44932</v>
      </c>
      <c r="BD674" s="157">
        <v>44932</v>
      </c>
      <c r="BE674" s="158">
        <v>480852</v>
      </c>
      <c r="BK674" s="159" t="s">
        <v>5137</v>
      </c>
    </row>
    <row r="675" spans="1:66">
      <c r="A675" s="152" t="s">
        <v>5132</v>
      </c>
      <c r="B675" s="152" t="s">
        <v>5133</v>
      </c>
      <c r="C675" s="152" t="s">
        <v>5134</v>
      </c>
      <c r="D675" s="152" t="s">
        <v>5135</v>
      </c>
      <c r="E675" s="152" t="s">
        <v>5135</v>
      </c>
      <c r="F675" s="152">
        <v>2066</v>
      </c>
      <c r="G675" s="152">
        <v>66</v>
      </c>
      <c r="H675" s="152" t="s">
        <v>5136</v>
      </c>
      <c r="I675" s="152">
        <v>201508</v>
      </c>
      <c r="J675" s="152">
        <v>137.30000000000001</v>
      </c>
      <c r="K675" s="152">
        <v>88513</v>
      </c>
      <c r="L675" s="152" t="s">
        <v>856</v>
      </c>
      <c r="M675" s="152" t="s">
        <v>92</v>
      </c>
      <c r="N675" s="152" t="s">
        <v>92</v>
      </c>
      <c r="O675" s="164" t="s">
        <v>856</v>
      </c>
      <c r="P675" s="164" t="s">
        <v>856</v>
      </c>
      <c r="Q675" s="152" t="s">
        <v>92</v>
      </c>
      <c r="R675" s="152" t="s">
        <v>92</v>
      </c>
      <c r="S675" s="164" t="s">
        <v>856</v>
      </c>
      <c r="T675" s="164" t="s">
        <v>856</v>
      </c>
      <c r="U675" s="164" t="s">
        <v>856</v>
      </c>
      <c r="V675" s="152" t="s">
        <v>3886</v>
      </c>
      <c r="W675" s="152" t="s">
        <v>5100</v>
      </c>
      <c r="X675" s="152" t="s">
        <v>1083</v>
      </c>
      <c r="Y675" s="152">
        <v>68.64</v>
      </c>
      <c r="Z675" s="152">
        <v>2</v>
      </c>
      <c r="AA675" s="152" t="s">
        <v>92</v>
      </c>
      <c r="AB675" s="152">
        <v>189.27</v>
      </c>
      <c r="AC675" s="152">
        <v>2</v>
      </c>
      <c r="AD675" s="152" t="s">
        <v>861</v>
      </c>
      <c r="AE675" s="152">
        <v>189.27</v>
      </c>
      <c r="AF675" s="152">
        <v>0</v>
      </c>
      <c r="AG675" s="152" t="s">
        <v>861</v>
      </c>
      <c r="AH675" s="152" t="s">
        <v>861</v>
      </c>
      <c r="AI675" s="152" t="s">
        <v>92</v>
      </c>
      <c r="AJ675" s="152" t="s">
        <v>92</v>
      </c>
      <c r="AK675" s="152" t="s">
        <v>862</v>
      </c>
      <c r="AL675" s="152" t="s">
        <v>856</v>
      </c>
      <c r="AP675" s="152" t="s">
        <v>856</v>
      </c>
      <c r="AQ675" s="152" t="s">
        <v>856</v>
      </c>
      <c r="AR675" s="152" t="s">
        <v>1953</v>
      </c>
      <c r="AS675" s="152" t="s">
        <v>865</v>
      </c>
      <c r="AT675" s="152" t="str">
        <f t="shared" si="42"/>
        <v>RPNG10-030123</v>
      </c>
      <c r="AU675" s="152" t="str">
        <f t="shared" si="41"/>
        <v xml:space="preserve">JACQUELINE CAROLINA REYES ALVARADO DE GARCIA </v>
      </c>
      <c r="AV675" s="152">
        <v>2519.34</v>
      </c>
      <c r="AW675" s="152">
        <v>827802</v>
      </c>
      <c r="AX675" s="152">
        <v>35</v>
      </c>
      <c r="AY675" s="152">
        <v>827804</v>
      </c>
      <c r="AZ675" s="152" t="s">
        <v>864</v>
      </c>
      <c r="BA675" s="152" t="str">
        <f t="shared" si="43"/>
        <v>L23-915-NR034</v>
      </c>
      <c r="BB675" s="152">
        <v>0</v>
      </c>
      <c r="BC675" s="157">
        <v>44977</v>
      </c>
      <c r="BD675" s="157">
        <v>44977</v>
      </c>
      <c r="BE675" s="158">
        <v>497199</v>
      </c>
      <c r="BF675" s="152" t="s">
        <v>5138</v>
      </c>
      <c r="BG675" s="152" t="s">
        <v>894</v>
      </c>
      <c r="BH675" s="152">
        <v>189.27</v>
      </c>
      <c r="BI675" s="152">
        <v>0</v>
      </c>
      <c r="BJ675" s="152">
        <v>0</v>
      </c>
      <c r="BK675" s="152" t="s">
        <v>132</v>
      </c>
      <c r="BL675" s="152">
        <v>189.27</v>
      </c>
      <c r="BM675" s="152">
        <v>827803</v>
      </c>
      <c r="BN675" s="157" t="s">
        <v>1453</v>
      </c>
    </row>
    <row r="676" spans="1:66" s="165" customFormat="1">
      <c r="A676" s="165" t="s">
        <v>5139</v>
      </c>
      <c r="B676" s="165" t="s">
        <v>5140</v>
      </c>
      <c r="C676" s="165" t="s">
        <v>5141</v>
      </c>
      <c r="D676" s="165" t="s">
        <v>5142</v>
      </c>
      <c r="E676" s="165" t="s">
        <v>5142</v>
      </c>
      <c r="F676" s="165">
        <v>6682</v>
      </c>
      <c r="G676" s="165">
        <v>182</v>
      </c>
      <c r="H676" s="165" t="s">
        <v>1848</v>
      </c>
      <c r="I676" s="165">
        <v>177421</v>
      </c>
      <c r="J676" s="165">
        <v>147.18</v>
      </c>
      <c r="K676" s="165">
        <v>71104</v>
      </c>
      <c r="L676" s="165" t="s">
        <v>5143</v>
      </c>
      <c r="M676" s="165" t="s">
        <v>92</v>
      </c>
      <c r="N676" s="165" t="s">
        <v>883</v>
      </c>
      <c r="O676" s="165">
        <v>6439</v>
      </c>
      <c r="P676" s="165" t="s">
        <v>5143</v>
      </c>
      <c r="Q676" s="165" t="s">
        <v>92</v>
      </c>
      <c r="R676" s="165" t="s">
        <v>883</v>
      </c>
      <c r="S676" s="165">
        <v>6439</v>
      </c>
      <c r="T676" s="166" t="s">
        <v>856</v>
      </c>
      <c r="U676" s="166" t="s">
        <v>856</v>
      </c>
      <c r="V676" s="165" t="s">
        <v>3530</v>
      </c>
      <c r="W676" s="165" t="s">
        <v>5100</v>
      </c>
      <c r="X676" s="165" t="s">
        <v>1083</v>
      </c>
      <c r="Y676" s="165">
        <v>44.77</v>
      </c>
      <c r="Z676" s="165">
        <v>1</v>
      </c>
      <c r="AA676" s="165" t="s">
        <v>883</v>
      </c>
      <c r="AB676" s="165">
        <v>273.94</v>
      </c>
      <c r="AC676" s="165">
        <v>2</v>
      </c>
      <c r="AD676" s="165" t="s">
        <v>861</v>
      </c>
      <c r="AE676" s="165">
        <v>273.94</v>
      </c>
      <c r="AF676" s="165">
        <v>0</v>
      </c>
      <c r="AG676" s="165">
        <v>10.76</v>
      </c>
      <c r="AH676" s="165" t="s">
        <v>5144</v>
      </c>
      <c r="AI676" s="165" t="s">
        <v>92</v>
      </c>
      <c r="AJ676" s="165" t="s">
        <v>92</v>
      </c>
      <c r="AK676" s="165" t="s">
        <v>884</v>
      </c>
      <c r="AL676" s="165" t="s">
        <v>856</v>
      </c>
      <c r="AP676" s="165" t="s">
        <v>856</v>
      </c>
      <c r="AQ676" s="165" t="s">
        <v>856</v>
      </c>
      <c r="AR676" s="165" t="s">
        <v>5145</v>
      </c>
      <c r="AS676" s="165" t="s">
        <v>865</v>
      </c>
      <c r="AT676" s="165" t="str">
        <f t="shared" si="42"/>
        <v>RPNH1-240323</v>
      </c>
      <c r="AU676" s="165" t="str">
        <f t="shared" si="41"/>
        <v xml:space="preserve">LIDIA ELIZABETH HERNANDEZ LOARCA </v>
      </c>
      <c r="AV676" s="176">
        <v>3539.39</v>
      </c>
      <c r="AW676" s="165">
        <v>10943806</v>
      </c>
      <c r="AX676" s="165">
        <v>6.9</v>
      </c>
      <c r="AY676" s="165">
        <v>10943806</v>
      </c>
      <c r="AZ676" s="165" t="s">
        <v>864</v>
      </c>
      <c r="BA676" s="165" t="str">
        <f t="shared" si="43"/>
        <v>L23-266-JJ013</v>
      </c>
      <c r="BB676" s="165">
        <v>0</v>
      </c>
      <c r="BC676" s="168">
        <v>45065</v>
      </c>
      <c r="BD676" s="168">
        <v>45065</v>
      </c>
      <c r="BE676" s="169">
        <v>700519.5</v>
      </c>
      <c r="BF676" s="165" t="s">
        <v>5146</v>
      </c>
      <c r="BG676" s="165" t="s">
        <v>894</v>
      </c>
      <c r="BH676" s="165">
        <v>273.94</v>
      </c>
      <c r="BI676" s="165">
        <v>0</v>
      </c>
      <c r="BJ676" s="165">
        <v>0</v>
      </c>
      <c r="BK676" s="165" t="s">
        <v>132</v>
      </c>
      <c r="BL676" s="165">
        <v>273.94</v>
      </c>
      <c r="BM676" s="165">
        <v>10943806</v>
      </c>
      <c r="BN676" s="168" t="s">
        <v>4100</v>
      </c>
    </row>
    <row r="677" spans="1:66">
      <c r="A677" s="152" t="s">
        <v>5147</v>
      </c>
      <c r="B677" s="152" t="s">
        <v>5148</v>
      </c>
      <c r="C677" s="152" t="s">
        <v>5149</v>
      </c>
      <c r="D677" s="152" t="s">
        <v>5150</v>
      </c>
      <c r="E677" s="152" t="s">
        <v>5150</v>
      </c>
      <c r="F677" s="152">
        <v>9248</v>
      </c>
      <c r="G677" s="152">
        <v>248</v>
      </c>
      <c r="H677" s="152" t="s">
        <v>4015</v>
      </c>
      <c r="I677" s="152">
        <v>202651</v>
      </c>
      <c r="J677" s="152">
        <v>266.52</v>
      </c>
      <c r="K677" s="152">
        <v>89432</v>
      </c>
      <c r="L677" s="152" t="s">
        <v>5151</v>
      </c>
      <c r="M677" s="152" t="s">
        <v>883</v>
      </c>
      <c r="N677" s="152" t="s">
        <v>92</v>
      </c>
      <c r="O677" s="152">
        <v>6068</v>
      </c>
      <c r="P677" s="152" t="s">
        <v>5151</v>
      </c>
      <c r="Q677" s="152" t="s">
        <v>883</v>
      </c>
      <c r="R677" s="152" t="s">
        <v>92</v>
      </c>
      <c r="S677" s="152">
        <v>6068</v>
      </c>
      <c r="T677" s="164" t="s">
        <v>856</v>
      </c>
      <c r="U677" s="164" t="s">
        <v>856</v>
      </c>
      <c r="V677" s="152" t="s">
        <v>3530</v>
      </c>
      <c r="W677" s="152" t="s">
        <v>5100</v>
      </c>
      <c r="X677" s="152" t="s">
        <v>1083</v>
      </c>
      <c r="Y677" s="152">
        <v>97.56</v>
      </c>
      <c r="Z677" s="152">
        <v>1</v>
      </c>
      <c r="AA677" s="152" t="s">
        <v>92</v>
      </c>
      <c r="AB677" s="152">
        <v>238.6</v>
      </c>
      <c r="AC677" s="152">
        <v>2</v>
      </c>
      <c r="AD677" s="152" t="s">
        <v>861</v>
      </c>
      <c r="AE677" s="152">
        <v>238.6</v>
      </c>
      <c r="AF677" s="152">
        <v>0</v>
      </c>
      <c r="AG677" s="152" t="s">
        <v>861</v>
      </c>
      <c r="AH677" s="152" t="s">
        <v>861</v>
      </c>
      <c r="AI677" s="152" t="s">
        <v>92</v>
      </c>
      <c r="AJ677" s="152" t="s">
        <v>92</v>
      </c>
      <c r="AK677" s="152" t="s">
        <v>884</v>
      </c>
      <c r="AL677" s="152" t="s">
        <v>856</v>
      </c>
      <c r="AP677" s="152" t="s">
        <v>856</v>
      </c>
      <c r="AQ677" s="152" t="s">
        <v>856</v>
      </c>
      <c r="AR677" s="152" t="s">
        <v>1953</v>
      </c>
      <c r="AS677" s="152" t="s">
        <v>865</v>
      </c>
      <c r="AT677" s="152" t="str">
        <f t="shared" si="42"/>
        <v>RPNF8-150223</v>
      </c>
      <c r="AU677" s="152" t="str">
        <f t="shared" si="41"/>
        <v xml:space="preserve">LUCIANA ELIZABETH FRANCISCO LORENZO Y CONDUEÑO </v>
      </c>
      <c r="AV677" s="175">
        <v>3197.58</v>
      </c>
      <c r="AW677" s="152">
        <v>10765890</v>
      </c>
      <c r="AX677" s="152">
        <v>111.1</v>
      </c>
      <c r="AY677" s="152">
        <v>10765890</v>
      </c>
      <c r="AZ677" s="152" t="s">
        <v>864</v>
      </c>
      <c r="BA677" s="152" t="str">
        <f t="shared" si="43"/>
        <v>L23-243-SP037</v>
      </c>
      <c r="BB677" s="152">
        <v>0</v>
      </c>
      <c r="BC677" s="157">
        <v>45058</v>
      </c>
      <c r="BD677" s="157">
        <v>45058</v>
      </c>
      <c r="BE677" s="158">
        <v>630646</v>
      </c>
      <c r="BF677" s="152" t="s">
        <v>5152</v>
      </c>
      <c r="BG677" s="152" t="s">
        <v>894</v>
      </c>
      <c r="BH677" s="152">
        <v>238.6</v>
      </c>
      <c r="BI677" s="152">
        <v>0</v>
      </c>
      <c r="BJ677" s="152">
        <v>0</v>
      </c>
      <c r="BK677" s="152" t="s">
        <v>132</v>
      </c>
      <c r="BL677" s="152">
        <v>238.6</v>
      </c>
      <c r="BM677" s="152">
        <v>10765890</v>
      </c>
      <c r="BN677" s="157" t="s">
        <v>1453</v>
      </c>
    </row>
    <row r="678" spans="1:66">
      <c r="A678" s="152" t="s">
        <v>5153</v>
      </c>
      <c r="B678" s="152" t="s">
        <v>5154</v>
      </c>
      <c r="C678" s="152" t="s">
        <v>5155</v>
      </c>
      <c r="D678" s="152" t="s">
        <v>5156</v>
      </c>
      <c r="E678" s="152" t="s">
        <v>5156</v>
      </c>
      <c r="F678" s="152">
        <v>9661</v>
      </c>
      <c r="G678" s="152">
        <v>161</v>
      </c>
      <c r="H678" s="152" t="s">
        <v>1583</v>
      </c>
      <c r="I678" s="152">
        <v>201071</v>
      </c>
      <c r="J678" s="152">
        <v>437</v>
      </c>
      <c r="K678" s="152">
        <v>88158</v>
      </c>
      <c r="L678" s="152" t="s">
        <v>5157</v>
      </c>
      <c r="M678" s="152" t="s">
        <v>883</v>
      </c>
      <c r="N678" s="152" t="s">
        <v>92</v>
      </c>
      <c r="O678" s="152">
        <v>12104</v>
      </c>
      <c r="P678" s="152" t="s">
        <v>5157</v>
      </c>
      <c r="Q678" s="152" t="s">
        <v>883</v>
      </c>
      <c r="R678" s="152" t="s">
        <v>92</v>
      </c>
      <c r="S678" s="152">
        <v>12104</v>
      </c>
      <c r="T678" s="164" t="s">
        <v>856</v>
      </c>
      <c r="U678" s="164" t="s">
        <v>856</v>
      </c>
      <c r="V678" s="152" t="s">
        <v>857</v>
      </c>
      <c r="W678" s="152" t="s">
        <v>5100</v>
      </c>
      <c r="X678" s="152" t="s">
        <v>1083</v>
      </c>
      <c r="Y678" s="152">
        <v>0</v>
      </c>
      <c r="Z678" s="152">
        <v>1</v>
      </c>
      <c r="AA678" s="152" t="s">
        <v>883</v>
      </c>
      <c r="AB678" s="152">
        <v>145.13</v>
      </c>
      <c r="AC678" s="152">
        <v>1</v>
      </c>
      <c r="AD678" s="152" t="s">
        <v>861</v>
      </c>
      <c r="AE678" s="152">
        <v>145.13</v>
      </c>
      <c r="AF678" s="152">
        <v>0</v>
      </c>
      <c r="AG678" s="152" t="s">
        <v>861</v>
      </c>
      <c r="AH678" s="152" t="s">
        <v>861</v>
      </c>
      <c r="AI678" s="152" t="s">
        <v>92</v>
      </c>
      <c r="AJ678" s="152" t="s">
        <v>92</v>
      </c>
      <c r="AK678" s="152" t="s">
        <v>2503</v>
      </c>
      <c r="AL678" s="152" t="s">
        <v>856</v>
      </c>
      <c r="AP678" s="152" t="s">
        <v>856</v>
      </c>
      <c r="AQ678" s="152" t="s">
        <v>856</v>
      </c>
      <c r="AR678" s="152" t="s">
        <v>1953</v>
      </c>
      <c r="AS678" s="152" t="s">
        <v>865</v>
      </c>
      <c r="AT678" s="152" t="str">
        <f t="shared" si="42"/>
        <v>RPNXR-140423</v>
      </c>
      <c r="AU678" s="152" t="str">
        <f t="shared" si="41"/>
        <v xml:space="preserve">RONY MANOLO XICARA MAZARIEGOS </v>
      </c>
      <c r="AV678" s="175">
        <v>1462.91</v>
      </c>
      <c r="AW678" s="152">
        <v>10943940</v>
      </c>
      <c r="AX678" s="159" t="s">
        <v>856</v>
      </c>
      <c r="AY678" s="152">
        <v>10943940</v>
      </c>
      <c r="AZ678" s="152" t="s">
        <v>864</v>
      </c>
      <c r="BA678" s="152" t="str">
        <f t="shared" si="43"/>
        <v>L23-269-SP048</v>
      </c>
      <c r="BB678" s="152">
        <v>0</v>
      </c>
      <c r="BC678" s="157">
        <v>45075</v>
      </c>
      <c r="BD678" s="157">
        <v>45075</v>
      </c>
      <c r="BE678" s="158">
        <v>290260</v>
      </c>
      <c r="BF678" s="152" t="s">
        <v>5158</v>
      </c>
      <c r="BG678" s="152" t="s">
        <v>894</v>
      </c>
      <c r="BH678" s="152">
        <v>145.13</v>
      </c>
      <c r="BI678" s="152">
        <v>0</v>
      </c>
      <c r="BJ678" s="152">
        <v>0</v>
      </c>
      <c r="BK678" s="152" t="s">
        <v>132</v>
      </c>
      <c r="BL678" s="152">
        <v>145.13</v>
      </c>
      <c r="BM678" s="152">
        <v>10943940</v>
      </c>
      <c r="BN678" s="157" t="s">
        <v>1453</v>
      </c>
    </row>
    <row r="679" spans="1:66">
      <c r="A679" s="152" t="s">
        <v>5160</v>
      </c>
      <c r="B679" s="152" t="s">
        <v>5159</v>
      </c>
      <c r="C679" s="152" t="s">
        <v>5161</v>
      </c>
      <c r="D679" s="152" t="s">
        <v>5162</v>
      </c>
      <c r="E679" s="152" t="s">
        <v>5162</v>
      </c>
      <c r="F679" s="152">
        <v>7901</v>
      </c>
      <c r="G679" s="152">
        <v>401</v>
      </c>
      <c r="H679" s="152" t="s">
        <v>5163</v>
      </c>
      <c r="I679" s="152">
        <v>202824</v>
      </c>
      <c r="J679" s="152">
        <v>200</v>
      </c>
      <c r="K679" s="152">
        <v>89572</v>
      </c>
      <c r="L679" s="152" t="s">
        <v>2818</v>
      </c>
      <c r="M679" s="152" t="s">
        <v>883</v>
      </c>
      <c r="N679" s="152" t="s">
        <v>92</v>
      </c>
      <c r="O679" s="152">
        <v>3258</v>
      </c>
      <c r="P679" s="152" t="s">
        <v>2818</v>
      </c>
      <c r="Q679" s="152" t="s">
        <v>883</v>
      </c>
      <c r="R679" s="152" t="s">
        <v>92</v>
      </c>
      <c r="S679" s="152">
        <v>3258</v>
      </c>
      <c r="T679" s="164" t="s">
        <v>856</v>
      </c>
      <c r="U679" s="164" t="s">
        <v>856</v>
      </c>
      <c r="V679" s="152" t="s">
        <v>3530</v>
      </c>
      <c r="W679" s="152" t="s">
        <v>5100</v>
      </c>
      <c r="X679" s="152" t="s">
        <v>1083</v>
      </c>
      <c r="Y679" s="152">
        <v>130.6</v>
      </c>
      <c r="Z679" s="152">
        <v>1</v>
      </c>
      <c r="AA679" s="152" t="s">
        <v>883</v>
      </c>
      <c r="AB679" s="152">
        <v>262.13</v>
      </c>
      <c r="AC679" s="152">
        <v>2</v>
      </c>
      <c r="AD679" s="152" t="s">
        <v>861</v>
      </c>
      <c r="AE679" s="152">
        <v>262.13</v>
      </c>
      <c r="AF679" s="152">
        <v>0</v>
      </c>
      <c r="AG679" s="152" t="s">
        <v>861</v>
      </c>
      <c r="AH679" s="152" t="s">
        <v>861</v>
      </c>
      <c r="AI679" s="152" t="s">
        <v>92</v>
      </c>
      <c r="AJ679" s="152" t="s">
        <v>92</v>
      </c>
      <c r="AK679" s="152" t="s">
        <v>972</v>
      </c>
      <c r="AL679" s="152" t="s">
        <v>856</v>
      </c>
      <c r="AP679" s="152" t="s">
        <v>856</v>
      </c>
      <c r="AQ679" s="152" t="s">
        <v>856</v>
      </c>
      <c r="AR679" s="152" t="s">
        <v>1953</v>
      </c>
      <c r="AS679" s="152" t="s">
        <v>865</v>
      </c>
      <c r="AT679" s="152" t="str">
        <f t="shared" si="42"/>
        <v>VUNG5-010223</v>
      </c>
      <c r="AU679" s="152" t="str">
        <f t="shared" si="41"/>
        <v xml:space="preserve">JOSUE MANUEL GONZALES MENDEZ </v>
      </c>
      <c r="AV679" s="175">
        <v>3768.81</v>
      </c>
      <c r="AW679" s="152">
        <v>10826473</v>
      </c>
      <c r="AX679" s="152">
        <v>100</v>
      </c>
      <c r="AY679" s="152">
        <v>10826473</v>
      </c>
      <c r="AZ679" s="152" t="s">
        <v>5164</v>
      </c>
      <c r="BA679" s="152" t="str">
        <f t="shared" si="43"/>
        <v>L23-261-JM76</v>
      </c>
      <c r="BB679" s="152">
        <v>24</v>
      </c>
      <c r="BC679" s="157">
        <v>45071</v>
      </c>
      <c r="BD679" s="157">
        <v>45437</v>
      </c>
      <c r="BE679" s="158">
        <v>708035</v>
      </c>
      <c r="BF679" s="152" t="s">
        <v>5165</v>
      </c>
      <c r="BG679" s="152" t="s">
        <v>894</v>
      </c>
      <c r="BH679" s="152">
        <v>262.13</v>
      </c>
      <c r="BI679" s="152">
        <v>0</v>
      </c>
      <c r="BJ679" s="152">
        <v>0</v>
      </c>
      <c r="BK679" s="152" t="s">
        <v>132</v>
      </c>
      <c r="BL679" s="152">
        <v>262.13</v>
      </c>
      <c r="BM679" s="152">
        <v>10826473</v>
      </c>
      <c r="BN679" s="157" t="s">
        <v>1453</v>
      </c>
    </row>
    <row r="680" spans="1:66">
      <c r="B680" s="152" t="s">
        <v>5166</v>
      </c>
      <c r="C680" s="152" t="s">
        <v>5168</v>
      </c>
      <c r="D680" s="152" t="s">
        <v>5172</v>
      </c>
      <c r="E680" s="152" t="s">
        <v>5172</v>
      </c>
      <c r="F680" s="152">
        <v>6659</v>
      </c>
      <c r="G680" s="152">
        <v>159</v>
      </c>
      <c r="H680" s="152" t="s">
        <v>2415</v>
      </c>
      <c r="I680" s="152">
        <v>190573</v>
      </c>
      <c r="J680" s="152">
        <v>171.07</v>
      </c>
      <c r="K680" s="152">
        <v>80294</v>
      </c>
      <c r="L680" s="152" t="s">
        <v>5167</v>
      </c>
      <c r="M680" s="152" t="s">
        <v>883</v>
      </c>
      <c r="N680" s="152" t="s">
        <v>92</v>
      </c>
      <c r="O680" s="152">
        <v>2269</v>
      </c>
      <c r="P680" s="152" t="s">
        <v>5167</v>
      </c>
      <c r="Q680" s="152" t="s">
        <v>883</v>
      </c>
      <c r="R680" s="152" t="s">
        <v>92</v>
      </c>
      <c r="S680" s="152">
        <v>2269</v>
      </c>
      <c r="T680" s="164" t="s">
        <v>856</v>
      </c>
      <c r="U680" s="164" t="s">
        <v>856</v>
      </c>
      <c r="V680" s="152" t="s">
        <v>5169</v>
      </c>
      <c r="Y680" s="152">
        <v>0</v>
      </c>
      <c r="Z680" s="152">
        <v>0</v>
      </c>
      <c r="AA680" s="152" t="s">
        <v>92</v>
      </c>
      <c r="AB680" s="152">
        <v>0</v>
      </c>
      <c r="AC680" s="152">
        <v>0</v>
      </c>
      <c r="AD680" s="152" t="s">
        <v>5144</v>
      </c>
      <c r="AE680" s="152">
        <v>0</v>
      </c>
      <c r="AF680" s="152">
        <v>163.87</v>
      </c>
      <c r="AG680" s="152" t="s">
        <v>5144</v>
      </c>
      <c r="AH680" s="152" t="s">
        <v>5144</v>
      </c>
      <c r="AI680" s="152" t="s">
        <v>92</v>
      </c>
      <c r="AJ680" s="152" t="s">
        <v>92</v>
      </c>
      <c r="AK680" s="152" t="s">
        <v>942</v>
      </c>
      <c r="AL680" s="152" t="s">
        <v>856</v>
      </c>
      <c r="AR680" s="152" t="s">
        <v>856</v>
      </c>
      <c r="AT680" s="152" t="str">
        <f t="shared" si="42"/>
        <v>USS1-020323</v>
      </c>
      <c r="AU680" s="152" t="str">
        <f t="shared" si="41"/>
        <v>ANA MARIA N. SUASNAVAR BOLAÑOS Y CONDUEÑOS</v>
      </c>
      <c r="BA680" s="152">
        <f t="shared" si="43"/>
        <v>0</v>
      </c>
      <c r="BF680" s="152" t="s">
        <v>5170</v>
      </c>
      <c r="BG680" s="152" t="s">
        <v>5171</v>
      </c>
      <c r="BH680" s="152">
        <v>0</v>
      </c>
      <c r="BI680" s="152">
        <v>163.87</v>
      </c>
      <c r="BJ680" s="152">
        <v>0</v>
      </c>
      <c r="BK680" s="152" t="s">
        <v>1296</v>
      </c>
      <c r="BL680" s="152">
        <v>204.84</v>
      </c>
      <c r="BM680" s="152">
        <v>10780167</v>
      </c>
      <c r="BN680" s="157">
        <v>46524</v>
      </c>
    </row>
    <row r="681" spans="1:66">
      <c r="A681" s="152" t="s">
        <v>5173</v>
      </c>
      <c r="B681" s="152" t="s">
        <v>5174</v>
      </c>
      <c r="C681" s="152" t="s">
        <v>5175</v>
      </c>
      <c r="D681" s="152" t="s">
        <v>5176</v>
      </c>
      <c r="E681" s="152" t="s">
        <v>5176</v>
      </c>
      <c r="F681" s="152">
        <v>4105</v>
      </c>
      <c r="G681" s="152">
        <v>105</v>
      </c>
      <c r="H681" s="152" t="s">
        <v>3364</v>
      </c>
      <c r="I681" s="152">
        <v>201601</v>
      </c>
      <c r="J681" s="152">
        <v>97.14</v>
      </c>
      <c r="K681" s="152">
        <v>88571</v>
      </c>
      <c r="L681" s="152" t="s">
        <v>5177</v>
      </c>
      <c r="M681" s="152" t="s">
        <v>92</v>
      </c>
      <c r="N681" s="152" t="s">
        <v>883</v>
      </c>
      <c r="O681" s="152">
        <v>4445</v>
      </c>
      <c r="P681" s="152" t="s">
        <v>5177</v>
      </c>
      <c r="Q681" s="152" t="s">
        <v>92</v>
      </c>
      <c r="R681" s="152" t="s">
        <v>883</v>
      </c>
      <c r="S681" s="152">
        <v>4445</v>
      </c>
      <c r="T681" s="164" t="s">
        <v>856</v>
      </c>
      <c r="U681" s="164" t="s">
        <v>856</v>
      </c>
      <c r="V681" s="152" t="s">
        <v>3530</v>
      </c>
      <c r="W681" s="152" t="s">
        <v>5100</v>
      </c>
      <c r="X681" s="152" t="s">
        <v>1083</v>
      </c>
      <c r="Y681" s="152">
        <v>39.270000000000003</v>
      </c>
      <c r="Z681" s="152">
        <v>1</v>
      </c>
      <c r="AA681" s="152" t="s">
        <v>92</v>
      </c>
      <c r="AB681" s="152">
        <v>81.650000000000006</v>
      </c>
      <c r="AC681" s="152">
        <v>1</v>
      </c>
      <c r="AD681" s="152" t="s">
        <v>5144</v>
      </c>
      <c r="AE681" s="152">
        <v>81.650000000000006</v>
      </c>
      <c r="AF681" s="152">
        <v>0</v>
      </c>
      <c r="AG681" s="152" t="s">
        <v>5144</v>
      </c>
      <c r="AH681" s="152" t="s">
        <v>861</v>
      </c>
      <c r="AI681" s="152" t="s">
        <v>92</v>
      </c>
      <c r="AJ681" s="152" t="s">
        <v>92</v>
      </c>
      <c r="AK681" s="152" t="s">
        <v>884</v>
      </c>
      <c r="AL681" s="152" t="s">
        <v>856</v>
      </c>
      <c r="AP681" s="152" t="s">
        <v>856</v>
      </c>
      <c r="AQ681" s="152" t="s">
        <v>856</v>
      </c>
      <c r="AR681" s="152" t="s">
        <v>5178</v>
      </c>
      <c r="AS681" s="152" t="s">
        <v>865</v>
      </c>
      <c r="AT681" s="152" t="str">
        <f t="shared" si="42"/>
        <v>RPNG1-190423</v>
      </c>
      <c r="AU681" s="152" t="str">
        <f t="shared" si="41"/>
        <v>JUAN HIGINIO GOMEZ VICENTE Y CONDUEÑA</v>
      </c>
      <c r="AV681" s="152">
        <v>956.64</v>
      </c>
      <c r="AW681" s="152">
        <v>10806252</v>
      </c>
      <c r="AX681" s="152">
        <v>30.3</v>
      </c>
      <c r="AY681" s="152">
        <v>10806252</v>
      </c>
      <c r="AZ681" s="152" t="s">
        <v>5164</v>
      </c>
      <c r="BA681" s="152" t="str">
        <f t="shared" si="43"/>
        <v>L23-260-JM82</v>
      </c>
      <c r="BB681" s="152">
        <v>0</v>
      </c>
      <c r="BC681" s="157">
        <v>45069</v>
      </c>
      <c r="BD681" s="157">
        <v>45069</v>
      </c>
      <c r="BE681" s="158">
        <v>178932.5</v>
      </c>
      <c r="BF681" s="152" t="s">
        <v>5179</v>
      </c>
      <c r="BG681" s="152" t="s">
        <v>894</v>
      </c>
      <c r="BH681" s="152">
        <v>81.650000000000006</v>
      </c>
      <c r="BI681" s="152">
        <v>0</v>
      </c>
      <c r="BJ681" s="152">
        <v>0</v>
      </c>
      <c r="BK681" s="152" t="s">
        <v>132</v>
      </c>
      <c r="BL681" s="152">
        <v>81.650000000000006</v>
      </c>
      <c r="BM681" s="152">
        <v>10806252</v>
      </c>
      <c r="BN681" s="157" t="s">
        <v>4100</v>
      </c>
    </row>
    <row r="682" spans="1:66">
      <c r="A682" s="152" t="s">
        <v>5180</v>
      </c>
      <c r="B682" s="152" t="s">
        <v>5181</v>
      </c>
      <c r="C682" s="152" t="s">
        <v>5182</v>
      </c>
      <c r="D682" s="152" t="s">
        <v>5183</v>
      </c>
      <c r="E682" s="152" t="s">
        <v>5183</v>
      </c>
      <c r="F682" s="152">
        <v>210202</v>
      </c>
      <c r="G682" s="152">
        <v>120</v>
      </c>
      <c r="H682" s="152">
        <v>422</v>
      </c>
      <c r="I682" s="152">
        <v>7281</v>
      </c>
      <c r="J682" s="152">
        <v>228.25</v>
      </c>
      <c r="K682" s="152">
        <v>44157</v>
      </c>
      <c r="L682" s="152" t="s">
        <v>5184</v>
      </c>
      <c r="M682" s="152" t="s">
        <v>883</v>
      </c>
      <c r="N682" s="152" t="s">
        <v>92</v>
      </c>
      <c r="O682" s="152">
        <v>9248</v>
      </c>
      <c r="P682" s="152" t="s">
        <v>5185</v>
      </c>
      <c r="Q682" s="152" t="s">
        <v>883</v>
      </c>
      <c r="R682" s="152" t="s">
        <v>92</v>
      </c>
      <c r="S682" s="152">
        <v>6306</v>
      </c>
      <c r="T682" s="164" t="s">
        <v>856</v>
      </c>
      <c r="U682" s="164" t="s">
        <v>856</v>
      </c>
      <c r="V682" s="152" t="s">
        <v>4037</v>
      </c>
      <c r="W682" s="152" t="s">
        <v>3309</v>
      </c>
      <c r="X682" s="152" t="s">
        <v>882</v>
      </c>
      <c r="Y682" s="152">
        <v>0</v>
      </c>
      <c r="Z682" s="152">
        <v>0</v>
      </c>
      <c r="AB682" s="152">
        <v>83.45</v>
      </c>
      <c r="AC682" s="152">
        <v>1</v>
      </c>
      <c r="AD682" s="152" t="s">
        <v>861</v>
      </c>
      <c r="AE682" s="152">
        <v>0</v>
      </c>
      <c r="AF682" s="152">
        <v>0</v>
      </c>
      <c r="AG682" s="152" t="s">
        <v>861</v>
      </c>
      <c r="AH682" s="152" t="s">
        <v>861</v>
      </c>
      <c r="AI682" s="152" t="s">
        <v>92</v>
      </c>
      <c r="AJ682" s="152" t="s">
        <v>92</v>
      </c>
      <c r="AK682" s="152" t="s">
        <v>972</v>
      </c>
      <c r="AL682" s="152" t="s">
        <v>856</v>
      </c>
      <c r="AP682" s="152" t="s">
        <v>856</v>
      </c>
      <c r="AQ682" s="152" t="s">
        <v>856</v>
      </c>
      <c r="AR682" s="152" t="s">
        <v>3723</v>
      </c>
      <c r="AS682" s="152" t="s">
        <v>865</v>
      </c>
      <c r="AT682" s="152" t="str">
        <f t="shared" si="42"/>
        <v>DMNV3-010223</v>
      </c>
      <c r="AU682" s="152" t="str">
        <f t="shared" si="41"/>
        <v xml:space="preserve">LAURA MAGDALENA VASQUEZ ESTACUY </v>
      </c>
      <c r="AV682" s="152">
        <v>62.59</v>
      </c>
      <c r="AW682" s="152">
        <v>845839</v>
      </c>
      <c r="AX682" s="159" t="s">
        <v>856</v>
      </c>
      <c r="AY682" s="152">
        <v>845839</v>
      </c>
      <c r="AZ682" s="152" t="s">
        <v>4037</v>
      </c>
      <c r="BA682" s="152" t="str">
        <f t="shared" si="43"/>
        <v>L23-177-LG027</v>
      </c>
      <c r="BB682" s="152">
        <v>12</v>
      </c>
      <c r="BC682" s="157">
        <v>45020</v>
      </c>
      <c r="BD682" s="157">
        <v>45203</v>
      </c>
      <c r="BE682" s="158">
        <v>8345</v>
      </c>
    </row>
    <row r="683" spans="1:66">
      <c r="A683" s="152" t="s">
        <v>5186</v>
      </c>
      <c r="B683" s="152" t="s">
        <v>5187</v>
      </c>
      <c r="C683" s="152" t="s">
        <v>5189</v>
      </c>
      <c r="D683" s="152" t="s">
        <v>5188</v>
      </c>
      <c r="E683" s="152" t="s">
        <v>5188</v>
      </c>
      <c r="F683" s="152">
        <v>5219</v>
      </c>
      <c r="G683" s="152">
        <v>219</v>
      </c>
      <c r="H683" s="152" t="s">
        <v>1507</v>
      </c>
      <c r="I683" s="152">
        <v>181232</v>
      </c>
      <c r="J683" s="152">
        <v>140</v>
      </c>
      <c r="K683" s="152">
        <v>74499</v>
      </c>
      <c r="L683" s="152" t="s">
        <v>5190</v>
      </c>
      <c r="M683" s="152" t="s">
        <v>92</v>
      </c>
      <c r="N683" s="152" t="s">
        <v>883</v>
      </c>
      <c r="O683" s="152">
        <v>3180</v>
      </c>
      <c r="P683" s="164" t="s">
        <v>5190</v>
      </c>
      <c r="Q683" s="181" t="s">
        <v>92</v>
      </c>
      <c r="R683" s="181" t="s">
        <v>883</v>
      </c>
      <c r="S683" s="181">
        <v>3180</v>
      </c>
      <c r="T683" s="164" t="s">
        <v>856</v>
      </c>
      <c r="U683" s="164" t="s">
        <v>856</v>
      </c>
      <c r="V683" s="152" t="s">
        <v>3530</v>
      </c>
      <c r="W683" s="152" t="s">
        <v>5100</v>
      </c>
      <c r="X683" s="152" t="s">
        <v>1083</v>
      </c>
      <c r="Y683" s="152">
        <v>5.88</v>
      </c>
      <c r="Z683" s="152">
        <v>1</v>
      </c>
      <c r="AA683" s="152" t="s">
        <v>92</v>
      </c>
      <c r="AB683" s="152">
        <v>354.18</v>
      </c>
      <c r="AC683" s="152">
        <v>4</v>
      </c>
      <c r="AD683" s="152" t="s">
        <v>861</v>
      </c>
      <c r="AE683" s="152">
        <v>354.18</v>
      </c>
      <c r="AF683" s="152">
        <v>0</v>
      </c>
      <c r="AG683" s="152" t="s">
        <v>861</v>
      </c>
      <c r="AH683" s="152" t="s">
        <v>5144</v>
      </c>
      <c r="AI683" s="152" t="s">
        <v>92</v>
      </c>
      <c r="AJ683" s="152" t="s">
        <v>92</v>
      </c>
      <c r="AK683" s="152" t="s">
        <v>884</v>
      </c>
      <c r="AL683" s="152" t="s">
        <v>856</v>
      </c>
      <c r="AP683" s="152" t="s">
        <v>856</v>
      </c>
      <c r="AQ683" s="152" t="s">
        <v>856</v>
      </c>
      <c r="AR683" s="152" t="s">
        <v>3723</v>
      </c>
      <c r="AS683" s="152" t="s">
        <v>865</v>
      </c>
      <c r="AT683" s="152" t="str">
        <f t="shared" si="42"/>
        <v>RPND7-080323</v>
      </c>
      <c r="AU683" s="152" t="str">
        <f t="shared" si="41"/>
        <v xml:space="preserve">EDWIN BAUDILIO DIAZ MAZARIEGOS </v>
      </c>
      <c r="AV683" s="175">
        <v>5366.73</v>
      </c>
      <c r="AW683" s="152">
        <v>847482</v>
      </c>
      <c r="AX683" s="152">
        <v>35</v>
      </c>
      <c r="AY683" s="152">
        <v>847484</v>
      </c>
      <c r="AZ683" s="152" t="s">
        <v>5164</v>
      </c>
      <c r="BA683" s="152" t="str">
        <f t="shared" si="43"/>
        <v>L23-185-LG026</v>
      </c>
      <c r="BB683" s="152">
        <v>0</v>
      </c>
      <c r="BC683" s="157">
        <v>45029</v>
      </c>
      <c r="BD683" s="157">
        <v>45029</v>
      </c>
      <c r="BE683" s="158">
        <v>1064598.7</v>
      </c>
      <c r="BF683" s="152" t="s">
        <v>5191</v>
      </c>
      <c r="BG683" s="152" t="s">
        <v>894</v>
      </c>
      <c r="BH683" s="152">
        <v>354.18</v>
      </c>
      <c r="BI683" s="152">
        <v>0</v>
      </c>
      <c r="BJ683" s="152">
        <v>0</v>
      </c>
      <c r="BK683" s="152" t="s">
        <v>132</v>
      </c>
      <c r="BL683" s="152">
        <v>354.18</v>
      </c>
      <c r="BM683" s="152">
        <v>847483</v>
      </c>
      <c r="BN683" s="157" t="s">
        <v>4100</v>
      </c>
    </row>
    <row r="684" spans="1:66">
      <c r="A684" s="152" t="s">
        <v>5192</v>
      </c>
      <c r="B684" s="152" t="s">
        <v>5193</v>
      </c>
      <c r="C684" s="152" t="s">
        <v>5194</v>
      </c>
      <c r="D684" s="152" t="s">
        <v>5195</v>
      </c>
      <c r="E684" s="152" t="s">
        <v>5195</v>
      </c>
      <c r="F684" s="152">
        <v>1352</v>
      </c>
      <c r="G684" s="152">
        <v>342</v>
      </c>
      <c r="H684" s="152" t="s">
        <v>1174</v>
      </c>
      <c r="I684" s="152">
        <v>198021</v>
      </c>
      <c r="J684" s="152">
        <v>112.1</v>
      </c>
      <c r="K684" s="152">
        <v>85586</v>
      </c>
      <c r="L684" s="152" t="s">
        <v>909</v>
      </c>
      <c r="M684" s="152" t="s">
        <v>883</v>
      </c>
      <c r="N684" s="152" t="s">
        <v>92</v>
      </c>
      <c r="O684" s="152">
        <v>8676</v>
      </c>
      <c r="P684" s="152" t="s">
        <v>909</v>
      </c>
      <c r="Q684" s="152" t="s">
        <v>883</v>
      </c>
      <c r="R684" s="152" t="s">
        <v>92</v>
      </c>
      <c r="S684" s="152">
        <v>8676</v>
      </c>
      <c r="T684" s="164" t="s">
        <v>856</v>
      </c>
      <c r="U684" s="164" t="s">
        <v>856</v>
      </c>
      <c r="V684" s="152" t="s">
        <v>3530</v>
      </c>
      <c r="W684" s="152" t="s">
        <v>5100</v>
      </c>
      <c r="X684" s="152" t="s">
        <v>1083</v>
      </c>
      <c r="Y684" s="152">
        <v>19.04</v>
      </c>
      <c r="Z684" s="152">
        <v>1</v>
      </c>
      <c r="AA684" s="152" t="s">
        <v>92</v>
      </c>
      <c r="AB684" s="152">
        <v>117.89</v>
      </c>
      <c r="AC684" s="152">
        <v>2</v>
      </c>
      <c r="AD684" s="152" t="s">
        <v>861</v>
      </c>
      <c r="AE684" s="152">
        <v>117.89</v>
      </c>
      <c r="AF684" s="152">
        <v>0</v>
      </c>
      <c r="AG684" s="152" t="s">
        <v>861</v>
      </c>
      <c r="AH684" s="152" t="s">
        <v>5144</v>
      </c>
      <c r="AI684" s="152" t="s">
        <v>92</v>
      </c>
      <c r="AJ684" s="152" t="s">
        <v>92</v>
      </c>
      <c r="AK684" s="152" t="s">
        <v>862</v>
      </c>
      <c r="AL684" s="152" t="s">
        <v>856</v>
      </c>
      <c r="AP684" s="152" t="s">
        <v>856</v>
      </c>
      <c r="AQ684" s="152" t="s">
        <v>856</v>
      </c>
      <c r="AR684" s="152" t="s">
        <v>863</v>
      </c>
      <c r="AS684" s="152" t="s">
        <v>865</v>
      </c>
      <c r="AT684" s="152" t="str">
        <f t="shared" si="42"/>
        <v>RPNC6-070223</v>
      </c>
      <c r="AU684" s="152" t="str">
        <f t="shared" si="41"/>
        <v>ANTONIO GABRIEL CACATZUN SANCHEZ</v>
      </c>
      <c r="AV684" s="175">
        <v>1522.73</v>
      </c>
      <c r="AW684" s="152">
        <v>847323</v>
      </c>
      <c r="AX684" s="152">
        <v>35</v>
      </c>
      <c r="AY684" s="152">
        <v>847325</v>
      </c>
      <c r="AZ684" s="152" t="s">
        <v>864</v>
      </c>
      <c r="BA684" s="152" t="str">
        <f t="shared" si="43"/>
        <v>L23-323-JM33</v>
      </c>
      <c r="BB684" s="152">
        <v>0</v>
      </c>
      <c r="BC684" s="157">
        <v>45027</v>
      </c>
      <c r="BD684" s="157">
        <v>45027</v>
      </c>
      <c r="BE684" s="158">
        <v>301389</v>
      </c>
      <c r="BF684" s="152" t="s">
        <v>5196</v>
      </c>
      <c r="BG684" s="152" t="s">
        <v>4243</v>
      </c>
      <c r="BH684" s="152">
        <v>117.89</v>
      </c>
      <c r="BI684" s="152">
        <v>0</v>
      </c>
      <c r="BJ684" s="152">
        <v>0</v>
      </c>
      <c r="BK684" s="152" t="s">
        <v>132</v>
      </c>
      <c r="BL684" s="152">
        <v>117.89</v>
      </c>
      <c r="BM684" s="152">
        <v>847324</v>
      </c>
      <c r="BN684" s="157" t="s">
        <v>1453</v>
      </c>
    </row>
    <row r="685" spans="1:66">
      <c r="A685" s="152" t="s">
        <v>5197</v>
      </c>
      <c r="B685" s="152" t="s">
        <v>5198</v>
      </c>
      <c r="C685" s="152" t="s">
        <v>5199</v>
      </c>
      <c r="D685" s="152" t="s">
        <v>5200</v>
      </c>
      <c r="E685" s="152" t="s">
        <v>5200</v>
      </c>
      <c r="F685" s="152">
        <v>6694</v>
      </c>
      <c r="G685" s="152">
        <v>194</v>
      </c>
      <c r="H685" s="152" t="s">
        <v>1848</v>
      </c>
      <c r="I685" s="152">
        <v>177389</v>
      </c>
      <c r="J685" s="152">
        <v>119.63</v>
      </c>
      <c r="K685" s="152">
        <v>71072</v>
      </c>
      <c r="L685" s="152" t="s">
        <v>5201</v>
      </c>
      <c r="M685" s="152" t="s">
        <v>92</v>
      </c>
      <c r="N685" s="152" t="s">
        <v>883</v>
      </c>
      <c r="O685" s="152">
        <v>6571</v>
      </c>
      <c r="P685" s="152" t="s">
        <v>5201</v>
      </c>
      <c r="Q685" s="152" t="s">
        <v>92</v>
      </c>
      <c r="R685" s="152" t="s">
        <v>883</v>
      </c>
      <c r="S685" s="152">
        <v>6571</v>
      </c>
      <c r="T685" s="164" t="s">
        <v>856</v>
      </c>
      <c r="U685" s="164" t="s">
        <v>856</v>
      </c>
      <c r="V685" s="152" t="s">
        <v>911</v>
      </c>
      <c r="W685" s="152" t="s">
        <v>5100</v>
      </c>
      <c r="X685" s="152" t="s">
        <v>1083</v>
      </c>
      <c r="Y685" s="152">
        <v>36.15</v>
      </c>
      <c r="Z685" s="152">
        <v>2</v>
      </c>
      <c r="AA685" s="152" t="s">
        <v>883</v>
      </c>
      <c r="AB685" s="152">
        <v>219.32</v>
      </c>
      <c r="AC685" s="152">
        <v>2</v>
      </c>
      <c r="AD685" s="152" t="s">
        <v>861</v>
      </c>
      <c r="AE685" s="152">
        <v>219.32</v>
      </c>
      <c r="AF685" s="152">
        <v>0</v>
      </c>
      <c r="AG685" s="152" t="s">
        <v>861</v>
      </c>
      <c r="AH685" s="152" t="s">
        <v>5144</v>
      </c>
      <c r="AI685" s="152" t="s">
        <v>92</v>
      </c>
      <c r="AJ685" s="152" t="s">
        <v>92</v>
      </c>
      <c r="AK685" s="152" t="s">
        <v>884</v>
      </c>
      <c r="AL685" s="152" t="s">
        <v>856</v>
      </c>
      <c r="AP685" s="152" t="s">
        <v>856</v>
      </c>
      <c r="AQ685" s="152" t="s">
        <v>856</v>
      </c>
      <c r="AR685" s="152" t="s">
        <v>863</v>
      </c>
      <c r="AS685" s="152" t="s">
        <v>865</v>
      </c>
      <c r="AT685" s="152" t="str">
        <f t="shared" si="42"/>
        <v>RPNL1-120223</v>
      </c>
      <c r="AU685" s="152" t="str">
        <f t="shared" si="41"/>
        <v xml:space="preserve">WOTZBELI EUGENIO LIMATUJ IXCARAGUA </v>
      </c>
      <c r="AV685" s="175">
        <v>2834.32</v>
      </c>
      <c r="AW685" s="152">
        <v>852682</v>
      </c>
      <c r="AX685" s="152">
        <v>31.25</v>
      </c>
      <c r="AY685" s="152">
        <v>852684</v>
      </c>
      <c r="AZ685" s="152" t="s">
        <v>864</v>
      </c>
      <c r="BA685" s="152" t="str">
        <f t="shared" si="43"/>
        <v>L23-258-RL001</v>
      </c>
      <c r="BB685" s="152">
        <v>0</v>
      </c>
      <c r="BC685" s="157">
        <v>45044</v>
      </c>
      <c r="BD685" s="157">
        <v>45044</v>
      </c>
      <c r="BE685" s="158">
        <v>560959.5</v>
      </c>
      <c r="BF685" s="152" t="s">
        <v>5202</v>
      </c>
      <c r="BH685" s="152">
        <v>219.32</v>
      </c>
      <c r="BI685" s="152">
        <v>0</v>
      </c>
      <c r="BJ685" s="152">
        <v>0</v>
      </c>
      <c r="BK685" s="152" t="s">
        <v>132</v>
      </c>
      <c r="BL685" s="152">
        <v>219.3</v>
      </c>
      <c r="BM685" s="152">
        <v>852683</v>
      </c>
      <c r="BN685" s="157" t="s">
        <v>1453</v>
      </c>
    </row>
    <row r="686" spans="1:66">
      <c r="AT686" s="152">
        <f t="shared" si="42"/>
        <v>0</v>
      </c>
      <c r="AU686" s="152">
        <f t="shared" si="41"/>
        <v>0</v>
      </c>
      <c r="BA686" s="152">
        <f t="shared" si="43"/>
        <v>0</v>
      </c>
    </row>
    <row r="687" spans="1:66">
      <c r="AT687" s="152">
        <f t="shared" si="42"/>
        <v>0</v>
      </c>
      <c r="AU687" s="152">
        <f t="shared" si="41"/>
        <v>0</v>
      </c>
      <c r="BA687" s="152">
        <f t="shared" si="43"/>
        <v>0</v>
      </c>
    </row>
    <row r="688" spans="1:66">
      <c r="AT688" s="152">
        <f t="shared" si="42"/>
        <v>0</v>
      </c>
      <c r="AU688" s="152">
        <f t="shared" si="41"/>
        <v>0</v>
      </c>
      <c r="BA688" s="152">
        <f t="shared" si="43"/>
        <v>0</v>
      </c>
    </row>
    <row r="689" spans="46:53">
      <c r="AT689" s="152">
        <f t="shared" si="42"/>
        <v>0</v>
      </c>
      <c r="AU689" s="152">
        <f t="shared" si="41"/>
        <v>0</v>
      </c>
      <c r="BA689" s="152">
        <f t="shared" si="43"/>
        <v>0</v>
      </c>
    </row>
    <row r="690" spans="46:53">
      <c r="AT690" s="152">
        <f t="shared" si="42"/>
        <v>0</v>
      </c>
      <c r="AU690" s="152">
        <f t="shared" si="41"/>
        <v>0</v>
      </c>
      <c r="BA690" s="152">
        <f t="shared" si="43"/>
        <v>0</v>
      </c>
    </row>
    <row r="691" spans="46:53">
      <c r="AT691" s="152">
        <f t="shared" si="42"/>
        <v>0</v>
      </c>
      <c r="AU691" s="152">
        <f t="shared" si="41"/>
        <v>0</v>
      </c>
      <c r="BA691" s="152">
        <f t="shared" si="43"/>
        <v>0</v>
      </c>
    </row>
    <row r="692" spans="46:53">
      <c r="AT692" s="152">
        <f t="shared" si="42"/>
        <v>0</v>
      </c>
      <c r="AU692" s="152">
        <f t="shared" si="41"/>
        <v>0</v>
      </c>
      <c r="BA692" s="152">
        <f t="shared" si="43"/>
        <v>0</v>
      </c>
    </row>
    <row r="693" spans="46:53">
      <c r="AT693" s="152">
        <f t="shared" si="42"/>
        <v>0</v>
      </c>
      <c r="AU693" s="152">
        <f t="shared" si="41"/>
        <v>0</v>
      </c>
      <c r="BA693" s="152">
        <f t="shared" si="43"/>
        <v>0</v>
      </c>
    </row>
    <row r="694" spans="46:53">
      <c r="AT694" s="152">
        <f t="shared" si="42"/>
        <v>0</v>
      </c>
      <c r="AU694" s="152">
        <f t="shared" si="41"/>
        <v>0</v>
      </c>
      <c r="BA694" s="152">
        <f t="shared" si="43"/>
        <v>0</v>
      </c>
    </row>
    <row r="695" spans="46:53">
      <c r="AT695" s="152">
        <f t="shared" ref="AT695:AU710" si="44">B695</f>
        <v>0</v>
      </c>
      <c r="AU695" s="152">
        <f t="shared" si="44"/>
        <v>0</v>
      </c>
      <c r="BA695" s="152">
        <f t="shared" si="43"/>
        <v>0</v>
      </c>
    </row>
    <row r="696" spans="46:53">
      <c r="AT696" s="152">
        <f t="shared" si="44"/>
        <v>0</v>
      </c>
      <c r="AU696" s="152">
        <f t="shared" si="44"/>
        <v>0</v>
      </c>
      <c r="BA696" s="152">
        <f t="shared" si="43"/>
        <v>0</v>
      </c>
    </row>
    <row r="697" spans="46:53">
      <c r="AT697" s="152">
        <f t="shared" si="44"/>
        <v>0</v>
      </c>
      <c r="AU697" s="152">
        <f t="shared" si="44"/>
        <v>0</v>
      </c>
      <c r="BA697" s="152">
        <f t="shared" si="43"/>
        <v>0</v>
      </c>
    </row>
    <row r="698" spans="46:53">
      <c r="AT698" s="152">
        <f t="shared" si="44"/>
        <v>0</v>
      </c>
      <c r="AU698" s="152">
        <f t="shared" si="44"/>
        <v>0</v>
      </c>
      <c r="BA698" s="152">
        <f t="shared" si="43"/>
        <v>0</v>
      </c>
    </row>
    <row r="699" spans="46:53">
      <c r="AT699" s="152">
        <f t="shared" si="44"/>
        <v>0</v>
      </c>
      <c r="AU699" s="152">
        <f t="shared" si="44"/>
        <v>0</v>
      </c>
      <c r="BA699" s="152">
        <f t="shared" si="43"/>
        <v>0</v>
      </c>
    </row>
    <row r="700" spans="46:53">
      <c r="AT700" s="152">
        <f t="shared" si="44"/>
        <v>0</v>
      </c>
      <c r="AU700" s="152">
        <f t="shared" si="44"/>
        <v>0</v>
      </c>
      <c r="BA700" s="152">
        <f t="shared" si="43"/>
        <v>0</v>
      </c>
    </row>
    <row r="701" spans="46:53">
      <c r="AT701" s="152">
        <f t="shared" si="44"/>
        <v>0</v>
      </c>
      <c r="AU701" s="152">
        <f t="shared" si="44"/>
        <v>0</v>
      </c>
      <c r="BA701" s="152">
        <f t="shared" si="43"/>
        <v>0</v>
      </c>
    </row>
    <row r="702" spans="46:53">
      <c r="AT702" s="152">
        <f t="shared" si="44"/>
        <v>0</v>
      </c>
      <c r="AU702" s="152">
        <f t="shared" si="44"/>
        <v>0</v>
      </c>
      <c r="BA702" s="152">
        <f t="shared" ref="BA702:BA732" si="45">A702</f>
        <v>0</v>
      </c>
    </row>
    <row r="703" spans="46:53">
      <c r="AT703" s="152">
        <f t="shared" ref="AT703:AU749" si="46">B703</f>
        <v>0</v>
      </c>
      <c r="AU703" s="152">
        <f t="shared" si="44"/>
        <v>0</v>
      </c>
      <c r="BA703" s="152">
        <f t="shared" si="45"/>
        <v>0</v>
      </c>
    </row>
    <row r="704" spans="46:53">
      <c r="AT704" s="152">
        <f t="shared" si="46"/>
        <v>0</v>
      </c>
      <c r="AU704" s="152">
        <f t="shared" si="44"/>
        <v>0</v>
      </c>
      <c r="BA704" s="152">
        <f t="shared" si="45"/>
        <v>0</v>
      </c>
    </row>
    <row r="705" spans="46:53">
      <c r="AT705" s="152">
        <f t="shared" si="46"/>
        <v>0</v>
      </c>
      <c r="AU705" s="152">
        <f t="shared" si="44"/>
        <v>0</v>
      </c>
      <c r="BA705" s="152">
        <f t="shared" si="45"/>
        <v>0</v>
      </c>
    </row>
    <row r="706" spans="46:53">
      <c r="AT706" s="152">
        <f t="shared" si="46"/>
        <v>0</v>
      </c>
      <c r="AU706" s="152">
        <f t="shared" si="44"/>
        <v>0</v>
      </c>
      <c r="BA706" s="152">
        <f t="shared" si="45"/>
        <v>0</v>
      </c>
    </row>
    <row r="707" spans="46:53">
      <c r="AT707" s="152">
        <f t="shared" si="46"/>
        <v>0</v>
      </c>
      <c r="AU707" s="152">
        <f t="shared" si="44"/>
        <v>0</v>
      </c>
      <c r="BA707" s="152">
        <f t="shared" si="45"/>
        <v>0</v>
      </c>
    </row>
    <row r="708" spans="46:53">
      <c r="AT708" s="152">
        <f t="shared" si="46"/>
        <v>0</v>
      </c>
      <c r="AU708" s="152">
        <f t="shared" si="44"/>
        <v>0</v>
      </c>
      <c r="BA708" s="152">
        <f t="shared" si="45"/>
        <v>0</v>
      </c>
    </row>
    <row r="709" spans="46:53">
      <c r="AT709" s="152">
        <f t="shared" si="46"/>
        <v>0</v>
      </c>
      <c r="AU709" s="152">
        <f t="shared" si="44"/>
        <v>0</v>
      </c>
      <c r="BA709" s="152">
        <f t="shared" si="45"/>
        <v>0</v>
      </c>
    </row>
    <row r="710" spans="46:53">
      <c r="AT710" s="152">
        <f t="shared" si="46"/>
        <v>0</v>
      </c>
      <c r="AU710" s="152">
        <f t="shared" si="44"/>
        <v>0</v>
      </c>
      <c r="BA710" s="152">
        <f t="shared" si="45"/>
        <v>0</v>
      </c>
    </row>
    <row r="711" spans="46:53">
      <c r="AT711" s="152">
        <f t="shared" si="46"/>
        <v>0</v>
      </c>
      <c r="AU711" s="152">
        <f t="shared" si="46"/>
        <v>0</v>
      </c>
      <c r="BA711" s="152">
        <f t="shared" si="45"/>
        <v>0</v>
      </c>
    </row>
    <row r="712" spans="46:53">
      <c r="AT712" s="152">
        <f t="shared" si="46"/>
        <v>0</v>
      </c>
      <c r="AU712" s="152">
        <f t="shared" si="46"/>
        <v>0</v>
      </c>
      <c r="BA712" s="152">
        <f t="shared" si="45"/>
        <v>0</v>
      </c>
    </row>
    <row r="713" spans="46:53">
      <c r="AT713" s="152">
        <f t="shared" si="46"/>
        <v>0</v>
      </c>
      <c r="AU713" s="152">
        <f t="shared" si="46"/>
        <v>0</v>
      </c>
      <c r="BA713" s="152">
        <f t="shared" si="45"/>
        <v>0</v>
      </c>
    </row>
    <row r="714" spans="46:53">
      <c r="AT714" s="152">
        <f t="shared" si="46"/>
        <v>0</v>
      </c>
      <c r="AU714" s="152">
        <f t="shared" si="46"/>
        <v>0</v>
      </c>
      <c r="BA714" s="152">
        <f t="shared" si="45"/>
        <v>0</v>
      </c>
    </row>
    <row r="715" spans="46:53">
      <c r="AT715" s="152">
        <f t="shared" si="46"/>
        <v>0</v>
      </c>
      <c r="AU715" s="152">
        <f t="shared" si="46"/>
        <v>0</v>
      </c>
      <c r="BA715" s="152">
        <f t="shared" si="45"/>
        <v>0</v>
      </c>
    </row>
    <row r="716" spans="46:53">
      <c r="AT716" s="152">
        <f t="shared" si="46"/>
        <v>0</v>
      </c>
      <c r="AU716" s="152">
        <f t="shared" si="46"/>
        <v>0</v>
      </c>
      <c r="BA716" s="152">
        <f t="shared" si="45"/>
        <v>0</v>
      </c>
    </row>
    <row r="717" spans="46:53">
      <c r="AT717" s="152">
        <f t="shared" si="46"/>
        <v>0</v>
      </c>
      <c r="AU717" s="152">
        <f t="shared" si="46"/>
        <v>0</v>
      </c>
      <c r="BA717" s="152">
        <f t="shared" si="45"/>
        <v>0</v>
      </c>
    </row>
    <row r="718" spans="46:53">
      <c r="AT718" s="152">
        <f t="shared" si="46"/>
        <v>0</v>
      </c>
      <c r="AU718" s="152">
        <f t="shared" si="46"/>
        <v>0</v>
      </c>
      <c r="BA718" s="152">
        <f t="shared" si="45"/>
        <v>0</v>
      </c>
    </row>
    <row r="719" spans="46:53">
      <c r="AT719" s="152">
        <f t="shared" si="46"/>
        <v>0</v>
      </c>
      <c r="AU719" s="152">
        <f t="shared" si="46"/>
        <v>0</v>
      </c>
      <c r="BA719" s="152">
        <f t="shared" si="45"/>
        <v>0</v>
      </c>
    </row>
    <row r="720" spans="46:53">
      <c r="AT720" s="152">
        <f t="shared" si="46"/>
        <v>0</v>
      </c>
      <c r="AU720" s="152">
        <f t="shared" si="46"/>
        <v>0</v>
      </c>
      <c r="BA720" s="152">
        <f t="shared" si="45"/>
        <v>0</v>
      </c>
    </row>
    <row r="721" spans="46:53">
      <c r="AT721" s="152">
        <f t="shared" si="46"/>
        <v>0</v>
      </c>
      <c r="AU721" s="152">
        <f t="shared" si="46"/>
        <v>0</v>
      </c>
      <c r="BA721" s="152">
        <f t="shared" si="45"/>
        <v>0</v>
      </c>
    </row>
    <row r="722" spans="46:53">
      <c r="AT722" s="152">
        <f t="shared" si="46"/>
        <v>0</v>
      </c>
      <c r="AU722" s="152">
        <f t="shared" si="46"/>
        <v>0</v>
      </c>
      <c r="BA722" s="152">
        <f t="shared" si="45"/>
        <v>0</v>
      </c>
    </row>
    <row r="723" spans="46:53">
      <c r="AT723" s="152">
        <f t="shared" si="46"/>
        <v>0</v>
      </c>
      <c r="AU723" s="152">
        <f t="shared" si="46"/>
        <v>0</v>
      </c>
      <c r="BA723" s="152">
        <f t="shared" si="45"/>
        <v>0</v>
      </c>
    </row>
    <row r="724" spans="46:53">
      <c r="AT724" s="152">
        <f t="shared" si="46"/>
        <v>0</v>
      </c>
      <c r="AU724" s="152">
        <f t="shared" si="46"/>
        <v>0</v>
      </c>
      <c r="BA724" s="152">
        <f t="shared" si="45"/>
        <v>0</v>
      </c>
    </row>
    <row r="725" spans="46:53">
      <c r="AT725" s="152">
        <f t="shared" si="46"/>
        <v>0</v>
      </c>
      <c r="AU725" s="152">
        <f t="shared" si="46"/>
        <v>0</v>
      </c>
      <c r="BA725" s="152">
        <f t="shared" si="45"/>
        <v>0</v>
      </c>
    </row>
    <row r="726" spans="46:53">
      <c r="AT726" s="152">
        <f t="shared" si="46"/>
        <v>0</v>
      </c>
      <c r="AU726" s="152">
        <f t="shared" si="46"/>
        <v>0</v>
      </c>
      <c r="BA726" s="152">
        <f t="shared" si="45"/>
        <v>0</v>
      </c>
    </row>
    <row r="727" spans="46:53">
      <c r="AT727" s="152">
        <f t="shared" si="46"/>
        <v>0</v>
      </c>
      <c r="AU727" s="152">
        <f t="shared" si="46"/>
        <v>0</v>
      </c>
      <c r="BA727" s="152">
        <f t="shared" si="45"/>
        <v>0</v>
      </c>
    </row>
    <row r="728" spans="46:53">
      <c r="AT728" s="152">
        <f t="shared" si="46"/>
        <v>0</v>
      </c>
      <c r="AU728" s="152">
        <f t="shared" si="46"/>
        <v>0</v>
      </c>
      <c r="BA728" s="152">
        <f t="shared" si="45"/>
        <v>0</v>
      </c>
    </row>
    <row r="729" spans="46:53">
      <c r="AT729" s="152">
        <f t="shared" si="46"/>
        <v>0</v>
      </c>
      <c r="AU729" s="152">
        <f t="shared" si="46"/>
        <v>0</v>
      </c>
      <c r="BA729" s="152">
        <f t="shared" si="45"/>
        <v>0</v>
      </c>
    </row>
    <row r="730" spans="46:53">
      <c r="AT730" s="152">
        <f t="shared" si="46"/>
        <v>0</v>
      </c>
      <c r="AU730" s="152">
        <f t="shared" si="46"/>
        <v>0</v>
      </c>
      <c r="BA730" s="152">
        <f t="shared" si="45"/>
        <v>0</v>
      </c>
    </row>
    <row r="731" spans="46:53">
      <c r="AT731" s="152">
        <f t="shared" si="46"/>
        <v>0</v>
      </c>
      <c r="AU731" s="152">
        <f t="shared" si="46"/>
        <v>0</v>
      </c>
      <c r="BA731" s="152">
        <f t="shared" si="45"/>
        <v>0</v>
      </c>
    </row>
    <row r="732" spans="46:53">
      <c r="AT732" s="152">
        <f t="shared" si="46"/>
        <v>0</v>
      </c>
      <c r="AU732" s="152">
        <f t="shared" si="46"/>
        <v>0</v>
      </c>
      <c r="BA732" s="152">
        <f t="shared" si="45"/>
        <v>0</v>
      </c>
    </row>
    <row r="733" spans="46:53">
      <c r="AT733" s="152">
        <f t="shared" si="46"/>
        <v>0</v>
      </c>
      <c r="AU733" s="152">
        <f t="shared" si="46"/>
        <v>0</v>
      </c>
      <c r="BA733" s="152">
        <f t="shared" ref="BA733:BA772" si="47">A733</f>
        <v>0</v>
      </c>
    </row>
    <row r="734" spans="46:53">
      <c r="AT734" s="152">
        <f t="shared" si="46"/>
        <v>0</v>
      </c>
      <c r="AU734" s="152">
        <f t="shared" si="46"/>
        <v>0</v>
      </c>
      <c r="BA734" s="152">
        <f t="shared" si="47"/>
        <v>0</v>
      </c>
    </row>
    <row r="735" spans="46:53">
      <c r="AT735" s="152">
        <f t="shared" si="46"/>
        <v>0</v>
      </c>
      <c r="AU735" s="152">
        <f t="shared" si="46"/>
        <v>0</v>
      </c>
      <c r="BA735" s="152">
        <f t="shared" si="47"/>
        <v>0</v>
      </c>
    </row>
    <row r="736" spans="46:53">
      <c r="AT736" s="152">
        <f t="shared" si="46"/>
        <v>0</v>
      </c>
      <c r="AU736" s="152">
        <f t="shared" si="46"/>
        <v>0</v>
      </c>
      <c r="BA736" s="152">
        <f t="shared" si="47"/>
        <v>0</v>
      </c>
    </row>
    <row r="737" spans="46:53">
      <c r="AT737" s="152">
        <f t="shared" si="46"/>
        <v>0</v>
      </c>
      <c r="AU737" s="152">
        <f t="shared" si="46"/>
        <v>0</v>
      </c>
      <c r="BA737" s="152">
        <f t="shared" si="47"/>
        <v>0</v>
      </c>
    </row>
    <row r="738" spans="46:53">
      <c r="AT738" s="152">
        <f t="shared" si="46"/>
        <v>0</v>
      </c>
      <c r="AU738" s="152">
        <f t="shared" si="46"/>
        <v>0</v>
      </c>
      <c r="BA738" s="152">
        <f t="shared" si="47"/>
        <v>0</v>
      </c>
    </row>
    <row r="739" spans="46:53">
      <c r="AT739" s="152">
        <f t="shared" si="46"/>
        <v>0</v>
      </c>
      <c r="AU739" s="152">
        <f t="shared" si="46"/>
        <v>0</v>
      </c>
      <c r="BA739" s="152">
        <f t="shared" si="47"/>
        <v>0</v>
      </c>
    </row>
    <row r="740" spans="46:53">
      <c r="AT740" s="152">
        <f t="shared" si="46"/>
        <v>0</v>
      </c>
      <c r="AU740" s="152">
        <f t="shared" si="46"/>
        <v>0</v>
      </c>
      <c r="BA740" s="152">
        <f t="shared" si="47"/>
        <v>0</v>
      </c>
    </row>
    <row r="741" spans="46:53">
      <c r="AT741" s="152">
        <f t="shared" si="46"/>
        <v>0</v>
      </c>
      <c r="AU741" s="152">
        <f t="shared" si="46"/>
        <v>0</v>
      </c>
      <c r="BA741" s="152">
        <f t="shared" si="47"/>
        <v>0</v>
      </c>
    </row>
    <row r="742" spans="46:53">
      <c r="AT742" s="152">
        <f t="shared" si="46"/>
        <v>0</v>
      </c>
      <c r="AU742" s="152">
        <f t="shared" si="46"/>
        <v>0</v>
      </c>
      <c r="BA742" s="152">
        <f t="shared" si="47"/>
        <v>0</v>
      </c>
    </row>
    <row r="743" spans="46:53">
      <c r="AT743" s="152">
        <f t="shared" si="46"/>
        <v>0</v>
      </c>
      <c r="AU743" s="152">
        <f t="shared" si="46"/>
        <v>0</v>
      </c>
      <c r="BA743" s="152">
        <f t="shared" si="47"/>
        <v>0</v>
      </c>
    </row>
    <row r="744" spans="46:53">
      <c r="AT744" s="152">
        <f t="shared" si="46"/>
        <v>0</v>
      </c>
      <c r="AU744" s="152">
        <f t="shared" si="46"/>
        <v>0</v>
      </c>
      <c r="BA744" s="152">
        <f t="shared" si="47"/>
        <v>0</v>
      </c>
    </row>
    <row r="745" spans="46:53">
      <c r="AT745" s="152">
        <f t="shared" si="46"/>
        <v>0</v>
      </c>
      <c r="AU745" s="152">
        <f t="shared" si="46"/>
        <v>0</v>
      </c>
      <c r="BA745" s="152">
        <f t="shared" si="47"/>
        <v>0</v>
      </c>
    </row>
    <row r="746" spans="46:53">
      <c r="AT746" s="152">
        <f t="shared" si="46"/>
        <v>0</v>
      </c>
      <c r="AU746" s="152">
        <f t="shared" si="46"/>
        <v>0</v>
      </c>
      <c r="BA746" s="152">
        <f t="shared" si="47"/>
        <v>0</v>
      </c>
    </row>
    <row r="747" spans="46:53">
      <c r="AT747" s="152">
        <f t="shared" si="46"/>
        <v>0</v>
      </c>
      <c r="AU747" s="152">
        <f t="shared" si="46"/>
        <v>0</v>
      </c>
      <c r="BA747" s="152">
        <f t="shared" si="47"/>
        <v>0</v>
      </c>
    </row>
    <row r="748" spans="46:53">
      <c r="AT748" s="152">
        <f t="shared" si="46"/>
        <v>0</v>
      </c>
      <c r="AU748" s="152">
        <f t="shared" si="46"/>
        <v>0</v>
      </c>
      <c r="BA748" s="152">
        <f t="shared" si="47"/>
        <v>0</v>
      </c>
    </row>
    <row r="749" spans="46:53">
      <c r="AT749" s="152">
        <f t="shared" si="46"/>
        <v>0</v>
      </c>
      <c r="AU749" s="152">
        <f t="shared" si="46"/>
        <v>0</v>
      </c>
      <c r="BA749" s="152">
        <f t="shared" si="47"/>
        <v>0</v>
      </c>
    </row>
    <row r="750" spans="46:53">
      <c r="AU750" s="152">
        <f t="shared" ref="AU750:AU780" si="48">C750</f>
        <v>0</v>
      </c>
      <c r="BA750" s="152">
        <f t="shared" si="47"/>
        <v>0</v>
      </c>
    </row>
    <row r="751" spans="46:53">
      <c r="AU751" s="152">
        <f t="shared" si="48"/>
        <v>0</v>
      </c>
      <c r="BA751" s="152">
        <f t="shared" si="47"/>
        <v>0</v>
      </c>
    </row>
    <row r="752" spans="46:53">
      <c r="AU752" s="152">
        <f t="shared" si="48"/>
        <v>0</v>
      </c>
      <c r="BA752" s="152">
        <f t="shared" si="47"/>
        <v>0</v>
      </c>
    </row>
    <row r="753" spans="47:53">
      <c r="AU753" s="152">
        <f t="shared" si="48"/>
        <v>0</v>
      </c>
      <c r="BA753" s="152">
        <f t="shared" si="47"/>
        <v>0</v>
      </c>
    </row>
    <row r="754" spans="47:53">
      <c r="AU754" s="152">
        <f t="shared" si="48"/>
        <v>0</v>
      </c>
      <c r="BA754" s="152">
        <f t="shared" si="47"/>
        <v>0</v>
      </c>
    </row>
    <row r="755" spans="47:53">
      <c r="AU755" s="152">
        <f t="shared" si="48"/>
        <v>0</v>
      </c>
      <c r="BA755" s="152">
        <f t="shared" si="47"/>
        <v>0</v>
      </c>
    </row>
    <row r="756" spans="47:53">
      <c r="AU756" s="152">
        <f t="shared" si="48"/>
        <v>0</v>
      </c>
      <c r="BA756" s="152">
        <f t="shared" si="47"/>
        <v>0</v>
      </c>
    </row>
    <row r="757" spans="47:53">
      <c r="AU757" s="152">
        <f t="shared" si="48"/>
        <v>0</v>
      </c>
      <c r="BA757" s="152">
        <f t="shared" si="47"/>
        <v>0</v>
      </c>
    </row>
    <row r="758" spans="47:53">
      <c r="AU758" s="152">
        <f t="shared" si="48"/>
        <v>0</v>
      </c>
      <c r="BA758" s="152">
        <f t="shared" si="47"/>
        <v>0</v>
      </c>
    </row>
    <row r="759" spans="47:53">
      <c r="AU759" s="152">
        <f t="shared" si="48"/>
        <v>0</v>
      </c>
      <c r="BA759" s="152">
        <f t="shared" si="47"/>
        <v>0</v>
      </c>
    </row>
    <row r="760" spans="47:53">
      <c r="AU760" s="152">
        <f t="shared" si="48"/>
        <v>0</v>
      </c>
      <c r="BA760" s="152">
        <f t="shared" si="47"/>
        <v>0</v>
      </c>
    </row>
    <row r="761" spans="47:53">
      <c r="AU761" s="152">
        <f t="shared" si="48"/>
        <v>0</v>
      </c>
      <c r="BA761" s="152">
        <f t="shared" si="47"/>
        <v>0</v>
      </c>
    </row>
    <row r="762" spans="47:53">
      <c r="AU762" s="152">
        <f t="shared" si="48"/>
        <v>0</v>
      </c>
      <c r="BA762" s="152">
        <f t="shared" si="47"/>
        <v>0</v>
      </c>
    </row>
    <row r="763" spans="47:53">
      <c r="AU763" s="152">
        <f t="shared" si="48"/>
        <v>0</v>
      </c>
      <c r="BA763" s="152">
        <f t="shared" si="47"/>
        <v>0</v>
      </c>
    </row>
    <row r="764" spans="47:53">
      <c r="AU764" s="152">
        <f t="shared" si="48"/>
        <v>0</v>
      </c>
      <c r="BA764" s="152">
        <f t="shared" si="47"/>
        <v>0</v>
      </c>
    </row>
    <row r="765" spans="47:53">
      <c r="AU765" s="152">
        <f t="shared" si="48"/>
        <v>0</v>
      </c>
      <c r="BA765" s="152">
        <f t="shared" si="47"/>
        <v>0</v>
      </c>
    </row>
    <row r="766" spans="47:53">
      <c r="AU766" s="152">
        <f t="shared" si="48"/>
        <v>0</v>
      </c>
      <c r="BA766" s="152">
        <f t="shared" si="47"/>
        <v>0</v>
      </c>
    </row>
    <row r="767" spans="47:53">
      <c r="AU767" s="152">
        <f t="shared" si="48"/>
        <v>0</v>
      </c>
      <c r="BA767" s="152">
        <f t="shared" si="47"/>
        <v>0</v>
      </c>
    </row>
    <row r="768" spans="47:53">
      <c r="AU768" s="152">
        <f t="shared" si="48"/>
        <v>0</v>
      </c>
      <c r="BA768" s="152">
        <f t="shared" si="47"/>
        <v>0</v>
      </c>
    </row>
    <row r="769" spans="47:53">
      <c r="AU769" s="152">
        <f t="shared" si="48"/>
        <v>0</v>
      </c>
      <c r="BA769" s="152">
        <f t="shared" si="47"/>
        <v>0</v>
      </c>
    </row>
    <row r="770" spans="47:53">
      <c r="AU770" s="152">
        <f t="shared" si="48"/>
        <v>0</v>
      </c>
      <c r="BA770" s="152">
        <f t="shared" si="47"/>
        <v>0</v>
      </c>
    </row>
    <row r="771" spans="47:53">
      <c r="AU771" s="152">
        <f t="shared" si="48"/>
        <v>0</v>
      </c>
      <c r="BA771" s="152">
        <f t="shared" si="47"/>
        <v>0</v>
      </c>
    </row>
    <row r="772" spans="47:53">
      <c r="AU772" s="152">
        <f t="shared" si="48"/>
        <v>0</v>
      </c>
      <c r="BA772" s="152">
        <f t="shared" si="47"/>
        <v>0</v>
      </c>
    </row>
    <row r="773" spans="47:53">
      <c r="AU773" s="152">
        <f t="shared" si="48"/>
        <v>0</v>
      </c>
    </row>
    <row r="774" spans="47:53">
      <c r="AU774" s="152">
        <f t="shared" si="48"/>
        <v>0</v>
      </c>
    </row>
    <row r="775" spans="47:53">
      <c r="AU775" s="152">
        <f t="shared" si="48"/>
        <v>0</v>
      </c>
    </row>
    <row r="776" spans="47:53">
      <c r="AU776" s="152">
        <f t="shared" si="48"/>
        <v>0</v>
      </c>
    </row>
    <row r="777" spans="47:53">
      <c r="AU777" s="152">
        <f t="shared" si="48"/>
        <v>0</v>
      </c>
    </row>
    <row r="778" spans="47:53">
      <c r="AU778" s="152">
        <f t="shared" si="48"/>
        <v>0</v>
      </c>
    </row>
    <row r="779" spans="47:53">
      <c r="AU779" s="152">
        <f t="shared" si="48"/>
        <v>0</v>
      </c>
    </row>
    <row r="780" spans="47:53">
      <c r="AU780" s="152">
        <f t="shared" si="48"/>
        <v>0</v>
      </c>
    </row>
    <row r="1048575" spans="45:45">
      <c r="AS1048575" s="159" t="s">
        <v>865</v>
      </c>
    </row>
  </sheetData>
  <mergeCells count="7">
    <mergeCell ref="A167:H167"/>
    <mergeCell ref="BF1:BN1"/>
    <mergeCell ref="BA1:BE1"/>
    <mergeCell ref="A1:K1"/>
    <mergeCell ref="L1:U1"/>
    <mergeCell ref="V1:AJ1"/>
    <mergeCell ref="AK1:AZ1"/>
  </mergeCells>
  <pageMargins left="0.7" right="0.7" top="0.75" bottom="0.75" header="0.3" footer="0.3"/>
  <pageSetup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BN19"/>
  <sheetViews>
    <sheetView topLeftCell="O1" zoomScale="260" zoomScaleNormal="260" workbookViewId="0">
      <selection activeCell="O3" sqref="A3:XFD3"/>
    </sheetView>
  </sheetViews>
  <sheetFormatPr baseColWidth="10" defaultRowHeight="15" zeroHeight="1"/>
  <cols>
    <col min="1" max="2" width="15.6640625" style="95" customWidth="1"/>
    <col min="3" max="3" width="29.83203125" style="95" bestFit="1" customWidth="1"/>
    <col min="4" max="5" width="26" style="95" bestFit="1" customWidth="1"/>
    <col min="6" max="52" width="11" style="95"/>
    <col min="53" max="53" width="22.33203125" style="95" customWidth="1"/>
    <col min="54" max="257" width="11" style="95"/>
    <col min="258" max="259" width="15.6640625" style="95" customWidth="1"/>
    <col min="260" max="260" width="29.83203125" style="95" bestFit="1" customWidth="1"/>
    <col min="261" max="262" width="26" style="95" bestFit="1" customWidth="1"/>
    <col min="263" max="513" width="11" style="95"/>
    <col min="514" max="515" width="15.6640625" style="95" customWidth="1"/>
    <col min="516" max="516" width="29.83203125" style="95" bestFit="1" customWidth="1"/>
    <col min="517" max="518" width="26" style="95" bestFit="1" customWidth="1"/>
    <col min="519" max="769" width="11" style="95"/>
    <col min="770" max="771" width="15.6640625" style="95" customWidth="1"/>
    <col min="772" max="772" width="29.83203125" style="95" bestFit="1" customWidth="1"/>
    <col min="773" max="774" width="26" style="95" bestFit="1" customWidth="1"/>
    <col min="775" max="1025" width="11" style="95"/>
    <col min="1026" max="1027" width="15.6640625" style="95" customWidth="1"/>
    <col min="1028" max="1028" width="29.83203125" style="95" bestFit="1" customWidth="1"/>
    <col min="1029" max="1030" width="26" style="95" bestFit="1" customWidth="1"/>
    <col min="1031" max="1281" width="11" style="95"/>
    <col min="1282" max="1283" width="15.6640625" style="95" customWidth="1"/>
    <col min="1284" max="1284" width="29.83203125" style="95" bestFit="1" customWidth="1"/>
    <col min="1285" max="1286" width="26" style="95" bestFit="1" customWidth="1"/>
    <col min="1287" max="1537" width="11" style="95"/>
    <col min="1538" max="1539" width="15.6640625" style="95" customWidth="1"/>
    <col min="1540" max="1540" width="29.83203125" style="95" bestFit="1" customWidth="1"/>
    <col min="1541" max="1542" width="26" style="95" bestFit="1" customWidth="1"/>
    <col min="1543" max="1793" width="11" style="95"/>
    <col min="1794" max="1795" width="15.6640625" style="95" customWidth="1"/>
    <col min="1796" max="1796" width="29.83203125" style="95" bestFit="1" customWidth="1"/>
    <col min="1797" max="1798" width="26" style="95" bestFit="1" customWidth="1"/>
    <col min="1799" max="2049" width="11" style="95"/>
    <col min="2050" max="2051" width="15.6640625" style="95" customWidth="1"/>
    <col min="2052" max="2052" width="29.83203125" style="95" bestFit="1" customWidth="1"/>
    <col min="2053" max="2054" width="26" style="95" bestFit="1" customWidth="1"/>
    <col min="2055" max="2305" width="11" style="95"/>
    <col min="2306" max="2307" width="15.6640625" style="95" customWidth="1"/>
    <col min="2308" max="2308" width="29.83203125" style="95" bestFit="1" customWidth="1"/>
    <col min="2309" max="2310" width="26" style="95" bestFit="1" customWidth="1"/>
    <col min="2311" max="2561" width="11" style="95"/>
    <col min="2562" max="2563" width="15.6640625" style="95" customWidth="1"/>
    <col min="2564" max="2564" width="29.83203125" style="95" bestFit="1" customWidth="1"/>
    <col min="2565" max="2566" width="26" style="95" bestFit="1" customWidth="1"/>
    <col min="2567" max="2817" width="11" style="95"/>
    <col min="2818" max="2819" width="15.6640625" style="95" customWidth="1"/>
    <col min="2820" max="2820" width="29.83203125" style="95" bestFit="1" customWidth="1"/>
    <col min="2821" max="2822" width="26" style="95" bestFit="1" customWidth="1"/>
    <col min="2823" max="3073" width="11" style="95"/>
    <col min="3074" max="3075" width="15.6640625" style="95" customWidth="1"/>
    <col min="3076" max="3076" width="29.83203125" style="95" bestFit="1" customWidth="1"/>
    <col min="3077" max="3078" width="26" style="95" bestFit="1" customWidth="1"/>
    <col min="3079" max="3329" width="11" style="95"/>
    <col min="3330" max="3331" width="15.6640625" style="95" customWidth="1"/>
    <col min="3332" max="3332" width="29.83203125" style="95" bestFit="1" customWidth="1"/>
    <col min="3333" max="3334" width="26" style="95" bestFit="1" customWidth="1"/>
    <col min="3335" max="3585" width="11" style="95"/>
    <col min="3586" max="3587" width="15.6640625" style="95" customWidth="1"/>
    <col min="3588" max="3588" width="29.83203125" style="95" bestFit="1" customWidth="1"/>
    <col min="3589" max="3590" width="26" style="95" bestFit="1" customWidth="1"/>
    <col min="3591" max="3841" width="11" style="95"/>
    <col min="3842" max="3843" width="15.6640625" style="95" customWidth="1"/>
    <col min="3844" max="3844" width="29.83203125" style="95" bestFit="1" customWidth="1"/>
    <col min="3845" max="3846" width="26" style="95" bestFit="1" customWidth="1"/>
    <col min="3847" max="4097" width="11" style="95"/>
    <col min="4098" max="4099" width="15.6640625" style="95" customWidth="1"/>
    <col min="4100" max="4100" width="29.83203125" style="95" bestFit="1" customWidth="1"/>
    <col min="4101" max="4102" width="26" style="95" bestFit="1" customWidth="1"/>
    <col min="4103" max="4353" width="11" style="95"/>
    <col min="4354" max="4355" width="15.6640625" style="95" customWidth="1"/>
    <col min="4356" max="4356" width="29.83203125" style="95" bestFit="1" customWidth="1"/>
    <col min="4357" max="4358" width="26" style="95" bestFit="1" customWidth="1"/>
    <col min="4359" max="4609" width="11" style="95"/>
    <col min="4610" max="4611" width="15.6640625" style="95" customWidth="1"/>
    <col min="4612" max="4612" width="29.83203125" style="95" bestFit="1" customWidth="1"/>
    <col min="4613" max="4614" width="26" style="95" bestFit="1" customWidth="1"/>
    <col min="4615" max="4865" width="11" style="95"/>
    <col min="4866" max="4867" width="15.6640625" style="95" customWidth="1"/>
    <col min="4868" max="4868" width="29.83203125" style="95" bestFit="1" customWidth="1"/>
    <col min="4869" max="4870" width="26" style="95" bestFit="1" customWidth="1"/>
    <col min="4871" max="5121" width="11" style="95"/>
    <col min="5122" max="5123" width="15.6640625" style="95" customWidth="1"/>
    <col min="5124" max="5124" width="29.83203125" style="95" bestFit="1" customWidth="1"/>
    <col min="5125" max="5126" width="26" style="95" bestFit="1" customWidth="1"/>
    <col min="5127" max="5377" width="11" style="95"/>
    <col min="5378" max="5379" width="15.6640625" style="95" customWidth="1"/>
    <col min="5380" max="5380" width="29.83203125" style="95" bestFit="1" customWidth="1"/>
    <col min="5381" max="5382" width="26" style="95" bestFit="1" customWidth="1"/>
    <col min="5383" max="5633" width="11" style="95"/>
    <col min="5634" max="5635" width="15.6640625" style="95" customWidth="1"/>
    <col min="5636" max="5636" width="29.83203125" style="95" bestFit="1" customWidth="1"/>
    <col min="5637" max="5638" width="26" style="95" bestFit="1" customWidth="1"/>
    <col min="5639" max="5889" width="11" style="95"/>
    <col min="5890" max="5891" width="15.6640625" style="95" customWidth="1"/>
    <col min="5892" max="5892" width="29.83203125" style="95" bestFit="1" customWidth="1"/>
    <col min="5893" max="5894" width="26" style="95" bestFit="1" customWidth="1"/>
    <col min="5895" max="6145" width="11" style="95"/>
    <col min="6146" max="6147" width="15.6640625" style="95" customWidth="1"/>
    <col min="6148" max="6148" width="29.83203125" style="95" bestFit="1" customWidth="1"/>
    <col min="6149" max="6150" width="26" style="95" bestFit="1" customWidth="1"/>
    <col min="6151" max="6401" width="11" style="95"/>
    <col min="6402" max="6403" width="15.6640625" style="95" customWidth="1"/>
    <col min="6404" max="6404" width="29.83203125" style="95" bestFit="1" customWidth="1"/>
    <col min="6405" max="6406" width="26" style="95" bestFit="1" customWidth="1"/>
    <col min="6407" max="6657" width="11" style="95"/>
    <col min="6658" max="6659" width="15.6640625" style="95" customWidth="1"/>
    <col min="6660" max="6660" width="29.83203125" style="95" bestFit="1" customWidth="1"/>
    <col min="6661" max="6662" width="26" style="95" bestFit="1" customWidth="1"/>
    <col min="6663" max="6913" width="11" style="95"/>
    <col min="6914" max="6915" width="15.6640625" style="95" customWidth="1"/>
    <col min="6916" max="6916" width="29.83203125" style="95" bestFit="1" customWidth="1"/>
    <col min="6917" max="6918" width="26" style="95" bestFit="1" customWidth="1"/>
    <col min="6919" max="7169" width="11" style="95"/>
    <col min="7170" max="7171" width="15.6640625" style="95" customWidth="1"/>
    <col min="7172" max="7172" width="29.83203125" style="95" bestFit="1" customWidth="1"/>
    <col min="7173" max="7174" width="26" style="95" bestFit="1" customWidth="1"/>
    <col min="7175" max="7425" width="11" style="95"/>
    <col min="7426" max="7427" width="15.6640625" style="95" customWidth="1"/>
    <col min="7428" max="7428" width="29.83203125" style="95" bestFit="1" customWidth="1"/>
    <col min="7429" max="7430" width="26" style="95" bestFit="1" customWidth="1"/>
    <col min="7431" max="7681" width="11" style="95"/>
    <col min="7682" max="7683" width="15.6640625" style="95" customWidth="1"/>
    <col min="7684" max="7684" width="29.83203125" style="95" bestFit="1" customWidth="1"/>
    <col min="7685" max="7686" width="26" style="95" bestFit="1" customWidth="1"/>
    <col min="7687" max="7937" width="11" style="95"/>
    <col min="7938" max="7939" width="15.6640625" style="95" customWidth="1"/>
    <col min="7940" max="7940" width="29.83203125" style="95" bestFit="1" customWidth="1"/>
    <col min="7941" max="7942" width="26" style="95" bestFit="1" customWidth="1"/>
    <col min="7943" max="8193" width="11" style="95"/>
    <col min="8194" max="8195" width="15.6640625" style="95" customWidth="1"/>
    <col min="8196" max="8196" width="29.83203125" style="95" bestFit="1" customWidth="1"/>
    <col min="8197" max="8198" width="26" style="95" bestFit="1" customWidth="1"/>
    <col min="8199" max="8449" width="11" style="95"/>
    <col min="8450" max="8451" width="15.6640625" style="95" customWidth="1"/>
    <col min="8452" max="8452" width="29.83203125" style="95" bestFit="1" customWidth="1"/>
    <col min="8453" max="8454" width="26" style="95" bestFit="1" customWidth="1"/>
    <col min="8455" max="8705" width="11" style="95"/>
    <col min="8706" max="8707" width="15.6640625" style="95" customWidth="1"/>
    <col min="8708" max="8708" width="29.83203125" style="95" bestFit="1" customWidth="1"/>
    <col min="8709" max="8710" width="26" style="95" bestFit="1" customWidth="1"/>
    <col min="8711" max="8961" width="11" style="95"/>
    <col min="8962" max="8963" width="15.6640625" style="95" customWidth="1"/>
    <col min="8964" max="8964" width="29.83203125" style="95" bestFit="1" customWidth="1"/>
    <col min="8965" max="8966" width="26" style="95" bestFit="1" customWidth="1"/>
    <col min="8967" max="9217" width="11" style="95"/>
    <col min="9218" max="9219" width="15.6640625" style="95" customWidth="1"/>
    <col min="9220" max="9220" width="29.83203125" style="95" bestFit="1" customWidth="1"/>
    <col min="9221" max="9222" width="26" style="95" bestFit="1" customWidth="1"/>
    <col min="9223" max="9473" width="11" style="95"/>
    <col min="9474" max="9475" width="15.6640625" style="95" customWidth="1"/>
    <col min="9476" max="9476" width="29.83203125" style="95" bestFit="1" customWidth="1"/>
    <col min="9477" max="9478" width="26" style="95" bestFit="1" customWidth="1"/>
    <col min="9479" max="9729" width="11" style="95"/>
    <col min="9730" max="9731" width="15.6640625" style="95" customWidth="1"/>
    <col min="9732" max="9732" width="29.83203125" style="95" bestFit="1" customWidth="1"/>
    <col min="9733" max="9734" width="26" style="95" bestFit="1" customWidth="1"/>
    <col min="9735" max="9985" width="11" style="95"/>
    <col min="9986" max="9987" width="15.6640625" style="95" customWidth="1"/>
    <col min="9988" max="9988" width="29.83203125" style="95" bestFit="1" customWidth="1"/>
    <col min="9989" max="9990" width="26" style="95" bestFit="1" customWidth="1"/>
    <col min="9991" max="10241" width="11" style="95"/>
    <col min="10242" max="10243" width="15.6640625" style="95" customWidth="1"/>
    <col min="10244" max="10244" width="29.83203125" style="95" bestFit="1" customWidth="1"/>
    <col min="10245" max="10246" width="26" style="95" bestFit="1" customWidth="1"/>
    <col min="10247" max="10497" width="11" style="95"/>
    <col min="10498" max="10499" width="15.6640625" style="95" customWidth="1"/>
    <col min="10500" max="10500" width="29.83203125" style="95" bestFit="1" customWidth="1"/>
    <col min="10501" max="10502" width="26" style="95" bestFit="1" customWidth="1"/>
    <col min="10503" max="10753" width="11" style="95"/>
    <col min="10754" max="10755" width="15.6640625" style="95" customWidth="1"/>
    <col min="10756" max="10756" width="29.83203125" style="95" bestFit="1" customWidth="1"/>
    <col min="10757" max="10758" width="26" style="95" bestFit="1" customWidth="1"/>
    <col min="10759" max="11009" width="11" style="95"/>
    <col min="11010" max="11011" width="15.6640625" style="95" customWidth="1"/>
    <col min="11012" max="11012" width="29.83203125" style="95" bestFit="1" customWidth="1"/>
    <col min="11013" max="11014" width="26" style="95" bestFit="1" customWidth="1"/>
    <col min="11015" max="11265" width="11" style="95"/>
    <col min="11266" max="11267" width="15.6640625" style="95" customWidth="1"/>
    <col min="11268" max="11268" width="29.83203125" style="95" bestFit="1" customWidth="1"/>
    <col min="11269" max="11270" width="26" style="95" bestFit="1" customWidth="1"/>
    <col min="11271" max="11521" width="11" style="95"/>
    <col min="11522" max="11523" width="15.6640625" style="95" customWidth="1"/>
    <col min="11524" max="11524" width="29.83203125" style="95" bestFit="1" customWidth="1"/>
    <col min="11525" max="11526" width="26" style="95" bestFit="1" customWidth="1"/>
    <col min="11527" max="11777" width="11" style="95"/>
    <col min="11778" max="11779" width="15.6640625" style="95" customWidth="1"/>
    <col min="11780" max="11780" width="29.83203125" style="95" bestFit="1" customWidth="1"/>
    <col min="11781" max="11782" width="26" style="95" bestFit="1" customWidth="1"/>
    <col min="11783" max="12033" width="11" style="95"/>
    <col min="12034" max="12035" width="15.6640625" style="95" customWidth="1"/>
    <col min="12036" max="12036" width="29.83203125" style="95" bestFit="1" customWidth="1"/>
    <col min="12037" max="12038" width="26" style="95" bestFit="1" customWidth="1"/>
    <col min="12039" max="12289" width="11" style="95"/>
    <col min="12290" max="12291" width="15.6640625" style="95" customWidth="1"/>
    <col min="12292" max="12292" width="29.83203125" style="95" bestFit="1" customWidth="1"/>
    <col min="12293" max="12294" width="26" style="95" bestFit="1" customWidth="1"/>
    <col min="12295" max="12545" width="11" style="95"/>
    <col min="12546" max="12547" width="15.6640625" style="95" customWidth="1"/>
    <col min="12548" max="12548" width="29.83203125" style="95" bestFit="1" customWidth="1"/>
    <col min="12549" max="12550" width="26" style="95" bestFit="1" customWidth="1"/>
    <col min="12551" max="12801" width="11" style="95"/>
    <col min="12802" max="12803" width="15.6640625" style="95" customWidth="1"/>
    <col min="12804" max="12804" width="29.83203125" style="95" bestFit="1" customWidth="1"/>
    <col min="12805" max="12806" width="26" style="95" bestFit="1" customWidth="1"/>
    <col min="12807" max="13057" width="11" style="95"/>
    <col min="13058" max="13059" width="15.6640625" style="95" customWidth="1"/>
    <col min="13060" max="13060" width="29.83203125" style="95" bestFit="1" customWidth="1"/>
    <col min="13061" max="13062" width="26" style="95" bestFit="1" customWidth="1"/>
    <col min="13063" max="13313" width="11" style="95"/>
    <col min="13314" max="13315" width="15.6640625" style="95" customWidth="1"/>
    <col min="13316" max="13316" width="29.83203125" style="95" bestFit="1" customWidth="1"/>
    <col min="13317" max="13318" width="26" style="95" bestFit="1" customWidth="1"/>
    <col min="13319" max="13569" width="11" style="95"/>
    <col min="13570" max="13571" width="15.6640625" style="95" customWidth="1"/>
    <col min="13572" max="13572" width="29.83203125" style="95" bestFit="1" customWidth="1"/>
    <col min="13573" max="13574" width="26" style="95" bestFit="1" customWidth="1"/>
    <col min="13575" max="13825" width="11" style="95"/>
    <col min="13826" max="13827" width="15.6640625" style="95" customWidth="1"/>
    <col min="13828" max="13828" width="29.83203125" style="95" bestFit="1" customWidth="1"/>
    <col min="13829" max="13830" width="26" style="95" bestFit="1" customWidth="1"/>
    <col min="13831" max="14081" width="11" style="95"/>
    <col min="14082" max="14083" width="15.6640625" style="95" customWidth="1"/>
    <col min="14084" max="14084" width="29.83203125" style="95" bestFit="1" customWidth="1"/>
    <col min="14085" max="14086" width="26" style="95" bestFit="1" customWidth="1"/>
    <col min="14087" max="14337" width="11" style="95"/>
    <col min="14338" max="14339" width="15.6640625" style="95" customWidth="1"/>
    <col min="14340" max="14340" width="29.83203125" style="95" bestFit="1" customWidth="1"/>
    <col min="14341" max="14342" width="26" style="95" bestFit="1" customWidth="1"/>
    <col min="14343" max="14593" width="11" style="95"/>
    <col min="14594" max="14595" width="15.6640625" style="95" customWidth="1"/>
    <col min="14596" max="14596" width="29.83203125" style="95" bestFit="1" customWidth="1"/>
    <col min="14597" max="14598" width="26" style="95" bestFit="1" customWidth="1"/>
    <col min="14599" max="14849" width="11" style="95"/>
    <col min="14850" max="14851" width="15.6640625" style="95" customWidth="1"/>
    <col min="14852" max="14852" width="29.83203125" style="95" bestFit="1" customWidth="1"/>
    <col min="14853" max="14854" width="26" style="95" bestFit="1" customWidth="1"/>
    <col min="14855" max="15105" width="11" style="95"/>
    <col min="15106" max="15107" width="15.6640625" style="95" customWidth="1"/>
    <col min="15108" max="15108" width="29.83203125" style="95" bestFit="1" customWidth="1"/>
    <col min="15109" max="15110" width="26" style="95" bestFit="1" customWidth="1"/>
    <col min="15111" max="15361" width="11" style="95"/>
    <col min="15362" max="15363" width="15.6640625" style="95" customWidth="1"/>
    <col min="15364" max="15364" width="29.83203125" style="95" bestFit="1" customWidth="1"/>
    <col min="15365" max="15366" width="26" style="95" bestFit="1" customWidth="1"/>
    <col min="15367" max="15617" width="11" style="95"/>
    <col min="15618" max="15619" width="15.6640625" style="95" customWidth="1"/>
    <col min="15620" max="15620" width="29.83203125" style="95" bestFit="1" customWidth="1"/>
    <col min="15621" max="15622" width="26" style="95" bestFit="1" customWidth="1"/>
    <col min="15623" max="15873" width="11" style="95"/>
    <col min="15874" max="15875" width="15.6640625" style="95" customWidth="1"/>
    <col min="15876" max="15876" width="29.83203125" style="95" bestFit="1" customWidth="1"/>
    <col min="15877" max="15878" width="26" style="95" bestFit="1" customWidth="1"/>
    <col min="15879" max="16129" width="11" style="95"/>
    <col min="16130" max="16131" width="15.6640625" style="95" customWidth="1"/>
    <col min="16132" max="16132" width="29.83203125" style="95" bestFit="1" customWidth="1"/>
    <col min="16133" max="16134" width="26" style="95" bestFit="1" customWidth="1"/>
    <col min="16135" max="16384" width="11" style="95"/>
  </cols>
  <sheetData>
    <row r="1" spans="1:66">
      <c r="A1" s="305" t="s">
        <v>752</v>
      </c>
      <c r="B1" s="305"/>
      <c r="C1" s="305"/>
      <c r="D1" s="305"/>
      <c r="E1" s="305"/>
      <c r="F1" s="305"/>
      <c r="G1" s="305"/>
      <c r="H1" s="305"/>
      <c r="I1" s="305"/>
      <c r="J1" s="305"/>
      <c r="K1" s="305"/>
      <c r="L1" s="305" t="s">
        <v>755</v>
      </c>
      <c r="M1" s="305"/>
      <c r="N1" s="305"/>
      <c r="O1" s="305"/>
      <c r="P1" s="305"/>
      <c r="Q1" s="305"/>
      <c r="R1" s="305"/>
      <c r="S1" s="305"/>
      <c r="T1" s="305"/>
      <c r="U1" s="305"/>
      <c r="V1" s="305" t="s">
        <v>756</v>
      </c>
      <c r="W1" s="305"/>
      <c r="X1" s="305"/>
      <c r="Y1" s="305"/>
      <c r="Z1" s="305"/>
      <c r="AA1" s="305"/>
      <c r="AB1" s="305"/>
      <c r="AC1" s="305"/>
      <c r="AD1" s="305"/>
      <c r="AE1" s="305"/>
      <c r="AF1" s="305"/>
      <c r="AG1" s="305"/>
      <c r="AH1" s="305"/>
      <c r="AI1" s="305"/>
      <c r="AJ1" s="305"/>
      <c r="AK1" s="305" t="s">
        <v>770</v>
      </c>
      <c r="AL1" s="305"/>
      <c r="AM1" s="305"/>
      <c r="AN1" s="305"/>
      <c r="AO1" s="305"/>
      <c r="AP1" s="305"/>
      <c r="AQ1" s="305"/>
      <c r="AR1" s="305"/>
      <c r="AS1" s="305"/>
      <c r="AT1" s="305"/>
      <c r="AU1" s="305"/>
      <c r="AV1" s="305"/>
      <c r="AW1" s="305"/>
      <c r="AX1" s="305"/>
      <c r="AY1" s="305"/>
      <c r="AZ1" s="305"/>
      <c r="BA1" s="306" t="s">
        <v>786</v>
      </c>
      <c r="BB1" s="307"/>
      <c r="BC1" s="307"/>
      <c r="BD1" s="307"/>
      <c r="BE1" s="308"/>
      <c r="BF1" s="303" t="s">
        <v>756</v>
      </c>
      <c r="BG1" s="304"/>
      <c r="BH1" s="304"/>
      <c r="BI1" s="304"/>
      <c r="BJ1" s="304"/>
      <c r="BK1" s="304"/>
      <c r="BL1" s="304"/>
      <c r="BM1" s="304"/>
      <c r="BN1" s="304"/>
    </row>
    <row r="2" spans="1:66">
      <c r="A2" s="96" t="s">
        <v>736</v>
      </c>
      <c r="B2" s="96" t="s">
        <v>737</v>
      </c>
      <c r="C2" s="96" t="s">
        <v>738</v>
      </c>
      <c r="D2" s="96" t="s">
        <v>739</v>
      </c>
      <c r="E2" s="96" t="s">
        <v>740</v>
      </c>
      <c r="F2" s="96" t="s">
        <v>741</v>
      </c>
      <c r="G2" s="96" t="s">
        <v>742</v>
      </c>
      <c r="H2" s="96" t="s">
        <v>743</v>
      </c>
      <c r="I2" s="96" t="s">
        <v>744</v>
      </c>
      <c r="J2" s="96" t="s">
        <v>745</v>
      </c>
      <c r="K2" s="96" t="s">
        <v>746</v>
      </c>
      <c r="L2" s="96" t="s">
        <v>747</v>
      </c>
      <c r="M2" s="96" t="s">
        <v>748</v>
      </c>
      <c r="N2" s="96" t="s">
        <v>749</v>
      </c>
      <c r="O2" s="96" t="s">
        <v>750</v>
      </c>
      <c r="P2" s="96" t="s">
        <v>751</v>
      </c>
      <c r="Q2" s="96" t="s">
        <v>748</v>
      </c>
      <c r="R2" s="96" t="s">
        <v>749</v>
      </c>
      <c r="S2" s="96" t="s">
        <v>750</v>
      </c>
      <c r="T2" s="96" t="s">
        <v>753</v>
      </c>
      <c r="U2" s="96" t="s">
        <v>754</v>
      </c>
      <c r="V2" s="96" t="s">
        <v>757</v>
      </c>
      <c r="W2" s="96" t="s">
        <v>758</v>
      </c>
      <c r="X2" s="96" t="s">
        <v>759</v>
      </c>
      <c r="Y2" s="96" t="s">
        <v>760</v>
      </c>
      <c r="Z2" s="96" t="s">
        <v>761</v>
      </c>
      <c r="AA2" s="96" t="s">
        <v>762</v>
      </c>
      <c r="AB2" s="96" t="s">
        <v>763</v>
      </c>
      <c r="AC2" s="96" t="s">
        <v>764</v>
      </c>
      <c r="AD2" s="96" t="s">
        <v>765</v>
      </c>
      <c r="AE2" s="96" t="s">
        <v>766</v>
      </c>
      <c r="AF2" s="96" t="s">
        <v>767</v>
      </c>
      <c r="AG2" s="96" t="s">
        <v>768</v>
      </c>
      <c r="AH2" s="96" t="s">
        <v>769</v>
      </c>
      <c r="AI2" s="96" t="s">
        <v>107</v>
      </c>
      <c r="AJ2" s="96" t="s">
        <v>108</v>
      </c>
      <c r="AK2" s="96" t="s">
        <v>771</v>
      </c>
      <c r="AL2" s="96" t="s">
        <v>772</v>
      </c>
      <c r="AM2" s="96" t="s">
        <v>773</v>
      </c>
      <c r="AN2" s="96" t="s">
        <v>774</v>
      </c>
      <c r="AO2" s="96" t="s">
        <v>775</v>
      </c>
      <c r="AP2" s="96" t="s">
        <v>776</v>
      </c>
      <c r="AQ2" s="96" t="s">
        <v>777</v>
      </c>
      <c r="AR2" s="96" t="s">
        <v>778</v>
      </c>
      <c r="AS2" s="96" t="s">
        <v>779</v>
      </c>
      <c r="AT2" s="96" t="s">
        <v>737</v>
      </c>
      <c r="AU2" s="96" t="s">
        <v>738</v>
      </c>
      <c r="AV2" s="96" t="s">
        <v>780</v>
      </c>
      <c r="AW2" s="96" t="s">
        <v>781</v>
      </c>
      <c r="AX2" s="96" t="s">
        <v>782</v>
      </c>
      <c r="AY2" s="96" t="s">
        <v>781</v>
      </c>
      <c r="AZ2" s="96" t="s">
        <v>783</v>
      </c>
      <c r="BA2" s="96" t="s">
        <v>735</v>
      </c>
      <c r="BB2" s="96" t="s">
        <v>787</v>
      </c>
      <c r="BC2" s="96" t="s">
        <v>784</v>
      </c>
      <c r="BD2" s="96" t="s">
        <v>785</v>
      </c>
      <c r="BE2" s="96" t="s">
        <v>733</v>
      </c>
      <c r="BF2" s="96" t="s">
        <v>794</v>
      </c>
      <c r="BG2" s="96" t="s">
        <v>788</v>
      </c>
      <c r="BH2" s="96" t="s">
        <v>789</v>
      </c>
      <c r="BI2" s="96" t="s">
        <v>790</v>
      </c>
      <c r="BJ2" s="96" t="s">
        <v>791</v>
      </c>
      <c r="BK2" s="96" t="s">
        <v>792</v>
      </c>
      <c r="BL2" s="96" t="s">
        <v>793</v>
      </c>
      <c r="BM2" s="96" t="s">
        <v>781</v>
      </c>
      <c r="BN2" s="114" t="s">
        <v>1606</v>
      </c>
    </row>
    <row r="3" spans="1:66" s="152" customFormat="1">
      <c r="A3" s="152" t="s">
        <v>5197</v>
      </c>
      <c r="B3" s="152" t="s">
        <v>5198</v>
      </c>
      <c r="C3" s="152" t="s">
        <v>5199</v>
      </c>
      <c r="D3" s="152" t="s">
        <v>5200</v>
      </c>
      <c r="E3" s="152" t="s">
        <v>5200</v>
      </c>
      <c r="F3" s="152">
        <v>6694</v>
      </c>
      <c r="G3" s="152">
        <v>194</v>
      </c>
      <c r="H3" s="152" t="s">
        <v>1848</v>
      </c>
      <c r="I3" s="152">
        <v>177389</v>
      </c>
      <c r="J3" s="152">
        <v>119.63</v>
      </c>
      <c r="K3" s="152">
        <v>71072</v>
      </c>
      <c r="L3" s="152" t="s">
        <v>5201</v>
      </c>
      <c r="M3" s="152" t="s">
        <v>92</v>
      </c>
      <c r="N3" s="152" t="s">
        <v>883</v>
      </c>
      <c r="O3" s="152">
        <v>6571</v>
      </c>
      <c r="P3" s="152" t="s">
        <v>5201</v>
      </c>
      <c r="Q3" s="152" t="s">
        <v>92</v>
      </c>
      <c r="R3" s="152" t="s">
        <v>883</v>
      </c>
      <c r="S3" s="152">
        <v>6571</v>
      </c>
      <c r="T3" s="164" t="s">
        <v>856</v>
      </c>
      <c r="U3" s="164" t="s">
        <v>856</v>
      </c>
      <c r="V3" s="152" t="s">
        <v>911</v>
      </c>
      <c r="W3" s="152" t="s">
        <v>5100</v>
      </c>
      <c r="X3" s="152" t="s">
        <v>1083</v>
      </c>
      <c r="Y3" s="152">
        <v>36.15</v>
      </c>
      <c r="Z3" s="152">
        <v>2</v>
      </c>
      <c r="AA3" s="152" t="s">
        <v>883</v>
      </c>
      <c r="AB3" s="152">
        <v>219.32</v>
      </c>
      <c r="AC3" s="152">
        <v>2</v>
      </c>
      <c r="AD3" s="152" t="s">
        <v>861</v>
      </c>
      <c r="AE3" s="152">
        <v>219.32</v>
      </c>
      <c r="AF3" s="152">
        <v>0</v>
      </c>
      <c r="AG3" s="152" t="s">
        <v>861</v>
      </c>
      <c r="AH3" s="152" t="s">
        <v>5144</v>
      </c>
      <c r="AI3" s="152" t="s">
        <v>92</v>
      </c>
      <c r="AJ3" s="152" t="s">
        <v>92</v>
      </c>
      <c r="AK3" s="152" t="s">
        <v>884</v>
      </c>
      <c r="AL3" s="152" t="s">
        <v>856</v>
      </c>
      <c r="AP3" s="152" t="s">
        <v>856</v>
      </c>
      <c r="AQ3" s="152" t="s">
        <v>856</v>
      </c>
      <c r="AR3" s="152" t="s">
        <v>863</v>
      </c>
      <c r="AS3" s="152" t="s">
        <v>865</v>
      </c>
      <c r="AT3" s="152" t="str">
        <f t="shared" ref="AT3:AU3" si="0">B3</f>
        <v>RPNL1-120223</v>
      </c>
      <c r="AU3" s="152" t="str">
        <f t="shared" si="0"/>
        <v xml:space="preserve">WOTZBELI EUGENIO LIMATUJ IXCARAGUA </v>
      </c>
      <c r="AV3" s="175">
        <v>2834.32</v>
      </c>
      <c r="AW3" s="152">
        <v>852682</v>
      </c>
      <c r="AX3" s="152">
        <v>31.25</v>
      </c>
      <c r="AY3" s="152">
        <v>852684</v>
      </c>
      <c r="AZ3" s="152" t="s">
        <v>864</v>
      </c>
      <c r="BA3" s="152" t="str">
        <f t="shared" ref="BA3" si="1">A3</f>
        <v>L23-258-RL001</v>
      </c>
      <c r="BB3" s="152">
        <v>0</v>
      </c>
      <c r="BC3" s="157">
        <v>45044</v>
      </c>
      <c r="BD3" s="157">
        <v>45044</v>
      </c>
      <c r="BE3" s="158">
        <v>560959.5</v>
      </c>
      <c r="BF3" s="152" t="s">
        <v>5202</v>
      </c>
      <c r="BH3" s="152">
        <v>219.32</v>
      </c>
      <c r="BI3" s="152">
        <v>0</v>
      </c>
      <c r="BJ3" s="152">
        <v>0</v>
      </c>
      <c r="BK3" s="152" t="s">
        <v>132</v>
      </c>
      <c r="BL3" s="152">
        <v>219.3</v>
      </c>
      <c r="BM3" s="152">
        <v>852683</v>
      </c>
      <c r="BN3" s="157" t="s">
        <v>1453</v>
      </c>
    </row>
    <row r="4" spans="1:66" hidden="1">
      <c r="A4" s="124"/>
      <c r="B4" s="124"/>
      <c r="C4" s="124"/>
      <c r="D4" s="124"/>
      <c r="E4" s="124"/>
      <c r="L4" s="98"/>
      <c r="M4" s="103"/>
      <c r="N4" s="103"/>
      <c r="O4" s="98"/>
      <c r="P4" s="98"/>
      <c r="Q4" s="103"/>
      <c r="R4" s="103"/>
      <c r="S4" s="98"/>
      <c r="T4" s="98"/>
      <c r="U4" s="98"/>
      <c r="V4" s="124"/>
      <c r="W4" s="97"/>
      <c r="X4" s="103"/>
      <c r="AA4" s="112"/>
      <c r="AD4" s="97"/>
      <c r="AG4" s="118"/>
      <c r="AH4" s="97"/>
      <c r="AI4" s="103"/>
      <c r="AJ4" s="103"/>
      <c r="AK4" s="124"/>
      <c r="AL4" s="98"/>
      <c r="AP4" s="98"/>
      <c r="AQ4" s="98"/>
      <c r="AR4" s="125"/>
      <c r="AS4" s="98"/>
      <c r="AV4" s="115"/>
      <c r="AW4" s="115"/>
      <c r="AX4" s="115"/>
      <c r="AY4" s="115"/>
      <c r="AZ4" s="117"/>
      <c r="BC4" s="99"/>
      <c r="BD4" s="99"/>
      <c r="BE4" s="113"/>
      <c r="BF4" s="124"/>
      <c r="BG4" s="125"/>
      <c r="BK4" s="116"/>
      <c r="BN4" s="116"/>
    </row>
    <row r="5" spans="1:66" hidden="1">
      <c r="A5" s="97"/>
      <c r="B5" s="97"/>
      <c r="C5" s="97"/>
      <c r="D5" s="97"/>
      <c r="E5" s="97"/>
      <c r="H5" s="97"/>
      <c r="L5" s="98"/>
      <c r="M5" s="97"/>
      <c r="N5" s="100"/>
      <c r="O5" s="98"/>
      <c r="P5" s="98"/>
      <c r="Q5" s="97"/>
      <c r="R5" s="100"/>
      <c r="S5" s="98"/>
      <c r="T5" s="98"/>
      <c r="U5" s="98"/>
      <c r="V5" s="97"/>
      <c r="W5" s="97"/>
      <c r="X5" s="97"/>
      <c r="AD5" s="97"/>
      <c r="AH5" s="97"/>
      <c r="AI5" s="100"/>
      <c r="AK5" s="97"/>
      <c r="AL5" s="98"/>
      <c r="AP5" s="98"/>
      <c r="AQ5" s="98"/>
      <c r="AR5" s="97"/>
      <c r="AS5" s="98"/>
      <c r="AZ5" s="97"/>
      <c r="BC5" s="99"/>
      <c r="BD5" s="99"/>
      <c r="BF5" s="97"/>
      <c r="BG5" s="97"/>
      <c r="BK5" s="97"/>
    </row>
    <row r="6" spans="1:66" hidden="1">
      <c r="A6" s="97"/>
      <c r="B6" s="97"/>
      <c r="C6" s="97"/>
      <c r="D6" s="97"/>
      <c r="E6" s="97"/>
      <c r="H6" s="97"/>
      <c r="L6" s="98"/>
      <c r="M6" s="100"/>
      <c r="N6" s="97"/>
      <c r="O6" s="98"/>
      <c r="P6" s="98"/>
      <c r="Q6" s="100"/>
      <c r="R6" s="97"/>
      <c r="S6" s="98"/>
      <c r="T6" s="98"/>
      <c r="U6" s="98"/>
      <c r="V6" s="97"/>
      <c r="W6" s="97"/>
      <c r="X6" s="97"/>
      <c r="AD6" s="97"/>
      <c r="AH6" s="97"/>
      <c r="AI6" s="100"/>
      <c r="AK6" s="97"/>
      <c r="AL6" s="98"/>
      <c r="AP6" s="98"/>
      <c r="AQ6" s="98"/>
      <c r="AR6" s="97"/>
      <c r="AS6" s="98"/>
      <c r="AZ6" s="97"/>
      <c r="BC6" s="99"/>
      <c r="BD6" s="99"/>
      <c r="BF6" s="97"/>
      <c r="BG6" s="97"/>
      <c r="BK6" s="97"/>
    </row>
    <row r="7" spans="1:66" hidden="1">
      <c r="A7" s="97"/>
      <c r="B7" s="97"/>
      <c r="C7" s="97"/>
      <c r="D7" s="97"/>
      <c r="E7" s="97"/>
      <c r="H7" s="97"/>
      <c r="L7" s="98"/>
      <c r="M7" s="100"/>
      <c r="N7" s="97"/>
      <c r="O7" s="98"/>
      <c r="P7" s="98"/>
      <c r="Q7" s="100"/>
      <c r="R7" s="97"/>
      <c r="S7" s="98"/>
      <c r="T7" s="98"/>
      <c r="U7" s="98"/>
      <c r="V7" s="97"/>
      <c r="W7" s="97"/>
      <c r="X7" s="97"/>
      <c r="AD7" s="97"/>
      <c r="AH7" s="97"/>
      <c r="AI7" s="100"/>
      <c r="AK7" s="97"/>
      <c r="AL7" s="98"/>
      <c r="AP7" s="98"/>
      <c r="AQ7" s="98"/>
      <c r="AR7" s="97"/>
      <c r="AS7" s="98"/>
      <c r="AZ7" s="97"/>
      <c r="BC7" s="99"/>
      <c r="BD7" s="99"/>
      <c r="BF7" s="97"/>
      <c r="BG7" s="97"/>
      <c r="BK7" s="97"/>
    </row>
    <row r="8" spans="1:66" hidden="1">
      <c r="A8" s="97"/>
      <c r="B8" s="97"/>
      <c r="C8" s="97"/>
      <c r="D8" s="97"/>
      <c r="E8" s="97"/>
      <c r="H8" s="97"/>
      <c r="L8" s="98"/>
      <c r="M8" s="97"/>
      <c r="N8" s="100"/>
      <c r="O8" s="98"/>
      <c r="P8" s="98"/>
      <c r="Q8" s="97"/>
      <c r="R8" s="100"/>
      <c r="S8" s="98"/>
      <c r="T8" s="98"/>
      <c r="U8" s="98"/>
      <c r="V8" s="97"/>
      <c r="W8" s="97"/>
      <c r="X8" s="97"/>
      <c r="AD8" s="97"/>
      <c r="AG8" s="97"/>
      <c r="AH8" s="97"/>
      <c r="AI8" s="100"/>
      <c r="AK8" s="97"/>
      <c r="AL8" s="98"/>
      <c r="AP8" s="98"/>
      <c r="AQ8" s="98"/>
      <c r="AR8" s="97"/>
      <c r="AS8" s="98"/>
      <c r="AZ8" s="97"/>
      <c r="BC8" s="99"/>
      <c r="BD8" s="99"/>
      <c r="BF8" s="97"/>
      <c r="BG8" s="97"/>
      <c r="BK8" s="97"/>
    </row>
    <row r="9" spans="1:66" hidden="1">
      <c r="A9" s="97"/>
      <c r="B9" s="97"/>
      <c r="C9" s="97"/>
      <c r="D9" s="97"/>
      <c r="E9" s="97"/>
      <c r="F9" s="98"/>
      <c r="G9" s="98"/>
      <c r="H9" s="98"/>
      <c r="K9" s="98"/>
      <c r="L9" s="98"/>
      <c r="M9" s="100"/>
      <c r="N9" s="97"/>
      <c r="O9" s="98"/>
      <c r="P9" s="98"/>
      <c r="Q9" s="100"/>
      <c r="R9" s="97"/>
      <c r="S9" s="98"/>
      <c r="T9" s="98"/>
      <c r="U9" s="98"/>
      <c r="V9" s="97"/>
      <c r="W9" s="97"/>
      <c r="X9" s="97"/>
      <c r="AD9" s="97"/>
      <c r="AH9" s="97"/>
      <c r="AI9" s="97"/>
      <c r="AK9" s="97"/>
      <c r="AL9" s="98"/>
      <c r="AP9" s="98"/>
      <c r="AQ9" s="98"/>
      <c r="AR9" s="97"/>
      <c r="AS9" s="98"/>
      <c r="AX9" s="98"/>
      <c r="AY9" s="98"/>
      <c r="AZ9" s="97"/>
      <c r="BC9" s="99"/>
      <c r="BD9" s="99"/>
      <c r="BF9" s="97"/>
      <c r="BG9" s="97"/>
      <c r="BK9" s="97"/>
    </row>
    <row r="10" spans="1:66" hidden="1">
      <c r="A10" s="97"/>
      <c r="B10" s="97"/>
      <c r="C10" s="97"/>
      <c r="D10" s="97"/>
      <c r="E10" s="97"/>
      <c r="H10" s="97"/>
      <c r="L10" s="98"/>
      <c r="M10" s="100"/>
      <c r="N10" s="97"/>
      <c r="O10" s="98"/>
      <c r="P10" s="98"/>
      <c r="Q10" s="100"/>
      <c r="R10" s="97"/>
      <c r="S10" s="98"/>
      <c r="T10" s="98"/>
      <c r="U10" s="98"/>
      <c r="V10" s="97"/>
      <c r="W10" s="97"/>
      <c r="X10" s="97"/>
      <c r="AA10" s="97"/>
      <c r="AD10" s="97"/>
      <c r="AH10" s="97"/>
      <c r="AI10" s="100"/>
      <c r="AK10" s="97"/>
      <c r="AL10" s="98"/>
      <c r="AP10" s="98"/>
      <c r="AQ10" s="98"/>
      <c r="AR10" s="97"/>
      <c r="AS10" s="98"/>
      <c r="AX10" s="98"/>
      <c r="AY10" s="98"/>
      <c r="AZ10" s="97"/>
      <c r="BC10" s="99"/>
      <c r="BD10" s="99"/>
      <c r="BF10" s="97"/>
      <c r="BG10" s="97"/>
      <c r="BK10" s="97"/>
    </row>
    <row r="11" spans="1:66" hidden="1">
      <c r="A11" s="97"/>
      <c r="B11" s="97"/>
      <c r="C11" s="97"/>
      <c r="D11" s="97"/>
      <c r="E11" s="97"/>
      <c r="L11" s="98"/>
      <c r="M11" s="100"/>
      <c r="N11" s="97"/>
      <c r="O11" s="98"/>
      <c r="P11" s="98"/>
      <c r="Q11" s="100"/>
      <c r="R11" s="97"/>
      <c r="S11" s="98"/>
      <c r="T11" s="98"/>
      <c r="U11" s="98"/>
      <c r="V11" s="97"/>
      <c r="W11" s="97"/>
      <c r="X11" s="97"/>
      <c r="AD11" s="97"/>
      <c r="AH11" s="97"/>
      <c r="AI11" s="100"/>
      <c r="AK11" s="97"/>
      <c r="AL11" s="98"/>
      <c r="AP11" s="98"/>
      <c r="AQ11" s="98"/>
      <c r="AR11" s="97"/>
      <c r="AS11" s="98"/>
      <c r="AX11" s="98"/>
      <c r="AY11" s="98"/>
      <c r="AZ11" s="97"/>
      <c r="BC11" s="99"/>
      <c r="BD11" s="99"/>
      <c r="BF11" s="97"/>
      <c r="BG11" s="97"/>
      <c r="BK11" s="97"/>
    </row>
    <row r="12" spans="1:66" hidden="1">
      <c r="A12" s="97"/>
      <c r="B12" s="97"/>
      <c r="C12" s="97"/>
      <c r="D12" s="97"/>
      <c r="E12" s="97"/>
      <c r="H12" s="97"/>
      <c r="L12" s="98"/>
      <c r="M12" s="100"/>
      <c r="N12" s="97"/>
      <c r="O12" s="98"/>
      <c r="P12" s="98"/>
      <c r="Q12" s="100"/>
      <c r="R12" s="97"/>
      <c r="S12" s="98"/>
      <c r="T12" s="98"/>
      <c r="U12" s="98"/>
      <c r="V12" s="97"/>
      <c r="W12" s="97"/>
      <c r="X12" s="97"/>
      <c r="AD12" s="97"/>
      <c r="AG12" s="97"/>
      <c r="AH12" s="97"/>
      <c r="AI12" s="100"/>
      <c r="AK12" s="97"/>
      <c r="AL12" s="98"/>
      <c r="AP12" s="98"/>
      <c r="AQ12" s="98"/>
      <c r="AR12" s="97"/>
      <c r="AS12" s="98"/>
      <c r="AZ12" s="97"/>
      <c r="BC12" s="99"/>
      <c r="BD12" s="99"/>
      <c r="BF12" s="97"/>
      <c r="BG12" s="97"/>
      <c r="BK12" s="97"/>
    </row>
    <row r="13" spans="1:66" hidden="1">
      <c r="A13" s="97"/>
      <c r="B13" s="97"/>
      <c r="C13" s="97"/>
      <c r="D13" s="97"/>
      <c r="E13" s="97"/>
      <c r="L13" s="98"/>
      <c r="M13" s="100"/>
      <c r="N13" s="97"/>
      <c r="O13" s="98"/>
      <c r="P13" s="98"/>
      <c r="Q13" s="100"/>
      <c r="R13" s="97"/>
      <c r="S13" s="98"/>
      <c r="T13" s="98"/>
      <c r="U13" s="98"/>
      <c r="V13" s="97"/>
      <c r="W13" s="97"/>
      <c r="X13" s="97"/>
      <c r="AD13" s="97"/>
      <c r="AH13" s="97"/>
      <c r="AI13" s="100"/>
      <c r="AK13" s="97"/>
      <c r="AL13" s="98"/>
      <c r="AP13" s="98"/>
      <c r="AQ13" s="98"/>
      <c r="AR13" s="97"/>
      <c r="AS13" s="98"/>
      <c r="AZ13" s="97"/>
      <c r="BC13" s="99"/>
      <c r="BD13" s="99"/>
      <c r="BF13" s="97"/>
      <c r="BG13" s="97"/>
      <c r="BK13" s="97"/>
    </row>
    <row r="14" spans="1:66" hidden="1">
      <c r="A14" s="97"/>
      <c r="B14" s="97"/>
      <c r="C14" s="97"/>
      <c r="D14" s="97"/>
      <c r="E14" s="97"/>
      <c r="H14" s="97"/>
      <c r="L14" s="98"/>
      <c r="M14" s="97"/>
      <c r="N14" s="100"/>
      <c r="O14" s="98"/>
      <c r="P14" s="98"/>
      <c r="Q14" s="97"/>
      <c r="R14" s="100"/>
      <c r="S14" s="98"/>
      <c r="T14" s="98"/>
      <c r="U14" s="98"/>
      <c r="V14" s="97"/>
      <c r="W14" s="97"/>
      <c r="X14" s="97"/>
      <c r="AD14" s="97"/>
      <c r="AG14" s="97"/>
      <c r="AH14" s="97"/>
      <c r="AI14" s="100"/>
      <c r="AK14" s="97"/>
      <c r="AL14" s="98"/>
      <c r="AP14" s="98"/>
      <c r="AQ14" s="98"/>
      <c r="AR14" s="97"/>
      <c r="AS14" s="98"/>
      <c r="AZ14" s="97"/>
      <c r="BC14" s="99"/>
      <c r="BD14" s="99"/>
      <c r="BF14" s="97"/>
      <c r="BG14" s="97"/>
      <c r="BK14" s="97"/>
    </row>
    <row r="15" spans="1:66" hidden="1">
      <c r="A15" s="97"/>
      <c r="B15" s="97"/>
      <c r="C15" s="97"/>
      <c r="D15" s="97"/>
      <c r="E15" s="97"/>
      <c r="H15" s="97"/>
      <c r="L15" s="98"/>
      <c r="M15" s="100"/>
      <c r="N15" s="100"/>
      <c r="O15" s="98"/>
      <c r="P15" s="98"/>
      <c r="Q15" s="100"/>
      <c r="R15" s="100"/>
      <c r="S15" s="98"/>
      <c r="T15" s="98"/>
      <c r="U15" s="98"/>
      <c r="V15" s="100"/>
      <c r="W15" s="100"/>
      <c r="X15" s="100"/>
      <c r="AD15" s="97"/>
      <c r="AH15" s="97"/>
      <c r="AI15" s="100"/>
      <c r="AK15" s="100"/>
      <c r="AL15" s="98"/>
      <c r="AP15" s="98"/>
      <c r="AQ15" s="98"/>
      <c r="AR15" s="100"/>
      <c r="AS15" s="98"/>
      <c r="AX15" s="101"/>
      <c r="AY15" s="101"/>
      <c r="AZ15" s="100"/>
      <c r="BC15" s="99"/>
      <c r="BD15" s="99"/>
    </row>
    <row r="16" spans="1:66" hidden="1">
      <c r="A16" s="100"/>
      <c r="B16" s="100"/>
      <c r="C16" s="100"/>
      <c r="D16" s="100"/>
      <c r="E16" s="100"/>
      <c r="H16" s="97"/>
      <c r="L16" s="101"/>
      <c r="M16" s="100"/>
      <c r="N16" s="100"/>
      <c r="O16" s="98"/>
      <c r="P16" s="101"/>
      <c r="Q16" s="100"/>
      <c r="R16" s="100"/>
      <c r="S16" s="98"/>
      <c r="T16" s="98"/>
      <c r="U16" s="98"/>
      <c r="V16" s="100"/>
      <c r="W16" s="97"/>
      <c r="X16" s="100"/>
      <c r="AA16" s="100"/>
      <c r="AD16" s="97"/>
      <c r="AH16" s="97"/>
      <c r="AI16" s="100"/>
      <c r="AK16" s="100"/>
      <c r="AL16" s="98"/>
      <c r="AP16" s="98"/>
      <c r="AQ16" s="98"/>
      <c r="AR16" s="100"/>
      <c r="AS16" s="98"/>
      <c r="AX16" s="101"/>
      <c r="AY16" s="101"/>
      <c r="AZ16" s="100"/>
      <c r="BC16" s="99"/>
      <c r="BD16" s="99"/>
      <c r="BF16" s="100"/>
      <c r="BG16" s="100"/>
      <c r="BK16" s="100"/>
    </row>
    <row r="17" spans="1:63" hidden="1">
      <c r="A17" s="100"/>
      <c r="B17" s="100"/>
      <c r="C17" s="100"/>
      <c r="D17" s="100"/>
      <c r="E17" s="100"/>
      <c r="H17" s="100"/>
      <c r="L17" s="101"/>
      <c r="M17" s="100"/>
      <c r="N17" s="100"/>
      <c r="O17" s="98"/>
      <c r="P17" s="101"/>
      <c r="Q17" s="100"/>
      <c r="R17" s="100"/>
      <c r="S17" s="98"/>
      <c r="T17" s="98"/>
      <c r="U17" s="98"/>
      <c r="V17" s="100"/>
      <c r="W17" s="97"/>
      <c r="X17" s="97"/>
      <c r="AA17" s="100"/>
      <c r="AD17" s="97"/>
      <c r="AH17" s="97"/>
      <c r="AI17" s="100"/>
      <c r="AK17" s="100"/>
      <c r="AL17" s="98"/>
      <c r="AP17" s="98"/>
      <c r="AQ17" s="98"/>
      <c r="AR17" s="100"/>
      <c r="AS17" s="98"/>
      <c r="AX17" s="101"/>
      <c r="AY17" s="101"/>
      <c r="AZ17" s="100"/>
      <c r="BC17" s="99"/>
      <c r="BD17" s="99"/>
      <c r="BF17" s="100"/>
      <c r="BG17" s="100"/>
      <c r="BK17" s="100"/>
    </row>
    <row r="18" spans="1:63" hidden="1">
      <c r="A18" s="100"/>
      <c r="B18" s="100"/>
      <c r="C18" s="100"/>
      <c r="D18" s="100"/>
      <c r="E18" s="100"/>
      <c r="H18" s="100"/>
      <c r="L18" s="101"/>
      <c r="M18" s="100"/>
      <c r="N18" s="100"/>
      <c r="O18" s="98"/>
      <c r="P18" s="101"/>
      <c r="Q18" s="100"/>
      <c r="R18" s="100"/>
      <c r="S18" s="98"/>
      <c r="T18" s="98"/>
      <c r="U18" s="98"/>
      <c r="V18" s="100"/>
      <c r="W18" s="100"/>
      <c r="X18" s="100"/>
      <c r="AD18" s="97"/>
      <c r="AH18" s="97"/>
      <c r="AI18" s="100"/>
      <c r="AK18" s="100"/>
      <c r="AL18" s="98"/>
      <c r="AP18" s="98"/>
      <c r="AQ18" s="98"/>
      <c r="AR18" s="100"/>
      <c r="AS18" s="98"/>
      <c r="AX18" s="101"/>
      <c r="AY18" s="101"/>
      <c r="AZ18" s="100"/>
      <c r="BC18" s="99"/>
      <c r="BD18" s="99"/>
      <c r="BF18" s="100"/>
      <c r="BG18" s="100"/>
      <c r="BK18" s="100"/>
    </row>
    <row r="19" spans="1:63" hidden="1">
      <c r="A19" s="100"/>
      <c r="B19" s="100"/>
      <c r="C19" s="100"/>
      <c r="D19" s="100"/>
      <c r="E19" s="100"/>
      <c r="H19" s="100"/>
      <c r="L19" s="101"/>
      <c r="M19" s="100"/>
      <c r="N19" s="100"/>
      <c r="O19" s="98"/>
      <c r="P19" s="101"/>
      <c r="Q19" s="100"/>
      <c r="R19" s="100"/>
      <c r="S19" s="98"/>
      <c r="T19" s="98"/>
      <c r="U19" s="98"/>
      <c r="V19" s="100"/>
      <c r="W19" s="97"/>
      <c r="X19" s="100"/>
      <c r="AD19" s="97"/>
      <c r="AH19" s="97"/>
      <c r="AI19" s="100"/>
      <c r="AJ19" s="100"/>
      <c r="AK19" s="100"/>
      <c r="AL19" s="98"/>
      <c r="AP19" s="98"/>
      <c r="AQ19" s="98"/>
      <c r="AR19" s="100"/>
      <c r="AS19" s="98"/>
      <c r="AZ19" s="100"/>
      <c r="BC19" s="99"/>
      <c r="BD19" s="99"/>
      <c r="BF19" s="100"/>
      <c r="BG19" s="100"/>
      <c r="BK19" s="100"/>
    </row>
  </sheetData>
  <mergeCells count="6">
    <mergeCell ref="BF1:BN1"/>
    <mergeCell ref="A1:K1"/>
    <mergeCell ref="L1:U1"/>
    <mergeCell ref="V1:AJ1"/>
    <mergeCell ref="AK1:AZ1"/>
    <mergeCell ref="BA1:BE1"/>
  </mergeCells>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9">
    <tabColor theme="8" tint="-0.249977111117893"/>
    <pageSetUpPr fitToPage="1"/>
  </sheetPr>
  <dimension ref="A1:CW70"/>
  <sheetViews>
    <sheetView topLeftCell="AG13" zoomScale="220" zoomScaleNormal="220" zoomScaleSheetLayoutView="100" zoomScalePageLayoutView="40" workbookViewId="0">
      <selection activeCell="AF27" sqref="AF27:CG27"/>
    </sheetView>
  </sheetViews>
  <sheetFormatPr baseColWidth="10" defaultColWidth="10.83203125" defaultRowHeight="36" customHeight="1"/>
  <cols>
    <col min="1" max="1" width="3.6640625" style="102" hidden="1" customWidth="1"/>
    <col min="2" max="2" width="3.6640625" style="104" hidden="1" customWidth="1"/>
    <col min="3" max="6" width="3.6640625" style="102" hidden="1" customWidth="1"/>
    <col min="7" max="7" width="14.83203125" style="102" hidden="1" customWidth="1"/>
    <col min="8" max="28" width="3.6640625" style="102" hidden="1" customWidth="1"/>
    <col min="29" max="29" width="3.6640625" style="102" customWidth="1"/>
    <col min="30" max="30" width="2.1640625" style="102" customWidth="1"/>
    <col min="31" max="31" width="1" style="102" customWidth="1"/>
    <col min="32" max="32" width="1.1640625" style="102" customWidth="1"/>
    <col min="33" max="41" width="1.6640625" style="102" customWidth="1"/>
    <col min="42" max="42" width="1.33203125" style="102" customWidth="1"/>
    <col min="43" max="44" width="1.6640625" style="102" customWidth="1"/>
    <col min="45" max="45" width="1.5" style="102" customWidth="1"/>
    <col min="46" max="46" width="1.6640625" style="102" customWidth="1"/>
    <col min="47" max="47" width="2" style="102" customWidth="1"/>
    <col min="48" max="59" width="1.6640625" style="102" customWidth="1"/>
    <col min="60" max="61" width="1.1640625" style="102" customWidth="1"/>
    <col min="62" max="62" width="1.6640625" style="102" customWidth="1"/>
    <col min="63" max="64" width="3.5" style="102" customWidth="1"/>
    <col min="65" max="66" width="1.33203125" style="102" customWidth="1"/>
    <col min="67" max="68" width="0.6640625" style="102" customWidth="1"/>
    <col min="69" max="69" width="1" style="102" customWidth="1"/>
    <col min="70" max="70" width="1.6640625" style="102" customWidth="1"/>
    <col min="71" max="71" width="1.5" style="102" customWidth="1"/>
    <col min="72" max="78" width="1.6640625" style="102" customWidth="1"/>
    <col min="79" max="79" width="1.1640625" style="102" customWidth="1"/>
    <col min="80" max="80" width="1.6640625" style="102" customWidth="1"/>
    <col min="81" max="82" width="1" style="102" customWidth="1"/>
    <col min="83" max="83" width="0.6640625" style="102" customWidth="1"/>
    <col min="84" max="84" width="0.33203125" style="102" customWidth="1"/>
    <col min="85" max="85" width="0.6640625" style="102" customWidth="1"/>
    <col min="86" max="86" width="0.83203125" style="102" customWidth="1"/>
    <col min="87" max="87" width="1.5" style="102" customWidth="1"/>
    <col min="88" max="88" width="1.6640625" style="102" customWidth="1"/>
    <col min="89" max="89" width="7.1640625" style="128" customWidth="1"/>
    <col min="90" max="16384" width="10.83203125" style="102"/>
  </cols>
  <sheetData>
    <row r="1" spans="2:92" ht="31.5" customHeight="1" thickBot="1">
      <c r="AC1" s="105"/>
      <c r="AD1" s="105"/>
      <c r="AE1" s="105"/>
      <c r="AF1" s="105"/>
      <c r="AG1" s="105"/>
      <c r="AH1" s="105"/>
      <c r="AI1" s="105"/>
      <c r="AJ1" s="105"/>
      <c r="AK1" s="105"/>
      <c r="AL1" s="105"/>
      <c r="AM1" s="105"/>
      <c r="AN1" s="105"/>
      <c r="AO1" s="105"/>
      <c r="AP1" s="105"/>
      <c r="AQ1" s="105"/>
      <c r="AR1" s="105"/>
      <c r="AS1" s="105"/>
      <c r="AT1" s="105"/>
      <c r="AU1" s="105"/>
      <c r="AV1" s="105"/>
      <c r="AW1" s="105"/>
      <c r="AX1" s="105"/>
      <c r="AY1" s="105"/>
      <c r="AZ1" s="105"/>
      <c r="BA1" s="105"/>
      <c r="BB1" s="105"/>
      <c r="BC1" s="105"/>
      <c r="BD1" s="105"/>
      <c r="BE1" s="105"/>
      <c r="BF1" s="105"/>
      <c r="BG1" s="105"/>
      <c r="BH1" s="105"/>
      <c r="BI1" s="105"/>
      <c r="BJ1" s="105"/>
      <c r="BK1" s="105"/>
      <c r="BL1" s="105"/>
      <c r="BM1" s="105"/>
      <c r="BN1" s="105"/>
      <c r="BO1" s="105"/>
      <c r="BP1" s="105"/>
      <c r="BQ1" s="105"/>
      <c r="BR1" s="105"/>
      <c r="BS1" s="105"/>
      <c r="BT1" s="105"/>
      <c r="BU1" s="105"/>
      <c r="BV1" s="105"/>
      <c r="BW1" s="105"/>
      <c r="BX1" s="105"/>
      <c r="BY1" s="105"/>
      <c r="BZ1" s="105"/>
      <c r="CA1" s="105"/>
      <c r="CB1" s="105"/>
      <c r="CC1" s="105"/>
      <c r="CD1" s="105"/>
      <c r="CE1" s="105"/>
      <c r="CF1" s="105"/>
      <c r="CG1" s="105"/>
      <c r="CH1" s="105"/>
      <c r="CI1" s="105"/>
      <c r="CJ1" s="105"/>
      <c r="CK1" s="126"/>
      <c r="CL1" s="309" t="s">
        <v>2232</v>
      </c>
      <c r="CM1" s="309"/>
      <c r="CN1" s="309"/>
    </row>
    <row r="2" spans="2:92" ht="35" customHeight="1">
      <c r="B2" s="106"/>
      <c r="C2" s="107"/>
      <c r="D2" s="107"/>
      <c r="E2" s="107"/>
      <c r="F2" s="107"/>
      <c r="G2" s="107"/>
      <c r="H2" s="107"/>
      <c r="I2" s="107"/>
      <c r="J2" s="107"/>
      <c r="K2" s="107"/>
      <c r="L2" s="107"/>
      <c r="M2" s="107"/>
      <c r="N2" s="107"/>
      <c r="O2" s="107"/>
      <c r="P2" s="107"/>
      <c r="Q2" s="107"/>
      <c r="R2" s="107"/>
      <c r="S2" s="107"/>
      <c r="T2" s="107"/>
      <c r="U2" s="107"/>
      <c r="V2" s="107"/>
      <c r="W2" s="107"/>
      <c r="X2" s="107"/>
      <c r="AC2" s="105"/>
      <c r="AD2" s="93"/>
      <c r="AE2" s="93"/>
      <c r="AF2" s="93"/>
      <c r="AG2" s="93"/>
      <c r="AH2" s="93"/>
      <c r="AI2" s="93"/>
      <c r="AJ2" s="93"/>
      <c r="AK2" s="93"/>
      <c r="AL2" s="93"/>
      <c r="AM2" s="93"/>
      <c r="AN2" s="93"/>
      <c r="AO2" s="93"/>
      <c r="AP2" s="93"/>
      <c r="AQ2" s="93"/>
      <c r="AR2" s="93"/>
      <c r="AS2" s="93"/>
      <c r="AT2" s="93"/>
      <c r="AU2" s="93"/>
      <c r="AV2" s="93"/>
      <c r="AW2" s="93"/>
      <c r="AX2" s="93"/>
      <c r="AY2" s="93"/>
      <c r="AZ2" s="93"/>
      <c r="BA2" s="93"/>
      <c r="BB2" s="93" t="s">
        <v>3867</v>
      </c>
      <c r="BC2" s="93"/>
      <c r="BD2" s="93"/>
      <c r="BE2" s="93" t="s">
        <v>3867</v>
      </c>
      <c r="BF2" s="93"/>
      <c r="BG2" s="93"/>
      <c r="BH2" s="93"/>
      <c r="BI2" s="93"/>
      <c r="BJ2" s="93"/>
      <c r="BK2" s="93"/>
      <c r="BL2" s="93"/>
      <c r="BM2" s="93"/>
      <c r="BN2" s="93"/>
      <c r="BO2" s="93"/>
      <c r="BP2" s="93"/>
      <c r="BQ2" s="93"/>
      <c r="BR2" s="93"/>
      <c r="BS2" s="93"/>
      <c r="BT2" s="93"/>
      <c r="BU2" s="93"/>
      <c r="BV2" s="93"/>
      <c r="BW2" s="93"/>
      <c r="BX2" s="93"/>
      <c r="BY2" s="93"/>
      <c r="BZ2" s="93"/>
      <c r="CA2" s="93"/>
      <c r="CB2" s="93"/>
      <c r="CC2" s="93"/>
      <c r="CD2" s="93"/>
      <c r="CE2" s="93"/>
      <c r="CF2" s="93"/>
      <c r="CG2" s="93"/>
      <c r="CH2" s="93"/>
      <c r="CI2" s="93"/>
      <c r="CJ2" s="93"/>
      <c r="CK2" s="127" t="s">
        <v>4371</v>
      </c>
    </row>
    <row r="3" spans="2:92" ht="9.75" customHeight="1">
      <c r="AC3" s="105"/>
      <c r="AD3" s="93"/>
      <c r="AE3" s="94"/>
      <c r="AF3" s="94"/>
      <c r="AG3" s="94"/>
      <c r="AH3" s="94"/>
      <c r="AI3" s="94"/>
      <c r="AJ3" s="94"/>
      <c r="AK3" s="94"/>
      <c r="AL3" s="94"/>
      <c r="AM3" s="94"/>
      <c r="AN3" s="94"/>
      <c r="AO3" s="94"/>
      <c r="AP3" s="94"/>
      <c r="AQ3" s="94"/>
      <c r="AR3" s="94"/>
      <c r="AS3" s="94"/>
      <c r="AT3" s="94"/>
      <c r="AU3" s="94"/>
      <c r="AV3" s="94"/>
      <c r="AW3" s="94"/>
      <c r="AX3" s="94"/>
      <c r="AY3" s="94"/>
      <c r="AZ3" s="94"/>
      <c r="BA3" s="94"/>
      <c r="BB3" s="94"/>
      <c r="BC3" s="94"/>
      <c r="BD3" s="94"/>
      <c r="BE3" s="94"/>
      <c r="BF3" s="94"/>
      <c r="BG3" s="94"/>
      <c r="BH3" s="94"/>
      <c r="BI3" s="94"/>
      <c r="BJ3" s="94"/>
      <c r="BK3" s="94"/>
      <c r="BL3" s="94"/>
      <c r="BM3" s="94"/>
      <c r="BN3" s="94"/>
      <c r="BO3" s="94"/>
      <c r="BP3" s="94"/>
      <c r="BQ3" s="94"/>
      <c r="BR3" s="94"/>
      <c r="BS3" s="94"/>
      <c r="BT3" s="94"/>
      <c r="BU3" s="94"/>
      <c r="BV3" s="94"/>
      <c r="BW3" s="94"/>
      <c r="BX3" s="94"/>
      <c r="BY3" s="94"/>
      <c r="BZ3" s="94"/>
      <c r="CA3" s="94"/>
      <c r="CB3" s="94"/>
      <c r="CC3" s="94"/>
      <c r="CD3" s="94"/>
      <c r="CE3" s="94"/>
      <c r="CF3" s="94"/>
      <c r="CG3" s="94"/>
      <c r="CH3" s="94"/>
      <c r="CI3" s="94"/>
      <c r="CJ3" s="94"/>
      <c r="CK3" s="126"/>
    </row>
    <row r="4" spans="2:92" ht="10" customHeight="1">
      <c r="AC4" s="105"/>
      <c r="AD4" s="93"/>
      <c r="AE4" s="94"/>
      <c r="AF4" s="94"/>
      <c r="AG4" s="94"/>
      <c r="AH4" s="94"/>
      <c r="AI4" s="94"/>
      <c r="AJ4" s="94"/>
      <c r="AK4" s="94"/>
      <c r="AL4" s="94"/>
      <c r="AM4" s="94"/>
      <c r="AN4" s="94"/>
      <c r="AO4" s="94"/>
      <c r="AP4" s="94"/>
      <c r="AQ4" s="94"/>
      <c r="AR4" s="94"/>
      <c r="AS4" s="94"/>
      <c r="AT4" s="94"/>
      <c r="AU4" s="94"/>
      <c r="AV4" s="94"/>
      <c r="AW4" s="94"/>
      <c r="AX4" s="94"/>
      <c r="AY4" s="94"/>
      <c r="AZ4" s="94"/>
      <c r="BA4" s="94"/>
      <c r="BB4" s="94"/>
      <c r="BC4" s="94"/>
      <c r="BD4" s="94"/>
      <c r="BE4" s="94"/>
      <c r="BF4" s="94"/>
      <c r="BG4" s="94"/>
      <c r="BH4" s="94"/>
      <c r="BI4" s="94"/>
      <c r="BJ4" s="94"/>
      <c r="BK4" s="94"/>
      <c r="BL4" s="94"/>
      <c r="BM4" s="94"/>
      <c r="BN4" s="94"/>
      <c r="BO4" s="94"/>
      <c r="BP4" s="94"/>
      <c r="BQ4" s="94"/>
      <c r="BR4" s="94"/>
      <c r="BS4" s="94"/>
      <c r="BT4" s="94"/>
      <c r="BU4" s="94"/>
      <c r="BV4" s="94"/>
      <c r="BW4" s="94"/>
      <c r="BX4" s="94"/>
      <c r="BY4" s="94"/>
      <c r="BZ4" s="94"/>
      <c r="CA4" s="94"/>
      <c r="CB4" s="94"/>
      <c r="CC4" s="94"/>
      <c r="CD4" s="94"/>
      <c r="CE4" s="94"/>
      <c r="CF4" s="94"/>
      <c r="CG4" s="94"/>
      <c r="CH4" s="94"/>
      <c r="CI4" s="94"/>
      <c r="CJ4" s="94"/>
      <c r="CK4" s="126"/>
    </row>
    <row r="5" spans="2:92" ht="13.5" hidden="1" customHeight="1">
      <c r="AC5" s="105"/>
      <c r="AD5" s="93"/>
      <c r="AE5" s="94"/>
      <c r="AF5" s="94"/>
      <c r="AG5" s="94"/>
      <c r="AH5" s="94"/>
      <c r="AI5" s="94"/>
      <c r="AJ5" s="94"/>
      <c r="AK5" s="94"/>
      <c r="AL5" s="94"/>
      <c r="AM5" s="94"/>
      <c r="AN5" s="94"/>
      <c r="AO5" s="94"/>
      <c r="AP5" s="94"/>
      <c r="AQ5" s="94"/>
      <c r="AR5" s="94"/>
      <c r="AS5" s="94"/>
      <c r="AT5" s="94"/>
      <c r="AU5" s="94"/>
      <c r="AV5" s="94"/>
      <c r="AW5" s="94"/>
      <c r="AX5" s="94"/>
      <c r="AY5" s="94"/>
      <c r="AZ5" s="94"/>
      <c r="BA5" s="94"/>
      <c r="BB5" s="94"/>
      <c r="BC5" s="94"/>
      <c r="BD5" s="94"/>
      <c r="BE5" s="94"/>
      <c r="BF5" s="94"/>
      <c r="BG5" s="94"/>
      <c r="BH5" s="94"/>
      <c r="BI5" s="94"/>
      <c r="BJ5" s="94"/>
      <c r="BK5" s="94"/>
      <c r="BL5" s="94"/>
      <c r="BM5" s="94"/>
      <c r="BN5" s="94"/>
      <c r="BO5" s="94"/>
      <c r="BP5" s="94"/>
      <c r="BQ5" s="94"/>
      <c r="BR5" s="94"/>
      <c r="BS5" s="94"/>
      <c r="BT5" s="94"/>
      <c r="BU5" s="131"/>
      <c r="BV5" s="331" t="str">
        <f>'Para imprimir'!A3</f>
        <v>L23-258-RL001</v>
      </c>
      <c r="BW5" s="331"/>
      <c r="BX5" s="331"/>
      <c r="BY5" s="331"/>
      <c r="BZ5" s="331"/>
      <c r="CA5" s="331"/>
      <c r="CB5" s="331"/>
      <c r="CC5" s="331"/>
      <c r="CD5" s="331"/>
      <c r="CE5" s="331"/>
      <c r="CF5" s="331"/>
      <c r="CG5" s="331"/>
      <c r="CH5" s="331"/>
      <c r="CI5" s="331"/>
      <c r="CJ5" s="331"/>
      <c r="CK5" s="126"/>
    </row>
    <row r="6" spans="2:92" ht="12" customHeight="1">
      <c r="AC6" s="105"/>
      <c r="AD6" s="93"/>
      <c r="AE6" s="94"/>
      <c r="AF6" s="94"/>
      <c r="AG6" s="94"/>
      <c r="AH6" s="94"/>
      <c r="AI6" s="94"/>
      <c r="AJ6" s="94"/>
      <c r="AK6" s="94"/>
      <c r="AL6" s="94"/>
      <c r="AM6" s="94"/>
      <c r="AN6" s="94"/>
      <c r="AO6" s="94"/>
      <c r="AP6" s="94"/>
      <c r="AQ6" s="94"/>
      <c r="AR6" s="94"/>
      <c r="AS6" s="94"/>
      <c r="AT6" s="94"/>
      <c r="AU6" s="94"/>
      <c r="AV6" s="94"/>
      <c r="AW6" s="94"/>
      <c r="AX6" s="94"/>
      <c r="AY6" s="94"/>
      <c r="AZ6" s="94"/>
      <c r="BA6" s="94"/>
      <c r="BB6" s="94"/>
      <c r="BC6" s="94"/>
      <c r="BD6" s="94"/>
      <c r="BE6" s="94"/>
      <c r="BF6" s="94"/>
      <c r="BG6" s="94"/>
      <c r="BH6" s="94"/>
      <c r="BI6" s="94"/>
      <c r="BJ6" s="94"/>
      <c r="BK6" s="94"/>
      <c r="BL6" s="94"/>
      <c r="BM6" s="94"/>
      <c r="BN6" s="94"/>
      <c r="BO6" s="94"/>
      <c r="BP6" s="94"/>
      <c r="BQ6" s="94"/>
      <c r="BR6" s="94"/>
      <c r="BS6" s="94"/>
      <c r="BT6" s="94"/>
      <c r="BU6" s="131"/>
      <c r="BV6" s="331"/>
      <c r="BW6" s="331"/>
      <c r="BX6" s="331"/>
      <c r="BY6" s="331"/>
      <c r="BZ6" s="331"/>
      <c r="CA6" s="331"/>
      <c r="CB6" s="331"/>
      <c r="CC6" s="331"/>
      <c r="CD6" s="331"/>
      <c r="CE6" s="331"/>
      <c r="CF6" s="331"/>
      <c r="CG6" s="331"/>
      <c r="CH6" s="331"/>
      <c r="CI6" s="331"/>
      <c r="CJ6" s="331"/>
      <c r="CK6" s="126"/>
    </row>
    <row r="7" spans="2:92" ht="3.75" customHeight="1">
      <c r="AC7" s="105"/>
      <c r="AD7" s="93"/>
      <c r="AE7" s="94"/>
      <c r="AF7" s="94"/>
      <c r="AG7" s="94"/>
      <c r="AH7" s="94"/>
      <c r="AI7" s="94"/>
      <c r="AJ7" s="94"/>
      <c r="AK7" s="94"/>
      <c r="AL7" s="94"/>
      <c r="AM7" s="94"/>
      <c r="AN7" s="94"/>
      <c r="AO7" s="94"/>
      <c r="AP7" s="94"/>
      <c r="AQ7" s="94"/>
      <c r="AR7" s="94"/>
      <c r="AS7" s="94"/>
      <c r="AT7" s="94"/>
      <c r="AU7" s="94"/>
      <c r="AV7" s="94"/>
      <c r="AW7" s="94"/>
      <c r="AX7" s="94"/>
      <c r="AY7" s="94"/>
      <c r="AZ7" s="94"/>
      <c r="BA7" s="94"/>
      <c r="BB7" s="94"/>
      <c r="BC7" s="94"/>
      <c r="BD7" s="94"/>
      <c r="BE7" s="94"/>
      <c r="BF7" s="94"/>
      <c r="BG7" s="94"/>
      <c r="BH7" s="94"/>
      <c r="BI7" s="94"/>
      <c r="BJ7" s="94"/>
      <c r="BK7" s="94"/>
      <c r="BL7" s="94"/>
      <c r="BM7" s="94"/>
      <c r="BN7" s="94"/>
      <c r="BO7" s="94"/>
      <c r="BP7" s="94"/>
      <c r="BQ7" s="94"/>
      <c r="BR7" s="94"/>
      <c r="BS7" s="94"/>
      <c r="BT7" s="94"/>
      <c r="BU7" s="131"/>
      <c r="BV7" s="131"/>
      <c r="BW7" s="131"/>
      <c r="BX7" s="131"/>
      <c r="BY7" s="131"/>
      <c r="BZ7" s="131"/>
      <c r="CA7" s="131"/>
      <c r="CB7" s="131"/>
      <c r="CC7" s="131"/>
      <c r="CD7" s="131"/>
      <c r="CE7" s="131"/>
      <c r="CF7" s="131"/>
      <c r="CG7" s="131"/>
      <c r="CH7" s="131"/>
      <c r="CI7" s="94"/>
      <c r="CJ7" s="94"/>
      <c r="CK7" s="126"/>
    </row>
    <row r="8" spans="2:92" ht="20" customHeight="1">
      <c r="AC8" s="105"/>
      <c r="AD8" s="93"/>
      <c r="AE8" s="94"/>
      <c r="AF8" s="94"/>
      <c r="AG8" s="94"/>
      <c r="AH8" s="94"/>
      <c r="AI8" s="94"/>
      <c r="AJ8" s="94"/>
      <c r="AK8" s="94"/>
      <c r="AL8" s="94"/>
      <c r="AM8" s="94"/>
      <c r="AN8" s="94"/>
      <c r="AO8" s="94"/>
      <c r="AP8" s="94"/>
      <c r="AQ8" s="94"/>
      <c r="AR8" s="94"/>
      <c r="AS8" s="94"/>
      <c r="AT8" s="94" t="s">
        <v>3867</v>
      </c>
      <c r="AU8" s="94"/>
      <c r="AV8" s="94"/>
      <c r="AW8" s="94" t="s">
        <v>3934</v>
      </c>
      <c r="AX8" s="94" t="s">
        <v>3902</v>
      </c>
      <c r="AY8" s="94"/>
      <c r="AZ8" s="94"/>
      <c r="BA8" s="94"/>
      <c r="BB8" s="94"/>
      <c r="BC8" s="94"/>
      <c r="BD8" s="94"/>
      <c r="BE8" s="94"/>
      <c r="BF8" s="94"/>
      <c r="BG8" s="94"/>
      <c r="BH8" s="94"/>
      <c r="BI8" s="94"/>
      <c r="BJ8" s="94"/>
      <c r="BK8" s="94"/>
      <c r="BL8" s="94"/>
      <c r="BM8" s="94"/>
      <c r="BN8" s="94"/>
      <c r="BO8" s="94"/>
      <c r="BP8" s="94"/>
      <c r="BQ8" s="94"/>
      <c r="BR8" s="94"/>
      <c r="BS8" s="94"/>
      <c r="BT8" s="94"/>
      <c r="BU8" s="329" t="str">
        <f>'Para imprimir'!B3</f>
        <v>RPNL1-120223</v>
      </c>
      <c r="BV8" s="329"/>
      <c r="BW8" s="329"/>
      <c r="BX8" s="329"/>
      <c r="BY8" s="329"/>
      <c r="BZ8" s="329"/>
      <c r="CA8" s="329"/>
      <c r="CB8" s="329"/>
      <c r="CC8" s="329"/>
      <c r="CD8" s="329"/>
      <c r="CE8" s="329"/>
      <c r="CF8" s="329"/>
      <c r="CG8" s="329"/>
      <c r="CH8" s="329"/>
      <c r="CI8" s="329"/>
      <c r="CJ8" s="329"/>
      <c r="CK8" s="127" t="s">
        <v>2835</v>
      </c>
    </row>
    <row r="9" spans="2:92" ht="10" customHeight="1">
      <c r="AC9" s="105"/>
      <c r="AD9" s="93"/>
      <c r="AE9" s="94"/>
      <c r="AF9" s="94"/>
      <c r="AG9" s="94"/>
      <c r="AH9" s="94"/>
      <c r="AI9" s="94"/>
      <c r="AJ9" s="94"/>
      <c r="AK9" s="94"/>
      <c r="AL9" s="94"/>
      <c r="AM9" s="94"/>
      <c r="AN9" s="94"/>
      <c r="AO9" s="94"/>
      <c r="AP9" s="94"/>
      <c r="AQ9" s="94"/>
      <c r="AR9" s="94"/>
      <c r="AS9" s="94"/>
      <c r="AT9" s="94" t="s">
        <v>3868</v>
      </c>
      <c r="AU9" s="94"/>
      <c r="AV9" s="94"/>
      <c r="AW9" s="94"/>
      <c r="AX9" s="94"/>
      <c r="AY9" s="94"/>
      <c r="AZ9" s="94"/>
      <c r="BA9" s="94"/>
      <c r="BB9" s="94"/>
      <c r="BC9" s="94"/>
      <c r="BD9" s="94"/>
      <c r="BE9" s="94"/>
      <c r="BF9" s="94"/>
      <c r="BG9" s="94"/>
      <c r="BH9" s="94"/>
      <c r="BI9" s="94"/>
      <c r="BJ9" s="94"/>
      <c r="BK9" s="94"/>
      <c r="BL9" s="94"/>
      <c r="BM9" s="94"/>
      <c r="BN9" s="94"/>
      <c r="BO9" s="94"/>
      <c r="BP9" s="94"/>
      <c r="BQ9" s="94"/>
      <c r="BR9" s="94"/>
      <c r="BS9" s="94"/>
      <c r="BT9" s="94"/>
      <c r="BU9" s="94"/>
      <c r="BV9" s="94"/>
      <c r="BW9" s="94"/>
      <c r="BX9" s="94"/>
      <c r="BY9" s="94"/>
      <c r="BZ9" s="94"/>
      <c r="CA9" s="94"/>
      <c r="CB9" s="94"/>
      <c r="CC9" s="94"/>
      <c r="CD9" s="94"/>
      <c r="CE9" s="94"/>
      <c r="CF9" s="94"/>
      <c r="CG9" s="94"/>
      <c r="CH9" s="94"/>
      <c r="CI9" s="94"/>
      <c r="CJ9" s="94"/>
      <c r="CK9" s="126"/>
    </row>
    <row r="10" spans="2:92" ht="10" customHeight="1">
      <c r="AC10" s="105"/>
      <c r="AD10" s="93"/>
      <c r="AE10" s="94"/>
      <c r="AF10" s="94"/>
      <c r="AG10" s="94"/>
      <c r="AH10" s="94"/>
      <c r="AI10" s="94"/>
      <c r="AJ10" s="94"/>
      <c r="AK10" s="94"/>
      <c r="AL10" s="94"/>
      <c r="AM10" s="94"/>
      <c r="AN10" s="94"/>
      <c r="AO10" s="94"/>
      <c r="AP10" s="94"/>
      <c r="AQ10" s="94"/>
      <c r="AR10" s="94"/>
      <c r="AS10" s="94"/>
      <c r="AT10" s="94"/>
      <c r="AU10" s="94"/>
      <c r="AV10" s="94"/>
      <c r="AW10" s="94"/>
      <c r="AX10" s="94"/>
      <c r="AY10" s="94"/>
      <c r="AZ10" s="94"/>
      <c r="BA10" s="94"/>
      <c r="BB10" s="94"/>
      <c r="BC10" s="94"/>
      <c r="BD10" s="94"/>
      <c r="BE10" s="94"/>
      <c r="BF10" s="94"/>
      <c r="BG10" s="94"/>
      <c r="BH10" s="94"/>
      <c r="BI10" s="94"/>
      <c r="BJ10" s="94"/>
      <c r="BK10" s="94"/>
      <c r="BL10" s="94"/>
      <c r="BM10" s="94"/>
      <c r="BN10" s="94"/>
      <c r="BO10" s="94"/>
      <c r="BP10" s="94"/>
      <c r="BQ10" s="94"/>
      <c r="BR10" s="94"/>
      <c r="BS10" s="94"/>
      <c r="BT10" s="94"/>
      <c r="BU10" s="94"/>
      <c r="BV10" s="94"/>
      <c r="BW10" s="94"/>
      <c r="BX10" s="94"/>
      <c r="BY10" s="94"/>
      <c r="BZ10" s="94"/>
      <c r="CA10" s="94"/>
      <c r="CB10" s="94"/>
      <c r="CC10" s="94"/>
      <c r="CD10" s="94"/>
      <c r="CE10" s="94"/>
      <c r="CF10" s="94"/>
      <c r="CG10" s="94"/>
      <c r="CH10" s="94"/>
      <c r="CI10" s="94"/>
      <c r="CJ10" s="94"/>
      <c r="CK10" s="126"/>
    </row>
    <row r="11" spans="2:92" ht="10" customHeight="1">
      <c r="AC11" s="105"/>
      <c r="AD11" s="93"/>
      <c r="AE11" s="94"/>
      <c r="AF11" s="94"/>
      <c r="AG11" s="94"/>
      <c r="AH11" s="94"/>
      <c r="AI11" s="94"/>
      <c r="AJ11" s="94"/>
      <c r="AK11" s="94"/>
      <c r="AL11" s="94"/>
      <c r="AM11" s="94"/>
      <c r="AN11" s="94"/>
      <c r="AO11" s="94"/>
      <c r="AP11" s="94"/>
      <c r="AQ11" s="94"/>
      <c r="AR11" s="94"/>
      <c r="AS11" s="94"/>
      <c r="AT11" s="94"/>
      <c r="AU11" s="94"/>
      <c r="AV11" s="94"/>
      <c r="AW11" s="94"/>
      <c r="AX11" s="94"/>
      <c r="AY11" s="94"/>
      <c r="AZ11" s="94"/>
      <c r="BA11" s="94"/>
      <c r="BB11" s="94"/>
      <c r="BC11" s="94"/>
      <c r="BD11" s="94"/>
      <c r="BE11" s="94"/>
      <c r="BF11" s="94"/>
      <c r="BG11" s="94"/>
      <c r="BH11" s="94"/>
      <c r="BI11" s="94"/>
      <c r="BJ11" s="94"/>
      <c r="BK11" s="94"/>
      <c r="BL11" s="94"/>
      <c r="BM11" s="94"/>
      <c r="BN11" s="94"/>
      <c r="BO11" s="94"/>
      <c r="BP11" s="94"/>
      <c r="BQ11" s="94"/>
      <c r="BR11" s="94"/>
      <c r="BS11" s="94"/>
      <c r="BT11" s="94"/>
      <c r="BU11" s="94"/>
      <c r="BV11" s="94"/>
      <c r="BW11" s="94"/>
      <c r="BX11" s="94"/>
      <c r="BY11" s="94"/>
      <c r="BZ11" s="94"/>
      <c r="CA11" s="94"/>
      <c r="CB11" s="94"/>
      <c r="CC11" s="94"/>
      <c r="CD11" s="94"/>
      <c r="CE11" s="94"/>
      <c r="CF11" s="94"/>
      <c r="CG11" s="94"/>
      <c r="CH11" s="94"/>
      <c r="CI11" s="94"/>
      <c r="CJ11" s="94"/>
      <c r="CK11" s="126"/>
    </row>
    <row r="12" spans="2:92" ht="10" customHeight="1">
      <c r="AC12" s="105"/>
      <c r="AD12" s="93"/>
      <c r="AE12" s="94"/>
      <c r="AF12" s="94"/>
      <c r="AG12" s="94"/>
      <c r="AH12" s="94"/>
      <c r="AI12" s="94"/>
      <c r="AJ12" s="94"/>
      <c r="AK12" s="94"/>
      <c r="AL12" s="94"/>
      <c r="AM12" s="94"/>
      <c r="AN12" s="94"/>
      <c r="AO12" s="94"/>
      <c r="AP12" s="94"/>
      <c r="AQ12" s="94"/>
      <c r="AR12" s="94"/>
      <c r="AS12" s="94"/>
      <c r="AT12" s="94"/>
      <c r="AU12" s="94"/>
      <c r="AV12" s="94" t="s">
        <v>3934</v>
      </c>
      <c r="AW12" s="94"/>
      <c r="AX12" s="94"/>
      <c r="AY12" s="94"/>
      <c r="AZ12" s="94"/>
      <c r="BA12" s="94"/>
      <c r="BB12" s="94"/>
      <c r="BC12" s="94"/>
      <c r="BD12" s="94"/>
      <c r="BE12" s="94"/>
      <c r="BF12" s="94"/>
      <c r="BG12" s="94"/>
      <c r="BH12" s="94"/>
      <c r="BI12" s="94"/>
      <c r="BJ12" s="94"/>
      <c r="BK12" s="94"/>
      <c r="BL12" s="94"/>
      <c r="BM12" s="94"/>
      <c r="BN12" s="94"/>
      <c r="BO12" s="94"/>
      <c r="BP12" s="94"/>
      <c r="BQ12" s="94"/>
      <c r="BR12" s="94"/>
      <c r="BS12" s="94"/>
      <c r="BT12" s="94"/>
      <c r="BU12" s="94"/>
      <c r="BV12" s="94"/>
      <c r="BW12" s="94"/>
      <c r="BX12" s="94"/>
      <c r="BY12" s="94"/>
      <c r="BZ12" s="94"/>
      <c r="CA12" s="94"/>
      <c r="CB12" s="94"/>
      <c r="CC12" s="94"/>
      <c r="CD12" s="94"/>
      <c r="CE12" s="94"/>
      <c r="CF12" s="94"/>
      <c r="CG12" s="94"/>
      <c r="CH12" s="94"/>
      <c r="CI12" s="94"/>
      <c r="CJ12" s="94"/>
      <c r="CK12" s="126"/>
    </row>
    <row r="13" spans="2:92" ht="30" customHeight="1">
      <c r="AC13" s="105"/>
      <c r="AD13" s="93"/>
      <c r="AE13" s="94"/>
      <c r="AF13" s="94"/>
      <c r="AG13" s="94"/>
      <c r="AH13" s="94"/>
      <c r="AI13" s="94"/>
      <c r="AJ13" s="94"/>
      <c r="AK13" s="94"/>
      <c r="AL13" s="94"/>
      <c r="AM13" s="94"/>
      <c r="AN13" s="94"/>
      <c r="AO13" s="94"/>
      <c r="AP13" s="94"/>
      <c r="AQ13" s="94"/>
      <c r="AR13" s="94"/>
      <c r="AS13" s="94"/>
      <c r="AT13" s="94"/>
      <c r="AU13" s="94"/>
      <c r="AV13" s="94"/>
      <c r="AW13" s="94"/>
      <c r="AX13" s="94"/>
      <c r="AY13" s="94"/>
      <c r="AZ13" s="94"/>
      <c r="BA13" s="94"/>
      <c r="BB13" s="94"/>
      <c r="BC13" s="94"/>
      <c r="BD13" s="94"/>
      <c r="BE13" s="94"/>
      <c r="BF13" s="94"/>
      <c r="BG13" s="94"/>
      <c r="BH13" s="94"/>
      <c r="BI13" s="94"/>
      <c r="BJ13" s="94"/>
      <c r="BK13" s="94"/>
      <c r="BL13" s="94"/>
      <c r="BM13" s="94"/>
      <c r="BN13" s="94"/>
      <c r="BO13" s="94"/>
      <c r="BP13" s="94"/>
      <c r="BQ13" s="94"/>
      <c r="BR13" s="94"/>
      <c r="BS13" s="94"/>
      <c r="BT13" s="94"/>
      <c r="BU13" s="94"/>
      <c r="BV13" s="94"/>
      <c r="BW13" s="94"/>
      <c r="BX13" s="94"/>
      <c r="BY13" s="94"/>
      <c r="BZ13" s="94"/>
      <c r="CA13" s="94"/>
      <c r="CB13" s="94"/>
      <c r="CC13" s="94"/>
      <c r="CD13" s="94"/>
      <c r="CE13" s="94"/>
      <c r="CF13" s="94"/>
      <c r="CG13" s="94"/>
      <c r="CH13" s="94"/>
      <c r="CI13" s="94"/>
      <c r="CJ13" s="94"/>
      <c r="CK13" s="149" t="s">
        <v>4372</v>
      </c>
    </row>
    <row r="14" spans="2:92" ht="14" customHeight="1">
      <c r="AC14" s="105"/>
      <c r="AD14" s="93"/>
      <c r="AE14" s="94"/>
      <c r="AF14" s="94"/>
      <c r="AG14" s="94"/>
      <c r="AH14" s="94"/>
      <c r="AI14" s="94"/>
      <c r="AJ14" s="94"/>
      <c r="AK14" s="94"/>
      <c r="AL14" s="94"/>
      <c r="AM14" s="94"/>
      <c r="AN14" s="94"/>
      <c r="AO14" s="94"/>
      <c r="AP14" s="94"/>
      <c r="AQ14" s="311" t="str">
        <f>'Para imprimir'!C3</f>
        <v xml:space="preserve">WOTZBELI EUGENIO LIMATUJ IXCARAGUA </v>
      </c>
      <c r="AR14" s="311"/>
      <c r="AS14" s="311"/>
      <c r="AT14" s="311"/>
      <c r="AU14" s="311"/>
      <c r="AV14" s="311"/>
      <c r="AW14" s="311"/>
      <c r="AX14" s="311"/>
      <c r="AY14" s="311"/>
      <c r="AZ14" s="311"/>
      <c r="BA14" s="311"/>
      <c r="BB14" s="311"/>
      <c r="BC14" s="311"/>
      <c r="BD14" s="311"/>
      <c r="BE14" s="311"/>
      <c r="BF14" s="311"/>
      <c r="BG14" s="311"/>
      <c r="BH14" s="311"/>
      <c r="BI14" s="311"/>
      <c r="BJ14" s="311"/>
      <c r="BK14" s="311"/>
      <c r="BL14" s="311"/>
      <c r="BM14" s="311"/>
      <c r="BN14" s="311"/>
      <c r="BO14" s="311"/>
      <c r="BP14" s="311"/>
      <c r="BQ14" s="311"/>
      <c r="BR14" s="311"/>
      <c r="BS14" s="311"/>
      <c r="BT14" s="311"/>
      <c r="BU14" s="311"/>
      <c r="BV14" s="311"/>
      <c r="BW14" s="311"/>
      <c r="BX14" s="311"/>
      <c r="BY14" s="311"/>
      <c r="BZ14" s="311"/>
      <c r="CA14" s="311"/>
      <c r="CB14" s="311"/>
      <c r="CC14" s="311"/>
      <c r="CD14" s="311"/>
      <c r="CE14" s="311"/>
      <c r="CF14" s="311"/>
      <c r="CG14" s="311"/>
      <c r="CH14" s="132"/>
      <c r="CI14" s="94"/>
      <c r="CJ14" s="94"/>
      <c r="CK14" s="126"/>
    </row>
    <row r="15" spans="2:92" ht="20" customHeight="1">
      <c r="AC15" s="105"/>
      <c r="AD15" s="93"/>
      <c r="AE15" s="94"/>
      <c r="AF15" s="94"/>
      <c r="AG15" s="94"/>
      <c r="AH15" s="94"/>
      <c r="AI15" s="94"/>
      <c r="AJ15" s="94"/>
      <c r="AK15" s="94"/>
      <c r="AL15" s="94"/>
      <c r="AM15" s="94"/>
      <c r="AN15" s="94"/>
      <c r="AO15" s="94"/>
      <c r="AP15" s="94"/>
      <c r="AQ15" s="311" t="str">
        <f>'Para imprimir'!D3</f>
        <v>25 AVENIDA 3-64, LOTE 6 ZONA 1</v>
      </c>
      <c r="AR15" s="311"/>
      <c r="AS15" s="311"/>
      <c r="AT15" s="311"/>
      <c r="AU15" s="311"/>
      <c r="AV15" s="311"/>
      <c r="AW15" s="311"/>
      <c r="AX15" s="311"/>
      <c r="AY15" s="311"/>
      <c r="AZ15" s="311"/>
      <c r="BA15" s="311"/>
      <c r="BB15" s="311"/>
      <c r="BC15" s="311"/>
      <c r="BD15" s="311"/>
      <c r="BE15" s="311"/>
      <c r="BF15" s="311"/>
      <c r="BG15" s="311"/>
      <c r="BH15" s="311"/>
      <c r="BI15" s="311"/>
      <c r="BJ15" s="311"/>
      <c r="BK15" s="311"/>
      <c r="BL15" s="311"/>
      <c r="BM15" s="311"/>
      <c r="BN15" s="311"/>
      <c r="BO15" s="311"/>
      <c r="BP15" s="311"/>
      <c r="BQ15" s="311"/>
      <c r="BR15" s="311"/>
      <c r="BS15" s="311"/>
      <c r="BT15" s="311"/>
      <c r="BU15" s="311"/>
      <c r="BV15" s="311"/>
      <c r="BW15" s="311"/>
      <c r="BX15" s="311"/>
      <c r="BY15" s="311"/>
      <c r="BZ15" s="311"/>
      <c r="CA15" s="311"/>
      <c r="CB15" s="311"/>
      <c r="CC15" s="311"/>
      <c r="CD15" s="311"/>
      <c r="CE15" s="311"/>
      <c r="CF15" s="311"/>
      <c r="CG15" s="311"/>
      <c r="CH15" s="132"/>
      <c r="CI15" s="94"/>
      <c r="CJ15" s="94"/>
      <c r="CK15" s="126"/>
    </row>
    <row r="16" spans="2:92" ht="18" customHeight="1">
      <c r="AC16" s="105"/>
      <c r="AD16" s="93"/>
      <c r="AE16" s="94"/>
      <c r="AF16" s="94"/>
      <c r="AG16" s="94"/>
      <c r="AH16" s="94"/>
      <c r="AI16" s="94"/>
      <c r="AJ16" s="94"/>
      <c r="AK16" s="94"/>
      <c r="AL16" s="94"/>
      <c r="AM16" s="94"/>
      <c r="AN16" s="94"/>
      <c r="AO16" s="94"/>
      <c r="AP16" s="94"/>
      <c r="AQ16" s="311" t="str">
        <f>'Para imprimir'!E3</f>
        <v>25 AVENIDA 3-64, LOTE 6 ZONA 1</v>
      </c>
      <c r="AR16" s="311"/>
      <c r="AS16" s="311"/>
      <c r="AT16" s="311"/>
      <c r="AU16" s="311"/>
      <c r="AV16" s="311"/>
      <c r="AW16" s="311"/>
      <c r="AX16" s="311"/>
      <c r="AY16" s="311"/>
      <c r="AZ16" s="311"/>
      <c r="BA16" s="311"/>
      <c r="BB16" s="311"/>
      <c r="BC16" s="311"/>
      <c r="BD16" s="311"/>
      <c r="BE16" s="311"/>
      <c r="BF16" s="311"/>
      <c r="BG16" s="311"/>
      <c r="BH16" s="311"/>
      <c r="BI16" s="311"/>
      <c r="BJ16" s="311"/>
      <c r="BK16" s="311"/>
      <c r="BL16" s="311"/>
      <c r="BM16" s="311"/>
      <c r="BN16" s="311"/>
      <c r="BO16" s="311"/>
      <c r="BP16" s="311"/>
      <c r="BQ16" s="311"/>
      <c r="BR16" s="311"/>
      <c r="BS16" s="311"/>
      <c r="BT16" s="311"/>
      <c r="BU16" s="311"/>
      <c r="BV16" s="311"/>
      <c r="BW16" s="311"/>
      <c r="BX16" s="311"/>
      <c r="BY16" s="311"/>
      <c r="BZ16" s="311"/>
      <c r="CA16" s="311"/>
      <c r="CB16" s="311"/>
      <c r="CC16" s="311"/>
      <c r="CD16" s="311"/>
      <c r="CE16" s="311"/>
      <c r="CF16" s="311"/>
      <c r="CG16" s="311"/>
      <c r="CH16" s="132"/>
      <c r="CI16" s="94"/>
      <c r="CJ16" s="94"/>
      <c r="CK16" s="126"/>
    </row>
    <row r="17" spans="29:89" ht="20" customHeight="1">
      <c r="AC17" s="105"/>
      <c r="AD17" s="93"/>
      <c r="AE17" s="94"/>
      <c r="AF17" s="94"/>
      <c r="AG17" s="94"/>
      <c r="AH17" s="94"/>
      <c r="AI17" s="94"/>
      <c r="AJ17" s="94"/>
      <c r="AK17" s="318">
        <f>'Para imprimir'!F3</f>
        <v>6694</v>
      </c>
      <c r="AL17" s="311"/>
      <c r="AM17" s="311"/>
      <c r="AN17" s="311"/>
      <c r="AO17" s="311"/>
      <c r="AP17" s="311"/>
      <c r="AQ17" s="311"/>
      <c r="AR17" s="311"/>
      <c r="AS17" s="311"/>
      <c r="AT17" s="311"/>
      <c r="AU17" s="311"/>
      <c r="AV17" s="94"/>
      <c r="AW17" s="94"/>
      <c r="AX17" s="94"/>
      <c r="AY17" s="94"/>
      <c r="AZ17" s="94"/>
      <c r="BA17" s="318">
        <f>'Para imprimir'!G3</f>
        <v>194</v>
      </c>
      <c r="BB17" s="311"/>
      <c r="BC17" s="311"/>
      <c r="BD17" s="311"/>
      <c r="BE17" s="311"/>
      <c r="BF17" s="311"/>
      <c r="BG17" s="311"/>
      <c r="BH17" s="311"/>
      <c r="BI17" s="311"/>
      <c r="BJ17" s="311"/>
      <c r="BK17" s="311"/>
      <c r="BL17" s="311"/>
      <c r="BM17" s="94"/>
      <c r="BN17" s="94"/>
      <c r="BO17" s="94"/>
      <c r="BP17" s="94"/>
      <c r="BQ17" s="94"/>
      <c r="BR17" s="94"/>
      <c r="BS17" s="94"/>
      <c r="BT17" s="94"/>
      <c r="BU17" s="318" t="str">
        <f>'Para imprimir'!H3</f>
        <v>34E</v>
      </c>
      <c r="BV17" s="311"/>
      <c r="BW17" s="311"/>
      <c r="BX17" s="311"/>
      <c r="BY17" s="311"/>
      <c r="BZ17" s="311"/>
      <c r="CA17" s="311"/>
      <c r="CB17" s="311"/>
      <c r="CC17" s="311"/>
      <c r="CD17" s="311"/>
      <c r="CE17" s="311"/>
      <c r="CF17" s="311"/>
      <c r="CG17" s="311"/>
      <c r="CH17" s="132"/>
      <c r="CI17" s="94"/>
      <c r="CJ17" s="94"/>
      <c r="CK17" s="127" t="s">
        <v>2836</v>
      </c>
    </row>
    <row r="18" spans="29:89" ht="17.25" customHeight="1">
      <c r="AC18" s="105"/>
      <c r="AD18" s="93"/>
      <c r="AE18" s="94"/>
      <c r="AF18" s="94"/>
      <c r="AG18" s="94"/>
      <c r="AH18" s="94"/>
      <c r="AI18" s="94"/>
      <c r="AJ18" s="94"/>
      <c r="AK18" s="94"/>
      <c r="AL18" s="94"/>
      <c r="AM18" s="94"/>
      <c r="AN18" s="94"/>
      <c r="AO18" s="311">
        <f>'Para imprimir'!I3</f>
        <v>177389</v>
      </c>
      <c r="AP18" s="311"/>
      <c r="AQ18" s="311"/>
      <c r="AR18" s="311"/>
      <c r="AS18" s="311"/>
      <c r="AT18" s="311"/>
      <c r="AU18" s="311"/>
      <c r="AV18" s="94"/>
      <c r="AW18" s="94"/>
      <c r="AX18" s="94"/>
      <c r="AY18" s="94"/>
      <c r="AZ18" s="94"/>
      <c r="BA18" s="94"/>
      <c r="BB18" s="94"/>
      <c r="BC18" s="94"/>
      <c r="BD18" s="310">
        <f>'Para imprimir'!J3</f>
        <v>119.63</v>
      </c>
      <c r="BE18" s="310"/>
      <c r="BF18" s="310"/>
      <c r="BG18" s="310"/>
      <c r="BH18" s="310"/>
      <c r="BI18" s="310"/>
      <c r="BJ18" s="310"/>
      <c r="BK18" s="94"/>
      <c r="BL18" s="94"/>
      <c r="BM18" s="94"/>
      <c r="BN18" s="94"/>
      <c r="BO18" s="94"/>
      <c r="BP18" s="94"/>
      <c r="BQ18" s="94"/>
      <c r="BR18" s="94"/>
      <c r="BS18" s="94"/>
      <c r="BT18" s="94"/>
      <c r="BU18" s="94"/>
      <c r="BV18" s="94"/>
      <c r="BW18" s="94"/>
      <c r="BX18" s="133"/>
      <c r="BY18" s="311">
        <f>'Para imprimir'!K3</f>
        <v>71072</v>
      </c>
      <c r="BZ18" s="311"/>
      <c r="CA18" s="311"/>
      <c r="CB18" s="311"/>
      <c r="CC18" s="311"/>
      <c r="CD18" s="311"/>
      <c r="CE18" s="311"/>
      <c r="CF18" s="311"/>
      <c r="CG18" s="311"/>
      <c r="CH18" s="94"/>
      <c r="CI18" s="94"/>
      <c r="CJ18" s="94"/>
      <c r="CK18" s="127" t="s">
        <v>4373</v>
      </c>
    </row>
    <row r="19" spans="29:89" ht="15" customHeight="1">
      <c r="AC19" s="105"/>
      <c r="AD19" s="93"/>
      <c r="AE19" s="94"/>
      <c r="AF19" s="94"/>
      <c r="AG19" s="94"/>
      <c r="AH19" s="94"/>
      <c r="AI19" s="94"/>
      <c r="AJ19" s="94"/>
      <c r="AK19" s="94"/>
      <c r="AL19" s="94"/>
      <c r="AM19" s="94"/>
      <c r="AN19" s="94"/>
      <c r="AO19" s="94"/>
      <c r="AP19" s="94"/>
      <c r="AQ19" s="94"/>
      <c r="AR19" s="94"/>
      <c r="AS19" s="94"/>
      <c r="AT19" s="94"/>
      <c r="AU19" s="94"/>
      <c r="AV19" s="94"/>
      <c r="AW19" s="94"/>
      <c r="AX19" s="94"/>
      <c r="AY19" s="94"/>
      <c r="AZ19" s="94"/>
      <c r="BA19" s="94"/>
      <c r="BB19" s="94"/>
      <c r="BC19" s="94"/>
      <c r="BD19" s="94"/>
      <c r="BE19" s="94"/>
      <c r="BF19" s="94"/>
      <c r="BG19" s="94"/>
      <c r="BH19" s="94"/>
      <c r="BI19" s="94"/>
      <c r="BJ19" s="94"/>
      <c r="BK19" s="94"/>
      <c r="BL19" s="134"/>
      <c r="BM19" s="134"/>
      <c r="BN19" s="134"/>
      <c r="BO19" s="134"/>
      <c r="BP19" s="134"/>
      <c r="BQ19" s="134"/>
      <c r="BR19" s="134"/>
      <c r="BS19" s="134"/>
      <c r="BT19" s="134"/>
      <c r="BU19" s="94"/>
      <c r="BV19" s="94"/>
      <c r="BW19" s="94"/>
      <c r="BX19" s="94"/>
      <c r="BY19" s="94"/>
      <c r="BZ19" s="94"/>
      <c r="CA19" s="94"/>
      <c r="CB19" s="94"/>
      <c r="CC19" s="94"/>
      <c r="CD19" s="94"/>
      <c r="CE19" s="94"/>
      <c r="CF19" s="94"/>
      <c r="CG19" s="94"/>
      <c r="CH19" s="94"/>
      <c r="CI19" s="94"/>
      <c r="CJ19" s="94"/>
      <c r="CK19" s="126"/>
    </row>
    <row r="20" spans="29:89" ht="34" customHeight="1">
      <c r="AC20" s="105"/>
      <c r="AD20" s="93"/>
      <c r="AE20" s="94"/>
      <c r="AF20" s="94"/>
      <c r="AG20" s="94"/>
      <c r="AH20" s="94"/>
      <c r="AI20" s="94"/>
      <c r="AJ20" s="94"/>
      <c r="AK20" s="94"/>
      <c r="AL20" s="94"/>
      <c r="AM20" s="94"/>
      <c r="AN20" s="94"/>
      <c r="AO20" s="94"/>
      <c r="AP20" s="334" t="str">
        <f>'Para imprimir'!L3</f>
        <v>EDERSON GIOVANI COTI HUITZ</v>
      </c>
      <c r="AQ20" s="334"/>
      <c r="AR20" s="334"/>
      <c r="AS20" s="334"/>
      <c r="AT20" s="334"/>
      <c r="AU20" s="334"/>
      <c r="AV20" s="334"/>
      <c r="AW20" s="334"/>
      <c r="AX20" s="334"/>
      <c r="AY20" s="334"/>
      <c r="AZ20" s="334"/>
      <c r="BA20" s="334"/>
      <c r="BB20" s="334"/>
      <c r="BC20" s="334"/>
      <c r="BD20" s="334"/>
      <c r="BE20" s="334"/>
      <c r="BF20" s="334"/>
      <c r="BG20" s="334"/>
      <c r="BH20" s="334"/>
      <c r="BI20" s="334"/>
      <c r="BJ20" s="334"/>
      <c r="BK20" s="94"/>
      <c r="BL20" s="134"/>
      <c r="BM20" s="133" t="str">
        <f>'Para imprimir'!M3</f>
        <v>-</v>
      </c>
      <c r="BN20" s="133"/>
      <c r="BO20" s="134"/>
      <c r="BP20" s="134"/>
      <c r="BQ20" s="311" t="str">
        <f>'Para imprimir'!N3</f>
        <v>X</v>
      </c>
      <c r="BR20" s="311"/>
      <c r="BS20" s="311"/>
      <c r="BT20" s="134"/>
      <c r="BU20" s="94"/>
      <c r="BV20" s="94"/>
      <c r="BW20" s="94"/>
      <c r="BX20" s="94"/>
      <c r="BY20" s="94"/>
      <c r="BZ20" s="332">
        <f>'Para imprimir'!O3</f>
        <v>6571</v>
      </c>
      <c r="CA20" s="333"/>
      <c r="CB20" s="333"/>
      <c r="CC20" s="333"/>
      <c r="CD20" s="333"/>
      <c r="CE20" s="333"/>
      <c r="CF20" s="333"/>
      <c r="CG20" s="333"/>
      <c r="CH20" s="94"/>
      <c r="CI20" s="94"/>
      <c r="CJ20" s="94"/>
      <c r="CK20" s="126"/>
    </row>
    <row r="21" spans="29:89" ht="21" customHeight="1">
      <c r="AC21" s="105"/>
      <c r="AD21" s="93"/>
      <c r="AE21" s="94"/>
      <c r="AF21" s="94"/>
      <c r="AG21" s="94"/>
      <c r="AH21" s="94"/>
      <c r="AI21" s="94"/>
      <c r="AJ21" s="94"/>
      <c r="AK21" s="94"/>
      <c r="AL21" s="94"/>
      <c r="AM21" s="94"/>
      <c r="AN21" s="94"/>
      <c r="AO21" s="94"/>
      <c r="AP21" s="334" t="str">
        <f>'Para imprimir'!P3</f>
        <v>EDERSON GIOVANI COTI HUITZ</v>
      </c>
      <c r="AQ21" s="334"/>
      <c r="AR21" s="334"/>
      <c r="AS21" s="334"/>
      <c r="AT21" s="334"/>
      <c r="AU21" s="334"/>
      <c r="AV21" s="334"/>
      <c r="AW21" s="334"/>
      <c r="AX21" s="334"/>
      <c r="AY21" s="334"/>
      <c r="AZ21" s="334"/>
      <c r="BA21" s="334"/>
      <c r="BB21" s="334"/>
      <c r="BC21" s="334"/>
      <c r="BD21" s="334"/>
      <c r="BE21" s="334"/>
      <c r="BF21" s="334"/>
      <c r="BG21" s="334"/>
      <c r="BH21" s="334"/>
      <c r="BI21" s="334"/>
      <c r="BJ21" s="334"/>
      <c r="BK21" s="94"/>
      <c r="BL21" s="135"/>
      <c r="BM21" s="133" t="str">
        <f>'Para imprimir'!Q3</f>
        <v>-</v>
      </c>
      <c r="BN21" s="133"/>
      <c r="BO21" s="134"/>
      <c r="BP21" s="134"/>
      <c r="BQ21" s="134"/>
      <c r="BR21" s="311" t="str">
        <f>'Para imprimir'!R3</f>
        <v>X</v>
      </c>
      <c r="BS21" s="311"/>
      <c r="BT21" s="134"/>
      <c r="BU21" s="94"/>
      <c r="BV21" s="94"/>
      <c r="BW21" s="94"/>
      <c r="BX21" s="94"/>
      <c r="BY21" s="94"/>
      <c r="BZ21" s="332">
        <f>'Para imprimir'!S3</f>
        <v>6571</v>
      </c>
      <c r="CA21" s="333"/>
      <c r="CB21" s="333"/>
      <c r="CC21" s="333"/>
      <c r="CD21" s="333"/>
      <c r="CE21" s="333"/>
      <c r="CF21" s="333"/>
      <c r="CG21" s="333"/>
      <c r="CH21" s="94"/>
      <c r="CI21" s="94"/>
      <c r="CJ21" s="94"/>
      <c r="CK21" s="126"/>
    </row>
    <row r="22" spans="29:89" ht="16.5" customHeight="1">
      <c r="AC22" s="105"/>
      <c r="AD22" s="93"/>
      <c r="AE22" s="94"/>
      <c r="AF22" s="94"/>
      <c r="AG22" s="94"/>
      <c r="AH22" s="94"/>
      <c r="AI22" s="94"/>
      <c r="AJ22" s="94"/>
      <c r="AK22" s="94"/>
      <c r="AL22" s="94"/>
      <c r="AM22" s="94"/>
      <c r="AN22" s="94"/>
      <c r="AO22" s="94"/>
      <c r="AP22" s="94"/>
      <c r="AQ22" s="94"/>
      <c r="AR22" s="94"/>
      <c r="AS22" s="94"/>
      <c r="AT22" s="94"/>
      <c r="AU22" s="334" t="str">
        <f>'Para imprimir'!T3</f>
        <v>----------</v>
      </c>
      <c r="AV22" s="322"/>
      <c r="AW22" s="322"/>
      <c r="AX22" s="322"/>
      <c r="AY22" s="322"/>
      <c r="AZ22" s="322"/>
      <c r="BA22" s="322"/>
      <c r="BB22" s="322"/>
      <c r="BC22" s="322"/>
      <c r="BD22" s="322"/>
      <c r="BE22" s="322"/>
      <c r="BF22" s="322"/>
      <c r="BG22" s="322"/>
      <c r="BH22" s="322"/>
      <c r="BI22" s="322"/>
      <c r="BJ22" s="322"/>
      <c r="BK22" s="322"/>
      <c r="BL22" s="322"/>
      <c r="BM22" s="322"/>
      <c r="BN22" s="322"/>
      <c r="BO22" s="322"/>
      <c r="BP22" s="94"/>
      <c r="BQ22" s="94"/>
      <c r="BR22" s="94"/>
      <c r="BS22" s="94"/>
      <c r="BT22" s="94"/>
      <c r="BU22" s="334" t="str">
        <f>'Para imprimir'!U3</f>
        <v>----------</v>
      </c>
      <c r="BV22" s="322"/>
      <c r="BW22" s="322"/>
      <c r="BX22" s="322"/>
      <c r="BY22" s="322"/>
      <c r="BZ22" s="322"/>
      <c r="CA22" s="322"/>
      <c r="CB22" s="322"/>
      <c r="CC22" s="322"/>
      <c r="CD22" s="322"/>
      <c r="CE22" s="322"/>
      <c r="CF22" s="322"/>
      <c r="CG22" s="322"/>
      <c r="CH22" s="94"/>
      <c r="CI22" s="94"/>
      <c r="CJ22" s="94"/>
      <c r="CK22" s="127" t="s">
        <v>4374</v>
      </c>
    </row>
    <row r="23" spans="29:89" ht="11.75" customHeight="1">
      <c r="AC23" s="105"/>
      <c r="AD23" s="93"/>
      <c r="AE23" s="94"/>
      <c r="AF23" s="94"/>
      <c r="AG23" s="94"/>
      <c r="AH23" s="94"/>
      <c r="AI23" s="94"/>
      <c r="AJ23" s="94"/>
      <c r="AK23" s="94"/>
      <c r="AL23" s="94"/>
      <c r="AM23" s="94"/>
      <c r="AN23" s="94"/>
      <c r="AO23" s="94"/>
      <c r="AP23" s="94"/>
      <c r="AQ23" s="94"/>
      <c r="AR23" s="94"/>
      <c r="AS23" s="94"/>
      <c r="AT23" s="94"/>
      <c r="AU23" s="94"/>
      <c r="AV23" s="94"/>
      <c r="AW23" s="94"/>
      <c r="AX23" s="94"/>
      <c r="AY23" s="94"/>
      <c r="AZ23" s="94"/>
      <c r="BA23" s="94"/>
      <c r="BB23" s="94"/>
      <c r="BC23" s="94"/>
      <c r="BD23" s="94"/>
      <c r="BE23" s="94"/>
      <c r="BF23" s="94"/>
      <c r="BG23" s="94"/>
      <c r="BH23" s="94"/>
      <c r="BI23" s="94"/>
      <c r="BJ23" s="94"/>
      <c r="BK23" s="94"/>
      <c r="BL23" s="94"/>
      <c r="BM23" s="94"/>
      <c r="BN23" s="94"/>
      <c r="BO23" s="94"/>
      <c r="BP23" s="94"/>
      <c r="BQ23" s="94"/>
      <c r="BR23" s="94"/>
      <c r="BS23" s="94"/>
      <c r="BT23" s="94"/>
      <c r="BU23" s="94"/>
      <c r="BV23" s="94"/>
      <c r="BW23" s="94"/>
      <c r="BX23" s="94"/>
      <c r="BY23" s="94"/>
      <c r="BZ23" s="94"/>
      <c r="CA23" s="94"/>
      <c r="CB23" s="94"/>
      <c r="CC23" s="94"/>
      <c r="CD23" s="94"/>
      <c r="CE23" s="94"/>
      <c r="CF23" s="94"/>
      <c r="CG23" s="94"/>
      <c r="CH23" s="94"/>
      <c r="CI23" s="94"/>
      <c r="CJ23" s="94"/>
      <c r="CK23" s="126"/>
    </row>
    <row r="24" spans="29:89" ht="22" customHeight="1">
      <c r="AC24" s="105"/>
      <c r="AD24" s="93"/>
      <c r="AE24" s="94"/>
      <c r="AF24" s="94"/>
      <c r="AG24" s="94"/>
      <c r="AH24" s="94"/>
      <c r="AI24" s="94"/>
      <c r="AJ24" s="94"/>
      <c r="AK24" s="94"/>
      <c r="AL24" s="94"/>
      <c r="AM24" s="94"/>
      <c r="AN24" s="94"/>
      <c r="AO24" s="94"/>
      <c r="AP24" s="94"/>
      <c r="AQ24" s="94"/>
      <c r="AR24" s="94"/>
      <c r="AS24" s="94"/>
      <c r="AT24" s="94"/>
      <c r="AU24" s="94"/>
      <c r="AV24" s="94"/>
      <c r="AW24" s="94"/>
      <c r="AX24" s="94"/>
      <c r="AY24" s="94"/>
      <c r="AZ24" s="94"/>
      <c r="BA24" s="94"/>
      <c r="BB24" s="94"/>
      <c r="BC24" s="94"/>
      <c r="BD24" s="94"/>
      <c r="BE24" s="94"/>
      <c r="BF24" s="94"/>
      <c r="BG24" s="94"/>
      <c r="BH24" s="94"/>
      <c r="BI24" s="94"/>
      <c r="BJ24" s="94"/>
      <c r="BK24" s="94"/>
      <c r="BL24" s="94"/>
      <c r="BM24" s="94"/>
      <c r="BN24" s="94"/>
      <c r="BO24" s="94"/>
      <c r="BP24" s="94"/>
      <c r="BQ24" s="94"/>
      <c r="BR24" s="94"/>
      <c r="BS24" s="94"/>
      <c r="BT24" s="94"/>
      <c r="BU24" s="94"/>
      <c r="BV24" s="94"/>
      <c r="BW24" s="94"/>
      <c r="BX24" s="94"/>
      <c r="BY24" s="94"/>
      <c r="BZ24" s="94"/>
      <c r="CA24" s="94"/>
      <c r="CB24" s="94"/>
      <c r="CC24" s="94"/>
      <c r="CD24" s="94"/>
      <c r="CE24" s="94"/>
      <c r="CF24" s="94"/>
      <c r="CG24" s="94"/>
      <c r="CH24" s="94"/>
      <c r="CI24" s="94"/>
      <c r="CJ24" s="94"/>
      <c r="CK24" s="127" t="s">
        <v>4375</v>
      </c>
    </row>
    <row r="25" spans="29:89" ht="15.5" customHeight="1">
      <c r="AC25" s="105"/>
      <c r="AD25" s="93"/>
      <c r="AE25" s="94"/>
      <c r="AF25" s="94"/>
      <c r="AG25" s="94"/>
      <c r="AH25" s="94"/>
      <c r="AI25" s="94"/>
      <c r="AJ25" s="94"/>
      <c r="AK25" s="94"/>
      <c r="AL25" s="94"/>
      <c r="AM25" s="94"/>
      <c r="AN25" s="94"/>
      <c r="AO25" s="311" t="str">
        <f>'Para imprimir'!V3</f>
        <v>VIVIENDA BIFAMILIAR</v>
      </c>
      <c r="AP25" s="311"/>
      <c r="AQ25" s="311"/>
      <c r="AR25" s="311"/>
      <c r="AS25" s="311"/>
      <c r="AT25" s="311"/>
      <c r="AU25" s="311"/>
      <c r="AV25" s="311"/>
      <c r="AW25" s="311"/>
      <c r="AX25" s="311"/>
      <c r="AY25" s="311"/>
      <c r="AZ25" s="311"/>
      <c r="BA25" s="311"/>
      <c r="BB25" s="311"/>
      <c r="BC25" s="311"/>
      <c r="BD25" s="311"/>
      <c r="BE25" s="311"/>
      <c r="BF25" s="311"/>
      <c r="BG25" s="311"/>
      <c r="BH25" s="311"/>
      <c r="BI25" s="311"/>
      <c r="BJ25" s="311"/>
      <c r="BK25" s="311"/>
      <c r="BL25" s="311"/>
      <c r="BM25" s="311"/>
      <c r="BN25" s="311"/>
      <c r="BO25" s="311"/>
      <c r="BP25" s="311"/>
      <c r="BQ25" s="311"/>
      <c r="BR25" s="311"/>
      <c r="BS25" s="311"/>
      <c r="BT25" s="311"/>
      <c r="BU25" s="311"/>
      <c r="BV25" s="311"/>
      <c r="BW25" s="311"/>
      <c r="BX25" s="311"/>
      <c r="BY25" s="311"/>
      <c r="BZ25" s="311"/>
      <c r="CA25" s="311"/>
      <c r="CB25" s="311"/>
      <c r="CC25" s="311"/>
      <c r="CD25" s="311"/>
      <c r="CE25" s="311"/>
      <c r="CF25" s="311"/>
      <c r="CG25" s="94"/>
      <c r="CH25" s="94"/>
      <c r="CI25" s="94"/>
      <c r="CJ25" s="94"/>
      <c r="CK25" s="126"/>
    </row>
    <row r="26" spans="29:89" ht="18" customHeight="1">
      <c r="AC26" s="105"/>
      <c r="AD26" s="93"/>
      <c r="AE26" s="94"/>
      <c r="AF26" s="94"/>
      <c r="AG26" s="94"/>
      <c r="AH26" s="94"/>
      <c r="AI26" s="94"/>
      <c r="AJ26" s="94"/>
      <c r="AK26" s="94"/>
      <c r="AL26" s="94"/>
      <c r="AM26" s="94"/>
      <c r="AN26" s="94"/>
      <c r="AO26" s="94"/>
      <c r="AP26" s="94"/>
      <c r="AQ26" s="94"/>
      <c r="AR26" s="94"/>
      <c r="AS26" s="94"/>
      <c r="AT26" s="311" t="str">
        <f>'Para imprimir'!W3</f>
        <v>PAREDES DE BLOCK Y ADOBE, TECHO DE LOSA Y LAMINA,</v>
      </c>
      <c r="AU26" s="311"/>
      <c r="AV26" s="311"/>
      <c r="AW26" s="311"/>
      <c r="AX26" s="311"/>
      <c r="AY26" s="311"/>
      <c r="AZ26" s="311"/>
      <c r="BA26" s="311"/>
      <c r="BB26" s="311"/>
      <c r="BC26" s="311"/>
      <c r="BD26" s="311"/>
      <c r="BE26" s="311"/>
      <c r="BF26" s="311"/>
      <c r="BG26" s="311"/>
      <c r="BH26" s="311"/>
      <c r="BI26" s="311"/>
      <c r="BJ26" s="311"/>
      <c r="BK26" s="311"/>
      <c r="BL26" s="311"/>
      <c r="BM26" s="311"/>
      <c r="BN26" s="311"/>
      <c r="BO26" s="311"/>
      <c r="BP26" s="311"/>
      <c r="BQ26" s="311"/>
      <c r="BR26" s="311"/>
      <c r="BS26" s="311"/>
      <c r="BT26" s="311"/>
      <c r="BU26" s="311"/>
      <c r="BV26" s="311"/>
      <c r="BW26" s="311"/>
      <c r="BX26" s="311"/>
      <c r="BY26" s="311"/>
      <c r="BZ26" s="311"/>
      <c r="CA26" s="311"/>
      <c r="CB26" s="311"/>
      <c r="CC26" s="311"/>
      <c r="CD26" s="311"/>
      <c r="CE26" s="311"/>
      <c r="CF26" s="311"/>
      <c r="CG26" s="311"/>
      <c r="CH26" s="132"/>
      <c r="CI26" s="94"/>
      <c r="CJ26" s="94"/>
      <c r="CK26" s="126"/>
    </row>
    <row r="27" spans="29:89" ht="19" customHeight="1">
      <c r="AC27" s="105"/>
      <c r="AD27" s="93"/>
      <c r="AE27" s="94"/>
      <c r="AF27" s="311" t="str">
        <f>'Para imprimir'!X3</f>
        <v>PISO CERAMICO E INSTALACIONES OCULTAS. ----------</v>
      </c>
      <c r="AG27" s="311"/>
      <c r="AH27" s="311"/>
      <c r="AI27" s="311"/>
      <c r="AJ27" s="311"/>
      <c r="AK27" s="311"/>
      <c r="AL27" s="311"/>
      <c r="AM27" s="311"/>
      <c r="AN27" s="311"/>
      <c r="AO27" s="311"/>
      <c r="AP27" s="311"/>
      <c r="AQ27" s="311"/>
      <c r="AR27" s="311"/>
      <c r="AS27" s="311"/>
      <c r="AT27" s="311"/>
      <c r="AU27" s="311"/>
      <c r="AV27" s="311"/>
      <c r="AW27" s="311"/>
      <c r="AX27" s="311"/>
      <c r="AY27" s="311"/>
      <c r="AZ27" s="311"/>
      <c r="BA27" s="311"/>
      <c r="BB27" s="311"/>
      <c r="BC27" s="311"/>
      <c r="BD27" s="311"/>
      <c r="BE27" s="311"/>
      <c r="BF27" s="311"/>
      <c r="BG27" s="311"/>
      <c r="BH27" s="311"/>
      <c r="BI27" s="311"/>
      <c r="BJ27" s="311"/>
      <c r="BK27" s="311"/>
      <c r="BL27" s="311"/>
      <c r="BM27" s="311"/>
      <c r="BN27" s="311"/>
      <c r="BO27" s="311"/>
      <c r="BP27" s="311"/>
      <c r="BQ27" s="311"/>
      <c r="BR27" s="311"/>
      <c r="BS27" s="311"/>
      <c r="BT27" s="311"/>
      <c r="BU27" s="311"/>
      <c r="BV27" s="311"/>
      <c r="BW27" s="311"/>
      <c r="BX27" s="311"/>
      <c r="BY27" s="311"/>
      <c r="BZ27" s="311"/>
      <c r="CA27" s="311"/>
      <c r="CB27" s="311"/>
      <c r="CC27" s="311"/>
      <c r="CD27" s="311"/>
      <c r="CE27" s="311"/>
      <c r="CF27" s="311"/>
      <c r="CG27" s="311"/>
      <c r="CH27" s="132"/>
      <c r="CI27" s="94"/>
      <c r="CJ27" s="94"/>
      <c r="CK27" s="126"/>
    </row>
    <row r="28" spans="29:89" ht="28" customHeight="1">
      <c r="AC28" s="105"/>
      <c r="AD28" s="93"/>
      <c r="AE28" s="94"/>
      <c r="AF28" s="94"/>
      <c r="AG28" s="94"/>
      <c r="AH28" s="94"/>
      <c r="AI28" s="94"/>
      <c r="AJ28" s="94"/>
      <c r="AK28" s="94"/>
      <c r="AL28" s="94"/>
      <c r="AM28" s="94"/>
      <c r="AN28" s="319">
        <f>'Para imprimir'!Y3</f>
        <v>36.15</v>
      </c>
      <c r="AO28" s="311"/>
      <c r="AP28" s="311"/>
      <c r="AQ28" s="311"/>
      <c r="AR28" s="311"/>
      <c r="AS28" s="311"/>
      <c r="AT28" s="311"/>
      <c r="AU28" s="311"/>
      <c r="AV28" s="94"/>
      <c r="AW28" s="94"/>
      <c r="AX28" s="94"/>
      <c r="AY28" s="94"/>
      <c r="AZ28" s="94"/>
      <c r="BA28" s="94"/>
      <c r="BB28" s="94"/>
      <c r="BC28" s="94"/>
      <c r="BD28" s="94"/>
      <c r="BE28" s="94"/>
      <c r="BF28" s="94"/>
      <c r="BG28" s="94"/>
      <c r="BH28" s="94"/>
      <c r="BI28" s="94"/>
      <c r="BJ28" s="94"/>
      <c r="BK28" s="94"/>
      <c r="BL28" s="311">
        <f>'Para imprimir'!Z3</f>
        <v>2</v>
      </c>
      <c r="BM28" s="311"/>
      <c r="BN28" s="311"/>
      <c r="BO28" s="311"/>
      <c r="BP28" s="311"/>
      <c r="BQ28" s="311"/>
      <c r="BR28" s="94"/>
      <c r="BS28" s="94"/>
      <c r="BT28" s="94"/>
      <c r="BU28" s="94"/>
      <c r="BV28" s="94"/>
      <c r="BW28" s="94"/>
      <c r="BX28" s="94"/>
      <c r="BY28" s="94"/>
      <c r="BZ28" s="94"/>
      <c r="CA28" s="94"/>
      <c r="CB28" s="94"/>
      <c r="CC28" s="94"/>
      <c r="CD28" s="136"/>
      <c r="CE28" s="133"/>
      <c r="CF28" s="133"/>
      <c r="CG28" s="133" t="str">
        <f>'Para imprimir'!AA3</f>
        <v>X</v>
      </c>
      <c r="CH28" s="133"/>
      <c r="CI28" s="133"/>
      <c r="CJ28" s="94"/>
      <c r="CK28" s="127" t="s">
        <v>4376</v>
      </c>
    </row>
    <row r="29" spans="29:89" ht="24.5" customHeight="1">
      <c r="AC29" s="105"/>
      <c r="AD29" s="93"/>
      <c r="AE29" s="94"/>
      <c r="AF29" s="94"/>
      <c r="AG29" s="94"/>
      <c r="AH29" s="94"/>
      <c r="AI29" s="94"/>
      <c r="AJ29" s="94"/>
      <c r="AK29" s="94"/>
      <c r="AL29" s="94"/>
      <c r="AM29" s="94"/>
      <c r="AN29" s="94"/>
      <c r="AO29" s="94"/>
      <c r="AP29" s="319">
        <f>'Para imprimir'!AB3</f>
        <v>219.32</v>
      </c>
      <c r="AQ29" s="311"/>
      <c r="AR29" s="311"/>
      <c r="AS29" s="311"/>
      <c r="AT29" s="311"/>
      <c r="AU29" s="311"/>
      <c r="AV29" s="94"/>
      <c r="AW29" s="94"/>
      <c r="AX29" s="94"/>
      <c r="AY29" s="94"/>
      <c r="AZ29" s="94"/>
      <c r="BA29" s="94"/>
      <c r="BB29" s="94"/>
      <c r="BC29" s="94"/>
      <c r="BD29" s="94"/>
      <c r="BE29" s="94"/>
      <c r="BF29" s="311">
        <f>'Para imprimir'!AC3</f>
        <v>2</v>
      </c>
      <c r="BG29" s="311"/>
      <c r="BH29" s="311"/>
      <c r="BI29" s="311"/>
      <c r="BJ29" s="311"/>
      <c r="BK29" s="311"/>
      <c r="BL29" s="94"/>
      <c r="BM29" s="94"/>
      <c r="BN29" s="94"/>
      <c r="BO29" s="94"/>
      <c r="BP29" s="94"/>
      <c r="BQ29" s="94"/>
      <c r="BR29" s="94"/>
      <c r="BS29" s="94"/>
      <c r="BT29" s="94"/>
      <c r="BU29" s="94"/>
      <c r="BV29" s="94"/>
      <c r="BW29" s="151" t="s">
        <v>3864</v>
      </c>
      <c r="BX29" s="311" t="str">
        <f>'Para imprimir'!AD3</f>
        <v>NO APLICA</v>
      </c>
      <c r="BY29" s="311"/>
      <c r="BZ29" s="311"/>
      <c r="CA29" s="311"/>
      <c r="CB29" s="311"/>
      <c r="CC29" s="311"/>
      <c r="CD29" s="311"/>
      <c r="CE29" s="311"/>
      <c r="CF29" s="311"/>
      <c r="CG29" s="311"/>
      <c r="CH29" s="94"/>
      <c r="CI29" s="94"/>
      <c r="CJ29" s="94"/>
      <c r="CK29" s="126"/>
    </row>
    <row r="30" spans="29:89" ht="18" customHeight="1">
      <c r="AC30" s="105"/>
      <c r="AD30" s="93"/>
      <c r="AE30" s="94"/>
      <c r="AF30" s="94"/>
      <c r="AG30" s="94"/>
      <c r="AH30" s="94"/>
      <c r="AI30" s="94"/>
      <c r="AJ30" s="94"/>
      <c r="AK30" s="94"/>
      <c r="AL30" s="94"/>
      <c r="AM30" s="94"/>
      <c r="AN30" s="94"/>
      <c r="AO30" s="94"/>
      <c r="AP30" s="94"/>
      <c r="AQ30" s="319">
        <f>'Para imprimir'!AE3</f>
        <v>219.32</v>
      </c>
      <c r="AR30" s="311"/>
      <c r="AS30" s="311"/>
      <c r="AT30" s="311"/>
      <c r="AU30" s="311"/>
      <c r="AV30" s="311"/>
      <c r="AW30" s="311"/>
      <c r="AX30" s="311"/>
      <c r="AY30" s="311"/>
      <c r="AZ30" s="311"/>
      <c r="BA30" s="311"/>
      <c r="BB30" s="311"/>
      <c r="BC30" s="94"/>
      <c r="BD30" s="94"/>
      <c r="BE30" s="94"/>
      <c r="BF30" s="94"/>
      <c r="BG30" s="94"/>
      <c r="BH30" s="94"/>
      <c r="BI30" s="94"/>
      <c r="BJ30" s="94"/>
      <c r="BK30" s="94"/>
      <c r="BL30" s="94"/>
      <c r="BM30" s="94"/>
      <c r="BN30" s="94"/>
      <c r="BO30" s="319">
        <f>'Para imprimir'!AF3</f>
        <v>0</v>
      </c>
      <c r="BP30" s="311"/>
      <c r="BQ30" s="311"/>
      <c r="BR30" s="311"/>
      <c r="BS30" s="311"/>
      <c r="BT30" s="311"/>
      <c r="BU30" s="311"/>
      <c r="BV30" s="311"/>
      <c r="BW30" s="311"/>
      <c r="BX30" s="311"/>
      <c r="BY30" s="311"/>
      <c r="BZ30" s="311"/>
      <c r="CA30" s="311"/>
      <c r="CB30" s="311"/>
      <c r="CC30" s="311"/>
      <c r="CD30" s="311"/>
      <c r="CE30" s="94"/>
      <c r="CF30" s="94"/>
      <c r="CG30" s="94"/>
      <c r="CH30" s="94"/>
      <c r="CI30" s="94"/>
      <c r="CJ30" s="94"/>
      <c r="CK30" s="126"/>
    </row>
    <row r="31" spans="29:89" ht="25" customHeight="1">
      <c r="AC31" s="105"/>
      <c r="AD31" s="93"/>
      <c r="AE31" s="94"/>
      <c r="AF31" s="94"/>
      <c r="AG31" s="94"/>
      <c r="AH31" s="94"/>
      <c r="AI31" s="94"/>
      <c r="AJ31" s="94"/>
      <c r="AK31" s="94"/>
      <c r="AL31" s="94"/>
      <c r="AM31" s="319" t="str">
        <f>'Para imprimir'!AG3</f>
        <v>NO APLICA</v>
      </c>
      <c r="AN31" s="311"/>
      <c r="AO31" s="311"/>
      <c r="AP31" s="311"/>
      <c r="AQ31" s="311"/>
      <c r="AR31" s="311"/>
      <c r="AS31" s="311"/>
      <c r="AT31" s="311"/>
      <c r="AU31" s="311"/>
      <c r="AV31" s="311"/>
      <c r="AW31" s="94"/>
      <c r="AX31" s="94"/>
      <c r="AY31" s="94"/>
      <c r="AZ31" s="94"/>
      <c r="BA31" s="94"/>
      <c r="BB31" s="94"/>
      <c r="BC31" s="94"/>
      <c r="BD31" s="94"/>
      <c r="BE31" s="94"/>
      <c r="BF31" s="94"/>
      <c r="BG31" s="94"/>
      <c r="BH31" s="311" t="str">
        <f>'Para imprimir'!AH3</f>
        <v xml:space="preserve">NO APLICA </v>
      </c>
      <c r="BI31" s="311"/>
      <c r="BJ31" s="311"/>
      <c r="BK31" s="311"/>
      <c r="BL31" s="311"/>
      <c r="BM31" s="311"/>
      <c r="BN31" s="94"/>
      <c r="BO31" s="132"/>
      <c r="BP31" s="132"/>
      <c r="BQ31" s="94"/>
      <c r="BR31" s="94"/>
      <c r="BS31" s="94"/>
      <c r="BT31" s="94"/>
      <c r="BU31" s="94"/>
      <c r="BV31" s="94"/>
      <c r="BW31" s="94"/>
      <c r="BX31" s="94"/>
      <c r="BY31" s="94"/>
      <c r="BZ31" s="94"/>
      <c r="CA31" s="311" t="str">
        <f>'Para imprimir'!AI3</f>
        <v>-</v>
      </c>
      <c r="CB31" s="311"/>
      <c r="CC31" s="94"/>
      <c r="CD31" s="94"/>
      <c r="CE31" s="94"/>
      <c r="CF31" s="137"/>
      <c r="CG31" s="133" t="str">
        <f>'Para imprimir'!AJ3</f>
        <v>-</v>
      </c>
      <c r="CH31" s="133"/>
      <c r="CI31" s="94"/>
      <c r="CJ31" s="94"/>
      <c r="CK31" s="127" t="s">
        <v>3861</v>
      </c>
    </row>
    <row r="32" spans="29:89" ht="11" customHeight="1">
      <c r="AC32" s="105"/>
      <c r="AD32" s="93"/>
      <c r="AE32" s="94"/>
      <c r="AF32" s="94"/>
      <c r="AG32" s="94"/>
      <c r="AH32" s="94"/>
      <c r="AI32" s="94"/>
      <c r="AJ32" s="94"/>
      <c r="AK32" s="94"/>
      <c r="AL32" s="94"/>
      <c r="AM32" s="94"/>
      <c r="AN32" s="94"/>
      <c r="AO32" s="94"/>
      <c r="AP32" s="94"/>
      <c r="AQ32" s="94"/>
      <c r="AR32" s="94"/>
      <c r="AS32" s="94"/>
      <c r="AT32" s="94"/>
      <c r="AU32" s="94"/>
      <c r="AV32" s="94"/>
      <c r="AW32" s="94"/>
      <c r="AX32" s="94"/>
      <c r="AY32" s="94"/>
      <c r="AZ32" s="94"/>
      <c r="BA32" s="94"/>
      <c r="BB32" s="94"/>
      <c r="BC32" s="94"/>
      <c r="BD32" s="94"/>
      <c r="BE32" s="94"/>
      <c r="BF32" s="94"/>
      <c r="BG32" s="94"/>
      <c r="BH32" s="94"/>
      <c r="BI32" s="94"/>
      <c r="BJ32" s="94"/>
      <c r="BK32" s="94"/>
      <c r="BL32" s="94"/>
      <c r="BM32" s="94"/>
      <c r="BN32" s="94"/>
      <c r="BO32" s="94"/>
      <c r="BP32" s="94"/>
      <c r="BQ32" s="94"/>
      <c r="BR32" s="94"/>
      <c r="BS32" s="94"/>
      <c r="BT32" s="94"/>
      <c r="BU32" s="94"/>
      <c r="BV32" s="94"/>
      <c r="BW32" s="94"/>
      <c r="BX32" s="94"/>
      <c r="BY32" s="94"/>
      <c r="BZ32" s="94"/>
      <c r="CA32" s="94"/>
      <c r="CB32" s="94"/>
      <c r="CC32" s="94"/>
      <c r="CD32" s="94"/>
      <c r="CE32" s="94"/>
      <c r="CF32" s="94"/>
      <c r="CG32" s="94"/>
      <c r="CH32" s="94"/>
      <c r="CI32" s="94"/>
      <c r="CJ32" s="94"/>
      <c r="CK32" s="129"/>
    </row>
    <row r="33" spans="29:89" ht="11" customHeight="1">
      <c r="AC33" s="105"/>
      <c r="AD33" s="93"/>
      <c r="AE33" s="94"/>
      <c r="AF33" s="94"/>
      <c r="AG33" s="94"/>
      <c r="AH33" s="94"/>
      <c r="AI33" s="94"/>
      <c r="AJ33" s="94"/>
      <c r="AK33" s="94"/>
      <c r="AL33" s="94"/>
      <c r="AM33" s="94"/>
      <c r="AN33" s="94"/>
      <c r="AO33" s="94"/>
      <c r="AP33" s="94"/>
      <c r="AQ33" s="94"/>
      <c r="AR33" s="94"/>
      <c r="AS33" s="94"/>
      <c r="AT33" s="94"/>
      <c r="AU33" s="94"/>
      <c r="AV33" s="94"/>
      <c r="AW33" s="94"/>
      <c r="AX33" s="94"/>
      <c r="AY33" s="94"/>
      <c r="AZ33" s="94"/>
      <c r="BA33" s="94"/>
      <c r="BB33" s="94"/>
      <c r="BC33" s="94"/>
      <c r="BD33" s="94"/>
      <c r="BE33" s="94"/>
      <c r="BF33" s="94"/>
      <c r="BG33" s="94"/>
      <c r="BH33" s="94"/>
      <c r="BI33" s="94"/>
      <c r="BJ33" s="94"/>
      <c r="BK33" s="94"/>
      <c r="BL33" s="94"/>
      <c r="BM33" s="94"/>
      <c r="BN33" s="94"/>
      <c r="BO33" s="94"/>
      <c r="BP33" s="94"/>
      <c r="BQ33" s="94"/>
      <c r="BR33" s="94"/>
      <c r="BS33" s="94"/>
      <c r="BT33" s="94"/>
      <c r="BU33" s="94"/>
      <c r="BV33" s="94"/>
      <c r="BW33" s="94"/>
      <c r="BX33" s="94"/>
      <c r="BY33" s="94"/>
      <c r="BZ33" s="94"/>
      <c r="CA33" s="94"/>
      <c r="CB33" s="94"/>
      <c r="CC33" s="94"/>
      <c r="CD33" s="94"/>
      <c r="CE33" s="94"/>
      <c r="CF33" s="94"/>
      <c r="CG33" s="94"/>
      <c r="CH33" s="94"/>
      <c r="CI33" s="94"/>
      <c r="CJ33" s="94"/>
      <c r="CK33" s="129"/>
    </row>
    <row r="34" spans="29:89" ht="13.5" hidden="1" customHeight="1">
      <c r="AC34" s="105"/>
      <c r="AD34" s="93"/>
      <c r="AE34" s="94"/>
      <c r="AF34" s="94"/>
      <c r="AG34" s="94"/>
      <c r="AH34" s="94"/>
      <c r="AI34" s="94"/>
      <c r="AJ34" s="94"/>
      <c r="AK34" s="94"/>
      <c r="AL34" s="94"/>
      <c r="AM34" s="94"/>
      <c r="AN34" s="94"/>
      <c r="AO34" s="94"/>
      <c r="AP34" s="94"/>
      <c r="AQ34" s="94"/>
      <c r="AR34" s="94"/>
      <c r="AS34" s="94"/>
      <c r="AT34" s="94"/>
      <c r="AU34" s="94"/>
      <c r="AV34" s="94"/>
      <c r="AW34" s="94"/>
      <c r="AX34" s="94"/>
      <c r="AY34" s="94"/>
      <c r="AZ34" s="94"/>
      <c r="BA34" s="94"/>
      <c r="BB34" s="94"/>
      <c r="BC34" s="94"/>
      <c r="BD34" s="94"/>
      <c r="BE34" s="94"/>
      <c r="BF34" s="94"/>
      <c r="BG34" s="94"/>
      <c r="BH34" s="94"/>
      <c r="BI34" s="94"/>
      <c r="BJ34" s="94"/>
      <c r="BK34" s="94"/>
      <c r="BL34" s="94"/>
      <c r="BM34" s="94"/>
      <c r="BN34" s="94"/>
      <c r="BO34" s="94"/>
      <c r="BP34" s="94"/>
      <c r="BQ34" s="94"/>
      <c r="BR34" s="94"/>
      <c r="BS34" s="94"/>
      <c r="BT34" s="94"/>
      <c r="BU34" s="94"/>
      <c r="BV34" s="94"/>
      <c r="BW34" s="94"/>
      <c r="BX34" s="94"/>
      <c r="BY34" s="94"/>
      <c r="BZ34" s="94"/>
      <c r="CA34" s="94"/>
      <c r="CB34" s="94"/>
      <c r="CC34" s="94"/>
      <c r="CD34" s="94"/>
      <c r="CE34" s="94"/>
      <c r="CF34" s="94"/>
      <c r="CG34" s="94"/>
      <c r="CH34" s="94"/>
      <c r="CI34" s="94"/>
      <c r="CJ34" s="94"/>
      <c r="CK34" s="126"/>
    </row>
    <row r="35" spans="29:89" ht="22" customHeight="1">
      <c r="AC35" s="105"/>
      <c r="AD35" s="93"/>
      <c r="AE35" s="94"/>
      <c r="AF35" s="94"/>
      <c r="AG35" s="94"/>
      <c r="AH35" s="94"/>
      <c r="AI35" s="94"/>
      <c r="AJ35" s="94"/>
      <c r="AK35" s="94"/>
      <c r="AL35" s="94"/>
      <c r="AM35" s="94"/>
      <c r="AN35" s="94"/>
      <c r="AO35" s="94"/>
      <c r="AP35" s="94"/>
      <c r="AQ35" s="94"/>
      <c r="AR35" s="94"/>
      <c r="AS35" s="94"/>
      <c r="AT35" s="94"/>
      <c r="AU35" s="94"/>
      <c r="AV35" s="94"/>
      <c r="AW35" s="94"/>
      <c r="AX35" s="94"/>
      <c r="AY35" s="94"/>
      <c r="AZ35" s="94"/>
      <c r="BA35" s="317" t="str">
        <f>'Para imprimir'!AK3</f>
        <v>URBANO Q4</v>
      </c>
      <c r="BB35" s="317"/>
      <c r="BC35" s="317"/>
      <c r="BD35" s="317"/>
      <c r="BE35" s="317"/>
      <c r="BF35" s="317"/>
      <c r="BG35" s="317"/>
      <c r="BH35" s="317"/>
      <c r="BI35" s="317"/>
      <c r="BJ35" s="94"/>
      <c r="BK35" s="94"/>
      <c r="BL35" s="94"/>
      <c r="BM35" s="94"/>
      <c r="BN35" s="94"/>
      <c r="BO35" s="94"/>
      <c r="BP35" s="316" t="str">
        <f>'Para imprimir'!AL3</f>
        <v>----------</v>
      </c>
      <c r="BQ35" s="317"/>
      <c r="BR35" s="317"/>
      <c r="BS35" s="317"/>
      <c r="BT35" s="317"/>
      <c r="BU35" s="317"/>
      <c r="BV35" s="317"/>
      <c r="BW35" s="317"/>
      <c r="BX35" s="317"/>
      <c r="BY35" s="317"/>
      <c r="BZ35" s="317"/>
      <c r="CA35" s="317"/>
      <c r="CB35" s="317"/>
      <c r="CC35" s="317"/>
      <c r="CD35" s="317"/>
      <c r="CE35" s="317"/>
      <c r="CF35" s="317"/>
      <c r="CG35" s="317"/>
      <c r="CH35" s="94"/>
      <c r="CI35" s="94"/>
      <c r="CJ35" s="94"/>
      <c r="CK35" s="126"/>
    </row>
    <row r="36" spans="29:89" ht="12" customHeight="1">
      <c r="AC36" s="105"/>
      <c r="AD36" s="93"/>
      <c r="AE36" s="94"/>
      <c r="AF36" s="94"/>
      <c r="AG36" s="94"/>
      <c r="AH36" s="94"/>
      <c r="AI36" s="94"/>
      <c r="AJ36" s="94"/>
      <c r="AK36" s="94"/>
      <c r="AL36" s="94"/>
      <c r="AM36" s="94"/>
      <c r="AN36" s="94"/>
      <c r="AO36" s="94"/>
      <c r="AP36" s="94"/>
      <c r="AQ36" s="94"/>
      <c r="AR36" s="94"/>
      <c r="AS36" s="94"/>
      <c r="AT36" s="94"/>
      <c r="AU36" s="94"/>
      <c r="AV36" s="94"/>
      <c r="AW36" s="94"/>
      <c r="AX36" s="94"/>
      <c r="AY36" s="94"/>
      <c r="AZ36" s="94"/>
      <c r="BA36" s="94"/>
      <c r="BB36" s="94"/>
      <c r="BC36" s="94"/>
      <c r="BD36" s="94"/>
      <c r="BE36" s="94"/>
      <c r="BF36" s="94"/>
      <c r="BG36" s="94"/>
      <c r="BH36" s="94"/>
      <c r="BI36" s="94"/>
      <c r="BJ36" s="94"/>
      <c r="BK36" s="94"/>
      <c r="BL36" s="94"/>
      <c r="BM36" s="94"/>
      <c r="BN36" s="94"/>
      <c r="BO36" s="94"/>
      <c r="BP36" s="94"/>
      <c r="BQ36" s="94"/>
      <c r="BR36" s="94"/>
      <c r="BS36" s="94"/>
      <c r="BT36" s="94"/>
      <c r="BU36" s="94"/>
      <c r="BV36" s="94"/>
      <c r="BW36" s="94"/>
      <c r="BX36" s="94"/>
      <c r="BY36" s="94"/>
      <c r="BZ36" s="94"/>
      <c r="CA36" s="94"/>
      <c r="CB36" s="94"/>
      <c r="CC36" s="94"/>
      <c r="CD36" s="94"/>
      <c r="CE36" s="94"/>
      <c r="CF36" s="94"/>
      <c r="CG36" s="94"/>
      <c r="CH36" s="94"/>
      <c r="CI36" s="94"/>
      <c r="CJ36" s="94"/>
      <c r="CK36" s="130" t="s">
        <v>3862</v>
      </c>
    </row>
    <row r="37" spans="29:89" ht="7" customHeight="1">
      <c r="AC37" s="105"/>
      <c r="AD37" s="93"/>
      <c r="AE37" s="94"/>
      <c r="AF37" s="94"/>
      <c r="AG37" s="94"/>
      <c r="AH37" s="94"/>
      <c r="AI37" s="94"/>
      <c r="AJ37" s="94"/>
      <c r="AK37" s="94"/>
      <c r="AL37" s="94"/>
      <c r="AM37" s="94"/>
      <c r="AN37" s="94"/>
      <c r="AO37" s="94"/>
      <c r="AP37" s="94"/>
      <c r="AQ37" s="94"/>
      <c r="AR37" s="94"/>
      <c r="AS37" s="94"/>
      <c r="AT37" s="94"/>
      <c r="AU37" s="94"/>
      <c r="AV37" s="94"/>
      <c r="AW37" s="94"/>
      <c r="AX37" s="94"/>
      <c r="AY37" s="94"/>
      <c r="AZ37" s="94"/>
      <c r="BA37" s="94"/>
      <c r="BB37" s="94"/>
      <c r="BC37" s="94"/>
      <c r="BD37" s="94"/>
      <c r="BE37" s="94"/>
      <c r="BF37" s="94"/>
      <c r="BG37" s="94"/>
      <c r="BH37" s="315"/>
      <c r="BI37" s="315"/>
      <c r="BJ37" s="139"/>
      <c r="BK37" s="139"/>
      <c r="BL37" s="139"/>
      <c r="BM37" s="139"/>
      <c r="BN37" s="139"/>
      <c r="BO37" s="139"/>
      <c r="BP37" s="315"/>
      <c r="BQ37" s="315"/>
      <c r="BR37" s="139"/>
      <c r="BS37" s="139"/>
      <c r="BT37" s="139"/>
      <c r="BU37" s="139"/>
      <c r="BV37" s="139"/>
      <c r="BW37" s="139"/>
      <c r="BX37" s="139"/>
      <c r="BY37" s="139"/>
      <c r="BZ37" s="139"/>
      <c r="CA37" s="139"/>
      <c r="CB37" s="139"/>
      <c r="CC37" s="139"/>
      <c r="CD37" s="138"/>
      <c r="CE37" s="140"/>
      <c r="CF37" s="94"/>
      <c r="CG37" s="94"/>
      <c r="CH37" s="94"/>
      <c r="CI37" s="94"/>
      <c r="CJ37" s="94"/>
      <c r="CK37" s="126"/>
    </row>
    <row r="38" spans="29:89" ht="5" customHeight="1">
      <c r="AC38" s="105"/>
      <c r="AD38" s="93"/>
      <c r="AE38" s="94"/>
      <c r="AF38" s="94"/>
      <c r="AG38" s="94"/>
      <c r="AH38" s="94"/>
      <c r="AI38" s="94"/>
      <c r="AJ38" s="94"/>
      <c r="AK38" s="94"/>
      <c r="AL38" s="94"/>
      <c r="AM38" s="94"/>
      <c r="AN38" s="94"/>
      <c r="AO38" s="94"/>
      <c r="AP38" s="94"/>
      <c r="AQ38" s="94"/>
      <c r="AR38" s="94"/>
      <c r="AS38" s="94"/>
      <c r="AT38" s="94"/>
      <c r="AU38" s="94"/>
      <c r="AV38" s="94"/>
      <c r="AW38" s="94"/>
      <c r="AX38" s="94"/>
      <c r="AY38" s="94"/>
      <c r="AZ38" s="94"/>
      <c r="BA38" s="94"/>
      <c r="BB38" s="94"/>
      <c r="BC38" s="94"/>
      <c r="BD38" s="94"/>
      <c r="BE38" s="94"/>
      <c r="BF38" s="94"/>
      <c r="BG38" s="94"/>
      <c r="BH38" s="94"/>
      <c r="BI38" s="94"/>
      <c r="BJ38" s="94"/>
      <c r="BK38" s="94"/>
      <c r="BL38" s="94"/>
      <c r="BM38" s="94"/>
      <c r="BN38" s="94"/>
      <c r="BO38" s="94"/>
      <c r="BP38" s="94"/>
      <c r="BQ38" s="94"/>
      <c r="BR38" s="94"/>
      <c r="BS38" s="94"/>
      <c r="BT38" s="94"/>
      <c r="BU38" s="94"/>
      <c r="BV38" s="94"/>
      <c r="BW38" s="94"/>
      <c r="BX38" s="94"/>
      <c r="BY38" s="94"/>
      <c r="BZ38" s="94"/>
      <c r="CA38" s="94"/>
      <c r="CB38" s="94"/>
      <c r="CC38" s="94"/>
      <c r="CD38" s="94"/>
      <c r="CE38" s="94"/>
      <c r="CF38" s="94"/>
      <c r="CG38" s="94"/>
      <c r="CH38" s="94"/>
      <c r="CI38" s="94"/>
      <c r="CJ38" s="94"/>
      <c r="CK38" s="126"/>
    </row>
    <row r="39" spans="29:89" ht="30" customHeight="1">
      <c r="AC39" s="105"/>
      <c r="AD39" s="93"/>
      <c r="AE39" s="94"/>
      <c r="AF39" s="94"/>
      <c r="AG39" s="94"/>
      <c r="AH39" s="94"/>
      <c r="AI39" s="94"/>
      <c r="AJ39" s="94"/>
      <c r="AK39" s="94"/>
      <c r="AL39" s="94"/>
      <c r="AM39" s="94"/>
      <c r="AN39" s="94"/>
      <c r="AO39" s="316" t="str">
        <f>'Para imprimir'!AP3</f>
        <v>----------</v>
      </c>
      <c r="AP39" s="317"/>
      <c r="AQ39" s="317"/>
      <c r="AR39" s="317"/>
      <c r="AS39" s="317"/>
      <c r="AT39" s="317"/>
      <c r="AU39" s="317"/>
      <c r="AV39" s="317"/>
      <c r="AW39" s="317"/>
      <c r="AX39" s="317"/>
      <c r="AY39" s="317"/>
      <c r="AZ39" s="317"/>
      <c r="BA39" s="317"/>
      <c r="BB39" s="317"/>
      <c r="BC39" s="94"/>
      <c r="BD39" s="94"/>
      <c r="BE39" s="318" t="str">
        <f>'Para imprimir'!AQ3</f>
        <v>----------</v>
      </c>
      <c r="BF39" s="311"/>
      <c r="BG39" s="311"/>
      <c r="BH39" s="311"/>
      <c r="BI39" s="311"/>
      <c r="BJ39" s="311"/>
      <c r="BK39" s="311"/>
      <c r="BL39" s="311"/>
      <c r="BM39" s="311"/>
      <c r="BN39" s="311"/>
      <c r="BO39" s="311"/>
      <c r="BP39" s="311"/>
      <c r="BQ39" s="311"/>
      <c r="BR39" s="311"/>
      <c r="BS39" s="311"/>
      <c r="BT39" s="311"/>
      <c r="BU39" s="311"/>
      <c r="BV39" s="311"/>
      <c r="BW39" s="311"/>
      <c r="BX39" s="311"/>
      <c r="BY39" s="311"/>
      <c r="BZ39" s="311"/>
      <c r="CA39" s="311"/>
      <c r="CB39" s="311"/>
      <c r="CC39" s="311"/>
      <c r="CD39" s="311"/>
      <c r="CE39" s="311"/>
      <c r="CF39" s="311"/>
      <c r="CG39" s="311"/>
      <c r="CH39" s="132"/>
      <c r="CI39" s="94"/>
      <c r="CJ39" s="94"/>
      <c r="CK39" s="126"/>
    </row>
    <row r="40" spans="29:89" ht="19" customHeight="1">
      <c r="AC40" s="105"/>
      <c r="AD40" s="93"/>
      <c r="AE40" s="94"/>
      <c r="AF40" s="94"/>
      <c r="AG40" s="94"/>
      <c r="AH40" s="94"/>
      <c r="AI40" s="94"/>
      <c r="AJ40" s="94"/>
      <c r="AK40" s="94"/>
      <c r="AL40" s="328" t="str">
        <f>'Para imprimir'!AR3</f>
        <v>CORRECTA A LINEA DE EDIFICACION ESTABLECIDA</v>
      </c>
      <c r="AM40" s="328"/>
      <c r="AN40" s="328"/>
      <c r="AO40" s="328"/>
      <c r="AP40" s="328"/>
      <c r="AQ40" s="328"/>
      <c r="AR40" s="328"/>
      <c r="AS40" s="328"/>
      <c r="AT40" s="328"/>
      <c r="AU40" s="328"/>
      <c r="AV40" s="328"/>
      <c r="AW40" s="328"/>
      <c r="AX40" s="328"/>
      <c r="AY40" s="328"/>
      <c r="AZ40" s="328"/>
      <c r="BA40" s="328"/>
      <c r="BB40" s="328"/>
      <c r="BC40" s="328"/>
      <c r="BD40" s="328"/>
      <c r="BE40" s="328"/>
      <c r="BF40" s="328"/>
      <c r="BG40" s="328"/>
      <c r="BH40" s="328"/>
      <c r="BI40" s="328"/>
      <c r="BJ40" s="328"/>
      <c r="BK40" s="328"/>
      <c r="BL40" s="328"/>
      <c r="BM40" s="94"/>
      <c r="BN40" s="94"/>
      <c r="BO40" s="94"/>
      <c r="BP40" s="94"/>
      <c r="BQ40" s="94"/>
      <c r="BR40" s="94"/>
      <c r="BS40" s="94"/>
      <c r="BT40" s="94"/>
      <c r="BU40" s="321" t="str">
        <f>'Para imprimir'!AS3</f>
        <v>-----</v>
      </c>
      <c r="BV40" s="310"/>
      <c r="BW40" s="310"/>
      <c r="BX40" s="310"/>
      <c r="BY40" s="310"/>
      <c r="BZ40" s="310"/>
      <c r="CA40" s="310"/>
      <c r="CB40" s="310"/>
      <c r="CC40" s="310"/>
      <c r="CD40" s="310"/>
      <c r="CE40" s="94"/>
      <c r="CF40" s="94"/>
      <c r="CG40" s="94"/>
      <c r="CH40" s="94"/>
      <c r="CI40" s="94"/>
      <c r="CJ40" s="94"/>
      <c r="CK40" s="127" t="s">
        <v>2837</v>
      </c>
    </row>
    <row r="41" spans="29:89" ht="10" customHeight="1">
      <c r="AC41" s="105"/>
      <c r="AD41" s="93"/>
      <c r="AE41" s="94"/>
      <c r="AF41" s="94"/>
      <c r="AG41" s="94"/>
      <c r="AH41" s="94"/>
      <c r="AI41" s="94"/>
      <c r="AJ41" s="94"/>
      <c r="AK41" s="94"/>
      <c r="AL41" s="324"/>
      <c r="AM41" s="324"/>
      <c r="AN41" s="324"/>
      <c r="AO41" s="324"/>
      <c r="AP41" s="324"/>
      <c r="AQ41" s="324"/>
      <c r="AR41" s="324"/>
      <c r="AS41" s="324"/>
      <c r="AT41" s="324"/>
      <c r="AU41" s="324"/>
      <c r="AV41" s="324"/>
      <c r="AW41" s="324"/>
      <c r="AX41" s="324"/>
      <c r="AY41" s="324"/>
      <c r="AZ41" s="324"/>
      <c r="BA41" s="324"/>
      <c r="BB41" s="324"/>
      <c r="BC41" s="324"/>
      <c r="BD41" s="324"/>
      <c r="BE41" s="324"/>
      <c r="BF41" s="324"/>
      <c r="BG41" s="324"/>
      <c r="BH41" s="324"/>
      <c r="BI41" s="324"/>
      <c r="BJ41" s="324"/>
      <c r="BK41" s="324"/>
      <c r="BL41" s="94"/>
      <c r="BM41" s="94"/>
      <c r="BN41" s="94"/>
      <c r="BO41" s="94"/>
      <c r="BP41" s="94"/>
      <c r="BQ41" s="94"/>
      <c r="BR41" s="94"/>
      <c r="BS41" s="94"/>
      <c r="BT41" s="94"/>
      <c r="BU41" s="94"/>
      <c r="BV41" s="94"/>
      <c r="BW41" s="94"/>
      <c r="BX41" s="94"/>
      <c r="BY41" s="94"/>
      <c r="BZ41" s="94"/>
      <c r="CA41" s="94"/>
      <c r="CB41" s="94"/>
      <c r="CC41" s="94"/>
      <c r="CD41" s="94"/>
      <c r="CE41" s="94"/>
      <c r="CF41" s="94"/>
      <c r="CG41" s="94"/>
      <c r="CH41" s="94"/>
      <c r="CI41" s="94"/>
      <c r="CJ41" s="94"/>
      <c r="CK41" s="129"/>
    </row>
    <row r="42" spans="29:89" ht="9" customHeight="1">
      <c r="AC42" s="105"/>
      <c r="AD42" s="93"/>
      <c r="AE42" s="94"/>
      <c r="AF42" s="94"/>
      <c r="AG42" s="94"/>
      <c r="AH42" s="94"/>
      <c r="AI42" s="94"/>
      <c r="AJ42" s="94"/>
      <c r="AK42" s="94"/>
      <c r="AL42" s="94"/>
      <c r="AM42" s="94"/>
      <c r="AN42" s="94"/>
      <c r="AO42" s="94"/>
      <c r="AP42" s="94"/>
      <c r="AQ42" s="94"/>
      <c r="AR42" s="94"/>
      <c r="AS42" s="94"/>
      <c r="AT42" s="94"/>
      <c r="AU42" s="94"/>
      <c r="AV42" s="94"/>
      <c r="AW42" s="94"/>
      <c r="AX42" s="94"/>
      <c r="AY42" s="94"/>
      <c r="AZ42" s="94"/>
      <c r="BA42" s="94"/>
      <c r="BB42" s="94"/>
      <c r="BC42" s="94"/>
      <c r="BD42" s="94"/>
      <c r="BE42" s="94"/>
      <c r="BF42" s="94"/>
      <c r="BG42" s="94"/>
      <c r="BH42" s="94"/>
      <c r="BI42" s="94"/>
      <c r="BJ42" s="94"/>
      <c r="BK42" s="94"/>
      <c r="BL42" s="94"/>
      <c r="BM42" s="94"/>
      <c r="BN42" s="94"/>
      <c r="BO42" s="94"/>
      <c r="BP42" s="94"/>
      <c r="BQ42" s="94"/>
      <c r="BR42" s="94"/>
      <c r="BS42" s="94"/>
      <c r="BT42" s="94"/>
      <c r="BU42" s="94"/>
      <c r="BV42" s="94"/>
      <c r="BW42" s="94"/>
      <c r="BX42" s="94"/>
      <c r="BY42" s="94"/>
      <c r="BZ42" s="94"/>
      <c r="CA42" s="94"/>
      <c r="CB42" s="94"/>
      <c r="CC42" s="94"/>
      <c r="CD42" s="94"/>
      <c r="CE42" s="94"/>
      <c r="CF42" s="94"/>
      <c r="CG42" s="94"/>
      <c r="CH42" s="94"/>
      <c r="CI42" s="94"/>
      <c r="CJ42" s="94"/>
      <c r="CK42" s="129"/>
    </row>
    <row r="43" spans="29:89" ht="15" customHeight="1">
      <c r="AC43" s="105"/>
      <c r="AD43" s="93"/>
      <c r="AE43" s="94"/>
      <c r="AF43" s="94"/>
      <c r="AG43" s="94"/>
      <c r="AH43" s="94"/>
      <c r="AI43" s="94"/>
      <c r="AJ43" s="94"/>
      <c r="AK43" s="94"/>
      <c r="AL43" s="94"/>
      <c r="AM43" s="94"/>
      <c r="AN43" s="94"/>
      <c r="AO43" s="94"/>
      <c r="AP43" s="94"/>
      <c r="AQ43" s="94"/>
      <c r="AR43" s="94"/>
      <c r="AS43" s="94"/>
      <c r="AT43" s="94"/>
      <c r="AU43" s="94"/>
      <c r="AV43" s="94"/>
      <c r="AW43" s="94"/>
      <c r="AX43" s="94"/>
      <c r="AY43" s="94"/>
      <c r="AZ43" s="94"/>
      <c r="BA43" s="322" t="str">
        <f>'Para imprimir'!AT3</f>
        <v>RPNL1-120223</v>
      </c>
      <c r="BB43" s="322"/>
      <c r="BC43" s="322"/>
      <c r="BD43" s="322"/>
      <c r="BE43" s="322"/>
      <c r="BF43" s="322"/>
      <c r="BG43" s="322"/>
      <c r="BH43" s="322"/>
      <c r="BI43" s="322"/>
      <c r="BJ43" s="322"/>
      <c r="BK43" s="94"/>
      <c r="BL43" s="94"/>
      <c r="BM43" s="94"/>
      <c r="BN43" s="94"/>
      <c r="BO43" s="94"/>
      <c r="BP43" s="94"/>
      <c r="BQ43" s="94"/>
      <c r="BR43" s="94"/>
      <c r="BS43" s="94"/>
      <c r="BT43" s="94"/>
      <c r="BU43" s="94"/>
      <c r="BV43" s="94"/>
      <c r="BW43" s="94"/>
      <c r="BX43" s="94"/>
      <c r="BY43" s="94"/>
      <c r="BZ43" s="94"/>
      <c r="CA43" s="94"/>
      <c r="CB43" s="94"/>
      <c r="CC43" s="94"/>
      <c r="CD43" s="94"/>
      <c r="CE43" s="94"/>
      <c r="CF43" s="94"/>
      <c r="CG43" s="94"/>
      <c r="CH43" s="94"/>
      <c r="CI43" s="94"/>
      <c r="CJ43" s="94"/>
      <c r="CK43" s="126"/>
    </row>
    <row r="44" spans="29:89" ht="14" customHeight="1">
      <c r="AC44" s="105"/>
      <c r="AD44" s="93"/>
      <c r="AE44" s="94"/>
      <c r="AF44" s="94"/>
      <c r="AG44" s="94"/>
      <c r="AH44" s="94"/>
      <c r="AI44" s="94"/>
      <c r="AJ44" s="94"/>
      <c r="AK44" s="94"/>
      <c r="AL44" s="94"/>
      <c r="AM44" s="94"/>
      <c r="AN44" s="94"/>
      <c r="AO44" s="94"/>
      <c r="AP44" s="94"/>
      <c r="AQ44" s="94"/>
      <c r="AR44" s="94"/>
      <c r="AS44" s="94"/>
      <c r="AT44" s="94"/>
      <c r="AU44" s="94"/>
      <c r="AV44" s="94"/>
      <c r="AW44" s="94"/>
      <c r="AX44" s="94"/>
      <c r="AY44" s="94"/>
      <c r="AZ44" s="94"/>
      <c r="BA44" s="94"/>
      <c r="BB44" s="94"/>
      <c r="BC44" s="94"/>
      <c r="BD44" s="94"/>
      <c r="BE44" s="94"/>
      <c r="BF44" s="94"/>
      <c r="BG44" s="94"/>
      <c r="BH44" s="94"/>
      <c r="BI44" s="94"/>
      <c r="BJ44" s="94"/>
      <c r="BK44" s="94"/>
      <c r="BL44" s="94"/>
      <c r="BM44" s="94"/>
      <c r="BN44" s="94"/>
      <c r="BO44" s="94"/>
      <c r="BP44" s="94"/>
      <c r="BQ44" s="94"/>
      <c r="BR44" s="94"/>
      <c r="BS44" s="94"/>
      <c r="BT44" s="94"/>
      <c r="BU44" s="94"/>
      <c r="BV44" s="94"/>
      <c r="BW44" s="94"/>
      <c r="BX44" s="94"/>
      <c r="BY44" s="94"/>
      <c r="BZ44" s="94"/>
      <c r="CA44" s="94"/>
      <c r="CB44" s="94"/>
      <c r="CC44" s="94"/>
      <c r="CD44" s="94"/>
      <c r="CE44" s="94"/>
      <c r="CF44" s="94"/>
      <c r="CG44" s="94"/>
      <c r="CH44" s="94"/>
      <c r="CI44" s="94"/>
      <c r="CJ44" s="94"/>
      <c r="CK44" s="126"/>
    </row>
    <row r="45" spans="29:89" ht="6" customHeight="1">
      <c r="AC45" s="105"/>
      <c r="AD45" s="93"/>
      <c r="AE45" s="94"/>
      <c r="AF45" s="94"/>
      <c r="AG45" s="94"/>
      <c r="AH45" s="94"/>
      <c r="AI45" s="94"/>
      <c r="AJ45" s="94"/>
      <c r="AK45" s="94"/>
      <c r="AL45" s="94"/>
      <c r="AM45" s="94"/>
      <c r="AN45" s="94"/>
      <c r="AO45" s="94"/>
      <c r="AP45" s="94"/>
      <c r="AQ45" s="94"/>
      <c r="AR45" s="94"/>
      <c r="AS45" s="94"/>
      <c r="AT45" s="94"/>
      <c r="AU45" s="94"/>
      <c r="AV45" s="94"/>
      <c r="AW45" s="94"/>
      <c r="AX45" s="94"/>
      <c r="AY45" s="94"/>
      <c r="AZ45" s="94"/>
      <c r="BA45" s="94"/>
      <c r="BB45" s="94"/>
      <c r="BC45" s="94"/>
      <c r="BD45" s="94"/>
      <c r="BE45" s="94"/>
      <c r="BF45" s="94"/>
      <c r="BG45" s="94"/>
      <c r="BH45" s="94"/>
      <c r="BI45" s="94"/>
      <c r="BJ45" s="94"/>
      <c r="BK45" s="94"/>
      <c r="BL45" s="94"/>
      <c r="BM45" s="94"/>
      <c r="BN45" s="94"/>
      <c r="BO45" s="94"/>
      <c r="BP45" s="94"/>
      <c r="BQ45" s="94"/>
      <c r="BR45" s="94"/>
      <c r="BS45" s="94"/>
      <c r="BT45" s="94"/>
      <c r="BU45" s="94"/>
      <c r="BV45" s="94"/>
      <c r="BW45" s="94"/>
      <c r="BX45" s="94"/>
      <c r="BY45" s="94"/>
      <c r="BZ45" s="94"/>
      <c r="CA45" s="94"/>
      <c r="CB45" s="94"/>
      <c r="CC45" s="94"/>
      <c r="CD45" s="94"/>
      <c r="CE45" s="94"/>
      <c r="CF45" s="94"/>
      <c r="CG45" s="94"/>
      <c r="CH45" s="94"/>
      <c r="CI45" s="94"/>
      <c r="CJ45" s="94"/>
      <c r="CK45" s="126"/>
    </row>
    <row r="46" spans="29:89" ht="8.25" customHeight="1">
      <c r="AC46" s="105"/>
      <c r="AD46" s="93"/>
      <c r="AE46" s="94"/>
      <c r="AF46" s="94"/>
      <c r="AG46" s="94"/>
      <c r="AH46" s="94"/>
      <c r="AI46" s="94"/>
      <c r="AJ46" s="94"/>
      <c r="AK46" s="94"/>
      <c r="AL46" s="94"/>
      <c r="AM46" s="94"/>
      <c r="AN46" s="94"/>
      <c r="AO46" s="94"/>
      <c r="AP46" s="94"/>
      <c r="AQ46" s="94"/>
      <c r="AR46" s="94"/>
      <c r="AS46" s="94"/>
      <c r="AT46" s="94"/>
      <c r="AU46" s="94"/>
      <c r="AV46" s="94"/>
      <c r="AW46" s="94"/>
      <c r="AX46" s="94"/>
      <c r="AY46" s="94"/>
      <c r="AZ46" s="94"/>
      <c r="BA46" s="94"/>
      <c r="BB46" s="94"/>
      <c r="BC46" s="94"/>
      <c r="BD46" s="94"/>
      <c r="BE46" s="94"/>
      <c r="BF46" s="94"/>
      <c r="BG46" s="94"/>
      <c r="BH46" s="94"/>
      <c r="BI46" s="94"/>
      <c r="BJ46" s="94"/>
      <c r="BK46" s="94"/>
      <c r="BL46" s="94"/>
      <c r="BM46" s="94"/>
      <c r="BN46" s="94"/>
      <c r="BO46" s="94"/>
      <c r="BP46" s="94"/>
      <c r="BQ46" s="94"/>
      <c r="BR46" s="94"/>
      <c r="BS46" s="94"/>
      <c r="BT46" s="94"/>
      <c r="BU46" s="94"/>
      <c r="BV46" s="94"/>
      <c r="BW46" s="94"/>
      <c r="BX46" s="94"/>
      <c r="BY46" s="94"/>
      <c r="BZ46" s="94"/>
      <c r="CA46" s="94"/>
      <c r="CB46" s="94"/>
      <c r="CC46" s="94"/>
      <c r="CD46" s="94"/>
      <c r="CE46" s="94"/>
      <c r="CF46" s="94"/>
      <c r="CG46" s="94"/>
      <c r="CH46" s="94"/>
      <c r="CI46" s="94"/>
      <c r="CJ46" s="94"/>
      <c r="CK46" s="126"/>
    </row>
    <row r="47" spans="29:89" ht="6" customHeight="1">
      <c r="AC47" s="105"/>
      <c r="AD47" s="93"/>
      <c r="AE47" s="94"/>
      <c r="AF47" s="94"/>
      <c r="AG47" s="94"/>
      <c r="AH47" s="94"/>
      <c r="AI47" s="94"/>
      <c r="AJ47" s="94"/>
      <c r="AK47" s="94"/>
      <c r="AL47" s="94"/>
      <c r="AM47" s="94"/>
      <c r="AN47" s="94"/>
      <c r="AO47" s="94"/>
      <c r="AP47" s="94"/>
      <c r="AQ47" s="94"/>
      <c r="AR47" s="94"/>
      <c r="AS47" s="94"/>
      <c r="AT47" s="94"/>
      <c r="AU47" s="94"/>
      <c r="AV47" s="94"/>
      <c r="AW47" s="94"/>
      <c r="AX47" s="94"/>
      <c r="AY47" s="94"/>
      <c r="AZ47" s="94"/>
      <c r="BA47" s="94"/>
      <c r="BB47" s="94"/>
      <c r="BC47" s="94"/>
      <c r="BD47" s="94"/>
      <c r="BE47" s="94"/>
      <c r="BF47" s="94"/>
      <c r="BG47" s="94"/>
      <c r="BH47" s="94"/>
      <c r="BI47" s="94"/>
      <c r="BJ47" s="94"/>
      <c r="BK47" s="94"/>
      <c r="BL47" s="94"/>
      <c r="BM47" s="94"/>
      <c r="BN47" s="94"/>
      <c r="BO47" s="94"/>
      <c r="BP47" s="94"/>
      <c r="BQ47" s="94"/>
      <c r="BR47" s="94"/>
      <c r="BS47" s="94"/>
      <c r="BT47" s="94"/>
      <c r="BU47" s="94"/>
      <c r="BV47" s="94"/>
      <c r="BW47" s="94"/>
      <c r="BX47" s="94"/>
      <c r="BY47" s="94"/>
      <c r="BZ47" s="94"/>
      <c r="CA47" s="94"/>
      <c r="CB47" s="94"/>
      <c r="CC47" s="94"/>
      <c r="CD47" s="94"/>
      <c r="CE47" s="94"/>
      <c r="CF47" s="94"/>
      <c r="CG47" s="94"/>
      <c r="CH47" s="94"/>
      <c r="CI47" s="94"/>
      <c r="CJ47" s="94"/>
      <c r="CK47" s="126"/>
    </row>
    <row r="48" spans="29:89" ht="23" customHeight="1">
      <c r="AC48" s="105"/>
      <c r="AD48" s="93"/>
      <c r="AE48" s="94"/>
      <c r="AF48" s="94"/>
      <c r="AG48" s="94"/>
      <c r="AH48" s="94"/>
      <c r="AI48" s="94"/>
      <c r="AJ48" s="94"/>
      <c r="AK48" s="94"/>
      <c r="AL48" s="94"/>
      <c r="AM48" s="94"/>
      <c r="AN48" s="94"/>
      <c r="AO48" s="94"/>
      <c r="AP48" s="94"/>
      <c r="AQ48" s="94"/>
      <c r="AR48" s="311" t="str">
        <f>'Para imprimir'!AU3</f>
        <v xml:space="preserve">WOTZBELI EUGENIO LIMATUJ IXCARAGUA </v>
      </c>
      <c r="AS48" s="311"/>
      <c r="AT48" s="311"/>
      <c r="AU48" s="311"/>
      <c r="AV48" s="311"/>
      <c r="AW48" s="311"/>
      <c r="AX48" s="311"/>
      <c r="AY48" s="311"/>
      <c r="AZ48" s="311"/>
      <c r="BA48" s="311"/>
      <c r="BB48" s="311"/>
      <c r="BC48" s="311"/>
      <c r="BD48" s="311"/>
      <c r="BE48" s="311"/>
      <c r="BF48" s="311"/>
      <c r="BG48" s="311"/>
      <c r="BH48" s="311"/>
      <c r="BI48" s="311"/>
      <c r="BJ48" s="311"/>
      <c r="BK48" s="311"/>
      <c r="BL48" s="311"/>
      <c r="BM48" s="311"/>
      <c r="BN48" s="311"/>
      <c r="BO48" s="311"/>
      <c r="BP48" s="311"/>
      <c r="BQ48" s="311"/>
      <c r="BR48" s="311"/>
      <c r="BS48" s="311"/>
      <c r="BT48" s="311"/>
      <c r="BU48" s="311"/>
      <c r="BV48" s="311"/>
      <c r="BW48" s="311"/>
      <c r="BX48" s="311"/>
      <c r="BY48" s="311"/>
      <c r="BZ48" s="311"/>
      <c r="CA48" s="311"/>
      <c r="CB48" s="311"/>
      <c r="CC48" s="311"/>
      <c r="CD48" s="311"/>
      <c r="CE48" s="311"/>
      <c r="CF48" s="311"/>
      <c r="CG48" s="311"/>
      <c r="CH48" s="132"/>
      <c r="CI48" s="94"/>
      <c r="CJ48" s="94"/>
      <c r="CK48" s="127" t="s">
        <v>4373</v>
      </c>
    </row>
    <row r="49" spans="29:90" ht="18" customHeight="1">
      <c r="AC49" s="105"/>
      <c r="AD49" s="93"/>
      <c r="AE49" s="94"/>
      <c r="AF49" s="94"/>
      <c r="AG49" s="94"/>
      <c r="AH49" s="94"/>
      <c r="AI49" s="94"/>
      <c r="AJ49" s="94"/>
      <c r="AK49" s="94"/>
      <c r="AL49" s="94"/>
      <c r="AM49" s="94"/>
      <c r="AN49" s="94"/>
      <c r="AO49" s="94"/>
      <c r="AP49" s="94"/>
      <c r="AQ49" s="94"/>
      <c r="AR49" s="94"/>
      <c r="AS49" s="94"/>
      <c r="AT49" s="94"/>
      <c r="AU49" s="94"/>
      <c r="AV49" s="94"/>
      <c r="AW49" s="94"/>
      <c r="AX49" s="94"/>
      <c r="AY49" s="94"/>
      <c r="AZ49" s="94"/>
      <c r="BA49" s="94"/>
      <c r="BB49" s="94"/>
      <c r="BC49" s="94"/>
      <c r="BD49" s="94"/>
      <c r="BE49" s="94"/>
      <c r="BF49" s="323">
        <f>'Para imprimir'!AV3</f>
        <v>2834.32</v>
      </c>
      <c r="BG49" s="323"/>
      <c r="BH49" s="323"/>
      <c r="BI49" s="323"/>
      <c r="BJ49" s="323"/>
      <c r="BK49" s="323"/>
      <c r="BL49" s="94"/>
      <c r="BM49" s="94"/>
      <c r="BN49" s="94"/>
      <c r="BO49" s="94"/>
      <c r="BP49" s="94"/>
      <c r="BQ49" s="94"/>
      <c r="BR49" s="94"/>
      <c r="BS49" s="94"/>
      <c r="BT49" s="94"/>
      <c r="BU49" s="94"/>
      <c r="BV49" s="94"/>
      <c r="BW49" s="311">
        <f>'Para imprimir'!AW3</f>
        <v>852682</v>
      </c>
      <c r="BX49" s="311"/>
      <c r="BY49" s="311"/>
      <c r="BZ49" s="311"/>
      <c r="CA49" s="311"/>
      <c r="CB49" s="311"/>
      <c r="CC49" s="311"/>
      <c r="CD49" s="311"/>
      <c r="CE49" s="311"/>
      <c r="CF49" s="311"/>
      <c r="CG49" s="311"/>
      <c r="CH49" s="132"/>
      <c r="CI49" s="94"/>
      <c r="CJ49" s="94"/>
      <c r="CK49" s="126"/>
    </row>
    <row r="50" spans="29:90" ht="18.5" customHeight="1">
      <c r="AC50" s="105"/>
      <c r="AD50" s="93"/>
      <c r="AE50" s="94"/>
      <c r="AF50" s="94"/>
      <c r="AG50" s="94"/>
      <c r="AH50" s="94"/>
      <c r="AI50" s="94"/>
      <c r="AJ50" s="94"/>
      <c r="AK50" s="94"/>
      <c r="AL50" s="94"/>
      <c r="AM50" s="94"/>
      <c r="AN50" s="94"/>
      <c r="AO50" s="94"/>
      <c r="AP50" s="94"/>
      <c r="AQ50" s="94"/>
      <c r="AR50" s="94"/>
      <c r="AS50" s="94"/>
      <c r="AT50" s="94"/>
      <c r="AU50" s="94"/>
      <c r="AV50" s="94"/>
      <c r="AW50" s="94"/>
      <c r="AX50" s="94"/>
      <c r="AY50" s="94"/>
      <c r="AZ50" s="94"/>
      <c r="BA50" s="94"/>
      <c r="BB50" s="94"/>
      <c r="BC50" s="94"/>
      <c r="BD50" s="94"/>
      <c r="BE50" s="94"/>
      <c r="BF50" s="94"/>
      <c r="BG50" s="94"/>
      <c r="BH50" s="94"/>
      <c r="BI50" s="94"/>
      <c r="BJ50" s="94"/>
      <c r="BK50" s="94"/>
      <c r="BL50" s="94"/>
      <c r="BM50" s="94"/>
      <c r="BN50" s="321">
        <f>'Para imprimir'!AX3</f>
        <v>31.25</v>
      </c>
      <c r="BO50" s="310"/>
      <c r="BP50" s="310"/>
      <c r="BQ50" s="310"/>
      <c r="BR50" s="310"/>
      <c r="BS50" s="310"/>
      <c r="BT50" s="310"/>
      <c r="BU50" s="310"/>
      <c r="BV50" s="310"/>
      <c r="BW50" s="310"/>
      <c r="BX50" s="94"/>
      <c r="BY50" s="94"/>
      <c r="BZ50" s="94"/>
      <c r="CA50" s="94"/>
      <c r="CB50" s="94"/>
      <c r="CC50" s="94"/>
      <c r="CD50" s="94"/>
      <c r="CE50" s="94"/>
      <c r="CF50" s="94"/>
      <c r="CG50" s="94"/>
      <c r="CH50" s="94"/>
      <c r="CI50" s="94"/>
      <c r="CJ50" s="94"/>
      <c r="CK50" s="126"/>
    </row>
    <row r="51" spans="29:90" ht="23" customHeight="1">
      <c r="AC51" s="105"/>
      <c r="AD51" s="93"/>
      <c r="AE51" s="94"/>
      <c r="AF51" s="94"/>
      <c r="AG51" s="94"/>
      <c r="AH51" s="325">
        <f>'Para imprimir'!AY3</f>
        <v>852684</v>
      </c>
      <c r="AI51" s="326"/>
      <c r="AJ51" s="326"/>
      <c r="AK51" s="326"/>
      <c r="AL51" s="326"/>
      <c r="AM51" s="326"/>
      <c r="AN51" s="94"/>
      <c r="AO51" s="94"/>
      <c r="AP51" s="94"/>
      <c r="AQ51" s="94"/>
      <c r="AR51" s="94"/>
      <c r="AS51" s="94"/>
      <c r="AT51" s="94"/>
      <c r="AU51" s="94"/>
      <c r="AV51" s="94"/>
      <c r="AW51" s="94"/>
      <c r="AX51" s="94"/>
      <c r="AY51" s="94"/>
      <c r="AZ51" s="94"/>
      <c r="BA51" s="94"/>
      <c r="BB51" s="94"/>
      <c r="BC51" s="94"/>
      <c r="BD51" s="94"/>
      <c r="BE51" s="94"/>
      <c r="BF51" s="311" t="str">
        <f>'Para imprimir'!AZ3</f>
        <v>CONSTRUCCION</v>
      </c>
      <c r="BG51" s="311"/>
      <c r="BH51" s="311"/>
      <c r="BI51" s="311"/>
      <c r="BJ51" s="311"/>
      <c r="BK51" s="311"/>
      <c r="BL51" s="311"/>
      <c r="BM51" s="311"/>
      <c r="BN51" s="311"/>
      <c r="BO51" s="311"/>
      <c r="BP51" s="311"/>
      <c r="BQ51" s="311"/>
      <c r="BR51" s="311"/>
      <c r="BS51" s="311"/>
      <c r="BT51" s="311"/>
      <c r="BU51" s="311"/>
      <c r="BV51" s="311"/>
      <c r="BW51" s="311"/>
      <c r="BX51" s="311"/>
      <c r="BY51" s="311"/>
      <c r="BZ51" s="311"/>
      <c r="CA51" s="311"/>
      <c r="CB51" s="311"/>
      <c r="CC51" s="311"/>
      <c r="CD51" s="311"/>
      <c r="CE51" s="311"/>
      <c r="CF51" s="311"/>
      <c r="CG51" s="311"/>
      <c r="CH51" s="132"/>
      <c r="CI51" s="94"/>
      <c r="CJ51" s="94"/>
      <c r="CK51" s="127" t="s">
        <v>3863</v>
      </c>
    </row>
    <row r="52" spans="29:90" ht="14" customHeight="1">
      <c r="AC52" s="105"/>
      <c r="AD52" s="93"/>
      <c r="AE52" s="94"/>
      <c r="AF52" s="94"/>
      <c r="AG52" s="94"/>
      <c r="AH52" s="94"/>
      <c r="AI52" s="94"/>
      <c r="AJ52" s="94"/>
      <c r="AK52" s="94"/>
      <c r="AL52" s="94"/>
      <c r="AM52" s="94"/>
      <c r="AN52" s="94"/>
      <c r="AO52" s="94"/>
      <c r="AP52" s="94"/>
      <c r="AQ52" s="94"/>
      <c r="AR52" s="94"/>
      <c r="AS52" s="94"/>
      <c r="AT52" s="94"/>
      <c r="AU52" s="94"/>
      <c r="AV52" s="94"/>
      <c r="AW52" s="94"/>
      <c r="AX52" s="94"/>
      <c r="AY52" s="94"/>
      <c r="AZ52" s="94"/>
      <c r="BA52" s="94"/>
      <c r="BB52" s="94"/>
      <c r="BC52" s="94"/>
      <c r="BD52" s="94"/>
      <c r="BE52" s="94"/>
      <c r="BF52" s="94"/>
      <c r="BG52" s="94"/>
      <c r="BH52" s="94"/>
      <c r="BI52" s="94"/>
      <c r="BJ52" s="94"/>
      <c r="BK52" s="94"/>
      <c r="BL52" s="94"/>
      <c r="BM52" s="94"/>
      <c r="BN52" s="94"/>
      <c r="BO52" s="94"/>
      <c r="BP52" s="94"/>
      <c r="BQ52" s="94"/>
      <c r="BR52" s="94"/>
      <c r="BS52" s="94"/>
      <c r="BT52" s="94"/>
      <c r="BU52" s="94"/>
      <c r="BV52" s="94"/>
      <c r="BW52" s="94"/>
      <c r="BX52" s="94"/>
      <c r="BY52" s="94"/>
      <c r="BZ52" s="94"/>
      <c r="CA52" s="94"/>
      <c r="CB52" s="94"/>
      <c r="CC52" s="94"/>
      <c r="CD52" s="94"/>
      <c r="CE52" s="94"/>
      <c r="CF52" s="94"/>
      <c r="CG52" s="94"/>
      <c r="CH52" s="94"/>
      <c r="CI52" s="94"/>
      <c r="CJ52" s="94"/>
      <c r="CK52" s="126"/>
    </row>
    <row r="53" spans="29:90" ht="7" customHeight="1">
      <c r="AC53" s="105"/>
      <c r="AD53" s="93"/>
      <c r="AE53" s="94"/>
      <c r="AF53" s="94"/>
      <c r="AG53" s="94"/>
      <c r="AH53" s="94"/>
      <c r="AI53" s="94"/>
      <c r="AJ53" s="94"/>
      <c r="AK53" s="94"/>
      <c r="AL53" s="94"/>
      <c r="AM53" s="94"/>
      <c r="AN53" s="94"/>
      <c r="AO53" s="94"/>
      <c r="AP53" s="94"/>
      <c r="AQ53" s="94"/>
      <c r="AR53" s="94"/>
      <c r="AS53" s="94"/>
      <c r="AT53" s="94"/>
      <c r="AU53" s="94"/>
      <c r="AV53" s="94"/>
      <c r="AW53" s="94"/>
      <c r="AX53" s="94"/>
      <c r="AY53" s="94"/>
      <c r="AZ53" s="94"/>
      <c r="BA53" s="94"/>
      <c r="BB53" s="94"/>
      <c r="BC53" s="94"/>
      <c r="BD53" s="94"/>
      <c r="BE53" s="94"/>
      <c r="BF53" s="94"/>
      <c r="BG53" s="94"/>
      <c r="BH53" s="94"/>
      <c r="BI53" s="94"/>
      <c r="BJ53" s="94"/>
      <c r="BK53" s="94"/>
      <c r="BL53" s="94"/>
      <c r="BM53" s="94"/>
      <c r="BN53" s="94"/>
      <c r="BO53" s="94"/>
      <c r="BP53" s="94"/>
      <c r="BQ53" s="94"/>
      <c r="BR53" s="94"/>
      <c r="BS53" s="94"/>
      <c r="BT53" s="94"/>
      <c r="BU53" s="94"/>
      <c r="BV53" s="94"/>
      <c r="BW53" s="94"/>
      <c r="BX53" s="94"/>
      <c r="BY53" s="94"/>
      <c r="BZ53" s="94"/>
      <c r="CA53" s="94"/>
      <c r="CB53" s="94"/>
      <c r="CC53" s="94"/>
      <c r="CD53" s="94"/>
      <c r="CE53" s="94"/>
      <c r="CF53" s="94"/>
      <c r="CG53" s="94"/>
      <c r="CH53" s="94"/>
      <c r="CI53" s="94"/>
      <c r="CJ53" s="94"/>
      <c r="CK53" s="127" t="s">
        <v>4635</v>
      </c>
    </row>
    <row r="54" spans="29:90" ht="25" customHeight="1">
      <c r="AC54" s="105"/>
      <c r="AD54" s="93"/>
      <c r="AE54" s="94"/>
      <c r="AF54" s="94"/>
      <c r="AG54" s="94"/>
      <c r="AH54" s="94"/>
      <c r="AI54" s="94"/>
      <c r="AJ54" s="94"/>
      <c r="AK54" s="94"/>
      <c r="AL54" s="311" t="str">
        <f>'Para imprimir'!BA3</f>
        <v>L23-258-RL001</v>
      </c>
      <c r="AM54" s="311"/>
      <c r="AN54" s="311"/>
      <c r="AO54" s="311"/>
      <c r="AP54" s="311"/>
      <c r="AQ54" s="311"/>
      <c r="AR54" s="311"/>
      <c r="AS54" s="311"/>
      <c r="AT54" s="311"/>
      <c r="AU54" s="311"/>
      <c r="AV54" s="311"/>
      <c r="AW54" s="94"/>
      <c r="AX54" s="94"/>
      <c r="AY54" s="94"/>
      <c r="AZ54" s="94"/>
      <c r="BA54" s="94"/>
      <c r="BB54" s="94"/>
      <c r="BC54" s="94"/>
      <c r="BD54" s="94"/>
      <c r="BE54" s="94"/>
      <c r="BF54" s="94"/>
      <c r="BG54" s="94"/>
      <c r="BH54" s="94"/>
      <c r="BI54" s="94"/>
      <c r="BJ54" s="94"/>
      <c r="BK54" s="94"/>
      <c r="BL54" s="94"/>
      <c r="BM54" s="94"/>
      <c r="BN54" s="94"/>
      <c r="BO54" s="94"/>
      <c r="BP54" s="94"/>
      <c r="BQ54" s="94"/>
      <c r="BR54" s="94"/>
      <c r="BS54" s="94"/>
      <c r="BT54" s="310">
        <f>'Para imprimir'!BB3</f>
        <v>0</v>
      </c>
      <c r="BU54" s="311"/>
      <c r="BV54" s="311"/>
      <c r="BW54" s="311"/>
      <c r="BX54" s="311"/>
      <c r="BY54" s="311"/>
      <c r="BZ54" s="311"/>
      <c r="CA54" s="311"/>
      <c r="CB54" s="311"/>
      <c r="CC54" s="311"/>
      <c r="CD54" s="311"/>
      <c r="CE54" s="311"/>
      <c r="CF54" s="311"/>
      <c r="CG54" s="311"/>
      <c r="CH54" s="94"/>
      <c r="CI54" s="94"/>
      <c r="CJ54" s="94"/>
      <c r="CK54" s="126"/>
    </row>
    <row r="55" spans="29:90" ht="17.25" customHeight="1">
      <c r="AC55" s="105"/>
      <c r="AD55" s="93"/>
      <c r="AE55" s="94"/>
      <c r="AF55" s="94"/>
      <c r="AG55" s="94"/>
      <c r="AH55" s="94"/>
      <c r="AI55" s="94"/>
      <c r="AJ55" s="94"/>
      <c r="AK55" s="94"/>
      <c r="AL55" s="94"/>
      <c r="AM55" s="94"/>
      <c r="AN55" s="94"/>
      <c r="AO55" s="94"/>
      <c r="AP55" s="327">
        <f>'Para imprimir'!BC3</f>
        <v>45044</v>
      </c>
      <c r="AQ55" s="311"/>
      <c r="AR55" s="311"/>
      <c r="AS55" s="311"/>
      <c r="AT55" s="311"/>
      <c r="AU55" s="311"/>
      <c r="AV55" s="311"/>
      <c r="AW55" s="311"/>
      <c r="AX55" s="311"/>
      <c r="AY55" s="311"/>
      <c r="AZ55" s="311"/>
      <c r="BA55" s="311"/>
      <c r="BB55" s="311"/>
      <c r="BC55" s="311"/>
      <c r="BD55" s="94"/>
      <c r="BE55" s="94"/>
      <c r="BF55" s="94"/>
      <c r="BG55" s="94"/>
      <c r="BH55" s="94"/>
      <c r="BI55" s="94"/>
      <c r="BJ55" s="94"/>
      <c r="BK55" s="94"/>
      <c r="BL55" s="94"/>
      <c r="BM55" s="327">
        <f>'Para imprimir'!BD3</f>
        <v>45044</v>
      </c>
      <c r="BN55" s="311"/>
      <c r="BO55" s="311"/>
      <c r="BP55" s="311"/>
      <c r="BQ55" s="311"/>
      <c r="BR55" s="311"/>
      <c r="BS55" s="311"/>
      <c r="BT55" s="311"/>
      <c r="BU55" s="311"/>
      <c r="BV55" s="311"/>
      <c r="BW55" s="311"/>
      <c r="BX55" s="311"/>
      <c r="BY55" s="311"/>
      <c r="BZ55" s="311"/>
      <c r="CA55" s="311"/>
      <c r="CB55" s="311"/>
      <c r="CC55" s="311"/>
      <c r="CD55" s="311"/>
      <c r="CE55" s="311"/>
      <c r="CF55" s="311"/>
      <c r="CG55" s="311"/>
      <c r="CH55" s="132"/>
      <c r="CI55" s="94"/>
      <c r="CJ55" s="94"/>
      <c r="CK55" s="126"/>
    </row>
    <row r="56" spans="29:90" ht="12" customHeight="1">
      <c r="AC56" s="105"/>
      <c r="AD56" s="93"/>
      <c r="AE56" s="94"/>
      <c r="AF56" s="94"/>
      <c r="AG56" s="94"/>
      <c r="AH56" s="94"/>
      <c r="AI56" s="94"/>
      <c r="AJ56" s="94"/>
      <c r="AK56" s="94"/>
      <c r="AL56" s="94"/>
      <c r="AM56" s="312"/>
      <c r="AN56" s="312"/>
      <c r="AO56" s="312"/>
      <c r="AP56" s="312"/>
      <c r="AQ56" s="312"/>
      <c r="AR56" s="312"/>
      <c r="AS56" s="312"/>
      <c r="AT56" s="312"/>
      <c r="AU56" s="312"/>
      <c r="AV56" s="312"/>
      <c r="AW56" s="312"/>
      <c r="AX56" s="312"/>
      <c r="AY56" s="312"/>
      <c r="AZ56" s="312"/>
      <c r="BA56" s="312"/>
      <c r="BB56" s="312"/>
      <c r="BC56" s="312"/>
      <c r="BD56" s="312"/>
      <c r="BE56" s="312"/>
      <c r="BF56" s="312"/>
      <c r="BG56" s="312"/>
      <c r="BH56" s="312"/>
      <c r="BI56" s="312"/>
      <c r="BJ56" s="312"/>
      <c r="BK56" s="312"/>
      <c r="BL56" s="312"/>
      <c r="BM56" s="312"/>
      <c r="BN56" s="312"/>
      <c r="BO56" s="312"/>
      <c r="BP56" s="312"/>
      <c r="BQ56" s="312"/>
      <c r="BR56" s="312"/>
      <c r="BS56" s="312"/>
      <c r="BT56" s="312"/>
      <c r="BU56" s="312"/>
      <c r="BV56" s="312"/>
      <c r="BW56" s="312"/>
      <c r="BX56" s="312"/>
      <c r="BY56" s="312"/>
      <c r="BZ56" s="312"/>
      <c r="CA56" s="312"/>
      <c r="CB56" s="312"/>
      <c r="CC56" s="312"/>
      <c r="CD56" s="312"/>
      <c r="CE56" s="312"/>
      <c r="CF56" s="312"/>
      <c r="CG56" s="312"/>
      <c r="CH56" s="94"/>
      <c r="CI56" s="94"/>
      <c r="CJ56" s="94"/>
      <c r="CK56" s="126"/>
    </row>
    <row r="57" spans="29:90" ht="14" customHeight="1">
      <c r="AC57" s="105"/>
      <c r="AD57" s="93"/>
      <c r="AE57" s="94"/>
      <c r="AF57" s="141"/>
      <c r="AG57" s="141"/>
      <c r="AH57" s="141"/>
      <c r="AI57" s="141"/>
      <c r="AJ57" s="141"/>
      <c r="AK57" s="141"/>
      <c r="AL57" s="141"/>
      <c r="AM57" s="141"/>
      <c r="AN57" s="141"/>
      <c r="AO57" s="141"/>
      <c r="AP57" s="141"/>
      <c r="AQ57" s="141"/>
      <c r="AR57" s="141"/>
      <c r="AS57" s="141"/>
      <c r="AT57" s="141"/>
      <c r="AU57" s="141"/>
      <c r="AV57" s="141"/>
      <c r="AW57" s="141"/>
      <c r="AX57" s="314" t="s">
        <v>733</v>
      </c>
      <c r="AY57" s="314"/>
      <c r="AZ57" s="314"/>
      <c r="BA57" s="314"/>
      <c r="BB57" s="314"/>
      <c r="BC57" s="314"/>
      <c r="BD57" s="314"/>
      <c r="BE57" s="314"/>
      <c r="BF57" s="314"/>
      <c r="BG57" s="314"/>
      <c r="BH57" s="314"/>
      <c r="BI57" s="314"/>
      <c r="BJ57" s="314"/>
      <c r="BK57" s="314"/>
      <c r="BL57" s="314"/>
      <c r="BM57" s="314"/>
      <c r="BN57" s="314"/>
      <c r="BO57" s="314"/>
      <c r="BP57" s="314"/>
      <c r="BQ57" s="314"/>
      <c r="BR57" s="314"/>
      <c r="BS57" s="313">
        <f>'Para imprimir'!BE3</f>
        <v>560959.5</v>
      </c>
      <c r="BT57" s="313"/>
      <c r="BU57" s="313"/>
      <c r="BV57" s="313"/>
      <c r="BW57" s="313"/>
      <c r="BX57" s="313"/>
      <c r="BY57" s="313"/>
      <c r="BZ57" s="313"/>
      <c r="CA57" s="313"/>
      <c r="CB57" s="313"/>
      <c r="CC57" s="313"/>
      <c r="CD57" s="313"/>
      <c r="CE57" s="313"/>
      <c r="CF57" s="313"/>
      <c r="CG57" s="141"/>
      <c r="CH57" s="94"/>
      <c r="CI57" s="94"/>
      <c r="CJ57" s="94"/>
      <c r="CK57" s="126"/>
    </row>
    <row r="58" spans="29:90" ht="20" customHeight="1">
      <c r="AC58" s="105"/>
      <c r="AD58" s="93"/>
      <c r="AE58" s="320" t="s">
        <v>4410</v>
      </c>
      <c r="AF58" s="320"/>
      <c r="AG58" s="320"/>
      <c r="AH58" s="320"/>
      <c r="AI58" s="320"/>
      <c r="AJ58" s="320"/>
      <c r="AK58" s="320"/>
      <c r="AL58" s="320"/>
      <c r="AM58" s="320"/>
      <c r="AN58" s="320"/>
      <c r="AO58" s="320"/>
      <c r="AP58" s="320"/>
      <c r="AQ58" s="320"/>
      <c r="AR58" s="320"/>
      <c r="AS58" s="320"/>
      <c r="AT58" s="320"/>
      <c r="AU58" s="320"/>
      <c r="AV58" s="320"/>
      <c r="AW58" s="320"/>
      <c r="AX58" s="320"/>
      <c r="AY58" s="320"/>
      <c r="AZ58" s="320"/>
      <c r="BA58" s="320"/>
      <c r="BB58" s="320"/>
      <c r="BC58" s="320"/>
      <c r="BD58" s="320"/>
      <c r="BE58" s="320"/>
      <c r="BF58" s="320"/>
      <c r="BG58" s="320"/>
      <c r="BH58" s="320"/>
      <c r="BI58" s="320"/>
      <c r="BJ58" s="320"/>
      <c r="BK58" s="320"/>
      <c r="BL58" s="320"/>
      <c r="BM58" s="320"/>
      <c r="BN58" s="320"/>
      <c r="BO58" s="320"/>
      <c r="BP58" s="320"/>
      <c r="BQ58" s="320"/>
      <c r="BR58" s="320"/>
      <c r="BS58" s="320"/>
      <c r="BT58" s="320"/>
      <c r="BU58" s="320"/>
      <c r="BV58" s="320"/>
      <c r="BW58" s="320"/>
      <c r="BX58" s="320"/>
      <c r="BY58" s="320"/>
      <c r="BZ58" s="320"/>
      <c r="CA58" s="320"/>
      <c r="CB58" s="320"/>
      <c r="CC58" s="320"/>
      <c r="CD58" s="320"/>
      <c r="CE58" s="320"/>
      <c r="CF58" s="320"/>
      <c r="CG58" s="320"/>
      <c r="CH58" s="320"/>
      <c r="CI58" s="94"/>
      <c r="CJ58" s="94"/>
      <c r="CK58" s="126"/>
    </row>
    <row r="59" spans="29:90" ht="19.5" customHeight="1">
      <c r="AC59" s="105"/>
      <c r="AD59" s="93"/>
      <c r="AE59" s="320"/>
      <c r="AF59" s="320"/>
      <c r="AG59" s="320"/>
      <c r="AH59" s="320"/>
      <c r="AI59" s="320"/>
      <c r="AJ59" s="320"/>
      <c r="AK59" s="320"/>
      <c r="AL59" s="320"/>
      <c r="AM59" s="320"/>
      <c r="AN59" s="320"/>
      <c r="AO59" s="320"/>
      <c r="AP59" s="320"/>
      <c r="AQ59" s="320"/>
      <c r="AR59" s="320"/>
      <c r="AS59" s="320"/>
      <c r="AT59" s="320"/>
      <c r="AU59" s="320"/>
      <c r="AV59" s="320"/>
      <c r="AW59" s="320"/>
      <c r="AX59" s="320"/>
      <c r="AY59" s="320"/>
      <c r="AZ59" s="320"/>
      <c r="BA59" s="320"/>
      <c r="BB59" s="320"/>
      <c r="BC59" s="320"/>
      <c r="BD59" s="320"/>
      <c r="BE59" s="320"/>
      <c r="BF59" s="320"/>
      <c r="BG59" s="320"/>
      <c r="BH59" s="320"/>
      <c r="BI59" s="320"/>
      <c r="BJ59" s="320"/>
      <c r="BK59" s="320"/>
      <c r="BL59" s="320"/>
      <c r="BM59" s="320"/>
      <c r="BN59" s="320"/>
      <c r="BO59" s="320"/>
      <c r="BP59" s="320"/>
      <c r="BQ59" s="320"/>
      <c r="BR59" s="320"/>
      <c r="BS59" s="320"/>
      <c r="BT59" s="320"/>
      <c r="BU59" s="320"/>
      <c r="BV59" s="320"/>
      <c r="BW59" s="320"/>
      <c r="BX59" s="320"/>
      <c r="BY59" s="320"/>
      <c r="BZ59" s="320"/>
      <c r="CA59" s="320"/>
      <c r="CB59" s="320"/>
      <c r="CC59" s="320"/>
      <c r="CD59" s="320"/>
      <c r="CE59" s="320"/>
      <c r="CF59" s="320"/>
      <c r="CG59" s="320"/>
      <c r="CH59" s="320"/>
      <c r="CI59" s="94"/>
      <c r="CJ59" s="94"/>
      <c r="CK59" s="126"/>
    </row>
    <row r="60" spans="29:90" ht="11" customHeight="1">
      <c r="AC60" s="105"/>
      <c r="AD60" s="93"/>
      <c r="AE60" s="320"/>
      <c r="AF60" s="320"/>
      <c r="AG60" s="320"/>
      <c r="AH60" s="320"/>
      <c r="AI60" s="320"/>
      <c r="AJ60" s="320"/>
      <c r="AK60" s="320"/>
      <c r="AL60" s="320"/>
      <c r="AM60" s="320"/>
      <c r="AN60" s="320"/>
      <c r="AO60" s="320"/>
      <c r="AP60" s="320"/>
      <c r="AQ60" s="320"/>
      <c r="AR60" s="320"/>
      <c r="AS60" s="320"/>
      <c r="AT60" s="320"/>
      <c r="AU60" s="320"/>
      <c r="AV60" s="320"/>
      <c r="AW60" s="320"/>
      <c r="AX60" s="320"/>
      <c r="AY60" s="320"/>
      <c r="AZ60" s="320"/>
      <c r="BA60" s="320"/>
      <c r="BB60" s="320"/>
      <c r="BC60" s="320"/>
      <c r="BD60" s="320"/>
      <c r="BE60" s="320"/>
      <c r="BF60" s="320"/>
      <c r="BG60" s="320"/>
      <c r="BH60" s="320"/>
      <c r="BI60" s="320"/>
      <c r="BJ60" s="320"/>
      <c r="BK60" s="320"/>
      <c r="BL60" s="320"/>
      <c r="BM60" s="320"/>
      <c r="BN60" s="320"/>
      <c r="BO60" s="320"/>
      <c r="BP60" s="320"/>
      <c r="BQ60" s="320"/>
      <c r="BR60" s="320"/>
      <c r="BS60" s="320"/>
      <c r="BT60" s="320"/>
      <c r="BU60" s="320"/>
      <c r="BV60" s="320"/>
      <c r="BW60" s="320"/>
      <c r="BX60" s="320"/>
      <c r="BY60" s="320"/>
      <c r="BZ60" s="320"/>
      <c r="CA60" s="320"/>
      <c r="CB60" s="320"/>
      <c r="CC60" s="320"/>
      <c r="CD60" s="320"/>
      <c r="CE60" s="320"/>
      <c r="CF60" s="320"/>
      <c r="CG60" s="320"/>
      <c r="CH60" s="320"/>
      <c r="CI60" s="94"/>
      <c r="CJ60" s="94"/>
      <c r="CK60" s="126"/>
    </row>
    <row r="61" spans="29:90" ht="12" customHeight="1">
      <c r="AC61" s="105"/>
      <c r="AD61" s="93"/>
      <c r="AE61" s="320"/>
      <c r="AF61" s="320"/>
      <c r="AG61" s="320"/>
      <c r="AH61" s="320"/>
      <c r="AI61" s="320"/>
      <c r="AJ61" s="320"/>
      <c r="AK61" s="320"/>
      <c r="AL61" s="320"/>
      <c r="AM61" s="320"/>
      <c r="AN61" s="320"/>
      <c r="AO61" s="320"/>
      <c r="AP61" s="320"/>
      <c r="AQ61" s="320"/>
      <c r="AR61" s="320"/>
      <c r="AS61" s="320"/>
      <c r="AT61" s="320"/>
      <c r="AU61" s="320"/>
      <c r="AV61" s="320"/>
      <c r="AW61" s="320"/>
      <c r="AX61" s="320"/>
      <c r="AY61" s="320"/>
      <c r="AZ61" s="320"/>
      <c r="BA61" s="320"/>
      <c r="BB61" s="320"/>
      <c r="BC61" s="320"/>
      <c r="BD61" s="320"/>
      <c r="BE61" s="320"/>
      <c r="BF61" s="320"/>
      <c r="BG61" s="320"/>
      <c r="BH61" s="320"/>
      <c r="BI61" s="320"/>
      <c r="BJ61" s="320"/>
      <c r="BK61" s="320"/>
      <c r="BL61" s="320"/>
      <c r="BM61" s="320"/>
      <c r="BN61" s="320"/>
      <c r="BO61" s="320"/>
      <c r="BP61" s="320"/>
      <c r="BQ61" s="320"/>
      <c r="BR61" s="320"/>
      <c r="BS61" s="320"/>
      <c r="BT61" s="320"/>
      <c r="BU61" s="320"/>
      <c r="BV61" s="320"/>
      <c r="BW61" s="320"/>
      <c r="BX61" s="320"/>
      <c r="BY61" s="320"/>
      <c r="BZ61" s="320"/>
      <c r="CA61" s="320"/>
      <c r="CB61" s="320"/>
      <c r="CC61" s="320"/>
      <c r="CD61" s="320"/>
      <c r="CE61" s="320"/>
      <c r="CF61" s="320"/>
      <c r="CG61" s="320"/>
      <c r="CH61" s="320"/>
      <c r="CI61" s="94"/>
      <c r="CJ61" s="94"/>
      <c r="CK61" s="126"/>
    </row>
    <row r="62" spans="29:90" ht="14" customHeight="1">
      <c r="AC62" s="105"/>
      <c r="AD62" s="93"/>
      <c r="AE62" s="320"/>
      <c r="AF62" s="320"/>
      <c r="AG62" s="320"/>
      <c r="AH62" s="320"/>
      <c r="AI62" s="320"/>
      <c r="AJ62" s="320"/>
      <c r="AK62" s="320"/>
      <c r="AL62" s="320"/>
      <c r="AM62" s="320"/>
      <c r="AN62" s="320"/>
      <c r="AO62" s="320"/>
      <c r="AP62" s="320"/>
      <c r="AQ62" s="320"/>
      <c r="AR62" s="320"/>
      <c r="AS62" s="320"/>
      <c r="AT62" s="320"/>
      <c r="AU62" s="320"/>
      <c r="AV62" s="320"/>
      <c r="AW62" s="320"/>
      <c r="AX62" s="320"/>
      <c r="AY62" s="320"/>
      <c r="AZ62" s="320"/>
      <c r="BA62" s="320"/>
      <c r="BB62" s="320"/>
      <c r="BC62" s="320"/>
      <c r="BD62" s="320"/>
      <c r="BE62" s="320"/>
      <c r="BF62" s="320"/>
      <c r="BG62" s="320"/>
      <c r="BH62" s="320"/>
      <c r="BI62" s="320"/>
      <c r="BJ62" s="320"/>
      <c r="BK62" s="320"/>
      <c r="BL62" s="320"/>
      <c r="BM62" s="320"/>
      <c r="BN62" s="320"/>
      <c r="BO62" s="320"/>
      <c r="BP62" s="320"/>
      <c r="BQ62" s="320"/>
      <c r="BR62" s="320"/>
      <c r="BS62" s="320"/>
      <c r="BT62" s="320"/>
      <c r="BU62" s="320"/>
      <c r="BV62" s="320"/>
      <c r="BW62" s="320"/>
      <c r="BX62" s="320"/>
      <c r="BY62" s="320"/>
      <c r="BZ62" s="320"/>
      <c r="CA62" s="320"/>
      <c r="CB62" s="320"/>
      <c r="CC62" s="320"/>
      <c r="CD62" s="320"/>
      <c r="CE62" s="320"/>
      <c r="CF62" s="320"/>
      <c r="CG62" s="320"/>
      <c r="CH62" s="320"/>
      <c r="CI62" s="94"/>
      <c r="CJ62" s="94"/>
      <c r="CK62" s="126"/>
    </row>
    <row r="63" spans="29:90" ht="14" customHeight="1">
      <c r="AC63" s="105"/>
      <c r="AD63" s="93"/>
      <c r="AE63" s="94" t="s">
        <v>3867</v>
      </c>
      <c r="AF63" s="94"/>
      <c r="AG63" s="94"/>
      <c r="AH63" s="94"/>
      <c r="AI63" s="94"/>
      <c r="AJ63" s="94"/>
      <c r="AK63" s="94"/>
      <c r="AL63" s="94"/>
      <c r="AM63" s="94"/>
      <c r="AN63" s="94"/>
      <c r="AO63" s="94"/>
      <c r="AP63" s="94"/>
      <c r="AQ63" s="94"/>
      <c r="AR63" s="94"/>
      <c r="AS63" s="94"/>
      <c r="AT63" s="94"/>
      <c r="AU63" s="94"/>
      <c r="AV63" s="94"/>
      <c r="AW63" s="94"/>
      <c r="AX63" s="94"/>
      <c r="AY63" s="94"/>
      <c r="AZ63" s="94"/>
      <c r="BA63" s="94"/>
      <c r="BB63" s="94"/>
      <c r="BC63" s="94"/>
      <c r="BD63" s="94"/>
      <c r="BE63" s="94"/>
      <c r="BF63" s="94"/>
      <c r="BG63" s="94"/>
      <c r="BH63" s="94"/>
      <c r="BI63" s="94"/>
      <c r="BJ63" s="94"/>
      <c r="BK63" s="94"/>
      <c r="BL63" s="94"/>
      <c r="BM63" s="94"/>
      <c r="BN63" s="94"/>
      <c r="BO63" s="94"/>
      <c r="BP63" s="94"/>
      <c r="BQ63" s="94"/>
      <c r="BR63" s="94"/>
      <c r="BS63" s="94"/>
      <c r="BT63" s="94"/>
      <c r="BU63" s="94"/>
      <c r="BV63" s="94"/>
      <c r="BW63" s="94"/>
      <c r="BX63" s="94"/>
      <c r="BY63" s="94"/>
      <c r="BZ63" s="94"/>
      <c r="CA63" s="94"/>
      <c r="CB63" s="94"/>
      <c r="CC63" s="94"/>
      <c r="CD63" s="94"/>
      <c r="CE63" s="94"/>
      <c r="CF63" s="94"/>
      <c r="CG63" s="94"/>
      <c r="CH63" s="94"/>
      <c r="CI63" s="94"/>
      <c r="CJ63" s="94"/>
      <c r="CK63" s="126"/>
      <c r="CL63" s="108" t="s">
        <v>1324</v>
      </c>
    </row>
    <row r="64" spans="29:90" ht="10" customHeight="1">
      <c r="AC64" s="105"/>
      <c r="AD64" s="93"/>
      <c r="AE64" s="94" t="s">
        <v>4482</v>
      </c>
      <c r="AF64" s="94"/>
      <c r="AG64" s="94"/>
      <c r="AH64" s="94"/>
      <c r="AI64" s="94"/>
      <c r="AJ64" s="94"/>
      <c r="AK64" s="94"/>
      <c r="AL64" s="94"/>
      <c r="AM64" s="94"/>
      <c r="AN64" s="94"/>
      <c r="AO64" s="94"/>
      <c r="AP64" s="94"/>
      <c r="AQ64" s="94"/>
      <c r="AR64" s="94"/>
      <c r="AS64" s="94"/>
      <c r="AT64" s="94"/>
      <c r="AU64" s="94"/>
      <c r="AV64" s="94"/>
      <c r="AW64" s="94"/>
      <c r="AX64" s="94"/>
      <c r="AY64" s="94"/>
      <c r="AZ64" s="94"/>
      <c r="BA64" s="94"/>
      <c r="BB64" s="94"/>
      <c r="BC64" s="94"/>
      <c r="BD64" s="94"/>
      <c r="BE64" s="94"/>
      <c r="BF64" s="94"/>
      <c r="BG64" s="94"/>
      <c r="BH64" s="94"/>
      <c r="BI64" s="94"/>
      <c r="BJ64" s="94"/>
      <c r="BK64" s="94"/>
      <c r="BL64" s="94"/>
      <c r="BM64" s="94"/>
      <c r="BN64" s="94"/>
      <c r="BO64" s="94"/>
      <c r="BP64" s="94"/>
      <c r="BQ64" s="94"/>
      <c r="BR64" s="94"/>
      <c r="BS64" s="94"/>
      <c r="BT64" s="94"/>
      <c r="BU64" s="94"/>
      <c r="BV64" s="94"/>
      <c r="BW64" s="94"/>
      <c r="BX64" s="94"/>
      <c r="BY64" s="94"/>
      <c r="BZ64" s="94"/>
      <c r="CA64" s="94"/>
      <c r="CB64" s="94"/>
      <c r="CC64" s="94"/>
      <c r="CD64" s="94"/>
      <c r="CE64" s="94"/>
      <c r="CF64" s="94"/>
      <c r="CG64" s="94"/>
      <c r="CH64" s="94"/>
      <c r="CI64" s="94"/>
      <c r="CJ64" s="94"/>
      <c r="CK64" s="126"/>
    </row>
    <row r="65" spans="29:101" ht="14" customHeight="1">
      <c r="AC65" s="105"/>
      <c r="AD65" s="110"/>
      <c r="AE65" s="111"/>
      <c r="AF65" s="111"/>
      <c r="AG65" s="111"/>
      <c r="AH65" s="111"/>
      <c r="AI65" s="111"/>
      <c r="AJ65" s="111"/>
      <c r="AK65" s="111"/>
      <c r="AL65" s="111"/>
      <c r="AM65" s="111"/>
      <c r="AN65" s="111"/>
      <c r="AO65" s="111"/>
      <c r="AP65" s="111"/>
      <c r="AQ65" s="111"/>
      <c r="AR65" s="111"/>
      <c r="AS65" s="111"/>
      <c r="AT65" s="111"/>
      <c r="AU65" s="111"/>
      <c r="AV65" s="111"/>
      <c r="AW65" s="111"/>
      <c r="AX65" s="111"/>
      <c r="AY65" s="111"/>
      <c r="AZ65" s="111"/>
      <c r="BA65" s="111"/>
      <c r="BB65" s="111"/>
      <c r="BC65" s="111"/>
      <c r="BD65" s="111"/>
      <c r="BE65" s="111"/>
      <c r="BF65" s="111"/>
      <c r="BG65" s="111"/>
      <c r="BH65" s="111"/>
      <c r="BI65" s="111"/>
      <c r="BJ65" s="111"/>
      <c r="BK65" s="111"/>
      <c r="BL65" s="111"/>
      <c r="BM65" s="111"/>
      <c r="BN65" s="111"/>
      <c r="BO65" s="111"/>
      <c r="BP65" s="111"/>
      <c r="BQ65" s="111"/>
      <c r="BR65" s="111"/>
      <c r="BS65" s="111"/>
      <c r="BT65" s="111"/>
      <c r="BU65" s="111"/>
      <c r="BV65" s="111"/>
      <c r="BW65" s="111"/>
      <c r="BX65" s="111"/>
      <c r="BY65" s="111"/>
      <c r="BZ65" s="111"/>
      <c r="CA65" s="111"/>
      <c r="CB65" s="111"/>
      <c r="CC65" s="111"/>
      <c r="CD65" s="111"/>
      <c r="CE65" s="111"/>
      <c r="CF65" s="111"/>
      <c r="CG65" s="111"/>
      <c r="CH65" s="111"/>
      <c r="CI65" s="111"/>
      <c r="CJ65" s="111"/>
      <c r="CK65" s="126"/>
      <c r="CL65" s="109" t="s">
        <v>1318</v>
      </c>
    </row>
    <row r="66" spans="29:101" ht="36" customHeight="1">
      <c r="CL66" s="109" t="s">
        <v>1072</v>
      </c>
    </row>
    <row r="67" spans="29:101" ht="36" customHeight="1">
      <c r="CL67" s="109" t="s">
        <v>1946</v>
      </c>
    </row>
    <row r="68" spans="29:101" ht="36" customHeight="1">
      <c r="CL68" s="109" t="s">
        <v>2327</v>
      </c>
    </row>
    <row r="69" spans="29:101" ht="36" customHeight="1">
      <c r="CL69" s="148" t="s">
        <v>3318</v>
      </c>
    </row>
    <row r="70" spans="29:101" ht="36" customHeight="1">
      <c r="CL70" s="330" t="s">
        <v>4389</v>
      </c>
      <c r="CM70" s="330"/>
      <c r="CN70" s="330"/>
      <c r="CO70" s="330"/>
      <c r="CP70" s="330"/>
      <c r="CQ70" s="330"/>
      <c r="CR70" s="330"/>
      <c r="CS70" s="330"/>
      <c r="CT70" s="330"/>
      <c r="CU70" s="330"/>
      <c r="CV70" s="330"/>
      <c r="CW70" s="330"/>
    </row>
  </sheetData>
  <sheetProtection selectLockedCells="1"/>
  <mergeCells count="58">
    <mergeCell ref="CL70:CW70"/>
    <mergeCell ref="BV5:CJ6"/>
    <mergeCell ref="AO25:CF25"/>
    <mergeCell ref="AT26:CG26"/>
    <mergeCell ref="BZ20:CG20"/>
    <mergeCell ref="AP21:BJ21"/>
    <mergeCell ref="BZ21:CG21"/>
    <mergeCell ref="AU22:BO22"/>
    <mergeCell ref="BU22:CG22"/>
    <mergeCell ref="AP20:BJ20"/>
    <mergeCell ref="BQ20:BS20"/>
    <mergeCell ref="BR21:BS21"/>
    <mergeCell ref="AQ14:CG14"/>
    <mergeCell ref="AO18:AU18"/>
    <mergeCell ref="BD18:BJ18"/>
    <mergeCell ref="BY18:CG18"/>
    <mergeCell ref="BU8:CJ8"/>
    <mergeCell ref="BH31:BM31"/>
    <mergeCell ref="AP29:AU29"/>
    <mergeCell ref="AF27:CG27"/>
    <mergeCell ref="AN28:AU28"/>
    <mergeCell ref="BL28:BQ28"/>
    <mergeCell ref="CA31:CB31"/>
    <mergeCell ref="AQ15:CG15"/>
    <mergeCell ref="AQ16:CG16"/>
    <mergeCell ref="AK17:AU17"/>
    <mergeCell ref="BA17:BL17"/>
    <mergeCell ref="BU17:CG17"/>
    <mergeCell ref="AE58:CH62"/>
    <mergeCell ref="BU40:CD40"/>
    <mergeCell ref="BA43:BJ43"/>
    <mergeCell ref="AR48:CG48"/>
    <mergeCell ref="BF49:BK49"/>
    <mergeCell ref="BW49:CG49"/>
    <mergeCell ref="AL41:BK41"/>
    <mergeCell ref="BN50:BW50"/>
    <mergeCell ref="AH51:AM51"/>
    <mergeCell ref="BF51:CG51"/>
    <mergeCell ref="AL54:AV54"/>
    <mergeCell ref="AP55:BC55"/>
    <mergeCell ref="BM55:CG55"/>
    <mergeCell ref="AL40:BL40"/>
    <mergeCell ref="CL1:CN1"/>
    <mergeCell ref="BT54:CG54"/>
    <mergeCell ref="AM56:CG56"/>
    <mergeCell ref="BS57:CF57"/>
    <mergeCell ref="AX57:BR57"/>
    <mergeCell ref="BP37:BQ37"/>
    <mergeCell ref="BH37:BI37"/>
    <mergeCell ref="AO39:BB39"/>
    <mergeCell ref="BE39:CG39"/>
    <mergeCell ref="BA35:BI35"/>
    <mergeCell ref="BP35:CG35"/>
    <mergeCell ref="BF29:BK29"/>
    <mergeCell ref="BX29:CG29"/>
    <mergeCell ref="AQ30:BB30"/>
    <mergeCell ref="BO30:CD30"/>
    <mergeCell ref="AM31:AV31"/>
  </mergeCells>
  <phoneticPr fontId="17" type="noConversion"/>
  <printOptions horizontalCentered="1"/>
  <pageMargins left="0.23622047244094499" right="0.23622047244094499" top="0" bottom="0.23622047244094499" header="0" footer="0"/>
  <pageSetup paperSize="14" fitToHeight="0" orientation="portrait" horizontalDpi="360" verticalDpi="360" r:id="rId1"/>
  <headerFooter scaleWithDoc="0"/>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0">
    <tabColor rgb="FF0070C0"/>
    <pageSetUpPr fitToPage="1"/>
  </sheetPr>
  <dimension ref="A1:AL35"/>
  <sheetViews>
    <sheetView tabSelected="1" topLeftCell="D6" zoomScale="215" zoomScaleNormal="215" zoomScaleSheetLayoutView="25" zoomScalePageLayoutView="40" workbookViewId="0">
      <selection activeCell="T11" sqref="T11"/>
    </sheetView>
  </sheetViews>
  <sheetFormatPr baseColWidth="10" defaultColWidth="10.83203125" defaultRowHeight="36" customHeight="1"/>
  <cols>
    <col min="1" max="1" width="7.1640625" style="119" customWidth="1"/>
    <col min="2" max="2" width="2.1640625" style="119" customWidth="1"/>
    <col min="3" max="14" width="3.6640625" style="119" customWidth="1"/>
    <col min="15" max="15" width="4.33203125" style="119" customWidth="1"/>
    <col min="16" max="16" width="2" style="119" customWidth="1"/>
    <col min="17" max="19" width="3.6640625" style="119" customWidth="1"/>
    <col min="20" max="20" width="9.83203125" style="119" customWidth="1"/>
    <col min="21" max="21" width="2.5" style="119" customWidth="1"/>
    <col min="22" max="24" width="3.6640625" style="119" customWidth="1"/>
    <col min="25" max="25" width="1.83203125" style="119" customWidth="1"/>
    <col min="26" max="26" width="2.83203125" style="119" customWidth="1"/>
    <col min="27" max="28" width="3.6640625" style="119" customWidth="1"/>
    <col min="29" max="16384" width="10.83203125" style="119"/>
  </cols>
  <sheetData>
    <row r="1" spans="1:29" ht="13.5" hidden="1" customHeight="1"/>
    <row r="2" spans="1:29" ht="14" customHeight="1">
      <c r="A2" s="120"/>
      <c r="B2" s="120"/>
      <c r="C2" s="120"/>
      <c r="D2" s="120"/>
      <c r="E2" s="120"/>
      <c r="F2" s="120"/>
      <c r="G2" s="120"/>
      <c r="H2" s="120"/>
      <c r="I2" s="120"/>
      <c r="J2" s="120"/>
      <c r="K2" s="120"/>
      <c r="L2" s="120"/>
      <c r="M2" s="120"/>
      <c r="N2" s="120"/>
      <c r="O2" s="120"/>
      <c r="P2" s="120"/>
      <c r="Q2" s="120"/>
      <c r="R2" s="120"/>
      <c r="S2" s="120"/>
      <c r="T2" s="120"/>
      <c r="U2" s="120"/>
      <c r="V2" s="120"/>
      <c r="W2" s="120"/>
      <c r="X2" s="120"/>
      <c r="Y2" s="120"/>
      <c r="Z2" s="120"/>
      <c r="AA2" s="120"/>
      <c r="AB2" s="120"/>
    </row>
    <row r="3" spans="1:29" ht="48" customHeight="1">
      <c r="A3" s="120" t="s">
        <v>3867</v>
      </c>
      <c r="B3" s="142"/>
      <c r="C3" s="142"/>
      <c r="D3" s="142"/>
      <c r="E3" s="142"/>
      <c r="F3" s="142"/>
      <c r="G3" s="142"/>
      <c r="H3" s="142"/>
      <c r="I3" s="142"/>
      <c r="J3" s="142"/>
      <c r="K3" s="142"/>
      <c r="L3" s="142"/>
      <c r="M3" s="142" t="s">
        <v>3867</v>
      </c>
      <c r="N3" s="142"/>
      <c r="O3" s="142"/>
      <c r="P3" s="142"/>
      <c r="Q3" s="142"/>
      <c r="R3" s="142"/>
      <c r="S3" s="142"/>
      <c r="T3" s="142"/>
      <c r="U3" s="142"/>
      <c r="V3" s="142"/>
      <c r="W3" s="196" t="str">
        <f>'Para imprimir'!BF3</f>
        <v>LUS23-231-RL001</v>
      </c>
      <c r="X3" s="196"/>
      <c r="Y3" s="196"/>
      <c r="Z3" s="196"/>
      <c r="AA3" s="196"/>
      <c r="AB3" s="120" t="s">
        <v>4493</v>
      </c>
      <c r="AC3" s="150" t="s">
        <v>4392</v>
      </c>
    </row>
    <row r="4" spans="1:29" ht="23" customHeight="1">
      <c r="A4" s="120"/>
      <c r="B4" s="142"/>
      <c r="C4" s="142"/>
      <c r="D4" s="142"/>
      <c r="E4" s="142"/>
      <c r="F4" s="142"/>
      <c r="G4" s="142"/>
      <c r="H4" s="142"/>
      <c r="I4" s="142"/>
      <c r="J4" s="142"/>
      <c r="K4" s="142"/>
      <c r="L4" s="142"/>
      <c r="M4" s="142"/>
      <c r="N4" s="142"/>
      <c r="O4" s="142"/>
      <c r="P4" s="142"/>
      <c r="Q4" s="142"/>
      <c r="R4" s="142"/>
      <c r="S4" s="142" t="s">
        <v>3867</v>
      </c>
      <c r="T4" s="142" t="s">
        <v>3867</v>
      </c>
      <c r="U4" s="142"/>
      <c r="V4" s="142"/>
      <c r="W4" s="196" t="str">
        <f>Licencias!BU8</f>
        <v>RPNL1-120223</v>
      </c>
      <c r="X4" s="196"/>
      <c r="Y4" s="196"/>
      <c r="Z4" s="196"/>
      <c r="AA4" s="196"/>
      <c r="AB4" s="120"/>
    </row>
    <row r="5" spans="1:29" ht="12" customHeight="1">
      <c r="A5" s="120"/>
      <c r="B5" s="142"/>
      <c r="C5" s="142"/>
      <c r="D5" s="142"/>
      <c r="E5" s="142"/>
      <c r="F5" s="142"/>
      <c r="G5" s="142"/>
      <c r="H5" s="142"/>
      <c r="I5" s="142"/>
      <c r="J5" s="142"/>
      <c r="K5" s="142"/>
      <c r="L5" s="142"/>
      <c r="M5" s="142"/>
      <c r="N5" s="142"/>
      <c r="O5" s="142"/>
      <c r="P5" s="142"/>
      <c r="Q5" s="142"/>
      <c r="R5" s="142"/>
      <c r="S5" s="142"/>
      <c r="T5" s="142"/>
      <c r="U5" s="142"/>
      <c r="V5" s="142"/>
      <c r="W5" s="143"/>
      <c r="X5" s="143"/>
      <c r="Y5" s="143"/>
      <c r="Z5" s="143"/>
      <c r="AA5" s="142"/>
      <c r="AB5" s="120"/>
    </row>
    <row r="6" spans="1:29" ht="48" customHeight="1">
      <c r="A6" s="120"/>
      <c r="B6" s="142"/>
      <c r="C6" s="142"/>
      <c r="D6" s="142"/>
      <c r="E6" s="142"/>
      <c r="F6" s="142"/>
      <c r="G6" s="142"/>
      <c r="H6" s="142"/>
      <c r="I6" s="142"/>
      <c r="J6" s="142"/>
      <c r="K6" s="142" t="s">
        <v>3867</v>
      </c>
      <c r="L6" s="142"/>
      <c r="M6" s="142"/>
      <c r="N6" s="142"/>
      <c r="O6" s="142"/>
      <c r="P6" s="142"/>
      <c r="Q6" s="142"/>
      <c r="R6" s="142"/>
      <c r="S6" s="142"/>
      <c r="U6" s="142"/>
      <c r="V6" s="142"/>
      <c r="W6" s="142"/>
      <c r="X6" s="142"/>
      <c r="Y6" s="142"/>
      <c r="Z6" s="142"/>
      <c r="AA6" s="142"/>
      <c r="AB6" s="120"/>
      <c r="AC6" s="123" t="s">
        <v>4386</v>
      </c>
    </row>
    <row r="7" spans="1:29" ht="21" customHeight="1">
      <c r="A7" s="120"/>
      <c r="B7" s="142"/>
      <c r="C7" s="142"/>
      <c r="D7" s="142"/>
      <c r="E7" s="142"/>
      <c r="F7" s="142"/>
      <c r="G7" s="142"/>
      <c r="H7" s="186" t="str">
        <f>Licencias!AQ14</f>
        <v xml:space="preserve">WOTZBELI EUGENIO LIMATUJ IXCARAGUA </v>
      </c>
      <c r="I7" s="186"/>
      <c r="J7" s="186"/>
      <c r="K7" s="186"/>
      <c r="L7" s="186"/>
      <c r="M7" s="186"/>
      <c r="N7" s="186"/>
      <c r="O7" s="186"/>
      <c r="P7" s="186"/>
      <c r="Q7" s="186"/>
      <c r="R7" s="186"/>
      <c r="S7" s="186"/>
      <c r="T7" s="186"/>
      <c r="U7" s="186"/>
      <c r="V7" s="186"/>
      <c r="W7" s="186"/>
      <c r="X7" s="186"/>
      <c r="Y7" s="186"/>
      <c r="Z7" s="186"/>
      <c r="AA7" s="142"/>
      <c r="AB7" s="120"/>
    </row>
    <row r="8" spans="1:29" ht="17.25" customHeight="1">
      <c r="A8" s="120"/>
      <c r="B8" s="142"/>
      <c r="C8" s="142"/>
      <c r="D8" s="142"/>
      <c r="E8" s="142"/>
      <c r="F8" s="142"/>
      <c r="G8" s="142"/>
      <c r="H8" s="186" t="str">
        <f>Licencias!AQ15</f>
        <v>25 AVENIDA 3-64, LOTE 6 ZONA 1</v>
      </c>
      <c r="I8" s="186"/>
      <c r="J8" s="186"/>
      <c r="K8" s="186"/>
      <c r="L8" s="186"/>
      <c r="M8" s="186"/>
      <c r="N8" s="186"/>
      <c r="O8" s="186"/>
      <c r="P8" s="186"/>
      <c r="Q8" s="186"/>
      <c r="R8" s="186"/>
      <c r="S8" s="186"/>
      <c r="T8" s="186"/>
      <c r="U8" s="186"/>
      <c r="V8" s="186"/>
      <c r="W8" s="186"/>
      <c r="X8" s="186"/>
      <c r="Y8" s="186"/>
      <c r="Z8" s="186"/>
      <c r="AA8" s="142"/>
      <c r="AB8" s="120"/>
    </row>
    <row r="9" spans="1:29" ht="18" customHeight="1">
      <c r="A9" s="120"/>
      <c r="B9" s="142"/>
      <c r="C9" s="142"/>
      <c r="D9" s="142"/>
      <c r="E9" s="142"/>
      <c r="F9" s="142"/>
      <c r="G9" s="142"/>
      <c r="H9" s="186" t="str">
        <f>Licencias!AQ16</f>
        <v>25 AVENIDA 3-64, LOTE 6 ZONA 1</v>
      </c>
      <c r="I9" s="186"/>
      <c r="J9" s="186"/>
      <c r="K9" s="186"/>
      <c r="L9" s="186"/>
      <c r="M9" s="186"/>
      <c r="N9" s="186"/>
      <c r="O9" s="186"/>
      <c r="P9" s="186"/>
      <c r="Q9" s="186"/>
      <c r="R9" s="186"/>
      <c r="S9" s="186"/>
      <c r="T9" s="186"/>
      <c r="U9" s="186"/>
      <c r="V9" s="186"/>
      <c r="W9" s="186"/>
      <c r="X9" s="186"/>
      <c r="Y9" s="186"/>
      <c r="Z9" s="186"/>
      <c r="AA9" s="142"/>
      <c r="AB9" s="120"/>
    </row>
    <row r="10" spans="1:29" ht="18.75" customHeight="1">
      <c r="A10" s="120"/>
      <c r="B10" s="142"/>
      <c r="C10" s="142"/>
      <c r="D10" s="142"/>
      <c r="E10" s="142"/>
      <c r="F10" s="186">
        <f>Licencias!AK17</f>
        <v>6694</v>
      </c>
      <c r="G10" s="186"/>
      <c r="H10" s="186"/>
      <c r="I10" s="186"/>
      <c r="J10" s="186"/>
      <c r="K10" s="142"/>
      <c r="L10" s="142"/>
      <c r="M10" s="186">
        <f>Licencias!BA17</f>
        <v>194</v>
      </c>
      <c r="N10" s="186"/>
      <c r="O10" s="186"/>
      <c r="P10" s="186"/>
      <c r="Q10" s="186"/>
      <c r="R10" s="186"/>
      <c r="S10" s="186"/>
      <c r="T10" s="142"/>
      <c r="U10" s="186" t="str">
        <f>Licencias!BU17</f>
        <v>34E</v>
      </c>
      <c r="V10" s="186"/>
      <c r="W10" s="186"/>
      <c r="X10" s="186"/>
      <c r="Y10" s="186"/>
      <c r="Z10" s="186"/>
      <c r="AA10" s="142"/>
      <c r="AB10" s="120"/>
    </row>
    <row r="11" spans="1:29" ht="21.25" customHeight="1">
      <c r="A11" s="120"/>
      <c r="B11" s="142"/>
      <c r="C11" s="142"/>
      <c r="D11" s="142"/>
      <c r="E11" s="142"/>
      <c r="F11" s="142"/>
      <c r="G11" s="186">
        <f>Licencias!AO18</f>
        <v>177389</v>
      </c>
      <c r="H11" s="186"/>
      <c r="I11" s="186"/>
      <c r="J11" s="186"/>
      <c r="K11" s="142"/>
      <c r="L11" s="142"/>
      <c r="M11" s="142"/>
      <c r="N11" s="193">
        <f>Licencias!BD18</f>
        <v>119.63</v>
      </c>
      <c r="O11" s="193"/>
      <c r="P11" s="193"/>
      <c r="Q11" s="193"/>
      <c r="R11" s="142"/>
      <c r="S11" s="142"/>
      <c r="T11" s="142"/>
      <c r="U11" s="142"/>
      <c r="V11" s="142"/>
      <c r="W11" s="186">
        <f>Licencias!BY18</f>
        <v>71072</v>
      </c>
      <c r="X11" s="186"/>
      <c r="Y11" s="186"/>
      <c r="Z11" s="186"/>
      <c r="AA11" s="142"/>
      <c r="AB11" s="120"/>
    </row>
    <row r="12" spans="1:29" ht="27" customHeight="1">
      <c r="A12" s="120"/>
      <c r="B12" s="142"/>
      <c r="C12" s="142"/>
      <c r="D12" s="142"/>
      <c r="E12" s="142"/>
      <c r="F12" s="142"/>
      <c r="G12" s="142"/>
      <c r="H12" s="142"/>
      <c r="I12" s="142"/>
      <c r="J12" s="142"/>
      <c r="K12" s="142"/>
      <c r="L12" s="142"/>
      <c r="M12" s="142"/>
      <c r="N12" s="142"/>
      <c r="O12" s="142"/>
      <c r="P12" s="142"/>
      <c r="Q12" s="142"/>
      <c r="R12" s="142"/>
      <c r="S12" s="142"/>
      <c r="T12" s="142"/>
      <c r="U12" s="142"/>
      <c r="V12" s="142"/>
      <c r="W12" s="142"/>
      <c r="X12" s="142"/>
      <c r="Y12" s="142"/>
      <c r="Z12" s="142"/>
      <c r="AA12" s="142"/>
      <c r="AB12" s="120"/>
    </row>
    <row r="13" spans="1:29" ht="22" customHeight="1">
      <c r="A13" s="120"/>
      <c r="B13" s="142"/>
      <c r="C13" s="142"/>
      <c r="D13" s="142"/>
      <c r="E13" s="142"/>
      <c r="F13" s="142"/>
      <c r="G13" s="186" t="str">
        <f>Licencias!AO25</f>
        <v>VIVIENDA BIFAMILIAR</v>
      </c>
      <c r="H13" s="186"/>
      <c r="I13" s="186"/>
      <c r="J13" s="186"/>
      <c r="K13" s="186"/>
      <c r="L13" s="186"/>
      <c r="M13" s="186"/>
      <c r="N13" s="186"/>
      <c r="O13" s="186"/>
      <c r="P13" s="186"/>
      <c r="Q13" s="186"/>
      <c r="R13" s="186"/>
      <c r="S13" s="186"/>
      <c r="T13" s="186"/>
      <c r="U13" s="186"/>
      <c r="V13" s="186"/>
      <c r="W13" s="186"/>
      <c r="X13" s="186"/>
      <c r="Y13" s="186"/>
      <c r="Z13" s="186"/>
      <c r="AA13" s="142"/>
      <c r="AB13" s="120"/>
    </row>
    <row r="14" spans="1:29" ht="20" customHeight="1">
      <c r="A14" s="120"/>
      <c r="B14" s="142"/>
      <c r="C14" s="142"/>
      <c r="D14" s="142"/>
      <c r="E14" s="142"/>
      <c r="F14" s="142"/>
      <c r="G14" s="142"/>
      <c r="H14" s="142"/>
      <c r="I14" s="197">
        <f>'Para imprimir'!BG3</f>
        <v>0</v>
      </c>
      <c r="J14" s="197"/>
      <c r="K14" s="197"/>
      <c r="L14" s="197"/>
      <c r="M14" s="197"/>
      <c r="N14" s="197"/>
      <c r="O14" s="197"/>
      <c r="P14" s="197"/>
      <c r="Q14" s="197"/>
      <c r="R14" s="197"/>
      <c r="S14" s="197"/>
      <c r="T14" s="197"/>
      <c r="U14" s="197"/>
      <c r="V14" s="197"/>
      <c r="W14" s="197"/>
      <c r="X14" s="197"/>
      <c r="Y14" s="197"/>
      <c r="Z14" s="197"/>
      <c r="AA14" s="142"/>
      <c r="AB14" s="120"/>
    </row>
    <row r="15" spans="1:29" ht="20" customHeight="1">
      <c r="A15" s="120"/>
      <c r="B15" s="142"/>
      <c r="C15" s="142"/>
      <c r="D15" s="142"/>
      <c r="E15" s="142"/>
      <c r="F15" s="142"/>
      <c r="G15" s="142"/>
      <c r="H15" s="198">
        <f>'Para imprimir'!BH3</f>
        <v>219.32</v>
      </c>
      <c r="I15" s="199"/>
      <c r="J15" s="199"/>
      <c r="K15" s="199"/>
      <c r="L15" s="199"/>
      <c r="M15" s="142"/>
      <c r="N15" s="142"/>
      <c r="O15" s="142"/>
      <c r="P15" s="142"/>
      <c r="Q15" s="142"/>
      <c r="R15" s="142"/>
      <c r="S15" s="142"/>
      <c r="T15" s="142"/>
      <c r="U15" s="192">
        <f>'Para imprimir'!BI3</f>
        <v>0</v>
      </c>
      <c r="V15" s="186"/>
      <c r="W15" s="186"/>
      <c r="X15" s="186"/>
      <c r="Y15" s="186"/>
      <c r="Z15" s="142"/>
      <c r="AA15" s="142"/>
      <c r="AB15" s="120"/>
    </row>
    <row r="16" spans="1:29" ht="0.75" customHeight="1">
      <c r="A16" s="120"/>
      <c r="B16" s="142"/>
      <c r="C16" s="142"/>
      <c r="D16" s="142"/>
      <c r="E16" s="142"/>
      <c r="F16" s="142"/>
      <c r="G16" s="142"/>
      <c r="H16" s="142"/>
      <c r="I16" s="142"/>
      <c r="J16" s="142"/>
      <c r="K16" s="142"/>
      <c r="L16" s="142"/>
      <c r="M16" s="142"/>
      <c r="N16" s="142"/>
      <c r="O16" s="142"/>
      <c r="P16" s="142"/>
      <c r="Q16" s="142"/>
      <c r="R16" s="142"/>
      <c r="S16" s="142"/>
      <c r="T16" s="142"/>
      <c r="U16" s="142"/>
      <c r="V16" s="142"/>
      <c r="W16" s="142"/>
      <c r="X16" s="142"/>
      <c r="Y16" s="142"/>
      <c r="Z16" s="142"/>
      <c r="AA16" s="142"/>
      <c r="AB16" s="120"/>
    </row>
    <row r="17" spans="1:37" ht="18.75" customHeight="1">
      <c r="A17" s="120"/>
      <c r="B17" s="142"/>
      <c r="C17" s="142"/>
      <c r="D17" s="142"/>
      <c r="E17" s="142"/>
      <c r="F17" s="142"/>
      <c r="G17" s="142"/>
      <c r="H17" s="142"/>
      <c r="I17" s="142"/>
      <c r="J17" s="142"/>
      <c r="K17" s="142"/>
      <c r="L17" s="192">
        <f>'Para imprimir'!BJ3</f>
        <v>0</v>
      </c>
      <c r="M17" s="186"/>
      <c r="N17" s="186"/>
      <c r="O17" s="186"/>
      <c r="P17" s="186"/>
      <c r="Q17" s="142"/>
      <c r="R17" s="142"/>
      <c r="S17" s="142"/>
      <c r="T17" s="142"/>
      <c r="U17" s="142"/>
      <c r="V17" s="142"/>
      <c r="W17" s="193">
        <f>'Para imprimir'!Z3</f>
        <v>2</v>
      </c>
      <c r="X17" s="186"/>
      <c r="Y17" s="186"/>
      <c r="Z17" s="186"/>
      <c r="AA17" s="142"/>
      <c r="AB17" s="120"/>
    </row>
    <row r="18" spans="1:37" ht="16" customHeight="1">
      <c r="A18" s="120"/>
      <c r="B18" s="142"/>
      <c r="C18" s="142"/>
      <c r="D18" s="142"/>
      <c r="E18" s="142"/>
      <c r="F18" s="142"/>
      <c r="G18" s="142"/>
      <c r="H18" s="142"/>
      <c r="I18" s="142"/>
      <c r="J18" s="142"/>
      <c r="K18" s="142"/>
      <c r="L18" s="142"/>
      <c r="M18" s="186" t="str">
        <f>'Para imprimir'!BK3</f>
        <v>RESIDENCIAL</v>
      </c>
      <c r="N18" s="186"/>
      <c r="O18" s="186"/>
      <c r="P18" s="186"/>
      <c r="Q18" s="186"/>
      <c r="R18" s="186"/>
      <c r="S18" s="186"/>
      <c r="T18" s="186"/>
      <c r="U18" s="186"/>
      <c r="V18" s="186"/>
      <c r="W18" s="186"/>
      <c r="X18" s="186"/>
      <c r="Y18" s="186"/>
      <c r="Z18" s="186"/>
      <c r="AA18" s="142"/>
      <c r="AB18" s="120"/>
      <c r="AC18" s="147">
        <v>17.25</v>
      </c>
    </row>
    <row r="19" spans="1:37" ht="28" customHeight="1">
      <c r="A19" s="120"/>
      <c r="B19" s="142"/>
      <c r="C19" s="142"/>
      <c r="D19" s="194"/>
      <c r="E19" s="194"/>
      <c r="F19" s="194"/>
      <c r="G19" s="194"/>
      <c r="H19" s="194"/>
      <c r="I19" s="194"/>
      <c r="J19" s="194"/>
      <c r="K19" s="194"/>
      <c r="L19" s="194"/>
      <c r="M19" s="194"/>
      <c r="N19" s="194"/>
      <c r="O19" s="194"/>
      <c r="P19" s="194"/>
      <c r="Q19" s="194"/>
      <c r="R19" s="194"/>
      <c r="S19" s="194"/>
      <c r="T19" s="194"/>
      <c r="U19" s="194"/>
      <c r="V19" s="194"/>
      <c r="W19" s="194"/>
      <c r="X19" s="194"/>
      <c r="Y19" s="194"/>
      <c r="Z19" s="194"/>
      <c r="AA19" s="142"/>
      <c r="AB19" s="120"/>
    </row>
    <row r="20" spans="1:37" ht="15" customHeight="1">
      <c r="A20" s="120"/>
      <c r="B20" s="142"/>
      <c r="C20" s="142"/>
      <c r="D20" s="142"/>
      <c r="E20" s="142"/>
      <c r="F20" s="142"/>
      <c r="G20" s="142"/>
      <c r="H20" s="142"/>
      <c r="I20" s="142"/>
      <c r="J20" s="142"/>
      <c r="K20" s="142"/>
      <c r="L20" s="142"/>
      <c r="M20" s="182" t="str">
        <f>W4</f>
        <v>RPNL1-120223</v>
      </c>
      <c r="N20" s="182"/>
      <c r="O20" s="182"/>
      <c r="P20" s="182"/>
      <c r="Q20" s="182"/>
      <c r="R20" s="142"/>
      <c r="S20" s="142"/>
      <c r="T20" s="142"/>
      <c r="U20" s="142"/>
      <c r="V20" s="142"/>
      <c r="W20" s="142"/>
      <c r="X20" s="142"/>
      <c r="Y20" s="142"/>
      <c r="Z20" s="142"/>
      <c r="AA20" s="142"/>
      <c r="AB20" s="120"/>
    </row>
    <row r="21" spans="1:37" ht="40" customHeight="1">
      <c r="A21" s="120"/>
      <c r="B21" s="142"/>
      <c r="C21" s="142"/>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142"/>
      <c r="AB21" s="120"/>
      <c r="AC21" s="119">
        <v>40</v>
      </c>
    </row>
    <row r="22" spans="1:37" ht="16.5" customHeight="1">
      <c r="A22" s="120"/>
      <c r="B22" s="142"/>
      <c r="C22" s="142"/>
      <c r="D22" s="186" t="str">
        <f>H7</f>
        <v xml:space="preserve">WOTZBELI EUGENIO LIMATUJ IXCARAGUA </v>
      </c>
      <c r="E22" s="186"/>
      <c r="F22" s="186"/>
      <c r="G22" s="186"/>
      <c r="H22" s="186"/>
      <c r="I22" s="186"/>
      <c r="J22" s="186"/>
      <c r="K22" s="186"/>
      <c r="L22" s="186"/>
      <c r="M22" s="186"/>
      <c r="N22" s="186"/>
      <c r="O22" s="186"/>
      <c r="P22" s="186"/>
      <c r="Q22" s="186"/>
      <c r="R22" s="186"/>
      <c r="S22" s="186"/>
      <c r="T22" s="186"/>
      <c r="U22" s="142"/>
      <c r="V22" s="142"/>
      <c r="W22" s="142"/>
      <c r="X22" s="142"/>
      <c r="Y22" s="142"/>
      <c r="Z22" s="142"/>
      <c r="AA22" s="142"/>
      <c r="AB22" s="120"/>
    </row>
    <row r="23" spans="1:37" ht="18" customHeight="1">
      <c r="A23" s="120"/>
      <c r="B23" s="142"/>
      <c r="C23" s="142"/>
      <c r="D23" s="142"/>
      <c r="E23" s="142"/>
      <c r="F23" s="142"/>
      <c r="G23" s="142"/>
      <c r="H23" s="142"/>
      <c r="I23" s="142"/>
      <c r="J23" s="142"/>
      <c r="K23" s="185">
        <f>'Para imprimir'!BL3</f>
        <v>219.3</v>
      </c>
      <c r="L23" s="185"/>
      <c r="M23" s="185"/>
      <c r="N23" s="185"/>
      <c r="O23" s="185"/>
      <c r="P23" s="142"/>
      <c r="Q23" s="142"/>
      <c r="R23" s="142"/>
      <c r="S23" s="142"/>
      <c r="T23" s="142"/>
      <c r="U23" s="186">
        <f>'Para imprimir'!BM3</f>
        <v>852683</v>
      </c>
      <c r="V23" s="186"/>
      <c r="W23" s="186"/>
      <c r="X23" s="186"/>
      <c r="Y23" s="186"/>
      <c r="Z23" s="186"/>
      <c r="AA23" s="142"/>
      <c r="AB23" s="120"/>
    </row>
    <row r="24" spans="1:37" ht="42" customHeight="1">
      <c r="A24" s="120"/>
      <c r="B24" s="142"/>
      <c r="C24" s="142"/>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142"/>
      <c r="AB24" s="120"/>
      <c r="AC24" s="150" t="s">
        <v>4387</v>
      </c>
    </row>
    <row r="25" spans="1:37" ht="15.75" customHeight="1">
      <c r="A25" s="120"/>
      <c r="B25" s="142"/>
      <c r="C25" s="142"/>
      <c r="D25" s="142"/>
      <c r="E25" s="142"/>
      <c r="F25" s="187" t="str">
        <f>Licencias!AL54</f>
        <v>L23-258-RL001</v>
      </c>
      <c r="G25" s="187"/>
      <c r="H25" s="187"/>
      <c r="I25" s="187"/>
      <c r="J25" s="142"/>
      <c r="K25" s="142"/>
      <c r="L25" s="142"/>
      <c r="M25" s="142"/>
      <c r="N25" s="188">
        <f>'Para imprimir'!BC3</f>
        <v>45044</v>
      </c>
      <c r="O25" s="189"/>
      <c r="P25" s="189"/>
      <c r="Q25" s="189"/>
      <c r="R25" s="142"/>
      <c r="S25" s="142"/>
      <c r="T25" s="142"/>
      <c r="U25" s="142"/>
      <c r="V25" s="191" t="str">
        <f>'Para imprimir'!BN3</f>
        <v>INDEFINIDO</v>
      </c>
      <c r="W25" s="191"/>
      <c r="X25" s="191"/>
      <c r="Y25" s="191"/>
      <c r="Z25" s="191"/>
      <c r="AA25" s="142"/>
      <c r="AB25" s="120"/>
    </row>
    <row r="26" spans="1:37" ht="15" customHeight="1">
      <c r="A26" s="120"/>
      <c r="B26" s="142"/>
      <c r="C26" s="142"/>
      <c r="D26" s="142"/>
      <c r="E26" s="142"/>
      <c r="F26" s="142"/>
      <c r="G26" s="142"/>
      <c r="H26" s="142"/>
      <c r="I26" s="142"/>
      <c r="J26" s="142"/>
      <c r="K26" s="142"/>
      <c r="L26" s="142"/>
      <c r="M26" s="142"/>
      <c r="N26" s="142"/>
      <c r="O26" s="142"/>
      <c r="P26" s="142"/>
      <c r="Q26" s="142"/>
      <c r="R26" s="142"/>
      <c r="S26" s="142"/>
      <c r="T26" s="142"/>
      <c r="U26" s="142"/>
      <c r="V26" s="144"/>
      <c r="W26" s="142"/>
      <c r="X26" s="142"/>
      <c r="Y26" s="142"/>
      <c r="Z26" s="142"/>
      <c r="AA26" s="142"/>
      <c r="AB26" s="120"/>
      <c r="AC26" s="119" t="s">
        <v>2828</v>
      </c>
    </row>
    <row r="27" spans="1:37" ht="20" customHeight="1">
      <c r="A27" s="120"/>
      <c r="B27" s="142"/>
      <c r="C27" s="142"/>
      <c r="D27" s="142"/>
      <c r="E27" s="142"/>
      <c r="F27" s="142"/>
      <c r="G27" s="190" t="s">
        <v>734</v>
      </c>
      <c r="H27" s="190"/>
      <c r="I27" s="190"/>
      <c r="J27" s="190"/>
      <c r="K27" s="190"/>
      <c r="L27" s="190"/>
      <c r="M27" s="190"/>
      <c r="N27" s="190"/>
      <c r="O27" s="190"/>
      <c r="P27" s="190"/>
      <c r="Q27" s="190"/>
      <c r="R27" s="190"/>
      <c r="S27" s="190"/>
      <c r="T27" s="190"/>
      <c r="U27" s="190"/>
      <c r="V27" s="190"/>
      <c r="W27" s="190"/>
      <c r="X27" s="190"/>
      <c r="Y27" s="190"/>
      <c r="Z27" s="190"/>
      <c r="AA27" s="142"/>
      <c r="AB27" s="120"/>
    </row>
    <row r="28" spans="1:37" ht="16.5" customHeight="1">
      <c r="A28" s="120"/>
      <c r="B28" s="142"/>
      <c r="C28" s="142"/>
      <c r="D28" s="184" t="s">
        <v>4391</v>
      </c>
      <c r="E28" s="184"/>
      <c r="F28" s="184"/>
      <c r="G28" s="184"/>
      <c r="H28" s="184"/>
      <c r="I28" s="184"/>
      <c r="J28" s="184"/>
      <c r="K28" s="184"/>
      <c r="L28" s="184"/>
      <c r="M28" s="184"/>
      <c r="N28" s="184"/>
      <c r="O28" s="184"/>
      <c r="P28" s="184"/>
      <c r="Q28" s="184"/>
      <c r="R28" s="184"/>
      <c r="S28" s="184"/>
      <c r="T28" s="184"/>
      <c r="U28" s="184"/>
      <c r="V28" s="184"/>
      <c r="W28" s="184"/>
      <c r="X28" s="184"/>
      <c r="Y28" s="184"/>
      <c r="Z28" s="184"/>
      <c r="AA28" s="142"/>
      <c r="AB28" s="120"/>
    </row>
    <row r="29" spans="1:37" ht="17.25" customHeight="1">
      <c r="A29" s="120"/>
      <c r="B29" s="142"/>
      <c r="C29" s="142"/>
      <c r="D29" s="184"/>
      <c r="E29" s="184"/>
      <c r="F29" s="184"/>
      <c r="G29" s="184"/>
      <c r="H29" s="184"/>
      <c r="I29" s="184"/>
      <c r="J29" s="184"/>
      <c r="K29" s="184"/>
      <c r="L29" s="184"/>
      <c r="M29" s="184"/>
      <c r="N29" s="184"/>
      <c r="O29" s="184"/>
      <c r="P29" s="184"/>
      <c r="Q29" s="184"/>
      <c r="R29" s="184"/>
      <c r="S29" s="184"/>
      <c r="T29" s="184"/>
      <c r="U29" s="184"/>
      <c r="V29" s="184"/>
      <c r="W29" s="184"/>
      <c r="X29" s="184"/>
      <c r="Y29" s="184"/>
      <c r="Z29" s="184"/>
      <c r="AA29" s="142"/>
      <c r="AB29" s="120"/>
    </row>
    <row r="30" spans="1:37" ht="18" customHeight="1">
      <c r="A30" s="120"/>
      <c r="B30" s="142"/>
      <c r="C30" s="142"/>
      <c r="D30" s="184"/>
      <c r="E30" s="184"/>
      <c r="F30" s="184"/>
      <c r="G30" s="184"/>
      <c r="H30" s="184"/>
      <c r="I30" s="184"/>
      <c r="J30" s="184"/>
      <c r="K30" s="184"/>
      <c r="L30" s="184"/>
      <c r="M30" s="184"/>
      <c r="N30" s="184"/>
      <c r="O30" s="184"/>
      <c r="P30" s="184"/>
      <c r="Q30" s="184"/>
      <c r="R30" s="184"/>
      <c r="S30" s="184"/>
      <c r="T30" s="184"/>
      <c r="U30" s="184"/>
      <c r="V30" s="184"/>
      <c r="W30" s="184"/>
      <c r="X30" s="184"/>
      <c r="Y30" s="184"/>
      <c r="Z30" s="184"/>
      <c r="AA30" s="142"/>
      <c r="AB30" s="120"/>
      <c r="AC30" s="183" t="s">
        <v>2227</v>
      </c>
      <c r="AD30" s="183"/>
      <c r="AE30" s="183"/>
      <c r="AF30" s="183"/>
      <c r="AG30" s="183"/>
      <c r="AH30" s="183"/>
      <c r="AI30" s="183"/>
      <c r="AJ30" s="183"/>
      <c r="AK30" s="183"/>
    </row>
    <row r="31" spans="1:37" ht="18" customHeight="1">
      <c r="A31" s="120"/>
      <c r="B31" s="142"/>
      <c r="C31" s="142"/>
      <c r="D31" s="145"/>
      <c r="E31" s="145"/>
      <c r="F31" s="145"/>
      <c r="G31" s="145"/>
      <c r="H31" s="145"/>
      <c r="I31" s="145"/>
      <c r="J31" s="145"/>
      <c r="K31" s="145"/>
      <c r="L31" s="145"/>
      <c r="M31" s="145"/>
      <c r="N31" s="145"/>
      <c r="O31" s="145"/>
      <c r="P31" s="145"/>
      <c r="Q31" s="145"/>
      <c r="R31" s="145"/>
      <c r="S31" s="145"/>
      <c r="T31" s="145"/>
      <c r="U31" s="145"/>
      <c r="V31" s="145"/>
      <c r="W31" s="145"/>
      <c r="X31" s="145"/>
      <c r="Y31" s="145"/>
      <c r="Z31" s="142"/>
      <c r="AA31" s="142"/>
      <c r="AB31" s="120"/>
      <c r="AC31" s="121" t="s">
        <v>3107</v>
      </c>
    </row>
    <row r="32" spans="1:37" ht="72.75" customHeight="1">
      <c r="A32" s="120"/>
      <c r="B32" s="142"/>
      <c r="C32" s="142"/>
      <c r="D32" s="145"/>
      <c r="E32" s="145"/>
      <c r="F32" s="145"/>
      <c r="G32" s="145"/>
      <c r="H32" s="145"/>
      <c r="I32" s="145"/>
      <c r="J32" s="145"/>
      <c r="K32" s="145"/>
      <c r="L32" s="145"/>
      <c r="M32" s="145"/>
      <c r="N32" s="145"/>
      <c r="O32" s="145"/>
      <c r="P32" s="145"/>
      <c r="Q32" s="145"/>
      <c r="R32" s="145"/>
      <c r="S32" s="145"/>
      <c r="T32" s="145"/>
      <c r="U32" s="145"/>
      <c r="V32" s="145"/>
      <c r="W32" s="145"/>
      <c r="X32" s="145"/>
      <c r="Y32" s="145"/>
      <c r="Z32" s="142"/>
      <c r="AA32" s="142"/>
      <c r="AB32" s="120"/>
      <c r="AC32" s="122" t="s">
        <v>876</v>
      </c>
    </row>
    <row r="33" spans="1:38" ht="66" customHeight="1">
      <c r="A33" s="120"/>
      <c r="B33" s="142"/>
      <c r="C33" s="142"/>
      <c r="D33" s="142"/>
      <c r="E33" s="142"/>
      <c r="F33" s="142"/>
      <c r="G33" s="142"/>
      <c r="H33" s="142"/>
      <c r="I33" s="142"/>
      <c r="J33" s="142"/>
      <c r="K33" s="142"/>
      <c r="L33" s="142"/>
      <c r="M33" s="142"/>
      <c r="N33" s="142"/>
      <c r="O33" s="142"/>
      <c r="P33" s="142"/>
      <c r="Q33" s="142"/>
      <c r="R33" s="142"/>
      <c r="S33" s="142"/>
      <c r="T33" s="142"/>
      <c r="U33" s="142"/>
      <c r="V33" s="142"/>
      <c r="W33" s="142"/>
      <c r="X33" s="142"/>
      <c r="Y33" s="142"/>
      <c r="Z33" s="142"/>
      <c r="AA33" s="142"/>
      <c r="AB33" s="120"/>
      <c r="AC33" s="121" t="s">
        <v>1323</v>
      </c>
    </row>
    <row r="34" spans="1:38" ht="36" customHeight="1">
      <c r="A34" s="120"/>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20"/>
    </row>
    <row r="35" spans="1:38" ht="36" customHeight="1">
      <c r="A35" s="120"/>
      <c r="B35" s="120"/>
      <c r="C35" s="120"/>
      <c r="D35" s="120"/>
      <c r="E35" s="120"/>
      <c r="F35" s="120"/>
      <c r="G35" s="120"/>
      <c r="H35" s="120"/>
      <c r="I35" s="120"/>
      <c r="J35" s="120"/>
      <c r="K35" s="120"/>
      <c r="L35" s="120"/>
      <c r="M35" s="120"/>
      <c r="N35" s="120"/>
      <c r="O35" s="120"/>
      <c r="P35" s="120"/>
      <c r="Q35" s="120"/>
      <c r="R35" s="120"/>
      <c r="S35" s="120"/>
      <c r="T35" s="120"/>
      <c r="U35" s="120"/>
      <c r="V35" s="120"/>
      <c r="W35" s="120"/>
      <c r="X35" s="120"/>
      <c r="Y35" s="120"/>
      <c r="Z35" s="120"/>
      <c r="AA35" s="120"/>
      <c r="AB35" s="120"/>
      <c r="AC35" s="195" t="s">
        <v>4390</v>
      </c>
      <c r="AD35" s="195"/>
      <c r="AE35" s="195"/>
      <c r="AF35" s="195"/>
      <c r="AG35" s="195"/>
      <c r="AH35" s="195"/>
      <c r="AI35" s="195"/>
      <c r="AJ35" s="195"/>
      <c r="AK35" s="195"/>
      <c r="AL35" s="195"/>
    </row>
  </sheetData>
  <sheetProtection selectLockedCells="1"/>
  <mergeCells count="30">
    <mergeCell ref="AC35:AL35"/>
    <mergeCell ref="F10:J10"/>
    <mergeCell ref="M10:S10"/>
    <mergeCell ref="U10:Z10"/>
    <mergeCell ref="W3:AA3"/>
    <mergeCell ref="W4:AA4"/>
    <mergeCell ref="H7:Z7"/>
    <mergeCell ref="H8:Z8"/>
    <mergeCell ref="H9:Z9"/>
    <mergeCell ref="D22:T22"/>
    <mergeCell ref="G11:J11"/>
    <mergeCell ref="N11:Q11"/>
    <mergeCell ref="W11:Z11"/>
    <mergeCell ref="G13:Z13"/>
    <mergeCell ref="I14:Z14"/>
    <mergeCell ref="H15:L15"/>
    <mergeCell ref="U15:Y15"/>
    <mergeCell ref="L17:P17"/>
    <mergeCell ref="W17:Z17"/>
    <mergeCell ref="M18:Z18"/>
    <mergeCell ref="D19:Z19"/>
    <mergeCell ref="M20:Q20"/>
    <mergeCell ref="AC30:AK30"/>
    <mergeCell ref="D28:Z30"/>
    <mergeCell ref="K23:O23"/>
    <mergeCell ref="U23:Z23"/>
    <mergeCell ref="F25:I25"/>
    <mergeCell ref="N25:Q25"/>
    <mergeCell ref="G27:Z27"/>
    <mergeCell ref="V25:Z25"/>
  </mergeCells>
  <printOptions horizontalCentered="1"/>
  <pageMargins left="0.23622047244094499" right="0.23622047244094499" top="0" bottom="0.23622047244094499" header="0" footer="0"/>
  <pageSetup orientation="portrait" horizontalDpi="360" verticalDpi="360" r:id="rId1"/>
  <headerFooter scaleWithDoc="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Hojas de cálculo</vt:lpstr>
      </vt:variant>
      <vt:variant>
        <vt:i4>8</vt:i4>
      </vt:variant>
      <vt:variant>
        <vt:lpstr>Rangos con nombre</vt:lpstr>
      </vt:variant>
      <vt:variant>
        <vt:i4>162</vt:i4>
      </vt:variant>
    </vt:vector>
  </HeadingPairs>
  <TitlesOfParts>
    <vt:vector size="170" baseType="lpstr">
      <vt:lpstr>DATA</vt:lpstr>
      <vt:lpstr>PROYECTOS</vt:lpstr>
      <vt:lpstr>USOS DE SUELO</vt:lpstr>
      <vt:lpstr>COBROS DCO</vt:lpstr>
      <vt:lpstr>Base de datos</vt:lpstr>
      <vt:lpstr>Para imprimir</vt:lpstr>
      <vt:lpstr>Licencias</vt:lpstr>
      <vt:lpstr>USO DE SUELO</vt:lpstr>
      <vt:lpstr>Aceras_de_mausoleo</vt:lpstr>
      <vt:lpstr>Aceras_de_mausoleo_</vt:lpstr>
      <vt:lpstr>Actividad_Minera</vt:lpstr>
      <vt:lpstr>Actividades_con_autoservicio</vt:lpstr>
      <vt:lpstr>Actividades_de_manufactura_o_industria_mecanizada_o_automatizada</vt:lpstr>
      <vt:lpstr>Actividades_de_procesamiento_o_deposito_de_materiales</vt:lpstr>
      <vt:lpstr>Actividades_de_produccion_y_distribucion_de_productos_o_servicios_publicos</vt:lpstr>
      <vt:lpstr>Actividades_de_velacion_embalsamamiento_enterramiento_inhumacion_o_cremacion</vt:lpstr>
      <vt:lpstr>Actividades_dedicadas_a_enseñanza_que_generan_grado_academico</vt:lpstr>
      <vt:lpstr>Actividades_relacionadas_al_comercio_o_el_servicio_sexual</vt:lpstr>
      <vt:lpstr>Actividades_relacionadas_al_encamamiento_y_Residencias_Institucionales</vt:lpstr>
      <vt:lpstr>Actividades_relacionadas_con_el_movimiento_masivo_de_pasajeros</vt:lpstr>
      <vt:lpstr>Adoquinamientos</vt:lpstr>
      <vt:lpstr>Almacenamiento_logistica_embalaje_u_otras_actividades_directamente_relacionadas_con_el_transporte_pesado</vt:lpstr>
      <vt:lpstr>Almacenamiento_o_expendio_de_sustancias_toxicas_combustibles_o_peligrosas</vt:lpstr>
      <vt:lpstr>Antenas_ubicadas_sobre_edificación_para_la_emisión_de_ondas_electromagnéticas_hacia_el_espacio_libre_de_telefonía_radio_televisión_y_datos</vt:lpstr>
      <vt:lpstr>Licencias!Área_de_impresión</vt:lpstr>
      <vt:lpstr>PROYECTOS!Área_de_impresión</vt:lpstr>
      <vt:lpstr>'USO DE SUELO'!Área_de_impresión</vt:lpstr>
      <vt:lpstr>Asfaltos</vt:lpstr>
      <vt:lpstr>ASISTENCIA_NO_LUCRATIVA</vt:lpstr>
      <vt:lpstr>AUTORIZACIÓN</vt:lpstr>
      <vt:lpstr>Autorización_de_obra_provisional</vt:lpstr>
      <vt:lpstr>Bares_Cervecerías_Cantinas_Centros_o_clubes_nocturnos_entretenimiento_especial_autódromos_velódromos_campos_de_tiro_boliches_billares_lotería_casinos_ventas_de_licores_y_cualquier_otra_actividad_enfocada_al_entretenimiento_adulto</vt:lpstr>
      <vt:lpstr>Cambio_de_uso_de_suelo_de_no_residencial_a_residencial</vt:lpstr>
      <vt:lpstr>Cambio_de_uso_de_suelo_de_residencial_a_no_residencial</vt:lpstr>
      <vt:lpstr>cambio_de_uso_de_suelo_provisional</vt:lpstr>
      <vt:lpstr>Capilla_en_mausoleo_valor_al_equivalente_de_los_nichos_a_ocupar</vt:lpstr>
      <vt:lpstr>Capilla_en_mausoleo_valor_al_equivalente_de_los_nichos_a_ocupar_</vt:lpstr>
      <vt:lpstr>Capilla_sobre_lote</vt:lpstr>
      <vt:lpstr>Capilla_sobre_lote_</vt:lpstr>
      <vt:lpstr>Casa_Cuna</vt:lpstr>
      <vt:lpstr>Caseta_para_Torre_de_teléfonos_Agencias_telefónicas_y_o_estaciones_de_radio_estudios_de_televisión_y_cable_periódicos</vt:lpstr>
      <vt:lpstr>Celebracion_de_servicios_religiosos_y_realizacion_de_actividades_conexas</vt:lpstr>
      <vt:lpstr>CEMENTERIO_MUNICIPAL</vt:lpstr>
      <vt:lpstr>CEMENTERIOS_PRIVADOS</vt:lpstr>
      <vt:lpstr>Centro_de_Integración_Juvenil</vt:lpstr>
      <vt:lpstr>CERTIFICACIÓN</vt:lpstr>
      <vt:lpstr>Certificación_de_Licencia</vt:lpstr>
      <vt:lpstr>Certificaciones_de_Factibilidad</vt:lpstr>
      <vt:lpstr>Clínica_Hospitales_Sanatorios_centros_de_Salud_casa_cuna_guarderías_asistencia_veterinaria_y_hospitales_veterinarios</vt:lpstr>
      <vt:lpstr>colegios_de_todo_tipo_universidades_escuelas_estudios_de_arte_institutos_técnicos_o_científicos_centros_de_capacitación_acuarios_museos_galerías_de_arte_bibliotecas_seminarios_instalaciones_religiosas_templos_iglesias</vt:lpstr>
      <vt:lpstr>COMERCIO</vt:lpstr>
      <vt:lpstr>como_por_uso_de_agua_por_proyecto_</vt:lpstr>
      <vt:lpstr>COMUNICACIÓN</vt:lpstr>
      <vt:lpstr>Condicionado</vt:lpstr>
      <vt:lpstr>Consumo_de_bebidas_alcoholicas</vt:lpstr>
      <vt:lpstr>Demoliciones</vt:lpstr>
      <vt:lpstr>EDUCACIÓN_Y_CULTURA</vt:lpstr>
      <vt:lpstr>ENTRETENIMIENTO_FAMILIAR</vt:lpstr>
      <vt:lpstr>ENTRETENIMIENTO_PARA_MAYORES_DE_18_AÑOS</vt:lpstr>
      <vt:lpstr>ESPACIOS_ABIERTOS</vt:lpstr>
      <vt:lpstr>estacionamientos_cubiertos</vt:lpstr>
      <vt:lpstr>estacionamientos_cubiertos_con_lamina</vt:lpstr>
      <vt:lpstr>estacionamientos_descubiertos</vt:lpstr>
      <vt:lpstr>estaciones_de_buses_y_terminales_edificio_de_aparcamientos</vt:lpstr>
      <vt:lpstr>Estaciones_de_Servicio</vt:lpstr>
      <vt:lpstr>Estructura_para_antenas_de_emisión_de_ondas_electromagnéticas_hacia_el_espacio_libre_de_telefonía_radio_televisión_y_datos</vt:lpstr>
      <vt:lpstr>Excavaciones_y_o_Movimiento_de_Tierras</vt:lpstr>
      <vt:lpstr>Garita</vt:lpstr>
      <vt:lpstr>Guarderías</vt:lpstr>
      <vt:lpstr>Hogar_de_Ancianos</vt:lpstr>
      <vt:lpstr>Hogar_de_Indigentes_o_albergues_temporales</vt:lpstr>
      <vt:lpstr>INDUSTRIA_O_COMERCIO_LIGERO</vt:lpstr>
      <vt:lpstr>INDUSTRIA_O_COMERCIO_MEDIO</vt:lpstr>
      <vt:lpstr>INDUSTRIA_O_COMERCIO_PESADO</vt:lpstr>
      <vt:lpstr>Instituciones_de_Gobierno</vt:lpstr>
      <vt:lpstr>Lavanderías_y_Tintorerías</vt:lpstr>
      <vt:lpstr>LICENCIAS_DE_PARCELAMIENTOS</vt:lpstr>
      <vt:lpstr>Locales_Comerciales_Bodegas_carnicerías_Tiendas_abarroterías_panaderías_molinos_de_nixtamal_laboratorios_farmacias_y_droguerías_Centros_Comerciales_cines_Venta_de_Materiales_de_Construcción</vt:lpstr>
      <vt:lpstr>Manejo_de_residuos_biologicos_medicos_u_hospitalarios</vt:lpstr>
      <vt:lpstr>Muro_perimetral_de_block_pómez</vt:lpstr>
      <vt:lpstr>Muro_Perimetral_de_ladrillo</vt:lpstr>
      <vt:lpstr>Muro_perimetral_prefabricado</vt:lpstr>
      <vt:lpstr>Nicho_tumba_cripta_y_osario</vt:lpstr>
      <vt:lpstr>nicho_tumba_cripta_y_osario_dentro_</vt:lpstr>
      <vt:lpstr>Oficinas_y_cualquier_actividad_Administrativa_gimnasios_piscinas_o_cualquier_otra_actividad_deportiva</vt:lpstr>
      <vt:lpstr>Ordinario</vt:lpstr>
      <vt:lpstr>Orfanato</vt:lpstr>
      <vt:lpstr>Pasarelas</vt:lpstr>
      <vt:lpstr>Pavimentos</vt:lpstr>
      <vt:lpstr>Plantas_de_Tratamiento</vt:lpstr>
      <vt:lpstr>Plantas_Separadoras_de_Basura</vt:lpstr>
      <vt:lpstr>Plazas_explanadas_jardines_y_parques</vt:lpstr>
      <vt:lpstr>Por_concepto_de_evaluación_técnica_y_análisis_de_proyectos_urbanísticos_para_su_aprobación_ya_sea_residenciales_comerciales_propiedad_horizontal_cementerios_y_otros_similares</vt:lpstr>
      <vt:lpstr>Portón_para_entrada_a_Solar_o_puerta</vt:lpstr>
      <vt:lpstr>Practica_incentivable_F_1_Por_constituir_servidumbres_a_perpetuidad_bajo_convenios_de_mantenimiento_de_para_areas_de_servicio_publico</vt:lpstr>
      <vt:lpstr>Practica_incentivable_F_2_Por_donar_bienes_inmuebles_a_favor_del_municipio_de_Quetzaltenango</vt:lpstr>
      <vt:lpstr>Practica_incentivable_F_3_Por_dejar_una_via_publica_en_bordes_con_zanjones_o_suelo_urbano_de_proteccion_URB_PRO</vt:lpstr>
      <vt:lpstr>Practica_incentivable_O_1_Por_unificar_predios_para_construir</vt:lpstr>
      <vt:lpstr>Practica_incentivable_O_2_Por_contribuir_al_sistema_de_drenaje_sostenible</vt:lpstr>
      <vt:lpstr>Practica_incentivable_O_3_Por_diseño_construccion_y_la_operacion_de_construcciones_sostenibles</vt:lpstr>
      <vt:lpstr>Practica_incentivable_O_4_Por_cumplir_con_las_normas_de_accesibilidad_para_discapacitados</vt:lpstr>
      <vt:lpstr>Practica_incentivable_O_5_Por_ensanchar_mejorar_o_construir_aceras</vt:lpstr>
      <vt:lpstr>Practica_incentivable_O_6_Por_construir_viviendas_compactas_y_de_alta_intensidad_constructiva</vt:lpstr>
      <vt:lpstr>Practica_incentivable_O_7_Por_actuacion_de_profesional_proyectista_y_o_constructor_certificado_POT_Xela</vt:lpstr>
      <vt:lpstr>Practica_incentivable_U_1_Por_implementar_sistemas_de_drenaje_separativo_y_sistemas_de_absorcion_de_aguas_pluviales</vt:lpstr>
      <vt:lpstr>Practica_incentivable_U_2_Por_establecer_servidumbres_a_perpetuidad_bajo_convenios_de_mantenimiento_de_para_areas_de_servicio_publico</vt:lpstr>
      <vt:lpstr>Practica_incentivable_U_3_Por_construir_banquetas_de_alta_calidad_mayores_a_1_75_m_con_0_75_m_De_area_verde</vt:lpstr>
      <vt:lpstr>Practica_incentivable_U_4_Por_construir_vias_mayores_a_13_50_m_con_banquetas_mayores_a_3_00_m</vt:lpstr>
      <vt:lpstr>Practica_incentivable_U_5_Por_conectar_las_vias_con_el_sistema_vial_existente_o_proyectado</vt:lpstr>
      <vt:lpstr>Practica_incentivable_U_6_Por_crear_parqueo_para_visitas</vt:lpstr>
      <vt:lpstr>Practica_incentivable_U_7_Por_construir_areas_de_servicio_publico_en_otro_lugar_de_interes_municipal</vt:lpstr>
      <vt:lpstr>Practica_incentivable_U_8_Por_actuacion_de_profesional_proyectista_y_o_constructor_certificado_POT_Xela</vt:lpstr>
      <vt:lpstr>Practica_incentivable_US_1_Convertir_uso_no_residencial_a_residencial_o_mixto</vt:lpstr>
      <vt:lpstr>Practica_incentivable_US_2_Por_eliminar_un_uso_de_suelo_no_residencial_condicionado_existente</vt:lpstr>
      <vt:lpstr>Practica_incentivable_US_3_Por_crear_suelo_mixto</vt:lpstr>
      <vt:lpstr>Primer_Prorroga_de_licencia_de_obra_de_construcción</vt:lpstr>
      <vt:lpstr>PRORROGA_DE_LICENCIA_DE_OBRA_DE_CONSTRUCCIÓN</vt:lpstr>
      <vt:lpstr>proyecto_de_creación_de_nuevos_cementerios</vt:lpstr>
      <vt:lpstr>Puentes</vt:lpstr>
      <vt:lpstr>Rastros</vt:lpstr>
      <vt:lpstr>Realizacion_de_juegos_pasivos_o_de_apuestas_debidamente_autorizados</vt:lpstr>
      <vt:lpstr>Recreación_Jardín_de_fiestas_infantiles_Recreación_Social_Centros_comunitarios_culturales_clubes_campestres_sociales_salones_para_banquetes_o_baile_casas_club_spa</vt:lpstr>
      <vt:lpstr>Renovación_Uso_de_suelo_no_residencial_condicionado</vt:lpstr>
      <vt:lpstr>Renovación_uso_de_suelo_no_residencial_ordinario</vt:lpstr>
      <vt:lpstr>Reparación_y_o_repello_de_mausoleo</vt:lpstr>
      <vt:lpstr>Reparación_y_o_repello_de_mausoleo_</vt:lpstr>
      <vt:lpstr>Reparaciones_varias_remodelación_y_Otros_trabajos</vt:lpstr>
      <vt:lpstr>RESIDENCIAL</vt:lpstr>
      <vt:lpstr>Restauración_de_mausoleos</vt:lpstr>
      <vt:lpstr>Restauración_de_mausoleos_en_</vt:lpstr>
      <vt:lpstr>restauraciones_dentro_de_centro_histórico_y_monumentos_aislados</vt:lpstr>
      <vt:lpstr>salones_para_banquetes_o_baile_centros_deportivos_gimnasios_Piscinas_públicas_Auditorios_Teatros_Salas_de_conciertos_Centros_de_Convenciones_boliches_billares</vt:lpstr>
      <vt:lpstr>SALUD</vt:lpstr>
      <vt:lpstr>Segunda_Prorroga_de_Licencia_de_obra_de_construcción</vt:lpstr>
      <vt:lpstr>SERVICIO</vt:lpstr>
      <vt:lpstr>Servicios_de_alojamiento_por_fraccion_de_tiempo</vt:lpstr>
      <vt:lpstr>Servicios_de_manejo_almacenaje_procesamiento_o_disposicion_de_desechos_solidos</vt:lpstr>
      <vt:lpstr>Servicios_de_publicidad_o_promocion</vt:lpstr>
      <vt:lpstr>Servicios_de_reparacion_mantenimiento_o_limpieza_de_vehiculos_y_otros_objetos_mayores</vt:lpstr>
      <vt:lpstr>Sin_fines_de_lucro_ONGs</vt:lpstr>
      <vt:lpstr>Superficies_dedicadas_a_actividades_de_ocio_estanciales</vt:lpstr>
      <vt:lpstr>Superficies_dedicadas_a_actividades_de_recreacion_individuales_o_grupales</vt:lpstr>
      <vt:lpstr>Superficies_dedicadas_a_areas_de_eventos_y_reunion_de_personas</vt:lpstr>
      <vt:lpstr>Superficies_dedicadas_a_campos_o_canchas_deportivas</vt:lpstr>
      <vt:lpstr>Superficies_dedicadas_a_ensenanza_que_no_generan_grado_academico</vt:lpstr>
      <vt:lpstr>Superficies_dedicadas_a_Estacionamiento_de_vehiculos_livianos_como_uso_del_suelo_principal</vt:lpstr>
      <vt:lpstr>Superficies_dedicadas_a_la_produccion_reparacion_o_almacenamiento_de_productos</vt:lpstr>
      <vt:lpstr>Superficies_dedicadas_a_la_venta_de_productos_o_a_la_prestacion_de_servicios</vt:lpstr>
      <vt:lpstr>Superficies_dedicadas_a_labores_de_oficina</vt:lpstr>
      <vt:lpstr>Superficies_dedicadas_al_alojamiento</vt:lpstr>
      <vt:lpstr>Superficies_dedicadas_al_consumo_de_comidas_y_bebidas</vt:lpstr>
      <vt:lpstr>Techo_de_Concreto</vt:lpstr>
      <vt:lpstr>Techo_de_Lámina</vt:lpstr>
      <vt:lpstr>TICS_infraestructuras_cuyo_fin_sea_la_transmision_de_datos_o_informacion</vt:lpstr>
      <vt:lpstr>tipo_interés_social</vt:lpstr>
      <vt:lpstr>TODA_AQUELLA_CONTENIDA_EN_EL_LISTADO_TAXATIVO_DEL_MINISTERIO_DE_AMBIENTE_Y_RECURSOS_NATURALES_COMO_CATEGORÍA_A</vt:lpstr>
      <vt:lpstr>TODA_AQUELLA_CONTENIDA_EN_EL_LISTADO_TAXATIVO_DEL_MINISTERIO_DE_AMBIENTE_Y_RECURSOS_NATURALES_COMO_CATEGORÍA_B</vt:lpstr>
      <vt:lpstr>TODA_AQUELLA_CONTENIDA_EN_EL_LISTADO_TAXATIVO_DEL_MINISTERIO_DE_AMBIENTE_Y_RECURSOS_NATURALES_COMO_CATEGORÍA_C</vt:lpstr>
      <vt:lpstr>TRANSPORTE</vt:lpstr>
      <vt:lpstr>USO_DE_SUELO</vt:lpstr>
      <vt:lpstr>Uso_de_suelo_no_residencial</vt:lpstr>
      <vt:lpstr>Uso_de_suelo_no_residencial_condicionado</vt:lpstr>
      <vt:lpstr>Uso_de_suelo_no_residencial_ordinario</vt:lpstr>
      <vt:lpstr>Uso_de_suelo_residencial</vt:lpstr>
      <vt:lpstr>VARIOS</vt:lpstr>
      <vt:lpstr>Venta_de_Vehículos_ferreterías_servicios_funerarios_Tiendas_de_servicios_Baños_públicos_salones_de_belleza_sastrerías_hoteles_y_moteles_restaurantes_y_cafeterías_con_consumo_limitado_de_licor</vt:lpstr>
      <vt:lpstr>Vivienda_tipo_A</vt:lpstr>
      <vt:lpstr>Vivienda_tipo_B</vt:lpstr>
      <vt:lpstr>Vivienda_tipo_C</vt:lpstr>
      <vt:lpstr>zoológicos</vt:lpstr>
    </vt:vector>
  </TitlesOfParts>
  <Manager>Manuel Tax</Manager>
  <Company>Ordenamiento Territorial</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formulario incentivos</dc:title>
  <dc:subject>preliminar</dc:subject>
  <dc:creator>Manuel Tax</dc:creator>
  <cp:keywords>reinc-ot</cp:keywords>
  <dc:description/>
  <cp:lastModifiedBy>Microsoft Office User</cp:lastModifiedBy>
  <cp:lastPrinted>2026-10-01T20:46:33Z</cp:lastPrinted>
  <dcterms:created xsi:type="dcterms:W3CDTF">2019-12-17T14:24:36Z</dcterms:created>
  <dcterms:modified xsi:type="dcterms:W3CDTF">2026-10-01T21:03:50Z</dcterms:modified>
  <cp:category>Formulario</cp:category>
</cp:coreProperties>
</file>